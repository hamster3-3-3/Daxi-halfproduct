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月報\"/>
    </mc:Choice>
  </mc:AlternateContent>
  <xr:revisionPtr revIDLastSave="0" documentId="11_F0DCBC4ACDE5E9BFD4F49FD9E5F33AF75C8C5CC6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57" r:id="rId22"/>
    <sheet name="生產管理報表 8-2(月報廢)" sheetId="58" r:id="rId23"/>
    <sheet name="生產管理報表 8-3(月超用)" sheetId="59" r:id="rId24"/>
    <sheet name="生產管理報表 8-4(月超用)" sheetId="60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(週)'!$A$1:$M$59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8-5(週報廢)'!$A$1:$Q$254</definedName>
    <definedName name="_xlnm.Print_Area" localSheetId="27">'生產管理報表 8-6(週報廢)'!$A$1:$P$254</definedName>
    <definedName name="_xlnm.Print_Area" localSheetId="28">'生產管理報表 8-7(週超用)'!$A$1:$Q$30</definedName>
    <definedName name="_xlnm.Print_Area" localSheetId="29">'生產管理報表 8-8(週超用) '!$A$1:$P$254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3" l="1"/>
  <c r="E35" i="13"/>
  <c r="E34" i="13"/>
  <c r="E33" i="13"/>
  <c r="E32" i="13"/>
  <c r="E31" i="13"/>
  <c r="E30" i="13"/>
  <c r="E29" i="13"/>
  <c r="E28" i="13"/>
  <c r="K9" i="13"/>
  <c r="K8" i="13"/>
  <c r="K7" i="13"/>
  <c r="K6" i="13"/>
  <c r="E11" i="13"/>
  <c r="E9" i="13"/>
  <c r="E10" i="13"/>
  <c r="E8" i="13"/>
  <c r="E7" i="13"/>
  <c r="E6" i="13"/>
  <c r="M253" i="62" l="1"/>
  <c r="M252" i="62"/>
  <c r="M251" i="62"/>
  <c r="M250" i="62"/>
  <c r="M249" i="62"/>
  <c r="M254" i="62" s="1"/>
  <c r="K254" i="62" s="1"/>
  <c r="M245" i="62"/>
  <c r="M244" i="62"/>
  <c r="M243" i="62"/>
  <c r="M242" i="62"/>
  <c r="M241" i="62"/>
  <c r="M246" i="62" s="1"/>
  <c r="K246" i="62" s="1"/>
  <c r="M237" i="62"/>
  <c r="M236" i="62"/>
  <c r="M235" i="62"/>
  <c r="M234" i="62"/>
  <c r="M233" i="62"/>
  <c r="K254" i="20"/>
  <c r="K230" i="20"/>
  <c r="M251" i="20"/>
  <c r="M250" i="20"/>
  <c r="M249" i="20"/>
  <c r="M254" i="20" s="1"/>
  <c r="M241" i="20"/>
  <c r="M246" i="20" s="1"/>
  <c r="K246" i="20" s="1"/>
  <c r="M237" i="20"/>
  <c r="M236" i="20"/>
  <c r="M235" i="20"/>
  <c r="M234" i="20"/>
  <c r="M233" i="20"/>
  <c r="M238" i="20" s="1"/>
  <c r="K238" i="20" s="1"/>
  <c r="M229" i="20"/>
  <c r="M228" i="20"/>
  <c r="M227" i="20"/>
  <c r="M230" i="20" s="1"/>
  <c r="M226" i="20"/>
  <c r="M225" i="20"/>
  <c r="K246" i="19"/>
  <c r="M253" i="19"/>
  <c r="M252" i="19"/>
  <c r="M251" i="19"/>
  <c r="M250" i="19"/>
  <c r="M249" i="19"/>
  <c r="M245" i="19"/>
  <c r="M244" i="19"/>
  <c r="M243" i="19"/>
  <c r="M242" i="19"/>
  <c r="M241" i="19"/>
  <c r="M246" i="19" s="1"/>
  <c r="M237" i="19"/>
  <c r="M236" i="19"/>
  <c r="M235" i="19"/>
  <c r="M234" i="19"/>
  <c r="M233" i="19"/>
  <c r="M238" i="62" l="1"/>
  <c r="K238" i="62" s="1"/>
  <c r="M238" i="19"/>
  <c r="K238" i="19" s="1"/>
  <c r="M254" i="19"/>
  <c r="K254" i="19" s="1"/>
  <c r="C54" i="41" l="1"/>
  <c r="C53" i="41"/>
  <c r="D8" i="13" l="1"/>
  <c r="W10" i="3"/>
  <c r="J130" i="23"/>
  <c r="J113" i="22"/>
  <c r="J123" i="22"/>
  <c r="J119" i="15"/>
  <c r="J130" i="15"/>
  <c r="J129" i="15"/>
  <c r="J128" i="15"/>
  <c r="J127" i="15"/>
  <c r="J126" i="15"/>
  <c r="J125" i="15"/>
  <c r="J124" i="15"/>
  <c r="J123" i="15"/>
  <c r="J120" i="15"/>
  <c r="J118" i="15"/>
  <c r="J117" i="15"/>
  <c r="J116" i="15"/>
  <c r="J115" i="15"/>
  <c r="J114" i="15"/>
  <c r="J113" i="15"/>
  <c r="J112" i="15"/>
  <c r="J125" i="23"/>
  <c r="J123" i="23"/>
  <c r="J126" i="23"/>
  <c r="J131" i="23"/>
  <c r="J129" i="23"/>
  <c r="J128" i="23"/>
  <c r="J127" i="23"/>
  <c r="J124" i="23"/>
  <c r="J121" i="23"/>
  <c r="J120" i="23"/>
  <c r="J119" i="23"/>
  <c r="J118" i="23"/>
  <c r="J114" i="23"/>
  <c r="J113" i="23"/>
  <c r="J112" i="23"/>
  <c r="J115" i="23"/>
  <c r="J124" i="24"/>
  <c r="J123" i="24"/>
  <c r="J112" i="25"/>
  <c r="J113" i="25"/>
  <c r="B112" i="25"/>
  <c r="A112" i="25"/>
  <c r="AW96" i="48"/>
  <c r="AW95" i="48"/>
  <c r="AW94" i="48"/>
  <c r="AW93" i="48"/>
  <c r="AW92" i="48"/>
  <c r="AW90" i="48"/>
  <c r="AW89" i="48"/>
  <c r="AW88" i="48"/>
  <c r="AW87" i="48"/>
  <c r="AM94" i="48"/>
  <c r="AM93" i="48"/>
  <c r="AM92" i="48"/>
  <c r="AM90" i="48"/>
  <c r="AM89" i="48"/>
  <c r="AM88" i="48"/>
  <c r="AM87" i="48"/>
  <c r="AH94" i="48"/>
  <c r="AH93" i="48"/>
  <c r="AH92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88" i="48"/>
  <c r="M89" i="48"/>
  <c r="M90" i="48"/>
  <c r="M91" i="48"/>
  <c r="M92" i="48"/>
  <c r="M93" i="48"/>
  <c r="M94" i="48"/>
  <c r="M95" i="48"/>
  <c r="M96" i="48"/>
  <c r="M87" i="48"/>
  <c r="AW88" i="49"/>
  <c r="AW89" i="49"/>
  <c r="AW90" i="49"/>
  <c r="AW91" i="49"/>
  <c r="AW92" i="49"/>
  <c r="AW93" i="49"/>
  <c r="AW94" i="49"/>
  <c r="AW87" i="49"/>
  <c r="AR94" i="49"/>
  <c r="AR93" i="49"/>
  <c r="AR92" i="49"/>
  <c r="AR91" i="49"/>
  <c r="AR90" i="49"/>
  <c r="AR89" i="49"/>
  <c r="AR88" i="49"/>
  <c r="AR87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M87" i="49"/>
  <c r="AW87" i="51"/>
  <c r="AR87" i="51"/>
  <c r="AM87" i="51"/>
  <c r="AH88" i="51"/>
  <c r="AH87" i="51"/>
  <c r="AC88" i="51"/>
  <c r="AC87" i="51"/>
  <c r="X88" i="51"/>
  <c r="X87" i="51"/>
  <c r="S88" i="51"/>
  <c r="S87" i="51"/>
  <c r="M88" i="51"/>
  <c r="M87" i="51"/>
  <c r="AW87" i="52"/>
  <c r="AR87" i="52"/>
  <c r="AM88" i="52"/>
  <c r="AM87" i="52"/>
  <c r="AH88" i="52"/>
  <c r="AH87" i="52"/>
  <c r="AC88" i="52"/>
  <c r="AC87" i="52"/>
  <c r="X88" i="52"/>
  <c r="X87" i="52"/>
  <c r="S88" i="52"/>
  <c r="S87" i="52"/>
  <c r="M88" i="52"/>
  <c r="M87" i="52"/>
  <c r="AL88" i="52"/>
  <c r="AG88" i="52"/>
  <c r="AB88" i="52"/>
  <c r="W88" i="52"/>
  <c r="R88" i="52"/>
  <c r="K88" i="52"/>
  <c r="J88" i="52"/>
  <c r="I88" i="52"/>
  <c r="G88" i="52"/>
  <c r="AV87" i="52"/>
  <c r="AX87" i="52" s="1"/>
  <c r="AS87" i="52"/>
  <c r="AQ87" i="52"/>
  <c r="AL87" i="52"/>
  <c r="AN87" i="52" s="1"/>
  <c r="AG87" i="52"/>
  <c r="AB87" i="52"/>
  <c r="AD87" i="52" s="1"/>
  <c r="W87" i="52"/>
  <c r="Y87" i="52" s="1"/>
  <c r="R87" i="52"/>
  <c r="T87" i="52" s="1"/>
  <c r="K87" i="52"/>
  <c r="L87" i="52" s="1"/>
  <c r="J87" i="52"/>
  <c r="I87" i="52"/>
  <c r="G87" i="52"/>
  <c r="H87" i="52" s="1"/>
  <c r="P82" i="52"/>
  <c r="U82" i="52"/>
  <c r="Z82" i="52"/>
  <c r="AE82" i="52"/>
  <c r="AJ82" i="52"/>
  <c r="AO82" i="52"/>
  <c r="AT82" i="52"/>
  <c r="P83" i="52"/>
  <c r="U83" i="52"/>
  <c r="Z83" i="52"/>
  <c r="AE83" i="52"/>
  <c r="AJ83" i="52"/>
  <c r="AO83" i="52"/>
  <c r="AT83" i="52"/>
  <c r="AG88" i="51"/>
  <c r="AB88" i="51"/>
  <c r="W88" i="51"/>
  <c r="R88" i="51"/>
  <c r="K88" i="51"/>
  <c r="J88" i="51"/>
  <c r="I88" i="51"/>
  <c r="G88" i="51"/>
  <c r="AV87" i="51"/>
  <c r="AQ87" i="51"/>
  <c r="AN87" i="51"/>
  <c r="AL87" i="51"/>
  <c r="AG87" i="51"/>
  <c r="AI87" i="51" s="1"/>
  <c r="AB87" i="51"/>
  <c r="AD87" i="51" s="1"/>
  <c r="W87" i="51"/>
  <c r="Y87" i="51" s="1"/>
  <c r="R87" i="51"/>
  <c r="T87" i="51" s="1"/>
  <c r="J87" i="51"/>
  <c r="I87" i="51"/>
  <c r="H87" i="51"/>
  <c r="G87" i="51"/>
  <c r="L87" i="50"/>
  <c r="AG95" i="49"/>
  <c r="AB95" i="49"/>
  <c r="W95" i="49"/>
  <c r="R95" i="49"/>
  <c r="K95" i="49"/>
  <c r="J95" i="49"/>
  <c r="I95" i="49"/>
  <c r="G95" i="49"/>
  <c r="AV94" i="49"/>
  <c r="AQ94" i="49"/>
  <c r="AL94" i="49"/>
  <c r="K94" i="49" s="1"/>
  <c r="AG94" i="49"/>
  <c r="AB94" i="49"/>
  <c r="W94" i="49"/>
  <c r="R94" i="49"/>
  <c r="J94" i="49"/>
  <c r="I94" i="49"/>
  <c r="G94" i="49"/>
  <c r="AV93" i="49"/>
  <c r="AQ93" i="49"/>
  <c r="AL93" i="49"/>
  <c r="AG93" i="49"/>
  <c r="K93" i="49" s="1"/>
  <c r="AB93" i="49"/>
  <c r="W93" i="49"/>
  <c r="R93" i="49"/>
  <c r="J93" i="49"/>
  <c r="I93" i="49"/>
  <c r="G93" i="49"/>
  <c r="AV92" i="49"/>
  <c r="AQ92" i="49"/>
  <c r="AL92" i="49"/>
  <c r="AG92" i="49"/>
  <c r="K92" i="49" s="1"/>
  <c r="AB92" i="49"/>
  <c r="W92" i="49"/>
  <c r="R92" i="49"/>
  <c r="J92" i="49"/>
  <c r="I92" i="49"/>
  <c r="G92" i="49"/>
  <c r="AV91" i="49"/>
  <c r="AQ91" i="49"/>
  <c r="AL91" i="49"/>
  <c r="AG91" i="49"/>
  <c r="AB91" i="49"/>
  <c r="K91" i="49" s="1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K88" i="49" s="1"/>
  <c r="J88" i="49"/>
  <c r="I88" i="49"/>
  <c r="G88" i="49"/>
  <c r="AV87" i="49"/>
  <c r="AX87" i="49" s="1"/>
  <c r="AQ87" i="49"/>
  <c r="AL87" i="49"/>
  <c r="AN87" i="49" s="1"/>
  <c r="AG87" i="49"/>
  <c r="K87" i="49" s="1"/>
  <c r="AB87" i="49"/>
  <c r="W87" i="49"/>
  <c r="Y87" i="49" s="1"/>
  <c r="R87" i="49"/>
  <c r="J87" i="49"/>
  <c r="I87" i="49"/>
  <c r="G87" i="49"/>
  <c r="H87" i="49" s="1"/>
  <c r="AV96" i="48"/>
  <c r="K96" i="48"/>
  <c r="J96" i="48"/>
  <c r="I96" i="48"/>
  <c r="G96" i="48"/>
  <c r="AV95" i="48"/>
  <c r="K95" i="48"/>
  <c r="J95" i="48"/>
  <c r="I95" i="48"/>
  <c r="G95" i="48"/>
  <c r="AV94" i="48"/>
  <c r="AQ94" i="48"/>
  <c r="AR94" i="48" s="1"/>
  <c r="AL94" i="48"/>
  <c r="AG94" i="48"/>
  <c r="AB94" i="48"/>
  <c r="W94" i="48"/>
  <c r="R94" i="48"/>
  <c r="J94" i="48"/>
  <c r="I94" i="48"/>
  <c r="G94" i="48"/>
  <c r="AV93" i="48"/>
  <c r="AQ93" i="48"/>
  <c r="AR93" i="48" s="1"/>
  <c r="AL93" i="48"/>
  <c r="AG93" i="48"/>
  <c r="AB93" i="48"/>
  <c r="W93" i="48"/>
  <c r="R93" i="48"/>
  <c r="J93" i="48"/>
  <c r="I93" i="48"/>
  <c r="G93" i="48"/>
  <c r="AV92" i="48"/>
  <c r="AQ92" i="48"/>
  <c r="AR92" i="48" s="1"/>
  <c r="AL92" i="48"/>
  <c r="AG92" i="48"/>
  <c r="AB92" i="48"/>
  <c r="W92" i="48"/>
  <c r="R92" i="48"/>
  <c r="J92" i="48"/>
  <c r="I92" i="48"/>
  <c r="G92" i="48"/>
  <c r="AB91" i="48"/>
  <c r="W91" i="48"/>
  <c r="R91" i="48"/>
  <c r="K91" i="48"/>
  <c r="J91" i="48"/>
  <c r="I91" i="48"/>
  <c r="G91" i="48"/>
  <c r="AV90" i="48"/>
  <c r="AQ90" i="48"/>
  <c r="AR90" i="48" s="1"/>
  <c r="AL90" i="48"/>
  <c r="AG90" i="48"/>
  <c r="AB90" i="48"/>
  <c r="W90" i="48"/>
  <c r="R90" i="48"/>
  <c r="K90" i="48"/>
  <c r="J90" i="48"/>
  <c r="I90" i="48"/>
  <c r="G90" i="48"/>
  <c r="AV89" i="48"/>
  <c r="AQ89" i="48"/>
  <c r="AR89" i="48" s="1"/>
  <c r="AL89" i="48"/>
  <c r="AG89" i="48"/>
  <c r="AB89" i="48"/>
  <c r="W89" i="48"/>
  <c r="R89" i="48"/>
  <c r="K89" i="48"/>
  <c r="J89" i="48"/>
  <c r="I89" i="48"/>
  <c r="G89" i="48"/>
  <c r="AV88" i="48"/>
  <c r="AQ88" i="48"/>
  <c r="AR88" i="48" s="1"/>
  <c r="AL88" i="48"/>
  <c r="AG88" i="48"/>
  <c r="AB88" i="48"/>
  <c r="W88" i="48"/>
  <c r="R88" i="48"/>
  <c r="K88" i="48"/>
  <c r="J88" i="48"/>
  <c r="I88" i="48"/>
  <c r="G88" i="48"/>
  <c r="AX87" i="48"/>
  <c r="AV87" i="48"/>
  <c r="AQ87" i="48"/>
  <c r="AS87" i="48" s="1"/>
  <c r="AL87" i="48"/>
  <c r="AN87" i="48" s="1"/>
  <c r="AG87" i="48"/>
  <c r="AI87" i="48" s="1"/>
  <c r="AB87" i="48"/>
  <c r="AD87" i="48" s="1"/>
  <c r="W87" i="48"/>
  <c r="R87" i="48"/>
  <c r="K87" i="48" s="1"/>
  <c r="J87" i="48"/>
  <c r="I87" i="48"/>
  <c r="G87" i="48"/>
  <c r="H87" i="48" s="1"/>
  <c r="AW88" i="47"/>
  <c r="AW87" i="47"/>
  <c r="AR88" i="47"/>
  <c r="AR87" i="47"/>
  <c r="AM88" i="47"/>
  <c r="AM87" i="47"/>
  <c r="AH88" i="47"/>
  <c r="AH87" i="47"/>
  <c r="AC88" i="47"/>
  <c r="AC87" i="47"/>
  <c r="X88" i="47"/>
  <c r="X87" i="47"/>
  <c r="S88" i="47"/>
  <c r="S87" i="47"/>
  <c r="M88" i="47"/>
  <c r="M87" i="47"/>
  <c r="AV88" i="47"/>
  <c r="AQ88" i="47"/>
  <c r="AL88" i="47"/>
  <c r="AG88" i="47"/>
  <c r="AB88" i="47"/>
  <c r="W88" i="47"/>
  <c r="R88" i="47"/>
  <c r="K88" i="47"/>
  <c r="J88" i="47"/>
  <c r="I88" i="47"/>
  <c r="G88" i="47"/>
  <c r="AX87" i="47"/>
  <c r="AV87" i="47"/>
  <c r="AQ87" i="47"/>
  <c r="AS87" i="47" s="1"/>
  <c r="AL87" i="47"/>
  <c r="AN87" i="47" s="1"/>
  <c r="AG87" i="47"/>
  <c r="AI87" i="47" s="1"/>
  <c r="AB87" i="47"/>
  <c r="AD87" i="47" s="1"/>
  <c r="W87" i="47"/>
  <c r="Y87" i="47" s="1"/>
  <c r="R87" i="47"/>
  <c r="K87" i="47" s="1"/>
  <c r="J87" i="47"/>
  <c r="I87" i="47"/>
  <c r="G87" i="47"/>
  <c r="H87" i="47" s="1"/>
  <c r="AW88" i="46"/>
  <c r="AW87" i="46"/>
  <c r="AR88" i="46"/>
  <c r="AR87" i="46"/>
  <c r="AM88" i="46"/>
  <c r="AM87" i="46"/>
  <c r="AH88" i="46"/>
  <c r="AH87" i="46"/>
  <c r="AC88" i="46"/>
  <c r="AC87" i="46"/>
  <c r="X88" i="46"/>
  <c r="X87" i="46"/>
  <c r="S88" i="46"/>
  <c r="S87" i="46"/>
  <c r="M88" i="46"/>
  <c r="M87" i="46"/>
  <c r="AV88" i="46"/>
  <c r="AQ88" i="46"/>
  <c r="AL88" i="46"/>
  <c r="AG88" i="46"/>
  <c r="AB88" i="46"/>
  <c r="W88" i="46"/>
  <c r="R88" i="46"/>
  <c r="K88" i="46"/>
  <c r="J88" i="46"/>
  <c r="I88" i="46"/>
  <c r="G88" i="46"/>
  <c r="AX87" i="46"/>
  <c r="AV87" i="46"/>
  <c r="AQ87" i="46"/>
  <c r="AL87" i="46"/>
  <c r="AG87" i="46"/>
  <c r="AI87" i="46" s="1"/>
  <c r="AB87" i="46"/>
  <c r="AD87" i="46" s="1"/>
  <c r="W87" i="46"/>
  <c r="R87" i="46"/>
  <c r="J87" i="46"/>
  <c r="I87" i="46"/>
  <c r="G87" i="46"/>
  <c r="H87" i="46" s="1"/>
  <c r="X94" i="45"/>
  <c r="X93" i="45"/>
  <c r="X92" i="45"/>
  <c r="X91" i="45"/>
  <c r="X90" i="45"/>
  <c r="X89" i="45"/>
  <c r="X88" i="45"/>
  <c r="X87" i="45"/>
  <c r="S94" i="45"/>
  <c r="S93" i="45"/>
  <c r="S92" i="45"/>
  <c r="S91" i="45"/>
  <c r="S90" i="45"/>
  <c r="S89" i="45"/>
  <c r="S88" i="45"/>
  <c r="S87" i="45"/>
  <c r="AW94" i="45"/>
  <c r="AW93" i="45"/>
  <c r="AW92" i="45"/>
  <c r="AW91" i="45"/>
  <c r="AW90" i="45"/>
  <c r="AW89" i="45"/>
  <c r="AW88" i="45"/>
  <c r="AW87" i="45"/>
  <c r="AR94" i="45"/>
  <c r="AR93" i="45"/>
  <c r="AR92" i="45"/>
  <c r="AR91" i="45"/>
  <c r="AR90" i="45"/>
  <c r="AR89" i="45"/>
  <c r="AR88" i="45"/>
  <c r="AR87" i="45"/>
  <c r="AM88" i="45"/>
  <c r="AM89" i="45"/>
  <c r="AM90" i="45"/>
  <c r="AM91" i="45"/>
  <c r="AM92" i="45"/>
  <c r="AM93" i="45"/>
  <c r="AM94" i="45"/>
  <c r="AM87" i="45"/>
  <c r="M88" i="45"/>
  <c r="M89" i="45"/>
  <c r="M90" i="45"/>
  <c r="M91" i="45"/>
  <c r="M92" i="45"/>
  <c r="M93" i="45"/>
  <c r="M94" i="45"/>
  <c r="M87" i="45"/>
  <c r="AV94" i="45"/>
  <c r="AQ94" i="45"/>
  <c r="AL94" i="45"/>
  <c r="AG94" i="45"/>
  <c r="AH94" i="45" s="1"/>
  <c r="AB94" i="45"/>
  <c r="AC94" i="45" s="1"/>
  <c r="W94" i="45"/>
  <c r="R94" i="45"/>
  <c r="K94" i="45"/>
  <c r="J94" i="45"/>
  <c r="I94" i="45"/>
  <c r="G94" i="45"/>
  <c r="AV93" i="45"/>
  <c r="AQ93" i="45"/>
  <c r="AL93" i="45"/>
  <c r="AG93" i="45"/>
  <c r="AH93" i="45" s="1"/>
  <c r="AB93" i="45"/>
  <c r="AC93" i="45" s="1"/>
  <c r="W93" i="45"/>
  <c r="R93" i="45"/>
  <c r="K93" i="45"/>
  <c r="J93" i="45"/>
  <c r="I93" i="45"/>
  <c r="G93" i="45"/>
  <c r="AV92" i="45"/>
  <c r="K92" i="45" s="1"/>
  <c r="AQ92" i="45"/>
  <c r="AL92" i="45"/>
  <c r="AG92" i="45"/>
  <c r="AH92" i="45" s="1"/>
  <c r="AB92" i="45"/>
  <c r="AC92" i="45" s="1"/>
  <c r="W92" i="45"/>
  <c r="R92" i="45"/>
  <c r="J92" i="45"/>
  <c r="I92" i="45"/>
  <c r="G92" i="45"/>
  <c r="AV91" i="45"/>
  <c r="K91" i="45" s="1"/>
  <c r="AQ91" i="45"/>
  <c r="AL91" i="45"/>
  <c r="AG91" i="45"/>
  <c r="AH91" i="45" s="1"/>
  <c r="AB91" i="45"/>
  <c r="AC91" i="45" s="1"/>
  <c r="W91" i="45"/>
  <c r="R91" i="45"/>
  <c r="J91" i="45"/>
  <c r="I91" i="45"/>
  <c r="G91" i="45"/>
  <c r="AV90" i="45"/>
  <c r="AQ90" i="45"/>
  <c r="AL90" i="45"/>
  <c r="AG90" i="45"/>
  <c r="AH90" i="45" s="1"/>
  <c r="AB90" i="45"/>
  <c r="AC90" i="45" s="1"/>
  <c r="W90" i="45"/>
  <c r="R90" i="45"/>
  <c r="J90" i="45"/>
  <c r="I90" i="45"/>
  <c r="G90" i="45"/>
  <c r="AV89" i="45"/>
  <c r="AQ89" i="45"/>
  <c r="AL89" i="45"/>
  <c r="AH89" i="45"/>
  <c r="AG89" i="45"/>
  <c r="AB89" i="45"/>
  <c r="AC89" i="45" s="1"/>
  <c r="W89" i="45"/>
  <c r="R89" i="45"/>
  <c r="J89" i="45"/>
  <c r="I89" i="45"/>
  <c r="G89" i="45"/>
  <c r="AV88" i="45"/>
  <c r="AQ88" i="45"/>
  <c r="AL88" i="45"/>
  <c r="AG88" i="45"/>
  <c r="AH88" i="45" s="1"/>
  <c r="AB88" i="45"/>
  <c r="AC88" i="45" s="1"/>
  <c r="W88" i="45"/>
  <c r="R88" i="45"/>
  <c r="J88" i="45"/>
  <c r="I88" i="45"/>
  <c r="G88" i="45"/>
  <c r="AV87" i="45"/>
  <c r="AX87" i="45" s="1"/>
  <c r="AQ87" i="45"/>
  <c r="AS87" i="45" s="1"/>
  <c r="AN87" i="45"/>
  <c r="AL87" i="45"/>
  <c r="AG87" i="45"/>
  <c r="AI87" i="45" s="1"/>
  <c r="AB87" i="45"/>
  <c r="AD87" i="45" s="1"/>
  <c r="W87" i="45"/>
  <c r="Y87" i="45" s="1"/>
  <c r="R87" i="45"/>
  <c r="T87" i="45" s="1"/>
  <c r="J87" i="45"/>
  <c r="I87" i="45"/>
  <c r="H87" i="45"/>
  <c r="G87" i="45"/>
  <c r="AW160" i="44"/>
  <c r="AW161" i="44"/>
  <c r="AW162" i="44"/>
  <c r="AW163" i="44"/>
  <c r="AW164" i="44"/>
  <c r="AW165" i="44"/>
  <c r="AW166" i="44"/>
  <c r="AW167" i="44"/>
  <c r="AW168" i="44"/>
  <c r="AW169" i="44"/>
  <c r="AW170" i="44"/>
  <c r="AW171" i="44"/>
  <c r="AW172" i="44"/>
  <c r="AW173" i="44"/>
  <c r="AW174" i="44"/>
  <c r="AW175" i="44"/>
  <c r="AW176" i="44"/>
  <c r="AW177" i="44"/>
  <c r="AW178" i="44"/>
  <c r="AW179" i="44"/>
  <c r="AW180" i="44"/>
  <c r="AW181" i="44"/>
  <c r="AW182" i="44"/>
  <c r="AW183" i="44"/>
  <c r="AW184" i="44"/>
  <c r="AW185" i="44"/>
  <c r="AW186" i="44"/>
  <c r="AW187" i="44"/>
  <c r="AW188" i="44"/>
  <c r="AW159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R166" i="44"/>
  <c r="AR165" i="44"/>
  <c r="AR164" i="44"/>
  <c r="AR163" i="44"/>
  <c r="AR162" i="44"/>
  <c r="AR161" i="44"/>
  <c r="AR160" i="44"/>
  <c r="AR159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M162" i="44"/>
  <c r="AM161" i="44"/>
  <c r="AM160" i="44"/>
  <c r="AM159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H166" i="44"/>
  <c r="AH165" i="44"/>
  <c r="AH164" i="44"/>
  <c r="AH163" i="44"/>
  <c r="AH162" i="44"/>
  <c r="AH161" i="44"/>
  <c r="AH160" i="44"/>
  <c r="AH159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AC166" i="44"/>
  <c r="AC165" i="44"/>
  <c r="AC164" i="44"/>
  <c r="AC163" i="44"/>
  <c r="AC162" i="44"/>
  <c r="AC161" i="44"/>
  <c r="AC160" i="44"/>
  <c r="AC159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X166" i="44"/>
  <c r="X165" i="44"/>
  <c r="X164" i="44"/>
  <c r="X163" i="44"/>
  <c r="X162" i="44"/>
  <c r="X161" i="44"/>
  <c r="X160" i="44"/>
  <c r="X159" i="44"/>
  <c r="S160" i="44"/>
  <c r="S161" i="44"/>
  <c r="S162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59" i="44"/>
  <c r="AV188" i="44"/>
  <c r="J188" i="44"/>
  <c r="I188" i="44"/>
  <c r="G188" i="44"/>
  <c r="AV187" i="44"/>
  <c r="AQ187" i="44"/>
  <c r="AL187" i="44"/>
  <c r="AG187" i="44"/>
  <c r="AB187" i="44"/>
  <c r="W187" i="44"/>
  <c r="K187" i="44" s="1"/>
  <c r="R187" i="44"/>
  <c r="J187" i="44"/>
  <c r="I187" i="44"/>
  <c r="G187" i="44"/>
  <c r="AV186" i="44"/>
  <c r="AQ186" i="44"/>
  <c r="AL186" i="44"/>
  <c r="AG186" i="44"/>
  <c r="AB186" i="44"/>
  <c r="W186" i="44"/>
  <c r="R186" i="44"/>
  <c r="K186" i="44" s="1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K184" i="44" s="1"/>
  <c r="R184" i="44"/>
  <c r="J184" i="44"/>
  <c r="I184" i="44"/>
  <c r="G184" i="44"/>
  <c r="AV183" i="44"/>
  <c r="AQ183" i="44"/>
  <c r="AL183" i="44"/>
  <c r="AG183" i="44"/>
  <c r="AB183" i="44"/>
  <c r="W183" i="44"/>
  <c r="R183" i="44"/>
  <c r="K183" i="44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/>
  <c r="J181" i="44"/>
  <c r="I181" i="44"/>
  <c r="G181" i="44"/>
  <c r="AV180" i="44"/>
  <c r="AQ180" i="44"/>
  <c r="AL180" i="44"/>
  <c r="AG180" i="44"/>
  <c r="AB180" i="44"/>
  <c r="W180" i="44"/>
  <c r="R180" i="44"/>
  <c r="J180" i="44"/>
  <c r="I180" i="44"/>
  <c r="G180" i="44"/>
  <c r="AV179" i="44"/>
  <c r="AQ179" i="44"/>
  <c r="AL179" i="44"/>
  <c r="AG179" i="44"/>
  <c r="AB179" i="44"/>
  <c r="W179" i="44"/>
  <c r="R179" i="44"/>
  <c r="K179" i="44" s="1"/>
  <c r="J179" i="44"/>
  <c r="I179" i="44"/>
  <c r="G179" i="44"/>
  <c r="AV178" i="44"/>
  <c r="AQ178" i="44"/>
  <c r="AL178" i="44"/>
  <c r="AG178" i="44"/>
  <c r="AB178" i="44"/>
  <c r="W178" i="44"/>
  <c r="R178" i="44"/>
  <c r="K178" i="44"/>
  <c r="J178" i="44"/>
  <c r="I178" i="44"/>
  <c r="G178" i="44"/>
  <c r="AV177" i="44"/>
  <c r="AQ177" i="44"/>
  <c r="AL177" i="44"/>
  <c r="AG177" i="44"/>
  <c r="AB177" i="44"/>
  <c r="W177" i="44"/>
  <c r="R177" i="44"/>
  <c r="K177" i="44"/>
  <c r="J177" i="44"/>
  <c r="I177" i="44"/>
  <c r="G177" i="44"/>
  <c r="AV176" i="44"/>
  <c r="AQ176" i="44"/>
  <c r="K176" i="44" s="1"/>
  <c r="AL176" i="44"/>
  <c r="AG176" i="44"/>
  <c r="AB176" i="44"/>
  <c r="W176" i="44"/>
  <c r="R176" i="44"/>
  <c r="J176" i="44"/>
  <c r="I176" i="44"/>
  <c r="G176" i="44"/>
  <c r="AV175" i="44"/>
  <c r="AQ175" i="44"/>
  <c r="K175" i="44" s="1"/>
  <c r="AL175" i="44"/>
  <c r="AG175" i="44"/>
  <c r="AB175" i="44"/>
  <c r="W175" i="44"/>
  <c r="R175" i="44"/>
  <c r="J175" i="44"/>
  <c r="I175" i="44"/>
  <c r="G175" i="44"/>
  <c r="AV174" i="44"/>
  <c r="AQ174" i="44"/>
  <c r="AL174" i="44"/>
  <c r="AG174" i="44"/>
  <c r="AB174" i="44"/>
  <c r="W174" i="44"/>
  <c r="R174" i="44"/>
  <c r="K174" i="44"/>
  <c r="J174" i="44"/>
  <c r="I174" i="44"/>
  <c r="G174" i="44"/>
  <c r="AV173" i="44"/>
  <c r="AQ173" i="44"/>
  <c r="AL173" i="44"/>
  <c r="K173" i="44" s="1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K171" i="44" s="1"/>
  <c r="AB171" i="44"/>
  <c r="W171" i="44"/>
  <c r="R171" i="44"/>
  <c r="J171" i="44"/>
  <c r="I171" i="44"/>
  <c r="G171" i="44"/>
  <c r="AV170" i="44"/>
  <c r="AQ170" i="44"/>
  <c r="AL170" i="44"/>
  <c r="AG170" i="44"/>
  <c r="AB170" i="44"/>
  <c r="K170" i="44" s="1"/>
  <c r="W170" i="44"/>
  <c r="R170" i="44"/>
  <c r="J170" i="44"/>
  <c r="I170" i="44"/>
  <c r="G170" i="44"/>
  <c r="AV169" i="44"/>
  <c r="AQ169" i="44"/>
  <c r="AL169" i="44"/>
  <c r="AG169" i="44"/>
  <c r="AB169" i="44"/>
  <c r="K169" i="44" s="1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K165" i="44" s="1"/>
  <c r="J165" i="44"/>
  <c r="I165" i="44"/>
  <c r="G165" i="44"/>
  <c r="AV164" i="44"/>
  <c r="AQ164" i="44"/>
  <c r="AL164" i="44"/>
  <c r="AG164" i="44"/>
  <c r="AB164" i="44"/>
  <c r="W164" i="44"/>
  <c r="R164" i="44"/>
  <c r="K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K162" i="44" s="1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K160" i="44"/>
  <c r="J160" i="44"/>
  <c r="I160" i="44"/>
  <c r="G160" i="44"/>
  <c r="AV159" i="44"/>
  <c r="AQ159" i="44"/>
  <c r="AL159" i="44"/>
  <c r="AG159" i="44"/>
  <c r="AI159" i="44" s="1"/>
  <c r="AB159" i="44"/>
  <c r="W159" i="44"/>
  <c r="Y159" i="44" s="1"/>
  <c r="R159" i="44"/>
  <c r="K159" i="44" s="1"/>
  <c r="J159" i="44"/>
  <c r="I159" i="44"/>
  <c r="G159" i="44"/>
  <c r="B35" i="6"/>
  <c r="AC41" i="6"/>
  <c r="S41" i="6"/>
  <c r="M41" i="6"/>
  <c r="F41" i="6"/>
  <c r="AC40" i="6"/>
  <c r="S40" i="6"/>
  <c r="M40" i="6"/>
  <c r="F40" i="6"/>
  <c r="AJ40" i="6" s="1"/>
  <c r="AC39" i="6"/>
  <c r="S39" i="6"/>
  <c r="M39" i="6"/>
  <c r="F39" i="6"/>
  <c r="AC38" i="6"/>
  <c r="S38" i="6"/>
  <c r="M38" i="6"/>
  <c r="F38" i="6"/>
  <c r="AC37" i="6"/>
  <c r="S37" i="6"/>
  <c r="M37" i="6"/>
  <c r="F37" i="6"/>
  <c r="J37" i="6" s="1"/>
  <c r="AC36" i="6"/>
  <c r="S36" i="6"/>
  <c r="M36" i="6"/>
  <c r="F36" i="6"/>
  <c r="AC35" i="6"/>
  <c r="S35" i="6"/>
  <c r="M35" i="6"/>
  <c r="F35" i="6"/>
  <c r="B35" i="7"/>
  <c r="AC41" i="7"/>
  <c r="AD41" i="7" s="1"/>
  <c r="S41" i="7"/>
  <c r="M41" i="7"/>
  <c r="F41" i="7"/>
  <c r="AC40" i="7"/>
  <c r="AD40" i="7" s="1"/>
  <c r="S40" i="7"/>
  <c r="T40" i="7" s="1"/>
  <c r="M40" i="7"/>
  <c r="N40" i="7" s="1"/>
  <c r="F40" i="7"/>
  <c r="AC39" i="7"/>
  <c r="S39" i="7"/>
  <c r="M39" i="7"/>
  <c r="F39" i="7"/>
  <c r="AC38" i="7"/>
  <c r="S38" i="7"/>
  <c r="M38" i="7"/>
  <c r="F38" i="7"/>
  <c r="AC37" i="7"/>
  <c r="AD37" i="7" s="1"/>
  <c r="S37" i="7"/>
  <c r="M37" i="7"/>
  <c r="F37" i="7"/>
  <c r="AC36" i="7"/>
  <c r="AD36" i="7" s="1"/>
  <c r="S36" i="7"/>
  <c r="T36" i="7" s="1"/>
  <c r="M36" i="7"/>
  <c r="N36" i="7" s="1"/>
  <c r="F36" i="7"/>
  <c r="AC35" i="7"/>
  <c r="S35" i="7"/>
  <c r="M35" i="7"/>
  <c r="F35" i="7"/>
  <c r="U35" i="5"/>
  <c r="U36" i="5"/>
  <c r="U37" i="5"/>
  <c r="U38" i="5"/>
  <c r="U39" i="5"/>
  <c r="U34" i="5"/>
  <c r="U33" i="5"/>
  <c r="AI87" i="52" l="1"/>
  <c r="K87" i="51"/>
  <c r="AX87" i="51"/>
  <c r="AS87" i="51"/>
  <c r="AS87" i="49"/>
  <c r="T87" i="49"/>
  <c r="K90" i="49"/>
  <c r="K89" i="49"/>
  <c r="AD87" i="49"/>
  <c r="AI87" i="49"/>
  <c r="T87" i="48"/>
  <c r="Y87" i="48"/>
  <c r="K94" i="48"/>
  <c r="K93" i="48"/>
  <c r="K92" i="48"/>
  <c r="AR87" i="48"/>
  <c r="L87" i="47"/>
  <c r="T87" i="47"/>
  <c r="T87" i="46"/>
  <c r="AN87" i="46"/>
  <c r="K87" i="46"/>
  <c r="AS87" i="46"/>
  <c r="Y87" i="46"/>
  <c r="K88" i="45"/>
  <c r="K87" i="45"/>
  <c r="K90" i="45"/>
  <c r="K89" i="45"/>
  <c r="AC87" i="45"/>
  <c r="AH87" i="45"/>
  <c r="H159" i="44"/>
  <c r="T159" i="44"/>
  <c r="AD159" i="44"/>
  <c r="K163" i="44"/>
  <c r="K185" i="44"/>
  <c r="K180" i="44"/>
  <c r="AS159" i="44"/>
  <c r="K161" i="44"/>
  <c r="K172" i="44"/>
  <c r="K167" i="44"/>
  <c r="AX159" i="44"/>
  <c r="K166" i="44"/>
  <c r="AN159" i="44"/>
  <c r="K168" i="44"/>
  <c r="K188" i="44"/>
  <c r="AL39" i="6"/>
  <c r="AH39" i="6"/>
  <c r="AF39" i="6"/>
  <c r="AB39" i="6"/>
  <c r="Z39" i="6"/>
  <c r="X39" i="6"/>
  <c r="V39" i="6"/>
  <c r="R39" i="6"/>
  <c r="P39" i="6"/>
  <c r="L39" i="6"/>
  <c r="AL35" i="6"/>
  <c r="AH35" i="6"/>
  <c r="AF35" i="6"/>
  <c r="AB35" i="6"/>
  <c r="Z35" i="6"/>
  <c r="X35" i="6"/>
  <c r="V35" i="6"/>
  <c r="R35" i="6"/>
  <c r="P35" i="6"/>
  <c r="L35" i="6"/>
  <c r="AJ37" i="6"/>
  <c r="J39" i="6"/>
  <c r="N39" i="6"/>
  <c r="T39" i="6"/>
  <c r="AD39" i="6"/>
  <c r="AJ39" i="6"/>
  <c r="N37" i="6"/>
  <c r="T37" i="6"/>
  <c r="AD37" i="6"/>
  <c r="G35" i="6"/>
  <c r="J35" i="6"/>
  <c r="AL36" i="6"/>
  <c r="AH36" i="6"/>
  <c r="AF36" i="6"/>
  <c r="AB36" i="6"/>
  <c r="Z36" i="6"/>
  <c r="X36" i="6"/>
  <c r="V36" i="6"/>
  <c r="R36" i="6"/>
  <c r="P36" i="6"/>
  <c r="L36" i="6"/>
  <c r="N36" i="6"/>
  <c r="T36" i="6"/>
  <c r="AD36" i="6"/>
  <c r="AJ36" i="6"/>
  <c r="AL40" i="6"/>
  <c r="AH40" i="6"/>
  <c r="AF40" i="6"/>
  <c r="AB40" i="6"/>
  <c r="Z40" i="6"/>
  <c r="X40" i="6"/>
  <c r="V40" i="6"/>
  <c r="R40" i="6"/>
  <c r="P40" i="6"/>
  <c r="L40" i="6"/>
  <c r="J40" i="6"/>
  <c r="N40" i="6"/>
  <c r="T40" i="6"/>
  <c r="AL38" i="6"/>
  <c r="AH38" i="6"/>
  <c r="AF38" i="6"/>
  <c r="AB38" i="6"/>
  <c r="Z38" i="6"/>
  <c r="X38" i="6"/>
  <c r="V38" i="6"/>
  <c r="R38" i="6"/>
  <c r="P38" i="6"/>
  <c r="L38" i="6"/>
  <c r="N35" i="6"/>
  <c r="J38" i="6"/>
  <c r="J36" i="6"/>
  <c r="AL37" i="6"/>
  <c r="AH37" i="6"/>
  <c r="AF37" i="6"/>
  <c r="AB37" i="6"/>
  <c r="Z37" i="6"/>
  <c r="X37" i="6"/>
  <c r="V37" i="6"/>
  <c r="R37" i="6"/>
  <c r="P37" i="6"/>
  <c r="L37" i="6"/>
  <c r="AD40" i="6"/>
  <c r="AL41" i="6"/>
  <c r="AH41" i="6"/>
  <c r="AF41" i="6"/>
  <c r="AB41" i="6"/>
  <c r="Z41" i="6"/>
  <c r="X41" i="6"/>
  <c r="V41" i="6"/>
  <c r="R41" i="6"/>
  <c r="P41" i="6"/>
  <c r="L41" i="6"/>
  <c r="J41" i="6"/>
  <c r="T35" i="6"/>
  <c r="N38" i="6"/>
  <c r="N41" i="6"/>
  <c r="AD35" i="6"/>
  <c r="T38" i="6"/>
  <c r="T41" i="6"/>
  <c r="AJ35" i="6"/>
  <c r="AD38" i="6"/>
  <c r="AD41" i="6"/>
  <c r="AJ38" i="6"/>
  <c r="AJ41" i="6"/>
  <c r="N38" i="7"/>
  <c r="T38" i="7"/>
  <c r="AD38" i="7"/>
  <c r="AL35" i="7"/>
  <c r="AJ35" i="7"/>
  <c r="AH35" i="7"/>
  <c r="AF35" i="7"/>
  <c r="AB35" i="7"/>
  <c r="Z35" i="7"/>
  <c r="V35" i="7"/>
  <c r="R35" i="7"/>
  <c r="J35" i="7"/>
  <c r="X35" i="7"/>
  <c r="P35" i="7"/>
  <c r="L35" i="7"/>
  <c r="G35" i="7"/>
  <c r="AL39" i="7"/>
  <c r="AJ39" i="7"/>
  <c r="AH39" i="7"/>
  <c r="AF39" i="7"/>
  <c r="AB39" i="7"/>
  <c r="Z39" i="7"/>
  <c r="V39" i="7"/>
  <c r="R39" i="7"/>
  <c r="P39" i="7"/>
  <c r="J39" i="7"/>
  <c r="X39" i="7"/>
  <c r="L39" i="7"/>
  <c r="N35" i="7"/>
  <c r="N39" i="7"/>
  <c r="T35" i="7"/>
  <c r="T39" i="7"/>
  <c r="AD35" i="7"/>
  <c r="AD39" i="7"/>
  <c r="AL36" i="7"/>
  <c r="AJ36" i="7"/>
  <c r="AH36" i="7"/>
  <c r="AF36" i="7"/>
  <c r="AB36" i="7"/>
  <c r="Z36" i="7"/>
  <c r="X36" i="7"/>
  <c r="V36" i="7"/>
  <c r="R36" i="7"/>
  <c r="P36" i="7"/>
  <c r="L36" i="7"/>
  <c r="J36" i="7"/>
  <c r="AL40" i="7"/>
  <c r="AJ40" i="7"/>
  <c r="AH40" i="7"/>
  <c r="AF40" i="7"/>
  <c r="AB40" i="7"/>
  <c r="Z40" i="7"/>
  <c r="X40" i="7"/>
  <c r="V40" i="7"/>
  <c r="P40" i="7"/>
  <c r="L40" i="7"/>
  <c r="J40" i="7"/>
  <c r="R40" i="7"/>
  <c r="AL38" i="7"/>
  <c r="AJ38" i="7"/>
  <c r="AH38" i="7"/>
  <c r="AF38" i="7"/>
  <c r="AB38" i="7"/>
  <c r="Z38" i="7"/>
  <c r="X38" i="7"/>
  <c r="V38" i="7"/>
  <c r="J38" i="7"/>
  <c r="R38" i="7"/>
  <c r="P38" i="7"/>
  <c r="L38" i="7"/>
  <c r="AL37" i="7"/>
  <c r="AJ37" i="7"/>
  <c r="AH37" i="7"/>
  <c r="AF37" i="7"/>
  <c r="AB37" i="7"/>
  <c r="Z37" i="7"/>
  <c r="V37" i="7"/>
  <c r="R37" i="7"/>
  <c r="P37" i="7"/>
  <c r="J37" i="7"/>
  <c r="X37" i="7"/>
  <c r="L37" i="7"/>
  <c r="AL41" i="7"/>
  <c r="AJ41" i="7"/>
  <c r="AH41" i="7"/>
  <c r="AF41" i="7"/>
  <c r="AB41" i="7"/>
  <c r="Z41" i="7"/>
  <c r="V41" i="7"/>
  <c r="R41" i="7"/>
  <c r="X41" i="7"/>
  <c r="P41" i="7"/>
  <c r="L41" i="7"/>
  <c r="J41" i="7"/>
  <c r="N37" i="7"/>
  <c r="N41" i="7"/>
  <c r="T37" i="7"/>
  <c r="T41" i="7"/>
  <c r="L87" i="51" l="1"/>
  <c r="L87" i="49"/>
  <c r="L87" i="48"/>
  <c r="L87" i="46"/>
  <c r="L87" i="45"/>
  <c r="L159" i="44"/>
  <c r="AB103" i="63" l="1"/>
  <c r="D33" i="56"/>
  <c r="D34" i="56"/>
  <c r="D35" i="56"/>
  <c r="D36" i="56"/>
  <c r="D37" i="56"/>
  <c r="D38" i="56"/>
  <c r="F33" i="56"/>
  <c r="F34" i="56"/>
  <c r="F35" i="56"/>
  <c r="F36" i="56"/>
  <c r="F37" i="56"/>
  <c r="F38" i="56"/>
  <c r="H33" i="56"/>
  <c r="H34" i="56"/>
  <c r="H35" i="56"/>
  <c r="H36" i="56"/>
  <c r="H37" i="56"/>
  <c r="H38" i="56"/>
  <c r="J33" i="56"/>
  <c r="J34" i="56"/>
  <c r="J35" i="56"/>
  <c r="J36" i="56"/>
  <c r="J37" i="56"/>
  <c r="J38" i="56"/>
  <c r="L35" i="56"/>
  <c r="L36" i="56"/>
  <c r="L37" i="56"/>
  <c r="L38" i="56"/>
  <c r="M32" i="56"/>
  <c r="AA118" i="63"/>
  <c r="AA118" i="64"/>
  <c r="B10" i="40" l="1"/>
  <c r="B9" i="40"/>
  <c r="Z3" i="56"/>
  <c r="W3" i="56"/>
  <c r="N32" i="56"/>
  <c r="L32" i="56"/>
  <c r="L33" i="56"/>
  <c r="L34" i="56"/>
  <c r="J32" i="56"/>
  <c r="H32" i="56"/>
  <c r="F32" i="56"/>
  <c r="D32" i="56"/>
  <c r="B36" i="39" l="1"/>
  <c r="B35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 l="1"/>
  <c r="H23" i="13" l="1"/>
  <c r="H22" i="13"/>
  <c r="H21" i="13"/>
  <c r="H20" i="13"/>
  <c r="H19" i="13"/>
  <c r="H18" i="13"/>
  <c r="H17" i="13"/>
  <c r="H16" i="13"/>
  <c r="H15" i="13"/>
  <c r="H12" i="6"/>
  <c r="B23" i="13"/>
  <c r="B22" i="13"/>
  <c r="B21" i="13"/>
  <c r="B20" i="13"/>
  <c r="B19" i="13"/>
  <c r="B18" i="13"/>
  <c r="B17" i="13"/>
  <c r="B16" i="13"/>
  <c r="B15" i="13"/>
  <c r="H12" i="7"/>
  <c r="K210" i="62" l="1"/>
  <c r="M225" i="62"/>
  <c r="M224" i="62"/>
  <c r="M223" i="62"/>
  <c r="M222" i="62"/>
  <c r="M221" i="62"/>
  <c r="M226" i="62" s="1"/>
  <c r="K226" i="62" s="1"/>
  <c r="M217" i="62"/>
  <c r="M216" i="62"/>
  <c r="M215" i="62"/>
  <c r="M214" i="62"/>
  <c r="M213" i="62"/>
  <c r="M218" i="62" s="1"/>
  <c r="K218" i="62" s="1"/>
  <c r="M209" i="62"/>
  <c r="M208" i="62"/>
  <c r="M207" i="62"/>
  <c r="M206" i="62"/>
  <c r="M205" i="62"/>
  <c r="K202" i="20"/>
  <c r="K218" i="20"/>
  <c r="K194" i="20"/>
  <c r="M218" i="20"/>
  <c r="M215" i="20"/>
  <c r="M214" i="20"/>
  <c r="M213" i="20"/>
  <c r="M205" i="20"/>
  <c r="M210" i="20" s="1"/>
  <c r="K210" i="20" s="1"/>
  <c r="M201" i="20"/>
  <c r="M200" i="20"/>
  <c r="M199" i="20"/>
  <c r="M198" i="20"/>
  <c r="M197" i="20"/>
  <c r="M202" i="20" s="1"/>
  <c r="M193" i="20"/>
  <c r="M192" i="20"/>
  <c r="M191" i="20"/>
  <c r="M194" i="20" s="1"/>
  <c r="M190" i="20"/>
  <c r="M189" i="20"/>
  <c r="K218" i="19"/>
  <c r="M225" i="19"/>
  <c r="M224" i="19"/>
  <c r="M223" i="19"/>
  <c r="M222" i="19"/>
  <c r="M221" i="19"/>
  <c r="M226" i="19" s="1"/>
  <c r="K226" i="19" s="1"/>
  <c r="M217" i="19"/>
  <c r="M216" i="19"/>
  <c r="M215" i="19"/>
  <c r="M214" i="19"/>
  <c r="M213" i="19"/>
  <c r="M218" i="19" s="1"/>
  <c r="M209" i="19"/>
  <c r="M208" i="19"/>
  <c r="M207" i="19"/>
  <c r="M206" i="19"/>
  <c r="M205" i="19"/>
  <c r="M210" i="19" s="1"/>
  <c r="K210" i="19" s="1"/>
  <c r="M210" i="62" l="1"/>
  <c r="C43" i="41" l="1"/>
  <c r="C42" i="41"/>
  <c r="L24" i="56"/>
  <c r="L25" i="56"/>
  <c r="L26" i="56"/>
  <c r="L27" i="56"/>
  <c r="L28" i="56"/>
  <c r="L29" i="56"/>
  <c r="L30" i="56"/>
  <c r="L31" i="56"/>
  <c r="J24" i="56"/>
  <c r="J25" i="56"/>
  <c r="J26" i="56"/>
  <c r="J27" i="56"/>
  <c r="J28" i="56"/>
  <c r="J29" i="56"/>
  <c r="J30" i="56"/>
  <c r="J31" i="56"/>
  <c r="H24" i="56"/>
  <c r="H25" i="56"/>
  <c r="H26" i="56"/>
  <c r="H27" i="56"/>
  <c r="H28" i="56"/>
  <c r="H29" i="56"/>
  <c r="H30" i="56"/>
  <c r="H31" i="56"/>
  <c r="F24" i="56"/>
  <c r="F25" i="56"/>
  <c r="F26" i="56"/>
  <c r="F27" i="56"/>
  <c r="F28" i="56"/>
  <c r="F29" i="56"/>
  <c r="F30" i="56"/>
  <c r="F31" i="56"/>
  <c r="D25" i="56"/>
  <c r="D26" i="56"/>
  <c r="D27" i="56"/>
  <c r="D28" i="56"/>
  <c r="D29" i="56"/>
  <c r="D30" i="56"/>
  <c r="D31" i="56"/>
  <c r="J87" i="25"/>
  <c r="J86" i="25"/>
  <c r="B86" i="25"/>
  <c r="A86" i="25"/>
  <c r="J98" i="24"/>
  <c r="J97" i="24"/>
  <c r="J105" i="23"/>
  <c r="J104" i="23"/>
  <c r="J103" i="23"/>
  <c r="J102" i="23"/>
  <c r="J101" i="23"/>
  <c r="J100" i="23"/>
  <c r="J99" i="23"/>
  <c r="J98" i="23"/>
  <c r="J97" i="23"/>
  <c r="J93" i="23"/>
  <c r="J92" i="23"/>
  <c r="J91" i="23"/>
  <c r="J90" i="23"/>
  <c r="J89" i="23"/>
  <c r="J88" i="23"/>
  <c r="J87" i="23"/>
  <c r="J86" i="23"/>
  <c r="J97" i="22"/>
  <c r="J86" i="22"/>
  <c r="J104" i="15"/>
  <c r="J103" i="15"/>
  <c r="J102" i="15"/>
  <c r="J101" i="15"/>
  <c r="J100" i="15"/>
  <c r="J99" i="15"/>
  <c r="J98" i="15"/>
  <c r="J97" i="15"/>
  <c r="J94" i="15"/>
  <c r="J93" i="15"/>
  <c r="J92" i="15"/>
  <c r="J91" i="15"/>
  <c r="J90" i="15"/>
  <c r="J89" i="15"/>
  <c r="J88" i="15"/>
  <c r="J87" i="15"/>
  <c r="AW68" i="52"/>
  <c r="AW67" i="52"/>
  <c r="AR68" i="52"/>
  <c r="AR67" i="52"/>
  <c r="AM68" i="52"/>
  <c r="AM67" i="52"/>
  <c r="AH68" i="52"/>
  <c r="AH67" i="52"/>
  <c r="AC68" i="52"/>
  <c r="AC67" i="52"/>
  <c r="X68" i="52"/>
  <c r="X67" i="52"/>
  <c r="S68" i="52"/>
  <c r="S67" i="52"/>
  <c r="M68" i="52"/>
  <c r="M67" i="52"/>
  <c r="AV68" i="52"/>
  <c r="AQ68" i="52"/>
  <c r="AL68" i="52"/>
  <c r="AG68" i="52"/>
  <c r="AB68" i="52"/>
  <c r="W68" i="52"/>
  <c r="R68" i="52"/>
  <c r="K68" i="52"/>
  <c r="J68" i="52"/>
  <c r="I68" i="52"/>
  <c r="G68" i="52"/>
  <c r="AX67" i="52"/>
  <c r="AV67" i="52"/>
  <c r="AQ67" i="52"/>
  <c r="AS67" i="52" s="1"/>
  <c r="AL67" i="52"/>
  <c r="AN67" i="52" s="1"/>
  <c r="AG67" i="52"/>
  <c r="AB67" i="52"/>
  <c r="AD67" i="52" s="1"/>
  <c r="W67" i="52"/>
  <c r="Y67" i="52" s="1"/>
  <c r="T67" i="52"/>
  <c r="R67" i="52"/>
  <c r="K67" i="52" s="1"/>
  <c r="J67" i="52"/>
  <c r="I67" i="52"/>
  <c r="G67" i="52"/>
  <c r="H67" i="52" s="1"/>
  <c r="AW68" i="51"/>
  <c r="AW67" i="51"/>
  <c r="AR68" i="51"/>
  <c r="AR67" i="51"/>
  <c r="AM68" i="51"/>
  <c r="AM67" i="51"/>
  <c r="AH68" i="51"/>
  <c r="AH67" i="51"/>
  <c r="AC68" i="51"/>
  <c r="AC67" i="51"/>
  <c r="X68" i="51"/>
  <c r="X67" i="51"/>
  <c r="S68" i="51"/>
  <c r="S67" i="51"/>
  <c r="M68" i="51"/>
  <c r="M67" i="51"/>
  <c r="AV68" i="51"/>
  <c r="AQ68" i="51"/>
  <c r="AL68" i="51"/>
  <c r="AG68" i="51"/>
  <c r="AB68" i="51"/>
  <c r="W68" i="51"/>
  <c r="R68" i="51"/>
  <c r="K68" i="51"/>
  <c r="J68" i="51"/>
  <c r="I68" i="51"/>
  <c r="G68" i="51"/>
  <c r="AX67" i="51"/>
  <c r="AV67" i="51"/>
  <c r="AQ67" i="51"/>
  <c r="AS67" i="51" s="1"/>
  <c r="AL67" i="51"/>
  <c r="AN67" i="51" s="1"/>
  <c r="AG67" i="51"/>
  <c r="AI67" i="51" s="1"/>
  <c r="AB67" i="51"/>
  <c r="AD67" i="51" s="1"/>
  <c r="W67" i="51"/>
  <c r="R67" i="51"/>
  <c r="K67" i="51" s="1"/>
  <c r="J67" i="51"/>
  <c r="I67" i="51"/>
  <c r="G67" i="51"/>
  <c r="H67" i="51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K67" i="49" s="1"/>
  <c r="AL67" i="49"/>
  <c r="AG67" i="49"/>
  <c r="AI67" i="49" s="1"/>
  <c r="AB67" i="49"/>
  <c r="W67" i="49"/>
  <c r="Y67" i="49" s="1"/>
  <c r="R67" i="49"/>
  <c r="T67" i="49" s="1"/>
  <c r="J67" i="49"/>
  <c r="I67" i="49"/>
  <c r="G67" i="49"/>
  <c r="H67" i="49" s="1"/>
  <c r="AW74" i="48"/>
  <c r="AW73" i="48"/>
  <c r="AW72" i="48"/>
  <c r="AW71" i="48"/>
  <c r="AW70" i="48"/>
  <c r="AW69" i="48"/>
  <c r="AW68" i="48"/>
  <c r="AW67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67" i="48"/>
  <c r="AV74" i="48"/>
  <c r="AQ74" i="48"/>
  <c r="AL74" i="48"/>
  <c r="AG74" i="48"/>
  <c r="AB74" i="48"/>
  <c r="W74" i="48"/>
  <c r="R74" i="48"/>
  <c r="K74" i="48"/>
  <c r="J74" i="48"/>
  <c r="I74" i="48"/>
  <c r="G74" i="48"/>
  <c r="AV73" i="48"/>
  <c r="K73" i="48" s="1"/>
  <c r="AQ73" i="48"/>
  <c r="AL73" i="48"/>
  <c r="AG73" i="48"/>
  <c r="AB73" i="48"/>
  <c r="W73" i="48"/>
  <c r="R73" i="48"/>
  <c r="J73" i="48"/>
  <c r="I73" i="48"/>
  <c r="G73" i="48"/>
  <c r="AV72" i="48"/>
  <c r="K72" i="48" s="1"/>
  <c r="AQ72" i="48"/>
  <c r="AL72" i="48"/>
  <c r="AG72" i="48"/>
  <c r="AB72" i="48"/>
  <c r="W72" i="48"/>
  <c r="R72" i="48"/>
  <c r="J72" i="48"/>
  <c r="I72" i="48"/>
  <c r="G72" i="48"/>
  <c r="AV71" i="48"/>
  <c r="AQ71" i="48"/>
  <c r="K71" i="48" s="1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K69" i="48" s="1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S67" i="48" s="1"/>
  <c r="AN67" i="48"/>
  <c r="AL67" i="48"/>
  <c r="AG67" i="48"/>
  <c r="AB67" i="48"/>
  <c r="AD67" i="48" s="1"/>
  <c r="W67" i="48"/>
  <c r="R67" i="48"/>
  <c r="T67" i="48" s="1"/>
  <c r="J67" i="48"/>
  <c r="I67" i="48"/>
  <c r="H67" i="48"/>
  <c r="G67" i="48"/>
  <c r="AW67" i="47"/>
  <c r="AR67" i="47"/>
  <c r="AM67" i="47"/>
  <c r="AH67" i="47"/>
  <c r="AC67" i="47"/>
  <c r="X67" i="47"/>
  <c r="S67" i="47"/>
  <c r="M67" i="47"/>
  <c r="AV67" i="47"/>
  <c r="AX67" i="47" s="1"/>
  <c r="AS67" i="47"/>
  <c r="AQ67" i="47"/>
  <c r="AL67" i="47"/>
  <c r="AN67" i="47" s="1"/>
  <c r="AG67" i="47"/>
  <c r="AB67" i="47"/>
  <c r="AD67" i="47" s="1"/>
  <c r="W67" i="47"/>
  <c r="K67" i="47" s="1"/>
  <c r="T67" i="47"/>
  <c r="R67" i="47"/>
  <c r="J67" i="47"/>
  <c r="I67" i="47"/>
  <c r="H67" i="47"/>
  <c r="G67" i="47"/>
  <c r="AW67" i="46"/>
  <c r="AR67" i="46"/>
  <c r="AS67" i="46"/>
  <c r="AM67" i="46"/>
  <c r="AH67" i="46"/>
  <c r="AC67" i="46"/>
  <c r="X67" i="46"/>
  <c r="S67" i="46"/>
  <c r="M67" i="46"/>
  <c r="AX67" i="46"/>
  <c r="AV67" i="46"/>
  <c r="AQ67" i="46"/>
  <c r="AN67" i="46"/>
  <c r="AL67" i="46"/>
  <c r="AG67" i="46"/>
  <c r="AI67" i="46" s="1"/>
  <c r="AB67" i="46"/>
  <c r="AD67" i="46" s="1"/>
  <c r="W67" i="46"/>
  <c r="Y67" i="46" s="1"/>
  <c r="R67" i="46"/>
  <c r="K67" i="46" s="1"/>
  <c r="J67" i="46"/>
  <c r="I67" i="46"/>
  <c r="G67" i="46"/>
  <c r="H67" i="46" s="1"/>
  <c r="AW74" i="45"/>
  <c r="AW73" i="45"/>
  <c r="AW72" i="45"/>
  <c r="AW71" i="45"/>
  <c r="AW70" i="45"/>
  <c r="AW69" i="45"/>
  <c r="AW68" i="45"/>
  <c r="AW67" i="45"/>
  <c r="AR74" i="45"/>
  <c r="AR73" i="45"/>
  <c r="AR72" i="45"/>
  <c r="AR71" i="45"/>
  <c r="AR70" i="45"/>
  <c r="AR69" i="45"/>
  <c r="AR68" i="45"/>
  <c r="AR67" i="45"/>
  <c r="AM74" i="45"/>
  <c r="AM73" i="45"/>
  <c r="AM72" i="45"/>
  <c r="AM71" i="45"/>
  <c r="AM70" i="45"/>
  <c r="AM69" i="45"/>
  <c r="AM68" i="45"/>
  <c r="AM67" i="45"/>
  <c r="AH74" i="45"/>
  <c r="AH73" i="45"/>
  <c r="AH72" i="45"/>
  <c r="AH71" i="45"/>
  <c r="AH70" i="45"/>
  <c r="AH69" i="45"/>
  <c r="AH68" i="45"/>
  <c r="AH67" i="45"/>
  <c r="AC74" i="45"/>
  <c r="AC73" i="45"/>
  <c r="AC72" i="45"/>
  <c r="AC71" i="45"/>
  <c r="AC70" i="45"/>
  <c r="AC69" i="45"/>
  <c r="AC68" i="45"/>
  <c r="AC67" i="45"/>
  <c r="X74" i="45"/>
  <c r="X73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67" i="45"/>
  <c r="M68" i="45"/>
  <c r="M69" i="45"/>
  <c r="M70" i="45"/>
  <c r="M71" i="45"/>
  <c r="M72" i="45"/>
  <c r="M73" i="45"/>
  <c r="M74" i="45"/>
  <c r="M67" i="45"/>
  <c r="AV74" i="45"/>
  <c r="AQ74" i="45"/>
  <c r="AL74" i="45"/>
  <c r="AG74" i="45"/>
  <c r="AB74" i="45"/>
  <c r="W74" i="45"/>
  <c r="R74" i="45"/>
  <c r="K74" i="45"/>
  <c r="J74" i="45"/>
  <c r="I74" i="45"/>
  <c r="G74" i="45"/>
  <c r="AV73" i="45"/>
  <c r="AQ73" i="45"/>
  <c r="AL73" i="45"/>
  <c r="AG73" i="45"/>
  <c r="AB73" i="45"/>
  <c r="W73" i="45"/>
  <c r="R73" i="45"/>
  <c r="K73" i="45"/>
  <c r="J73" i="45"/>
  <c r="I73" i="45"/>
  <c r="G73" i="45"/>
  <c r="AV72" i="45"/>
  <c r="K72" i="45" s="1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K70" i="45" s="1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K68" i="45" s="1"/>
  <c r="AG68" i="45"/>
  <c r="AB68" i="45"/>
  <c r="W68" i="45"/>
  <c r="R68" i="45"/>
  <c r="J68" i="45"/>
  <c r="I68" i="45"/>
  <c r="G68" i="45"/>
  <c r="AV67" i="45"/>
  <c r="AX67" i="45" s="1"/>
  <c r="AQ67" i="45"/>
  <c r="K67" i="45" s="1"/>
  <c r="AN67" i="45"/>
  <c r="AL67" i="45"/>
  <c r="AG67" i="45"/>
  <c r="AI67" i="45" s="1"/>
  <c r="AB67" i="45"/>
  <c r="AD67" i="45" s="1"/>
  <c r="W67" i="45"/>
  <c r="Y67" i="45" s="1"/>
  <c r="R67" i="45"/>
  <c r="T67" i="45" s="1"/>
  <c r="J67" i="45"/>
  <c r="I67" i="45"/>
  <c r="H67" i="45"/>
  <c r="G67" i="45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W126" i="44"/>
  <c r="AW125" i="44"/>
  <c r="AW124" i="44"/>
  <c r="AW123" i="44"/>
  <c r="AW122" i="44"/>
  <c r="AW121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R122" i="44"/>
  <c r="AR121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H121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21" i="44"/>
  <c r="AV149" i="44"/>
  <c r="AQ149" i="44"/>
  <c r="AL149" i="44"/>
  <c r="AG149" i="44"/>
  <c r="AB149" i="44"/>
  <c r="W149" i="44"/>
  <c r="R149" i="44"/>
  <c r="K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K147" i="44" s="1"/>
  <c r="W147" i="44"/>
  <c r="R147" i="44"/>
  <c r="J147" i="44"/>
  <c r="I147" i="44"/>
  <c r="G147" i="44"/>
  <c r="AV146" i="44"/>
  <c r="AQ146" i="44"/>
  <c r="AL146" i="44"/>
  <c r="AG146" i="44"/>
  <c r="AB146" i="44"/>
  <c r="K146" i="44" s="1"/>
  <c r="W146" i="44"/>
  <c r="R146" i="44"/>
  <c r="J146" i="44"/>
  <c r="I146" i="44"/>
  <c r="G146" i="44"/>
  <c r="AV145" i="44"/>
  <c r="AQ145" i="44"/>
  <c r="AL145" i="44"/>
  <c r="AG145" i="44"/>
  <c r="AB145" i="44"/>
  <c r="W145" i="44"/>
  <c r="K145" i="44" s="1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K141" i="44" s="1"/>
  <c r="J141" i="44"/>
  <c r="I141" i="44"/>
  <c r="G141" i="44"/>
  <c r="AV140" i="44"/>
  <c r="AQ140" i="44"/>
  <c r="AL140" i="44"/>
  <c r="AG140" i="44"/>
  <c r="AB140" i="44"/>
  <c r="W140" i="44"/>
  <c r="R140" i="44"/>
  <c r="K140" i="44"/>
  <c r="J140" i="44"/>
  <c r="I140" i="44"/>
  <c r="G140" i="44"/>
  <c r="AV139" i="44"/>
  <c r="AQ139" i="44"/>
  <c r="AL139" i="44"/>
  <c r="AG139" i="44"/>
  <c r="AB139" i="44"/>
  <c r="W139" i="44"/>
  <c r="R139" i="44"/>
  <c r="K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K137" i="44" s="1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K136" i="44" s="1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V134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K132" i="44" s="1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K131" i="44" s="1"/>
  <c r="J131" i="44"/>
  <c r="I131" i="44"/>
  <c r="G131" i="44"/>
  <c r="AV130" i="44"/>
  <c r="AQ130" i="44"/>
  <c r="AL130" i="44"/>
  <c r="AG130" i="44"/>
  <c r="AB130" i="44"/>
  <c r="W130" i="44"/>
  <c r="R130" i="44"/>
  <c r="K130" i="44"/>
  <c r="J130" i="44"/>
  <c r="I130" i="44"/>
  <c r="G130" i="44"/>
  <c r="AV129" i="44"/>
  <c r="AQ129" i="44"/>
  <c r="AL129" i="44"/>
  <c r="AG129" i="44"/>
  <c r="AB129" i="44"/>
  <c r="W129" i="44"/>
  <c r="R129" i="44"/>
  <c r="K129" i="44"/>
  <c r="J129" i="44"/>
  <c r="I129" i="44"/>
  <c r="G129" i="44"/>
  <c r="AV128" i="44"/>
  <c r="K128" i="44" s="1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K126" i="44" s="1"/>
  <c r="W126" i="44"/>
  <c r="R126" i="44"/>
  <c r="J126" i="44"/>
  <c r="I126" i="44"/>
  <c r="G126" i="44"/>
  <c r="AV125" i="44"/>
  <c r="AQ125" i="44"/>
  <c r="AL125" i="44"/>
  <c r="AG125" i="44"/>
  <c r="AB125" i="44"/>
  <c r="W125" i="44"/>
  <c r="K125" i="44" s="1"/>
  <c r="R125" i="44"/>
  <c r="J125" i="44"/>
  <c r="I125" i="44"/>
  <c r="G125" i="44"/>
  <c r="AV124" i="44"/>
  <c r="AQ124" i="44"/>
  <c r="AL124" i="44"/>
  <c r="AG124" i="44"/>
  <c r="AB124" i="44"/>
  <c r="W124" i="44"/>
  <c r="K124" i="44" s="1"/>
  <c r="R124" i="44"/>
  <c r="J124" i="44"/>
  <c r="I124" i="44"/>
  <c r="G124" i="44"/>
  <c r="AV123" i="44"/>
  <c r="AQ123" i="44"/>
  <c r="AL123" i="44"/>
  <c r="AG123" i="44"/>
  <c r="AB123" i="44"/>
  <c r="W123" i="44"/>
  <c r="Y121" i="44" s="1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K121" i="44" s="1"/>
  <c r="AI121" i="44"/>
  <c r="AG121" i="44"/>
  <c r="AB121" i="44"/>
  <c r="AD121" i="44" s="1"/>
  <c r="W121" i="44"/>
  <c r="R121" i="44"/>
  <c r="J121" i="44"/>
  <c r="I121" i="44"/>
  <c r="G121" i="44"/>
  <c r="H121" i="44" s="1"/>
  <c r="B28" i="6"/>
  <c r="AC34" i="6"/>
  <c r="AD34" i="6" s="1"/>
  <c r="S34" i="6"/>
  <c r="T34" i="6" s="1"/>
  <c r="M34" i="6"/>
  <c r="N34" i="6" s="1"/>
  <c r="F34" i="6"/>
  <c r="AL34" i="6" s="1"/>
  <c r="AC33" i="6"/>
  <c r="AD33" i="6" s="1"/>
  <c r="S33" i="6"/>
  <c r="T33" i="6" s="1"/>
  <c r="M33" i="6"/>
  <c r="N33" i="6" s="1"/>
  <c r="F33" i="6"/>
  <c r="AL33" i="6" s="1"/>
  <c r="AC32" i="6"/>
  <c r="AD32" i="6" s="1"/>
  <c r="S32" i="6"/>
  <c r="T32" i="6" s="1"/>
  <c r="M32" i="6"/>
  <c r="N32" i="6" s="1"/>
  <c r="F32" i="6"/>
  <c r="AL32" i="6" s="1"/>
  <c r="AC31" i="6"/>
  <c r="AD31" i="6" s="1"/>
  <c r="S31" i="6"/>
  <c r="T31" i="6" s="1"/>
  <c r="M31" i="6"/>
  <c r="N31" i="6" s="1"/>
  <c r="F31" i="6"/>
  <c r="AL31" i="6" s="1"/>
  <c r="AC30" i="6"/>
  <c r="AD30" i="6" s="1"/>
  <c r="S30" i="6"/>
  <c r="T30" i="6" s="1"/>
  <c r="M30" i="6"/>
  <c r="N30" i="6" s="1"/>
  <c r="F30" i="6"/>
  <c r="AL30" i="6" s="1"/>
  <c r="AC29" i="6"/>
  <c r="AD29" i="6" s="1"/>
  <c r="S29" i="6"/>
  <c r="T29" i="6" s="1"/>
  <c r="M29" i="6"/>
  <c r="N29" i="6" s="1"/>
  <c r="F29" i="6"/>
  <c r="AL29" i="6" s="1"/>
  <c r="AC28" i="6"/>
  <c r="AD28" i="6" s="1"/>
  <c r="S28" i="6"/>
  <c r="T28" i="6" s="1"/>
  <c r="M28" i="6"/>
  <c r="N28" i="6" s="1"/>
  <c r="F28" i="6"/>
  <c r="AL28" i="6" s="1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8" i="5"/>
  <c r="U29" i="5"/>
  <c r="U30" i="5"/>
  <c r="U31" i="5"/>
  <c r="U32" i="5"/>
  <c r="U27" i="5"/>
  <c r="U26" i="5"/>
  <c r="L67" i="52" l="1"/>
  <c r="AI67" i="52"/>
  <c r="L67" i="51"/>
  <c r="Y67" i="51"/>
  <c r="T67" i="51"/>
  <c r="AS67" i="49"/>
  <c r="K70" i="49"/>
  <c r="K69" i="49"/>
  <c r="AD67" i="49"/>
  <c r="K72" i="49"/>
  <c r="AN67" i="49"/>
  <c r="K67" i="48"/>
  <c r="AX67" i="48"/>
  <c r="K70" i="48"/>
  <c r="K68" i="48"/>
  <c r="Y67" i="48"/>
  <c r="AI67" i="48"/>
  <c r="L67" i="47"/>
  <c r="Y67" i="47"/>
  <c r="AI67" i="47"/>
  <c r="L67" i="46"/>
  <c r="T67" i="46"/>
  <c r="AS67" i="45"/>
  <c r="K71" i="45"/>
  <c r="K69" i="45"/>
  <c r="AN121" i="44"/>
  <c r="AS121" i="44"/>
  <c r="K133" i="44"/>
  <c r="K138" i="44"/>
  <c r="K144" i="44"/>
  <c r="AX121" i="44"/>
  <c r="K123" i="44"/>
  <c r="T121" i="44"/>
  <c r="K122" i="44"/>
  <c r="K143" i="44"/>
  <c r="K127" i="44"/>
  <c r="K142" i="44"/>
  <c r="K148" i="44"/>
  <c r="J28" i="6"/>
  <c r="J31" i="6"/>
  <c r="L28" i="6"/>
  <c r="L31" i="6"/>
  <c r="L33" i="6"/>
  <c r="P28" i="6"/>
  <c r="P31" i="6"/>
  <c r="P33" i="6"/>
  <c r="R30" i="6"/>
  <c r="R32" i="6"/>
  <c r="V28" i="6"/>
  <c r="V30" i="6"/>
  <c r="V33" i="6"/>
  <c r="X28" i="6"/>
  <c r="X31" i="6"/>
  <c r="X33" i="6"/>
  <c r="Z28" i="6"/>
  <c r="Z30" i="6"/>
  <c r="Z32" i="6"/>
  <c r="AB29" i="6"/>
  <c r="AF28" i="6"/>
  <c r="AF29" i="6"/>
  <c r="AF30" i="6"/>
  <c r="AF31" i="6"/>
  <c r="AF32" i="6"/>
  <c r="AF33" i="6"/>
  <c r="AF34" i="6"/>
  <c r="J29" i="6"/>
  <c r="J34" i="6"/>
  <c r="L29" i="6"/>
  <c r="L32" i="6"/>
  <c r="P30" i="6"/>
  <c r="P34" i="6"/>
  <c r="R29" i="6"/>
  <c r="R31" i="6"/>
  <c r="R33" i="6"/>
  <c r="V29" i="6"/>
  <c r="V32" i="6"/>
  <c r="X29" i="6"/>
  <c r="X32" i="6"/>
  <c r="Z34" i="6"/>
  <c r="AH28" i="6"/>
  <c r="AH29" i="6"/>
  <c r="AH30" i="6"/>
  <c r="AH31" i="6"/>
  <c r="AH32" i="6"/>
  <c r="AH33" i="6"/>
  <c r="AH34" i="6"/>
  <c r="J33" i="6"/>
  <c r="AJ34" i="6"/>
  <c r="G28" i="6"/>
  <c r="J30" i="6"/>
  <c r="J32" i="6"/>
  <c r="L30" i="6"/>
  <c r="L34" i="6"/>
  <c r="P29" i="6"/>
  <c r="P32" i="6"/>
  <c r="R28" i="6"/>
  <c r="R34" i="6"/>
  <c r="V31" i="6"/>
  <c r="V34" i="6"/>
  <c r="X30" i="6"/>
  <c r="X34" i="6"/>
  <c r="Z29" i="6"/>
  <c r="Z31" i="6"/>
  <c r="Z33" i="6"/>
  <c r="AB28" i="6"/>
  <c r="AB30" i="6"/>
  <c r="AB31" i="6"/>
  <c r="AB32" i="6"/>
  <c r="AB33" i="6"/>
  <c r="AB34" i="6"/>
  <c r="AJ28" i="6"/>
  <c r="AJ29" i="6"/>
  <c r="AJ30" i="6"/>
  <c r="AJ31" i="6"/>
  <c r="AJ32" i="6"/>
  <c r="AJ33" i="6"/>
  <c r="J28" i="7"/>
  <c r="J30" i="7"/>
  <c r="J32" i="7"/>
  <c r="J33" i="7"/>
  <c r="L28" i="7"/>
  <c r="L30" i="7"/>
  <c r="L32" i="7"/>
  <c r="L34" i="7"/>
  <c r="P28" i="7"/>
  <c r="P30" i="7"/>
  <c r="P32" i="7"/>
  <c r="P33" i="7"/>
  <c r="R28" i="7"/>
  <c r="R30" i="7"/>
  <c r="R32" i="7"/>
  <c r="R34" i="7"/>
  <c r="V29" i="7"/>
  <c r="V32" i="7"/>
  <c r="V34" i="7"/>
  <c r="X30" i="7"/>
  <c r="X32" i="7"/>
  <c r="X34" i="7"/>
  <c r="Z29" i="7"/>
  <c r="Z32" i="7"/>
  <c r="Z34" i="7"/>
  <c r="AB28" i="7"/>
  <c r="AB31" i="7"/>
  <c r="AB33" i="7"/>
  <c r="AF28" i="7"/>
  <c r="AF29" i="7"/>
  <c r="AF30" i="7"/>
  <c r="AF31" i="7"/>
  <c r="AF32" i="7"/>
  <c r="AF33" i="7"/>
  <c r="AF34" i="7"/>
  <c r="AH28" i="7"/>
  <c r="AH29" i="7"/>
  <c r="AH30" i="7"/>
  <c r="AH31" i="7"/>
  <c r="AH32" i="7"/>
  <c r="AH33" i="7"/>
  <c r="AH34" i="7"/>
  <c r="AJ28" i="7"/>
  <c r="AJ29" i="7"/>
  <c r="AJ30" i="7"/>
  <c r="AJ31" i="7"/>
  <c r="AJ32" i="7"/>
  <c r="AJ33" i="7"/>
  <c r="AJ34" i="7"/>
  <c r="G28" i="7"/>
  <c r="J29" i="7"/>
  <c r="J31" i="7"/>
  <c r="J34" i="7"/>
  <c r="L29" i="7"/>
  <c r="L31" i="7"/>
  <c r="L33" i="7"/>
  <c r="P29" i="7"/>
  <c r="P31" i="7"/>
  <c r="P34" i="7"/>
  <c r="R29" i="7"/>
  <c r="R31" i="7"/>
  <c r="R33" i="7"/>
  <c r="V28" i="7"/>
  <c r="V30" i="7"/>
  <c r="V31" i="7"/>
  <c r="V33" i="7"/>
  <c r="X28" i="7"/>
  <c r="X29" i="7"/>
  <c r="X31" i="7"/>
  <c r="X33" i="7"/>
  <c r="Z28" i="7"/>
  <c r="Z30" i="7"/>
  <c r="Z31" i="7"/>
  <c r="Z33" i="7"/>
  <c r="AB29" i="7"/>
  <c r="AB30" i="7"/>
  <c r="AB32" i="7"/>
  <c r="AB34" i="7"/>
  <c r="L67" i="49" l="1"/>
  <c r="L67" i="48"/>
  <c r="L67" i="45"/>
  <c r="L121" i="44"/>
  <c r="D28" i="39" l="1"/>
  <c r="M198" i="62"/>
  <c r="K190" i="62"/>
  <c r="M197" i="62"/>
  <c r="M196" i="62"/>
  <c r="M195" i="62"/>
  <c r="M194" i="62"/>
  <c r="K198" i="62" s="1"/>
  <c r="M193" i="62"/>
  <c r="M189" i="62"/>
  <c r="M188" i="62"/>
  <c r="M187" i="62"/>
  <c r="M186" i="62"/>
  <c r="M185" i="62"/>
  <c r="M190" i="62" s="1"/>
  <c r="M181" i="62"/>
  <c r="M180" i="62"/>
  <c r="M179" i="62"/>
  <c r="M178" i="62"/>
  <c r="M177" i="62"/>
  <c r="M182" i="62" s="1"/>
  <c r="K182" i="62" s="1"/>
  <c r="M179" i="20"/>
  <c r="M178" i="20"/>
  <c r="M177" i="20"/>
  <c r="M182" i="20" s="1"/>
  <c r="K182" i="20" s="1"/>
  <c r="M169" i="20"/>
  <c r="M174" i="20" s="1"/>
  <c r="K174" i="20" s="1"/>
  <c r="M165" i="20"/>
  <c r="M164" i="20"/>
  <c r="M163" i="20"/>
  <c r="M162" i="20"/>
  <c r="M161" i="20"/>
  <c r="M166" i="20" s="1"/>
  <c r="K166" i="20" s="1"/>
  <c r="M157" i="20"/>
  <c r="M156" i="20"/>
  <c r="M155" i="20"/>
  <c r="M158" i="20" s="1"/>
  <c r="K158" i="20" s="1"/>
  <c r="M154" i="20"/>
  <c r="M153" i="20"/>
  <c r="K198" i="19"/>
  <c r="K190" i="19"/>
  <c r="M197" i="19"/>
  <c r="M196" i="19"/>
  <c r="M195" i="19"/>
  <c r="M194" i="19"/>
  <c r="M193" i="19"/>
  <c r="M198" i="19" s="1"/>
  <c r="M189" i="19"/>
  <c r="M188" i="19"/>
  <c r="M187" i="19"/>
  <c r="M186" i="19"/>
  <c r="M185" i="19"/>
  <c r="M190" i="19" s="1"/>
  <c r="M181" i="19"/>
  <c r="M180" i="19"/>
  <c r="M179" i="19"/>
  <c r="M178" i="19"/>
  <c r="M177" i="19"/>
  <c r="M182" i="19" l="1"/>
  <c r="K182" i="19" s="1"/>
  <c r="J65" i="23" l="1"/>
  <c r="L47" i="46"/>
  <c r="L27" i="46"/>
  <c r="J61" i="25"/>
  <c r="J60" i="25"/>
  <c r="B60" i="25"/>
  <c r="A60" i="25"/>
  <c r="J73" i="24"/>
  <c r="J72" i="24"/>
  <c r="J71" i="24"/>
  <c r="J60" i="24"/>
  <c r="J79" i="23"/>
  <c r="J78" i="23"/>
  <c r="J77" i="23"/>
  <c r="J76" i="23"/>
  <c r="J75" i="23"/>
  <c r="J74" i="23"/>
  <c r="J73" i="23"/>
  <c r="J72" i="23"/>
  <c r="J71" i="23"/>
  <c r="J67" i="23"/>
  <c r="J66" i="23"/>
  <c r="J64" i="23"/>
  <c r="J63" i="23"/>
  <c r="J62" i="23"/>
  <c r="J61" i="23"/>
  <c r="J60" i="23"/>
  <c r="J71" i="22"/>
  <c r="J45" i="22"/>
  <c r="J60" i="22" l="1"/>
  <c r="J79" i="15"/>
  <c r="J78" i="15"/>
  <c r="J77" i="15"/>
  <c r="J76" i="15"/>
  <c r="J75" i="15"/>
  <c r="J74" i="15"/>
  <c r="J73" i="15"/>
  <c r="J72" i="15"/>
  <c r="J71" i="15"/>
  <c r="J68" i="15"/>
  <c r="J67" i="15"/>
  <c r="J66" i="15"/>
  <c r="J65" i="15"/>
  <c r="J63" i="15"/>
  <c r="J62" i="15"/>
  <c r="J61" i="15"/>
  <c r="J60" i="15"/>
  <c r="AW48" i="52"/>
  <c r="AW47" i="52"/>
  <c r="AR48" i="52"/>
  <c r="AR47" i="52"/>
  <c r="AM48" i="52"/>
  <c r="AM47" i="52"/>
  <c r="AH48" i="52"/>
  <c r="AH47" i="52"/>
  <c r="AC48" i="52"/>
  <c r="AC47" i="52"/>
  <c r="X48" i="52"/>
  <c r="X47" i="52"/>
  <c r="S48" i="52"/>
  <c r="S47" i="52"/>
  <c r="M48" i="52"/>
  <c r="M47" i="52"/>
  <c r="AV48" i="52"/>
  <c r="AQ48" i="52"/>
  <c r="AL48" i="52"/>
  <c r="AG48" i="52"/>
  <c r="AB48" i="52"/>
  <c r="W48" i="52"/>
  <c r="R48" i="52"/>
  <c r="J48" i="52"/>
  <c r="I48" i="52"/>
  <c r="G48" i="52"/>
  <c r="AX47" i="52"/>
  <c r="AV47" i="52"/>
  <c r="AQ47" i="52"/>
  <c r="AL47" i="52"/>
  <c r="AG47" i="52"/>
  <c r="AI47" i="52" s="1"/>
  <c r="AB47" i="52"/>
  <c r="AD47" i="52" s="1"/>
  <c r="W47" i="52"/>
  <c r="Y47" i="52" s="1"/>
  <c r="R47" i="52"/>
  <c r="K47" i="52" s="1"/>
  <c r="J47" i="52"/>
  <c r="I47" i="52"/>
  <c r="G47" i="52"/>
  <c r="H47" i="52" s="1"/>
  <c r="AW49" i="51"/>
  <c r="AW47" i="51"/>
  <c r="AR49" i="51"/>
  <c r="AR47" i="51"/>
  <c r="AM49" i="51"/>
  <c r="AM47" i="51"/>
  <c r="AH49" i="51"/>
  <c r="AH47" i="51"/>
  <c r="AC49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I47" i="51" s="1"/>
  <c r="AB49" i="51"/>
  <c r="W49" i="51"/>
  <c r="R49" i="51"/>
  <c r="K49" i="51"/>
  <c r="J49" i="51"/>
  <c r="I49" i="51"/>
  <c r="G49" i="51"/>
  <c r="W48" i="51"/>
  <c r="R48" i="51"/>
  <c r="K48" i="51"/>
  <c r="J48" i="51"/>
  <c r="I48" i="51"/>
  <c r="G48" i="51"/>
  <c r="AV47" i="51"/>
  <c r="AQ47" i="51"/>
  <c r="AS47" i="51" s="1"/>
  <c r="AN47" i="51"/>
  <c r="AL47" i="51"/>
  <c r="AG47" i="51"/>
  <c r="AB47" i="51"/>
  <c r="W47" i="51"/>
  <c r="Y47" i="51" s="1"/>
  <c r="R47" i="51"/>
  <c r="J47" i="51"/>
  <c r="I47" i="51"/>
  <c r="G47" i="51"/>
  <c r="H47" i="51" s="1"/>
  <c r="AH47" i="50"/>
  <c r="AC47" i="50"/>
  <c r="X47" i="50"/>
  <c r="S47" i="50"/>
  <c r="M47" i="50"/>
  <c r="AG47" i="50"/>
  <c r="AI47" i="50" s="1"/>
  <c r="AB47" i="50"/>
  <c r="AD47" i="50" s="1"/>
  <c r="Y47" i="50"/>
  <c r="W47" i="50"/>
  <c r="R47" i="50"/>
  <c r="T47" i="50" s="1"/>
  <c r="K47" i="50"/>
  <c r="J47" i="50"/>
  <c r="I47" i="50"/>
  <c r="G47" i="50"/>
  <c r="H47" i="50" s="1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55" i="49"/>
  <c r="AM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K55" i="49"/>
  <c r="J55" i="49"/>
  <c r="I55" i="49"/>
  <c r="G55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AQ51" i="49"/>
  <c r="K51" i="49" s="1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Q47" i="49"/>
  <c r="AL47" i="49"/>
  <c r="AG47" i="49"/>
  <c r="K47" i="49" s="1"/>
  <c r="AB47" i="49"/>
  <c r="W47" i="49"/>
  <c r="R47" i="49"/>
  <c r="J47" i="49"/>
  <c r="I47" i="49"/>
  <c r="G47" i="49"/>
  <c r="X54" i="48"/>
  <c r="X53" i="48"/>
  <c r="X52" i="48"/>
  <c r="X51" i="48"/>
  <c r="X50" i="48"/>
  <c r="X49" i="48"/>
  <c r="X48" i="48"/>
  <c r="X47" i="48"/>
  <c r="AC54" i="48"/>
  <c r="AC53" i="48"/>
  <c r="AC52" i="48"/>
  <c r="AC51" i="48"/>
  <c r="AC50" i="48"/>
  <c r="AC49" i="48"/>
  <c r="AC48" i="48"/>
  <c r="AC47" i="48"/>
  <c r="AB47" i="48"/>
  <c r="AB48" i="48"/>
  <c r="AB49" i="48"/>
  <c r="AB50" i="48"/>
  <c r="AB51" i="48"/>
  <c r="AB52" i="48"/>
  <c r="AB53" i="48"/>
  <c r="K53" i="48" s="1"/>
  <c r="AB54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AH48" i="48"/>
  <c r="AH49" i="48"/>
  <c r="AH50" i="48"/>
  <c r="AH51" i="48"/>
  <c r="AH52" i="48"/>
  <c r="AH53" i="48"/>
  <c r="AH54" i="48"/>
  <c r="AH47" i="48"/>
  <c r="AV54" i="48"/>
  <c r="AQ54" i="48"/>
  <c r="AL54" i="48"/>
  <c r="AG54" i="48"/>
  <c r="W54" i="48"/>
  <c r="R54" i="48"/>
  <c r="S54" i="48" s="1"/>
  <c r="K54" i="48"/>
  <c r="J54" i="48"/>
  <c r="I54" i="48"/>
  <c r="G54" i="48"/>
  <c r="AV53" i="48"/>
  <c r="AQ53" i="48"/>
  <c r="AL53" i="48"/>
  <c r="AG53" i="48"/>
  <c r="W53" i="48"/>
  <c r="R53" i="48"/>
  <c r="S53" i="48" s="1"/>
  <c r="J53" i="48"/>
  <c r="I53" i="48"/>
  <c r="G53" i="48"/>
  <c r="AV52" i="48"/>
  <c r="AQ52" i="48"/>
  <c r="AL52" i="48"/>
  <c r="AG52" i="48"/>
  <c r="W52" i="48"/>
  <c r="R52" i="48"/>
  <c r="S52" i="48" s="1"/>
  <c r="J52" i="48"/>
  <c r="I52" i="48"/>
  <c r="G52" i="48"/>
  <c r="AV51" i="48"/>
  <c r="AQ51" i="48"/>
  <c r="AL51" i="48"/>
  <c r="AG51" i="48"/>
  <c r="W51" i="48"/>
  <c r="R51" i="48"/>
  <c r="S51" i="48" s="1"/>
  <c r="J51" i="48"/>
  <c r="I51" i="48"/>
  <c r="G51" i="48"/>
  <c r="AV50" i="48"/>
  <c r="AQ50" i="48"/>
  <c r="AL50" i="48"/>
  <c r="AG50" i="48"/>
  <c r="W50" i="48"/>
  <c r="R50" i="48"/>
  <c r="S50" i="48" s="1"/>
  <c r="J50" i="48"/>
  <c r="I50" i="48"/>
  <c r="G50" i="48"/>
  <c r="AV49" i="48"/>
  <c r="AQ49" i="48"/>
  <c r="AL49" i="48"/>
  <c r="AG49" i="48"/>
  <c r="W49" i="48"/>
  <c r="R49" i="48"/>
  <c r="S49" i="48" s="1"/>
  <c r="J49" i="48"/>
  <c r="I49" i="48"/>
  <c r="G49" i="48"/>
  <c r="AV48" i="48"/>
  <c r="AQ48" i="48"/>
  <c r="AL48" i="48"/>
  <c r="K48" i="48" s="1"/>
  <c r="AG48" i="48"/>
  <c r="W48" i="48"/>
  <c r="R48" i="48"/>
  <c r="S48" i="48" s="1"/>
  <c r="J48" i="48"/>
  <c r="I48" i="48"/>
  <c r="G48" i="48"/>
  <c r="AV47" i="48"/>
  <c r="AX47" i="48" s="1"/>
  <c r="AQ47" i="48"/>
  <c r="AS47" i="48" s="1"/>
  <c r="AN47" i="48"/>
  <c r="AL47" i="48"/>
  <c r="AG47" i="48"/>
  <c r="AI47" i="48" s="1"/>
  <c r="W47" i="48"/>
  <c r="R47" i="48"/>
  <c r="T47" i="48" s="1"/>
  <c r="J47" i="48"/>
  <c r="I47" i="48"/>
  <c r="H47" i="48"/>
  <c r="G47" i="48"/>
  <c r="M47" i="47"/>
  <c r="AV47" i="47"/>
  <c r="AX47" i="47" s="1"/>
  <c r="AQ47" i="47"/>
  <c r="AS47" i="47" s="1"/>
  <c r="AL47" i="47"/>
  <c r="AM47" i="47" s="1"/>
  <c r="AG47" i="47"/>
  <c r="AH47" i="47" s="1"/>
  <c r="AB47" i="47"/>
  <c r="AD47" i="47" s="1"/>
  <c r="W47" i="47"/>
  <c r="K47" i="47" s="1"/>
  <c r="T47" i="47"/>
  <c r="S47" i="47"/>
  <c r="R47" i="47"/>
  <c r="J47" i="47"/>
  <c r="I47" i="47"/>
  <c r="G47" i="47"/>
  <c r="H47" i="47" s="1"/>
  <c r="AH47" i="46"/>
  <c r="AC47" i="46"/>
  <c r="X47" i="46"/>
  <c r="S47" i="46"/>
  <c r="AW47" i="46"/>
  <c r="AR47" i="46"/>
  <c r="AM47" i="46"/>
  <c r="M47" i="46"/>
  <c r="AX47" i="46"/>
  <c r="AV47" i="46"/>
  <c r="AQ47" i="46"/>
  <c r="AS47" i="46" s="1"/>
  <c r="AN47" i="46"/>
  <c r="AL47" i="46"/>
  <c r="AG47" i="46"/>
  <c r="AB47" i="46"/>
  <c r="W47" i="46"/>
  <c r="T47" i="46"/>
  <c r="R47" i="46"/>
  <c r="J47" i="46"/>
  <c r="I47" i="46"/>
  <c r="H47" i="46"/>
  <c r="G47" i="46"/>
  <c r="AW55" i="45"/>
  <c r="AW54" i="45"/>
  <c r="AW53" i="45"/>
  <c r="AW52" i="45"/>
  <c r="AW50" i="45"/>
  <c r="AW49" i="45"/>
  <c r="AW48" i="45"/>
  <c r="AW47" i="45"/>
  <c r="AR55" i="45"/>
  <c r="AR54" i="45"/>
  <c r="AR53" i="45"/>
  <c r="AR52" i="45"/>
  <c r="AR50" i="45"/>
  <c r="AR49" i="45"/>
  <c r="AR48" i="45"/>
  <c r="AR47" i="45"/>
  <c r="AM55" i="45"/>
  <c r="AM54" i="45"/>
  <c r="AM53" i="45"/>
  <c r="AM52" i="45"/>
  <c r="AM50" i="45"/>
  <c r="AM49" i="45"/>
  <c r="AM48" i="45"/>
  <c r="AM47" i="45"/>
  <c r="AH53" i="45"/>
  <c r="AH54" i="45"/>
  <c r="AH55" i="45"/>
  <c r="AH52" i="45"/>
  <c r="AH48" i="45"/>
  <c r="AH49" i="45"/>
  <c r="AH50" i="45"/>
  <c r="AH47" i="45"/>
  <c r="AC55" i="45"/>
  <c r="AC54" i="45"/>
  <c r="AC53" i="45"/>
  <c r="AC52" i="45"/>
  <c r="AC51" i="45"/>
  <c r="AC50" i="45"/>
  <c r="AC49" i="45"/>
  <c r="AC48" i="45"/>
  <c r="AC47" i="45"/>
  <c r="X48" i="45"/>
  <c r="X49" i="45"/>
  <c r="X50" i="45"/>
  <c r="X51" i="45"/>
  <c r="X52" i="45"/>
  <c r="X53" i="45"/>
  <c r="X54" i="45"/>
  <c r="X55" i="45"/>
  <c r="X47" i="45"/>
  <c r="S48" i="45"/>
  <c r="S49" i="45"/>
  <c r="S50" i="45"/>
  <c r="S51" i="45"/>
  <c r="S52" i="45"/>
  <c r="S53" i="45"/>
  <c r="S54" i="45"/>
  <c r="S55" i="45"/>
  <c r="S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K52" i="45" s="1"/>
  <c r="AQ52" i="45"/>
  <c r="AL52" i="45"/>
  <c r="AG52" i="45"/>
  <c r="AB52" i="45"/>
  <c r="W52" i="45"/>
  <c r="R52" i="45"/>
  <c r="J52" i="45"/>
  <c r="I52" i="45"/>
  <c r="G52" i="45"/>
  <c r="AB51" i="45"/>
  <c r="W51" i="45"/>
  <c r="K51" i="45" s="1"/>
  <c r="R51" i="45"/>
  <c r="J51" i="45"/>
  <c r="I51" i="45"/>
  <c r="G51" i="45"/>
  <c r="AV50" i="45"/>
  <c r="AQ50" i="45"/>
  <c r="AL50" i="45"/>
  <c r="AG50" i="45"/>
  <c r="AB50" i="45"/>
  <c r="W50" i="45"/>
  <c r="K50" i="45" s="1"/>
  <c r="R50" i="45"/>
  <c r="J50" i="45"/>
  <c r="I50" i="45"/>
  <c r="G50" i="45"/>
  <c r="AV49" i="45"/>
  <c r="AQ49" i="45"/>
  <c r="AL49" i="45"/>
  <c r="AG49" i="45"/>
  <c r="AB49" i="45"/>
  <c r="W49" i="45"/>
  <c r="R49" i="45"/>
  <c r="K49" i="45" s="1"/>
  <c r="J49" i="45"/>
  <c r="I49" i="45"/>
  <c r="G49" i="45"/>
  <c r="AV48" i="45"/>
  <c r="AQ48" i="45"/>
  <c r="AL48" i="45"/>
  <c r="AG48" i="45"/>
  <c r="AB48" i="45"/>
  <c r="W48" i="45"/>
  <c r="R48" i="45"/>
  <c r="K48" i="45" s="1"/>
  <c r="J48" i="45"/>
  <c r="I48" i="45"/>
  <c r="G48" i="45"/>
  <c r="AV47" i="45"/>
  <c r="AX47" i="45" s="1"/>
  <c r="AS47" i="45"/>
  <c r="AQ47" i="45"/>
  <c r="AL47" i="45"/>
  <c r="AN47" i="45" s="1"/>
  <c r="AI47" i="45"/>
  <c r="AG47" i="45"/>
  <c r="AB47" i="45"/>
  <c r="K47" i="45" s="1"/>
  <c r="Y47" i="45"/>
  <c r="W47" i="45"/>
  <c r="R47" i="45"/>
  <c r="T47" i="45" s="1"/>
  <c r="J47" i="45"/>
  <c r="I47" i="45"/>
  <c r="G47" i="45"/>
  <c r="H47" i="45" s="1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83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K110" i="44"/>
  <c r="J110" i="44"/>
  <c r="I110" i="44"/>
  <c r="G110" i="44"/>
  <c r="AV109" i="44"/>
  <c r="K109" i="44" s="1"/>
  <c r="AQ109" i="44"/>
  <c r="AL109" i="44"/>
  <c r="AG109" i="44"/>
  <c r="AB109" i="44"/>
  <c r="W109" i="44"/>
  <c r="R109" i="44"/>
  <c r="J109" i="44"/>
  <c r="I109" i="44"/>
  <c r="G109" i="44"/>
  <c r="AV108" i="44"/>
  <c r="K108" i="44" s="1"/>
  <c r="AQ108" i="44"/>
  <c r="AL108" i="44"/>
  <c r="AG108" i="44"/>
  <c r="AB108" i="44"/>
  <c r="W108" i="44"/>
  <c r="R108" i="44"/>
  <c r="J108" i="44"/>
  <c r="I108" i="44"/>
  <c r="G108" i="44"/>
  <c r="AV107" i="44"/>
  <c r="AQ107" i="44"/>
  <c r="K107" i="44" s="1"/>
  <c r="AL107" i="44"/>
  <c r="AG107" i="44"/>
  <c r="AB107" i="44"/>
  <c r="W107" i="44"/>
  <c r="R107" i="44"/>
  <c r="J107" i="44"/>
  <c r="I107" i="44"/>
  <c r="G107" i="44"/>
  <c r="AV106" i="44"/>
  <c r="AQ106" i="44"/>
  <c r="K106" i="44" s="1"/>
  <c r="AL106" i="44"/>
  <c r="AG106" i="44"/>
  <c r="AB106" i="44"/>
  <c r="W106" i="44"/>
  <c r="R106" i="44"/>
  <c r="J106" i="44"/>
  <c r="I106" i="44"/>
  <c r="G106" i="44"/>
  <c r="AV105" i="44"/>
  <c r="AQ105" i="44"/>
  <c r="AL105" i="44"/>
  <c r="K105" i="44" s="1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K99" i="44" s="1"/>
  <c r="R99" i="44"/>
  <c r="J99" i="44"/>
  <c r="I99" i="44"/>
  <c r="G99" i="44"/>
  <c r="AV98" i="44"/>
  <c r="AQ98" i="44"/>
  <c r="AL98" i="44"/>
  <c r="AG98" i="44"/>
  <c r="AB98" i="44"/>
  <c r="W98" i="44"/>
  <c r="K98" i="44" s="1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 s="1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K92" i="44"/>
  <c r="J92" i="44"/>
  <c r="I92" i="44"/>
  <c r="G92" i="44"/>
  <c r="AV91" i="44"/>
  <c r="AQ91" i="44"/>
  <c r="AL91" i="44"/>
  <c r="AG91" i="44"/>
  <c r="AB91" i="44"/>
  <c r="W91" i="44"/>
  <c r="R91" i="44"/>
  <c r="K91" i="44"/>
  <c r="J91" i="44"/>
  <c r="I91" i="44"/>
  <c r="G91" i="44"/>
  <c r="AV90" i="44"/>
  <c r="AQ90" i="44"/>
  <c r="AL90" i="44"/>
  <c r="AG90" i="44"/>
  <c r="AB90" i="44"/>
  <c r="W90" i="44"/>
  <c r="R90" i="44"/>
  <c r="K90" i="44"/>
  <c r="J90" i="44"/>
  <c r="I90" i="44"/>
  <c r="G90" i="44"/>
  <c r="AV89" i="44"/>
  <c r="K89" i="44" s="1"/>
  <c r="AQ89" i="44"/>
  <c r="AL89" i="44"/>
  <c r="AG89" i="44"/>
  <c r="AB89" i="44"/>
  <c r="W89" i="44"/>
  <c r="R89" i="44"/>
  <c r="J89" i="44"/>
  <c r="I89" i="44"/>
  <c r="G89" i="44"/>
  <c r="AV88" i="44"/>
  <c r="K88" i="44" s="1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K86" i="44" s="1"/>
  <c r="AL86" i="44"/>
  <c r="AG86" i="44"/>
  <c r="AB86" i="44"/>
  <c r="W86" i="44"/>
  <c r="R86" i="44"/>
  <c r="J86" i="44"/>
  <c r="I86" i="44"/>
  <c r="G86" i="44"/>
  <c r="AV85" i="44"/>
  <c r="AQ85" i="44"/>
  <c r="AL85" i="44"/>
  <c r="K85" i="44" s="1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S83" i="44" s="1"/>
  <c r="AL83" i="44"/>
  <c r="AG83" i="44"/>
  <c r="AB83" i="44"/>
  <c r="W83" i="44"/>
  <c r="R83" i="44"/>
  <c r="J83" i="44"/>
  <c r="I83" i="44"/>
  <c r="G83" i="44"/>
  <c r="H83" i="44" s="1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S21" i="6"/>
  <c r="M21" i="6"/>
  <c r="F21" i="6"/>
  <c r="AL21" i="6" s="1"/>
  <c r="B21" i="7"/>
  <c r="B14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M21" i="7"/>
  <c r="F21" i="7"/>
  <c r="AL21" i="7" s="1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J5" i="56"/>
  <c r="J6" i="56"/>
  <c r="J7" i="56"/>
  <c r="J8" i="56"/>
  <c r="J9" i="56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U21" i="5"/>
  <c r="U22" i="5"/>
  <c r="U23" i="5"/>
  <c r="U24" i="5"/>
  <c r="U25" i="5"/>
  <c r="U20" i="5"/>
  <c r="U19" i="5"/>
  <c r="K162" i="62"/>
  <c r="M169" i="62"/>
  <c r="M168" i="62"/>
  <c r="M167" i="62"/>
  <c r="M166" i="62"/>
  <c r="M165" i="62"/>
  <c r="M170" i="62" s="1"/>
  <c r="K170" i="62" s="1"/>
  <c r="M161" i="62"/>
  <c r="M160" i="62"/>
  <c r="M159" i="62"/>
  <c r="M158" i="62"/>
  <c r="M157" i="62"/>
  <c r="M162" i="62" s="1"/>
  <c r="M153" i="62"/>
  <c r="M152" i="62"/>
  <c r="M151" i="62"/>
  <c r="M150" i="62"/>
  <c r="M149" i="62"/>
  <c r="K170" i="19"/>
  <c r="K162" i="19"/>
  <c r="K154" i="19"/>
  <c r="M143" i="20"/>
  <c r="M142" i="20"/>
  <c r="M141" i="20"/>
  <c r="M146" i="20" s="1"/>
  <c r="K146" i="20" s="1"/>
  <c r="M133" i="20"/>
  <c r="M138" i="20" s="1"/>
  <c r="K138" i="20" s="1"/>
  <c r="M129" i="20"/>
  <c r="M128" i="20"/>
  <c r="M127" i="20"/>
  <c r="M126" i="20"/>
  <c r="M125" i="20"/>
  <c r="M121" i="20"/>
  <c r="M120" i="20"/>
  <c r="M119" i="20"/>
  <c r="M118" i="20"/>
  <c r="M117" i="20"/>
  <c r="M169" i="19"/>
  <c r="M168" i="19"/>
  <c r="M167" i="19"/>
  <c r="M166" i="19"/>
  <c r="M165" i="19"/>
  <c r="M161" i="19"/>
  <c r="M160" i="19"/>
  <c r="M159" i="19"/>
  <c r="M158" i="19"/>
  <c r="M157" i="19"/>
  <c r="M162" i="19" s="1"/>
  <c r="M153" i="19"/>
  <c r="M152" i="19"/>
  <c r="M151" i="19"/>
  <c r="M150" i="19"/>
  <c r="M149" i="19"/>
  <c r="M122" i="20" l="1"/>
  <c r="K122" i="20" s="1"/>
  <c r="K48" i="52"/>
  <c r="AN47" i="52"/>
  <c r="AS47" i="52"/>
  <c r="T47" i="52"/>
  <c r="K47" i="51"/>
  <c r="AX47" i="51"/>
  <c r="AD47" i="51"/>
  <c r="T47" i="51"/>
  <c r="L47" i="50"/>
  <c r="K49" i="49"/>
  <c r="K53" i="49"/>
  <c r="K50" i="48"/>
  <c r="AD47" i="48"/>
  <c r="K52" i="48"/>
  <c r="K51" i="48"/>
  <c r="K47" i="48"/>
  <c r="S47" i="48"/>
  <c r="K49" i="48"/>
  <c r="M49" i="48" s="1"/>
  <c r="Y47" i="48"/>
  <c r="L47" i="47"/>
  <c r="X47" i="47"/>
  <c r="AC47" i="47"/>
  <c r="AN47" i="47"/>
  <c r="AR47" i="47"/>
  <c r="AI47" i="47"/>
  <c r="AW47" i="47"/>
  <c r="Y47" i="47"/>
  <c r="Y47" i="46"/>
  <c r="AD47" i="46"/>
  <c r="AI47" i="46"/>
  <c r="K47" i="46"/>
  <c r="AD47" i="45"/>
  <c r="K55" i="45"/>
  <c r="K54" i="45"/>
  <c r="K53" i="45"/>
  <c r="AN83" i="44"/>
  <c r="K83" i="44"/>
  <c r="AX83" i="44"/>
  <c r="K97" i="44"/>
  <c r="K100" i="44"/>
  <c r="AI83" i="44"/>
  <c r="Y83" i="44"/>
  <c r="K87" i="44"/>
  <c r="AD83" i="44"/>
  <c r="K84" i="44"/>
  <c r="K104" i="44"/>
  <c r="K103" i="44"/>
  <c r="K102" i="44"/>
  <c r="K101" i="44"/>
  <c r="T83" i="44"/>
  <c r="J21" i="6"/>
  <c r="J26" i="6"/>
  <c r="L22" i="6"/>
  <c r="L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J23" i="6"/>
  <c r="J27" i="6"/>
  <c r="L23" i="6"/>
  <c r="L25" i="6"/>
  <c r="N21" i="6"/>
  <c r="Z21" i="6"/>
  <c r="Z24" i="6"/>
  <c r="Z25" i="6"/>
  <c r="AB22" i="6"/>
  <c r="AD21" i="6"/>
  <c r="AF21" i="6"/>
  <c r="AF22" i="6"/>
  <c r="AF23" i="6"/>
  <c r="AF24" i="6"/>
  <c r="AF25" i="6"/>
  <c r="AF26" i="6"/>
  <c r="AF27" i="6"/>
  <c r="G21" i="6"/>
  <c r="J24" i="6"/>
  <c r="L24" i="6"/>
  <c r="Z23" i="6"/>
  <c r="Z27" i="6"/>
  <c r="AB25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5" i="6"/>
  <c r="L21" i="6"/>
  <c r="L26" i="6"/>
  <c r="Z22" i="6"/>
  <c r="Z26" i="6"/>
  <c r="AB21" i="6"/>
  <c r="AB23" i="6"/>
  <c r="AB24" i="6"/>
  <c r="AB26" i="6"/>
  <c r="AB27" i="6"/>
  <c r="J21" i="7"/>
  <c r="J24" i="7"/>
  <c r="J26" i="7"/>
  <c r="L23" i="7"/>
  <c r="L26" i="7"/>
  <c r="N21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T21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J23" i="7"/>
  <c r="J27" i="7"/>
  <c r="L21" i="7"/>
  <c r="L24" i="7"/>
  <c r="L27" i="7"/>
  <c r="Z21" i="7"/>
  <c r="Z23" i="7"/>
  <c r="Z25" i="7"/>
  <c r="Z26" i="7"/>
  <c r="AB21" i="7"/>
  <c r="AB22" i="7"/>
  <c r="AB24" i="7"/>
  <c r="AB25" i="7"/>
  <c r="AB27" i="7"/>
  <c r="AJ21" i="7"/>
  <c r="AJ22" i="7"/>
  <c r="AJ23" i="7"/>
  <c r="AJ24" i="7"/>
  <c r="AJ25" i="7"/>
  <c r="AJ26" i="7"/>
  <c r="AJ27" i="7"/>
  <c r="G21" i="7"/>
  <c r="J22" i="7"/>
  <c r="J25" i="7"/>
  <c r="L22" i="7"/>
  <c r="L25" i="7"/>
  <c r="Z22" i="7"/>
  <c r="Z24" i="7"/>
  <c r="Z27" i="7"/>
  <c r="AB23" i="7"/>
  <c r="AB26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M154" i="62"/>
  <c r="K154" i="62" s="1"/>
  <c r="M130" i="20"/>
  <c r="K130" i="20" s="1"/>
  <c r="M170" i="19"/>
  <c r="M154" i="19"/>
  <c r="L47" i="52" l="1"/>
  <c r="L47" i="51"/>
  <c r="M47" i="48"/>
  <c r="M51" i="48"/>
  <c r="M52" i="48"/>
  <c r="M50" i="48"/>
  <c r="M48" i="48"/>
  <c r="M54" i="48"/>
  <c r="M53" i="48"/>
  <c r="L47" i="48"/>
  <c r="D30" i="39"/>
  <c r="L47" i="45"/>
  <c r="L83" i="44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N11" i="56" l="1"/>
  <c r="M11" i="56"/>
  <c r="I10" i="41" l="1"/>
  <c r="J36" i="25"/>
  <c r="J35" i="25"/>
  <c r="J34" i="25"/>
  <c r="J48" i="24"/>
  <c r="J47" i="24"/>
  <c r="J46" i="24"/>
  <c r="J45" i="24"/>
  <c r="J34" i="24"/>
  <c r="J51" i="23"/>
  <c r="J49" i="23"/>
  <c r="J48" i="23"/>
  <c r="J47" i="23"/>
  <c r="J46" i="23"/>
  <c r="J45" i="23"/>
  <c r="J53" i="23"/>
  <c r="J52" i="23"/>
  <c r="J50" i="23"/>
  <c r="J34" i="23"/>
  <c r="J35" i="23"/>
  <c r="J36" i="23"/>
  <c r="J37" i="23"/>
  <c r="J38" i="23"/>
  <c r="J39" i="23"/>
  <c r="J41" i="23"/>
  <c r="J40" i="23"/>
  <c r="J36" i="22"/>
  <c r="J35" i="22"/>
  <c r="J34" i="22"/>
  <c r="J36" i="15" l="1"/>
  <c r="J53" i="15"/>
  <c r="J52" i="15"/>
  <c r="J51" i="15"/>
  <c r="J50" i="15"/>
  <c r="J49" i="15"/>
  <c r="J48" i="15"/>
  <c r="J47" i="15"/>
  <c r="J46" i="15"/>
  <c r="J45" i="15"/>
  <c r="J42" i="15"/>
  <c r="J41" i="15"/>
  <c r="J40" i="15"/>
  <c r="J39" i="15"/>
  <c r="J37" i="15"/>
  <c r="J35" i="15"/>
  <c r="J34" i="15"/>
  <c r="AW28" i="52" l="1"/>
  <c r="AW27" i="52"/>
  <c r="AR29" i="52"/>
  <c r="AR28" i="52"/>
  <c r="AR27" i="52"/>
  <c r="AM29" i="52"/>
  <c r="AM28" i="52"/>
  <c r="AM27" i="52"/>
  <c r="AH29" i="52"/>
  <c r="AH28" i="52"/>
  <c r="AH27" i="52"/>
  <c r="AC29" i="52"/>
  <c r="AC28" i="52"/>
  <c r="AC27" i="52"/>
  <c r="X29" i="52"/>
  <c r="X28" i="52"/>
  <c r="X27" i="52"/>
  <c r="S28" i="52"/>
  <c r="S29" i="52"/>
  <c r="S27" i="52"/>
  <c r="M28" i="52"/>
  <c r="M29" i="52"/>
  <c r="M27" i="52"/>
  <c r="AQ29" i="52"/>
  <c r="AL29" i="52"/>
  <c r="AG29" i="52"/>
  <c r="AB29" i="52"/>
  <c r="W29" i="52"/>
  <c r="R29" i="52"/>
  <c r="K29" i="52"/>
  <c r="J29" i="52"/>
  <c r="I29" i="52"/>
  <c r="G29" i="52"/>
  <c r="AV28" i="52"/>
  <c r="AQ28" i="52"/>
  <c r="AL28" i="52"/>
  <c r="AG28" i="52"/>
  <c r="AB28" i="52"/>
  <c r="W28" i="52"/>
  <c r="R28" i="52"/>
  <c r="T27" i="52" s="1"/>
  <c r="J28" i="52"/>
  <c r="I28" i="52"/>
  <c r="G28" i="52"/>
  <c r="AX27" i="52"/>
  <c r="AV27" i="52"/>
  <c r="AQ27" i="52"/>
  <c r="AL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R30" i="51"/>
  <c r="AR29" i="51"/>
  <c r="AR27" i="51"/>
  <c r="AM30" i="51"/>
  <c r="AM29" i="51"/>
  <c r="AM27" i="51"/>
  <c r="AH30" i="51"/>
  <c r="AH29" i="51"/>
  <c r="AH28" i="51"/>
  <c r="AH27" i="51"/>
  <c r="AC30" i="51"/>
  <c r="AC29" i="51"/>
  <c r="AC28" i="51"/>
  <c r="AC27" i="51"/>
  <c r="X30" i="51"/>
  <c r="X29" i="51"/>
  <c r="X28" i="51"/>
  <c r="X27" i="51"/>
  <c r="S28" i="51"/>
  <c r="S29" i="51"/>
  <c r="S30" i="51"/>
  <c r="S27" i="51"/>
  <c r="M28" i="51"/>
  <c r="M29" i="51"/>
  <c r="M30" i="51"/>
  <c r="M27" i="51"/>
  <c r="AV30" i="51"/>
  <c r="AW30" i="51" s="1"/>
  <c r="AQ30" i="51"/>
  <c r="AL30" i="51"/>
  <c r="AG30" i="51"/>
  <c r="AB30" i="51"/>
  <c r="W30" i="51"/>
  <c r="R30" i="51"/>
  <c r="K30" i="51"/>
  <c r="J30" i="51"/>
  <c r="I30" i="51"/>
  <c r="G30" i="51"/>
  <c r="AW29" i="51"/>
  <c r="AV29" i="51"/>
  <c r="AQ29" i="51"/>
  <c r="AL29" i="51"/>
  <c r="AG29" i="51"/>
  <c r="AB29" i="51"/>
  <c r="W29" i="51"/>
  <c r="R29" i="51"/>
  <c r="K29" i="51"/>
  <c r="J29" i="51"/>
  <c r="I29" i="51"/>
  <c r="G29" i="51"/>
  <c r="AG28" i="51"/>
  <c r="K28" i="51" s="1"/>
  <c r="AB28" i="51"/>
  <c r="W28" i="51"/>
  <c r="R28" i="51"/>
  <c r="J28" i="51"/>
  <c r="I28" i="51"/>
  <c r="G28" i="51"/>
  <c r="AW27" i="51"/>
  <c r="AV27" i="51"/>
  <c r="AX27" i="51" s="1"/>
  <c r="AQ27" i="51"/>
  <c r="AS27" i="51" s="1"/>
  <c r="AL27" i="51"/>
  <c r="K27" i="51" s="1"/>
  <c r="AG27" i="51"/>
  <c r="AI27" i="51" s="1"/>
  <c r="AB27" i="51"/>
  <c r="AD27" i="51" s="1"/>
  <c r="W27" i="51"/>
  <c r="Y27" i="51" s="1"/>
  <c r="R27" i="51"/>
  <c r="T27" i="51" s="1"/>
  <c r="J27" i="51"/>
  <c r="I27" i="51"/>
  <c r="G27" i="51"/>
  <c r="H27" i="51" s="1"/>
  <c r="AW27" i="50"/>
  <c r="AR27" i="50"/>
  <c r="AM27" i="50"/>
  <c r="AH27" i="50"/>
  <c r="AC27" i="50"/>
  <c r="X27" i="50"/>
  <c r="S27" i="50"/>
  <c r="M27" i="50"/>
  <c r="AV27" i="50"/>
  <c r="AX27" i="50" s="1"/>
  <c r="AS27" i="50"/>
  <c r="AQ27" i="50"/>
  <c r="AL27" i="50"/>
  <c r="AN27" i="50" s="1"/>
  <c r="AG27" i="50"/>
  <c r="AI27" i="50" s="1"/>
  <c r="AB27" i="50"/>
  <c r="AD27" i="50" s="1"/>
  <c r="W27" i="50"/>
  <c r="Y27" i="50" s="1"/>
  <c r="R27" i="50"/>
  <c r="T27" i="50" s="1"/>
  <c r="K27" i="50"/>
  <c r="J27" i="50"/>
  <c r="I27" i="50"/>
  <c r="G27" i="50"/>
  <c r="H27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K34" i="49" s="1"/>
  <c r="AQ34" i="49"/>
  <c r="AL34" i="49"/>
  <c r="AG34" i="49"/>
  <c r="AB34" i="49"/>
  <c r="W34" i="49"/>
  <c r="R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AQ32" i="49"/>
  <c r="K32" i="49" s="1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N27" i="49" s="1"/>
  <c r="AG29" i="49"/>
  <c r="AB29" i="49"/>
  <c r="W29" i="49"/>
  <c r="R29" i="49"/>
  <c r="J29" i="49"/>
  <c r="I29" i="49"/>
  <c r="G29" i="49"/>
  <c r="AV28" i="49"/>
  <c r="AQ28" i="49"/>
  <c r="AL28" i="49"/>
  <c r="AG28" i="49"/>
  <c r="AI27" i="49" s="1"/>
  <c r="AB28" i="49"/>
  <c r="W28" i="49"/>
  <c r="R28" i="49"/>
  <c r="J28" i="49"/>
  <c r="I28" i="49"/>
  <c r="G28" i="49"/>
  <c r="AV27" i="49"/>
  <c r="AX27" i="49" s="1"/>
  <c r="AQ27" i="49"/>
  <c r="AL27" i="49"/>
  <c r="K27" i="49" s="1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34" i="48"/>
  <c r="S33" i="48"/>
  <c r="S32" i="48"/>
  <c r="S31" i="48"/>
  <c r="S30" i="48"/>
  <c r="S29" i="48"/>
  <c r="S28" i="48"/>
  <c r="S27" i="48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28" i="48"/>
  <c r="AM29" i="48"/>
  <c r="AM30" i="48"/>
  <c r="AM31" i="48"/>
  <c r="AM32" i="48"/>
  <c r="AM33" i="48"/>
  <c r="AM34" i="48"/>
  <c r="AM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K32" i="48" s="1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Y27" i="48" s="1"/>
  <c r="R27" i="48"/>
  <c r="T27" i="48" s="1"/>
  <c r="J27" i="48"/>
  <c r="I27" i="48"/>
  <c r="H27" i="48"/>
  <c r="G27" i="48"/>
  <c r="AH27" i="47"/>
  <c r="AC27" i="47"/>
  <c r="X27" i="47"/>
  <c r="S27" i="47"/>
  <c r="AW27" i="47"/>
  <c r="AR27" i="47"/>
  <c r="AM27" i="47"/>
  <c r="M27" i="47"/>
  <c r="AV27" i="47"/>
  <c r="AX27" i="47" s="1"/>
  <c r="AQ27" i="47"/>
  <c r="AS27" i="47" s="1"/>
  <c r="AL27" i="47"/>
  <c r="AN27" i="47" s="1"/>
  <c r="AG27" i="47"/>
  <c r="AI27" i="47" s="1"/>
  <c r="AB27" i="47"/>
  <c r="K27" i="47" s="1"/>
  <c r="W27" i="47"/>
  <c r="Y27" i="47" s="1"/>
  <c r="T27" i="47"/>
  <c r="R27" i="47"/>
  <c r="J27" i="47"/>
  <c r="I27" i="47"/>
  <c r="G27" i="47"/>
  <c r="H27" i="47" s="1"/>
  <c r="AW27" i="46"/>
  <c r="AR27" i="46"/>
  <c r="AM28" i="46"/>
  <c r="AM27" i="46"/>
  <c r="AH28" i="46"/>
  <c r="AH27" i="46"/>
  <c r="AC28" i="46"/>
  <c r="AC27" i="46"/>
  <c r="X29" i="46"/>
  <c r="X28" i="46"/>
  <c r="X27" i="46"/>
  <c r="S28" i="46"/>
  <c r="S29" i="46"/>
  <c r="S27" i="46"/>
  <c r="M28" i="46"/>
  <c r="M29" i="46"/>
  <c r="M27" i="46"/>
  <c r="W29" i="46"/>
  <c r="R29" i="46"/>
  <c r="K29" i="46"/>
  <c r="J29" i="46"/>
  <c r="I29" i="46"/>
  <c r="G29" i="46"/>
  <c r="AL28" i="46"/>
  <c r="AG28" i="46"/>
  <c r="AB28" i="46"/>
  <c r="W28" i="46"/>
  <c r="R28" i="46"/>
  <c r="K28" i="46"/>
  <c r="J28" i="46"/>
  <c r="I28" i="46"/>
  <c r="G28" i="46"/>
  <c r="AV27" i="46"/>
  <c r="AX27" i="46" s="1"/>
  <c r="AQ27" i="46"/>
  <c r="AS27" i="46" s="1"/>
  <c r="AL27" i="46"/>
  <c r="AG27" i="46"/>
  <c r="AI27" i="46" s="1"/>
  <c r="AB27" i="46"/>
  <c r="K27" i="46" s="1"/>
  <c r="Y27" i="46"/>
  <c r="W27" i="46"/>
  <c r="R27" i="46"/>
  <c r="T27" i="46" s="1"/>
  <c r="J27" i="46"/>
  <c r="I27" i="46"/>
  <c r="G27" i="46"/>
  <c r="H27" i="46" s="1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35" i="45"/>
  <c r="S34" i="45"/>
  <c r="S33" i="45"/>
  <c r="S32" i="45"/>
  <c r="S31" i="45"/>
  <c r="S30" i="45"/>
  <c r="S29" i="45"/>
  <c r="S28" i="45"/>
  <c r="S27" i="45"/>
  <c r="AM28" i="45"/>
  <c r="AM29" i="45"/>
  <c r="AM30" i="45"/>
  <c r="AM31" i="45"/>
  <c r="AM32" i="45"/>
  <c r="AM33" i="45"/>
  <c r="AM34" i="45"/>
  <c r="AM35" i="45"/>
  <c r="AM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I27" i="45" s="1"/>
  <c r="AB35" i="45"/>
  <c r="W35" i="45"/>
  <c r="R35" i="45"/>
  <c r="K35" i="45"/>
  <c r="J35" i="45"/>
  <c r="I35" i="45"/>
  <c r="G35" i="45"/>
  <c r="AV34" i="45"/>
  <c r="AQ34" i="45"/>
  <c r="AL34" i="45"/>
  <c r="AG34" i="45"/>
  <c r="AB34" i="45"/>
  <c r="W34" i="45"/>
  <c r="R34" i="45"/>
  <c r="K34" i="45"/>
  <c r="J34" i="45"/>
  <c r="I34" i="45"/>
  <c r="G34" i="45"/>
  <c r="AV33" i="45"/>
  <c r="K33" i="45" s="1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N27" i="45" s="1"/>
  <c r="AG29" i="45"/>
  <c r="AB29" i="45"/>
  <c r="W29" i="45"/>
  <c r="R29" i="45"/>
  <c r="J29" i="45"/>
  <c r="I29" i="45"/>
  <c r="G29" i="45"/>
  <c r="AV28" i="45"/>
  <c r="AQ28" i="45"/>
  <c r="AL28" i="45"/>
  <c r="K28" i="45" s="1"/>
  <c r="AG28" i="45"/>
  <c r="AB28" i="45"/>
  <c r="W28" i="45"/>
  <c r="R28" i="45"/>
  <c r="J28" i="45"/>
  <c r="I28" i="45"/>
  <c r="G28" i="45"/>
  <c r="AV27" i="45"/>
  <c r="AQ27" i="45"/>
  <c r="K27" i="45" s="1"/>
  <c r="AL27" i="45"/>
  <c r="AG27" i="45"/>
  <c r="AB27" i="45"/>
  <c r="AD27" i="45" s="1"/>
  <c r="W27" i="45"/>
  <c r="R27" i="45"/>
  <c r="J27" i="45"/>
  <c r="I27" i="45"/>
  <c r="G27" i="45"/>
  <c r="H27" i="45" s="1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45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K71" i="44" s="1"/>
  <c r="AQ71" i="44"/>
  <c r="AL71" i="44"/>
  <c r="AG71" i="44"/>
  <c r="AB71" i="44"/>
  <c r="W71" i="44"/>
  <c r="R71" i="44"/>
  <c r="J71" i="44"/>
  <c r="I71" i="44"/>
  <c r="G71" i="44"/>
  <c r="AV70" i="44"/>
  <c r="K70" i="44" s="1"/>
  <c r="AQ70" i="44"/>
  <c r="AL70" i="44"/>
  <c r="AG70" i="44"/>
  <c r="AB70" i="44"/>
  <c r="W70" i="44"/>
  <c r="R70" i="44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K65" i="44" s="1"/>
  <c r="AB65" i="44"/>
  <c r="W65" i="44"/>
  <c r="R65" i="44"/>
  <c r="J65" i="44"/>
  <c r="I65" i="44"/>
  <c r="G65" i="44"/>
  <c r="AV64" i="44"/>
  <c r="AQ64" i="44"/>
  <c r="AL64" i="44"/>
  <c r="AG64" i="44"/>
  <c r="K64" i="44" s="1"/>
  <c r="AB64" i="44"/>
  <c r="W64" i="44"/>
  <c r="R64" i="44"/>
  <c r="J64" i="44"/>
  <c r="I64" i="44"/>
  <c r="G64" i="44"/>
  <c r="AV63" i="44"/>
  <c r="AQ63" i="44"/>
  <c r="AL63" i="44"/>
  <c r="AG63" i="44"/>
  <c r="AB63" i="44"/>
  <c r="K63" i="44" s="1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K60" i="44" s="1"/>
  <c r="R60" i="44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 s="1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K50" i="44" s="1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N45" i="44" s="1"/>
  <c r="AG46" i="44"/>
  <c r="AB46" i="44"/>
  <c r="W46" i="44"/>
  <c r="R46" i="44"/>
  <c r="J46" i="44"/>
  <c r="I46" i="44"/>
  <c r="G46" i="44"/>
  <c r="AV45" i="44"/>
  <c r="AS45" i="44"/>
  <c r="AQ45" i="44"/>
  <c r="AL45" i="44"/>
  <c r="AG45" i="44"/>
  <c r="AB45" i="44"/>
  <c r="W45" i="44"/>
  <c r="R45" i="44"/>
  <c r="J45" i="44"/>
  <c r="I45" i="44"/>
  <c r="G45" i="44"/>
  <c r="H45" i="44" s="1"/>
  <c r="P78" i="44"/>
  <c r="U78" i="44" s="1"/>
  <c r="B14" i="6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C20" i="7"/>
  <c r="AD20" i="7" s="1"/>
  <c r="S20" i="7"/>
  <c r="T20" i="7" s="1"/>
  <c r="M20" i="7"/>
  <c r="N20" i="7" s="1"/>
  <c r="F20" i="7"/>
  <c r="AL20" i="7" s="1"/>
  <c r="AC19" i="7"/>
  <c r="AD19" i="7" s="1"/>
  <c r="S19" i="7"/>
  <c r="T19" i="7" s="1"/>
  <c r="M19" i="7"/>
  <c r="N19" i="7" s="1"/>
  <c r="F19" i="7"/>
  <c r="AL19" i="7" s="1"/>
  <c r="AC18" i="7"/>
  <c r="AD18" i="7" s="1"/>
  <c r="S18" i="7"/>
  <c r="T18" i="7" s="1"/>
  <c r="M18" i="7"/>
  <c r="N18" i="7" s="1"/>
  <c r="F18" i="7"/>
  <c r="AL18" i="7" s="1"/>
  <c r="AC17" i="7"/>
  <c r="AD17" i="7" s="1"/>
  <c r="S17" i="7"/>
  <c r="T17" i="7" s="1"/>
  <c r="M17" i="7"/>
  <c r="N17" i="7" s="1"/>
  <c r="F17" i="7"/>
  <c r="AL17" i="7" s="1"/>
  <c r="AC16" i="7"/>
  <c r="AD16" i="7" s="1"/>
  <c r="S16" i="7"/>
  <c r="T16" i="7" s="1"/>
  <c r="M16" i="7"/>
  <c r="N16" i="7" s="1"/>
  <c r="F16" i="7"/>
  <c r="AL16" i="7" s="1"/>
  <c r="AC15" i="7"/>
  <c r="AD15" i="7" s="1"/>
  <c r="S15" i="7"/>
  <c r="T15" i="7" s="1"/>
  <c r="M15" i="7"/>
  <c r="N15" i="7" s="1"/>
  <c r="F15" i="7"/>
  <c r="AL15" i="7" s="1"/>
  <c r="AC14" i="7"/>
  <c r="AD14" i="7" s="1"/>
  <c r="S14" i="7"/>
  <c r="T14" i="7" s="1"/>
  <c r="M14" i="7"/>
  <c r="N14" i="7" s="1"/>
  <c r="F14" i="7"/>
  <c r="AL14" i="7" s="1"/>
  <c r="AS27" i="52" l="1"/>
  <c r="AN27" i="52"/>
  <c r="K28" i="52"/>
  <c r="AI27" i="52"/>
  <c r="L27" i="51"/>
  <c r="AN27" i="51"/>
  <c r="L27" i="50"/>
  <c r="AS27" i="49"/>
  <c r="K31" i="49"/>
  <c r="K30" i="49"/>
  <c r="K29" i="49"/>
  <c r="K28" i="49"/>
  <c r="AS27" i="48"/>
  <c r="K28" i="48"/>
  <c r="L27" i="47"/>
  <c r="AD27" i="47"/>
  <c r="AD27" i="46"/>
  <c r="AN27" i="46"/>
  <c r="AS27" i="45"/>
  <c r="AX27" i="45"/>
  <c r="K29" i="45"/>
  <c r="Y27" i="45"/>
  <c r="T27" i="45"/>
  <c r="K30" i="45"/>
  <c r="AX45" i="44"/>
  <c r="T45" i="44"/>
  <c r="K45" i="44"/>
  <c r="AD45" i="44"/>
  <c r="Y45" i="44"/>
  <c r="K62" i="44"/>
  <c r="K51" i="44"/>
  <c r="K49" i="44"/>
  <c r="K69" i="44"/>
  <c r="K48" i="44"/>
  <c r="K68" i="44"/>
  <c r="K47" i="44"/>
  <c r="K67" i="44"/>
  <c r="K46" i="44"/>
  <c r="K66" i="44"/>
  <c r="AI45" i="44"/>
  <c r="Z78" i="44"/>
  <c r="U79" i="44"/>
  <c r="P79" i="44"/>
  <c r="J16" i="6"/>
  <c r="J20" i="6"/>
  <c r="L14" i="6"/>
  <c r="L17" i="6"/>
  <c r="L19" i="6"/>
  <c r="P14" i="6"/>
  <c r="P17" i="6"/>
  <c r="P19" i="6"/>
  <c r="R15" i="6"/>
  <c r="R19" i="6"/>
  <c r="V18" i="6"/>
  <c r="AH19" i="6"/>
  <c r="G14" i="6"/>
  <c r="J14" i="6"/>
  <c r="J17" i="6"/>
  <c r="J18" i="6"/>
  <c r="L15" i="6"/>
  <c r="L20" i="6"/>
  <c r="P16" i="6"/>
  <c r="P18" i="6"/>
  <c r="R14" i="6"/>
  <c r="R17" i="6"/>
  <c r="V19" i="6"/>
  <c r="AJ19" i="6"/>
  <c r="J15" i="6"/>
  <c r="J19" i="6"/>
  <c r="L16" i="6"/>
  <c r="L18" i="6"/>
  <c r="P15" i="6"/>
  <c r="P20" i="6"/>
  <c r="R16" i="6"/>
  <c r="R18" i="6"/>
  <c r="R20" i="6"/>
  <c r="V14" i="6"/>
  <c r="V15" i="6"/>
  <c r="V16" i="6"/>
  <c r="V17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20" i="6"/>
  <c r="AJ14" i="6"/>
  <c r="AJ15" i="6"/>
  <c r="AJ16" i="6"/>
  <c r="AJ17" i="6"/>
  <c r="AJ18" i="6"/>
  <c r="AJ20" i="6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G14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U13" i="5"/>
  <c r="U14" i="5"/>
  <c r="U15" i="5"/>
  <c r="U16" i="5"/>
  <c r="U17" i="5"/>
  <c r="U18" i="5"/>
  <c r="U12" i="5"/>
  <c r="L27" i="52" l="1"/>
  <c r="L27" i="49"/>
  <c r="L27" i="48"/>
  <c r="L27" i="45"/>
  <c r="L45" i="44"/>
  <c r="AE78" i="44"/>
  <c r="Z79" i="44"/>
  <c r="AJ78" i="44" l="1"/>
  <c r="AE79" i="44"/>
  <c r="AO78" i="44" l="1"/>
  <c r="AJ79" i="44"/>
  <c r="AT78" i="44" l="1"/>
  <c r="AT79" i="44" s="1"/>
  <c r="AO79" i="44"/>
  <c r="B10" i="41" l="1"/>
  <c r="B9" i="41"/>
  <c r="K40" i="56"/>
  <c r="I40" i="56"/>
  <c r="G40" i="56"/>
  <c r="E40" i="56"/>
  <c r="C40" i="56"/>
  <c r="B40" i="56"/>
  <c r="N4" i="56" l="1"/>
  <c r="M4" i="56"/>
  <c r="L4" i="56"/>
  <c r="J4" i="56"/>
  <c r="H4" i="56"/>
  <c r="F4" i="56"/>
  <c r="D4" i="56"/>
  <c r="AC7" i="64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H7" i="63"/>
  <c r="AC8" i="63"/>
  <c r="H9" i="41" s="1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F9" i="41" s="1"/>
  <c r="AC7" i="63"/>
  <c r="AD7" i="63"/>
  <c r="AE7" i="63"/>
  <c r="AF7" i="63"/>
  <c r="AG7" i="63"/>
  <c r="AB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S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R20" i="63" s="1"/>
  <c r="P20" i="63"/>
  <c r="M20" i="63"/>
  <c r="K20" i="63"/>
  <c r="I20" i="63"/>
  <c r="Q19" i="63"/>
  <c r="R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R9" i="63" s="1"/>
  <c r="P9" i="63"/>
  <c r="M9" i="63"/>
  <c r="K9" i="63"/>
  <c r="I9" i="63"/>
  <c r="Q8" i="63"/>
  <c r="R8" i="63" s="1"/>
  <c r="P8" i="63"/>
  <c r="M8" i="63"/>
  <c r="K8" i="63"/>
  <c r="I8" i="63"/>
  <c r="AA7" i="63"/>
  <c r="AH9" i="63" s="1"/>
  <c r="K14" i="41" s="1"/>
  <c r="Q7" i="63"/>
  <c r="S7" i="63" s="1"/>
  <c r="P7" i="63"/>
  <c r="M7" i="63"/>
  <c r="K7" i="63"/>
  <c r="I7" i="63"/>
  <c r="B34" i="25"/>
  <c r="A34" i="25"/>
  <c r="B8" i="25"/>
  <c r="A8" i="25"/>
  <c r="AW9" i="52"/>
  <c r="AW8" i="52"/>
  <c r="AW7" i="52"/>
  <c r="AR9" i="52"/>
  <c r="AR8" i="52"/>
  <c r="AR7" i="52"/>
  <c r="AM9" i="52"/>
  <c r="AM8" i="52"/>
  <c r="AM7" i="52"/>
  <c r="AC9" i="52"/>
  <c r="AC8" i="52"/>
  <c r="AC7" i="52"/>
  <c r="X9" i="52"/>
  <c r="X8" i="52"/>
  <c r="X7" i="52"/>
  <c r="S8" i="52"/>
  <c r="S9" i="52"/>
  <c r="S7" i="52"/>
  <c r="C1" i="52"/>
  <c r="P23" i="52"/>
  <c r="U22" i="52"/>
  <c r="Z22" i="52" s="1"/>
  <c r="M8" i="52"/>
  <c r="M9" i="52"/>
  <c r="M7" i="52"/>
  <c r="AV9" i="52"/>
  <c r="AQ9" i="52"/>
  <c r="AL9" i="52"/>
  <c r="AH9" i="52"/>
  <c r="AG9" i="52"/>
  <c r="AB9" i="52"/>
  <c r="W9" i="52"/>
  <c r="R9" i="52"/>
  <c r="K9" i="52"/>
  <c r="J9" i="52"/>
  <c r="I9" i="52"/>
  <c r="G9" i="52"/>
  <c r="AV8" i="52"/>
  <c r="AQ8" i="52"/>
  <c r="AL8" i="52"/>
  <c r="AG8" i="52"/>
  <c r="AB8" i="52"/>
  <c r="W8" i="52"/>
  <c r="R8" i="52"/>
  <c r="K8" i="52"/>
  <c r="J8" i="52"/>
  <c r="I8" i="52"/>
  <c r="G8" i="52"/>
  <c r="H7" i="52" s="1"/>
  <c r="AX7" i="52"/>
  <c r="AV7" i="52"/>
  <c r="AQ7" i="52"/>
  <c r="AS7" i="52" s="1"/>
  <c r="AN7" i="52"/>
  <c r="AL7" i="52"/>
  <c r="AG7" i="52"/>
  <c r="AI7" i="52" s="1"/>
  <c r="AB7" i="52"/>
  <c r="AD7" i="52" s="1"/>
  <c r="W7" i="52"/>
  <c r="R7" i="52"/>
  <c r="K7" i="52" s="1"/>
  <c r="J7" i="52"/>
  <c r="I7" i="52"/>
  <c r="G7" i="52"/>
  <c r="U2" i="52"/>
  <c r="AW10" i="51"/>
  <c r="AW9" i="51"/>
  <c r="AW8" i="51"/>
  <c r="AW7" i="51"/>
  <c r="AR10" i="51"/>
  <c r="AR9" i="51"/>
  <c r="AR8" i="51"/>
  <c r="AR7" i="51"/>
  <c r="AM10" i="51"/>
  <c r="AM9" i="51"/>
  <c r="AM8" i="51"/>
  <c r="AM7" i="51"/>
  <c r="AH10" i="51"/>
  <c r="AH9" i="51"/>
  <c r="AH8" i="51"/>
  <c r="AH7" i="51"/>
  <c r="AC10" i="51"/>
  <c r="AC9" i="51"/>
  <c r="AC8" i="51"/>
  <c r="AC7" i="51"/>
  <c r="X10" i="51"/>
  <c r="X9" i="51"/>
  <c r="X8" i="51"/>
  <c r="X7" i="51"/>
  <c r="S10" i="51"/>
  <c r="S9" i="51"/>
  <c r="S8" i="51"/>
  <c r="S7" i="51"/>
  <c r="M10" i="51"/>
  <c r="M9" i="51"/>
  <c r="M8" i="51"/>
  <c r="M7" i="51"/>
  <c r="C1" i="51"/>
  <c r="AR7" i="50"/>
  <c r="AC7" i="50"/>
  <c r="X7" i="50"/>
  <c r="S7" i="50"/>
  <c r="AJ2" i="50"/>
  <c r="AM7" i="50"/>
  <c r="M7" i="50"/>
  <c r="C1" i="50"/>
  <c r="S15" i="49"/>
  <c r="S14" i="49"/>
  <c r="S13" i="49"/>
  <c r="S12" i="49"/>
  <c r="S11" i="49"/>
  <c r="S10" i="49"/>
  <c r="S9" i="49"/>
  <c r="S8" i="49"/>
  <c r="S7" i="49"/>
  <c r="X15" i="49"/>
  <c r="X14" i="49"/>
  <c r="X13" i="49"/>
  <c r="X12" i="49"/>
  <c r="X11" i="49"/>
  <c r="X10" i="49"/>
  <c r="X9" i="49"/>
  <c r="X8" i="49"/>
  <c r="X7" i="49"/>
  <c r="AC15" i="49"/>
  <c r="AC14" i="49"/>
  <c r="AC13" i="49"/>
  <c r="AC12" i="49"/>
  <c r="AC11" i="49"/>
  <c r="AC10" i="49"/>
  <c r="AC9" i="49"/>
  <c r="AC8" i="49"/>
  <c r="AC7" i="49"/>
  <c r="AJ2" i="49"/>
  <c r="AH15" i="49"/>
  <c r="AH14" i="49"/>
  <c r="AH13" i="49"/>
  <c r="AH12" i="49"/>
  <c r="AH11" i="49"/>
  <c r="AH10" i="49"/>
  <c r="AH9" i="49"/>
  <c r="AH8" i="49"/>
  <c r="AH7" i="49"/>
  <c r="AW15" i="49"/>
  <c r="AW14" i="49"/>
  <c r="AW13" i="49"/>
  <c r="AW12" i="49"/>
  <c r="AW11" i="49"/>
  <c r="AW10" i="49"/>
  <c r="AW9" i="49"/>
  <c r="AW8" i="49"/>
  <c r="AW7" i="49"/>
  <c r="AR15" i="49"/>
  <c r="AR14" i="49"/>
  <c r="AR13" i="49"/>
  <c r="AR12" i="49"/>
  <c r="AR11" i="49"/>
  <c r="AR10" i="49"/>
  <c r="AR9" i="49"/>
  <c r="AR8" i="49"/>
  <c r="AR7" i="49"/>
  <c r="AM8" i="49"/>
  <c r="AM9" i="49"/>
  <c r="AM10" i="49"/>
  <c r="AM11" i="49"/>
  <c r="AM12" i="49"/>
  <c r="AM13" i="49"/>
  <c r="AM14" i="49"/>
  <c r="AM15" i="49"/>
  <c r="M8" i="49"/>
  <c r="M9" i="49"/>
  <c r="M10" i="49"/>
  <c r="M11" i="49"/>
  <c r="M12" i="49"/>
  <c r="M13" i="49"/>
  <c r="M14" i="49"/>
  <c r="M15" i="49"/>
  <c r="AM7" i="49"/>
  <c r="M7" i="49"/>
  <c r="C1" i="48"/>
  <c r="C1" i="47"/>
  <c r="C1" i="46"/>
  <c r="C1" i="45"/>
  <c r="C1" i="44"/>
  <c r="E28" i="39" s="1"/>
  <c r="AW14" i="48"/>
  <c r="AW13" i="48"/>
  <c r="AW12" i="48"/>
  <c r="AW11" i="48"/>
  <c r="AW10" i="48"/>
  <c r="AW9" i="48"/>
  <c r="AW8" i="48"/>
  <c r="AW7" i="48"/>
  <c r="AR14" i="48"/>
  <c r="AR13" i="48"/>
  <c r="AR12" i="48"/>
  <c r="AR11" i="48"/>
  <c r="AR10" i="48"/>
  <c r="AR9" i="48"/>
  <c r="AR8" i="48"/>
  <c r="AR7" i="48"/>
  <c r="AM14" i="48"/>
  <c r="AM13" i="48"/>
  <c r="AM12" i="48"/>
  <c r="AM11" i="48"/>
  <c r="AM10" i="48"/>
  <c r="AM9" i="48"/>
  <c r="AM8" i="48"/>
  <c r="AM7" i="48"/>
  <c r="AH14" i="48"/>
  <c r="AH13" i="48"/>
  <c r="AH12" i="48"/>
  <c r="AH11" i="48"/>
  <c r="AH10" i="48"/>
  <c r="AH9" i="48"/>
  <c r="AH8" i="48"/>
  <c r="AH7" i="48"/>
  <c r="X14" i="48"/>
  <c r="X13" i="48"/>
  <c r="X12" i="48"/>
  <c r="X11" i="48"/>
  <c r="X10" i="48"/>
  <c r="X9" i="48"/>
  <c r="X8" i="48"/>
  <c r="X7" i="48"/>
  <c r="S8" i="48"/>
  <c r="S9" i="48"/>
  <c r="S10" i="48"/>
  <c r="S11" i="48"/>
  <c r="S12" i="48"/>
  <c r="S13" i="48"/>
  <c r="S14" i="48"/>
  <c r="S7" i="48"/>
  <c r="M8" i="48"/>
  <c r="M9" i="48"/>
  <c r="M10" i="48"/>
  <c r="M11" i="48"/>
  <c r="M12" i="48"/>
  <c r="M13" i="48"/>
  <c r="M14" i="48"/>
  <c r="M7" i="48"/>
  <c r="AW7" i="47"/>
  <c r="AR7" i="47"/>
  <c r="AM7" i="47"/>
  <c r="AH7" i="47"/>
  <c r="AC7" i="47"/>
  <c r="X7" i="47"/>
  <c r="S7" i="47"/>
  <c r="M7" i="47"/>
  <c r="P3" i="46"/>
  <c r="AW9" i="46"/>
  <c r="AW8" i="46"/>
  <c r="AW7" i="46"/>
  <c r="AR9" i="46"/>
  <c r="AR8" i="46"/>
  <c r="AR7" i="46"/>
  <c r="AM9" i="46"/>
  <c r="AM8" i="46"/>
  <c r="AM7" i="46"/>
  <c r="AH9" i="46"/>
  <c r="AH8" i="46"/>
  <c r="AH7" i="46"/>
  <c r="AC9" i="46"/>
  <c r="AC8" i="46"/>
  <c r="AC7" i="46"/>
  <c r="X9" i="46"/>
  <c r="X8" i="46"/>
  <c r="X7" i="46"/>
  <c r="S8" i="46"/>
  <c r="S9" i="46"/>
  <c r="S7" i="46"/>
  <c r="M8" i="46"/>
  <c r="M9" i="46"/>
  <c r="M7" i="46"/>
  <c r="AW15" i="45"/>
  <c r="AW14" i="45"/>
  <c r="AW13" i="45"/>
  <c r="AW12" i="45"/>
  <c r="AW11" i="45"/>
  <c r="AW10" i="45"/>
  <c r="AW9" i="45"/>
  <c r="AW8" i="45"/>
  <c r="AW7" i="45"/>
  <c r="AR15" i="45"/>
  <c r="AR14" i="45"/>
  <c r="AR13" i="45"/>
  <c r="AR12" i="45"/>
  <c r="AR11" i="45"/>
  <c r="AR10" i="45"/>
  <c r="AR9" i="45"/>
  <c r="AR8" i="45"/>
  <c r="AR7" i="45"/>
  <c r="AM15" i="45"/>
  <c r="AM14" i="45"/>
  <c r="AM13" i="45"/>
  <c r="AM12" i="45"/>
  <c r="AM11" i="45"/>
  <c r="AM10" i="45"/>
  <c r="AM9" i="45"/>
  <c r="AM8" i="45"/>
  <c r="AM7" i="45"/>
  <c r="AH15" i="45"/>
  <c r="AH14" i="45"/>
  <c r="AH13" i="45"/>
  <c r="AH12" i="45"/>
  <c r="AH11" i="45"/>
  <c r="AH10" i="45"/>
  <c r="AH9" i="45"/>
  <c r="AH8" i="45"/>
  <c r="AH7" i="45"/>
  <c r="AC15" i="45"/>
  <c r="AC14" i="45"/>
  <c r="AC13" i="45"/>
  <c r="AC12" i="45"/>
  <c r="AC11" i="45"/>
  <c r="AC10" i="45"/>
  <c r="AC9" i="45"/>
  <c r="AC8" i="45"/>
  <c r="AC7" i="45"/>
  <c r="X15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15" i="45"/>
  <c r="S7" i="45"/>
  <c r="M8" i="45"/>
  <c r="M9" i="45"/>
  <c r="M10" i="45"/>
  <c r="M11" i="45"/>
  <c r="M12" i="45"/>
  <c r="M13" i="45"/>
  <c r="M14" i="45"/>
  <c r="M15" i="45"/>
  <c r="M7" i="45"/>
  <c r="AW36" i="44"/>
  <c r="AW35" i="44"/>
  <c r="AW34" i="44"/>
  <c r="AW33" i="44"/>
  <c r="AW32" i="44"/>
  <c r="AW31" i="44"/>
  <c r="AW30" i="44"/>
  <c r="AW29" i="44"/>
  <c r="AW28" i="44"/>
  <c r="AW27" i="44"/>
  <c r="AW26" i="44"/>
  <c r="AW25" i="44"/>
  <c r="AW24" i="44"/>
  <c r="AW23" i="44"/>
  <c r="AW22" i="44"/>
  <c r="AW21" i="44"/>
  <c r="AW19" i="44"/>
  <c r="AW18" i="44"/>
  <c r="AW17" i="44"/>
  <c r="AW16" i="44"/>
  <c r="AW15" i="44"/>
  <c r="AW14" i="44"/>
  <c r="AW13" i="44"/>
  <c r="AW12" i="44"/>
  <c r="AW11" i="44"/>
  <c r="AW10" i="44"/>
  <c r="AW9" i="44"/>
  <c r="AW8" i="44"/>
  <c r="AW7" i="44"/>
  <c r="AR36" i="44"/>
  <c r="AR35" i="44"/>
  <c r="AR34" i="44"/>
  <c r="AR33" i="44"/>
  <c r="AR32" i="44"/>
  <c r="AR31" i="44"/>
  <c r="AR30" i="44"/>
  <c r="AR29" i="44"/>
  <c r="AR28" i="44"/>
  <c r="AR27" i="44"/>
  <c r="AR26" i="44"/>
  <c r="AR25" i="44"/>
  <c r="AR24" i="44"/>
  <c r="AR23" i="44"/>
  <c r="AR22" i="44"/>
  <c r="AR21" i="44"/>
  <c r="AR19" i="44"/>
  <c r="AR18" i="44"/>
  <c r="AR17" i="44"/>
  <c r="AR16" i="44"/>
  <c r="AR15" i="44"/>
  <c r="AR14" i="44"/>
  <c r="AR13" i="44"/>
  <c r="AR12" i="44"/>
  <c r="AR11" i="44"/>
  <c r="AR10" i="44"/>
  <c r="AR9" i="44"/>
  <c r="AR8" i="44"/>
  <c r="AR7" i="44"/>
  <c r="AM36" i="44"/>
  <c r="AM35" i="44"/>
  <c r="AM34" i="44"/>
  <c r="AM33" i="44"/>
  <c r="AM32" i="44"/>
  <c r="AM31" i="44"/>
  <c r="AM30" i="44"/>
  <c r="AM29" i="44"/>
  <c r="AM28" i="44"/>
  <c r="AM27" i="44"/>
  <c r="AM26" i="44"/>
  <c r="AM25" i="44"/>
  <c r="AM24" i="44"/>
  <c r="AM23" i="44"/>
  <c r="AM22" i="44"/>
  <c r="AM21" i="44"/>
  <c r="AM19" i="44"/>
  <c r="AM18" i="44"/>
  <c r="AM17" i="44"/>
  <c r="AM16" i="44"/>
  <c r="AM15" i="44"/>
  <c r="AM14" i="44"/>
  <c r="AM13" i="44"/>
  <c r="AM12" i="44"/>
  <c r="AM11" i="44"/>
  <c r="AM10" i="44"/>
  <c r="AM9" i="44"/>
  <c r="AM8" i="44"/>
  <c r="AM7" i="44"/>
  <c r="AH36" i="44"/>
  <c r="AH35" i="44"/>
  <c r="AH34" i="44"/>
  <c r="AH33" i="44"/>
  <c r="AH32" i="44"/>
  <c r="AH31" i="44"/>
  <c r="AH30" i="44"/>
  <c r="AH29" i="44"/>
  <c r="AH28" i="44"/>
  <c r="AH27" i="44"/>
  <c r="AH26" i="44"/>
  <c r="AH25" i="44"/>
  <c r="AH24" i="44"/>
  <c r="AH23" i="44"/>
  <c r="AH22" i="44"/>
  <c r="AH21" i="44"/>
  <c r="AH19" i="44"/>
  <c r="AH18" i="44"/>
  <c r="AH17" i="44"/>
  <c r="AH16" i="44"/>
  <c r="AH15" i="44"/>
  <c r="AH14" i="44"/>
  <c r="AH13" i="44"/>
  <c r="AH12" i="44"/>
  <c r="AH11" i="44"/>
  <c r="AH10" i="44"/>
  <c r="AH9" i="44"/>
  <c r="AH8" i="44"/>
  <c r="AH7" i="44"/>
  <c r="AC36" i="44"/>
  <c r="AC35" i="44"/>
  <c r="AC34" i="44"/>
  <c r="AC33" i="44"/>
  <c r="AC32" i="44"/>
  <c r="AC31" i="44"/>
  <c r="AC30" i="44"/>
  <c r="AC29" i="44"/>
  <c r="AC28" i="44"/>
  <c r="AC27" i="44"/>
  <c r="AC26" i="44"/>
  <c r="AC25" i="44"/>
  <c r="AC24" i="44"/>
  <c r="AC23" i="44"/>
  <c r="AC22" i="44"/>
  <c r="AC21" i="44"/>
  <c r="AC19" i="44"/>
  <c r="AC18" i="44"/>
  <c r="AC17" i="44"/>
  <c r="AC16" i="44"/>
  <c r="AC15" i="44"/>
  <c r="AC14" i="44"/>
  <c r="AC13" i="44"/>
  <c r="AC12" i="44"/>
  <c r="AC11" i="44"/>
  <c r="AC10" i="44"/>
  <c r="AC9" i="44"/>
  <c r="AC8" i="44"/>
  <c r="AC7" i="44"/>
  <c r="X37" i="44"/>
  <c r="X36" i="44"/>
  <c r="X35" i="44"/>
  <c r="X34" i="44"/>
  <c r="X33" i="44"/>
  <c r="X32" i="44"/>
  <c r="X31" i="44"/>
  <c r="X30" i="44"/>
  <c r="X29" i="44"/>
  <c r="X28" i="44"/>
  <c r="X27" i="44"/>
  <c r="X26" i="44"/>
  <c r="X25" i="44"/>
  <c r="X24" i="44"/>
  <c r="X23" i="44"/>
  <c r="X22" i="44"/>
  <c r="X21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S8" i="44"/>
  <c r="S9" i="44"/>
  <c r="S10" i="44"/>
  <c r="S11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S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7" i="44"/>
  <c r="U23" i="51"/>
  <c r="P23" i="51"/>
  <c r="U22" i="51"/>
  <c r="Z22" i="51" s="1"/>
  <c r="AV10" i="51"/>
  <c r="AQ10" i="51"/>
  <c r="AL10" i="51"/>
  <c r="AG10" i="51"/>
  <c r="AB10" i="51"/>
  <c r="W10" i="51"/>
  <c r="R10" i="51"/>
  <c r="J10" i="51"/>
  <c r="I10" i="51"/>
  <c r="G10" i="51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S7" i="51" s="1"/>
  <c r="AL7" i="51"/>
  <c r="AN7" i="51" s="1"/>
  <c r="AI7" i="51"/>
  <c r="AG7" i="51"/>
  <c r="AB7" i="51"/>
  <c r="Y7" i="51"/>
  <c r="W7" i="51"/>
  <c r="R7" i="51"/>
  <c r="K7" i="51" s="1"/>
  <c r="J7" i="51"/>
  <c r="I7" i="51"/>
  <c r="G7" i="51"/>
  <c r="H7" i="51" s="1"/>
  <c r="P3" i="51"/>
  <c r="P23" i="50"/>
  <c r="U22" i="50"/>
  <c r="Z22" i="50" s="1"/>
  <c r="AV7" i="50"/>
  <c r="AX7" i="50" s="1"/>
  <c r="AS7" i="50"/>
  <c r="AQ7" i="50"/>
  <c r="AL7" i="50"/>
  <c r="AN7" i="50" s="1"/>
  <c r="AI7" i="50"/>
  <c r="AG7" i="50"/>
  <c r="AH7" i="50" s="1"/>
  <c r="AB7" i="50"/>
  <c r="Y7" i="50"/>
  <c r="W7" i="50"/>
  <c r="K7" i="50" s="1"/>
  <c r="T7" i="50"/>
  <c r="R7" i="50"/>
  <c r="J7" i="50"/>
  <c r="I7" i="50"/>
  <c r="G7" i="50"/>
  <c r="H7" i="50" s="1"/>
  <c r="U3" i="50"/>
  <c r="P3" i="50"/>
  <c r="Z2" i="50"/>
  <c r="Z3" i="50" s="1"/>
  <c r="U2" i="50"/>
  <c r="AX47" i="49"/>
  <c r="AS47" i="49"/>
  <c r="AN47" i="49"/>
  <c r="AI47" i="49"/>
  <c r="AD47" i="49"/>
  <c r="Y47" i="49"/>
  <c r="T47" i="49"/>
  <c r="L47" i="49"/>
  <c r="H47" i="49"/>
  <c r="P23" i="49"/>
  <c r="U22" i="49"/>
  <c r="U23" i="49" s="1"/>
  <c r="AV15" i="49"/>
  <c r="AQ15" i="49"/>
  <c r="AL15" i="49"/>
  <c r="AG15" i="49"/>
  <c r="AB15" i="49"/>
  <c r="W15" i="49"/>
  <c r="R15" i="49"/>
  <c r="K15" i="49"/>
  <c r="J15" i="49"/>
  <c r="I15" i="49"/>
  <c r="G15" i="49"/>
  <c r="AV14" i="49"/>
  <c r="AQ14" i="49"/>
  <c r="AL14" i="49"/>
  <c r="AG14" i="49"/>
  <c r="AB14" i="49"/>
  <c r="W14" i="49"/>
  <c r="R14" i="49"/>
  <c r="K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N7" i="49" s="1"/>
  <c r="AG9" i="49"/>
  <c r="AB9" i="49"/>
  <c r="W9" i="49"/>
  <c r="R9" i="49"/>
  <c r="J9" i="49"/>
  <c r="I9" i="49"/>
  <c r="G9" i="49"/>
  <c r="AV8" i="49"/>
  <c r="AQ8" i="49"/>
  <c r="AL8" i="49"/>
  <c r="K8" i="49" s="1"/>
  <c r="AG8" i="49"/>
  <c r="AB8" i="49"/>
  <c r="W8" i="49"/>
  <c r="R8" i="49"/>
  <c r="J8" i="49"/>
  <c r="I8" i="49"/>
  <c r="G8" i="49"/>
  <c r="AV7" i="49"/>
  <c r="AX7" i="49" s="1"/>
  <c r="AQ7" i="49"/>
  <c r="AL7" i="49"/>
  <c r="AG7" i="49"/>
  <c r="AI7" i="49" s="1"/>
  <c r="AB7" i="49"/>
  <c r="W7" i="49"/>
  <c r="R7" i="49"/>
  <c r="J7" i="49"/>
  <c r="I7" i="49"/>
  <c r="G7" i="49"/>
  <c r="H7" i="49" s="1"/>
  <c r="P3" i="49"/>
  <c r="P23" i="48"/>
  <c r="U22" i="48"/>
  <c r="U23" i="48" s="1"/>
  <c r="AV14" i="48"/>
  <c r="AQ14" i="48"/>
  <c r="AL14" i="48"/>
  <c r="AG14" i="48"/>
  <c r="AB14" i="48"/>
  <c r="W14" i="48"/>
  <c r="R14" i="48"/>
  <c r="K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K11" i="48" s="1"/>
  <c r="AG11" i="48"/>
  <c r="AB11" i="48"/>
  <c r="W11" i="48"/>
  <c r="R11" i="48"/>
  <c r="J11" i="48"/>
  <c r="I11" i="48"/>
  <c r="G11" i="48"/>
  <c r="AV10" i="48"/>
  <c r="AQ10" i="48"/>
  <c r="AL10" i="48"/>
  <c r="AG10" i="48"/>
  <c r="K10" i="48" s="1"/>
  <c r="AB10" i="48"/>
  <c r="W10" i="48"/>
  <c r="R10" i="48"/>
  <c r="J10" i="48"/>
  <c r="I10" i="48"/>
  <c r="G10" i="48"/>
  <c r="AV9" i="48"/>
  <c r="AQ9" i="48"/>
  <c r="AL9" i="48"/>
  <c r="AG9" i="48"/>
  <c r="AB9" i="48"/>
  <c r="K9" i="48" s="1"/>
  <c r="W9" i="48"/>
  <c r="R9" i="48"/>
  <c r="J9" i="48"/>
  <c r="I9" i="48"/>
  <c r="G9" i="48"/>
  <c r="AV8" i="48"/>
  <c r="AQ8" i="48"/>
  <c r="AL8" i="48"/>
  <c r="AG8" i="48"/>
  <c r="AB8" i="48"/>
  <c r="W8" i="48"/>
  <c r="R8" i="48"/>
  <c r="J8" i="48"/>
  <c r="I8" i="48"/>
  <c r="G8" i="48"/>
  <c r="AV7" i="48"/>
  <c r="AX7" i="48" s="1"/>
  <c r="AQ7" i="48"/>
  <c r="AS7" i="48" s="1"/>
  <c r="AL7" i="48"/>
  <c r="AN7" i="48" s="1"/>
  <c r="AG7" i="48"/>
  <c r="AI7" i="48" s="1"/>
  <c r="AB7" i="48"/>
  <c r="K7" i="48" s="1"/>
  <c r="W7" i="48"/>
  <c r="Y7" i="48" s="1"/>
  <c r="R7" i="48"/>
  <c r="T7" i="48" s="1"/>
  <c r="J7" i="48"/>
  <c r="I7" i="48"/>
  <c r="G7" i="48"/>
  <c r="H7" i="48" s="1"/>
  <c r="P3" i="48"/>
  <c r="U2" i="48"/>
  <c r="P23" i="47"/>
  <c r="U22" i="47"/>
  <c r="U23" i="47" s="1"/>
  <c r="AV7" i="47"/>
  <c r="AX7" i="47" s="1"/>
  <c r="AS7" i="47"/>
  <c r="AQ7" i="47"/>
  <c r="AL7" i="47"/>
  <c r="AN7" i="47" s="1"/>
  <c r="AG7" i="47"/>
  <c r="AI7" i="47" s="1"/>
  <c r="AB7" i="47"/>
  <c r="AD7" i="47" s="1"/>
  <c r="W7" i="47"/>
  <c r="K7" i="47" s="1"/>
  <c r="T7" i="47"/>
  <c r="R7" i="47"/>
  <c r="J7" i="47"/>
  <c r="I7" i="47"/>
  <c r="G7" i="47"/>
  <c r="H7" i="47" s="1"/>
  <c r="P3" i="47"/>
  <c r="U2" i="47"/>
  <c r="P23" i="46"/>
  <c r="U22" i="46"/>
  <c r="U23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S7" i="46"/>
  <c r="AQ7" i="46"/>
  <c r="AL7" i="46"/>
  <c r="AN7" i="46" s="1"/>
  <c r="AG7" i="46"/>
  <c r="AI7" i="46" s="1"/>
  <c r="AB7" i="46"/>
  <c r="AD7" i="46" s="1"/>
  <c r="Y7" i="46"/>
  <c r="W7" i="46"/>
  <c r="R7" i="46"/>
  <c r="K7" i="46" s="1"/>
  <c r="J7" i="46"/>
  <c r="I7" i="46"/>
  <c r="G7" i="46"/>
  <c r="H7" i="46" s="1"/>
  <c r="P82" i="45"/>
  <c r="U82" i="45" s="1"/>
  <c r="P62" i="45"/>
  <c r="P63" i="45" s="1"/>
  <c r="AV15" i="45"/>
  <c r="AQ15" i="45"/>
  <c r="AL15" i="45"/>
  <c r="AG15" i="45"/>
  <c r="AB15" i="45"/>
  <c r="W15" i="45"/>
  <c r="R15" i="45"/>
  <c r="K15" i="45"/>
  <c r="J15" i="45"/>
  <c r="I15" i="45"/>
  <c r="G15" i="45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K13" i="45" s="1"/>
  <c r="AQ13" i="45"/>
  <c r="AL13" i="45"/>
  <c r="AG13" i="45"/>
  <c r="AB13" i="45"/>
  <c r="W13" i="45"/>
  <c r="R13" i="45"/>
  <c r="J13" i="45"/>
  <c r="I13" i="45"/>
  <c r="G13" i="45"/>
  <c r="AV12" i="45"/>
  <c r="K12" i="45" s="1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K10" i="45" s="1"/>
  <c r="AL10" i="45"/>
  <c r="AG10" i="45"/>
  <c r="AI7" i="45" s="1"/>
  <c r="AB10" i="45"/>
  <c r="W10" i="45"/>
  <c r="R10" i="45"/>
  <c r="J10" i="45"/>
  <c r="I10" i="45"/>
  <c r="G10" i="45"/>
  <c r="AV9" i="45"/>
  <c r="AQ9" i="45"/>
  <c r="AL9" i="45"/>
  <c r="K9" i="45" s="1"/>
  <c r="AG9" i="45"/>
  <c r="AB9" i="45"/>
  <c r="W9" i="45"/>
  <c r="R9" i="45"/>
  <c r="J9" i="45"/>
  <c r="I9" i="45"/>
  <c r="G9" i="45"/>
  <c r="AV8" i="45"/>
  <c r="AQ8" i="45"/>
  <c r="AL8" i="45"/>
  <c r="AG8" i="45"/>
  <c r="AB8" i="45"/>
  <c r="W8" i="45"/>
  <c r="R8" i="45"/>
  <c r="J8" i="45"/>
  <c r="I8" i="45"/>
  <c r="G8" i="45"/>
  <c r="AV7" i="45"/>
  <c r="AX7" i="45" s="1"/>
  <c r="AQ7" i="45"/>
  <c r="K7" i="45" s="1"/>
  <c r="AL7" i="45"/>
  <c r="AG7" i="45"/>
  <c r="AB7" i="45"/>
  <c r="AD7" i="45" s="1"/>
  <c r="W7" i="45"/>
  <c r="R7" i="45"/>
  <c r="T7" i="45" s="1"/>
  <c r="J7" i="45"/>
  <c r="I7" i="45"/>
  <c r="G7" i="45"/>
  <c r="H7" i="45" s="1"/>
  <c r="P3" i="45"/>
  <c r="P116" i="44"/>
  <c r="P117" i="44" s="1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K35" i="44" s="1"/>
  <c r="R35" i="44"/>
  <c r="J35" i="44"/>
  <c r="I35" i="44"/>
  <c r="G35" i="44"/>
  <c r="AV34" i="44"/>
  <c r="AQ34" i="44"/>
  <c r="AL34" i="44"/>
  <c r="AG34" i="44"/>
  <c r="AB34" i="44"/>
  <c r="W34" i="44"/>
  <c r="K34" i="44" s="1"/>
  <c r="R34" i="44"/>
  <c r="J34" i="44"/>
  <c r="I34" i="44"/>
  <c r="G34" i="44"/>
  <c r="AV33" i="44"/>
  <c r="AQ33" i="44"/>
  <c r="AL33" i="44"/>
  <c r="AG33" i="44"/>
  <c r="AB33" i="44"/>
  <c r="W33" i="44"/>
  <c r="R33" i="44"/>
  <c r="K33" i="44" s="1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K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K29" i="44"/>
  <c r="J29" i="44"/>
  <c r="I29" i="44"/>
  <c r="G29" i="44"/>
  <c r="AV28" i="44"/>
  <c r="AQ28" i="44"/>
  <c r="AL28" i="44"/>
  <c r="AG28" i="44"/>
  <c r="AB28" i="44"/>
  <c r="W28" i="44"/>
  <c r="R28" i="44"/>
  <c r="K28" i="44"/>
  <c r="J28" i="44"/>
  <c r="I28" i="44"/>
  <c r="G28" i="44"/>
  <c r="AV27" i="44"/>
  <c r="AQ27" i="44"/>
  <c r="AL27" i="44"/>
  <c r="AG27" i="44"/>
  <c r="AB27" i="44"/>
  <c r="W27" i="44"/>
  <c r="R27" i="44"/>
  <c r="K27" i="44"/>
  <c r="J27" i="44"/>
  <c r="I27" i="44"/>
  <c r="G27" i="44"/>
  <c r="AV26" i="44"/>
  <c r="AQ26" i="44"/>
  <c r="AL26" i="44"/>
  <c r="AG26" i="44"/>
  <c r="AB26" i="44"/>
  <c r="W26" i="44"/>
  <c r="R26" i="44"/>
  <c r="K26" i="44"/>
  <c r="J26" i="44"/>
  <c r="I26" i="44"/>
  <c r="G26" i="44"/>
  <c r="AV25" i="44"/>
  <c r="K25" i="44" s="1"/>
  <c r="AQ25" i="44"/>
  <c r="AL25" i="44"/>
  <c r="AG25" i="44"/>
  <c r="AB25" i="44"/>
  <c r="W25" i="44"/>
  <c r="R25" i="44"/>
  <c r="J25" i="44"/>
  <c r="I25" i="44"/>
  <c r="G25" i="44"/>
  <c r="AV24" i="44"/>
  <c r="K24" i="44" s="1"/>
  <c r="AQ24" i="44"/>
  <c r="AL24" i="44"/>
  <c r="AG24" i="44"/>
  <c r="AB24" i="44"/>
  <c r="W24" i="44"/>
  <c r="R24" i="44"/>
  <c r="J24" i="44"/>
  <c r="I24" i="44"/>
  <c r="G24" i="44"/>
  <c r="AV23" i="44"/>
  <c r="AQ23" i="44"/>
  <c r="K23" i="44" s="1"/>
  <c r="AL23" i="44"/>
  <c r="AG23" i="44"/>
  <c r="AB23" i="44"/>
  <c r="W23" i="44"/>
  <c r="R23" i="44"/>
  <c r="J23" i="44"/>
  <c r="I23" i="44"/>
  <c r="G23" i="44"/>
  <c r="AV22" i="44"/>
  <c r="AQ22" i="44"/>
  <c r="K22" i="44" s="1"/>
  <c r="AL22" i="44"/>
  <c r="AG22" i="44"/>
  <c r="AB22" i="44"/>
  <c r="W22" i="44"/>
  <c r="R22" i="44"/>
  <c r="J22" i="44"/>
  <c r="I22" i="44"/>
  <c r="G22" i="44"/>
  <c r="AV21" i="44"/>
  <c r="AQ21" i="44"/>
  <c r="AL21" i="44"/>
  <c r="K21" i="44" s="1"/>
  <c r="AG21" i="44"/>
  <c r="AB21" i="44"/>
  <c r="W21" i="44"/>
  <c r="R21" i="44"/>
  <c r="J21" i="44"/>
  <c r="I21" i="44"/>
  <c r="G21" i="44"/>
  <c r="W20" i="44"/>
  <c r="R20" i="44"/>
  <c r="K20" i="44"/>
  <c r="J20" i="44"/>
  <c r="I20" i="44"/>
  <c r="G20" i="44"/>
  <c r="AV19" i="44"/>
  <c r="AQ19" i="44"/>
  <c r="AL19" i="44"/>
  <c r="AG19" i="44"/>
  <c r="AB19" i="44"/>
  <c r="W19" i="44"/>
  <c r="R19" i="44"/>
  <c r="K19" i="44"/>
  <c r="J19" i="44"/>
  <c r="I19" i="44"/>
  <c r="G19" i="44"/>
  <c r="AV18" i="44"/>
  <c r="AQ18" i="44"/>
  <c r="AL18" i="44"/>
  <c r="AG18" i="44"/>
  <c r="AB18" i="44"/>
  <c r="W18" i="44"/>
  <c r="R18" i="44"/>
  <c r="K18" i="44"/>
  <c r="J18" i="44"/>
  <c r="I18" i="44"/>
  <c r="G18" i="44"/>
  <c r="AV17" i="44"/>
  <c r="AQ17" i="44"/>
  <c r="AL17" i="44"/>
  <c r="AG17" i="44"/>
  <c r="AB17" i="44"/>
  <c r="W17" i="44"/>
  <c r="R17" i="44"/>
  <c r="K17" i="44"/>
  <c r="J17" i="44"/>
  <c r="I17" i="44"/>
  <c r="G17" i="44"/>
  <c r="AV16" i="44"/>
  <c r="AQ16" i="44"/>
  <c r="AL16" i="44"/>
  <c r="AG16" i="44"/>
  <c r="AB16" i="44"/>
  <c r="W16" i="44"/>
  <c r="R16" i="44"/>
  <c r="K16" i="44"/>
  <c r="J16" i="44"/>
  <c r="I16" i="44"/>
  <c r="G16" i="44"/>
  <c r="AV15" i="44"/>
  <c r="K15" i="44" s="1"/>
  <c r="AQ15" i="44"/>
  <c r="AL15" i="44"/>
  <c r="AG15" i="44"/>
  <c r="AB15" i="44"/>
  <c r="W15" i="44"/>
  <c r="R15" i="44"/>
  <c r="J15" i="44"/>
  <c r="I15" i="44"/>
  <c r="G15" i="44"/>
  <c r="AV14" i="44"/>
  <c r="K14" i="44" s="1"/>
  <c r="AQ14" i="44"/>
  <c r="AL14" i="44"/>
  <c r="AG14" i="44"/>
  <c r="AB14" i="44"/>
  <c r="W14" i="44"/>
  <c r="R14" i="44"/>
  <c r="J14" i="44"/>
  <c r="I14" i="44"/>
  <c r="G14" i="44"/>
  <c r="AV13" i="44"/>
  <c r="AQ13" i="44"/>
  <c r="K13" i="44" s="1"/>
  <c r="AL13" i="44"/>
  <c r="AG13" i="44"/>
  <c r="AB13" i="44"/>
  <c r="W13" i="44"/>
  <c r="R13" i="44"/>
  <c r="J13" i="44"/>
  <c r="I13" i="44"/>
  <c r="G13" i="44"/>
  <c r="AV12" i="44"/>
  <c r="AQ12" i="44"/>
  <c r="K12" i="44" s="1"/>
  <c r="AL12" i="44"/>
  <c r="AG12" i="44"/>
  <c r="AB12" i="44"/>
  <c r="W12" i="44"/>
  <c r="R12" i="44"/>
  <c r="J12" i="44"/>
  <c r="I12" i="44"/>
  <c r="G12" i="44"/>
  <c r="AV11" i="44"/>
  <c r="AQ11" i="44"/>
  <c r="AL11" i="44"/>
  <c r="K11" i="44" s="1"/>
  <c r="AG11" i="44"/>
  <c r="AB11" i="44"/>
  <c r="W11" i="44"/>
  <c r="R11" i="44"/>
  <c r="J11" i="44"/>
  <c r="I11" i="44"/>
  <c r="G11" i="44"/>
  <c r="AV10" i="44"/>
  <c r="AQ10" i="44"/>
  <c r="AL10" i="44"/>
  <c r="K10" i="44" s="1"/>
  <c r="AG10" i="44"/>
  <c r="AB10" i="44"/>
  <c r="W10" i="44"/>
  <c r="R10" i="44"/>
  <c r="J10" i="44"/>
  <c r="I10" i="44"/>
  <c r="G10" i="44"/>
  <c r="AV9" i="44"/>
  <c r="AQ9" i="44"/>
  <c r="AL9" i="44"/>
  <c r="AG9" i="44"/>
  <c r="K9" i="44" s="1"/>
  <c r="AB9" i="44"/>
  <c r="W9" i="44"/>
  <c r="R9" i="44"/>
  <c r="J9" i="44"/>
  <c r="I9" i="44"/>
  <c r="G9" i="44"/>
  <c r="AV8" i="44"/>
  <c r="AQ8" i="44"/>
  <c r="AL8" i="44"/>
  <c r="AG8" i="44"/>
  <c r="K8" i="44" s="1"/>
  <c r="AB8" i="44"/>
  <c r="W8" i="44"/>
  <c r="R8" i="44"/>
  <c r="J8" i="44"/>
  <c r="I8" i="44"/>
  <c r="G8" i="44"/>
  <c r="AV7" i="44"/>
  <c r="AQ7" i="44"/>
  <c r="AL7" i="44"/>
  <c r="K7" i="44" s="1"/>
  <c r="AG7" i="44"/>
  <c r="AB7" i="44"/>
  <c r="W7" i="44"/>
  <c r="R7" i="44"/>
  <c r="J7" i="44"/>
  <c r="I7" i="44"/>
  <c r="G7" i="44"/>
  <c r="H7" i="44" s="1"/>
  <c r="P3" i="44"/>
  <c r="K37" i="3"/>
  <c r="AF9" i="63" l="1"/>
  <c r="G14" i="41" s="1"/>
  <c r="C1" i="49"/>
  <c r="AB9" i="64"/>
  <c r="G10" i="41" s="1"/>
  <c r="AC9" i="64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R18" i="63"/>
  <c r="AG9" i="63"/>
  <c r="I14" i="41" s="1"/>
  <c r="S9" i="63"/>
  <c r="S13" i="63"/>
  <c r="R16" i="63"/>
  <c r="S8" i="63"/>
  <c r="R24" i="63"/>
  <c r="S14" i="63"/>
  <c r="S11" i="63"/>
  <c r="S25" i="63"/>
  <c r="AB9" i="63"/>
  <c r="G9" i="41" s="1"/>
  <c r="AC9" i="63"/>
  <c r="I9" i="41" s="1"/>
  <c r="R15" i="63"/>
  <c r="R21" i="63"/>
  <c r="R23" i="63"/>
  <c r="R10" i="63"/>
  <c r="R7" i="63"/>
  <c r="S22" i="63"/>
  <c r="S19" i="63"/>
  <c r="AE9" i="63"/>
  <c r="M9" i="41" s="1"/>
  <c r="S20" i="63"/>
  <c r="R17" i="63"/>
  <c r="AD9" i="63"/>
  <c r="K9" i="41" s="1"/>
  <c r="R12" i="63"/>
  <c r="R26" i="63"/>
  <c r="Z23" i="52"/>
  <c r="AE22" i="52"/>
  <c r="U23" i="52"/>
  <c r="AH8" i="52"/>
  <c r="U3" i="52"/>
  <c r="Z2" i="52"/>
  <c r="L7" i="52"/>
  <c r="Y7" i="52"/>
  <c r="T7" i="52"/>
  <c r="P3" i="52"/>
  <c r="AH7" i="52"/>
  <c r="Z23" i="51"/>
  <c r="AE22" i="51"/>
  <c r="U2" i="51"/>
  <c r="AX7" i="51"/>
  <c r="T7" i="51"/>
  <c r="K10" i="51"/>
  <c r="K9" i="51"/>
  <c r="K8" i="51"/>
  <c r="AD7" i="51"/>
  <c r="AE22" i="50"/>
  <c r="Z23" i="50"/>
  <c r="U23" i="50"/>
  <c r="L7" i="50"/>
  <c r="AE2" i="50"/>
  <c r="AD7" i="50"/>
  <c r="AW7" i="50"/>
  <c r="Z22" i="49"/>
  <c r="K13" i="49"/>
  <c r="T7" i="49"/>
  <c r="K10" i="49"/>
  <c r="U2" i="49"/>
  <c r="K12" i="49"/>
  <c r="K11" i="49"/>
  <c r="K9" i="49"/>
  <c r="K7" i="49"/>
  <c r="Y7" i="49"/>
  <c r="AD7" i="49"/>
  <c r="AS7" i="49"/>
  <c r="Z22" i="48"/>
  <c r="U3" i="48"/>
  <c r="Z2" i="48"/>
  <c r="K12" i="48"/>
  <c r="K8" i="48"/>
  <c r="K13" i="48"/>
  <c r="AD7" i="48"/>
  <c r="Z22" i="47"/>
  <c r="U3" i="47"/>
  <c r="Z2" i="47"/>
  <c r="L7" i="47"/>
  <c r="Y7" i="47"/>
  <c r="Z22" i="46"/>
  <c r="AX7" i="46"/>
  <c r="T7" i="46"/>
  <c r="K9" i="46"/>
  <c r="K8" i="46"/>
  <c r="U2" i="46"/>
  <c r="Z82" i="45"/>
  <c r="U83" i="45"/>
  <c r="P83" i="45"/>
  <c r="U62" i="45"/>
  <c r="AN7" i="45"/>
  <c r="U2" i="45"/>
  <c r="K11" i="45"/>
  <c r="K8" i="45"/>
  <c r="Y7" i="45"/>
  <c r="AS7" i="45"/>
  <c r="U116" i="44"/>
  <c r="AN7" i="44"/>
  <c r="AX7" i="44"/>
  <c r="AD7" i="44"/>
  <c r="K30" i="44"/>
  <c r="AS7" i="44"/>
  <c r="Y7" i="44"/>
  <c r="AI7" i="44"/>
  <c r="K32" i="44"/>
  <c r="U2" i="44"/>
  <c r="T7" i="44"/>
  <c r="K37" i="44"/>
  <c r="K36" i="44"/>
  <c r="H37" i="3"/>
  <c r="H10" i="3"/>
  <c r="AE23" i="52" l="1"/>
  <c r="AJ22" i="52"/>
  <c r="Z3" i="52"/>
  <c r="AE2" i="52"/>
  <c r="AE23" i="51"/>
  <c r="AJ22" i="51"/>
  <c r="U3" i="51"/>
  <c r="Z2" i="51"/>
  <c r="L7" i="51"/>
  <c r="AE23" i="50"/>
  <c r="AJ22" i="50"/>
  <c r="AE3" i="50"/>
  <c r="Z23" i="49"/>
  <c r="AE22" i="49"/>
  <c r="L7" i="49"/>
  <c r="U3" i="49"/>
  <c r="Z2" i="49"/>
  <c r="Z23" i="48"/>
  <c r="AE22" i="48"/>
  <c r="Z3" i="48"/>
  <c r="AE2" i="48"/>
  <c r="L7" i="48"/>
  <c r="Z23" i="47"/>
  <c r="AE22" i="47"/>
  <c r="Z3" i="47"/>
  <c r="AE2" i="47"/>
  <c r="Z23" i="46"/>
  <c r="AE22" i="46"/>
  <c r="U3" i="46"/>
  <c r="Z2" i="46"/>
  <c r="L7" i="46"/>
  <c r="Z83" i="45"/>
  <c r="AE82" i="45"/>
  <c r="U63" i="45"/>
  <c r="Z62" i="45"/>
  <c r="L7" i="45"/>
  <c r="Z2" i="45"/>
  <c r="U3" i="45"/>
  <c r="U117" i="44"/>
  <c r="Z116" i="44"/>
  <c r="L7" i="44"/>
  <c r="U3" i="44"/>
  <c r="Z2" i="44"/>
  <c r="AO22" i="52" l="1"/>
  <c r="AJ23" i="52"/>
  <c r="AJ2" i="52"/>
  <c r="AE3" i="52"/>
  <c r="AO22" i="51"/>
  <c r="AJ23" i="51"/>
  <c r="Z3" i="51"/>
  <c r="AE2" i="51"/>
  <c r="AJ23" i="50"/>
  <c r="AO22" i="50"/>
  <c r="AJ3" i="50"/>
  <c r="AO2" i="50"/>
  <c r="AE23" i="49"/>
  <c r="AJ22" i="49"/>
  <c r="Z3" i="49"/>
  <c r="AE2" i="49"/>
  <c r="AE23" i="48"/>
  <c r="AJ22" i="48"/>
  <c r="AE3" i="48"/>
  <c r="AJ2" i="48"/>
  <c r="AE23" i="47"/>
  <c r="AJ22" i="47"/>
  <c r="AE3" i="47"/>
  <c r="AJ2" i="47"/>
  <c r="AE23" i="46"/>
  <c r="AJ22" i="46"/>
  <c r="Z3" i="46"/>
  <c r="AE2" i="46"/>
  <c r="AE83" i="45"/>
  <c r="AJ82" i="45"/>
  <c r="Z63" i="45"/>
  <c r="AE62" i="45"/>
  <c r="AE2" i="45"/>
  <c r="Z3" i="45"/>
  <c r="Z117" i="44"/>
  <c r="AE116" i="44"/>
  <c r="Z3" i="44"/>
  <c r="AE2" i="44"/>
  <c r="AT22" i="52" l="1"/>
  <c r="AO23" i="52"/>
  <c r="AJ3" i="52"/>
  <c r="AO2" i="52"/>
  <c r="AT22" i="51"/>
  <c r="AO23" i="51"/>
  <c r="AE3" i="51"/>
  <c r="AJ2" i="51"/>
  <c r="AO23" i="50"/>
  <c r="AT22" i="50"/>
  <c r="AO3" i="50"/>
  <c r="AT2" i="50"/>
  <c r="AT3" i="50" s="1"/>
  <c r="AJ23" i="49"/>
  <c r="AO22" i="49"/>
  <c r="AE3" i="49"/>
  <c r="AO22" i="48"/>
  <c r="AJ23" i="48"/>
  <c r="AO2" i="48"/>
  <c r="AJ3" i="48"/>
  <c r="AJ23" i="47"/>
  <c r="AO22" i="47"/>
  <c r="AJ3" i="47"/>
  <c r="AO2" i="47"/>
  <c r="AO22" i="46"/>
  <c r="AJ23" i="46"/>
  <c r="AE3" i="46"/>
  <c r="AO82" i="45"/>
  <c r="AJ83" i="45"/>
  <c r="AE63" i="45"/>
  <c r="AJ62" i="45"/>
  <c r="AE3" i="45"/>
  <c r="AE117" i="44"/>
  <c r="AJ116" i="44"/>
  <c r="AE3" i="44"/>
  <c r="AJ2" i="44"/>
  <c r="P42" i="52" l="1"/>
  <c r="AT23" i="52"/>
  <c r="AT2" i="52"/>
  <c r="AT3" i="52" s="1"/>
  <c r="AO3" i="52"/>
  <c r="P42" i="51"/>
  <c r="AT23" i="51"/>
  <c r="AO2" i="51"/>
  <c r="AJ3" i="51"/>
  <c r="P42" i="50"/>
  <c r="AT23" i="50"/>
  <c r="AT22" i="49"/>
  <c r="AO23" i="49"/>
  <c r="AJ3" i="49"/>
  <c r="AO2" i="49"/>
  <c r="AT22" i="48"/>
  <c r="AO23" i="48"/>
  <c r="AT2" i="48"/>
  <c r="AT3" i="48" s="1"/>
  <c r="AO3" i="48"/>
  <c r="AO23" i="47"/>
  <c r="AT22" i="47"/>
  <c r="AO3" i="47"/>
  <c r="AT2" i="47"/>
  <c r="AT3" i="47" s="1"/>
  <c r="AT22" i="46"/>
  <c r="AO23" i="46"/>
  <c r="AJ3" i="46"/>
  <c r="AO2" i="46"/>
  <c r="AO83" i="45"/>
  <c r="AT82" i="45"/>
  <c r="AT83" i="45" s="1"/>
  <c r="AO62" i="45"/>
  <c r="AJ63" i="45"/>
  <c r="AO2" i="45"/>
  <c r="AJ117" i="44"/>
  <c r="AO116" i="44"/>
  <c r="AJ3" i="44"/>
  <c r="AO2" i="44"/>
  <c r="U42" i="52" l="1"/>
  <c r="P43" i="52"/>
  <c r="U42" i="51"/>
  <c r="P43" i="51"/>
  <c r="AO3" i="51"/>
  <c r="AT2" i="51"/>
  <c r="AT3" i="51" s="1"/>
  <c r="P43" i="50"/>
  <c r="U42" i="50"/>
  <c r="P42" i="49"/>
  <c r="AT23" i="49"/>
  <c r="AO3" i="49"/>
  <c r="AT2" i="49"/>
  <c r="AT3" i="49" s="1"/>
  <c r="P42" i="48"/>
  <c r="AT23" i="48"/>
  <c r="P42" i="47"/>
  <c r="AT23" i="47"/>
  <c r="AT23" i="46"/>
  <c r="P42" i="46"/>
  <c r="AO3" i="46"/>
  <c r="AT2" i="46"/>
  <c r="AT3" i="46" s="1"/>
  <c r="AO63" i="45"/>
  <c r="AT62" i="45"/>
  <c r="AT63" i="45" s="1"/>
  <c r="AT2" i="45"/>
  <c r="AT3" i="45" s="1"/>
  <c r="AO3" i="45"/>
  <c r="AO117" i="44"/>
  <c r="AT116" i="44"/>
  <c r="AT2" i="44"/>
  <c r="AT3" i="44" s="1"/>
  <c r="AO3" i="44"/>
  <c r="AT117" i="44" l="1"/>
  <c r="P154" i="44"/>
  <c r="Z42" i="52"/>
  <c r="U43" i="52"/>
  <c r="U43" i="51"/>
  <c r="Z42" i="51"/>
  <c r="U43" i="50"/>
  <c r="Z42" i="50"/>
  <c r="P43" i="49"/>
  <c r="U42" i="49"/>
  <c r="P43" i="48"/>
  <c r="U42" i="48"/>
  <c r="U42" i="47"/>
  <c r="P43" i="47"/>
  <c r="P43" i="46"/>
  <c r="U42" i="46"/>
  <c r="U154" i="44" l="1"/>
  <c r="P155" i="44"/>
  <c r="Z43" i="52"/>
  <c r="AE42" i="52"/>
  <c r="Z43" i="51"/>
  <c r="AE42" i="51"/>
  <c r="Z43" i="50"/>
  <c r="AE42" i="50"/>
  <c r="Z42" i="49"/>
  <c r="U43" i="49"/>
  <c r="U43" i="48"/>
  <c r="Z42" i="48"/>
  <c r="U43" i="47"/>
  <c r="Z42" i="47"/>
  <c r="U43" i="46"/>
  <c r="Z42" i="46"/>
  <c r="U155" i="44" l="1"/>
  <c r="Z154" i="44"/>
  <c r="AE43" i="52"/>
  <c r="AJ42" i="52"/>
  <c r="AE43" i="51"/>
  <c r="AJ42" i="51"/>
  <c r="AJ42" i="50"/>
  <c r="AE43" i="50"/>
  <c r="AE42" i="49"/>
  <c r="Z43" i="49"/>
  <c r="Z43" i="48"/>
  <c r="AE42" i="48"/>
  <c r="Z43" i="47"/>
  <c r="AE42" i="47"/>
  <c r="Z43" i="46"/>
  <c r="AE42" i="46"/>
  <c r="Z155" i="44" l="1"/>
  <c r="AE154" i="44"/>
  <c r="AO42" i="52"/>
  <c r="AJ43" i="52"/>
  <c r="AJ43" i="51"/>
  <c r="AO42" i="51"/>
  <c r="AO42" i="50"/>
  <c r="AJ43" i="50"/>
  <c r="AE43" i="49"/>
  <c r="AJ42" i="49"/>
  <c r="AJ42" i="48"/>
  <c r="AE43" i="48"/>
  <c r="AE43" i="47"/>
  <c r="AJ42" i="47"/>
  <c r="AE43" i="46"/>
  <c r="AJ42" i="46"/>
  <c r="AJ154" i="44" l="1"/>
  <c r="AE155" i="44"/>
  <c r="AO43" i="52"/>
  <c r="AT42" i="52"/>
  <c r="AO43" i="51"/>
  <c r="AT42" i="51"/>
  <c r="AT42" i="50"/>
  <c r="AO43" i="50"/>
  <c r="AJ43" i="49"/>
  <c r="AO42" i="49"/>
  <c r="AO42" i="48"/>
  <c r="AJ43" i="48"/>
  <c r="AJ43" i="47"/>
  <c r="AO42" i="47"/>
  <c r="AJ43" i="46"/>
  <c r="AO42" i="46"/>
  <c r="AJ155" i="44" l="1"/>
  <c r="AO154" i="44"/>
  <c r="AT43" i="52"/>
  <c r="P62" i="52"/>
  <c r="AT43" i="51"/>
  <c r="P62" i="51"/>
  <c r="AT43" i="50"/>
  <c r="P62" i="50"/>
  <c r="AO43" i="49"/>
  <c r="AT42" i="49"/>
  <c r="AO43" i="48"/>
  <c r="AT42" i="48"/>
  <c r="AO43" i="47"/>
  <c r="AT42" i="47"/>
  <c r="AO43" i="46"/>
  <c r="AT42" i="46"/>
  <c r="AO155" i="44" l="1"/>
  <c r="AT154" i="44"/>
  <c r="AT155" i="44" s="1"/>
  <c r="P63" i="52"/>
  <c r="U62" i="52"/>
  <c r="P63" i="51"/>
  <c r="U62" i="51"/>
  <c r="P63" i="50"/>
  <c r="U62" i="50"/>
  <c r="AT43" i="49"/>
  <c r="P62" i="49"/>
  <c r="AT43" i="48"/>
  <c r="P62" i="48"/>
  <c r="AT43" i="47"/>
  <c r="P62" i="47"/>
  <c r="AT43" i="46"/>
  <c r="P62" i="46"/>
  <c r="Z62" i="52" l="1"/>
  <c r="U63" i="52"/>
  <c r="Z62" i="51"/>
  <c r="U63" i="51"/>
  <c r="Z62" i="50"/>
  <c r="U63" i="50"/>
  <c r="P63" i="49"/>
  <c r="U62" i="49"/>
  <c r="P63" i="48"/>
  <c r="U62" i="48"/>
  <c r="U62" i="47"/>
  <c r="P63" i="47"/>
  <c r="U62" i="46"/>
  <c r="P63" i="46"/>
  <c r="AE62" i="52" l="1"/>
  <c r="Z63" i="52"/>
  <c r="Z63" i="51"/>
  <c r="AE62" i="51"/>
  <c r="Z63" i="50"/>
  <c r="AE62" i="50"/>
  <c r="Z62" i="49"/>
  <c r="U63" i="49"/>
  <c r="Z62" i="48"/>
  <c r="U63" i="48"/>
  <c r="Z62" i="47"/>
  <c r="U63" i="47"/>
  <c r="Z62" i="46"/>
  <c r="U63" i="46"/>
  <c r="AJ62" i="52" l="1"/>
  <c r="AE63" i="52"/>
  <c r="AE63" i="51"/>
  <c r="AJ62" i="51"/>
  <c r="AE63" i="50"/>
  <c r="AJ62" i="50"/>
  <c r="AE62" i="49"/>
  <c r="Z63" i="49"/>
  <c r="Z63" i="48"/>
  <c r="AE62" i="48"/>
  <c r="Z63" i="47"/>
  <c r="AE62" i="47"/>
  <c r="AE62" i="46"/>
  <c r="Z63" i="46"/>
  <c r="AJ63" i="52" l="1"/>
  <c r="AO62" i="52"/>
  <c r="AJ63" i="51"/>
  <c r="AO62" i="51"/>
  <c r="AJ63" i="50"/>
  <c r="AO62" i="50"/>
  <c r="AJ62" i="49"/>
  <c r="AE63" i="49"/>
  <c r="AE63" i="48"/>
  <c r="AJ62" i="48"/>
  <c r="AE63" i="47"/>
  <c r="AJ62" i="47"/>
  <c r="AE63" i="46"/>
  <c r="AJ62" i="46"/>
  <c r="AO63" i="52" l="1"/>
  <c r="AT62" i="52"/>
  <c r="AO63" i="51"/>
  <c r="AT62" i="51"/>
  <c r="AT62" i="50"/>
  <c r="AO63" i="50"/>
  <c r="AO62" i="49"/>
  <c r="AJ63" i="49"/>
  <c r="AO62" i="48"/>
  <c r="AJ63" i="48"/>
  <c r="AJ63" i="47"/>
  <c r="AO62" i="47"/>
  <c r="AJ63" i="46"/>
  <c r="AO62" i="46"/>
  <c r="AT63" i="52" l="1"/>
  <c r="AT63" i="51"/>
  <c r="P82" i="51"/>
  <c r="P82" i="50"/>
  <c r="AT63" i="50"/>
  <c r="AO63" i="49"/>
  <c r="AT62" i="49"/>
  <c r="AO63" i="48"/>
  <c r="AT62" i="48"/>
  <c r="AO63" i="47"/>
  <c r="AT62" i="47"/>
  <c r="AO63" i="46"/>
  <c r="AT62" i="46"/>
  <c r="P83" i="51" l="1"/>
  <c r="U82" i="51"/>
  <c r="P83" i="50"/>
  <c r="U82" i="50"/>
  <c r="AT63" i="49"/>
  <c r="P82" i="49"/>
  <c r="AT63" i="48"/>
  <c r="P82" i="48"/>
  <c r="AT63" i="47"/>
  <c r="P82" i="47"/>
  <c r="AT63" i="46"/>
  <c r="P82" i="46"/>
  <c r="U83" i="51" l="1"/>
  <c r="Z82" i="51"/>
  <c r="U83" i="50"/>
  <c r="Z82" i="50"/>
  <c r="P83" i="49"/>
  <c r="U82" i="49"/>
  <c r="P83" i="48"/>
  <c r="U82" i="48"/>
  <c r="U82" i="47"/>
  <c r="P83" i="47"/>
  <c r="U82" i="46"/>
  <c r="P83" i="46"/>
  <c r="Z83" i="51" l="1"/>
  <c r="AE82" i="51"/>
  <c r="Z83" i="50"/>
  <c r="AE82" i="50"/>
  <c r="U83" i="49"/>
  <c r="Z82" i="49"/>
  <c r="U83" i="48"/>
  <c r="Z82" i="48"/>
  <c r="Z82" i="47"/>
  <c r="U83" i="47"/>
  <c r="Z82" i="46"/>
  <c r="U83" i="46"/>
  <c r="AE83" i="51" l="1"/>
  <c r="AJ82" i="51"/>
  <c r="AE83" i="50"/>
  <c r="AJ82" i="50"/>
  <c r="Z83" i="49"/>
  <c r="AE82" i="49"/>
  <c r="AE82" i="48"/>
  <c r="Z83" i="48"/>
  <c r="AE82" i="47"/>
  <c r="Z83" i="47"/>
  <c r="AE82" i="46"/>
  <c r="Z83" i="46"/>
  <c r="AJ83" i="51" l="1"/>
  <c r="AO82" i="51"/>
  <c r="AJ83" i="50"/>
  <c r="AO82" i="50"/>
  <c r="AJ82" i="49"/>
  <c r="AE83" i="49"/>
  <c r="AJ82" i="48"/>
  <c r="AE83" i="48"/>
  <c r="AJ82" i="47"/>
  <c r="AE83" i="47"/>
  <c r="AJ82" i="46"/>
  <c r="AE83" i="46"/>
  <c r="AO83" i="51" l="1"/>
  <c r="AT82" i="51"/>
  <c r="AT83" i="51" s="1"/>
  <c r="AO83" i="50"/>
  <c r="AT82" i="50"/>
  <c r="AT83" i="50" s="1"/>
  <c r="AJ83" i="49"/>
  <c r="AO82" i="49"/>
  <c r="AJ83" i="48"/>
  <c r="AO82" i="48"/>
  <c r="AJ83" i="47"/>
  <c r="AO82" i="47"/>
  <c r="AO82" i="46"/>
  <c r="AJ83" i="46"/>
  <c r="AT82" i="49" l="1"/>
  <c r="AT83" i="49" s="1"/>
  <c r="AO83" i="49"/>
  <c r="AO83" i="48"/>
  <c r="AT82" i="48"/>
  <c r="AT83" i="48" s="1"/>
  <c r="AO83" i="47"/>
  <c r="AT82" i="47"/>
  <c r="AT83" i="47" s="1"/>
  <c r="AO83" i="46"/>
  <c r="AT82" i="46"/>
  <c r="AT83" i="46" s="1"/>
  <c r="N10" i="3" l="1"/>
  <c r="Q10" i="3" s="1"/>
  <c r="E9" i="39" s="1"/>
  <c r="E8" i="39"/>
  <c r="H40" i="6"/>
  <c r="AC13" i="6"/>
  <c r="S13" i="6"/>
  <c r="F13" i="6" s="1"/>
  <c r="M13" i="6"/>
  <c r="N13" i="6" s="1"/>
  <c r="AC12" i="6"/>
  <c r="S12" i="6"/>
  <c r="F12" i="6" s="1"/>
  <c r="M12" i="6"/>
  <c r="N12" i="6" s="1"/>
  <c r="AC11" i="6"/>
  <c r="S11" i="6"/>
  <c r="F11" i="6" s="1"/>
  <c r="M11" i="6"/>
  <c r="N11" i="6" s="1"/>
  <c r="AC10" i="6"/>
  <c r="S10" i="6"/>
  <c r="F10" i="6" s="1"/>
  <c r="M10" i="6"/>
  <c r="AC9" i="6"/>
  <c r="AD9" i="6" s="1"/>
  <c r="S9" i="6"/>
  <c r="T9" i="6" s="1"/>
  <c r="M9" i="6"/>
  <c r="F9" i="6" s="1"/>
  <c r="AC8" i="6"/>
  <c r="S8" i="6"/>
  <c r="M8" i="6"/>
  <c r="F8" i="6" s="1"/>
  <c r="AC7" i="6"/>
  <c r="S7" i="6"/>
  <c r="M7" i="6"/>
  <c r="F7" i="6" s="1"/>
  <c r="B7" i="6"/>
  <c r="H40" i="7"/>
  <c r="G7" i="7"/>
  <c r="AC13" i="7"/>
  <c r="S13" i="7"/>
  <c r="M13" i="7"/>
  <c r="N13" i="7" s="1"/>
  <c r="F13" i="7"/>
  <c r="AC12" i="7"/>
  <c r="S12" i="7"/>
  <c r="M12" i="7"/>
  <c r="AC11" i="7"/>
  <c r="S11" i="7"/>
  <c r="M11" i="7"/>
  <c r="F11" i="7"/>
  <c r="AC10" i="7"/>
  <c r="S10" i="7"/>
  <c r="M10" i="7"/>
  <c r="F10" i="7"/>
  <c r="AC9" i="7"/>
  <c r="S9" i="7"/>
  <c r="M9" i="7"/>
  <c r="F9" i="7"/>
  <c r="AC8" i="7"/>
  <c r="S8" i="7"/>
  <c r="M8" i="7"/>
  <c r="F8" i="7"/>
  <c r="AL7" i="7"/>
  <c r="AC7" i="7"/>
  <c r="AD7" i="7" s="1"/>
  <c r="S7" i="7"/>
  <c r="M7" i="7"/>
  <c r="F7" i="7"/>
  <c r="W10" i="5"/>
  <c r="T10" i="5"/>
  <c r="Q10" i="5"/>
  <c r="N10" i="5"/>
  <c r="K11" i="39" l="1"/>
  <c r="I11" i="13"/>
  <c r="K10" i="39"/>
  <c r="I10" i="13"/>
  <c r="K9" i="39"/>
  <c r="I9" i="13"/>
  <c r="K8" i="39"/>
  <c r="I8" i="13"/>
  <c r="L10" i="6"/>
  <c r="J10" i="6"/>
  <c r="AL10" i="6"/>
  <c r="AJ10" i="6"/>
  <c r="AH10" i="6"/>
  <c r="AF10" i="6"/>
  <c r="AB10" i="6"/>
  <c r="Z10" i="6"/>
  <c r="X10" i="6"/>
  <c r="V10" i="6"/>
  <c r="R10" i="6"/>
  <c r="P10" i="6"/>
  <c r="N10" i="6"/>
  <c r="AD10" i="6"/>
  <c r="L11" i="6"/>
  <c r="J11" i="6"/>
  <c r="AL11" i="6"/>
  <c r="AJ11" i="6"/>
  <c r="AH11" i="6"/>
  <c r="AF11" i="6"/>
  <c r="AB11" i="6"/>
  <c r="Z11" i="6"/>
  <c r="X11" i="6"/>
  <c r="V11" i="6"/>
  <c r="R11" i="6"/>
  <c r="P11" i="6"/>
  <c r="AD11" i="6"/>
  <c r="P12" i="6"/>
  <c r="L12" i="6"/>
  <c r="J12" i="6"/>
  <c r="AL12" i="6"/>
  <c r="AJ12" i="6"/>
  <c r="AH12" i="6"/>
  <c r="AF12" i="6"/>
  <c r="AB12" i="6"/>
  <c r="Z12" i="6"/>
  <c r="X12" i="6"/>
  <c r="V12" i="6"/>
  <c r="R12" i="6"/>
  <c r="AD12" i="6"/>
  <c r="R13" i="6"/>
  <c r="P13" i="6"/>
  <c r="L13" i="6"/>
  <c r="J13" i="6"/>
  <c r="AL13" i="6"/>
  <c r="AJ13" i="6"/>
  <c r="AH13" i="6"/>
  <c r="AF13" i="6"/>
  <c r="AB13" i="6"/>
  <c r="Z13" i="6"/>
  <c r="X13" i="6"/>
  <c r="V13" i="6"/>
  <c r="G7" i="6"/>
  <c r="AL7" i="6"/>
  <c r="AJ7" i="6"/>
  <c r="AH7" i="6"/>
  <c r="AF7" i="6"/>
  <c r="AB7" i="6"/>
  <c r="Z7" i="6"/>
  <c r="X7" i="6"/>
  <c r="V7" i="6"/>
  <c r="R7" i="6"/>
  <c r="P7" i="6"/>
  <c r="L7" i="6"/>
  <c r="J7" i="6"/>
  <c r="AD13" i="6"/>
  <c r="T7" i="6"/>
  <c r="AD7" i="6"/>
  <c r="J8" i="6"/>
  <c r="AL8" i="6"/>
  <c r="AJ8" i="6"/>
  <c r="AH8" i="6"/>
  <c r="AF8" i="6"/>
  <c r="AB8" i="6"/>
  <c r="Z8" i="6"/>
  <c r="X8" i="6"/>
  <c r="V8" i="6"/>
  <c r="R8" i="6"/>
  <c r="P8" i="6"/>
  <c r="L8" i="6"/>
  <c r="T8" i="6"/>
  <c r="AD8" i="6"/>
  <c r="L9" i="6"/>
  <c r="J9" i="6"/>
  <c r="AL9" i="6"/>
  <c r="AJ9" i="6"/>
  <c r="AH9" i="6"/>
  <c r="AF9" i="6"/>
  <c r="AB9" i="6"/>
  <c r="Z9" i="6"/>
  <c r="X9" i="6"/>
  <c r="V9" i="6"/>
  <c r="R9" i="6"/>
  <c r="P9" i="6"/>
  <c r="N9" i="6"/>
  <c r="T13" i="6"/>
  <c r="N8" i="6"/>
  <c r="T12" i="6"/>
  <c r="N7" i="6"/>
  <c r="T11" i="6"/>
  <c r="T10" i="6"/>
  <c r="N12" i="7"/>
  <c r="AF10" i="7"/>
  <c r="AB10" i="7"/>
  <c r="Z10" i="7"/>
  <c r="X10" i="7"/>
  <c r="V10" i="7"/>
  <c r="R10" i="7"/>
  <c r="P10" i="7"/>
  <c r="AB8" i="7"/>
  <c r="Z8" i="7"/>
  <c r="X8" i="7"/>
  <c r="V8" i="7"/>
  <c r="R8" i="7"/>
  <c r="P8" i="7"/>
  <c r="L8" i="7"/>
  <c r="J10" i="7"/>
  <c r="J8" i="7"/>
  <c r="L10" i="7"/>
  <c r="T12" i="7"/>
  <c r="N8" i="7"/>
  <c r="N10" i="7"/>
  <c r="AD12" i="7"/>
  <c r="T8" i="7"/>
  <c r="T10" i="7"/>
  <c r="AD10" i="7"/>
  <c r="AL13" i="7"/>
  <c r="AJ13" i="7"/>
  <c r="AH13" i="7"/>
  <c r="AF13" i="7"/>
  <c r="AB13" i="7"/>
  <c r="Z13" i="7"/>
  <c r="X13" i="7"/>
  <c r="V13" i="7"/>
  <c r="R13" i="7"/>
  <c r="AD8" i="7"/>
  <c r="AH10" i="7"/>
  <c r="J13" i="7"/>
  <c r="AF8" i="7"/>
  <c r="AJ10" i="7"/>
  <c r="L13" i="7"/>
  <c r="AH8" i="7"/>
  <c r="AL10" i="7"/>
  <c r="AJ8" i="7"/>
  <c r="AH11" i="7"/>
  <c r="AF11" i="7"/>
  <c r="AB11" i="7"/>
  <c r="Z11" i="7"/>
  <c r="X11" i="7"/>
  <c r="V11" i="7"/>
  <c r="R11" i="7"/>
  <c r="P11" i="7"/>
  <c r="AL8" i="7"/>
  <c r="J11" i="7"/>
  <c r="P13" i="7"/>
  <c r="AB7" i="7"/>
  <c r="Z7" i="7"/>
  <c r="X7" i="7"/>
  <c r="V7" i="7"/>
  <c r="R7" i="7"/>
  <c r="P7" i="7"/>
  <c r="L7" i="7"/>
  <c r="J7" i="7"/>
  <c r="AB9" i="7"/>
  <c r="Z9" i="7"/>
  <c r="X9" i="7"/>
  <c r="V9" i="7"/>
  <c r="R9" i="7"/>
  <c r="P9" i="7"/>
  <c r="L9" i="7"/>
  <c r="L11" i="7"/>
  <c r="T13" i="7"/>
  <c r="J9" i="7"/>
  <c r="N11" i="7"/>
  <c r="AD13" i="7"/>
  <c r="N7" i="7"/>
  <c r="N9" i="7"/>
  <c r="T11" i="7"/>
  <c r="T7" i="7"/>
  <c r="T9" i="7"/>
  <c r="AD11" i="7"/>
  <c r="AD9" i="7"/>
  <c r="AJ11" i="7"/>
  <c r="AF9" i="7"/>
  <c r="AL11" i="7"/>
  <c r="AF7" i="7"/>
  <c r="AH9" i="7"/>
  <c r="F12" i="7"/>
  <c r="AH7" i="7"/>
  <c r="AJ9" i="7"/>
  <c r="AJ7" i="7"/>
  <c r="AL9" i="7"/>
  <c r="H10" i="5"/>
  <c r="G5" i="5"/>
  <c r="I18" i="5"/>
  <c r="I17" i="5"/>
  <c r="I16" i="5"/>
  <c r="I15" i="5"/>
  <c r="I14" i="5"/>
  <c r="I13" i="5"/>
  <c r="V12" i="5"/>
  <c r="S12" i="5"/>
  <c r="P12" i="5"/>
  <c r="M12" i="5"/>
  <c r="I12" i="5"/>
  <c r="G12" i="5"/>
  <c r="B12" i="5"/>
  <c r="U11" i="5"/>
  <c r="I11" i="5"/>
  <c r="U10" i="5"/>
  <c r="I10" i="5"/>
  <c r="U9" i="5"/>
  <c r="I9" i="5"/>
  <c r="U8" i="5"/>
  <c r="I8" i="5"/>
  <c r="U7" i="5"/>
  <c r="I7" i="5"/>
  <c r="U6" i="5"/>
  <c r="I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U5" i="5"/>
  <c r="S5" i="5"/>
  <c r="P5" i="5"/>
  <c r="M5" i="5"/>
  <c r="I5" i="5"/>
  <c r="K10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33" i="3"/>
  <c r="G12" i="3"/>
  <c r="G5" i="3"/>
  <c r="U11" i="3"/>
  <c r="O11" i="3"/>
  <c r="D11" i="3"/>
  <c r="U10" i="3"/>
  <c r="O10" i="3"/>
  <c r="U9" i="3"/>
  <c r="O9" i="3"/>
  <c r="U8" i="3"/>
  <c r="O8" i="3"/>
  <c r="U7" i="3"/>
  <c r="O7" i="3"/>
  <c r="U6" i="3"/>
  <c r="O6" i="3"/>
  <c r="D6" i="3"/>
  <c r="D7" i="3" s="1"/>
  <c r="D8" i="3" s="1"/>
  <c r="D9" i="3" s="1"/>
  <c r="U5" i="3"/>
  <c r="S5" i="3"/>
  <c r="O5" i="3"/>
  <c r="M5" i="3"/>
  <c r="J5" i="3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2" i="3"/>
  <c r="B19" i="3" s="1"/>
  <c r="B26" i="3" s="1"/>
  <c r="B33" i="3" s="1"/>
  <c r="B40" i="3" s="1"/>
  <c r="T10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P19" i="3"/>
  <c r="S19" i="3"/>
  <c r="U19" i="3"/>
  <c r="V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T38" i="3"/>
  <c r="W38" i="3" s="1"/>
  <c r="N38" i="3"/>
  <c r="Q38" i="3" s="1"/>
  <c r="G61" i="3"/>
  <c r="U67" i="3"/>
  <c r="O67" i="3"/>
  <c r="U66" i="3"/>
  <c r="O66" i="3"/>
  <c r="U65" i="3"/>
  <c r="O65" i="3"/>
  <c r="U64" i="3"/>
  <c r="O64" i="3"/>
  <c r="U63" i="3"/>
  <c r="O63" i="3"/>
  <c r="U62" i="3"/>
  <c r="O62" i="3"/>
  <c r="U61" i="3"/>
  <c r="S61" i="3"/>
  <c r="V61" i="3" s="1"/>
  <c r="O61" i="3"/>
  <c r="M61" i="3"/>
  <c r="J61" i="3"/>
  <c r="U60" i="3"/>
  <c r="O60" i="3"/>
  <c r="U59" i="3"/>
  <c r="O59" i="3"/>
  <c r="U58" i="3"/>
  <c r="O58" i="3"/>
  <c r="U57" i="3"/>
  <c r="O57" i="3"/>
  <c r="U56" i="3"/>
  <c r="O56" i="3"/>
  <c r="U55" i="3"/>
  <c r="O55" i="3"/>
  <c r="U54" i="3"/>
  <c r="S54" i="3"/>
  <c r="V54" i="3" s="1"/>
  <c r="O54" i="3"/>
  <c r="M54" i="3"/>
  <c r="J54" i="3"/>
  <c r="G54" i="3"/>
  <c r="U53" i="3"/>
  <c r="O53" i="3"/>
  <c r="U52" i="3"/>
  <c r="O52" i="3"/>
  <c r="U51" i="3"/>
  <c r="O51" i="3"/>
  <c r="U50" i="3"/>
  <c r="O50" i="3"/>
  <c r="U49" i="3"/>
  <c r="O49" i="3"/>
  <c r="U48" i="3"/>
  <c r="O48" i="3"/>
  <c r="U47" i="3"/>
  <c r="S47" i="3"/>
  <c r="O47" i="3"/>
  <c r="M47" i="3"/>
  <c r="J47" i="3"/>
  <c r="G47" i="3"/>
  <c r="M141" i="62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2" i="20"/>
  <c r="M81" i="20"/>
  <c r="M141" i="19"/>
  <c r="M140" i="19"/>
  <c r="M139" i="19"/>
  <c r="M138" i="19"/>
  <c r="M137" i="19"/>
  <c r="M142" i="19" s="1"/>
  <c r="M133" i="19"/>
  <c r="M132" i="19"/>
  <c r="M131" i="19"/>
  <c r="M130" i="19"/>
  <c r="M129" i="19"/>
  <c r="M134" i="19" s="1"/>
  <c r="M125" i="19"/>
  <c r="M124" i="19"/>
  <c r="M123" i="19"/>
  <c r="M122" i="19"/>
  <c r="M121" i="19"/>
  <c r="K6" i="39" l="1"/>
  <c r="I6" i="13"/>
  <c r="M86" i="20"/>
  <c r="E10" i="39"/>
  <c r="E11" i="39"/>
  <c r="P12" i="3"/>
  <c r="V12" i="3"/>
  <c r="J12" i="5"/>
  <c r="AJ12" i="7"/>
  <c r="AH12" i="7"/>
  <c r="AF12" i="7"/>
  <c r="AB12" i="7"/>
  <c r="Z12" i="7"/>
  <c r="X12" i="7"/>
  <c r="V12" i="7"/>
  <c r="R12" i="7"/>
  <c r="P12" i="7"/>
  <c r="L12" i="7"/>
  <c r="J12" i="7"/>
  <c r="AL12" i="7"/>
  <c r="V5" i="5"/>
  <c r="J5" i="5"/>
  <c r="P5" i="3"/>
  <c r="V5" i="3"/>
  <c r="P26" i="3"/>
  <c r="V26" i="3"/>
  <c r="P47" i="3"/>
  <c r="V47" i="3"/>
  <c r="P54" i="3"/>
  <c r="P61" i="3"/>
  <c r="M142" i="62"/>
  <c r="M126" i="62"/>
  <c r="M126" i="19"/>
  <c r="B54" i="41" l="1"/>
  <c r="B53" i="41"/>
  <c r="K134" i="62" l="1"/>
  <c r="K126" i="62"/>
  <c r="K142" i="62"/>
  <c r="K102" i="20"/>
  <c r="K94" i="20"/>
  <c r="K142" i="19"/>
  <c r="K126" i="19"/>
  <c r="K134" i="19"/>
  <c r="K110" i="20"/>
  <c r="K86" i="20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71" i="20"/>
  <c r="M70" i="20"/>
  <c r="M69" i="20"/>
  <c r="M74" i="20" s="1"/>
  <c r="M61" i="20"/>
  <c r="M66" i="20" s="1"/>
  <c r="M57" i="20"/>
  <c r="M56" i="20"/>
  <c r="M55" i="20"/>
  <c r="M54" i="20"/>
  <c r="M53" i="20"/>
  <c r="M49" i="20"/>
  <c r="M48" i="20"/>
  <c r="M47" i="20"/>
  <c r="M46" i="20"/>
  <c r="M45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58" i="20" l="1"/>
  <c r="M50" i="20"/>
  <c r="M114" i="62"/>
  <c r="M98" i="19"/>
  <c r="AC103" i="64" l="1"/>
  <c r="AC118" i="64" s="1"/>
  <c r="AC120" i="64" s="1"/>
  <c r="AD103" i="64"/>
  <c r="AD118" i="64" s="1"/>
  <c r="AD120" i="64" s="1"/>
  <c r="K10" i="40" s="1"/>
  <c r="AE103" i="64"/>
  <c r="AE118" i="64" s="1"/>
  <c r="AE120" i="64" s="1"/>
  <c r="M10" i="40" s="1"/>
  <c r="AF103" i="64"/>
  <c r="AF118" i="64" s="1"/>
  <c r="AF120" i="64" s="1"/>
  <c r="G15" i="40" s="1"/>
  <c r="AG103" i="64"/>
  <c r="AG118" i="64" s="1"/>
  <c r="AG120" i="64" s="1"/>
  <c r="I15" i="40" s="1"/>
  <c r="AH103" i="64"/>
  <c r="AC104" i="64"/>
  <c r="AD104" i="64"/>
  <c r="AE104" i="64"/>
  <c r="AF104" i="64"/>
  <c r="AG104" i="64"/>
  <c r="AH104" i="64"/>
  <c r="AB104" i="64"/>
  <c r="AB103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C118" i="63" s="1"/>
  <c r="AC120" i="63" s="1"/>
  <c r="I9" i="40" s="1"/>
  <c r="AD103" i="63"/>
  <c r="AD118" i="63" s="1"/>
  <c r="AD120" i="63" s="1"/>
  <c r="K9" i="40" s="1"/>
  <c r="AE103" i="63"/>
  <c r="AE118" i="63" s="1"/>
  <c r="AE120" i="63" s="1"/>
  <c r="M9" i="40" s="1"/>
  <c r="AF103" i="63"/>
  <c r="AG103" i="63"/>
  <c r="AH103" i="63"/>
  <c r="AH118" i="63" s="1"/>
  <c r="AH120" i="63" s="1"/>
  <c r="K14" i="40" s="1"/>
  <c r="AC104" i="63"/>
  <c r="AD104" i="63"/>
  <c r="AE104" i="63"/>
  <c r="AF104" i="63"/>
  <c r="AG104" i="63"/>
  <c r="AH104" i="63"/>
  <c r="AB104" i="63"/>
  <c r="AB118" i="63"/>
  <c r="AB120" i="63" s="1"/>
  <c r="G9" i="40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AB105" i="64" l="1"/>
  <c r="G54" i="41" s="1"/>
  <c r="AB118" i="64"/>
  <c r="AB120" i="64" s="1"/>
  <c r="I10" i="40"/>
  <c r="G10" i="40"/>
  <c r="H59" i="41"/>
  <c r="AG119" i="64"/>
  <c r="H15" i="40" s="1"/>
  <c r="H54" i="41"/>
  <c r="AC119" i="64"/>
  <c r="H10" i="40" s="1"/>
  <c r="J59" i="41"/>
  <c r="AH118" i="64"/>
  <c r="AH120" i="64" s="1"/>
  <c r="K15" i="40" s="1"/>
  <c r="AH119" i="64"/>
  <c r="J15" i="40" s="1"/>
  <c r="F54" i="41"/>
  <c r="AB119" i="64"/>
  <c r="F10" i="40" s="1"/>
  <c r="L54" i="41"/>
  <c r="AE119" i="64"/>
  <c r="L10" i="40" s="1"/>
  <c r="J54" i="41"/>
  <c r="AD119" i="64"/>
  <c r="J10" i="40" s="1"/>
  <c r="F59" i="41"/>
  <c r="AF119" i="64"/>
  <c r="F15" i="40" s="1"/>
  <c r="AF105" i="63"/>
  <c r="G58" i="41" s="1"/>
  <c r="AF118" i="63"/>
  <c r="AF120" i="63" s="1"/>
  <c r="G14" i="40" s="1"/>
  <c r="AG105" i="63"/>
  <c r="I58" i="41" s="1"/>
  <c r="AG118" i="63"/>
  <c r="AG120" i="63" s="1"/>
  <c r="I14" i="40" s="1"/>
  <c r="L53" i="41"/>
  <c r="AE119" i="63"/>
  <c r="L9" i="40" s="1"/>
  <c r="F53" i="41"/>
  <c r="AB119" i="63"/>
  <c r="F9" i="40" s="1"/>
  <c r="J58" i="41"/>
  <c r="AH119" i="63"/>
  <c r="J14" i="40" s="1"/>
  <c r="H58" i="41"/>
  <c r="AG119" i="63"/>
  <c r="H14" i="40" s="1"/>
  <c r="F58" i="41"/>
  <c r="AF119" i="63"/>
  <c r="F14" i="40" s="1"/>
  <c r="J53" i="41"/>
  <c r="AD119" i="63"/>
  <c r="J9" i="40" s="1"/>
  <c r="H53" i="41"/>
  <c r="AC119" i="63"/>
  <c r="H9" i="40" s="1"/>
  <c r="AB105" i="63"/>
  <c r="G53" i="41" s="1"/>
  <c r="AH105" i="64"/>
  <c r="K59" i="41" s="1"/>
  <c r="AE105" i="63"/>
  <c r="M53" i="41" s="1"/>
  <c r="AD105" i="63"/>
  <c r="K53" i="41" s="1"/>
  <c r="AC105" i="63"/>
  <c r="I53" i="41" s="1"/>
  <c r="AH105" i="63"/>
  <c r="K58" i="41" s="1"/>
  <c r="AG105" i="64"/>
  <c r="I59" i="41" s="1"/>
  <c r="AE105" i="64"/>
  <c r="M54" i="41" s="1"/>
  <c r="AD105" i="64"/>
  <c r="K54" i="41" s="1"/>
  <c r="AF105" i="64"/>
  <c r="G59" i="41" s="1"/>
  <c r="AC105" i="64"/>
  <c r="I54" i="41" s="1"/>
  <c r="R108" i="63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M77" i="62"/>
  <c r="M76" i="62"/>
  <c r="M75" i="62"/>
  <c r="M74" i="62"/>
  <c r="M73" i="62"/>
  <c r="M69" i="62"/>
  <c r="M68" i="62"/>
  <c r="M67" i="62"/>
  <c r="M66" i="62"/>
  <c r="M65" i="62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8" i="62" l="1"/>
  <c r="M70" i="62"/>
  <c r="M70" i="19"/>
  <c r="M93" i="63" l="1"/>
  <c r="J86" i="15" l="1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58" i="62" l="1"/>
  <c r="M42" i="62"/>
  <c r="M42" i="19"/>
  <c r="AC79" i="64" l="1"/>
  <c r="AD79" i="64"/>
  <c r="AE79" i="64"/>
  <c r="AF79" i="64"/>
  <c r="AG79" i="64"/>
  <c r="AH79" i="64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AC81" i="64" s="1"/>
  <c r="I43" i="41" s="1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G79" i="63"/>
  <c r="AH79" i="63"/>
  <c r="AC80" i="63"/>
  <c r="H42" i="41" s="1"/>
  <c r="AD80" i="63"/>
  <c r="J42" i="41" s="1"/>
  <c r="AE80" i="63"/>
  <c r="L42" i="41" s="1"/>
  <c r="AF80" i="63"/>
  <c r="F47" i="41" s="1"/>
  <c r="AG80" i="63"/>
  <c r="H47" i="41" s="1"/>
  <c r="AH80" i="63"/>
  <c r="J47" i="41" s="1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AG81" i="63" l="1"/>
  <c r="I47" i="41" s="1"/>
  <c r="AF81" i="63"/>
  <c r="G47" i="41" s="1"/>
  <c r="AH81" i="64"/>
  <c r="K48" i="41" s="1"/>
  <c r="AF81" i="64"/>
  <c r="G48" i="41" s="1"/>
  <c r="AE81" i="64"/>
  <c r="M43" i="41" s="1"/>
  <c r="AD81" i="64"/>
  <c r="K43" i="41" s="1"/>
  <c r="AG81" i="64"/>
  <c r="I48" i="41" s="1"/>
  <c r="AH81" i="63"/>
  <c r="K47" i="41" s="1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AC55" i="64" l="1"/>
  <c r="AD55" i="64"/>
  <c r="AE55" i="64"/>
  <c r="AF55" i="64"/>
  <c r="AF57" i="64" s="1"/>
  <c r="G37" i="41" s="1"/>
  <c r="AG55" i="64"/>
  <c r="AH55" i="64"/>
  <c r="H32" i="41"/>
  <c r="J32" i="41"/>
  <c r="L32" i="41"/>
  <c r="F37" i="41"/>
  <c r="AH56" i="64"/>
  <c r="F32" i="4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A55" i="63"/>
  <c r="Q55" i="63"/>
  <c r="R55" i="63" s="1"/>
  <c r="P55" i="63"/>
  <c r="M55" i="63"/>
  <c r="K55" i="63"/>
  <c r="I55" i="63"/>
  <c r="AH57" i="63" l="1"/>
  <c r="K36" i="41" s="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R63" i="63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AB31" i="64" l="1"/>
  <c r="AC31" i="64"/>
  <c r="AD31" i="64"/>
  <c r="AE31" i="64"/>
  <c r="AF31" i="64"/>
  <c r="AG31" i="64"/>
  <c r="AH31" i="64"/>
  <c r="AC32" i="64"/>
  <c r="AD32" i="64"/>
  <c r="AE32" i="64"/>
  <c r="AF32" i="64"/>
  <c r="F26" i="41" s="1"/>
  <c r="AG32" i="64"/>
  <c r="AH32" i="64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D31" i="63"/>
  <c r="AE31" i="63"/>
  <c r="AF31" i="63"/>
  <c r="AG31" i="63"/>
  <c r="AH31" i="63"/>
  <c r="AC32" i="63"/>
  <c r="AD32" i="63"/>
  <c r="AE32" i="63"/>
  <c r="AF32" i="63"/>
  <c r="AG32" i="63"/>
  <c r="AH32" i="63"/>
  <c r="AB32" i="63"/>
  <c r="AB31" i="63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J25" i="41" l="1"/>
  <c r="AG33" i="63"/>
  <c r="I25" i="41" s="1"/>
  <c r="H25" i="41"/>
  <c r="F25" i="41"/>
  <c r="AF33" i="63"/>
  <c r="G25" i="41" s="1"/>
  <c r="L20" i="41"/>
  <c r="AC33" i="63"/>
  <c r="I20" i="41" s="1"/>
  <c r="F20" i="41"/>
  <c r="J20" i="41"/>
  <c r="AE33" i="63"/>
  <c r="M20" i="41" s="1"/>
  <c r="H20" i="41"/>
  <c r="AD33" i="63"/>
  <c r="K20" i="41" s="1"/>
  <c r="AB33" i="63"/>
  <c r="G20" i="41" s="1"/>
  <c r="AH33" i="63"/>
  <c r="K25" i="41" s="1"/>
  <c r="H26" i="41"/>
  <c r="J21" i="41"/>
  <c r="J26" i="41"/>
  <c r="L21" i="41"/>
  <c r="H21" i="41"/>
  <c r="K50" i="19"/>
  <c r="K58" i="19"/>
  <c r="K42" i="19"/>
  <c r="K106" i="62"/>
  <c r="K98" i="62"/>
  <c r="K114" i="62"/>
  <c r="K74" i="20"/>
  <c r="K114" i="19"/>
  <c r="K106" i="19"/>
  <c r="K50" i="20"/>
  <c r="K58" i="20"/>
  <c r="K66" i="20"/>
  <c r="K98" i="19"/>
  <c r="K50" i="62"/>
  <c r="K58" i="62"/>
  <c r="K42" i="62"/>
  <c r="K86" i="62"/>
  <c r="K78" i="62"/>
  <c r="K70" i="62"/>
  <c r="K78" i="19"/>
  <c r="K86" i="19"/>
  <c r="K70" i="19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K30" i="19"/>
  <c r="C20" i="41" l="1"/>
  <c r="K22" i="19"/>
  <c r="K30" i="61"/>
  <c r="K22" i="61"/>
  <c r="K14" i="61"/>
  <c r="C21" i="41"/>
  <c r="E29" i="3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M42" i="6" l="1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B42" i="6"/>
  <c r="B49" i="6" s="1"/>
  <c r="B56" i="6" s="1"/>
  <c r="B63" i="6" s="1"/>
  <c r="G42" i="7"/>
  <c r="G49" i="7"/>
  <c r="G56" i="7"/>
  <c r="G63" i="7"/>
  <c r="B42" i="7"/>
  <c r="B49" i="7" s="1"/>
  <c r="B56" i="7" s="1"/>
  <c r="B63" i="7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6" i="39" s="1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I38" i="5"/>
  <c r="I39" i="5"/>
  <c r="G19" i="5"/>
  <c r="I19" i="5"/>
  <c r="K10" i="5" s="1"/>
  <c r="M19" i="5"/>
  <c r="P19" i="5"/>
  <c r="S19" i="5"/>
  <c r="V19" i="5"/>
  <c r="I20" i="5"/>
  <c r="I21" i="5"/>
  <c r="I22" i="5"/>
  <c r="I23" i="5"/>
  <c r="I24" i="5"/>
  <c r="I25" i="5"/>
  <c r="G40" i="3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B6" i="39" s="1"/>
  <c r="B49" i="41" s="1"/>
  <c r="J33" i="3"/>
  <c r="B7" i="39" s="1"/>
  <c r="M33" i="3"/>
  <c r="B8" i="39" s="1"/>
  <c r="O33" i="3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B47" i="3"/>
  <c r="B54" i="3" s="1"/>
  <c r="B61" i="3" s="1"/>
  <c r="K7" i="39" l="1"/>
  <c r="I7" i="13"/>
  <c r="V40" i="3"/>
  <c r="D8" i="39"/>
  <c r="B7" i="13"/>
  <c r="E7" i="39"/>
  <c r="B6" i="13"/>
  <c r="B5" i="40" s="1"/>
  <c r="C9" i="40" s="1"/>
  <c r="E6" i="39"/>
  <c r="V33" i="3"/>
  <c r="B11" i="39" s="1"/>
  <c r="C10" i="41"/>
  <c r="C9" i="41"/>
  <c r="P33" i="3"/>
  <c r="B9" i="39" s="1"/>
  <c r="C31" i="41"/>
  <c r="C32" i="41"/>
  <c r="J40" i="5"/>
  <c r="J19" i="5"/>
  <c r="J26" i="5"/>
  <c r="J33" i="5"/>
  <c r="I7" i="39" s="1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K38" i="20" s="1"/>
  <c r="M25" i="20"/>
  <c r="M30" i="20" s="1"/>
  <c r="K30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22" i="20" l="1"/>
  <c r="K22" i="20" s="1"/>
  <c r="M30" i="19"/>
  <c r="M22" i="62"/>
  <c r="K22" i="62" s="1"/>
  <c r="M30" i="62"/>
  <c r="K30" i="62" s="1"/>
  <c r="M14" i="20"/>
  <c r="K14" i="20" s="1"/>
  <c r="M14" i="62"/>
  <c r="K14" i="62" s="1"/>
  <c r="M14" i="19"/>
  <c r="K14" i="19" s="1"/>
  <c r="M10" i="58" l="1"/>
  <c r="M11" i="58"/>
  <c r="M12" i="58"/>
  <c r="M13" i="58"/>
  <c r="M9" i="58"/>
  <c r="D40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0" i="56" l="1"/>
  <c r="J40" i="56"/>
  <c r="L40" i="56"/>
  <c r="F40" i="56" l="1"/>
  <c r="M26" i="60" l="1"/>
  <c r="M27" i="60"/>
  <c r="M28" i="60"/>
  <c r="M21" i="58"/>
  <c r="M20" i="58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AC59" i="6" l="1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H43" i="6" l="1"/>
  <c r="AH43" i="7"/>
  <c r="AJ44" i="7"/>
  <c r="P42" i="6"/>
  <c r="AJ44" i="6"/>
  <c r="AF42" i="6"/>
  <c r="AL42" i="6"/>
  <c r="AL42" i="7"/>
  <c r="N42" i="7"/>
  <c r="AD42" i="7"/>
  <c r="AH42" i="7"/>
  <c r="AJ43" i="6"/>
  <c r="AL43" i="6"/>
  <c r="J43" i="6"/>
  <c r="P43" i="6"/>
  <c r="AF43" i="6"/>
  <c r="AJ42" i="7"/>
  <c r="L42" i="7"/>
  <c r="P42" i="7"/>
  <c r="R42" i="7"/>
  <c r="T42" i="7"/>
  <c r="V42" i="7"/>
  <c r="Z44" i="7"/>
  <c r="X42" i="7"/>
  <c r="J42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V43" i="7"/>
  <c r="N43" i="7"/>
  <c r="AD44" i="7"/>
  <c r="AB43" i="7"/>
  <c r="R43" i="7"/>
  <c r="T44" i="7"/>
  <c r="X44" i="7"/>
  <c r="L43" i="7"/>
  <c r="T43" i="7"/>
  <c r="AF44" i="7"/>
  <c r="N44" i="7"/>
  <c r="V44" i="7"/>
  <c r="AB44" i="7"/>
  <c r="AJ43" i="7"/>
  <c r="AH44" i="7"/>
  <c r="AF43" i="7"/>
  <c r="J44" i="7"/>
  <c r="R44" i="7"/>
  <c r="Z43" i="7"/>
  <c r="AL44" i="7"/>
  <c r="P43" i="7"/>
  <c r="AD43" i="7"/>
  <c r="L44" i="7"/>
  <c r="P44" i="7"/>
  <c r="L44" i="6"/>
  <c r="AD42" i="6"/>
  <c r="AH44" i="6"/>
  <c r="R44" i="6"/>
  <c r="Z42" i="6"/>
  <c r="AB44" i="6"/>
  <c r="L42" i="6"/>
  <c r="J42" i="6"/>
  <c r="AD44" i="6"/>
  <c r="X42" i="6"/>
  <c r="N42" i="6"/>
  <c r="Z44" i="6"/>
  <c r="AB42" i="6"/>
  <c r="AJ42" i="6"/>
  <c r="AF44" i="6"/>
  <c r="V44" i="6"/>
  <c r="T42" i="6"/>
  <c r="R42" i="6"/>
  <c r="AH42" i="6"/>
  <c r="V42" i="6"/>
  <c r="N44" i="6"/>
  <c r="P44" i="6"/>
  <c r="J44" i="6"/>
  <c r="AL44" i="6"/>
  <c r="X44" i="6"/>
  <c r="T44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B36" i="13" l="1"/>
  <c r="D36" i="13" s="1"/>
  <c r="D19" i="5" l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K22" i="60" l="1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9" i="5" l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2" i="45" l="1"/>
  <c r="P23" i="45"/>
  <c r="Z22" i="45" l="1"/>
  <c r="U23" i="45"/>
  <c r="Z23" i="45" l="1"/>
  <c r="AE22" i="45"/>
  <c r="AJ22" i="45" l="1"/>
  <c r="AE23" i="45"/>
  <c r="AJ23" i="45" l="1"/>
  <c r="AO22" i="45"/>
  <c r="AO23" i="45" l="1"/>
  <c r="AT22" i="45"/>
  <c r="P42" i="45" s="1"/>
  <c r="U42" i="45" l="1"/>
  <c r="P43" i="45"/>
  <c r="AT23" i="45"/>
  <c r="Z42" i="45" l="1"/>
  <c r="U43" i="45"/>
  <c r="AE42" i="45" l="1"/>
  <c r="Z43" i="45"/>
  <c r="AJ42" i="45" l="1"/>
  <c r="AE43" i="45"/>
  <c r="AO42" i="45" l="1"/>
  <c r="AJ43" i="45"/>
  <c r="AT42" i="45" l="1"/>
  <c r="AT43" i="45" s="1"/>
  <c r="AO43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<sst xmlns="http://schemas.openxmlformats.org/spreadsheetml/2006/main" count="9822" uniqueCount="794">
  <si>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</si>
  <si>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月別</t>
    <phoneticPr fontId="10"/>
  </si>
  <si>
    <t>工廠</t>
    <phoneticPr fontId="10"/>
  </si>
  <si>
    <t>大溪廠</t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</si>
  <si>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</si>
  <si>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※單位：千元</t>
    <phoneticPr fontId="10"/>
  </si>
  <si>
    <t>（２）ＫＰＩ達成進度</t>
    <phoneticPr fontId="10"/>
  </si>
  <si>
    <t>項目</t>
    <phoneticPr fontId="13" type="noConversion"/>
  </si>
  <si>
    <t>當月</t>
    <phoneticPr fontId="10"/>
  </si>
  <si>
    <t>前月</t>
  </si>
  <si>
    <t>差異</t>
  </si>
  <si>
    <t>累計</t>
  </si>
  <si>
    <t>KPI</t>
    <phoneticPr fontId="10"/>
  </si>
  <si>
    <t>前月</t>
    <phoneticPr fontId="10"/>
  </si>
  <si>
    <t>※補充</t>
    <phoneticPr fontId="10"/>
  </si>
  <si>
    <t>業績金額</t>
    <phoneticPr fontId="10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</si>
  <si>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</si>
  <si>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個／MH</t>
    <phoneticPr fontId="10"/>
  </si>
  <si>
    <t>訂單數量</t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</si>
  <si>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</si>
  <si>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達成率</t>
  </si>
  <si>
    <t>材料費</t>
  </si>
  <si>
    <t>半成品-報廢(%)</t>
    <phoneticPr fontId="10"/>
  </si>
  <si>
    <t>報廢率</t>
    <phoneticPr fontId="10"/>
  </si>
  <si>
    <t>材料費率</t>
  </si>
  <si>
    <t>半成品-超用(%)</t>
    <phoneticPr fontId="10"/>
  </si>
  <si>
    <t>超用率</t>
    <phoneticPr fontId="10"/>
  </si>
  <si>
    <t>勞務成本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</si>
  <si>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</si>
  <si>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t>導入率</t>
  </si>
  <si>
    <t>勞務費率</t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</si>
  <si>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</si>
  <si>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實施率</t>
    <phoneticPr fontId="10"/>
  </si>
  <si>
    <t>（３）業績構成比</t>
    <phoneticPr fontId="10"/>
  </si>
  <si>
    <t>（４）訂單數量構成比</t>
    <phoneticPr fontId="10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</si>
  <si>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</si>
  <si>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比例</t>
    <phoneticPr fontId="10"/>
  </si>
  <si>
    <t>差異</t>
    <phoneticPr fontId="10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</si>
  <si>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</si>
  <si>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</si>
  <si>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t>18℃-壽司手卷(071,072,075,076)</t>
    <phoneticPr fontId="13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</si>
  <si>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</si>
  <si>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4℃-飯糰(065)</t>
  </si>
  <si>
    <t>4℃-壽司手卷(077)</t>
    <phoneticPr fontId="13" type="noConversion"/>
  </si>
  <si>
    <t>4℃-壽司手卷(077)</t>
  </si>
  <si>
    <t>主食(091,092,093,094,095)</t>
    <phoneticPr fontId="13" type="noConversion"/>
  </si>
  <si>
    <t>主食(091,092,093,094,095)</t>
  </si>
  <si>
    <t>便當(083)</t>
    <phoneticPr fontId="13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</si>
  <si>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</si>
  <si>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</si>
  <si>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</si>
  <si>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</si>
  <si>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季節調理麵(111,112)</t>
  </si>
  <si>
    <t>微波小吃(153,154,155)</t>
    <phoneticPr fontId="13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</si>
  <si>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</si>
  <si>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</si>
  <si>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品群</t>
    <phoneticPr fontId="10"/>
  </si>
  <si>
    <t>18℃-飯A15:A23糰(061,063)</t>
  </si>
  <si>
    <t>18℃-壽司手卷(071,072,075,076)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</si>
  <si>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</si>
  <si>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週別</t>
    <phoneticPr fontId="13" type="noConversion"/>
  </si>
  <si>
    <t>W4</t>
    <phoneticPr fontId="13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</si>
  <si>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</si>
  <si>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當週</t>
    <phoneticPr fontId="10"/>
  </si>
  <si>
    <t>前週</t>
    <phoneticPr fontId="13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</si>
  <si>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</si>
  <si>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</si>
  <si>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</si>
  <si>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</si>
  <si>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t>材料費</t>
    <phoneticPr fontId="13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</si>
  <si>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</si>
  <si>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</si>
  <si>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前週</t>
    <phoneticPr fontId="10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</si>
  <si>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</si>
  <si>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</si>
  <si>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</si>
  <si>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</si>
  <si>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日期</t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</si>
  <si>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</si>
  <si>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</si>
  <si>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</si>
  <si>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</si>
  <si>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</si>
  <si>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</si>
  <si>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日</t>
    <phoneticPr fontId="13" type="noConversion"/>
  </si>
  <si>
    <t>週累積</t>
    <phoneticPr fontId="13" type="noConversion"/>
  </si>
  <si>
    <t>月累積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</si>
  <si>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</si>
  <si>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</si>
  <si>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</si>
  <si>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</si>
  <si>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</si>
  <si>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</si>
  <si>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</si>
  <si>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（２）ＫＰＩ達成進度</t>
    <phoneticPr fontId="13" type="noConversion"/>
  </si>
  <si>
    <t xml:space="preserve">人時生產性(個/人) </t>
  </si>
  <si>
    <t xml:space="preserve">人時生產性達成率(%) </t>
  </si>
  <si>
    <t xml:space="preserve">半成品報廢(%) </t>
    <phoneticPr fontId="13" type="noConversion"/>
  </si>
  <si>
    <t xml:space="preserve">半成品超用(%) </t>
  </si>
  <si>
    <t>固定產線-導入率(固定產線數/總產線數)</t>
    <phoneticPr fontId="13" type="noConversion"/>
  </si>
  <si>
    <t>教育訓練-實施率(進度/計畫)</t>
    <phoneticPr fontId="13" type="noConversion"/>
  </si>
  <si>
    <t>週平均</t>
    <phoneticPr fontId="13" type="noConversion"/>
  </si>
  <si>
    <t>月平均</t>
    <phoneticPr fontId="13" type="noConversion"/>
  </si>
  <si>
    <t>（3）業績構成比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</si>
  <si>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</si>
  <si>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t>營業額</t>
    <phoneticPr fontId="13" type="noConversion"/>
  </si>
  <si>
    <t>品類業績</t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</si>
  <si>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</si>
  <si>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</si>
  <si>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</si>
  <si>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</si>
  <si>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</si>
  <si>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</si>
  <si>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</si>
  <si>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</si>
  <si>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微波小吃</t>
    <phoneticPr fontId="13" type="noConversion"/>
  </si>
  <si>
    <t>一配</t>
    <phoneticPr fontId="13" type="noConversion"/>
  </si>
  <si>
    <t>二配</t>
    <phoneticPr fontId="13" type="noConversion"/>
  </si>
  <si>
    <t>合計</t>
    <phoneticPr fontId="13" type="noConversion"/>
  </si>
  <si>
    <t>業績(元)</t>
    <phoneticPr fontId="13" type="noConversion"/>
  </si>
  <si>
    <t>比例(%)</t>
    <phoneticPr fontId="13" type="noConversion"/>
  </si>
  <si>
    <t>（4）訂單數量構成比</t>
    <phoneticPr fontId="13" type="noConversion"/>
  </si>
  <si>
    <t>訂單量</t>
    <phoneticPr fontId="13" type="noConversion"/>
  </si>
  <si>
    <t>品類訂單量</t>
    <phoneticPr fontId="13" type="noConversion"/>
  </si>
  <si>
    <t>訂單數</t>
    <phoneticPr fontId="13" type="noConversion"/>
  </si>
  <si>
    <r>
      <t>2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</si>
  <si>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3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</si>
  <si>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</si>
  <si>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</si>
  <si>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</si>
  <si>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</si>
  <si>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</si>
  <si>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 (週平均)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</si>
  <si>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</si>
  <si>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</si>
  <si>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</si>
  <si>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</si>
  <si>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</si>
  <si>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t>人數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</si>
  <si>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</si>
  <si>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t>人時性</t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</si>
  <si>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</si>
  <si>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一配鹽蔥燒肉飯糰</t>
  </si>
  <si>
    <t>一配鮪魚飯糰</t>
  </si>
  <si>
    <t>一配雞肉飯飯糰</t>
  </si>
  <si>
    <t>一配壹號醬炙烤牛飯糰</t>
  </si>
  <si>
    <t>一配明太子龍蝦風味沙拉飯糰</t>
  </si>
  <si>
    <t>一配贅沢鮭魚肚飯糰</t>
  </si>
  <si>
    <t>一配蔬食鮪魚飯糰</t>
  </si>
  <si>
    <t>一配熟成紅鮭飯糰</t>
  </si>
  <si>
    <t>一配北海道秋鮭親子飯糰</t>
  </si>
  <si>
    <t>一配照燒雞肉飯糰</t>
  </si>
  <si>
    <t>一配經典肉鬆飯糰</t>
  </si>
  <si>
    <t>一配兩粒飯糰(鮪魚.焦糖鮭魚)</t>
  </si>
  <si>
    <t>一配鮭魚奶油醬油飯糰</t>
  </si>
  <si>
    <t>一配明太子乳酪起司沙拉飯糰</t>
  </si>
  <si>
    <t>一配紅運烏魚子紹興飯糰</t>
  </si>
  <si>
    <t>二配雞肉飯飯糰</t>
  </si>
  <si>
    <t>二配鮪魚飯糰</t>
  </si>
  <si>
    <t>二配鹽蔥燒肉飯糰</t>
  </si>
  <si>
    <t>二配壹號醬炙烤牛飯糰</t>
  </si>
  <si>
    <t>二配明太子龍蝦風味沙拉飯糰</t>
  </si>
  <si>
    <t>二配蔬食鮪魚飯糰</t>
  </si>
  <si>
    <t>二配熟成紅鮭飯糰</t>
  </si>
  <si>
    <t>二配北海道秋鮭親子飯糰</t>
  </si>
  <si>
    <t>二配芝麻香鬆飯糰</t>
  </si>
  <si>
    <t>二配油蔥G絲飯糰</t>
  </si>
  <si>
    <t>二配三杯醬爆菇菇飯糰</t>
  </si>
  <si>
    <t>二配大飯糰韓式蒜烤豬五花</t>
  </si>
  <si>
    <t>二配大飯糰滷肉飯加蛋</t>
  </si>
  <si>
    <t>二配經典肉鬆飯糰</t>
  </si>
  <si>
    <t>二配兩粒飯糰(鮪魚.焦糖鮭魚)</t>
  </si>
  <si>
    <t>二配明太子乳酪起司沙拉飯糰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</si>
  <si>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週更新(0203-0209)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</si>
  <si>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週更新(0210-0216)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</si>
  <si>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週更新(0217-0223)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</si>
  <si>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3" type="noConversion"/>
  </si>
  <si>
    <t>二配大飯糰鮪魚昆布</t>
  </si>
  <si>
    <t>2月平均人時性</t>
    <phoneticPr fontId="13" type="noConversion"/>
  </si>
  <si>
    <t>18℃-壽司手卷</t>
    <phoneticPr fontId="13" type="noConversion"/>
  </si>
  <si>
    <t>一配海饌雙手卷</t>
  </si>
  <si>
    <t>一配雙饗雙手卷</t>
  </si>
  <si>
    <t>一配長野稻荷壽司</t>
  </si>
  <si>
    <t>一配經典鮪魚沙拉細卷</t>
  </si>
  <si>
    <t>一配明太子玉子脆卷</t>
  </si>
  <si>
    <t>一配雙鬆細卷</t>
  </si>
  <si>
    <t>二配海饌雙手卷</t>
  </si>
  <si>
    <t>二配雙饗雙手卷</t>
  </si>
  <si>
    <t>二配長野稻荷壽司</t>
  </si>
  <si>
    <t>4℃-飯糰</t>
    <phoneticPr fontId="13" type="noConversion"/>
  </si>
  <si>
    <t>麻油雞飯糰</t>
  </si>
  <si>
    <t>韓素燒若飯糰</t>
  </si>
  <si>
    <t>和風牛肉咖哩炸飯糰</t>
  </si>
  <si>
    <t>蟹味可樂餅風炸飯糰</t>
  </si>
  <si>
    <t>4℃-壽司手卷</t>
    <phoneticPr fontId="13" type="noConversion"/>
  </si>
  <si>
    <t>明太子泡菜牛飯卷</t>
  </si>
  <si>
    <t>香料咖哩烤雞飯卷</t>
  </si>
  <si>
    <t>微波主食</t>
    <phoneticPr fontId="13" type="noConversion"/>
  </si>
  <si>
    <t>糖燻野郎三十天熟成牛飯</t>
  </si>
  <si>
    <t>二配里肌豬排可可咖哩歐姆蛋飯</t>
  </si>
  <si>
    <t>二配黃金雞排蘑菇白醬歐姆蛋飯</t>
  </si>
  <si>
    <t>二配哞哞培根奶香海陸焗飯</t>
  </si>
  <si>
    <t>二配乳酪燻腸紅醬焗飯</t>
  </si>
  <si>
    <t>二配西班牙風味海鮮燉飯</t>
  </si>
  <si>
    <t>二配蒙古風味烤肉飯</t>
  </si>
  <si>
    <t>二配失控起司薯餅焗飯</t>
  </si>
  <si>
    <t>二配鐵板豆腐燴蛋蓋飯</t>
  </si>
  <si>
    <t>二配濃起司燻腸紅醬焗烤飯</t>
  </si>
  <si>
    <r>
      <rPr>
        <sz val="10"/>
        <color rgb="FFFF0000"/>
        <rFont val="Meiryo UI"/>
        <family val="2"/>
      </rPr>
      <t>2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</si>
  <si>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經典滷肉飯</t>
  </si>
  <si>
    <t>健身G肉餐盒</t>
  </si>
  <si>
    <t>烤蛋白餐盒</t>
  </si>
  <si>
    <t>美式雞丁餐盒</t>
  </si>
  <si>
    <t>嫩烤香料雞胸排蔬滿盒</t>
  </si>
  <si>
    <t>海陸雙拼肉肉餐盒</t>
  </si>
  <si>
    <t>蔬活腿排補力餐盒</t>
  </si>
  <si>
    <t>香腸腿排雙拼便當</t>
  </si>
  <si>
    <t>福氣魚四喜開運便當</t>
  </si>
  <si>
    <t>熱食義麵</t>
    <phoneticPr fontId="13" type="noConversion"/>
  </si>
  <si>
    <t>焗烤蕃茄起司四方麵</t>
  </si>
  <si>
    <t>季節調理麵</t>
    <phoneticPr fontId="13" type="noConversion"/>
  </si>
  <si>
    <t>東京豚骨風味拉麵</t>
  </si>
  <si>
    <t>醬油叉燒拉麵</t>
  </si>
  <si>
    <t>和風匠製胡麻涼麵</t>
  </si>
  <si>
    <t>鴻運番茄湯麵</t>
  </si>
  <si>
    <t>日式茶碗蒸</t>
  </si>
  <si>
    <t>韓式部隊鍋</t>
  </si>
  <si>
    <t>日式壽喜燒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</si>
  <si>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</si>
  <si>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</si>
  <si>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</si>
  <si>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</si>
  <si>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</si>
  <si>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</si>
  <si>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</si>
  <si>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</si>
  <si>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</si>
  <si>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</si>
  <si>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10"/>
  </si>
  <si>
    <t>商品名</t>
  </si>
  <si>
    <t>人數</t>
    <phoneticPr fontId="10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</si>
  <si>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</si>
  <si>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</si>
  <si>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t>前週比</t>
    <phoneticPr fontId="13" type="noConversion"/>
  </si>
  <si>
    <t>主要原因&amp;對策</t>
    <phoneticPr fontId="10"/>
  </si>
  <si>
    <r>
      <t>18℃-飯</t>
    </r>
    <r>
      <rPr>
        <sz val="11"/>
        <color theme="1"/>
        <rFont val="Meiryo UI"/>
        <family val="2"/>
      </rPr>
      <t>糰</t>
    </r>
  </si>
  <si>
    <t>人數配置相同與人時生產性維持穩定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</si>
  <si>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</si>
  <si>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</si>
  <si>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</si>
  <si>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</si>
  <si>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</si>
  <si>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生產熟練,達成度上升.</t>
    <phoneticPr fontId="13" type="noConversion"/>
  </si>
  <si>
    <t>前週比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</si>
  <si>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</si>
  <si>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</si>
  <si>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</si>
  <si>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3" type="noConversion"/>
  </si>
  <si>
    <r>
      <t>4℃-飯</t>
    </r>
    <r>
      <rPr>
        <sz val="11"/>
        <color theme="1"/>
        <rFont val="Meiryo UI"/>
        <family val="2"/>
      </rPr>
      <t>糰</t>
    </r>
  </si>
  <si>
    <t>配置人數依照生產線別不同有所差異.人時生產性穩定符合期待</t>
    <phoneticPr fontId="13" type="noConversion"/>
  </si>
  <si>
    <t>炸飯糰新品,人數配置與人時性同舊品</t>
    <phoneticPr fontId="13" type="noConversion"/>
  </si>
  <si>
    <t>舊品開檔,人數與人時性同舊品</t>
    <phoneticPr fontId="13" type="noConversion"/>
  </si>
  <si>
    <t>促銷貼標+1人.人時性下降</t>
    <phoneticPr fontId="13" type="noConversion"/>
  </si>
  <si>
    <t>新品 達成率略低</t>
    <phoneticPr fontId="13" type="noConversion"/>
  </si>
  <si>
    <t>水煮蛋改2人.人時生產性上升</t>
    <phoneticPr fontId="13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</si>
  <si>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</si>
  <si>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</si>
  <si>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</si>
  <si>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t>熟練度增加,達成率上升</t>
    <phoneticPr fontId="13" type="noConversion"/>
  </si>
  <si>
    <t>生產管理報表</t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</si>
  <si>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</si>
  <si>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</si>
  <si>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合計</t>
  </si>
  <si>
    <t>展開量高於需求量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</si>
  <si>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</si>
  <si>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</si>
  <si>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</si>
  <si>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金額</t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</si>
  <si>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</si>
  <si>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</si>
  <si>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</si>
  <si>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</si>
  <si>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</si>
  <si>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t>（８）報廢原因別前幾名品項</t>
    <phoneticPr fontId="13" type="noConversion"/>
  </si>
  <si>
    <t>類型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</si>
  <si>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</si>
  <si>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</si>
  <si>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</si>
  <si>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半成品名</t>
    <phoneticPr fontId="10"/>
  </si>
  <si>
    <t>單價</t>
    <phoneticPr fontId="10"/>
  </si>
  <si>
    <t>數量</t>
    <phoneticPr fontId="10"/>
  </si>
  <si>
    <t>展開量高於需求量</t>
    <phoneticPr fontId="13" type="noConversion"/>
  </si>
  <si>
    <t>烤黑胡椒洋蔥絲</t>
  </si>
  <si>
    <t>原因:生產餘料產生報廢。對策:增加線上抽秤頻率，調理展開量下修，並已採用多次補單方式執行，報廢量逐步下修，目前控制再2%以下，對比前月減少0.72%，金額減少3611元。</t>
    <phoneticPr fontId="13" type="noConversion"/>
  </si>
  <si>
    <t>薑炒筍尾</t>
  </si>
  <si>
    <t>主因:原物料規格長短差異影響用量，生產餘料報廢。對策:生產改採「多次補單」方式備料，依實際產出需求分批補料，避免一次性備料過多造成餘料報廢。</t>
    <phoneticPr fontId="13" type="noConversion"/>
  </si>
  <si>
    <t>川味秋木耳</t>
  </si>
  <si>
    <t>生產餘料產生報廢,目前報廢量控制再3%以下與超用量比例少,持續下修產出量，報廢量逐步下修前月比減少0.47%。</t>
    <phoneticPr fontId="13" type="noConversion"/>
  </si>
  <si>
    <t>雞肉飯飯糰</t>
  </si>
  <si>
    <t>炒油蔥醬</t>
  </si>
  <si>
    <t>原因:生產餘料產生報廢。對策:增加線上抽秤頻率，提升用量穩定，調理展開量下修，並已採用多次補單方式執行，報廢量逐步下修，前月比減少0.61%。</t>
    <phoneticPr fontId="13" type="noConversion"/>
  </si>
  <si>
    <t>壹號醬炙烤牛飯糰</t>
  </si>
  <si>
    <t>洋蔥壹號醬</t>
  </si>
  <si>
    <t>原因:單份用量少抓量不穩定，生產餘料產生報廢。對策:加強線上人員抓量教育訓練，提升小份量操作穩定度，下修調理展開量並改採多次補單備料。</t>
    <phoneticPr fontId="13" type="noConversion"/>
  </si>
  <si>
    <t>前幾名合計比例</t>
    <phoneticPr fontId="10"/>
  </si>
  <si>
    <t>前幾名合計金額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</si>
  <si>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</si>
  <si>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製程不穩</t>
    <phoneticPr fontId="81" type="noConversion"/>
  </si>
  <si>
    <t>美式雞丁餐盒(113年)</t>
  </si>
  <si>
    <t>清炒高麗菜</t>
  </si>
  <si>
    <t>主因:因葉梗差異容易取樣不穩導致超用。對策:調理展開量下修，並已採用多次補單方式執行，報廢率持續下修控制在2%內。</t>
    <phoneticPr fontId="13" type="noConversion"/>
  </si>
  <si>
    <t>共用類</t>
  </si>
  <si>
    <t>烤12切家常豆腐</t>
  </si>
  <si>
    <t>主要原因:烤盤產生炭渣，豆腐沾黏焦化物。對策:定期更換烤盤，制定烤盤更換時程</t>
    <phoneticPr fontId="13" type="noConversion"/>
  </si>
  <si>
    <t>60切-烤豆腐蛋白丁</t>
  </si>
  <si>
    <t>因烤箱製程蛋片厚薄規格存在差異，準備室於分切時進行篩選剔除，確保產品外觀及賣相穩定，造成剃除報廢。</t>
    <phoneticPr fontId="13" type="noConversion"/>
  </si>
  <si>
    <t>60切-焗烤蔬菜烘蛋(113年)</t>
  </si>
  <si>
    <t>因烤箱製程蛋片厚薄規格存在差異，準備室於分切時進行篩選剔除，確保產品外觀及賣相穩定。</t>
    <phoneticPr fontId="13" type="noConversion"/>
  </si>
  <si>
    <t>原物料規格</t>
  </si>
  <si>
    <t>熟化去皮馬鈴薯滾刀17-23g</t>
  </si>
  <si>
    <t>高風險半成品拆袋即用,拆包後無法延用給下配次產生報廢。</t>
    <phoneticPr fontId="13" type="noConversion"/>
  </si>
  <si>
    <t>研發設定</t>
  </si>
  <si>
    <t>烤銀鮭魚肚</t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</si>
  <si>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3" type="noConversion"/>
  </si>
  <si>
    <t>其他原因</t>
    <phoneticPr fontId="13" type="noConversion"/>
  </si>
  <si>
    <t>（８）超用原因別前幾名品項</t>
    <phoneticPr fontId="13" type="noConversion"/>
  </si>
  <si>
    <t>蒜炒紅k高麗菜(111年)</t>
  </si>
  <si>
    <t>主要原因:葉菜類人員抓量不穩定導致重量差異影響超用量。對策:針對人員抓量手法教育訓練，目前超用率控制1.5%，對比前月下降0.5%，持續追蹤確認用量。</t>
    <phoneticPr fontId="13" type="noConversion"/>
  </si>
  <si>
    <t>炒蒙古烤肉蔬菜</t>
  </si>
  <si>
    <t>主要原因:葉菜類人員抓量不穩定導致重量差異影響超用量。對策:針對人員抓量手法教育訓練，目前超用率3%，持續追蹤控制用量在3%以內。</t>
    <phoneticPr fontId="13" type="noConversion"/>
  </si>
  <si>
    <t>蘑菇白醬</t>
  </si>
  <si>
    <t>設定注餡機定量作業，因設備工差影響用量穩定度，目前每份平均超用約3～5g，持續進行機台調整與用量監控。</t>
    <phoneticPr fontId="13" type="noConversion"/>
  </si>
  <si>
    <t>蒜炒紅K油菜(A7)</t>
  </si>
  <si>
    <t>主要原因:葉菜類人員抓量不穩定導致重量差異影響超用量。對策:針對人員抓量手法教育訓練，目前超用率3%持續追蹤控制。</t>
    <phoneticPr fontId="13" type="noConversion"/>
  </si>
  <si>
    <t>蒸-全熟雞肉絲CL(113年)</t>
  </si>
  <si>
    <t>主因:雞肉絲糾結成塊長短不一，人員抓量不穩定導致重量差異影響超用。對策:使用前先行撥散，已導入定量管理，目前用量逐步穩定，本月超用量1.5%，前月比減少0.1%。</t>
    <phoneticPr fontId="13" type="noConversion"/>
  </si>
  <si>
    <t>(V)川燙小青花菜</t>
  </si>
  <si>
    <t>主因:青花菜原物料規格偏大造成超用。對策:量測設定放料量範圍，後續開發列入考量調整，並持續針對人員抓量秤重進行教育訓練。</t>
    <phoneticPr fontId="13" type="noConversion"/>
  </si>
  <si>
    <t>蕃茄湯凍(115年)</t>
  </si>
  <si>
    <t>設定注餡機定量作業，因設備工差影響用量穩定度，目前每份平均超用率3%，持續進行機台調整與用量監控。</t>
    <phoneticPr fontId="13" type="noConversion"/>
  </si>
  <si>
    <t>豚骨醬油湯凍(114年)</t>
  </si>
  <si>
    <t>切-烤牛五花(112年)</t>
  </si>
  <si>
    <t>主因:賣相設定要鋪滿，肉片狀態影響鋪滿效果。對策:調整分切方式，穩定分切長度減少規格異常。反映研發設定放料重量範圍，目前控制在1%內。</t>
    <phoneticPr fontId="13" type="noConversion"/>
  </si>
  <si>
    <t>部隊鍋湯凍</t>
  </si>
  <si>
    <t>炒蒙古肉片</t>
  </si>
  <si>
    <t>主因:原物料肉片的大小塊差異，影響超用金額。對策:加強線上抽測，持續針對人員教育訓練，本用超用量2.6%逐步下修。</t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</si>
  <si>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</si>
  <si>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</si>
  <si>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報廢</t>
    <phoneticPr fontId="13" type="noConversion"/>
  </si>
  <si>
    <t>0127-0202 總合計↑</t>
    <phoneticPr fontId="13" type="noConversion"/>
  </si>
  <si>
    <t>超用</t>
    <phoneticPr fontId="13" type="noConversion"/>
  </si>
  <si>
    <t>0203-0209 總合計↑</t>
    <phoneticPr fontId="13" type="noConversion"/>
  </si>
  <si>
    <t>0210-0216 總合計↑</t>
    <phoneticPr fontId="13" type="noConversion"/>
  </si>
  <si>
    <t>0217-0223 總合計↑</t>
    <phoneticPr fontId="13" type="noConversion"/>
  </si>
  <si>
    <t>0217-0223  總合計↑</t>
    <phoneticPr fontId="13" type="noConversion"/>
  </si>
  <si>
    <t>0224-0302 總合計↑</t>
    <phoneticPr fontId="13" type="noConversion"/>
  </si>
  <si>
    <t>（８）報廢原因別前幾名品項(1230-0105)</t>
    <phoneticPr fontId="13" type="noConversion"/>
  </si>
  <si>
    <t>抓量較不穩定造成調理多產
針對人員抓量手法教育訓練，並增加線上抽秤頻率</t>
    <phoneticPr fontId="13" type="noConversion"/>
  </si>
  <si>
    <t>原物料單價高，每份用量少以致用量易有不穩定的狀況
尋找導入少量定量工具，提升用料穩定度</t>
    <phoneticPr fontId="13" type="noConversion"/>
  </si>
  <si>
    <t>原物料大小長短差異，影響人員放料
反映研發，後續開發列入考量</t>
    <phoneticPr fontId="13" type="noConversion"/>
  </si>
  <si>
    <t>因原物料規格差異,超用量偏高，生產餘料報廢
反映研發，後續開發列入考量，建議原物料規格多切製程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</si>
  <si>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</si>
  <si>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烤箱製程蛋片規格厚薄差異
準備室分切剔除，確保賣相準定</t>
    <phoneticPr fontId="13" type="noConversion"/>
  </si>
  <si>
    <t>烤盤產生炭渣，豆腐沾黏焦化物
定期更換烤盤，制定烤盤更換時程</t>
    <phoneticPr fontId="13" type="noConversion"/>
  </si>
  <si>
    <t>對切滷蛋</t>
  </si>
  <si>
    <t>人員分切後規格不符，大小邊無法使用導致報廢
加強準備室分切製程教育訓練</t>
    <phoneticPr fontId="13" type="noConversion"/>
  </si>
  <si>
    <t>（８）報廢原因別前幾名品項(0106-0112)</t>
    <phoneticPr fontId="13" type="noConversion"/>
  </si>
  <si>
    <t>抓量較不穩定造成調理多產
增加線上抽秤頻率，調理展開量下修，並已採用多次補單方式執行</t>
    <phoneticPr fontId="13" type="noConversion"/>
  </si>
  <si>
    <t>香烤藍尾鱈魚五行餐盒</t>
  </si>
  <si>
    <t>炒蒜香堅果小魚</t>
  </si>
  <si>
    <t>焗烤起司片</t>
  </si>
  <si>
    <t>後關收籃沾黏破損
要求烤箱後關人員確實定型後再進行收籃</t>
    <phoneticPr fontId="13" type="noConversion"/>
  </si>
  <si>
    <t>（８）報廢原因別前幾名品項(0113-0119)</t>
    <phoneticPr fontId="13" type="noConversion"/>
  </si>
  <si>
    <t>炒蔥花碎蛋</t>
  </si>
  <si>
    <t>操作方式冰杓定量,生產餘料報廢
調理展開量下修，並已採用多次補單方式執行</t>
    <phoneticPr fontId="13" type="noConversion"/>
  </si>
  <si>
    <t>拌紅醬千層麵</t>
  </si>
  <si>
    <t>批量生產，生產餘料報廢
反映研發，後續開發列入考量</t>
    <phoneticPr fontId="13" type="noConversion"/>
  </si>
  <si>
    <t>（８）報廢原因別前幾名品項(0120-0126)</t>
    <phoneticPr fontId="13" type="noConversion"/>
  </si>
  <si>
    <t>抓量較不穩定造成調理多產
增加線上抽秤頻率，調理展開量下修，並已採用多次補單方式執行，目前已控制在2%內。</t>
    <phoneticPr fontId="13" type="noConversion"/>
  </si>
  <si>
    <t>義式烤馬鈴薯</t>
  </si>
  <si>
    <t>原物料大小顆差異，影響人員放料
調理展開量下修，並已採用多次補單方式執行</t>
    <phoneticPr fontId="13" type="noConversion"/>
  </si>
  <si>
    <t>蒜炒白菜</t>
  </si>
  <si>
    <t>（８）報廢原因別前幾名品項(0127-0202)</t>
    <phoneticPr fontId="13" type="noConversion"/>
  </si>
  <si>
    <t>操作方式冰杓定量,生產餘料報廢
調理展開量下修，並已採用多次補單方式執行。</t>
    <phoneticPr fontId="13" type="noConversion"/>
  </si>
  <si>
    <t>原物料大小長短差異，影響人員放料
反映研發，後續開發列入考量。</t>
    <phoneticPr fontId="13" type="noConversion"/>
  </si>
  <si>
    <t>炒綜合蔬菜丁</t>
  </si>
  <si>
    <t>操作方式冰杓定量,生產餘料報廢
反映研發，後續開發列入考量，建議原物料規格多切製程。</t>
    <phoneticPr fontId="13" type="noConversion"/>
  </si>
  <si>
    <t>菜梗、葉差異，影響人員放料手感
增加線上抽秤頻率，調理展開量下修，並已採用多次補單方式執行。</t>
    <phoneticPr fontId="13" type="noConversion"/>
  </si>
  <si>
    <t>（８）報廢原因別前幾名品項(0203-0209)</t>
    <phoneticPr fontId="13" type="noConversion"/>
  </si>
  <si>
    <t>原物料大小長短差異，影響人員放料
反映研發，後續開發列入考量，調理展開量下修，並已採用多次補單方式執行，目前已控制在2%內。</t>
    <phoneticPr fontId="13" type="noConversion"/>
  </si>
  <si>
    <t>（８）報廢原因別前幾名品項(0210-0216)</t>
    <phoneticPr fontId="13" type="noConversion"/>
  </si>
  <si>
    <t>泡菜炒大白菜</t>
  </si>
  <si>
    <t>每份用量少以致用量易有不穩定的狀況
增加線上抽秤頻率，調理展開量下修，並已採用多次補單方式執行</t>
    <phoneticPr fontId="13" type="noConversion"/>
  </si>
  <si>
    <t>（８）報廢原因別前幾名品項(0217-0223)</t>
    <phoneticPr fontId="13" type="noConversion"/>
  </si>
  <si>
    <t>（８）報廢原因別前幾名品項(0224-0302)</t>
    <phoneticPr fontId="13" type="noConversion"/>
  </si>
  <si>
    <t>操作方式冰杓定量,生產餘料報廢</t>
    <phoneticPr fontId="13" type="noConversion"/>
  </si>
  <si>
    <t>高風險半成品拆袋即用,拆包後無法延用給下配次產生報廢
反映研發，後續開發列入考量</t>
    <phoneticPr fontId="13" type="noConversion"/>
  </si>
  <si>
    <t>原物料規格過小，無法使用
反映研發，後續開發列入考量</t>
    <phoneticPr fontId="13" type="noConversion"/>
  </si>
  <si>
    <t>高風險半成品拆袋即用,拆包後無法延用給下配次產生報廢
反映研發，後續開發列入考量</t>
    <phoneticPr fontId="10"/>
  </si>
  <si>
    <t>原物料規格過小，無法使用
反映研發，後續開發列入考量</t>
    <phoneticPr fontId="10"/>
  </si>
  <si>
    <t>（８）超用原因別前幾名品項(1230-0105)</t>
    <phoneticPr fontId="13" type="noConversion"/>
  </si>
  <si>
    <t>原物料肉片的大小塊差異
反映研發，後續開發列入考量，設定放料量範圍。</t>
    <phoneticPr fontId="13" type="noConversion"/>
  </si>
  <si>
    <t>因葉梗差異容易取樣不穩導致超用
針對人員抓量手法教育訓練，並增加線上抽秤頻率</t>
    <phoneticPr fontId="13" type="noConversion"/>
  </si>
  <si>
    <t>拌蒜香五花肉</t>
  </si>
  <si>
    <t>雞肉絲糾結成塊，人員抓量放料有差異
定量管理，設定單籃重量控管，用量有逐步下降</t>
    <phoneticPr fontId="13" type="noConversion"/>
  </si>
  <si>
    <t>歐姆蛋-黑咖哩醬</t>
  </si>
  <si>
    <t>注餡機機台工差設定確認
生產前確認標準定量的機台設定，生產中抽查確認設定及實際出料重量</t>
    <phoneticPr fontId="13" type="noConversion"/>
  </si>
  <si>
    <t>青花菜原物料規格偏大造成超用
量測設定放料量範圍，後續開發列入考量調整。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</si>
  <si>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</si>
  <si>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二配鐵板蘑菇肉醬起司焗飯</t>
  </si>
  <si>
    <t>蘑菇湯凍</t>
  </si>
  <si>
    <t>醬油拉麵湯凍</t>
  </si>
  <si>
    <t>賣相設定要鋪滿，肉片狀態影響鋪滿效果
調整分切方式，穩定分切長度減少規格異常。反映研發設定放料重量範圍</t>
    <phoneticPr fontId="13" type="noConversion"/>
  </si>
  <si>
    <t>（８）超用原因別前幾名品項(0106-0112)</t>
    <phoneticPr fontId="13" type="noConversion"/>
  </si>
  <si>
    <t>鮮食雙色起司絲</t>
  </si>
  <si>
    <t>原物料長短差異，人員抓量放料守法不穩定
針對人員手法教育訓練，並增加線上抽秤頻率，後續評估導入定量管理</t>
    <phoneticPr fontId="13" type="noConversion"/>
  </si>
  <si>
    <t>健身G肉餐盒(113年)</t>
  </si>
  <si>
    <t>切烤雞胸肉(111年)</t>
  </si>
  <si>
    <t>原物料肉片的大小塊差異
回饋研發，後續開發列入考量</t>
    <phoneticPr fontId="13" type="noConversion"/>
  </si>
  <si>
    <t>（８）超用原因別前幾名品項(0113-0119)</t>
    <phoneticPr fontId="13" type="noConversion"/>
  </si>
  <si>
    <t>烤照燒雞腿丁</t>
  </si>
  <si>
    <t>原物料肉塊的大小塊差異
反映研發，後續開發列入考量，設定放料量範圍。</t>
    <phoneticPr fontId="13" type="noConversion"/>
  </si>
  <si>
    <t>人員抓量放料手法不穩定
針對人員手法教育訓練，並增加線上抽秤頻率，後續評估導入定量管理</t>
    <phoneticPr fontId="13" type="noConversion"/>
  </si>
  <si>
    <t>6切-烤醃漬咖哩腿排</t>
  </si>
  <si>
    <t>（８）超用原因別前幾名品項(0120-0126)</t>
    <phoneticPr fontId="13" type="noConversion"/>
  </si>
  <si>
    <t>因葉梗大小片差異，線上容易取樣不穩導致超用
針對人員抓量手法教育訓練，並增加線上抽秤頻率</t>
    <phoneticPr fontId="13" type="noConversion"/>
  </si>
  <si>
    <t>設定雙圈秤重，因葉梗大小片差異，線上容易取樣不穩導致超用
針對人員抓量手法教育訓練，並增加線上抽秤頻率</t>
    <phoneticPr fontId="13" type="noConversion"/>
  </si>
  <si>
    <t>瀝-煮蕃茄丁</t>
  </si>
  <si>
    <t>操作方式冰杓定量，人員手法差異
針對人員手法教育訓練，並增加線上抽秤頻率</t>
    <phoneticPr fontId="13" type="noConversion"/>
  </si>
  <si>
    <t>青花菜原物料規格偏大造成超用
設定放料量範圍，後續開發列入考量調整。</t>
    <phoneticPr fontId="13" type="noConversion"/>
  </si>
  <si>
    <t>切-烤原淬醃漬嫩雞胸CL</t>
  </si>
  <si>
    <t>原物料肉塊的大小塊差異
調整分切方式，穩定分切長度減少規格異常。反映研發設定放料重量範圍</t>
    <phoneticPr fontId="13" type="noConversion"/>
  </si>
  <si>
    <t>（８）超用原因別前幾名品項(0127-0202)</t>
    <phoneticPr fontId="13" type="noConversion"/>
  </si>
  <si>
    <t>注餡機機台工差設定確認
調整分切方式，穩定分切長度減少規格異常。反映研發設定放料重量範圍</t>
    <phoneticPr fontId="13" type="noConversion"/>
  </si>
  <si>
    <t>注餡機機台工差設定確認
生產前確認標準定量的機台設定，生產中抽查確認設定及實際出料重量。</t>
    <phoneticPr fontId="13" type="noConversion"/>
  </si>
  <si>
    <t>賣相設定要鋪滿，肉片狀態影響鋪滿效果
調整分切方式，穩定分切長度減少規格異常。反映研發設定放料重量範圍。</t>
    <phoneticPr fontId="13" type="noConversion"/>
  </si>
  <si>
    <t>（８）超用原因別前幾名品項(0203-0209)</t>
    <phoneticPr fontId="13" type="noConversion"/>
  </si>
  <si>
    <t>因葉梗大小片差異，線上容易取樣不穩導致超用
針對人員抓量手法教育訓練，並增加線上抽秤頻率，目前控制在3%內。</t>
    <phoneticPr fontId="13" type="noConversion"/>
  </si>
  <si>
    <t>設定雙圈秤重，因葉梗大小片差異，線上容易取樣不穩導致超用
針對人員抓量手法教育訓練，並增加線上抽秤頻率，對比上週下降。</t>
    <phoneticPr fontId="13" type="noConversion"/>
  </si>
  <si>
    <t>原物料肉塊的大小塊差異
反映研發，後續開發列入考量，設定放料量範圍，針對人員手法教育訓練，並增加線上抽秤頻率。</t>
    <phoneticPr fontId="13" type="noConversion"/>
  </si>
  <si>
    <t>（８）超用原因別前幾名品項(0210-0216)</t>
    <phoneticPr fontId="13" type="noConversion"/>
  </si>
  <si>
    <t>雞肉絲糾結成塊，人員抓量放料有差異
定量管理，設定單籃重量控管，用量有逐步下降。</t>
    <phoneticPr fontId="13" type="noConversion"/>
  </si>
  <si>
    <t>原物料肉塊的大小塊差異
反映研發，後續開發列入考量，設定放料量範圍，針對人員手法教育訓練，並增加線上抽秤頻率</t>
    <phoneticPr fontId="13" type="noConversion"/>
  </si>
  <si>
    <t>（８）超用原因別前幾名品項(0217-0223)</t>
    <phoneticPr fontId="13" type="noConversion"/>
  </si>
  <si>
    <t>（８）超用原因別前幾名品項(0224-0302)</t>
    <phoneticPr fontId="13" type="noConversion"/>
  </si>
  <si>
    <t>雞肉絲糾結成塊，人員抓量放料有差異
定量管理，設定單籃重量控管，用量有逐步穩定下降。</t>
    <phoneticPr fontId="13" type="noConversion"/>
  </si>
  <si>
    <t>抓量較不穩定造成超用
針對人員抓量手法教育訓練，並增加線上抽秤頻率</t>
    <phoneticPr fontId="13" type="noConversion"/>
  </si>
  <si>
    <t>青花菜原物料規格偏大造成超用
因近期青花菜大朵比例有下降，線上放量較穩定，整體超用數據有下修</t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</si>
  <si>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</si>
  <si>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展開量高於１０5％</t>
    <phoneticPr fontId="10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</si>
  <si>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</si>
  <si>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No.</t>
  </si>
  <si>
    <t>規格</t>
  </si>
  <si>
    <t>實績</t>
    <phoneticPr fontId="10"/>
  </si>
  <si>
    <t>主要原因&amp;對策</t>
  </si>
  <si>
    <t>作業原因</t>
    <phoneticPr fontId="10"/>
  </si>
  <si>
    <t>原料原因</t>
    <phoneticPr fontId="10"/>
  </si>
  <si>
    <t>大溪廠半成品管理日別總表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</si>
  <si>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</si>
  <si>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</si>
  <si>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3" type="noConversion"/>
  </si>
  <si>
    <t>超用額</t>
    <phoneticPr fontId="81" type="noConversion"/>
  </si>
  <si>
    <t>超用率</t>
    <phoneticPr fontId="13" type="noConversion"/>
  </si>
  <si>
    <t>廢棄前10名</t>
    <phoneticPr fontId="13" type="noConversion"/>
  </si>
  <si>
    <t>超用前10名</t>
    <phoneticPr fontId="13" type="noConversion"/>
  </si>
  <si>
    <t>共用類廢棄</t>
    <phoneticPr fontId="13" type="noConversion"/>
  </si>
  <si>
    <t>廢棄週合計</t>
    <phoneticPr fontId="13" type="noConversion"/>
  </si>
  <si>
    <t>超用週合計</t>
    <phoneticPr fontId="13" type="noConversion"/>
  </si>
  <si>
    <t>金額總計</t>
    <phoneticPr fontId="13" type="noConversion"/>
  </si>
  <si>
    <t>構成比</t>
    <phoneticPr fontId="13" type="noConversion"/>
  </si>
  <si>
    <t>金額總計</t>
    <phoneticPr fontId="8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</si>
  <si>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1" type="noConversion"/>
  </si>
  <si>
    <r>
      <t>1</t>
    </r>
    <r>
      <rPr>
        <sz val="12"/>
        <color theme="1"/>
        <rFont val="Microsoft JhengHei"/>
        <family val="2"/>
      </rPr>
      <t>月報廢</t>
    </r>
    <phoneticPr fontId="13" type="noConversion"/>
  </si>
  <si>
    <t>1月超用</t>
    <phoneticPr fontId="13" type="noConversion"/>
  </si>
  <si>
    <r>
      <t>2</t>
    </r>
    <r>
      <rPr>
        <sz val="12"/>
        <color theme="1"/>
        <rFont val="Microsoft JhengHei"/>
        <family val="2"/>
      </rPr>
      <t>月報廢</t>
    </r>
    <phoneticPr fontId="13" type="noConversion"/>
  </si>
  <si>
    <t>2月超用</t>
    <phoneticPr fontId="13" type="noConversion"/>
  </si>
  <si>
    <t>合計</t>
    <phoneticPr fontId="81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</si>
  <si>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</si>
  <si>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</si>
  <si>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</si>
  <si>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</si>
  <si>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</si>
  <si>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</si>
  <si>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</si>
  <si>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</si>
  <si>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次數</t>
    <phoneticPr fontId="13" type="noConversion"/>
  </si>
  <si>
    <t>備註-商品名稱</t>
  </si>
  <si>
    <t>分析原因（件）</t>
    <phoneticPr fontId="13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</si>
  <si>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</si>
  <si>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</si>
  <si>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</si>
  <si>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</si>
  <si>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</si>
  <si>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3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</si>
  <si>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</si>
  <si>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</si>
  <si>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</si>
  <si>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</si>
  <si>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</si>
  <si>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</si>
  <si>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補單
(kg)</t>
  </si>
  <si>
    <t>補單占比</t>
    <phoneticPr fontId="13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</si>
  <si>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</si>
  <si>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</si>
  <si>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</si>
  <si>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</si>
  <si>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</si>
  <si>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</si>
  <si>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3" type="noConversion"/>
  </si>
  <si>
    <t>展開量高於需求量</t>
  </si>
  <si>
    <t>調理多產</t>
  </si>
  <si>
    <t>製程不穩</t>
  </si>
  <si>
    <t>其他原因</t>
  </si>
  <si>
    <t>0127-0202</t>
    <phoneticPr fontId="13" type="noConversion"/>
  </si>
  <si>
    <t>調理端</t>
  </si>
  <si>
    <t>抓量較不穩定造成調理多產</t>
    <phoneticPr fontId="13" type="noConversion"/>
  </si>
  <si>
    <t>增加線上抽秤頻率，調理展開量下修，並已採用多次補單方式執行，目前已控制在2%內。</t>
    <phoneticPr fontId="13" type="noConversion"/>
  </si>
  <si>
    <t>週前二十</t>
    <phoneticPr fontId="13" type="noConversion"/>
  </si>
  <si>
    <t>菜梗、葉差異，影響人員放料手感</t>
    <phoneticPr fontId="13" type="noConversion"/>
  </si>
  <si>
    <t>增加線上抽秤頻率，調理展開量下修，並已採用多次補單方式執行</t>
    <phoneticPr fontId="13" type="noConversion"/>
  </si>
  <si>
    <t>調理展開量下修，並已採用多次補單方式執行</t>
    <phoneticPr fontId="13" type="noConversion"/>
  </si>
  <si>
    <t>研發設定</t>
    <phoneticPr fontId="13" type="noConversion"/>
  </si>
  <si>
    <t>原物料規格過小，無法使用</t>
    <phoneticPr fontId="13" type="noConversion"/>
  </si>
  <si>
    <t>反映研發，後續開發列入考量</t>
    <phoneticPr fontId="13" type="noConversion"/>
  </si>
  <si>
    <t>原物料大小長短差異，影響人員放料</t>
    <phoneticPr fontId="13" type="noConversion"/>
  </si>
  <si>
    <t>調理展開量下修，並已採用多次補單方式執行</t>
  </si>
  <si>
    <t>因原物料規格差異,超用量偏高，生產餘料報廢</t>
    <phoneticPr fontId="13" type="noConversion"/>
  </si>
  <si>
    <t>反映研發，後續開發列入考量，建議原物料規格多切製程</t>
    <phoneticPr fontId="13" type="noConversion"/>
  </si>
  <si>
    <t>菜梗、葉差異，影響人員放料手感</t>
  </si>
  <si>
    <t>增加線上抽秤頻率，調理展開量下修，並已採用多次補單方式執行</t>
  </si>
  <si>
    <r>
      <t>每份</t>
    </r>
    <r>
      <rPr>
        <sz val="12"/>
        <color theme="1"/>
        <rFont val="Meiryo UI"/>
        <family val="2"/>
      </rPr>
      <t>用量少以致用量易有不穩定的</t>
    </r>
    <r>
      <rPr>
        <sz val="12"/>
        <color theme="1"/>
        <rFont val="細明體"/>
        <family val="3"/>
        <charset val="136"/>
      </rPr>
      <t>狀</t>
    </r>
    <r>
      <rPr>
        <sz val="12"/>
        <color theme="1"/>
        <rFont val="Meiryo UI"/>
        <family val="2"/>
      </rPr>
      <t>況</t>
    </r>
  </si>
  <si>
    <t>川燙毛豆玉米</t>
  </si>
  <si>
    <t>操作方式冰杓定量,生產餘料報廢</t>
  </si>
  <si>
    <t>(壽喜燒)壽喜燒湯凍</t>
  </si>
  <si>
    <t>注餡機機台工差設定確認</t>
  </si>
  <si>
    <t>生產前確認標準定量的機台設定，生產中抽查確認設定及實際出料重量</t>
  </si>
  <si>
    <t>油煮蛤蜊-肉</t>
  </si>
  <si>
    <t>原物料大小顆差異，影響人員放料</t>
    <phoneticPr fontId="13" type="noConversion"/>
  </si>
  <si>
    <t>炒調味筍干</t>
  </si>
  <si>
    <t>拌鮭魚奶油醬</t>
  </si>
  <si>
    <t>抓量較不穩定造成調理多產</t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</si>
  <si>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3" type="noConversion"/>
  </si>
  <si>
    <t>蒙古烤肉湯凍(114.12)</t>
  </si>
  <si>
    <t>(壽喜燒)川燙五花肉片</t>
  </si>
  <si>
    <t>原物料肉片規格大小差異，影響人員放料</t>
    <phoneticPr fontId="13" type="noConversion"/>
  </si>
  <si>
    <t>辣滷冬粉</t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</si>
  <si>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3" type="noConversion"/>
  </si>
  <si>
    <t>拌明太子龍蝦沙拉(114年)</t>
  </si>
  <si>
    <t>明太子龍蝦風味沙拉飯糰(114年)</t>
  </si>
  <si>
    <t>煮三杯料</t>
  </si>
  <si>
    <t>0203-0209</t>
    <phoneticPr fontId="13" type="noConversion"/>
  </si>
  <si>
    <t>反映研發，後續開發列入考量，調理展開量下修，並已採用多次補單方式執行，目前已控制在2%內。</t>
    <phoneticPr fontId="13" type="noConversion"/>
  </si>
  <si>
    <t>辣炒酸菜碎</t>
  </si>
  <si>
    <t>拌焦糖沙拉</t>
  </si>
  <si>
    <t>兩粒飯糰(鮪魚.焦糖鮭魚)</t>
  </si>
  <si>
    <t>焗飯-義式蕃茄紅醬</t>
  </si>
  <si>
    <t>西班牙烤雞腿丁</t>
  </si>
  <si>
    <t>原物料肉塊規格大小差異，影響人員放料，生產餘料報廢</t>
    <phoneticPr fontId="13" type="noConversion"/>
  </si>
  <si>
    <t>拌鮪魚沙拉(平替)</t>
  </si>
  <si>
    <t>麵體批量生產，生產餘料報廢</t>
    <phoneticPr fontId="13" type="noConversion"/>
  </si>
  <si>
    <t>烤箱製程蛋片規格厚薄差異</t>
    <phoneticPr fontId="13" type="noConversion"/>
  </si>
  <si>
    <t>準備室分切剔除，確保賣相準定</t>
    <phoneticPr fontId="13" type="noConversion"/>
  </si>
  <si>
    <t>烤盤產生炭渣，豆腐沾黏焦化物</t>
    <phoneticPr fontId="13" type="noConversion"/>
  </si>
  <si>
    <t>定期更換烤盤，制定烤盤更換時程</t>
    <phoneticPr fontId="13" type="noConversion"/>
  </si>
  <si>
    <t>0210-0216</t>
    <phoneticPr fontId="13" type="noConversion"/>
  </si>
  <si>
    <t>增加線上抽秤頻率，調理展開量下修，並已採用多次補單方式執行。</t>
    <phoneticPr fontId="13" type="noConversion"/>
  </si>
  <si>
    <t>蒸燻腸片</t>
  </si>
  <si>
    <t>反映研發，後續開發列入考量</t>
  </si>
  <si>
    <t>拌鮭魚沙拉(兩粒)</t>
  </si>
  <si>
    <t>原物料肉塊的大小塊差異</t>
    <phoneticPr fontId="13" type="noConversion"/>
  </si>
  <si>
    <t>調整分切方式，穩定分切長度減少規格異常。反映研發設定放料重量範圍</t>
    <phoneticPr fontId="13" type="noConversion"/>
  </si>
  <si>
    <t>0217-0223</t>
    <phoneticPr fontId="13" type="noConversion"/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</si>
  <si>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</si>
  <si>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</si>
  <si>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</si>
  <si>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</si>
  <si>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</si>
  <si>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</si>
  <si>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</si>
  <si>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</si>
  <si>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</si>
  <si>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</si>
  <si>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原物料規格差異，抓量較不穩定造成調理多產</t>
  </si>
  <si>
    <t>增加線上抽秤頻率，準備展開量下修，並已採用多次補單方式執行</t>
  </si>
  <si>
    <t>原物料肉塊的大小塊差異</t>
  </si>
  <si>
    <t>調整分切方式，穩定分切長度減少規格異常。反映研發設定放料重量範圍</t>
  </si>
  <si>
    <t>增加線上抽秤頻率，調理展開量下修，並已採用多次補單方式執行。</t>
  </si>
  <si>
    <t>因原物料規格差異,超用量偏高，生產餘料報廢</t>
  </si>
  <si>
    <t>反映研發，後續開發列入考量，建議原物料規格多切製程</t>
  </si>
  <si>
    <t>拌鮭魚沙拉(114年)</t>
  </si>
  <si>
    <t>北海道秋鮭親子飯糰(114年)</t>
  </si>
  <si>
    <t>奶香起司醬</t>
  </si>
  <si>
    <t>薯餅焗飯-紅醬</t>
  </si>
  <si>
    <t>0224-0302</t>
    <phoneticPr fontId="13" type="noConversion"/>
  </si>
  <si>
    <t>炒紅K碎蛋</t>
  </si>
  <si>
    <t>月</t>
    <phoneticPr fontId="13" type="noConversion"/>
  </si>
  <si>
    <t>炒照燒牛蒡腿丁</t>
  </si>
  <si>
    <t>反映研發，後續開發列入考量，調理展開量下修，並已採用多次補單方式執行</t>
  </si>
  <si>
    <t>蒜炒洋菇片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</si>
  <si>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</si>
  <si>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原因說明</t>
    <phoneticPr fontId="13" type="noConversion"/>
  </si>
  <si>
    <t>超用金額</t>
    <phoneticPr fontId="13" type="noConversion"/>
  </si>
  <si>
    <t>青花菜原物料規格偏大造成超用</t>
    <phoneticPr fontId="13" type="noConversion"/>
  </si>
  <si>
    <t>設定放料量範圍，後續開發列入考量調整。</t>
    <phoneticPr fontId="13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</si>
  <si>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3" type="noConversion"/>
  </si>
  <si>
    <t>針對人員抓量手法教育訓練，並增加線上抽秤頻率</t>
    <phoneticPr fontId="13" type="noConversion"/>
  </si>
  <si>
    <t>注餡機機台工差設定確認</t>
    <phoneticPr fontId="13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</si>
  <si>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3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</si>
  <si>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</si>
  <si>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3" type="noConversion"/>
  </si>
  <si>
    <t>反映研發，後續開發列入考量，設定放料量範圍。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</si>
  <si>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</si>
  <si>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賣相設定要鋪滿，肉片狀態影響鋪滿效果</t>
    <phoneticPr fontId="13" type="noConversion"/>
  </si>
  <si>
    <t>焗飯-奶香白醬(114年)</t>
  </si>
  <si>
    <t>烤BBQ雞丁(112年)</t>
  </si>
  <si>
    <t>反映研發，後續開發列入考量，設定放料量範圍。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</si>
  <si>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3" type="noConversion"/>
  </si>
  <si>
    <t>定量管理，設定單籃重量控管，用量有逐步下降</t>
    <phoneticPr fontId="13" type="noConversion"/>
  </si>
  <si>
    <t>人員抓量放料手法不穩定</t>
    <phoneticPr fontId="13" type="noConversion"/>
  </si>
  <si>
    <t>針對人員手法教育訓練，並增加線上抽秤頻率，導入定量管理，用量已控制</t>
    <phoneticPr fontId="13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</si>
  <si>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機生產,單份用量17g,半成品肉片規格有差</t>
    </r>
    <phoneticPr fontId="13" type="noConversion"/>
  </si>
  <si>
    <t>針對人員抓量手法教育訓練，並增加線上抽秤頻率</t>
  </si>
  <si>
    <t>操作方式冰杓定量，人員手法差異</t>
    <phoneticPr fontId="13" type="noConversion"/>
  </si>
  <si>
    <t>針對人員手法教育訓練，並增加線上抽秤頻率</t>
    <phoneticPr fontId="13" type="noConversion"/>
  </si>
  <si>
    <t>單片麵體差異每片重量約4-6克</t>
    <phoneticPr fontId="13" type="noConversion"/>
  </si>
  <si>
    <t>回饋研發，後續開發列入考量，設定放料量範圍</t>
    <phoneticPr fontId="13" type="noConversion"/>
  </si>
  <si>
    <t>蒸蛤蜊-肉(VN151)</t>
  </si>
  <si>
    <t>原物料規格的大小顆差異，每顆差異1~2克</t>
    <phoneticPr fontId="13" type="noConversion"/>
  </si>
  <si>
    <t>抓量較不穩定造成超用</t>
    <phoneticPr fontId="13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</si>
  <si>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3" type="noConversion"/>
  </si>
  <si>
    <t>針對人員抓量手法教育訓練，並增加線上抽秤頻率，對比上週下降。</t>
    <phoneticPr fontId="13" type="noConversion"/>
  </si>
  <si>
    <t>反映研發，後續開發列入考量，設定放料量範圍，針對人員手法教育訓練，並增加線上抽秤頻率。</t>
    <phoneticPr fontId="13" type="noConversion"/>
  </si>
  <si>
    <t>針對人員手法教育訓練，並增加線上抽秤頻率，導入定量管理，用量控制2%。</t>
    <phoneticPr fontId="13" type="noConversion"/>
  </si>
  <si>
    <t>油蔥肉燥(113年)</t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</si>
  <si>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</t>
    </r>
    <r>
      <rPr>
        <sz val="12"/>
        <color theme="1"/>
        <rFont val="微軟正黑體"/>
        <family val="2"/>
        <charset val="136"/>
      </rPr>
      <t>大小落差</t>
    </r>
    <phoneticPr fontId="13" type="noConversion"/>
  </si>
  <si>
    <r>
      <t>定量管理，設定單籃重量控管，用量有逐步下降，目前控制</t>
    </r>
    <r>
      <rPr>
        <sz val="12"/>
        <color theme="1"/>
        <rFont val="Microsoft JhengHei"/>
        <family val="2"/>
      </rPr>
      <t>在</t>
    </r>
    <r>
      <rPr>
        <sz val="12"/>
        <color theme="1"/>
        <rFont val="Meiryo UI"/>
        <family val="2"/>
      </rPr>
      <t>1%。</t>
    </r>
    <phoneticPr fontId="13" type="noConversion"/>
  </si>
  <si>
    <t>炒蝦仁(8號)</t>
  </si>
  <si>
    <t>原物料蝦仁大小隻公差，影響用量</t>
    <phoneticPr fontId="13" type="noConversion"/>
  </si>
  <si>
    <t>反映研發，後續開發列入考量。</t>
    <phoneticPr fontId="13" type="noConversion"/>
  </si>
  <si>
    <r>
      <t>反映研發，後續開發列入考量，設定放料量範圍，針對人員手法教育訓練，並增加線上抽秤頻率，對比上週</t>
    </r>
    <r>
      <rPr>
        <sz val="12"/>
        <color theme="1"/>
        <rFont val="Microsoft JhengHei"/>
        <family val="2"/>
      </rPr>
      <t>用量已明顯下降</t>
    </r>
    <r>
      <rPr>
        <sz val="12"/>
        <color theme="1"/>
        <rFont val="Meiryo UI"/>
        <family val="2"/>
      </rPr>
      <t>。</t>
    </r>
    <phoneticPr fontId="13" type="noConversion"/>
  </si>
  <si>
    <t>反映研發，後續開發列入考量，設定放料量範圍，針對人員手法教育訓練，並增加線上抽秤頻率。</t>
  </si>
  <si>
    <t>炙燒韓式牛五花</t>
  </si>
  <si>
    <r>
      <t>針對人員手法教育訓練，並增加線上抽秤頻率，導入定量管理，用量控制3%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3" type="noConversion"/>
  </si>
  <si>
    <t>定量管理，設定單籃重量控管，用量有逐步下降。</t>
    <phoneticPr fontId="13" type="noConversion"/>
  </si>
  <si>
    <t>反映研發，後續開發列入考量，設定放料量範圍，針對人員手法教育訓練，並增加線上抽秤頻率</t>
  </si>
  <si>
    <t>野郎醬(112年)</t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</si>
  <si>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機生產,半成品肉片規格</t>
    </r>
    <r>
      <rPr>
        <sz val="12"/>
        <color theme="1"/>
        <rFont val="微軟正黑體"/>
        <family val="2"/>
        <charset val="136"/>
      </rPr>
      <t>大小落差</t>
    </r>
    <phoneticPr fontId="13" type="noConversion"/>
  </si>
  <si>
    <t>煮鮮味湯凍</t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</si>
  <si>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3" type="noConversion"/>
  </si>
  <si>
    <t>焙炒芝麻肉鬆</t>
  </si>
  <si>
    <r>
      <t>人員抓量放料手法不穩定，機台</t>
    </r>
    <r>
      <rPr>
        <sz val="12"/>
        <color theme="1"/>
        <rFont val="Microsoft JhengHei"/>
        <family val="2"/>
      </rPr>
      <t>旁撒落造成報廢</t>
    </r>
    <phoneticPr fontId="13" type="noConversion"/>
  </si>
  <si>
    <t>經典肉鬆飯糰(114年)</t>
  </si>
  <si>
    <t>炒培根片(114年)</t>
  </si>
  <si>
    <t>針對人員手法教育訓練，並增加線上抽秤頻率。</t>
    <phoneticPr fontId="13" type="noConversion"/>
  </si>
  <si>
    <t>因近期青花菜大朵比例有下降，線上放量較穩定，整體超用數據有下修</t>
    <phoneticPr fontId="13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</si>
  <si>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下降。</t>
    </r>
    <phoneticPr fontId="13" type="noConversion"/>
  </si>
  <si>
    <t>拌鹽烤豬肉片(114年)</t>
  </si>
  <si>
    <t>鹽蔥燒肉飯糰</t>
  </si>
  <si>
    <r>
      <t>人員抓量放料手法不穩定</t>
    </r>
    <r>
      <rPr>
        <sz val="12"/>
        <color theme="1"/>
        <rFont val="Microsoft JhengHei"/>
        <family val="2"/>
      </rPr>
      <t>導致超用</t>
    </r>
    <phoneticPr fontId="13" type="noConversion"/>
  </si>
  <si>
    <r>
      <t>定量</t>
    </r>
    <r>
      <rPr>
        <sz val="12"/>
        <color theme="1"/>
        <rFont val="Microsoft JhengHei"/>
        <family val="2"/>
      </rPr>
      <t>管理，</t>
    </r>
    <r>
      <rPr>
        <sz val="12"/>
        <color theme="1"/>
        <rFont val="Meiryo UI"/>
        <family val="2"/>
      </rPr>
      <t>針對人員抓量手法教育訓練，並增加線上抽秤頻率</t>
    </r>
    <phoneticPr fontId="13" type="noConversion"/>
  </si>
  <si>
    <t>原物料肉片的大小塊差異</t>
    <phoneticPr fontId="13" type="noConversion"/>
  </si>
  <si>
    <t>回饋研發，後續開發列入考量</t>
    <phoneticPr fontId="13" type="noConversion"/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</si>
  <si>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3" type="noConversion"/>
  </si>
  <si>
    <t>工廠名</t>
    <phoneticPr fontId="10"/>
  </si>
  <si>
    <t>・・・・・・・・</t>
  </si>
  <si>
    <t>（１）收支狀況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</si>
  <si>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</si>
  <si>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</si>
  <si>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飯糰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</si>
  <si>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</si>
  <si>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大口飯糰</t>
    <phoneticPr fontId="10"/>
  </si>
  <si>
    <t>半成品報廢</t>
    <phoneticPr fontId="10"/>
  </si>
  <si>
    <t>便當</t>
    <phoneticPr fontId="10"/>
  </si>
  <si>
    <t>半成品超用</t>
    <phoneticPr fontId="10"/>
  </si>
  <si>
    <t>調理麵</t>
    <phoneticPr fontId="10"/>
  </si>
  <si>
    <t>固定產線</t>
    <phoneticPr fontId="10"/>
  </si>
  <si>
    <t>調理麵包</t>
    <phoneticPr fontId="10"/>
  </si>
  <si>
    <t>-</t>
  </si>
  <si>
    <t>-%</t>
  </si>
  <si>
    <t>教育訓練</t>
    <phoneticPr fontId="10"/>
  </si>
  <si>
    <t>袋裝調理麵包</t>
    <phoneticPr fontId="10"/>
  </si>
  <si>
    <t>義大利麵</t>
    <phoneticPr fontId="10"/>
  </si>
  <si>
    <t>（５）品群別人時生產性</t>
    <phoneticPr fontId="10"/>
  </si>
  <si>
    <t>調理包</t>
    <phoneticPr fontId="10"/>
  </si>
  <si>
    <t>（７）原因別分析</t>
    <phoneticPr fontId="10"/>
  </si>
  <si>
    <t>規格原因</t>
    <phoneticPr fontId="10"/>
  </si>
  <si>
    <t>（６）人時生產性前幾名品項</t>
    <phoneticPr fontId="10"/>
  </si>
  <si>
    <t>產能</t>
    <phoneticPr fontId="10"/>
  </si>
  <si>
    <t>人時生產性</t>
    <phoneticPr fontId="10"/>
  </si>
  <si>
    <t>前月比</t>
  </si>
  <si>
    <t>（８）報廢原因別前幾名品項</t>
    <phoneticPr fontId="10"/>
  </si>
  <si>
    <t>手巻明太子</t>
  </si>
  <si>
    <t>減少暫時停止生產,人時UP</t>
    <phoneticPr fontId="10"/>
  </si>
  <si>
    <t>明太子海苔便當</t>
    <phoneticPr fontId="10"/>
  </si>
  <si>
    <t>油炸白身魚</t>
    <phoneticPr fontId="10"/>
  </si>
  <si>
    <t>油調過多報廢。變更條件。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</si>
  <si>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</si>
  <si>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t>手巻卵黄雞絞肉</t>
    <phoneticPr fontId="10"/>
  </si>
  <si>
    <t>6/30新商品</t>
  </si>
  <si>
    <t>因組裝2食材,人員增加,產速減少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</si>
  <si>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</si>
  <si>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</si>
  <si>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t>海老炒飯</t>
  </si>
  <si>
    <t>川燙蝦子拌醬</t>
    <phoneticPr fontId="10"/>
  </si>
  <si>
    <t>蝦子入數不足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</si>
  <si>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</si>
  <si>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</si>
  <si>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直巻明太子美奶茲</t>
    <phoneticPr fontId="10"/>
  </si>
  <si>
    <t>透由調整速度提升。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</si>
  <si>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</si>
  <si>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</si>
  <si>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</si>
  <si>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大口飯糰燒肉美奶滋</t>
    <phoneticPr fontId="10"/>
  </si>
  <si>
    <t>因摺疊增員。實施教育訓練。</t>
    <phoneticPr fontId="10"/>
  </si>
  <si>
    <t>牛五花燒成</t>
    <phoneticPr fontId="10"/>
  </si>
  <si>
    <t>因原料變更。</t>
    <phoneticPr fontId="10"/>
  </si>
  <si>
    <t>指導鋪開炒柴魚片</t>
    <phoneticPr fontId="10"/>
  </si>
  <si>
    <t>（９）歩留</t>
  </si>
  <si>
    <t>肉狀態不良，已連動開發</t>
    <phoneticPr fontId="10"/>
  </si>
  <si>
    <t>燒成過多，調整調理條件。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</si>
  <si>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</si>
  <si>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</si>
  <si>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</si>
  <si>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</si>
  <si>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</si>
  <si>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</si>
  <si>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</si>
  <si>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</si>
  <si>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</si>
  <si>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</si>
  <si>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</si>
  <si>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</si>
  <si>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</si>
  <si>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</si>
  <si>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</si>
  <si>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</si>
  <si>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</si>
  <si>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</si>
  <si>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</si>
  <si>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</si>
  <si>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</si>
  <si>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</si>
  <si>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</si>
  <si>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</si>
  <si>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</si>
  <si>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</si>
  <si>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</si>
  <si>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</si>
  <si>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</si>
  <si>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</si>
  <si>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</si>
  <si>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</si>
  <si>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</si>
  <si>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</si>
  <si>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</si>
  <si>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</si>
  <si>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</si>
  <si>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</si>
  <si>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</si>
  <si>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</si>
  <si>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</si>
  <si>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</si>
  <si>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</si>
  <si>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</si>
  <si>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</si>
  <si>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</si>
  <si>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</si>
  <si>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</si>
  <si>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</si>
  <si>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</si>
  <si>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</si>
  <si>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</si>
  <si>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</si>
  <si>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</si>
  <si>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</si>
  <si>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</si>
  <si>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</si>
  <si>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</si>
  <si>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</si>
  <si>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</si>
  <si>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</si>
  <si>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</si>
  <si>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</si>
  <si>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</si>
  <si>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</si>
  <si>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</si>
  <si>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</si>
  <si>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</si>
  <si>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</si>
  <si>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</si>
  <si>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</si>
  <si>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展開量105%</t>
  </si>
  <si>
    <t>抓樣不穩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</si>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</sst>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1"/>
      <color theme="1"/>
      <name val="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</borders>
  <cellStyleXfs count="23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890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0" fontId="26" fillId="9" borderId="22" xfId="0" applyNumberFormat="1" applyFont="1" applyFill="1" applyBorder="1"/>
    <xf numFmtId="1" fontId="7" fillId="3" borderId="18" xfId="0" applyNumberFormat="1" applyFont="1" applyFill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0" fontId="82" fillId="0" borderId="22" xfId="3" applyNumberFormat="1" applyFont="1" applyBorder="1" applyAlignment="1">
      <alignment horizontal="center" vertical="center"/>
    </xf>
    <xf numFmtId="0" fontId="4" fillId="0" borderId="0" xfId="15">
      <alignment vertical="center"/>
    </xf>
    <xf numFmtId="0" fontId="80" fillId="10" borderId="22" xfId="15" applyFont="1" applyFill="1" applyBorder="1" applyAlignment="1">
      <alignment horizontal="center" vertical="center" wrapText="1"/>
    </xf>
    <xf numFmtId="193" fontId="82" fillId="0" borderId="22" xfId="3" applyNumberFormat="1" applyFont="1" applyBorder="1" applyAlignment="1">
      <alignment horizontal="center" vertical="center"/>
    </xf>
    <xf numFmtId="194" fontId="85" fillId="0" borderId="22" xfId="5" applyNumberFormat="1" applyFont="1" applyBorder="1" applyAlignment="1">
      <alignment horizontal="center" vertical="center"/>
    </xf>
    <xf numFmtId="194" fontId="86" fillId="0" borderId="22" xfId="5" applyNumberFormat="1" applyFont="1" applyBorder="1" applyAlignment="1">
      <alignment horizontal="center"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10" fontId="7" fillId="0" borderId="5" xfId="11" applyNumberFormat="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6" fontId="82" fillId="0" borderId="22" xfId="4" applyNumberFormat="1" applyFont="1" applyBorder="1" applyAlignment="1">
      <alignment horizontal="center" vertical="center"/>
    </xf>
    <xf numFmtId="185" fontId="89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28" fillId="0" borderId="4" xfId="11" applyFont="1" applyBorder="1" applyAlignment="1">
      <alignment horizontal="left" vertical="center"/>
    </xf>
    <xf numFmtId="0" fontId="28" fillId="0" borderId="2" xfId="11" applyFont="1" applyBorder="1" applyAlignment="1">
      <alignment horizontal="left" vertical="center"/>
    </xf>
    <xf numFmtId="0" fontId="28" fillId="0" borderId="62" xfId="11" applyFont="1" applyBorder="1" applyAlignment="1">
      <alignment horizontal="left" vertical="center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10" fontId="7" fillId="0" borderId="5" xfId="11" applyNumberFormat="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80" fillId="10" borderId="22" xfId="4" applyFont="1" applyFill="1" applyBorder="1" applyAlignment="1">
      <alignment horizontal="center" vertical="center" wrapText="1"/>
    </xf>
    <xf numFmtId="195" fontId="82" fillId="9" borderId="22" xfId="4" applyNumberFormat="1" applyFont="1" applyFill="1" applyBorder="1" applyAlignment="1">
      <alignment horizontal="center" vertical="center"/>
    </xf>
    <xf numFmtId="10" fontId="82" fillId="0" borderId="22" xfId="4" applyNumberFormat="1" applyFont="1" applyBorder="1" applyAlignment="1">
      <alignment horizontal="center" vertical="center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58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193" fontId="82" fillId="9" borderId="22" xfId="4" applyNumberFormat="1" applyFont="1" applyFill="1" applyBorder="1" applyAlignment="1">
      <alignment horizontal="center" vertical="center"/>
    </xf>
    <xf numFmtId="193" fontId="82" fillId="9" borderId="22" xfId="6" applyNumberFormat="1" applyFont="1" applyFill="1" applyBorder="1" applyAlignment="1">
      <alignment horizontal="center" vertical="center"/>
    </xf>
    <xf numFmtId="0" fontId="28" fillId="0" borderId="77" xfId="11" applyFont="1" applyBorder="1" applyAlignment="1">
      <alignment vertical="center"/>
    </xf>
    <xf numFmtId="193" fontId="82" fillId="9" borderId="22" xfId="17" applyNumberFormat="1" applyFont="1" applyFill="1" applyBorder="1" applyAlignment="1">
      <alignment horizontal="center" vertical="center"/>
    </xf>
    <xf numFmtId="186" fontId="82" fillId="0" borderId="22" xfId="17" applyNumberFormat="1" applyFont="1" applyBorder="1" applyAlignment="1">
      <alignment horizontal="center" vertical="center"/>
    </xf>
    <xf numFmtId="186" fontId="86" fillId="0" borderId="22" xfId="19" applyNumberFormat="1" applyFont="1" applyBorder="1" applyAlignment="1">
      <alignment horizontal="center" vertical="center"/>
    </xf>
    <xf numFmtId="10" fontId="82" fillId="0" borderId="22" xfId="19" applyNumberFormat="1" applyFont="1" applyBorder="1" applyAlignment="1">
      <alignment horizontal="center" vertical="center"/>
    </xf>
    <xf numFmtId="10" fontId="82" fillId="0" borderId="22" xfId="17" applyNumberFormat="1" applyFont="1" applyBorder="1" applyAlignment="1">
      <alignment horizontal="center"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3" xfId="11" applyFont="1" applyBorder="1" applyAlignment="1">
      <alignment horizontal="left" vertical="center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85" fontId="36" fillId="9" borderId="22" xfId="13" applyNumberFormat="1" applyFont="1" applyFill="1" applyBorder="1" applyAlignment="1">
      <alignment horizontal="center" vertical="center"/>
    </xf>
    <xf numFmtId="196" fontId="36" fillId="0" borderId="22" xfId="2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196" fontId="36" fillId="9" borderId="22" xfId="11" applyNumberFormat="1" applyFont="1" applyFill="1" applyBorder="1" applyAlignment="1">
      <alignment horizontal="center" vertical="center"/>
    </xf>
    <xf numFmtId="0" fontId="101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100" fillId="0" borderId="22" xfId="11" applyFont="1" applyBorder="1" applyAlignment="1">
      <alignment horizontal="left" vertical="center"/>
    </xf>
    <xf numFmtId="0" fontId="99" fillId="0" borderId="0" xfId="11" applyFont="1" applyAlignment="1">
      <alignment horizontal="center" vertical="center"/>
    </xf>
    <xf numFmtId="1" fontId="31" fillId="0" borderId="40" xfId="11" applyNumberFormat="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9" fillId="0" borderId="0" xfId="11" applyFont="1" applyAlignment="1">
      <alignment horizontal="left" vertical="center"/>
    </xf>
    <xf numFmtId="0" fontId="94" fillId="0" borderId="0" xfId="11" applyFont="1" applyAlignment="1">
      <alignment horizontal="center" vertical="center"/>
    </xf>
    <xf numFmtId="0" fontId="101" fillId="0" borderId="0" xfId="11" applyFont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28" fillId="0" borderId="54" xfId="11" applyFont="1" applyBorder="1" applyAlignment="1">
      <alignment horizontal="left"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28" fillId="0" borderId="27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left" vertical="center"/>
    </xf>
    <xf numFmtId="0" fontId="28" fillId="0" borderId="59" xfId="11" applyFont="1" applyBorder="1" applyAlignment="1">
      <alignment vertical="center"/>
    </xf>
    <xf numFmtId="0" fontId="28" fillId="0" borderId="81" xfId="11" applyFont="1" applyBorder="1" applyAlignment="1">
      <alignment vertical="center"/>
    </xf>
    <xf numFmtId="0" fontId="94" fillId="0" borderId="22" xfId="11" applyFont="1" applyBorder="1" applyAlignment="1">
      <alignment horizontal="center" vertical="center"/>
    </xf>
    <xf numFmtId="177" fontId="14" fillId="9" borderId="25" xfId="0" applyNumberFormat="1" applyFont="1" applyFill="1" applyBorder="1"/>
    <xf numFmtId="179" fontId="14" fillId="0" borderId="0" xfId="0" applyNumberFormat="1" applyFont="1" applyAlignment="1">
      <alignment horizontal="center" shrinkToFit="1"/>
    </xf>
    <xf numFmtId="179" fontId="14" fillId="0" borderId="0" xfId="0" applyNumberFormat="1" applyFont="1" applyAlignment="1">
      <alignment shrinkToFit="1"/>
    </xf>
    <xf numFmtId="0" fontId="14" fillId="0" borderId="0" xfId="11" applyFont="1" applyAlignment="1">
      <alignment horizontal="center" shrinkToFit="1"/>
    </xf>
    <xf numFmtId="0" fontId="26" fillId="0" borderId="0" xfId="11" applyFont="1" applyAlignment="1">
      <alignment horizontal="center" shrinkToFit="1"/>
    </xf>
    <xf numFmtId="3" fontId="6" fillId="0" borderId="0" xfId="4" applyNumberFormat="1">
      <alignment vertical="center"/>
    </xf>
    <xf numFmtId="0" fontId="94" fillId="0" borderId="0" xfId="15" applyFont="1">
      <alignment vertical="center"/>
    </xf>
    <xf numFmtId="10" fontId="7" fillId="0" borderId="65" xfId="11" applyNumberFormat="1" applyFont="1" applyBorder="1" applyAlignment="1">
      <alignment vertical="center" shrinkToFit="1"/>
    </xf>
    <xf numFmtId="10" fontId="28" fillId="3" borderId="83" xfId="0" applyNumberFormat="1" applyFont="1" applyFill="1" applyBorder="1" applyAlignment="1">
      <alignment horizontal="center" vertical="center" shrinkToFit="1"/>
    </xf>
    <xf numFmtId="0" fontId="28" fillId="0" borderId="77" xfId="11" applyFont="1" applyBorder="1" applyAlignment="1">
      <alignment horizontal="left" vertical="center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102" fillId="0" borderId="0" xfId="0" applyFont="1" applyAlignment="1">
      <alignment shrinkToFit="1"/>
    </xf>
    <xf numFmtId="0" fontId="60" fillId="0" borderId="22" xfId="11" applyFont="1" applyBorder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79" fontId="14" fillId="0" borderId="0" xfId="0" applyNumberFormat="1" applyFont="1" applyAlignment="1">
      <alignment vertical="center"/>
    </xf>
    <xf numFmtId="0" fontId="7" fillId="0" borderId="84" xfId="11" applyFont="1" applyBorder="1" applyAlignment="1">
      <alignment vertical="center" shrinkToFit="1"/>
    </xf>
    <xf numFmtId="10" fontId="28" fillId="3" borderId="85" xfId="0" applyNumberFormat="1" applyFont="1" applyFill="1" applyBorder="1" applyAlignment="1">
      <alignment horizontal="center" vertical="center" shrinkToFit="1"/>
    </xf>
    <xf numFmtId="1" fontId="7" fillId="3" borderId="76" xfId="0" applyNumberFormat="1" applyFont="1" applyFill="1" applyBorder="1" applyAlignment="1">
      <alignment shrinkToFit="1"/>
    </xf>
    <xf numFmtId="0" fontId="103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103" fillId="0" borderId="0" xfId="11" applyFont="1" applyAlignment="1">
      <alignment horizontal="left" vertical="center" indent="1"/>
    </xf>
    <xf numFmtId="0" fontId="103" fillId="0" borderId="0" xfId="11" applyFont="1" applyAlignment="1">
      <alignment horizontal="left" vertical="center"/>
    </xf>
    <xf numFmtId="0" fontId="104" fillId="0" borderId="0" xfId="11" applyFont="1" applyAlignment="1">
      <alignment vertical="center" shrinkToFit="1"/>
    </xf>
    <xf numFmtId="0" fontId="66" fillId="0" borderId="0" xfId="0" applyFont="1" applyAlignment="1">
      <alignment shrinkToFit="1"/>
    </xf>
    <xf numFmtId="0" fontId="66" fillId="0" borderId="0" xfId="0" applyFont="1"/>
    <xf numFmtId="0" fontId="1" fillId="0" borderId="0" xfId="15" applyFont="1">
      <alignment vertical="center"/>
    </xf>
    <xf numFmtId="0" fontId="105" fillId="0" borderId="0" xfId="11" applyFont="1" applyAlignment="1">
      <alignment horizontal="center" vertical="center"/>
    </xf>
    <xf numFmtId="10" fontId="28" fillId="0" borderId="22" xfId="14" applyNumberFormat="1" applyFont="1" applyFill="1" applyBorder="1" applyAlignment="1">
      <alignment horizontal="right" shrinkToFit="1"/>
    </xf>
    <xf numFmtId="186" fontId="28" fillId="0" borderId="22" xfId="14" applyNumberFormat="1" applyFont="1" applyFill="1" applyBorder="1" applyAlignment="1">
      <alignment horizontal="right" shrinkToFit="1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5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0" fontId="1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0" fontId="95" fillId="0" borderId="23" xfId="0" applyFont="1" applyBorder="1" applyAlignment="1">
      <alignment horizontal="center" vertical="center"/>
    </xf>
    <xf numFmtId="0" fontId="95" fillId="0" borderId="29" xfId="0" applyFont="1" applyBorder="1" applyAlignment="1">
      <alignment horizontal="center" vertical="center"/>
    </xf>
    <xf numFmtId="0" fontId="95" fillId="0" borderId="30" xfId="0" applyFont="1" applyBorder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189" fontId="26" fillId="0" borderId="23" xfId="0" applyNumberFormat="1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 vertical="center"/>
    </xf>
    <xf numFmtId="189" fontId="26" fillId="0" borderId="30" xfId="0" applyNumberFormat="1" applyFont="1" applyBorder="1" applyAlignment="1">
      <alignment horizontal="center" vertical="center"/>
    </xf>
    <xf numFmtId="189" fontId="14" fillId="0" borderId="23" xfId="0" applyNumberFormat="1" applyFont="1" applyBorder="1" applyAlignment="1">
      <alignment horizontal="center" shrinkToFit="1"/>
    </xf>
    <xf numFmtId="189" fontId="14" fillId="0" borderId="29" xfId="0" applyNumberFormat="1" applyFont="1" applyBorder="1" applyAlignment="1">
      <alignment horizontal="center" shrinkToFit="1"/>
    </xf>
    <xf numFmtId="189" fontId="14" fillId="0" borderId="30" xfId="0" applyNumberFormat="1" applyFont="1" applyBorder="1" applyAlignment="1">
      <alignment horizontal="center" shrinkToFit="1"/>
    </xf>
    <xf numFmtId="190" fontId="26" fillId="0" borderId="23" xfId="0" applyNumberFormat="1" applyFont="1" applyBorder="1" applyAlignment="1">
      <alignment horizontal="center"/>
    </xf>
    <xf numFmtId="190" fontId="26" fillId="0" borderId="29" xfId="0" applyNumberFormat="1" applyFont="1" applyBorder="1" applyAlignment="1">
      <alignment horizontal="center"/>
    </xf>
    <xf numFmtId="190" fontId="26" fillId="0" borderId="30" xfId="0" applyNumberFormat="1" applyFont="1" applyBorder="1" applyAlignment="1">
      <alignment horizontal="center"/>
    </xf>
    <xf numFmtId="190" fontId="26" fillId="0" borderId="22" xfId="0" applyNumberFormat="1" applyFont="1" applyBorder="1" applyAlignment="1">
      <alignment horizontal="center"/>
    </xf>
    <xf numFmtId="177" fontId="14" fillId="0" borderId="22" xfId="0" applyNumberFormat="1" applyFont="1" applyBorder="1" applyAlignment="1">
      <alignment horizont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88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 shrinkToFit="1"/>
    </xf>
    <xf numFmtId="0" fontId="14" fillId="0" borderId="28" xfId="0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79" fontId="14" fillId="8" borderId="27" xfId="0" applyNumberFormat="1" applyFont="1" applyFill="1" applyBorder="1" applyAlignment="1">
      <alignment horizontal="center" vertical="center" shrinkToFit="1"/>
    </xf>
    <xf numFmtId="179" fontId="14" fillId="8" borderId="28" xfId="0" applyNumberFormat="1" applyFont="1" applyFill="1" applyBorder="1" applyAlignment="1">
      <alignment horizontal="center" vertical="center" shrinkToFit="1"/>
    </xf>
    <xf numFmtId="179" fontId="14" fillId="8" borderId="25" xfId="0" applyNumberFormat="1" applyFont="1" applyFill="1" applyBorder="1" applyAlignment="1">
      <alignment horizontal="center" vertical="center" shrinkToFit="1"/>
    </xf>
    <xf numFmtId="187" fontId="14" fillId="8" borderId="27" xfId="0" applyNumberFormat="1" applyFont="1" applyFill="1" applyBorder="1" applyAlignment="1">
      <alignment horizontal="center" vertical="center" shrinkToFit="1"/>
    </xf>
    <xf numFmtId="187" fontId="14" fillId="8" borderId="28" xfId="0" applyNumberFormat="1" applyFont="1" applyFill="1" applyBorder="1" applyAlignment="1">
      <alignment horizontal="center" vertical="center" shrinkToFit="1"/>
    </xf>
    <xf numFmtId="187" fontId="14" fillId="8" borderId="25" xfId="0" applyNumberFormat="1" applyFont="1" applyFill="1" applyBorder="1" applyAlignment="1">
      <alignment horizontal="center" vertical="center" shrinkToFit="1"/>
    </xf>
    <xf numFmtId="0" fontId="88" fillId="0" borderId="32" xfId="0" applyFont="1" applyBorder="1" applyAlignment="1">
      <alignment horizontal="left" vertical="center"/>
    </xf>
    <xf numFmtId="0" fontId="88" fillId="0" borderId="26" xfId="0" applyFont="1" applyBorder="1" applyAlignment="1">
      <alignment horizontal="left" vertical="center"/>
    </xf>
    <xf numFmtId="0" fontId="88" fillId="0" borderId="36" xfId="0" applyFont="1" applyBorder="1" applyAlignment="1">
      <alignment horizontal="left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92" fillId="0" borderId="22" xfId="0" applyFont="1" applyBorder="1" applyAlignment="1">
      <alignment horizontal="center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72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7" fillId="0" borderId="22" xfId="0" applyFont="1" applyBorder="1" applyAlignment="1">
      <alignment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106" fillId="0" borderId="22" xfId="0" applyFont="1" applyBorder="1" applyAlignment="1">
      <alignment shrinkToFit="1"/>
    </xf>
    <xf numFmtId="0" fontId="77" fillId="0" borderId="27" xfId="0" applyFont="1" applyBorder="1" applyAlignment="1">
      <alignment shrinkToFit="1"/>
    </xf>
    <xf numFmtId="0" fontId="106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8" fillId="0" borderId="77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0" fontId="28" fillId="0" borderId="25" xfId="11" applyFont="1" applyBorder="1" applyAlignment="1">
      <alignment horizontal="left" vertical="center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90" fillId="4" borderId="4" xfId="11" applyFont="1" applyFill="1" applyBorder="1" applyAlignment="1">
      <alignment vertical="center" wrapText="1"/>
    </xf>
    <xf numFmtId="0" fontId="90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57" fillId="0" borderId="22" xfId="11" applyFont="1" applyBorder="1" applyAlignment="1">
      <alignment horizontal="center" vertical="center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96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44" fillId="0" borderId="82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93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90" fillId="0" borderId="4" xfId="11" applyFont="1" applyBorder="1" applyAlignment="1">
      <alignment vertical="center" wrapText="1"/>
    </xf>
    <xf numFmtId="0" fontId="90" fillId="0" borderId="3" xfId="11" applyFont="1" applyBorder="1" applyAlignment="1">
      <alignment vertical="center" wrapTex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82" fillId="9" borderId="22" xfId="15" applyNumberFormat="1" applyFont="1" applyFill="1" applyBorder="1" applyAlignment="1">
      <alignment horizontal="center" vertical="center"/>
    </xf>
    <xf numFmtId="0" fontId="80" fillId="10" borderId="22" xfId="4" applyFont="1" applyFill="1" applyBorder="1" applyAlignment="1">
      <alignment horizontal="center" vertical="center" wrapText="1"/>
    </xf>
    <xf numFmtId="0" fontId="83" fillId="5" borderId="35" xfId="15" applyFont="1" applyFill="1" applyBorder="1" applyAlignment="1">
      <alignment horizontal="center" vertical="center"/>
    </xf>
    <xf numFmtId="0" fontId="83" fillId="5" borderId="26" xfId="15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0" fontId="80" fillId="10" borderId="22" xfId="15" applyFont="1" applyFill="1" applyBorder="1" applyAlignment="1">
      <alignment horizontal="center" vertical="center" wrapText="1"/>
    </xf>
    <xf numFmtId="0" fontId="99" fillId="0" borderId="31" xfId="11" applyFont="1" applyBorder="1" applyAlignment="1">
      <alignment horizontal="center" vertical="center"/>
    </xf>
    <xf numFmtId="0" fontId="99" fillId="0" borderId="32" xfId="11" applyFont="1" applyBorder="1" applyAlignment="1">
      <alignment horizontal="center" vertical="center"/>
    </xf>
    <xf numFmtId="0" fontId="99" fillId="0" borderId="33" xfId="11" applyFont="1" applyBorder="1" applyAlignment="1">
      <alignment horizontal="center" vertical="center"/>
    </xf>
    <xf numFmtId="0" fontId="99" fillId="0" borderId="34" xfId="11" applyFont="1" applyBorder="1" applyAlignment="1">
      <alignment horizontal="center" vertical="center"/>
    </xf>
    <xf numFmtId="0" fontId="99" fillId="0" borderId="35" xfId="11" applyFont="1" applyBorder="1" applyAlignment="1">
      <alignment horizontal="center" vertical="center"/>
    </xf>
    <xf numFmtId="0" fontId="99" fillId="0" borderId="36" xfId="11" applyFont="1" applyBorder="1" applyAlignment="1">
      <alignment horizontal="center" vertical="center"/>
    </xf>
    <xf numFmtId="0" fontId="100" fillId="5" borderId="23" xfId="5" applyFont="1" applyFill="1" applyBorder="1" applyAlignment="1">
      <alignment horizontal="center" vertical="center"/>
    </xf>
    <xf numFmtId="0" fontId="100" fillId="5" borderId="29" xfId="5" applyFont="1" applyFill="1" applyBorder="1" applyAlignment="1">
      <alignment horizontal="center" vertical="center"/>
    </xf>
    <xf numFmtId="0" fontId="100" fillId="5" borderId="30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9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60" fillId="5" borderId="23" xfId="5" applyFont="1" applyFill="1" applyBorder="1" applyAlignment="1">
      <alignment horizontal="center" vertical="center"/>
    </xf>
    <xf numFmtId="0" fontId="60" fillId="5" borderId="29" xfId="5" applyFont="1" applyFill="1" applyBorder="1" applyAlignment="1">
      <alignment horizontal="center" vertical="center"/>
    </xf>
    <xf numFmtId="0" fontId="60" fillId="5" borderId="30" xfId="5" applyFont="1" applyFill="1" applyBorder="1" applyAlignment="1">
      <alignment horizontal="center" vertical="center"/>
    </xf>
    <xf numFmtId="0" fontId="100" fillId="5" borderId="22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00000000-0005-0000-0000-000005000000}"/>
    <cellStyle name="一般 2 2 30 2 2 30 2 2 2 2" xfId="20" xr:uid="{00000000-0005-0000-0000-000006000000}"/>
    <cellStyle name="一般 2 2 30 2 2 30 2 2 2 2 2" xfId="22" xr:uid="{00000000-0005-0000-0000-000007000000}"/>
    <cellStyle name="一般 2 2 30 2 2 30 2 3" xfId="15" xr:uid="{00000000-0005-0000-0000-000008000000}"/>
    <cellStyle name="一般 2 2 30 2 3 2" xfId="6" xr:uid="{00000000-0005-0000-0000-000009000000}"/>
    <cellStyle name="一般 2 2 30 2 3 2 2" xfId="16" xr:uid="{00000000-0005-0000-0000-00000A000000}"/>
    <cellStyle name="一般 2 2 30 2 3 2 2 2" xfId="18" xr:uid="{00000000-0005-0000-0000-00000B000000}"/>
    <cellStyle name="一般 2 2 30 3 30" xfId="7" xr:uid="{00000000-0005-0000-0000-00000C000000}"/>
    <cellStyle name="一般 3" xfId="11" xr:uid="{00000000-0005-0000-0000-00000D000000}"/>
    <cellStyle name="一般 4" xfId="5" xr:uid="{00000000-0005-0000-0000-00000E000000}"/>
    <cellStyle name="千分位 2" xfId="2" xr:uid="{00000000-0005-0000-0000-00000F000000}"/>
    <cellStyle name="千分位 3" xfId="21" xr:uid="{00000000-0005-0000-0000-000010000000}"/>
    <cellStyle name="百分比" xfId="14" builtinId="5"/>
    <cellStyle name="百分比 2" xfId="8" xr:uid="{00000000-0005-0000-0000-000012000000}"/>
    <cellStyle name="百分比 2 2" xfId="10" xr:uid="{00000000-0005-0000-0000-000013000000}"/>
    <cellStyle name="百分比 2 2 2" xfId="19" xr:uid="{00000000-0005-0000-0000-000014000000}"/>
    <cellStyle name="百分比 3" xfId="3" xr:uid="{00000000-0005-0000-0000-000015000000}"/>
    <cellStyle name="百分比 4" xfId="13" xr:uid="{00000000-0005-0000-0000-000016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topLeftCell="A22" zoomScale="115" zoomScaleNormal="100" zoomScaleSheetLayoutView="115" workbookViewId="0">
      <selection activeCell="G29" sqref="G29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65" t="s">
        <v>0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99"/>
    </row>
    <row r="2" spans="1:12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</row>
    <row r="3" spans="1:12" ht="21.6" customHeight="1">
      <c r="A3" s="114" t="s">
        <v>1</v>
      </c>
      <c r="B3" s="115">
        <v>2</v>
      </c>
      <c r="C3" s="114" t="s">
        <v>2</v>
      </c>
      <c r="D3" s="467" t="s">
        <v>3</v>
      </c>
      <c r="E3" s="467"/>
      <c r="F3" s="100"/>
      <c r="G3" s="109"/>
      <c r="H3" s="100"/>
      <c r="I3" s="100"/>
      <c r="J3" s="100"/>
      <c r="K3" s="100"/>
    </row>
    <row r="4" spans="1:12" ht="15.75" customHeight="1">
      <c r="A4" s="110" t="s">
        <v>4</v>
      </c>
      <c r="E4" s="102" t="s">
        <v>5</v>
      </c>
      <c r="G4" s="111" t="s">
        <v>6</v>
      </c>
      <c r="L4" s="99"/>
    </row>
    <row r="5" spans="1:12" s="104" customFormat="1" ht="15.75" customHeight="1">
      <c r="A5" s="121" t="s">
        <v>7</v>
      </c>
      <c r="B5" s="116" t="s">
        <v>8</v>
      </c>
      <c r="C5" s="116" t="s">
        <v>9</v>
      </c>
      <c r="D5" s="116" t="s">
        <v>10</v>
      </c>
      <c r="E5" s="116" t="s">
        <v>11</v>
      </c>
      <c r="G5" s="121" t="s">
        <v>7</v>
      </c>
      <c r="H5" s="116" t="s">
        <v>12</v>
      </c>
      <c r="I5" s="116" t="s">
        <v>8</v>
      </c>
      <c r="J5" s="116" t="s">
        <v>13</v>
      </c>
      <c r="K5" s="116" t="s">
        <v>11</v>
      </c>
      <c r="L5" s="105" t="s">
        <v>14</v>
      </c>
    </row>
    <row r="6" spans="1:12" ht="18" customHeight="1">
      <c r="A6" s="107" t="s">
        <v>15</v>
      </c>
      <c r="B6" s="117">
        <f>'（１）收支狀況'!H10/1000</f>
        <v>116569.43023000001</v>
      </c>
      <c r="C6" s="117">
        <v>146299.93539000006</v>
      </c>
      <c r="D6" s="117">
        <f t="shared" ref="D6:D11" si="0">B6-C6</f>
        <v>-29730.505160000044</v>
      </c>
      <c r="E6" s="117">
        <f>B6+C6</f>
        <v>262869.36562000006</v>
      </c>
      <c r="G6" s="107" t="s">
        <v>16</v>
      </c>
      <c r="H6" s="119">
        <v>497.6</v>
      </c>
      <c r="I6" s="119">
        <f>'（２）ＫＰＩ達成進度'!H10</f>
        <v>476.04171528829499</v>
      </c>
      <c r="J6" s="119">
        <v>458.3841382804668</v>
      </c>
      <c r="K6" s="119">
        <f>(I6+J6)/2</f>
        <v>467.2129267843809</v>
      </c>
      <c r="L6" s="101" t="s">
        <v>17</v>
      </c>
    </row>
    <row r="7" spans="1:12" ht="18" customHeight="1">
      <c r="A7" s="107" t="s">
        <v>18</v>
      </c>
      <c r="B7" s="117">
        <f>'（１）收支狀況'!K10</f>
        <v>3787002</v>
      </c>
      <c r="C7" s="117">
        <v>4768701</v>
      </c>
      <c r="D7" s="117">
        <f t="shared" si="0"/>
        <v>-981699</v>
      </c>
      <c r="E7" s="117">
        <f>B7+C7</f>
        <v>8555703</v>
      </c>
      <c r="G7" s="107" t="s">
        <v>19</v>
      </c>
      <c r="H7" s="118">
        <v>0.8</v>
      </c>
      <c r="I7" s="118">
        <f>'（２）ＫＰＩ達成進度'!K10</f>
        <v>0.95667547284625221</v>
      </c>
      <c r="J7" s="118">
        <v>0.92118998850576117</v>
      </c>
      <c r="K7" s="463">
        <f>(I7+J7)/2</f>
        <v>0.93893273067600669</v>
      </c>
      <c r="L7" s="101" t="s">
        <v>20</v>
      </c>
    </row>
    <row r="8" spans="1:12" ht="18" customHeight="1">
      <c r="A8" s="107" t="s">
        <v>21</v>
      </c>
      <c r="B8" s="117">
        <v>74777</v>
      </c>
      <c r="C8" s="117">
        <v>93253</v>
      </c>
      <c r="D8" s="117">
        <f>B8-C8</f>
        <v>-18476</v>
      </c>
      <c r="E8" s="117">
        <f>B8+C8</f>
        <v>168030</v>
      </c>
      <c r="G8" s="107" t="s">
        <v>22</v>
      </c>
      <c r="H8" s="118">
        <v>2.5000000000000001E-3</v>
      </c>
      <c r="I8" s="220">
        <f>'（２）ＫＰＩ達成進度'!N10</f>
        <v>2.3657636051419204E-3</v>
      </c>
      <c r="J8" s="220">
        <v>2.4135432458014692E-3</v>
      </c>
      <c r="K8" s="464">
        <f>(I8+J8)/2</f>
        <v>2.3896534254716946E-3</v>
      </c>
      <c r="L8" s="101" t="s">
        <v>23</v>
      </c>
    </row>
    <row r="9" spans="1:12" ht="18" customHeight="1">
      <c r="A9" s="107" t="s">
        <v>24</v>
      </c>
      <c r="B9" s="118">
        <v>0.65300000000000002</v>
      </c>
      <c r="C9" s="118">
        <v>0.65500000000000003</v>
      </c>
      <c r="D9" s="118">
        <f t="shared" si="0"/>
        <v>-2.0000000000000018E-3</v>
      </c>
      <c r="E9" s="118">
        <f>E8/E6</f>
        <v>0.63921484195652378</v>
      </c>
      <c r="G9" s="107" t="s">
        <v>25</v>
      </c>
      <c r="H9" s="118">
        <v>4.0000000000000001E-3</v>
      </c>
      <c r="I9" s="118">
        <f>'（２）ＫＰＩ達成進度'!Q10</f>
        <v>5.2393000579921759E-3</v>
      </c>
      <c r="J9" s="118">
        <v>5.599443330875099E-3</v>
      </c>
      <c r="K9" s="463">
        <f>(I9+J9)/2</f>
        <v>5.4193716944336374E-3</v>
      </c>
      <c r="L9" s="101" t="s">
        <v>26</v>
      </c>
    </row>
    <row r="10" spans="1:12" ht="18" customHeight="1">
      <c r="A10" s="107" t="s">
        <v>27</v>
      </c>
      <c r="B10" s="117">
        <v>22860</v>
      </c>
      <c r="C10" s="117">
        <v>22378</v>
      </c>
      <c r="D10" s="117">
        <f t="shared" si="0"/>
        <v>482</v>
      </c>
      <c r="E10" s="117">
        <f>B10+C10</f>
        <v>45238</v>
      </c>
      <c r="G10" s="107" t="s">
        <v>28</v>
      </c>
      <c r="H10" s="118">
        <v>0.8</v>
      </c>
      <c r="I10" s="118">
        <f>'（２）ＫＰＩ達成進度'!T10</f>
        <v>0.89999999999999958</v>
      </c>
      <c r="J10" s="118">
        <v>0.89999999999999947</v>
      </c>
      <c r="K10" s="118">
        <v>0.9</v>
      </c>
      <c r="L10" s="101" t="s">
        <v>29</v>
      </c>
    </row>
    <row r="11" spans="1:12" ht="18" customHeight="1">
      <c r="A11" s="107" t="s">
        <v>30</v>
      </c>
      <c r="B11" s="118">
        <v>0.2</v>
      </c>
      <c r="C11" s="118">
        <v>0.157</v>
      </c>
      <c r="D11" s="118">
        <f t="shared" si="0"/>
        <v>4.300000000000001E-2</v>
      </c>
      <c r="E11" s="118">
        <f>E10/E6</f>
        <v>0.17209308468981266</v>
      </c>
      <c r="G11" s="107" t="s">
        <v>31</v>
      </c>
      <c r="H11" s="118">
        <v>1</v>
      </c>
      <c r="I11" s="118">
        <f>'（２）ＫＰＩ達成進度'!W10</f>
        <v>0.13873626373626369</v>
      </c>
      <c r="J11" s="118">
        <v>5.7692307692307702E-2</v>
      </c>
      <c r="K11" s="118">
        <v>0.13873626373626369</v>
      </c>
      <c r="L11" s="101" t="s">
        <v>32</v>
      </c>
    </row>
    <row r="12" spans="1:12" ht="9.6" customHeight="1">
      <c r="L12" s="99"/>
    </row>
    <row r="13" spans="1:12" ht="15.75" customHeight="1">
      <c r="A13" s="110" t="s">
        <v>33</v>
      </c>
      <c r="E13" s="320" t="s">
        <v>5</v>
      </c>
      <c r="G13" s="110" t="s">
        <v>34</v>
      </c>
      <c r="K13" s="320" t="s">
        <v>35</v>
      </c>
      <c r="L13" s="99"/>
    </row>
    <row r="14" spans="1:12" s="106" customFormat="1" ht="13.5">
      <c r="A14" s="120"/>
      <c r="B14" s="120" t="s">
        <v>8</v>
      </c>
      <c r="C14" s="120" t="s">
        <v>36</v>
      </c>
      <c r="D14" s="120" t="s">
        <v>13</v>
      </c>
      <c r="E14" s="120" t="s">
        <v>37</v>
      </c>
      <c r="G14" s="120"/>
      <c r="H14" s="120" t="s">
        <v>8</v>
      </c>
      <c r="I14" s="120" t="s">
        <v>36</v>
      </c>
      <c r="J14" s="120" t="s">
        <v>13</v>
      </c>
      <c r="K14" s="120" t="s">
        <v>37</v>
      </c>
    </row>
    <row r="15" spans="1:12" ht="18" customHeight="1">
      <c r="A15" s="107" t="s">
        <v>38</v>
      </c>
      <c r="B15" s="117">
        <f>SUM('（３）業績構成比'!M12:M39)/1000</f>
        <v>40493.488549999995</v>
      </c>
      <c r="C15" s="118">
        <f>IFERROR(B15/$B$6,"")</f>
        <v>0.34737656751091073</v>
      </c>
      <c r="D15" s="118">
        <v>0.36139567422949059</v>
      </c>
      <c r="E15" s="118">
        <f>IFERROR(C15-D15,"")</f>
        <v>-1.4019106718579866E-2</v>
      </c>
      <c r="G15" s="107" t="s">
        <v>39</v>
      </c>
      <c r="H15" s="117">
        <f>SUM('（４）訂單數量構成比'!M12:M39)</f>
        <v>2159551</v>
      </c>
      <c r="I15" s="118">
        <f t="shared" ref="I15:I23" si="1">IFERROR(H15/$B$7,"")</f>
        <v>0.57025346170928881</v>
      </c>
      <c r="J15" s="118">
        <v>0.58577126139802016</v>
      </c>
      <c r="K15" s="118">
        <f>IFERROR(I15-J15,"")</f>
        <v>-1.5517799688731349E-2</v>
      </c>
      <c r="L15" s="99"/>
    </row>
    <row r="16" spans="1:12" ht="18" customHeight="1">
      <c r="A16" s="107" t="s">
        <v>40</v>
      </c>
      <c r="B16" s="117">
        <f>SUM('（３）業績構成比'!S12:S39)/1000</f>
        <v>9068.3632200000011</v>
      </c>
      <c r="C16" s="118">
        <f t="shared" ref="C16:C23" si="2">IFERROR(B16/$B$6,"")</f>
        <v>7.7793665132509071E-2</v>
      </c>
      <c r="D16" s="118">
        <v>6.9633574224369291E-2</v>
      </c>
      <c r="E16" s="118">
        <f t="shared" ref="E16:E23" si="3">IFERROR(C16-D16,"")</f>
        <v>8.1600909081397804E-3</v>
      </c>
      <c r="G16" s="107" t="s">
        <v>40</v>
      </c>
      <c r="H16" s="117">
        <f>SUM('（４）訂單數量構成比'!S12:S39)</f>
        <v>346948</v>
      </c>
      <c r="I16" s="118">
        <f t="shared" si="1"/>
        <v>9.1615478418020382E-2</v>
      </c>
      <c r="J16" s="118">
        <v>8.1693945583923164E-2</v>
      </c>
      <c r="K16" s="118">
        <f t="shared" ref="K16:K23" si="4">IFERROR(I16-J16,"")</f>
        <v>9.9215328340972186E-3</v>
      </c>
      <c r="L16" s="99"/>
    </row>
    <row r="17" spans="1:17" ht="18" customHeight="1">
      <c r="A17" s="107" t="s">
        <v>41</v>
      </c>
      <c r="B17" s="117">
        <f>SUM('（３）業績構成比'!U12:U39)/1000</f>
        <v>2526.8113899999998</v>
      </c>
      <c r="C17" s="118">
        <f t="shared" si="2"/>
        <v>2.1676449691951108E-2</v>
      </c>
      <c r="D17" s="118">
        <v>2.2453221877666876E-2</v>
      </c>
      <c r="E17" s="118">
        <f t="shared" si="3"/>
        <v>-7.7677218571576764E-4</v>
      </c>
      <c r="G17" s="107" t="s">
        <v>42</v>
      </c>
      <c r="H17" s="117">
        <f>SUM('（４）訂單數量構成比'!U12:U39)</f>
        <v>90229</v>
      </c>
      <c r="I17" s="118">
        <f t="shared" si="1"/>
        <v>2.3825971045169769E-2</v>
      </c>
      <c r="J17" s="118">
        <v>2.4966128092325353E-2</v>
      </c>
      <c r="K17" s="118">
        <f t="shared" si="4"/>
        <v>-1.1401570471555843E-3</v>
      </c>
      <c r="L17" s="99"/>
    </row>
    <row r="18" spans="1:17" ht="18" customHeight="1">
      <c r="A18" s="107" t="s">
        <v>43</v>
      </c>
      <c r="B18" s="117">
        <f>SUM('（３）業績構成比'!W12:W39)/1000</f>
        <v>1160.13653</v>
      </c>
      <c r="C18" s="118">
        <f t="shared" si="2"/>
        <v>9.9523222144173289E-3</v>
      </c>
      <c r="D18" s="118">
        <v>8.5850389930237133E-3</v>
      </c>
      <c r="E18" s="118">
        <f t="shared" si="3"/>
        <v>1.3672832213936156E-3</v>
      </c>
      <c r="G18" s="107" t="s">
        <v>44</v>
      </c>
      <c r="H18" s="117">
        <f>SUM('（４）訂單數量構成比'!W12:W39)</f>
        <v>44333</v>
      </c>
      <c r="I18" s="118">
        <f t="shared" si="1"/>
        <v>1.1706621755150907E-2</v>
      </c>
      <c r="J18" s="118">
        <v>9.7963785106258503E-3</v>
      </c>
      <c r="K18" s="118">
        <f t="shared" si="4"/>
        <v>1.9102432445250572E-3</v>
      </c>
      <c r="L18" s="99"/>
    </row>
    <row r="19" spans="1:17" ht="18" customHeight="1">
      <c r="A19" s="107" t="s">
        <v>45</v>
      </c>
      <c r="B19" s="117">
        <f>SUM('（３）業績構成比'!AC12:AC39)/1000</f>
        <v>21232.781230000004</v>
      </c>
      <c r="C19" s="118">
        <f t="shared" si="2"/>
        <v>0.18214707911075978</v>
      </c>
      <c r="D19" s="118">
        <v>0.16215294044225204</v>
      </c>
      <c r="E19" s="118">
        <f t="shared" si="3"/>
        <v>1.9994138668507744E-2</v>
      </c>
      <c r="G19" s="107" t="s">
        <v>46</v>
      </c>
      <c r="H19" s="117">
        <f>SUM('（４）訂單數量構成比'!AC12:AC39)</f>
        <v>383049</v>
      </c>
      <c r="I19" s="118">
        <f t="shared" si="1"/>
        <v>0.10114834901064219</v>
      </c>
      <c r="J19" s="118">
        <v>8.9953008167213674E-2</v>
      </c>
      <c r="K19" s="118">
        <f t="shared" si="4"/>
        <v>1.119534084342852E-2</v>
      </c>
      <c r="L19" s="99"/>
    </row>
    <row r="20" spans="1:17" ht="18" customHeight="1">
      <c r="A20" s="107" t="s">
        <v>47</v>
      </c>
      <c r="B20" s="117">
        <f>SUM('（３）業績構成比'!AE12:AE39)/1000</f>
        <v>32090.661690000001</v>
      </c>
      <c r="C20" s="118">
        <f t="shared" si="2"/>
        <v>0.27529225824200032</v>
      </c>
      <c r="D20" s="118">
        <v>0.27057088032525339</v>
      </c>
      <c r="E20" s="118">
        <f t="shared" si="3"/>
        <v>4.7213779167469272E-3</v>
      </c>
      <c r="G20" s="107" t="s">
        <v>48</v>
      </c>
      <c r="H20" s="117">
        <f>SUM('（４）訂單數量構成比'!AE12:AE39)</f>
        <v>532482</v>
      </c>
      <c r="I20" s="118">
        <f t="shared" si="1"/>
        <v>0.14060779476747043</v>
      </c>
      <c r="J20" s="118">
        <v>0.13708177551916129</v>
      </c>
      <c r="K20" s="118">
        <f t="shared" si="4"/>
        <v>3.5260192483091424E-3</v>
      </c>
      <c r="L20" s="99"/>
    </row>
    <row r="21" spans="1:17" ht="18" customHeight="1">
      <c r="A21" s="107" t="s">
        <v>49</v>
      </c>
      <c r="B21" s="117">
        <f>SUM('（３）業績構成比'!AG12:AG39)/1000</f>
        <v>1046.7564</v>
      </c>
      <c r="C21" s="118">
        <f t="shared" si="2"/>
        <v>8.9796818765835347E-3</v>
      </c>
      <c r="D21" s="118">
        <v>2.9234371078829206E-2</v>
      </c>
      <c r="E21" s="118">
        <f t="shared" ref="E21" si="5">IFERROR(C21-D21,"")</f>
        <v>-2.0254689202245671E-2</v>
      </c>
      <c r="G21" s="107" t="s">
        <v>50</v>
      </c>
      <c r="H21" s="117">
        <f>SUM('（４）訂單數量構成比'!AG12:AG39)</f>
        <v>18268</v>
      </c>
      <c r="I21" s="118">
        <f t="shared" ref="I21" si="6">IFERROR(H21/$B$7,"")</f>
        <v>4.823868590510383E-3</v>
      </c>
      <c r="J21" s="118">
        <v>1.5652480623129864E-2</v>
      </c>
      <c r="K21" s="118">
        <f t="shared" ref="K21" si="7">IFERROR(I21-J21,"")</f>
        <v>-1.0828612032619481E-2</v>
      </c>
      <c r="L21" s="99"/>
    </row>
    <row r="22" spans="1:17" ht="18" customHeight="1">
      <c r="A22" s="107" t="s">
        <v>51</v>
      </c>
      <c r="B22" s="117">
        <f>SUM('（３）業績構成比'!AI12:AI39)/1000</f>
        <v>4675.5414199999987</v>
      </c>
      <c r="C22" s="118">
        <f t="shared" si="2"/>
        <v>4.0109498783470192E-2</v>
      </c>
      <c r="D22" s="118">
        <v>4.0564165966170615E-2</v>
      </c>
      <c r="E22" s="118">
        <f t="shared" si="3"/>
        <v>-4.5466718270042311E-4</v>
      </c>
      <c r="G22" s="107" t="s">
        <v>52</v>
      </c>
      <c r="H22" s="117">
        <f>SUM('（４）訂單數量構成比'!AI12:AI39)</f>
        <v>79156</v>
      </c>
      <c r="I22" s="118">
        <f t="shared" si="1"/>
        <v>2.0902022232890293E-2</v>
      </c>
      <c r="J22" s="118">
        <v>2.2004734622699137E-2</v>
      </c>
      <c r="K22" s="118">
        <f t="shared" si="4"/>
        <v>-1.1027123898088437E-3</v>
      </c>
      <c r="L22" s="99"/>
    </row>
    <row r="23" spans="1:17" ht="18" customHeight="1">
      <c r="A23" s="107" t="s">
        <v>53</v>
      </c>
      <c r="B23" s="117">
        <f>SUM('（３）業績構成比'!AK12:AK39)/1000</f>
        <v>4274.8897999999999</v>
      </c>
      <c r="C23" s="118">
        <f t="shared" si="2"/>
        <v>3.6672477437397863E-2</v>
      </c>
      <c r="D23" s="118">
        <v>3.5410132862943831E-2</v>
      </c>
      <c r="E23" s="118">
        <f t="shared" si="3"/>
        <v>1.2623445744540315E-3</v>
      </c>
      <c r="G23" s="107" t="s">
        <v>54</v>
      </c>
      <c r="H23" s="117">
        <f>SUM('（４）訂單數量構成比'!AK12:AK39)</f>
        <v>132986</v>
      </c>
      <c r="I23" s="118">
        <f t="shared" si="1"/>
        <v>3.5116432470856891E-2</v>
      </c>
      <c r="J23" s="118">
        <v>3.3080287482901531E-2</v>
      </c>
      <c r="K23" s="118">
        <f t="shared" si="4"/>
        <v>2.03614498795536E-3</v>
      </c>
      <c r="L23" s="99"/>
    </row>
    <row r="24" spans="1:17" ht="15.75" customHeight="1">
      <c r="C24" s="112">
        <f>SUM(C15:C23)</f>
        <v>0.99999999999999989</v>
      </c>
      <c r="D24" s="112">
        <f t="shared" ref="D24" si="8">SUM(D15:D23)</f>
        <v>0.99999999999999944</v>
      </c>
      <c r="I24" s="112">
        <f t="shared" ref="I24:J24" si="9">SUM(I15:I23)</f>
        <v>1.0000000000000002</v>
      </c>
      <c r="J24" s="112">
        <f t="shared" si="9"/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55</v>
      </c>
      <c r="L26" s="99"/>
    </row>
    <row r="27" spans="1:17" ht="15.75" customHeight="1">
      <c r="A27" s="107" t="s">
        <v>56</v>
      </c>
      <c r="B27" s="107" t="s">
        <v>8</v>
      </c>
      <c r="C27" s="107" t="s">
        <v>9</v>
      </c>
      <c r="D27" s="107" t="s">
        <v>10</v>
      </c>
      <c r="E27" s="107" t="s">
        <v>11</v>
      </c>
      <c r="L27" s="99"/>
    </row>
    <row r="28" spans="1:17" ht="18" customHeight="1">
      <c r="A28" s="107" t="s">
        <v>57</v>
      </c>
      <c r="B28" s="210">
        <f>'（５-1）品群別人時生產性(18℃-飯糰)'!C1</f>
        <v>774.12086448722914</v>
      </c>
      <c r="C28" s="210">
        <v>768.96508698264131</v>
      </c>
      <c r="D28" s="222">
        <f t="shared" ref="D28:D36" si="10">B28-C28</f>
        <v>5.1557775045878316</v>
      </c>
      <c r="E28" s="222">
        <f>(B28+C28)/2</f>
        <v>771.54297573493523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3"/>
      <c r="Q28" s="123"/>
    </row>
    <row r="29" spans="1:17" ht="18" customHeight="1">
      <c r="A29" s="107" t="s">
        <v>58</v>
      </c>
      <c r="B29" s="210">
        <f>'（５-2）品群別人時生產性(18℃-壽司手卷)'!C1</f>
        <v>304.46478382945497</v>
      </c>
      <c r="C29" s="210">
        <v>280.52357557404559</v>
      </c>
      <c r="D29" s="222">
        <f t="shared" si="10"/>
        <v>23.941208255409379</v>
      </c>
      <c r="E29" s="222">
        <f t="shared" ref="E29:E36" si="11">(B29+C29)/2</f>
        <v>292.49417970175028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42</v>
      </c>
      <c r="B30" s="210">
        <f>'（５-3）品群別人時生產性(4℃-飯糰)'!C1</f>
        <v>203.2437413385673</v>
      </c>
      <c r="C30" s="210">
        <v>258.56166578115295</v>
      </c>
      <c r="D30" s="222">
        <f t="shared" si="10"/>
        <v>-55.31792444258565</v>
      </c>
      <c r="E30" s="222">
        <f t="shared" si="11"/>
        <v>230.90270355986013</v>
      </c>
      <c r="L30" s="99"/>
    </row>
    <row r="31" spans="1:17" ht="18" customHeight="1">
      <c r="A31" s="107" t="s">
        <v>44</v>
      </c>
      <c r="B31" s="210">
        <f>'（５-4）品群別人時生產性(4℃-壽司手卷)'!C1</f>
        <v>490.19814173593841</v>
      </c>
      <c r="C31" s="210">
        <v>486.07170829520021</v>
      </c>
      <c r="D31" s="222">
        <f t="shared" si="10"/>
        <v>4.1264334407381966</v>
      </c>
      <c r="E31" s="222">
        <f t="shared" si="11"/>
        <v>488.13492501556931</v>
      </c>
      <c r="L31" s="99"/>
    </row>
    <row r="32" spans="1:17" ht="18" customHeight="1">
      <c r="A32" s="107" t="s">
        <v>46</v>
      </c>
      <c r="B32" s="210">
        <f>'（５-5）品群別人時生產性(微波主食) '!C1</f>
        <v>81.452411562244222</v>
      </c>
      <c r="C32" s="210">
        <v>82.669482447974161</v>
      </c>
      <c r="D32" s="222">
        <f t="shared" si="10"/>
        <v>-1.2170708857299388</v>
      </c>
      <c r="E32" s="222">
        <f t="shared" si="11"/>
        <v>82.060947005109199</v>
      </c>
      <c r="L32" s="99"/>
    </row>
    <row r="33" spans="1:5" s="99" customFormat="1" ht="18" customHeight="1">
      <c r="A33" s="107" t="s">
        <v>48</v>
      </c>
      <c r="B33" s="210">
        <f>'（５-6）品群別人時生產性(便當)'!C1</f>
        <v>77.971322564328403</v>
      </c>
      <c r="C33" s="210">
        <v>78.306366965294018</v>
      </c>
      <c r="D33" s="222">
        <f t="shared" si="10"/>
        <v>-0.33504440096561439</v>
      </c>
      <c r="E33" s="222">
        <f t="shared" si="11"/>
        <v>78.138844764811211</v>
      </c>
    </row>
    <row r="34" spans="1:5" s="99" customFormat="1" ht="18" customHeight="1">
      <c r="A34" s="107" t="s">
        <v>50</v>
      </c>
      <c r="B34" s="210">
        <f>'（５-7）品群別人時生產性(熱食義麵) '!C1</f>
        <v>72.949975663847383</v>
      </c>
      <c r="C34" s="210">
        <v>76.250132772766719</v>
      </c>
      <c r="D34" s="222">
        <f t="shared" si="10"/>
        <v>-3.3001571089193362</v>
      </c>
      <c r="E34" s="222">
        <f t="shared" si="11"/>
        <v>74.600054218307051</v>
      </c>
    </row>
    <row r="35" spans="1:5" s="99" customFormat="1" ht="18" customHeight="1">
      <c r="A35" s="107" t="s">
        <v>52</v>
      </c>
      <c r="B35" s="210">
        <f>'（５-8）品群別人時生產性(季節調理麵) '!C1</f>
        <v>97.15750138812345</v>
      </c>
      <c r="C35" s="210">
        <v>110.80830487807768</v>
      </c>
      <c r="D35" s="222">
        <f t="shared" si="10"/>
        <v>-13.650803489954228</v>
      </c>
      <c r="E35" s="222">
        <f t="shared" si="11"/>
        <v>103.98290313310056</v>
      </c>
    </row>
    <row r="36" spans="1:5" s="99" customFormat="1" ht="18" customHeight="1">
      <c r="A36" s="103" t="s">
        <v>54</v>
      </c>
      <c r="B36" s="210">
        <f>'（５-9）品群別人時生產性(微波小吃)'!C1</f>
        <v>77.592138128204311</v>
      </c>
      <c r="C36" s="210">
        <v>76.123665150077642</v>
      </c>
      <c r="D36" s="222">
        <f t="shared" si="10"/>
        <v>1.4684729781266697</v>
      </c>
      <c r="E36" s="222">
        <f t="shared" si="11"/>
        <v>76.857901639140977</v>
      </c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G37" sqref="G37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65" t="s">
        <v>59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99"/>
    </row>
    <row r="2" spans="1:16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</row>
    <row r="3" spans="1:16" ht="21.6" customHeight="1">
      <c r="A3" s="114" t="s">
        <v>1</v>
      </c>
      <c r="B3" s="115">
        <v>2</v>
      </c>
      <c r="C3" s="157" t="s">
        <v>60</v>
      </c>
      <c r="D3" s="115" t="s">
        <v>61</v>
      </c>
      <c r="E3" s="114" t="s">
        <v>2</v>
      </c>
      <c r="F3" s="468" t="s">
        <v>3</v>
      </c>
      <c r="G3" s="469"/>
      <c r="H3" s="100"/>
      <c r="I3" s="109"/>
      <c r="J3" s="100"/>
      <c r="K3" s="100"/>
      <c r="M3" s="100"/>
      <c r="N3" s="100"/>
    </row>
    <row r="4" spans="1:16" ht="15.75" customHeight="1">
      <c r="A4" s="110" t="s">
        <v>62</v>
      </c>
      <c r="E4" s="102" t="s">
        <v>5</v>
      </c>
      <c r="G4" s="111" t="s">
        <v>6</v>
      </c>
      <c r="L4" s="99"/>
    </row>
    <row r="5" spans="1:16" s="104" customFormat="1" ht="15.75" customHeight="1">
      <c r="A5" s="121" t="s">
        <v>7</v>
      </c>
      <c r="B5" s="121" t="s">
        <v>63</v>
      </c>
      <c r="C5" s="121" t="s">
        <v>64</v>
      </c>
      <c r="D5" s="116" t="s">
        <v>10</v>
      </c>
      <c r="E5" s="116" t="s">
        <v>11</v>
      </c>
      <c r="G5" s="121" t="s">
        <v>7</v>
      </c>
      <c r="H5" s="116" t="s">
        <v>12</v>
      </c>
      <c r="I5" s="116" t="s">
        <v>65</v>
      </c>
      <c r="J5" s="116" t="s">
        <v>66</v>
      </c>
      <c r="K5" s="116" t="s">
        <v>11</v>
      </c>
      <c r="L5" s="105" t="s">
        <v>14</v>
      </c>
    </row>
    <row r="6" spans="1:16" ht="18" customHeight="1">
      <c r="A6" s="107" t="s">
        <v>15</v>
      </c>
      <c r="B6" s="117">
        <f>'（１）收支狀況'!G33/1000</f>
        <v>32338.420109999999</v>
      </c>
      <c r="C6" s="117">
        <v>27936.826319999996</v>
      </c>
      <c r="D6" s="117">
        <f>B6-C6</f>
        <v>4401.5937900000026</v>
      </c>
      <c r="E6" s="216">
        <f>'（１）收支狀況'!H10:H10/1000</f>
        <v>116569.43023000001</v>
      </c>
      <c r="G6" s="217" t="s">
        <v>67</v>
      </c>
      <c r="H6" s="218"/>
      <c r="I6" s="218">
        <f>'（２）ＫＰＩ達成進度'!G33</f>
        <v>468.73196966875156</v>
      </c>
      <c r="J6" s="218">
        <v>480.52620231262472</v>
      </c>
      <c r="K6" s="218">
        <f>'（２）ＫＰＩ達成進度'!H10</f>
        <v>476.04171528829499</v>
      </c>
      <c r="L6" s="101" t="s">
        <v>17</v>
      </c>
    </row>
    <row r="7" spans="1:16" ht="18" customHeight="1">
      <c r="A7" s="107" t="s">
        <v>18</v>
      </c>
      <c r="B7" s="117">
        <f>'（１）收支狀況'!J33</f>
        <v>1076054</v>
      </c>
      <c r="C7" s="117">
        <v>906470</v>
      </c>
      <c r="D7" s="117">
        <f t="shared" ref="D7:D11" si="0">B7-C7</f>
        <v>169584</v>
      </c>
      <c r="E7" s="216">
        <f>'（１）收支狀況'!K10:K10</f>
        <v>3787002</v>
      </c>
      <c r="G7" s="217" t="s">
        <v>68</v>
      </c>
      <c r="H7" s="219">
        <v>0.8</v>
      </c>
      <c r="I7" s="118">
        <f>'（２）ＫＰＩ達成進度'!J33</f>
        <v>0.94198546959154261</v>
      </c>
      <c r="J7" s="118">
        <v>0.96568770561218786</v>
      </c>
      <c r="K7" s="219">
        <f>'（２）ＫＰＩ達成進度'!K10</f>
        <v>0.95667547284625221</v>
      </c>
      <c r="L7" s="101" t="s">
        <v>20</v>
      </c>
    </row>
    <row r="8" spans="1:16" ht="18" customHeight="1">
      <c r="A8" s="107" t="s">
        <v>69</v>
      </c>
      <c r="B8" s="117">
        <f>'（１）收支狀況'!M33/1000</f>
        <v>21241.350674792171</v>
      </c>
      <c r="C8" s="117">
        <v>18452.974112595672</v>
      </c>
      <c r="D8" s="117">
        <f>B8-C8</f>
        <v>2788.3765621964994</v>
      </c>
      <c r="E8" s="216">
        <f>'（１）收支狀況'!N10:N10/1000</f>
        <v>76972.896385872373</v>
      </c>
      <c r="G8" s="217" t="s">
        <v>22</v>
      </c>
      <c r="H8" s="118">
        <v>2.5000000000000001E-3</v>
      </c>
      <c r="I8" s="220">
        <f>'（２）ＫＰＩ達成進度'!M33</f>
        <v>2.2409997247341139E-3</v>
      </c>
      <c r="J8" s="220">
        <v>2.3384416072427289E-3</v>
      </c>
      <c r="K8" s="220">
        <f>'（２）ＫＰＩ達成進度'!N10</f>
        <v>2.3657636051419204E-3</v>
      </c>
      <c r="L8" s="101" t="s">
        <v>23</v>
      </c>
    </row>
    <row r="9" spans="1:16" ht="18" customHeight="1">
      <c r="A9" s="107" t="s">
        <v>24</v>
      </c>
      <c r="B9" s="219">
        <f>'（１）收支狀況'!P33</f>
        <v>0.65684565302012743</v>
      </c>
      <c r="C9" s="219">
        <v>0.66052506828183166</v>
      </c>
      <c r="D9" s="219">
        <f t="shared" si="0"/>
        <v>-3.6794152617042331E-3</v>
      </c>
      <c r="E9" s="219">
        <f>'（１）收支狀況'!Q10</f>
        <v>0.66031802878335444</v>
      </c>
      <c r="G9" s="217" t="s">
        <v>25</v>
      </c>
      <c r="H9" s="118">
        <v>4.0000000000000001E-3</v>
      </c>
      <c r="I9" s="118">
        <f>'（２）ＫＰＩ達成進度'!P33</f>
        <v>5.0772954698878481E-3</v>
      </c>
      <c r="J9" s="118">
        <v>5.1307506637957414E-3</v>
      </c>
      <c r="K9" s="118">
        <f>'（２）ＫＰＩ達成進度'!Q10</f>
        <v>5.2393000579921759E-3</v>
      </c>
      <c r="L9" s="101" t="s">
        <v>26</v>
      </c>
    </row>
    <row r="10" spans="1:16" ht="18" customHeight="1">
      <c r="A10" s="107" t="s">
        <v>27</v>
      </c>
      <c r="B10" s="117">
        <f>'（１）收支狀況'!S33/1000</f>
        <v>5488.2977599999995</v>
      </c>
      <c r="C10" s="117">
        <v>5131.8224179999997</v>
      </c>
      <c r="D10" s="117">
        <f t="shared" si="0"/>
        <v>356.47534199999973</v>
      </c>
      <c r="E10" s="216">
        <f>'（１）收支狀況'!T10/1000</f>
        <v>23269.912150000007</v>
      </c>
      <c r="G10" s="217" t="s">
        <v>70</v>
      </c>
      <c r="H10" s="219">
        <v>0.8</v>
      </c>
      <c r="I10" s="219">
        <f>'（２）ＫＰＩ達成進度'!S33</f>
        <v>0.90000000000000013</v>
      </c>
      <c r="J10" s="219">
        <v>0.90000000000000013</v>
      </c>
      <c r="K10" s="219">
        <f>'（２）ＫＰＩ達成進度'!T10</f>
        <v>0.89999999999999958</v>
      </c>
      <c r="L10" s="101" t="s">
        <v>29</v>
      </c>
      <c r="M10" s="321"/>
      <c r="N10" s="321"/>
      <c r="O10" s="321"/>
      <c r="P10" s="321"/>
    </row>
    <row r="11" spans="1:16" ht="18" customHeight="1">
      <c r="A11" s="107" t="s">
        <v>30</v>
      </c>
      <c r="B11" s="219">
        <f>'（１）收支狀況'!V33</f>
        <v>0.16971446784757599</v>
      </c>
      <c r="C11" s="219">
        <v>0.18369382259881553</v>
      </c>
      <c r="D11" s="219">
        <f t="shared" si="0"/>
        <v>-1.3979354751239542E-2</v>
      </c>
      <c r="E11" s="219">
        <f>'（１）收支狀況'!W10</f>
        <v>0.19962276648420402</v>
      </c>
      <c r="G11" s="217" t="s">
        <v>71</v>
      </c>
      <c r="H11" s="219">
        <v>1</v>
      </c>
      <c r="I11" s="318">
        <f>9/52*100%</f>
        <v>0.17307692307692307</v>
      </c>
      <c r="J11" s="318">
        <v>0.15384615384615385</v>
      </c>
      <c r="K11" s="318">
        <f>'（２）ＫＰＩ達成進度'!W10</f>
        <v>0.13873626373626369</v>
      </c>
      <c r="L11" s="101" t="s">
        <v>32</v>
      </c>
      <c r="M11" s="322"/>
      <c r="N11" s="322"/>
      <c r="O11" s="322"/>
      <c r="P11" s="322"/>
    </row>
    <row r="12" spans="1:16" ht="9.6" customHeight="1">
      <c r="L12" s="99"/>
    </row>
    <row r="13" spans="1:16" ht="15.75" customHeight="1">
      <c r="A13" s="110" t="s">
        <v>33</v>
      </c>
      <c r="E13" s="320" t="s">
        <v>5</v>
      </c>
      <c r="G13" s="110" t="s">
        <v>34</v>
      </c>
      <c r="K13" s="320" t="s">
        <v>35</v>
      </c>
      <c r="L13" s="99"/>
    </row>
    <row r="14" spans="1:16" s="106" customFormat="1" ht="13.5">
      <c r="A14" s="120"/>
      <c r="B14" s="158" t="s">
        <v>63</v>
      </c>
      <c r="C14" s="120" t="s">
        <v>36</v>
      </c>
      <c r="D14" s="158" t="s">
        <v>72</v>
      </c>
      <c r="E14" s="120" t="s">
        <v>37</v>
      </c>
      <c r="G14" s="120"/>
      <c r="H14" s="158" t="s">
        <v>63</v>
      </c>
      <c r="I14" s="120" t="s">
        <v>36</v>
      </c>
      <c r="J14" s="158" t="s">
        <v>72</v>
      </c>
      <c r="K14" s="120" t="s">
        <v>37</v>
      </c>
    </row>
    <row r="15" spans="1:16" ht="18" customHeight="1">
      <c r="A15" s="107" t="s">
        <v>38</v>
      </c>
      <c r="B15" s="117">
        <f>SUM('（３）業績構成比'!M35:M41)/1000</f>
        <v>11271.407009999999</v>
      </c>
      <c r="C15" s="219">
        <f>IFERROR(B15/$B$6,"")</f>
        <v>0.34854538260248979</v>
      </c>
      <c r="D15" s="219">
        <v>0.3461322463488759</v>
      </c>
      <c r="E15" s="219">
        <f>IFERROR(C15-D15,"")</f>
        <v>2.4131362536138901E-3</v>
      </c>
      <c r="G15" s="107" t="s">
        <v>39</v>
      </c>
      <c r="H15" s="117">
        <f>SUM('（４）訂單數量構成比'!M35:M41)</f>
        <v>604491</v>
      </c>
      <c r="I15" s="219">
        <f>IFERROR(H15/$B$7,"")</f>
        <v>0.56176641692703155</v>
      </c>
      <c r="J15" s="219">
        <v>0.57188875528147654</v>
      </c>
      <c r="K15" s="219">
        <f t="shared" ref="K15:K23" si="1">IFERROR(I15-J15,"")</f>
        <v>-1.0122338354444982E-2</v>
      </c>
      <c r="L15" s="99"/>
    </row>
    <row r="16" spans="1:16" ht="18" customHeight="1">
      <c r="A16" s="107" t="s">
        <v>40</v>
      </c>
      <c r="B16" s="117">
        <f>SUM('（３）業績構成比'!S35:S41)/1000</f>
        <v>2511.3866799999996</v>
      </c>
      <c r="C16" s="219">
        <f t="shared" ref="C16:C23" si="2">IFERROR(B16/$B$6,"")</f>
        <v>7.7659535359409976E-2</v>
      </c>
      <c r="D16" s="219">
        <v>8.4176297374067691E-2</v>
      </c>
      <c r="E16" s="219">
        <f t="shared" ref="E16:E23" si="3">IFERROR(C16-D16,"")</f>
        <v>-6.5167620146577149E-3</v>
      </c>
      <c r="G16" s="107" t="s">
        <v>40</v>
      </c>
      <c r="H16" s="117">
        <f>SUM('（４）訂單數量構成比'!S35:S41)</f>
        <v>95875</v>
      </c>
      <c r="I16" s="219">
        <f>IFERROR(H16/$B$7,"")</f>
        <v>8.9098688355788838E-2</v>
      </c>
      <c r="J16" s="219">
        <v>9.8761128332983991E-2</v>
      </c>
      <c r="K16" s="219">
        <f t="shared" si="1"/>
        <v>-9.662439977195153E-3</v>
      </c>
      <c r="L16" s="99"/>
    </row>
    <row r="17" spans="1:17" ht="18" customHeight="1">
      <c r="A17" s="107" t="s">
        <v>41</v>
      </c>
      <c r="B17" s="117">
        <f>SUM('（３）業績構成比'!U35:U41)/1000</f>
        <v>986.86664999999994</v>
      </c>
      <c r="C17" s="219">
        <f t="shared" si="2"/>
        <v>3.051684796731401E-2</v>
      </c>
      <c r="D17" s="219">
        <v>1.8452846579460714E-2</v>
      </c>
      <c r="E17" s="219">
        <f t="shared" si="3"/>
        <v>1.2064001387853296E-2</v>
      </c>
      <c r="G17" s="107" t="s">
        <v>42</v>
      </c>
      <c r="H17" s="117">
        <f>SUM('（４）訂單數量構成比'!U35:U41)</f>
        <v>39322</v>
      </c>
      <c r="I17" s="219">
        <f t="shared" ref="I17:I23" si="4">IFERROR(H17/$B$7,"")</f>
        <v>3.6542775734303298E-2</v>
      </c>
      <c r="J17" s="219">
        <v>1.8975807252308404E-2</v>
      </c>
      <c r="K17" s="219">
        <f t="shared" si="1"/>
        <v>1.7566968481994894E-2</v>
      </c>
      <c r="L17" s="99"/>
    </row>
    <row r="18" spans="1:17" ht="18" customHeight="1">
      <c r="A18" s="107" t="s">
        <v>43</v>
      </c>
      <c r="B18" s="117">
        <f>SUM('（３）業績構成比'!W35:W41)/1000</f>
        <v>862.21558000000005</v>
      </c>
      <c r="C18" s="219">
        <f t="shared" si="2"/>
        <v>2.6662266649612156E-2</v>
      </c>
      <c r="D18" s="219">
        <v>5.29248735366015E-3</v>
      </c>
      <c r="E18" s="219">
        <f t="shared" si="3"/>
        <v>2.1369779295952004E-2</v>
      </c>
      <c r="G18" s="107" t="s">
        <v>44</v>
      </c>
      <c r="H18" s="117">
        <f>SUM('（４）訂單數量構成比'!W35:W41)</f>
        <v>33582</v>
      </c>
      <c r="I18" s="219">
        <f t="shared" si="4"/>
        <v>3.120847095034264E-2</v>
      </c>
      <c r="J18" s="219">
        <v>6.0299844451553826E-3</v>
      </c>
      <c r="K18" s="219">
        <f t="shared" si="1"/>
        <v>2.5178486505187257E-2</v>
      </c>
      <c r="L18" s="99"/>
    </row>
    <row r="19" spans="1:17" ht="18" customHeight="1">
      <c r="A19" s="107" t="s">
        <v>45</v>
      </c>
      <c r="B19" s="117">
        <f>SUM('（３）業績構成比'!AC35:AC41)/1000</f>
        <v>5937.0161400000006</v>
      </c>
      <c r="C19" s="219">
        <f t="shared" si="2"/>
        <v>0.18359017292140686</v>
      </c>
      <c r="D19" s="219">
        <v>0.20596074958882446</v>
      </c>
      <c r="E19" s="219">
        <f t="shared" si="3"/>
        <v>-2.2370576667417597E-2</v>
      </c>
      <c r="G19" s="107" t="s">
        <v>46</v>
      </c>
      <c r="H19" s="117">
        <f>SUM('（４）訂單數量構成比'!AC35:AC41)</f>
        <v>108871</v>
      </c>
      <c r="I19" s="219">
        <f t="shared" si="4"/>
        <v>0.10117614915236596</v>
      </c>
      <c r="J19" s="219">
        <v>0.11447483093759309</v>
      </c>
      <c r="K19" s="219">
        <f t="shared" si="1"/>
        <v>-1.3298681785227126E-2</v>
      </c>
      <c r="L19" s="99"/>
    </row>
    <row r="20" spans="1:17" ht="18" customHeight="1">
      <c r="A20" s="107" t="s">
        <v>47</v>
      </c>
      <c r="B20" s="117">
        <f>SUM('（３）業績構成比'!AE35:AE41)/1000</f>
        <v>9166.7139900000002</v>
      </c>
      <c r="C20" s="219">
        <f t="shared" si="2"/>
        <v>0.28346202315447627</v>
      </c>
      <c r="D20" s="219">
        <v>0.26268193587710298</v>
      </c>
      <c r="E20" s="219">
        <f t="shared" si="3"/>
        <v>2.0780087277373294E-2</v>
      </c>
      <c r="G20" s="107" t="s">
        <v>48</v>
      </c>
      <c r="H20" s="117">
        <f>SUM('（４）訂單數量構成比'!AE35:AE41)</f>
        <v>151572</v>
      </c>
      <c r="I20" s="219">
        <f t="shared" si="4"/>
        <v>0.14085910186663494</v>
      </c>
      <c r="J20" s="219">
        <v>0.13510540889384096</v>
      </c>
      <c r="K20" s="219">
        <f t="shared" si="1"/>
        <v>5.7536929727939889E-3</v>
      </c>
      <c r="L20" s="99"/>
    </row>
    <row r="21" spans="1:17" ht="18" customHeight="1">
      <c r="A21" s="107" t="s">
        <v>49</v>
      </c>
      <c r="B21" s="117">
        <f>SUM('（３）業績構成比'!AG35:AG41)/1000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50</v>
      </c>
      <c r="H21" s="117">
        <f>SUM('（４）訂單數量構成比'!AG35:AG41)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51</v>
      </c>
      <c r="B22" s="117">
        <f>SUM('（３）業績構成比'!AI35:AI41)/1000</f>
        <v>770.52052000000003</v>
      </c>
      <c r="C22" s="219">
        <f t="shared" si="2"/>
        <v>2.3826783045648302E-2</v>
      </c>
      <c r="D22" s="219">
        <v>4.1097888387488103E-2</v>
      </c>
      <c r="E22" s="219">
        <f t="shared" si="3"/>
        <v>-1.7271105341839801E-2</v>
      </c>
      <c r="G22" s="107" t="s">
        <v>52</v>
      </c>
      <c r="H22" s="117">
        <f>SUM('（４）訂單數量構成比'!AI35:AI41)</f>
        <v>11768</v>
      </c>
      <c r="I22" s="219">
        <f t="shared" si="4"/>
        <v>1.093625412851028E-2</v>
      </c>
      <c r="J22" s="219">
        <v>2.0215782099793706E-2</v>
      </c>
      <c r="K22" s="219">
        <f t="shared" si="1"/>
        <v>-9.2795279712834262E-3</v>
      </c>
      <c r="L22" s="99"/>
    </row>
    <row r="23" spans="1:17" ht="18" customHeight="1">
      <c r="A23" s="107" t="s">
        <v>53</v>
      </c>
      <c r="B23" s="117">
        <f>SUM('（３）業績構成比'!AK35:AK41)/1000</f>
        <v>832.29353999999989</v>
      </c>
      <c r="C23" s="219">
        <f t="shared" si="2"/>
        <v>2.5736988299642691E-2</v>
      </c>
      <c r="D23" s="219">
        <v>3.620554849052017E-2</v>
      </c>
      <c r="E23" s="219">
        <f t="shared" si="3"/>
        <v>-1.0468560190877479E-2</v>
      </c>
      <c r="G23" s="107" t="s">
        <v>54</v>
      </c>
      <c r="H23" s="117">
        <f>SUM('（４）訂單數量構成比'!AK35:AK41)</f>
        <v>30573</v>
      </c>
      <c r="I23" s="219">
        <f t="shared" si="4"/>
        <v>2.8412142885022498E-2</v>
      </c>
      <c r="J23" s="219">
        <v>3.454830275684799E-2</v>
      </c>
      <c r="K23" s="219">
        <f t="shared" si="1"/>
        <v>-6.1361598718254924E-3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1.0000000000000002</v>
      </c>
      <c r="I24" s="112">
        <f>SUM(I15:I23)</f>
        <v>1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73</v>
      </c>
      <c r="L26" s="99"/>
    </row>
    <row r="27" spans="1:17" ht="15.75" customHeight="1">
      <c r="A27" s="107" t="s">
        <v>56</v>
      </c>
      <c r="B27" s="159" t="s">
        <v>63</v>
      </c>
      <c r="C27" s="159" t="s">
        <v>64</v>
      </c>
      <c r="D27" s="107" t="s">
        <v>10</v>
      </c>
      <c r="E27" s="107" t="s">
        <v>11</v>
      </c>
      <c r="L27" s="99"/>
    </row>
    <row r="28" spans="1:17" ht="18" customHeight="1">
      <c r="A28" s="107" t="s">
        <v>39</v>
      </c>
      <c r="B28" s="210">
        <f>'（５-1）品群別人時生產性(18℃-飯糰)'!L159</f>
        <v>770.91905873162898</v>
      </c>
      <c r="C28" s="210">
        <v>775.89436223806035</v>
      </c>
      <c r="D28" s="221">
        <f>B28-C28</f>
        <v>-4.9753035064313735</v>
      </c>
      <c r="E28" s="222">
        <f>'（５-1）品群別人時生產性(18℃-飯糰)'!C1</f>
        <v>774.12086448722914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58</v>
      </c>
      <c r="B29" s="210">
        <f>'（５-2）品群別人時生產性(18℃-壽司手卷)'!L87</f>
        <v>300.55927939537992</v>
      </c>
      <c r="C29" s="210">
        <v>300.48130541061732</v>
      </c>
      <c r="D29" s="221">
        <f>B29-C29</f>
        <v>7.7973984762593318E-2</v>
      </c>
      <c r="E29" s="222">
        <f>'（５-2）品群別人時生產性(18℃-壽司手卷)'!C1</f>
        <v>304.46478382945497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42</v>
      </c>
      <c r="B30" s="210">
        <f>'（５-3）品群別人時生產性(4℃-飯糰)'!L87</f>
        <v>317.46260310389169</v>
      </c>
      <c r="C30" s="210">
        <v>118.53830193798512</v>
      </c>
      <c r="D30" s="221">
        <f>B30-C30</f>
        <v>198.92430116590657</v>
      </c>
      <c r="E30" s="222">
        <f>'（５-3）品群別人時生產性(4℃-飯糰)'!C1</f>
        <v>203.2437413385673</v>
      </c>
      <c r="L30" s="99"/>
    </row>
    <row r="31" spans="1:17" ht="18" customHeight="1">
      <c r="A31" s="107" t="s">
        <v>44</v>
      </c>
      <c r="B31" s="210">
        <f>'（５-4）品群別人時生產性(4℃-壽司手卷)'!L87</f>
        <v>481.20056773217823</v>
      </c>
      <c r="C31" s="210">
        <v>493.52911154617607</v>
      </c>
      <c r="D31" s="221">
        <f>B31-C31</f>
        <v>-12.32854381399784</v>
      </c>
      <c r="E31" s="222">
        <f>'（５-4）品群別人時生產性(4℃-壽司手卷)'!C1</f>
        <v>490.19814173593841</v>
      </c>
      <c r="L31" s="99"/>
    </row>
    <row r="32" spans="1:17" ht="18" customHeight="1">
      <c r="A32" s="107" t="s">
        <v>45</v>
      </c>
      <c r="B32" s="210">
        <f>'（５-5）品群別人時生產性(微波主食) '!L87</f>
        <v>79.96347046137852</v>
      </c>
      <c r="C32" s="210">
        <v>82.01344313752341</v>
      </c>
      <c r="D32" s="221">
        <f t="shared" ref="D32:D36" si="5">B32-C32</f>
        <v>-2.0499726761448898</v>
      </c>
      <c r="E32" s="222">
        <f>'（５-5）品群別人時生產性(微波主食) '!C1</f>
        <v>81.452411562244222</v>
      </c>
      <c r="L32" s="99"/>
    </row>
    <row r="33" spans="1:12" ht="18" customHeight="1">
      <c r="A33" s="107" t="s">
        <v>48</v>
      </c>
      <c r="B33" s="210">
        <f>'（５-6）品群別人時生產性(便當)'!L87</f>
        <v>78.283793886795436</v>
      </c>
      <c r="C33" s="210">
        <v>77.927859212594768</v>
      </c>
      <c r="D33" s="221">
        <f t="shared" si="5"/>
        <v>0.35593467420066816</v>
      </c>
      <c r="E33" s="222">
        <f>'（５-6）品群別人時生產性(便當)'!C1</f>
        <v>77.971322564328403</v>
      </c>
      <c r="L33" s="99"/>
    </row>
    <row r="34" spans="1:12" ht="18" customHeight="1">
      <c r="A34" s="107" t="s">
        <v>50</v>
      </c>
      <c r="B34" s="210">
        <v>0</v>
      </c>
      <c r="C34" s="210">
        <v>0</v>
      </c>
      <c r="D34" s="221">
        <f t="shared" si="5"/>
        <v>0</v>
      </c>
      <c r="E34" s="222">
        <f>'（５-7）品群別人時生產性(熱食義麵) '!C1</f>
        <v>72.949975663847383</v>
      </c>
      <c r="L34" s="99"/>
    </row>
    <row r="35" spans="1:12" ht="18" customHeight="1">
      <c r="A35" s="107" t="s">
        <v>52</v>
      </c>
      <c r="B35" s="210">
        <f>'（５-8）品群別人時生產性(季節調理麵) '!L87</f>
        <v>84.576459084309448</v>
      </c>
      <c r="C35" s="210">
        <v>84.549903451788339</v>
      </c>
      <c r="D35" s="221">
        <f t="shared" si="5"/>
        <v>2.6555632521109374E-2</v>
      </c>
      <c r="E35" s="222">
        <f>'（５-8）品群別人時生產性(季節調理麵) '!C1</f>
        <v>97.15750138812345</v>
      </c>
      <c r="L35" s="99"/>
    </row>
    <row r="36" spans="1:12" ht="18" customHeight="1">
      <c r="A36" s="103" t="s">
        <v>54</v>
      </c>
      <c r="B36" s="210">
        <f>'（５-9）品群別人時生產性(微波小吃)'!L87</f>
        <v>78.042646380467062</v>
      </c>
      <c r="C36" s="210">
        <v>78.027614170265934</v>
      </c>
      <c r="D36" s="221">
        <f t="shared" si="5"/>
        <v>1.5032210201127327E-2</v>
      </c>
      <c r="E36" s="223">
        <f>'（５-9）品群別人時生產性(微波小吃)'!C1</f>
        <v>77.592138128204311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68"/>
  <sheetViews>
    <sheetView zoomScale="80" zoomScaleNormal="80" workbookViewId="0">
      <selection activeCell="W38" sqref="W38:W67"/>
    </sheetView>
  </sheetViews>
  <sheetFormatPr defaultColWidth="8.85546875" defaultRowHeight="13.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80" t="s">
        <v>74</v>
      </c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</row>
    <row r="3" spans="2:23" s="77" customFormat="1" ht="23.45" customHeight="1">
      <c r="B3" s="484" t="s">
        <v>75</v>
      </c>
      <c r="C3" s="485" t="s">
        <v>76</v>
      </c>
      <c r="D3" s="486" t="s">
        <v>77</v>
      </c>
      <c r="E3" s="486"/>
      <c r="F3" s="483" t="s">
        <v>78</v>
      </c>
      <c r="G3" s="483"/>
      <c r="H3" s="483"/>
      <c r="I3" s="481" t="s">
        <v>79</v>
      </c>
      <c r="J3" s="481"/>
      <c r="K3" s="481"/>
      <c r="L3" s="482" t="s">
        <v>80</v>
      </c>
      <c r="M3" s="482"/>
      <c r="N3" s="482"/>
      <c r="O3" s="479" t="s">
        <v>81</v>
      </c>
      <c r="P3" s="479"/>
      <c r="Q3" s="479"/>
      <c r="R3" s="487" t="s">
        <v>82</v>
      </c>
      <c r="S3" s="487"/>
      <c r="T3" s="487"/>
      <c r="U3" s="479" t="s">
        <v>83</v>
      </c>
      <c r="V3" s="479"/>
      <c r="W3" s="479"/>
    </row>
    <row r="4" spans="2:23" s="77" customFormat="1" ht="23.45" customHeight="1">
      <c r="B4" s="484"/>
      <c r="C4" s="485"/>
      <c r="D4" s="486"/>
      <c r="E4" s="486"/>
      <c r="F4" s="76" t="s">
        <v>84</v>
      </c>
      <c r="G4" s="76" t="s">
        <v>85</v>
      </c>
      <c r="H4" s="76" t="s">
        <v>86</v>
      </c>
      <c r="I4" s="86" t="s">
        <v>84</v>
      </c>
      <c r="J4" s="86" t="s">
        <v>85</v>
      </c>
      <c r="K4" s="86" t="s">
        <v>86</v>
      </c>
      <c r="L4" s="85" t="s">
        <v>84</v>
      </c>
      <c r="M4" s="85" t="s">
        <v>85</v>
      </c>
      <c r="N4" s="85" t="s">
        <v>86</v>
      </c>
      <c r="O4" s="79" t="s">
        <v>84</v>
      </c>
      <c r="P4" s="79" t="s">
        <v>85</v>
      </c>
      <c r="Q4" s="79" t="s">
        <v>86</v>
      </c>
      <c r="R4" s="79" t="s">
        <v>84</v>
      </c>
      <c r="S4" s="79" t="s">
        <v>85</v>
      </c>
      <c r="T4" s="79" t="s">
        <v>86</v>
      </c>
      <c r="U4" s="79" t="s">
        <v>84</v>
      </c>
      <c r="V4" s="79" t="s">
        <v>85</v>
      </c>
      <c r="W4" s="79" t="s">
        <v>86</v>
      </c>
    </row>
    <row r="5" spans="2:23">
      <c r="B5" s="475">
        <v>46057</v>
      </c>
      <c r="C5" s="477"/>
      <c r="D5" s="80">
        <v>46049</v>
      </c>
      <c r="E5" s="80" t="s">
        <v>87</v>
      </c>
      <c r="F5" s="164">
        <v>4884312.03</v>
      </c>
      <c r="G5" s="471">
        <f>SUM(F5:F11)</f>
        <v>31759620</v>
      </c>
      <c r="H5" s="445"/>
      <c r="I5" s="214">
        <v>158031</v>
      </c>
      <c r="J5" s="472">
        <f t="shared" ref="J5" si="0">SUM(I5:I11)</f>
        <v>1022206</v>
      </c>
      <c r="K5" s="445"/>
      <c r="L5" s="164">
        <v>3270172.7884156709</v>
      </c>
      <c r="M5" s="471">
        <f t="shared" ref="M5" si="1">SUM(L5:L11)</f>
        <v>20915969.659716498</v>
      </c>
      <c r="N5" s="471"/>
      <c r="O5" s="154">
        <f t="shared" ref="O5:O11" si="2">L5/F5</f>
        <v>0.66952577319587636</v>
      </c>
      <c r="P5" s="473">
        <f t="shared" ref="P5" si="3">M5/G5</f>
        <v>0.65857115606913741</v>
      </c>
      <c r="Q5" s="471"/>
      <c r="R5" s="165">
        <v>768617.63600000006</v>
      </c>
      <c r="S5" s="474">
        <f t="shared" ref="S5" si="4">SUM(R5:R11)</f>
        <v>5357781.84</v>
      </c>
      <c r="T5" s="471"/>
      <c r="U5" s="154">
        <f t="shared" ref="U5:U11" si="5">R5/F5</f>
        <v>0.15736456460583662</v>
      </c>
      <c r="V5" s="473">
        <f>S5/G5</f>
        <v>0.16869792018922139</v>
      </c>
      <c r="W5" s="471"/>
    </row>
    <row r="6" spans="2:23">
      <c r="B6" s="476"/>
      <c r="C6" s="477"/>
      <c r="D6" s="80">
        <f t="shared" ref="D6:D67" si="6">D5+1</f>
        <v>46050</v>
      </c>
      <c r="E6" s="80" t="s">
        <v>88</v>
      </c>
      <c r="F6" s="164">
        <v>4734075.18</v>
      </c>
      <c r="G6" s="471"/>
      <c r="H6" s="445"/>
      <c r="I6" s="214">
        <v>153374</v>
      </c>
      <c r="J6" s="472"/>
      <c r="K6" s="445"/>
      <c r="L6" s="164">
        <v>3056357.98012701</v>
      </c>
      <c r="M6" s="471"/>
      <c r="N6" s="471"/>
      <c r="O6" s="154">
        <f t="shared" si="2"/>
        <v>0.64560824742268041</v>
      </c>
      <c r="P6" s="473"/>
      <c r="Q6" s="471"/>
      <c r="R6" s="165">
        <v>765106.55</v>
      </c>
      <c r="S6" s="474"/>
      <c r="T6" s="471"/>
      <c r="U6" s="154">
        <f t="shared" si="5"/>
        <v>0.16161689895258488</v>
      </c>
      <c r="V6" s="473"/>
      <c r="W6" s="471"/>
    </row>
    <row r="7" spans="2:23">
      <c r="B7" s="476"/>
      <c r="C7" s="477"/>
      <c r="D7" s="80">
        <f t="shared" si="6"/>
        <v>46051</v>
      </c>
      <c r="E7" s="80" t="s">
        <v>89</v>
      </c>
      <c r="F7" s="164">
        <v>4383675.45</v>
      </c>
      <c r="G7" s="471"/>
      <c r="H7" s="75"/>
      <c r="I7" s="214">
        <v>141591</v>
      </c>
      <c r="J7" s="472"/>
      <c r="K7" s="75"/>
      <c r="L7" s="164">
        <v>2886627.6875597937</v>
      </c>
      <c r="M7" s="471"/>
      <c r="N7" s="471"/>
      <c r="O7" s="154">
        <f t="shared" si="2"/>
        <v>0.6584948453608247</v>
      </c>
      <c r="P7" s="473"/>
      <c r="Q7" s="471"/>
      <c r="R7" s="165">
        <v>749089.25</v>
      </c>
      <c r="S7" s="474"/>
      <c r="T7" s="471"/>
      <c r="U7" s="154">
        <f t="shared" si="5"/>
        <v>0.17088154872414196</v>
      </c>
      <c r="V7" s="473"/>
      <c r="W7" s="471"/>
    </row>
    <row r="8" spans="2:23">
      <c r="B8" s="476"/>
      <c r="C8" s="477"/>
      <c r="D8" s="80">
        <f t="shared" si="6"/>
        <v>46052</v>
      </c>
      <c r="E8" s="80" t="s">
        <v>90</v>
      </c>
      <c r="F8" s="164">
        <v>3724978.02</v>
      </c>
      <c r="G8" s="471"/>
      <c r="H8" s="164"/>
      <c r="I8" s="214">
        <v>121636</v>
      </c>
      <c r="J8" s="472"/>
      <c r="K8" s="164"/>
      <c r="L8" s="164">
        <v>2422541.375398763</v>
      </c>
      <c r="M8" s="471"/>
      <c r="N8" s="471"/>
      <c r="O8" s="154">
        <f t="shared" si="2"/>
        <v>0.65035051546391753</v>
      </c>
      <c r="P8" s="473"/>
      <c r="Q8" s="471"/>
      <c r="R8" s="165">
        <v>710473.81400000001</v>
      </c>
      <c r="S8" s="474"/>
      <c r="T8" s="471"/>
      <c r="U8" s="154">
        <f t="shared" si="5"/>
        <v>0.19073235068377664</v>
      </c>
      <c r="V8" s="473"/>
      <c r="W8" s="471"/>
    </row>
    <row r="9" spans="2:23">
      <c r="B9" s="476"/>
      <c r="C9" s="477"/>
      <c r="D9" s="80">
        <f t="shared" si="6"/>
        <v>46053</v>
      </c>
      <c r="E9" s="80" t="s">
        <v>91</v>
      </c>
      <c r="F9" s="164">
        <v>4007768.4000000004</v>
      </c>
      <c r="G9" s="471"/>
      <c r="H9" s="164"/>
      <c r="I9" s="214">
        <v>129053</v>
      </c>
      <c r="J9" s="472"/>
      <c r="K9" s="164"/>
      <c r="L9" s="164">
        <v>2649424.1328000007</v>
      </c>
      <c r="M9" s="471"/>
      <c r="N9" s="471"/>
      <c r="O9" s="154">
        <f t="shared" si="2"/>
        <v>0.66107216494845378</v>
      </c>
      <c r="P9" s="473"/>
      <c r="Q9" s="471"/>
      <c r="R9" s="165">
        <v>749349.554</v>
      </c>
      <c r="S9" s="474"/>
      <c r="T9" s="471"/>
      <c r="U9" s="154">
        <f t="shared" si="5"/>
        <v>0.18697426577843168</v>
      </c>
      <c r="V9" s="473"/>
      <c r="W9" s="471"/>
    </row>
    <row r="10" spans="2:23">
      <c r="B10" s="476"/>
      <c r="C10" s="478" t="s">
        <v>87</v>
      </c>
      <c r="D10" s="80">
        <v>46054</v>
      </c>
      <c r="E10" s="80" t="s">
        <v>84</v>
      </c>
      <c r="F10" s="164">
        <v>5128838.0100000007</v>
      </c>
      <c r="G10" s="471"/>
      <c r="H10" s="471">
        <f>SUM(F10:F37)</f>
        <v>116569430.23000002</v>
      </c>
      <c r="I10" s="214">
        <v>162127</v>
      </c>
      <c r="J10" s="472"/>
      <c r="K10" s="472">
        <f>SUM(I10:I37)</f>
        <v>3787002</v>
      </c>
      <c r="L10" s="164">
        <v>3450280.3660261864</v>
      </c>
      <c r="M10" s="471"/>
      <c r="N10" s="471">
        <f>SUM(L10:L37)</f>
        <v>76972896.385872379</v>
      </c>
      <c r="O10" s="154">
        <f t="shared" si="2"/>
        <v>0.67272164948453617</v>
      </c>
      <c r="P10" s="473"/>
      <c r="Q10" s="470">
        <f>N10/H10</f>
        <v>0.66031802878335444</v>
      </c>
      <c r="R10" s="165">
        <v>816738.48400000005</v>
      </c>
      <c r="S10" s="474"/>
      <c r="T10" s="471">
        <f>SUM(R7:R37)</f>
        <v>23269912.150000006</v>
      </c>
      <c r="U10" s="154">
        <f t="shared" si="5"/>
        <v>0.15924435172402723</v>
      </c>
      <c r="V10" s="473"/>
      <c r="W10" s="470">
        <f>T10/H10</f>
        <v>0.19962276648420402</v>
      </c>
    </row>
    <row r="11" spans="2:23">
      <c r="B11" s="476"/>
      <c r="C11" s="478"/>
      <c r="D11" s="80">
        <f t="shared" si="6"/>
        <v>46055</v>
      </c>
      <c r="E11" s="80" t="s">
        <v>92</v>
      </c>
      <c r="F11" s="164">
        <v>4895972.91</v>
      </c>
      <c r="G11" s="471"/>
      <c r="H11" s="471"/>
      <c r="I11" s="214">
        <v>156394</v>
      </c>
      <c r="J11" s="472"/>
      <c r="K11" s="472"/>
      <c r="L11" s="164">
        <v>3180565.3293890725</v>
      </c>
      <c r="M11" s="471"/>
      <c r="N11" s="471"/>
      <c r="O11" s="154">
        <f t="shared" si="2"/>
        <v>0.64962886597938152</v>
      </c>
      <c r="P11" s="473"/>
      <c r="Q11" s="470"/>
      <c r="R11" s="165">
        <v>798406.55200000003</v>
      </c>
      <c r="S11" s="474"/>
      <c r="T11" s="471"/>
      <c r="U11" s="154">
        <f t="shared" si="5"/>
        <v>0.1630741359637139</v>
      </c>
      <c r="V11" s="473"/>
      <c r="W11" s="470"/>
    </row>
    <row r="12" spans="2:23">
      <c r="B12" s="475">
        <f>B5+7</f>
        <v>46064</v>
      </c>
      <c r="C12" s="478"/>
      <c r="D12" s="80">
        <f t="shared" si="6"/>
        <v>46056</v>
      </c>
      <c r="E12" s="80" t="s">
        <v>87</v>
      </c>
      <c r="F12" s="164">
        <v>4840106.0000000009</v>
      </c>
      <c r="G12" s="471">
        <f>SUM(F12:F18)</f>
        <v>31225639.43</v>
      </c>
      <c r="H12" s="471"/>
      <c r="I12" s="214">
        <v>156238</v>
      </c>
      <c r="J12" s="472">
        <f t="shared" ref="J12" si="7">SUM(I12:I18)</f>
        <v>1008252</v>
      </c>
      <c r="K12" s="472"/>
      <c r="L12" s="164">
        <v>3163732.7920000004</v>
      </c>
      <c r="M12" s="471">
        <f t="shared" ref="M12" si="8">SUM(L12:L18)</f>
        <v>20602212.20281361</v>
      </c>
      <c r="N12" s="471"/>
      <c r="O12" s="154">
        <f t="shared" ref="O12:O18" si="9">L12/F12</f>
        <v>0.6536494845360824</v>
      </c>
      <c r="P12" s="473">
        <f t="shared" ref="P12" si="10">M12/G12</f>
        <v>0.65978511821987085</v>
      </c>
      <c r="Q12" s="470"/>
      <c r="R12" s="165">
        <v>815557.196</v>
      </c>
      <c r="S12" s="474">
        <f t="shared" ref="S12" si="11">SUM(R12:R18)</f>
        <v>5456624.7460000003</v>
      </c>
      <c r="T12" s="471"/>
      <c r="U12" s="154">
        <f t="shared" ref="U12:U15" si="12">R12/F12</f>
        <v>0.16849986260631478</v>
      </c>
      <c r="V12" s="473">
        <f>S12/G12</f>
        <v>0.17474821478779884</v>
      </c>
      <c r="W12" s="470"/>
    </row>
    <row r="13" spans="2:23">
      <c r="B13" s="475"/>
      <c r="C13" s="478"/>
      <c r="D13" s="80">
        <f t="shared" si="6"/>
        <v>46057</v>
      </c>
      <c r="E13" s="80" t="s">
        <v>88</v>
      </c>
      <c r="F13" s="164">
        <v>4730102.72</v>
      </c>
      <c r="G13" s="471"/>
      <c r="H13" s="471"/>
      <c r="I13" s="214">
        <v>152389</v>
      </c>
      <c r="J13" s="472"/>
      <c r="K13" s="472"/>
      <c r="L13" s="164">
        <v>3110359.5040461859</v>
      </c>
      <c r="M13" s="471"/>
      <c r="N13" s="471"/>
      <c r="O13" s="154">
        <f t="shared" si="9"/>
        <v>0.65756701030927844</v>
      </c>
      <c r="P13" s="473"/>
      <c r="Q13" s="470"/>
      <c r="R13" s="165">
        <v>776077.20400000003</v>
      </c>
      <c r="S13" s="474"/>
      <c r="T13" s="471"/>
      <c r="U13" s="154">
        <f t="shared" si="12"/>
        <v>0.16407195571431482</v>
      </c>
      <c r="V13" s="473"/>
      <c r="W13" s="470"/>
    </row>
    <row r="14" spans="2:23">
      <c r="B14" s="475"/>
      <c r="C14" s="478"/>
      <c r="D14" s="80">
        <f t="shared" si="6"/>
        <v>46058</v>
      </c>
      <c r="E14" s="80" t="s">
        <v>89</v>
      </c>
      <c r="F14" s="164">
        <v>4380960.53</v>
      </c>
      <c r="G14" s="471"/>
      <c r="H14" s="471"/>
      <c r="I14" s="214">
        <v>141990</v>
      </c>
      <c r="J14" s="472"/>
      <c r="K14" s="472"/>
      <c r="L14" s="164">
        <v>3009494.0614022682</v>
      </c>
      <c r="M14" s="471"/>
      <c r="N14" s="471"/>
      <c r="O14" s="154">
        <f t="shared" si="9"/>
        <v>0.68694845360824741</v>
      </c>
      <c r="P14" s="473"/>
      <c r="Q14" s="470"/>
      <c r="R14" s="165">
        <v>800406.52800000005</v>
      </c>
      <c r="S14" s="474"/>
      <c r="T14" s="471"/>
      <c r="U14" s="154">
        <f t="shared" si="12"/>
        <v>0.18270115024295824</v>
      </c>
      <c r="V14" s="473"/>
      <c r="W14" s="470"/>
    </row>
    <row r="15" spans="2:23">
      <c r="B15" s="475"/>
      <c r="C15" s="478"/>
      <c r="D15" s="80">
        <f t="shared" si="6"/>
        <v>46059</v>
      </c>
      <c r="E15" s="80" t="s">
        <v>90</v>
      </c>
      <c r="F15" s="164">
        <v>3638268.6499999994</v>
      </c>
      <c r="G15" s="471"/>
      <c r="H15" s="471"/>
      <c r="I15" s="214">
        <v>119260</v>
      </c>
      <c r="J15" s="472"/>
      <c r="K15" s="472"/>
      <c r="L15" s="164">
        <v>2380777.9823721647</v>
      </c>
      <c r="M15" s="471"/>
      <c r="N15" s="471"/>
      <c r="O15" s="154">
        <f t="shared" si="9"/>
        <v>0.65437113402061864</v>
      </c>
      <c r="P15" s="473"/>
      <c r="Q15" s="470"/>
      <c r="R15" s="165">
        <v>739184.12199999997</v>
      </c>
      <c r="S15" s="474"/>
      <c r="T15" s="471"/>
      <c r="U15" s="154">
        <f t="shared" si="12"/>
        <v>0.20316919752476226</v>
      </c>
      <c r="V15" s="473"/>
      <c r="W15" s="470"/>
    </row>
    <row r="16" spans="2:23">
      <c r="B16" s="475"/>
      <c r="C16" s="478"/>
      <c r="D16" s="80">
        <f t="shared" si="6"/>
        <v>46060</v>
      </c>
      <c r="E16" s="80" t="s">
        <v>91</v>
      </c>
      <c r="F16" s="164">
        <v>3904128.8</v>
      </c>
      <c r="G16" s="471"/>
      <c r="H16" s="471"/>
      <c r="I16" s="214">
        <v>126462</v>
      </c>
      <c r="J16" s="472"/>
      <c r="K16" s="472"/>
      <c r="L16" s="164">
        <v>2545089.4900948456</v>
      </c>
      <c r="M16" s="471"/>
      <c r="N16" s="471"/>
      <c r="O16" s="154">
        <f t="shared" si="9"/>
        <v>0.65189690721649496</v>
      </c>
      <c r="P16" s="473"/>
      <c r="Q16" s="470"/>
      <c r="R16" s="165">
        <v>753512.37199999997</v>
      </c>
      <c r="S16" s="474"/>
      <c r="T16" s="471"/>
      <c r="U16" s="154">
        <f t="shared" ref="U16:U22" si="13">R16/F16</f>
        <v>0.19300397363939428</v>
      </c>
      <c r="V16" s="473"/>
      <c r="W16" s="470"/>
    </row>
    <row r="17" spans="2:23">
      <c r="B17" s="475"/>
      <c r="C17" s="478"/>
      <c r="D17" s="80">
        <f t="shared" si="6"/>
        <v>46061</v>
      </c>
      <c r="E17" s="80" t="s">
        <v>84</v>
      </c>
      <c r="F17" s="164">
        <v>4998806.51</v>
      </c>
      <c r="G17" s="471"/>
      <c r="H17" s="471"/>
      <c r="I17" s="214">
        <v>158901</v>
      </c>
      <c r="J17" s="472"/>
      <c r="K17" s="472"/>
      <c r="L17" s="164">
        <v>3270559.343821031</v>
      </c>
      <c r="M17" s="471"/>
      <c r="N17" s="471"/>
      <c r="O17" s="154">
        <f t="shared" si="9"/>
        <v>0.65426804123711346</v>
      </c>
      <c r="P17" s="473"/>
      <c r="Q17" s="470"/>
      <c r="R17" s="165">
        <v>796234.76599999995</v>
      </c>
      <c r="S17" s="474"/>
      <c r="T17" s="471"/>
      <c r="U17" s="154">
        <f t="shared" si="13"/>
        <v>0.15928497420477272</v>
      </c>
      <c r="V17" s="473"/>
      <c r="W17" s="470"/>
    </row>
    <row r="18" spans="2:23">
      <c r="B18" s="475"/>
      <c r="C18" s="478"/>
      <c r="D18" s="80">
        <f t="shared" si="6"/>
        <v>46062</v>
      </c>
      <c r="E18" s="80" t="s">
        <v>92</v>
      </c>
      <c r="F18" s="164">
        <v>4733266.2200000007</v>
      </c>
      <c r="G18" s="471"/>
      <c r="H18" s="471"/>
      <c r="I18" s="214">
        <v>153012</v>
      </c>
      <c r="J18" s="472"/>
      <c r="K18" s="472"/>
      <c r="L18" s="164">
        <v>3122199.0290771136</v>
      </c>
      <c r="M18" s="471"/>
      <c r="N18" s="471"/>
      <c r="O18" s="154">
        <f t="shared" si="9"/>
        <v>0.65962886597938142</v>
      </c>
      <c r="P18" s="473"/>
      <c r="Q18" s="470"/>
      <c r="R18" s="165">
        <v>775652.55799999996</v>
      </c>
      <c r="S18" s="474"/>
      <c r="T18" s="471"/>
      <c r="U18" s="154">
        <f t="shared" si="13"/>
        <v>0.16387258226096563</v>
      </c>
      <c r="V18" s="473"/>
      <c r="W18" s="470"/>
    </row>
    <row r="19" spans="2:23">
      <c r="B19" s="475">
        <f>B12+7</f>
        <v>46071</v>
      </c>
      <c r="C19" s="478"/>
      <c r="D19" s="80">
        <f t="shared" si="6"/>
        <v>46063</v>
      </c>
      <c r="E19" s="80" t="s">
        <v>87</v>
      </c>
      <c r="F19" s="164">
        <v>4628863.84</v>
      </c>
      <c r="G19" s="471">
        <f>SUM(F19:F25)</f>
        <v>26015260.470000003</v>
      </c>
      <c r="H19" s="471"/>
      <c r="I19" s="214">
        <v>149487</v>
      </c>
      <c r="J19" s="472">
        <f t="shared" ref="J19" si="14">SUM(I19:I25)</f>
        <v>840384</v>
      </c>
      <c r="K19" s="472"/>
      <c r="L19" s="164">
        <v>2986046.6590119591</v>
      </c>
      <c r="M19" s="471">
        <f t="shared" ref="M19" si="15">SUM(L19:L25)</f>
        <v>17203357.903697737</v>
      </c>
      <c r="N19" s="471"/>
      <c r="O19" s="154">
        <f t="shared" ref="O19:O25" si="16">L19/F19</f>
        <v>0.64509278350515475</v>
      </c>
      <c r="P19" s="473">
        <f t="shared" ref="P19" si="17">M19/G19</f>
        <v>0.66127947953994615</v>
      </c>
      <c r="Q19" s="470"/>
      <c r="R19" s="165">
        <v>772199.39199999999</v>
      </c>
      <c r="S19" s="474">
        <f t="shared" ref="S19" si="18">SUM(R19:R25)</f>
        <v>4977527.4379999992</v>
      </c>
      <c r="T19" s="471"/>
      <c r="U19" s="154">
        <f t="shared" si="13"/>
        <v>0.16682266290209133</v>
      </c>
      <c r="V19" s="473">
        <f>S19/G19</f>
        <v>0.19133106292516006</v>
      </c>
      <c r="W19" s="470"/>
    </row>
    <row r="20" spans="2:23">
      <c r="B20" s="475"/>
      <c r="C20" s="478"/>
      <c r="D20" s="80">
        <f t="shared" si="6"/>
        <v>46064</v>
      </c>
      <c r="E20" s="80" t="s">
        <v>88</v>
      </c>
      <c r="F20" s="164">
        <v>4314019.45</v>
      </c>
      <c r="G20" s="471"/>
      <c r="H20" s="471"/>
      <c r="I20" s="214">
        <v>140252</v>
      </c>
      <c r="J20" s="472"/>
      <c r="K20" s="472"/>
      <c r="L20" s="164">
        <v>2826083.009595877</v>
      </c>
      <c r="M20" s="471"/>
      <c r="N20" s="471"/>
      <c r="O20" s="154">
        <f t="shared" si="16"/>
        <v>0.65509278350515476</v>
      </c>
      <c r="P20" s="473"/>
      <c r="Q20" s="470"/>
      <c r="R20" s="165">
        <v>743951.772</v>
      </c>
      <c r="S20" s="474"/>
      <c r="T20" s="471"/>
      <c r="U20" s="154">
        <f t="shared" si="13"/>
        <v>0.17244979551494605</v>
      </c>
      <c r="V20" s="473"/>
      <c r="W20" s="470"/>
    </row>
    <row r="21" spans="2:23">
      <c r="B21" s="475"/>
      <c r="C21" s="478"/>
      <c r="D21" s="80">
        <f t="shared" si="6"/>
        <v>46065</v>
      </c>
      <c r="E21" s="80" t="s">
        <v>89</v>
      </c>
      <c r="F21" s="164">
        <v>3791314.22</v>
      </c>
      <c r="G21" s="471"/>
      <c r="H21" s="471"/>
      <c r="I21" s="214">
        <v>123421</v>
      </c>
      <c r="J21" s="472"/>
      <c r="K21" s="472"/>
      <c r="L21" s="164">
        <v>2588021.4408564949</v>
      </c>
      <c r="M21" s="471"/>
      <c r="N21" s="471"/>
      <c r="O21" s="154">
        <f t="shared" si="16"/>
        <v>0.68261855670103089</v>
      </c>
      <c r="P21" s="473"/>
      <c r="Q21" s="470"/>
      <c r="R21" s="165">
        <v>718723.54200000002</v>
      </c>
      <c r="S21" s="474"/>
      <c r="T21" s="471"/>
      <c r="U21" s="154">
        <f t="shared" si="13"/>
        <v>0.18957108282098548</v>
      </c>
      <c r="V21" s="473"/>
      <c r="W21" s="470"/>
    </row>
    <row r="22" spans="2:23">
      <c r="B22" s="475"/>
      <c r="C22" s="478"/>
      <c r="D22" s="80">
        <f t="shared" si="6"/>
        <v>46066</v>
      </c>
      <c r="E22" s="80" t="s">
        <v>90</v>
      </c>
      <c r="F22" s="164">
        <v>3262863.4</v>
      </c>
      <c r="G22" s="471"/>
      <c r="H22" s="471"/>
      <c r="I22" s="214">
        <v>106028</v>
      </c>
      <c r="J22" s="472"/>
      <c r="K22" s="472"/>
      <c r="L22" s="164">
        <v>2161697.459150515</v>
      </c>
      <c r="M22" s="471"/>
      <c r="N22" s="471"/>
      <c r="O22" s="154">
        <f t="shared" si="16"/>
        <v>0.66251546391752569</v>
      </c>
      <c r="P22" s="473"/>
      <c r="Q22" s="470"/>
      <c r="R22" s="165">
        <v>692417.14199999999</v>
      </c>
      <c r="S22" s="474"/>
      <c r="T22" s="471"/>
      <c r="U22" s="154">
        <f t="shared" si="13"/>
        <v>0.21221150171349495</v>
      </c>
      <c r="V22" s="473"/>
      <c r="W22" s="470"/>
    </row>
    <row r="23" spans="2:23">
      <c r="B23" s="475"/>
      <c r="C23" s="478"/>
      <c r="D23" s="80">
        <f t="shared" si="6"/>
        <v>46067</v>
      </c>
      <c r="E23" s="80" t="s">
        <v>91</v>
      </c>
      <c r="F23" s="164">
        <v>3301360.02</v>
      </c>
      <c r="G23" s="471"/>
      <c r="H23" s="471"/>
      <c r="I23" s="214">
        <v>104504</v>
      </c>
      <c r="J23" s="472"/>
      <c r="K23" s="472"/>
      <c r="L23" s="164">
        <v>2194008.9930853611</v>
      </c>
      <c r="M23" s="471"/>
      <c r="N23" s="471"/>
      <c r="O23" s="154">
        <f t="shared" si="16"/>
        <v>0.66457731958762889</v>
      </c>
      <c r="P23" s="473"/>
      <c r="Q23" s="470"/>
      <c r="R23" s="165">
        <v>693832.38</v>
      </c>
      <c r="S23" s="474"/>
      <c r="T23" s="471"/>
      <c r="U23" s="154">
        <f t="shared" ref="U23:U29" si="19">R23/F23</f>
        <v>0.2101656213792763</v>
      </c>
      <c r="V23" s="473"/>
      <c r="W23" s="470"/>
    </row>
    <row r="24" spans="2:23">
      <c r="B24" s="475"/>
      <c r="C24" s="478"/>
      <c r="D24" s="80">
        <f t="shared" si="6"/>
        <v>46068</v>
      </c>
      <c r="E24" s="80" t="s">
        <v>84</v>
      </c>
      <c r="F24" s="164">
        <v>3384701.6</v>
      </c>
      <c r="G24" s="471"/>
      <c r="H24" s="471"/>
      <c r="I24" s="214">
        <v>107334</v>
      </c>
      <c r="J24" s="472"/>
      <c r="K24" s="472"/>
      <c r="L24" s="164">
        <v>2257770.436354639</v>
      </c>
      <c r="M24" s="471"/>
      <c r="N24" s="471"/>
      <c r="O24" s="154">
        <f t="shared" si="16"/>
        <v>0.66705154639175246</v>
      </c>
      <c r="P24" s="473"/>
      <c r="Q24" s="470"/>
      <c r="R24" s="165">
        <v>684307.20600000001</v>
      </c>
      <c r="S24" s="474"/>
      <c r="T24" s="471"/>
      <c r="U24" s="154">
        <f t="shared" si="19"/>
        <v>0.20217652451253015</v>
      </c>
      <c r="V24" s="473"/>
      <c r="W24" s="470"/>
    </row>
    <row r="25" spans="2:23">
      <c r="B25" s="475"/>
      <c r="C25" s="478"/>
      <c r="D25" s="80">
        <f t="shared" si="6"/>
        <v>46069</v>
      </c>
      <c r="E25" s="80" t="s">
        <v>92</v>
      </c>
      <c r="F25" s="164">
        <v>3332137.94</v>
      </c>
      <c r="G25" s="471"/>
      <c r="H25" s="471"/>
      <c r="I25" s="214">
        <v>109358</v>
      </c>
      <c r="J25" s="472"/>
      <c r="K25" s="472"/>
      <c r="L25" s="164">
        <v>2189729.9056428862</v>
      </c>
      <c r="M25" s="471"/>
      <c r="N25" s="471"/>
      <c r="O25" s="154">
        <f t="shared" si="16"/>
        <v>0.65715463917525763</v>
      </c>
      <c r="P25" s="473"/>
      <c r="Q25" s="470"/>
      <c r="R25" s="165">
        <v>672096.00399999996</v>
      </c>
      <c r="S25" s="474"/>
      <c r="T25" s="471"/>
      <c r="U25" s="154">
        <f t="shared" si="19"/>
        <v>0.20170113485758034</v>
      </c>
      <c r="V25" s="473"/>
      <c r="W25" s="470"/>
    </row>
    <row r="26" spans="2:23">
      <c r="B26" s="475">
        <f>B19+7</f>
        <v>46078</v>
      </c>
      <c r="C26" s="478"/>
      <c r="D26" s="80">
        <f t="shared" si="6"/>
        <v>46070</v>
      </c>
      <c r="E26" s="80" t="s">
        <v>87</v>
      </c>
      <c r="F26" s="164">
        <v>3579308.7099999995</v>
      </c>
      <c r="G26" s="471">
        <f>SUM(F26:F32)</f>
        <v>27936826.319999997</v>
      </c>
      <c r="H26" s="471"/>
      <c r="I26" s="214">
        <v>116010</v>
      </c>
      <c r="J26" s="472">
        <f t="shared" ref="J26" si="20">SUM(I26:I32)</f>
        <v>906470</v>
      </c>
      <c r="K26" s="472"/>
      <c r="L26" s="164">
        <v>2434815.524955052</v>
      </c>
      <c r="M26" s="471">
        <f t="shared" ref="M26" si="21">SUM(L26:L32)</f>
        <v>18452974.11259567</v>
      </c>
      <c r="N26" s="471"/>
      <c r="O26" s="154">
        <f t="shared" ref="O26:O32" si="22">L26/F26</f>
        <v>0.68024742268041261</v>
      </c>
      <c r="P26" s="473">
        <f t="shared" ref="P26" si="23">M26/G26</f>
        <v>0.66052506828183166</v>
      </c>
      <c r="Q26" s="470"/>
      <c r="R26" s="165">
        <v>697761.82200000004</v>
      </c>
      <c r="S26" s="474">
        <f t="shared" ref="S26" si="24">SUM(R26:R32)</f>
        <v>5131822.4179999996</v>
      </c>
      <c r="T26" s="471"/>
      <c r="U26" s="154">
        <f t="shared" si="19"/>
        <v>0.19494317996393223</v>
      </c>
      <c r="V26" s="473">
        <f>S26/G26</f>
        <v>0.18369382259881553</v>
      </c>
      <c r="W26" s="470"/>
    </row>
    <row r="27" spans="2:23">
      <c r="B27" s="475"/>
      <c r="C27" s="478"/>
      <c r="D27" s="80">
        <f t="shared" si="6"/>
        <v>46071</v>
      </c>
      <c r="E27" s="80" t="s">
        <v>88</v>
      </c>
      <c r="F27" s="164">
        <v>3442485.42</v>
      </c>
      <c r="G27" s="471"/>
      <c r="H27" s="471"/>
      <c r="I27" s="214">
        <v>113544</v>
      </c>
      <c r="J27" s="472"/>
      <c r="K27" s="472"/>
      <c r="L27" s="164">
        <v>2271117.6491492782</v>
      </c>
      <c r="M27" s="471"/>
      <c r="N27" s="471"/>
      <c r="O27" s="154">
        <f t="shared" si="22"/>
        <v>0.65973195876288659</v>
      </c>
      <c r="P27" s="473"/>
      <c r="Q27" s="470"/>
      <c r="R27" s="165">
        <v>689405.34</v>
      </c>
      <c r="S27" s="474"/>
      <c r="T27" s="471"/>
      <c r="U27" s="154">
        <f t="shared" si="19"/>
        <v>0.20026383728300584</v>
      </c>
      <c r="V27" s="473"/>
      <c r="W27" s="470"/>
    </row>
    <row r="28" spans="2:23">
      <c r="B28" s="475"/>
      <c r="C28" s="478"/>
      <c r="D28" s="80">
        <f t="shared" si="6"/>
        <v>46072</v>
      </c>
      <c r="E28" s="80" t="s">
        <v>89</v>
      </c>
      <c r="F28" s="164">
        <v>3403767.2</v>
      </c>
      <c r="G28" s="471"/>
      <c r="H28" s="471"/>
      <c r="I28" s="214">
        <v>111594</v>
      </c>
      <c r="J28" s="472"/>
      <c r="K28" s="472"/>
      <c r="L28" s="164">
        <v>2203114.6379876295</v>
      </c>
      <c r="M28" s="471"/>
      <c r="N28" s="471"/>
      <c r="O28" s="154">
        <f t="shared" si="22"/>
        <v>0.64725773195876302</v>
      </c>
      <c r="P28" s="473"/>
      <c r="Q28" s="470"/>
      <c r="R28" s="165">
        <v>690936.84600000002</v>
      </c>
      <c r="S28" s="474"/>
      <c r="T28" s="471"/>
      <c r="U28" s="154">
        <f t="shared" si="19"/>
        <v>0.20299180449238713</v>
      </c>
      <c r="V28" s="473"/>
      <c r="W28" s="470"/>
    </row>
    <row r="29" spans="2:23">
      <c r="B29" s="475"/>
      <c r="C29" s="478"/>
      <c r="D29" s="80">
        <f t="shared" si="6"/>
        <v>46073</v>
      </c>
      <c r="E29" s="80" t="s">
        <v>90</v>
      </c>
      <c r="F29" s="164">
        <v>3391576.2599999993</v>
      </c>
      <c r="G29" s="471"/>
      <c r="H29" s="471"/>
      <c r="I29" s="214">
        <v>108182</v>
      </c>
      <c r="J29" s="472"/>
      <c r="K29" s="472"/>
      <c r="L29" s="164">
        <v>2264803.7181983506</v>
      </c>
      <c r="M29" s="471"/>
      <c r="N29" s="471"/>
      <c r="O29" s="154">
        <f t="shared" si="22"/>
        <v>0.66777319587628881</v>
      </c>
      <c r="P29" s="473"/>
      <c r="Q29" s="470"/>
      <c r="R29" s="165">
        <v>692880.98800000001</v>
      </c>
      <c r="S29" s="474"/>
      <c r="T29" s="471"/>
      <c r="U29" s="154">
        <f t="shared" si="19"/>
        <v>0.20429468037377999</v>
      </c>
      <c r="V29" s="473"/>
      <c r="W29" s="470"/>
    </row>
    <row r="30" spans="2:23">
      <c r="B30" s="475"/>
      <c r="C30" s="478"/>
      <c r="D30" s="80">
        <f t="shared" si="6"/>
        <v>46074</v>
      </c>
      <c r="E30" s="80" t="s">
        <v>91</v>
      </c>
      <c r="F30" s="164">
        <v>3950864.4299999997</v>
      </c>
      <c r="G30" s="471"/>
      <c r="H30" s="471"/>
      <c r="I30" s="214">
        <v>126225</v>
      </c>
      <c r="J30" s="472"/>
      <c r="K30" s="472"/>
      <c r="L30" s="164">
        <v>2526679.6293878355</v>
      </c>
      <c r="M30" s="471"/>
      <c r="N30" s="471"/>
      <c r="O30" s="154">
        <f t="shared" si="22"/>
        <v>0.63952577319587645</v>
      </c>
      <c r="P30" s="473"/>
      <c r="Q30" s="470"/>
      <c r="R30" s="165">
        <v>741738.53200000001</v>
      </c>
      <c r="S30" s="474"/>
      <c r="T30" s="471"/>
      <c r="U30" s="154">
        <f t="shared" ref="U30:U36" si="25">R30/F30</f>
        <v>0.1877408210638096</v>
      </c>
      <c r="V30" s="473"/>
      <c r="W30" s="470"/>
    </row>
    <row r="31" spans="2:23">
      <c r="B31" s="475"/>
      <c r="C31" s="478"/>
      <c r="D31" s="80">
        <f t="shared" si="6"/>
        <v>46075</v>
      </c>
      <c r="E31" s="80" t="s">
        <v>84</v>
      </c>
      <c r="F31" s="164">
        <v>5157259.59</v>
      </c>
      <c r="G31" s="471"/>
      <c r="H31" s="471"/>
      <c r="I31" s="214">
        <v>167195</v>
      </c>
      <c r="J31" s="472"/>
      <c r="K31" s="472"/>
      <c r="L31" s="164">
        <v>3414637.5248263921</v>
      </c>
      <c r="M31" s="471"/>
      <c r="N31" s="471"/>
      <c r="O31" s="154">
        <f t="shared" si="22"/>
        <v>0.66210309278350521</v>
      </c>
      <c r="P31" s="473"/>
      <c r="Q31" s="470"/>
      <c r="R31" s="165">
        <v>820162.48</v>
      </c>
      <c r="S31" s="474"/>
      <c r="T31" s="471"/>
      <c r="U31" s="154">
        <f t="shared" si="25"/>
        <v>0.15903067621228661</v>
      </c>
      <c r="V31" s="473"/>
      <c r="W31" s="470"/>
    </row>
    <row r="32" spans="2:23">
      <c r="B32" s="475"/>
      <c r="C32" s="478"/>
      <c r="D32" s="80">
        <f t="shared" si="6"/>
        <v>46076</v>
      </c>
      <c r="E32" s="80" t="s">
        <v>92</v>
      </c>
      <c r="F32" s="164">
        <v>5011564.7100000009</v>
      </c>
      <c r="G32" s="471"/>
      <c r="H32" s="471"/>
      <c r="I32" s="214">
        <v>163720</v>
      </c>
      <c r="J32" s="472"/>
      <c r="K32" s="472"/>
      <c r="L32" s="164">
        <v>3337805.4280911344</v>
      </c>
      <c r="M32" s="471"/>
      <c r="N32" s="471"/>
      <c r="O32" s="154">
        <f t="shared" si="22"/>
        <v>0.66602061855670103</v>
      </c>
      <c r="P32" s="473"/>
      <c r="Q32" s="470"/>
      <c r="R32" s="165">
        <v>798936.41</v>
      </c>
      <c r="S32" s="474"/>
      <c r="T32" s="471"/>
      <c r="U32" s="154">
        <f t="shared" si="25"/>
        <v>0.1594185561259569</v>
      </c>
      <c r="V32" s="473"/>
      <c r="W32" s="470"/>
    </row>
    <row r="33" spans="2:23">
      <c r="B33" s="475">
        <f>B26+7</f>
        <v>46085</v>
      </c>
      <c r="C33" s="478"/>
      <c r="D33" s="80">
        <f t="shared" si="6"/>
        <v>46077</v>
      </c>
      <c r="E33" s="80" t="s">
        <v>87</v>
      </c>
      <c r="F33" s="164">
        <v>5238957.08</v>
      </c>
      <c r="G33" s="471">
        <f>SUM(F33:F39)</f>
        <v>32338420.109999999</v>
      </c>
      <c r="H33" s="471"/>
      <c r="I33" s="214">
        <v>175154</v>
      </c>
      <c r="J33" s="472">
        <f t="shared" ref="J33" si="26">SUM(I33:I39)</f>
        <v>1076054</v>
      </c>
      <c r="K33" s="472"/>
      <c r="L33" s="164">
        <v>3399597.0561187635</v>
      </c>
      <c r="M33" s="471">
        <f t="shared" ref="M33" si="27">SUM(L33:L39)</f>
        <v>21241350.674792171</v>
      </c>
      <c r="N33" s="471"/>
      <c r="O33" s="154">
        <f t="shared" ref="O33:O39" si="28">L33/F33</f>
        <v>0.64890721649484551</v>
      </c>
      <c r="P33" s="473">
        <f t="shared" ref="P33" si="29">M33/G33</f>
        <v>0.65684565302012743</v>
      </c>
      <c r="Q33" s="470"/>
      <c r="R33" s="165">
        <v>840082.54599999997</v>
      </c>
      <c r="S33" s="474">
        <f t="shared" ref="S33" si="30">SUM(R33:R39)</f>
        <v>5488297.7599999998</v>
      </c>
      <c r="T33" s="471"/>
      <c r="U33" s="154">
        <f t="shared" si="25"/>
        <v>0.16035301171049104</v>
      </c>
      <c r="V33" s="473">
        <f>S33/G33</f>
        <v>0.16971446784757599</v>
      </c>
      <c r="W33" s="470"/>
    </row>
    <row r="34" spans="2:23">
      <c r="B34" s="476"/>
      <c r="C34" s="478"/>
      <c r="D34" s="80">
        <f t="shared" si="6"/>
        <v>46078</v>
      </c>
      <c r="E34" s="80" t="s">
        <v>88</v>
      </c>
      <c r="F34" s="164">
        <v>4692647.5</v>
      </c>
      <c r="G34" s="471"/>
      <c r="H34" s="471"/>
      <c r="I34" s="214">
        <v>156618</v>
      </c>
      <c r="J34" s="472"/>
      <c r="K34" s="472"/>
      <c r="L34" s="164">
        <v>3098792.1955154645</v>
      </c>
      <c r="M34" s="471"/>
      <c r="N34" s="471"/>
      <c r="O34" s="154">
        <f t="shared" si="28"/>
        <v>0.66035051546391765</v>
      </c>
      <c r="P34" s="473"/>
      <c r="Q34" s="470"/>
      <c r="R34" s="165">
        <v>789675.11600000004</v>
      </c>
      <c r="S34" s="474"/>
      <c r="T34" s="471"/>
      <c r="U34" s="154">
        <f t="shared" si="25"/>
        <v>0.1682792317130149</v>
      </c>
      <c r="V34" s="473"/>
      <c r="W34" s="470"/>
    </row>
    <row r="35" spans="2:23">
      <c r="B35" s="476"/>
      <c r="C35" s="478"/>
      <c r="D35" s="80">
        <f t="shared" si="6"/>
        <v>46079</v>
      </c>
      <c r="E35" s="80" t="s">
        <v>89</v>
      </c>
      <c r="F35" s="164">
        <v>3909306.83</v>
      </c>
      <c r="G35" s="471"/>
      <c r="H35" s="471"/>
      <c r="I35" s="214">
        <v>129387</v>
      </c>
      <c r="J35" s="472"/>
      <c r="K35" s="472"/>
      <c r="L35" s="164">
        <v>2647205.2558940202</v>
      </c>
      <c r="M35" s="471"/>
      <c r="N35" s="471"/>
      <c r="O35" s="154">
        <f t="shared" si="28"/>
        <v>0.67715463917525764</v>
      </c>
      <c r="P35" s="473"/>
      <c r="Q35" s="470"/>
      <c r="R35" s="165">
        <v>725122.696</v>
      </c>
      <c r="S35" s="474"/>
      <c r="T35" s="471"/>
      <c r="U35" s="154">
        <f t="shared" si="25"/>
        <v>0.1854862581865952</v>
      </c>
      <c r="V35" s="473"/>
      <c r="W35" s="470"/>
    </row>
    <row r="36" spans="2:23">
      <c r="B36" s="476"/>
      <c r="C36" s="478"/>
      <c r="D36" s="80">
        <f t="shared" si="6"/>
        <v>46080</v>
      </c>
      <c r="E36" s="80" t="s">
        <v>90</v>
      </c>
      <c r="F36" s="164">
        <v>3610052.0600000005</v>
      </c>
      <c r="G36" s="471"/>
      <c r="H36" s="471"/>
      <c r="I36" s="214">
        <v>120519</v>
      </c>
      <c r="J36" s="472"/>
      <c r="K36" s="472"/>
      <c r="L36" s="164">
        <v>2369385.0963694849</v>
      </c>
      <c r="M36" s="471"/>
      <c r="N36" s="471"/>
      <c r="O36" s="154">
        <f t="shared" si="28"/>
        <v>0.65632989690721655</v>
      </c>
      <c r="P36" s="473"/>
      <c r="Q36" s="470"/>
      <c r="R36" s="165">
        <v>750061.98600000003</v>
      </c>
      <c r="S36" s="474"/>
      <c r="T36" s="471"/>
      <c r="U36" s="154">
        <f t="shared" si="25"/>
        <v>0.20777040705612426</v>
      </c>
      <c r="V36" s="473"/>
      <c r="W36" s="470"/>
    </row>
    <row r="37" spans="2:23">
      <c r="B37" s="476"/>
      <c r="C37" s="478"/>
      <c r="D37" s="80">
        <f t="shared" si="6"/>
        <v>46081</v>
      </c>
      <c r="E37" s="80" t="s">
        <v>91</v>
      </c>
      <c r="F37" s="164">
        <v>3915929.62</v>
      </c>
      <c r="G37" s="471"/>
      <c r="H37" s="471">
        <f>SUM(F38:F67)</f>
        <v>10971527.02</v>
      </c>
      <c r="I37" s="214">
        <v>131697</v>
      </c>
      <c r="J37" s="472"/>
      <c r="K37" s="472">
        <f>SUM(I38:I67)</f>
        <v>362679</v>
      </c>
      <c r="L37" s="164">
        <v>2568526.8674523714</v>
      </c>
      <c r="M37" s="471"/>
      <c r="N37" s="471"/>
      <c r="O37" s="154">
        <f t="shared" si="28"/>
        <v>0.65591752577319595</v>
      </c>
      <c r="P37" s="473"/>
      <c r="Q37" s="470"/>
      <c r="R37" s="165">
        <v>774937.55</v>
      </c>
      <c r="S37" s="474"/>
      <c r="T37" s="471"/>
      <c r="U37" s="154">
        <f t="shared" ref="U37:U43" si="31">R37/F37</f>
        <v>0.19789363579011413</v>
      </c>
      <c r="V37" s="473"/>
      <c r="W37" s="470"/>
    </row>
    <row r="38" spans="2:23">
      <c r="B38" s="476"/>
      <c r="C38" s="478"/>
      <c r="D38" s="80">
        <f t="shared" si="6"/>
        <v>46082</v>
      </c>
      <c r="E38" s="80" t="s">
        <v>84</v>
      </c>
      <c r="F38" s="164">
        <v>5447490.2600000007</v>
      </c>
      <c r="G38" s="471"/>
      <c r="H38" s="471"/>
      <c r="I38" s="214">
        <v>179915</v>
      </c>
      <c r="J38" s="472"/>
      <c r="K38" s="472"/>
      <c r="L38" s="164">
        <v>3643303.9497653628</v>
      </c>
      <c r="M38" s="471"/>
      <c r="N38" s="471">
        <f>SUM(L38:L65)</f>
        <v>7157844.203442065</v>
      </c>
      <c r="O38" s="154">
        <f t="shared" si="28"/>
        <v>0.66880412371134046</v>
      </c>
      <c r="P38" s="473"/>
      <c r="Q38" s="470">
        <f>N38/H37</f>
        <v>0.65240182067583019</v>
      </c>
      <c r="R38" s="165">
        <v>804587.51</v>
      </c>
      <c r="S38" s="474"/>
      <c r="T38" s="471">
        <f>SUM(R38:R65)</f>
        <v>1608417.8659999999</v>
      </c>
      <c r="U38" s="154">
        <f t="shared" si="31"/>
        <v>0.14769875146137479</v>
      </c>
      <c r="V38" s="473"/>
      <c r="W38" s="470" t="e">
        <f>T38/H38</f>
        <v>#DIV/0!</v>
      </c>
    </row>
    <row r="39" spans="2:23">
      <c r="B39" s="476"/>
      <c r="C39" s="478"/>
      <c r="D39" s="80">
        <f t="shared" si="6"/>
        <v>46083</v>
      </c>
      <c r="E39" s="80" t="s">
        <v>92</v>
      </c>
      <c r="F39" s="164">
        <v>5524036.7599999998</v>
      </c>
      <c r="G39" s="471"/>
      <c r="H39" s="471"/>
      <c r="I39" s="214">
        <v>182764</v>
      </c>
      <c r="J39" s="472"/>
      <c r="K39" s="472"/>
      <c r="L39" s="164">
        <v>3514540.2536767018</v>
      </c>
      <c r="M39" s="471"/>
      <c r="N39" s="471"/>
      <c r="O39" s="154">
        <f t="shared" si="28"/>
        <v>0.63622680412371146</v>
      </c>
      <c r="P39" s="473"/>
      <c r="Q39" s="470"/>
      <c r="R39" s="165">
        <v>803830.35600000003</v>
      </c>
      <c r="S39" s="474"/>
      <c r="T39" s="471"/>
      <c r="U39" s="154">
        <f t="shared" si="31"/>
        <v>0.14551502658718732</v>
      </c>
      <c r="V39" s="473"/>
      <c r="W39" s="470"/>
    </row>
    <row r="40" spans="2:23">
      <c r="B40" s="475">
        <f>B33+7</f>
        <v>46092</v>
      </c>
      <c r="C40" s="478"/>
      <c r="D40" s="80">
        <f t="shared" si="6"/>
        <v>46084</v>
      </c>
      <c r="E40" s="80" t="s">
        <v>87</v>
      </c>
      <c r="F40" s="164"/>
      <c r="G40" s="471">
        <f>SUM(F40:F46)</f>
        <v>0</v>
      </c>
      <c r="H40" s="471"/>
      <c r="I40" s="214"/>
      <c r="J40" s="472">
        <f t="shared" ref="J40" si="32">SUM(I40:I46)</f>
        <v>0</v>
      </c>
      <c r="K40" s="472"/>
      <c r="L40" s="164"/>
      <c r="M40" s="471">
        <f t="shared" ref="M40" si="33">SUM(L40:L46)</f>
        <v>0</v>
      </c>
      <c r="N40" s="471"/>
      <c r="O40" s="154" t="e">
        <f t="shared" ref="O40:O46" si="34">L40/F40</f>
        <v>#DIV/0!</v>
      </c>
      <c r="P40" s="473" t="e">
        <f t="shared" ref="P40" si="35">M40/G40</f>
        <v>#DIV/0!</v>
      </c>
      <c r="Q40" s="470"/>
      <c r="R40" s="165"/>
      <c r="S40" s="474">
        <f t="shared" ref="S40" si="36">SUM(R40:R46)</f>
        <v>0</v>
      </c>
      <c r="T40" s="471"/>
      <c r="U40" s="154" t="e">
        <f t="shared" si="31"/>
        <v>#DIV/0!</v>
      </c>
      <c r="V40" s="473" t="e">
        <f>S40/G40</f>
        <v>#DIV/0!</v>
      </c>
      <c r="W40" s="470"/>
    </row>
    <row r="41" spans="2:23">
      <c r="B41" s="476"/>
      <c r="C41" s="478"/>
      <c r="D41" s="80">
        <f t="shared" si="6"/>
        <v>46085</v>
      </c>
      <c r="E41" s="80" t="s">
        <v>88</v>
      </c>
      <c r="F41" s="164"/>
      <c r="G41" s="471"/>
      <c r="H41" s="471"/>
      <c r="I41" s="214"/>
      <c r="J41" s="472"/>
      <c r="K41" s="472"/>
      <c r="L41" s="164"/>
      <c r="M41" s="471"/>
      <c r="N41" s="471"/>
      <c r="O41" s="154" t="e">
        <f t="shared" si="34"/>
        <v>#DIV/0!</v>
      </c>
      <c r="P41" s="473"/>
      <c r="Q41" s="470"/>
      <c r="R41" s="165"/>
      <c r="S41" s="474"/>
      <c r="T41" s="471"/>
      <c r="U41" s="154" t="e">
        <f t="shared" si="31"/>
        <v>#DIV/0!</v>
      </c>
      <c r="V41" s="473"/>
      <c r="W41" s="470"/>
    </row>
    <row r="42" spans="2:23">
      <c r="B42" s="476"/>
      <c r="C42" s="478"/>
      <c r="D42" s="80">
        <f t="shared" si="6"/>
        <v>46086</v>
      </c>
      <c r="E42" s="80" t="s">
        <v>89</v>
      </c>
      <c r="F42" s="164"/>
      <c r="G42" s="471"/>
      <c r="H42" s="471"/>
      <c r="I42" s="214"/>
      <c r="J42" s="472"/>
      <c r="K42" s="472"/>
      <c r="L42" s="164"/>
      <c r="M42" s="471"/>
      <c r="N42" s="471"/>
      <c r="O42" s="154" t="e">
        <f t="shared" si="34"/>
        <v>#DIV/0!</v>
      </c>
      <c r="P42" s="473"/>
      <c r="Q42" s="470"/>
      <c r="R42" s="165"/>
      <c r="S42" s="474"/>
      <c r="T42" s="471"/>
      <c r="U42" s="154" t="e">
        <f t="shared" si="31"/>
        <v>#DIV/0!</v>
      </c>
      <c r="V42" s="473"/>
      <c r="W42" s="470"/>
    </row>
    <row r="43" spans="2:23">
      <c r="B43" s="476"/>
      <c r="C43" s="478"/>
      <c r="D43" s="80">
        <f t="shared" si="6"/>
        <v>46087</v>
      </c>
      <c r="E43" s="80" t="s">
        <v>90</v>
      </c>
      <c r="F43" s="164"/>
      <c r="G43" s="471"/>
      <c r="H43" s="471"/>
      <c r="I43" s="214"/>
      <c r="J43" s="472"/>
      <c r="K43" s="472"/>
      <c r="L43" s="164"/>
      <c r="M43" s="471"/>
      <c r="N43" s="471"/>
      <c r="O43" s="154" t="e">
        <f t="shared" si="34"/>
        <v>#DIV/0!</v>
      </c>
      <c r="P43" s="473"/>
      <c r="Q43" s="470"/>
      <c r="R43" s="165"/>
      <c r="S43" s="474"/>
      <c r="T43" s="471"/>
      <c r="U43" s="154" t="e">
        <f t="shared" si="31"/>
        <v>#DIV/0!</v>
      </c>
      <c r="V43" s="473"/>
      <c r="W43" s="470"/>
    </row>
    <row r="44" spans="2:23">
      <c r="B44" s="476"/>
      <c r="C44" s="478"/>
      <c r="D44" s="80">
        <f t="shared" si="6"/>
        <v>46088</v>
      </c>
      <c r="E44" s="80" t="s">
        <v>91</v>
      </c>
      <c r="F44" s="164"/>
      <c r="G44" s="471"/>
      <c r="H44" s="471"/>
      <c r="I44" s="214"/>
      <c r="J44" s="472"/>
      <c r="K44" s="472"/>
      <c r="L44" s="164"/>
      <c r="M44" s="471"/>
      <c r="N44" s="471"/>
      <c r="O44" s="154" t="e">
        <f t="shared" si="34"/>
        <v>#DIV/0!</v>
      </c>
      <c r="P44" s="473"/>
      <c r="Q44" s="470"/>
      <c r="R44" s="165"/>
      <c r="S44" s="474"/>
      <c r="T44" s="471"/>
      <c r="U44" s="154" t="e">
        <f t="shared" ref="U44:U50" si="37">R44/F44</f>
        <v>#DIV/0!</v>
      </c>
      <c r="V44" s="473"/>
      <c r="W44" s="470"/>
    </row>
    <row r="45" spans="2:23">
      <c r="B45" s="476"/>
      <c r="C45" s="478"/>
      <c r="D45" s="80">
        <f t="shared" si="6"/>
        <v>46089</v>
      </c>
      <c r="E45" s="80" t="s">
        <v>84</v>
      </c>
      <c r="F45" s="164"/>
      <c r="G45" s="471"/>
      <c r="H45" s="471"/>
      <c r="I45" s="214"/>
      <c r="J45" s="472"/>
      <c r="K45" s="472"/>
      <c r="L45" s="164"/>
      <c r="M45" s="471"/>
      <c r="N45" s="471"/>
      <c r="O45" s="154" t="e">
        <f t="shared" si="34"/>
        <v>#DIV/0!</v>
      </c>
      <c r="P45" s="473"/>
      <c r="Q45" s="470"/>
      <c r="R45" s="165"/>
      <c r="S45" s="474"/>
      <c r="T45" s="471"/>
      <c r="U45" s="154" t="e">
        <f t="shared" si="37"/>
        <v>#DIV/0!</v>
      </c>
      <c r="V45" s="473"/>
      <c r="W45" s="470"/>
    </row>
    <row r="46" spans="2:23">
      <c r="B46" s="476"/>
      <c r="C46" s="478"/>
      <c r="D46" s="80">
        <f t="shared" si="6"/>
        <v>46090</v>
      </c>
      <c r="E46" s="80" t="s">
        <v>92</v>
      </c>
      <c r="F46" s="164"/>
      <c r="G46" s="471"/>
      <c r="H46" s="471"/>
      <c r="I46" s="214"/>
      <c r="J46" s="472"/>
      <c r="K46" s="472"/>
      <c r="L46" s="164"/>
      <c r="M46" s="471"/>
      <c r="N46" s="471"/>
      <c r="O46" s="154" t="e">
        <f t="shared" si="34"/>
        <v>#DIV/0!</v>
      </c>
      <c r="P46" s="473"/>
      <c r="Q46" s="470"/>
      <c r="R46" s="165"/>
      <c r="S46" s="474"/>
      <c r="T46" s="471"/>
      <c r="U46" s="154" t="e">
        <f t="shared" si="37"/>
        <v>#DIV/0!</v>
      </c>
      <c r="V46" s="473"/>
      <c r="W46" s="470"/>
    </row>
    <row r="47" spans="2:23">
      <c r="B47" s="475">
        <f>B40+7</f>
        <v>46099</v>
      </c>
      <c r="C47" s="478"/>
      <c r="D47" s="80">
        <f t="shared" si="6"/>
        <v>46091</v>
      </c>
      <c r="E47" s="80" t="s">
        <v>87</v>
      </c>
      <c r="F47" s="164"/>
      <c r="G47" s="471">
        <f>SUM(F47:F53)</f>
        <v>0</v>
      </c>
      <c r="H47" s="471"/>
      <c r="I47" s="214"/>
      <c r="J47" s="472">
        <f t="shared" ref="J47" si="38">SUM(I47:I53)</f>
        <v>0</v>
      </c>
      <c r="K47" s="472"/>
      <c r="L47" s="164"/>
      <c r="M47" s="471">
        <f t="shared" ref="M47" si="39">SUM(L47:L53)</f>
        <v>0</v>
      </c>
      <c r="N47" s="471"/>
      <c r="O47" s="154" t="e">
        <f t="shared" ref="O47:O67" si="40">L47/F47</f>
        <v>#DIV/0!</v>
      </c>
      <c r="P47" s="473" t="e">
        <f t="shared" ref="P47" si="41">M47/G47</f>
        <v>#DIV/0!</v>
      </c>
      <c r="Q47" s="470"/>
      <c r="R47" s="165"/>
      <c r="S47" s="474">
        <f t="shared" ref="S47" si="42">SUM(R47:R53)</f>
        <v>0</v>
      </c>
      <c r="T47" s="471"/>
      <c r="U47" s="154" t="e">
        <f t="shared" si="37"/>
        <v>#DIV/0!</v>
      </c>
      <c r="V47" s="473" t="e">
        <f>S47/G47</f>
        <v>#DIV/0!</v>
      </c>
      <c r="W47" s="470"/>
    </row>
    <row r="48" spans="2:23">
      <c r="B48" s="476"/>
      <c r="C48" s="478"/>
      <c r="D48" s="80">
        <f t="shared" si="6"/>
        <v>46092</v>
      </c>
      <c r="E48" s="80" t="s">
        <v>88</v>
      </c>
      <c r="F48" s="164"/>
      <c r="G48" s="471"/>
      <c r="H48" s="471"/>
      <c r="I48" s="214"/>
      <c r="J48" s="472"/>
      <c r="K48" s="472"/>
      <c r="L48" s="164"/>
      <c r="M48" s="471"/>
      <c r="N48" s="471"/>
      <c r="O48" s="154" t="e">
        <f t="shared" si="40"/>
        <v>#DIV/0!</v>
      </c>
      <c r="P48" s="473"/>
      <c r="Q48" s="470"/>
      <c r="R48" s="165"/>
      <c r="S48" s="474"/>
      <c r="T48" s="471"/>
      <c r="U48" s="154" t="e">
        <f t="shared" si="37"/>
        <v>#DIV/0!</v>
      </c>
      <c r="V48" s="473"/>
      <c r="W48" s="470"/>
    </row>
    <row r="49" spans="2:23">
      <c r="B49" s="476"/>
      <c r="C49" s="478"/>
      <c r="D49" s="80">
        <f t="shared" si="6"/>
        <v>46093</v>
      </c>
      <c r="E49" s="80" t="s">
        <v>89</v>
      </c>
      <c r="F49" s="164"/>
      <c r="G49" s="471"/>
      <c r="H49" s="471"/>
      <c r="I49" s="214"/>
      <c r="J49" s="472"/>
      <c r="K49" s="472"/>
      <c r="L49" s="164"/>
      <c r="M49" s="471"/>
      <c r="N49" s="471"/>
      <c r="O49" s="154" t="e">
        <f t="shared" si="40"/>
        <v>#DIV/0!</v>
      </c>
      <c r="P49" s="473"/>
      <c r="Q49" s="470"/>
      <c r="R49" s="165"/>
      <c r="S49" s="474"/>
      <c r="T49" s="471"/>
      <c r="U49" s="154" t="e">
        <f t="shared" si="37"/>
        <v>#DIV/0!</v>
      </c>
      <c r="V49" s="473"/>
      <c r="W49" s="470"/>
    </row>
    <row r="50" spans="2:23">
      <c r="B50" s="476"/>
      <c r="C50" s="478"/>
      <c r="D50" s="80">
        <f t="shared" si="6"/>
        <v>46094</v>
      </c>
      <c r="E50" s="80" t="s">
        <v>90</v>
      </c>
      <c r="F50" s="164"/>
      <c r="G50" s="471"/>
      <c r="H50" s="471"/>
      <c r="I50" s="214"/>
      <c r="J50" s="472"/>
      <c r="K50" s="472"/>
      <c r="L50" s="164"/>
      <c r="M50" s="471"/>
      <c r="N50" s="471"/>
      <c r="O50" s="154" t="e">
        <f t="shared" si="40"/>
        <v>#DIV/0!</v>
      </c>
      <c r="P50" s="473"/>
      <c r="Q50" s="470"/>
      <c r="R50" s="165"/>
      <c r="S50" s="474"/>
      <c r="T50" s="471"/>
      <c r="U50" s="154" t="e">
        <f t="shared" si="37"/>
        <v>#DIV/0!</v>
      </c>
      <c r="V50" s="473"/>
      <c r="W50" s="470"/>
    </row>
    <row r="51" spans="2:23">
      <c r="B51" s="476"/>
      <c r="C51" s="478"/>
      <c r="D51" s="80">
        <f t="shared" si="6"/>
        <v>46095</v>
      </c>
      <c r="E51" s="80" t="s">
        <v>91</v>
      </c>
      <c r="F51" s="164"/>
      <c r="G51" s="471"/>
      <c r="H51" s="471"/>
      <c r="I51" s="214"/>
      <c r="J51" s="472"/>
      <c r="K51" s="472"/>
      <c r="L51" s="164"/>
      <c r="M51" s="471"/>
      <c r="N51" s="471"/>
      <c r="O51" s="154" t="e">
        <f t="shared" si="40"/>
        <v>#DIV/0!</v>
      </c>
      <c r="P51" s="473"/>
      <c r="Q51" s="470"/>
      <c r="R51" s="165"/>
      <c r="S51" s="474"/>
      <c r="T51" s="471"/>
      <c r="U51" s="154" t="e">
        <f t="shared" ref="U51:U67" si="43">R51/F51</f>
        <v>#DIV/0!</v>
      </c>
      <c r="V51" s="473"/>
      <c r="W51" s="470"/>
    </row>
    <row r="52" spans="2:23">
      <c r="B52" s="476"/>
      <c r="C52" s="478"/>
      <c r="D52" s="80">
        <f t="shared" si="6"/>
        <v>46096</v>
      </c>
      <c r="E52" s="80" t="s">
        <v>84</v>
      </c>
      <c r="F52" s="164"/>
      <c r="G52" s="471"/>
      <c r="H52" s="471"/>
      <c r="I52" s="214"/>
      <c r="J52" s="472"/>
      <c r="K52" s="472"/>
      <c r="L52" s="164"/>
      <c r="M52" s="471"/>
      <c r="N52" s="471"/>
      <c r="O52" s="154" t="e">
        <f t="shared" si="40"/>
        <v>#DIV/0!</v>
      </c>
      <c r="P52" s="473"/>
      <c r="Q52" s="470"/>
      <c r="R52" s="165"/>
      <c r="S52" s="474"/>
      <c r="T52" s="471"/>
      <c r="U52" s="154" t="e">
        <f t="shared" si="43"/>
        <v>#DIV/0!</v>
      </c>
      <c r="V52" s="473"/>
      <c r="W52" s="470"/>
    </row>
    <row r="53" spans="2:23">
      <c r="B53" s="476"/>
      <c r="C53" s="478"/>
      <c r="D53" s="80">
        <f t="shared" si="6"/>
        <v>46097</v>
      </c>
      <c r="E53" s="80" t="s">
        <v>92</v>
      </c>
      <c r="F53" s="164"/>
      <c r="G53" s="471"/>
      <c r="H53" s="471"/>
      <c r="I53" s="214"/>
      <c r="J53" s="472"/>
      <c r="K53" s="472"/>
      <c r="L53" s="164"/>
      <c r="M53" s="471"/>
      <c r="N53" s="471"/>
      <c r="O53" s="154" t="e">
        <f t="shared" si="40"/>
        <v>#DIV/0!</v>
      </c>
      <c r="P53" s="473"/>
      <c r="Q53" s="470"/>
      <c r="R53" s="165"/>
      <c r="S53" s="474"/>
      <c r="T53" s="471"/>
      <c r="U53" s="154" t="e">
        <f t="shared" si="43"/>
        <v>#DIV/0!</v>
      </c>
      <c r="V53" s="473"/>
      <c r="W53" s="470"/>
    </row>
    <row r="54" spans="2:23">
      <c r="B54" s="475">
        <f>B47+7</f>
        <v>46106</v>
      </c>
      <c r="C54" s="478"/>
      <c r="D54" s="80">
        <f t="shared" si="6"/>
        <v>46098</v>
      </c>
      <c r="E54" s="80" t="s">
        <v>87</v>
      </c>
      <c r="F54" s="164"/>
      <c r="G54" s="471">
        <f>SUM(F54:F60)</f>
        <v>0</v>
      </c>
      <c r="H54" s="471"/>
      <c r="I54" s="214"/>
      <c r="J54" s="472">
        <f t="shared" ref="J54" si="44">SUM(I54:I60)</f>
        <v>0</v>
      </c>
      <c r="K54" s="472"/>
      <c r="L54" s="164"/>
      <c r="M54" s="471">
        <f t="shared" ref="M54" si="45">SUM(L54:L60)</f>
        <v>0</v>
      </c>
      <c r="N54" s="471"/>
      <c r="O54" s="154" t="e">
        <f t="shared" si="40"/>
        <v>#DIV/0!</v>
      </c>
      <c r="P54" s="473" t="e">
        <f t="shared" ref="P54" si="46">M54/G54</f>
        <v>#DIV/0!</v>
      </c>
      <c r="Q54" s="470"/>
      <c r="R54" s="165"/>
      <c r="S54" s="474">
        <f t="shared" ref="S54" si="47">SUM(R54:R60)</f>
        <v>0</v>
      </c>
      <c r="T54" s="471"/>
      <c r="U54" s="154" t="e">
        <f t="shared" si="43"/>
        <v>#DIV/0!</v>
      </c>
      <c r="V54" s="473" t="e">
        <f>S54/G54</f>
        <v>#DIV/0!</v>
      </c>
      <c r="W54" s="470"/>
    </row>
    <row r="55" spans="2:23">
      <c r="B55" s="476"/>
      <c r="C55" s="478"/>
      <c r="D55" s="80">
        <f t="shared" si="6"/>
        <v>46099</v>
      </c>
      <c r="E55" s="80" t="s">
        <v>88</v>
      </c>
      <c r="F55" s="164"/>
      <c r="G55" s="471"/>
      <c r="H55" s="471"/>
      <c r="I55" s="214"/>
      <c r="J55" s="472"/>
      <c r="K55" s="472"/>
      <c r="L55" s="164"/>
      <c r="M55" s="471"/>
      <c r="N55" s="471"/>
      <c r="O55" s="154" t="e">
        <f t="shared" si="40"/>
        <v>#DIV/0!</v>
      </c>
      <c r="P55" s="473"/>
      <c r="Q55" s="470"/>
      <c r="R55" s="165"/>
      <c r="S55" s="474"/>
      <c r="T55" s="471"/>
      <c r="U55" s="154" t="e">
        <f t="shared" si="43"/>
        <v>#DIV/0!</v>
      </c>
      <c r="V55" s="473"/>
      <c r="W55" s="470"/>
    </row>
    <row r="56" spans="2:23">
      <c r="B56" s="476"/>
      <c r="C56" s="478"/>
      <c r="D56" s="80">
        <f t="shared" si="6"/>
        <v>46100</v>
      </c>
      <c r="E56" s="80" t="s">
        <v>89</v>
      </c>
      <c r="F56" s="164"/>
      <c r="G56" s="471"/>
      <c r="H56" s="471"/>
      <c r="I56" s="214"/>
      <c r="J56" s="472"/>
      <c r="K56" s="472"/>
      <c r="L56" s="164"/>
      <c r="M56" s="471"/>
      <c r="N56" s="471"/>
      <c r="O56" s="154" t="e">
        <f t="shared" si="40"/>
        <v>#DIV/0!</v>
      </c>
      <c r="P56" s="473"/>
      <c r="Q56" s="470"/>
      <c r="R56" s="165"/>
      <c r="S56" s="474"/>
      <c r="T56" s="471"/>
      <c r="U56" s="154" t="e">
        <f t="shared" si="43"/>
        <v>#DIV/0!</v>
      </c>
      <c r="V56" s="473"/>
      <c r="W56" s="470"/>
    </row>
    <row r="57" spans="2:23">
      <c r="B57" s="476"/>
      <c r="C57" s="478"/>
      <c r="D57" s="80">
        <f t="shared" si="6"/>
        <v>46101</v>
      </c>
      <c r="E57" s="80" t="s">
        <v>90</v>
      </c>
      <c r="F57" s="164"/>
      <c r="G57" s="471"/>
      <c r="H57" s="471"/>
      <c r="I57" s="214"/>
      <c r="J57" s="472"/>
      <c r="K57" s="472"/>
      <c r="L57" s="164"/>
      <c r="M57" s="471"/>
      <c r="N57" s="471"/>
      <c r="O57" s="154" t="e">
        <f t="shared" si="40"/>
        <v>#DIV/0!</v>
      </c>
      <c r="P57" s="473"/>
      <c r="Q57" s="470"/>
      <c r="R57" s="165"/>
      <c r="S57" s="474"/>
      <c r="T57" s="471"/>
      <c r="U57" s="154" t="e">
        <f t="shared" si="43"/>
        <v>#DIV/0!</v>
      </c>
      <c r="V57" s="473"/>
      <c r="W57" s="470"/>
    </row>
    <row r="58" spans="2:23">
      <c r="B58" s="476"/>
      <c r="C58" s="478"/>
      <c r="D58" s="80">
        <f t="shared" si="6"/>
        <v>46102</v>
      </c>
      <c r="E58" s="80" t="s">
        <v>91</v>
      </c>
      <c r="F58" s="164"/>
      <c r="G58" s="471"/>
      <c r="H58" s="471"/>
      <c r="I58" s="214"/>
      <c r="J58" s="472"/>
      <c r="K58" s="472"/>
      <c r="L58" s="164"/>
      <c r="M58" s="471"/>
      <c r="N58" s="471"/>
      <c r="O58" s="154" t="e">
        <f t="shared" si="40"/>
        <v>#DIV/0!</v>
      </c>
      <c r="P58" s="473"/>
      <c r="Q58" s="470"/>
      <c r="R58" s="165"/>
      <c r="S58" s="474"/>
      <c r="T58" s="471"/>
      <c r="U58" s="154" t="e">
        <f t="shared" si="43"/>
        <v>#DIV/0!</v>
      </c>
      <c r="V58" s="473"/>
      <c r="W58" s="470"/>
    </row>
    <row r="59" spans="2:23">
      <c r="B59" s="476"/>
      <c r="C59" s="478"/>
      <c r="D59" s="80">
        <f t="shared" si="6"/>
        <v>46103</v>
      </c>
      <c r="E59" s="80" t="s">
        <v>84</v>
      </c>
      <c r="F59" s="164"/>
      <c r="G59" s="471"/>
      <c r="H59" s="471"/>
      <c r="I59" s="214"/>
      <c r="J59" s="472"/>
      <c r="K59" s="472"/>
      <c r="L59" s="164"/>
      <c r="M59" s="471"/>
      <c r="N59" s="471"/>
      <c r="O59" s="154" t="e">
        <f t="shared" si="40"/>
        <v>#DIV/0!</v>
      </c>
      <c r="P59" s="473"/>
      <c r="Q59" s="470"/>
      <c r="R59" s="165"/>
      <c r="S59" s="474"/>
      <c r="T59" s="471"/>
      <c r="U59" s="154" t="e">
        <f t="shared" si="43"/>
        <v>#DIV/0!</v>
      </c>
      <c r="V59" s="473"/>
      <c r="W59" s="470"/>
    </row>
    <row r="60" spans="2:23">
      <c r="B60" s="476"/>
      <c r="C60" s="478"/>
      <c r="D60" s="80">
        <f t="shared" si="6"/>
        <v>46104</v>
      </c>
      <c r="E60" s="80" t="s">
        <v>92</v>
      </c>
      <c r="F60" s="164"/>
      <c r="G60" s="471"/>
      <c r="H60" s="471"/>
      <c r="I60" s="214"/>
      <c r="J60" s="472"/>
      <c r="K60" s="472"/>
      <c r="L60" s="164"/>
      <c r="M60" s="471"/>
      <c r="N60" s="471"/>
      <c r="O60" s="154" t="e">
        <f t="shared" si="40"/>
        <v>#DIV/0!</v>
      </c>
      <c r="P60" s="473"/>
      <c r="Q60" s="470"/>
      <c r="R60" s="165"/>
      <c r="S60" s="474"/>
      <c r="T60" s="471"/>
      <c r="U60" s="154" t="e">
        <f t="shared" si="43"/>
        <v>#DIV/0!</v>
      </c>
      <c r="V60" s="473"/>
      <c r="W60" s="470"/>
    </row>
    <row r="61" spans="2:23">
      <c r="B61" s="475">
        <f>B54+7</f>
        <v>46113</v>
      </c>
      <c r="C61" s="478"/>
      <c r="D61" s="80">
        <f t="shared" si="6"/>
        <v>46105</v>
      </c>
      <c r="E61" s="80" t="s">
        <v>87</v>
      </c>
      <c r="F61" s="164"/>
      <c r="G61" s="471">
        <f>SUM(F61:F67)</f>
        <v>0</v>
      </c>
      <c r="H61" s="471"/>
      <c r="I61" s="214"/>
      <c r="J61" s="472">
        <f t="shared" ref="J61" si="48">SUM(I61:I67)</f>
        <v>0</v>
      </c>
      <c r="K61" s="472"/>
      <c r="L61" s="164"/>
      <c r="M61" s="471">
        <f t="shared" ref="M61" si="49">SUM(L61:L67)</f>
        <v>0</v>
      </c>
      <c r="N61" s="471"/>
      <c r="O61" s="154" t="e">
        <f t="shared" si="40"/>
        <v>#DIV/0!</v>
      </c>
      <c r="P61" s="473" t="e">
        <f t="shared" ref="P61" si="50">M61/G61</f>
        <v>#DIV/0!</v>
      </c>
      <c r="Q61" s="470"/>
      <c r="R61" s="165"/>
      <c r="S61" s="474">
        <f t="shared" ref="S61" si="51">SUM(R61:R67)</f>
        <v>0</v>
      </c>
      <c r="T61" s="471"/>
      <c r="U61" s="154" t="e">
        <f t="shared" si="43"/>
        <v>#DIV/0!</v>
      </c>
      <c r="V61" s="473" t="e">
        <f>S61/G61</f>
        <v>#DIV/0!</v>
      </c>
      <c r="W61" s="470"/>
    </row>
    <row r="62" spans="2:23">
      <c r="B62" s="476"/>
      <c r="C62" s="478"/>
      <c r="D62" s="80">
        <f t="shared" si="6"/>
        <v>46106</v>
      </c>
      <c r="E62" s="80" t="s">
        <v>88</v>
      </c>
      <c r="F62" s="164"/>
      <c r="G62" s="471"/>
      <c r="H62" s="471"/>
      <c r="I62" s="214"/>
      <c r="J62" s="472"/>
      <c r="K62" s="472"/>
      <c r="L62" s="164"/>
      <c r="M62" s="471"/>
      <c r="N62" s="471"/>
      <c r="O62" s="154" t="e">
        <f t="shared" si="40"/>
        <v>#DIV/0!</v>
      </c>
      <c r="P62" s="473"/>
      <c r="Q62" s="470"/>
      <c r="R62" s="165"/>
      <c r="S62" s="474"/>
      <c r="T62" s="471"/>
      <c r="U62" s="154" t="e">
        <f t="shared" si="43"/>
        <v>#DIV/0!</v>
      </c>
      <c r="V62" s="473"/>
      <c r="W62" s="470"/>
    </row>
    <row r="63" spans="2:23">
      <c r="B63" s="476"/>
      <c r="C63" s="478"/>
      <c r="D63" s="80">
        <f t="shared" si="6"/>
        <v>46107</v>
      </c>
      <c r="E63" s="80" t="s">
        <v>89</v>
      </c>
      <c r="F63" s="164"/>
      <c r="G63" s="471"/>
      <c r="H63" s="471"/>
      <c r="I63" s="214"/>
      <c r="J63" s="472"/>
      <c r="K63" s="472"/>
      <c r="L63" s="164"/>
      <c r="M63" s="471"/>
      <c r="N63" s="471"/>
      <c r="O63" s="154" t="e">
        <f t="shared" si="40"/>
        <v>#DIV/0!</v>
      </c>
      <c r="P63" s="473"/>
      <c r="Q63" s="470"/>
      <c r="R63" s="165"/>
      <c r="S63" s="474"/>
      <c r="T63" s="471"/>
      <c r="U63" s="154" t="e">
        <f t="shared" si="43"/>
        <v>#DIV/0!</v>
      </c>
      <c r="V63" s="473"/>
      <c r="W63" s="470"/>
    </row>
    <row r="64" spans="2:23">
      <c r="B64" s="476"/>
      <c r="C64" s="478"/>
      <c r="D64" s="80">
        <f t="shared" si="6"/>
        <v>46108</v>
      </c>
      <c r="E64" s="80" t="s">
        <v>90</v>
      </c>
      <c r="F64" s="164"/>
      <c r="G64" s="471"/>
      <c r="H64" s="471"/>
      <c r="I64" s="214"/>
      <c r="J64" s="472"/>
      <c r="K64" s="472"/>
      <c r="L64" s="164"/>
      <c r="M64" s="471"/>
      <c r="N64" s="471"/>
      <c r="O64" s="154" t="e">
        <f t="shared" si="40"/>
        <v>#DIV/0!</v>
      </c>
      <c r="P64" s="473"/>
      <c r="Q64" s="470"/>
      <c r="R64" s="165"/>
      <c r="S64" s="474"/>
      <c r="T64" s="471"/>
      <c r="U64" s="154" t="e">
        <f t="shared" si="43"/>
        <v>#DIV/0!</v>
      </c>
      <c r="V64" s="473"/>
      <c r="W64" s="470"/>
    </row>
    <row r="65" spans="2:23">
      <c r="B65" s="476"/>
      <c r="C65" s="478"/>
      <c r="D65" s="80">
        <f t="shared" si="6"/>
        <v>46109</v>
      </c>
      <c r="E65" s="80" t="s">
        <v>91</v>
      </c>
      <c r="F65" s="164"/>
      <c r="G65" s="471"/>
      <c r="H65" s="471"/>
      <c r="I65" s="214"/>
      <c r="J65" s="472"/>
      <c r="K65" s="472"/>
      <c r="L65" s="164"/>
      <c r="M65" s="471"/>
      <c r="N65" s="471"/>
      <c r="O65" s="154" t="e">
        <f t="shared" si="40"/>
        <v>#DIV/0!</v>
      </c>
      <c r="P65" s="473"/>
      <c r="Q65" s="470"/>
      <c r="R65" s="165"/>
      <c r="S65" s="474"/>
      <c r="T65" s="471"/>
      <c r="U65" s="154" t="e">
        <f t="shared" si="43"/>
        <v>#DIV/0!</v>
      </c>
      <c r="V65" s="473"/>
      <c r="W65" s="470"/>
    </row>
    <row r="66" spans="2:23">
      <c r="B66" s="476"/>
      <c r="D66" s="80">
        <f t="shared" si="6"/>
        <v>46110</v>
      </c>
      <c r="E66" s="80" t="s">
        <v>84</v>
      </c>
      <c r="F66" s="164"/>
      <c r="G66" s="471"/>
      <c r="H66" s="471"/>
      <c r="I66" s="214"/>
      <c r="J66" s="472"/>
      <c r="K66" s="472"/>
      <c r="L66" s="164"/>
      <c r="M66" s="471"/>
      <c r="N66" s="471"/>
      <c r="O66" s="154" t="e">
        <f t="shared" si="40"/>
        <v>#DIV/0!</v>
      </c>
      <c r="P66" s="473"/>
      <c r="Q66" s="470"/>
      <c r="R66" s="165"/>
      <c r="S66" s="474"/>
      <c r="T66" s="471"/>
      <c r="U66" s="154" t="e">
        <f t="shared" si="43"/>
        <v>#DIV/0!</v>
      </c>
      <c r="V66" s="473"/>
      <c r="W66" s="470"/>
    </row>
    <row r="67" spans="2:23">
      <c r="B67" s="476"/>
      <c r="D67" s="80">
        <f t="shared" si="6"/>
        <v>46111</v>
      </c>
      <c r="E67" s="80" t="s">
        <v>92</v>
      </c>
      <c r="F67" s="164"/>
      <c r="G67" s="471"/>
      <c r="H67" s="471"/>
      <c r="I67" s="214"/>
      <c r="J67" s="472"/>
      <c r="K67" s="472"/>
      <c r="L67" s="164"/>
      <c r="M67" s="471"/>
      <c r="N67" s="471"/>
      <c r="O67" s="154" t="e">
        <f t="shared" si="40"/>
        <v>#DIV/0!</v>
      </c>
      <c r="P67" s="473"/>
      <c r="Q67" s="470"/>
      <c r="R67" s="165"/>
      <c r="S67" s="474"/>
      <c r="T67" s="471"/>
      <c r="U67" s="154" t="e">
        <f t="shared" si="43"/>
        <v>#DIV/0!</v>
      </c>
      <c r="V67" s="473"/>
      <c r="W67" s="470"/>
    </row>
    <row r="68" spans="2:23">
      <c r="H68" s="164"/>
      <c r="K68" s="164"/>
      <c r="N68" s="164"/>
      <c r="Q68" s="446"/>
      <c r="T68" s="164"/>
      <c r="W68" s="446"/>
    </row>
  </sheetData>
  <mergeCells count="92">
    <mergeCell ref="W10:W37"/>
    <mergeCell ref="W5:W9"/>
    <mergeCell ref="C38:C65"/>
    <mergeCell ref="P40:P46"/>
    <mergeCell ref="S40:S46"/>
    <mergeCell ref="S47:S53"/>
    <mergeCell ref="S61:S67"/>
    <mergeCell ref="V40:V46"/>
    <mergeCell ref="M33:M39"/>
    <mergeCell ref="P33:P39"/>
    <mergeCell ref="S33:S39"/>
    <mergeCell ref="T5:T9"/>
    <mergeCell ref="T10:T37"/>
    <mergeCell ref="P12:P18"/>
    <mergeCell ref="S5:S11"/>
    <mergeCell ref="V5:V11"/>
    <mergeCell ref="V19:V25"/>
    <mergeCell ref="P19:P25"/>
    <mergeCell ref="V12:V18"/>
    <mergeCell ref="S26:S32"/>
    <mergeCell ref="V33:V39"/>
    <mergeCell ref="V26:V32"/>
    <mergeCell ref="T38:T67"/>
    <mergeCell ref="P47:P53"/>
    <mergeCell ref="P5:P11"/>
    <mergeCell ref="P26:P32"/>
    <mergeCell ref="S12:S18"/>
    <mergeCell ref="S19:S25"/>
    <mergeCell ref="N5:N9"/>
    <mergeCell ref="Q5:Q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M40:M46"/>
    <mergeCell ref="H10:H36"/>
    <mergeCell ref="K10:K36"/>
    <mergeCell ref="C10:C37"/>
    <mergeCell ref="M5:M11"/>
    <mergeCell ref="G33:G39"/>
    <mergeCell ref="J33:J39"/>
    <mergeCell ref="G26:G32"/>
    <mergeCell ref="J26:J32"/>
    <mergeCell ref="M26:M32"/>
    <mergeCell ref="G12:G18"/>
    <mergeCell ref="J12:J18"/>
    <mergeCell ref="M12:M18"/>
    <mergeCell ref="G19:G25"/>
    <mergeCell ref="J19:J25"/>
    <mergeCell ref="M19:M25"/>
    <mergeCell ref="B61:B67"/>
    <mergeCell ref="G61:G67"/>
    <mergeCell ref="J61:J67"/>
    <mergeCell ref="B54:B60"/>
    <mergeCell ref="G54:G60"/>
    <mergeCell ref="J54:J60"/>
    <mergeCell ref="B47:B53"/>
    <mergeCell ref="G47:G53"/>
    <mergeCell ref="J47:J53"/>
    <mergeCell ref="B5:B11"/>
    <mergeCell ref="G5:G11"/>
    <mergeCell ref="J5:J11"/>
    <mergeCell ref="C5:C9"/>
    <mergeCell ref="B40:B46"/>
    <mergeCell ref="G40:G46"/>
    <mergeCell ref="J40:J46"/>
    <mergeCell ref="B33:B39"/>
    <mergeCell ref="B26:B32"/>
    <mergeCell ref="B12:B18"/>
    <mergeCell ref="B19:B25"/>
    <mergeCell ref="W38:W67"/>
    <mergeCell ref="H37:H67"/>
    <mergeCell ref="K37:K67"/>
    <mergeCell ref="V61:V67"/>
    <mergeCell ref="N38:N67"/>
    <mergeCell ref="M61:M67"/>
    <mergeCell ref="P61:P67"/>
    <mergeCell ref="V47:V53"/>
    <mergeCell ref="M54:M60"/>
    <mergeCell ref="P54:P60"/>
    <mergeCell ref="S54:S60"/>
    <mergeCell ref="V54:V60"/>
    <mergeCell ref="N10:N37"/>
    <mergeCell ref="Q10:Q37"/>
    <mergeCell ref="Q38:Q67"/>
    <mergeCell ref="M47:M53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46"/>
  <sheetViews>
    <sheetView zoomScale="85" zoomScaleNormal="85" workbookViewId="0">
      <selection activeCell="C1" sqref="C1"/>
    </sheetView>
  </sheetViews>
  <sheetFormatPr defaultColWidth="8.85546875" defaultRowHeight="13.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93</v>
      </c>
      <c r="C1" s="166">
        <v>497.6</v>
      </c>
    </row>
    <row r="2" spans="2:23" ht="38.1" customHeight="1">
      <c r="B2" s="480" t="s">
        <v>94</v>
      </c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</row>
    <row r="3" spans="2:23" s="71" customFormat="1" ht="23.45" customHeight="1">
      <c r="B3" s="484" t="s">
        <v>75</v>
      </c>
      <c r="C3" s="485" t="s">
        <v>76</v>
      </c>
      <c r="D3" s="486" t="s">
        <v>77</v>
      </c>
      <c r="E3" s="486"/>
      <c r="F3" s="493" t="s">
        <v>95</v>
      </c>
      <c r="G3" s="493"/>
      <c r="H3" s="493"/>
      <c r="I3" s="494" t="s">
        <v>96</v>
      </c>
      <c r="J3" s="494"/>
      <c r="K3" s="494"/>
      <c r="L3" s="491" t="s">
        <v>97</v>
      </c>
      <c r="M3" s="491"/>
      <c r="N3" s="491"/>
      <c r="O3" s="491" t="s">
        <v>98</v>
      </c>
      <c r="P3" s="491"/>
      <c r="Q3" s="491"/>
      <c r="R3" s="491" t="s">
        <v>99</v>
      </c>
      <c r="S3" s="491"/>
      <c r="T3" s="491"/>
      <c r="U3" s="491" t="s">
        <v>100</v>
      </c>
      <c r="V3" s="491"/>
      <c r="W3" s="491"/>
    </row>
    <row r="4" spans="2:23" ht="15">
      <c r="B4" s="484"/>
      <c r="C4" s="485"/>
      <c r="D4" s="486"/>
      <c r="E4" s="486"/>
      <c r="F4" s="79" t="s">
        <v>84</v>
      </c>
      <c r="G4" s="90" t="s">
        <v>101</v>
      </c>
      <c r="H4" s="90" t="s">
        <v>102</v>
      </c>
      <c r="I4" s="79" t="s">
        <v>84</v>
      </c>
      <c r="J4" s="89" t="s">
        <v>101</v>
      </c>
      <c r="K4" s="89" t="s">
        <v>102</v>
      </c>
      <c r="L4" s="169" t="s">
        <v>84</v>
      </c>
      <c r="M4" s="89" t="s">
        <v>101</v>
      </c>
      <c r="N4" s="89" t="s">
        <v>102</v>
      </c>
      <c r="O4" s="167" t="s">
        <v>84</v>
      </c>
      <c r="P4" s="89" t="s">
        <v>101</v>
      </c>
      <c r="Q4" s="89" t="s">
        <v>102</v>
      </c>
      <c r="R4" s="79" t="s">
        <v>84</v>
      </c>
      <c r="S4" s="89" t="s">
        <v>101</v>
      </c>
      <c r="T4" s="89" t="s">
        <v>102</v>
      </c>
      <c r="U4" s="79" t="s">
        <v>84</v>
      </c>
      <c r="V4" s="89" t="s">
        <v>101</v>
      </c>
      <c r="W4" s="89" t="s">
        <v>102</v>
      </c>
    </row>
    <row r="5" spans="2:23">
      <c r="B5" s="475">
        <v>46057</v>
      </c>
      <c r="C5" s="477"/>
      <c r="D5" s="80">
        <v>46049</v>
      </c>
      <c r="E5" s="80" t="s">
        <v>87</v>
      </c>
      <c r="F5" s="87">
        <v>464.4470509433886</v>
      </c>
      <c r="G5" s="488">
        <f>AVERAGE(F5:F11)</f>
        <v>471.15538123467678</v>
      </c>
      <c r="H5" s="477"/>
      <c r="I5" s="154">
        <f>F5/$C$1</f>
        <v>0.93337429851967157</v>
      </c>
      <c r="J5" s="473">
        <f t="shared" ref="J5" si="0">AVERAGE(I5:I11)</f>
        <v>0.94685566968383605</v>
      </c>
      <c r="K5" s="488"/>
      <c r="L5" s="162">
        <v>2.4116968423903099E-3</v>
      </c>
      <c r="M5" s="489">
        <f t="shared" ref="M5" si="1">AVERAGE(L5:L11)</f>
        <v>2.4091777533940492E-3</v>
      </c>
      <c r="N5" s="489"/>
      <c r="O5" s="84">
        <v>5.4938914498466225E-3</v>
      </c>
      <c r="P5" s="490">
        <f t="shared" ref="P5" si="2">AVERAGE(O5:O11)</f>
        <v>5.484379255953931E-3</v>
      </c>
      <c r="Q5" s="477"/>
      <c r="R5" s="154">
        <v>0.9</v>
      </c>
      <c r="S5" s="473">
        <f t="shared" ref="S5" si="3">AVERAGE(R5:R11)</f>
        <v>0.90000000000000013</v>
      </c>
      <c r="T5" s="490"/>
      <c r="U5" s="154">
        <f>5/52*100%</f>
        <v>9.6153846153846159E-2</v>
      </c>
      <c r="V5" s="473">
        <f t="shared" ref="V5" si="4">AVERAGE(U5:U11)</f>
        <v>9.6153846153846159E-2</v>
      </c>
      <c r="W5" s="490"/>
    </row>
    <row r="6" spans="2:23">
      <c r="B6" s="475"/>
      <c r="C6" s="477"/>
      <c r="D6" s="80">
        <f t="shared" ref="D6:D18" si="5">D5+1</f>
        <v>46050</v>
      </c>
      <c r="E6" s="80" t="s">
        <v>88</v>
      </c>
      <c r="F6" s="87">
        <v>464.47506046864356</v>
      </c>
      <c r="G6" s="488"/>
      <c r="H6" s="477"/>
      <c r="I6" s="154">
        <f t="shared" ref="I6:I11" si="6">F6/$C$1</f>
        <v>0.93343058775852805</v>
      </c>
      <c r="J6" s="473"/>
      <c r="K6" s="488"/>
      <c r="L6" s="162">
        <v>2.4101400307715436E-3</v>
      </c>
      <c r="M6" s="489"/>
      <c r="N6" s="489"/>
      <c r="O6" s="84">
        <v>5.4977047280436332E-3</v>
      </c>
      <c r="P6" s="490"/>
      <c r="Q6" s="477"/>
      <c r="R6" s="154">
        <v>0.9</v>
      </c>
      <c r="S6" s="473"/>
      <c r="T6" s="490"/>
      <c r="U6" s="154">
        <f t="shared" ref="U6:U11" si="7">5/52*100%</f>
        <v>9.6153846153846159E-2</v>
      </c>
      <c r="V6" s="473"/>
      <c r="W6" s="490"/>
    </row>
    <row r="7" spans="2:23">
      <c r="B7" s="475"/>
      <c r="C7" s="477"/>
      <c r="D7" s="80">
        <f t="shared" si="5"/>
        <v>46051</v>
      </c>
      <c r="E7" s="80" t="s">
        <v>89</v>
      </c>
      <c r="F7" s="87">
        <v>463.28112507208476</v>
      </c>
      <c r="G7" s="488"/>
      <c r="H7" s="477"/>
      <c r="I7" s="154">
        <f t="shared" si="6"/>
        <v>0.93103119990370731</v>
      </c>
      <c r="J7" s="473"/>
      <c r="K7" s="488"/>
      <c r="L7" s="162">
        <v>2.4038368305755839E-3</v>
      </c>
      <c r="M7" s="489"/>
      <c r="N7" s="489"/>
      <c r="O7" s="84">
        <v>5.4877594781794293E-3</v>
      </c>
      <c r="P7" s="490"/>
      <c r="Q7" s="477"/>
      <c r="R7" s="154">
        <v>0.9</v>
      </c>
      <c r="S7" s="473"/>
      <c r="T7" s="490"/>
      <c r="U7" s="154">
        <f t="shared" si="7"/>
        <v>9.6153846153846159E-2</v>
      </c>
      <c r="V7" s="473"/>
      <c r="W7" s="490"/>
    </row>
    <row r="8" spans="2:23">
      <c r="B8" s="475"/>
      <c r="C8" s="477"/>
      <c r="D8" s="80">
        <f t="shared" si="5"/>
        <v>46052</v>
      </c>
      <c r="E8" s="80" t="s">
        <v>90</v>
      </c>
      <c r="F8" s="87">
        <v>485.61791829084297</v>
      </c>
      <c r="G8" s="488"/>
      <c r="H8" s="477"/>
      <c r="I8" s="154">
        <f t="shared" si="6"/>
        <v>0.97592025379992553</v>
      </c>
      <c r="J8" s="473"/>
      <c r="K8" s="488"/>
      <c r="L8" s="162">
        <v>2.4044941075920755E-3</v>
      </c>
      <c r="M8" s="489"/>
      <c r="N8" s="489"/>
      <c r="O8" s="84">
        <v>5.4453131779821926E-3</v>
      </c>
      <c r="P8" s="490"/>
      <c r="Q8" s="477"/>
      <c r="R8" s="154">
        <v>0.9</v>
      </c>
      <c r="S8" s="473"/>
      <c r="T8" s="490"/>
      <c r="U8" s="154">
        <f t="shared" si="7"/>
        <v>9.6153846153846159E-2</v>
      </c>
      <c r="V8" s="473"/>
      <c r="W8" s="490"/>
    </row>
    <row r="9" spans="2:23">
      <c r="B9" s="475"/>
      <c r="C9" s="477"/>
      <c r="D9" s="80">
        <f t="shared" si="5"/>
        <v>46053</v>
      </c>
      <c r="E9" s="80" t="s">
        <v>91</v>
      </c>
      <c r="F9" s="87">
        <v>485.65869425391793</v>
      </c>
      <c r="G9" s="488"/>
      <c r="H9" s="477"/>
      <c r="I9" s="154">
        <f t="shared" si="6"/>
        <v>0.97600219906333985</v>
      </c>
      <c r="J9" s="473"/>
      <c r="K9" s="488"/>
      <c r="L9" s="162">
        <v>2.4081845897083272E-3</v>
      </c>
      <c r="M9" s="489"/>
      <c r="N9" s="489"/>
      <c r="O9" s="84">
        <v>5.4880042220004496E-3</v>
      </c>
      <c r="P9" s="490"/>
      <c r="Q9" s="477"/>
      <c r="R9" s="154">
        <v>0.9</v>
      </c>
      <c r="S9" s="473"/>
      <c r="T9" s="490"/>
      <c r="U9" s="154">
        <f t="shared" si="7"/>
        <v>9.6153846153846159E-2</v>
      </c>
      <c r="V9" s="473"/>
      <c r="W9" s="490"/>
    </row>
    <row r="10" spans="2:23">
      <c r="B10" s="475"/>
      <c r="C10" s="478" t="s">
        <v>87</v>
      </c>
      <c r="D10" s="80">
        <f t="shared" si="5"/>
        <v>46054</v>
      </c>
      <c r="E10" s="80" t="s">
        <v>84</v>
      </c>
      <c r="F10" s="87">
        <v>467.59643520057693</v>
      </c>
      <c r="G10" s="488"/>
      <c r="H10" s="488">
        <f>AVERAGEIF(F10:F37,"&lt;&gt;0")</f>
        <v>476.04171528829499</v>
      </c>
      <c r="I10" s="154">
        <f t="shared" si="6"/>
        <v>0.93970344694649699</v>
      </c>
      <c r="J10" s="473"/>
      <c r="K10" s="490">
        <f>AVERAGEIF(I10:I37,"&lt;&gt;0")</f>
        <v>0.95667547284625221</v>
      </c>
      <c r="L10" s="162">
        <v>2.413540820720911E-3</v>
      </c>
      <c r="M10" s="489"/>
      <c r="N10" s="489">
        <f>AVERAGEIF(L10:L37,"&lt;&gt;0")</f>
        <v>2.3657636051419204E-3</v>
      </c>
      <c r="O10" s="84">
        <v>5.502152172671174E-3</v>
      </c>
      <c r="P10" s="490"/>
      <c r="Q10" s="490">
        <f>AVERAGEIF(O10:O37,"&lt;&gt;0")</f>
        <v>5.2393000579921759E-3</v>
      </c>
      <c r="R10" s="154">
        <v>0.9</v>
      </c>
      <c r="S10" s="473"/>
      <c r="T10" s="490">
        <f>AVERAGEIF(R10:R37,"&lt;&gt;0")</f>
        <v>0.89999999999999958</v>
      </c>
      <c r="U10" s="154">
        <f t="shared" si="7"/>
        <v>9.6153846153846159E-2</v>
      </c>
      <c r="V10" s="473"/>
      <c r="W10" s="490">
        <f>AVERAGEIF(U10:U37,"&lt;&gt;0")</f>
        <v>0.13873626373626369</v>
      </c>
    </row>
    <row r="11" spans="2:23">
      <c r="B11" s="475"/>
      <c r="C11" s="478"/>
      <c r="D11" s="80">
        <f t="shared" si="5"/>
        <v>46055</v>
      </c>
      <c r="E11" s="80" t="s">
        <v>92</v>
      </c>
      <c r="F11" s="87">
        <v>467.01138441328305</v>
      </c>
      <c r="G11" s="488"/>
      <c r="H11" s="488"/>
      <c r="I11" s="154">
        <f t="shared" si="6"/>
        <v>0.93852770179518297</v>
      </c>
      <c r="J11" s="473"/>
      <c r="K11" s="490"/>
      <c r="L11" s="162">
        <v>2.4123510519995926E-3</v>
      </c>
      <c r="M11" s="489"/>
      <c r="N11" s="489"/>
      <c r="O11" s="84">
        <v>5.4758295629540156E-3</v>
      </c>
      <c r="P11" s="490"/>
      <c r="Q11" s="490"/>
      <c r="R11" s="154">
        <v>0.9</v>
      </c>
      <c r="S11" s="473"/>
      <c r="T11" s="490"/>
      <c r="U11" s="154">
        <f t="shared" si="7"/>
        <v>9.6153846153846159E-2</v>
      </c>
      <c r="V11" s="473"/>
      <c r="W11" s="490"/>
    </row>
    <row r="12" spans="2:23">
      <c r="B12" s="475">
        <f t="shared" ref="B12" si="8">B5+7</f>
        <v>46064</v>
      </c>
      <c r="C12" s="478"/>
      <c r="D12" s="80">
        <f t="shared" si="5"/>
        <v>46056</v>
      </c>
      <c r="E12" s="80" t="s">
        <v>87</v>
      </c>
      <c r="F12" s="87">
        <v>467.06787573804536</v>
      </c>
      <c r="G12" s="488">
        <f t="shared" ref="G12" si="9">AVERAGE(F12:F18)</f>
        <v>471.89204005609696</v>
      </c>
      <c r="H12" s="488"/>
      <c r="I12" s="154">
        <f>F12/$C$1</f>
        <v>0.93864122937710071</v>
      </c>
      <c r="J12" s="473">
        <f t="shared" ref="J12" si="10">AVERAGE(I12:I18)</f>
        <v>0.94833609336032343</v>
      </c>
      <c r="K12" s="490"/>
      <c r="L12" s="162">
        <v>2.4099596165869106E-3</v>
      </c>
      <c r="M12" s="489">
        <f t="shared" ref="M12" si="11">AVERAGE(L12:L18)</f>
        <v>2.4053837536566684E-3</v>
      </c>
      <c r="N12" s="489"/>
      <c r="O12" s="84">
        <v>5.4563540137344052E-3</v>
      </c>
      <c r="P12" s="473">
        <f t="shared" ref="P12" si="12">AVERAGE(O12:O18)</f>
        <v>5.4866418332026557E-3</v>
      </c>
      <c r="Q12" s="490"/>
      <c r="R12" s="154">
        <v>0.9</v>
      </c>
      <c r="S12" s="473">
        <f t="shared" ref="S12" si="13">AVERAGE(R12:R18)</f>
        <v>0.90000000000000013</v>
      </c>
      <c r="T12" s="490"/>
      <c r="U12" s="154">
        <f>6/52*100%</f>
        <v>0.11538461538461539</v>
      </c>
      <c r="V12" s="473">
        <f t="shared" ref="V12" si="14">AVERAGE(U12:U18)</f>
        <v>0.1153846153846154</v>
      </c>
      <c r="W12" s="490"/>
    </row>
    <row r="13" spans="2:23">
      <c r="B13" s="475"/>
      <c r="C13" s="478"/>
      <c r="D13" s="80">
        <f t="shared" si="5"/>
        <v>46057</v>
      </c>
      <c r="E13" s="80" t="s">
        <v>88</v>
      </c>
      <c r="F13" s="87">
        <v>467.08348187143656</v>
      </c>
      <c r="G13" s="488"/>
      <c r="H13" s="488"/>
      <c r="I13" s="154">
        <f t="shared" ref="I13:I18" si="15">F13/$C$1</f>
        <v>0.93867259218536281</v>
      </c>
      <c r="J13" s="473"/>
      <c r="K13" s="490"/>
      <c r="L13" s="162">
        <v>2.4057725748501298E-3</v>
      </c>
      <c r="M13" s="489"/>
      <c r="N13" s="489"/>
      <c r="O13" s="84">
        <v>5.4342784758805458E-3</v>
      </c>
      <c r="P13" s="473"/>
      <c r="Q13" s="490"/>
      <c r="R13" s="154">
        <v>0.9</v>
      </c>
      <c r="S13" s="473"/>
      <c r="T13" s="490"/>
      <c r="U13" s="154">
        <f t="shared" ref="U13:U18" si="16">6/52*100%</f>
        <v>0.11538461538461539</v>
      </c>
      <c r="V13" s="473"/>
      <c r="W13" s="490"/>
    </row>
    <row r="14" spans="2:23">
      <c r="B14" s="475"/>
      <c r="C14" s="478"/>
      <c r="D14" s="80">
        <f t="shared" si="5"/>
        <v>46058</v>
      </c>
      <c r="E14" s="80" t="s">
        <v>89</v>
      </c>
      <c r="F14" s="87">
        <v>464.03002289697281</v>
      </c>
      <c r="G14" s="488"/>
      <c r="H14" s="488"/>
      <c r="I14" s="154">
        <f t="shared" si="15"/>
        <v>0.93253621964825717</v>
      </c>
      <c r="J14" s="473"/>
      <c r="K14" s="490"/>
      <c r="L14" s="162">
        <v>2.4042543473907999E-3</v>
      </c>
      <c r="M14" s="489"/>
      <c r="N14" s="489"/>
      <c r="O14" s="84">
        <v>5.6361359183484828E-3</v>
      </c>
      <c r="P14" s="473"/>
      <c r="Q14" s="490"/>
      <c r="R14" s="154">
        <v>0.9</v>
      </c>
      <c r="S14" s="473"/>
      <c r="T14" s="490"/>
      <c r="U14" s="154">
        <f t="shared" si="16"/>
        <v>0.11538461538461539</v>
      </c>
      <c r="V14" s="473"/>
      <c r="W14" s="490"/>
    </row>
    <row r="15" spans="2:23">
      <c r="B15" s="475"/>
      <c r="C15" s="478"/>
      <c r="D15" s="80">
        <f t="shared" si="5"/>
        <v>46059</v>
      </c>
      <c r="E15" s="80" t="s">
        <v>90</v>
      </c>
      <c r="F15" s="87">
        <v>484.44025018378358</v>
      </c>
      <c r="G15" s="488"/>
      <c r="H15" s="488"/>
      <c r="I15" s="154">
        <f t="shared" si="15"/>
        <v>0.97355355744329497</v>
      </c>
      <c r="J15" s="473"/>
      <c r="K15" s="490"/>
      <c r="L15" s="162">
        <v>2.4039703335266343E-3</v>
      </c>
      <c r="M15" s="489"/>
      <c r="N15" s="489"/>
      <c r="O15" s="84">
        <v>5.6098774619075982E-3</v>
      </c>
      <c r="P15" s="473"/>
      <c r="Q15" s="490"/>
      <c r="R15" s="154">
        <v>0.9</v>
      </c>
      <c r="S15" s="473"/>
      <c r="T15" s="490"/>
      <c r="U15" s="154">
        <f t="shared" si="16"/>
        <v>0.11538461538461539</v>
      </c>
      <c r="V15" s="473"/>
      <c r="W15" s="490"/>
    </row>
    <row r="16" spans="2:23">
      <c r="B16" s="475"/>
      <c r="C16" s="478"/>
      <c r="D16" s="80">
        <f t="shared" si="5"/>
        <v>46060</v>
      </c>
      <c r="E16" s="80" t="s">
        <v>91</v>
      </c>
      <c r="F16" s="87">
        <v>488.9690482521039</v>
      </c>
      <c r="G16" s="488"/>
      <c r="H16" s="488"/>
      <c r="I16" s="154">
        <f t="shared" si="15"/>
        <v>0.9826548397349355</v>
      </c>
      <c r="J16" s="473"/>
      <c r="K16" s="490"/>
      <c r="L16" s="162">
        <v>2.3935393729838015E-3</v>
      </c>
      <c r="M16" s="489"/>
      <c r="N16" s="489"/>
      <c r="O16" s="84">
        <v>5.4016522713082578E-3</v>
      </c>
      <c r="P16" s="473"/>
      <c r="Q16" s="490"/>
      <c r="R16" s="154">
        <v>0.9</v>
      </c>
      <c r="S16" s="473"/>
      <c r="T16" s="490"/>
      <c r="U16" s="154">
        <f t="shared" si="16"/>
        <v>0.11538461538461539</v>
      </c>
      <c r="V16" s="473"/>
      <c r="W16" s="490"/>
    </row>
    <row r="17" spans="2:23">
      <c r="B17" s="475"/>
      <c r="C17" s="478"/>
      <c r="D17" s="80">
        <f t="shared" si="5"/>
        <v>46061</v>
      </c>
      <c r="E17" s="80" t="s">
        <v>84</v>
      </c>
      <c r="F17" s="87">
        <v>465.70358954895318</v>
      </c>
      <c r="G17" s="488"/>
      <c r="H17" s="488"/>
      <c r="I17" s="154">
        <f t="shared" si="15"/>
        <v>0.9358994966819798</v>
      </c>
      <c r="J17" s="473"/>
      <c r="K17" s="490"/>
      <c r="L17" s="162">
        <v>2.4099821379163565E-3</v>
      </c>
      <c r="M17" s="489"/>
      <c r="N17" s="489"/>
      <c r="O17" s="84">
        <v>5.4364217029876536E-3</v>
      </c>
      <c r="P17" s="473"/>
      <c r="Q17" s="490"/>
      <c r="R17" s="154">
        <v>0.9</v>
      </c>
      <c r="S17" s="473"/>
      <c r="T17" s="490"/>
      <c r="U17" s="154">
        <f t="shared" si="16"/>
        <v>0.11538461538461539</v>
      </c>
      <c r="V17" s="473"/>
      <c r="W17" s="490"/>
    </row>
    <row r="18" spans="2:23">
      <c r="B18" s="475"/>
      <c r="C18" s="478"/>
      <c r="D18" s="80">
        <f t="shared" si="5"/>
        <v>46062</v>
      </c>
      <c r="E18" s="80" t="s">
        <v>92</v>
      </c>
      <c r="F18" s="87">
        <v>465.9500119013835</v>
      </c>
      <c r="G18" s="488"/>
      <c r="H18" s="488"/>
      <c r="I18" s="154">
        <f t="shared" si="15"/>
        <v>0.93639471845133337</v>
      </c>
      <c r="J18" s="473"/>
      <c r="K18" s="490"/>
      <c r="L18" s="162">
        <v>2.410207892342045E-3</v>
      </c>
      <c r="M18" s="489"/>
      <c r="N18" s="489"/>
      <c r="O18" s="84">
        <v>5.4317729882516529E-3</v>
      </c>
      <c r="P18" s="473"/>
      <c r="Q18" s="490"/>
      <c r="R18" s="154">
        <v>0.9</v>
      </c>
      <c r="S18" s="473"/>
      <c r="T18" s="490"/>
      <c r="U18" s="154">
        <f t="shared" si="16"/>
        <v>0.11538461538461539</v>
      </c>
      <c r="V18" s="473"/>
      <c r="W18" s="490"/>
    </row>
    <row r="19" spans="2:23">
      <c r="B19" s="475">
        <f t="shared" ref="B19" si="17">B12+7</f>
        <v>46071</v>
      </c>
      <c r="C19" s="478"/>
      <c r="D19" s="80">
        <f t="shared" ref="D19:D21" si="18">D18+1</f>
        <v>46063</v>
      </c>
      <c r="E19" s="80" t="s">
        <v>87</v>
      </c>
      <c r="F19" s="87">
        <v>465.97489878942844</v>
      </c>
      <c r="G19" s="488">
        <f t="shared" ref="G19" si="19">AVERAGE(F19:F25)</f>
        <v>479.81969991339696</v>
      </c>
      <c r="H19" s="488"/>
      <c r="I19" s="154">
        <f>F19/$C$1</f>
        <v>0.93644473229386738</v>
      </c>
      <c r="J19" s="473">
        <f t="shared" ref="J19" si="20">AVERAGE(I19:I25)</f>
        <v>0.96426788567804855</v>
      </c>
      <c r="K19" s="490"/>
      <c r="L19" s="162">
        <v>2.4035920659096336E-3</v>
      </c>
      <c r="M19" s="489">
        <f t="shared" ref="M19" si="21">AVERAGE(L19:L25)</f>
        <v>2.3845911840979232E-3</v>
      </c>
      <c r="N19" s="489"/>
      <c r="O19" s="84">
        <v>5.2120318147012012E-3</v>
      </c>
      <c r="P19" s="490">
        <f t="shared" ref="P19" si="22">AVERAGE(O19:O25)</f>
        <v>5.1587842614458437E-3</v>
      </c>
      <c r="Q19" s="490"/>
      <c r="R19" s="154">
        <v>0.9</v>
      </c>
      <c r="S19" s="473">
        <f t="shared" ref="S19" si="23">AVERAGE(R19:R25)</f>
        <v>0.90000000000000013</v>
      </c>
      <c r="T19" s="490"/>
      <c r="U19" s="154">
        <f>7/52*100%</f>
        <v>0.13461538461538461</v>
      </c>
      <c r="V19" s="473">
        <f t="shared" ref="V19" si="24">AVERAGE(U19:U25)</f>
        <v>0.13461538461538461</v>
      </c>
      <c r="W19" s="490"/>
    </row>
    <row r="20" spans="2:23">
      <c r="B20" s="475"/>
      <c r="C20" s="478"/>
      <c r="D20" s="80">
        <f t="shared" si="18"/>
        <v>46064</v>
      </c>
      <c r="E20" s="80" t="s">
        <v>88</v>
      </c>
      <c r="F20" s="87">
        <v>464.40398424341515</v>
      </c>
      <c r="G20" s="488"/>
      <c r="H20" s="488"/>
      <c r="I20" s="154">
        <f t="shared" ref="I20:I25" si="25">F20/$C$1</f>
        <v>0.9332877496853198</v>
      </c>
      <c r="J20" s="473"/>
      <c r="K20" s="490"/>
      <c r="L20" s="162">
        <v>2.4001653724579279E-3</v>
      </c>
      <c r="M20" s="489"/>
      <c r="N20" s="489"/>
      <c r="O20" s="84">
        <v>5.1896535144272445E-3</v>
      </c>
      <c r="P20" s="490"/>
      <c r="Q20" s="490"/>
      <c r="R20" s="154">
        <v>0.9</v>
      </c>
      <c r="S20" s="473"/>
      <c r="T20" s="490"/>
      <c r="U20" s="154">
        <f>7/52*100%</f>
        <v>0.13461538461538461</v>
      </c>
      <c r="V20" s="473"/>
      <c r="W20" s="490"/>
    </row>
    <row r="21" spans="2:23">
      <c r="B21" s="475"/>
      <c r="C21" s="478"/>
      <c r="D21" s="80">
        <f t="shared" si="18"/>
        <v>46065</v>
      </c>
      <c r="E21" s="80" t="s">
        <v>89</v>
      </c>
      <c r="F21" s="87">
        <v>483.87099701007782</v>
      </c>
      <c r="G21" s="488"/>
      <c r="H21" s="488"/>
      <c r="I21" s="154">
        <f t="shared" si="25"/>
        <v>0.97240955990771261</v>
      </c>
      <c r="J21" s="473"/>
      <c r="K21" s="490"/>
      <c r="L21" s="162">
        <v>2.3864435325015084E-3</v>
      </c>
      <c r="M21" s="489"/>
      <c r="N21" s="489"/>
      <c r="O21" s="84">
        <v>5.2018674674767567E-3</v>
      </c>
      <c r="P21" s="490"/>
      <c r="Q21" s="490"/>
      <c r="R21" s="154">
        <v>0.9</v>
      </c>
      <c r="S21" s="473"/>
      <c r="T21" s="490"/>
      <c r="U21" s="154">
        <f t="shared" ref="U21:U25" si="26">7/52*100%</f>
        <v>0.13461538461538461</v>
      </c>
      <c r="V21" s="473"/>
      <c r="W21" s="490"/>
    </row>
    <row r="22" spans="2:23">
      <c r="B22" s="475"/>
      <c r="C22" s="478"/>
      <c r="D22" s="80">
        <f t="shared" ref="D22:D46" si="27">D21+1</f>
        <v>46066</v>
      </c>
      <c r="E22" s="80" t="s">
        <v>90</v>
      </c>
      <c r="F22" s="87">
        <v>485.76980577139864</v>
      </c>
      <c r="G22" s="488"/>
      <c r="H22" s="488"/>
      <c r="I22" s="154">
        <f t="shared" si="25"/>
        <v>0.97622549391358238</v>
      </c>
      <c r="J22" s="473"/>
      <c r="K22" s="490"/>
      <c r="L22" s="162">
        <v>2.3843744117513473E-3</v>
      </c>
      <c r="M22" s="489"/>
      <c r="N22" s="489"/>
      <c r="O22" s="84">
        <v>5.159512194105334E-3</v>
      </c>
      <c r="P22" s="490"/>
      <c r="Q22" s="490"/>
      <c r="R22" s="154">
        <v>0.9</v>
      </c>
      <c r="S22" s="473"/>
      <c r="T22" s="490"/>
      <c r="U22" s="154">
        <f t="shared" si="26"/>
        <v>0.13461538461538461</v>
      </c>
      <c r="V22" s="473"/>
      <c r="W22" s="490"/>
    </row>
    <row r="23" spans="2:23">
      <c r="B23" s="475"/>
      <c r="C23" s="478"/>
      <c r="D23" s="80">
        <f t="shared" si="27"/>
        <v>46067</v>
      </c>
      <c r="E23" s="80" t="s">
        <v>91</v>
      </c>
      <c r="F23" s="87">
        <v>486.12079008341777</v>
      </c>
      <c r="G23" s="488"/>
      <c r="H23" s="488"/>
      <c r="I23" s="154">
        <f t="shared" si="25"/>
        <v>0.97693084823837972</v>
      </c>
      <c r="J23" s="473"/>
      <c r="K23" s="490"/>
      <c r="L23" s="162">
        <v>2.3800260354518987E-3</v>
      </c>
      <c r="M23" s="489"/>
      <c r="N23" s="489"/>
      <c r="O23" s="84">
        <v>5.1356531239510235E-3</v>
      </c>
      <c r="P23" s="490"/>
      <c r="Q23" s="490"/>
      <c r="R23" s="154">
        <v>0.9</v>
      </c>
      <c r="S23" s="473"/>
      <c r="T23" s="490"/>
      <c r="U23" s="154">
        <f t="shared" si="26"/>
        <v>0.13461538461538461</v>
      </c>
      <c r="V23" s="473"/>
      <c r="W23" s="490"/>
    </row>
    <row r="24" spans="2:23">
      <c r="B24" s="475"/>
      <c r="C24" s="478"/>
      <c r="D24" s="80">
        <f t="shared" si="27"/>
        <v>46068</v>
      </c>
      <c r="E24" s="80" t="s">
        <v>84</v>
      </c>
      <c r="F24" s="87">
        <v>486.27041613886797</v>
      </c>
      <c r="G24" s="488"/>
      <c r="H24" s="488"/>
      <c r="I24" s="154">
        <f t="shared" si="25"/>
        <v>0.97723154368743559</v>
      </c>
      <c r="J24" s="473"/>
      <c r="K24" s="490"/>
      <c r="L24" s="162">
        <v>2.375918101613448E-3</v>
      </c>
      <c r="M24" s="489"/>
      <c r="N24" s="489"/>
      <c r="O24" s="84">
        <v>5.1124749372293277E-3</v>
      </c>
      <c r="P24" s="490"/>
      <c r="Q24" s="490"/>
      <c r="R24" s="154">
        <v>0.9</v>
      </c>
      <c r="S24" s="473"/>
      <c r="T24" s="490"/>
      <c r="U24" s="154">
        <f t="shared" si="26"/>
        <v>0.13461538461538461</v>
      </c>
      <c r="V24" s="473"/>
      <c r="W24" s="490"/>
    </row>
    <row r="25" spans="2:23">
      <c r="B25" s="475"/>
      <c r="C25" s="478"/>
      <c r="D25" s="80">
        <f t="shared" si="27"/>
        <v>46069</v>
      </c>
      <c r="E25" s="80" t="s">
        <v>92</v>
      </c>
      <c r="F25" s="87">
        <v>486.32700735717299</v>
      </c>
      <c r="G25" s="488"/>
      <c r="H25" s="488"/>
      <c r="I25" s="154">
        <f t="shared" si="25"/>
        <v>0.97734527202004218</v>
      </c>
      <c r="J25" s="473"/>
      <c r="K25" s="490"/>
      <c r="L25" s="162">
        <v>2.3616187689997009E-3</v>
      </c>
      <c r="M25" s="489"/>
      <c r="N25" s="489"/>
      <c r="O25" s="84">
        <v>5.1002967782300202E-3</v>
      </c>
      <c r="P25" s="490"/>
      <c r="Q25" s="490"/>
      <c r="R25" s="154">
        <v>0.9</v>
      </c>
      <c r="S25" s="473"/>
      <c r="T25" s="490"/>
      <c r="U25" s="154">
        <f t="shared" si="26"/>
        <v>0.13461538461538461</v>
      </c>
      <c r="V25" s="473"/>
      <c r="W25" s="490"/>
    </row>
    <row r="26" spans="2:23">
      <c r="B26" s="475">
        <f t="shared" ref="B26" si="28">B19+7</f>
        <v>46078</v>
      </c>
      <c r="C26" s="478"/>
      <c r="D26" s="80">
        <f t="shared" si="27"/>
        <v>46070</v>
      </c>
      <c r="E26" s="80" t="s">
        <v>87</v>
      </c>
      <c r="F26" s="87">
        <v>486.38126206764525</v>
      </c>
      <c r="G26" s="488">
        <f t="shared" ref="G26" si="29">AVERAGE(F26:F32)</f>
        <v>480.52620231262472</v>
      </c>
      <c r="H26" s="488"/>
      <c r="I26" s="154">
        <f>F26/$C$1</f>
        <v>0.9774543047983224</v>
      </c>
      <c r="J26" s="473">
        <f t="shared" ref="J26" si="30">AVERAGE(I26:I32)</f>
        <v>0.96568770561218786</v>
      </c>
      <c r="K26" s="490"/>
      <c r="L26" s="162">
        <v>2.3683164506925138E-3</v>
      </c>
      <c r="M26" s="489">
        <f t="shared" ref="M26" si="31">AVERAGE(L26:L32)</f>
        <v>2.3384416072427289E-3</v>
      </c>
      <c r="N26" s="489"/>
      <c r="O26" s="84">
        <v>5.1080287232335431E-3</v>
      </c>
      <c r="P26" s="490">
        <f t="shared" ref="P26" si="32">AVERAGE(O26:O32)</f>
        <v>5.1307506637957414E-3</v>
      </c>
      <c r="Q26" s="490"/>
      <c r="R26" s="154">
        <v>0.9</v>
      </c>
      <c r="S26" s="473">
        <f t="shared" ref="S26" si="33">AVERAGE(R26:R32)</f>
        <v>0.90000000000000013</v>
      </c>
      <c r="T26" s="490"/>
      <c r="U26" s="154">
        <f>8/52*100%</f>
        <v>0.15384615384615385</v>
      </c>
      <c r="V26" s="473">
        <f t="shared" ref="V26" si="34">AVERAGE(U26:U32)</f>
        <v>0.15384615384615388</v>
      </c>
      <c r="W26" s="490"/>
    </row>
    <row r="27" spans="2:23">
      <c r="B27" s="475"/>
      <c r="C27" s="478"/>
      <c r="D27" s="80">
        <f t="shared" si="27"/>
        <v>46071</v>
      </c>
      <c r="E27" s="80" t="s">
        <v>88</v>
      </c>
      <c r="F27" s="87">
        <v>486.45194313519983</v>
      </c>
      <c r="G27" s="488"/>
      <c r="H27" s="488"/>
      <c r="I27" s="154">
        <f t="shared" ref="I27:I32" si="35">F27/$C$1</f>
        <v>0.97759634874437262</v>
      </c>
      <c r="J27" s="473"/>
      <c r="K27" s="490"/>
      <c r="L27" s="162">
        <v>2.3663888749309507E-3</v>
      </c>
      <c r="M27" s="489"/>
      <c r="N27" s="489"/>
      <c r="O27" s="84">
        <v>5.1423419536225697E-3</v>
      </c>
      <c r="P27" s="490"/>
      <c r="Q27" s="490"/>
      <c r="R27" s="154">
        <v>0.9</v>
      </c>
      <c r="S27" s="473"/>
      <c r="T27" s="490"/>
      <c r="U27" s="154">
        <f>8/52*100%</f>
        <v>0.15384615384615385</v>
      </c>
      <c r="V27" s="473"/>
      <c r="W27" s="490"/>
    </row>
    <row r="28" spans="2:23">
      <c r="B28" s="475"/>
      <c r="C28" s="478"/>
      <c r="D28" s="80">
        <f t="shared" si="27"/>
        <v>46072</v>
      </c>
      <c r="E28" s="80" t="s">
        <v>89</v>
      </c>
      <c r="F28" s="87">
        <v>486.50396792214497</v>
      </c>
      <c r="G28" s="488"/>
      <c r="H28" s="488"/>
      <c r="I28" s="154">
        <f t="shared" si="35"/>
        <v>0.97770090016508227</v>
      </c>
      <c r="J28" s="473"/>
      <c r="K28" s="490"/>
      <c r="L28" s="162">
        <v>2.3484625799320234E-3</v>
      </c>
      <c r="M28" s="489"/>
      <c r="N28" s="489"/>
      <c r="O28" s="84">
        <v>5.1317619195578416E-3</v>
      </c>
      <c r="P28" s="490"/>
      <c r="Q28" s="490"/>
      <c r="R28" s="154">
        <v>0.9</v>
      </c>
      <c r="S28" s="473"/>
      <c r="T28" s="490"/>
      <c r="U28" s="154">
        <f t="shared" ref="U28:U32" si="36">8/52*100%</f>
        <v>0.15384615384615385</v>
      </c>
      <c r="V28" s="473"/>
      <c r="W28" s="490"/>
    </row>
    <row r="29" spans="2:23">
      <c r="B29" s="475"/>
      <c r="C29" s="478"/>
      <c r="D29" s="80">
        <f t="shared" si="27"/>
        <v>46073</v>
      </c>
      <c r="E29" s="80" t="s">
        <v>90</v>
      </c>
      <c r="F29" s="87">
        <v>486.52778546419211</v>
      </c>
      <c r="G29" s="488"/>
      <c r="H29" s="488"/>
      <c r="I29" s="154">
        <f t="shared" si="35"/>
        <v>0.97774876500038599</v>
      </c>
      <c r="J29" s="473"/>
      <c r="K29" s="490"/>
      <c r="L29" s="162">
        <v>2.3353383479574191E-3</v>
      </c>
      <c r="M29" s="489"/>
      <c r="N29" s="489"/>
      <c r="O29" s="84">
        <v>5.1600066630965299E-3</v>
      </c>
      <c r="P29" s="490"/>
      <c r="Q29" s="490"/>
      <c r="R29" s="154">
        <v>0.9</v>
      </c>
      <c r="S29" s="473"/>
      <c r="T29" s="490"/>
      <c r="U29" s="154">
        <f t="shared" si="36"/>
        <v>0.15384615384615385</v>
      </c>
      <c r="V29" s="473"/>
      <c r="W29" s="490"/>
    </row>
    <row r="30" spans="2:23">
      <c r="B30" s="475"/>
      <c r="C30" s="478"/>
      <c r="D30" s="80">
        <f t="shared" si="27"/>
        <v>46074</v>
      </c>
      <c r="E30" s="80" t="s">
        <v>91</v>
      </c>
      <c r="F30" s="87">
        <v>486.5800663184321</v>
      </c>
      <c r="G30" s="488"/>
      <c r="H30" s="488"/>
      <c r="I30" s="154">
        <f t="shared" si="35"/>
        <v>0.97785383102578793</v>
      </c>
      <c r="J30" s="473"/>
      <c r="K30" s="490"/>
      <c r="L30" s="162">
        <v>2.3302309565706855E-3</v>
      </c>
      <c r="M30" s="489"/>
      <c r="N30" s="489"/>
      <c r="O30" s="84">
        <v>5.1361139972094664E-3</v>
      </c>
      <c r="P30" s="490"/>
      <c r="Q30" s="490"/>
      <c r="R30" s="154">
        <v>0.9</v>
      </c>
      <c r="S30" s="473"/>
      <c r="T30" s="490"/>
      <c r="U30" s="154">
        <f t="shared" si="36"/>
        <v>0.15384615384615385</v>
      </c>
      <c r="V30" s="473"/>
      <c r="W30" s="490"/>
    </row>
    <row r="31" spans="2:23">
      <c r="B31" s="475"/>
      <c r="C31" s="478"/>
      <c r="D31" s="80">
        <f t="shared" si="27"/>
        <v>46075</v>
      </c>
      <c r="E31" s="80" t="s">
        <v>84</v>
      </c>
      <c r="F31" s="87">
        <v>465.59860187258931</v>
      </c>
      <c r="G31" s="488"/>
      <c r="H31" s="488"/>
      <c r="I31" s="154">
        <f t="shared" si="35"/>
        <v>0.9356885085863933</v>
      </c>
      <c r="J31" s="473"/>
      <c r="K31" s="490"/>
      <c r="L31" s="162">
        <v>2.3099846909199317E-3</v>
      </c>
      <c r="M31" s="489"/>
      <c r="N31" s="489"/>
      <c r="O31" s="84">
        <v>5.1155599867719623E-3</v>
      </c>
      <c r="P31" s="490"/>
      <c r="Q31" s="490"/>
      <c r="R31" s="154">
        <v>0.9</v>
      </c>
      <c r="S31" s="473"/>
      <c r="T31" s="490"/>
      <c r="U31" s="154">
        <f t="shared" si="36"/>
        <v>0.15384615384615385</v>
      </c>
      <c r="V31" s="473"/>
      <c r="W31" s="490"/>
    </row>
    <row r="32" spans="2:23">
      <c r="B32" s="475"/>
      <c r="C32" s="478"/>
      <c r="D32" s="80">
        <f t="shared" si="27"/>
        <v>46076</v>
      </c>
      <c r="E32" s="80" t="s">
        <v>92</v>
      </c>
      <c r="F32" s="87">
        <v>465.63978940816924</v>
      </c>
      <c r="G32" s="488"/>
      <c r="H32" s="488"/>
      <c r="I32" s="154">
        <f t="shared" si="35"/>
        <v>0.93577128096497031</v>
      </c>
      <c r="J32" s="473"/>
      <c r="K32" s="490"/>
      <c r="L32" s="162">
        <v>2.3103693496955777E-3</v>
      </c>
      <c r="M32" s="489"/>
      <c r="N32" s="489"/>
      <c r="O32" s="84">
        <v>5.1214414030782756E-3</v>
      </c>
      <c r="P32" s="490"/>
      <c r="Q32" s="490"/>
      <c r="R32" s="154">
        <v>0.9</v>
      </c>
      <c r="S32" s="473"/>
      <c r="T32" s="490"/>
      <c r="U32" s="154">
        <f t="shared" si="36"/>
        <v>0.15384615384615385</v>
      </c>
      <c r="V32" s="473"/>
      <c r="W32" s="490"/>
    </row>
    <row r="33" spans="2:23">
      <c r="B33" s="475">
        <f t="shared" ref="B33" si="37">B26+7</f>
        <v>46085</v>
      </c>
      <c r="C33" s="478"/>
      <c r="D33" s="80">
        <f t="shared" si="27"/>
        <v>46077</v>
      </c>
      <c r="E33" s="80" t="s">
        <v>87</v>
      </c>
      <c r="F33" s="87">
        <v>464.32903674831493</v>
      </c>
      <c r="G33" s="488">
        <f t="shared" ref="G33" si="38">AVERAGE(F33:F39)</f>
        <v>468.73196966875156</v>
      </c>
      <c r="H33" s="488"/>
      <c r="I33" s="154">
        <f>F33/$C$1</f>
        <v>0.93313713172892865</v>
      </c>
      <c r="J33" s="473">
        <f t="shared" ref="J33" si="39">AVERAGE(I33:I39)</f>
        <v>0.94198546959154261</v>
      </c>
      <c r="K33" s="490"/>
      <c r="L33" s="162">
        <v>2.3089761216367891E-3</v>
      </c>
      <c r="M33" s="489">
        <f t="shared" ref="M33" si="40">AVERAGE(L33:L39)</f>
        <v>2.2409997247341139E-3</v>
      </c>
      <c r="N33" s="489"/>
      <c r="O33" s="84">
        <v>5.0852114253243713E-3</v>
      </c>
      <c r="P33" s="490">
        <f t="shared" ref="P33" si="41">AVERAGE(O33:O39)</f>
        <v>5.0772954698878481E-3</v>
      </c>
      <c r="Q33" s="490"/>
      <c r="R33" s="154">
        <v>0.9</v>
      </c>
      <c r="S33" s="473">
        <f t="shared" ref="S33" si="42">AVERAGE(R33:R39)</f>
        <v>0.90000000000000013</v>
      </c>
      <c r="T33" s="490"/>
      <c r="U33" s="154">
        <f>9/52*100%</f>
        <v>0.17307692307692307</v>
      </c>
      <c r="V33" s="473">
        <f t="shared" ref="V33" si="43">AVERAGE(U33:U39)</f>
        <v>0.1730769230769231</v>
      </c>
      <c r="W33" s="490"/>
    </row>
    <row r="34" spans="2:23">
      <c r="B34" s="475"/>
      <c r="C34" s="478"/>
      <c r="D34" s="80">
        <f t="shared" si="27"/>
        <v>46078</v>
      </c>
      <c r="E34" s="80" t="s">
        <v>88</v>
      </c>
      <c r="F34" s="87">
        <v>465.0372140296048</v>
      </c>
      <c r="G34" s="488"/>
      <c r="H34" s="488"/>
      <c r="I34" s="154">
        <f t="shared" ref="I34:I39" si="44">F34/$C$1</f>
        <v>0.93456031758361091</v>
      </c>
      <c r="J34" s="473"/>
      <c r="K34" s="490"/>
      <c r="L34" s="162">
        <v>2.3055099067210991E-3</v>
      </c>
      <c r="M34" s="489"/>
      <c r="N34" s="489"/>
      <c r="O34" s="84">
        <v>5.0598021692445493E-3</v>
      </c>
      <c r="P34" s="490"/>
      <c r="Q34" s="490"/>
      <c r="R34" s="154">
        <v>0.9</v>
      </c>
      <c r="S34" s="473"/>
      <c r="T34" s="490"/>
      <c r="U34" s="154">
        <f>9/52*100%</f>
        <v>0.17307692307692307</v>
      </c>
      <c r="V34" s="473"/>
      <c r="W34" s="490"/>
    </row>
    <row r="35" spans="2:23">
      <c r="B35" s="475"/>
      <c r="C35" s="478"/>
      <c r="D35" s="80">
        <f t="shared" si="27"/>
        <v>46079</v>
      </c>
      <c r="E35" s="80" t="s">
        <v>89</v>
      </c>
      <c r="F35" s="87">
        <v>463.6233114830336</v>
      </c>
      <c r="G35" s="488"/>
      <c r="H35" s="488"/>
      <c r="I35" s="154">
        <f t="shared" si="44"/>
        <v>0.93171887355915106</v>
      </c>
      <c r="J35" s="473"/>
      <c r="K35" s="490"/>
      <c r="L35" s="162">
        <v>2.2997823887873229E-3</v>
      </c>
      <c r="M35" s="489"/>
      <c r="N35" s="489"/>
      <c r="O35" s="84">
        <v>5.0498787530576118E-3</v>
      </c>
      <c r="P35" s="490"/>
      <c r="Q35" s="490"/>
      <c r="R35" s="154">
        <v>0.9</v>
      </c>
      <c r="S35" s="473"/>
      <c r="T35" s="490"/>
      <c r="U35" s="154">
        <f t="shared" ref="U35:U39" si="45">9/52*100%</f>
        <v>0.17307692307692307</v>
      </c>
      <c r="V35" s="473"/>
      <c r="W35" s="490"/>
    </row>
    <row r="36" spans="2:23">
      <c r="B36" s="475"/>
      <c r="C36" s="478"/>
      <c r="D36" s="80">
        <f t="shared" si="27"/>
        <v>46080</v>
      </c>
      <c r="E36" s="80" t="s">
        <v>90</v>
      </c>
      <c r="F36" s="87">
        <v>486.84866489480203</v>
      </c>
      <c r="G36" s="488"/>
      <c r="H36" s="488"/>
      <c r="I36" s="154">
        <f t="shared" si="44"/>
        <v>0.97839361916157963</v>
      </c>
      <c r="J36" s="473"/>
      <c r="K36" s="490"/>
      <c r="L36" s="162">
        <v>2.29803500396058E-3</v>
      </c>
      <c r="M36" s="489"/>
      <c r="N36" s="489"/>
      <c r="O36" s="84">
        <v>5.0264344664325998E-3</v>
      </c>
      <c r="P36" s="490"/>
      <c r="Q36" s="490"/>
      <c r="R36" s="154">
        <v>0.9</v>
      </c>
      <c r="S36" s="473"/>
      <c r="T36" s="490"/>
      <c r="U36" s="154">
        <f t="shared" si="45"/>
        <v>0.17307692307692307</v>
      </c>
      <c r="V36" s="473"/>
      <c r="W36" s="490"/>
    </row>
    <row r="37" spans="2:23">
      <c r="B37" s="475"/>
      <c r="C37" s="478"/>
      <c r="D37" s="80">
        <f t="shared" si="27"/>
        <v>46081</v>
      </c>
      <c r="E37" s="80" t="s">
        <v>91</v>
      </c>
      <c r="F37" s="87">
        <v>489.05638532781512</v>
      </c>
      <c r="G37" s="488"/>
      <c r="H37" s="488"/>
      <c r="I37" s="154">
        <f t="shared" si="44"/>
        <v>0.98283035636618787</v>
      </c>
      <c r="J37" s="473"/>
      <c r="K37" s="490"/>
      <c r="L37" s="162">
        <v>2.3042698351662407E-3</v>
      </c>
      <c r="M37" s="489"/>
      <c r="N37" s="489"/>
      <c r="O37" s="84">
        <v>5.0678557649869093E-3</v>
      </c>
      <c r="P37" s="490"/>
      <c r="Q37" s="490"/>
      <c r="R37" s="154">
        <v>0.9</v>
      </c>
      <c r="S37" s="473"/>
      <c r="T37" s="490"/>
      <c r="U37" s="154">
        <f t="shared" si="45"/>
        <v>0.17307692307692307</v>
      </c>
      <c r="V37" s="473"/>
      <c r="W37" s="490"/>
    </row>
    <row r="38" spans="2:23">
      <c r="B38" s="475"/>
      <c r="D38" s="80">
        <f t="shared" si="27"/>
        <v>46082</v>
      </c>
      <c r="E38" s="80" t="s">
        <v>84</v>
      </c>
      <c r="F38" s="87">
        <v>467.10924719659278</v>
      </c>
      <c r="G38" s="488"/>
      <c r="H38" s="87"/>
      <c r="I38" s="154">
        <f t="shared" si="44"/>
        <v>0.93872437137578935</v>
      </c>
      <c r="J38" s="473"/>
      <c r="K38" s="490"/>
      <c r="L38" s="162">
        <v>2.0801357761399642E-3</v>
      </c>
      <c r="M38" s="489"/>
      <c r="O38" s="84">
        <v>5.1182745428167108E-3</v>
      </c>
      <c r="P38" s="490"/>
      <c r="Q38" s="490"/>
      <c r="R38" s="154">
        <v>0.9</v>
      </c>
      <c r="S38" s="473"/>
      <c r="T38" s="490"/>
      <c r="U38" s="154">
        <f t="shared" si="45"/>
        <v>0.17307692307692307</v>
      </c>
      <c r="V38" s="473"/>
      <c r="W38" s="490"/>
    </row>
    <row r="39" spans="2:23">
      <c r="B39" s="475"/>
      <c r="D39" s="80">
        <f t="shared" si="27"/>
        <v>46083</v>
      </c>
      <c r="E39" s="80" t="s">
        <v>92</v>
      </c>
      <c r="F39" s="87">
        <v>445.11992800109806</v>
      </c>
      <c r="G39" s="488"/>
      <c r="H39" s="87"/>
      <c r="I39" s="154">
        <f t="shared" si="44"/>
        <v>0.8945336173655507</v>
      </c>
      <c r="J39" s="473"/>
      <c r="K39" s="490"/>
      <c r="L39" s="162">
        <v>2.090289040726803E-3</v>
      </c>
      <c r="M39" s="489"/>
      <c r="O39" s="84">
        <v>5.13361116735219E-3</v>
      </c>
      <c r="P39" s="490"/>
      <c r="Q39" s="490"/>
      <c r="R39" s="154">
        <v>0.9</v>
      </c>
      <c r="S39" s="473"/>
      <c r="T39" s="490"/>
      <c r="U39" s="154">
        <f t="shared" si="45"/>
        <v>0.17307692307692307</v>
      </c>
      <c r="V39" s="473"/>
    </row>
    <row r="40" spans="2:23">
      <c r="B40" s="475">
        <f t="shared" ref="B40" si="46">B33+7</f>
        <v>46092</v>
      </c>
      <c r="D40" s="80">
        <f t="shared" si="27"/>
        <v>46084</v>
      </c>
      <c r="E40" s="80" t="s">
        <v>87</v>
      </c>
      <c r="F40" s="87"/>
      <c r="G40" s="488" t="e">
        <f t="shared" ref="G40" si="47">AVERAGE(F40:F46)</f>
        <v>#DIV/0!</v>
      </c>
      <c r="I40" s="154">
        <f>F40/$C$1</f>
        <v>0</v>
      </c>
      <c r="J40" s="473">
        <f t="shared" ref="J40" si="48">AVERAGE(I40:I46)</f>
        <v>0</v>
      </c>
      <c r="K40" s="490"/>
      <c r="L40" s="162"/>
      <c r="M40" s="489" t="e">
        <f t="shared" ref="M40" si="49">AVERAGE(L40:L46)</f>
        <v>#DIV/0!</v>
      </c>
      <c r="O40" s="84"/>
      <c r="P40" s="473" t="e">
        <f t="shared" ref="P40" si="50">AVERAGE(O40:O46)</f>
        <v>#DIV/0!</v>
      </c>
      <c r="R40" s="154"/>
      <c r="S40" s="473" t="e">
        <f t="shared" ref="S40" si="51">AVERAGE(R40:R46)</f>
        <v>#DIV/0!</v>
      </c>
      <c r="U40" s="154"/>
      <c r="V40" s="473" t="e">
        <f t="shared" ref="V40" si="52">AVERAGE(U40:U46)</f>
        <v>#DIV/0!</v>
      </c>
    </row>
    <row r="41" spans="2:23">
      <c r="B41" s="475"/>
      <c r="D41" s="80">
        <f t="shared" si="27"/>
        <v>46085</v>
      </c>
      <c r="E41" s="80" t="s">
        <v>88</v>
      </c>
      <c r="F41" s="87"/>
      <c r="G41" s="488"/>
      <c r="I41" s="154">
        <f t="shared" ref="I41:I46" si="53">F41/$C$1</f>
        <v>0</v>
      </c>
      <c r="J41" s="473"/>
      <c r="L41" s="162"/>
      <c r="M41" s="489"/>
      <c r="O41" s="84"/>
      <c r="P41" s="473"/>
      <c r="R41" s="154"/>
      <c r="S41" s="473"/>
      <c r="U41" s="154"/>
      <c r="V41" s="473"/>
    </row>
    <row r="42" spans="2:23">
      <c r="B42" s="475"/>
      <c r="D42" s="80">
        <f t="shared" si="27"/>
        <v>46086</v>
      </c>
      <c r="E42" s="80" t="s">
        <v>89</v>
      </c>
      <c r="F42" s="87"/>
      <c r="G42" s="488"/>
      <c r="I42" s="154">
        <f t="shared" si="53"/>
        <v>0</v>
      </c>
      <c r="J42" s="473"/>
      <c r="L42" s="162"/>
      <c r="M42" s="489"/>
      <c r="O42" s="84"/>
      <c r="P42" s="473"/>
      <c r="R42" s="154"/>
      <c r="S42" s="473"/>
      <c r="U42" s="154"/>
      <c r="V42" s="473"/>
    </row>
    <row r="43" spans="2:23">
      <c r="B43" s="475"/>
      <c r="D43" s="80">
        <f t="shared" si="27"/>
        <v>46087</v>
      </c>
      <c r="E43" s="80" t="s">
        <v>90</v>
      </c>
      <c r="F43" s="87"/>
      <c r="G43" s="488"/>
      <c r="I43" s="154">
        <f t="shared" si="53"/>
        <v>0</v>
      </c>
      <c r="J43" s="473"/>
      <c r="L43" s="162"/>
      <c r="M43" s="489"/>
      <c r="O43" s="84"/>
      <c r="P43" s="473"/>
      <c r="R43" s="154"/>
      <c r="S43" s="473"/>
      <c r="U43" s="154"/>
      <c r="V43" s="473"/>
    </row>
    <row r="44" spans="2:23">
      <c r="B44" s="475"/>
      <c r="D44" s="80">
        <f t="shared" si="27"/>
        <v>46088</v>
      </c>
      <c r="E44" s="80" t="s">
        <v>91</v>
      </c>
      <c r="F44" s="87"/>
      <c r="G44" s="488"/>
      <c r="I44" s="154">
        <f t="shared" si="53"/>
        <v>0</v>
      </c>
      <c r="J44" s="473"/>
      <c r="L44" s="162"/>
      <c r="M44" s="489"/>
      <c r="O44" s="84"/>
      <c r="P44" s="473"/>
      <c r="R44" s="154"/>
      <c r="S44" s="473"/>
      <c r="U44" s="154"/>
      <c r="V44" s="473"/>
    </row>
    <row r="45" spans="2:23">
      <c r="B45" s="475"/>
      <c r="D45" s="80">
        <f t="shared" si="27"/>
        <v>46089</v>
      </c>
      <c r="E45" s="80" t="s">
        <v>84</v>
      </c>
      <c r="F45" s="87"/>
      <c r="G45" s="488"/>
      <c r="I45" s="154">
        <f t="shared" si="53"/>
        <v>0</v>
      </c>
      <c r="J45" s="473"/>
      <c r="L45" s="162"/>
      <c r="M45" s="489"/>
      <c r="O45" s="84"/>
      <c r="P45" s="473"/>
      <c r="R45" s="154"/>
      <c r="S45" s="473"/>
      <c r="U45" s="154"/>
      <c r="V45" s="473"/>
    </row>
    <row r="46" spans="2:23">
      <c r="B46" s="475"/>
      <c r="D46" s="80">
        <f t="shared" si="27"/>
        <v>46090</v>
      </c>
      <c r="E46" s="80" t="s">
        <v>92</v>
      </c>
      <c r="F46" s="87"/>
      <c r="G46" s="488"/>
      <c r="I46" s="154">
        <f t="shared" si="53"/>
        <v>0</v>
      </c>
      <c r="J46" s="473"/>
      <c r="L46" s="162"/>
      <c r="M46" s="489"/>
      <c r="O46" s="84"/>
      <c r="P46" s="473"/>
      <c r="R46" s="154"/>
      <c r="S46" s="473"/>
      <c r="U46" s="154"/>
      <c r="V46" s="473"/>
    </row>
  </sheetData>
  <mergeCells count="66">
    <mergeCell ref="W5:W9"/>
    <mergeCell ref="W10:W38"/>
    <mergeCell ref="S5:S11"/>
    <mergeCell ref="V5:V11"/>
    <mergeCell ref="Q10:Q39"/>
    <mergeCell ref="T10:T39"/>
    <mergeCell ref="T5:T9"/>
    <mergeCell ref="Q5:Q9"/>
    <mergeCell ref="S12:S18"/>
    <mergeCell ref="V12:V18"/>
    <mergeCell ref="S19:S25"/>
    <mergeCell ref="V19:V25"/>
    <mergeCell ref="B40:B46"/>
    <mergeCell ref="G40:G46"/>
    <mergeCell ref="J40:J46"/>
    <mergeCell ref="M40:M46"/>
    <mergeCell ref="P40:P46"/>
    <mergeCell ref="S40:S46"/>
    <mergeCell ref="V40:V46"/>
    <mergeCell ref="S26:S32"/>
    <mergeCell ref="V26:V32"/>
    <mergeCell ref="S33:S39"/>
    <mergeCell ref="V33:V39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M19:M25"/>
    <mergeCell ref="P19:P25"/>
    <mergeCell ref="B12:B18"/>
    <mergeCell ref="G12:G18"/>
    <mergeCell ref="J12:J18"/>
    <mergeCell ref="M12:M18"/>
    <mergeCell ref="P12:P18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5:B11"/>
    <mergeCell ref="G5:G11"/>
    <mergeCell ref="J5:J11"/>
    <mergeCell ref="M5:M11"/>
    <mergeCell ref="P5:P11"/>
    <mergeCell ref="C5:C9"/>
    <mergeCell ref="C10:C37"/>
    <mergeCell ref="H10:H37"/>
    <mergeCell ref="H5:H9"/>
    <mergeCell ref="K5:K9"/>
    <mergeCell ref="K10:K40"/>
    <mergeCell ref="N10:N37"/>
    <mergeCell ref="N5:N9"/>
    <mergeCell ref="B19:B25"/>
    <mergeCell ref="G19:G25"/>
    <mergeCell ref="J19:J2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AN69"/>
  <sheetViews>
    <sheetView zoomScale="85" zoomScaleNormal="85" workbookViewId="0"/>
  </sheetViews>
  <sheetFormatPr defaultColWidth="8.85546875" defaultRowHeight="15.9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4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80" t="s">
        <v>103</v>
      </c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</row>
    <row r="3" spans="1:40" ht="25.35" customHeight="1">
      <c r="B3" s="497" t="s">
        <v>75</v>
      </c>
      <c r="C3" s="498" t="s">
        <v>104</v>
      </c>
      <c r="D3" s="499" t="s">
        <v>77</v>
      </c>
      <c r="E3" s="499"/>
      <c r="F3" s="501" t="s">
        <v>105</v>
      </c>
      <c r="G3" s="501"/>
      <c r="H3" s="501"/>
      <c r="I3" s="502" t="s">
        <v>106</v>
      </c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2"/>
      <c r="AB3" s="502"/>
      <c r="AC3" s="502"/>
      <c r="AD3" s="502"/>
      <c r="AE3" s="502"/>
      <c r="AF3" s="502"/>
      <c r="AG3" s="502"/>
      <c r="AH3" s="502"/>
      <c r="AI3" s="502"/>
      <c r="AJ3" s="502"/>
      <c r="AK3" s="502"/>
      <c r="AL3" s="502"/>
    </row>
    <row r="4" spans="1:40" ht="25.35" customHeight="1">
      <c r="B4" s="497"/>
      <c r="C4" s="498"/>
      <c r="D4" s="499"/>
      <c r="E4" s="499"/>
      <c r="F4" s="501"/>
      <c r="G4" s="501"/>
      <c r="H4" s="501"/>
      <c r="I4" s="495" t="s">
        <v>107</v>
      </c>
      <c r="J4" s="495"/>
      <c r="K4" s="495"/>
      <c r="L4" s="495"/>
      <c r="M4" s="495"/>
      <c r="N4" s="495"/>
      <c r="O4" s="495" t="s">
        <v>108</v>
      </c>
      <c r="P4" s="495"/>
      <c r="Q4" s="495"/>
      <c r="R4" s="495"/>
      <c r="S4" s="495"/>
      <c r="T4" s="495"/>
      <c r="U4" s="495" t="s">
        <v>109</v>
      </c>
      <c r="V4" s="495"/>
      <c r="W4" s="495" t="s">
        <v>110</v>
      </c>
      <c r="X4" s="495"/>
      <c r="Y4" s="495" t="s">
        <v>111</v>
      </c>
      <c r="Z4" s="495"/>
      <c r="AA4" s="495"/>
      <c r="AB4" s="495"/>
      <c r="AC4" s="495"/>
      <c r="AD4" s="495"/>
      <c r="AE4" s="495" t="s">
        <v>112</v>
      </c>
      <c r="AF4" s="495"/>
      <c r="AG4" s="495" t="s">
        <v>113</v>
      </c>
      <c r="AH4" s="495"/>
      <c r="AI4" s="495" t="s">
        <v>114</v>
      </c>
      <c r="AJ4" s="495"/>
      <c r="AK4" s="495" t="s">
        <v>115</v>
      </c>
      <c r="AL4" s="495"/>
    </row>
    <row r="5" spans="1:40" ht="25.35" customHeight="1">
      <c r="B5" s="497"/>
      <c r="C5" s="498"/>
      <c r="D5" s="499"/>
      <c r="E5" s="499"/>
      <c r="F5" s="504" t="s">
        <v>84</v>
      </c>
      <c r="G5" s="496" t="s">
        <v>85</v>
      </c>
      <c r="H5" s="496" t="s">
        <v>86</v>
      </c>
      <c r="I5" s="495" t="s">
        <v>116</v>
      </c>
      <c r="J5" s="495"/>
      <c r="K5" s="495" t="s">
        <v>117</v>
      </c>
      <c r="L5" s="495"/>
      <c r="M5" s="503" t="s">
        <v>118</v>
      </c>
      <c r="N5" s="495"/>
      <c r="O5" s="495" t="s">
        <v>116</v>
      </c>
      <c r="P5" s="495"/>
      <c r="Q5" s="495" t="s">
        <v>117</v>
      </c>
      <c r="R5" s="495"/>
      <c r="S5" s="503" t="s">
        <v>118</v>
      </c>
      <c r="T5" s="495"/>
      <c r="U5" s="495" t="s">
        <v>116</v>
      </c>
      <c r="V5" s="495"/>
      <c r="W5" s="495" t="s">
        <v>116</v>
      </c>
      <c r="X5" s="495"/>
      <c r="Y5" s="495" t="s">
        <v>116</v>
      </c>
      <c r="Z5" s="495"/>
      <c r="AA5" s="495" t="s">
        <v>117</v>
      </c>
      <c r="AB5" s="495"/>
      <c r="AC5" s="503" t="s">
        <v>118</v>
      </c>
      <c r="AD5" s="495"/>
      <c r="AE5" s="495" t="s">
        <v>116</v>
      </c>
      <c r="AF5" s="495"/>
      <c r="AG5" s="495" t="s">
        <v>116</v>
      </c>
      <c r="AH5" s="495"/>
      <c r="AI5" s="495" t="s">
        <v>116</v>
      </c>
      <c r="AJ5" s="495"/>
      <c r="AK5" s="495" t="s">
        <v>116</v>
      </c>
      <c r="AL5" s="495"/>
    </row>
    <row r="6" spans="1:40" s="77" customFormat="1" ht="23.45" customHeight="1">
      <c r="B6" s="497"/>
      <c r="C6" s="498"/>
      <c r="D6" s="500"/>
      <c r="E6" s="500"/>
      <c r="F6" s="505"/>
      <c r="G6" s="496"/>
      <c r="H6" s="496"/>
      <c r="I6" s="92" t="s">
        <v>119</v>
      </c>
      <c r="J6" s="93" t="s">
        <v>120</v>
      </c>
      <c r="K6" s="92" t="s">
        <v>119</v>
      </c>
      <c r="L6" s="93" t="s">
        <v>120</v>
      </c>
      <c r="M6" s="92" t="s">
        <v>119</v>
      </c>
      <c r="N6" s="93" t="s">
        <v>120</v>
      </c>
      <c r="O6" s="92" t="s">
        <v>119</v>
      </c>
      <c r="P6" s="93" t="s">
        <v>120</v>
      </c>
      <c r="Q6" s="92" t="s">
        <v>119</v>
      </c>
      <c r="R6" s="93" t="s">
        <v>120</v>
      </c>
      <c r="S6" s="92" t="s">
        <v>119</v>
      </c>
      <c r="T6" s="93" t="s">
        <v>120</v>
      </c>
      <c r="U6" s="92" t="s">
        <v>119</v>
      </c>
      <c r="V6" s="93" t="s">
        <v>120</v>
      </c>
      <c r="W6" s="92" t="s">
        <v>119</v>
      </c>
      <c r="X6" s="93" t="s">
        <v>120</v>
      </c>
      <c r="Y6" s="92" t="s">
        <v>119</v>
      </c>
      <c r="Z6" s="93" t="s">
        <v>120</v>
      </c>
      <c r="AA6" s="92" t="s">
        <v>119</v>
      </c>
      <c r="AB6" s="93" t="s">
        <v>120</v>
      </c>
      <c r="AC6" s="92" t="s">
        <v>119</v>
      </c>
      <c r="AD6" s="93" t="s">
        <v>120</v>
      </c>
      <c r="AE6" s="92" t="s">
        <v>119</v>
      </c>
      <c r="AF6" s="93" t="s">
        <v>120</v>
      </c>
      <c r="AG6" s="92" t="s">
        <v>119</v>
      </c>
      <c r="AH6" s="93" t="s">
        <v>120</v>
      </c>
      <c r="AI6" s="92" t="s">
        <v>119</v>
      </c>
      <c r="AJ6" s="93" t="s">
        <v>120</v>
      </c>
      <c r="AK6" s="92" t="s">
        <v>119</v>
      </c>
      <c r="AL6" s="93" t="s">
        <v>120</v>
      </c>
    </row>
    <row r="7" spans="1:40" s="73" customFormat="1" ht="14.25" customHeight="1">
      <c r="B7" s="509">
        <v>46057</v>
      </c>
      <c r="C7" s="477"/>
      <c r="D7" s="171">
        <v>46049</v>
      </c>
      <c r="E7" s="171" t="s">
        <v>87</v>
      </c>
      <c r="F7" s="335">
        <f t="shared" ref="F7:F41" si="0">SUM(M7,S7,U7,W7,AC7,AE7,AG7,AI7,AK7)</f>
        <v>4884312.03</v>
      </c>
      <c r="G7" s="512">
        <f>SUM(F7:F13)</f>
        <v>31759620</v>
      </c>
      <c r="H7" s="513"/>
      <c r="I7" s="172">
        <v>853494.19</v>
      </c>
      <c r="J7" s="173">
        <f t="shared" ref="J7:J41" si="1">I7/$F7</f>
        <v>0.17474194620608624</v>
      </c>
      <c r="K7" s="172">
        <v>910330.83000000019</v>
      </c>
      <c r="L7" s="173">
        <f t="shared" ref="L7:L41" si="2">K7/$F7</f>
        <v>0.18637851644379896</v>
      </c>
      <c r="M7" s="172">
        <f t="shared" ref="M7:M41" si="3">I7+K7</f>
        <v>1763825.02</v>
      </c>
      <c r="N7" s="173">
        <f t="shared" ref="N7" si="4">M7/$F7</f>
        <v>0.36112046264988518</v>
      </c>
      <c r="O7" s="172">
        <v>181062.83000000005</v>
      </c>
      <c r="P7" s="173">
        <f t="shared" ref="P7:P41" si="5">O7/$F7</f>
        <v>3.7070283161250051E-2</v>
      </c>
      <c r="Q7" s="172">
        <v>139548.29999999999</v>
      </c>
      <c r="R7" s="173">
        <f t="shared" ref="R7:R41" si="6">Q7/$F7</f>
        <v>2.8570717665636111E-2</v>
      </c>
      <c r="S7" s="172">
        <f t="shared" ref="S7:S41" si="7">O7+Q7</f>
        <v>320611.13</v>
      </c>
      <c r="T7" s="173">
        <f t="shared" ref="T7" si="8">S7/$F7</f>
        <v>6.5641000826886148E-2</v>
      </c>
      <c r="U7" s="172">
        <v>106504.18000000001</v>
      </c>
      <c r="V7" s="173">
        <f t="shared" ref="V7" si="9">U7/$F7</f>
        <v>2.1805359556440952E-2</v>
      </c>
      <c r="W7" s="172">
        <v>32784.6</v>
      </c>
      <c r="X7" s="173">
        <f t="shared" ref="X7:X41" si="10">W7/$F7</f>
        <v>6.7122247306546463E-3</v>
      </c>
      <c r="Y7" s="172">
        <v>199716.86000000002</v>
      </c>
      <c r="Z7" s="173">
        <f t="shared" ref="Z7:Z41" si="11">Y7/$F7</f>
        <v>4.0889455623088031E-2</v>
      </c>
      <c r="AA7" s="172">
        <v>564421.27</v>
      </c>
      <c r="AB7" s="173">
        <f t="shared" ref="AB7:AB41" si="12">AA7/$F7</f>
        <v>0.11555798780529589</v>
      </c>
      <c r="AC7" s="172">
        <f t="shared" ref="AC7:AC41" si="13">Y7+AA7</f>
        <v>764138.13</v>
      </c>
      <c r="AD7" s="173">
        <f t="shared" ref="AD7:AD41" si="14">AC7/$F7</f>
        <v>0.1564474434283839</v>
      </c>
      <c r="AE7" s="172">
        <v>1395175.1500000001</v>
      </c>
      <c r="AF7" s="173">
        <f t="shared" ref="AF7:AF41" si="15">AE7/F7</f>
        <v>0.28564414833259538</v>
      </c>
      <c r="AG7" s="172">
        <v>88700.4</v>
      </c>
      <c r="AH7" s="173">
        <f t="shared" ref="AH7:AH41" si="16">AG7/$F7</f>
        <v>1.8160264834677236E-2</v>
      </c>
      <c r="AI7" s="172">
        <v>245515.77</v>
      </c>
      <c r="AJ7" s="173">
        <f t="shared" ref="AJ7:AJ41" si="17">AI7/$F7</f>
        <v>5.0266192760006774E-2</v>
      </c>
      <c r="AK7" s="172">
        <v>167057.65</v>
      </c>
      <c r="AL7" s="173">
        <f t="shared" ref="AL7:AL41" si="18">AK7/$F7</f>
        <v>3.4202902880469739E-2</v>
      </c>
      <c r="AN7" s="72"/>
    </row>
    <row r="8" spans="1:40" s="73" customFormat="1" ht="14.25" customHeight="1">
      <c r="B8" s="510"/>
      <c r="C8" s="477"/>
      <c r="D8" s="171">
        <v>46050</v>
      </c>
      <c r="E8" s="171" t="s">
        <v>88</v>
      </c>
      <c r="F8" s="335">
        <f t="shared" si="0"/>
        <v>4734075.18</v>
      </c>
      <c r="G8" s="512"/>
      <c r="H8" s="514"/>
      <c r="I8" s="172">
        <v>831988.56</v>
      </c>
      <c r="J8" s="173">
        <f t="shared" si="1"/>
        <v>0.17574468684293268</v>
      </c>
      <c r="K8" s="172">
        <v>862624.7300000001</v>
      </c>
      <c r="L8" s="173">
        <f t="shared" si="2"/>
        <v>0.18221610287143775</v>
      </c>
      <c r="M8" s="172">
        <f t="shared" si="3"/>
        <v>1694613.29</v>
      </c>
      <c r="N8" s="173">
        <f t="shared" ref="N8" si="19">M8/F8</f>
        <v>0.3579607897143704</v>
      </c>
      <c r="O8" s="172">
        <v>194239.53</v>
      </c>
      <c r="P8" s="173">
        <f t="shared" si="5"/>
        <v>4.1030089851678275E-2</v>
      </c>
      <c r="Q8" s="172">
        <v>145026.12</v>
      </c>
      <c r="R8" s="173">
        <f t="shared" si="6"/>
        <v>3.0634519834558269E-2</v>
      </c>
      <c r="S8" s="172">
        <f t="shared" si="7"/>
        <v>339265.65</v>
      </c>
      <c r="T8" s="173">
        <f t="shared" ref="T8" si="20">S8/F8</f>
        <v>7.1664609686236558E-2</v>
      </c>
      <c r="U8" s="172">
        <v>100287.54</v>
      </c>
      <c r="V8" s="173">
        <f t="shared" ref="V8" si="21">U8/F8</f>
        <v>2.1184188291661223E-2</v>
      </c>
      <c r="W8" s="172">
        <v>34407.599999999999</v>
      </c>
      <c r="X8" s="173">
        <f t="shared" si="10"/>
        <v>7.2680721559643677E-3</v>
      </c>
      <c r="Y8" s="172">
        <v>190576.89</v>
      </c>
      <c r="Z8" s="173">
        <f t="shared" si="11"/>
        <v>4.0256413925391026E-2</v>
      </c>
      <c r="AA8" s="172">
        <v>541555.91</v>
      </c>
      <c r="AB8" s="173">
        <f t="shared" si="12"/>
        <v>0.11439529145796119</v>
      </c>
      <c r="AC8" s="172">
        <f t="shared" si="13"/>
        <v>732132.8</v>
      </c>
      <c r="AD8" s="173">
        <f t="shared" si="14"/>
        <v>0.15465170538335221</v>
      </c>
      <c r="AE8" s="172">
        <v>1316021.04</v>
      </c>
      <c r="AF8" s="173">
        <f t="shared" si="15"/>
        <v>0.27798904537042018</v>
      </c>
      <c r="AG8" s="172">
        <v>90992.4</v>
      </c>
      <c r="AH8" s="173">
        <f t="shared" si="16"/>
        <v>1.9220734048418724E-2</v>
      </c>
      <c r="AI8" s="172">
        <v>252653.35</v>
      </c>
      <c r="AJ8" s="173">
        <f t="shared" si="17"/>
        <v>5.3369103867928015E-2</v>
      </c>
      <c r="AK8" s="172">
        <v>173701.50999999998</v>
      </c>
      <c r="AL8" s="173">
        <f t="shared" si="18"/>
        <v>3.6691751481648417E-2</v>
      </c>
      <c r="AN8" s="72"/>
    </row>
    <row r="9" spans="1:40" s="73" customFormat="1" ht="14.25" customHeight="1">
      <c r="B9" s="510"/>
      <c r="C9" s="477"/>
      <c r="D9" s="171">
        <v>46051</v>
      </c>
      <c r="E9" s="171" t="s">
        <v>89</v>
      </c>
      <c r="F9" s="335">
        <f t="shared" si="0"/>
        <v>4383675.45</v>
      </c>
      <c r="G9" s="512"/>
      <c r="H9" s="514"/>
      <c r="I9" s="172">
        <v>781634.2</v>
      </c>
      <c r="J9" s="173">
        <f t="shared" si="1"/>
        <v>0.17830567269755335</v>
      </c>
      <c r="K9" s="172">
        <v>765589.37999999989</v>
      </c>
      <c r="L9" s="173">
        <f t="shared" si="2"/>
        <v>0.1746455431594508</v>
      </c>
      <c r="M9" s="172">
        <f t="shared" si="3"/>
        <v>1547223.5799999998</v>
      </c>
      <c r="N9" s="173">
        <f t="shared" ref="N9" si="22">M9/$F9</f>
        <v>0.35295121585700412</v>
      </c>
      <c r="O9" s="172">
        <v>187197.26999999996</v>
      </c>
      <c r="P9" s="173">
        <f t="shared" si="5"/>
        <v>4.2703268555157284E-2</v>
      </c>
      <c r="Q9" s="172">
        <v>149643.08000000002</v>
      </c>
      <c r="R9" s="173">
        <f t="shared" si="6"/>
        <v>3.4136441373642294E-2</v>
      </c>
      <c r="S9" s="172">
        <f t="shared" si="7"/>
        <v>336840.35</v>
      </c>
      <c r="T9" s="173">
        <f t="shared" ref="T9" si="23">S9/$F9</f>
        <v>7.6839709928799585E-2</v>
      </c>
      <c r="U9" s="172">
        <v>99056.26999999999</v>
      </c>
      <c r="V9" s="173">
        <f t="shared" ref="V9" si="24">U9/$F9</f>
        <v>2.2596624939467173E-2</v>
      </c>
      <c r="W9" s="172">
        <v>33190.35</v>
      </c>
      <c r="X9" s="173">
        <f t="shared" si="10"/>
        <v>7.5713520260720941E-3</v>
      </c>
      <c r="Y9" s="172">
        <v>179620.28</v>
      </c>
      <c r="Z9" s="173">
        <f t="shared" si="11"/>
        <v>4.0974812585635186E-2</v>
      </c>
      <c r="AA9" s="172">
        <v>446540.55</v>
      </c>
      <c r="AB9" s="173">
        <f t="shared" si="12"/>
        <v>0.10186441836153723</v>
      </c>
      <c r="AC9" s="172">
        <f t="shared" si="13"/>
        <v>626160.82999999996</v>
      </c>
      <c r="AD9" s="173">
        <f t="shared" si="14"/>
        <v>0.14283923094717241</v>
      </c>
      <c r="AE9" s="172">
        <v>1223384.53</v>
      </c>
      <c r="AF9" s="173">
        <f t="shared" si="15"/>
        <v>0.27907735049135535</v>
      </c>
      <c r="AG9" s="172">
        <v>93628.2</v>
      </c>
      <c r="AH9" s="173">
        <f t="shared" si="16"/>
        <v>2.1358378618106865E-2</v>
      </c>
      <c r="AI9" s="172">
        <v>254604.91</v>
      </c>
      <c r="AJ9" s="173">
        <f t="shared" si="17"/>
        <v>5.8080237212816473E-2</v>
      </c>
      <c r="AK9" s="172">
        <v>169586.43</v>
      </c>
      <c r="AL9" s="173">
        <f t="shared" si="18"/>
        <v>3.8685899979205803E-2</v>
      </c>
      <c r="AN9" s="72"/>
    </row>
    <row r="10" spans="1:40" s="73" customFormat="1" ht="14.25" customHeight="1">
      <c r="B10" s="510"/>
      <c r="C10" s="477"/>
      <c r="D10" s="171">
        <v>46052</v>
      </c>
      <c r="E10" s="171" t="s">
        <v>90</v>
      </c>
      <c r="F10" s="335">
        <f t="shared" si="0"/>
        <v>3724978.02</v>
      </c>
      <c r="G10" s="512"/>
      <c r="H10" s="514"/>
      <c r="I10" s="172">
        <v>613209.18999999994</v>
      </c>
      <c r="J10" s="173">
        <f t="shared" si="1"/>
        <v>0.1646208881522474</v>
      </c>
      <c r="K10" s="172">
        <v>738110.29</v>
      </c>
      <c r="L10" s="173">
        <f t="shared" si="2"/>
        <v>0.19815158265014407</v>
      </c>
      <c r="M10" s="172">
        <f t="shared" si="3"/>
        <v>1351319.48</v>
      </c>
      <c r="N10" s="173">
        <f t="shared" ref="N10" si="25">M10/F10</f>
        <v>0.36277247080239144</v>
      </c>
      <c r="O10" s="172">
        <v>132952.62999999998</v>
      </c>
      <c r="P10" s="173">
        <f t="shared" si="5"/>
        <v>3.569219181593989E-2</v>
      </c>
      <c r="Q10" s="172">
        <v>118971.19</v>
      </c>
      <c r="R10" s="173">
        <f t="shared" si="6"/>
        <v>3.193876295678115E-2</v>
      </c>
      <c r="S10" s="172">
        <f t="shared" si="7"/>
        <v>251923.81999999998</v>
      </c>
      <c r="T10" s="173">
        <f t="shared" ref="T10" si="26">S10/F10</f>
        <v>6.7630954772721047E-2</v>
      </c>
      <c r="U10" s="172">
        <v>79282.880000000005</v>
      </c>
      <c r="V10" s="173">
        <f t="shared" ref="V10" si="27">U10/F10</f>
        <v>2.1284120221466436E-2</v>
      </c>
      <c r="W10" s="172">
        <v>25886.850000000002</v>
      </c>
      <c r="X10" s="173">
        <f t="shared" si="10"/>
        <v>6.9495309397825658E-3</v>
      </c>
      <c r="Y10" s="172">
        <v>174056.82</v>
      </c>
      <c r="Z10" s="173">
        <f t="shared" si="11"/>
        <v>4.6726938807547649E-2</v>
      </c>
      <c r="AA10" s="172">
        <v>463375.92999999993</v>
      </c>
      <c r="AB10" s="173">
        <f t="shared" si="12"/>
        <v>0.1243969568443252</v>
      </c>
      <c r="AC10" s="172">
        <f t="shared" si="13"/>
        <v>637432.75</v>
      </c>
      <c r="AD10" s="173">
        <f t="shared" si="14"/>
        <v>0.17112389565187286</v>
      </c>
      <c r="AE10" s="172">
        <v>961597.17</v>
      </c>
      <c r="AF10" s="173">
        <f t="shared" si="15"/>
        <v>0.25814841452406745</v>
      </c>
      <c r="AG10" s="172">
        <v>72541.8</v>
      </c>
      <c r="AH10" s="173">
        <f t="shared" si="16"/>
        <v>1.9474423637001758E-2</v>
      </c>
      <c r="AI10" s="172">
        <v>209875.57</v>
      </c>
      <c r="AJ10" s="173">
        <f t="shared" si="17"/>
        <v>5.6342767359470219E-2</v>
      </c>
      <c r="AK10" s="172">
        <v>135117.70000000001</v>
      </c>
      <c r="AL10" s="173">
        <f t="shared" si="18"/>
        <v>3.6273422091226193E-2</v>
      </c>
      <c r="AN10" s="72"/>
    </row>
    <row r="11" spans="1:40" s="73" customFormat="1" ht="14.25" customHeight="1">
      <c r="B11" s="510"/>
      <c r="C11" s="477"/>
      <c r="D11" s="171">
        <v>46053</v>
      </c>
      <c r="E11" s="171" t="s">
        <v>91</v>
      </c>
      <c r="F11" s="335">
        <f t="shared" si="0"/>
        <v>4007768.4000000004</v>
      </c>
      <c r="G11" s="512"/>
      <c r="H11" s="515"/>
      <c r="I11" s="172">
        <v>579928.7300000001</v>
      </c>
      <c r="J11" s="173">
        <f t="shared" si="1"/>
        <v>0.14470115838030961</v>
      </c>
      <c r="K11" s="172">
        <v>832680.8899999999</v>
      </c>
      <c r="L11" s="173">
        <f t="shared" si="2"/>
        <v>0.2077667187555049</v>
      </c>
      <c r="M11" s="172">
        <f t="shared" si="3"/>
        <v>1412609.62</v>
      </c>
      <c r="N11" s="173">
        <f t="shared" ref="N11" si="28">M11/$F11</f>
        <v>0.35246787713581451</v>
      </c>
      <c r="O11" s="172">
        <v>125493.32</v>
      </c>
      <c r="P11" s="173">
        <f t="shared" si="5"/>
        <v>3.131251795887207E-2</v>
      </c>
      <c r="Q11" s="172">
        <v>113295.76</v>
      </c>
      <c r="R11" s="173">
        <f t="shared" si="6"/>
        <v>2.8269038699940841E-2</v>
      </c>
      <c r="S11" s="172">
        <f t="shared" si="7"/>
        <v>238789.08000000002</v>
      </c>
      <c r="T11" s="173">
        <f t="shared" ref="T11" si="29">S11/$F11</f>
        <v>5.9581556658812915E-2</v>
      </c>
      <c r="U11" s="172">
        <v>86337.3</v>
      </c>
      <c r="V11" s="173">
        <f t="shared" ref="V11" si="30">U11/$F11</f>
        <v>2.1542487335346024E-2</v>
      </c>
      <c r="W11" s="172">
        <v>26563.100000000002</v>
      </c>
      <c r="X11" s="173">
        <f t="shared" si="10"/>
        <v>6.6279029496814235E-3</v>
      </c>
      <c r="Y11" s="172">
        <v>193756.01</v>
      </c>
      <c r="Z11" s="173">
        <f t="shared" si="11"/>
        <v>4.8345111459035403E-2</v>
      </c>
      <c r="AA11" s="172">
        <v>524242.37000000011</v>
      </c>
      <c r="AB11" s="173">
        <f t="shared" si="12"/>
        <v>0.13080655309323763</v>
      </c>
      <c r="AC11" s="172">
        <f t="shared" si="13"/>
        <v>717998.38000000012</v>
      </c>
      <c r="AD11" s="173">
        <f t="shared" si="14"/>
        <v>0.17915166455227305</v>
      </c>
      <c r="AE11" s="172">
        <v>1049859.3800000001</v>
      </c>
      <c r="AF11" s="173">
        <f t="shared" si="15"/>
        <v>0.26195610005807723</v>
      </c>
      <c r="AG11" s="172">
        <v>87038.7</v>
      </c>
      <c r="AH11" s="173">
        <f t="shared" si="16"/>
        <v>2.1717497448205836E-2</v>
      </c>
      <c r="AI11" s="172">
        <v>224467.83000000002</v>
      </c>
      <c r="AJ11" s="173">
        <f t="shared" si="17"/>
        <v>5.6008184005842253E-2</v>
      </c>
      <c r="AK11" s="172">
        <v>164105.00999999998</v>
      </c>
      <c r="AL11" s="173">
        <f t="shared" si="18"/>
        <v>4.0946729855946759E-2</v>
      </c>
      <c r="AN11" s="72"/>
    </row>
    <row r="12" spans="1:40" s="73" customFormat="1" ht="14.25" customHeight="1">
      <c r="B12" s="510"/>
      <c r="C12" s="506" t="s">
        <v>87</v>
      </c>
      <c r="D12" s="171">
        <v>46054</v>
      </c>
      <c r="E12" s="171" t="s">
        <v>84</v>
      </c>
      <c r="F12" s="335">
        <f t="shared" si="0"/>
        <v>5128838.0100000007</v>
      </c>
      <c r="G12" s="512"/>
      <c r="H12" s="513">
        <f>SUM(F12:F39)</f>
        <v>116569430.23000002</v>
      </c>
      <c r="I12" s="172">
        <v>822588.93</v>
      </c>
      <c r="J12" s="173">
        <f t="shared" si="1"/>
        <v>0.16038504791848551</v>
      </c>
      <c r="K12" s="172">
        <v>921629.34000000008</v>
      </c>
      <c r="L12" s="173">
        <f t="shared" si="2"/>
        <v>0.1796955447224195</v>
      </c>
      <c r="M12" s="172">
        <f t="shared" si="3"/>
        <v>1744218.27</v>
      </c>
      <c r="N12" s="173">
        <f t="shared" ref="N12" si="31">M12/F12</f>
        <v>0.34008059264090501</v>
      </c>
      <c r="O12" s="172">
        <v>196730.21999999997</v>
      </c>
      <c r="P12" s="173">
        <f t="shared" si="5"/>
        <v>3.835765910649222E-2</v>
      </c>
      <c r="Q12" s="172">
        <v>140075.05000000002</v>
      </c>
      <c r="R12" s="173">
        <f t="shared" si="6"/>
        <v>2.7311264213626431E-2</v>
      </c>
      <c r="S12" s="172">
        <f t="shared" si="7"/>
        <v>336805.27</v>
      </c>
      <c r="T12" s="173">
        <f t="shared" ref="T12" si="32">S12/F12</f>
        <v>6.5668923320118658E-2</v>
      </c>
      <c r="U12" s="172">
        <v>111357.12</v>
      </c>
      <c r="V12" s="173">
        <f t="shared" ref="V12" si="33">U12/F12</f>
        <v>2.17119588848157E-2</v>
      </c>
      <c r="W12" s="172">
        <v>34786.300000000003</v>
      </c>
      <c r="X12" s="173">
        <f t="shared" si="10"/>
        <v>6.7824914595031238E-3</v>
      </c>
      <c r="Y12" s="172">
        <v>212944.27000000002</v>
      </c>
      <c r="Z12" s="173">
        <f t="shared" si="11"/>
        <v>4.1519008708173252E-2</v>
      </c>
      <c r="AA12" s="172">
        <v>608050.05000000005</v>
      </c>
      <c r="AB12" s="173">
        <f t="shared" si="12"/>
        <v>0.11855512863039322</v>
      </c>
      <c r="AC12" s="172">
        <f t="shared" si="13"/>
        <v>820994.32000000007</v>
      </c>
      <c r="AD12" s="173">
        <f t="shared" si="14"/>
        <v>0.16007413733856646</v>
      </c>
      <c r="AE12" s="172">
        <v>1637542.53</v>
      </c>
      <c r="AF12" s="173">
        <f t="shared" si="15"/>
        <v>0.3192813902110353</v>
      </c>
      <c r="AG12" s="172">
        <v>85606.2</v>
      </c>
      <c r="AH12" s="173">
        <f t="shared" si="16"/>
        <v>1.6691149112740254E-2</v>
      </c>
      <c r="AI12" s="172">
        <v>207174.87</v>
      </c>
      <c r="AJ12" s="173">
        <f t="shared" si="17"/>
        <v>4.0394114533556881E-2</v>
      </c>
      <c r="AK12" s="172">
        <v>150353.12999999998</v>
      </c>
      <c r="AL12" s="173">
        <f t="shared" si="18"/>
        <v>2.9315242498758498E-2</v>
      </c>
      <c r="AN12" s="72"/>
    </row>
    <row r="13" spans="1:40" s="73" customFormat="1" ht="14.25" customHeight="1">
      <c r="B13" s="511"/>
      <c r="C13" s="507"/>
      <c r="D13" s="171">
        <v>46055</v>
      </c>
      <c r="E13" s="171" t="s">
        <v>92</v>
      </c>
      <c r="F13" s="335">
        <f t="shared" si="0"/>
        <v>4895972.91</v>
      </c>
      <c r="G13" s="512"/>
      <c r="H13" s="514"/>
      <c r="I13" s="172">
        <v>795637.69000000006</v>
      </c>
      <c r="J13" s="173">
        <f t="shared" si="1"/>
        <v>0.16250859729532288</v>
      </c>
      <c r="K13" s="172">
        <v>900596.82000000018</v>
      </c>
      <c r="L13" s="173">
        <f t="shared" si="2"/>
        <v>0.18394644671348889</v>
      </c>
      <c r="M13" s="172">
        <f t="shared" si="3"/>
        <v>1696234.5100000002</v>
      </c>
      <c r="N13" s="173">
        <f t="shared" ref="N13:N14" si="34">M13/$F13</f>
        <v>0.34645504400881177</v>
      </c>
      <c r="O13" s="172">
        <v>185830.12999999998</v>
      </c>
      <c r="P13" s="173">
        <f t="shared" si="5"/>
        <v>3.7955710420791516E-2</v>
      </c>
      <c r="Q13" s="172">
        <v>140641.23000000001</v>
      </c>
      <c r="R13" s="173">
        <f t="shared" si="6"/>
        <v>2.8725900364509983E-2</v>
      </c>
      <c r="S13" s="172">
        <f t="shared" si="7"/>
        <v>326471.36</v>
      </c>
      <c r="T13" s="173">
        <f t="shared" ref="T13:T14" si="35">S13/$F13</f>
        <v>6.6681610785301507E-2</v>
      </c>
      <c r="U13" s="172">
        <v>98762.34</v>
      </c>
      <c r="V13" s="173">
        <f t="shared" ref="V13:V14" si="36">U13/$F13</f>
        <v>2.0172158182958571E-2</v>
      </c>
      <c r="W13" s="172">
        <v>33460.85</v>
      </c>
      <c r="X13" s="173">
        <f t="shared" si="10"/>
        <v>6.834361753035108E-3</v>
      </c>
      <c r="Y13" s="172">
        <v>212149.49000000002</v>
      </c>
      <c r="Z13" s="173">
        <f t="shared" si="11"/>
        <v>4.3331426439612387E-2</v>
      </c>
      <c r="AA13" s="172">
        <v>571236.47000000009</v>
      </c>
      <c r="AB13" s="173">
        <f t="shared" si="12"/>
        <v>0.1166747611763236</v>
      </c>
      <c r="AC13" s="172">
        <f t="shared" si="13"/>
        <v>783385.96000000008</v>
      </c>
      <c r="AD13" s="173">
        <f t="shared" si="14"/>
        <v>0.16000618761593599</v>
      </c>
      <c r="AE13" s="172">
        <v>1441498.8</v>
      </c>
      <c r="AF13" s="173">
        <f t="shared" si="15"/>
        <v>0.29442540359154068</v>
      </c>
      <c r="AG13" s="172">
        <v>96206.7</v>
      </c>
      <c r="AH13" s="173">
        <f t="shared" si="16"/>
        <v>1.9650170000634255E-2</v>
      </c>
      <c r="AI13" s="172">
        <v>242716.63999999998</v>
      </c>
      <c r="AJ13" s="173">
        <f t="shared" si="17"/>
        <v>4.9574751425656885E-2</v>
      </c>
      <c r="AK13" s="172">
        <v>177235.75</v>
      </c>
      <c r="AL13" s="173">
        <f t="shared" si="18"/>
        <v>3.6200312636125269E-2</v>
      </c>
      <c r="AN13" s="72"/>
    </row>
    <row r="14" spans="1:40" s="73" customFormat="1" ht="14.25" customHeight="1">
      <c r="B14" s="509">
        <f>B7+7</f>
        <v>46064</v>
      </c>
      <c r="C14" s="507"/>
      <c r="D14" s="171">
        <v>46056</v>
      </c>
      <c r="E14" s="171" t="s">
        <v>87</v>
      </c>
      <c r="F14" s="335">
        <f t="shared" si="0"/>
        <v>4840106.0000000009</v>
      </c>
      <c r="G14" s="512">
        <f t="shared" ref="G14" si="37">SUM(F14:F20)</f>
        <v>31225639.43</v>
      </c>
      <c r="H14" s="514"/>
      <c r="I14" s="172">
        <v>805654.1100000001</v>
      </c>
      <c r="J14" s="173">
        <f t="shared" si="1"/>
        <v>0.16645381526768213</v>
      </c>
      <c r="K14" s="172">
        <v>903998.27000000014</v>
      </c>
      <c r="L14" s="173">
        <f t="shared" si="2"/>
        <v>0.18677241159594438</v>
      </c>
      <c r="M14" s="172">
        <f t="shared" si="3"/>
        <v>1709652.3800000004</v>
      </c>
      <c r="N14" s="173">
        <f t="shared" si="34"/>
        <v>0.35322622686362654</v>
      </c>
      <c r="O14" s="172">
        <v>189898.68000000002</v>
      </c>
      <c r="P14" s="173">
        <f t="shared" si="5"/>
        <v>3.9234405196910974E-2</v>
      </c>
      <c r="Q14" s="172">
        <v>148484.16</v>
      </c>
      <c r="R14" s="173">
        <f t="shared" si="6"/>
        <v>3.067787358376035E-2</v>
      </c>
      <c r="S14" s="172">
        <f t="shared" si="7"/>
        <v>338382.84</v>
      </c>
      <c r="T14" s="173">
        <f t="shared" si="35"/>
        <v>6.9912278780671328E-2</v>
      </c>
      <c r="U14" s="172">
        <v>98046.38</v>
      </c>
      <c r="V14" s="173">
        <f t="shared" si="36"/>
        <v>2.0257072882288112E-2</v>
      </c>
      <c r="W14" s="172">
        <v>34353.5</v>
      </c>
      <c r="X14" s="173">
        <f t="shared" si="10"/>
        <v>7.0976751335611234E-3</v>
      </c>
      <c r="Y14" s="172">
        <v>203577.22</v>
      </c>
      <c r="Z14" s="173">
        <f t="shared" si="11"/>
        <v>4.2060487931462651E-2</v>
      </c>
      <c r="AA14" s="172">
        <v>596197.07000000007</v>
      </c>
      <c r="AB14" s="173">
        <f t="shared" si="12"/>
        <v>0.12317851509863625</v>
      </c>
      <c r="AC14" s="172">
        <f t="shared" si="13"/>
        <v>799774.29</v>
      </c>
      <c r="AD14" s="173">
        <f t="shared" si="14"/>
        <v>0.16523900303009889</v>
      </c>
      <c r="AE14" s="172">
        <v>1378129.2000000002</v>
      </c>
      <c r="AF14" s="173">
        <f t="shared" si="15"/>
        <v>0.28473120216788639</v>
      </c>
      <c r="AG14" s="172">
        <v>84975.9</v>
      </c>
      <c r="AH14" s="173">
        <f t="shared" si="16"/>
        <v>1.755661962775195E-2</v>
      </c>
      <c r="AI14" s="172">
        <v>226898.62</v>
      </c>
      <c r="AJ14" s="173">
        <f t="shared" si="17"/>
        <v>4.6878853479655189E-2</v>
      </c>
      <c r="AK14" s="172">
        <v>169892.89</v>
      </c>
      <c r="AL14" s="173">
        <f t="shared" si="18"/>
        <v>3.5101068034460399E-2</v>
      </c>
      <c r="AN14" s="72"/>
    </row>
    <row r="15" spans="1:40" s="73" customFormat="1" ht="14.25" customHeight="1">
      <c r="B15" s="510"/>
      <c r="C15" s="507"/>
      <c r="D15" s="171">
        <v>46057</v>
      </c>
      <c r="E15" s="171" t="s">
        <v>88</v>
      </c>
      <c r="F15" s="335">
        <f t="shared" si="0"/>
        <v>4730102.72</v>
      </c>
      <c r="G15" s="512"/>
      <c r="H15" s="514"/>
      <c r="I15" s="172">
        <v>798741.86999999988</v>
      </c>
      <c r="J15" s="173">
        <f t="shared" si="1"/>
        <v>0.16886353580076163</v>
      </c>
      <c r="K15" s="172">
        <v>860524.78999999992</v>
      </c>
      <c r="L15" s="173">
        <f t="shared" si="2"/>
        <v>0.18192518026331572</v>
      </c>
      <c r="M15" s="172">
        <f t="shared" si="3"/>
        <v>1659266.6599999997</v>
      </c>
      <c r="N15" s="173">
        <f t="shared" ref="N15" si="38">M15/F15</f>
        <v>0.3507887160640773</v>
      </c>
      <c r="O15" s="172">
        <v>204275.72</v>
      </c>
      <c r="P15" s="173">
        <f t="shared" si="5"/>
        <v>4.31863179495603E-2</v>
      </c>
      <c r="Q15" s="172">
        <v>151374.66</v>
      </c>
      <c r="R15" s="173">
        <f t="shared" si="6"/>
        <v>3.2002404379074458E-2</v>
      </c>
      <c r="S15" s="172">
        <f t="shared" si="7"/>
        <v>355650.38</v>
      </c>
      <c r="T15" s="173">
        <f t="shared" ref="T15" si="39">S15/F15</f>
        <v>7.5188722328634758E-2</v>
      </c>
      <c r="U15" s="172">
        <v>97169.36</v>
      </c>
      <c r="V15" s="173">
        <f t="shared" ref="V15" si="40">U15/F15</f>
        <v>2.0542758953023332E-2</v>
      </c>
      <c r="W15" s="172">
        <v>33379.700000000004</v>
      </c>
      <c r="X15" s="173">
        <f t="shared" si="10"/>
        <v>7.0568657756337281E-3</v>
      </c>
      <c r="Y15" s="172">
        <v>197446.06</v>
      </c>
      <c r="Z15" s="173">
        <f t="shared" si="11"/>
        <v>4.1742446557270538E-2</v>
      </c>
      <c r="AA15" s="172">
        <v>555977.33999999985</v>
      </c>
      <c r="AB15" s="173">
        <f t="shared" si="12"/>
        <v>0.1175402254266478</v>
      </c>
      <c r="AC15" s="172">
        <f t="shared" si="13"/>
        <v>753423.39999999991</v>
      </c>
      <c r="AD15" s="173">
        <f t="shared" si="14"/>
        <v>0.15928267198391835</v>
      </c>
      <c r="AE15" s="172">
        <v>1302867.9499999997</v>
      </c>
      <c r="AF15" s="173">
        <f t="shared" si="15"/>
        <v>0.27544178786882662</v>
      </c>
      <c r="AG15" s="172">
        <v>82683.899999999994</v>
      </c>
      <c r="AH15" s="173">
        <f t="shared" si="16"/>
        <v>1.7480360341942003E-2</v>
      </c>
      <c r="AI15" s="172">
        <v>248743.80000000002</v>
      </c>
      <c r="AJ15" s="173">
        <f t="shared" si="17"/>
        <v>5.2587399201343352E-2</v>
      </c>
      <c r="AK15" s="172">
        <v>196917.57</v>
      </c>
      <c r="AL15" s="173">
        <f t="shared" si="18"/>
        <v>4.1630717482600464E-2</v>
      </c>
      <c r="AN15" s="72"/>
    </row>
    <row r="16" spans="1:40" s="73" customFormat="1" ht="14.25" customHeight="1">
      <c r="B16" s="510"/>
      <c r="C16" s="507"/>
      <c r="D16" s="171">
        <v>46058</v>
      </c>
      <c r="E16" s="171" t="s">
        <v>89</v>
      </c>
      <c r="F16" s="335">
        <f t="shared" si="0"/>
        <v>4380960.53</v>
      </c>
      <c r="G16" s="512"/>
      <c r="H16" s="514"/>
      <c r="I16" s="172">
        <v>759713.44000000006</v>
      </c>
      <c r="J16" s="173">
        <f t="shared" si="1"/>
        <v>0.17341252786863159</v>
      </c>
      <c r="K16" s="172">
        <v>781752.3899999999</v>
      </c>
      <c r="L16" s="173">
        <f t="shared" si="2"/>
        <v>0.17844314840243489</v>
      </c>
      <c r="M16" s="172">
        <f t="shared" si="3"/>
        <v>1541465.83</v>
      </c>
      <c r="N16" s="173">
        <f t="shared" ref="N16" si="41">M16/$F16</f>
        <v>0.35185567627106651</v>
      </c>
      <c r="O16" s="172">
        <v>200678.65</v>
      </c>
      <c r="P16" s="173">
        <f t="shared" si="5"/>
        <v>4.5806997946178707E-2</v>
      </c>
      <c r="Q16" s="172">
        <v>150870.35</v>
      </c>
      <c r="R16" s="173">
        <f t="shared" si="6"/>
        <v>3.4437733224681667E-2</v>
      </c>
      <c r="S16" s="172">
        <f t="shared" si="7"/>
        <v>351549</v>
      </c>
      <c r="T16" s="173">
        <f t="shared" ref="T16" si="42">S16/$F16</f>
        <v>8.0244731170860367E-2</v>
      </c>
      <c r="U16" s="172">
        <v>87760.73</v>
      </c>
      <c r="V16" s="173">
        <f t="shared" ref="V16" si="43">U16/$F16</f>
        <v>2.0032303281216732E-2</v>
      </c>
      <c r="W16" s="172">
        <v>32730.5</v>
      </c>
      <c r="X16" s="173">
        <f t="shared" si="10"/>
        <v>7.4710784942862742E-3</v>
      </c>
      <c r="Y16" s="172">
        <v>184672.81</v>
      </c>
      <c r="Z16" s="173">
        <f t="shared" si="11"/>
        <v>4.2153497785564389E-2</v>
      </c>
      <c r="AA16" s="172">
        <v>447847.86</v>
      </c>
      <c r="AB16" s="173">
        <f t="shared" si="12"/>
        <v>0.10222595180513985</v>
      </c>
      <c r="AC16" s="172">
        <f t="shared" si="13"/>
        <v>632520.66999999993</v>
      </c>
      <c r="AD16" s="173">
        <f t="shared" si="14"/>
        <v>0.14437944959070423</v>
      </c>
      <c r="AE16" s="172">
        <v>1223663.8999999999</v>
      </c>
      <c r="AF16" s="173">
        <f t="shared" si="15"/>
        <v>0.27931406631504163</v>
      </c>
      <c r="AG16" s="172">
        <v>85262.399999999994</v>
      </c>
      <c r="AH16" s="173">
        <f t="shared" si="16"/>
        <v>1.9462033363719895E-2</v>
      </c>
      <c r="AI16" s="172">
        <v>229490.12000000002</v>
      </c>
      <c r="AJ16" s="173">
        <f t="shared" si="17"/>
        <v>5.2383516908790777E-2</v>
      </c>
      <c r="AK16" s="172">
        <v>196517.38</v>
      </c>
      <c r="AL16" s="173">
        <f t="shared" si="18"/>
        <v>4.4857144604313517E-2</v>
      </c>
      <c r="AN16" s="72"/>
    </row>
    <row r="17" spans="2:40" s="73" customFormat="1" ht="14.25" customHeight="1">
      <c r="B17" s="510"/>
      <c r="C17" s="507"/>
      <c r="D17" s="171">
        <v>46059</v>
      </c>
      <c r="E17" s="171" t="s">
        <v>90</v>
      </c>
      <c r="F17" s="335">
        <f t="shared" si="0"/>
        <v>3638268.6499999994</v>
      </c>
      <c r="G17" s="512"/>
      <c r="H17" s="514"/>
      <c r="I17" s="172">
        <v>589942.58000000007</v>
      </c>
      <c r="J17" s="173">
        <f t="shared" si="1"/>
        <v>0.16214926294681406</v>
      </c>
      <c r="K17" s="172">
        <v>731719.3899999999</v>
      </c>
      <c r="L17" s="173">
        <f t="shared" si="2"/>
        <v>0.20111747108064712</v>
      </c>
      <c r="M17" s="172">
        <f t="shared" si="3"/>
        <v>1321661.97</v>
      </c>
      <c r="N17" s="173">
        <f t="shared" ref="N17" si="44">M17/F17</f>
        <v>0.36326673402746118</v>
      </c>
      <c r="O17" s="172">
        <v>135346.12999999998</v>
      </c>
      <c r="P17" s="173">
        <f t="shared" si="5"/>
        <v>3.720069709530658E-2</v>
      </c>
      <c r="Q17" s="172">
        <v>121416.47</v>
      </c>
      <c r="R17" s="173">
        <f t="shared" si="6"/>
        <v>3.3372046344076325E-2</v>
      </c>
      <c r="S17" s="172">
        <f t="shared" si="7"/>
        <v>256762.59999999998</v>
      </c>
      <c r="T17" s="173">
        <f t="shared" ref="T17" si="45">S17/F17</f>
        <v>7.0572743439382912E-2</v>
      </c>
      <c r="U17" s="172">
        <v>69068.22</v>
      </c>
      <c r="V17" s="173">
        <f t="shared" ref="V17" si="46">U17/F17</f>
        <v>1.8983815282579534E-2</v>
      </c>
      <c r="W17" s="172">
        <v>21450.65</v>
      </c>
      <c r="X17" s="173">
        <f t="shared" si="10"/>
        <v>5.8958400446871909E-3</v>
      </c>
      <c r="Y17" s="172">
        <v>169004.29</v>
      </c>
      <c r="Z17" s="173">
        <f t="shared" si="11"/>
        <v>4.645184461570754E-2</v>
      </c>
      <c r="AA17" s="172">
        <v>468514.79000000004</v>
      </c>
      <c r="AB17" s="173">
        <f t="shared" si="12"/>
        <v>0.12877410523271834</v>
      </c>
      <c r="AC17" s="172">
        <f t="shared" si="13"/>
        <v>637519.08000000007</v>
      </c>
      <c r="AD17" s="173">
        <f t="shared" si="14"/>
        <v>0.1752259498484259</v>
      </c>
      <c r="AE17" s="172">
        <v>965034.65</v>
      </c>
      <c r="AF17" s="173">
        <f t="shared" si="15"/>
        <v>0.26524557223117656</v>
      </c>
      <c r="AG17" s="172">
        <v>62915.399999999994</v>
      </c>
      <c r="AH17" s="173">
        <f t="shared" si="16"/>
        <v>1.7292675734651975E-2</v>
      </c>
      <c r="AI17" s="172">
        <v>150301.77000000002</v>
      </c>
      <c r="AJ17" s="173">
        <f t="shared" si="17"/>
        <v>4.1311344614422589E-2</v>
      </c>
      <c r="AK17" s="172">
        <v>153554.31</v>
      </c>
      <c r="AL17" s="173">
        <f t="shared" si="18"/>
        <v>4.2205324777212373E-2</v>
      </c>
      <c r="AN17" s="72"/>
    </row>
    <row r="18" spans="2:40" s="73" customFormat="1" ht="14.25" customHeight="1">
      <c r="B18" s="510"/>
      <c r="C18" s="507"/>
      <c r="D18" s="171">
        <v>46060</v>
      </c>
      <c r="E18" s="171" t="s">
        <v>91</v>
      </c>
      <c r="F18" s="335">
        <f t="shared" si="0"/>
        <v>3904128.8</v>
      </c>
      <c r="G18" s="512"/>
      <c r="H18" s="514"/>
      <c r="I18" s="172">
        <v>550717.77</v>
      </c>
      <c r="J18" s="173">
        <f t="shared" si="1"/>
        <v>0.14106034872619982</v>
      </c>
      <c r="K18" s="172">
        <v>836143.75999999989</v>
      </c>
      <c r="L18" s="173">
        <f t="shared" si="2"/>
        <v>0.21416910220789845</v>
      </c>
      <c r="M18" s="172">
        <f t="shared" si="3"/>
        <v>1386861.5299999998</v>
      </c>
      <c r="N18" s="173">
        <f t="shared" ref="N18" si="47">M18/$F18</f>
        <v>0.35522945093409825</v>
      </c>
      <c r="O18" s="172">
        <v>125007.97000000002</v>
      </c>
      <c r="P18" s="173">
        <f t="shared" si="5"/>
        <v>3.2019427740191363E-2</v>
      </c>
      <c r="Q18" s="172">
        <v>114762.48</v>
      </c>
      <c r="R18" s="173">
        <f t="shared" si="6"/>
        <v>2.9395157249934991E-2</v>
      </c>
      <c r="S18" s="172">
        <f t="shared" si="7"/>
        <v>239770.45</v>
      </c>
      <c r="T18" s="173">
        <f t="shared" ref="T18" si="48">S18/$F18</f>
        <v>6.1414584990126357E-2</v>
      </c>
      <c r="U18" s="172">
        <v>73242.040000000008</v>
      </c>
      <c r="V18" s="173">
        <f t="shared" ref="V18" si="49">U18/$F18</f>
        <v>1.8760149511460794E-2</v>
      </c>
      <c r="W18" s="172">
        <v>21071.95</v>
      </c>
      <c r="X18" s="173">
        <f t="shared" si="10"/>
        <v>5.3973501079165216E-3</v>
      </c>
      <c r="Y18" s="172">
        <v>192563.84</v>
      </c>
      <c r="Z18" s="173">
        <f t="shared" si="11"/>
        <v>4.9323126839462883E-2</v>
      </c>
      <c r="AA18" s="172">
        <v>512199.32999999996</v>
      </c>
      <c r="AB18" s="173">
        <f t="shared" si="12"/>
        <v>0.13119427053738594</v>
      </c>
      <c r="AC18" s="172">
        <f t="shared" si="13"/>
        <v>704763.16999999993</v>
      </c>
      <c r="AD18" s="173">
        <f t="shared" si="14"/>
        <v>0.18051739737684883</v>
      </c>
      <c r="AE18" s="172">
        <v>1046882.63</v>
      </c>
      <c r="AF18" s="173">
        <f t="shared" si="15"/>
        <v>0.26814756470124657</v>
      </c>
      <c r="AG18" s="172">
        <v>80391.899999999994</v>
      </c>
      <c r="AH18" s="173">
        <f t="shared" si="16"/>
        <v>2.0591508149013935E-2</v>
      </c>
      <c r="AI18" s="172">
        <v>152212.68</v>
      </c>
      <c r="AJ18" s="173">
        <f t="shared" si="17"/>
        <v>3.8987617416720473E-2</v>
      </c>
      <c r="AK18" s="172">
        <v>198932.44999999998</v>
      </c>
      <c r="AL18" s="173">
        <f t="shared" si="18"/>
        <v>5.0954376812568272E-2</v>
      </c>
      <c r="AN18" s="72"/>
    </row>
    <row r="19" spans="2:40" s="73" customFormat="1" ht="14.25" customHeight="1">
      <c r="B19" s="510"/>
      <c r="C19" s="507"/>
      <c r="D19" s="171">
        <v>46061</v>
      </c>
      <c r="E19" s="171" t="s">
        <v>84</v>
      </c>
      <c r="F19" s="335">
        <f t="shared" si="0"/>
        <v>4998806.51</v>
      </c>
      <c r="G19" s="512"/>
      <c r="H19" s="514"/>
      <c r="I19" s="172">
        <v>795904.07000000007</v>
      </c>
      <c r="J19" s="173">
        <f t="shared" si="1"/>
        <v>0.1592188192137087</v>
      </c>
      <c r="K19" s="172">
        <v>919470.56</v>
      </c>
      <c r="L19" s="173">
        <f t="shared" si="2"/>
        <v>0.18393801763693393</v>
      </c>
      <c r="M19" s="172">
        <f t="shared" si="3"/>
        <v>1715374.6300000001</v>
      </c>
      <c r="N19" s="173">
        <f t="shared" ref="N19" si="50">M19/F19</f>
        <v>0.34315683685064263</v>
      </c>
      <c r="O19" s="172">
        <v>201984.05000000002</v>
      </c>
      <c r="P19" s="173">
        <f t="shared" si="5"/>
        <v>4.0406454939981268E-2</v>
      </c>
      <c r="Q19" s="172">
        <v>143487.91999999998</v>
      </c>
      <c r="R19" s="173">
        <f t="shared" si="6"/>
        <v>2.870443569139066E-2</v>
      </c>
      <c r="S19" s="172">
        <f t="shared" si="7"/>
        <v>345471.97</v>
      </c>
      <c r="T19" s="173">
        <f t="shared" ref="T19" si="51">S19/F19</f>
        <v>6.9110890631371921E-2</v>
      </c>
      <c r="U19" s="172">
        <v>94255.65</v>
      </c>
      <c r="V19" s="173">
        <f t="shared" ref="V19" si="52">U19/F19</f>
        <v>1.8855630801361024E-2</v>
      </c>
      <c r="W19" s="172">
        <v>23722.850000000002</v>
      </c>
      <c r="X19" s="173">
        <f t="shared" si="10"/>
        <v>4.7457027897645117E-3</v>
      </c>
      <c r="Y19" s="172">
        <v>216577.55000000002</v>
      </c>
      <c r="Z19" s="173">
        <f t="shared" si="11"/>
        <v>4.3325851794171567E-2</v>
      </c>
      <c r="AA19" s="172">
        <v>605602.38</v>
      </c>
      <c r="AB19" s="173">
        <f t="shared" si="12"/>
        <v>0.12114939411807721</v>
      </c>
      <c r="AC19" s="172">
        <f t="shared" si="13"/>
        <v>822179.93</v>
      </c>
      <c r="AD19" s="173">
        <f t="shared" si="14"/>
        <v>0.16447524591224877</v>
      </c>
      <c r="AE19" s="172">
        <v>1586999.3599999999</v>
      </c>
      <c r="AF19" s="173">
        <f t="shared" si="15"/>
        <v>0.31747565280337287</v>
      </c>
      <c r="AG19" s="172">
        <v>79990.8</v>
      </c>
      <c r="AH19" s="173">
        <f t="shared" si="16"/>
        <v>1.6001979640536238E-2</v>
      </c>
      <c r="AI19" s="172">
        <v>156005.13999999998</v>
      </c>
      <c r="AJ19" s="173">
        <f t="shared" si="17"/>
        <v>3.1208477401138697E-2</v>
      </c>
      <c r="AK19" s="172">
        <v>174806.18</v>
      </c>
      <c r="AL19" s="173">
        <f t="shared" si="18"/>
        <v>3.496958316956341E-2</v>
      </c>
      <c r="AN19" s="72"/>
    </row>
    <row r="20" spans="2:40" s="73" customFormat="1" ht="14.25" customHeight="1">
      <c r="B20" s="511"/>
      <c r="C20" s="507"/>
      <c r="D20" s="171">
        <v>46062</v>
      </c>
      <c r="E20" s="171" t="s">
        <v>92</v>
      </c>
      <c r="F20" s="335">
        <f t="shared" si="0"/>
        <v>4733266.2200000007</v>
      </c>
      <c r="G20" s="512"/>
      <c r="H20" s="514"/>
      <c r="I20" s="172">
        <v>775970.3</v>
      </c>
      <c r="J20" s="173">
        <f t="shared" si="1"/>
        <v>0.16393971180433622</v>
      </c>
      <c r="K20" s="172">
        <v>901679.02999999991</v>
      </c>
      <c r="L20" s="173">
        <f t="shared" si="2"/>
        <v>0.19049827076914339</v>
      </c>
      <c r="M20" s="172">
        <f t="shared" si="3"/>
        <v>1677649.33</v>
      </c>
      <c r="N20" s="173">
        <f t="shared" ref="N20:N21" si="53">M20/$F20</f>
        <v>0.35443798257347964</v>
      </c>
      <c r="O20" s="172">
        <v>191473.16000000003</v>
      </c>
      <c r="P20" s="173">
        <f t="shared" si="5"/>
        <v>4.0452649629329325E-2</v>
      </c>
      <c r="Q20" s="172">
        <v>143278.46</v>
      </c>
      <c r="R20" s="173">
        <f t="shared" si="6"/>
        <v>3.0270526385055091E-2</v>
      </c>
      <c r="S20" s="172">
        <f t="shared" si="7"/>
        <v>334751.62</v>
      </c>
      <c r="T20" s="173">
        <f t="shared" ref="T20:T21" si="54">S20/$F20</f>
        <v>7.0723176014384409E-2</v>
      </c>
      <c r="U20" s="172">
        <v>83646.27</v>
      </c>
      <c r="V20" s="173">
        <f t="shared" ref="V20:V21" si="55">U20/$F20</f>
        <v>1.7671997752114605E-2</v>
      </c>
      <c r="W20" s="172">
        <v>26346.7</v>
      </c>
      <c r="X20" s="173">
        <f t="shared" si="10"/>
        <v>5.5662831489752965E-3</v>
      </c>
      <c r="Y20" s="172">
        <v>213852.59000000003</v>
      </c>
      <c r="Z20" s="173">
        <f t="shared" si="11"/>
        <v>4.5180765260230807E-2</v>
      </c>
      <c r="AA20" s="172">
        <v>568050.39</v>
      </c>
      <c r="AB20" s="173">
        <f t="shared" si="12"/>
        <v>0.12001234741450903</v>
      </c>
      <c r="AC20" s="172">
        <f t="shared" si="13"/>
        <v>781902.98</v>
      </c>
      <c r="AD20" s="173">
        <f t="shared" si="14"/>
        <v>0.16519311267473982</v>
      </c>
      <c r="AE20" s="172">
        <v>1407917.03</v>
      </c>
      <c r="AF20" s="173">
        <f t="shared" si="15"/>
        <v>0.29745147738594763</v>
      </c>
      <c r="AG20" s="172">
        <v>91221.599999999991</v>
      </c>
      <c r="AH20" s="173">
        <f t="shared" si="16"/>
        <v>1.9272442275600543E-2</v>
      </c>
      <c r="AI20" s="172">
        <v>182235.28000000003</v>
      </c>
      <c r="AJ20" s="173">
        <f t="shared" si="17"/>
        <v>3.8500957167796911E-2</v>
      </c>
      <c r="AK20" s="172">
        <v>147595.41</v>
      </c>
      <c r="AL20" s="173">
        <f t="shared" si="18"/>
        <v>3.1182571006961021E-2</v>
      </c>
      <c r="AN20" s="72"/>
    </row>
    <row r="21" spans="2:40" s="73" customFormat="1" ht="14.25" customHeight="1">
      <c r="B21" s="509">
        <f>B14+7</f>
        <v>46071</v>
      </c>
      <c r="C21" s="507"/>
      <c r="D21" s="171">
        <v>46063</v>
      </c>
      <c r="E21" s="171" t="s">
        <v>87</v>
      </c>
      <c r="F21" s="335">
        <f t="shared" si="0"/>
        <v>4628863.84</v>
      </c>
      <c r="G21" s="512">
        <f t="shared" ref="G21" si="56">SUM(F21:F27)</f>
        <v>26015260.470000003</v>
      </c>
      <c r="H21" s="514"/>
      <c r="I21" s="172">
        <v>762285.19000000006</v>
      </c>
      <c r="J21" s="173">
        <f t="shared" si="1"/>
        <v>0.16468084099012947</v>
      </c>
      <c r="K21" s="172">
        <v>875943.54</v>
      </c>
      <c r="L21" s="173">
        <f t="shared" si="2"/>
        <v>0.18923510612487579</v>
      </c>
      <c r="M21" s="172">
        <f t="shared" si="3"/>
        <v>1638228.73</v>
      </c>
      <c r="N21" s="173">
        <f t="shared" si="53"/>
        <v>0.35391594711500524</v>
      </c>
      <c r="O21" s="172">
        <v>186104.06</v>
      </c>
      <c r="P21" s="173">
        <f t="shared" si="5"/>
        <v>4.0205127312623656E-2</v>
      </c>
      <c r="Q21" s="172">
        <v>142648.13</v>
      </c>
      <c r="R21" s="173">
        <f t="shared" si="6"/>
        <v>3.0817093552702127E-2</v>
      </c>
      <c r="S21" s="172">
        <f t="shared" si="7"/>
        <v>328752.19</v>
      </c>
      <c r="T21" s="173">
        <f t="shared" si="54"/>
        <v>7.102222086532578E-2</v>
      </c>
      <c r="U21" s="172">
        <v>86883.03</v>
      </c>
      <c r="V21" s="173">
        <f t="shared" si="55"/>
        <v>1.8769839209614773E-2</v>
      </c>
      <c r="W21" s="172">
        <v>25995.05</v>
      </c>
      <c r="X21" s="173">
        <f t="shared" si="10"/>
        <v>5.6158597225015802E-3</v>
      </c>
      <c r="Y21" s="172">
        <v>205393.86000000002</v>
      </c>
      <c r="Z21" s="173">
        <f t="shared" si="11"/>
        <v>4.4372413425753307E-2</v>
      </c>
      <c r="AA21" s="172">
        <v>563493.89</v>
      </c>
      <c r="AB21" s="173">
        <f t="shared" si="12"/>
        <v>0.12173481646416284</v>
      </c>
      <c r="AC21" s="172">
        <f t="shared" si="13"/>
        <v>768887.75</v>
      </c>
      <c r="AD21" s="173">
        <f t="shared" si="14"/>
        <v>0.16610722988991614</v>
      </c>
      <c r="AE21" s="172">
        <v>1388549.5299999998</v>
      </c>
      <c r="AF21" s="173">
        <f t="shared" si="15"/>
        <v>0.29997631773070255</v>
      </c>
      <c r="AG21" s="172">
        <v>78386.399999999994</v>
      </c>
      <c r="AH21" s="173">
        <f t="shared" si="16"/>
        <v>1.6934263506009715E-2</v>
      </c>
      <c r="AI21" s="172">
        <v>168096.90999999997</v>
      </c>
      <c r="AJ21" s="173">
        <f t="shared" si="17"/>
        <v>3.6314939434468216E-2</v>
      </c>
      <c r="AK21" s="172">
        <v>145084.25</v>
      </c>
      <c r="AL21" s="173">
        <f t="shared" si="18"/>
        <v>3.1343382526455993E-2</v>
      </c>
      <c r="AN21" s="72"/>
    </row>
    <row r="22" spans="2:40" s="73" customFormat="1" ht="14.25" customHeight="1">
      <c r="B22" s="510"/>
      <c r="C22" s="507"/>
      <c r="D22" s="171">
        <v>46064</v>
      </c>
      <c r="E22" s="171" t="s">
        <v>88</v>
      </c>
      <c r="F22" s="335">
        <f t="shared" si="0"/>
        <v>4314019.45</v>
      </c>
      <c r="G22" s="512"/>
      <c r="H22" s="514"/>
      <c r="I22" s="172">
        <v>725375.63000000012</v>
      </c>
      <c r="J22" s="173">
        <f t="shared" si="1"/>
        <v>0.16814380148425156</v>
      </c>
      <c r="K22" s="172">
        <v>797354.71</v>
      </c>
      <c r="L22" s="173">
        <f t="shared" si="2"/>
        <v>0.18482872394096414</v>
      </c>
      <c r="M22" s="172">
        <f t="shared" si="3"/>
        <v>1522730.34</v>
      </c>
      <c r="N22" s="173">
        <f t="shared" ref="N22" si="57">M22/F22</f>
        <v>0.35297252542521568</v>
      </c>
      <c r="O22" s="172">
        <v>201662.7</v>
      </c>
      <c r="P22" s="173">
        <f t="shared" si="5"/>
        <v>4.6745894944910368E-2</v>
      </c>
      <c r="Q22" s="172">
        <v>149798.70000000001</v>
      </c>
      <c r="R22" s="173">
        <f t="shared" si="6"/>
        <v>3.4723696018570338E-2</v>
      </c>
      <c r="S22" s="172">
        <f t="shared" si="7"/>
        <v>351461.4</v>
      </c>
      <c r="T22" s="173">
        <f t="shared" ref="T22" si="58">S22/F22</f>
        <v>8.1469590963480706E-2</v>
      </c>
      <c r="U22" s="172">
        <v>76962.959999999992</v>
      </c>
      <c r="V22" s="173">
        <f t="shared" ref="V22" si="59">U22/F22</f>
        <v>1.7840197730216535E-2</v>
      </c>
      <c r="W22" s="172">
        <v>27050</v>
      </c>
      <c r="X22" s="173">
        <f t="shared" si="10"/>
        <v>6.2702545302617957E-3</v>
      </c>
      <c r="Y22" s="172">
        <v>199092.39</v>
      </c>
      <c r="Z22" s="173">
        <f t="shared" si="11"/>
        <v>4.6150090955199563E-2</v>
      </c>
      <c r="AA22" s="172">
        <v>538162.94000000006</v>
      </c>
      <c r="AB22" s="173">
        <f t="shared" si="12"/>
        <v>0.12474745332916846</v>
      </c>
      <c r="AC22" s="172">
        <f t="shared" si="13"/>
        <v>737255.33000000007</v>
      </c>
      <c r="AD22" s="173">
        <f t="shared" si="14"/>
        <v>0.17089754428436804</v>
      </c>
      <c r="AE22" s="172">
        <v>1207259.1499999999</v>
      </c>
      <c r="AF22" s="173">
        <f t="shared" si="15"/>
        <v>0.2798455509976896</v>
      </c>
      <c r="AG22" s="172">
        <v>75578.7</v>
      </c>
      <c r="AH22" s="173">
        <f t="shared" si="16"/>
        <v>1.7519322959937047E-2</v>
      </c>
      <c r="AI22" s="172">
        <v>169493.87</v>
      </c>
      <c r="AJ22" s="173">
        <f t="shared" si="17"/>
        <v>3.9289083409209009E-2</v>
      </c>
      <c r="AK22" s="172">
        <v>146227.69999999998</v>
      </c>
      <c r="AL22" s="173">
        <f t="shared" si="18"/>
        <v>3.389592969962154E-2</v>
      </c>
      <c r="AN22" s="72"/>
    </row>
    <row r="23" spans="2:40" s="73" customFormat="1" ht="14.25" customHeight="1">
      <c r="B23" s="510"/>
      <c r="C23" s="507"/>
      <c r="D23" s="171">
        <v>46065</v>
      </c>
      <c r="E23" s="171" t="s">
        <v>89</v>
      </c>
      <c r="F23" s="335">
        <f t="shared" si="0"/>
        <v>3791314.2199999997</v>
      </c>
      <c r="G23" s="512"/>
      <c r="H23" s="514"/>
      <c r="I23" s="172">
        <v>614610.84000000008</v>
      </c>
      <c r="J23" s="173">
        <f t="shared" si="1"/>
        <v>0.16211023522075682</v>
      </c>
      <c r="K23" s="172">
        <v>702141.30999999994</v>
      </c>
      <c r="L23" s="173">
        <f t="shared" si="2"/>
        <v>0.18519734035655847</v>
      </c>
      <c r="M23" s="172">
        <f t="shared" si="3"/>
        <v>1316752.1499999999</v>
      </c>
      <c r="N23" s="173">
        <f t="shared" ref="N23" si="60">M23/$F23</f>
        <v>0.34730757557731523</v>
      </c>
      <c r="O23" s="172">
        <v>195224.08000000002</v>
      </c>
      <c r="P23" s="173">
        <f t="shared" si="5"/>
        <v>5.1492455827098403E-2</v>
      </c>
      <c r="Q23" s="172">
        <v>144615.69</v>
      </c>
      <c r="R23" s="173">
        <f t="shared" si="6"/>
        <v>3.8143947351322413E-2</v>
      </c>
      <c r="S23" s="172">
        <f t="shared" si="7"/>
        <v>339839.77</v>
      </c>
      <c r="T23" s="173">
        <f t="shared" ref="T23" si="61">S23/$F23</f>
        <v>8.9636403178420823E-2</v>
      </c>
      <c r="U23" s="172">
        <v>80859.06</v>
      </c>
      <c r="V23" s="173">
        <f t="shared" ref="V23" si="62">U23/$F23</f>
        <v>2.1327448823273743E-2</v>
      </c>
      <c r="W23" s="172">
        <v>23506.45</v>
      </c>
      <c r="X23" s="173">
        <f t="shared" si="10"/>
        <v>6.2000796124991198E-3</v>
      </c>
      <c r="Y23" s="172">
        <v>193188.31</v>
      </c>
      <c r="Z23" s="173">
        <f t="shared" si="11"/>
        <v>5.0955499541792133E-2</v>
      </c>
      <c r="AA23" s="172">
        <v>463633.82999999996</v>
      </c>
      <c r="AB23" s="173">
        <f t="shared" si="12"/>
        <v>0.12228842113751257</v>
      </c>
      <c r="AC23" s="172">
        <f t="shared" si="13"/>
        <v>656822.1399999999</v>
      </c>
      <c r="AD23" s="173">
        <f t="shared" si="14"/>
        <v>0.17324392067930469</v>
      </c>
      <c r="AE23" s="172">
        <v>995165.62000000011</v>
      </c>
      <c r="AF23" s="173">
        <f t="shared" si="15"/>
        <v>0.26248566123859818</v>
      </c>
      <c r="AG23" s="172">
        <v>80391.899999999994</v>
      </c>
      <c r="AH23" s="173">
        <f t="shared" si="16"/>
        <v>2.1204230336782794E-2</v>
      </c>
      <c r="AI23" s="172">
        <v>143492.67000000001</v>
      </c>
      <c r="AJ23" s="173">
        <f t="shared" si="17"/>
        <v>3.7847738718950079E-2</v>
      </c>
      <c r="AK23" s="172">
        <v>154484.46</v>
      </c>
      <c r="AL23" s="173">
        <f t="shared" si="18"/>
        <v>4.0746941834855353E-2</v>
      </c>
      <c r="AN23" s="72"/>
    </row>
    <row r="24" spans="2:40" s="73" customFormat="1" ht="14.25" customHeight="1">
      <c r="B24" s="510"/>
      <c r="C24" s="507"/>
      <c r="D24" s="171">
        <v>46066</v>
      </c>
      <c r="E24" s="171" t="s">
        <v>90</v>
      </c>
      <c r="F24" s="335">
        <f t="shared" si="0"/>
        <v>3262863.4000000004</v>
      </c>
      <c r="G24" s="512"/>
      <c r="H24" s="514"/>
      <c r="I24" s="172">
        <v>502290.15</v>
      </c>
      <c r="J24" s="173">
        <f t="shared" si="1"/>
        <v>0.15394151958675314</v>
      </c>
      <c r="K24" s="172">
        <v>618469.46000000008</v>
      </c>
      <c r="L24" s="173">
        <f t="shared" si="2"/>
        <v>0.18954806995597792</v>
      </c>
      <c r="M24" s="172">
        <f t="shared" si="3"/>
        <v>1120759.6100000001</v>
      </c>
      <c r="N24" s="173">
        <f t="shared" ref="N24" si="63">M24/F24</f>
        <v>0.34348958954273107</v>
      </c>
      <c r="O24" s="172">
        <v>158341.76000000001</v>
      </c>
      <c r="P24" s="173">
        <f t="shared" si="5"/>
        <v>4.8528467357842803E-2</v>
      </c>
      <c r="Q24" s="172">
        <v>110620.01000000001</v>
      </c>
      <c r="R24" s="173">
        <f t="shared" si="6"/>
        <v>3.3902740151487802E-2</v>
      </c>
      <c r="S24" s="172">
        <f t="shared" si="7"/>
        <v>268961.77</v>
      </c>
      <c r="T24" s="173">
        <f t="shared" ref="T24" si="64">S24/F24</f>
        <v>8.2431207509330598E-2</v>
      </c>
      <c r="U24" s="172">
        <v>62667.27</v>
      </c>
      <c r="V24" s="173">
        <f t="shared" ref="V24" si="65">U24/F24</f>
        <v>1.9206219298055809E-2</v>
      </c>
      <c r="W24" s="172">
        <v>16473.45</v>
      </c>
      <c r="X24" s="173">
        <f t="shared" si="10"/>
        <v>5.0487709660171493E-3</v>
      </c>
      <c r="Y24" s="172">
        <v>187908.7</v>
      </c>
      <c r="Z24" s="173">
        <f t="shared" si="11"/>
        <v>5.7590121609136319E-2</v>
      </c>
      <c r="AA24" s="172">
        <v>510253.39999999997</v>
      </c>
      <c r="AB24" s="173">
        <f t="shared" si="12"/>
        <v>0.15638209065080685</v>
      </c>
      <c r="AC24" s="172">
        <f t="shared" si="13"/>
        <v>698162.1</v>
      </c>
      <c r="AD24" s="173">
        <f t="shared" si="14"/>
        <v>0.21397221225994317</v>
      </c>
      <c r="AE24" s="172">
        <v>738317.67</v>
      </c>
      <c r="AF24" s="173">
        <f t="shared" si="15"/>
        <v>0.22627906212684232</v>
      </c>
      <c r="AG24" s="172">
        <v>63144.6</v>
      </c>
      <c r="AH24" s="173">
        <f t="shared" si="16"/>
        <v>1.9352511049037478E-2</v>
      </c>
      <c r="AI24" s="172">
        <v>150259.21000000002</v>
      </c>
      <c r="AJ24" s="173">
        <f t="shared" si="17"/>
        <v>4.6051333316620001E-2</v>
      </c>
      <c r="AK24" s="172">
        <v>144117.72</v>
      </c>
      <c r="AL24" s="173">
        <f t="shared" si="18"/>
        <v>4.4169093931422314E-2</v>
      </c>
      <c r="AN24" s="72"/>
    </row>
    <row r="25" spans="2:40" s="73" customFormat="1" ht="14.25" customHeight="1">
      <c r="B25" s="510"/>
      <c r="C25" s="507"/>
      <c r="D25" s="171">
        <v>46067</v>
      </c>
      <c r="E25" s="171" t="s">
        <v>91</v>
      </c>
      <c r="F25" s="335">
        <f t="shared" si="0"/>
        <v>3301360.02</v>
      </c>
      <c r="G25" s="512"/>
      <c r="H25" s="514"/>
      <c r="I25" s="172">
        <v>469659.49999999994</v>
      </c>
      <c r="J25" s="173">
        <f t="shared" si="1"/>
        <v>0.14226243037861711</v>
      </c>
      <c r="K25" s="172">
        <v>598492.54999999993</v>
      </c>
      <c r="L25" s="173">
        <f t="shared" si="2"/>
        <v>0.18128666560879958</v>
      </c>
      <c r="M25" s="172">
        <f t="shared" si="3"/>
        <v>1068152.0499999998</v>
      </c>
      <c r="N25" s="173">
        <f t="shared" ref="N25" si="66">M25/$F25</f>
        <v>0.32354909598741666</v>
      </c>
      <c r="O25" s="172">
        <v>149590.49999999997</v>
      </c>
      <c r="P25" s="173">
        <f t="shared" si="5"/>
        <v>4.5311780325006774E-2</v>
      </c>
      <c r="Q25" s="172">
        <v>108896.52000000002</v>
      </c>
      <c r="R25" s="173">
        <f t="shared" si="6"/>
        <v>3.2985351291677671E-2</v>
      </c>
      <c r="S25" s="172">
        <f t="shared" si="7"/>
        <v>258487.02</v>
      </c>
      <c r="T25" s="173">
        <f t="shared" ref="T25" si="67">S25/$F25</f>
        <v>7.8297131616684446E-2</v>
      </c>
      <c r="U25" s="172">
        <v>65634.3</v>
      </c>
      <c r="V25" s="173">
        <f t="shared" ref="V25" si="68">U25/$F25</f>
        <v>1.9880988320686091E-2</v>
      </c>
      <c r="W25" s="172">
        <v>21450.65</v>
      </c>
      <c r="X25" s="173">
        <f t="shared" si="10"/>
        <v>6.49751916484407E-3</v>
      </c>
      <c r="Y25" s="172">
        <v>201930.89</v>
      </c>
      <c r="Z25" s="173">
        <f t="shared" si="11"/>
        <v>6.1165970623222127E-2</v>
      </c>
      <c r="AA25" s="172">
        <v>526054.57999999996</v>
      </c>
      <c r="AB25" s="173">
        <f t="shared" si="12"/>
        <v>0.15934480844655044</v>
      </c>
      <c r="AC25" s="172">
        <f t="shared" si="13"/>
        <v>727985.47</v>
      </c>
      <c r="AD25" s="173">
        <f t="shared" si="14"/>
        <v>0.22051077906977257</v>
      </c>
      <c r="AE25" s="172">
        <v>822130.01</v>
      </c>
      <c r="AF25" s="173">
        <f t="shared" si="15"/>
        <v>0.24902767496408951</v>
      </c>
      <c r="AG25" s="172">
        <v>0</v>
      </c>
      <c r="AH25" s="173">
        <f t="shared" si="16"/>
        <v>0</v>
      </c>
      <c r="AI25" s="172">
        <v>186308.28999999998</v>
      </c>
      <c r="AJ25" s="173">
        <f t="shared" si="17"/>
        <v>5.6433799667810834E-2</v>
      </c>
      <c r="AK25" s="172">
        <v>151212.22999999998</v>
      </c>
      <c r="AL25" s="173">
        <f t="shared" si="18"/>
        <v>4.5803011208695739E-2</v>
      </c>
      <c r="AN25" s="72"/>
    </row>
    <row r="26" spans="2:40" s="73" customFormat="1" ht="14.25" customHeight="1">
      <c r="B26" s="510"/>
      <c r="C26" s="507"/>
      <c r="D26" s="171">
        <v>46068</v>
      </c>
      <c r="E26" s="171" t="s">
        <v>84</v>
      </c>
      <c r="F26" s="335">
        <f t="shared" si="0"/>
        <v>3384701.6</v>
      </c>
      <c r="G26" s="512"/>
      <c r="H26" s="514"/>
      <c r="I26" s="172">
        <v>475620.6100000001</v>
      </c>
      <c r="J26" s="173">
        <f t="shared" si="1"/>
        <v>0.14052069169110804</v>
      </c>
      <c r="K26" s="172">
        <v>635950.71</v>
      </c>
      <c r="L26" s="173">
        <f t="shared" si="2"/>
        <v>0.18788974189039293</v>
      </c>
      <c r="M26" s="172">
        <f t="shared" si="3"/>
        <v>1111571.32</v>
      </c>
      <c r="N26" s="173">
        <f t="shared" ref="N26" si="69">M26/F26</f>
        <v>0.32841043358150096</v>
      </c>
      <c r="O26" s="172">
        <v>149302.91999999998</v>
      </c>
      <c r="P26" s="173">
        <f t="shared" si="5"/>
        <v>4.411110273354673E-2</v>
      </c>
      <c r="Q26" s="172">
        <v>114039.95999999999</v>
      </c>
      <c r="R26" s="173">
        <f t="shared" si="6"/>
        <v>3.3692766298807547E-2</v>
      </c>
      <c r="S26" s="172">
        <f t="shared" si="7"/>
        <v>263342.88</v>
      </c>
      <c r="T26" s="173">
        <f t="shared" ref="T26" si="70">S26/F26</f>
        <v>7.7803869032354284E-2</v>
      </c>
      <c r="U26" s="172">
        <v>73006.92</v>
      </c>
      <c r="V26" s="173">
        <f t="shared" ref="V26" si="71">U26/F26</f>
        <v>2.1569676925138687E-2</v>
      </c>
      <c r="W26" s="172">
        <v>18015.3</v>
      </c>
      <c r="X26" s="173">
        <f t="shared" si="10"/>
        <v>5.3225666924375248E-3</v>
      </c>
      <c r="Y26" s="172">
        <v>206586.03</v>
      </c>
      <c r="Z26" s="173">
        <f t="shared" si="11"/>
        <v>6.1035226857221327E-2</v>
      </c>
      <c r="AA26" s="172">
        <v>525059.12</v>
      </c>
      <c r="AB26" s="173">
        <f t="shared" si="12"/>
        <v>0.15512715212472497</v>
      </c>
      <c r="AC26" s="172">
        <f t="shared" si="13"/>
        <v>731645.15</v>
      </c>
      <c r="AD26" s="173">
        <f t="shared" si="14"/>
        <v>0.21616237898194629</v>
      </c>
      <c r="AE26" s="172">
        <v>897336.84000000008</v>
      </c>
      <c r="AF26" s="173">
        <f t="shared" si="15"/>
        <v>0.26511549496711911</v>
      </c>
      <c r="AG26" s="172">
        <v>0</v>
      </c>
      <c r="AH26" s="173">
        <f t="shared" si="16"/>
        <v>0</v>
      </c>
      <c r="AI26" s="172">
        <v>157315.82</v>
      </c>
      <c r="AJ26" s="173">
        <f t="shared" si="17"/>
        <v>4.6478490157005274E-2</v>
      </c>
      <c r="AK26" s="172">
        <v>132467.37</v>
      </c>
      <c r="AL26" s="173">
        <f t="shared" si="18"/>
        <v>3.9137089662497869E-2</v>
      </c>
      <c r="AN26" s="72"/>
    </row>
    <row r="27" spans="2:40" s="73" customFormat="1" ht="14.25" customHeight="1">
      <c r="B27" s="511"/>
      <c r="C27" s="507"/>
      <c r="D27" s="171">
        <v>46069</v>
      </c>
      <c r="E27" s="171" t="s">
        <v>92</v>
      </c>
      <c r="F27" s="335">
        <f t="shared" si="0"/>
        <v>3332137.94</v>
      </c>
      <c r="G27" s="512"/>
      <c r="H27" s="514"/>
      <c r="I27" s="172">
        <v>503145.18000000005</v>
      </c>
      <c r="J27" s="173">
        <f t="shared" si="1"/>
        <v>0.15099770449479052</v>
      </c>
      <c r="K27" s="172">
        <v>662393.4800000001</v>
      </c>
      <c r="L27" s="173">
        <f t="shared" si="2"/>
        <v>0.19878933343317717</v>
      </c>
      <c r="M27" s="172">
        <f t="shared" si="3"/>
        <v>1165538.6600000001</v>
      </c>
      <c r="N27" s="173">
        <f t="shared" ref="N27:N28" si="72">M27/$F27</f>
        <v>0.34978703792796773</v>
      </c>
      <c r="O27" s="172">
        <v>163169.47999999998</v>
      </c>
      <c r="P27" s="173">
        <f t="shared" si="5"/>
        <v>4.8968404951446873E-2</v>
      </c>
      <c r="Q27" s="172">
        <v>126313.78</v>
      </c>
      <c r="R27" s="173">
        <f t="shared" si="6"/>
        <v>3.7907728393741104E-2</v>
      </c>
      <c r="S27" s="172">
        <f t="shared" si="7"/>
        <v>289483.26</v>
      </c>
      <c r="T27" s="173">
        <f t="shared" ref="T27:T28" si="73">S27/$F27</f>
        <v>8.6876133345187984E-2</v>
      </c>
      <c r="U27" s="172">
        <v>69890.039999999994</v>
      </c>
      <c r="V27" s="173">
        <f t="shared" ref="V27:V28" si="74">U27/$F27</f>
        <v>2.0974533845378559E-2</v>
      </c>
      <c r="W27" s="172">
        <v>18421.05</v>
      </c>
      <c r="X27" s="173">
        <f t="shared" si="10"/>
        <v>5.5282975470097133E-3</v>
      </c>
      <c r="Y27" s="172">
        <v>203293.37000000002</v>
      </c>
      <c r="Z27" s="173">
        <f t="shared" si="11"/>
        <v>6.1009890244819828E-2</v>
      </c>
      <c r="AA27" s="172">
        <v>522877.47</v>
      </c>
      <c r="AB27" s="173">
        <f t="shared" si="12"/>
        <v>0.15691951516268859</v>
      </c>
      <c r="AC27" s="172">
        <f t="shared" si="13"/>
        <v>726170.84</v>
      </c>
      <c r="AD27" s="173">
        <f t="shared" si="14"/>
        <v>0.21792940540750844</v>
      </c>
      <c r="AE27" s="172">
        <v>768646.73</v>
      </c>
      <c r="AF27" s="173">
        <f t="shared" si="15"/>
        <v>0.23067674383251974</v>
      </c>
      <c r="AG27" s="172">
        <v>0</v>
      </c>
      <c r="AH27" s="173">
        <f t="shared" si="16"/>
        <v>0</v>
      </c>
      <c r="AI27" s="172">
        <v>159767.91999999998</v>
      </c>
      <c r="AJ27" s="173">
        <f t="shared" si="17"/>
        <v>4.7947570861967374E-2</v>
      </c>
      <c r="AK27" s="172">
        <v>134219.44</v>
      </c>
      <c r="AL27" s="173">
        <f t="shared" si="18"/>
        <v>4.0280277232460554E-2</v>
      </c>
      <c r="AN27" s="72"/>
    </row>
    <row r="28" spans="2:40" s="73" customFormat="1" ht="14.25" customHeight="1">
      <c r="B28" s="509">
        <f>B21+7</f>
        <v>46078</v>
      </c>
      <c r="C28" s="507"/>
      <c r="D28" s="171">
        <v>46070</v>
      </c>
      <c r="E28" s="171" t="s">
        <v>87</v>
      </c>
      <c r="F28" s="335">
        <f t="shared" si="0"/>
        <v>3579308.7099999995</v>
      </c>
      <c r="G28" s="512">
        <f t="shared" ref="G28" si="75">SUM(F28:F34)</f>
        <v>27936826.319999997</v>
      </c>
      <c r="H28" s="514"/>
      <c r="I28" s="172">
        <v>528533.60000000009</v>
      </c>
      <c r="J28" s="173">
        <f t="shared" si="1"/>
        <v>0.14766359730954867</v>
      </c>
      <c r="K28" s="172">
        <v>690449.45999999985</v>
      </c>
      <c r="L28" s="173">
        <f t="shared" si="2"/>
        <v>0.19290022625625938</v>
      </c>
      <c r="M28" s="172">
        <f t="shared" si="3"/>
        <v>1218983.06</v>
      </c>
      <c r="N28" s="173">
        <f t="shared" si="72"/>
        <v>0.34056382356580811</v>
      </c>
      <c r="O28" s="172">
        <v>180479.16</v>
      </c>
      <c r="P28" s="173">
        <f t="shared" si="5"/>
        <v>5.0422909735550595E-2</v>
      </c>
      <c r="Q28" s="172">
        <v>141948.74</v>
      </c>
      <c r="R28" s="173">
        <f t="shared" si="6"/>
        <v>3.9658143932491369E-2</v>
      </c>
      <c r="S28" s="172">
        <f t="shared" si="7"/>
        <v>322427.90000000002</v>
      </c>
      <c r="T28" s="173">
        <f t="shared" si="73"/>
        <v>9.0081053668041963E-2</v>
      </c>
      <c r="U28" s="172">
        <v>72527.399999999994</v>
      </c>
      <c r="V28" s="173">
        <f t="shared" si="74"/>
        <v>2.0262963012206904E-2</v>
      </c>
      <c r="W28" s="172">
        <v>19638.3</v>
      </c>
      <c r="X28" s="173">
        <f t="shared" si="10"/>
        <v>5.4866181129148827E-3</v>
      </c>
      <c r="Y28" s="172">
        <v>210673.47</v>
      </c>
      <c r="Z28" s="173">
        <f t="shared" si="11"/>
        <v>5.8858703472939623E-2</v>
      </c>
      <c r="AA28" s="172">
        <v>558185.80000000005</v>
      </c>
      <c r="AB28" s="173">
        <f t="shared" si="12"/>
        <v>0.1559479344267011</v>
      </c>
      <c r="AC28" s="172">
        <f t="shared" si="13"/>
        <v>768859.27</v>
      </c>
      <c r="AD28" s="173">
        <f t="shared" si="14"/>
        <v>0.21480663789964072</v>
      </c>
      <c r="AE28" s="172">
        <v>880245.02</v>
      </c>
      <c r="AF28" s="173">
        <f t="shared" si="15"/>
        <v>0.24592598496484538</v>
      </c>
      <c r="AG28" s="172">
        <v>0</v>
      </c>
      <c r="AH28" s="173">
        <f t="shared" si="16"/>
        <v>0</v>
      </c>
      <c r="AI28" s="172">
        <v>162564.69</v>
      </c>
      <c r="AJ28" s="173">
        <f t="shared" si="17"/>
        <v>4.5417901380180203E-2</v>
      </c>
      <c r="AK28" s="172">
        <v>134063.06999999998</v>
      </c>
      <c r="AL28" s="173">
        <f t="shared" si="18"/>
        <v>3.7455017396361992E-2</v>
      </c>
      <c r="AN28" s="72"/>
    </row>
    <row r="29" spans="2:40" s="73" customFormat="1" ht="14.25" customHeight="1">
      <c r="B29" s="510"/>
      <c r="C29" s="507"/>
      <c r="D29" s="171">
        <v>46071</v>
      </c>
      <c r="E29" s="171" t="s">
        <v>88</v>
      </c>
      <c r="F29" s="335">
        <f t="shared" si="0"/>
        <v>3442485.42</v>
      </c>
      <c r="G29" s="512"/>
      <c r="H29" s="514"/>
      <c r="I29" s="172">
        <v>535449.12</v>
      </c>
      <c r="J29" s="173">
        <f t="shared" si="1"/>
        <v>0.15554143436285056</v>
      </c>
      <c r="K29" s="172">
        <v>684510.44</v>
      </c>
      <c r="L29" s="173">
        <f t="shared" si="2"/>
        <v>0.19884192857380351</v>
      </c>
      <c r="M29" s="172">
        <f t="shared" si="3"/>
        <v>1219959.56</v>
      </c>
      <c r="N29" s="173">
        <f t="shared" ref="N29" si="76">M29/F29</f>
        <v>0.35438336293665407</v>
      </c>
      <c r="O29" s="172">
        <v>179086.75</v>
      </c>
      <c r="P29" s="173">
        <f t="shared" si="5"/>
        <v>5.2022515174515976E-2</v>
      </c>
      <c r="Q29" s="172">
        <v>140138.88</v>
      </c>
      <c r="R29" s="173">
        <f t="shared" si="6"/>
        <v>4.0708634286677675E-2</v>
      </c>
      <c r="S29" s="172">
        <f t="shared" si="7"/>
        <v>319225.63</v>
      </c>
      <c r="T29" s="173">
        <f t="shared" ref="T29" si="77">S29/F29</f>
        <v>9.2731149461193652E-2</v>
      </c>
      <c r="U29" s="172">
        <v>70699.23</v>
      </c>
      <c r="V29" s="173">
        <f t="shared" ref="V29" si="78">U29/F29</f>
        <v>2.0537263451939326E-2</v>
      </c>
      <c r="W29" s="172">
        <v>18907.95</v>
      </c>
      <c r="X29" s="173">
        <f t="shared" si="10"/>
        <v>5.492528709097627E-3</v>
      </c>
      <c r="Y29" s="172">
        <v>211184.40000000002</v>
      </c>
      <c r="Z29" s="173">
        <f t="shared" si="11"/>
        <v>6.134649075725062E-2</v>
      </c>
      <c r="AA29" s="172">
        <v>525276.96</v>
      </c>
      <c r="AB29" s="173">
        <f t="shared" si="12"/>
        <v>0.15258654603103591</v>
      </c>
      <c r="AC29" s="172">
        <f t="shared" si="13"/>
        <v>736461.36</v>
      </c>
      <c r="AD29" s="173">
        <f t="shared" si="14"/>
        <v>0.21393303678828654</v>
      </c>
      <c r="AE29" s="172">
        <v>786978.13</v>
      </c>
      <c r="AF29" s="173">
        <f t="shared" si="15"/>
        <v>0.22860754193114347</v>
      </c>
      <c r="AG29" s="172">
        <v>0</v>
      </c>
      <c r="AH29" s="173">
        <f t="shared" si="16"/>
        <v>0</v>
      </c>
      <c r="AI29" s="172">
        <v>156238.44</v>
      </c>
      <c r="AJ29" s="173">
        <f t="shared" si="17"/>
        <v>4.5385359976339419E-2</v>
      </c>
      <c r="AK29" s="172">
        <v>134015.12</v>
      </c>
      <c r="AL29" s="173">
        <f t="shared" si="18"/>
        <v>3.8929756745345927E-2</v>
      </c>
      <c r="AN29" s="72"/>
    </row>
    <row r="30" spans="2:40" s="73" customFormat="1" ht="14.25" customHeight="1">
      <c r="B30" s="510"/>
      <c r="C30" s="507"/>
      <c r="D30" s="171">
        <v>46072</v>
      </c>
      <c r="E30" s="171" t="s">
        <v>89</v>
      </c>
      <c r="F30" s="335">
        <f t="shared" si="0"/>
        <v>3403767.2</v>
      </c>
      <c r="G30" s="512"/>
      <c r="H30" s="514"/>
      <c r="I30" s="172">
        <v>524967.6100000001</v>
      </c>
      <c r="J30" s="173">
        <f t="shared" si="1"/>
        <v>0.15423134989960538</v>
      </c>
      <c r="K30" s="172">
        <v>661410.10000000009</v>
      </c>
      <c r="L30" s="173">
        <f t="shared" si="2"/>
        <v>0.19431707902937664</v>
      </c>
      <c r="M30" s="172">
        <f t="shared" si="3"/>
        <v>1186377.7100000002</v>
      </c>
      <c r="N30" s="173">
        <f t="shared" ref="N30" si="79">M30/$F30</f>
        <v>0.34854842892898202</v>
      </c>
      <c r="O30" s="172">
        <v>173010.19</v>
      </c>
      <c r="P30" s="173">
        <f t="shared" si="5"/>
        <v>5.0829031433172044E-2</v>
      </c>
      <c r="Q30" s="172">
        <v>139321.23000000001</v>
      </c>
      <c r="R30" s="173">
        <f t="shared" si="6"/>
        <v>4.0931480272798915E-2</v>
      </c>
      <c r="S30" s="172">
        <f t="shared" si="7"/>
        <v>312331.42000000004</v>
      </c>
      <c r="T30" s="173">
        <f t="shared" ref="T30" si="80">S30/$F30</f>
        <v>9.1760511705970965E-2</v>
      </c>
      <c r="U30" s="172">
        <v>73066.86</v>
      </c>
      <c r="V30" s="173">
        <f t="shared" ref="V30" si="81">U30/$F30</f>
        <v>2.1466468094527732E-2</v>
      </c>
      <c r="W30" s="172">
        <v>19205.5</v>
      </c>
      <c r="X30" s="173">
        <f t="shared" si="10"/>
        <v>5.642424664060456E-3</v>
      </c>
      <c r="Y30" s="172">
        <v>213341.66</v>
      </c>
      <c r="Z30" s="173">
        <f t="shared" si="11"/>
        <v>6.2678099724328973E-2</v>
      </c>
      <c r="AA30" s="172">
        <v>476496.07999999996</v>
      </c>
      <c r="AB30" s="173">
        <f t="shared" si="12"/>
        <v>0.13999079608029596</v>
      </c>
      <c r="AC30" s="172">
        <f t="shared" si="13"/>
        <v>689837.74</v>
      </c>
      <c r="AD30" s="173">
        <f t="shared" si="14"/>
        <v>0.20266889580462494</v>
      </c>
      <c r="AE30" s="172">
        <v>820711.3</v>
      </c>
      <c r="AF30" s="173">
        <f t="shared" si="15"/>
        <v>0.24111851715358207</v>
      </c>
      <c r="AG30" s="172">
        <v>0</v>
      </c>
      <c r="AH30" s="173">
        <f t="shared" si="16"/>
        <v>0</v>
      </c>
      <c r="AI30" s="172">
        <v>161512.91999999998</v>
      </c>
      <c r="AJ30" s="173">
        <f t="shared" si="17"/>
        <v>4.745122404375951E-2</v>
      </c>
      <c r="AK30" s="172">
        <v>140723.75</v>
      </c>
      <c r="AL30" s="173">
        <f t="shared" si="18"/>
        <v>4.1343529604492335E-2</v>
      </c>
      <c r="AN30" s="72"/>
    </row>
    <row r="31" spans="2:40" s="73" customFormat="1" ht="14.25" customHeight="1">
      <c r="B31" s="510"/>
      <c r="C31" s="507"/>
      <c r="D31" s="171">
        <v>46073</v>
      </c>
      <c r="E31" s="171" t="s">
        <v>90</v>
      </c>
      <c r="F31" s="335">
        <f t="shared" si="0"/>
        <v>3391576.2599999993</v>
      </c>
      <c r="G31" s="512"/>
      <c r="H31" s="514"/>
      <c r="I31" s="172">
        <v>483803.11999999994</v>
      </c>
      <c r="J31" s="173">
        <f t="shared" si="1"/>
        <v>0.14264845691542846</v>
      </c>
      <c r="K31" s="172">
        <v>636714.05999999994</v>
      </c>
      <c r="L31" s="173">
        <f t="shared" si="2"/>
        <v>0.18773396532737852</v>
      </c>
      <c r="M31" s="172">
        <f t="shared" si="3"/>
        <v>1120517.18</v>
      </c>
      <c r="N31" s="173">
        <f t="shared" ref="N31" si="82">M31/F31</f>
        <v>0.33038242224280701</v>
      </c>
      <c r="O31" s="172">
        <v>152352.69</v>
      </c>
      <c r="P31" s="173">
        <f t="shared" si="5"/>
        <v>4.4920909429882624E-2</v>
      </c>
      <c r="Q31" s="172">
        <v>122824.25</v>
      </c>
      <c r="R31" s="173">
        <f t="shared" si="6"/>
        <v>3.621450340025674E-2</v>
      </c>
      <c r="S31" s="172">
        <f t="shared" si="7"/>
        <v>275176.94</v>
      </c>
      <c r="T31" s="173">
        <f t="shared" ref="T31" si="83">S31/F31</f>
        <v>8.1135412830139364E-2</v>
      </c>
      <c r="U31" s="172">
        <v>67552.38</v>
      </c>
      <c r="V31" s="173">
        <f t="shared" ref="V31" si="84">U31/F31</f>
        <v>1.9917694553033584E-2</v>
      </c>
      <c r="W31" s="172">
        <v>16906.25</v>
      </c>
      <c r="X31" s="173">
        <f t="shared" si="10"/>
        <v>4.984776606497418E-3</v>
      </c>
      <c r="Y31" s="172">
        <v>214987.99000000002</v>
      </c>
      <c r="Z31" s="173">
        <f t="shared" si="11"/>
        <v>6.3388812020992294E-2</v>
      </c>
      <c r="AA31" s="172">
        <v>545217.53999999992</v>
      </c>
      <c r="AB31" s="173">
        <f t="shared" si="12"/>
        <v>0.16075638529207067</v>
      </c>
      <c r="AC31" s="172">
        <f t="shared" si="13"/>
        <v>760205.52999999991</v>
      </c>
      <c r="AD31" s="173">
        <f t="shared" si="14"/>
        <v>0.22414519731306295</v>
      </c>
      <c r="AE31" s="172">
        <v>860814.57000000007</v>
      </c>
      <c r="AF31" s="173">
        <f t="shared" si="15"/>
        <v>0.25380958705024081</v>
      </c>
      <c r="AG31" s="172">
        <v>0</v>
      </c>
      <c r="AH31" s="173">
        <f t="shared" si="16"/>
        <v>0</v>
      </c>
      <c r="AI31" s="172">
        <v>150174.38</v>
      </c>
      <c r="AJ31" s="173">
        <f t="shared" si="17"/>
        <v>4.4278638747164728E-2</v>
      </c>
      <c r="AK31" s="172">
        <v>140229.03</v>
      </c>
      <c r="AL31" s="173">
        <f t="shared" si="18"/>
        <v>4.1346270657054318E-2</v>
      </c>
      <c r="AN31" s="72"/>
    </row>
    <row r="32" spans="2:40" s="73" customFormat="1" ht="14.25" customHeight="1">
      <c r="B32" s="510"/>
      <c r="C32" s="507"/>
      <c r="D32" s="171">
        <v>46074</v>
      </c>
      <c r="E32" s="171" t="s">
        <v>91</v>
      </c>
      <c r="F32" s="335">
        <f t="shared" si="0"/>
        <v>3950864.4299999997</v>
      </c>
      <c r="G32" s="512"/>
      <c r="H32" s="514"/>
      <c r="I32" s="172">
        <v>501496.6</v>
      </c>
      <c r="J32" s="173">
        <f t="shared" si="1"/>
        <v>0.12693338606913424</v>
      </c>
      <c r="K32" s="172">
        <v>824281.16</v>
      </c>
      <c r="L32" s="173">
        <f t="shared" si="2"/>
        <v>0.2086331167784464</v>
      </c>
      <c r="M32" s="172">
        <f t="shared" si="3"/>
        <v>1325777.76</v>
      </c>
      <c r="N32" s="173">
        <f t="shared" ref="N32" si="85">M32/$F32</f>
        <v>0.33556650284758066</v>
      </c>
      <c r="O32" s="172">
        <v>157973.4</v>
      </c>
      <c r="P32" s="173">
        <f t="shared" si="5"/>
        <v>3.998451548994305E-2</v>
      </c>
      <c r="Q32" s="172">
        <v>135616.68</v>
      </c>
      <c r="R32" s="173">
        <f t="shared" si="6"/>
        <v>3.4325824741093434E-2</v>
      </c>
      <c r="S32" s="172">
        <f t="shared" si="7"/>
        <v>293590.07999999996</v>
      </c>
      <c r="T32" s="173">
        <f t="shared" ref="T32" si="86">S32/$F32</f>
        <v>7.431034023103647E-2</v>
      </c>
      <c r="U32" s="172">
        <v>70609.319999999992</v>
      </c>
      <c r="V32" s="173">
        <f t="shared" ref="V32" si="87">U32/$F32</f>
        <v>1.7871866081722271E-2</v>
      </c>
      <c r="W32" s="172">
        <v>23344.15</v>
      </c>
      <c r="X32" s="173">
        <f t="shared" si="10"/>
        <v>5.9086183324189648E-3</v>
      </c>
      <c r="Y32" s="172">
        <v>231905.45</v>
      </c>
      <c r="Z32" s="173">
        <f t="shared" si="11"/>
        <v>5.8697394990088289E-2</v>
      </c>
      <c r="AA32" s="172">
        <v>639615.1</v>
      </c>
      <c r="AB32" s="173">
        <f t="shared" si="12"/>
        <v>0.16189244438336753</v>
      </c>
      <c r="AC32" s="172">
        <f t="shared" si="13"/>
        <v>871520.55</v>
      </c>
      <c r="AD32" s="173">
        <f t="shared" si="14"/>
        <v>0.22058983937345583</v>
      </c>
      <c r="AE32" s="172">
        <v>1022516</v>
      </c>
      <c r="AF32" s="173">
        <f t="shared" si="15"/>
        <v>0.25880817176002169</v>
      </c>
      <c r="AG32" s="172">
        <v>0</v>
      </c>
      <c r="AH32" s="173">
        <f t="shared" si="16"/>
        <v>0</v>
      </c>
      <c r="AI32" s="172">
        <v>184582</v>
      </c>
      <c r="AJ32" s="173">
        <f t="shared" si="17"/>
        <v>4.6719396038603131E-2</v>
      </c>
      <c r="AK32" s="172">
        <v>158924.57</v>
      </c>
      <c r="AL32" s="173">
        <f t="shared" si="18"/>
        <v>4.0225265335161103E-2</v>
      </c>
      <c r="AN32" s="72"/>
    </row>
    <row r="33" spans="2:40" s="73" customFormat="1" ht="14.25" customHeight="1">
      <c r="B33" s="510"/>
      <c r="C33" s="507"/>
      <c r="D33" s="171">
        <v>46075</v>
      </c>
      <c r="E33" s="171" t="s">
        <v>84</v>
      </c>
      <c r="F33" s="335">
        <f t="shared" si="0"/>
        <v>5157259.59</v>
      </c>
      <c r="G33" s="512"/>
      <c r="H33" s="514"/>
      <c r="I33" s="172">
        <v>826577.66999999993</v>
      </c>
      <c r="J33" s="173">
        <f t="shared" si="1"/>
        <v>0.16027459071533762</v>
      </c>
      <c r="K33" s="172">
        <v>984970.73999999987</v>
      </c>
      <c r="L33" s="173">
        <f t="shared" si="2"/>
        <v>0.19098723320227515</v>
      </c>
      <c r="M33" s="172">
        <f t="shared" si="3"/>
        <v>1811548.4099999997</v>
      </c>
      <c r="N33" s="173">
        <f t="shared" ref="N33" si="88">M33/F33</f>
        <v>0.35126182391761274</v>
      </c>
      <c r="O33" s="172">
        <v>233227.33000000002</v>
      </c>
      <c r="P33" s="173">
        <f t="shared" si="5"/>
        <v>4.5223112377788997E-2</v>
      </c>
      <c r="Q33" s="172">
        <v>182014.1</v>
      </c>
      <c r="R33" s="173">
        <f t="shared" si="6"/>
        <v>3.5292793939038468E-2</v>
      </c>
      <c r="S33" s="172">
        <f t="shared" si="7"/>
        <v>415241.43000000005</v>
      </c>
      <c r="T33" s="173">
        <f t="shared" ref="T33" si="89">S33/F33</f>
        <v>8.0515906316827479E-2</v>
      </c>
      <c r="U33" s="172">
        <v>84245.67</v>
      </c>
      <c r="V33" s="173">
        <f t="shared" ref="V33" si="90">U33/F33</f>
        <v>1.6335355731046303E-2</v>
      </c>
      <c r="W33" s="172">
        <v>24074.5</v>
      </c>
      <c r="X33" s="173">
        <f t="shared" si="10"/>
        <v>4.6680799327380763E-3</v>
      </c>
      <c r="Y33" s="172">
        <v>247573.97</v>
      </c>
      <c r="Z33" s="173">
        <f t="shared" si="11"/>
        <v>4.8004946363384433E-2</v>
      </c>
      <c r="AA33" s="172">
        <v>712761.68000000017</v>
      </c>
      <c r="AB33" s="173">
        <f t="shared" si="12"/>
        <v>0.13820550770452883</v>
      </c>
      <c r="AC33" s="172">
        <f t="shared" si="13"/>
        <v>960335.65000000014</v>
      </c>
      <c r="AD33" s="173">
        <f t="shared" si="14"/>
        <v>0.18621045406791326</v>
      </c>
      <c r="AE33" s="172">
        <v>1550856.1999999997</v>
      </c>
      <c r="AF33" s="173">
        <f t="shared" si="15"/>
        <v>0.30071323208301015</v>
      </c>
      <c r="AG33" s="172">
        <v>0</v>
      </c>
      <c r="AH33" s="173">
        <f t="shared" si="16"/>
        <v>0</v>
      </c>
      <c r="AI33" s="172">
        <v>163451.94</v>
      </c>
      <c r="AJ33" s="173">
        <f t="shared" si="17"/>
        <v>3.1693564604918407E-2</v>
      </c>
      <c r="AK33" s="172">
        <v>147505.78999999998</v>
      </c>
      <c r="AL33" s="173">
        <f t="shared" si="18"/>
        <v>2.8601583345933528E-2</v>
      </c>
      <c r="AN33" s="72"/>
    </row>
    <row r="34" spans="2:40" s="73" customFormat="1" ht="14.25" customHeight="1">
      <c r="B34" s="511"/>
      <c r="C34" s="507"/>
      <c r="D34" s="171">
        <v>46076</v>
      </c>
      <c r="E34" s="171" t="s">
        <v>92</v>
      </c>
      <c r="F34" s="335">
        <f t="shared" si="0"/>
        <v>5011564.7100000009</v>
      </c>
      <c r="G34" s="512"/>
      <c r="H34" s="514"/>
      <c r="I34" s="172">
        <v>811758.54999999993</v>
      </c>
      <c r="J34" s="173">
        <f t="shared" si="1"/>
        <v>0.1619770664399941</v>
      </c>
      <c r="K34" s="172">
        <v>974914.22</v>
      </c>
      <c r="L34" s="173">
        <f t="shared" si="2"/>
        <v>0.19453290068362697</v>
      </c>
      <c r="M34" s="172">
        <f t="shared" si="3"/>
        <v>1786672.77</v>
      </c>
      <c r="N34" s="173">
        <f t="shared" ref="N34:N35" si="91">M34/$F34</f>
        <v>0.3565099671236211</v>
      </c>
      <c r="O34" s="172">
        <v>228662.22</v>
      </c>
      <c r="P34" s="173">
        <f t="shared" si="5"/>
        <v>4.5626911599830455E-2</v>
      </c>
      <c r="Q34" s="172">
        <v>184962.98</v>
      </c>
      <c r="R34" s="173">
        <f t="shared" si="6"/>
        <v>3.6907231713665729E-2</v>
      </c>
      <c r="S34" s="172">
        <f t="shared" si="7"/>
        <v>413625.2</v>
      </c>
      <c r="T34" s="173">
        <f t="shared" ref="T34:T35" si="92">S34/$F34</f>
        <v>8.2534143313496178E-2</v>
      </c>
      <c r="U34" s="172">
        <v>76813.11</v>
      </c>
      <c r="V34" s="173">
        <f t="shared" ref="V34:V35" si="93">U34/$F34</f>
        <v>1.532717114212419E-2</v>
      </c>
      <c r="W34" s="172">
        <v>25778.65</v>
      </c>
      <c r="X34" s="173">
        <f t="shared" si="10"/>
        <v>5.1438326135072486E-3</v>
      </c>
      <c r="Y34" s="172">
        <v>282373.98000000004</v>
      </c>
      <c r="Z34" s="173">
        <f t="shared" si="11"/>
        <v>5.6344474498464567E-2</v>
      </c>
      <c r="AA34" s="172">
        <v>684295.6100000001</v>
      </c>
      <c r="AB34" s="173">
        <f t="shared" si="12"/>
        <v>0.13654330525445815</v>
      </c>
      <c r="AC34" s="172">
        <f t="shared" si="13"/>
        <v>966669.59000000008</v>
      </c>
      <c r="AD34" s="173">
        <f t="shared" si="14"/>
        <v>0.19288777975292271</v>
      </c>
      <c r="AE34" s="172">
        <v>1416378.4000000001</v>
      </c>
      <c r="AF34" s="173">
        <f t="shared" si="15"/>
        <v>0.28262199172521507</v>
      </c>
      <c r="AG34" s="172">
        <v>0</v>
      </c>
      <c r="AH34" s="173">
        <f t="shared" si="16"/>
        <v>0</v>
      </c>
      <c r="AI34" s="172">
        <v>169620.2</v>
      </c>
      <c r="AJ34" s="173">
        <f t="shared" si="17"/>
        <v>3.3845756727742621E-2</v>
      </c>
      <c r="AK34" s="172">
        <v>156006.78999999998</v>
      </c>
      <c r="AL34" s="173">
        <f t="shared" si="18"/>
        <v>3.1129357601370762E-2</v>
      </c>
      <c r="AN34" s="72"/>
    </row>
    <row r="35" spans="2:40" s="73" customFormat="1" ht="14.25" customHeight="1">
      <c r="B35" s="509">
        <f>B28+7</f>
        <v>46085</v>
      </c>
      <c r="C35" s="507"/>
      <c r="D35" s="171">
        <v>46077</v>
      </c>
      <c r="E35" s="171" t="s">
        <v>87</v>
      </c>
      <c r="F35" s="335">
        <f t="shared" si="0"/>
        <v>5238957.08</v>
      </c>
      <c r="G35" s="512">
        <f t="shared" ref="G35" si="94">SUM(F35:F41)</f>
        <v>32338420.109999999</v>
      </c>
      <c r="H35" s="514"/>
      <c r="I35" s="172">
        <v>815562.12999999989</v>
      </c>
      <c r="J35" s="173">
        <f t="shared" si="1"/>
        <v>0.15567261146563924</v>
      </c>
      <c r="K35" s="172">
        <v>962970.78</v>
      </c>
      <c r="L35" s="173">
        <f t="shared" si="2"/>
        <v>0.18380963334786474</v>
      </c>
      <c r="M35" s="172">
        <f t="shared" si="3"/>
        <v>1778532.91</v>
      </c>
      <c r="N35" s="173">
        <f t="shared" si="91"/>
        <v>0.33948224481350397</v>
      </c>
      <c r="O35" s="172">
        <v>220466.87</v>
      </c>
      <c r="P35" s="173">
        <f t="shared" si="5"/>
        <v>4.208220579657812E-2</v>
      </c>
      <c r="Q35" s="172">
        <v>178349.54</v>
      </c>
      <c r="R35" s="173">
        <f t="shared" si="6"/>
        <v>3.4042947341725506E-2</v>
      </c>
      <c r="S35" s="172">
        <f t="shared" si="7"/>
        <v>398816.41000000003</v>
      </c>
      <c r="T35" s="173">
        <f t="shared" si="92"/>
        <v>7.6125153138303633E-2</v>
      </c>
      <c r="U35" s="172">
        <v>185358.40999999997</v>
      </c>
      <c r="V35" s="173">
        <f t="shared" si="93"/>
        <v>3.5380784222801838E-2</v>
      </c>
      <c r="W35" s="172">
        <v>233726.34000000003</v>
      </c>
      <c r="X35" s="173">
        <f t="shared" si="10"/>
        <v>4.461314273641654E-2</v>
      </c>
      <c r="Y35" s="172">
        <v>262050.32</v>
      </c>
      <c r="Z35" s="173">
        <f t="shared" si="11"/>
        <v>5.0019558472885979E-2</v>
      </c>
      <c r="AA35" s="172">
        <v>622985.41</v>
      </c>
      <c r="AB35" s="173">
        <f t="shared" si="12"/>
        <v>0.1189140129393845</v>
      </c>
      <c r="AC35" s="172">
        <f t="shared" si="13"/>
        <v>885035.73</v>
      </c>
      <c r="AD35" s="173">
        <f t="shared" si="14"/>
        <v>0.16893357141227047</v>
      </c>
      <c r="AE35" s="172">
        <v>1459250.84</v>
      </c>
      <c r="AF35" s="173">
        <f t="shared" si="15"/>
        <v>0.27853842238386883</v>
      </c>
      <c r="AG35" s="172">
        <v>0</v>
      </c>
      <c r="AH35" s="173">
        <f t="shared" si="16"/>
        <v>0</v>
      </c>
      <c r="AI35" s="172">
        <v>147496.78000000003</v>
      </c>
      <c r="AJ35" s="173">
        <f t="shared" si="17"/>
        <v>2.8153843932617221E-2</v>
      </c>
      <c r="AK35" s="172">
        <v>150739.65999999997</v>
      </c>
      <c r="AL35" s="173">
        <f t="shared" si="18"/>
        <v>2.8772837360217497E-2</v>
      </c>
      <c r="AN35" s="72"/>
    </row>
    <row r="36" spans="2:40" s="73" customFormat="1" ht="14.25" customHeight="1">
      <c r="B36" s="510"/>
      <c r="C36" s="507"/>
      <c r="D36" s="171">
        <v>46078</v>
      </c>
      <c r="E36" s="171" t="s">
        <v>88</v>
      </c>
      <c r="F36" s="335">
        <f t="shared" si="0"/>
        <v>4692647.5</v>
      </c>
      <c r="G36" s="512"/>
      <c r="H36" s="514"/>
      <c r="I36" s="172">
        <v>799279.10000000021</v>
      </c>
      <c r="J36" s="173">
        <f t="shared" si="1"/>
        <v>0.1703258341906142</v>
      </c>
      <c r="K36" s="172">
        <v>843869.38</v>
      </c>
      <c r="L36" s="173">
        <f t="shared" si="2"/>
        <v>0.1798279926203705</v>
      </c>
      <c r="M36" s="172">
        <f t="shared" si="3"/>
        <v>1643148.4800000002</v>
      </c>
      <c r="N36" s="173">
        <f t="shared" ref="N36" si="95">M36/F36</f>
        <v>0.35015382681098467</v>
      </c>
      <c r="O36" s="172">
        <v>220683.47999999998</v>
      </c>
      <c r="P36" s="173">
        <f t="shared" si="5"/>
        <v>4.7027499934738329E-2</v>
      </c>
      <c r="Q36" s="172">
        <v>169504.31000000003</v>
      </c>
      <c r="R36" s="173">
        <f t="shared" si="6"/>
        <v>3.6121253514141013E-2</v>
      </c>
      <c r="S36" s="172">
        <f t="shared" si="7"/>
        <v>390187.79000000004</v>
      </c>
      <c r="T36" s="173">
        <f t="shared" ref="T36" si="96">S36/F36</f>
        <v>8.3148753448879342E-2</v>
      </c>
      <c r="U36" s="172">
        <v>148052.13999999998</v>
      </c>
      <c r="V36" s="173">
        <f t="shared" ref="V36" si="97">U36/F36</f>
        <v>3.1549810634615108E-2</v>
      </c>
      <c r="W36" s="172">
        <v>127954.87000000001</v>
      </c>
      <c r="X36" s="173">
        <f t="shared" si="10"/>
        <v>2.7267096026283671E-2</v>
      </c>
      <c r="Y36" s="172">
        <v>246268.26</v>
      </c>
      <c r="Z36" s="173">
        <f t="shared" si="11"/>
        <v>5.2479599202795442E-2</v>
      </c>
      <c r="AA36" s="172">
        <v>471199.58</v>
      </c>
      <c r="AB36" s="173">
        <f t="shared" si="12"/>
        <v>0.10041231096092344</v>
      </c>
      <c r="AC36" s="172">
        <f t="shared" si="13"/>
        <v>717467.84000000008</v>
      </c>
      <c r="AD36" s="173">
        <f t="shared" si="14"/>
        <v>0.15289191016371889</v>
      </c>
      <c r="AE36" s="172">
        <v>1390723.68</v>
      </c>
      <c r="AF36" s="173">
        <f t="shared" si="15"/>
        <v>0.29636227310915636</v>
      </c>
      <c r="AG36" s="172">
        <v>0</v>
      </c>
      <c r="AH36" s="173">
        <f t="shared" si="16"/>
        <v>0</v>
      </c>
      <c r="AI36" s="172">
        <v>133540.96000000002</v>
      </c>
      <c r="AJ36" s="173">
        <f t="shared" si="17"/>
        <v>2.8457488017158764E-2</v>
      </c>
      <c r="AK36" s="172">
        <v>141571.74</v>
      </c>
      <c r="AL36" s="173">
        <f t="shared" si="18"/>
        <v>3.0168841789203215E-2</v>
      </c>
      <c r="AN36" s="72"/>
    </row>
    <row r="37" spans="2:40" s="73" customFormat="1" ht="14.25" customHeight="1">
      <c r="B37" s="510"/>
      <c r="C37" s="507"/>
      <c r="D37" s="171">
        <v>46079</v>
      </c>
      <c r="E37" s="171" t="s">
        <v>89</v>
      </c>
      <c r="F37" s="335">
        <f t="shared" si="0"/>
        <v>3909306.83</v>
      </c>
      <c r="G37" s="512"/>
      <c r="H37" s="514"/>
      <c r="I37" s="172">
        <v>569381.54</v>
      </c>
      <c r="J37" s="173">
        <f t="shared" si="1"/>
        <v>0.14564769785542775</v>
      </c>
      <c r="K37" s="172">
        <v>745558.51</v>
      </c>
      <c r="L37" s="173">
        <f t="shared" si="2"/>
        <v>0.19071373581592213</v>
      </c>
      <c r="M37" s="172">
        <f t="shared" si="3"/>
        <v>1314940.05</v>
      </c>
      <c r="N37" s="173">
        <f t="shared" ref="N37" si="98">M37/$F37</f>
        <v>0.33636143367134985</v>
      </c>
      <c r="O37" s="172">
        <v>181316.11</v>
      </c>
      <c r="P37" s="173">
        <f t="shared" si="5"/>
        <v>4.6380629069220435E-2</v>
      </c>
      <c r="Q37" s="172">
        <v>144695.62</v>
      </c>
      <c r="R37" s="173">
        <f t="shared" si="6"/>
        <v>3.7013114163771073E-2</v>
      </c>
      <c r="S37" s="172">
        <f t="shared" si="7"/>
        <v>326011.73</v>
      </c>
      <c r="T37" s="173">
        <f t="shared" ref="T37" si="99">S37/$F37</f>
        <v>8.3393743232991507E-2</v>
      </c>
      <c r="U37" s="172">
        <v>126261.09</v>
      </c>
      <c r="V37" s="173">
        <f t="shared" ref="V37" si="100">U37/$F37</f>
        <v>3.2297564629891175E-2</v>
      </c>
      <c r="W37" s="172">
        <v>117881.98000000001</v>
      </c>
      <c r="X37" s="173">
        <f t="shared" si="10"/>
        <v>3.0154189764634055E-2</v>
      </c>
      <c r="Y37" s="172">
        <v>228101.86000000002</v>
      </c>
      <c r="Z37" s="173">
        <f t="shared" si="11"/>
        <v>5.83484156959867E-2</v>
      </c>
      <c r="AA37" s="172">
        <v>422415.5</v>
      </c>
      <c r="AB37" s="173">
        <f t="shared" si="12"/>
        <v>0.10805381065471395</v>
      </c>
      <c r="AC37" s="172">
        <f t="shared" si="13"/>
        <v>650517.36</v>
      </c>
      <c r="AD37" s="173">
        <f t="shared" si="14"/>
        <v>0.16640222635070065</v>
      </c>
      <c r="AE37" s="172">
        <v>1113115.73</v>
      </c>
      <c r="AF37" s="173">
        <f t="shared" si="15"/>
        <v>0.28473480808872709</v>
      </c>
      <c r="AG37" s="172">
        <v>0</v>
      </c>
      <c r="AH37" s="173">
        <f t="shared" si="16"/>
        <v>0</v>
      </c>
      <c r="AI37" s="172">
        <v>126738.1</v>
      </c>
      <c r="AJ37" s="173">
        <f t="shared" si="17"/>
        <v>3.241958370405016E-2</v>
      </c>
      <c r="AK37" s="172">
        <v>133840.78999999998</v>
      </c>
      <c r="AL37" s="173">
        <f t="shared" si="18"/>
        <v>3.4236450557655507E-2</v>
      </c>
      <c r="AN37" s="72"/>
    </row>
    <row r="38" spans="2:40" s="73" customFormat="1" ht="14.25" customHeight="1">
      <c r="B38" s="510"/>
      <c r="C38" s="507"/>
      <c r="D38" s="171">
        <v>46080</v>
      </c>
      <c r="E38" s="171" t="s">
        <v>90</v>
      </c>
      <c r="F38" s="335">
        <f t="shared" si="0"/>
        <v>3610052.0600000005</v>
      </c>
      <c r="G38" s="512"/>
      <c r="H38" s="514"/>
      <c r="I38" s="172">
        <v>545361.13</v>
      </c>
      <c r="J38" s="173">
        <f t="shared" si="1"/>
        <v>0.15106738654622059</v>
      </c>
      <c r="K38" s="172">
        <v>729491.75000000012</v>
      </c>
      <c r="L38" s="173">
        <f t="shared" si="2"/>
        <v>0.20207236291212932</v>
      </c>
      <c r="M38" s="172">
        <f t="shared" si="3"/>
        <v>1274852.8800000001</v>
      </c>
      <c r="N38" s="173">
        <f t="shared" ref="N38" si="101">M38/F38</f>
        <v>0.35313974945834992</v>
      </c>
      <c r="O38" s="172">
        <v>174530.93</v>
      </c>
      <c r="P38" s="173">
        <f t="shared" si="5"/>
        <v>4.8345820807913768E-2</v>
      </c>
      <c r="Q38" s="172">
        <v>138334.66</v>
      </c>
      <c r="R38" s="173">
        <f t="shared" si="6"/>
        <v>3.8319297810901924E-2</v>
      </c>
      <c r="S38" s="172">
        <f t="shared" si="7"/>
        <v>312865.58999999997</v>
      </c>
      <c r="T38" s="173">
        <f t="shared" ref="T38" si="102">S38/F38</f>
        <v>8.6665118618815692E-2</v>
      </c>
      <c r="U38" s="172">
        <v>105159.82</v>
      </c>
      <c r="V38" s="173">
        <f t="shared" ref="V38" si="103">U38/F38</f>
        <v>2.9129723963038912E-2</v>
      </c>
      <c r="W38" s="172">
        <v>54549.87</v>
      </c>
      <c r="X38" s="173">
        <f t="shared" si="10"/>
        <v>1.5110549402991157E-2</v>
      </c>
      <c r="Y38" s="172">
        <v>204485.54</v>
      </c>
      <c r="Z38" s="173">
        <f t="shared" si="11"/>
        <v>5.6643377048695522E-2</v>
      </c>
      <c r="AA38" s="172">
        <v>465150.63999999996</v>
      </c>
      <c r="AB38" s="173">
        <f t="shared" si="12"/>
        <v>0.1288487346633998</v>
      </c>
      <c r="AC38" s="172">
        <f t="shared" si="13"/>
        <v>669636.17999999993</v>
      </c>
      <c r="AD38" s="173">
        <f t="shared" si="14"/>
        <v>0.18549211171209531</v>
      </c>
      <c r="AE38" s="172">
        <v>952067.01000000013</v>
      </c>
      <c r="AF38" s="173">
        <f t="shared" si="15"/>
        <v>0.26372667046801535</v>
      </c>
      <c r="AG38" s="172">
        <v>0</v>
      </c>
      <c r="AH38" s="173">
        <f t="shared" si="16"/>
        <v>0</v>
      </c>
      <c r="AI38" s="172">
        <v>118704.20000000001</v>
      </c>
      <c r="AJ38" s="173">
        <f t="shared" si="17"/>
        <v>3.288157567456243E-2</v>
      </c>
      <c r="AK38" s="172">
        <v>122216.51</v>
      </c>
      <c r="AL38" s="173">
        <f t="shared" si="18"/>
        <v>3.3854500702131141E-2</v>
      </c>
      <c r="AN38" s="72"/>
    </row>
    <row r="39" spans="2:40" s="73" customFormat="1" ht="14.25" customHeight="1">
      <c r="B39" s="510"/>
      <c r="C39" s="508"/>
      <c r="D39" s="171">
        <v>46081</v>
      </c>
      <c r="E39" s="171" t="s">
        <v>91</v>
      </c>
      <c r="F39" s="335">
        <f t="shared" si="0"/>
        <v>3915929.62</v>
      </c>
      <c r="G39" s="512"/>
      <c r="H39" s="515"/>
      <c r="I39" s="172">
        <v>533505.22</v>
      </c>
      <c r="J39" s="173">
        <f t="shared" si="1"/>
        <v>0.13623973660691072</v>
      </c>
      <c r="K39" s="172">
        <v>882554.59</v>
      </c>
      <c r="L39" s="173">
        <f t="shared" si="2"/>
        <v>0.22537549844933116</v>
      </c>
      <c r="M39" s="172">
        <f t="shared" si="3"/>
        <v>1416059.81</v>
      </c>
      <c r="N39" s="173">
        <f t="shared" ref="N39" si="104">M39/$F39</f>
        <v>0.36161523505624188</v>
      </c>
      <c r="O39" s="172">
        <v>166313.66999999998</v>
      </c>
      <c r="P39" s="173">
        <f t="shared" si="5"/>
        <v>4.2471056974716509E-2</v>
      </c>
      <c r="Q39" s="172">
        <v>136605.65</v>
      </c>
      <c r="R39" s="173">
        <f t="shared" si="6"/>
        <v>3.4884602956679285E-2</v>
      </c>
      <c r="S39" s="172">
        <f t="shared" si="7"/>
        <v>302919.31999999995</v>
      </c>
      <c r="T39" s="173">
        <f t="shared" ref="T39" si="105">S39/$F39</f>
        <v>7.7355659931395787E-2</v>
      </c>
      <c r="U39" s="172">
        <v>117254.27</v>
      </c>
      <c r="V39" s="173">
        <f t="shared" ref="V39" si="106">U39/$F39</f>
        <v>2.9942895143248258E-2</v>
      </c>
      <c r="W39" s="172">
        <v>65953.22</v>
      </c>
      <c r="X39" s="173">
        <f t="shared" si="10"/>
        <v>1.6842289417857311E-2</v>
      </c>
      <c r="Y39" s="172">
        <v>222027.47</v>
      </c>
      <c r="Z39" s="173">
        <f t="shared" si="11"/>
        <v>5.6698534331676778E-2</v>
      </c>
      <c r="AA39" s="172">
        <v>550814.38</v>
      </c>
      <c r="AB39" s="173">
        <f t="shared" si="12"/>
        <v>0.14065992840800851</v>
      </c>
      <c r="AC39" s="172">
        <f t="shared" si="13"/>
        <v>772841.85</v>
      </c>
      <c r="AD39" s="173">
        <f t="shared" si="14"/>
        <v>0.1973584627396853</v>
      </c>
      <c r="AE39" s="172">
        <v>1029063.2100000001</v>
      </c>
      <c r="AF39" s="173">
        <f t="shared" si="15"/>
        <v>0.26278899517096022</v>
      </c>
      <c r="AG39" s="172">
        <v>0</v>
      </c>
      <c r="AH39" s="173">
        <f t="shared" si="16"/>
        <v>0</v>
      </c>
      <c r="AI39" s="172">
        <v>70403.199999999997</v>
      </c>
      <c r="AJ39" s="173">
        <f t="shared" si="17"/>
        <v>1.7978668370449414E-2</v>
      </c>
      <c r="AK39" s="172">
        <v>141434.74</v>
      </c>
      <c r="AL39" s="173">
        <f t="shared" si="18"/>
        <v>3.6117794170161817E-2</v>
      </c>
      <c r="AN39" s="72"/>
    </row>
    <row r="40" spans="2:40" s="73" customFormat="1" ht="14.25" customHeight="1">
      <c r="B40" s="510"/>
      <c r="C40" s="506" t="s">
        <v>88</v>
      </c>
      <c r="D40" s="171">
        <v>46082</v>
      </c>
      <c r="E40" s="171" t="s">
        <v>84</v>
      </c>
      <c r="F40" s="335">
        <f t="shared" si="0"/>
        <v>5447490.2600000007</v>
      </c>
      <c r="G40" s="512"/>
      <c r="H40" s="513">
        <f>SUM(F40:F69)</f>
        <v>10971527.02</v>
      </c>
      <c r="I40" s="172">
        <v>880068.55</v>
      </c>
      <c r="J40" s="173">
        <f t="shared" si="1"/>
        <v>0.16155486434958766</v>
      </c>
      <c r="K40" s="172">
        <v>1018931.31</v>
      </c>
      <c r="L40" s="173">
        <f t="shared" si="2"/>
        <v>0.1870460085962595</v>
      </c>
      <c r="M40" s="172">
        <f t="shared" si="3"/>
        <v>1898999.86</v>
      </c>
      <c r="N40" s="173">
        <f t="shared" ref="N40" si="107">M40/F40</f>
        <v>0.34860087294584713</v>
      </c>
      <c r="O40" s="172">
        <v>229722.55</v>
      </c>
      <c r="P40" s="173">
        <f t="shared" si="5"/>
        <v>4.2170346165979186E-2</v>
      </c>
      <c r="Q40" s="172">
        <v>170790.6</v>
      </c>
      <c r="R40" s="173">
        <f t="shared" si="6"/>
        <v>3.1352162527776596E-2</v>
      </c>
      <c r="S40" s="172">
        <f t="shared" si="7"/>
        <v>400513.15</v>
      </c>
      <c r="T40" s="173">
        <f t="shared" ref="T40" si="108">S40/F40</f>
        <v>7.3522508693755789E-2</v>
      </c>
      <c r="U40" s="172">
        <v>173999.35999999999</v>
      </c>
      <c r="V40" s="173">
        <f t="shared" ref="V40" si="109">U40/F40</f>
        <v>3.1941197082562559E-2</v>
      </c>
      <c r="W40" s="172">
        <v>148402.32</v>
      </c>
      <c r="X40" s="173">
        <f t="shared" si="10"/>
        <v>2.7242328653562381E-2</v>
      </c>
      <c r="Y40" s="172">
        <v>296339.40000000002</v>
      </c>
      <c r="Z40" s="173">
        <f t="shared" si="11"/>
        <v>5.4399252840518157E-2</v>
      </c>
      <c r="AA40" s="172">
        <v>622748.12</v>
      </c>
      <c r="AB40" s="173">
        <f t="shared" si="12"/>
        <v>0.11431835400840164</v>
      </c>
      <c r="AC40" s="172">
        <f t="shared" si="13"/>
        <v>919087.52</v>
      </c>
      <c r="AD40" s="173">
        <f t="shared" si="14"/>
        <v>0.16871760684891979</v>
      </c>
      <c r="AE40" s="172">
        <v>1756824.69</v>
      </c>
      <c r="AF40" s="173">
        <f t="shared" si="15"/>
        <v>0.32250166703372862</v>
      </c>
      <c r="AG40" s="172">
        <v>0</v>
      </c>
      <c r="AH40" s="173">
        <f t="shared" si="16"/>
        <v>0</v>
      </c>
      <c r="AI40" s="172">
        <v>81107.360000000001</v>
      </c>
      <c r="AJ40" s="173">
        <f t="shared" si="17"/>
        <v>1.4888940801887728E-2</v>
      </c>
      <c r="AK40" s="172">
        <v>68556</v>
      </c>
      <c r="AL40" s="173">
        <f t="shared" si="18"/>
        <v>1.2584877939735865E-2</v>
      </c>
      <c r="AN40" s="72"/>
    </row>
    <row r="41" spans="2:40" s="73" customFormat="1" ht="14.25" customHeight="1">
      <c r="B41" s="511"/>
      <c r="C41" s="507"/>
      <c r="D41" s="171">
        <v>46083</v>
      </c>
      <c r="E41" s="171" t="s">
        <v>92</v>
      </c>
      <c r="F41" s="335">
        <f t="shared" si="0"/>
        <v>5524036.7599999998</v>
      </c>
      <c r="G41" s="512"/>
      <c r="H41" s="514"/>
      <c r="I41" s="172">
        <v>846957.79999999981</v>
      </c>
      <c r="J41" s="173">
        <f t="shared" si="1"/>
        <v>0.15332225993369383</v>
      </c>
      <c r="K41" s="172">
        <v>1097915.22</v>
      </c>
      <c r="L41" s="173">
        <f t="shared" si="2"/>
        <v>0.19875233777408824</v>
      </c>
      <c r="M41" s="172">
        <f t="shared" si="3"/>
        <v>1944873.0199999998</v>
      </c>
      <c r="N41" s="173">
        <f t="shared" ref="N41" si="110">M41/$F41</f>
        <v>0.35207459770778204</v>
      </c>
      <c r="O41" s="172">
        <v>211406.03</v>
      </c>
      <c r="P41" s="173">
        <f t="shared" si="5"/>
        <v>3.8270206949165921E-2</v>
      </c>
      <c r="Q41" s="172">
        <v>168666.66</v>
      </c>
      <c r="R41" s="173">
        <f t="shared" si="6"/>
        <v>3.053322548852843E-2</v>
      </c>
      <c r="S41" s="172">
        <f t="shared" si="7"/>
        <v>380072.69</v>
      </c>
      <c r="T41" s="173">
        <f t="shared" ref="T41" si="111">S41/$F41</f>
        <v>6.8803432437694351E-2</v>
      </c>
      <c r="U41" s="172">
        <v>130781.56</v>
      </c>
      <c r="V41" s="173">
        <f t="shared" ref="V41" si="112">U41/$F41</f>
        <v>2.3674998136688722E-2</v>
      </c>
      <c r="W41" s="172">
        <v>113746.98000000001</v>
      </c>
      <c r="X41" s="173">
        <f t="shared" si="10"/>
        <v>2.0591278614156074E-2</v>
      </c>
      <c r="Y41" s="172">
        <v>253080.66</v>
      </c>
      <c r="Z41" s="173">
        <f t="shared" si="11"/>
        <v>4.5814441683766062E-2</v>
      </c>
      <c r="AA41" s="172">
        <v>1069349</v>
      </c>
      <c r="AB41" s="173">
        <f t="shared" si="12"/>
        <v>0.19358107964509635</v>
      </c>
      <c r="AC41" s="172">
        <f t="shared" si="13"/>
        <v>1322429.6599999999</v>
      </c>
      <c r="AD41" s="173">
        <f t="shared" si="14"/>
        <v>0.23939552132886241</v>
      </c>
      <c r="AE41" s="172">
        <v>1465668.83</v>
      </c>
      <c r="AF41" s="173">
        <f t="shared" si="15"/>
        <v>0.26532568367629766</v>
      </c>
      <c r="AG41" s="172">
        <v>0</v>
      </c>
      <c r="AH41" s="173">
        <f t="shared" si="16"/>
        <v>0</v>
      </c>
      <c r="AI41" s="172">
        <v>92529.919999999998</v>
      </c>
      <c r="AJ41" s="173">
        <f t="shared" si="17"/>
        <v>1.6750417135167651E-2</v>
      </c>
      <c r="AK41" s="172">
        <v>73934.099999999991</v>
      </c>
      <c r="AL41" s="173">
        <f t="shared" si="18"/>
        <v>1.3384070963351083E-2</v>
      </c>
      <c r="AN41" s="72"/>
    </row>
    <row r="42" spans="2:40" s="73" customFormat="1" ht="14.25" customHeight="1">
      <c r="B42" s="509">
        <f>B35+7</f>
        <v>46092</v>
      </c>
      <c r="C42" s="507"/>
      <c r="D42" s="171">
        <v>46084</v>
      </c>
      <c r="E42" s="171" t="s">
        <v>87</v>
      </c>
      <c r="F42" s="335"/>
      <c r="G42" s="516">
        <f t="shared" ref="G42" si="113">SUM(F42:F48)</f>
        <v>0</v>
      </c>
      <c r="H42" s="514"/>
      <c r="I42" s="172"/>
      <c r="J42" s="173" t="e">
        <f t="shared" ref="J42:J69" si="114">I42/$F42</f>
        <v>#DIV/0!</v>
      </c>
      <c r="K42" s="172"/>
      <c r="L42" s="173" t="e">
        <f t="shared" ref="L42:L69" si="115">K42/$F42</f>
        <v>#DIV/0!</v>
      </c>
      <c r="M42" s="172">
        <f t="shared" ref="M42:M69" si="116">I42+K42</f>
        <v>0</v>
      </c>
      <c r="N42" s="173" t="e">
        <f t="shared" ref="N42" si="117">M42/F42</f>
        <v>#DIV/0!</v>
      </c>
      <c r="O42" s="172"/>
      <c r="P42" s="173" t="e">
        <f t="shared" ref="P42:P69" si="118">O42/$F42</f>
        <v>#DIV/0!</v>
      </c>
      <c r="Q42" s="172"/>
      <c r="R42" s="173" t="e">
        <f t="shared" ref="R42:R69" si="119">Q42/$F42</f>
        <v>#DIV/0!</v>
      </c>
      <c r="S42" s="172">
        <f t="shared" ref="S42:S69" si="120">O42+Q42</f>
        <v>0</v>
      </c>
      <c r="T42" s="173" t="e">
        <f t="shared" ref="T42:T44" si="121">S42/F42</f>
        <v>#DIV/0!</v>
      </c>
      <c r="U42" s="172"/>
      <c r="V42" s="173" t="e">
        <f t="shared" ref="V42:V44" si="122">U42/F42</f>
        <v>#DIV/0!</v>
      </c>
      <c r="W42" s="172"/>
      <c r="X42" s="173" t="e">
        <f t="shared" ref="X42:X69" si="123">W42/$F42</f>
        <v>#DIV/0!</v>
      </c>
      <c r="Y42" s="172"/>
      <c r="Z42" s="173" t="e">
        <f t="shared" ref="Z42:Z69" si="124">Y42/$F42</f>
        <v>#DIV/0!</v>
      </c>
      <c r="AA42" s="172"/>
      <c r="AB42" s="173" t="e">
        <f t="shared" ref="AB42:AB69" si="125">AA42/$F42</f>
        <v>#DIV/0!</v>
      </c>
      <c r="AC42" s="172">
        <f t="shared" ref="AC42:AC69" si="126">Y42+AA42</f>
        <v>0</v>
      </c>
      <c r="AD42" s="173" t="e">
        <f t="shared" ref="AD42:AD69" si="127">AC42/$F42</f>
        <v>#DIV/0!</v>
      </c>
      <c r="AE42" s="172"/>
      <c r="AF42" s="173" t="e">
        <f t="shared" ref="AF42:AF69" si="128">AE42/F42</f>
        <v>#DIV/0!</v>
      </c>
      <c r="AG42" s="172"/>
      <c r="AH42" s="173" t="e">
        <f t="shared" ref="AH42:AH69" si="129">AG42/$F42</f>
        <v>#DIV/0!</v>
      </c>
      <c r="AI42" s="172"/>
      <c r="AJ42" s="173" t="e">
        <f t="shared" ref="AJ42:AJ69" si="130">AI42/$F42</f>
        <v>#DIV/0!</v>
      </c>
      <c r="AK42" s="172"/>
      <c r="AL42" s="173" t="e">
        <f t="shared" ref="AL42:AL69" si="131">AK42/$F42</f>
        <v>#DIV/0!</v>
      </c>
      <c r="AN42" s="72"/>
    </row>
    <row r="43" spans="2:40" s="73" customFormat="1" ht="14.25" customHeight="1">
      <c r="B43" s="510"/>
      <c r="C43" s="507"/>
      <c r="D43" s="171">
        <v>46085</v>
      </c>
      <c r="E43" s="171" t="s">
        <v>88</v>
      </c>
      <c r="F43" s="335"/>
      <c r="G43" s="517"/>
      <c r="H43" s="514"/>
      <c r="I43" s="172"/>
      <c r="J43" s="173" t="e">
        <f t="shared" si="114"/>
        <v>#DIV/0!</v>
      </c>
      <c r="K43" s="172"/>
      <c r="L43" s="173" t="e">
        <f t="shared" si="115"/>
        <v>#DIV/0!</v>
      </c>
      <c r="M43" s="172">
        <f t="shared" si="116"/>
        <v>0</v>
      </c>
      <c r="N43" s="173" t="e">
        <f t="shared" ref="N43" si="132">M43/$F43</f>
        <v>#DIV/0!</v>
      </c>
      <c r="O43" s="172"/>
      <c r="P43" s="173" t="e">
        <f t="shared" si="118"/>
        <v>#DIV/0!</v>
      </c>
      <c r="Q43" s="172"/>
      <c r="R43" s="173" t="e">
        <f t="shared" si="119"/>
        <v>#DIV/0!</v>
      </c>
      <c r="S43" s="172">
        <f t="shared" si="120"/>
        <v>0</v>
      </c>
      <c r="T43" s="173" t="e">
        <f t="shared" ref="T43" si="133">S43/$F43</f>
        <v>#DIV/0!</v>
      </c>
      <c r="U43" s="172"/>
      <c r="V43" s="173" t="e">
        <f t="shared" ref="V43" si="134">U43/$F43</f>
        <v>#DIV/0!</v>
      </c>
      <c r="W43" s="172"/>
      <c r="X43" s="173" t="e">
        <f t="shared" si="123"/>
        <v>#DIV/0!</v>
      </c>
      <c r="Y43" s="172"/>
      <c r="Z43" s="173" t="e">
        <f t="shared" si="124"/>
        <v>#DIV/0!</v>
      </c>
      <c r="AA43" s="172"/>
      <c r="AB43" s="173" t="e">
        <f t="shared" si="125"/>
        <v>#DIV/0!</v>
      </c>
      <c r="AC43" s="172">
        <f t="shared" si="126"/>
        <v>0</v>
      </c>
      <c r="AD43" s="173" t="e">
        <f t="shared" si="127"/>
        <v>#DIV/0!</v>
      </c>
      <c r="AE43" s="172"/>
      <c r="AF43" s="173" t="e">
        <f t="shared" si="128"/>
        <v>#DIV/0!</v>
      </c>
      <c r="AG43" s="172"/>
      <c r="AH43" s="173" t="e">
        <f t="shared" si="129"/>
        <v>#DIV/0!</v>
      </c>
      <c r="AI43" s="172"/>
      <c r="AJ43" s="173" t="e">
        <f t="shared" si="130"/>
        <v>#DIV/0!</v>
      </c>
      <c r="AK43" s="172"/>
      <c r="AL43" s="173" t="e">
        <f t="shared" si="131"/>
        <v>#DIV/0!</v>
      </c>
      <c r="AN43" s="72"/>
    </row>
    <row r="44" spans="2:40" s="73" customFormat="1" ht="14.25" customHeight="1">
      <c r="B44" s="510"/>
      <c r="C44" s="507"/>
      <c r="D44" s="171">
        <v>46086</v>
      </c>
      <c r="E44" s="171" t="s">
        <v>89</v>
      </c>
      <c r="F44" s="335"/>
      <c r="G44" s="517"/>
      <c r="H44" s="514"/>
      <c r="I44" s="172"/>
      <c r="J44" s="173" t="e">
        <f t="shared" si="114"/>
        <v>#DIV/0!</v>
      </c>
      <c r="K44" s="172"/>
      <c r="L44" s="173" t="e">
        <f t="shared" si="115"/>
        <v>#DIV/0!</v>
      </c>
      <c r="M44" s="172">
        <f t="shared" si="116"/>
        <v>0</v>
      </c>
      <c r="N44" s="173" t="e">
        <f t="shared" ref="N44" si="135">M44/F44</f>
        <v>#DIV/0!</v>
      </c>
      <c r="O44" s="172"/>
      <c r="P44" s="173" t="e">
        <f t="shared" si="118"/>
        <v>#DIV/0!</v>
      </c>
      <c r="Q44" s="172"/>
      <c r="R44" s="173" t="e">
        <f t="shared" si="119"/>
        <v>#DIV/0!</v>
      </c>
      <c r="S44" s="172">
        <f t="shared" si="120"/>
        <v>0</v>
      </c>
      <c r="T44" s="173" t="e">
        <f t="shared" si="121"/>
        <v>#DIV/0!</v>
      </c>
      <c r="U44" s="172"/>
      <c r="V44" s="173" t="e">
        <f t="shared" si="122"/>
        <v>#DIV/0!</v>
      </c>
      <c r="W44" s="172"/>
      <c r="X44" s="173" t="e">
        <f t="shared" si="123"/>
        <v>#DIV/0!</v>
      </c>
      <c r="Y44" s="172"/>
      <c r="Z44" s="173" t="e">
        <f t="shared" si="124"/>
        <v>#DIV/0!</v>
      </c>
      <c r="AA44" s="172"/>
      <c r="AB44" s="173" t="e">
        <f t="shared" si="125"/>
        <v>#DIV/0!</v>
      </c>
      <c r="AC44" s="172">
        <f t="shared" si="126"/>
        <v>0</v>
      </c>
      <c r="AD44" s="173" t="e">
        <f t="shared" si="127"/>
        <v>#DIV/0!</v>
      </c>
      <c r="AE44" s="172"/>
      <c r="AF44" s="173" t="e">
        <f t="shared" si="128"/>
        <v>#DIV/0!</v>
      </c>
      <c r="AG44" s="172"/>
      <c r="AH44" s="173" t="e">
        <f t="shared" si="129"/>
        <v>#DIV/0!</v>
      </c>
      <c r="AI44" s="172"/>
      <c r="AJ44" s="173" t="e">
        <f t="shared" si="130"/>
        <v>#DIV/0!</v>
      </c>
      <c r="AK44" s="172"/>
      <c r="AL44" s="173" t="e">
        <f t="shared" si="131"/>
        <v>#DIV/0!</v>
      </c>
      <c r="AN44" s="72"/>
    </row>
    <row r="45" spans="2:40" s="73" customFormat="1" ht="14.25" customHeight="1">
      <c r="B45" s="510"/>
      <c r="C45" s="507"/>
      <c r="D45" s="171">
        <v>46087</v>
      </c>
      <c r="E45" s="171" t="s">
        <v>90</v>
      </c>
      <c r="F45" s="335"/>
      <c r="G45" s="517"/>
      <c r="H45" s="514"/>
      <c r="I45" s="172"/>
      <c r="J45" s="173" t="e">
        <f t="shared" si="114"/>
        <v>#DIV/0!</v>
      </c>
      <c r="K45" s="172"/>
      <c r="L45" s="173" t="e">
        <f t="shared" si="115"/>
        <v>#DIV/0!</v>
      </c>
      <c r="M45" s="172">
        <f t="shared" si="116"/>
        <v>0</v>
      </c>
      <c r="N45" s="173" t="e">
        <f t="shared" ref="N45:N46" si="136">M45/$F45</f>
        <v>#DIV/0!</v>
      </c>
      <c r="O45" s="172"/>
      <c r="P45" s="173" t="e">
        <f t="shared" si="118"/>
        <v>#DIV/0!</v>
      </c>
      <c r="Q45" s="172"/>
      <c r="R45" s="173" t="e">
        <f t="shared" si="119"/>
        <v>#DIV/0!</v>
      </c>
      <c r="S45" s="172">
        <f t="shared" si="120"/>
        <v>0</v>
      </c>
      <c r="T45" s="173" t="e">
        <f t="shared" ref="T45:T46" si="137">S45/$F45</f>
        <v>#DIV/0!</v>
      </c>
      <c r="U45" s="172"/>
      <c r="V45" s="173" t="e">
        <f t="shared" ref="V45:V46" si="138">U45/$F45</f>
        <v>#DIV/0!</v>
      </c>
      <c r="W45" s="172"/>
      <c r="X45" s="173" t="e">
        <f t="shared" si="123"/>
        <v>#DIV/0!</v>
      </c>
      <c r="Y45" s="172"/>
      <c r="Z45" s="173" t="e">
        <f t="shared" si="124"/>
        <v>#DIV/0!</v>
      </c>
      <c r="AA45" s="172"/>
      <c r="AB45" s="173" t="e">
        <f t="shared" si="125"/>
        <v>#DIV/0!</v>
      </c>
      <c r="AC45" s="172">
        <f t="shared" si="126"/>
        <v>0</v>
      </c>
      <c r="AD45" s="173" t="e">
        <f t="shared" si="127"/>
        <v>#DIV/0!</v>
      </c>
      <c r="AE45" s="172"/>
      <c r="AF45" s="173" t="e">
        <f t="shared" si="128"/>
        <v>#DIV/0!</v>
      </c>
      <c r="AG45" s="172"/>
      <c r="AH45" s="173" t="e">
        <f t="shared" si="129"/>
        <v>#DIV/0!</v>
      </c>
      <c r="AI45" s="172"/>
      <c r="AJ45" s="173" t="e">
        <f t="shared" si="130"/>
        <v>#DIV/0!</v>
      </c>
      <c r="AK45" s="172"/>
      <c r="AL45" s="173" t="e">
        <f t="shared" si="131"/>
        <v>#DIV/0!</v>
      </c>
      <c r="AN45" s="72"/>
    </row>
    <row r="46" spans="2:40" s="73" customFormat="1" ht="14.25" customHeight="1" collapsed="1">
      <c r="B46" s="510"/>
      <c r="C46" s="507"/>
      <c r="D46" s="171">
        <v>46088</v>
      </c>
      <c r="E46" s="171" t="s">
        <v>91</v>
      </c>
      <c r="F46" s="335"/>
      <c r="G46" s="517"/>
      <c r="H46" s="514"/>
      <c r="I46" s="172"/>
      <c r="J46" s="173" t="e">
        <f t="shared" si="114"/>
        <v>#DIV/0!</v>
      </c>
      <c r="K46" s="172"/>
      <c r="L46" s="173" t="e">
        <f t="shared" si="115"/>
        <v>#DIV/0!</v>
      </c>
      <c r="M46" s="172">
        <f t="shared" si="116"/>
        <v>0</v>
      </c>
      <c r="N46" s="173" t="e">
        <f t="shared" si="136"/>
        <v>#DIV/0!</v>
      </c>
      <c r="O46" s="172"/>
      <c r="P46" s="173" t="e">
        <f t="shared" si="118"/>
        <v>#DIV/0!</v>
      </c>
      <c r="Q46" s="172"/>
      <c r="R46" s="173" t="e">
        <f t="shared" si="119"/>
        <v>#DIV/0!</v>
      </c>
      <c r="S46" s="172">
        <f t="shared" si="120"/>
        <v>0</v>
      </c>
      <c r="T46" s="173" t="e">
        <f t="shared" si="137"/>
        <v>#DIV/0!</v>
      </c>
      <c r="U46" s="172"/>
      <c r="V46" s="173" t="e">
        <f t="shared" si="138"/>
        <v>#DIV/0!</v>
      </c>
      <c r="W46" s="172"/>
      <c r="X46" s="173" t="e">
        <f t="shared" si="123"/>
        <v>#DIV/0!</v>
      </c>
      <c r="Y46" s="172"/>
      <c r="Z46" s="173" t="e">
        <f t="shared" si="124"/>
        <v>#DIV/0!</v>
      </c>
      <c r="AA46" s="172"/>
      <c r="AB46" s="173" t="e">
        <f t="shared" si="125"/>
        <v>#DIV/0!</v>
      </c>
      <c r="AC46" s="172">
        <f t="shared" si="126"/>
        <v>0</v>
      </c>
      <c r="AD46" s="173" t="e">
        <f t="shared" si="127"/>
        <v>#DIV/0!</v>
      </c>
      <c r="AE46" s="172"/>
      <c r="AF46" s="173" t="e">
        <f t="shared" si="128"/>
        <v>#DIV/0!</v>
      </c>
      <c r="AG46" s="172"/>
      <c r="AH46" s="173" t="e">
        <f t="shared" si="129"/>
        <v>#DIV/0!</v>
      </c>
      <c r="AI46" s="172"/>
      <c r="AJ46" s="173" t="e">
        <f t="shared" si="130"/>
        <v>#DIV/0!</v>
      </c>
      <c r="AK46" s="172"/>
      <c r="AL46" s="173" t="e">
        <f t="shared" si="131"/>
        <v>#DIV/0!</v>
      </c>
      <c r="AN46" s="72"/>
    </row>
    <row r="47" spans="2:40" s="73" customFormat="1" ht="14.25" customHeight="1">
      <c r="B47" s="510"/>
      <c r="C47" s="507"/>
      <c r="D47" s="171">
        <v>46089</v>
      </c>
      <c r="E47" s="171" t="s">
        <v>84</v>
      </c>
      <c r="F47" s="335"/>
      <c r="G47" s="517"/>
      <c r="H47" s="514"/>
      <c r="I47" s="172"/>
      <c r="J47" s="173" t="e">
        <f t="shared" si="114"/>
        <v>#DIV/0!</v>
      </c>
      <c r="K47" s="172"/>
      <c r="L47" s="173" t="e">
        <f t="shared" si="115"/>
        <v>#DIV/0!</v>
      </c>
      <c r="M47" s="172">
        <f t="shared" si="116"/>
        <v>0</v>
      </c>
      <c r="N47" s="173" t="e">
        <f t="shared" ref="N47" si="139">M47/F47</f>
        <v>#DIV/0!</v>
      </c>
      <c r="O47" s="172"/>
      <c r="P47" s="173" t="e">
        <f t="shared" si="118"/>
        <v>#DIV/0!</v>
      </c>
      <c r="Q47" s="172"/>
      <c r="R47" s="173" t="e">
        <f t="shared" si="119"/>
        <v>#DIV/0!</v>
      </c>
      <c r="S47" s="172">
        <f t="shared" si="120"/>
        <v>0</v>
      </c>
      <c r="T47" s="173" t="e">
        <f t="shared" ref="T47" si="140">S47/F47</f>
        <v>#DIV/0!</v>
      </c>
      <c r="U47" s="172"/>
      <c r="V47" s="173" t="e">
        <f t="shared" ref="V47" si="141">U47/F47</f>
        <v>#DIV/0!</v>
      </c>
      <c r="W47" s="172"/>
      <c r="X47" s="173" t="e">
        <f t="shared" si="123"/>
        <v>#DIV/0!</v>
      </c>
      <c r="Y47" s="172"/>
      <c r="Z47" s="173" t="e">
        <f t="shared" si="124"/>
        <v>#DIV/0!</v>
      </c>
      <c r="AA47" s="172"/>
      <c r="AB47" s="173" t="e">
        <f t="shared" si="125"/>
        <v>#DIV/0!</v>
      </c>
      <c r="AC47" s="172">
        <f t="shared" si="126"/>
        <v>0</v>
      </c>
      <c r="AD47" s="173" t="e">
        <f t="shared" si="127"/>
        <v>#DIV/0!</v>
      </c>
      <c r="AE47" s="172"/>
      <c r="AF47" s="173" t="e">
        <f t="shared" si="128"/>
        <v>#DIV/0!</v>
      </c>
      <c r="AG47" s="172"/>
      <c r="AH47" s="173" t="e">
        <f t="shared" si="129"/>
        <v>#DIV/0!</v>
      </c>
      <c r="AI47" s="172"/>
      <c r="AJ47" s="173" t="e">
        <f t="shared" si="130"/>
        <v>#DIV/0!</v>
      </c>
      <c r="AK47" s="172"/>
      <c r="AL47" s="173" t="e">
        <f t="shared" si="131"/>
        <v>#DIV/0!</v>
      </c>
      <c r="AN47" s="72"/>
    </row>
    <row r="48" spans="2:40" s="73" customFormat="1" ht="14.25" customHeight="1">
      <c r="B48" s="511"/>
      <c r="C48" s="507"/>
      <c r="D48" s="171">
        <v>46090</v>
      </c>
      <c r="E48" s="171" t="s">
        <v>92</v>
      </c>
      <c r="F48" s="335"/>
      <c r="G48" s="518"/>
      <c r="H48" s="514"/>
      <c r="I48" s="172"/>
      <c r="J48" s="173" t="e">
        <f t="shared" si="114"/>
        <v>#DIV/0!</v>
      </c>
      <c r="K48" s="172"/>
      <c r="L48" s="173" t="e">
        <f t="shared" si="115"/>
        <v>#DIV/0!</v>
      </c>
      <c r="M48" s="172">
        <f t="shared" si="116"/>
        <v>0</v>
      </c>
      <c r="N48" s="173" t="e">
        <f t="shared" ref="N48" si="142">M48/$F48</f>
        <v>#DIV/0!</v>
      </c>
      <c r="O48" s="172"/>
      <c r="P48" s="173" t="e">
        <f t="shared" si="118"/>
        <v>#DIV/0!</v>
      </c>
      <c r="Q48" s="172"/>
      <c r="R48" s="173" t="e">
        <f t="shared" si="119"/>
        <v>#DIV/0!</v>
      </c>
      <c r="S48" s="172">
        <f t="shared" si="120"/>
        <v>0</v>
      </c>
      <c r="T48" s="173" t="e">
        <f t="shared" ref="T48" si="143">S48/$F48</f>
        <v>#DIV/0!</v>
      </c>
      <c r="U48" s="172"/>
      <c r="V48" s="173" t="e">
        <f t="shared" ref="V48" si="144">U48/$F48</f>
        <v>#DIV/0!</v>
      </c>
      <c r="W48" s="172"/>
      <c r="X48" s="173" t="e">
        <f t="shared" si="123"/>
        <v>#DIV/0!</v>
      </c>
      <c r="Y48" s="172"/>
      <c r="Z48" s="173" t="e">
        <f t="shared" si="124"/>
        <v>#DIV/0!</v>
      </c>
      <c r="AA48" s="172"/>
      <c r="AB48" s="173" t="e">
        <f t="shared" si="125"/>
        <v>#DIV/0!</v>
      </c>
      <c r="AC48" s="172">
        <f t="shared" si="126"/>
        <v>0</v>
      </c>
      <c r="AD48" s="173" t="e">
        <f t="shared" si="127"/>
        <v>#DIV/0!</v>
      </c>
      <c r="AE48" s="172"/>
      <c r="AF48" s="173" t="e">
        <f t="shared" si="128"/>
        <v>#DIV/0!</v>
      </c>
      <c r="AG48" s="172"/>
      <c r="AH48" s="173" t="e">
        <f t="shared" si="129"/>
        <v>#DIV/0!</v>
      </c>
      <c r="AI48" s="172"/>
      <c r="AJ48" s="173" t="e">
        <f t="shared" si="130"/>
        <v>#DIV/0!</v>
      </c>
      <c r="AK48" s="172"/>
      <c r="AL48" s="173" t="e">
        <f t="shared" si="131"/>
        <v>#DIV/0!</v>
      </c>
      <c r="AN48" s="72"/>
    </row>
    <row r="49" spans="2:40" s="73" customFormat="1" ht="14.25" customHeight="1">
      <c r="B49" s="509">
        <f>B42+7</f>
        <v>46099</v>
      </c>
      <c r="C49" s="507"/>
      <c r="D49" s="171">
        <v>46091</v>
      </c>
      <c r="E49" s="171" t="s">
        <v>87</v>
      </c>
      <c r="F49" s="335"/>
      <c r="G49" s="516">
        <f t="shared" ref="G49" si="145">SUM(F49:F55)</f>
        <v>0</v>
      </c>
      <c r="H49" s="514"/>
      <c r="I49" s="172"/>
      <c r="J49" s="173" t="e">
        <f t="shared" si="114"/>
        <v>#DIV/0!</v>
      </c>
      <c r="K49" s="172"/>
      <c r="L49" s="173" t="e">
        <f t="shared" si="115"/>
        <v>#DIV/0!</v>
      </c>
      <c r="M49" s="172">
        <f t="shared" si="116"/>
        <v>0</v>
      </c>
      <c r="N49" s="173" t="e">
        <f t="shared" ref="N49" si="146">M49/F49</f>
        <v>#DIV/0!</v>
      </c>
      <c r="O49" s="172"/>
      <c r="P49" s="173" t="e">
        <f t="shared" si="118"/>
        <v>#DIV/0!</v>
      </c>
      <c r="Q49" s="172"/>
      <c r="R49" s="173" t="e">
        <f t="shared" si="119"/>
        <v>#DIV/0!</v>
      </c>
      <c r="S49" s="172">
        <f t="shared" si="120"/>
        <v>0</v>
      </c>
      <c r="T49" s="173" t="e">
        <f t="shared" ref="T49" si="147">S49/F49</f>
        <v>#DIV/0!</v>
      </c>
      <c r="U49" s="172"/>
      <c r="V49" s="173" t="e">
        <f t="shared" ref="V49" si="148">U49/F49</f>
        <v>#DIV/0!</v>
      </c>
      <c r="W49" s="172"/>
      <c r="X49" s="173" t="e">
        <f t="shared" si="123"/>
        <v>#DIV/0!</v>
      </c>
      <c r="Y49" s="172"/>
      <c r="Z49" s="173" t="e">
        <f t="shared" si="124"/>
        <v>#DIV/0!</v>
      </c>
      <c r="AA49" s="172"/>
      <c r="AB49" s="173" t="e">
        <f t="shared" si="125"/>
        <v>#DIV/0!</v>
      </c>
      <c r="AC49" s="172">
        <f t="shared" si="126"/>
        <v>0</v>
      </c>
      <c r="AD49" s="173" t="e">
        <f t="shared" si="127"/>
        <v>#DIV/0!</v>
      </c>
      <c r="AE49" s="172"/>
      <c r="AF49" s="173" t="e">
        <f t="shared" si="128"/>
        <v>#DIV/0!</v>
      </c>
      <c r="AG49" s="172"/>
      <c r="AH49" s="173" t="e">
        <f t="shared" si="129"/>
        <v>#DIV/0!</v>
      </c>
      <c r="AI49" s="172"/>
      <c r="AJ49" s="173" t="e">
        <f t="shared" si="130"/>
        <v>#DIV/0!</v>
      </c>
      <c r="AK49" s="172"/>
      <c r="AL49" s="173" t="e">
        <f t="shared" si="131"/>
        <v>#DIV/0!</v>
      </c>
      <c r="AN49" s="72"/>
    </row>
    <row r="50" spans="2:40" s="73" customFormat="1" ht="14.25" customHeight="1">
      <c r="B50" s="510"/>
      <c r="C50" s="507"/>
      <c r="D50" s="171">
        <v>46092</v>
      </c>
      <c r="E50" s="171" t="s">
        <v>88</v>
      </c>
      <c r="F50" s="335"/>
      <c r="G50" s="517"/>
      <c r="H50" s="514"/>
      <c r="I50" s="172"/>
      <c r="J50" s="173" t="e">
        <f t="shared" si="114"/>
        <v>#DIV/0!</v>
      </c>
      <c r="K50" s="172"/>
      <c r="L50" s="173" t="e">
        <f t="shared" si="115"/>
        <v>#DIV/0!</v>
      </c>
      <c r="M50" s="172">
        <f t="shared" si="116"/>
        <v>0</v>
      </c>
      <c r="N50" s="173" t="e">
        <f t="shared" ref="N50" si="149">M50/$F50</f>
        <v>#DIV/0!</v>
      </c>
      <c r="O50" s="172"/>
      <c r="P50" s="173" t="e">
        <f t="shared" si="118"/>
        <v>#DIV/0!</v>
      </c>
      <c r="Q50" s="172"/>
      <c r="R50" s="173" t="e">
        <f t="shared" si="119"/>
        <v>#DIV/0!</v>
      </c>
      <c r="S50" s="172">
        <f t="shared" si="120"/>
        <v>0</v>
      </c>
      <c r="T50" s="173" t="e">
        <f t="shared" ref="T50" si="150">S50/$F50</f>
        <v>#DIV/0!</v>
      </c>
      <c r="U50" s="172"/>
      <c r="V50" s="173" t="e">
        <f t="shared" ref="V50" si="151">U50/$F50</f>
        <v>#DIV/0!</v>
      </c>
      <c r="W50" s="172"/>
      <c r="X50" s="173" t="e">
        <f t="shared" si="123"/>
        <v>#DIV/0!</v>
      </c>
      <c r="Y50" s="172"/>
      <c r="Z50" s="173" t="e">
        <f t="shared" si="124"/>
        <v>#DIV/0!</v>
      </c>
      <c r="AA50" s="172"/>
      <c r="AB50" s="173" t="e">
        <f t="shared" si="125"/>
        <v>#DIV/0!</v>
      </c>
      <c r="AC50" s="172">
        <f t="shared" si="126"/>
        <v>0</v>
      </c>
      <c r="AD50" s="173" t="e">
        <f t="shared" si="127"/>
        <v>#DIV/0!</v>
      </c>
      <c r="AE50" s="172"/>
      <c r="AF50" s="173" t="e">
        <f t="shared" si="128"/>
        <v>#DIV/0!</v>
      </c>
      <c r="AG50" s="172"/>
      <c r="AH50" s="173" t="e">
        <f t="shared" si="129"/>
        <v>#DIV/0!</v>
      </c>
      <c r="AI50" s="172"/>
      <c r="AJ50" s="173" t="e">
        <f t="shared" si="130"/>
        <v>#DIV/0!</v>
      </c>
      <c r="AK50" s="172"/>
      <c r="AL50" s="173" t="e">
        <f t="shared" si="131"/>
        <v>#DIV/0!</v>
      </c>
      <c r="AN50" s="72"/>
    </row>
    <row r="51" spans="2:40" s="73" customFormat="1" ht="14.25" customHeight="1">
      <c r="B51" s="510"/>
      <c r="C51" s="507"/>
      <c r="D51" s="171">
        <v>46093</v>
      </c>
      <c r="E51" s="171" t="s">
        <v>89</v>
      </c>
      <c r="F51" s="335"/>
      <c r="G51" s="517"/>
      <c r="H51" s="514"/>
      <c r="I51" s="172"/>
      <c r="J51" s="173" t="e">
        <f t="shared" si="114"/>
        <v>#DIV/0!</v>
      </c>
      <c r="K51" s="172"/>
      <c r="L51" s="173" t="e">
        <f t="shared" si="115"/>
        <v>#DIV/0!</v>
      </c>
      <c r="M51" s="172">
        <f t="shared" si="116"/>
        <v>0</v>
      </c>
      <c r="N51" s="173" t="e">
        <f t="shared" ref="N51" si="152">M51/F51</f>
        <v>#DIV/0!</v>
      </c>
      <c r="O51" s="172"/>
      <c r="P51" s="173" t="e">
        <f t="shared" si="118"/>
        <v>#DIV/0!</v>
      </c>
      <c r="Q51" s="172"/>
      <c r="R51" s="173" t="e">
        <f t="shared" si="119"/>
        <v>#DIV/0!</v>
      </c>
      <c r="S51" s="172">
        <f t="shared" si="120"/>
        <v>0</v>
      </c>
      <c r="T51" s="173" t="e">
        <f t="shared" ref="T51" si="153">S51/F51</f>
        <v>#DIV/0!</v>
      </c>
      <c r="U51" s="172"/>
      <c r="V51" s="173" t="e">
        <f t="shared" ref="V51" si="154">U51/F51</f>
        <v>#DIV/0!</v>
      </c>
      <c r="W51" s="172"/>
      <c r="X51" s="173" t="e">
        <f t="shared" si="123"/>
        <v>#DIV/0!</v>
      </c>
      <c r="Y51" s="172"/>
      <c r="Z51" s="173" t="e">
        <f t="shared" si="124"/>
        <v>#DIV/0!</v>
      </c>
      <c r="AA51" s="172"/>
      <c r="AB51" s="173" t="e">
        <f t="shared" si="125"/>
        <v>#DIV/0!</v>
      </c>
      <c r="AC51" s="172">
        <f t="shared" si="126"/>
        <v>0</v>
      </c>
      <c r="AD51" s="173" t="e">
        <f t="shared" si="127"/>
        <v>#DIV/0!</v>
      </c>
      <c r="AE51" s="172"/>
      <c r="AF51" s="173" t="e">
        <f t="shared" si="128"/>
        <v>#DIV/0!</v>
      </c>
      <c r="AG51" s="172"/>
      <c r="AH51" s="173" t="e">
        <f t="shared" si="129"/>
        <v>#DIV/0!</v>
      </c>
      <c r="AI51" s="172"/>
      <c r="AJ51" s="173" t="e">
        <f t="shared" si="130"/>
        <v>#DIV/0!</v>
      </c>
      <c r="AK51" s="172"/>
      <c r="AL51" s="173" t="e">
        <f t="shared" si="131"/>
        <v>#DIV/0!</v>
      </c>
      <c r="AN51" s="72"/>
    </row>
    <row r="52" spans="2:40" s="73" customFormat="1" ht="14.25" customHeight="1">
      <c r="B52" s="510"/>
      <c r="C52" s="507"/>
      <c r="D52" s="171">
        <v>46094</v>
      </c>
      <c r="E52" s="171" t="s">
        <v>90</v>
      </c>
      <c r="F52" s="335"/>
      <c r="G52" s="517"/>
      <c r="H52" s="514"/>
      <c r="I52" s="172"/>
      <c r="J52" s="173" t="e">
        <f t="shared" si="114"/>
        <v>#DIV/0!</v>
      </c>
      <c r="K52" s="172"/>
      <c r="L52" s="173" t="e">
        <f t="shared" si="115"/>
        <v>#DIV/0!</v>
      </c>
      <c r="M52" s="172">
        <f t="shared" si="116"/>
        <v>0</v>
      </c>
      <c r="N52" s="173" t="e">
        <f t="shared" ref="N52:N53" si="155">M52/$F52</f>
        <v>#DIV/0!</v>
      </c>
      <c r="O52" s="172"/>
      <c r="P52" s="173" t="e">
        <f t="shared" si="118"/>
        <v>#DIV/0!</v>
      </c>
      <c r="Q52" s="172"/>
      <c r="R52" s="173" t="e">
        <f t="shared" si="119"/>
        <v>#DIV/0!</v>
      </c>
      <c r="S52" s="172">
        <f t="shared" si="120"/>
        <v>0</v>
      </c>
      <c r="T52" s="173" t="e">
        <f t="shared" ref="T52:T53" si="156">S52/$F52</f>
        <v>#DIV/0!</v>
      </c>
      <c r="U52" s="172"/>
      <c r="V52" s="173" t="e">
        <f t="shared" ref="V52:V53" si="157">U52/$F52</f>
        <v>#DIV/0!</v>
      </c>
      <c r="W52" s="172"/>
      <c r="X52" s="173" t="e">
        <f t="shared" si="123"/>
        <v>#DIV/0!</v>
      </c>
      <c r="Y52" s="172"/>
      <c r="Z52" s="173" t="e">
        <f t="shared" si="124"/>
        <v>#DIV/0!</v>
      </c>
      <c r="AA52" s="172"/>
      <c r="AB52" s="173" t="e">
        <f t="shared" si="125"/>
        <v>#DIV/0!</v>
      </c>
      <c r="AC52" s="172">
        <f t="shared" si="126"/>
        <v>0</v>
      </c>
      <c r="AD52" s="173" t="e">
        <f t="shared" si="127"/>
        <v>#DIV/0!</v>
      </c>
      <c r="AE52" s="172"/>
      <c r="AF52" s="173" t="e">
        <f t="shared" si="128"/>
        <v>#DIV/0!</v>
      </c>
      <c r="AG52" s="172"/>
      <c r="AH52" s="173" t="e">
        <f t="shared" si="129"/>
        <v>#DIV/0!</v>
      </c>
      <c r="AI52" s="172"/>
      <c r="AJ52" s="173" t="e">
        <f t="shared" si="130"/>
        <v>#DIV/0!</v>
      </c>
      <c r="AK52" s="172"/>
      <c r="AL52" s="173" t="e">
        <f t="shared" si="131"/>
        <v>#DIV/0!</v>
      </c>
      <c r="AN52" s="72"/>
    </row>
    <row r="53" spans="2:40" s="73" customFormat="1" ht="14.25" customHeight="1" collapsed="1">
      <c r="B53" s="510"/>
      <c r="C53" s="507"/>
      <c r="D53" s="171">
        <v>46095</v>
      </c>
      <c r="E53" s="171" t="s">
        <v>91</v>
      </c>
      <c r="F53" s="335"/>
      <c r="G53" s="517"/>
      <c r="H53" s="514"/>
      <c r="I53" s="172"/>
      <c r="J53" s="173" t="e">
        <f t="shared" si="114"/>
        <v>#DIV/0!</v>
      </c>
      <c r="K53" s="172"/>
      <c r="L53" s="173" t="e">
        <f t="shared" si="115"/>
        <v>#DIV/0!</v>
      </c>
      <c r="M53" s="172">
        <f t="shared" si="116"/>
        <v>0</v>
      </c>
      <c r="N53" s="173" t="e">
        <f t="shared" si="155"/>
        <v>#DIV/0!</v>
      </c>
      <c r="O53" s="172"/>
      <c r="P53" s="173" t="e">
        <f t="shared" si="118"/>
        <v>#DIV/0!</v>
      </c>
      <c r="Q53" s="172"/>
      <c r="R53" s="173" t="e">
        <f t="shared" si="119"/>
        <v>#DIV/0!</v>
      </c>
      <c r="S53" s="172">
        <f t="shared" si="120"/>
        <v>0</v>
      </c>
      <c r="T53" s="173" t="e">
        <f t="shared" si="156"/>
        <v>#DIV/0!</v>
      </c>
      <c r="U53" s="172"/>
      <c r="V53" s="173" t="e">
        <f t="shared" si="157"/>
        <v>#DIV/0!</v>
      </c>
      <c r="W53" s="172"/>
      <c r="X53" s="173" t="e">
        <f t="shared" si="123"/>
        <v>#DIV/0!</v>
      </c>
      <c r="Y53" s="172"/>
      <c r="Z53" s="173" t="e">
        <f t="shared" si="124"/>
        <v>#DIV/0!</v>
      </c>
      <c r="AA53" s="172"/>
      <c r="AB53" s="173" t="e">
        <f t="shared" si="125"/>
        <v>#DIV/0!</v>
      </c>
      <c r="AC53" s="172">
        <f t="shared" si="126"/>
        <v>0</v>
      </c>
      <c r="AD53" s="173" t="e">
        <f t="shared" si="127"/>
        <v>#DIV/0!</v>
      </c>
      <c r="AE53" s="172"/>
      <c r="AF53" s="173" t="e">
        <f t="shared" si="128"/>
        <v>#DIV/0!</v>
      </c>
      <c r="AG53" s="172"/>
      <c r="AH53" s="173" t="e">
        <f t="shared" si="129"/>
        <v>#DIV/0!</v>
      </c>
      <c r="AI53" s="172"/>
      <c r="AJ53" s="173" t="e">
        <f t="shared" si="130"/>
        <v>#DIV/0!</v>
      </c>
      <c r="AK53" s="172"/>
      <c r="AL53" s="173" t="e">
        <f t="shared" si="131"/>
        <v>#DIV/0!</v>
      </c>
      <c r="AN53" s="72"/>
    </row>
    <row r="54" spans="2:40" s="73" customFormat="1" ht="14.25" customHeight="1">
      <c r="B54" s="510"/>
      <c r="C54" s="507"/>
      <c r="D54" s="171">
        <v>46096</v>
      </c>
      <c r="E54" s="171" t="s">
        <v>84</v>
      </c>
      <c r="F54" s="335"/>
      <c r="G54" s="517"/>
      <c r="H54" s="514"/>
      <c r="I54" s="172"/>
      <c r="J54" s="173" t="e">
        <f t="shared" si="114"/>
        <v>#DIV/0!</v>
      </c>
      <c r="K54" s="172"/>
      <c r="L54" s="173" t="e">
        <f t="shared" si="115"/>
        <v>#DIV/0!</v>
      </c>
      <c r="M54" s="172">
        <f t="shared" si="116"/>
        <v>0</v>
      </c>
      <c r="N54" s="173" t="e">
        <f t="shared" ref="N54" si="158">M54/F54</f>
        <v>#DIV/0!</v>
      </c>
      <c r="O54" s="172"/>
      <c r="P54" s="173" t="e">
        <f t="shared" si="118"/>
        <v>#DIV/0!</v>
      </c>
      <c r="Q54" s="172"/>
      <c r="R54" s="173" t="e">
        <f t="shared" si="119"/>
        <v>#DIV/0!</v>
      </c>
      <c r="S54" s="172">
        <f t="shared" si="120"/>
        <v>0</v>
      </c>
      <c r="T54" s="173" t="e">
        <f t="shared" ref="T54" si="159">S54/F54</f>
        <v>#DIV/0!</v>
      </c>
      <c r="U54" s="172"/>
      <c r="V54" s="173" t="e">
        <f t="shared" ref="V54" si="160">U54/F54</f>
        <v>#DIV/0!</v>
      </c>
      <c r="W54" s="172"/>
      <c r="X54" s="173" t="e">
        <f t="shared" si="123"/>
        <v>#DIV/0!</v>
      </c>
      <c r="Y54" s="172"/>
      <c r="Z54" s="173" t="e">
        <f t="shared" si="124"/>
        <v>#DIV/0!</v>
      </c>
      <c r="AA54" s="172"/>
      <c r="AB54" s="173" t="e">
        <f t="shared" si="125"/>
        <v>#DIV/0!</v>
      </c>
      <c r="AC54" s="172">
        <f t="shared" si="126"/>
        <v>0</v>
      </c>
      <c r="AD54" s="173" t="e">
        <f t="shared" si="127"/>
        <v>#DIV/0!</v>
      </c>
      <c r="AE54" s="172"/>
      <c r="AF54" s="173" t="e">
        <f t="shared" si="128"/>
        <v>#DIV/0!</v>
      </c>
      <c r="AG54" s="172"/>
      <c r="AH54" s="173" t="e">
        <f t="shared" si="129"/>
        <v>#DIV/0!</v>
      </c>
      <c r="AI54" s="172"/>
      <c r="AJ54" s="173" t="e">
        <f t="shared" si="130"/>
        <v>#DIV/0!</v>
      </c>
      <c r="AK54" s="172"/>
      <c r="AL54" s="173" t="e">
        <f t="shared" si="131"/>
        <v>#DIV/0!</v>
      </c>
      <c r="AN54" s="72"/>
    </row>
    <row r="55" spans="2:40" s="73" customFormat="1" ht="14.25" customHeight="1">
      <c r="B55" s="511"/>
      <c r="C55" s="507"/>
      <c r="D55" s="171">
        <v>46097</v>
      </c>
      <c r="E55" s="171" t="s">
        <v>92</v>
      </c>
      <c r="F55" s="335"/>
      <c r="G55" s="518"/>
      <c r="H55" s="514"/>
      <c r="I55" s="172"/>
      <c r="J55" s="173" t="e">
        <f t="shared" si="114"/>
        <v>#DIV/0!</v>
      </c>
      <c r="K55" s="172"/>
      <c r="L55" s="173" t="e">
        <f t="shared" si="115"/>
        <v>#DIV/0!</v>
      </c>
      <c r="M55" s="172">
        <f t="shared" si="116"/>
        <v>0</v>
      </c>
      <c r="N55" s="173" t="e">
        <f t="shared" ref="N55" si="161">M55/$F55</f>
        <v>#DIV/0!</v>
      </c>
      <c r="O55" s="172"/>
      <c r="P55" s="173" t="e">
        <f t="shared" si="118"/>
        <v>#DIV/0!</v>
      </c>
      <c r="Q55" s="172"/>
      <c r="R55" s="173" t="e">
        <f t="shared" si="119"/>
        <v>#DIV/0!</v>
      </c>
      <c r="S55" s="172">
        <f t="shared" si="120"/>
        <v>0</v>
      </c>
      <c r="T55" s="173" t="e">
        <f t="shared" ref="T55" si="162">S55/$F55</f>
        <v>#DIV/0!</v>
      </c>
      <c r="U55" s="172"/>
      <c r="V55" s="173" t="e">
        <f t="shared" ref="V55" si="163">U55/$F55</f>
        <v>#DIV/0!</v>
      </c>
      <c r="W55" s="172"/>
      <c r="X55" s="173" t="e">
        <f t="shared" si="123"/>
        <v>#DIV/0!</v>
      </c>
      <c r="Y55" s="172"/>
      <c r="Z55" s="173" t="e">
        <f t="shared" si="124"/>
        <v>#DIV/0!</v>
      </c>
      <c r="AA55" s="172"/>
      <c r="AB55" s="173" t="e">
        <f t="shared" si="125"/>
        <v>#DIV/0!</v>
      </c>
      <c r="AC55" s="172">
        <f t="shared" si="126"/>
        <v>0</v>
      </c>
      <c r="AD55" s="173" t="e">
        <f t="shared" si="127"/>
        <v>#DIV/0!</v>
      </c>
      <c r="AE55" s="172"/>
      <c r="AF55" s="173" t="e">
        <f t="shared" si="128"/>
        <v>#DIV/0!</v>
      </c>
      <c r="AG55" s="172"/>
      <c r="AH55" s="173" t="e">
        <f t="shared" si="129"/>
        <v>#DIV/0!</v>
      </c>
      <c r="AI55" s="172"/>
      <c r="AJ55" s="173" t="e">
        <f t="shared" si="130"/>
        <v>#DIV/0!</v>
      </c>
      <c r="AK55" s="172"/>
      <c r="AL55" s="173" t="e">
        <f t="shared" si="131"/>
        <v>#DIV/0!</v>
      </c>
      <c r="AN55" s="72"/>
    </row>
    <row r="56" spans="2:40" s="73" customFormat="1" ht="14.25" customHeight="1">
      <c r="B56" s="509">
        <f>B49+7</f>
        <v>46106</v>
      </c>
      <c r="C56" s="507"/>
      <c r="D56" s="171">
        <v>46098</v>
      </c>
      <c r="E56" s="171" t="s">
        <v>87</v>
      </c>
      <c r="F56" s="335"/>
      <c r="G56" s="516">
        <f t="shared" ref="G56" si="164">SUM(F56:F62)</f>
        <v>0</v>
      </c>
      <c r="H56" s="514"/>
      <c r="I56" s="172"/>
      <c r="J56" s="173" t="e">
        <f t="shared" si="114"/>
        <v>#DIV/0!</v>
      </c>
      <c r="K56" s="172"/>
      <c r="L56" s="173" t="e">
        <f t="shared" si="115"/>
        <v>#DIV/0!</v>
      </c>
      <c r="M56" s="172">
        <f t="shared" si="116"/>
        <v>0</v>
      </c>
      <c r="N56" s="173" t="e">
        <f t="shared" ref="N56" si="165">M56/F56</f>
        <v>#DIV/0!</v>
      </c>
      <c r="O56" s="172"/>
      <c r="P56" s="173" t="e">
        <f t="shared" si="118"/>
        <v>#DIV/0!</v>
      </c>
      <c r="Q56" s="172"/>
      <c r="R56" s="173" t="e">
        <f t="shared" si="119"/>
        <v>#DIV/0!</v>
      </c>
      <c r="S56" s="172">
        <f t="shared" si="120"/>
        <v>0</v>
      </c>
      <c r="T56" s="173" t="e">
        <f t="shared" ref="T56" si="166">S56/F56</f>
        <v>#DIV/0!</v>
      </c>
      <c r="U56" s="172"/>
      <c r="V56" s="173" t="e">
        <f t="shared" ref="V56" si="167">U56/F56</f>
        <v>#DIV/0!</v>
      </c>
      <c r="W56" s="172"/>
      <c r="X56" s="173" t="e">
        <f t="shared" si="123"/>
        <v>#DIV/0!</v>
      </c>
      <c r="Y56" s="172"/>
      <c r="Z56" s="173" t="e">
        <f t="shared" si="124"/>
        <v>#DIV/0!</v>
      </c>
      <c r="AA56" s="172"/>
      <c r="AB56" s="173" t="e">
        <f t="shared" si="125"/>
        <v>#DIV/0!</v>
      </c>
      <c r="AC56" s="172">
        <f t="shared" si="126"/>
        <v>0</v>
      </c>
      <c r="AD56" s="173" t="e">
        <f t="shared" si="127"/>
        <v>#DIV/0!</v>
      </c>
      <c r="AE56" s="172"/>
      <c r="AF56" s="173" t="e">
        <f t="shared" si="128"/>
        <v>#DIV/0!</v>
      </c>
      <c r="AG56" s="172"/>
      <c r="AH56" s="173" t="e">
        <f t="shared" si="129"/>
        <v>#DIV/0!</v>
      </c>
      <c r="AI56" s="172"/>
      <c r="AJ56" s="173" t="e">
        <f t="shared" si="130"/>
        <v>#DIV/0!</v>
      </c>
      <c r="AK56" s="172"/>
      <c r="AL56" s="173" t="e">
        <f t="shared" si="131"/>
        <v>#DIV/0!</v>
      </c>
      <c r="AN56" s="72"/>
    </row>
    <row r="57" spans="2:40" s="73" customFormat="1" ht="14.25" customHeight="1">
      <c r="B57" s="510"/>
      <c r="C57" s="507"/>
      <c r="D57" s="171">
        <v>46099</v>
      </c>
      <c r="E57" s="171" t="s">
        <v>88</v>
      </c>
      <c r="F57" s="335"/>
      <c r="G57" s="517"/>
      <c r="H57" s="514"/>
      <c r="I57" s="172"/>
      <c r="J57" s="173" t="e">
        <f t="shared" si="114"/>
        <v>#DIV/0!</v>
      </c>
      <c r="K57" s="172"/>
      <c r="L57" s="173" t="e">
        <f t="shared" si="115"/>
        <v>#DIV/0!</v>
      </c>
      <c r="M57" s="172">
        <f t="shared" si="116"/>
        <v>0</v>
      </c>
      <c r="N57" s="173" t="e">
        <f t="shared" ref="N57" si="168">M57/$F57</f>
        <v>#DIV/0!</v>
      </c>
      <c r="O57" s="172"/>
      <c r="P57" s="173" t="e">
        <f t="shared" si="118"/>
        <v>#DIV/0!</v>
      </c>
      <c r="Q57" s="172"/>
      <c r="R57" s="173" t="e">
        <f t="shared" si="119"/>
        <v>#DIV/0!</v>
      </c>
      <c r="S57" s="172">
        <f t="shared" si="120"/>
        <v>0</v>
      </c>
      <c r="T57" s="173" t="e">
        <f t="shared" ref="T57" si="169">S57/$F57</f>
        <v>#DIV/0!</v>
      </c>
      <c r="U57" s="172"/>
      <c r="V57" s="173" t="e">
        <f t="shared" ref="V57" si="170">U57/$F57</f>
        <v>#DIV/0!</v>
      </c>
      <c r="W57" s="172"/>
      <c r="X57" s="173" t="e">
        <f t="shared" si="123"/>
        <v>#DIV/0!</v>
      </c>
      <c r="Y57" s="172"/>
      <c r="Z57" s="173" t="e">
        <f t="shared" si="124"/>
        <v>#DIV/0!</v>
      </c>
      <c r="AA57" s="172"/>
      <c r="AB57" s="173" t="e">
        <f t="shared" si="125"/>
        <v>#DIV/0!</v>
      </c>
      <c r="AC57" s="172">
        <f t="shared" si="126"/>
        <v>0</v>
      </c>
      <c r="AD57" s="173" t="e">
        <f t="shared" si="127"/>
        <v>#DIV/0!</v>
      </c>
      <c r="AE57" s="172"/>
      <c r="AF57" s="173" t="e">
        <f t="shared" si="128"/>
        <v>#DIV/0!</v>
      </c>
      <c r="AG57" s="172"/>
      <c r="AH57" s="173" t="e">
        <f t="shared" si="129"/>
        <v>#DIV/0!</v>
      </c>
      <c r="AI57" s="172"/>
      <c r="AJ57" s="173" t="e">
        <f t="shared" si="130"/>
        <v>#DIV/0!</v>
      </c>
      <c r="AK57" s="172"/>
      <c r="AL57" s="173" t="e">
        <f t="shared" si="131"/>
        <v>#DIV/0!</v>
      </c>
      <c r="AN57" s="72"/>
    </row>
    <row r="58" spans="2:40" s="73" customFormat="1" ht="14.25" customHeight="1">
      <c r="B58" s="510"/>
      <c r="C58" s="507"/>
      <c r="D58" s="171">
        <v>46100</v>
      </c>
      <c r="E58" s="171" t="s">
        <v>89</v>
      </c>
      <c r="F58" s="335"/>
      <c r="G58" s="517"/>
      <c r="H58" s="514"/>
      <c r="I58" s="172"/>
      <c r="J58" s="173" t="e">
        <f t="shared" si="114"/>
        <v>#DIV/0!</v>
      </c>
      <c r="K58" s="172"/>
      <c r="L58" s="173" t="e">
        <f t="shared" si="115"/>
        <v>#DIV/0!</v>
      </c>
      <c r="M58" s="172">
        <f t="shared" si="116"/>
        <v>0</v>
      </c>
      <c r="N58" s="173" t="e">
        <f t="shared" ref="N58" si="171">M58/F58</f>
        <v>#DIV/0!</v>
      </c>
      <c r="O58" s="172"/>
      <c r="P58" s="173" t="e">
        <f t="shared" si="118"/>
        <v>#DIV/0!</v>
      </c>
      <c r="Q58" s="172"/>
      <c r="R58" s="173" t="e">
        <f t="shared" si="119"/>
        <v>#DIV/0!</v>
      </c>
      <c r="S58" s="172">
        <f t="shared" si="120"/>
        <v>0</v>
      </c>
      <c r="T58" s="173" t="e">
        <f t="shared" ref="T58" si="172">S58/F58</f>
        <v>#DIV/0!</v>
      </c>
      <c r="U58" s="172"/>
      <c r="V58" s="173" t="e">
        <f t="shared" ref="V58" si="173">U58/F58</f>
        <v>#DIV/0!</v>
      </c>
      <c r="W58" s="172"/>
      <c r="X58" s="173" t="e">
        <f t="shared" si="123"/>
        <v>#DIV/0!</v>
      </c>
      <c r="Y58" s="172"/>
      <c r="Z58" s="173" t="e">
        <f t="shared" si="124"/>
        <v>#DIV/0!</v>
      </c>
      <c r="AA58" s="172"/>
      <c r="AB58" s="173" t="e">
        <f t="shared" si="125"/>
        <v>#DIV/0!</v>
      </c>
      <c r="AC58" s="172">
        <f t="shared" si="126"/>
        <v>0</v>
      </c>
      <c r="AD58" s="173" t="e">
        <f t="shared" si="127"/>
        <v>#DIV/0!</v>
      </c>
      <c r="AE58" s="172"/>
      <c r="AF58" s="173" t="e">
        <f t="shared" si="128"/>
        <v>#DIV/0!</v>
      </c>
      <c r="AG58" s="172"/>
      <c r="AH58" s="173" t="e">
        <f t="shared" si="129"/>
        <v>#DIV/0!</v>
      </c>
      <c r="AI58" s="172"/>
      <c r="AJ58" s="173" t="e">
        <f t="shared" si="130"/>
        <v>#DIV/0!</v>
      </c>
      <c r="AK58" s="172"/>
      <c r="AL58" s="173" t="e">
        <f t="shared" si="131"/>
        <v>#DIV/0!</v>
      </c>
      <c r="AN58" s="72"/>
    </row>
    <row r="59" spans="2:40" s="73" customFormat="1" ht="14.25" customHeight="1">
      <c r="B59" s="510"/>
      <c r="C59" s="507"/>
      <c r="D59" s="171">
        <v>46101</v>
      </c>
      <c r="E59" s="171" t="s">
        <v>90</v>
      </c>
      <c r="F59" s="335"/>
      <c r="G59" s="517"/>
      <c r="H59" s="514"/>
      <c r="I59" s="172"/>
      <c r="J59" s="173" t="e">
        <f t="shared" si="114"/>
        <v>#DIV/0!</v>
      </c>
      <c r="K59" s="172"/>
      <c r="L59" s="173" t="e">
        <f t="shared" si="115"/>
        <v>#DIV/0!</v>
      </c>
      <c r="M59" s="172">
        <f t="shared" si="116"/>
        <v>0</v>
      </c>
      <c r="N59" s="173" t="e">
        <f t="shared" ref="N59:N60" si="174">M59/$F59</f>
        <v>#DIV/0!</v>
      </c>
      <c r="O59" s="172"/>
      <c r="P59" s="173" t="e">
        <f t="shared" si="118"/>
        <v>#DIV/0!</v>
      </c>
      <c r="Q59" s="172"/>
      <c r="R59" s="173" t="e">
        <f t="shared" si="119"/>
        <v>#DIV/0!</v>
      </c>
      <c r="S59" s="172">
        <f t="shared" si="120"/>
        <v>0</v>
      </c>
      <c r="T59" s="173" t="e">
        <f t="shared" ref="T59:T60" si="175">S59/$F59</f>
        <v>#DIV/0!</v>
      </c>
      <c r="U59" s="172"/>
      <c r="V59" s="173" t="e">
        <f t="shared" ref="V59:V60" si="176">U59/$F59</f>
        <v>#DIV/0!</v>
      </c>
      <c r="W59" s="172"/>
      <c r="X59" s="173" t="e">
        <f t="shared" si="123"/>
        <v>#DIV/0!</v>
      </c>
      <c r="Y59" s="172"/>
      <c r="Z59" s="173" t="e">
        <f t="shared" si="124"/>
        <v>#DIV/0!</v>
      </c>
      <c r="AA59" s="172"/>
      <c r="AB59" s="173" t="e">
        <f t="shared" si="125"/>
        <v>#DIV/0!</v>
      </c>
      <c r="AC59" s="172">
        <f t="shared" si="126"/>
        <v>0</v>
      </c>
      <c r="AD59" s="173" t="e">
        <f t="shared" si="127"/>
        <v>#DIV/0!</v>
      </c>
      <c r="AE59" s="172"/>
      <c r="AF59" s="173" t="e">
        <f t="shared" si="128"/>
        <v>#DIV/0!</v>
      </c>
      <c r="AG59" s="172"/>
      <c r="AH59" s="173" t="e">
        <f t="shared" si="129"/>
        <v>#DIV/0!</v>
      </c>
      <c r="AI59" s="172"/>
      <c r="AJ59" s="173" t="e">
        <f t="shared" si="130"/>
        <v>#DIV/0!</v>
      </c>
      <c r="AK59" s="172"/>
      <c r="AL59" s="173" t="e">
        <f t="shared" si="131"/>
        <v>#DIV/0!</v>
      </c>
      <c r="AN59" s="72"/>
    </row>
    <row r="60" spans="2:40" s="73" customFormat="1" ht="14.25" customHeight="1" collapsed="1">
      <c r="B60" s="510"/>
      <c r="C60" s="507"/>
      <c r="D60" s="171">
        <v>46102</v>
      </c>
      <c r="E60" s="171" t="s">
        <v>91</v>
      </c>
      <c r="F60" s="335"/>
      <c r="G60" s="517"/>
      <c r="H60" s="514"/>
      <c r="I60" s="172"/>
      <c r="J60" s="173" t="e">
        <f t="shared" si="114"/>
        <v>#DIV/0!</v>
      </c>
      <c r="K60" s="172"/>
      <c r="L60" s="173" t="e">
        <f t="shared" si="115"/>
        <v>#DIV/0!</v>
      </c>
      <c r="M60" s="172">
        <f t="shared" si="116"/>
        <v>0</v>
      </c>
      <c r="N60" s="173" t="e">
        <f t="shared" si="174"/>
        <v>#DIV/0!</v>
      </c>
      <c r="O60" s="172"/>
      <c r="P60" s="173" t="e">
        <f t="shared" si="118"/>
        <v>#DIV/0!</v>
      </c>
      <c r="Q60" s="172"/>
      <c r="R60" s="173" t="e">
        <f t="shared" si="119"/>
        <v>#DIV/0!</v>
      </c>
      <c r="S60" s="172">
        <f t="shared" si="120"/>
        <v>0</v>
      </c>
      <c r="T60" s="173" t="e">
        <f t="shared" si="175"/>
        <v>#DIV/0!</v>
      </c>
      <c r="U60" s="172"/>
      <c r="V60" s="173" t="e">
        <f t="shared" si="176"/>
        <v>#DIV/0!</v>
      </c>
      <c r="W60" s="172"/>
      <c r="X60" s="173" t="e">
        <f t="shared" si="123"/>
        <v>#DIV/0!</v>
      </c>
      <c r="Y60" s="172"/>
      <c r="Z60" s="173" t="e">
        <f t="shared" si="124"/>
        <v>#DIV/0!</v>
      </c>
      <c r="AA60" s="172"/>
      <c r="AB60" s="173" t="e">
        <f t="shared" si="125"/>
        <v>#DIV/0!</v>
      </c>
      <c r="AC60" s="172">
        <f t="shared" si="126"/>
        <v>0</v>
      </c>
      <c r="AD60" s="173" t="e">
        <f t="shared" si="127"/>
        <v>#DIV/0!</v>
      </c>
      <c r="AE60" s="172"/>
      <c r="AF60" s="173" t="e">
        <f t="shared" si="128"/>
        <v>#DIV/0!</v>
      </c>
      <c r="AG60" s="172"/>
      <c r="AH60" s="173" t="e">
        <f t="shared" si="129"/>
        <v>#DIV/0!</v>
      </c>
      <c r="AI60" s="172"/>
      <c r="AJ60" s="173" t="e">
        <f t="shared" si="130"/>
        <v>#DIV/0!</v>
      </c>
      <c r="AK60" s="172"/>
      <c r="AL60" s="173" t="e">
        <f t="shared" si="131"/>
        <v>#DIV/0!</v>
      </c>
      <c r="AN60" s="72"/>
    </row>
    <row r="61" spans="2:40" s="73" customFormat="1" ht="14.25" customHeight="1">
      <c r="B61" s="510"/>
      <c r="C61" s="507"/>
      <c r="D61" s="171">
        <v>46103</v>
      </c>
      <c r="E61" s="171" t="s">
        <v>84</v>
      </c>
      <c r="F61" s="335"/>
      <c r="G61" s="517"/>
      <c r="H61" s="514"/>
      <c r="I61" s="172"/>
      <c r="J61" s="173" t="e">
        <f t="shared" si="114"/>
        <v>#DIV/0!</v>
      </c>
      <c r="K61" s="172"/>
      <c r="L61" s="173" t="e">
        <f t="shared" si="115"/>
        <v>#DIV/0!</v>
      </c>
      <c r="M61" s="172">
        <f t="shared" si="116"/>
        <v>0</v>
      </c>
      <c r="N61" s="173" t="e">
        <f t="shared" ref="N61" si="177">M61/F61</f>
        <v>#DIV/0!</v>
      </c>
      <c r="O61" s="172"/>
      <c r="P61" s="173" t="e">
        <f t="shared" si="118"/>
        <v>#DIV/0!</v>
      </c>
      <c r="Q61" s="172"/>
      <c r="R61" s="173" t="e">
        <f t="shared" si="119"/>
        <v>#DIV/0!</v>
      </c>
      <c r="S61" s="172">
        <f t="shared" si="120"/>
        <v>0</v>
      </c>
      <c r="T61" s="173" t="e">
        <f t="shared" ref="T61" si="178">S61/F61</f>
        <v>#DIV/0!</v>
      </c>
      <c r="U61" s="172"/>
      <c r="V61" s="173" t="e">
        <f t="shared" ref="V61" si="179">U61/F61</f>
        <v>#DIV/0!</v>
      </c>
      <c r="W61" s="172"/>
      <c r="X61" s="173" t="e">
        <f t="shared" si="123"/>
        <v>#DIV/0!</v>
      </c>
      <c r="Y61" s="172"/>
      <c r="Z61" s="173" t="e">
        <f t="shared" si="124"/>
        <v>#DIV/0!</v>
      </c>
      <c r="AA61" s="172"/>
      <c r="AB61" s="173" t="e">
        <f t="shared" si="125"/>
        <v>#DIV/0!</v>
      </c>
      <c r="AC61" s="172">
        <f t="shared" si="126"/>
        <v>0</v>
      </c>
      <c r="AD61" s="173" t="e">
        <f t="shared" si="127"/>
        <v>#DIV/0!</v>
      </c>
      <c r="AE61" s="172"/>
      <c r="AF61" s="173" t="e">
        <f t="shared" si="128"/>
        <v>#DIV/0!</v>
      </c>
      <c r="AG61" s="172"/>
      <c r="AH61" s="173" t="e">
        <f t="shared" si="129"/>
        <v>#DIV/0!</v>
      </c>
      <c r="AI61" s="172"/>
      <c r="AJ61" s="173" t="e">
        <f t="shared" si="130"/>
        <v>#DIV/0!</v>
      </c>
      <c r="AK61" s="172"/>
      <c r="AL61" s="173" t="e">
        <f t="shared" si="131"/>
        <v>#DIV/0!</v>
      </c>
      <c r="AN61" s="72"/>
    </row>
    <row r="62" spans="2:40" s="73" customFormat="1" ht="14.25" customHeight="1">
      <c r="B62" s="511"/>
      <c r="C62" s="507"/>
      <c r="D62" s="171">
        <v>46104</v>
      </c>
      <c r="E62" s="171" t="s">
        <v>92</v>
      </c>
      <c r="F62" s="335"/>
      <c r="G62" s="518"/>
      <c r="H62" s="514"/>
      <c r="I62" s="172"/>
      <c r="J62" s="173" t="e">
        <f t="shared" si="114"/>
        <v>#DIV/0!</v>
      </c>
      <c r="K62" s="172"/>
      <c r="L62" s="173" t="e">
        <f t="shared" si="115"/>
        <v>#DIV/0!</v>
      </c>
      <c r="M62" s="172">
        <f t="shared" si="116"/>
        <v>0</v>
      </c>
      <c r="N62" s="173" t="e">
        <f t="shared" ref="N62" si="180">M62/$F62</f>
        <v>#DIV/0!</v>
      </c>
      <c r="O62" s="172"/>
      <c r="P62" s="173" t="e">
        <f t="shared" si="118"/>
        <v>#DIV/0!</v>
      </c>
      <c r="Q62" s="172"/>
      <c r="R62" s="173" t="e">
        <f t="shared" si="119"/>
        <v>#DIV/0!</v>
      </c>
      <c r="S62" s="172">
        <f t="shared" si="120"/>
        <v>0</v>
      </c>
      <c r="T62" s="173" t="e">
        <f t="shared" ref="T62" si="181">S62/$F62</f>
        <v>#DIV/0!</v>
      </c>
      <c r="U62" s="172"/>
      <c r="V62" s="173" t="e">
        <f t="shared" ref="V62" si="182">U62/$F62</f>
        <v>#DIV/0!</v>
      </c>
      <c r="W62" s="172"/>
      <c r="X62" s="173" t="e">
        <f t="shared" si="123"/>
        <v>#DIV/0!</v>
      </c>
      <c r="Y62" s="172"/>
      <c r="Z62" s="173" t="e">
        <f t="shared" si="124"/>
        <v>#DIV/0!</v>
      </c>
      <c r="AA62" s="172"/>
      <c r="AB62" s="173" t="e">
        <f t="shared" si="125"/>
        <v>#DIV/0!</v>
      </c>
      <c r="AC62" s="172">
        <f t="shared" si="126"/>
        <v>0</v>
      </c>
      <c r="AD62" s="173" t="e">
        <f t="shared" si="127"/>
        <v>#DIV/0!</v>
      </c>
      <c r="AE62" s="172"/>
      <c r="AF62" s="173" t="e">
        <f t="shared" si="128"/>
        <v>#DIV/0!</v>
      </c>
      <c r="AG62" s="172"/>
      <c r="AH62" s="173" t="e">
        <f t="shared" si="129"/>
        <v>#DIV/0!</v>
      </c>
      <c r="AI62" s="172"/>
      <c r="AJ62" s="173" t="e">
        <f t="shared" si="130"/>
        <v>#DIV/0!</v>
      </c>
      <c r="AK62" s="172"/>
      <c r="AL62" s="173" t="e">
        <f t="shared" si="131"/>
        <v>#DIV/0!</v>
      </c>
      <c r="AN62" s="72"/>
    </row>
    <row r="63" spans="2:40" s="73" customFormat="1" ht="14.25" customHeight="1">
      <c r="B63" s="509">
        <f>B56+7</f>
        <v>46113</v>
      </c>
      <c r="C63" s="507"/>
      <c r="D63" s="171">
        <v>46105</v>
      </c>
      <c r="E63" s="171" t="s">
        <v>87</v>
      </c>
      <c r="F63" s="335"/>
      <c r="G63" s="516">
        <f t="shared" ref="G63" si="183">SUM(F63:F69)</f>
        <v>0</v>
      </c>
      <c r="H63" s="514"/>
      <c r="I63" s="172"/>
      <c r="J63" s="173" t="e">
        <f t="shared" si="114"/>
        <v>#DIV/0!</v>
      </c>
      <c r="K63" s="172"/>
      <c r="L63" s="173" t="e">
        <f t="shared" si="115"/>
        <v>#DIV/0!</v>
      </c>
      <c r="M63" s="172">
        <f t="shared" si="116"/>
        <v>0</v>
      </c>
      <c r="N63" s="173" t="e">
        <f t="shared" ref="N63" si="184">M63/F63</f>
        <v>#DIV/0!</v>
      </c>
      <c r="O63" s="172"/>
      <c r="P63" s="173" t="e">
        <f t="shared" si="118"/>
        <v>#DIV/0!</v>
      </c>
      <c r="Q63" s="172"/>
      <c r="R63" s="173" t="e">
        <f t="shared" si="119"/>
        <v>#DIV/0!</v>
      </c>
      <c r="S63" s="172">
        <f t="shared" si="120"/>
        <v>0</v>
      </c>
      <c r="T63" s="173" t="e">
        <f t="shared" ref="T63" si="185">S63/F63</f>
        <v>#DIV/0!</v>
      </c>
      <c r="U63" s="172"/>
      <c r="V63" s="173" t="e">
        <f t="shared" ref="V63" si="186">U63/F63</f>
        <v>#DIV/0!</v>
      </c>
      <c r="W63" s="172"/>
      <c r="X63" s="173" t="e">
        <f t="shared" si="123"/>
        <v>#DIV/0!</v>
      </c>
      <c r="Y63" s="172"/>
      <c r="Z63" s="173" t="e">
        <f t="shared" si="124"/>
        <v>#DIV/0!</v>
      </c>
      <c r="AA63" s="172"/>
      <c r="AB63" s="173" t="e">
        <f t="shared" si="125"/>
        <v>#DIV/0!</v>
      </c>
      <c r="AC63" s="172">
        <f t="shared" si="126"/>
        <v>0</v>
      </c>
      <c r="AD63" s="173" t="e">
        <f t="shared" si="127"/>
        <v>#DIV/0!</v>
      </c>
      <c r="AE63" s="172"/>
      <c r="AF63" s="173" t="e">
        <f t="shared" si="128"/>
        <v>#DIV/0!</v>
      </c>
      <c r="AG63" s="172"/>
      <c r="AH63" s="173" t="e">
        <f t="shared" si="129"/>
        <v>#DIV/0!</v>
      </c>
      <c r="AI63" s="172"/>
      <c r="AJ63" s="173" t="e">
        <f t="shared" si="130"/>
        <v>#DIV/0!</v>
      </c>
      <c r="AK63" s="172"/>
      <c r="AL63" s="173" t="e">
        <f t="shared" si="131"/>
        <v>#DIV/0!</v>
      </c>
      <c r="AN63" s="72"/>
    </row>
    <row r="64" spans="2:40" s="73" customFormat="1" ht="14.25" customHeight="1">
      <c r="B64" s="510"/>
      <c r="C64" s="507"/>
      <c r="D64" s="171">
        <v>46106</v>
      </c>
      <c r="E64" s="171" t="s">
        <v>88</v>
      </c>
      <c r="F64" s="335"/>
      <c r="G64" s="517"/>
      <c r="H64" s="514"/>
      <c r="I64" s="172"/>
      <c r="J64" s="173" t="e">
        <f t="shared" si="114"/>
        <v>#DIV/0!</v>
      </c>
      <c r="K64" s="172"/>
      <c r="L64" s="173" t="e">
        <f t="shared" si="115"/>
        <v>#DIV/0!</v>
      </c>
      <c r="M64" s="172">
        <f t="shared" si="116"/>
        <v>0</v>
      </c>
      <c r="N64" s="173" t="e">
        <f t="shared" ref="N64" si="187">M64/$F64</f>
        <v>#DIV/0!</v>
      </c>
      <c r="O64" s="172"/>
      <c r="P64" s="173" t="e">
        <f t="shared" si="118"/>
        <v>#DIV/0!</v>
      </c>
      <c r="Q64" s="172"/>
      <c r="R64" s="173" t="e">
        <f t="shared" si="119"/>
        <v>#DIV/0!</v>
      </c>
      <c r="S64" s="172">
        <f t="shared" si="120"/>
        <v>0</v>
      </c>
      <c r="T64" s="173" t="e">
        <f t="shared" ref="T64" si="188">S64/$F64</f>
        <v>#DIV/0!</v>
      </c>
      <c r="U64" s="172"/>
      <c r="V64" s="173" t="e">
        <f t="shared" ref="V64" si="189">U64/$F64</f>
        <v>#DIV/0!</v>
      </c>
      <c r="W64" s="172"/>
      <c r="X64" s="173" t="e">
        <f t="shared" si="123"/>
        <v>#DIV/0!</v>
      </c>
      <c r="Y64" s="172"/>
      <c r="Z64" s="173" t="e">
        <f t="shared" si="124"/>
        <v>#DIV/0!</v>
      </c>
      <c r="AA64" s="172"/>
      <c r="AB64" s="173" t="e">
        <f t="shared" si="125"/>
        <v>#DIV/0!</v>
      </c>
      <c r="AC64" s="172">
        <f t="shared" si="126"/>
        <v>0</v>
      </c>
      <c r="AD64" s="173" t="e">
        <f t="shared" si="127"/>
        <v>#DIV/0!</v>
      </c>
      <c r="AE64" s="172"/>
      <c r="AF64" s="173" t="e">
        <f t="shared" si="128"/>
        <v>#DIV/0!</v>
      </c>
      <c r="AG64" s="172"/>
      <c r="AH64" s="173" t="e">
        <f t="shared" si="129"/>
        <v>#DIV/0!</v>
      </c>
      <c r="AI64" s="172"/>
      <c r="AJ64" s="173" t="e">
        <f t="shared" si="130"/>
        <v>#DIV/0!</v>
      </c>
      <c r="AK64" s="172"/>
      <c r="AL64" s="173" t="e">
        <f t="shared" si="131"/>
        <v>#DIV/0!</v>
      </c>
      <c r="AN64" s="72"/>
    </row>
    <row r="65" spans="2:40" s="73" customFormat="1" ht="14.25" customHeight="1">
      <c r="B65" s="510"/>
      <c r="C65" s="507"/>
      <c r="D65" s="171">
        <v>46107</v>
      </c>
      <c r="E65" s="171" t="s">
        <v>89</v>
      </c>
      <c r="F65" s="335"/>
      <c r="G65" s="517"/>
      <c r="H65" s="514"/>
      <c r="I65" s="172"/>
      <c r="J65" s="173" t="e">
        <f t="shared" si="114"/>
        <v>#DIV/0!</v>
      </c>
      <c r="K65" s="172"/>
      <c r="L65" s="173" t="e">
        <f t="shared" si="115"/>
        <v>#DIV/0!</v>
      </c>
      <c r="M65" s="172">
        <f t="shared" si="116"/>
        <v>0</v>
      </c>
      <c r="N65" s="173" t="e">
        <f t="shared" ref="N65" si="190">M65/F65</f>
        <v>#DIV/0!</v>
      </c>
      <c r="O65" s="172"/>
      <c r="P65" s="173" t="e">
        <f t="shared" si="118"/>
        <v>#DIV/0!</v>
      </c>
      <c r="Q65" s="172"/>
      <c r="R65" s="173" t="e">
        <f t="shared" si="119"/>
        <v>#DIV/0!</v>
      </c>
      <c r="S65" s="172">
        <f t="shared" si="120"/>
        <v>0</v>
      </c>
      <c r="T65" s="173" t="e">
        <f t="shared" ref="T65" si="191">S65/F65</f>
        <v>#DIV/0!</v>
      </c>
      <c r="U65" s="172"/>
      <c r="V65" s="173" t="e">
        <f t="shared" ref="V65" si="192">U65/F65</f>
        <v>#DIV/0!</v>
      </c>
      <c r="W65" s="172"/>
      <c r="X65" s="173" t="e">
        <f t="shared" si="123"/>
        <v>#DIV/0!</v>
      </c>
      <c r="Y65" s="172"/>
      <c r="Z65" s="173" t="e">
        <f t="shared" si="124"/>
        <v>#DIV/0!</v>
      </c>
      <c r="AA65" s="172"/>
      <c r="AB65" s="173" t="e">
        <f t="shared" si="125"/>
        <v>#DIV/0!</v>
      </c>
      <c r="AC65" s="172">
        <f t="shared" si="126"/>
        <v>0</v>
      </c>
      <c r="AD65" s="173" t="e">
        <f t="shared" si="127"/>
        <v>#DIV/0!</v>
      </c>
      <c r="AE65" s="172"/>
      <c r="AF65" s="173" t="e">
        <f t="shared" si="128"/>
        <v>#DIV/0!</v>
      </c>
      <c r="AG65" s="172"/>
      <c r="AH65" s="173" t="e">
        <f t="shared" si="129"/>
        <v>#DIV/0!</v>
      </c>
      <c r="AI65" s="172"/>
      <c r="AJ65" s="173" t="e">
        <f t="shared" si="130"/>
        <v>#DIV/0!</v>
      </c>
      <c r="AK65" s="172"/>
      <c r="AL65" s="173" t="e">
        <f t="shared" si="131"/>
        <v>#DIV/0!</v>
      </c>
      <c r="AN65" s="72"/>
    </row>
    <row r="66" spans="2:40" s="73" customFormat="1" ht="14.25" customHeight="1">
      <c r="B66" s="510"/>
      <c r="C66" s="507"/>
      <c r="D66" s="171">
        <v>46108</v>
      </c>
      <c r="E66" s="171" t="s">
        <v>90</v>
      </c>
      <c r="F66" s="335"/>
      <c r="G66" s="517"/>
      <c r="H66" s="514"/>
      <c r="I66" s="172"/>
      <c r="J66" s="173" t="e">
        <f t="shared" si="114"/>
        <v>#DIV/0!</v>
      </c>
      <c r="K66" s="172"/>
      <c r="L66" s="173" t="e">
        <f t="shared" si="115"/>
        <v>#DIV/0!</v>
      </c>
      <c r="M66" s="172">
        <f t="shared" si="116"/>
        <v>0</v>
      </c>
      <c r="N66" s="173" t="e">
        <f t="shared" ref="N66:N67" si="193">M66/$F66</f>
        <v>#DIV/0!</v>
      </c>
      <c r="O66" s="172"/>
      <c r="P66" s="173" t="e">
        <f t="shared" si="118"/>
        <v>#DIV/0!</v>
      </c>
      <c r="Q66" s="172"/>
      <c r="R66" s="173" t="e">
        <f t="shared" si="119"/>
        <v>#DIV/0!</v>
      </c>
      <c r="S66" s="172">
        <f t="shared" si="120"/>
        <v>0</v>
      </c>
      <c r="T66" s="173" t="e">
        <f t="shared" ref="T66:T67" si="194">S66/$F66</f>
        <v>#DIV/0!</v>
      </c>
      <c r="U66" s="172"/>
      <c r="V66" s="173" t="e">
        <f t="shared" ref="V66:V67" si="195">U66/$F66</f>
        <v>#DIV/0!</v>
      </c>
      <c r="W66" s="172"/>
      <c r="X66" s="173" t="e">
        <f t="shared" si="123"/>
        <v>#DIV/0!</v>
      </c>
      <c r="Y66" s="172"/>
      <c r="Z66" s="173" t="e">
        <f t="shared" si="124"/>
        <v>#DIV/0!</v>
      </c>
      <c r="AA66" s="172"/>
      <c r="AB66" s="173" t="e">
        <f t="shared" si="125"/>
        <v>#DIV/0!</v>
      </c>
      <c r="AC66" s="172">
        <f t="shared" si="126"/>
        <v>0</v>
      </c>
      <c r="AD66" s="173" t="e">
        <f t="shared" si="127"/>
        <v>#DIV/0!</v>
      </c>
      <c r="AE66" s="172"/>
      <c r="AF66" s="173" t="e">
        <f t="shared" si="128"/>
        <v>#DIV/0!</v>
      </c>
      <c r="AG66" s="172"/>
      <c r="AH66" s="173" t="e">
        <f t="shared" si="129"/>
        <v>#DIV/0!</v>
      </c>
      <c r="AI66" s="172"/>
      <c r="AJ66" s="173" t="e">
        <f t="shared" si="130"/>
        <v>#DIV/0!</v>
      </c>
      <c r="AK66" s="172"/>
      <c r="AL66" s="173" t="e">
        <f t="shared" si="131"/>
        <v>#DIV/0!</v>
      </c>
      <c r="AN66" s="72"/>
    </row>
    <row r="67" spans="2:40" s="73" customFormat="1" ht="14.25" customHeight="1" collapsed="1">
      <c r="B67" s="510"/>
      <c r="C67" s="507"/>
      <c r="D67" s="171">
        <v>46109</v>
      </c>
      <c r="E67" s="171" t="s">
        <v>91</v>
      </c>
      <c r="F67" s="335"/>
      <c r="G67" s="517"/>
      <c r="H67" s="514"/>
      <c r="I67" s="172"/>
      <c r="J67" s="173" t="e">
        <f t="shared" si="114"/>
        <v>#DIV/0!</v>
      </c>
      <c r="K67" s="172"/>
      <c r="L67" s="173" t="e">
        <f t="shared" si="115"/>
        <v>#DIV/0!</v>
      </c>
      <c r="M67" s="172">
        <f t="shared" si="116"/>
        <v>0</v>
      </c>
      <c r="N67" s="173" t="e">
        <f t="shared" si="193"/>
        <v>#DIV/0!</v>
      </c>
      <c r="O67" s="172"/>
      <c r="P67" s="173" t="e">
        <f t="shared" si="118"/>
        <v>#DIV/0!</v>
      </c>
      <c r="Q67" s="172"/>
      <c r="R67" s="173" t="e">
        <f t="shared" si="119"/>
        <v>#DIV/0!</v>
      </c>
      <c r="S67" s="172">
        <f t="shared" si="120"/>
        <v>0</v>
      </c>
      <c r="T67" s="173" t="e">
        <f t="shared" si="194"/>
        <v>#DIV/0!</v>
      </c>
      <c r="U67" s="172"/>
      <c r="V67" s="173" t="e">
        <f t="shared" si="195"/>
        <v>#DIV/0!</v>
      </c>
      <c r="W67" s="172"/>
      <c r="X67" s="173" t="e">
        <f t="shared" si="123"/>
        <v>#DIV/0!</v>
      </c>
      <c r="Y67" s="172"/>
      <c r="Z67" s="173" t="e">
        <f t="shared" si="124"/>
        <v>#DIV/0!</v>
      </c>
      <c r="AA67" s="172"/>
      <c r="AB67" s="173" t="e">
        <f t="shared" si="125"/>
        <v>#DIV/0!</v>
      </c>
      <c r="AC67" s="172">
        <f t="shared" si="126"/>
        <v>0</v>
      </c>
      <c r="AD67" s="173" t="e">
        <f t="shared" si="127"/>
        <v>#DIV/0!</v>
      </c>
      <c r="AE67" s="172"/>
      <c r="AF67" s="173" t="e">
        <f t="shared" si="128"/>
        <v>#DIV/0!</v>
      </c>
      <c r="AG67" s="172"/>
      <c r="AH67" s="173" t="e">
        <f t="shared" si="129"/>
        <v>#DIV/0!</v>
      </c>
      <c r="AI67" s="172"/>
      <c r="AJ67" s="173" t="e">
        <f t="shared" si="130"/>
        <v>#DIV/0!</v>
      </c>
      <c r="AK67" s="172"/>
      <c r="AL67" s="173" t="e">
        <f t="shared" si="131"/>
        <v>#DIV/0!</v>
      </c>
      <c r="AN67" s="72"/>
    </row>
    <row r="68" spans="2:40" s="73" customFormat="1" ht="14.25" customHeight="1" collapsed="1">
      <c r="B68" s="510"/>
      <c r="C68" s="507"/>
      <c r="D68" s="171">
        <v>46110</v>
      </c>
      <c r="E68" s="171" t="s">
        <v>84</v>
      </c>
      <c r="F68" s="335"/>
      <c r="G68" s="517"/>
      <c r="H68" s="514"/>
      <c r="I68" s="172"/>
      <c r="J68" s="173" t="e">
        <f t="shared" si="114"/>
        <v>#DIV/0!</v>
      </c>
      <c r="K68" s="172"/>
      <c r="L68" s="173" t="e">
        <f t="shared" si="115"/>
        <v>#DIV/0!</v>
      </c>
      <c r="M68" s="172">
        <f t="shared" si="116"/>
        <v>0</v>
      </c>
      <c r="N68" s="173" t="e">
        <f t="shared" ref="N68" si="196">M68/F68</f>
        <v>#DIV/0!</v>
      </c>
      <c r="O68" s="172"/>
      <c r="P68" s="173" t="e">
        <f t="shared" si="118"/>
        <v>#DIV/0!</v>
      </c>
      <c r="Q68" s="172"/>
      <c r="R68" s="173" t="e">
        <f t="shared" si="119"/>
        <v>#DIV/0!</v>
      </c>
      <c r="S68" s="172">
        <f t="shared" si="120"/>
        <v>0</v>
      </c>
      <c r="T68" s="173" t="e">
        <f t="shared" ref="T68" si="197">S68/F68</f>
        <v>#DIV/0!</v>
      </c>
      <c r="U68" s="172"/>
      <c r="V68" s="173" t="e">
        <f t="shared" ref="V68" si="198">U68/F68</f>
        <v>#DIV/0!</v>
      </c>
      <c r="W68" s="172"/>
      <c r="X68" s="173" t="e">
        <f t="shared" si="123"/>
        <v>#DIV/0!</v>
      </c>
      <c r="Y68" s="172"/>
      <c r="Z68" s="173" t="e">
        <f t="shared" si="124"/>
        <v>#DIV/0!</v>
      </c>
      <c r="AA68" s="172"/>
      <c r="AB68" s="173" t="e">
        <f t="shared" si="125"/>
        <v>#DIV/0!</v>
      </c>
      <c r="AC68" s="172">
        <f t="shared" si="126"/>
        <v>0</v>
      </c>
      <c r="AD68" s="173" t="e">
        <f t="shared" si="127"/>
        <v>#DIV/0!</v>
      </c>
      <c r="AE68" s="172"/>
      <c r="AF68" s="173" t="e">
        <f t="shared" si="128"/>
        <v>#DIV/0!</v>
      </c>
      <c r="AG68" s="172"/>
      <c r="AH68" s="173" t="e">
        <f t="shared" si="129"/>
        <v>#DIV/0!</v>
      </c>
      <c r="AI68" s="172"/>
      <c r="AJ68" s="173" t="e">
        <f t="shared" si="130"/>
        <v>#DIV/0!</v>
      </c>
      <c r="AK68" s="172"/>
      <c r="AL68" s="173" t="e">
        <f t="shared" si="131"/>
        <v>#DIV/0!</v>
      </c>
      <c r="AN68" s="72"/>
    </row>
    <row r="69" spans="2:40" s="73" customFormat="1" ht="14.25" customHeight="1">
      <c r="B69" s="511"/>
      <c r="C69" s="508"/>
      <c r="D69" s="171">
        <v>46111</v>
      </c>
      <c r="E69" s="171" t="s">
        <v>92</v>
      </c>
      <c r="F69" s="335"/>
      <c r="G69" s="518"/>
      <c r="H69" s="515"/>
      <c r="I69" s="172"/>
      <c r="J69" s="173" t="e">
        <f t="shared" si="114"/>
        <v>#DIV/0!</v>
      </c>
      <c r="K69" s="172"/>
      <c r="L69" s="173" t="e">
        <f t="shared" si="115"/>
        <v>#DIV/0!</v>
      </c>
      <c r="M69" s="172">
        <f t="shared" si="116"/>
        <v>0</v>
      </c>
      <c r="N69" s="173" t="e">
        <f t="shared" ref="N69" si="199">M69/$F69</f>
        <v>#DIV/0!</v>
      </c>
      <c r="O69" s="172"/>
      <c r="P69" s="173" t="e">
        <f t="shared" si="118"/>
        <v>#DIV/0!</v>
      </c>
      <c r="Q69" s="172"/>
      <c r="R69" s="173" t="e">
        <f t="shared" si="119"/>
        <v>#DIV/0!</v>
      </c>
      <c r="S69" s="172">
        <f t="shared" si="120"/>
        <v>0</v>
      </c>
      <c r="T69" s="173" t="e">
        <f t="shared" ref="T69" si="200">S69/$F69</f>
        <v>#DIV/0!</v>
      </c>
      <c r="U69" s="172"/>
      <c r="V69" s="173" t="e">
        <f t="shared" ref="V69" si="201">U69/$F69</f>
        <v>#DIV/0!</v>
      </c>
      <c r="W69" s="172"/>
      <c r="X69" s="173" t="e">
        <f t="shared" si="123"/>
        <v>#DIV/0!</v>
      </c>
      <c r="Y69" s="172"/>
      <c r="Z69" s="173" t="e">
        <f t="shared" si="124"/>
        <v>#DIV/0!</v>
      </c>
      <c r="AA69" s="172"/>
      <c r="AB69" s="173" t="e">
        <f t="shared" si="125"/>
        <v>#DIV/0!</v>
      </c>
      <c r="AC69" s="172">
        <f t="shared" si="126"/>
        <v>0</v>
      </c>
      <c r="AD69" s="173" t="e">
        <f t="shared" si="127"/>
        <v>#DIV/0!</v>
      </c>
      <c r="AE69" s="172"/>
      <c r="AF69" s="173" t="e">
        <f t="shared" si="128"/>
        <v>#DIV/0!</v>
      </c>
      <c r="AG69" s="172"/>
      <c r="AH69" s="173" t="e">
        <f t="shared" si="129"/>
        <v>#DIV/0!</v>
      </c>
      <c r="AI69" s="172"/>
      <c r="AJ69" s="173" t="e">
        <f t="shared" si="130"/>
        <v>#DIV/0!</v>
      </c>
      <c r="AK69" s="172"/>
      <c r="AL69" s="173" t="e">
        <f t="shared" si="131"/>
        <v>#DIV/0!</v>
      </c>
      <c r="AN69" s="72"/>
    </row>
  </sheetData>
  <mergeCells count="57">
    <mergeCell ref="G7:G13"/>
    <mergeCell ref="H7:H11"/>
    <mergeCell ref="H12:H39"/>
    <mergeCell ref="H40:H69"/>
    <mergeCell ref="G49:G55"/>
    <mergeCell ref="G56:G62"/>
    <mergeCell ref="G63:G69"/>
    <mergeCell ref="G14:G20"/>
    <mergeCell ref="G21:G27"/>
    <mergeCell ref="G28:G34"/>
    <mergeCell ref="G35:G41"/>
    <mergeCell ref="G42:G48"/>
    <mergeCell ref="C7:C11"/>
    <mergeCell ref="C12:C39"/>
    <mergeCell ref="C40:C69"/>
    <mergeCell ref="B49:B55"/>
    <mergeCell ref="B56:B62"/>
    <mergeCell ref="B63:B69"/>
    <mergeCell ref="B28:B34"/>
    <mergeCell ref="B35:B41"/>
    <mergeCell ref="B42:B48"/>
    <mergeCell ref="B7:B13"/>
    <mergeCell ref="B14:B20"/>
    <mergeCell ref="B21:B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L70"/>
  <sheetViews>
    <sheetView topLeftCell="A12" zoomScale="85" zoomScaleNormal="85" workbookViewId="0">
      <selection activeCell="A12" sqref="A12"/>
    </sheetView>
  </sheetViews>
  <sheetFormatPr defaultColWidth="8.85546875" defaultRowHeight="15.9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80" t="s">
        <v>121</v>
      </c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</row>
    <row r="3" spans="1:38" ht="25.35" customHeight="1">
      <c r="B3" s="497" t="s">
        <v>75</v>
      </c>
      <c r="C3" s="498" t="s">
        <v>104</v>
      </c>
      <c r="D3" s="499" t="s">
        <v>77</v>
      </c>
      <c r="E3" s="499"/>
      <c r="F3" s="525" t="s">
        <v>122</v>
      </c>
      <c r="G3" s="525"/>
      <c r="H3" s="525"/>
      <c r="I3" s="528" t="s">
        <v>123</v>
      </c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8"/>
      <c r="AB3" s="528"/>
      <c r="AC3" s="528"/>
      <c r="AD3" s="528"/>
      <c r="AE3" s="528"/>
      <c r="AF3" s="528"/>
      <c r="AG3" s="528"/>
      <c r="AH3" s="528"/>
      <c r="AI3" s="528"/>
      <c r="AJ3" s="528"/>
      <c r="AK3" s="528"/>
      <c r="AL3" s="528"/>
    </row>
    <row r="4" spans="1:38" ht="25.35" customHeight="1">
      <c r="B4" s="497"/>
      <c r="C4" s="498"/>
      <c r="D4" s="499"/>
      <c r="E4" s="499"/>
      <c r="F4" s="525"/>
      <c r="G4" s="525"/>
      <c r="H4" s="525"/>
      <c r="I4" s="524" t="s">
        <v>107</v>
      </c>
      <c r="J4" s="524"/>
      <c r="K4" s="524"/>
      <c r="L4" s="524"/>
      <c r="M4" s="524"/>
      <c r="N4" s="524"/>
      <c r="O4" s="524" t="s">
        <v>108</v>
      </c>
      <c r="P4" s="524"/>
      <c r="Q4" s="524"/>
      <c r="R4" s="524"/>
      <c r="S4" s="524"/>
      <c r="T4" s="524"/>
      <c r="U4" s="524" t="s">
        <v>109</v>
      </c>
      <c r="V4" s="524"/>
      <c r="W4" s="524" t="s">
        <v>110</v>
      </c>
      <c r="X4" s="524"/>
      <c r="Y4" s="524" t="s">
        <v>111</v>
      </c>
      <c r="Z4" s="524"/>
      <c r="AA4" s="524"/>
      <c r="AB4" s="524"/>
      <c r="AC4" s="524"/>
      <c r="AD4" s="524"/>
      <c r="AE4" s="524" t="s">
        <v>112</v>
      </c>
      <c r="AF4" s="524"/>
      <c r="AG4" s="524" t="s">
        <v>113</v>
      </c>
      <c r="AH4" s="524"/>
      <c r="AI4" s="524" t="s">
        <v>114</v>
      </c>
      <c r="AJ4" s="524"/>
      <c r="AK4" s="524" t="s">
        <v>115</v>
      </c>
      <c r="AL4" s="524"/>
    </row>
    <row r="5" spans="1:38" ht="25.35" customHeight="1">
      <c r="B5" s="497"/>
      <c r="C5" s="498"/>
      <c r="D5" s="499"/>
      <c r="E5" s="499"/>
      <c r="F5" s="527" t="s">
        <v>84</v>
      </c>
      <c r="G5" s="527" t="s">
        <v>85</v>
      </c>
      <c r="H5" s="527" t="s">
        <v>86</v>
      </c>
      <c r="I5" s="524" t="s">
        <v>116</v>
      </c>
      <c r="J5" s="524"/>
      <c r="K5" s="524" t="s">
        <v>117</v>
      </c>
      <c r="L5" s="524"/>
      <c r="M5" s="524" t="s">
        <v>118</v>
      </c>
      <c r="N5" s="524"/>
      <c r="O5" s="524" t="s">
        <v>116</v>
      </c>
      <c r="P5" s="524"/>
      <c r="Q5" s="524" t="s">
        <v>117</v>
      </c>
      <c r="R5" s="524"/>
      <c r="S5" s="524" t="s">
        <v>118</v>
      </c>
      <c r="T5" s="524"/>
      <c r="U5" s="524" t="s">
        <v>116</v>
      </c>
      <c r="V5" s="524"/>
      <c r="W5" s="524" t="s">
        <v>116</v>
      </c>
      <c r="X5" s="524"/>
      <c r="Y5" s="524" t="s">
        <v>116</v>
      </c>
      <c r="Z5" s="524"/>
      <c r="AA5" s="524" t="s">
        <v>117</v>
      </c>
      <c r="AB5" s="524"/>
      <c r="AC5" s="524" t="s">
        <v>118</v>
      </c>
      <c r="AD5" s="524"/>
      <c r="AE5" s="524" t="s">
        <v>116</v>
      </c>
      <c r="AF5" s="524"/>
      <c r="AG5" s="524" t="s">
        <v>116</v>
      </c>
      <c r="AH5" s="524"/>
      <c r="AI5" s="524" t="s">
        <v>116</v>
      </c>
      <c r="AJ5" s="524"/>
      <c r="AK5" s="524" t="s">
        <v>116</v>
      </c>
      <c r="AL5" s="524"/>
    </row>
    <row r="6" spans="1:38" s="77" customFormat="1" ht="23.45" customHeight="1">
      <c r="B6" s="497"/>
      <c r="C6" s="526"/>
      <c r="D6" s="500"/>
      <c r="E6" s="500"/>
      <c r="F6" s="531"/>
      <c r="G6" s="527"/>
      <c r="H6" s="527"/>
      <c r="I6" s="215" t="s">
        <v>124</v>
      </c>
      <c r="J6" s="174" t="s">
        <v>120</v>
      </c>
      <c r="K6" s="215" t="s">
        <v>124</v>
      </c>
      <c r="L6" s="174" t="s">
        <v>120</v>
      </c>
      <c r="M6" s="215" t="s">
        <v>124</v>
      </c>
      <c r="N6" s="174" t="s">
        <v>120</v>
      </c>
      <c r="O6" s="215" t="s">
        <v>124</v>
      </c>
      <c r="P6" s="174" t="s">
        <v>120</v>
      </c>
      <c r="Q6" s="215" t="s">
        <v>124</v>
      </c>
      <c r="R6" s="174" t="s">
        <v>120</v>
      </c>
      <c r="S6" s="215" t="s">
        <v>124</v>
      </c>
      <c r="T6" s="174" t="s">
        <v>120</v>
      </c>
      <c r="U6" s="215" t="s">
        <v>124</v>
      </c>
      <c r="V6" s="174" t="s">
        <v>120</v>
      </c>
      <c r="W6" s="215" t="s">
        <v>124</v>
      </c>
      <c r="X6" s="174" t="s">
        <v>120</v>
      </c>
      <c r="Y6" s="215" t="s">
        <v>124</v>
      </c>
      <c r="Z6" s="174" t="s">
        <v>120</v>
      </c>
      <c r="AA6" s="215" t="s">
        <v>124</v>
      </c>
      <c r="AB6" s="174" t="s">
        <v>120</v>
      </c>
      <c r="AC6" s="215" t="s">
        <v>124</v>
      </c>
      <c r="AD6" s="174" t="s">
        <v>120</v>
      </c>
      <c r="AE6" s="215" t="s">
        <v>124</v>
      </c>
      <c r="AF6" s="174" t="s">
        <v>120</v>
      </c>
      <c r="AG6" s="215" t="s">
        <v>124</v>
      </c>
      <c r="AH6" s="174" t="s">
        <v>120</v>
      </c>
      <c r="AI6" s="215" t="s">
        <v>124</v>
      </c>
      <c r="AJ6" s="174" t="s">
        <v>120</v>
      </c>
      <c r="AK6" s="215" t="s">
        <v>124</v>
      </c>
      <c r="AL6" s="174" t="s">
        <v>120</v>
      </c>
    </row>
    <row r="7" spans="1:38" s="73" customFormat="1" ht="14.25" customHeight="1">
      <c r="B7" s="529">
        <f t="shared" ref="B7" si="0">D15</f>
        <v>46057</v>
      </c>
      <c r="C7" s="477"/>
      <c r="D7" s="171">
        <v>46049</v>
      </c>
      <c r="E7" s="171" t="s">
        <v>87</v>
      </c>
      <c r="F7" s="336">
        <f t="shared" ref="F7:F41" si="1">SUM(M7,S7,U7,W7,AC7,AE7,AG7,AI7,AK7)</f>
        <v>158031</v>
      </c>
      <c r="G7" s="523">
        <f t="shared" ref="G7" si="2">SUM(F7:F13)</f>
        <v>1022206</v>
      </c>
      <c r="H7" s="519"/>
      <c r="I7" s="319">
        <v>42547</v>
      </c>
      <c r="J7" s="239">
        <f t="shared" ref="J7:J41" si="3">I7/$F7</f>
        <v>0.26923198612930377</v>
      </c>
      <c r="K7" s="319">
        <v>50369</v>
      </c>
      <c r="L7" s="239">
        <f t="shared" ref="L7:L41" si="4">K7/$F7</f>
        <v>0.31872860388151691</v>
      </c>
      <c r="M7" s="319">
        <f t="shared" ref="M7:M41" si="5">I7+K7</f>
        <v>92916</v>
      </c>
      <c r="N7" s="239">
        <f t="shared" ref="N7:N41" si="6">M7/$F7</f>
        <v>0.58796059001082068</v>
      </c>
      <c r="O7" s="319">
        <v>7410</v>
      </c>
      <c r="P7" s="239">
        <f t="shared" ref="P7:P41" si="7">O7/$F7</f>
        <v>4.6889534331871596E-2</v>
      </c>
      <c r="Q7" s="319">
        <v>4888</v>
      </c>
      <c r="R7" s="239">
        <f t="shared" ref="R7:R41" si="8">Q7/$F7</f>
        <v>3.0930640190848631E-2</v>
      </c>
      <c r="S7" s="319">
        <f t="shared" ref="S7:S41" si="9">O7+Q7</f>
        <v>12298</v>
      </c>
      <c r="T7" s="239">
        <f t="shared" ref="T7:T41" si="10">S7/$F7</f>
        <v>7.782017452272022E-2</v>
      </c>
      <c r="U7" s="319">
        <v>3795</v>
      </c>
      <c r="V7" s="239">
        <f t="shared" ref="V7:V41" si="11">U7/$F7</f>
        <v>2.4014275680088085E-2</v>
      </c>
      <c r="W7" s="319">
        <v>1212</v>
      </c>
      <c r="X7" s="239">
        <f t="shared" ref="X7:X41" si="12">W7/$F7</f>
        <v>7.6693813239174591E-3</v>
      </c>
      <c r="Y7" s="319">
        <v>3518</v>
      </c>
      <c r="Z7" s="239">
        <f t="shared" ref="Z7:Z41" si="13">Y7/$F7</f>
        <v>2.2261455030974934E-2</v>
      </c>
      <c r="AA7" s="319">
        <v>10270</v>
      </c>
      <c r="AB7" s="239">
        <f t="shared" ref="AB7:AB41" si="14">AA7/$F7</f>
        <v>6.498724933715537E-2</v>
      </c>
      <c r="AC7" s="319">
        <f t="shared" ref="AC7:AC41" si="15">Y7+AA7</f>
        <v>13788</v>
      </c>
      <c r="AD7" s="239">
        <f t="shared" ref="AD7:AD41" si="16">AC7/$F7</f>
        <v>8.72487043681303E-2</v>
      </c>
      <c r="AE7" s="319">
        <v>23127</v>
      </c>
      <c r="AF7" s="239">
        <f t="shared" ref="AF7:AF41" si="17">AE7/$F7</f>
        <v>0.14634470451999923</v>
      </c>
      <c r="AG7" s="319">
        <v>1548</v>
      </c>
      <c r="AH7" s="239">
        <f t="shared" ref="AH7:AH41" si="18">AG7/$F7</f>
        <v>9.7955464434193295E-3</v>
      </c>
      <c r="AI7" s="319">
        <v>4390</v>
      </c>
      <c r="AJ7" s="239">
        <f t="shared" ref="AJ7:AJ41" si="19">AI7/$F7</f>
        <v>2.7779359745872645E-2</v>
      </c>
      <c r="AK7" s="319">
        <v>4957</v>
      </c>
      <c r="AL7" s="239">
        <f t="shared" ref="AL7:AL41" si="20">AK7/$F7</f>
        <v>3.1367263385032047E-2</v>
      </c>
    </row>
    <row r="8" spans="1:38" s="73" customFormat="1" ht="14.25" customHeight="1">
      <c r="B8" s="530"/>
      <c r="C8" s="477"/>
      <c r="D8" s="171">
        <v>46050</v>
      </c>
      <c r="E8" s="171" t="s">
        <v>88</v>
      </c>
      <c r="F8" s="336">
        <f t="shared" si="1"/>
        <v>153374</v>
      </c>
      <c r="G8" s="523"/>
      <c r="H8" s="520"/>
      <c r="I8" s="319">
        <v>41368</v>
      </c>
      <c r="J8" s="239">
        <f t="shared" si="3"/>
        <v>0.26971976997405034</v>
      </c>
      <c r="K8" s="319">
        <v>47746</v>
      </c>
      <c r="L8" s="239">
        <f t="shared" si="4"/>
        <v>0.31130439318267766</v>
      </c>
      <c r="M8" s="319">
        <f t="shared" si="5"/>
        <v>89114</v>
      </c>
      <c r="N8" s="239">
        <f t="shared" si="6"/>
        <v>0.581024163156728</v>
      </c>
      <c r="O8" s="319">
        <v>7989</v>
      </c>
      <c r="P8" s="239">
        <f t="shared" si="7"/>
        <v>5.2088359174305945E-2</v>
      </c>
      <c r="Q8" s="319">
        <v>5084</v>
      </c>
      <c r="R8" s="239">
        <f t="shared" si="8"/>
        <v>3.3147730384550184E-2</v>
      </c>
      <c r="S8" s="319">
        <f t="shared" si="9"/>
        <v>13073</v>
      </c>
      <c r="T8" s="239">
        <f t="shared" si="10"/>
        <v>8.5236089558856129E-2</v>
      </c>
      <c r="U8" s="319">
        <v>3598</v>
      </c>
      <c r="V8" s="239">
        <f t="shared" si="11"/>
        <v>2.3458995657673398E-2</v>
      </c>
      <c r="W8" s="319">
        <v>1272</v>
      </c>
      <c r="X8" s="239">
        <f t="shared" si="12"/>
        <v>8.2934526060479616E-3</v>
      </c>
      <c r="Y8" s="319">
        <v>3357</v>
      </c>
      <c r="Z8" s="239">
        <f t="shared" si="13"/>
        <v>2.1887673269263368E-2</v>
      </c>
      <c r="AA8" s="319">
        <v>9878</v>
      </c>
      <c r="AB8" s="239">
        <f t="shared" si="14"/>
        <v>6.440465789508E-2</v>
      </c>
      <c r="AC8" s="319">
        <f t="shared" si="15"/>
        <v>13235</v>
      </c>
      <c r="AD8" s="239">
        <f t="shared" si="16"/>
        <v>8.6292331164343372E-2</v>
      </c>
      <c r="AE8" s="319">
        <v>21749</v>
      </c>
      <c r="AF8" s="239">
        <f t="shared" si="17"/>
        <v>0.14180369554161723</v>
      </c>
      <c r="AG8" s="319">
        <v>1588</v>
      </c>
      <c r="AH8" s="239">
        <f t="shared" si="18"/>
        <v>1.0353775737739121E-2</v>
      </c>
      <c r="AI8" s="319">
        <v>4416</v>
      </c>
      <c r="AJ8" s="239">
        <f t="shared" si="19"/>
        <v>2.8792363764392922E-2</v>
      </c>
      <c r="AK8" s="319">
        <v>5329</v>
      </c>
      <c r="AL8" s="239">
        <f t="shared" si="20"/>
        <v>3.4745132812601873E-2</v>
      </c>
    </row>
    <row r="9" spans="1:38" s="73" customFormat="1" ht="14.25" customHeight="1">
      <c r="B9" s="530"/>
      <c r="C9" s="477"/>
      <c r="D9" s="171">
        <v>46051</v>
      </c>
      <c r="E9" s="171" t="s">
        <v>89</v>
      </c>
      <c r="F9" s="336">
        <f t="shared" si="1"/>
        <v>141591</v>
      </c>
      <c r="G9" s="523"/>
      <c r="H9" s="520"/>
      <c r="I9" s="319">
        <v>38709</v>
      </c>
      <c r="J9" s="239">
        <f t="shared" si="3"/>
        <v>0.27338602029790027</v>
      </c>
      <c r="K9" s="319">
        <v>42389</v>
      </c>
      <c r="L9" s="239">
        <f t="shared" si="4"/>
        <v>0.29937637279205598</v>
      </c>
      <c r="M9" s="319">
        <f t="shared" si="5"/>
        <v>81098</v>
      </c>
      <c r="N9" s="239">
        <f t="shared" si="6"/>
        <v>0.57276239308995625</v>
      </c>
      <c r="O9" s="319">
        <v>7671</v>
      </c>
      <c r="P9" s="239">
        <f t="shared" si="7"/>
        <v>5.4177172277899019E-2</v>
      </c>
      <c r="Q9" s="319">
        <v>5232</v>
      </c>
      <c r="R9" s="239">
        <f t="shared" si="8"/>
        <v>3.695150115473441E-2</v>
      </c>
      <c r="S9" s="319">
        <f t="shared" si="9"/>
        <v>12903</v>
      </c>
      <c r="T9" s="239">
        <f t="shared" si="10"/>
        <v>9.1128673432633436E-2</v>
      </c>
      <c r="U9" s="319">
        <v>3548</v>
      </c>
      <c r="V9" s="239">
        <f t="shared" si="11"/>
        <v>2.5058089850343596E-2</v>
      </c>
      <c r="W9" s="319">
        <v>1227</v>
      </c>
      <c r="X9" s="239">
        <f t="shared" si="12"/>
        <v>8.6658050299807197E-3</v>
      </c>
      <c r="Y9" s="319">
        <v>3164</v>
      </c>
      <c r="Z9" s="239">
        <f t="shared" si="13"/>
        <v>2.2346053068344741E-2</v>
      </c>
      <c r="AA9" s="319">
        <v>8144</v>
      </c>
      <c r="AB9" s="239">
        <f t="shared" si="14"/>
        <v>5.7517780084892403E-2</v>
      </c>
      <c r="AC9" s="319">
        <f t="shared" si="15"/>
        <v>11308</v>
      </c>
      <c r="AD9" s="239">
        <f t="shared" si="16"/>
        <v>7.986383315323714E-2</v>
      </c>
      <c r="AE9" s="319">
        <v>20259</v>
      </c>
      <c r="AF9" s="239">
        <f t="shared" si="17"/>
        <v>0.14308112803779902</v>
      </c>
      <c r="AG9" s="319">
        <v>1634</v>
      </c>
      <c r="AH9" s="239">
        <f t="shared" si="18"/>
        <v>1.1540281515068048E-2</v>
      </c>
      <c r="AI9" s="319">
        <v>4463</v>
      </c>
      <c r="AJ9" s="239">
        <f t="shared" si="19"/>
        <v>3.1520364994950242E-2</v>
      </c>
      <c r="AK9" s="319">
        <v>5151</v>
      </c>
      <c r="AL9" s="239">
        <f t="shared" si="20"/>
        <v>3.6379430896031524E-2</v>
      </c>
    </row>
    <row r="10" spans="1:38" s="73" customFormat="1" ht="14.25" customHeight="1">
      <c r="B10" s="530"/>
      <c r="C10" s="477"/>
      <c r="D10" s="171">
        <v>46052</v>
      </c>
      <c r="E10" s="171" t="s">
        <v>90</v>
      </c>
      <c r="F10" s="336">
        <f t="shared" si="1"/>
        <v>121636</v>
      </c>
      <c r="G10" s="523"/>
      <c r="H10" s="520"/>
      <c r="I10" s="319">
        <v>30481</v>
      </c>
      <c r="J10" s="239">
        <f t="shared" si="3"/>
        <v>0.25059193002071756</v>
      </c>
      <c r="K10" s="319">
        <v>40864</v>
      </c>
      <c r="L10" s="239">
        <f t="shared" si="4"/>
        <v>0.33595317175836104</v>
      </c>
      <c r="M10" s="319">
        <f t="shared" si="5"/>
        <v>71345</v>
      </c>
      <c r="N10" s="239">
        <f t="shared" si="6"/>
        <v>0.58654510177907859</v>
      </c>
      <c r="O10" s="319">
        <v>5445</v>
      </c>
      <c r="P10" s="239">
        <f t="shared" si="7"/>
        <v>4.4764707816764775E-2</v>
      </c>
      <c r="Q10" s="319">
        <v>4164</v>
      </c>
      <c r="R10" s="239">
        <f t="shared" si="8"/>
        <v>3.4233286198165014E-2</v>
      </c>
      <c r="S10" s="319">
        <f t="shared" si="9"/>
        <v>9609</v>
      </c>
      <c r="T10" s="239">
        <f t="shared" si="10"/>
        <v>7.8997994014929795E-2</v>
      </c>
      <c r="U10" s="319">
        <v>2795</v>
      </c>
      <c r="V10" s="239">
        <f t="shared" si="11"/>
        <v>2.297839455424381E-2</v>
      </c>
      <c r="W10" s="319">
        <v>957</v>
      </c>
      <c r="X10" s="239">
        <f t="shared" si="12"/>
        <v>7.8677365253707783E-3</v>
      </c>
      <c r="Y10" s="319">
        <v>3066</v>
      </c>
      <c r="Z10" s="239">
        <f t="shared" si="13"/>
        <v>2.5206353382222369E-2</v>
      </c>
      <c r="AA10" s="319">
        <v>8457</v>
      </c>
      <c r="AB10" s="239">
        <f t="shared" si="14"/>
        <v>6.9527113683448979E-2</v>
      </c>
      <c r="AC10" s="319">
        <f t="shared" si="15"/>
        <v>11523</v>
      </c>
      <c r="AD10" s="239">
        <f t="shared" si="16"/>
        <v>9.4733467065671345E-2</v>
      </c>
      <c r="AE10" s="319">
        <v>15962</v>
      </c>
      <c r="AF10" s="239">
        <f t="shared" si="17"/>
        <v>0.13122759709296589</v>
      </c>
      <c r="AG10" s="319">
        <v>1266</v>
      </c>
      <c r="AH10" s="239">
        <f t="shared" si="18"/>
        <v>1.04081028642836E-2</v>
      </c>
      <c r="AI10" s="319">
        <v>3714</v>
      </c>
      <c r="AJ10" s="239">
        <f t="shared" si="19"/>
        <v>3.0533723568680324E-2</v>
      </c>
      <c r="AK10" s="319">
        <v>4465</v>
      </c>
      <c r="AL10" s="239">
        <f t="shared" si="20"/>
        <v>3.6707882534775887E-2</v>
      </c>
    </row>
    <row r="11" spans="1:38" s="73" customFormat="1" ht="14.25" customHeight="1">
      <c r="B11" s="530"/>
      <c r="C11" s="477"/>
      <c r="D11" s="171">
        <v>46053</v>
      </c>
      <c r="E11" s="171" t="s">
        <v>91</v>
      </c>
      <c r="F11" s="336">
        <f t="shared" si="1"/>
        <v>129053</v>
      </c>
      <c r="G11" s="523"/>
      <c r="H11" s="521"/>
      <c r="I11" s="319">
        <v>28921</v>
      </c>
      <c r="J11" s="239">
        <f t="shared" si="3"/>
        <v>0.22410172564760214</v>
      </c>
      <c r="K11" s="319">
        <v>46125</v>
      </c>
      <c r="L11" s="239">
        <f t="shared" si="4"/>
        <v>0.35741129613414646</v>
      </c>
      <c r="M11" s="319">
        <f t="shared" si="5"/>
        <v>75046</v>
      </c>
      <c r="N11" s="239">
        <f t="shared" si="6"/>
        <v>0.58151302178174857</v>
      </c>
      <c r="O11" s="319">
        <v>5099</v>
      </c>
      <c r="P11" s="239">
        <f t="shared" si="7"/>
        <v>3.9510898623046346E-2</v>
      </c>
      <c r="Q11" s="319">
        <v>3970</v>
      </c>
      <c r="R11" s="239">
        <f t="shared" si="8"/>
        <v>3.0762554919296723E-2</v>
      </c>
      <c r="S11" s="319">
        <f t="shared" si="9"/>
        <v>9069</v>
      </c>
      <c r="T11" s="239">
        <f t="shared" si="10"/>
        <v>7.0273453542343073E-2</v>
      </c>
      <c r="U11" s="319">
        <v>3096</v>
      </c>
      <c r="V11" s="239">
        <f t="shared" si="11"/>
        <v>2.3990143584418804E-2</v>
      </c>
      <c r="W11" s="319">
        <v>982</v>
      </c>
      <c r="X11" s="239">
        <f t="shared" si="12"/>
        <v>7.6092768087529933E-3</v>
      </c>
      <c r="Y11" s="319">
        <v>3413</v>
      </c>
      <c r="Z11" s="239">
        <f t="shared" si="13"/>
        <v>2.6446498725329903E-2</v>
      </c>
      <c r="AA11" s="319">
        <v>9550</v>
      </c>
      <c r="AB11" s="239">
        <f t="shared" si="14"/>
        <v>7.4000604402842243E-2</v>
      </c>
      <c r="AC11" s="319">
        <f t="shared" si="15"/>
        <v>12963</v>
      </c>
      <c r="AD11" s="239">
        <f t="shared" si="16"/>
        <v>0.10044710312817215</v>
      </c>
      <c r="AE11" s="319">
        <v>17425</v>
      </c>
      <c r="AF11" s="239">
        <f t="shared" si="17"/>
        <v>0.13502204520623309</v>
      </c>
      <c r="AG11" s="319">
        <v>1519</v>
      </c>
      <c r="AH11" s="239">
        <f t="shared" si="18"/>
        <v>1.177035791496517E-2</v>
      </c>
      <c r="AI11" s="319">
        <v>3976</v>
      </c>
      <c r="AJ11" s="239">
        <f t="shared" si="19"/>
        <v>3.0809047445623117E-2</v>
      </c>
      <c r="AK11" s="319">
        <v>4977</v>
      </c>
      <c r="AL11" s="239">
        <f t="shared" si="20"/>
        <v>3.8565550587743018E-2</v>
      </c>
    </row>
    <row r="12" spans="1:38" s="73" customFormat="1" ht="14.25" customHeight="1">
      <c r="B12" s="530"/>
      <c r="C12" s="506" t="s">
        <v>87</v>
      </c>
      <c r="D12" s="171">
        <v>46054</v>
      </c>
      <c r="E12" s="171" t="s">
        <v>84</v>
      </c>
      <c r="F12" s="336">
        <f t="shared" si="1"/>
        <v>162127</v>
      </c>
      <c r="G12" s="523"/>
      <c r="H12" s="519">
        <f>SUM(F12:F39)</f>
        <v>3787002</v>
      </c>
      <c r="I12" s="319">
        <v>41113</v>
      </c>
      <c r="J12" s="239">
        <f t="shared" si="3"/>
        <v>0.25358515238054119</v>
      </c>
      <c r="K12" s="319">
        <v>51186</v>
      </c>
      <c r="L12" s="239">
        <f t="shared" si="4"/>
        <v>0.31571545763506387</v>
      </c>
      <c r="M12" s="319">
        <f t="shared" si="5"/>
        <v>92299</v>
      </c>
      <c r="N12" s="239">
        <f t="shared" si="6"/>
        <v>0.56930061001560506</v>
      </c>
      <c r="O12" s="319">
        <v>8035</v>
      </c>
      <c r="P12" s="239">
        <f t="shared" si="7"/>
        <v>4.9559912907782173E-2</v>
      </c>
      <c r="Q12" s="319">
        <v>4908</v>
      </c>
      <c r="R12" s="239">
        <f t="shared" si="8"/>
        <v>3.0272564100982564E-2</v>
      </c>
      <c r="S12" s="319">
        <f t="shared" si="9"/>
        <v>12943</v>
      </c>
      <c r="T12" s="239">
        <f t="shared" si="10"/>
        <v>7.9832477008764738E-2</v>
      </c>
      <c r="U12" s="319">
        <v>3922</v>
      </c>
      <c r="V12" s="239">
        <f t="shared" si="11"/>
        <v>2.4190912062765611E-2</v>
      </c>
      <c r="W12" s="319">
        <v>1286</v>
      </c>
      <c r="X12" s="239">
        <f t="shared" si="12"/>
        <v>7.9320532668833692E-3</v>
      </c>
      <c r="Y12" s="319">
        <v>3751</v>
      </c>
      <c r="Z12" s="239">
        <f t="shared" si="13"/>
        <v>2.3136183362425754E-2</v>
      </c>
      <c r="AA12" s="319">
        <v>11082</v>
      </c>
      <c r="AB12" s="239">
        <f t="shared" si="14"/>
        <v>6.8353821386937408E-2</v>
      </c>
      <c r="AC12" s="319">
        <f t="shared" si="15"/>
        <v>14833</v>
      </c>
      <c r="AD12" s="239">
        <f t="shared" si="16"/>
        <v>9.1490004749363155E-2</v>
      </c>
      <c r="AE12" s="319">
        <v>27031</v>
      </c>
      <c r="AF12" s="239">
        <f t="shared" si="17"/>
        <v>0.16672731870693963</v>
      </c>
      <c r="AG12" s="319">
        <v>1494</v>
      </c>
      <c r="AH12" s="239">
        <f t="shared" si="18"/>
        <v>9.2149981187587514E-3</v>
      </c>
      <c r="AI12" s="319">
        <v>3681</v>
      </c>
      <c r="AJ12" s="239">
        <f t="shared" si="19"/>
        <v>2.2704423075736922E-2</v>
      </c>
      <c r="AK12" s="319">
        <v>4638</v>
      </c>
      <c r="AL12" s="239">
        <f t="shared" si="20"/>
        <v>2.8607202995182789E-2</v>
      </c>
    </row>
    <row r="13" spans="1:38" s="73" customFormat="1" ht="14.25" customHeight="1">
      <c r="B13" s="530"/>
      <c r="C13" s="507"/>
      <c r="D13" s="171">
        <v>46055</v>
      </c>
      <c r="E13" s="171" t="s">
        <v>92</v>
      </c>
      <c r="F13" s="336">
        <f t="shared" si="1"/>
        <v>156394</v>
      </c>
      <c r="G13" s="523"/>
      <c r="H13" s="520"/>
      <c r="I13" s="319">
        <v>39864</v>
      </c>
      <c r="J13" s="239">
        <f t="shared" si="3"/>
        <v>0.2548946890545673</v>
      </c>
      <c r="K13" s="319">
        <v>50072</v>
      </c>
      <c r="L13" s="239">
        <f t="shared" si="4"/>
        <v>0.32016573525838588</v>
      </c>
      <c r="M13" s="319">
        <f t="shared" si="5"/>
        <v>89936</v>
      </c>
      <c r="N13" s="239">
        <f t="shared" si="6"/>
        <v>0.57506042431295323</v>
      </c>
      <c r="O13" s="319">
        <v>7588</v>
      </c>
      <c r="P13" s="239">
        <f t="shared" si="7"/>
        <v>4.8518485363888642E-2</v>
      </c>
      <c r="Q13" s="319">
        <v>4924</v>
      </c>
      <c r="R13" s="239">
        <f t="shared" si="8"/>
        <v>3.1484583807562951E-2</v>
      </c>
      <c r="S13" s="319">
        <f t="shared" si="9"/>
        <v>12512</v>
      </c>
      <c r="T13" s="239">
        <f t="shared" si="10"/>
        <v>8.0003069171451585E-2</v>
      </c>
      <c r="U13" s="319">
        <v>3549</v>
      </c>
      <c r="V13" s="239">
        <f t="shared" si="11"/>
        <v>2.269268642019515E-2</v>
      </c>
      <c r="W13" s="319">
        <v>1237</v>
      </c>
      <c r="X13" s="239">
        <f t="shared" si="12"/>
        <v>7.9095105950356143E-3</v>
      </c>
      <c r="Y13" s="319">
        <v>3737</v>
      </c>
      <c r="Z13" s="239">
        <f t="shared" si="13"/>
        <v>2.3894778572067982E-2</v>
      </c>
      <c r="AA13" s="319">
        <v>10391</v>
      </c>
      <c r="AB13" s="239">
        <f t="shared" si="14"/>
        <v>6.6441167819737329E-2</v>
      </c>
      <c r="AC13" s="319">
        <f t="shared" si="15"/>
        <v>14128</v>
      </c>
      <c r="AD13" s="239">
        <f t="shared" si="16"/>
        <v>9.0335946391805311E-2</v>
      </c>
      <c r="AE13" s="319">
        <v>23849</v>
      </c>
      <c r="AF13" s="239">
        <f t="shared" si="17"/>
        <v>0.15249306239369798</v>
      </c>
      <c r="AG13" s="319">
        <v>1679</v>
      </c>
      <c r="AH13" s="239">
        <f t="shared" si="18"/>
        <v>1.0735705973374938E-2</v>
      </c>
      <c r="AI13" s="319">
        <v>4262</v>
      </c>
      <c r="AJ13" s="239">
        <f t="shared" si="19"/>
        <v>2.725168484724478E-2</v>
      </c>
      <c r="AK13" s="319">
        <v>5242</v>
      </c>
      <c r="AL13" s="239">
        <f t="shared" si="20"/>
        <v>3.3517909894241464E-2</v>
      </c>
    </row>
    <row r="14" spans="1:38" s="73" customFormat="1" ht="14.25" customHeight="1">
      <c r="B14" s="529">
        <f t="shared" ref="B14" si="21">D22</f>
        <v>46064</v>
      </c>
      <c r="C14" s="507"/>
      <c r="D14" s="171">
        <v>46056</v>
      </c>
      <c r="E14" s="171" t="s">
        <v>87</v>
      </c>
      <c r="F14" s="336">
        <f t="shared" si="1"/>
        <v>156238</v>
      </c>
      <c r="G14" s="523">
        <f t="shared" ref="G14" si="22">SUM(F14:F20)</f>
        <v>1008252</v>
      </c>
      <c r="H14" s="520"/>
      <c r="I14" s="319">
        <v>40290</v>
      </c>
      <c r="J14" s="239">
        <f t="shared" si="3"/>
        <v>0.25787580486181338</v>
      </c>
      <c r="K14" s="319">
        <v>50139</v>
      </c>
      <c r="L14" s="239">
        <f t="shared" si="4"/>
        <v>0.32091424621410924</v>
      </c>
      <c r="M14" s="319">
        <f t="shared" si="5"/>
        <v>90429</v>
      </c>
      <c r="N14" s="239">
        <f t="shared" si="6"/>
        <v>0.57879005107592263</v>
      </c>
      <c r="O14" s="319">
        <v>7848</v>
      </c>
      <c r="P14" s="239">
        <f t="shared" si="7"/>
        <v>5.0231057745234835E-2</v>
      </c>
      <c r="Q14" s="319">
        <v>5201</v>
      </c>
      <c r="R14" s="239">
        <f t="shared" si="8"/>
        <v>3.3288956591866252E-2</v>
      </c>
      <c r="S14" s="319">
        <f t="shared" si="9"/>
        <v>13049</v>
      </c>
      <c r="T14" s="239">
        <f t="shared" si="10"/>
        <v>8.3520014337101087E-2</v>
      </c>
      <c r="U14" s="319">
        <v>3482</v>
      </c>
      <c r="V14" s="239">
        <f t="shared" si="11"/>
        <v>2.2286511604091196E-2</v>
      </c>
      <c r="W14" s="319">
        <v>1270</v>
      </c>
      <c r="X14" s="239">
        <f t="shared" si="12"/>
        <v>8.1286242783445775E-3</v>
      </c>
      <c r="Y14" s="319">
        <v>3586</v>
      </c>
      <c r="Z14" s="239">
        <f t="shared" si="13"/>
        <v>2.2952162726097364E-2</v>
      </c>
      <c r="AA14" s="319">
        <v>10856</v>
      </c>
      <c r="AB14" s="239">
        <f t="shared" si="14"/>
        <v>6.9483736350951758E-2</v>
      </c>
      <c r="AC14" s="319">
        <f t="shared" si="15"/>
        <v>14442</v>
      </c>
      <c r="AD14" s="239">
        <f t="shared" si="16"/>
        <v>9.2435899077049119E-2</v>
      </c>
      <c r="AE14" s="319">
        <v>22871</v>
      </c>
      <c r="AF14" s="239">
        <f t="shared" si="17"/>
        <v>0.14638564241733765</v>
      </c>
      <c r="AG14" s="319">
        <v>1483</v>
      </c>
      <c r="AH14" s="239">
        <f t="shared" si="18"/>
        <v>9.4919289801456749E-3</v>
      </c>
      <c r="AI14" s="319">
        <v>4030</v>
      </c>
      <c r="AJ14" s="239">
        <f t="shared" si="19"/>
        <v>2.5793980977739089E-2</v>
      </c>
      <c r="AK14" s="319">
        <v>5182</v>
      </c>
      <c r="AL14" s="239">
        <f t="shared" si="20"/>
        <v>3.3167347252268976E-2</v>
      </c>
    </row>
    <row r="15" spans="1:38" s="73" customFormat="1" ht="14.25" customHeight="1">
      <c r="B15" s="530"/>
      <c r="C15" s="507"/>
      <c r="D15" s="171">
        <v>46057</v>
      </c>
      <c r="E15" s="171" t="s">
        <v>88</v>
      </c>
      <c r="F15" s="336">
        <f t="shared" si="1"/>
        <v>152389</v>
      </c>
      <c r="G15" s="523"/>
      <c r="H15" s="520"/>
      <c r="I15" s="319">
        <v>39672</v>
      </c>
      <c r="J15" s="239">
        <f t="shared" si="3"/>
        <v>0.26033375112376878</v>
      </c>
      <c r="K15" s="319">
        <v>47565</v>
      </c>
      <c r="L15" s="239">
        <f t="shared" si="4"/>
        <v>0.31212882819626087</v>
      </c>
      <c r="M15" s="319">
        <f t="shared" si="5"/>
        <v>87237</v>
      </c>
      <c r="N15" s="239">
        <f t="shared" si="6"/>
        <v>0.57246257932002964</v>
      </c>
      <c r="O15" s="319">
        <v>8493</v>
      </c>
      <c r="P15" s="239">
        <f t="shared" si="7"/>
        <v>5.5732369134255097E-2</v>
      </c>
      <c r="Q15" s="319">
        <v>5308</v>
      </c>
      <c r="R15" s="239">
        <f t="shared" si="8"/>
        <v>3.4831910439729899E-2</v>
      </c>
      <c r="S15" s="319">
        <f t="shared" si="9"/>
        <v>13801</v>
      </c>
      <c r="T15" s="239">
        <f t="shared" si="10"/>
        <v>9.0564279573984996E-2</v>
      </c>
      <c r="U15" s="319">
        <v>3467</v>
      </c>
      <c r="V15" s="239">
        <f t="shared" si="11"/>
        <v>2.2750985963553801E-2</v>
      </c>
      <c r="W15" s="319">
        <v>1234</v>
      </c>
      <c r="X15" s="239">
        <f t="shared" si="12"/>
        <v>8.0976973403592122E-3</v>
      </c>
      <c r="Y15" s="319">
        <v>3478</v>
      </c>
      <c r="Z15" s="239">
        <f t="shared" si="13"/>
        <v>2.2823169651352788E-2</v>
      </c>
      <c r="AA15" s="319">
        <v>10158</v>
      </c>
      <c r="AB15" s="239">
        <f t="shared" si="14"/>
        <v>6.6658354605647382E-2</v>
      </c>
      <c r="AC15" s="319">
        <f t="shared" si="15"/>
        <v>13636</v>
      </c>
      <c r="AD15" s="239">
        <f t="shared" si="16"/>
        <v>8.9481524257000178E-2</v>
      </c>
      <c r="AE15" s="319">
        <v>21537</v>
      </c>
      <c r="AF15" s="239">
        <f t="shared" si="17"/>
        <v>0.14132909855698245</v>
      </c>
      <c r="AG15" s="319">
        <v>1443</v>
      </c>
      <c r="AH15" s="239">
        <f t="shared" si="18"/>
        <v>9.469187408539987E-3</v>
      </c>
      <c r="AI15" s="319">
        <v>4457</v>
      </c>
      <c r="AJ15" s="239">
        <f t="shared" si="19"/>
        <v>2.924751786546273E-2</v>
      </c>
      <c r="AK15" s="319">
        <v>5577</v>
      </c>
      <c r="AL15" s="239">
        <f t="shared" si="20"/>
        <v>3.6597129714086976E-2</v>
      </c>
    </row>
    <row r="16" spans="1:38" s="73" customFormat="1" ht="14.25" customHeight="1">
      <c r="B16" s="530"/>
      <c r="C16" s="507"/>
      <c r="D16" s="171">
        <v>46058</v>
      </c>
      <c r="E16" s="171" t="s">
        <v>89</v>
      </c>
      <c r="F16" s="336">
        <f t="shared" si="1"/>
        <v>141990</v>
      </c>
      <c r="G16" s="523"/>
      <c r="H16" s="520"/>
      <c r="I16" s="319">
        <v>37921</v>
      </c>
      <c r="J16" s="239">
        <f t="shared" si="3"/>
        <v>0.26706810338756248</v>
      </c>
      <c r="K16" s="319">
        <v>43213</v>
      </c>
      <c r="L16" s="239">
        <f t="shared" si="4"/>
        <v>0.30433833368547081</v>
      </c>
      <c r="M16" s="319">
        <f t="shared" si="5"/>
        <v>81134</v>
      </c>
      <c r="N16" s="239">
        <f t="shared" si="6"/>
        <v>0.57140643707303329</v>
      </c>
      <c r="O16" s="319">
        <v>8339</v>
      </c>
      <c r="P16" s="239">
        <f t="shared" si="7"/>
        <v>5.8729487992112119E-2</v>
      </c>
      <c r="Q16" s="319">
        <v>5281</v>
      </c>
      <c r="R16" s="239">
        <f t="shared" si="8"/>
        <v>3.7192760053524898E-2</v>
      </c>
      <c r="S16" s="319">
        <f t="shared" si="9"/>
        <v>13620</v>
      </c>
      <c r="T16" s="239">
        <f t="shared" si="10"/>
        <v>9.5922248045637024E-2</v>
      </c>
      <c r="U16" s="319">
        <v>3009</v>
      </c>
      <c r="V16" s="239">
        <f t="shared" si="11"/>
        <v>2.1191633213606592E-2</v>
      </c>
      <c r="W16" s="319">
        <v>1210</v>
      </c>
      <c r="X16" s="239">
        <f t="shared" si="12"/>
        <v>8.5217268821748005E-3</v>
      </c>
      <c r="Y16" s="319">
        <v>3253</v>
      </c>
      <c r="Z16" s="239">
        <f t="shared" si="13"/>
        <v>2.2910064089020354E-2</v>
      </c>
      <c r="AA16" s="319">
        <v>8183</v>
      </c>
      <c r="AB16" s="239">
        <f t="shared" si="14"/>
        <v>5.7630819071765614E-2</v>
      </c>
      <c r="AC16" s="319">
        <f t="shared" si="15"/>
        <v>11436</v>
      </c>
      <c r="AD16" s="239">
        <f t="shared" si="16"/>
        <v>8.0540883160785975E-2</v>
      </c>
      <c r="AE16" s="319">
        <v>20274</v>
      </c>
      <c r="AF16" s="239">
        <f t="shared" si="17"/>
        <v>0.14278470314810901</v>
      </c>
      <c r="AG16" s="319">
        <v>1488</v>
      </c>
      <c r="AH16" s="239">
        <f t="shared" si="18"/>
        <v>1.0479611240228184E-2</v>
      </c>
      <c r="AI16" s="319">
        <v>4160</v>
      </c>
      <c r="AJ16" s="239">
        <f t="shared" si="19"/>
        <v>2.9297837875906754E-2</v>
      </c>
      <c r="AK16" s="319">
        <v>5659</v>
      </c>
      <c r="AL16" s="239">
        <f t="shared" si="20"/>
        <v>3.9854919360518347E-2</v>
      </c>
    </row>
    <row r="17" spans="2:38" s="73" customFormat="1" ht="14.25" customHeight="1">
      <c r="B17" s="530"/>
      <c r="C17" s="507"/>
      <c r="D17" s="171">
        <v>46059</v>
      </c>
      <c r="E17" s="171" t="s">
        <v>90</v>
      </c>
      <c r="F17" s="336">
        <f t="shared" si="1"/>
        <v>119260</v>
      </c>
      <c r="G17" s="523"/>
      <c r="H17" s="520"/>
      <c r="I17" s="319">
        <v>29522</v>
      </c>
      <c r="J17" s="239">
        <f t="shared" si="3"/>
        <v>0.24754318296159653</v>
      </c>
      <c r="K17" s="319">
        <v>40622</v>
      </c>
      <c r="L17" s="239">
        <f t="shared" si="4"/>
        <v>0.34061713902398122</v>
      </c>
      <c r="M17" s="319">
        <f t="shared" si="5"/>
        <v>70144</v>
      </c>
      <c r="N17" s="239">
        <f t="shared" si="6"/>
        <v>0.58816032198557777</v>
      </c>
      <c r="O17" s="319">
        <v>5561</v>
      </c>
      <c r="P17" s="239">
        <f t="shared" si="7"/>
        <v>4.6629213483146068E-2</v>
      </c>
      <c r="Q17" s="319">
        <v>4252</v>
      </c>
      <c r="R17" s="239">
        <f t="shared" si="8"/>
        <v>3.5653194700654034E-2</v>
      </c>
      <c r="S17" s="319">
        <f t="shared" si="9"/>
        <v>9813</v>
      </c>
      <c r="T17" s="239">
        <f t="shared" si="10"/>
        <v>8.2282408183800101E-2</v>
      </c>
      <c r="U17" s="319">
        <v>2366</v>
      </c>
      <c r="V17" s="239">
        <f t="shared" si="11"/>
        <v>1.9839007211135334E-2</v>
      </c>
      <c r="W17" s="319">
        <v>793</v>
      </c>
      <c r="X17" s="239">
        <f t="shared" si="12"/>
        <v>6.6493375817541509E-3</v>
      </c>
      <c r="Y17" s="319">
        <v>2977</v>
      </c>
      <c r="Z17" s="239">
        <f t="shared" si="13"/>
        <v>2.4962267315109844E-2</v>
      </c>
      <c r="AA17" s="319">
        <v>8561</v>
      </c>
      <c r="AB17" s="239">
        <f t="shared" si="14"/>
        <v>7.1784336743250035E-2</v>
      </c>
      <c r="AC17" s="319">
        <f t="shared" si="15"/>
        <v>11538</v>
      </c>
      <c r="AD17" s="239">
        <f t="shared" si="16"/>
        <v>9.6746604058359886E-2</v>
      </c>
      <c r="AE17" s="319">
        <v>16022</v>
      </c>
      <c r="AF17" s="239">
        <f t="shared" si="17"/>
        <v>0.13434512829112863</v>
      </c>
      <c r="AG17" s="319">
        <v>1098</v>
      </c>
      <c r="AH17" s="239">
        <f t="shared" si="18"/>
        <v>9.2067751131980555E-3</v>
      </c>
      <c r="AI17" s="319">
        <v>2755</v>
      </c>
      <c r="AJ17" s="239">
        <f t="shared" si="19"/>
        <v>2.3100788193862149E-2</v>
      </c>
      <c r="AK17" s="319">
        <v>4731</v>
      </c>
      <c r="AL17" s="239">
        <f t="shared" si="20"/>
        <v>3.9669629381183971E-2</v>
      </c>
    </row>
    <row r="18" spans="2:38" s="73" customFormat="1" ht="14.25" customHeight="1">
      <c r="B18" s="530"/>
      <c r="C18" s="507"/>
      <c r="D18" s="171">
        <v>46060</v>
      </c>
      <c r="E18" s="171" t="s">
        <v>91</v>
      </c>
      <c r="F18" s="336">
        <f t="shared" si="1"/>
        <v>126462</v>
      </c>
      <c r="G18" s="523"/>
      <c r="H18" s="520"/>
      <c r="I18" s="319">
        <v>27664</v>
      </c>
      <c r="J18" s="239">
        <f t="shared" si="3"/>
        <v>0.21875345953725231</v>
      </c>
      <c r="K18" s="319">
        <v>46342</v>
      </c>
      <c r="L18" s="239">
        <f t="shared" si="4"/>
        <v>0.36645000079075135</v>
      </c>
      <c r="M18" s="319">
        <f t="shared" si="5"/>
        <v>74006</v>
      </c>
      <c r="N18" s="239">
        <f t="shared" si="6"/>
        <v>0.58520346032800363</v>
      </c>
      <c r="O18" s="319">
        <v>5103</v>
      </c>
      <c r="P18" s="239">
        <f t="shared" si="7"/>
        <v>4.0352042510793759E-2</v>
      </c>
      <c r="Q18" s="319">
        <v>4016</v>
      </c>
      <c r="R18" s="239">
        <f t="shared" si="8"/>
        <v>3.1756575097657794E-2</v>
      </c>
      <c r="S18" s="319">
        <f t="shared" si="9"/>
        <v>9119</v>
      </c>
      <c r="T18" s="239">
        <f t="shared" si="10"/>
        <v>7.2108617608451553E-2</v>
      </c>
      <c r="U18" s="319">
        <v>2522</v>
      </c>
      <c r="V18" s="239">
        <f t="shared" si="11"/>
        <v>1.9942749600670558E-2</v>
      </c>
      <c r="W18" s="319">
        <v>779</v>
      </c>
      <c r="X18" s="239">
        <f t="shared" si="12"/>
        <v>6.1599531875187801E-3</v>
      </c>
      <c r="Y18" s="319">
        <v>3392</v>
      </c>
      <c r="Z18" s="239">
        <f t="shared" si="13"/>
        <v>2.6822286536667142E-2</v>
      </c>
      <c r="AA18" s="319">
        <v>9340</v>
      </c>
      <c r="AB18" s="239">
        <f t="shared" si="14"/>
        <v>7.3856178140469075E-2</v>
      </c>
      <c r="AC18" s="319">
        <f t="shared" si="15"/>
        <v>12732</v>
      </c>
      <c r="AD18" s="239">
        <f t="shared" si="16"/>
        <v>0.10067846467713622</v>
      </c>
      <c r="AE18" s="319">
        <v>17369</v>
      </c>
      <c r="AF18" s="239">
        <f t="shared" si="17"/>
        <v>0.13734560579462604</v>
      </c>
      <c r="AG18" s="319">
        <v>1403</v>
      </c>
      <c r="AH18" s="239">
        <f t="shared" si="18"/>
        <v>1.1094241748509434E-2</v>
      </c>
      <c r="AI18" s="319">
        <v>2845</v>
      </c>
      <c r="AJ18" s="239">
        <f t="shared" si="19"/>
        <v>2.2496876532080785E-2</v>
      </c>
      <c r="AK18" s="319">
        <v>5687</v>
      </c>
      <c r="AL18" s="239">
        <f t="shared" si="20"/>
        <v>4.4970030523002955E-2</v>
      </c>
    </row>
    <row r="19" spans="2:38" s="73" customFormat="1" ht="14.25" customHeight="1">
      <c r="B19" s="530"/>
      <c r="C19" s="507"/>
      <c r="D19" s="171">
        <v>46061</v>
      </c>
      <c r="E19" s="171" t="s">
        <v>84</v>
      </c>
      <c r="F19" s="336">
        <f t="shared" si="1"/>
        <v>158901</v>
      </c>
      <c r="G19" s="523"/>
      <c r="H19" s="520"/>
      <c r="I19" s="319">
        <v>40022</v>
      </c>
      <c r="J19" s="239">
        <f t="shared" si="3"/>
        <v>0.25186751499361237</v>
      </c>
      <c r="K19" s="319">
        <v>51103</v>
      </c>
      <c r="L19" s="239">
        <f t="shared" si="4"/>
        <v>0.32160275895054152</v>
      </c>
      <c r="M19" s="319">
        <f t="shared" si="5"/>
        <v>91125</v>
      </c>
      <c r="N19" s="239">
        <f t="shared" si="6"/>
        <v>0.57347027394415395</v>
      </c>
      <c r="O19" s="319">
        <v>8326</v>
      </c>
      <c r="P19" s="239">
        <f t="shared" si="7"/>
        <v>5.2397404673350072E-2</v>
      </c>
      <c r="Q19" s="319">
        <v>5023</v>
      </c>
      <c r="R19" s="239">
        <f t="shared" si="8"/>
        <v>3.1610877212855805E-2</v>
      </c>
      <c r="S19" s="319">
        <f t="shared" si="9"/>
        <v>13349</v>
      </c>
      <c r="T19" s="239">
        <f t="shared" si="10"/>
        <v>8.4008281886205877E-2</v>
      </c>
      <c r="U19" s="319">
        <v>3145</v>
      </c>
      <c r="V19" s="239">
        <f t="shared" si="11"/>
        <v>1.9792197657661059E-2</v>
      </c>
      <c r="W19" s="319">
        <v>877</v>
      </c>
      <c r="X19" s="239">
        <f t="shared" si="12"/>
        <v>5.5191597283843399E-3</v>
      </c>
      <c r="Y19" s="319">
        <v>3815</v>
      </c>
      <c r="Z19" s="239">
        <f t="shared" si="13"/>
        <v>2.4008659479801891E-2</v>
      </c>
      <c r="AA19" s="319">
        <v>11052</v>
      </c>
      <c r="AB19" s="239">
        <f t="shared" si="14"/>
        <v>6.955274038552306E-2</v>
      </c>
      <c r="AC19" s="319">
        <f t="shared" si="15"/>
        <v>14867</v>
      </c>
      <c r="AD19" s="239">
        <f t="shared" si="16"/>
        <v>9.3561399865324954E-2</v>
      </c>
      <c r="AE19" s="319">
        <v>26223</v>
      </c>
      <c r="AF19" s="239">
        <f t="shared" si="17"/>
        <v>0.16502728113731191</v>
      </c>
      <c r="AG19" s="319">
        <v>1396</v>
      </c>
      <c r="AH19" s="239">
        <f t="shared" si="18"/>
        <v>8.7853443338934308E-3</v>
      </c>
      <c r="AI19" s="319">
        <v>2976</v>
      </c>
      <c r="AJ19" s="239">
        <f t="shared" si="19"/>
        <v>1.8728642362225538E-2</v>
      </c>
      <c r="AK19" s="319">
        <v>4943</v>
      </c>
      <c r="AL19" s="239">
        <f t="shared" si="20"/>
        <v>3.1107419084838987E-2</v>
      </c>
    </row>
    <row r="20" spans="2:38" s="73" customFormat="1" ht="14.25" customHeight="1">
      <c r="B20" s="530"/>
      <c r="C20" s="507"/>
      <c r="D20" s="171">
        <v>46062</v>
      </c>
      <c r="E20" s="171" t="s">
        <v>92</v>
      </c>
      <c r="F20" s="336">
        <f t="shared" si="1"/>
        <v>153012</v>
      </c>
      <c r="G20" s="523"/>
      <c r="H20" s="520"/>
      <c r="I20" s="319">
        <v>39063</v>
      </c>
      <c r="J20" s="239">
        <f t="shared" si="3"/>
        <v>0.25529370245470945</v>
      </c>
      <c r="K20" s="319">
        <v>50117</v>
      </c>
      <c r="L20" s="239">
        <f t="shared" si="4"/>
        <v>0.32753640237367004</v>
      </c>
      <c r="M20" s="319">
        <f t="shared" si="5"/>
        <v>89180</v>
      </c>
      <c r="N20" s="239">
        <f t="shared" si="6"/>
        <v>0.58283010482837949</v>
      </c>
      <c r="O20" s="319">
        <v>7865</v>
      </c>
      <c r="P20" s="239">
        <f t="shared" si="7"/>
        <v>5.1401197291715682E-2</v>
      </c>
      <c r="Q20" s="319">
        <v>5009</v>
      </c>
      <c r="R20" s="239">
        <f t="shared" si="8"/>
        <v>3.2735994562517974E-2</v>
      </c>
      <c r="S20" s="319">
        <f t="shared" si="9"/>
        <v>12874</v>
      </c>
      <c r="T20" s="239">
        <f t="shared" si="10"/>
        <v>8.4137191854233656E-2</v>
      </c>
      <c r="U20" s="319">
        <v>2791</v>
      </c>
      <c r="V20" s="239">
        <f t="shared" si="11"/>
        <v>1.82403994457951E-2</v>
      </c>
      <c r="W20" s="319">
        <v>974</v>
      </c>
      <c r="X20" s="239">
        <f t="shared" si="12"/>
        <v>6.3655138159098637E-3</v>
      </c>
      <c r="Y20" s="319">
        <v>3767</v>
      </c>
      <c r="Z20" s="239">
        <f t="shared" si="13"/>
        <v>2.4618984131963506E-2</v>
      </c>
      <c r="AA20" s="319">
        <v>10349</v>
      </c>
      <c r="AB20" s="239">
        <f t="shared" si="14"/>
        <v>6.7635218152824611E-2</v>
      </c>
      <c r="AC20" s="319">
        <f t="shared" si="15"/>
        <v>14116</v>
      </c>
      <c r="AD20" s="239">
        <f t="shared" si="16"/>
        <v>9.2254202284788117E-2</v>
      </c>
      <c r="AE20" s="319">
        <v>23303</v>
      </c>
      <c r="AF20" s="239">
        <f t="shared" si="17"/>
        <v>0.15229524481739995</v>
      </c>
      <c r="AG20" s="319">
        <v>1592</v>
      </c>
      <c r="AH20" s="239">
        <f t="shared" si="18"/>
        <v>1.0404412725799284E-2</v>
      </c>
      <c r="AI20" s="319">
        <v>3406</v>
      </c>
      <c r="AJ20" s="239">
        <f t="shared" si="19"/>
        <v>2.2259692050296709E-2</v>
      </c>
      <c r="AK20" s="319">
        <v>4776</v>
      </c>
      <c r="AL20" s="239">
        <f t="shared" si="20"/>
        <v>3.1213238177397851E-2</v>
      </c>
    </row>
    <row r="21" spans="2:38" s="73" customFormat="1" ht="14.25" customHeight="1">
      <c r="B21" s="529">
        <f t="shared" ref="B21" si="23">D29</f>
        <v>46071</v>
      </c>
      <c r="C21" s="507"/>
      <c r="D21" s="171">
        <v>46063</v>
      </c>
      <c r="E21" s="171" t="s">
        <v>87</v>
      </c>
      <c r="F21" s="336">
        <f t="shared" si="1"/>
        <v>149487</v>
      </c>
      <c r="G21" s="523">
        <f t="shared" ref="G21" si="24">SUM(F21:F27)</f>
        <v>840384</v>
      </c>
      <c r="H21" s="520"/>
      <c r="I21" s="319">
        <v>38358</v>
      </c>
      <c r="J21" s="239">
        <f t="shared" si="3"/>
        <v>0.25659756366774367</v>
      </c>
      <c r="K21" s="319">
        <v>48675</v>
      </c>
      <c r="L21" s="239">
        <f t="shared" si="4"/>
        <v>0.32561359850689359</v>
      </c>
      <c r="M21" s="319">
        <f t="shared" si="5"/>
        <v>87033</v>
      </c>
      <c r="N21" s="239">
        <f t="shared" si="6"/>
        <v>0.58221116217463731</v>
      </c>
      <c r="O21" s="319">
        <v>7639</v>
      </c>
      <c r="P21" s="239">
        <f t="shared" si="7"/>
        <v>5.1101433569474268E-2</v>
      </c>
      <c r="Q21" s="319">
        <v>4986</v>
      </c>
      <c r="R21" s="239">
        <f t="shared" si="8"/>
        <v>3.3354070922555136E-2</v>
      </c>
      <c r="S21" s="319">
        <f t="shared" si="9"/>
        <v>12625</v>
      </c>
      <c r="T21" s="239">
        <f t="shared" si="10"/>
        <v>8.4455504492029404E-2</v>
      </c>
      <c r="U21" s="319">
        <v>2899</v>
      </c>
      <c r="V21" s="239">
        <f t="shared" si="11"/>
        <v>1.9392990694843029E-2</v>
      </c>
      <c r="W21" s="319">
        <v>961</v>
      </c>
      <c r="X21" s="239">
        <f t="shared" si="12"/>
        <v>6.428652658759625E-3</v>
      </c>
      <c r="Y21" s="319">
        <v>3618</v>
      </c>
      <c r="Z21" s="239">
        <f t="shared" si="13"/>
        <v>2.4202773485319795E-2</v>
      </c>
      <c r="AA21" s="319">
        <v>10265</v>
      </c>
      <c r="AB21" s="239">
        <f t="shared" si="14"/>
        <v>6.8668178503816388E-2</v>
      </c>
      <c r="AC21" s="319">
        <f t="shared" si="15"/>
        <v>13883</v>
      </c>
      <c r="AD21" s="239">
        <f t="shared" si="16"/>
        <v>9.2870951989136183E-2</v>
      </c>
      <c r="AE21" s="319">
        <v>22959</v>
      </c>
      <c r="AF21" s="239">
        <f t="shared" si="17"/>
        <v>0.15358526159465372</v>
      </c>
      <c r="AG21" s="319">
        <v>1368</v>
      </c>
      <c r="AH21" s="239">
        <f t="shared" si="18"/>
        <v>9.1512974372353444E-3</v>
      </c>
      <c r="AI21" s="319">
        <v>3068</v>
      </c>
      <c r="AJ21" s="239">
        <f t="shared" si="19"/>
        <v>2.0523523784676929E-2</v>
      </c>
      <c r="AK21" s="319">
        <v>4691</v>
      </c>
      <c r="AL21" s="239">
        <f t="shared" si="20"/>
        <v>3.1380655174028514E-2</v>
      </c>
    </row>
    <row r="22" spans="2:38" s="73" customFormat="1" ht="14.25" customHeight="1">
      <c r="B22" s="530"/>
      <c r="C22" s="507"/>
      <c r="D22" s="171">
        <v>46064</v>
      </c>
      <c r="E22" s="171" t="s">
        <v>88</v>
      </c>
      <c r="F22" s="336">
        <f t="shared" si="1"/>
        <v>140252</v>
      </c>
      <c r="G22" s="523"/>
      <c r="H22" s="520"/>
      <c r="I22" s="319">
        <v>36449</v>
      </c>
      <c r="J22" s="239">
        <f t="shared" si="3"/>
        <v>0.25988221201836692</v>
      </c>
      <c r="K22" s="319">
        <v>44252</v>
      </c>
      <c r="L22" s="239">
        <f t="shared" si="4"/>
        <v>0.31551778227761457</v>
      </c>
      <c r="M22" s="319">
        <f t="shared" si="5"/>
        <v>80701</v>
      </c>
      <c r="N22" s="239">
        <f t="shared" si="6"/>
        <v>0.57539999429598154</v>
      </c>
      <c r="O22" s="319">
        <v>8257</v>
      </c>
      <c r="P22" s="239">
        <f t="shared" si="7"/>
        <v>5.8872600747226424E-2</v>
      </c>
      <c r="Q22" s="319">
        <v>5238</v>
      </c>
      <c r="R22" s="239">
        <f t="shared" si="8"/>
        <v>3.7347061004477655E-2</v>
      </c>
      <c r="S22" s="319">
        <f t="shared" si="9"/>
        <v>13495</v>
      </c>
      <c r="T22" s="239">
        <f t="shared" si="10"/>
        <v>9.6219661751704072E-2</v>
      </c>
      <c r="U22" s="319">
        <v>2568</v>
      </c>
      <c r="V22" s="239">
        <f t="shared" si="11"/>
        <v>1.830989932407381E-2</v>
      </c>
      <c r="W22" s="319">
        <v>1000</v>
      </c>
      <c r="X22" s="239">
        <f t="shared" si="12"/>
        <v>7.130023101274848E-3</v>
      </c>
      <c r="Y22" s="319">
        <v>3507</v>
      </c>
      <c r="Z22" s="239">
        <f t="shared" si="13"/>
        <v>2.5004991016170892E-2</v>
      </c>
      <c r="AA22" s="319">
        <v>9783</v>
      </c>
      <c r="AB22" s="239">
        <f t="shared" si="14"/>
        <v>6.9753015999771836E-2</v>
      </c>
      <c r="AC22" s="319">
        <f t="shared" si="15"/>
        <v>13290</v>
      </c>
      <c r="AD22" s="239">
        <f t="shared" si="16"/>
        <v>9.4758007015942738E-2</v>
      </c>
      <c r="AE22" s="319">
        <v>20009</v>
      </c>
      <c r="AF22" s="239">
        <f t="shared" si="17"/>
        <v>0.14266463223340844</v>
      </c>
      <c r="AG22" s="319">
        <v>1319</v>
      </c>
      <c r="AH22" s="239">
        <f t="shared" si="18"/>
        <v>9.4045004705815248E-3</v>
      </c>
      <c r="AI22" s="319">
        <v>3092</v>
      </c>
      <c r="AJ22" s="239">
        <f t="shared" si="19"/>
        <v>2.204603142914183E-2</v>
      </c>
      <c r="AK22" s="319">
        <v>4778</v>
      </c>
      <c r="AL22" s="239">
        <f t="shared" si="20"/>
        <v>3.4067250377891226E-2</v>
      </c>
    </row>
    <row r="23" spans="2:38" s="73" customFormat="1" ht="14.25" customHeight="1">
      <c r="B23" s="530"/>
      <c r="C23" s="507"/>
      <c r="D23" s="171">
        <v>46065</v>
      </c>
      <c r="E23" s="171" t="s">
        <v>89</v>
      </c>
      <c r="F23" s="336">
        <f t="shared" si="1"/>
        <v>123421</v>
      </c>
      <c r="G23" s="523"/>
      <c r="H23" s="520"/>
      <c r="I23" s="319">
        <v>31004</v>
      </c>
      <c r="J23" s="239">
        <f t="shared" si="3"/>
        <v>0.25120522439455201</v>
      </c>
      <c r="K23" s="319">
        <v>38985</v>
      </c>
      <c r="L23" s="239">
        <f t="shared" si="4"/>
        <v>0.31587007073350565</v>
      </c>
      <c r="M23" s="319">
        <f t="shared" si="5"/>
        <v>69989</v>
      </c>
      <c r="N23" s="239">
        <f t="shared" si="6"/>
        <v>0.56707529512805765</v>
      </c>
      <c r="O23" s="319">
        <v>7964</v>
      </c>
      <c r="P23" s="239">
        <f t="shared" si="7"/>
        <v>6.4527106408147725E-2</v>
      </c>
      <c r="Q23" s="319">
        <v>5061</v>
      </c>
      <c r="R23" s="239">
        <f t="shared" si="8"/>
        <v>4.1005987635815623E-2</v>
      </c>
      <c r="S23" s="319">
        <f t="shared" si="9"/>
        <v>13025</v>
      </c>
      <c r="T23" s="239">
        <f t="shared" si="10"/>
        <v>0.10553309404396334</v>
      </c>
      <c r="U23" s="319">
        <v>2698</v>
      </c>
      <c r="V23" s="239">
        <f t="shared" si="11"/>
        <v>2.1860137253789873E-2</v>
      </c>
      <c r="W23" s="319">
        <v>869</v>
      </c>
      <c r="X23" s="239">
        <f t="shared" si="12"/>
        <v>7.040941168844848E-3</v>
      </c>
      <c r="Y23" s="319">
        <v>3403</v>
      </c>
      <c r="Z23" s="239">
        <f t="shared" si="13"/>
        <v>2.7572293207800941E-2</v>
      </c>
      <c r="AA23" s="319">
        <v>8431</v>
      </c>
      <c r="AB23" s="239">
        <f t="shared" si="14"/>
        <v>6.8310903330875625E-2</v>
      </c>
      <c r="AC23" s="319">
        <f t="shared" si="15"/>
        <v>11834</v>
      </c>
      <c r="AD23" s="239">
        <f t="shared" si="16"/>
        <v>9.5883196538676566E-2</v>
      </c>
      <c r="AE23" s="319">
        <v>16437</v>
      </c>
      <c r="AF23" s="239">
        <f t="shared" si="17"/>
        <v>0.13317830839160272</v>
      </c>
      <c r="AG23" s="319">
        <v>1403</v>
      </c>
      <c r="AH23" s="239">
        <f t="shared" si="18"/>
        <v>1.1367595465925572E-2</v>
      </c>
      <c r="AI23" s="319">
        <v>2243</v>
      </c>
      <c r="AJ23" s="239">
        <f t="shared" si="19"/>
        <v>1.8173568517513228E-2</v>
      </c>
      <c r="AK23" s="319">
        <v>4923</v>
      </c>
      <c r="AL23" s="239">
        <f t="shared" si="20"/>
        <v>3.9887863491626221E-2</v>
      </c>
    </row>
    <row r="24" spans="2:38" s="73" customFormat="1" ht="14.25" customHeight="1">
      <c r="B24" s="530"/>
      <c r="C24" s="507"/>
      <c r="D24" s="171">
        <v>46066</v>
      </c>
      <c r="E24" s="171" t="s">
        <v>90</v>
      </c>
      <c r="F24" s="336">
        <f t="shared" si="1"/>
        <v>106028</v>
      </c>
      <c r="G24" s="523"/>
      <c r="H24" s="520"/>
      <c r="I24" s="319">
        <v>25362</v>
      </c>
      <c r="J24" s="239">
        <f t="shared" si="3"/>
        <v>0.23920096578262345</v>
      </c>
      <c r="K24" s="319">
        <v>34422</v>
      </c>
      <c r="L24" s="239">
        <f t="shared" si="4"/>
        <v>0.32465009242841514</v>
      </c>
      <c r="M24" s="319">
        <f t="shared" si="5"/>
        <v>59784</v>
      </c>
      <c r="N24" s="239">
        <f t="shared" si="6"/>
        <v>0.56385105821103865</v>
      </c>
      <c r="O24" s="319">
        <v>6445</v>
      </c>
      <c r="P24" s="239">
        <f t="shared" si="7"/>
        <v>6.0785830158071451E-2</v>
      </c>
      <c r="Q24" s="319">
        <v>3874</v>
      </c>
      <c r="R24" s="239">
        <f t="shared" si="8"/>
        <v>3.6537518391368318E-2</v>
      </c>
      <c r="S24" s="319">
        <f t="shared" si="9"/>
        <v>10319</v>
      </c>
      <c r="T24" s="239">
        <f t="shared" si="10"/>
        <v>9.7323348549439775E-2</v>
      </c>
      <c r="U24" s="319">
        <v>2091</v>
      </c>
      <c r="V24" s="239">
        <f t="shared" si="11"/>
        <v>1.9721205719243972E-2</v>
      </c>
      <c r="W24" s="319">
        <v>609</v>
      </c>
      <c r="X24" s="239">
        <f t="shared" si="12"/>
        <v>5.7437657977138113E-3</v>
      </c>
      <c r="Y24" s="319">
        <v>3310</v>
      </c>
      <c r="Z24" s="239">
        <f t="shared" si="13"/>
        <v>3.1218168785603802E-2</v>
      </c>
      <c r="AA24" s="319">
        <v>9294</v>
      </c>
      <c r="AB24" s="239">
        <f t="shared" si="14"/>
        <v>8.7656090843928017E-2</v>
      </c>
      <c r="AC24" s="319">
        <f t="shared" si="15"/>
        <v>12604</v>
      </c>
      <c r="AD24" s="239">
        <f t="shared" si="16"/>
        <v>0.11887425962953183</v>
      </c>
      <c r="AE24" s="319">
        <v>12308</v>
      </c>
      <c r="AF24" s="239">
        <f t="shared" si="17"/>
        <v>0.11608254423359868</v>
      </c>
      <c r="AG24" s="319">
        <v>1102</v>
      </c>
      <c r="AH24" s="239">
        <f t="shared" si="18"/>
        <v>1.0393480967291658E-2</v>
      </c>
      <c r="AI24" s="319">
        <v>2432</v>
      </c>
      <c r="AJ24" s="239">
        <f t="shared" si="19"/>
        <v>2.293733730712642E-2</v>
      </c>
      <c r="AK24" s="319">
        <v>4779</v>
      </c>
      <c r="AL24" s="239">
        <f t="shared" si="20"/>
        <v>4.5072999585015282E-2</v>
      </c>
    </row>
    <row r="25" spans="2:38" s="73" customFormat="1" ht="14.25" customHeight="1">
      <c r="B25" s="530"/>
      <c r="C25" s="507"/>
      <c r="D25" s="171">
        <v>46067</v>
      </c>
      <c r="E25" s="171" t="s">
        <v>91</v>
      </c>
      <c r="F25" s="336">
        <f t="shared" si="1"/>
        <v>104504</v>
      </c>
      <c r="G25" s="523"/>
      <c r="H25" s="520"/>
      <c r="I25" s="319">
        <v>23845</v>
      </c>
      <c r="J25" s="239">
        <f t="shared" si="3"/>
        <v>0.22817308428385516</v>
      </c>
      <c r="K25" s="319">
        <v>33329</v>
      </c>
      <c r="L25" s="239">
        <f t="shared" si="4"/>
        <v>0.31892559136492382</v>
      </c>
      <c r="M25" s="319">
        <f t="shared" si="5"/>
        <v>57174</v>
      </c>
      <c r="N25" s="239">
        <f t="shared" si="6"/>
        <v>0.54709867564877901</v>
      </c>
      <c r="O25" s="319">
        <v>6058</v>
      </c>
      <c r="P25" s="239">
        <f t="shared" si="7"/>
        <v>5.7969072954145294E-2</v>
      </c>
      <c r="Q25" s="319">
        <v>3812</v>
      </c>
      <c r="R25" s="239">
        <f t="shared" si="8"/>
        <v>3.6477072647936919E-2</v>
      </c>
      <c r="S25" s="319">
        <f t="shared" si="9"/>
        <v>9870</v>
      </c>
      <c r="T25" s="239">
        <f t="shared" si="10"/>
        <v>9.4446145602082213E-2</v>
      </c>
      <c r="U25" s="319">
        <v>2190</v>
      </c>
      <c r="V25" s="239">
        <f t="shared" si="11"/>
        <v>2.0956135650310036E-2</v>
      </c>
      <c r="W25" s="319">
        <v>793</v>
      </c>
      <c r="X25" s="239">
        <f t="shared" si="12"/>
        <v>7.5882262879889764E-3</v>
      </c>
      <c r="Y25" s="319">
        <v>3557</v>
      </c>
      <c r="Z25" s="239">
        <f t="shared" si="13"/>
        <v>3.4036974661256984E-2</v>
      </c>
      <c r="AA25" s="319">
        <v>9573</v>
      </c>
      <c r="AB25" s="239">
        <f t="shared" si="14"/>
        <v>9.1604149123478529E-2</v>
      </c>
      <c r="AC25" s="319">
        <f t="shared" si="15"/>
        <v>13130</v>
      </c>
      <c r="AD25" s="239">
        <f t="shared" si="16"/>
        <v>0.12564112378473552</v>
      </c>
      <c r="AE25" s="319">
        <v>13711</v>
      </c>
      <c r="AF25" s="239">
        <f t="shared" si="17"/>
        <v>0.13120071958968077</v>
      </c>
      <c r="AG25" s="319">
        <v>0</v>
      </c>
      <c r="AH25" s="239">
        <f t="shared" si="18"/>
        <v>0</v>
      </c>
      <c r="AI25" s="319">
        <v>2993</v>
      </c>
      <c r="AJ25" s="239">
        <f t="shared" si="19"/>
        <v>2.8640052055423717E-2</v>
      </c>
      <c r="AK25" s="319">
        <v>4643</v>
      </c>
      <c r="AL25" s="239">
        <f t="shared" si="20"/>
        <v>4.442892138099977E-2</v>
      </c>
    </row>
    <row r="26" spans="2:38" s="73" customFormat="1" ht="14.25" customHeight="1">
      <c r="B26" s="530"/>
      <c r="C26" s="507"/>
      <c r="D26" s="171">
        <v>46068</v>
      </c>
      <c r="E26" s="171" t="s">
        <v>84</v>
      </c>
      <c r="F26" s="336">
        <f t="shared" si="1"/>
        <v>107334</v>
      </c>
      <c r="G26" s="523"/>
      <c r="H26" s="520"/>
      <c r="I26" s="319">
        <v>24138</v>
      </c>
      <c r="J26" s="239">
        <f t="shared" si="3"/>
        <v>0.22488680194532953</v>
      </c>
      <c r="K26" s="319">
        <v>35534</v>
      </c>
      <c r="L26" s="239">
        <f t="shared" si="4"/>
        <v>0.33106005552760542</v>
      </c>
      <c r="M26" s="319">
        <f t="shared" si="5"/>
        <v>59672</v>
      </c>
      <c r="N26" s="239">
        <f t="shared" si="6"/>
        <v>0.55594685747293493</v>
      </c>
      <c r="O26" s="319">
        <v>6058</v>
      </c>
      <c r="P26" s="239">
        <f t="shared" si="7"/>
        <v>5.6440643225818474E-2</v>
      </c>
      <c r="Q26" s="319">
        <v>3992</v>
      </c>
      <c r="R26" s="239">
        <f t="shared" si="8"/>
        <v>3.7192315575679653E-2</v>
      </c>
      <c r="S26" s="319">
        <f t="shared" si="9"/>
        <v>10050</v>
      </c>
      <c r="T26" s="239">
        <f t="shared" si="10"/>
        <v>9.3632958801498134E-2</v>
      </c>
      <c r="U26" s="319">
        <v>2436</v>
      </c>
      <c r="V26" s="239">
        <f t="shared" si="11"/>
        <v>2.269551120800492E-2</v>
      </c>
      <c r="W26" s="319">
        <v>666</v>
      </c>
      <c r="X26" s="239">
        <f t="shared" si="12"/>
        <v>6.2049304041589806E-3</v>
      </c>
      <c r="Y26" s="319">
        <v>3639</v>
      </c>
      <c r="Z26" s="239">
        <f t="shared" si="13"/>
        <v>3.3903516127229021E-2</v>
      </c>
      <c r="AA26" s="319">
        <v>9536</v>
      </c>
      <c r="AB26" s="239">
        <f t="shared" si="14"/>
        <v>8.8844168669759818E-2</v>
      </c>
      <c r="AC26" s="319">
        <f t="shared" si="15"/>
        <v>13175</v>
      </c>
      <c r="AD26" s="239">
        <f t="shared" si="16"/>
        <v>0.12274768479698883</v>
      </c>
      <c r="AE26" s="319">
        <v>14890</v>
      </c>
      <c r="AF26" s="239">
        <f t="shared" si="17"/>
        <v>0.13872584642331415</v>
      </c>
      <c r="AG26" s="319">
        <v>0</v>
      </c>
      <c r="AH26" s="239">
        <f t="shared" si="18"/>
        <v>0</v>
      </c>
      <c r="AI26" s="319">
        <v>2518</v>
      </c>
      <c r="AJ26" s="239">
        <f t="shared" si="19"/>
        <v>2.3459481618126596E-2</v>
      </c>
      <c r="AK26" s="319">
        <v>3927</v>
      </c>
      <c r="AL26" s="239">
        <f t="shared" si="20"/>
        <v>3.6586729274973445E-2</v>
      </c>
    </row>
    <row r="27" spans="2:38" s="73" customFormat="1" ht="14.25" customHeight="1">
      <c r="B27" s="530"/>
      <c r="C27" s="507"/>
      <c r="D27" s="171">
        <v>46069</v>
      </c>
      <c r="E27" s="171" t="s">
        <v>92</v>
      </c>
      <c r="F27" s="336">
        <f t="shared" si="1"/>
        <v>109358</v>
      </c>
      <c r="G27" s="523"/>
      <c r="H27" s="520"/>
      <c r="I27" s="319">
        <v>25649</v>
      </c>
      <c r="J27" s="239">
        <f t="shared" si="3"/>
        <v>0.23454159732255528</v>
      </c>
      <c r="K27" s="319">
        <v>37097</v>
      </c>
      <c r="L27" s="239">
        <f t="shared" si="4"/>
        <v>0.33922529673183488</v>
      </c>
      <c r="M27" s="319">
        <f t="shared" si="5"/>
        <v>62746</v>
      </c>
      <c r="N27" s="239">
        <f t="shared" si="6"/>
        <v>0.57376689405439019</v>
      </c>
      <c r="O27" s="319">
        <v>6581</v>
      </c>
      <c r="P27" s="239">
        <f t="shared" si="7"/>
        <v>6.0178496314855792E-2</v>
      </c>
      <c r="Q27" s="319">
        <v>4416</v>
      </c>
      <c r="R27" s="239">
        <f t="shared" si="8"/>
        <v>4.038113352475356E-2</v>
      </c>
      <c r="S27" s="319">
        <f t="shared" si="9"/>
        <v>10997</v>
      </c>
      <c r="T27" s="239">
        <f t="shared" si="10"/>
        <v>0.10055962983960935</v>
      </c>
      <c r="U27" s="319">
        <v>2332</v>
      </c>
      <c r="V27" s="239">
        <f t="shared" si="11"/>
        <v>2.1324457287075476E-2</v>
      </c>
      <c r="W27" s="319">
        <v>681</v>
      </c>
      <c r="X27" s="239">
        <f t="shared" si="12"/>
        <v>6.2272536074178386E-3</v>
      </c>
      <c r="Y27" s="319">
        <v>3581</v>
      </c>
      <c r="Z27" s="239">
        <f t="shared" si="13"/>
        <v>3.2745661039887346E-2</v>
      </c>
      <c r="AA27" s="319">
        <v>9491</v>
      </c>
      <c r="AB27" s="239">
        <f t="shared" si="14"/>
        <v>8.6788346531575189E-2</v>
      </c>
      <c r="AC27" s="319">
        <f t="shared" si="15"/>
        <v>13072</v>
      </c>
      <c r="AD27" s="239">
        <f t="shared" si="16"/>
        <v>0.11953400757146254</v>
      </c>
      <c r="AE27" s="319">
        <v>12815</v>
      </c>
      <c r="AF27" s="239">
        <f t="shared" si="17"/>
        <v>0.11718392801624024</v>
      </c>
      <c r="AG27" s="319">
        <v>0</v>
      </c>
      <c r="AH27" s="239">
        <f t="shared" si="18"/>
        <v>0</v>
      </c>
      <c r="AI27" s="319">
        <v>2562</v>
      </c>
      <c r="AJ27" s="239">
        <f t="shared" si="19"/>
        <v>2.342764132482306E-2</v>
      </c>
      <c r="AK27" s="319">
        <v>4153</v>
      </c>
      <c r="AL27" s="239">
        <f t="shared" si="20"/>
        <v>3.7976188298981327E-2</v>
      </c>
    </row>
    <row r="28" spans="2:38" s="73" customFormat="1" ht="14.25" customHeight="1">
      <c r="B28" s="529">
        <f t="shared" ref="B28" si="25">D36</f>
        <v>46078</v>
      </c>
      <c r="C28" s="507"/>
      <c r="D28" s="171">
        <v>46070</v>
      </c>
      <c r="E28" s="171" t="s">
        <v>87</v>
      </c>
      <c r="F28" s="336">
        <f t="shared" si="1"/>
        <v>116010</v>
      </c>
      <c r="G28" s="523">
        <f t="shared" ref="G28" si="26">SUM(F28:F34)</f>
        <v>906470</v>
      </c>
      <c r="H28" s="520"/>
      <c r="I28" s="319">
        <v>26849</v>
      </c>
      <c r="J28" s="239">
        <f t="shared" si="3"/>
        <v>0.23143694509094043</v>
      </c>
      <c r="K28" s="319">
        <v>38511</v>
      </c>
      <c r="L28" s="239">
        <f t="shared" si="4"/>
        <v>0.33196276183087664</v>
      </c>
      <c r="M28" s="319">
        <f t="shared" si="5"/>
        <v>65360</v>
      </c>
      <c r="N28" s="239">
        <f t="shared" si="6"/>
        <v>0.56339970692181707</v>
      </c>
      <c r="O28" s="319">
        <v>7394</v>
      </c>
      <c r="P28" s="239">
        <f t="shared" si="7"/>
        <v>6.3735884837514009E-2</v>
      </c>
      <c r="Q28" s="319">
        <v>4959</v>
      </c>
      <c r="R28" s="239">
        <f t="shared" si="8"/>
        <v>4.2746314972847171E-2</v>
      </c>
      <c r="S28" s="319">
        <f t="shared" si="9"/>
        <v>12353</v>
      </c>
      <c r="T28" s="239">
        <f t="shared" si="10"/>
        <v>0.10648219981036118</v>
      </c>
      <c r="U28" s="319">
        <v>2420</v>
      </c>
      <c r="V28" s="239">
        <f t="shared" si="11"/>
        <v>2.0860270666321869E-2</v>
      </c>
      <c r="W28" s="319">
        <v>726</v>
      </c>
      <c r="X28" s="239">
        <f t="shared" si="12"/>
        <v>6.2580811998965606E-3</v>
      </c>
      <c r="Y28" s="319">
        <v>3711</v>
      </c>
      <c r="Z28" s="239">
        <f t="shared" si="13"/>
        <v>3.1988621670545642E-2</v>
      </c>
      <c r="AA28" s="319">
        <v>10135</v>
      </c>
      <c r="AB28" s="239">
        <f t="shared" si="14"/>
        <v>8.7363158348418235E-2</v>
      </c>
      <c r="AC28" s="319">
        <f t="shared" si="15"/>
        <v>13846</v>
      </c>
      <c r="AD28" s="239">
        <f t="shared" si="16"/>
        <v>0.11935178001896388</v>
      </c>
      <c r="AE28" s="319">
        <v>14698</v>
      </c>
      <c r="AF28" s="239">
        <f t="shared" si="17"/>
        <v>0.1266959744849582</v>
      </c>
      <c r="AG28" s="319">
        <v>0</v>
      </c>
      <c r="AH28" s="239">
        <f t="shared" si="18"/>
        <v>0</v>
      </c>
      <c r="AI28" s="319">
        <v>2599</v>
      </c>
      <c r="AJ28" s="239">
        <f t="shared" si="19"/>
        <v>2.2403241099905182E-2</v>
      </c>
      <c r="AK28" s="319">
        <v>4008</v>
      </c>
      <c r="AL28" s="239">
        <f t="shared" si="20"/>
        <v>3.4548745797776052E-2</v>
      </c>
    </row>
    <row r="29" spans="2:38" s="73" customFormat="1" ht="14.25" customHeight="1">
      <c r="B29" s="530"/>
      <c r="C29" s="507"/>
      <c r="D29" s="171">
        <v>46071</v>
      </c>
      <c r="E29" s="171" t="s">
        <v>88</v>
      </c>
      <c r="F29" s="336">
        <f t="shared" si="1"/>
        <v>113544</v>
      </c>
      <c r="G29" s="523"/>
      <c r="H29" s="520"/>
      <c r="I29" s="319">
        <v>27165</v>
      </c>
      <c r="J29" s="239">
        <f t="shared" si="3"/>
        <v>0.23924645952229973</v>
      </c>
      <c r="K29" s="319">
        <v>38174</v>
      </c>
      <c r="L29" s="239">
        <f t="shared" si="4"/>
        <v>0.33620446699077011</v>
      </c>
      <c r="M29" s="319">
        <f t="shared" si="5"/>
        <v>65339</v>
      </c>
      <c r="N29" s="239">
        <f t="shared" si="6"/>
        <v>0.57545092651306984</v>
      </c>
      <c r="O29" s="319">
        <v>7284</v>
      </c>
      <c r="P29" s="239">
        <f t="shared" si="7"/>
        <v>6.4151342210949064E-2</v>
      </c>
      <c r="Q29" s="319">
        <v>4900</v>
      </c>
      <c r="R29" s="239">
        <f t="shared" si="8"/>
        <v>4.3155076446135421E-2</v>
      </c>
      <c r="S29" s="319">
        <f t="shared" si="9"/>
        <v>12184</v>
      </c>
      <c r="T29" s="239">
        <f t="shared" si="10"/>
        <v>0.10730641865708448</v>
      </c>
      <c r="U29" s="319">
        <v>2359</v>
      </c>
      <c r="V29" s="239">
        <f t="shared" si="11"/>
        <v>2.0776086803353765E-2</v>
      </c>
      <c r="W29" s="319">
        <v>699</v>
      </c>
      <c r="X29" s="239">
        <f t="shared" si="12"/>
        <v>6.1562037624180938E-3</v>
      </c>
      <c r="Y29" s="319">
        <v>3720</v>
      </c>
      <c r="Z29" s="239">
        <f t="shared" si="13"/>
        <v>3.2762629465229336E-2</v>
      </c>
      <c r="AA29" s="319">
        <v>9555</v>
      </c>
      <c r="AB29" s="239">
        <f t="shared" si="14"/>
        <v>8.4152399069964065E-2</v>
      </c>
      <c r="AC29" s="319">
        <f t="shared" si="15"/>
        <v>13275</v>
      </c>
      <c r="AD29" s="239">
        <f t="shared" si="16"/>
        <v>0.11691502853519341</v>
      </c>
      <c r="AE29" s="319">
        <v>13250</v>
      </c>
      <c r="AF29" s="239">
        <f t="shared" si="17"/>
        <v>0.11669484957373354</v>
      </c>
      <c r="AG29" s="319">
        <v>0</v>
      </c>
      <c r="AH29" s="239">
        <f t="shared" si="18"/>
        <v>0</v>
      </c>
      <c r="AI29" s="319">
        <v>2500</v>
      </c>
      <c r="AJ29" s="239">
        <f t="shared" si="19"/>
        <v>2.201789614598746E-2</v>
      </c>
      <c r="AK29" s="319">
        <v>3938</v>
      </c>
      <c r="AL29" s="239">
        <f t="shared" si="20"/>
        <v>3.4682590009159443E-2</v>
      </c>
    </row>
    <row r="30" spans="2:38" s="73" customFormat="1" ht="14.25" customHeight="1">
      <c r="B30" s="530"/>
      <c r="C30" s="507"/>
      <c r="D30" s="171">
        <v>46072</v>
      </c>
      <c r="E30" s="171" t="s">
        <v>89</v>
      </c>
      <c r="F30" s="336">
        <f t="shared" si="1"/>
        <v>111594</v>
      </c>
      <c r="G30" s="523"/>
      <c r="H30" s="520"/>
      <c r="I30" s="319">
        <v>26644</v>
      </c>
      <c r="J30" s="239">
        <f t="shared" si="3"/>
        <v>0.23875835618402422</v>
      </c>
      <c r="K30" s="319">
        <v>36866</v>
      </c>
      <c r="L30" s="239">
        <f t="shared" si="4"/>
        <v>0.33035826298904958</v>
      </c>
      <c r="M30" s="319">
        <f t="shared" si="5"/>
        <v>63510</v>
      </c>
      <c r="N30" s="239">
        <f t="shared" si="6"/>
        <v>0.56911661917307377</v>
      </c>
      <c r="O30" s="319">
        <v>7017</v>
      </c>
      <c r="P30" s="239">
        <f t="shared" si="7"/>
        <v>6.2879724716382604E-2</v>
      </c>
      <c r="Q30" s="319">
        <v>4882</v>
      </c>
      <c r="R30" s="239">
        <f t="shared" si="8"/>
        <v>4.3747871749377207E-2</v>
      </c>
      <c r="S30" s="319">
        <f t="shared" si="9"/>
        <v>11899</v>
      </c>
      <c r="T30" s="239">
        <f t="shared" si="10"/>
        <v>0.10662759646575981</v>
      </c>
      <c r="U30" s="319">
        <v>2438</v>
      </c>
      <c r="V30" s="239">
        <f t="shared" si="11"/>
        <v>2.1847052708927003E-2</v>
      </c>
      <c r="W30" s="319">
        <v>710</v>
      </c>
      <c r="X30" s="239">
        <f t="shared" si="12"/>
        <v>6.3623492302453538E-3</v>
      </c>
      <c r="Y30" s="319">
        <v>3758</v>
      </c>
      <c r="Z30" s="239">
        <f t="shared" si="13"/>
        <v>3.3675645644031041E-2</v>
      </c>
      <c r="AA30" s="319">
        <v>8674</v>
      </c>
      <c r="AB30" s="239">
        <f t="shared" si="14"/>
        <v>7.7728193272039711E-2</v>
      </c>
      <c r="AC30" s="319">
        <f t="shared" si="15"/>
        <v>12432</v>
      </c>
      <c r="AD30" s="239">
        <f t="shared" si="16"/>
        <v>0.11140383891607075</v>
      </c>
      <c r="AE30" s="319">
        <v>13785</v>
      </c>
      <c r="AF30" s="239">
        <f t="shared" si="17"/>
        <v>0.12352814667455239</v>
      </c>
      <c r="AG30" s="319">
        <v>0</v>
      </c>
      <c r="AH30" s="239">
        <f t="shared" si="18"/>
        <v>0</v>
      </c>
      <c r="AI30" s="319">
        <v>2582</v>
      </c>
      <c r="AJ30" s="239">
        <f t="shared" si="19"/>
        <v>2.3137444665483807E-2</v>
      </c>
      <c r="AK30" s="319">
        <v>4238</v>
      </c>
      <c r="AL30" s="239">
        <f t="shared" si="20"/>
        <v>3.7976952165887055E-2</v>
      </c>
    </row>
    <row r="31" spans="2:38" s="73" customFormat="1" ht="14.25" customHeight="1">
      <c r="B31" s="530"/>
      <c r="C31" s="507"/>
      <c r="D31" s="171">
        <v>46073</v>
      </c>
      <c r="E31" s="171" t="s">
        <v>90</v>
      </c>
      <c r="F31" s="336">
        <f t="shared" si="1"/>
        <v>108182</v>
      </c>
      <c r="G31" s="523"/>
      <c r="H31" s="520"/>
      <c r="I31" s="319">
        <v>24669</v>
      </c>
      <c r="J31" s="239">
        <f t="shared" si="3"/>
        <v>0.22803238986152966</v>
      </c>
      <c r="K31" s="319">
        <v>35518</v>
      </c>
      <c r="L31" s="239">
        <f t="shared" si="4"/>
        <v>0.32831709526538611</v>
      </c>
      <c r="M31" s="319">
        <f t="shared" si="5"/>
        <v>60187</v>
      </c>
      <c r="N31" s="239">
        <f t="shared" si="6"/>
        <v>0.55634948512691573</v>
      </c>
      <c r="O31" s="319">
        <v>6110</v>
      </c>
      <c r="P31" s="239">
        <f t="shared" si="7"/>
        <v>5.6478896674123237E-2</v>
      </c>
      <c r="Q31" s="319">
        <v>4310</v>
      </c>
      <c r="R31" s="239">
        <f t="shared" si="8"/>
        <v>3.9840269176018191E-2</v>
      </c>
      <c r="S31" s="319">
        <f t="shared" si="9"/>
        <v>10420</v>
      </c>
      <c r="T31" s="239">
        <f t="shared" si="10"/>
        <v>9.6319165850141428E-2</v>
      </c>
      <c r="U31" s="319">
        <v>2254</v>
      </c>
      <c r="V31" s="239">
        <f t="shared" si="11"/>
        <v>2.0835259100404874E-2</v>
      </c>
      <c r="W31" s="319">
        <v>625</v>
      </c>
      <c r="X31" s="239">
        <f t="shared" si="12"/>
        <v>5.7773012146198075E-3</v>
      </c>
      <c r="Y31" s="319">
        <v>3787</v>
      </c>
      <c r="Z31" s="239">
        <f t="shared" si="13"/>
        <v>3.5005823519624335E-2</v>
      </c>
      <c r="AA31" s="319">
        <v>9927</v>
      </c>
      <c r="AB31" s="239">
        <f t="shared" si="14"/>
        <v>9.1762030652049326E-2</v>
      </c>
      <c r="AC31" s="319">
        <f t="shared" si="15"/>
        <v>13714</v>
      </c>
      <c r="AD31" s="239">
        <f t="shared" si="16"/>
        <v>0.12676785417167366</v>
      </c>
      <c r="AE31" s="319">
        <v>14402</v>
      </c>
      <c r="AF31" s="239">
        <f t="shared" si="17"/>
        <v>0.13312750734872714</v>
      </c>
      <c r="AG31" s="319">
        <v>0</v>
      </c>
      <c r="AH31" s="239">
        <f t="shared" si="18"/>
        <v>0</v>
      </c>
      <c r="AI31" s="319">
        <v>2398</v>
      </c>
      <c r="AJ31" s="239">
        <f t="shared" si="19"/>
        <v>2.2166349300253275E-2</v>
      </c>
      <c r="AK31" s="319">
        <v>4182</v>
      </c>
      <c r="AL31" s="239">
        <f t="shared" si="20"/>
        <v>3.8657077887264052E-2</v>
      </c>
    </row>
    <row r="32" spans="2:38" s="73" customFormat="1" ht="14.25" customHeight="1">
      <c r="B32" s="530"/>
      <c r="C32" s="507"/>
      <c r="D32" s="171">
        <v>46074</v>
      </c>
      <c r="E32" s="171" t="s">
        <v>91</v>
      </c>
      <c r="F32" s="336">
        <f t="shared" si="1"/>
        <v>126225</v>
      </c>
      <c r="G32" s="523"/>
      <c r="H32" s="520"/>
      <c r="I32" s="319">
        <v>25542</v>
      </c>
      <c r="J32" s="239">
        <f t="shared" si="3"/>
        <v>0.2023529411764706</v>
      </c>
      <c r="K32" s="319">
        <v>45849</v>
      </c>
      <c r="L32" s="239">
        <f t="shared" si="4"/>
        <v>0.36323232323232324</v>
      </c>
      <c r="M32" s="319">
        <f t="shared" si="5"/>
        <v>71391</v>
      </c>
      <c r="N32" s="239">
        <f t="shared" si="6"/>
        <v>0.56558526440879386</v>
      </c>
      <c r="O32" s="319">
        <v>6314</v>
      </c>
      <c r="P32" s="239">
        <f t="shared" si="7"/>
        <v>5.002178649237473E-2</v>
      </c>
      <c r="Q32" s="319">
        <v>4753</v>
      </c>
      <c r="R32" s="239">
        <f t="shared" si="8"/>
        <v>3.7654981184392949E-2</v>
      </c>
      <c r="S32" s="319">
        <f t="shared" si="9"/>
        <v>11067</v>
      </c>
      <c r="T32" s="239">
        <f t="shared" si="10"/>
        <v>8.7676767676767672E-2</v>
      </c>
      <c r="U32" s="319">
        <v>2356</v>
      </c>
      <c r="V32" s="239">
        <f t="shared" si="11"/>
        <v>1.8665082194493959E-2</v>
      </c>
      <c r="W32" s="319">
        <v>863</v>
      </c>
      <c r="X32" s="239">
        <f t="shared" si="12"/>
        <v>6.8369974252327197E-3</v>
      </c>
      <c r="Y32" s="319">
        <v>4085</v>
      </c>
      <c r="Z32" s="239">
        <f t="shared" si="13"/>
        <v>3.2362844127550007E-2</v>
      </c>
      <c r="AA32" s="319">
        <v>11640</v>
      </c>
      <c r="AB32" s="239">
        <f t="shared" si="14"/>
        <v>9.2216280451574567E-2</v>
      </c>
      <c r="AC32" s="319">
        <f t="shared" si="15"/>
        <v>15725</v>
      </c>
      <c r="AD32" s="239">
        <f t="shared" si="16"/>
        <v>0.12457912457912458</v>
      </c>
      <c r="AE32" s="319">
        <v>17069</v>
      </c>
      <c r="AF32" s="239">
        <f t="shared" si="17"/>
        <v>0.13522677757971877</v>
      </c>
      <c r="AG32" s="319">
        <v>0</v>
      </c>
      <c r="AH32" s="239">
        <f t="shared" si="18"/>
        <v>0</v>
      </c>
      <c r="AI32" s="319">
        <v>2928</v>
      </c>
      <c r="AJ32" s="239">
        <f t="shared" si="19"/>
        <v>2.3196672608437316E-2</v>
      </c>
      <c r="AK32" s="319">
        <v>4826</v>
      </c>
      <c r="AL32" s="239">
        <f t="shared" si="20"/>
        <v>3.8233313527431173E-2</v>
      </c>
    </row>
    <row r="33" spans="2:38" s="73" customFormat="1" ht="14.25" customHeight="1">
      <c r="B33" s="530"/>
      <c r="C33" s="507"/>
      <c r="D33" s="171">
        <v>46075</v>
      </c>
      <c r="E33" s="171" t="s">
        <v>84</v>
      </c>
      <c r="F33" s="336">
        <f t="shared" si="1"/>
        <v>167195</v>
      </c>
      <c r="G33" s="523"/>
      <c r="H33" s="520"/>
      <c r="I33" s="319">
        <v>42156</v>
      </c>
      <c r="J33" s="239">
        <f t="shared" si="3"/>
        <v>0.25213672657675168</v>
      </c>
      <c r="K33" s="319">
        <v>54889</v>
      </c>
      <c r="L33" s="239">
        <f t="shared" si="4"/>
        <v>0.32829331020664493</v>
      </c>
      <c r="M33" s="319">
        <f t="shared" si="5"/>
        <v>97045</v>
      </c>
      <c r="N33" s="239">
        <f t="shared" si="6"/>
        <v>0.58043003678339666</v>
      </c>
      <c r="O33" s="319">
        <v>9473</v>
      </c>
      <c r="P33" s="239">
        <f t="shared" si="7"/>
        <v>5.6658392894524359E-2</v>
      </c>
      <c r="Q33" s="319">
        <v>6380</v>
      </c>
      <c r="R33" s="239">
        <f t="shared" si="8"/>
        <v>3.815903585633542E-2</v>
      </c>
      <c r="S33" s="319">
        <f t="shared" si="9"/>
        <v>15853</v>
      </c>
      <c r="T33" s="239">
        <f t="shared" si="10"/>
        <v>9.4817428750859772E-2</v>
      </c>
      <c r="U33" s="319">
        <v>2811</v>
      </c>
      <c r="V33" s="239">
        <f t="shared" si="11"/>
        <v>1.6812703729178504E-2</v>
      </c>
      <c r="W33" s="319">
        <v>890</v>
      </c>
      <c r="X33" s="239">
        <f t="shared" si="12"/>
        <v>5.3231256915577622E-3</v>
      </c>
      <c r="Y33" s="319">
        <v>4361</v>
      </c>
      <c r="Z33" s="239">
        <f t="shared" si="13"/>
        <v>2.6083315888633034E-2</v>
      </c>
      <c r="AA33" s="319">
        <v>12976</v>
      </c>
      <c r="AB33" s="239">
        <f t="shared" si="14"/>
        <v>7.7609976374891587E-2</v>
      </c>
      <c r="AC33" s="319">
        <f t="shared" si="15"/>
        <v>17337</v>
      </c>
      <c r="AD33" s="239">
        <f t="shared" si="16"/>
        <v>0.10369329226352463</v>
      </c>
      <c r="AE33" s="319">
        <v>25746</v>
      </c>
      <c r="AF33" s="239">
        <f t="shared" si="17"/>
        <v>0.15398785848859117</v>
      </c>
      <c r="AG33" s="319">
        <v>0</v>
      </c>
      <c r="AH33" s="239">
        <f t="shared" si="18"/>
        <v>0</v>
      </c>
      <c r="AI33" s="319">
        <v>2618</v>
      </c>
      <c r="AJ33" s="239">
        <f t="shared" si="19"/>
        <v>1.5658362989323844E-2</v>
      </c>
      <c r="AK33" s="319">
        <v>4895</v>
      </c>
      <c r="AL33" s="239">
        <f t="shared" si="20"/>
        <v>2.9277191303567689E-2</v>
      </c>
    </row>
    <row r="34" spans="2:38" s="73" customFormat="1" ht="14.25" customHeight="1">
      <c r="B34" s="530"/>
      <c r="C34" s="507"/>
      <c r="D34" s="171">
        <v>46076</v>
      </c>
      <c r="E34" s="171" t="s">
        <v>92</v>
      </c>
      <c r="F34" s="336">
        <f t="shared" si="1"/>
        <v>163720</v>
      </c>
      <c r="G34" s="523"/>
      <c r="H34" s="520"/>
      <c r="I34" s="319">
        <v>41342</v>
      </c>
      <c r="J34" s="239">
        <f t="shared" si="3"/>
        <v>0.25251649157097483</v>
      </c>
      <c r="K34" s="319">
        <v>54226</v>
      </c>
      <c r="L34" s="239">
        <f t="shared" si="4"/>
        <v>0.33121182506718788</v>
      </c>
      <c r="M34" s="319">
        <f t="shared" si="5"/>
        <v>95568</v>
      </c>
      <c r="N34" s="239">
        <f t="shared" si="6"/>
        <v>0.58372831663816271</v>
      </c>
      <c r="O34" s="319">
        <v>9264</v>
      </c>
      <c r="P34" s="239">
        <f t="shared" si="7"/>
        <v>5.6584412411434158E-2</v>
      </c>
      <c r="Q34" s="319">
        <v>6484</v>
      </c>
      <c r="R34" s="239">
        <f t="shared" si="8"/>
        <v>3.9604202296603955E-2</v>
      </c>
      <c r="S34" s="319">
        <f t="shared" si="9"/>
        <v>15748</v>
      </c>
      <c r="T34" s="239">
        <f t="shared" si="10"/>
        <v>9.618861470803812E-2</v>
      </c>
      <c r="U34" s="319">
        <v>2563</v>
      </c>
      <c r="V34" s="239">
        <f t="shared" si="11"/>
        <v>1.5654776447593451E-2</v>
      </c>
      <c r="W34" s="319">
        <v>953</v>
      </c>
      <c r="X34" s="239">
        <f t="shared" si="12"/>
        <v>5.8209137551917907E-3</v>
      </c>
      <c r="Y34" s="319">
        <v>4974</v>
      </c>
      <c r="Z34" s="239">
        <f t="shared" si="13"/>
        <v>3.0381138529196189E-2</v>
      </c>
      <c r="AA34" s="319">
        <v>12465</v>
      </c>
      <c r="AB34" s="239">
        <f t="shared" si="14"/>
        <v>7.6136086000488643E-2</v>
      </c>
      <c r="AC34" s="319">
        <f t="shared" si="15"/>
        <v>17439</v>
      </c>
      <c r="AD34" s="239">
        <f t="shared" si="16"/>
        <v>0.10651722452968483</v>
      </c>
      <c r="AE34" s="319">
        <v>23519</v>
      </c>
      <c r="AF34" s="239">
        <f t="shared" si="17"/>
        <v>0.14365379916931345</v>
      </c>
      <c r="AG34" s="319">
        <v>0</v>
      </c>
      <c r="AH34" s="239">
        <f t="shared" si="18"/>
        <v>0</v>
      </c>
      <c r="AI34" s="319">
        <v>2700</v>
      </c>
      <c r="AJ34" s="239">
        <f t="shared" si="19"/>
        <v>1.6491570974835085E-2</v>
      </c>
      <c r="AK34" s="319">
        <v>5230</v>
      </c>
      <c r="AL34" s="239">
        <f t="shared" si="20"/>
        <v>3.1944783777180553E-2</v>
      </c>
    </row>
    <row r="35" spans="2:38" s="73" customFormat="1" ht="14.25" customHeight="1">
      <c r="B35" s="529">
        <f t="shared" ref="B35" si="27">D43</f>
        <v>46085</v>
      </c>
      <c r="C35" s="507"/>
      <c r="D35" s="171">
        <v>46077</v>
      </c>
      <c r="E35" s="171" t="s">
        <v>87</v>
      </c>
      <c r="F35" s="336">
        <f t="shared" si="1"/>
        <v>175154</v>
      </c>
      <c r="G35" s="523">
        <f t="shared" ref="G35" si="28">SUM(F35:F41)</f>
        <v>1076054</v>
      </c>
      <c r="H35" s="520"/>
      <c r="I35" s="319">
        <v>41576</v>
      </c>
      <c r="J35" s="239">
        <f t="shared" si="3"/>
        <v>0.23736825878940818</v>
      </c>
      <c r="K35" s="319">
        <v>53591</v>
      </c>
      <c r="L35" s="239">
        <f t="shared" si="4"/>
        <v>0.30596503648218137</v>
      </c>
      <c r="M35" s="319">
        <f t="shared" si="5"/>
        <v>95167</v>
      </c>
      <c r="N35" s="239">
        <f t="shared" si="6"/>
        <v>0.54333329527158958</v>
      </c>
      <c r="O35" s="319">
        <v>8958</v>
      </c>
      <c r="P35" s="239">
        <f t="shared" si="7"/>
        <v>5.1143565091291095E-2</v>
      </c>
      <c r="Q35" s="319">
        <v>6240</v>
      </c>
      <c r="R35" s="239">
        <f t="shared" si="8"/>
        <v>3.5625792160042018E-2</v>
      </c>
      <c r="S35" s="319">
        <f t="shared" si="9"/>
        <v>15198</v>
      </c>
      <c r="T35" s="239">
        <f t="shared" si="10"/>
        <v>8.6769357251333112E-2</v>
      </c>
      <c r="U35" s="319">
        <v>7835</v>
      </c>
      <c r="V35" s="239">
        <f t="shared" si="11"/>
        <v>4.4732064354796354E-2</v>
      </c>
      <c r="W35" s="319">
        <v>9313</v>
      </c>
      <c r="X35" s="239">
        <f t="shared" si="12"/>
        <v>5.3170352946549891E-2</v>
      </c>
      <c r="Y35" s="319">
        <v>4616</v>
      </c>
      <c r="Z35" s="239">
        <f t="shared" si="13"/>
        <v>2.635395137992852E-2</v>
      </c>
      <c r="AA35" s="319">
        <v>11354</v>
      </c>
      <c r="AB35" s="239">
        <f t="shared" si="14"/>
        <v>6.4822955798896964E-2</v>
      </c>
      <c r="AC35" s="319">
        <f t="shared" si="15"/>
        <v>15970</v>
      </c>
      <c r="AD35" s="239">
        <f t="shared" si="16"/>
        <v>9.1176907178825498E-2</v>
      </c>
      <c r="AE35" s="319">
        <v>24205</v>
      </c>
      <c r="AF35" s="239">
        <f t="shared" si="17"/>
        <v>0.13819267615926556</v>
      </c>
      <c r="AG35" s="319">
        <v>0</v>
      </c>
      <c r="AH35" s="239">
        <f t="shared" si="18"/>
        <v>0</v>
      </c>
      <c r="AI35" s="319">
        <v>2347</v>
      </c>
      <c r="AJ35" s="239">
        <f t="shared" si="19"/>
        <v>1.3399636890964522E-2</v>
      </c>
      <c r="AK35" s="319">
        <v>5119</v>
      </c>
      <c r="AL35" s="239">
        <f t="shared" si="20"/>
        <v>2.9225709946675497E-2</v>
      </c>
    </row>
    <row r="36" spans="2:38" s="73" customFormat="1" ht="14.25" customHeight="1">
      <c r="B36" s="530"/>
      <c r="C36" s="507"/>
      <c r="D36" s="171">
        <v>46078</v>
      </c>
      <c r="E36" s="171" t="s">
        <v>88</v>
      </c>
      <c r="F36" s="336">
        <f t="shared" si="1"/>
        <v>156618</v>
      </c>
      <c r="G36" s="523"/>
      <c r="H36" s="520"/>
      <c r="I36" s="319">
        <v>40753</v>
      </c>
      <c r="J36" s="239">
        <f t="shared" si="3"/>
        <v>0.2602063619762735</v>
      </c>
      <c r="K36" s="319">
        <v>47002</v>
      </c>
      <c r="L36" s="239">
        <f t="shared" si="4"/>
        <v>0.30010599037147712</v>
      </c>
      <c r="M36" s="319">
        <f t="shared" si="5"/>
        <v>87755</v>
      </c>
      <c r="N36" s="239">
        <f t="shared" si="6"/>
        <v>0.56031235234775056</v>
      </c>
      <c r="O36" s="319">
        <v>8950</v>
      </c>
      <c r="P36" s="239">
        <f t="shared" si="7"/>
        <v>5.7145411127712015E-2</v>
      </c>
      <c r="Q36" s="319">
        <v>5935</v>
      </c>
      <c r="R36" s="239">
        <f t="shared" si="8"/>
        <v>3.7894750284130814E-2</v>
      </c>
      <c r="S36" s="319">
        <f t="shared" si="9"/>
        <v>14885</v>
      </c>
      <c r="T36" s="239">
        <f t="shared" si="10"/>
        <v>9.5040161411842822E-2</v>
      </c>
      <c r="U36" s="319">
        <v>5976</v>
      </c>
      <c r="V36" s="239">
        <f t="shared" si="11"/>
        <v>3.8156533731754969E-2</v>
      </c>
      <c r="W36" s="319">
        <v>5080</v>
      </c>
      <c r="X36" s="239">
        <f t="shared" si="12"/>
        <v>3.2435607656846596E-2</v>
      </c>
      <c r="Y36" s="319">
        <v>4338</v>
      </c>
      <c r="Z36" s="239">
        <f t="shared" si="13"/>
        <v>2.7697965751063095E-2</v>
      </c>
      <c r="AA36" s="319">
        <v>8607</v>
      </c>
      <c r="AB36" s="239">
        <f t="shared" si="14"/>
        <v>5.4955369114661153E-2</v>
      </c>
      <c r="AC36" s="319">
        <f t="shared" si="15"/>
        <v>12945</v>
      </c>
      <c r="AD36" s="239">
        <f t="shared" si="16"/>
        <v>8.2653334865724251E-2</v>
      </c>
      <c r="AE36" s="319">
        <v>22954</v>
      </c>
      <c r="AF36" s="239">
        <f t="shared" si="17"/>
        <v>0.14656042089670407</v>
      </c>
      <c r="AG36" s="319">
        <v>0</v>
      </c>
      <c r="AH36" s="239">
        <f t="shared" si="18"/>
        <v>0</v>
      </c>
      <c r="AI36" s="319">
        <v>2130</v>
      </c>
      <c r="AJ36" s="239">
        <f t="shared" si="19"/>
        <v>1.3599969352181742E-2</v>
      </c>
      <c r="AK36" s="319">
        <v>4893</v>
      </c>
      <c r="AL36" s="239">
        <f t="shared" si="20"/>
        <v>3.124161973719496E-2</v>
      </c>
    </row>
    <row r="37" spans="2:38" s="73" customFormat="1" ht="14.25" customHeight="1">
      <c r="B37" s="530"/>
      <c r="C37" s="507"/>
      <c r="D37" s="171">
        <v>46079</v>
      </c>
      <c r="E37" s="171" t="s">
        <v>89</v>
      </c>
      <c r="F37" s="336">
        <f t="shared" si="1"/>
        <v>129387</v>
      </c>
      <c r="G37" s="523"/>
      <c r="H37" s="520"/>
      <c r="I37" s="319">
        <v>29097</v>
      </c>
      <c r="J37" s="239">
        <f t="shared" si="3"/>
        <v>0.22488348906768069</v>
      </c>
      <c r="K37" s="319">
        <v>41590</v>
      </c>
      <c r="L37" s="239">
        <f t="shared" si="4"/>
        <v>0.32143878442192803</v>
      </c>
      <c r="M37" s="319">
        <f t="shared" si="5"/>
        <v>70687</v>
      </c>
      <c r="N37" s="239">
        <f t="shared" si="6"/>
        <v>0.54632227348960871</v>
      </c>
      <c r="O37" s="319">
        <v>7351</v>
      </c>
      <c r="P37" s="239">
        <f t="shared" si="7"/>
        <v>5.6814053962144576E-2</v>
      </c>
      <c r="Q37" s="319">
        <v>5068</v>
      </c>
      <c r="R37" s="239">
        <f t="shared" si="8"/>
        <v>3.9169313764133955E-2</v>
      </c>
      <c r="S37" s="319">
        <f t="shared" si="9"/>
        <v>12419</v>
      </c>
      <c r="T37" s="239">
        <f t="shared" si="10"/>
        <v>9.5983367726278523E-2</v>
      </c>
      <c r="U37" s="319">
        <v>5083</v>
      </c>
      <c r="V37" s="239">
        <f t="shared" si="11"/>
        <v>3.928524504007358E-2</v>
      </c>
      <c r="W37" s="319">
        <v>4674</v>
      </c>
      <c r="X37" s="239">
        <f t="shared" si="12"/>
        <v>3.6124185582786524E-2</v>
      </c>
      <c r="Y37" s="319">
        <v>4018</v>
      </c>
      <c r="Z37" s="239">
        <f t="shared" si="13"/>
        <v>3.1054124448360344E-2</v>
      </c>
      <c r="AA37" s="319">
        <v>7686</v>
      </c>
      <c r="AB37" s="239">
        <f t="shared" si="14"/>
        <v>5.9403185791462823E-2</v>
      </c>
      <c r="AC37" s="319">
        <f t="shared" si="15"/>
        <v>11704</v>
      </c>
      <c r="AD37" s="239">
        <f t="shared" si="16"/>
        <v>9.045731023982316E-2</v>
      </c>
      <c r="AE37" s="319">
        <v>18371</v>
      </c>
      <c r="AF37" s="239">
        <f t="shared" si="17"/>
        <v>0.14198489801912093</v>
      </c>
      <c r="AG37" s="319">
        <v>0</v>
      </c>
      <c r="AH37" s="239">
        <f t="shared" si="18"/>
        <v>0</v>
      </c>
      <c r="AI37" s="319">
        <v>2016</v>
      </c>
      <c r="AJ37" s="239">
        <f t="shared" si="19"/>
        <v>1.558116348628533E-2</v>
      </c>
      <c r="AK37" s="319">
        <v>4433</v>
      </c>
      <c r="AL37" s="239">
        <f t="shared" si="20"/>
        <v>3.4261556416023249E-2</v>
      </c>
    </row>
    <row r="38" spans="2:38" s="73" customFormat="1" ht="14.25" customHeight="1">
      <c r="B38" s="530"/>
      <c r="C38" s="507"/>
      <c r="D38" s="171">
        <v>46080</v>
      </c>
      <c r="E38" s="171" t="s">
        <v>90</v>
      </c>
      <c r="F38" s="336">
        <f t="shared" si="1"/>
        <v>120519</v>
      </c>
      <c r="G38" s="523"/>
      <c r="H38" s="520"/>
      <c r="I38" s="319">
        <v>27884</v>
      </c>
      <c r="J38" s="239">
        <f t="shared" si="3"/>
        <v>0.23136600867912943</v>
      </c>
      <c r="K38" s="319">
        <v>40646</v>
      </c>
      <c r="L38" s="239">
        <f t="shared" si="4"/>
        <v>0.33725802570549041</v>
      </c>
      <c r="M38" s="319">
        <f t="shared" si="5"/>
        <v>68530</v>
      </c>
      <c r="N38" s="239">
        <f t="shared" si="6"/>
        <v>0.56862403438461984</v>
      </c>
      <c r="O38" s="319">
        <v>7105</v>
      </c>
      <c r="P38" s="239">
        <f t="shared" si="7"/>
        <v>5.895336005111227E-2</v>
      </c>
      <c r="Q38" s="319">
        <v>4845</v>
      </c>
      <c r="R38" s="239">
        <f t="shared" si="8"/>
        <v>4.0201130112264456E-2</v>
      </c>
      <c r="S38" s="319">
        <f t="shared" si="9"/>
        <v>11950</v>
      </c>
      <c r="T38" s="239">
        <f t="shared" si="10"/>
        <v>9.9154490163376727E-2</v>
      </c>
      <c r="U38" s="319">
        <v>4096</v>
      </c>
      <c r="V38" s="239">
        <f t="shared" si="11"/>
        <v>3.3986342402442769E-2</v>
      </c>
      <c r="W38" s="319">
        <v>2067</v>
      </c>
      <c r="X38" s="239">
        <f t="shared" si="12"/>
        <v>1.7150822691857717E-2</v>
      </c>
      <c r="Y38" s="319">
        <v>3602</v>
      </c>
      <c r="Z38" s="239">
        <f t="shared" si="13"/>
        <v>2.9887403645898158E-2</v>
      </c>
      <c r="AA38" s="319">
        <v>8442</v>
      </c>
      <c r="AB38" s="239">
        <f t="shared" si="14"/>
        <v>7.0047046523784628E-2</v>
      </c>
      <c r="AC38" s="319">
        <f t="shared" si="15"/>
        <v>12044</v>
      </c>
      <c r="AD38" s="239">
        <f t="shared" si="16"/>
        <v>9.993445016968279E-2</v>
      </c>
      <c r="AE38" s="319">
        <v>15752</v>
      </c>
      <c r="AF38" s="239">
        <f t="shared" si="17"/>
        <v>0.13070138318439417</v>
      </c>
      <c r="AG38" s="319">
        <v>0</v>
      </c>
      <c r="AH38" s="239">
        <f t="shared" si="18"/>
        <v>0</v>
      </c>
      <c r="AI38" s="319">
        <v>1878</v>
      </c>
      <c r="AJ38" s="239">
        <f t="shared" si="19"/>
        <v>1.5582605232369999E-2</v>
      </c>
      <c r="AK38" s="319">
        <v>4202</v>
      </c>
      <c r="AL38" s="239">
        <f t="shared" si="20"/>
        <v>3.4865871771255982E-2</v>
      </c>
    </row>
    <row r="39" spans="2:38" s="73" customFormat="1" ht="14.25" customHeight="1">
      <c r="B39" s="530"/>
      <c r="C39" s="508"/>
      <c r="D39" s="171">
        <v>46081</v>
      </c>
      <c r="E39" s="171" t="s">
        <v>91</v>
      </c>
      <c r="F39" s="336">
        <f t="shared" si="1"/>
        <v>131697</v>
      </c>
      <c r="G39" s="523"/>
      <c r="H39" s="521"/>
      <c r="I39" s="319">
        <v>27309</v>
      </c>
      <c r="J39" s="239">
        <f t="shared" si="3"/>
        <v>0.2073623544955466</v>
      </c>
      <c r="K39" s="319">
        <v>49114</v>
      </c>
      <c r="L39" s="239">
        <f t="shared" si="4"/>
        <v>0.37293180558403</v>
      </c>
      <c r="M39" s="319">
        <f t="shared" si="5"/>
        <v>76423</v>
      </c>
      <c r="N39" s="239">
        <f t="shared" si="6"/>
        <v>0.58029416007957657</v>
      </c>
      <c r="O39" s="319">
        <v>6731</v>
      </c>
      <c r="P39" s="239">
        <f t="shared" si="7"/>
        <v>5.1109744337380504E-2</v>
      </c>
      <c r="Q39" s="319">
        <v>4780</v>
      </c>
      <c r="R39" s="239">
        <f t="shared" si="8"/>
        <v>3.6295435735058508E-2</v>
      </c>
      <c r="S39" s="319">
        <f t="shared" si="9"/>
        <v>11511</v>
      </c>
      <c r="T39" s="239">
        <f t="shared" si="10"/>
        <v>8.7405180072439012E-2</v>
      </c>
      <c r="U39" s="319">
        <v>4571</v>
      </c>
      <c r="V39" s="239">
        <f t="shared" si="11"/>
        <v>3.4708459570073728E-2</v>
      </c>
      <c r="W39" s="319">
        <v>2494</v>
      </c>
      <c r="X39" s="239">
        <f t="shared" si="12"/>
        <v>1.8937409356325506E-2</v>
      </c>
      <c r="Y39" s="319">
        <v>3911</v>
      </c>
      <c r="Z39" s="239">
        <f t="shared" si="13"/>
        <v>2.9696955891174437E-2</v>
      </c>
      <c r="AA39" s="319">
        <v>9991</v>
      </c>
      <c r="AB39" s="239">
        <f t="shared" si="14"/>
        <v>7.5863535236186094E-2</v>
      </c>
      <c r="AC39" s="319">
        <f t="shared" si="15"/>
        <v>13902</v>
      </c>
      <c r="AD39" s="239">
        <f t="shared" si="16"/>
        <v>0.10556049112736053</v>
      </c>
      <c r="AE39" s="319">
        <v>17123</v>
      </c>
      <c r="AF39" s="239">
        <f t="shared" si="17"/>
        <v>0.13001814771786752</v>
      </c>
      <c r="AG39" s="319">
        <v>0</v>
      </c>
      <c r="AH39" s="239">
        <f t="shared" si="18"/>
        <v>0</v>
      </c>
      <c r="AI39" s="319">
        <v>980</v>
      </c>
      <c r="AJ39" s="239">
        <f t="shared" si="19"/>
        <v>7.4413236444262204E-3</v>
      </c>
      <c r="AK39" s="319">
        <v>4693</v>
      </c>
      <c r="AL39" s="239">
        <f t="shared" si="20"/>
        <v>3.5634828431930873E-2</v>
      </c>
    </row>
    <row r="40" spans="2:38" s="73" customFormat="1" ht="14.25" customHeight="1">
      <c r="B40" s="530"/>
      <c r="C40" s="506" t="s">
        <v>88</v>
      </c>
      <c r="D40" s="171">
        <v>46082</v>
      </c>
      <c r="E40" s="171" t="s">
        <v>84</v>
      </c>
      <c r="F40" s="336">
        <f t="shared" si="1"/>
        <v>179915</v>
      </c>
      <c r="G40" s="523"/>
      <c r="H40" s="519">
        <f>SUM(F40:F67)</f>
        <v>362679</v>
      </c>
      <c r="I40" s="319">
        <v>45109</v>
      </c>
      <c r="J40" s="239">
        <f t="shared" si="3"/>
        <v>0.25072395297779509</v>
      </c>
      <c r="K40" s="319">
        <v>56909</v>
      </c>
      <c r="L40" s="239">
        <f t="shared" si="4"/>
        <v>0.31631047994886474</v>
      </c>
      <c r="M40" s="319">
        <f t="shared" si="5"/>
        <v>102018</v>
      </c>
      <c r="N40" s="239">
        <f t="shared" si="6"/>
        <v>0.56703443292665978</v>
      </c>
      <c r="O40" s="319">
        <v>9378</v>
      </c>
      <c r="P40" s="239">
        <f t="shared" si="7"/>
        <v>5.212461440124503E-2</v>
      </c>
      <c r="Q40" s="319">
        <v>5980</v>
      </c>
      <c r="R40" s="239">
        <f t="shared" si="8"/>
        <v>3.3237917905677684E-2</v>
      </c>
      <c r="S40" s="319">
        <f t="shared" si="9"/>
        <v>15358</v>
      </c>
      <c r="T40" s="239">
        <f t="shared" si="10"/>
        <v>8.5362532306922714E-2</v>
      </c>
      <c r="U40" s="319">
        <v>6798</v>
      </c>
      <c r="V40" s="239">
        <f t="shared" si="11"/>
        <v>3.7784509351638275E-2</v>
      </c>
      <c r="W40" s="319">
        <v>5640</v>
      </c>
      <c r="X40" s="239">
        <f t="shared" si="12"/>
        <v>3.1348136620070591E-2</v>
      </c>
      <c r="Y40" s="319">
        <v>5220</v>
      </c>
      <c r="Z40" s="239">
        <f t="shared" si="13"/>
        <v>2.901370091432065E-2</v>
      </c>
      <c r="AA40" s="319">
        <v>11326</v>
      </c>
      <c r="AB40" s="239">
        <f t="shared" si="14"/>
        <v>6.2951949531723311E-2</v>
      </c>
      <c r="AC40" s="319">
        <f t="shared" si="15"/>
        <v>16546</v>
      </c>
      <c r="AD40" s="239">
        <f t="shared" si="16"/>
        <v>9.1965650446043962E-2</v>
      </c>
      <c r="AE40" s="319">
        <v>28946</v>
      </c>
      <c r="AF40" s="239">
        <f t="shared" si="17"/>
        <v>0.16088708556818498</v>
      </c>
      <c r="AG40" s="319">
        <v>0</v>
      </c>
      <c r="AH40" s="239">
        <f t="shared" si="18"/>
        <v>0</v>
      </c>
      <c r="AI40" s="319">
        <v>1129</v>
      </c>
      <c r="AJ40" s="239">
        <f t="shared" si="19"/>
        <v>6.2751855042659033E-3</v>
      </c>
      <c r="AK40" s="319">
        <v>3480</v>
      </c>
      <c r="AL40" s="239">
        <f t="shared" si="20"/>
        <v>1.9342467276213769E-2</v>
      </c>
    </row>
    <row r="41" spans="2:38" s="73" customFormat="1" ht="14.25" customHeight="1">
      <c r="B41" s="530"/>
      <c r="C41" s="507"/>
      <c r="D41" s="171">
        <v>46083</v>
      </c>
      <c r="E41" s="171" t="s">
        <v>92</v>
      </c>
      <c r="F41" s="336">
        <f t="shared" si="1"/>
        <v>182764</v>
      </c>
      <c r="G41" s="523"/>
      <c r="H41" s="520"/>
      <c r="I41" s="319">
        <v>43427</v>
      </c>
      <c r="J41" s="239">
        <f t="shared" si="3"/>
        <v>0.23761244008666915</v>
      </c>
      <c r="K41" s="319">
        <v>60484</v>
      </c>
      <c r="L41" s="239">
        <f t="shared" si="4"/>
        <v>0.33094044779059334</v>
      </c>
      <c r="M41" s="319">
        <f t="shared" si="5"/>
        <v>103911</v>
      </c>
      <c r="N41" s="239">
        <f t="shared" si="6"/>
        <v>0.56855288787726244</v>
      </c>
      <c r="O41" s="319">
        <v>8646</v>
      </c>
      <c r="P41" s="239">
        <f t="shared" si="7"/>
        <v>4.7306909457004664E-2</v>
      </c>
      <c r="Q41" s="319">
        <v>5908</v>
      </c>
      <c r="R41" s="239">
        <f t="shared" si="8"/>
        <v>3.2325840975246767E-2</v>
      </c>
      <c r="S41" s="319">
        <f t="shared" si="9"/>
        <v>14554</v>
      </c>
      <c r="T41" s="239">
        <f t="shared" si="10"/>
        <v>7.9632750432251431E-2</v>
      </c>
      <c r="U41" s="319">
        <v>4963</v>
      </c>
      <c r="V41" s="239">
        <f t="shared" si="11"/>
        <v>2.7155238449585256E-2</v>
      </c>
      <c r="W41" s="319">
        <v>4314</v>
      </c>
      <c r="X41" s="239">
        <f t="shared" si="12"/>
        <v>2.3604210894924604E-2</v>
      </c>
      <c r="Y41" s="319">
        <v>4458</v>
      </c>
      <c r="Z41" s="239">
        <f t="shared" si="13"/>
        <v>2.4392112232168261E-2</v>
      </c>
      <c r="AA41" s="319">
        <v>21302</v>
      </c>
      <c r="AB41" s="239">
        <f t="shared" si="14"/>
        <v>0.11655468254141954</v>
      </c>
      <c r="AC41" s="319">
        <f t="shared" si="15"/>
        <v>25760</v>
      </c>
      <c r="AD41" s="239">
        <f t="shared" si="16"/>
        <v>0.14094679477358779</v>
      </c>
      <c r="AE41" s="319">
        <v>24221</v>
      </c>
      <c r="AF41" s="239">
        <f t="shared" si="17"/>
        <v>0.1325260992317962</v>
      </c>
      <c r="AG41" s="319">
        <v>0</v>
      </c>
      <c r="AH41" s="239">
        <f t="shared" si="18"/>
        <v>0</v>
      </c>
      <c r="AI41" s="319">
        <v>1288</v>
      </c>
      <c r="AJ41" s="239">
        <f t="shared" si="19"/>
        <v>7.0473397386793899E-3</v>
      </c>
      <c r="AK41" s="319">
        <v>3753</v>
      </c>
      <c r="AL41" s="239">
        <f t="shared" si="20"/>
        <v>2.053467860191285E-2</v>
      </c>
    </row>
    <row r="42" spans="2:38" s="73" customFormat="1" ht="13.5">
      <c r="B42" s="509">
        <f>B35+7</f>
        <v>46092</v>
      </c>
      <c r="C42" s="507"/>
      <c r="D42" s="171">
        <v>46084</v>
      </c>
      <c r="E42" s="171" t="s">
        <v>87</v>
      </c>
      <c r="F42" s="336"/>
      <c r="G42" s="522">
        <f>SUM(F42:F48)</f>
        <v>0</v>
      </c>
      <c r="H42" s="520"/>
      <c r="I42" s="429"/>
      <c r="J42" s="239" t="e">
        <f t="shared" ref="J42:J69" si="29">I42/$F42</f>
        <v>#DIV/0!</v>
      </c>
      <c r="K42" s="319"/>
      <c r="L42" s="239" t="e">
        <f t="shared" ref="L42:L69" si="30">K42/$F42</f>
        <v>#DIV/0!</v>
      </c>
      <c r="M42" s="224">
        <f t="shared" ref="M42:M69" si="31">I42+K42</f>
        <v>0</v>
      </c>
      <c r="N42" s="239" t="e">
        <f t="shared" ref="N42:N69" si="32">M42/$F42</f>
        <v>#DIV/0!</v>
      </c>
      <c r="O42" s="319"/>
      <c r="P42" s="239" t="e">
        <f t="shared" ref="P42:P69" si="33">O42/$F42</f>
        <v>#DIV/0!</v>
      </c>
      <c r="Q42" s="319"/>
      <c r="R42" s="239" t="e">
        <f t="shared" ref="R42:R69" si="34">Q42/$F42</f>
        <v>#DIV/0!</v>
      </c>
      <c r="S42" s="224">
        <f t="shared" ref="S42:S69" si="35">O42+Q42</f>
        <v>0</v>
      </c>
      <c r="T42" s="239" t="e">
        <f t="shared" ref="T42:T69" si="36">S42/$F42</f>
        <v>#DIV/0!</v>
      </c>
      <c r="U42" s="319"/>
      <c r="V42" s="239" t="e">
        <f t="shared" ref="V42:V69" si="37">U42/$F42</f>
        <v>#DIV/0!</v>
      </c>
      <c r="W42" s="319"/>
      <c r="X42" s="239" t="e">
        <f t="shared" ref="X42:X69" si="38">W42/$F42</f>
        <v>#DIV/0!</v>
      </c>
      <c r="Y42" s="319"/>
      <c r="Z42" s="239" t="e">
        <f t="shared" ref="Z42:Z69" si="39">Y42/$F42</f>
        <v>#DIV/0!</v>
      </c>
      <c r="AA42" s="319"/>
      <c r="AB42" s="239" t="e">
        <f t="shared" ref="AB42:AB69" si="40">AA42/$F42</f>
        <v>#DIV/0!</v>
      </c>
      <c r="AC42" s="224">
        <f t="shared" ref="AC42:AC69" si="41">Y42+AA42</f>
        <v>0</v>
      </c>
      <c r="AD42" s="239" t="e">
        <f t="shared" ref="AD42:AD69" si="42">AC42/$F42</f>
        <v>#DIV/0!</v>
      </c>
      <c r="AE42" s="319"/>
      <c r="AF42" s="239" t="e">
        <f t="shared" ref="AF42:AF69" si="43">AE42/$F42</f>
        <v>#DIV/0!</v>
      </c>
      <c r="AG42" s="319"/>
      <c r="AH42" s="239" t="e">
        <f t="shared" ref="AH42:AH69" si="44">AG42/$F42</f>
        <v>#DIV/0!</v>
      </c>
      <c r="AI42" s="319"/>
      <c r="AJ42" s="239" t="e">
        <f t="shared" ref="AJ42:AJ69" si="45">AI42/$F42</f>
        <v>#DIV/0!</v>
      </c>
      <c r="AK42" s="319"/>
      <c r="AL42" s="239" t="e">
        <f t="shared" ref="AL42:AL69" si="46">AK42/$F42</f>
        <v>#DIV/0!</v>
      </c>
    </row>
    <row r="43" spans="2:38" s="73" customFormat="1" ht="13.5">
      <c r="B43" s="510"/>
      <c r="C43" s="507"/>
      <c r="D43" s="171">
        <v>46085</v>
      </c>
      <c r="E43" s="171" t="s">
        <v>88</v>
      </c>
      <c r="F43" s="336"/>
      <c r="G43" s="522"/>
      <c r="H43" s="520"/>
      <c r="I43" s="429"/>
      <c r="J43" s="239" t="e">
        <f t="shared" si="29"/>
        <v>#DIV/0!</v>
      </c>
      <c r="K43" s="319"/>
      <c r="L43" s="239" t="e">
        <f t="shared" si="30"/>
        <v>#DIV/0!</v>
      </c>
      <c r="M43" s="224">
        <f t="shared" si="31"/>
        <v>0</v>
      </c>
      <c r="N43" s="239" t="e">
        <f t="shared" si="32"/>
        <v>#DIV/0!</v>
      </c>
      <c r="O43" s="319"/>
      <c r="P43" s="239" t="e">
        <f t="shared" si="33"/>
        <v>#DIV/0!</v>
      </c>
      <c r="Q43" s="319"/>
      <c r="R43" s="239" t="e">
        <f t="shared" si="34"/>
        <v>#DIV/0!</v>
      </c>
      <c r="S43" s="224">
        <f t="shared" si="35"/>
        <v>0</v>
      </c>
      <c r="T43" s="239" t="e">
        <f t="shared" si="36"/>
        <v>#DIV/0!</v>
      </c>
      <c r="U43" s="319"/>
      <c r="V43" s="239" t="e">
        <f t="shared" si="37"/>
        <v>#DIV/0!</v>
      </c>
      <c r="W43" s="319"/>
      <c r="X43" s="239" t="e">
        <f t="shared" si="38"/>
        <v>#DIV/0!</v>
      </c>
      <c r="Y43" s="319"/>
      <c r="Z43" s="239" t="e">
        <f t="shared" si="39"/>
        <v>#DIV/0!</v>
      </c>
      <c r="AA43" s="319"/>
      <c r="AB43" s="239" t="e">
        <f t="shared" si="40"/>
        <v>#DIV/0!</v>
      </c>
      <c r="AC43" s="224">
        <f t="shared" si="41"/>
        <v>0</v>
      </c>
      <c r="AD43" s="239" t="e">
        <f t="shared" si="42"/>
        <v>#DIV/0!</v>
      </c>
      <c r="AE43" s="319"/>
      <c r="AF43" s="239" t="e">
        <f t="shared" si="43"/>
        <v>#DIV/0!</v>
      </c>
      <c r="AG43" s="319"/>
      <c r="AH43" s="239" t="e">
        <f t="shared" si="44"/>
        <v>#DIV/0!</v>
      </c>
      <c r="AI43" s="319"/>
      <c r="AJ43" s="239" t="e">
        <f t="shared" si="45"/>
        <v>#DIV/0!</v>
      </c>
      <c r="AK43" s="319"/>
      <c r="AL43" s="239" t="e">
        <f t="shared" si="46"/>
        <v>#DIV/0!</v>
      </c>
    </row>
    <row r="44" spans="2:38" s="73" customFormat="1" ht="13.5">
      <c r="B44" s="510"/>
      <c r="C44" s="507"/>
      <c r="D44" s="171">
        <v>46086</v>
      </c>
      <c r="E44" s="171" t="s">
        <v>89</v>
      </c>
      <c r="F44" s="336"/>
      <c r="G44" s="522"/>
      <c r="H44" s="520"/>
      <c r="I44" s="429"/>
      <c r="J44" s="239" t="e">
        <f t="shared" si="29"/>
        <v>#DIV/0!</v>
      </c>
      <c r="K44" s="319"/>
      <c r="L44" s="239" t="e">
        <f t="shared" si="30"/>
        <v>#DIV/0!</v>
      </c>
      <c r="M44" s="224">
        <f t="shared" si="31"/>
        <v>0</v>
      </c>
      <c r="N44" s="239" t="e">
        <f t="shared" si="32"/>
        <v>#DIV/0!</v>
      </c>
      <c r="O44" s="319"/>
      <c r="P44" s="239" t="e">
        <f t="shared" si="33"/>
        <v>#DIV/0!</v>
      </c>
      <c r="Q44" s="319"/>
      <c r="R44" s="239" t="e">
        <f t="shared" si="34"/>
        <v>#DIV/0!</v>
      </c>
      <c r="S44" s="224">
        <f t="shared" si="35"/>
        <v>0</v>
      </c>
      <c r="T44" s="239" t="e">
        <f t="shared" si="36"/>
        <v>#DIV/0!</v>
      </c>
      <c r="U44" s="319"/>
      <c r="V44" s="239" t="e">
        <f t="shared" si="37"/>
        <v>#DIV/0!</v>
      </c>
      <c r="W44" s="319"/>
      <c r="X44" s="239" t="e">
        <f t="shared" si="38"/>
        <v>#DIV/0!</v>
      </c>
      <c r="Y44" s="319"/>
      <c r="Z44" s="239" t="e">
        <f t="shared" si="39"/>
        <v>#DIV/0!</v>
      </c>
      <c r="AA44" s="319"/>
      <c r="AB44" s="239" t="e">
        <f t="shared" si="40"/>
        <v>#DIV/0!</v>
      </c>
      <c r="AC44" s="224">
        <f t="shared" si="41"/>
        <v>0</v>
      </c>
      <c r="AD44" s="239" t="e">
        <f t="shared" si="42"/>
        <v>#DIV/0!</v>
      </c>
      <c r="AE44" s="319"/>
      <c r="AF44" s="239" t="e">
        <f t="shared" si="43"/>
        <v>#DIV/0!</v>
      </c>
      <c r="AG44" s="319"/>
      <c r="AH44" s="239" t="e">
        <f t="shared" si="44"/>
        <v>#DIV/0!</v>
      </c>
      <c r="AI44" s="319"/>
      <c r="AJ44" s="239" t="e">
        <f t="shared" si="45"/>
        <v>#DIV/0!</v>
      </c>
      <c r="AK44" s="319"/>
      <c r="AL44" s="239" t="e">
        <f t="shared" si="46"/>
        <v>#DIV/0!</v>
      </c>
    </row>
    <row r="45" spans="2:38" s="73" customFormat="1" ht="13.5">
      <c r="B45" s="510"/>
      <c r="C45" s="507"/>
      <c r="D45" s="171">
        <v>46087</v>
      </c>
      <c r="E45" s="171" t="s">
        <v>90</v>
      </c>
      <c r="F45" s="336"/>
      <c r="G45" s="522"/>
      <c r="H45" s="520"/>
      <c r="I45" s="429"/>
      <c r="J45" s="239" t="e">
        <f t="shared" si="29"/>
        <v>#DIV/0!</v>
      </c>
      <c r="K45" s="319"/>
      <c r="L45" s="239" t="e">
        <f t="shared" si="30"/>
        <v>#DIV/0!</v>
      </c>
      <c r="M45" s="224">
        <f t="shared" si="31"/>
        <v>0</v>
      </c>
      <c r="N45" s="239" t="e">
        <f t="shared" si="32"/>
        <v>#DIV/0!</v>
      </c>
      <c r="O45" s="319"/>
      <c r="P45" s="239" t="e">
        <f t="shared" si="33"/>
        <v>#DIV/0!</v>
      </c>
      <c r="Q45" s="319"/>
      <c r="R45" s="239" t="e">
        <f t="shared" si="34"/>
        <v>#DIV/0!</v>
      </c>
      <c r="S45" s="224">
        <f t="shared" si="35"/>
        <v>0</v>
      </c>
      <c r="T45" s="239" t="e">
        <f t="shared" si="36"/>
        <v>#DIV/0!</v>
      </c>
      <c r="U45" s="319"/>
      <c r="V45" s="239" t="e">
        <f t="shared" si="37"/>
        <v>#DIV/0!</v>
      </c>
      <c r="W45" s="319"/>
      <c r="X45" s="239" t="e">
        <f t="shared" si="38"/>
        <v>#DIV/0!</v>
      </c>
      <c r="Y45" s="319"/>
      <c r="Z45" s="239" t="e">
        <f t="shared" si="39"/>
        <v>#DIV/0!</v>
      </c>
      <c r="AA45" s="319"/>
      <c r="AB45" s="239" t="e">
        <f t="shared" si="40"/>
        <v>#DIV/0!</v>
      </c>
      <c r="AC45" s="224">
        <f t="shared" si="41"/>
        <v>0</v>
      </c>
      <c r="AD45" s="239" t="e">
        <f t="shared" si="42"/>
        <v>#DIV/0!</v>
      </c>
      <c r="AE45" s="319"/>
      <c r="AF45" s="239" t="e">
        <f t="shared" si="43"/>
        <v>#DIV/0!</v>
      </c>
      <c r="AG45" s="319"/>
      <c r="AH45" s="239" t="e">
        <f t="shared" si="44"/>
        <v>#DIV/0!</v>
      </c>
      <c r="AI45" s="319"/>
      <c r="AJ45" s="239" t="e">
        <f t="shared" si="45"/>
        <v>#DIV/0!</v>
      </c>
      <c r="AK45" s="319"/>
      <c r="AL45" s="239" t="e">
        <f t="shared" si="46"/>
        <v>#DIV/0!</v>
      </c>
    </row>
    <row r="46" spans="2:38" s="73" customFormat="1" ht="13.5" collapsed="1">
      <c r="B46" s="510"/>
      <c r="C46" s="507"/>
      <c r="D46" s="171">
        <v>46088</v>
      </c>
      <c r="E46" s="171" t="s">
        <v>91</v>
      </c>
      <c r="F46" s="336"/>
      <c r="G46" s="522"/>
      <c r="H46" s="520"/>
      <c r="I46" s="429"/>
      <c r="J46" s="239" t="e">
        <f t="shared" si="29"/>
        <v>#DIV/0!</v>
      </c>
      <c r="K46" s="319"/>
      <c r="L46" s="239" t="e">
        <f t="shared" si="30"/>
        <v>#DIV/0!</v>
      </c>
      <c r="M46" s="224">
        <f t="shared" si="31"/>
        <v>0</v>
      </c>
      <c r="N46" s="239" t="e">
        <f t="shared" si="32"/>
        <v>#DIV/0!</v>
      </c>
      <c r="O46" s="319"/>
      <c r="P46" s="239" t="e">
        <f t="shared" si="33"/>
        <v>#DIV/0!</v>
      </c>
      <c r="Q46" s="319"/>
      <c r="R46" s="239" t="e">
        <f t="shared" si="34"/>
        <v>#DIV/0!</v>
      </c>
      <c r="S46" s="224">
        <f t="shared" si="35"/>
        <v>0</v>
      </c>
      <c r="T46" s="239" t="e">
        <f t="shared" si="36"/>
        <v>#DIV/0!</v>
      </c>
      <c r="U46" s="319"/>
      <c r="V46" s="239" t="e">
        <f t="shared" si="37"/>
        <v>#DIV/0!</v>
      </c>
      <c r="W46" s="319"/>
      <c r="X46" s="239" t="e">
        <f t="shared" si="38"/>
        <v>#DIV/0!</v>
      </c>
      <c r="Y46" s="319"/>
      <c r="Z46" s="239" t="e">
        <f t="shared" si="39"/>
        <v>#DIV/0!</v>
      </c>
      <c r="AA46" s="319"/>
      <c r="AB46" s="239" t="e">
        <f t="shared" si="40"/>
        <v>#DIV/0!</v>
      </c>
      <c r="AC46" s="224">
        <f t="shared" si="41"/>
        <v>0</v>
      </c>
      <c r="AD46" s="239" t="e">
        <f t="shared" si="42"/>
        <v>#DIV/0!</v>
      </c>
      <c r="AE46" s="319"/>
      <c r="AF46" s="239" t="e">
        <f t="shared" si="43"/>
        <v>#DIV/0!</v>
      </c>
      <c r="AG46" s="319"/>
      <c r="AH46" s="239" t="e">
        <f t="shared" si="44"/>
        <v>#DIV/0!</v>
      </c>
      <c r="AI46" s="319"/>
      <c r="AJ46" s="239" t="e">
        <f t="shared" si="45"/>
        <v>#DIV/0!</v>
      </c>
      <c r="AK46" s="319"/>
      <c r="AL46" s="239" t="e">
        <f t="shared" si="46"/>
        <v>#DIV/0!</v>
      </c>
    </row>
    <row r="47" spans="2:38" s="73" customFormat="1" ht="13.5">
      <c r="B47" s="510"/>
      <c r="C47" s="507"/>
      <c r="D47" s="171">
        <v>46089</v>
      </c>
      <c r="E47" s="171" t="s">
        <v>84</v>
      </c>
      <c r="F47" s="336"/>
      <c r="G47" s="522"/>
      <c r="H47" s="520"/>
      <c r="I47" s="429"/>
      <c r="J47" s="239" t="e">
        <f t="shared" si="29"/>
        <v>#DIV/0!</v>
      </c>
      <c r="K47" s="319"/>
      <c r="L47" s="239" t="e">
        <f t="shared" si="30"/>
        <v>#DIV/0!</v>
      </c>
      <c r="M47" s="224">
        <f t="shared" si="31"/>
        <v>0</v>
      </c>
      <c r="N47" s="239" t="e">
        <f t="shared" si="32"/>
        <v>#DIV/0!</v>
      </c>
      <c r="O47" s="319"/>
      <c r="P47" s="239" t="e">
        <f t="shared" si="33"/>
        <v>#DIV/0!</v>
      </c>
      <c r="Q47" s="319"/>
      <c r="R47" s="239" t="e">
        <f t="shared" si="34"/>
        <v>#DIV/0!</v>
      </c>
      <c r="S47" s="224">
        <f t="shared" si="35"/>
        <v>0</v>
      </c>
      <c r="T47" s="239" t="e">
        <f t="shared" si="36"/>
        <v>#DIV/0!</v>
      </c>
      <c r="U47" s="319"/>
      <c r="V47" s="239" t="e">
        <f t="shared" si="37"/>
        <v>#DIV/0!</v>
      </c>
      <c r="W47" s="319"/>
      <c r="X47" s="239" t="e">
        <f t="shared" si="38"/>
        <v>#DIV/0!</v>
      </c>
      <c r="Y47" s="319"/>
      <c r="Z47" s="239" t="e">
        <f t="shared" si="39"/>
        <v>#DIV/0!</v>
      </c>
      <c r="AA47" s="319"/>
      <c r="AB47" s="239" t="e">
        <f t="shared" si="40"/>
        <v>#DIV/0!</v>
      </c>
      <c r="AC47" s="224">
        <f t="shared" si="41"/>
        <v>0</v>
      </c>
      <c r="AD47" s="239" t="e">
        <f t="shared" si="42"/>
        <v>#DIV/0!</v>
      </c>
      <c r="AE47" s="319"/>
      <c r="AF47" s="239" t="e">
        <f t="shared" si="43"/>
        <v>#DIV/0!</v>
      </c>
      <c r="AG47" s="319"/>
      <c r="AH47" s="239" t="e">
        <f t="shared" si="44"/>
        <v>#DIV/0!</v>
      </c>
      <c r="AI47" s="319"/>
      <c r="AJ47" s="239" t="e">
        <f t="shared" si="45"/>
        <v>#DIV/0!</v>
      </c>
      <c r="AK47" s="319"/>
      <c r="AL47" s="239" t="e">
        <f t="shared" si="46"/>
        <v>#DIV/0!</v>
      </c>
    </row>
    <row r="48" spans="2:38" s="73" customFormat="1" ht="13.5">
      <c r="B48" s="511"/>
      <c r="C48" s="507"/>
      <c r="D48" s="171">
        <v>46090</v>
      </c>
      <c r="E48" s="171" t="s">
        <v>92</v>
      </c>
      <c r="F48" s="336"/>
      <c r="G48" s="522"/>
      <c r="H48" s="520"/>
      <c r="I48" s="429"/>
      <c r="J48" s="239" t="e">
        <f t="shared" si="29"/>
        <v>#DIV/0!</v>
      </c>
      <c r="K48" s="319"/>
      <c r="L48" s="239" t="e">
        <f t="shared" si="30"/>
        <v>#DIV/0!</v>
      </c>
      <c r="M48" s="224">
        <f t="shared" si="31"/>
        <v>0</v>
      </c>
      <c r="N48" s="239" t="e">
        <f t="shared" si="32"/>
        <v>#DIV/0!</v>
      </c>
      <c r="O48" s="319"/>
      <c r="P48" s="239" t="e">
        <f t="shared" si="33"/>
        <v>#DIV/0!</v>
      </c>
      <c r="Q48" s="319"/>
      <c r="R48" s="239" t="e">
        <f t="shared" si="34"/>
        <v>#DIV/0!</v>
      </c>
      <c r="S48" s="224">
        <f t="shared" si="35"/>
        <v>0</v>
      </c>
      <c r="T48" s="239" t="e">
        <f t="shared" si="36"/>
        <v>#DIV/0!</v>
      </c>
      <c r="U48" s="319"/>
      <c r="V48" s="239" t="e">
        <f t="shared" si="37"/>
        <v>#DIV/0!</v>
      </c>
      <c r="W48" s="319"/>
      <c r="X48" s="239" t="e">
        <f t="shared" si="38"/>
        <v>#DIV/0!</v>
      </c>
      <c r="Y48" s="319"/>
      <c r="Z48" s="239" t="e">
        <f t="shared" si="39"/>
        <v>#DIV/0!</v>
      </c>
      <c r="AA48" s="319"/>
      <c r="AB48" s="239" t="e">
        <f t="shared" si="40"/>
        <v>#DIV/0!</v>
      </c>
      <c r="AC48" s="224">
        <f t="shared" si="41"/>
        <v>0</v>
      </c>
      <c r="AD48" s="239" t="e">
        <f t="shared" si="42"/>
        <v>#DIV/0!</v>
      </c>
      <c r="AE48" s="319"/>
      <c r="AF48" s="239" t="e">
        <f t="shared" si="43"/>
        <v>#DIV/0!</v>
      </c>
      <c r="AG48" s="319"/>
      <c r="AH48" s="239" t="e">
        <f t="shared" si="44"/>
        <v>#DIV/0!</v>
      </c>
      <c r="AI48" s="319"/>
      <c r="AJ48" s="239" t="e">
        <f t="shared" si="45"/>
        <v>#DIV/0!</v>
      </c>
      <c r="AK48" s="319"/>
      <c r="AL48" s="239" t="e">
        <f t="shared" si="46"/>
        <v>#DIV/0!</v>
      </c>
    </row>
    <row r="49" spans="2:38" s="73" customFormat="1" ht="13.5">
      <c r="B49" s="509">
        <f>B42+7</f>
        <v>46099</v>
      </c>
      <c r="C49" s="507"/>
      <c r="D49" s="171">
        <v>46091</v>
      </c>
      <c r="E49" s="171" t="s">
        <v>87</v>
      </c>
      <c r="F49" s="336"/>
      <c r="G49" s="522">
        <f t="shared" ref="G49" si="47">SUM(F49:F55)</f>
        <v>0</v>
      </c>
      <c r="H49" s="520"/>
      <c r="I49" s="429"/>
      <c r="J49" s="239" t="e">
        <f t="shared" si="29"/>
        <v>#DIV/0!</v>
      </c>
      <c r="K49" s="319"/>
      <c r="L49" s="239" t="e">
        <f t="shared" si="30"/>
        <v>#DIV/0!</v>
      </c>
      <c r="M49" s="224">
        <f t="shared" si="31"/>
        <v>0</v>
      </c>
      <c r="N49" s="239" t="e">
        <f t="shared" si="32"/>
        <v>#DIV/0!</v>
      </c>
      <c r="O49" s="319"/>
      <c r="P49" s="239" t="e">
        <f t="shared" si="33"/>
        <v>#DIV/0!</v>
      </c>
      <c r="Q49" s="319"/>
      <c r="R49" s="239" t="e">
        <f t="shared" si="34"/>
        <v>#DIV/0!</v>
      </c>
      <c r="S49" s="224">
        <f t="shared" si="35"/>
        <v>0</v>
      </c>
      <c r="T49" s="239" t="e">
        <f t="shared" si="36"/>
        <v>#DIV/0!</v>
      </c>
      <c r="U49" s="319"/>
      <c r="V49" s="239" t="e">
        <f t="shared" si="37"/>
        <v>#DIV/0!</v>
      </c>
      <c r="W49" s="319"/>
      <c r="X49" s="239" t="e">
        <f t="shared" si="38"/>
        <v>#DIV/0!</v>
      </c>
      <c r="Y49" s="319"/>
      <c r="Z49" s="239" t="e">
        <f t="shared" si="39"/>
        <v>#DIV/0!</v>
      </c>
      <c r="AA49" s="319"/>
      <c r="AB49" s="239" t="e">
        <f t="shared" si="40"/>
        <v>#DIV/0!</v>
      </c>
      <c r="AC49" s="224">
        <f t="shared" si="41"/>
        <v>0</v>
      </c>
      <c r="AD49" s="239" t="e">
        <f t="shared" si="42"/>
        <v>#DIV/0!</v>
      </c>
      <c r="AE49" s="319"/>
      <c r="AF49" s="239" t="e">
        <f t="shared" si="43"/>
        <v>#DIV/0!</v>
      </c>
      <c r="AG49" s="319"/>
      <c r="AH49" s="239" t="e">
        <f t="shared" si="44"/>
        <v>#DIV/0!</v>
      </c>
      <c r="AI49" s="319"/>
      <c r="AJ49" s="239" t="e">
        <f t="shared" si="45"/>
        <v>#DIV/0!</v>
      </c>
      <c r="AK49" s="319"/>
      <c r="AL49" s="239" t="e">
        <f t="shared" si="46"/>
        <v>#DIV/0!</v>
      </c>
    </row>
    <row r="50" spans="2:38" s="73" customFormat="1" ht="13.5">
      <c r="B50" s="510"/>
      <c r="C50" s="507"/>
      <c r="D50" s="171">
        <v>46092</v>
      </c>
      <c r="E50" s="171" t="s">
        <v>88</v>
      </c>
      <c r="F50" s="336"/>
      <c r="G50" s="522"/>
      <c r="H50" s="520"/>
      <c r="I50" s="429"/>
      <c r="J50" s="239" t="e">
        <f t="shared" si="29"/>
        <v>#DIV/0!</v>
      </c>
      <c r="K50" s="319"/>
      <c r="L50" s="239" t="e">
        <f t="shared" si="30"/>
        <v>#DIV/0!</v>
      </c>
      <c r="M50" s="224">
        <f t="shared" si="31"/>
        <v>0</v>
      </c>
      <c r="N50" s="239" t="e">
        <f t="shared" si="32"/>
        <v>#DIV/0!</v>
      </c>
      <c r="O50" s="319"/>
      <c r="P50" s="239" t="e">
        <f t="shared" si="33"/>
        <v>#DIV/0!</v>
      </c>
      <c r="Q50" s="319"/>
      <c r="R50" s="239" t="e">
        <f t="shared" si="34"/>
        <v>#DIV/0!</v>
      </c>
      <c r="S50" s="224">
        <f t="shared" si="35"/>
        <v>0</v>
      </c>
      <c r="T50" s="239" t="e">
        <f t="shared" si="36"/>
        <v>#DIV/0!</v>
      </c>
      <c r="U50" s="319"/>
      <c r="V50" s="239" t="e">
        <f t="shared" si="37"/>
        <v>#DIV/0!</v>
      </c>
      <c r="W50" s="319"/>
      <c r="X50" s="239" t="e">
        <f t="shared" si="38"/>
        <v>#DIV/0!</v>
      </c>
      <c r="Y50" s="319"/>
      <c r="Z50" s="239" t="e">
        <f t="shared" si="39"/>
        <v>#DIV/0!</v>
      </c>
      <c r="AA50" s="319"/>
      <c r="AB50" s="239" t="e">
        <f t="shared" si="40"/>
        <v>#DIV/0!</v>
      </c>
      <c r="AC50" s="224">
        <f t="shared" si="41"/>
        <v>0</v>
      </c>
      <c r="AD50" s="239" t="e">
        <f t="shared" si="42"/>
        <v>#DIV/0!</v>
      </c>
      <c r="AE50" s="319"/>
      <c r="AF50" s="239" t="e">
        <f t="shared" si="43"/>
        <v>#DIV/0!</v>
      </c>
      <c r="AG50" s="319"/>
      <c r="AH50" s="239" t="e">
        <f t="shared" si="44"/>
        <v>#DIV/0!</v>
      </c>
      <c r="AI50" s="319"/>
      <c r="AJ50" s="239" t="e">
        <f t="shared" si="45"/>
        <v>#DIV/0!</v>
      </c>
      <c r="AK50" s="319"/>
      <c r="AL50" s="239" t="e">
        <f t="shared" si="46"/>
        <v>#DIV/0!</v>
      </c>
    </row>
    <row r="51" spans="2:38" s="73" customFormat="1" ht="13.5">
      <c r="B51" s="510"/>
      <c r="C51" s="507"/>
      <c r="D51" s="171">
        <v>46093</v>
      </c>
      <c r="E51" s="171" t="s">
        <v>89</v>
      </c>
      <c r="F51" s="336"/>
      <c r="G51" s="522"/>
      <c r="H51" s="520"/>
      <c r="I51" s="429"/>
      <c r="J51" s="239" t="e">
        <f t="shared" si="29"/>
        <v>#DIV/0!</v>
      </c>
      <c r="K51" s="319"/>
      <c r="L51" s="239" t="e">
        <f t="shared" si="30"/>
        <v>#DIV/0!</v>
      </c>
      <c r="M51" s="224">
        <f t="shared" si="31"/>
        <v>0</v>
      </c>
      <c r="N51" s="239" t="e">
        <f t="shared" si="32"/>
        <v>#DIV/0!</v>
      </c>
      <c r="O51" s="319"/>
      <c r="P51" s="239" t="e">
        <f t="shared" si="33"/>
        <v>#DIV/0!</v>
      </c>
      <c r="Q51" s="319"/>
      <c r="R51" s="239" t="e">
        <f t="shared" si="34"/>
        <v>#DIV/0!</v>
      </c>
      <c r="S51" s="224">
        <f t="shared" si="35"/>
        <v>0</v>
      </c>
      <c r="T51" s="239" t="e">
        <f t="shared" si="36"/>
        <v>#DIV/0!</v>
      </c>
      <c r="U51" s="319"/>
      <c r="V51" s="239" t="e">
        <f t="shared" si="37"/>
        <v>#DIV/0!</v>
      </c>
      <c r="W51" s="319"/>
      <c r="X51" s="239" t="e">
        <f t="shared" si="38"/>
        <v>#DIV/0!</v>
      </c>
      <c r="Y51" s="319"/>
      <c r="Z51" s="239" t="e">
        <f t="shared" si="39"/>
        <v>#DIV/0!</v>
      </c>
      <c r="AA51" s="319"/>
      <c r="AB51" s="239" t="e">
        <f t="shared" si="40"/>
        <v>#DIV/0!</v>
      </c>
      <c r="AC51" s="224">
        <f t="shared" si="41"/>
        <v>0</v>
      </c>
      <c r="AD51" s="239" t="e">
        <f t="shared" si="42"/>
        <v>#DIV/0!</v>
      </c>
      <c r="AE51" s="319"/>
      <c r="AF51" s="239" t="e">
        <f t="shared" si="43"/>
        <v>#DIV/0!</v>
      </c>
      <c r="AG51" s="319"/>
      <c r="AH51" s="239" t="e">
        <f t="shared" si="44"/>
        <v>#DIV/0!</v>
      </c>
      <c r="AI51" s="319"/>
      <c r="AJ51" s="239" t="e">
        <f t="shared" si="45"/>
        <v>#DIV/0!</v>
      </c>
      <c r="AK51" s="319"/>
      <c r="AL51" s="239" t="e">
        <f t="shared" si="46"/>
        <v>#DIV/0!</v>
      </c>
    </row>
    <row r="52" spans="2:38" s="73" customFormat="1" ht="13.5">
      <c r="B52" s="510"/>
      <c r="C52" s="507"/>
      <c r="D52" s="171">
        <v>46094</v>
      </c>
      <c r="E52" s="171" t="s">
        <v>90</v>
      </c>
      <c r="F52" s="336"/>
      <c r="G52" s="522"/>
      <c r="H52" s="520"/>
      <c r="I52" s="429"/>
      <c r="J52" s="239" t="e">
        <f t="shared" si="29"/>
        <v>#DIV/0!</v>
      </c>
      <c r="K52" s="319"/>
      <c r="L52" s="239" t="e">
        <f t="shared" si="30"/>
        <v>#DIV/0!</v>
      </c>
      <c r="M52" s="224">
        <f t="shared" si="31"/>
        <v>0</v>
      </c>
      <c r="N52" s="239" t="e">
        <f t="shared" si="32"/>
        <v>#DIV/0!</v>
      </c>
      <c r="O52" s="319"/>
      <c r="P52" s="239" t="e">
        <f t="shared" si="33"/>
        <v>#DIV/0!</v>
      </c>
      <c r="Q52" s="319"/>
      <c r="R52" s="239" t="e">
        <f t="shared" si="34"/>
        <v>#DIV/0!</v>
      </c>
      <c r="S52" s="224">
        <f t="shared" si="35"/>
        <v>0</v>
      </c>
      <c r="T52" s="239" t="e">
        <f t="shared" si="36"/>
        <v>#DIV/0!</v>
      </c>
      <c r="U52" s="319"/>
      <c r="V52" s="239" t="e">
        <f t="shared" si="37"/>
        <v>#DIV/0!</v>
      </c>
      <c r="W52" s="319"/>
      <c r="X52" s="239" t="e">
        <f t="shared" si="38"/>
        <v>#DIV/0!</v>
      </c>
      <c r="Y52" s="319"/>
      <c r="Z52" s="239" t="e">
        <f t="shared" si="39"/>
        <v>#DIV/0!</v>
      </c>
      <c r="AA52" s="319"/>
      <c r="AB52" s="239" t="e">
        <f t="shared" si="40"/>
        <v>#DIV/0!</v>
      </c>
      <c r="AC52" s="224">
        <f t="shared" si="41"/>
        <v>0</v>
      </c>
      <c r="AD52" s="239" t="e">
        <f t="shared" si="42"/>
        <v>#DIV/0!</v>
      </c>
      <c r="AE52" s="319"/>
      <c r="AF52" s="239" t="e">
        <f t="shared" si="43"/>
        <v>#DIV/0!</v>
      </c>
      <c r="AG52" s="319"/>
      <c r="AH52" s="239" t="e">
        <f t="shared" si="44"/>
        <v>#DIV/0!</v>
      </c>
      <c r="AI52" s="319"/>
      <c r="AJ52" s="239" t="e">
        <f t="shared" si="45"/>
        <v>#DIV/0!</v>
      </c>
      <c r="AK52" s="319"/>
      <c r="AL52" s="239" t="e">
        <f t="shared" si="46"/>
        <v>#DIV/0!</v>
      </c>
    </row>
    <row r="53" spans="2:38" s="73" customFormat="1" ht="13.5" collapsed="1">
      <c r="B53" s="510"/>
      <c r="C53" s="507"/>
      <c r="D53" s="171">
        <v>46095</v>
      </c>
      <c r="E53" s="171" t="s">
        <v>91</v>
      </c>
      <c r="F53" s="336"/>
      <c r="G53" s="522"/>
      <c r="H53" s="520"/>
      <c r="I53" s="429"/>
      <c r="J53" s="239" t="e">
        <f t="shared" si="29"/>
        <v>#DIV/0!</v>
      </c>
      <c r="K53" s="319"/>
      <c r="L53" s="239" t="e">
        <f t="shared" si="30"/>
        <v>#DIV/0!</v>
      </c>
      <c r="M53" s="224">
        <f t="shared" si="31"/>
        <v>0</v>
      </c>
      <c r="N53" s="239" t="e">
        <f t="shared" si="32"/>
        <v>#DIV/0!</v>
      </c>
      <c r="O53" s="319"/>
      <c r="P53" s="239" t="e">
        <f t="shared" si="33"/>
        <v>#DIV/0!</v>
      </c>
      <c r="Q53" s="319"/>
      <c r="R53" s="239" t="e">
        <f t="shared" si="34"/>
        <v>#DIV/0!</v>
      </c>
      <c r="S53" s="224">
        <f t="shared" si="35"/>
        <v>0</v>
      </c>
      <c r="T53" s="239" t="e">
        <f t="shared" si="36"/>
        <v>#DIV/0!</v>
      </c>
      <c r="U53" s="319"/>
      <c r="V53" s="239" t="e">
        <f t="shared" si="37"/>
        <v>#DIV/0!</v>
      </c>
      <c r="W53" s="319"/>
      <c r="X53" s="239" t="e">
        <f t="shared" si="38"/>
        <v>#DIV/0!</v>
      </c>
      <c r="Y53" s="319"/>
      <c r="Z53" s="239" t="e">
        <f t="shared" si="39"/>
        <v>#DIV/0!</v>
      </c>
      <c r="AA53" s="319"/>
      <c r="AB53" s="239" t="e">
        <f t="shared" si="40"/>
        <v>#DIV/0!</v>
      </c>
      <c r="AC53" s="224">
        <f t="shared" si="41"/>
        <v>0</v>
      </c>
      <c r="AD53" s="239" t="e">
        <f t="shared" si="42"/>
        <v>#DIV/0!</v>
      </c>
      <c r="AE53" s="319"/>
      <c r="AF53" s="239" t="e">
        <f t="shared" si="43"/>
        <v>#DIV/0!</v>
      </c>
      <c r="AG53" s="319"/>
      <c r="AH53" s="239" t="e">
        <f t="shared" si="44"/>
        <v>#DIV/0!</v>
      </c>
      <c r="AI53" s="319"/>
      <c r="AJ53" s="239" t="e">
        <f t="shared" si="45"/>
        <v>#DIV/0!</v>
      </c>
      <c r="AK53" s="319"/>
      <c r="AL53" s="239" t="e">
        <f t="shared" si="46"/>
        <v>#DIV/0!</v>
      </c>
    </row>
    <row r="54" spans="2:38" s="73" customFormat="1" ht="13.5">
      <c r="B54" s="510"/>
      <c r="C54" s="507"/>
      <c r="D54" s="171">
        <v>46096</v>
      </c>
      <c r="E54" s="171" t="s">
        <v>84</v>
      </c>
      <c r="F54" s="336"/>
      <c r="G54" s="522"/>
      <c r="H54" s="520"/>
      <c r="I54" s="429"/>
      <c r="J54" s="239" t="e">
        <f t="shared" si="29"/>
        <v>#DIV/0!</v>
      </c>
      <c r="K54" s="319"/>
      <c r="L54" s="239" t="e">
        <f t="shared" si="30"/>
        <v>#DIV/0!</v>
      </c>
      <c r="M54" s="224">
        <f t="shared" si="31"/>
        <v>0</v>
      </c>
      <c r="N54" s="239" t="e">
        <f t="shared" si="32"/>
        <v>#DIV/0!</v>
      </c>
      <c r="O54" s="319"/>
      <c r="P54" s="239" t="e">
        <f t="shared" si="33"/>
        <v>#DIV/0!</v>
      </c>
      <c r="Q54" s="319"/>
      <c r="R54" s="239" t="e">
        <f t="shared" si="34"/>
        <v>#DIV/0!</v>
      </c>
      <c r="S54" s="224">
        <f t="shared" si="35"/>
        <v>0</v>
      </c>
      <c r="T54" s="239" t="e">
        <f t="shared" si="36"/>
        <v>#DIV/0!</v>
      </c>
      <c r="U54" s="319"/>
      <c r="V54" s="239" t="e">
        <f t="shared" si="37"/>
        <v>#DIV/0!</v>
      </c>
      <c r="W54" s="319"/>
      <c r="X54" s="239" t="e">
        <f t="shared" si="38"/>
        <v>#DIV/0!</v>
      </c>
      <c r="Y54" s="319"/>
      <c r="Z54" s="239" t="e">
        <f t="shared" si="39"/>
        <v>#DIV/0!</v>
      </c>
      <c r="AA54" s="319"/>
      <c r="AB54" s="239" t="e">
        <f t="shared" si="40"/>
        <v>#DIV/0!</v>
      </c>
      <c r="AC54" s="224">
        <f t="shared" si="41"/>
        <v>0</v>
      </c>
      <c r="AD54" s="239" t="e">
        <f t="shared" si="42"/>
        <v>#DIV/0!</v>
      </c>
      <c r="AE54" s="319"/>
      <c r="AF54" s="239" t="e">
        <f t="shared" si="43"/>
        <v>#DIV/0!</v>
      </c>
      <c r="AG54" s="319"/>
      <c r="AH54" s="239" t="e">
        <f t="shared" si="44"/>
        <v>#DIV/0!</v>
      </c>
      <c r="AI54" s="319"/>
      <c r="AJ54" s="239" t="e">
        <f t="shared" si="45"/>
        <v>#DIV/0!</v>
      </c>
      <c r="AK54" s="319"/>
      <c r="AL54" s="239" t="e">
        <f t="shared" si="46"/>
        <v>#DIV/0!</v>
      </c>
    </row>
    <row r="55" spans="2:38" s="73" customFormat="1" ht="13.5">
      <c r="B55" s="511"/>
      <c r="C55" s="507"/>
      <c r="D55" s="171">
        <v>46097</v>
      </c>
      <c r="E55" s="171" t="s">
        <v>92</v>
      </c>
      <c r="F55" s="336"/>
      <c r="G55" s="522"/>
      <c r="H55" s="520"/>
      <c r="I55" s="429"/>
      <c r="J55" s="239" t="e">
        <f t="shared" si="29"/>
        <v>#DIV/0!</v>
      </c>
      <c r="K55" s="319"/>
      <c r="L55" s="239" t="e">
        <f t="shared" si="30"/>
        <v>#DIV/0!</v>
      </c>
      <c r="M55" s="224">
        <f t="shared" si="31"/>
        <v>0</v>
      </c>
      <c r="N55" s="239" t="e">
        <f t="shared" si="32"/>
        <v>#DIV/0!</v>
      </c>
      <c r="O55" s="319"/>
      <c r="P55" s="239" t="e">
        <f t="shared" si="33"/>
        <v>#DIV/0!</v>
      </c>
      <c r="Q55" s="319"/>
      <c r="R55" s="239" t="e">
        <f t="shared" si="34"/>
        <v>#DIV/0!</v>
      </c>
      <c r="S55" s="224">
        <f t="shared" si="35"/>
        <v>0</v>
      </c>
      <c r="T55" s="239" t="e">
        <f t="shared" si="36"/>
        <v>#DIV/0!</v>
      </c>
      <c r="U55" s="319"/>
      <c r="V55" s="239" t="e">
        <f t="shared" si="37"/>
        <v>#DIV/0!</v>
      </c>
      <c r="W55" s="319"/>
      <c r="X55" s="239" t="e">
        <f t="shared" si="38"/>
        <v>#DIV/0!</v>
      </c>
      <c r="Y55" s="319"/>
      <c r="Z55" s="239" t="e">
        <f t="shared" si="39"/>
        <v>#DIV/0!</v>
      </c>
      <c r="AA55" s="319"/>
      <c r="AB55" s="239" t="e">
        <f t="shared" si="40"/>
        <v>#DIV/0!</v>
      </c>
      <c r="AC55" s="224">
        <f t="shared" si="41"/>
        <v>0</v>
      </c>
      <c r="AD55" s="239" t="e">
        <f t="shared" si="42"/>
        <v>#DIV/0!</v>
      </c>
      <c r="AE55" s="319"/>
      <c r="AF55" s="239" t="e">
        <f t="shared" si="43"/>
        <v>#DIV/0!</v>
      </c>
      <c r="AG55" s="319"/>
      <c r="AH55" s="239" t="e">
        <f t="shared" si="44"/>
        <v>#DIV/0!</v>
      </c>
      <c r="AI55" s="319"/>
      <c r="AJ55" s="239" t="e">
        <f t="shared" si="45"/>
        <v>#DIV/0!</v>
      </c>
      <c r="AK55" s="319"/>
      <c r="AL55" s="239" t="e">
        <f t="shared" si="46"/>
        <v>#DIV/0!</v>
      </c>
    </row>
    <row r="56" spans="2:38" s="73" customFormat="1" ht="13.5">
      <c r="B56" s="509">
        <f>B49+7</f>
        <v>46106</v>
      </c>
      <c r="C56" s="507"/>
      <c r="D56" s="171">
        <v>46098</v>
      </c>
      <c r="E56" s="171" t="s">
        <v>87</v>
      </c>
      <c r="F56" s="336"/>
      <c r="G56" s="522">
        <f t="shared" ref="G56" si="48">SUM(F56:F62)</f>
        <v>0</v>
      </c>
      <c r="H56" s="520"/>
      <c r="I56" s="429"/>
      <c r="J56" s="239" t="e">
        <f t="shared" si="29"/>
        <v>#DIV/0!</v>
      </c>
      <c r="K56" s="319"/>
      <c r="L56" s="239" t="e">
        <f t="shared" si="30"/>
        <v>#DIV/0!</v>
      </c>
      <c r="M56" s="224">
        <f t="shared" si="31"/>
        <v>0</v>
      </c>
      <c r="N56" s="239" t="e">
        <f t="shared" si="32"/>
        <v>#DIV/0!</v>
      </c>
      <c r="O56" s="319"/>
      <c r="P56" s="239" t="e">
        <f t="shared" si="33"/>
        <v>#DIV/0!</v>
      </c>
      <c r="Q56" s="319"/>
      <c r="R56" s="239" t="e">
        <f t="shared" si="34"/>
        <v>#DIV/0!</v>
      </c>
      <c r="S56" s="224">
        <f t="shared" si="35"/>
        <v>0</v>
      </c>
      <c r="T56" s="239" t="e">
        <f t="shared" si="36"/>
        <v>#DIV/0!</v>
      </c>
      <c r="U56" s="319"/>
      <c r="V56" s="239" t="e">
        <f t="shared" si="37"/>
        <v>#DIV/0!</v>
      </c>
      <c r="W56" s="319"/>
      <c r="X56" s="239" t="e">
        <f t="shared" si="38"/>
        <v>#DIV/0!</v>
      </c>
      <c r="Y56" s="319"/>
      <c r="Z56" s="239" t="e">
        <f t="shared" si="39"/>
        <v>#DIV/0!</v>
      </c>
      <c r="AA56" s="319"/>
      <c r="AB56" s="239" t="e">
        <f t="shared" si="40"/>
        <v>#DIV/0!</v>
      </c>
      <c r="AC56" s="224">
        <f t="shared" si="41"/>
        <v>0</v>
      </c>
      <c r="AD56" s="239" t="e">
        <f t="shared" si="42"/>
        <v>#DIV/0!</v>
      </c>
      <c r="AE56" s="319"/>
      <c r="AF56" s="239" t="e">
        <f t="shared" si="43"/>
        <v>#DIV/0!</v>
      </c>
      <c r="AG56" s="319"/>
      <c r="AH56" s="239" t="e">
        <f t="shared" si="44"/>
        <v>#DIV/0!</v>
      </c>
      <c r="AI56" s="319"/>
      <c r="AJ56" s="239" t="e">
        <f t="shared" si="45"/>
        <v>#DIV/0!</v>
      </c>
      <c r="AK56" s="319"/>
      <c r="AL56" s="239" t="e">
        <f t="shared" si="46"/>
        <v>#DIV/0!</v>
      </c>
    </row>
    <row r="57" spans="2:38" s="73" customFormat="1" ht="13.5">
      <c r="B57" s="510"/>
      <c r="C57" s="507"/>
      <c r="D57" s="171">
        <v>46099</v>
      </c>
      <c r="E57" s="171" t="s">
        <v>88</v>
      </c>
      <c r="F57" s="336"/>
      <c r="G57" s="522"/>
      <c r="H57" s="520"/>
      <c r="I57" s="429"/>
      <c r="J57" s="239" t="e">
        <f t="shared" si="29"/>
        <v>#DIV/0!</v>
      </c>
      <c r="K57" s="319"/>
      <c r="L57" s="239" t="e">
        <f t="shared" si="30"/>
        <v>#DIV/0!</v>
      </c>
      <c r="M57" s="224">
        <f t="shared" si="31"/>
        <v>0</v>
      </c>
      <c r="N57" s="239" t="e">
        <f t="shared" si="32"/>
        <v>#DIV/0!</v>
      </c>
      <c r="O57" s="319"/>
      <c r="P57" s="239" t="e">
        <f t="shared" si="33"/>
        <v>#DIV/0!</v>
      </c>
      <c r="Q57" s="319"/>
      <c r="R57" s="239" t="e">
        <f t="shared" si="34"/>
        <v>#DIV/0!</v>
      </c>
      <c r="S57" s="224">
        <f t="shared" si="35"/>
        <v>0</v>
      </c>
      <c r="T57" s="239" t="e">
        <f t="shared" si="36"/>
        <v>#DIV/0!</v>
      </c>
      <c r="U57" s="319"/>
      <c r="V57" s="239" t="e">
        <f t="shared" si="37"/>
        <v>#DIV/0!</v>
      </c>
      <c r="W57" s="319"/>
      <c r="X57" s="239" t="e">
        <f t="shared" si="38"/>
        <v>#DIV/0!</v>
      </c>
      <c r="Y57" s="319"/>
      <c r="Z57" s="239" t="e">
        <f t="shared" si="39"/>
        <v>#DIV/0!</v>
      </c>
      <c r="AA57" s="319"/>
      <c r="AB57" s="239" t="e">
        <f t="shared" si="40"/>
        <v>#DIV/0!</v>
      </c>
      <c r="AC57" s="224">
        <f t="shared" si="41"/>
        <v>0</v>
      </c>
      <c r="AD57" s="239" t="e">
        <f t="shared" si="42"/>
        <v>#DIV/0!</v>
      </c>
      <c r="AE57" s="319"/>
      <c r="AF57" s="239" t="e">
        <f t="shared" si="43"/>
        <v>#DIV/0!</v>
      </c>
      <c r="AG57" s="319"/>
      <c r="AH57" s="239" t="e">
        <f t="shared" si="44"/>
        <v>#DIV/0!</v>
      </c>
      <c r="AI57" s="319"/>
      <c r="AJ57" s="239" t="e">
        <f t="shared" si="45"/>
        <v>#DIV/0!</v>
      </c>
      <c r="AK57" s="319"/>
      <c r="AL57" s="239" t="e">
        <f t="shared" si="46"/>
        <v>#DIV/0!</v>
      </c>
    </row>
    <row r="58" spans="2:38" s="73" customFormat="1" ht="13.5">
      <c r="B58" s="510"/>
      <c r="C58" s="507"/>
      <c r="D58" s="171">
        <v>46100</v>
      </c>
      <c r="E58" s="171" t="s">
        <v>89</v>
      </c>
      <c r="F58" s="336"/>
      <c r="G58" s="522"/>
      <c r="H58" s="520"/>
      <c r="I58" s="429"/>
      <c r="J58" s="239" t="e">
        <f t="shared" si="29"/>
        <v>#DIV/0!</v>
      </c>
      <c r="K58" s="319"/>
      <c r="L58" s="239" t="e">
        <f t="shared" si="30"/>
        <v>#DIV/0!</v>
      </c>
      <c r="M58" s="224">
        <f t="shared" si="31"/>
        <v>0</v>
      </c>
      <c r="N58" s="239" t="e">
        <f t="shared" si="32"/>
        <v>#DIV/0!</v>
      </c>
      <c r="O58" s="319"/>
      <c r="P58" s="239" t="e">
        <f t="shared" si="33"/>
        <v>#DIV/0!</v>
      </c>
      <c r="Q58" s="319"/>
      <c r="R58" s="239" t="e">
        <f t="shared" si="34"/>
        <v>#DIV/0!</v>
      </c>
      <c r="S58" s="224">
        <f t="shared" si="35"/>
        <v>0</v>
      </c>
      <c r="T58" s="239" t="e">
        <f t="shared" si="36"/>
        <v>#DIV/0!</v>
      </c>
      <c r="U58" s="319"/>
      <c r="V58" s="239" t="e">
        <f t="shared" si="37"/>
        <v>#DIV/0!</v>
      </c>
      <c r="W58" s="319"/>
      <c r="X58" s="239" t="e">
        <f t="shared" si="38"/>
        <v>#DIV/0!</v>
      </c>
      <c r="Y58" s="319"/>
      <c r="Z58" s="239" t="e">
        <f t="shared" si="39"/>
        <v>#DIV/0!</v>
      </c>
      <c r="AA58" s="319"/>
      <c r="AB58" s="239" t="e">
        <f t="shared" si="40"/>
        <v>#DIV/0!</v>
      </c>
      <c r="AC58" s="224">
        <f t="shared" si="41"/>
        <v>0</v>
      </c>
      <c r="AD58" s="239" t="e">
        <f t="shared" si="42"/>
        <v>#DIV/0!</v>
      </c>
      <c r="AE58" s="319"/>
      <c r="AF58" s="239" t="e">
        <f t="shared" si="43"/>
        <v>#DIV/0!</v>
      </c>
      <c r="AG58" s="319"/>
      <c r="AH58" s="239" t="e">
        <f t="shared" si="44"/>
        <v>#DIV/0!</v>
      </c>
      <c r="AI58" s="319"/>
      <c r="AJ58" s="239" t="e">
        <f t="shared" si="45"/>
        <v>#DIV/0!</v>
      </c>
      <c r="AK58" s="319"/>
      <c r="AL58" s="239" t="e">
        <f t="shared" si="46"/>
        <v>#DIV/0!</v>
      </c>
    </row>
    <row r="59" spans="2:38" s="73" customFormat="1" ht="13.5">
      <c r="B59" s="510"/>
      <c r="C59" s="507"/>
      <c r="D59" s="171">
        <v>46101</v>
      </c>
      <c r="E59" s="171" t="s">
        <v>90</v>
      </c>
      <c r="F59" s="336"/>
      <c r="G59" s="522"/>
      <c r="H59" s="520"/>
      <c r="I59" s="429"/>
      <c r="J59" s="239" t="e">
        <f t="shared" si="29"/>
        <v>#DIV/0!</v>
      </c>
      <c r="K59" s="319"/>
      <c r="L59" s="239" t="e">
        <f t="shared" si="30"/>
        <v>#DIV/0!</v>
      </c>
      <c r="M59" s="224">
        <f t="shared" si="31"/>
        <v>0</v>
      </c>
      <c r="N59" s="239" t="e">
        <f t="shared" si="32"/>
        <v>#DIV/0!</v>
      </c>
      <c r="O59" s="319"/>
      <c r="P59" s="239" t="e">
        <f t="shared" si="33"/>
        <v>#DIV/0!</v>
      </c>
      <c r="Q59" s="319"/>
      <c r="R59" s="239" t="e">
        <f t="shared" si="34"/>
        <v>#DIV/0!</v>
      </c>
      <c r="S59" s="224">
        <f t="shared" si="35"/>
        <v>0</v>
      </c>
      <c r="T59" s="239" t="e">
        <f t="shared" si="36"/>
        <v>#DIV/0!</v>
      </c>
      <c r="U59" s="319"/>
      <c r="V59" s="239" t="e">
        <f t="shared" si="37"/>
        <v>#DIV/0!</v>
      </c>
      <c r="W59" s="319"/>
      <c r="X59" s="239" t="e">
        <f t="shared" si="38"/>
        <v>#DIV/0!</v>
      </c>
      <c r="Y59" s="319"/>
      <c r="Z59" s="239" t="e">
        <f t="shared" si="39"/>
        <v>#DIV/0!</v>
      </c>
      <c r="AA59" s="319"/>
      <c r="AB59" s="239" t="e">
        <f t="shared" si="40"/>
        <v>#DIV/0!</v>
      </c>
      <c r="AC59" s="224">
        <f t="shared" si="41"/>
        <v>0</v>
      </c>
      <c r="AD59" s="239" t="e">
        <f t="shared" si="42"/>
        <v>#DIV/0!</v>
      </c>
      <c r="AE59" s="319"/>
      <c r="AF59" s="239" t="e">
        <f t="shared" si="43"/>
        <v>#DIV/0!</v>
      </c>
      <c r="AG59" s="319"/>
      <c r="AH59" s="239" t="e">
        <f t="shared" si="44"/>
        <v>#DIV/0!</v>
      </c>
      <c r="AI59" s="319"/>
      <c r="AJ59" s="239" t="e">
        <f t="shared" si="45"/>
        <v>#DIV/0!</v>
      </c>
      <c r="AK59" s="319"/>
      <c r="AL59" s="239" t="e">
        <f t="shared" si="46"/>
        <v>#DIV/0!</v>
      </c>
    </row>
    <row r="60" spans="2:38" s="73" customFormat="1" ht="13.5" collapsed="1">
      <c r="B60" s="510"/>
      <c r="C60" s="507"/>
      <c r="D60" s="171">
        <v>46102</v>
      </c>
      <c r="E60" s="171" t="s">
        <v>91</v>
      </c>
      <c r="F60" s="336"/>
      <c r="G60" s="522"/>
      <c r="H60" s="520"/>
      <c r="I60" s="429"/>
      <c r="J60" s="239" t="e">
        <f t="shared" si="29"/>
        <v>#DIV/0!</v>
      </c>
      <c r="K60" s="319"/>
      <c r="L60" s="239" t="e">
        <f t="shared" si="30"/>
        <v>#DIV/0!</v>
      </c>
      <c r="M60" s="224">
        <f t="shared" si="31"/>
        <v>0</v>
      </c>
      <c r="N60" s="239" t="e">
        <f t="shared" si="32"/>
        <v>#DIV/0!</v>
      </c>
      <c r="O60" s="319"/>
      <c r="P60" s="239" t="e">
        <f t="shared" si="33"/>
        <v>#DIV/0!</v>
      </c>
      <c r="Q60" s="319"/>
      <c r="R60" s="239" t="e">
        <f t="shared" si="34"/>
        <v>#DIV/0!</v>
      </c>
      <c r="S60" s="224">
        <f t="shared" si="35"/>
        <v>0</v>
      </c>
      <c r="T60" s="239" t="e">
        <f t="shared" si="36"/>
        <v>#DIV/0!</v>
      </c>
      <c r="U60" s="319"/>
      <c r="V60" s="239" t="e">
        <f t="shared" si="37"/>
        <v>#DIV/0!</v>
      </c>
      <c r="W60" s="319"/>
      <c r="X60" s="239" t="e">
        <f t="shared" si="38"/>
        <v>#DIV/0!</v>
      </c>
      <c r="Y60" s="319"/>
      <c r="Z60" s="239" t="e">
        <f t="shared" si="39"/>
        <v>#DIV/0!</v>
      </c>
      <c r="AA60" s="319"/>
      <c r="AB60" s="239" t="e">
        <f t="shared" si="40"/>
        <v>#DIV/0!</v>
      </c>
      <c r="AC60" s="224">
        <f t="shared" si="41"/>
        <v>0</v>
      </c>
      <c r="AD60" s="239" t="e">
        <f t="shared" si="42"/>
        <v>#DIV/0!</v>
      </c>
      <c r="AE60" s="319"/>
      <c r="AF60" s="239" t="e">
        <f t="shared" si="43"/>
        <v>#DIV/0!</v>
      </c>
      <c r="AG60" s="319"/>
      <c r="AH60" s="239" t="e">
        <f t="shared" si="44"/>
        <v>#DIV/0!</v>
      </c>
      <c r="AI60" s="319"/>
      <c r="AJ60" s="239" t="e">
        <f t="shared" si="45"/>
        <v>#DIV/0!</v>
      </c>
      <c r="AK60" s="319"/>
      <c r="AL60" s="239" t="e">
        <f t="shared" si="46"/>
        <v>#DIV/0!</v>
      </c>
    </row>
    <row r="61" spans="2:38" s="73" customFormat="1" ht="13.5">
      <c r="B61" s="510"/>
      <c r="C61" s="507"/>
      <c r="D61" s="171">
        <v>46103</v>
      </c>
      <c r="E61" s="171" t="s">
        <v>84</v>
      </c>
      <c r="F61" s="336"/>
      <c r="G61" s="522"/>
      <c r="H61" s="520"/>
      <c r="I61" s="429"/>
      <c r="J61" s="239" t="e">
        <f t="shared" si="29"/>
        <v>#DIV/0!</v>
      </c>
      <c r="K61" s="319"/>
      <c r="L61" s="239" t="e">
        <f t="shared" si="30"/>
        <v>#DIV/0!</v>
      </c>
      <c r="M61" s="224">
        <f t="shared" si="31"/>
        <v>0</v>
      </c>
      <c r="N61" s="239" t="e">
        <f t="shared" si="32"/>
        <v>#DIV/0!</v>
      </c>
      <c r="O61" s="319"/>
      <c r="P61" s="239" t="e">
        <f t="shared" si="33"/>
        <v>#DIV/0!</v>
      </c>
      <c r="Q61" s="319"/>
      <c r="R61" s="239" t="e">
        <f t="shared" si="34"/>
        <v>#DIV/0!</v>
      </c>
      <c r="S61" s="224">
        <f t="shared" si="35"/>
        <v>0</v>
      </c>
      <c r="T61" s="239" t="e">
        <f t="shared" si="36"/>
        <v>#DIV/0!</v>
      </c>
      <c r="U61" s="319"/>
      <c r="V61" s="239" t="e">
        <f t="shared" si="37"/>
        <v>#DIV/0!</v>
      </c>
      <c r="W61" s="319"/>
      <c r="X61" s="239" t="e">
        <f t="shared" si="38"/>
        <v>#DIV/0!</v>
      </c>
      <c r="Y61" s="319"/>
      <c r="Z61" s="239" t="e">
        <f t="shared" si="39"/>
        <v>#DIV/0!</v>
      </c>
      <c r="AA61" s="319"/>
      <c r="AB61" s="239" t="e">
        <f t="shared" si="40"/>
        <v>#DIV/0!</v>
      </c>
      <c r="AC61" s="224">
        <f t="shared" si="41"/>
        <v>0</v>
      </c>
      <c r="AD61" s="239" t="e">
        <f t="shared" si="42"/>
        <v>#DIV/0!</v>
      </c>
      <c r="AE61" s="319"/>
      <c r="AF61" s="239" t="e">
        <f t="shared" si="43"/>
        <v>#DIV/0!</v>
      </c>
      <c r="AG61" s="319"/>
      <c r="AH61" s="239" t="e">
        <f t="shared" si="44"/>
        <v>#DIV/0!</v>
      </c>
      <c r="AI61" s="319"/>
      <c r="AJ61" s="239" t="e">
        <f t="shared" si="45"/>
        <v>#DIV/0!</v>
      </c>
      <c r="AK61" s="319"/>
      <c r="AL61" s="239" t="e">
        <f t="shared" si="46"/>
        <v>#DIV/0!</v>
      </c>
    </row>
    <row r="62" spans="2:38" s="73" customFormat="1" ht="13.5">
      <c r="B62" s="511"/>
      <c r="C62" s="507"/>
      <c r="D62" s="171">
        <v>46104</v>
      </c>
      <c r="E62" s="171" t="s">
        <v>92</v>
      </c>
      <c r="F62" s="336"/>
      <c r="G62" s="522"/>
      <c r="H62" s="520"/>
      <c r="I62" s="429"/>
      <c r="J62" s="239" t="e">
        <f t="shared" si="29"/>
        <v>#DIV/0!</v>
      </c>
      <c r="K62" s="319"/>
      <c r="L62" s="239" t="e">
        <f t="shared" si="30"/>
        <v>#DIV/0!</v>
      </c>
      <c r="M62" s="224">
        <f t="shared" si="31"/>
        <v>0</v>
      </c>
      <c r="N62" s="239" t="e">
        <f t="shared" si="32"/>
        <v>#DIV/0!</v>
      </c>
      <c r="O62" s="319"/>
      <c r="P62" s="239" t="e">
        <f t="shared" si="33"/>
        <v>#DIV/0!</v>
      </c>
      <c r="Q62" s="319"/>
      <c r="R62" s="239" t="e">
        <f t="shared" si="34"/>
        <v>#DIV/0!</v>
      </c>
      <c r="S62" s="224">
        <f t="shared" si="35"/>
        <v>0</v>
      </c>
      <c r="T62" s="239" t="e">
        <f t="shared" si="36"/>
        <v>#DIV/0!</v>
      </c>
      <c r="U62" s="319"/>
      <c r="V62" s="239" t="e">
        <f t="shared" si="37"/>
        <v>#DIV/0!</v>
      </c>
      <c r="W62" s="319"/>
      <c r="X62" s="239" t="e">
        <f t="shared" si="38"/>
        <v>#DIV/0!</v>
      </c>
      <c r="Y62" s="319"/>
      <c r="Z62" s="239" t="e">
        <f t="shared" si="39"/>
        <v>#DIV/0!</v>
      </c>
      <c r="AA62" s="319"/>
      <c r="AB62" s="239" t="e">
        <f t="shared" si="40"/>
        <v>#DIV/0!</v>
      </c>
      <c r="AC62" s="224">
        <f t="shared" si="41"/>
        <v>0</v>
      </c>
      <c r="AD62" s="239" t="e">
        <f t="shared" si="42"/>
        <v>#DIV/0!</v>
      </c>
      <c r="AE62" s="319"/>
      <c r="AF62" s="239" t="e">
        <f t="shared" si="43"/>
        <v>#DIV/0!</v>
      </c>
      <c r="AG62" s="319"/>
      <c r="AH62" s="239" t="e">
        <f t="shared" si="44"/>
        <v>#DIV/0!</v>
      </c>
      <c r="AI62" s="319"/>
      <c r="AJ62" s="239" t="e">
        <f t="shared" si="45"/>
        <v>#DIV/0!</v>
      </c>
      <c r="AK62" s="319"/>
      <c r="AL62" s="239" t="e">
        <f t="shared" si="46"/>
        <v>#DIV/0!</v>
      </c>
    </row>
    <row r="63" spans="2:38" s="73" customFormat="1" ht="13.5">
      <c r="B63" s="509">
        <f>B56+7</f>
        <v>46113</v>
      </c>
      <c r="C63" s="507"/>
      <c r="D63" s="171">
        <v>46105</v>
      </c>
      <c r="E63" s="171" t="s">
        <v>87</v>
      </c>
      <c r="F63" s="336"/>
      <c r="G63" s="522">
        <f>SUM(F63:F69)</f>
        <v>0</v>
      </c>
      <c r="H63" s="520"/>
      <c r="I63" s="429"/>
      <c r="J63" s="239" t="e">
        <f t="shared" si="29"/>
        <v>#DIV/0!</v>
      </c>
      <c r="K63" s="319"/>
      <c r="L63" s="239" t="e">
        <f t="shared" si="30"/>
        <v>#DIV/0!</v>
      </c>
      <c r="M63" s="224">
        <f t="shared" si="31"/>
        <v>0</v>
      </c>
      <c r="N63" s="239" t="e">
        <f t="shared" si="32"/>
        <v>#DIV/0!</v>
      </c>
      <c r="O63" s="319"/>
      <c r="P63" s="239" t="e">
        <f t="shared" si="33"/>
        <v>#DIV/0!</v>
      </c>
      <c r="Q63" s="319"/>
      <c r="R63" s="239" t="e">
        <f t="shared" si="34"/>
        <v>#DIV/0!</v>
      </c>
      <c r="S63" s="224">
        <f t="shared" si="35"/>
        <v>0</v>
      </c>
      <c r="T63" s="239" t="e">
        <f t="shared" si="36"/>
        <v>#DIV/0!</v>
      </c>
      <c r="U63" s="319"/>
      <c r="V63" s="239" t="e">
        <f t="shared" si="37"/>
        <v>#DIV/0!</v>
      </c>
      <c r="W63" s="319"/>
      <c r="X63" s="239" t="e">
        <f t="shared" si="38"/>
        <v>#DIV/0!</v>
      </c>
      <c r="Y63" s="319"/>
      <c r="Z63" s="239" t="e">
        <f t="shared" si="39"/>
        <v>#DIV/0!</v>
      </c>
      <c r="AA63" s="319"/>
      <c r="AB63" s="239" t="e">
        <f t="shared" si="40"/>
        <v>#DIV/0!</v>
      </c>
      <c r="AC63" s="224">
        <f t="shared" si="41"/>
        <v>0</v>
      </c>
      <c r="AD63" s="239" t="e">
        <f t="shared" si="42"/>
        <v>#DIV/0!</v>
      </c>
      <c r="AE63" s="319"/>
      <c r="AF63" s="239" t="e">
        <f t="shared" si="43"/>
        <v>#DIV/0!</v>
      </c>
      <c r="AG63" s="319"/>
      <c r="AH63" s="239" t="e">
        <f t="shared" si="44"/>
        <v>#DIV/0!</v>
      </c>
      <c r="AI63" s="319"/>
      <c r="AJ63" s="239" t="e">
        <f t="shared" si="45"/>
        <v>#DIV/0!</v>
      </c>
      <c r="AK63" s="319"/>
      <c r="AL63" s="239" t="e">
        <f t="shared" si="46"/>
        <v>#DIV/0!</v>
      </c>
    </row>
    <row r="64" spans="2:38" s="73" customFormat="1" ht="13.5">
      <c r="B64" s="510"/>
      <c r="C64" s="507"/>
      <c r="D64" s="171">
        <v>46106</v>
      </c>
      <c r="E64" s="171" t="s">
        <v>88</v>
      </c>
      <c r="F64" s="336"/>
      <c r="G64" s="522"/>
      <c r="H64" s="520"/>
      <c r="I64" s="429"/>
      <c r="J64" s="239" t="e">
        <f t="shared" si="29"/>
        <v>#DIV/0!</v>
      </c>
      <c r="K64" s="319"/>
      <c r="L64" s="239" t="e">
        <f t="shared" si="30"/>
        <v>#DIV/0!</v>
      </c>
      <c r="M64" s="224">
        <f t="shared" si="31"/>
        <v>0</v>
      </c>
      <c r="N64" s="239" t="e">
        <f t="shared" si="32"/>
        <v>#DIV/0!</v>
      </c>
      <c r="O64" s="319"/>
      <c r="P64" s="239" t="e">
        <f t="shared" si="33"/>
        <v>#DIV/0!</v>
      </c>
      <c r="Q64" s="319"/>
      <c r="R64" s="239" t="e">
        <f t="shared" si="34"/>
        <v>#DIV/0!</v>
      </c>
      <c r="S64" s="224">
        <f t="shared" si="35"/>
        <v>0</v>
      </c>
      <c r="T64" s="239" t="e">
        <f t="shared" si="36"/>
        <v>#DIV/0!</v>
      </c>
      <c r="U64" s="319"/>
      <c r="V64" s="239" t="e">
        <f t="shared" si="37"/>
        <v>#DIV/0!</v>
      </c>
      <c r="W64" s="319"/>
      <c r="X64" s="239" t="e">
        <f t="shared" si="38"/>
        <v>#DIV/0!</v>
      </c>
      <c r="Y64" s="319"/>
      <c r="Z64" s="239" t="e">
        <f t="shared" si="39"/>
        <v>#DIV/0!</v>
      </c>
      <c r="AA64" s="319"/>
      <c r="AB64" s="239" t="e">
        <f t="shared" si="40"/>
        <v>#DIV/0!</v>
      </c>
      <c r="AC64" s="224">
        <f t="shared" si="41"/>
        <v>0</v>
      </c>
      <c r="AD64" s="239" t="e">
        <f t="shared" si="42"/>
        <v>#DIV/0!</v>
      </c>
      <c r="AE64" s="319"/>
      <c r="AF64" s="239" t="e">
        <f t="shared" si="43"/>
        <v>#DIV/0!</v>
      </c>
      <c r="AG64" s="319"/>
      <c r="AH64" s="239" t="e">
        <f t="shared" si="44"/>
        <v>#DIV/0!</v>
      </c>
      <c r="AI64" s="319"/>
      <c r="AJ64" s="239" t="e">
        <f t="shared" si="45"/>
        <v>#DIV/0!</v>
      </c>
      <c r="AK64" s="319"/>
      <c r="AL64" s="239" t="e">
        <f t="shared" si="46"/>
        <v>#DIV/0!</v>
      </c>
    </row>
    <row r="65" spans="2:38" s="73" customFormat="1" ht="13.5">
      <c r="B65" s="510"/>
      <c r="C65" s="507"/>
      <c r="D65" s="171">
        <v>46107</v>
      </c>
      <c r="E65" s="171" t="s">
        <v>89</v>
      </c>
      <c r="F65" s="336"/>
      <c r="G65" s="522"/>
      <c r="H65" s="520"/>
      <c r="I65" s="429"/>
      <c r="J65" s="239" t="e">
        <f t="shared" si="29"/>
        <v>#DIV/0!</v>
      </c>
      <c r="K65" s="319"/>
      <c r="L65" s="239" t="e">
        <f t="shared" si="30"/>
        <v>#DIV/0!</v>
      </c>
      <c r="M65" s="224">
        <f t="shared" si="31"/>
        <v>0</v>
      </c>
      <c r="N65" s="239" t="e">
        <f t="shared" si="32"/>
        <v>#DIV/0!</v>
      </c>
      <c r="O65" s="319"/>
      <c r="P65" s="239" t="e">
        <f t="shared" si="33"/>
        <v>#DIV/0!</v>
      </c>
      <c r="Q65" s="319"/>
      <c r="R65" s="239" t="e">
        <f t="shared" si="34"/>
        <v>#DIV/0!</v>
      </c>
      <c r="S65" s="224">
        <f t="shared" si="35"/>
        <v>0</v>
      </c>
      <c r="T65" s="239" t="e">
        <f t="shared" si="36"/>
        <v>#DIV/0!</v>
      </c>
      <c r="U65" s="319"/>
      <c r="V65" s="239" t="e">
        <f t="shared" si="37"/>
        <v>#DIV/0!</v>
      </c>
      <c r="W65" s="319"/>
      <c r="X65" s="239" t="e">
        <f t="shared" si="38"/>
        <v>#DIV/0!</v>
      </c>
      <c r="Y65" s="319"/>
      <c r="Z65" s="239" t="e">
        <f t="shared" si="39"/>
        <v>#DIV/0!</v>
      </c>
      <c r="AA65" s="319"/>
      <c r="AB65" s="239" t="e">
        <f t="shared" si="40"/>
        <v>#DIV/0!</v>
      </c>
      <c r="AC65" s="224">
        <f t="shared" si="41"/>
        <v>0</v>
      </c>
      <c r="AD65" s="239" t="e">
        <f t="shared" si="42"/>
        <v>#DIV/0!</v>
      </c>
      <c r="AE65" s="319"/>
      <c r="AF65" s="239" t="e">
        <f t="shared" si="43"/>
        <v>#DIV/0!</v>
      </c>
      <c r="AG65" s="319"/>
      <c r="AH65" s="239" t="e">
        <f t="shared" si="44"/>
        <v>#DIV/0!</v>
      </c>
      <c r="AI65" s="319"/>
      <c r="AJ65" s="239" t="e">
        <f t="shared" si="45"/>
        <v>#DIV/0!</v>
      </c>
      <c r="AK65" s="319"/>
      <c r="AL65" s="239" t="e">
        <f t="shared" si="46"/>
        <v>#DIV/0!</v>
      </c>
    </row>
    <row r="66" spans="2:38" s="73" customFormat="1" ht="13.5">
      <c r="B66" s="510"/>
      <c r="C66" s="507"/>
      <c r="D66" s="171">
        <v>46108</v>
      </c>
      <c r="E66" s="171" t="s">
        <v>90</v>
      </c>
      <c r="F66" s="336"/>
      <c r="G66" s="522"/>
      <c r="H66" s="520"/>
      <c r="I66" s="429"/>
      <c r="J66" s="239" t="e">
        <f t="shared" si="29"/>
        <v>#DIV/0!</v>
      </c>
      <c r="K66" s="319"/>
      <c r="L66" s="239" t="e">
        <f t="shared" si="30"/>
        <v>#DIV/0!</v>
      </c>
      <c r="M66" s="224">
        <f t="shared" si="31"/>
        <v>0</v>
      </c>
      <c r="N66" s="239" t="e">
        <f t="shared" si="32"/>
        <v>#DIV/0!</v>
      </c>
      <c r="O66" s="319"/>
      <c r="P66" s="239" t="e">
        <f t="shared" si="33"/>
        <v>#DIV/0!</v>
      </c>
      <c r="Q66" s="319"/>
      <c r="R66" s="239" t="e">
        <f t="shared" si="34"/>
        <v>#DIV/0!</v>
      </c>
      <c r="S66" s="224">
        <f t="shared" si="35"/>
        <v>0</v>
      </c>
      <c r="T66" s="239" t="e">
        <f t="shared" si="36"/>
        <v>#DIV/0!</v>
      </c>
      <c r="U66" s="319"/>
      <c r="V66" s="239" t="e">
        <f t="shared" si="37"/>
        <v>#DIV/0!</v>
      </c>
      <c r="W66" s="319"/>
      <c r="X66" s="239" t="e">
        <f t="shared" si="38"/>
        <v>#DIV/0!</v>
      </c>
      <c r="Y66" s="319"/>
      <c r="Z66" s="239" t="e">
        <f t="shared" si="39"/>
        <v>#DIV/0!</v>
      </c>
      <c r="AA66" s="319"/>
      <c r="AB66" s="239" t="e">
        <f t="shared" si="40"/>
        <v>#DIV/0!</v>
      </c>
      <c r="AC66" s="224">
        <f t="shared" si="41"/>
        <v>0</v>
      </c>
      <c r="AD66" s="239" t="e">
        <f t="shared" si="42"/>
        <v>#DIV/0!</v>
      </c>
      <c r="AE66" s="319"/>
      <c r="AF66" s="239" t="e">
        <f t="shared" si="43"/>
        <v>#DIV/0!</v>
      </c>
      <c r="AG66" s="319"/>
      <c r="AH66" s="239" t="e">
        <f t="shared" si="44"/>
        <v>#DIV/0!</v>
      </c>
      <c r="AI66" s="319"/>
      <c r="AJ66" s="239" t="e">
        <f t="shared" si="45"/>
        <v>#DIV/0!</v>
      </c>
      <c r="AK66" s="319"/>
      <c r="AL66" s="239" t="e">
        <f t="shared" si="46"/>
        <v>#DIV/0!</v>
      </c>
    </row>
    <row r="67" spans="2:38" s="73" customFormat="1" ht="13.5" collapsed="1">
      <c r="B67" s="510"/>
      <c r="C67" s="507"/>
      <c r="D67" s="171">
        <v>46109</v>
      </c>
      <c r="E67" s="171" t="s">
        <v>91</v>
      </c>
      <c r="F67" s="336"/>
      <c r="G67" s="522"/>
      <c r="H67" s="520"/>
      <c r="I67" s="429"/>
      <c r="J67" s="239" t="e">
        <f t="shared" si="29"/>
        <v>#DIV/0!</v>
      </c>
      <c r="K67" s="319"/>
      <c r="L67" s="239" t="e">
        <f t="shared" si="30"/>
        <v>#DIV/0!</v>
      </c>
      <c r="M67" s="224">
        <f t="shared" si="31"/>
        <v>0</v>
      </c>
      <c r="N67" s="239" t="e">
        <f t="shared" si="32"/>
        <v>#DIV/0!</v>
      </c>
      <c r="O67" s="319"/>
      <c r="P67" s="239" t="e">
        <f t="shared" si="33"/>
        <v>#DIV/0!</v>
      </c>
      <c r="Q67" s="319"/>
      <c r="R67" s="239" t="e">
        <f t="shared" si="34"/>
        <v>#DIV/0!</v>
      </c>
      <c r="S67" s="224">
        <f t="shared" si="35"/>
        <v>0</v>
      </c>
      <c r="T67" s="239" t="e">
        <f t="shared" si="36"/>
        <v>#DIV/0!</v>
      </c>
      <c r="U67" s="319"/>
      <c r="V67" s="239" t="e">
        <f t="shared" si="37"/>
        <v>#DIV/0!</v>
      </c>
      <c r="W67" s="319"/>
      <c r="X67" s="239" t="e">
        <f t="shared" si="38"/>
        <v>#DIV/0!</v>
      </c>
      <c r="Y67" s="319"/>
      <c r="Z67" s="239" t="e">
        <f t="shared" si="39"/>
        <v>#DIV/0!</v>
      </c>
      <c r="AA67" s="319"/>
      <c r="AB67" s="239" t="e">
        <f t="shared" si="40"/>
        <v>#DIV/0!</v>
      </c>
      <c r="AC67" s="224">
        <f t="shared" si="41"/>
        <v>0</v>
      </c>
      <c r="AD67" s="239" t="e">
        <f t="shared" si="42"/>
        <v>#DIV/0!</v>
      </c>
      <c r="AE67" s="319"/>
      <c r="AF67" s="239" t="e">
        <f t="shared" si="43"/>
        <v>#DIV/0!</v>
      </c>
      <c r="AG67" s="319"/>
      <c r="AH67" s="239" t="e">
        <f t="shared" si="44"/>
        <v>#DIV/0!</v>
      </c>
      <c r="AI67" s="319"/>
      <c r="AJ67" s="239" t="e">
        <f t="shared" si="45"/>
        <v>#DIV/0!</v>
      </c>
      <c r="AK67" s="319"/>
      <c r="AL67" s="239" t="e">
        <f t="shared" si="46"/>
        <v>#DIV/0!</v>
      </c>
    </row>
    <row r="68" spans="2:38" s="73" customFormat="1" ht="13.5">
      <c r="B68" s="510"/>
      <c r="C68" s="507"/>
      <c r="D68" s="171">
        <v>46110</v>
      </c>
      <c r="E68" s="171" t="s">
        <v>84</v>
      </c>
      <c r="F68" s="336"/>
      <c r="G68" s="522"/>
      <c r="H68" s="520"/>
      <c r="I68" s="429"/>
      <c r="J68" s="239" t="e">
        <f t="shared" si="29"/>
        <v>#DIV/0!</v>
      </c>
      <c r="K68" s="319"/>
      <c r="L68" s="239" t="e">
        <f t="shared" si="30"/>
        <v>#DIV/0!</v>
      </c>
      <c r="M68" s="224">
        <f>I68+K68</f>
        <v>0</v>
      </c>
      <c r="N68" s="239" t="e">
        <f t="shared" si="32"/>
        <v>#DIV/0!</v>
      </c>
      <c r="O68" s="319"/>
      <c r="P68" s="239" t="e">
        <f t="shared" si="33"/>
        <v>#DIV/0!</v>
      </c>
      <c r="Q68" s="319"/>
      <c r="R68" s="239" t="e">
        <f t="shared" si="34"/>
        <v>#DIV/0!</v>
      </c>
      <c r="S68" s="224">
        <f t="shared" si="35"/>
        <v>0</v>
      </c>
      <c r="T68" s="239" t="e">
        <f t="shared" si="36"/>
        <v>#DIV/0!</v>
      </c>
      <c r="U68" s="319"/>
      <c r="V68" s="239" t="e">
        <f t="shared" si="37"/>
        <v>#DIV/0!</v>
      </c>
      <c r="W68" s="319"/>
      <c r="X68" s="239" t="e">
        <f t="shared" si="38"/>
        <v>#DIV/0!</v>
      </c>
      <c r="Y68" s="319"/>
      <c r="Z68" s="239" t="e">
        <f t="shared" si="39"/>
        <v>#DIV/0!</v>
      </c>
      <c r="AA68" s="319"/>
      <c r="AB68" s="239" t="e">
        <f t="shared" si="40"/>
        <v>#DIV/0!</v>
      </c>
      <c r="AC68" s="224">
        <f t="shared" si="41"/>
        <v>0</v>
      </c>
      <c r="AD68" s="239" t="e">
        <f t="shared" si="42"/>
        <v>#DIV/0!</v>
      </c>
      <c r="AE68" s="319"/>
      <c r="AF68" s="239" t="e">
        <f t="shared" si="43"/>
        <v>#DIV/0!</v>
      </c>
      <c r="AG68" s="319"/>
      <c r="AH68" s="239" t="e">
        <f t="shared" si="44"/>
        <v>#DIV/0!</v>
      </c>
      <c r="AI68" s="319"/>
      <c r="AJ68" s="239" t="e">
        <f t="shared" si="45"/>
        <v>#DIV/0!</v>
      </c>
      <c r="AK68" s="319"/>
      <c r="AL68" s="239" t="e">
        <f t="shared" si="46"/>
        <v>#DIV/0!</v>
      </c>
    </row>
    <row r="69" spans="2:38" s="73" customFormat="1" ht="13.5">
      <c r="B69" s="511"/>
      <c r="C69" s="508"/>
      <c r="D69" s="171">
        <v>46111</v>
      </c>
      <c r="E69" s="171" t="s">
        <v>92</v>
      </c>
      <c r="F69" s="336"/>
      <c r="G69" s="522"/>
      <c r="H69" s="521"/>
      <c r="I69" s="429"/>
      <c r="J69" s="239" t="e">
        <f t="shared" si="29"/>
        <v>#DIV/0!</v>
      </c>
      <c r="K69" s="319"/>
      <c r="L69" s="239" t="e">
        <f t="shared" si="30"/>
        <v>#DIV/0!</v>
      </c>
      <c r="M69" s="224">
        <f t="shared" si="31"/>
        <v>0</v>
      </c>
      <c r="N69" s="239" t="e">
        <f t="shared" si="32"/>
        <v>#DIV/0!</v>
      </c>
      <c r="O69" s="319"/>
      <c r="P69" s="239" t="e">
        <f t="shared" si="33"/>
        <v>#DIV/0!</v>
      </c>
      <c r="Q69" s="319"/>
      <c r="R69" s="239" t="e">
        <f t="shared" si="34"/>
        <v>#DIV/0!</v>
      </c>
      <c r="S69" s="224">
        <f t="shared" si="35"/>
        <v>0</v>
      </c>
      <c r="T69" s="239" t="e">
        <f t="shared" si="36"/>
        <v>#DIV/0!</v>
      </c>
      <c r="U69" s="319"/>
      <c r="V69" s="239" t="e">
        <f t="shared" si="37"/>
        <v>#DIV/0!</v>
      </c>
      <c r="W69" s="319"/>
      <c r="X69" s="239" t="e">
        <f t="shared" si="38"/>
        <v>#DIV/0!</v>
      </c>
      <c r="Y69" s="319"/>
      <c r="Z69" s="239" t="e">
        <f t="shared" si="39"/>
        <v>#DIV/0!</v>
      </c>
      <c r="AA69" s="319"/>
      <c r="AB69" s="239" t="e">
        <f t="shared" si="40"/>
        <v>#DIV/0!</v>
      </c>
      <c r="AC69" s="224">
        <f t="shared" si="41"/>
        <v>0</v>
      </c>
      <c r="AD69" s="239" t="e">
        <f t="shared" si="42"/>
        <v>#DIV/0!</v>
      </c>
      <c r="AE69" s="319"/>
      <c r="AF69" s="239" t="e">
        <f t="shared" si="43"/>
        <v>#DIV/0!</v>
      </c>
      <c r="AG69" s="319"/>
      <c r="AH69" s="239" t="e">
        <f t="shared" si="44"/>
        <v>#DIV/0!</v>
      </c>
      <c r="AI69" s="319"/>
      <c r="AJ69" s="239" t="e">
        <f t="shared" si="45"/>
        <v>#DIV/0!</v>
      </c>
      <c r="AK69" s="319"/>
      <c r="AL69" s="239" t="e">
        <f t="shared" si="46"/>
        <v>#DIV/0!</v>
      </c>
    </row>
    <row r="70" spans="2:38">
      <c r="H70" s="214"/>
    </row>
  </sheetData>
  <mergeCells count="57">
    <mergeCell ref="B42:B48"/>
    <mergeCell ref="B49:B55"/>
    <mergeCell ref="B56:B62"/>
    <mergeCell ref="B63:B69"/>
    <mergeCell ref="Y4:AD4"/>
    <mergeCell ref="O4:T4"/>
    <mergeCell ref="I4:N4"/>
    <mergeCell ref="F5:F6"/>
    <mergeCell ref="H5:H6"/>
    <mergeCell ref="B7:B13"/>
    <mergeCell ref="B14:B20"/>
    <mergeCell ref="B21:B27"/>
    <mergeCell ref="B28:B34"/>
    <mergeCell ref="G28:G34"/>
    <mergeCell ref="G7:G13"/>
    <mergeCell ref="G14:G20"/>
    <mergeCell ref="B35:B41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I5:AJ5"/>
    <mergeCell ref="K5:L5"/>
    <mergeCell ref="S5:T5"/>
    <mergeCell ref="AK4:AL4"/>
    <mergeCell ref="F3:H4"/>
    <mergeCell ref="B3:B6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AA5:AB5"/>
    <mergeCell ref="C40:C69"/>
    <mergeCell ref="H7:H11"/>
    <mergeCell ref="H12:H39"/>
    <mergeCell ref="H40:H69"/>
    <mergeCell ref="G63:G69"/>
    <mergeCell ref="G35:G41"/>
    <mergeCell ref="G42:G48"/>
    <mergeCell ref="G49:G55"/>
    <mergeCell ref="G56:G62"/>
    <mergeCell ref="G21:G27"/>
    <mergeCell ref="C7:C11"/>
    <mergeCell ref="C12:C39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91"/>
  <sheetViews>
    <sheetView zoomScale="85" zoomScaleNormal="85" workbookViewId="0">
      <pane xSplit="13" ySplit="1" topLeftCell="N153" activePane="bottomRight" state="frozen"/>
      <selection pane="bottomRight" activeCell="A188" sqref="A188:XFD188"/>
      <selection pane="bottomLeft" activeCell="E31" sqref="E31"/>
      <selection pane="topRight" activeCell="E31" sqref="E31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9.5703125" style="178" bestFit="1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.6">
      <c r="A1" s="74"/>
      <c r="B1" s="371" t="s">
        <v>125</v>
      </c>
      <c r="C1" s="175">
        <f>AVERAGE(L45,L83,L121,L159)</f>
        <v>774.12086448722914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49" t="s">
        <v>127</v>
      </c>
      <c r="O2" s="549" t="s">
        <v>77</v>
      </c>
      <c r="P2" s="551">
        <v>46049</v>
      </c>
      <c r="Q2" s="552"/>
      <c r="R2" s="552"/>
      <c r="S2" s="552"/>
      <c r="T2" s="552"/>
      <c r="U2" s="542">
        <f>P2+1</f>
        <v>46050</v>
      </c>
      <c r="V2" s="543"/>
      <c r="W2" s="543"/>
      <c r="X2" s="543"/>
      <c r="Y2" s="543"/>
      <c r="Z2" s="551">
        <f t="shared" ref="Z2" si="0">U2+1</f>
        <v>46051</v>
      </c>
      <c r="AA2" s="552"/>
      <c r="AB2" s="552"/>
      <c r="AC2" s="552"/>
      <c r="AD2" s="552"/>
      <c r="AE2" s="542">
        <f t="shared" ref="AE2" si="1">Z2+1</f>
        <v>46052</v>
      </c>
      <c r="AF2" s="543"/>
      <c r="AG2" s="543"/>
      <c r="AH2" s="543"/>
      <c r="AI2" s="543"/>
      <c r="AJ2" s="532">
        <f t="shared" ref="AJ2" si="2">AE2+1</f>
        <v>46053</v>
      </c>
      <c r="AK2" s="533"/>
      <c r="AL2" s="533"/>
      <c r="AM2" s="533"/>
      <c r="AN2" s="534"/>
      <c r="AO2" s="542">
        <f t="shared" ref="AO2" si="3">AJ2+1</f>
        <v>46054</v>
      </c>
      <c r="AP2" s="543"/>
      <c r="AQ2" s="543"/>
      <c r="AR2" s="543"/>
      <c r="AS2" s="543"/>
      <c r="AT2" s="532">
        <f t="shared" ref="AT2" si="4">AO2+1</f>
        <v>46055</v>
      </c>
      <c r="AU2" s="533"/>
      <c r="AV2" s="533"/>
      <c r="AW2" s="533"/>
      <c r="AX2" s="534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0"/>
      <c r="O3" s="550"/>
      <c r="P3" s="535">
        <f>P2</f>
        <v>46049</v>
      </c>
      <c r="Q3" s="535"/>
      <c r="R3" s="535"/>
      <c r="S3" s="535"/>
      <c r="T3" s="535"/>
      <c r="U3" s="536">
        <f>U2</f>
        <v>46050</v>
      </c>
      <c r="V3" s="536"/>
      <c r="W3" s="536"/>
      <c r="X3" s="536"/>
      <c r="Y3" s="536"/>
      <c r="Z3" s="535">
        <f t="shared" ref="Z3" si="5">Z2</f>
        <v>46051</v>
      </c>
      <c r="AA3" s="535"/>
      <c r="AB3" s="535"/>
      <c r="AC3" s="535"/>
      <c r="AD3" s="535"/>
      <c r="AE3" s="536">
        <f t="shared" ref="AE3" si="6">AE2</f>
        <v>46052</v>
      </c>
      <c r="AF3" s="536"/>
      <c r="AG3" s="536"/>
      <c r="AH3" s="536"/>
      <c r="AI3" s="536"/>
      <c r="AJ3" s="537">
        <f t="shared" ref="AJ3" si="7">AJ2</f>
        <v>46053</v>
      </c>
      <c r="AK3" s="538"/>
      <c r="AL3" s="538"/>
      <c r="AM3" s="538"/>
      <c r="AN3" s="539"/>
      <c r="AO3" s="536">
        <f t="shared" ref="AO3" si="8">AO2</f>
        <v>46054</v>
      </c>
      <c r="AP3" s="536"/>
      <c r="AQ3" s="536"/>
      <c r="AR3" s="536"/>
      <c r="AS3" s="536"/>
      <c r="AT3" s="537">
        <f t="shared" ref="AT3" si="9">AT2</f>
        <v>46055</v>
      </c>
      <c r="AU3" s="538"/>
      <c r="AV3" s="538"/>
      <c r="AW3" s="538"/>
      <c r="AX3" s="539"/>
    </row>
    <row r="4" spans="1:50" ht="14.25" customHeight="1">
      <c r="B4" s="560" t="s">
        <v>128</v>
      </c>
      <c r="C4" s="563" t="s">
        <v>129</v>
      </c>
      <c r="D4" s="564"/>
      <c r="E4" s="569" t="s">
        <v>130</v>
      </c>
      <c r="F4" s="570"/>
      <c r="G4" s="571"/>
      <c r="H4" s="560" t="s">
        <v>131</v>
      </c>
      <c r="I4" s="572" t="s">
        <v>132</v>
      </c>
      <c r="J4" s="573"/>
      <c r="K4" s="574"/>
      <c r="L4" s="575" t="s">
        <v>131</v>
      </c>
      <c r="M4" s="575" t="s">
        <v>133</v>
      </c>
      <c r="N4" s="578"/>
      <c r="O4" s="541" t="s">
        <v>134</v>
      </c>
      <c r="P4" s="554" t="s">
        <v>135</v>
      </c>
      <c r="Q4" s="555"/>
      <c r="R4" s="555"/>
      <c r="S4" s="556"/>
      <c r="T4" s="549" t="s">
        <v>131</v>
      </c>
      <c r="U4" s="554" t="s">
        <v>135</v>
      </c>
      <c r="V4" s="555"/>
      <c r="W4" s="555"/>
      <c r="X4" s="556"/>
      <c r="Y4" s="549" t="s">
        <v>131</v>
      </c>
      <c r="Z4" s="554" t="s">
        <v>135</v>
      </c>
      <c r="AA4" s="555"/>
      <c r="AB4" s="555"/>
      <c r="AC4" s="556"/>
      <c r="AD4" s="549" t="s">
        <v>131</v>
      </c>
      <c r="AE4" s="554" t="s">
        <v>135</v>
      </c>
      <c r="AF4" s="555"/>
      <c r="AG4" s="555"/>
      <c r="AH4" s="556"/>
      <c r="AI4" s="549" t="s">
        <v>131</v>
      </c>
      <c r="AJ4" s="554" t="s">
        <v>135</v>
      </c>
      <c r="AK4" s="555"/>
      <c r="AL4" s="555"/>
      <c r="AM4" s="556"/>
      <c r="AN4" s="549" t="s">
        <v>131</v>
      </c>
      <c r="AO4" s="554" t="s">
        <v>135</v>
      </c>
      <c r="AP4" s="555"/>
      <c r="AQ4" s="555"/>
      <c r="AR4" s="556"/>
      <c r="AS4" s="549" t="s">
        <v>131</v>
      </c>
      <c r="AT4" s="554" t="s">
        <v>135</v>
      </c>
      <c r="AU4" s="555"/>
      <c r="AV4" s="555"/>
      <c r="AW4" s="556"/>
      <c r="AX4" s="549" t="s">
        <v>131</v>
      </c>
    </row>
    <row r="5" spans="1:50" ht="14.25" customHeight="1">
      <c r="B5" s="561"/>
      <c r="C5" s="565"/>
      <c r="D5" s="566"/>
      <c r="E5" s="569" t="s">
        <v>136</v>
      </c>
      <c r="F5" s="570"/>
      <c r="G5" s="571"/>
      <c r="H5" s="561"/>
      <c r="I5" s="572" t="s">
        <v>136</v>
      </c>
      <c r="J5" s="573"/>
      <c r="K5" s="574"/>
      <c r="L5" s="576"/>
      <c r="M5" s="576"/>
      <c r="N5" s="578"/>
      <c r="O5" s="541"/>
      <c r="P5" s="554" t="s">
        <v>137</v>
      </c>
      <c r="Q5" s="555"/>
      <c r="R5" s="555"/>
      <c r="S5" s="556"/>
      <c r="T5" s="557"/>
      <c r="U5" s="554" t="s">
        <v>137</v>
      </c>
      <c r="V5" s="555"/>
      <c r="W5" s="555"/>
      <c r="X5" s="556"/>
      <c r="Y5" s="557"/>
      <c r="Z5" s="554" t="s">
        <v>137</v>
      </c>
      <c r="AA5" s="555"/>
      <c r="AB5" s="555"/>
      <c r="AC5" s="556"/>
      <c r="AD5" s="557"/>
      <c r="AE5" s="554" t="s">
        <v>137</v>
      </c>
      <c r="AF5" s="555"/>
      <c r="AG5" s="555"/>
      <c r="AH5" s="556"/>
      <c r="AI5" s="557"/>
      <c r="AJ5" s="554" t="s">
        <v>137</v>
      </c>
      <c r="AK5" s="555"/>
      <c r="AL5" s="555"/>
      <c r="AM5" s="556"/>
      <c r="AN5" s="557"/>
      <c r="AO5" s="554" t="s">
        <v>137</v>
      </c>
      <c r="AP5" s="555"/>
      <c r="AQ5" s="555"/>
      <c r="AR5" s="556"/>
      <c r="AS5" s="557"/>
      <c r="AT5" s="554" t="s">
        <v>137</v>
      </c>
      <c r="AU5" s="555"/>
      <c r="AV5" s="555"/>
      <c r="AW5" s="556"/>
      <c r="AX5" s="557"/>
    </row>
    <row r="6" spans="1:50" ht="14.25" customHeight="1">
      <c r="A6" s="177"/>
      <c r="B6" s="562"/>
      <c r="C6" s="567"/>
      <c r="D6" s="568"/>
      <c r="E6" s="180" t="s">
        <v>138</v>
      </c>
      <c r="F6" s="180" t="s">
        <v>139</v>
      </c>
      <c r="G6" s="180" t="s">
        <v>140</v>
      </c>
      <c r="H6" s="562"/>
      <c r="I6" s="181" t="s">
        <v>138</v>
      </c>
      <c r="J6" s="181" t="s">
        <v>139</v>
      </c>
      <c r="K6" s="181" t="s">
        <v>140</v>
      </c>
      <c r="L6" s="577"/>
      <c r="M6" s="577"/>
      <c r="N6" s="578"/>
      <c r="O6" s="541"/>
      <c r="P6" s="182" t="s">
        <v>138</v>
      </c>
      <c r="Q6" s="182" t="s">
        <v>139</v>
      </c>
      <c r="R6" s="182" t="s">
        <v>140</v>
      </c>
      <c r="S6" s="182" t="s">
        <v>133</v>
      </c>
      <c r="T6" s="550"/>
      <c r="U6" s="182" t="s">
        <v>138</v>
      </c>
      <c r="V6" s="182" t="s">
        <v>139</v>
      </c>
      <c r="W6" s="182" t="s">
        <v>140</v>
      </c>
      <c r="X6" s="182" t="s">
        <v>133</v>
      </c>
      <c r="Y6" s="550"/>
      <c r="Z6" s="182" t="s">
        <v>138</v>
      </c>
      <c r="AA6" s="182" t="s">
        <v>139</v>
      </c>
      <c r="AB6" s="182" t="s">
        <v>140</v>
      </c>
      <c r="AC6" s="182" t="s">
        <v>133</v>
      </c>
      <c r="AD6" s="550"/>
      <c r="AE6" s="182" t="s">
        <v>138</v>
      </c>
      <c r="AF6" s="182" t="s">
        <v>139</v>
      </c>
      <c r="AG6" s="182" t="s">
        <v>140</v>
      </c>
      <c r="AH6" s="182" t="s">
        <v>133</v>
      </c>
      <c r="AI6" s="550"/>
      <c r="AJ6" s="182" t="s">
        <v>138</v>
      </c>
      <c r="AK6" s="182" t="s">
        <v>139</v>
      </c>
      <c r="AL6" s="182" t="s">
        <v>140</v>
      </c>
      <c r="AM6" s="182" t="s">
        <v>133</v>
      </c>
      <c r="AN6" s="550"/>
      <c r="AO6" s="182" t="s">
        <v>138</v>
      </c>
      <c r="AP6" s="182" t="s">
        <v>139</v>
      </c>
      <c r="AQ6" s="182" t="s">
        <v>140</v>
      </c>
      <c r="AR6" s="182" t="s">
        <v>133</v>
      </c>
      <c r="AS6" s="550"/>
      <c r="AT6" s="182" t="s">
        <v>138</v>
      </c>
      <c r="AU6" s="182" t="s">
        <v>139</v>
      </c>
      <c r="AV6" s="182" t="s">
        <v>140</v>
      </c>
      <c r="AW6" s="182" t="s">
        <v>133</v>
      </c>
      <c r="AX6" s="550"/>
    </row>
    <row r="7" spans="1:50" ht="14.25" customHeight="1">
      <c r="B7" s="530" t="s">
        <v>141</v>
      </c>
      <c r="C7" s="180">
        <v>1</v>
      </c>
      <c r="D7" s="183" t="s">
        <v>142</v>
      </c>
      <c r="E7" s="184">
        <v>4</v>
      </c>
      <c r="F7" s="180">
        <v>3300</v>
      </c>
      <c r="G7" s="185">
        <f>F7/E7</f>
        <v>825</v>
      </c>
      <c r="H7" s="558">
        <f>AVERAGE(G7:G39)</f>
        <v>870.32258064516134</v>
      </c>
      <c r="I7" s="186">
        <f>AVERAGE(P7,U7,Z7,AE7,AJ7,AO7,AT7)</f>
        <v>4</v>
      </c>
      <c r="J7" s="186">
        <f>AVERAGE(Q7,V7,AA7,AF7,AK7,AP7,AU7)</f>
        <v>2954.4074938023391</v>
      </c>
      <c r="K7" s="187">
        <f>AVERAGE(R7,W7,AB7,AG7,AL7,AQ7,AV7)</f>
        <v>738.60187345058478</v>
      </c>
      <c r="L7" s="559">
        <f>IFERROR(AVERAGE(K7:K39),"-")</f>
        <v>771.63648971883072</v>
      </c>
      <c r="M7" s="186">
        <f>RANK(K7, K$7:$K$39)</f>
        <v>16</v>
      </c>
      <c r="N7" s="578"/>
      <c r="O7" s="541"/>
      <c r="P7" s="188">
        <v>4</v>
      </c>
      <c r="Q7" s="188">
        <v>2953.9782484258749</v>
      </c>
      <c r="R7" s="185">
        <f t="shared" ref="R7:R37" si="10">IFERROR(Q7/P7,"")</f>
        <v>738.49456210646872</v>
      </c>
      <c r="S7" s="182">
        <f>RANK(R7, R$7:R$39)</f>
        <v>15</v>
      </c>
      <c r="T7" s="540">
        <f>AVERAGE(R7:R39)</f>
        <v>771.40035349630853</v>
      </c>
      <c r="U7" s="188">
        <v>4</v>
      </c>
      <c r="V7" s="188">
        <v>2954.0106951871667</v>
      </c>
      <c r="W7" s="185">
        <f t="shared" ref="W7:W37" si="11">IFERROR(V7/U7,"")</f>
        <v>738.50267379679167</v>
      </c>
      <c r="X7" s="182">
        <f>RANK(W7, W$7:W$39)</f>
        <v>16</v>
      </c>
      <c r="Y7" s="540">
        <f>AVERAGE(W7:W39)</f>
        <v>771.47768135920285</v>
      </c>
      <c r="Z7" s="188">
        <v>4</v>
      </c>
      <c r="AA7" s="188">
        <v>2953.9276257722868</v>
      </c>
      <c r="AB7" s="185">
        <f>IFERROR(AA7/Z7,"")</f>
        <v>738.48190644307169</v>
      </c>
      <c r="AC7" s="182">
        <f>RANK(AB7, AB$7:AB$39)</f>
        <v>16</v>
      </c>
      <c r="AD7" s="540">
        <f>AVERAGE(AB7:AB39)</f>
        <v>773.90424263446073</v>
      </c>
      <c r="AE7" s="188">
        <v>4</v>
      </c>
      <c r="AF7" s="188">
        <v>2954.1882876204581</v>
      </c>
      <c r="AG7" s="185">
        <f>IFERROR(AF7/AE7,"")</f>
        <v>738.54707190511454</v>
      </c>
      <c r="AH7" s="182">
        <f>RANK(AG7, AG$7:AG$39)</f>
        <v>16</v>
      </c>
      <c r="AI7" s="540">
        <f>AVERAGE(AG7:AG39)</f>
        <v>773.94742081856123</v>
      </c>
      <c r="AJ7" s="188">
        <v>4</v>
      </c>
      <c r="AK7" s="188">
        <v>2954.9770290964734</v>
      </c>
      <c r="AL7" s="185">
        <f>IFERROR(AK7/AJ7,"")</f>
        <v>738.74425727411835</v>
      </c>
      <c r="AM7" s="182">
        <f>RANK(AL7, AL$7:AL$39)</f>
        <v>16</v>
      </c>
      <c r="AN7" s="540">
        <f>AVERAGE(AL7:AL39)</f>
        <v>773.98573938102913</v>
      </c>
      <c r="AO7" s="188">
        <v>4</v>
      </c>
      <c r="AP7" s="188">
        <v>2954.8456957227945</v>
      </c>
      <c r="AQ7" s="185">
        <f>IFERROR(AP7/AO7,"")</f>
        <v>738.71142393069863</v>
      </c>
      <c r="AR7" s="182">
        <f>RANK(AQ7, AQ$7:AQ$39)</f>
        <v>16</v>
      </c>
      <c r="AS7" s="540">
        <f>AVERAGE(AQ7:AQ39)</f>
        <v>774.09171806304948</v>
      </c>
      <c r="AT7" s="188">
        <v>4</v>
      </c>
      <c r="AU7" s="188">
        <v>2954.9248747913184</v>
      </c>
      <c r="AV7" s="185">
        <f>IFERROR(AU7/AT7,"")</f>
        <v>738.7312186978296</v>
      </c>
      <c r="AW7" s="182">
        <f>RANK(AV7, AV$7:AV$39)</f>
        <v>16</v>
      </c>
      <c r="AX7" s="540">
        <f>AVERAGE(AV7:AV39)</f>
        <v>774.15879164391697</v>
      </c>
    </row>
    <row r="8" spans="1:50" ht="14.25" customHeight="1">
      <c r="B8" s="530"/>
      <c r="C8" s="180">
        <v>2</v>
      </c>
      <c r="D8" s="183" t="s">
        <v>143</v>
      </c>
      <c r="E8" s="184">
        <v>3</v>
      </c>
      <c r="F8" s="180">
        <v>3600</v>
      </c>
      <c r="G8" s="185">
        <f t="shared" ref="G8:G27" si="12">F8/E8</f>
        <v>1200</v>
      </c>
      <c r="H8" s="558"/>
      <c r="I8" s="186">
        <f t="shared" ref="I8:I37" si="13">AVERAGE(P8,U8,Z8,AE8,AJ8,AO8,AT8)</f>
        <v>3</v>
      </c>
      <c r="J8" s="186">
        <f t="shared" ref="J8:J37" si="14">AVERAGE(Q8,V8,AA8,AF8,AK8,AP8,AU8)</f>
        <v>3126.3303702965809</v>
      </c>
      <c r="K8" s="187">
        <f t="shared" ref="K8:K37" si="15">AVERAGE(R8,W8,AB8,AG8,AL8,AQ8,AV8)</f>
        <v>1042.1101234321934</v>
      </c>
      <c r="L8" s="559"/>
      <c r="M8" s="186">
        <f>RANK(K8, K$7:$K$39)</f>
        <v>6</v>
      </c>
      <c r="N8" s="578"/>
      <c r="O8" s="541"/>
      <c r="P8" s="188">
        <v>3</v>
      </c>
      <c r="Q8" s="188">
        <v>3123.9440946091217</v>
      </c>
      <c r="R8" s="185">
        <f t="shared" si="10"/>
        <v>1041.3146982030405</v>
      </c>
      <c r="S8" s="182">
        <f t="shared" ref="S8:S37" si="16">RANK(R8, R$7:R$39)</f>
        <v>5</v>
      </c>
      <c r="T8" s="540"/>
      <c r="U8" s="188">
        <v>3</v>
      </c>
      <c r="V8" s="188">
        <v>3124.0425870014305</v>
      </c>
      <c r="W8" s="185">
        <f t="shared" si="11"/>
        <v>1041.3475290004769</v>
      </c>
      <c r="X8" s="182">
        <f t="shared" ref="X8:X37" si="17">RANK(W8, W$7:W$39)</f>
        <v>5</v>
      </c>
      <c r="Y8" s="540"/>
      <c r="Z8" s="188">
        <v>3</v>
      </c>
      <c r="AA8" s="188">
        <v>3126.6593094750119</v>
      </c>
      <c r="AB8" s="185">
        <f t="shared" ref="AB8:AB19" si="18">IFERROR(AA8/Z8,"")</f>
        <v>1042.2197698250041</v>
      </c>
      <c r="AC8" s="182">
        <f t="shared" ref="AC8:AC36" si="19">RANK(AB8, AB$7:AB$39)</f>
        <v>5</v>
      </c>
      <c r="AD8" s="540"/>
      <c r="AE8" s="188">
        <v>3</v>
      </c>
      <c r="AF8" s="188">
        <v>3127.1248474989816</v>
      </c>
      <c r="AG8" s="185">
        <f t="shared" ref="AG8:AG19" si="20">IFERROR(AF8/AE8,"")</f>
        <v>1042.3749491663273</v>
      </c>
      <c r="AH8" s="182">
        <f t="shared" ref="AH8:AH36" si="21">RANK(AG8, AG$7:AG$39)</f>
        <v>6</v>
      </c>
      <c r="AI8" s="540"/>
      <c r="AJ8" s="188">
        <v>3</v>
      </c>
      <c r="AK8" s="188">
        <v>3127.4952521629066</v>
      </c>
      <c r="AL8" s="185">
        <f t="shared" ref="AL8:AL19" si="22">IFERROR(AK8/AJ8,"")</f>
        <v>1042.4984173876355</v>
      </c>
      <c r="AM8" s="182">
        <f t="shared" ref="AM8:AM36" si="23">RANK(AL8, AL$7:AL$39)</f>
        <v>6</v>
      </c>
      <c r="AN8" s="540"/>
      <c r="AO8" s="188">
        <v>3</v>
      </c>
      <c r="AP8" s="188">
        <v>3127.4999999999986</v>
      </c>
      <c r="AQ8" s="185">
        <f t="shared" ref="AQ8:AQ19" si="24">IFERROR(AP8/AO8,"")</f>
        <v>1042.4999999999995</v>
      </c>
      <c r="AR8" s="182">
        <f t="shared" ref="AR8:AR36" si="25">RANK(AQ8, AQ$7:AQ$39)</f>
        <v>6</v>
      </c>
      <c r="AS8" s="540"/>
      <c r="AT8" s="188">
        <v>3</v>
      </c>
      <c r="AU8" s="188">
        <v>3127.5465013286102</v>
      </c>
      <c r="AV8" s="185">
        <f t="shared" ref="AV8:AV19" si="26">IFERROR(AU8/AT8,"")</f>
        <v>1042.51550044287</v>
      </c>
      <c r="AW8" s="182">
        <f t="shared" ref="AW8:AW36" si="27">RANK(AV8, AV$7:AV$39)</f>
        <v>6</v>
      </c>
      <c r="AX8" s="540"/>
    </row>
    <row r="9" spans="1:50" ht="14.25" customHeight="1">
      <c r="B9" s="530"/>
      <c r="C9" s="180">
        <v>3</v>
      </c>
      <c r="D9" s="183" t="s">
        <v>144</v>
      </c>
      <c r="E9" s="184">
        <v>4</v>
      </c>
      <c r="F9" s="180">
        <v>3300</v>
      </c>
      <c r="G9" s="185">
        <f t="shared" si="12"/>
        <v>825</v>
      </c>
      <c r="H9" s="558"/>
      <c r="I9" s="186">
        <f t="shared" si="13"/>
        <v>4</v>
      </c>
      <c r="J9" s="186">
        <f t="shared" si="14"/>
        <v>2953.2804985059952</v>
      </c>
      <c r="K9" s="187">
        <f t="shared" si="15"/>
        <v>738.3201246264988</v>
      </c>
      <c r="L9" s="559"/>
      <c r="M9" s="186">
        <f>RANK(K9, K$7:$K$39)</f>
        <v>18</v>
      </c>
      <c r="N9" s="578"/>
      <c r="O9" s="541"/>
      <c r="P9" s="188">
        <v>4</v>
      </c>
      <c r="Q9" s="188">
        <v>2951.4682039272202</v>
      </c>
      <c r="R9" s="185">
        <f t="shared" si="10"/>
        <v>737.86705098180505</v>
      </c>
      <c r="S9" s="182">
        <f t="shared" si="16"/>
        <v>19</v>
      </c>
      <c r="T9" s="540"/>
      <c r="U9" s="188">
        <v>4</v>
      </c>
      <c r="V9" s="188">
        <v>2952.9234251225948</v>
      </c>
      <c r="W9" s="185">
        <f t="shared" si="11"/>
        <v>738.23085628064871</v>
      </c>
      <c r="X9" s="182">
        <f t="shared" si="17"/>
        <v>17</v>
      </c>
      <c r="Y9" s="540"/>
      <c r="Z9" s="188">
        <v>4</v>
      </c>
      <c r="AA9" s="188">
        <v>2953.3296026860667</v>
      </c>
      <c r="AB9" s="185">
        <f t="shared" si="18"/>
        <v>738.33240067151667</v>
      </c>
      <c r="AC9" s="182">
        <f t="shared" si="19"/>
        <v>17</v>
      </c>
      <c r="AD9" s="540"/>
      <c r="AE9" s="188">
        <v>4</v>
      </c>
      <c r="AF9" s="188">
        <v>2953.3534462752386</v>
      </c>
      <c r="AG9" s="185">
        <f t="shared" si="20"/>
        <v>738.33836156880966</v>
      </c>
      <c r="AH9" s="182">
        <f t="shared" si="21"/>
        <v>17</v>
      </c>
      <c r="AI9" s="540"/>
      <c r="AJ9" s="188">
        <v>4</v>
      </c>
      <c r="AK9" s="188">
        <v>2953.8461538461547</v>
      </c>
      <c r="AL9" s="185">
        <f t="shared" si="22"/>
        <v>738.46153846153868</v>
      </c>
      <c r="AM9" s="182">
        <f t="shared" si="23"/>
        <v>17</v>
      </c>
      <c r="AN9" s="540"/>
      <c r="AO9" s="188">
        <v>4</v>
      </c>
      <c r="AP9" s="188">
        <v>2953.9084923180812</v>
      </c>
      <c r="AQ9" s="185">
        <f t="shared" si="24"/>
        <v>738.47712307952031</v>
      </c>
      <c r="AR9" s="182">
        <f t="shared" si="25"/>
        <v>17</v>
      </c>
      <c r="AS9" s="540"/>
      <c r="AT9" s="188">
        <v>4</v>
      </c>
      <c r="AU9" s="188">
        <v>2954.1341653666141</v>
      </c>
      <c r="AV9" s="185">
        <f t="shared" si="26"/>
        <v>738.53354134165352</v>
      </c>
      <c r="AW9" s="182">
        <f t="shared" si="27"/>
        <v>17</v>
      </c>
      <c r="AX9" s="540"/>
    </row>
    <row r="10" spans="1:50" ht="14.25" customHeight="1">
      <c r="B10" s="530"/>
      <c r="C10" s="180">
        <v>4</v>
      </c>
      <c r="D10" s="183" t="s">
        <v>145</v>
      </c>
      <c r="E10" s="184">
        <v>5</v>
      </c>
      <c r="F10" s="180">
        <v>3300</v>
      </c>
      <c r="G10" s="185">
        <f t="shared" si="12"/>
        <v>660</v>
      </c>
      <c r="H10" s="558"/>
      <c r="I10" s="186">
        <f t="shared" si="13"/>
        <v>5</v>
      </c>
      <c r="J10" s="186">
        <f t="shared" si="14"/>
        <v>2956.7585442775094</v>
      </c>
      <c r="K10" s="187">
        <f t="shared" si="15"/>
        <v>591.35170885550178</v>
      </c>
      <c r="L10" s="559"/>
      <c r="M10" s="186">
        <f>RANK(K10, K$7:$K$39)</f>
        <v>26</v>
      </c>
      <c r="N10" s="578"/>
      <c r="O10" s="541"/>
      <c r="P10" s="188">
        <v>5</v>
      </c>
      <c r="Q10" s="188">
        <v>2957.3257467994358</v>
      </c>
      <c r="R10" s="185">
        <f t="shared" si="10"/>
        <v>591.46514935988716</v>
      </c>
      <c r="S10" s="182">
        <f t="shared" si="16"/>
        <v>26</v>
      </c>
      <c r="T10" s="540"/>
      <c r="U10" s="188">
        <v>5</v>
      </c>
      <c r="V10" s="188">
        <v>2957.0517363571898</v>
      </c>
      <c r="W10" s="185">
        <f t="shared" si="11"/>
        <v>591.41034727143801</v>
      </c>
      <c r="X10" s="182">
        <f t="shared" si="17"/>
        <v>26</v>
      </c>
      <c r="Y10" s="540"/>
      <c r="Z10" s="188">
        <v>5</v>
      </c>
      <c r="AA10" s="188">
        <v>2957.7092511013175</v>
      </c>
      <c r="AB10" s="185">
        <f t="shared" si="18"/>
        <v>591.54185022026354</v>
      </c>
      <c r="AC10" s="182">
        <f t="shared" si="19"/>
        <v>24</v>
      </c>
      <c r="AD10" s="540"/>
      <c r="AE10" s="188">
        <v>5</v>
      </c>
      <c r="AF10" s="188">
        <v>2957.7310155535233</v>
      </c>
      <c r="AG10" s="185">
        <f t="shared" si="20"/>
        <v>591.54620311070471</v>
      </c>
      <c r="AH10" s="182">
        <f t="shared" si="21"/>
        <v>24</v>
      </c>
      <c r="AI10" s="540"/>
      <c r="AJ10" s="188">
        <v>5</v>
      </c>
      <c r="AK10" s="188">
        <v>2955.6420233463145</v>
      </c>
      <c r="AL10" s="185">
        <f t="shared" si="22"/>
        <v>591.12840466926286</v>
      </c>
      <c r="AM10" s="182">
        <f t="shared" si="23"/>
        <v>24</v>
      </c>
      <c r="AN10" s="540"/>
      <c r="AO10" s="188">
        <v>5</v>
      </c>
      <c r="AP10" s="188">
        <v>2955.815554026156</v>
      </c>
      <c r="AQ10" s="185">
        <f t="shared" si="24"/>
        <v>591.16311080523121</v>
      </c>
      <c r="AR10" s="182">
        <f t="shared" si="25"/>
        <v>25</v>
      </c>
      <c r="AS10" s="540"/>
      <c r="AT10" s="188">
        <v>5</v>
      </c>
      <c r="AU10" s="188">
        <v>2956.0344827586273</v>
      </c>
      <c r="AV10" s="185">
        <f t="shared" si="26"/>
        <v>591.20689655172544</v>
      </c>
      <c r="AW10" s="182">
        <f t="shared" si="27"/>
        <v>25</v>
      </c>
      <c r="AX10" s="540"/>
    </row>
    <row r="11" spans="1:50" ht="14.25" customHeight="1">
      <c r="B11" s="530"/>
      <c r="C11" s="180">
        <v>5</v>
      </c>
      <c r="D11" s="183" t="s">
        <v>146</v>
      </c>
      <c r="E11" s="184">
        <v>3</v>
      </c>
      <c r="F11" s="180">
        <v>3600</v>
      </c>
      <c r="G11" s="185">
        <f t="shared" si="12"/>
        <v>1200</v>
      </c>
      <c r="H11" s="558"/>
      <c r="I11" s="186">
        <f t="shared" si="13"/>
        <v>3</v>
      </c>
      <c r="J11" s="186">
        <f t="shared" si="14"/>
        <v>3128.185443379693</v>
      </c>
      <c r="K11" s="187">
        <f t="shared" si="15"/>
        <v>1042.728481126564</v>
      </c>
      <c r="L11" s="559"/>
      <c r="M11" s="186">
        <f>RANK(K11, K$7:$K$39)</f>
        <v>4</v>
      </c>
      <c r="N11" s="578"/>
      <c r="O11" s="541"/>
      <c r="P11" s="188">
        <v>3</v>
      </c>
      <c r="Q11" s="188">
        <v>3127.0777479892736</v>
      </c>
      <c r="R11" s="185">
        <f t="shared" si="10"/>
        <v>1042.3592493297579</v>
      </c>
      <c r="S11" s="182">
        <f t="shared" si="16"/>
        <v>4</v>
      </c>
      <c r="T11" s="540"/>
      <c r="U11" s="188">
        <v>3</v>
      </c>
      <c r="V11" s="188">
        <v>3127.6341948310178</v>
      </c>
      <c r="W11" s="185">
        <f t="shared" si="11"/>
        <v>1042.5447316103393</v>
      </c>
      <c r="X11" s="182">
        <f t="shared" si="17"/>
        <v>4</v>
      </c>
      <c r="Y11" s="540"/>
      <c r="Z11" s="188">
        <v>3</v>
      </c>
      <c r="AA11" s="188">
        <v>3127.8688524590216</v>
      </c>
      <c r="AB11" s="185">
        <f t="shared" si="18"/>
        <v>1042.6229508196739</v>
      </c>
      <c r="AC11" s="182">
        <f t="shared" si="19"/>
        <v>4</v>
      </c>
      <c r="AD11" s="540"/>
      <c r="AE11" s="188">
        <v>3</v>
      </c>
      <c r="AF11" s="188">
        <v>3128.1640820410171</v>
      </c>
      <c r="AG11" s="185">
        <f t="shared" si="20"/>
        <v>1042.7213606803391</v>
      </c>
      <c r="AH11" s="182">
        <f t="shared" si="21"/>
        <v>4</v>
      </c>
      <c r="AI11" s="540"/>
      <c r="AJ11" s="188">
        <v>3</v>
      </c>
      <c r="AK11" s="188">
        <v>3128.3924843423788</v>
      </c>
      <c r="AL11" s="185">
        <f t="shared" si="22"/>
        <v>1042.7974947807929</v>
      </c>
      <c r="AM11" s="182">
        <f t="shared" si="23"/>
        <v>4</v>
      </c>
      <c r="AN11" s="540"/>
      <c r="AO11" s="188">
        <v>3</v>
      </c>
      <c r="AP11" s="188">
        <v>3128.9719626168235</v>
      </c>
      <c r="AQ11" s="185">
        <f t="shared" si="24"/>
        <v>1042.9906542056078</v>
      </c>
      <c r="AR11" s="182">
        <f t="shared" si="25"/>
        <v>3</v>
      </c>
      <c r="AS11" s="540"/>
      <c r="AT11" s="188">
        <v>3</v>
      </c>
      <c r="AU11" s="188">
        <v>3129.1887793783153</v>
      </c>
      <c r="AV11" s="185">
        <f t="shared" si="26"/>
        <v>1043.0629264594384</v>
      </c>
      <c r="AW11" s="182">
        <f t="shared" si="27"/>
        <v>3</v>
      </c>
      <c r="AX11" s="540"/>
    </row>
    <row r="12" spans="1:50" ht="14.25" customHeight="1">
      <c r="B12" s="530"/>
      <c r="C12" s="180">
        <v>6</v>
      </c>
      <c r="D12" s="183" t="s">
        <v>147</v>
      </c>
      <c r="E12" s="184">
        <v>3</v>
      </c>
      <c r="F12" s="180">
        <v>3000</v>
      </c>
      <c r="G12" s="185">
        <f t="shared" si="12"/>
        <v>1000</v>
      </c>
      <c r="H12" s="558"/>
      <c r="I12" s="186">
        <f t="shared" si="13"/>
        <v>3</v>
      </c>
      <c r="J12" s="186">
        <f t="shared" si="14"/>
        <v>2689.9663000333635</v>
      </c>
      <c r="K12" s="187">
        <f t="shared" si="15"/>
        <v>896.65543334445442</v>
      </c>
      <c r="L12" s="559"/>
      <c r="M12" s="186">
        <f>RANK(K12, K$7:$K$39)</f>
        <v>9</v>
      </c>
      <c r="N12" s="578"/>
      <c r="O12" s="541"/>
      <c r="P12" s="188">
        <v>3</v>
      </c>
      <c r="Q12" s="188">
        <v>2690.0263852242747</v>
      </c>
      <c r="R12" s="185">
        <f t="shared" si="10"/>
        <v>896.6754617414249</v>
      </c>
      <c r="S12" s="182">
        <f t="shared" si="16"/>
        <v>9</v>
      </c>
      <c r="T12" s="540"/>
      <c r="U12" s="188">
        <v>3</v>
      </c>
      <c r="V12" s="188">
        <v>2689.6882494004785</v>
      </c>
      <c r="W12" s="185">
        <f t="shared" si="11"/>
        <v>896.56274980015951</v>
      </c>
      <c r="X12" s="182">
        <f t="shared" si="17"/>
        <v>9</v>
      </c>
      <c r="Y12" s="540"/>
      <c r="Z12" s="188">
        <v>3</v>
      </c>
      <c r="AA12" s="188">
        <v>2689.9841017488075</v>
      </c>
      <c r="AB12" s="185">
        <f t="shared" si="18"/>
        <v>896.66136724960245</v>
      </c>
      <c r="AC12" s="182">
        <f t="shared" si="19"/>
        <v>9</v>
      </c>
      <c r="AD12" s="540"/>
      <c r="AE12" s="188">
        <v>3</v>
      </c>
      <c r="AF12" s="188">
        <v>2689.9219545300289</v>
      </c>
      <c r="AG12" s="185">
        <f t="shared" si="20"/>
        <v>896.64065151000966</v>
      </c>
      <c r="AH12" s="182">
        <f t="shared" si="21"/>
        <v>9</v>
      </c>
      <c r="AI12" s="540"/>
      <c r="AJ12" s="188">
        <v>3</v>
      </c>
      <c r="AK12" s="188">
        <v>2689.6253602305483</v>
      </c>
      <c r="AL12" s="185">
        <f t="shared" si="22"/>
        <v>896.54178674351613</v>
      </c>
      <c r="AM12" s="182">
        <f t="shared" si="23"/>
        <v>9</v>
      </c>
      <c r="AN12" s="540"/>
      <c r="AO12" s="188">
        <v>3</v>
      </c>
      <c r="AP12" s="188">
        <v>2690.0702106318945</v>
      </c>
      <c r="AQ12" s="185">
        <f t="shared" si="24"/>
        <v>896.69007021063146</v>
      </c>
      <c r="AR12" s="182">
        <f t="shared" si="25"/>
        <v>9</v>
      </c>
      <c r="AS12" s="540"/>
      <c r="AT12" s="188">
        <v>3</v>
      </c>
      <c r="AU12" s="188">
        <v>2690.4478384675103</v>
      </c>
      <c r="AV12" s="185">
        <f t="shared" si="26"/>
        <v>896.81594615583674</v>
      </c>
      <c r="AW12" s="182">
        <f t="shared" si="27"/>
        <v>9</v>
      </c>
      <c r="AX12" s="540"/>
    </row>
    <row r="13" spans="1:50" ht="14.25" customHeight="1">
      <c r="B13" s="530"/>
      <c r="C13" s="180">
        <v>7</v>
      </c>
      <c r="D13" s="183" t="s">
        <v>148</v>
      </c>
      <c r="E13" s="184">
        <v>3</v>
      </c>
      <c r="F13" s="180">
        <v>3600</v>
      </c>
      <c r="G13" s="185">
        <f t="shared" si="12"/>
        <v>1200</v>
      </c>
      <c r="H13" s="558"/>
      <c r="I13" s="186">
        <f t="shared" si="13"/>
        <v>3</v>
      </c>
      <c r="J13" s="186">
        <f t="shared" si="14"/>
        <v>3132.7671500557772</v>
      </c>
      <c r="K13" s="187">
        <f t="shared" si="15"/>
        <v>1044.2557166852589</v>
      </c>
      <c r="L13" s="559"/>
      <c r="M13" s="186">
        <f>RANK(K13, K$7:$K$39)</f>
        <v>1</v>
      </c>
      <c r="N13" s="578"/>
      <c r="O13" s="541"/>
      <c r="P13" s="188">
        <v>3</v>
      </c>
      <c r="Q13" s="188">
        <v>3131.5985130111508</v>
      </c>
      <c r="R13" s="185">
        <f t="shared" si="10"/>
        <v>1043.866171003717</v>
      </c>
      <c r="S13" s="182">
        <f t="shared" si="16"/>
        <v>1</v>
      </c>
      <c r="T13" s="540"/>
      <c r="U13" s="188">
        <v>3</v>
      </c>
      <c r="V13" s="188">
        <v>3132.1882001493659</v>
      </c>
      <c r="W13" s="185">
        <f t="shared" si="11"/>
        <v>1044.0627333831219</v>
      </c>
      <c r="X13" s="182">
        <f t="shared" si="17"/>
        <v>1</v>
      </c>
      <c r="Y13" s="540"/>
      <c r="Z13" s="188">
        <v>3</v>
      </c>
      <c r="AA13" s="188">
        <v>3131.1500380807265</v>
      </c>
      <c r="AB13" s="185">
        <f t="shared" si="18"/>
        <v>1043.7166793602421</v>
      </c>
      <c r="AC13" s="182">
        <f t="shared" si="19"/>
        <v>2</v>
      </c>
      <c r="AD13" s="540"/>
      <c r="AE13" s="188">
        <v>3</v>
      </c>
      <c r="AF13" s="188">
        <v>3132.2834645669323</v>
      </c>
      <c r="AG13" s="185">
        <f t="shared" si="20"/>
        <v>1044.0944881889775</v>
      </c>
      <c r="AH13" s="182">
        <f t="shared" si="21"/>
        <v>2</v>
      </c>
      <c r="AI13" s="540"/>
      <c r="AJ13" s="188">
        <v>3</v>
      </c>
      <c r="AK13" s="188">
        <v>3133.3333333333344</v>
      </c>
      <c r="AL13" s="185">
        <f t="shared" si="22"/>
        <v>1044.4444444444448</v>
      </c>
      <c r="AM13" s="182">
        <f t="shared" si="23"/>
        <v>1</v>
      </c>
      <c r="AN13" s="540"/>
      <c r="AO13" s="188">
        <v>3</v>
      </c>
      <c r="AP13" s="188">
        <v>3134.2657342657312</v>
      </c>
      <c r="AQ13" s="185">
        <f t="shared" si="24"/>
        <v>1044.7552447552437</v>
      </c>
      <c r="AR13" s="182">
        <f t="shared" si="25"/>
        <v>1</v>
      </c>
      <c r="AS13" s="540"/>
      <c r="AT13" s="188">
        <v>3</v>
      </c>
      <c r="AU13" s="188">
        <v>3134.5507669832</v>
      </c>
      <c r="AV13" s="185">
        <f t="shared" si="26"/>
        <v>1044.8502556610667</v>
      </c>
      <c r="AW13" s="182">
        <f t="shared" si="27"/>
        <v>1</v>
      </c>
      <c r="AX13" s="540"/>
    </row>
    <row r="14" spans="1:50" ht="14.25" customHeight="1">
      <c r="B14" s="530"/>
      <c r="C14" s="180">
        <v>8</v>
      </c>
      <c r="D14" s="183" t="s">
        <v>149</v>
      </c>
      <c r="E14" s="184">
        <v>4</v>
      </c>
      <c r="F14" s="180">
        <v>3300</v>
      </c>
      <c r="G14" s="185">
        <f t="shared" si="12"/>
        <v>825</v>
      </c>
      <c r="H14" s="558"/>
      <c r="I14" s="186">
        <f t="shared" si="13"/>
        <v>4</v>
      </c>
      <c r="J14" s="186">
        <f t="shared" si="14"/>
        <v>2928.0850469008478</v>
      </c>
      <c r="K14" s="187">
        <f t="shared" si="15"/>
        <v>732.02126172521196</v>
      </c>
      <c r="L14" s="559"/>
      <c r="M14" s="186">
        <f>RANK(K14, K$7:$K$39)</f>
        <v>21</v>
      </c>
      <c r="N14" s="578"/>
      <c r="O14" s="541"/>
      <c r="P14" s="188">
        <v>4</v>
      </c>
      <c r="Q14" s="188">
        <v>2927.8481012658244</v>
      </c>
      <c r="R14" s="185">
        <f t="shared" si="10"/>
        <v>731.96202531645611</v>
      </c>
      <c r="S14" s="182">
        <f t="shared" si="16"/>
        <v>20</v>
      </c>
      <c r="T14" s="540"/>
      <c r="U14" s="188">
        <v>4</v>
      </c>
      <c r="V14" s="188">
        <v>2928.4578696343438</v>
      </c>
      <c r="W14" s="185">
        <f t="shared" si="11"/>
        <v>732.11446740858594</v>
      </c>
      <c r="X14" s="182">
        <f t="shared" si="17"/>
        <v>20</v>
      </c>
      <c r="Y14" s="540"/>
      <c r="Z14" s="188">
        <v>4</v>
      </c>
      <c r="AA14" s="188">
        <v>2928.6173633440526</v>
      </c>
      <c r="AB14" s="185">
        <f t="shared" si="18"/>
        <v>732.15434083601315</v>
      </c>
      <c r="AC14" s="182">
        <f t="shared" si="19"/>
        <v>19</v>
      </c>
      <c r="AD14" s="540"/>
      <c r="AE14" s="188">
        <v>4</v>
      </c>
      <c r="AF14" s="188">
        <v>2928.5921625544242</v>
      </c>
      <c r="AG14" s="185">
        <f t="shared" si="20"/>
        <v>732.14804063860606</v>
      </c>
      <c r="AH14" s="182">
        <f t="shared" si="21"/>
        <v>18</v>
      </c>
      <c r="AI14" s="540"/>
      <c r="AJ14" s="188">
        <v>4</v>
      </c>
      <c r="AK14" s="188">
        <v>2928.1105990783362</v>
      </c>
      <c r="AL14" s="185">
        <f t="shared" si="22"/>
        <v>732.02764976958406</v>
      </c>
      <c r="AM14" s="182">
        <f t="shared" si="23"/>
        <v>19</v>
      </c>
      <c r="AN14" s="540"/>
      <c r="AO14" s="188">
        <v>4</v>
      </c>
      <c r="AP14" s="188">
        <v>2927.8309008555607</v>
      </c>
      <c r="AQ14" s="185">
        <f t="shared" si="24"/>
        <v>731.95772521389017</v>
      </c>
      <c r="AR14" s="182">
        <f t="shared" si="25"/>
        <v>19</v>
      </c>
      <c r="AS14" s="540"/>
      <c r="AT14" s="188">
        <v>4</v>
      </c>
      <c r="AU14" s="188">
        <v>2927.1383315733897</v>
      </c>
      <c r="AV14" s="185">
        <f t="shared" si="26"/>
        <v>731.78458289334742</v>
      </c>
      <c r="AW14" s="182">
        <f t="shared" si="27"/>
        <v>21</v>
      </c>
      <c r="AX14" s="540"/>
    </row>
    <row r="15" spans="1:50" ht="14.25" customHeight="1">
      <c r="B15" s="530"/>
      <c r="C15" s="180">
        <v>9</v>
      </c>
      <c r="D15" s="183" t="s">
        <v>150</v>
      </c>
      <c r="E15" s="184">
        <v>4</v>
      </c>
      <c r="F15" s="180">
        <v>3300</v>
      </c>
      <c r="G15" s="185">
        <f t="shared" si="12"/>
        <v>825</v>
      </c>
      <c r="H15" s="558"/>
      <c r="I15" s="186">
        <f t="shared" si="13"/>
        <v>4</v>
      </c>
      <c r="J15" s="186">
        <f t="shared" si="14"/>
        <v>2927.6593737710537</v>
      </c>
      <c r="K15" s="187">
        <f t="shared" si="15"/>
        <v>731.91484344276341</v>
      </c>
      <c r="L15" s="559"/>
      <c r="M15" s="186">
        <f>RANK(K15, K$7:$K$39)</f>
        <v>22</v>
      </c>
      <c r="N15" s="578"/>
      <c r="O15" s="541"/>
      <c r="P15" s="188">
        <v>4</v>
      </c>
      <c r="Q15" s="188">
        <v>2927.330031517336</v>
      </c>
      <c r="R15" s="185">
        <f t="shared" si="10"/>
        <v>731.832507879334</v>
      </c>
      <c r="S15" s="182">
        <f t="shared" si="16"/>
        <v>22</v>
      </c>
      <c r="T15" s="540"/>
      <c r="U15" s="188">
        <v>4</v>
      </c>
      <c r="V15" s="188">
        <v>2927.7401894452014</v>
      </c>
      <c r="W15" s="185">
        <f t="shared" si="11"/>
        <v>731.93504736130035</v>
      </c>
      <c r="X15" s="182">
        <f t="shared" si="17"/>
        <v>22</v>
      </c>
      <c r="Y15" s="540"/>
      <c r="Z15" s="188">
        <v>4</v>
      </c>
      <c r="AA15" s="188">
        <v>2928.2456956724095</v>
      </c>
      <c r="AB15" s="185">
        <f t="shared" si="18"/>
        <v>732.06142391810238</v>
      </c>
      <c r="AC15" s="182">
        <f t="shared" si="19"/>
        <v>20</v>
      </c>
      <c r="AD15" s="540"/>
      <c r="AE15" s="188">
        <v>4</v>
      </c>
      <c r="AF15" s="188">
        <v>2927.562642369016</v>
      </c>
      <c r="AG15" s="185">
        <f t="shared" si="20"/>
        <v>731.89066059225399</v>
      </c>
      <c r="AH15" s="182">
        <f t="shared" si="21"/>
        <v>20</v>
      </c>
      <c r="AI15" s="540"/>
      <c r="AJ15" s="188">
        <v>4</v>
      </c>
      <c r="AK15" s="188">
        <v>2927.4969173859386</v>
      </c>
      <c r="AL15" s="185">
        <f t="shared" si="22"/>
        <v>731.87422934648464</v>
      </c>
      <c r="AM15" s="182">
        <f t="shared" si="23"/>
        <v>20</v>
      </c>
      <c r="AN15" s="540"/>
      <c r="AO15" s="188">
        <v>4</v>
      </c>
      <c r="AP15" s="188">
        <v>2927.6447540269946</v>
      </c>
      <c r="AQ15" s="185">
        <f t="shared" si="24"/>
        <v>731.91118850674866</v>
      </c>
      <c r="AR15" s="182">
        <f t="shared" si="25"/>
        <v>20</v>
      </c>
      <c r="AS15" s="540"/>
      <c r="AT15" s="188">
        <v>4</v>
      </c>
      <c r="AU15" s="188">
        <v>2927.5953859804808</v>
      </c>
      <c r="AV15" s="185">
        <f t="shared" si="26"/>
        <v>731.89884649512021</v>
      </c>
      <c r="AW15" s="182">
        <f t="shared" si="27"/>
        <v>20</v>
      </c>
      <c r="AX15" s="540"/>
    </row>
    <row r="16" spans="1:50" ht="14.25" customHeight="1">
      <c r="B16" s="530"/>
      <c r="C16" s="180">
        <v>10</v>
      </c>
      <c r="D16" s="183" t="s">
        <v>151</v>
      </c>
      <c r="E16" s="184">
        <v>4</v>
      </c>
      <c r="F16" s="180">
        <v>3300</v>
      </c>
      <c r="G16" s="185">
        <f t="shared" si="12"/>
        <v>825</v>
      </c>
      <c r="H16" s="558"/>
      <c r="I16" s="186">
        <f t="shared" si="13"/>
        <v>4</v>
      </c>
      <c r="J16" s="186">
        <f t="shared" si="14"/>
        <v>2956.432950055224</v>
      </c>
      <c r="K16" s="187">
        <f t="shared" si="15"/>
        <v>739.10823751380599</v>
      </c>
      <c r="L16" s="559"/>
      <c r="M16" s="186">
        <f>RANK(K16, K$7:$K$39)</f>
        <v>14</v>
      </c>
      <c r="N16" s="578"/>
      <c r="O16" s="541"/>
      <c r="P16" s="188">
        <v>4</v>
      </c>
      <c r="Q16" s="188">
        <v>2955.2521008403382</v>
      </c>
      <c r="R16" s="185">
        <f t="shared" si="10"/>
        <v>738.81302521008456</v>
      </c>
      <c r="S16" s="182">
        <f t="shared" si="16"/>
        <v>14</v>
      </c>
      <c r="T16" s="540"/>
      <c r="U16" s="188">
        <v>4</v>
      </c>
      <c r="V16" s="188">
        <v>2955.8301988178473</v>
      </c>
      <c r="W16" s="185">
        <f t="shared" si="11"/>
        <v>738.95754970446183</v>
      </c>
      <c r="X16" s="182">
        <f t="shared" si="17"/>
        <v>14</v>
      </c>
      <c r="Y16" s="540"/>
      <c r="Z16" s="188">
        <v>4</v>
      </c>
      <c r="AA16" s="188">
        <v>2956.1613958560511</v>
      </c>
      <c r="AB16" s="185">
        <f t="shared" si="18"/>
        <v>739.04034896401276</v>
      </c>
      <c r="AC16" s="182">
        <f t="shared" si="19"/>
        <v>14</v>
      </c>
      <c r="AD16" s="540"/>
      <c r="AE16" s="188">
        <v>4</v>
      </c>
      <c r="AF16" s="188">
        <v>2955.2973342446994</v>
      </c>
      <c r="AG16" s="185">
        <f t="shared" si="20"/>
        <v>738.82433356117485</v>
      </c>
      <c r="AH16" s="182">
        <f t="shared" si="21"/>
        <v>15</v>
      </c>
      <c r="AI16" s="540"/>
      <c r="AJ16" s="188">
        <v>4</v>
      </c>
      <c r="AK16" s="188">
        <v>2956.9465648854921</v>
      </c>
      <c r="AL16" s="185">
        <f t="shared" si="22"/>
        <v>739.23664122137302</v>
      </c>
      <c r="AM16" s="182">
        <f t="shared" si="23"/>
        <v>14</v>
      </c>
      <c r="AN16" s="540"/>
      <c r="AO16" s="188">
        <v>4</v>
      </c>
      <c r="AP16" s="188">
        <v>2957.4803149606296</v>
      </c>
      <c r="AQ16" s="185">
        <f t="shared" si="24"/>
        <v>739.3700787401574</v>
      </c>
      <c r="AR16" s="182">
        <f t="shared" si="25"/>
        <v>14</v>
      </c>
      <c r="AS16" s="540"/>
      <c r="AT16" s="188">
        <v>4</v>
      </c>
      <c r="AU16" s="188">
        <v>2958.0627407815091</v>
      </c>
      <c r="AV16" s="185">
        <f t="shared" si="26"/>
        <v>739.51568519537727</v>
      </c>
      <c r="AW16" s="182">
        <f t="shared" si="27"/>
        <v>14</v>
      </c>
      <c r="AX16" s="540"/>
    </row>
    <row r="17" spans="2:50" ht="14.25" customHeight="1">
      <c r="B17" s="530"/>
      <c r="C17" s="180">
        <v>11</v>
      </c>
      <c r="D17" s="183" t="s">
        <v>152</v>
      </c>
      <c r="E17" s="184">
        <v>3</v>
      </c>
      <c r="F17" s="180">
        <v>3000</v>
      </c>
      <c r="G17" s="185">
        <f t="shared" si="12"/>
        <v>1000</v>
      </c>
      <c r="H17" s="558"/>
      <c r="I17" s="186">
        <f t="shared" si="13"/>
        <v>3</v>
      </c>
      <c r="J17" s="186">
        <f t="shared" si="14"/>
        <v>2689.144411874222</v>
      </c>
      <c r="K17" s="187">
        <f t="shared" si="15"/>
        <v>896.3814706247407</v>
      </c>
      <c r="L17" s="559"/>
      <c r="M17" s="186">
        <f>RANK(K17, K$7:$K$39)</f>
        <v>10</v>
      </c>
      <c r="N17" s="578"/>
      <c r="O17" s="541"/>
      <c r="P17" s="188">
        <v>3</v>
      </c>
      <c r="Q17" s="188">
        <v>2688.7156895967478</v>
      </c>
      <c r="R17" s="185">
        <f t="shared" si="10"/>
        <v>896.23856319891593</v>
      </c>
      <c r="S17" s="182">
        <f t="shared" si="16"/>
        <v>10</v>
      </c>
      <c r="T17" s="540"/>
      <c r="U17" s="188">
        <v>3</v>
      </c>
      <c r="V17" s="188">
        <v>2688.8099467140337</v>
      </c>
      <c r="W17" s="185">
        <f t="shared" si="11"/>
        <v>896.26998223801127</v>
      </c>
      <c r="X17" s="182">
        <f t="shared" si="17"/>
        <v>11</v>
      </c>
      <c r="Y17" s="540"/>
      <c r="Z17" s="188">
        <v>3</v>
      </c>
      <c r="AA17" s="188">
        <v>2688.9045438534677</v>
      </c>
      <c r="AB17" s="185">
        <f t="shared" si="18"/>
        <v>896.30151461782259</v>
      </c>
      <c r="AC17" s="182">
        <f t="shared" si="19"/>
        <v>10</v>
      </c>
      <c r="AD17" s="540"/>
      <c r="AE17" s="188">
        <v>3</v>
      </c>
      <c r="AF17" s="188">
        <v>2689.2694558855405</v>
      </c>
      <c r="AG17" s="185">
        <f t="shared" si="20"/>
        <v>896.42315196184688</v>
      </c>
      <c r="AH17" s="182">
        <f t="shared" si="21"/>
        <v>10</v>
      </c>
      <c r="AI17" s="540"/>
      <c r="AJ17" s="188">
        <v>3</v>
      </c>
      <c r="AK17" s="188">
        <v>2689.4594594594605</v>
      </c>
      <c r="AL17" s="185">
        <f t="shared" si="22"/>
        <v>896.4864864864868</v>
      </c>
      <c r="AM17" s="182">
        <f t="shared" si="23"/>
        <v>10</v>
      </c>
      <c r="AN17" s="540"/>
      <c r="AO17" s="188">
        <v>3</v>
      </c>
      <c r="AP17" s="188">
        <v>2689.350815478093</v>
      </c>
      <c r="AQ17" s="185">
        <f t="shared" si="24"/>
        <v>896.45027182603098</v>
      </c>
      <c r="AR17" s="182">
        <f t="shared" si="25"/>
        <v>11</v>
      </c>
      <c r="AS17" s="540"/>
      <c r="AT17" s="188">
        <v>3</v>
      </c>
      <c r="AU17" s="188">
        <v>2689.5009721322108</v>
      </c>
      <c r="AV17" s="185">
        <f t="shared" si="26"/>
        <v>896.50032404407023</v>
      </c>
      <c r="AW17" s="182">
        <f t="shared" si="27"/>
        <v>11</v>
      </c>
      <c r="AX17" s="540"/>
    </row>
    <row r="18" spans="2:50" ht="14.25" customHeight="1">
      <c r="B18" s="530"/>
      <c r="C18" s="180">
        <v>12</v>
      </c>
      <c r="D18" s="183" t="s">
        <v>153</v>
      </c>
      <c r="E18" s="184">
        <v>12</v>
      </c>
      <c r="F18" s="180">
        <v>3600</v>
      </c>
      <c r="G18" s="185">
        <f t="shared" si="12"/>
        <v>300</v>
      </c>
      <c r="H18" s="558"/>
      <c r="I18" s="186">
        <f t="shared" si="13"/>
        <v>12</v>
      </c>
      <c r="J18" s="186">
        <f t="shared" si="14"/>
        <v>3123.1075362016422</v>
      </c>
      <c r="K18" s="187">
        <f t="shared" si="15"/>
        <v>260.25896135013687</v>
      </c>
      <c r="L18" s="559"/>
      <c r="M18" s="186">
        <f>RANK(K18, K$7:$K$39)</f>
        <v>31</v>
      </c>
      <c r="N18" s="578"/>
      <c r="O18" s="541"/>
      <c r="P18" s="188">
        <v>12</v>
      </c>
      <c r="Q18" s="188">
        <v>3121.4906832298093</v>
      </c>
      <c r="R18" s="185">
        <f t="shared" si="10"/>
        <v>260.12422360248411</v>
      </c>
      <c r="S18" s="182">
        <f t="shared" si="16"/>
        <v>31</v>
      </c>
      <c r="T18" s="540"/>
      <c r="U18" s="188">
        <v>12</v>
      </c>
      <c r="V18" s="188">
        <v>3122.0715166461205</v>
      </c>
      <c r="W18" s="185">
        <f t="shared" si="11"/>
        <v>260.17262638717671</v>
      </c>
      <c r="X18" s="182">
        <f t="shared" si="17"/>
        <v>31</v>
      </c>
      <c r="Y18" s="540"/>
      <c r="Z18" s="188">
        <v>12</v>
      </c>
      <c r="AA18" s="188">
        <v>3121.8045112781952</v>
      </c>
      <c r="AB18" s="185">
        <f t="shared" si="18"/>
        <v>260.1503759398496</v>
      </c>
      <c r="AC18" s="182">
        <f t="shared" si="19"/>
        <v>29</v>
      </c>
      <c r="AD18" s="540"/>
      <c r="AE18" s="188">
        <v>12</v>
      </c>
      <c r="AF18" s="188">
        <v>3123.6641221374048</v>
      </c>
      <c r="AG18" s="185">
        <f t="shared" si="20"/>
        <v>260.30534351145042</v>
      </c>
      <c r="AH18" s="182">
        <f t="shared" si="21"/>
        <v>28</v>
      </c>
      <c r="AI18" s="540"/>
      <c r="AJ18" s="188">
        <v>12</v>
      </c>
      <c r="AK18" s="188">
        <v>3123.5859124866615</v>
      </c>
      <c r="AL18" s="185">
        <f t="shared" si="22"/>
        <v>260.29882604055513</v>
      </c>
      <c r="AM18" s="182">
        <f t="shared" si="23"/>
        <v>28</v>
      </c>
      <c r="AN18" s="540"/>
      <c r="AO18" s="188">
        <v>12</v>
      </c>
      <c r="AP18" s="188">
        <v>3124.6353961371738</v>
      </c>
      <c r="AQ18" s="185">
        <f t="shared" si="24"/>
        <v>260.38628301143115</v>
      </c>
      <c r="AR18" s="182">
        <f t="shared" si="25"/>
        <v>28</v>
      </c>
      <c r="AS18" s="540"/>
      <c r="AT18" s="188">
        <v>12</v>
      </c>
      <c r="AU18" s="188">
        <v>3124.5006114961293</v>
      </c>
      <c r="AV18" s="185">
        <f t="shared" si="26"/>
        <v>260.37505095801077</v>
      </c>
      <c r="AW18" s="182">
        <f t="shared" si="27"/>
        <v>29</v>
      </c>
      <c r="AX18" s="540"/>
    </row>
    <row r="19" spans="2:50" ht="14.25" customHeight="1">
      <c r="B19" s="530"/>
      <c r="C19" s="180">
        <v>13</v>
      </c>
      <c r="D19" s="183" t="s">
        <v>154</v>
      </c>
      <c r="E19" s="184">
        <v>3</v>
      </c>
      <c r="F19" s="180">
        <v>3300</v>
      </c>
      <c r="G19" s="185">
        <f t="shared" si="12"/>
        <v>1100</v>
      </c>
      <c r="H19" s="558"/>
      <c r="I19" s="186">
        <f t="shared" si="13"/>
        <v>3</v>
      </c>
      <c r="J19" s="186">
        <f t="shared" si="14"/>
        <v>2953.1306167922658</v>
      </c>
      <c r="K19" s="187">
        <f t="shared" si="15"/>
        <v>984.37687226408855</v>
      </c>
      <c r="L19" s="559"/>
      <c r="M19" s="186">
        <f>RANK(K19, K$7:$K$39)</f>
        <v>8</v>
      </c>
      <c r="N19" s="578"/>
      <c r="O19" s="541"/>
      <c r="P19" s="188">
        <v>3</v>
      </c>
      <c r="Q19" s="188">
        <v>2952.5291828793779</v>
      </c>
      <c r="R19" s="185">
        <f t="shared" si="10"/>
        <v>984.17639429312601</v>
      </c>
      <c r="S19" s="182">
        <f t="shared" si="16"/>
        <v>8</v>
      </c>
      <c r="T19" s="540"/>
      <c r="U19" s="188">
        <v>3</v>
      </c>
      <c r="V19" s="188">
        <v>2952.3851983950085</v>
      </c>
      <c r="W19" s="185">
        <f t="shared" si="11"/>
        <v>984.12839946500287</v>
      </c>
      <c r="X19" s="182">
        <f t="shared" si="17"/>
        <v>8</v>
      </c>
      <c r="Y19" s="540"/>
      <c r="Z19" s="188">
        <v>3</v>
      </c>
      <c r="AA19" s="188">
        <v>2952.717391304348</v>
      </c>
      <c r="AB19" s="185">
        <f t="shared" si="18"/>
        <v>984.23913043478262</v>
      </c>
      <c r="AC19" s="182">
        <f t="shared" si="19"/>
        <v>8</v>
      </c>
      <c r="AD19" s="540"/>
      <c r="AE19" s="188">
        <v>3</v>
      </c>
      <c r="AF19" s="188">
        <v>2953.1723750701881</v>
      </c>
      <c r="AG19" s="185">
        <f t="shared" si="20"/>
        <v>984.39079169006266</v>
      </c>
      <c r="AH19" s="182">
        <f t="shared" si="21"/>
        <v>8</v>
      </c>
      <c r="AI19" s="540"/>
      <c r="AJ19" s="188">
        <v>3</v>
      </c>
      <c r="AK19" s="188">
        <v>2953.3878504672898</v>
      </c>
      <c r="AL19" s="185">
        <f t="shared" si="22"/>
        <v>984.46261682242994</v>
      </c>
      <c r="AM19" s="182">
        <f t="shared" si="23"/>
        <v>8</v>
      </c>
      <c r="AN19" s="540"/>
      <c r="AO19" s="188">
        <v>3</v>
      </c>
      <c r="AP19" s="188">
        <v>2953.6534446764099</v>
      </c>
      <c r="AQ19" s="185">
        <f t="shared" si="24"/>
        <v>984.55114822547</v>
      </c>
      <c r="AR19" s="182">
        <f t="shared" si="25"/>
        <v>8</v>
      </c>
      <c r="AS19" s="540"/>
      <c r="AT19" s="188">
        <v>3</v>
      </c>
      <c r="AU19" s="188">
        <v>2954.0688747532349</v>
      </c>
      <c r="AV19" s="185">
        <f t="shared" si="26"/>
        <v>984.68962491774494</v>
      </c>
      <c r="AW19" s="182">
        <f t="shared" si="27"/>
        <v>8</v>
      </c>
      <c r="AX19" s="540"/>
    </row>
    <row r="20" spans="2:50" ht="14.25" customHeight="1">
      <c r="B20" s="530"/>
      <c r="C20" s="180">
        <v>14</v>
      </c>
      <c r="D20" s="183" t="s">
        <v>155</v>
      </c>
      <c r="E20" s="184">
        <v>4</v>
      </c>
      <c r="F20" s="180">
        <v>3300</v>
      </c>
      <c r="G20" s="185">
        <f t="shared" si="12"/>
        <v>825</v>
      </c>
      <c r="H20" s="558"/>
      <c r="I20" s="186">
        <f t="shared" si="13"/>
        <v>4</v>
      </c>
      <c r="J20" s="186">
        <f t="shared" si="14"/>
        <v>2952.9140086001908</v>
      </c>
      <c r="K20" s="187">
        <f t="shared" si="15"/>
        <v>738.22850215004769</v>
      </c>
      <c r="L20" s="559"/>
      <c r="M20" s="186">
        <f>RANK(K20, K$7:$K$39)</f>
        <v>19</v>
      </c>
      <c r="N20" s="578"/>
      <c r="O20" s="541"/>
      <c r="P20" s="188">
        <v>4</v>
      </c>
      <c r="Q20" s="188">
        <v>2952.9525653436594</v>
      </c>
      <c r="R20" s="185">
        <f t="shared" si="10"/>
        <v>738.23814133591486</v>
      </c>
      <c r="S20" s="182">
        <f t="shared" si="16"/>
        <v>16</v>
      </c>
      <c r="T20" s="540"/>
      <c r="U20" s="188">
        <v>4</v>
      </c>
      <c r="V20" s="188">
        <v>2952.8754518567225</v>
      </c>
      <c r="W20" s="185">
        <f t="shared" si="11"/>
        <v>738.21886296418063</v>
      </c>
      <c r="X20" s="182">
        <f t="shared" si="17"/>
        <v>18</v>
      </c>
      <c r="Y20" s="540"/>
      <c r="Z20" s="188"/>
      <c r="AA20" s="188"/>
      <c r="AB20" s="185"/>
      <c r="AC20" s="182"/>
      <c r="AD20" s="540"/>
      <c r="AE20" s="188"/>
      <c r="AF20" s="188"/>
      <c r="AG20" s="185"/>
      <c r="AH20" s="182"/>
      <c r="AI20" s="540"/>
      <c r="AJ20" s="188"/>
      <c r="AK20" s="188"/>
      <c r="AL20" s="185"/>
      <c r="AM20" s="182"/>
      <c r="AN20" s="540"/>
      <c r="AO20" s="188"/>
      <c r="AP20" s="188"/>
      <c r="AQ20" s="185"/>
      <c r="AR20" s="182"/>
      <c r="AS20" s="540"/>
      <c r="AT20" s="188"/>
      <c r="AU20" s="188"/>
      <c r="AV20" s="185"/>
      <c r="AW20" s="182"/>
      <c r="AX20" s="540"/>
    </row>
    <row r="21" spans="2:50" ht="14.25" customHeight="1">
      <c r="B21" s="530"/>
      <c r="C21" s="180">
        <v>15</v>
      </c>
      <c r="D21" s="183" t="s">
        <v>156</v>
      </c>
      <c r="E21" s="184">
        <v>5</v>
      </c>
      <c r="F21" s="180">
        <v>3300</v>
      </c>
      <c r="G21" s="185">
        <f t="shared" si="12"/>
        <v>660</v>
      </c>
      <c r="H21" s="558"/>
      <c r="I21" s="186">
        <f t="shared" si="13"/>
        <v>5</v>
      </c>
      <c r="J21" s="186">
        <f t="shared" si="14"/>
        <v>2954.8940701060151</v>
      </c>
      <c r="K21" s="187">
        <f t="shared" si="15"/>
        <v>590.97881402120299</v>
      </c>
      <c r="L21" s="559"/>
      <c r="M21" s="186">
        <f>RANK(K21, K$7:$K$39)</f>
        <v>27</v>
      </c>
      <c r="N21" s="578"/>
      <c r="O21" s="541"/>
      <c r="P21" s="188">
        <v>5</v>
      </c>
      <c r="Q21" s="188">
        <v>2953.68782161235</v>
      </c>
      <c r="R21" s="185">
        <f t="shared" si="10"/>
        <v>590.73756432247001</v>
      </c>
      <c r="S21" s="182">
        <f t="shared" si="16"/>
        <v>27</v>
      </c>
      <c r="T21" s="540"/>
      <c r="U21" s="188">
        <v>5</v>
      </c>
      <c r="V21" s="188">
        <v>2953.7176938369762</v>
      </c>
      <c r="W21" s="185">
        <f t="shared" si="11"/>
        <v>590.74353876739519</v>
      </c>
      <c r="X21" s="182">
        <f t="shared" si="17"/>
        <v>28</v>
      </c>
      <c r="Y21" s="540"/>
      <c r="Z21" s="188">
        <v>5</v>
      </c>
      <c r="AA21" s="188">
        <v>2954.1455503750249</v>
      </c>
      <c r="AB21" s="185">
        <f t="shared" ref="AB21:AB36" si="28">IFERROR(AA21/Z21,"")</f>
        <v>590.82911007500502</v>
      </c>
      <c r="AC21" s="182">
        <f t="shared" si="19"/>
        <v>26</v>
      </c>
      <c r="AD21" s="540"/>
      <c r="AE21" s="188">
        <v>5</v>
      </c>
      <c r="AF21" s="188">
        <v>2954.5735997748379</v>
      </c>
      <c r="AG21" s="185">
        <f t="shared" ref="AG21:AG36" si="29">IFERROR(AF21/AE21,"")</f>
        <v>590.91471995496761</v>
      </c>
      <c r="AH21" s="182">
        <f t="shared" si="21"/>
        <v>26</v>
      </c>
      <c r="AI21" s="540"/>
      <c r="AJ21" s="188">
        <v>5</v>
      </c>
      <c r="AK21" s="188">
        <v>2954.9770290964793</v>
      </c>
      <c r="AL21" s="185">
        <f t="shared" ref="AL21:AL36" si="30">IFERROR(AK21/AJ21,"")</f>
        <v>590.99540581929591</v>
      </c>
      <c r="AM21" s="182">
        <f t="shared" si="23"/>
        <v>25</v>
      </c>
      <c r="AN21" s="540"/>
      <c r="AO21" s="188">
        <v>5</v>
      </c>
      <c r="AP21" s="188">
        <v>2956.5060783430872</v>
      </c>
      <c r="AQ21" s="185">
        <f t="shared" ref="AQ21:AQ36" si="31">IFERROR(AP21/AO21,"")</f>
        <v>591.30121566861749</v>
      </c>
      <c r="AR21" s="182">
        <f t="shared" si="25"/>
        <v>24</v>
      </c>
      <c r="AS21" s="540"/>
      <c r="AT21" s="188">
        <v>5</v>
      </c>
      <c r="AU21" s="188">
        <v>2956.6507177033509</v>
      </c>
      <c r="AV21" s="185">
        <f t="shared" ref="AV21:AV36" si="32">IFERROR(AU21/AT21,"")</f>
        <v>591.33014354067018</v>
      </c>
      <c r="AW21" s="182">
        <f t="shared" si="27"/>
        <v>24</v>
      </c>
      <c r="AX21" s="540"/>
    </row>
    <row r="22" spans="2:50" ht="14.25" customHeight="1">
      <c r="B22" s="530"/>
      <c r="C22" s="180">
        <v>16</v>
      </c>
      <c r="D22" s="183" t="s">
        <v>157</v>
      </c>
      <c r="E22" s="184">
        <v>4</v>
      </c>
      <c r="F22" s="180">
        <v>3300</v>
      </c>
      <c r="G22" s="185">
        <f t="shared" si="12"/>
        <v>825</v>
      </c>
      <c r="H22" s="558"/>
      <c r="I22" s="186">
        <f t="shared" si="13"/>
        <v>4</v>
      </c>
      <c r="J22" s="186">
        <f t="shared" si="14"/>
        <v>2955.0178055043843</v>
      </c>
      <c r="K22" s="187">
        <f t="shared" si="15"/>
        <v>738.75445137609609</v>
      </c>
      <c r="L22" s="559"/>
      <c r="M22" s="186">
        <f>RANK(K22, K$7:$K$39)</f>
        <v>15</v>
      </c>
      <c r="N22" s="578"/>
      <c r="O22" s="541"/>
      <c r="P22" s="188">
        <v>4</v>
      </c>
      <c r="Q22" s="188">
        <v>2952.2911051212936</v>
      </c>
      <c r="R22" s="185">
        <f t="shared" si="10"/>
        <v>738.07277628032341</v>
      </c>
      <c r="S22" s="182">
        <f t="shared" si="16"/>
        <v>18</v>
      </c>
      <c r="T22" s="540"/>
      <c r="U22" s="188">
        <v>4</v>
      </c>
      <c r="V22" s="188">
        <v>2952.6205450733755</v>
      </c>
      <c r="W22" s="185">
        <f t="shared" si="11"/>
        <v>738.15513626834388</v>
      </c>
      <c r="X22" s="182">
        <f t="shared" si="17"/>
        <v>19</v>
      </c>
      <c r="Y22" s="540"/>
      <c r="Z22" s="188">
        <v>4</v>
      </c>
      <c r="AA22" s="188">
        <v>2955.7894736842127</v>
      </c>
      <c r="AB22" s="185">
        <f t="shared" si="28"/>
        <v>738.94736842105317</v>
      </c>
      <c r="AC22" s="182">
        <f t="shared" si="19"/>
        <v>15</v>
      </c>
      <c r="AD22" s="540"/>
      <c r="AE22" s="188">
        <v>4</v>
      </c>
      <c r="AF22" s="188">
        <v>2955.6456888656294</v>
      </c>
      <c r="AG22" s="185">
        <f t="shared" si="29"/>
        <v>738.91142221640735</v>
      </c>
      <c r="AH22" s="182">
        <f t="shared" si="21"/>
        <v>14</v>
      </c>
      <c r="AI22" s="540"/>
      <c r="AJ22" s="188">
        <v>4</v>
      </c>
      <c r="AK22" s="188">
        <v>2956.2492637530931</v>
      </c>
      <c r="AL22" s="185">
        <f t="shared" si="30"/>
        <v>739.06231593827329</v>
      </c>
      <c r="AM22" s="182">
        <f t="shared" si="23"/>
        <v>15</v>
      </c>
      <c r="AN22" s="540"/>
      <c r="AO22" s="188">
        <v>4</v>
      </c>
      <c r="AP22" s="188">
        <v>2956.1684210526309</v>
      </c>
      <c r="AQ22" s="185">
        <f t="shared" si="31"/>
        <v>739.04210526315774</v>
      </c>
      <c r="AR22" s="182">
        <f t="shared" si="25"/>
        <v>15</v>
      </c>
      <c r="AS22" s="540"/>
      <c r="AT22" s="188">
        <v>4</v>
      </c>
      <c r="AU22" s="188">
        <v>2956.3601409804564</v>
      </c>
      <c r="AV22" s="185">
        <f t="shared" si="32"/>
        <v>739.09003524511411</v>
      </c>
      <c r="AW22" s="182">
        <f t="shared" si="27"/>
        <v>15</v>
      </c>
      <c r="AX22" s="540"/>
    </row>
    <row r="23" spans="2:50" ht="14.25" customHeight="1">
      <c r="B23" s="530"/>
      <c r="C23" s="180">
        <v>17</v>
      </c>
      <c r="D23" s="183" t="s">
        <v>158</v>
      </c>
      <c r="E23" s="184">
        <v>3</v>
      </c>
      <c r="F23" s="180">
        <v>3600</v>
      </c>
      <c r="G23" s="185">
        <f t="shared" si="12"/>
        <v>1200</v>
      </c>
      <c r="H23" s="558"/>
      <c r="I23" s="186">
        <f t="shared" si="13"/>
        <v>3</v>
      </c>
      <c r="J23" s="186">
        <f t="shared" si="14"/>
        <v>3128.4251328296677</v>
      </c>
      <c r="K23" s="187">
        <f t="shared" si="15"/>
        <v>1042.8083776098892</v>
      </c>
      <c r="L23" s="559"/>
      <c r="M23" s="186">
        <f>RANK(K23, K$7:$K$39)</f>
        <v>3</v>
      </c>
      <c r="N23" s="578"/>
      <c r="O23" s="541"/>
      <c r="P23" s="188">
        <v>3</v>
      </c>
      <c r="Q23" s="188">
        <v>3127.6794357532899</v>
      </c>
      <c r="R23" s="185">
        <f t="shared" si="10"/>
        <v>1042.5598119177632</v>
      </c>
      <c r="S23" s="182">
        <f t="shared" si="16"/>
        <v>3</v>
      </c>
      <c r="T23" s="540"/>
      <c r="U23" s="188">
        <v>3</v>
      </c>
      <c r="V23" s="188">
        <v>3128.2047515934464</v>
      </c>
      <c r="W23" s="185">
        <f t="shared" si="11"/>
        <v>1042.7349171978155</v>
      </c>
      <c r="X23" s="182">
        <f t="shared" si="17"/>
        <v>3</v>
      </c>
      <c r="Y23" s="540"/>
      <c r="Z23" s="188">
        <v>3</v>
      </c>
      <c r="AA23" s="188">
        <v>3128.0913829433284</v>
      </c>
      <c r="AB23" s="185">
        <f t="shared" si="28"/>
        <v>1042.6971276477761</v>
      </c>
      <c r="AC23" s="182">
        <f t="shared" si="19"/>
        <v>3</v>
      </c>
      <c r="AD23" s="540"/>
      <c r="AE23" s="188">
        <v>3</v>
      </c>
      <c r="AF23" s="188">
        <v>3128.5415212840194</v>
      </c>
      <c r="AG23" s="185">
        <f t="shared" si="29"/>
        <v>1042.8471737613397</v>
      </c>
      <c r="AH23" s="182">
        <f t="shared" si="21"/>
        <v>3</v>
      </c>
      <c r="AI23" s="540"/>
      <c r="AJ23" s="188">
        <v>3</v>
      </c>
      <c r="AK23" s="188">
        <v>3128.5582539194588</v>
      </c>
      <c r="AL23" s="185">
        <f t="shared" si="30"/>
        <v>1042.8527513064862</v>
      </c>
      <c r="AM23" s="182">
        <f t="shared" si="23"/>
        <v>3</v>
      </c>
      <c r="AN23" s="540"/>
      <c r="AO23" s="188">
        <v>3</v>
      </c>
      <c r="AP23" s="188">
        <v>3128.8825543363778</v>
      </c>
      <c r="AQ23" s="185">
        <f t="shared" si="31"/>
        <v>1042.9608514454592</v>
      </c>
      <c r="AR23" s="182">
        <f t="shared" si="25"/>
        <v>4</v>
      </c>
      <c r="AS23" s="540"/>
      <c r="AT23" s="188">
        <v>3</v>
      </c>
      <c r="AU23" s="188">
        <v>3129.018029977753</v>
      </c>
      <c r="AV23" s="185">
        <f t="shared" si="32"/>
        <v>1043.0060099925843</v>
      </c>
      <c r="AW23" s="182">
        <f t="shared" si="27"/>
        <v>4</v>
      </c>
      <c r="AX23" s="540"/>
    </row>
    <row r="24" spans="2:50" ht="14.25" customHeight="1">
      <c r="B24" s="530"/>
      <c r="C24" s="180">
        <v>18</v>
      </c>
      <c r="D24" s="183" t="s">
        <v>159</v>
      </c>
      <c r="E24" s="184">
        <v>4</v>
      </c>
      <c r="F24" s="180">
        <v>3300</v>
      </c>
      <c r="G24" s="185">
        <f t="shared" si="12"/>
        <v>825</v>
      </c>
      <c r="H24" s="558"/>
      <c r="I24" s="186">
        <f t="shared" si="13"/>
        <v>4</v>
      </c>
      <c r="J24" s="186">
        <f t="shared" si="14"/>
        <v>2958.6053042695066</v>
      </c>
      <c r="K24" s="187">
        <f t="shared" si="15"/>
        <v>739.65132606737666</v>
      </c>
      <c r="L24" s="559"/>
      <c r="M24" s="186">
        <f>RANK(K24, K$7:$K$39)</f>
        <v>13</v>
      </c>
      <c r="N24" s="578"/>
      <c r="O24" s="541"/>
      <c r="P24" s="188">
        <v>4</v>
      </c>
      <c r="Q24" s="188">
        <v>2958.4957736760389</v>
      </c>
      <c r="R24" s="185">
        <f t="shared" si="10"/>
        <v>739.62394341900972</v>
      </c>
      <c r="S24" s="182">
        <f t="shared" si="16"/>
        <v>12</v>
      </c>
      <c r="T24" s="540"/>
      <c r="U24" s="188">
        <v>4</v>
      </c>
      <c r="V24" s="188">
        <v>2958.6206896551685</v>
      </c>
      <c r="W24" s="185">
        <f t="shared" si="11"/>
        <v>739.65517241379212</v>
      </c>
      <c r="X24" s="182">
        <f t="shared" si="17"/>
        <v>12</v>
      </c>
      <c r="Y24" s="540"/>
      <c r="Z24" s="188">
        <v>4</v>
      </c>
      <c r="AA24" s="188">
        <v>2958.7016034415292</v>
      </c>
      <c r="AB24" s="185">
        <f t="shared" si="28"/>
        <v>739.6754008603823</v>
      </c>
      <c r="AC24" s="182">
        <f t="shared" si="19"/>
        <v>13</v>
      </c>
      <c r="AD24" s="540"/>
      <c r="AE24" s="188">
        <v>4</v>
      </c>
      <c r="AF24" s="188">
        <v>2958.5615038823025</v>
      </c>
      <c r="AG24" s="185">
        <f t="shared" si="29"/>
        <v>739.64037597057563</v>
      </c>
      <c r="AH24" s="182">
        <f t="shared" si="21"/>
        <v>13</v>
      </c>
      <c r="AI24" s="540"/>
      <c r="AJ24" s="188">
        <v>4</v>
      </c>
      <c r="AK24" s="188">
        <v>2958.5547290116901</v>
      </c>
      <c r="AL24" s="185">
        <f t="shared" si="30"/>
        <v>739.63868225292254</v>
      </c>
      <c r="AM24" s="182">
        <f t="shared" si="23"/>
        <v>13</v>
      </c>
      <c r="AN24" s="540"/>
      <c r="AO24" s="188">
        <v>4</v>
      </c>
      <c r="AP24" s="188">
        <v>2958.5182819734978</v>
      </c>
      <c r="AQ24" s="185">
        <f t="shared" si="31"/>
        <v>739.62957049337444</v>
      </c>
      <c r="AR24" s="182">
        <f t="shared" si="25"/>
        <v>13</v>
      </c>
      <c r="AS24" s="540"/>
      <c r="AT24" s="188">
        <v>4</v>
      </c>
      <c r="AU24" s="188">
        <v>2958.7845482463249</v>
      </c>
      <c r="AV24" s="185">
        <f t="shared" si="32"/>
        <v>739.69613706158123</v>
      </c>
      <c r="AW24" s="182">
        <f t="shared" si="27"/>
        <v>13</v>
      </c>
      <c r="AX24" s="540"/>
    </row>
    <row r="25" spans="2:50" ht="14.25" customHeight="1">
      <c r="B25" s="530"/>
      <c r="C25" s="180">
        <v>19</v>
      </c>
      <c r="D25" s="183" t="s">
        <v>160</v>
      </c>
      <c r="E25" s="184">
        <v>5</v>
      </c>
      <c r="F25" s="180">
        <v>3300</v>
      </c>
      <c r="G25" s="185">
        <f t="shared" si="12"/>
        <v>660</v>
      </c>
      <c r="H25" s="558"/>
      <c r="I25" s="186">
        <f t="shared" si="13"/>
        <v>5</v>
      </c>
      <c r="J25" s="186">
        <f t="shared" si="14"/>
        <v>2954.2612360267531</v>
      </c>
      <c r="K25" s="187">
        <f t="shared" si="15"/>
        <v>590.85224720535075</v>
      </c>
      <c r="L25" s="559"/>
      <c r="M25" s="186">
        <f>RANK(K25, K$7:$K$39)</f>
        <v>28</v>
      </c>
      <c r="N25" s="578"/>
      <c r="O25" s="541"/>
      <c r="P25" s="188">
        <v>5</v>
      </c>
      <c r="Q25" s="188">
        <v>2953.5078534031495</v>
      </c>
      <c r="R25" s="185">
        <f t="shared" si="10"/>
        <v>590.70157068062986</v>
      </c>
      <c r="S25" s="182">
        <f t="shared" si="16"/>
        <v>28</v>
      </c>
      <c r="T25" s="540"/>
      <c r="U25" s="188">
        <v>5</v>
      </c>
      <c r="V25" s="188">
        <v>2954.9019607843147</v>
      </c>
      <c r="W25" s="185">
        <f t="shared" si="11"/>
        <v>590.98039215686299</v>
      </c>
      <c r="X25" s="182">
        <f t="shared" si="17"/>
        <v>27</v>
      </c>
      <c r="Y25" s="540"/>
      <c r="Z25" s="188">
        <v>5</v>
      </c>
      <c r="AA25" s="188">
        <v>2955.1304347826072</v>
      </c>
      <c r="AB25" s="185">
        <f t="shared" si="28"/>
        <v>591.02608695652145</v>
      </c>
      <c r="AC25" s="182">
        <f t="shared" si="19"/>
        <v>25</v>
      </c>
      <c r="AD25" s="540"/>
      <c r="AE25" s="188">
        <v>5</v>
      </c>
      <c r="AF25" s="188">
        <v>2954.7374773687443</v>
      </c>
      <c r="AG25" s="185">
        <f t="shared" si="29"/>
        <v>590.94749547374886</v>
      </c>
      <c r="AH25" s="182">
        <f t="shared" si="21"/>
        <v>25</v>
      </c>
      <c r="AI25" s="540"/>
      <c r="AJ25" s="188">
        <v>5</v>
      </c>
      <c r="AK25" s="188">
        <v>2954.048140043772</v>
      </c>
      <c r="AL25" s="185">
        <f t="shared" si="30"/>
        <v>590.80962800875443</v>
      </c>
      <c r="AM25" s="182">
        <f t="shared" si="23"/>
        <v>26</v>
      </c>
      <c r="AN25" s="540"/>
      <c r="AO25" s="188">
        <v>5</v>
      </c>
      <c r="AP25" s="188">
        <v>2953.7990821009789</v>
      </c>
      <c r="AQ25" s="185">
        <f t="shared" si="31"/>
        <v>590.75981642019576</v>
      </c>
      <c r="AR25" s="182">
        <f t="shared" si="25"/>
        <v>26</v>
      </c>
      <c r="AS25" s="540"/>
      <c r="AT25" s="188">
        <v>5</v>
      </c>
      <c r="AU25" s="188">
        <v>2953.703703703708</v>
      </c>
      <c r="AV25" s="185">
        <f t="shared" si="32"/>
        <v>590.74074074074156</v>
      </c>
      <c r="AW25" s="182">
        <f t="shared" si="27"/>
        <v>26</v>
      </c>
      <c r="AX25" s="540"/>
    </row>
    <row r="26" spans="2:50" ht="14.25" customHeight="1">
      <c r="B26" s="530"/>
      <c r="C26" s="180">
        <v>20</v>
      </c>
      <c r="D26" s="183" t="s">
        <v>161</v>
      </c>
      <c r="E26" s="184">
        <v>3</v>
      </c>
      <c r="F26" s="180">
        <v>3600</v>
      </c>
      <c r="G26" s="185">
        <f t="shared" si="12"/>
        <v>1200</v>
      </c>
      <c r="H26" s="558"/>
      <c r="I26" s="186">
        <f t="shared" si="13"/>
        <v>3</v>
      </c>
      <c r="J26" s="186">
        <f t="shared" si="14"/>
        <v>3126.518450865578</v>
      </c>
      <c r="K26" s="187">
        <f t="shared" si="15"/>
        <v>1042.172816955193</v>
      </c>
      <c r="L26" s="559"/>
      <c r="M26" s="186">
        <f>RANK(K26, K$7:$K$39)</f>
        <v>5</v>
      </c>
      <c r="N26" s="578"/>
      <c r="O26" s="541"/>
      <c r="P26" s="188">
        <v>3</v>
      </c>
      <c r="Q26" s="188">
        <v>3123.6951983298527</v>
      </c>
      <c r="R26" s="185">
        <f t="shared" si="10"/>
        <v>1041.2317327766175</v>
      </c>
      <c r="S26" s="182">
        <f t="shared" si="16"/>
        <v>6</v>
      </c>
      <c r="T26" s="540"/>
      <c r="U26" s="188">
        <v>3</v>
      </c>
      <c r="V26" s="188">
        <v>3123.5716183895829</v>
      </c>
      <c r="W26" s="185">
        <f t="shared" si="11"/>
        <v>1041.1905394631942</v>
      </c>
      <c r="X26" s="182">
        <f t="shared" si="17"/>
        <v>6</v>
      </c>
      <c r="Y26" s="540"/>
      <c r="Z26" s="188">
        <v>3</v>
      </c>
      <c r="AA26" s="188">
        <v>3126.5113535830146</v>
      </c>
      <c r="AB26" s="185">
        <f t="shared" si="28"/>
        <v>1042.1704511943383</v>
      </c>
      <c r="AC26" s="182">
        <f t="shared" si="19"/>
        <v>6</v>
      </c>
      <c r="AD26" s="540"/>
      <c r="AE26" s="188">
        <v>3</v>
      </c>
      <c r="AF26" s="188">
        <v>3127.3166314518508</v>
      </c>
      <c r="AG26" s="185">
        <f t="shared" si="29"/>
        <v>1042.4388771506169</v>
      </c>
      <c r="AH26" s="182">
        <f t="shared" si="21"/>
        <v>5</v>
      </c>
      <c r="AI26" s="540"/>
      <c r="AJ26" s="188">
        <v>3</v>
      </c>
      <c r="AK26" s="188">
        <v>3127.710843373487</v>
      </c>
      <c r="AL26" s="185">
        <f t="shared" si="30"/>
        <v>1042.5702811244958</v>
      </c>
      <c r="AM26" s="182">
        <f t="shared" si="23"/>
        <v>5</v>
      </c>
      <c r="AN26" s="540"/>
      <c r="AO26" s="188">
        <v>3</v>
      </c>
      <c r="AP26" s="188">
        <v>3128.2684011847759</v>
      </c>
      <c r="AQ26" s="185">
        <f t="shared" si="31"/>
        <v>1042.7561337282586</v>
      </c>
      <c r="AR26" s="182">
        <f t="shared" si="25"/>
        <v>5</v>
      </c>
      <c r="AS26" s="540"/>
      <c r="AT26" s="188">
        <v>3</v>
      </c>
      <c r="AU26" s="188">
        <v>3128.5551097464868</v>
      </c>
      <c r="AV26" s="185">
        <f t="shared" si="32"/>
        <v>1042.8517032488289</v>
      </c>
      <c r="AW26" s="182">
        <f t="shared" si="27"/>
        <v>5</v>
      </c>
      <c r="AX26" s="540"/>
    </row>
    <row r="27" spans="2:50" ht="14.25" customHeight="1">
      <c r="B27" s="530"/>
      <c r="C27" s="180">
        <v>21</v>
      </c>
      <c r="D27" s="183" t="s">
        <v>162</v>
      </c>
      <c r="E27" s="184">
        <v>3</v>
      </c>
      <c r="F27" s="180">
        <v>3600</v>
      </c>
      <c r="G27" s="185">
        <f t="shared" si="12"/>
        <v>1200</v>
      </c>
      <c r="H27" s="558"/>
      <c r="I27" s="186">
        <f t="shared" si="13"/>
        <v>3</v>
      </c>
      <c r="J27" s="186">
        <f t="shared" si="14"/>
        <v>3131.8723752370311</v>
      </c>
      <c r="K27" s="187">
        <f t="shared" si="15"/>
        <v>1043.9574584123436</v>
      </c>
      <c r="L27" s="559"/>
      <c r="M27" s="186">
        <f>RANK(K27, K$7:$K$39)</f>
        <v>2</v>
      </c>
      <c r="N27" s="578"/>
      <c r="O27" s="541"/>
      <c r="P27" s="188">
        <v>3</v>
      </c>
      <c r="Q27" s="188">
        <v>3129.3764087152513</v>
      </c>
      <c r="R27" s="185">
        <f t="shared" si="10"/>
        <v>1043.1254695717505</v>
      </c>
      <c r="S27" s="182">
        <f t="shared" si="16"/>
        <v>2</v>
      </c>
      <c r="T27" s="540"/>
      <c r="U27" s="188">
        <v>3</v>
      </c>
      <c r="V27" s="188">
        <v>3130.9090909091019</v>
      </c>
      <c r="W27" s="185">
        <f t="shared" si="11"/>
        <v>1043.6363636363674</v>
      </c>
      <c r="X27" s="182">
        <f t="shared" si="17"/>
        <v>2</v>
      </c>
      <c r="Y27" s="540"/>
      <c r="Z27" s="188">
        <v>3</v>
      </c>
      <c r="AA27" s="188">
        <v>3131.6096747289193</v>
      </c>
      <c r="AB27" s="185">
        <f t="shared" si="28"/>
        <v>1043.8698915763064</v>
      </c>
      <c r="AC27" s="182">
        <f t="shared" si="19"/>
        <v>1</v>
      </c>
      <c r="AD27" s="540"/>
      <c r="AE27" s="188">
        <v>3</v>
      </c>
      <c r="AF27" s="188">
        <v>3132.38434163702</v>
      </c>
      <c r="AG27" s="185">
        <f t="shared" si="29"/>
        <v>1044.1281138790066</v>
      </c>
      <c r="AH27" s="182">
        <f t="shared" si="21"/>
        <v>1</v>
      </c>
      <c r="AI27" s="540"/>
      <c r="AJ27" s="188">
        <v>3</v>
      </c>
      <c r="AK27" s="188">
        <v>3131.6614420062588</v>
      </c>
      <c r="AL27" s="185">
        <f t="shared" si="30"/>
        <v>1043.8871473354195</v>
      </c>
      <c r="AM27" s="182">
        <f t="shared" si="23"/>
        <v>2</v>
      </c>
      <c r="AN27" s="540"/>
      <c r="AO27" s="188">
        <v>3</v>
      </c>
      <c r="AP27" s="188">
        <v>3133.3333333333358</v>
      </c>
      <c r="AQ27" s="185">
        <f t="shared" si="31"/>
        <v>1044.4444444444453</v>
      </c>
      <c r="AR27" s="182">
        <f t="shared" si="25"/>
        <v>2</v>
      </c>
      <c r="AS27" s="540"/>
      <c r="AT27" s="188">
        <v>3</v>
      </c>
      <c r="AU27" s="188">
        <v>3133.8323353293313</v>
      </c>
      <c r="AV27" s="185">
        <f t="shared" si="32"/>
        <v>1044.6107784431103</v>
      </c>
      <c r="AW27" s="182">
        <f t="shared" si="27"/>
        <v>2</v>
      </c>
      <c r="AX27" s="540"/>
    </row>
    <row r="28" spans="2:50" ht="14.25" customHeight="1">
      <c r="B28" s="530"/>
      <c r="C28" s="180">
        <v>22</v>
      </c>
      <c r="D28" s="183" t="s">
        <v>163</v>
      </c>
      <c r="E28" s="184">
        <v>4</v>
      </c>
      <c r="F28" s="180">
        <v>3300</v>
      </c>
      <c r="G28" s="185">
        <f>F28/E28</f>
        <v>825</v>
      </c>
      <c r="H28" s="558"/>
      <c r="I28" s="186">
        <f t="shared" si="13"/>
        <v>4</v>
      </c>
      <c r="J28" s="186">
        <f t="shared" si="14"/>
        <v>2928.3780171983658</v>
      </c>
      <c r="K28" s="187">
        <f t="shared" si="15"/>
        <v>732.09450429959145</v>
      </c>
      <c r="L28" s="559"/>
      <c r="M28" s="186">
        <f>RANK(K28, K$7:$K$39)</f>
        <v>20</v>
      </c>
      <c r="N28" s="578"/>
      <c r="O28" s="541"/>
      <c r="P28" s="188">
        <v>4</v>
      </c>
      <c r="Q28" s="188">
        <v>2927.5386544086882</v>
      </c>
      <c r="R28" s="185">
        <f t="shared" si="10"/>
        <v>731.88466360217205</v>
      </c>
      <c r="S28" s="182">
        <f t="shared" si="16"/>
        <v>21</v>
      </c>
      <c r="T28" s="540"/>
      <c r="U28" s="188">
        <v>4</v>
      </c>
      <c r="V28" s="188">
        <v>2927.978817299198</v>
      </c>
      <c r="W28" s="185">
        <f t="shared" si="11"/>
        <v>731.9947043247995</v>
      </c>
      <c r="X28" s="182">
        <f t="shared" si="17"/>
        <v>21</v>
      </c>
      <c r="Y28" s="540"/>
      <c r="Z28" s="188">
        <v>4</v>
      </c>
      <c r="AA28" s="188">
        <v>2928.6343612334758</v>
      </c>
      <c r="AB28" s="185">
        <f t="shared" si="28"/>
        <v>732.15859030836896</v>
      </c>
      <c r="AC28" s="182">
        <f t="shared" si="19"/>
        <v>18</v>
      </c>
      <c r="AD28" s="540"/>
      <c r="AE28" s="188">
        <v>4</v>
      </c>
      <c r="AF28" s="188">
        <v>2928.4403669724775</v>
      </c>
      <c r="AG28" s="185">
        <f t="shared" si="29"/>
        <v>732.11009174311937</v>
      </c>
      <c r="AH28" s="182">
        <f t="shared" si="21"/>
        <v>19</v>
      </c>
      <c r="AI28" s="540"/>
      <c r="AJ28" s="188">
        <v>4</v>
      </c>
      <c r="AK28" s="188">
        <v>2928.3582089552265</v>
      </c>
      <c r="AL28" s="185">
        <f t="shared" si="30"/>
        <v>732.08955223880662</v>
      </c>
      <c r="AM28" s="182">
        <f t="shared" si="23"/>
        <v>18</v>
      </c>
      <c r="AN28" s="540"/>
      <c r="AO28" s="188">
        <v>4</v>
      </c>
      <c r="AP28" s="188">
        <v>2929.1300877893109</v>
      </c>
      <c r="AQ28" s="185">
        <f t="shared" si="31"/>
        <v>732.28252194732772</v>
      </c>
      <c r="AR28" s="182">
        <f t="shared" si="25"/>
        <v>18</v>
      </c>
      <c r="AS28" s="540"/>
      <c r="AT28" s="188">
        <v>4</v>
      </c>
      <c r="AU28" s="188">
        <v>2928.5656237301819</v>
      </c>
      <c r="AV28" s="185">
        <f t="shared" si="32"/>
        <v>732.14140593254547</v>
      </c>
      <c r="AW28" s="182">
        <f t="shared" si="27"/>
        <v>18</v>
      </c>
      <c r="AX28" s="540"/>
    </row>
    <row r="29" spans="2:50" ht="14.25" customHeight="1">
      <c r="B29" s="530"/>
      <c r="C29" s="180">
        <v>23</v>
      </c>
      <c r="D29" s="183" t="s">
        <v>164</v>
      </c>
      <c r="E29" s="184">
        <v>4</v>
      </c>
      <c r="F29" s="180">
        <v>3300</v>
      </c>
      <c r="G29" s="185">
        <f t="shared" ref="G29:G37" si="33">F29/E29</f>
        <v>825</v>
      </c>
      <c r="H29" s="558"/>
      <c r="I29" s="186">
        <f t="shared" si="13"/>
        <v>4</v>
      </c>
      <c r="J29" s="186">
        <f t="shared" si="14"/>
        <v>2926.8244194082117</v>
      </c>
      <c r="K29" s="187">
        <f t="shared" si="15"/>
        <v>731.70610485205293</v>
      </c>
      <c r="L29" s="559"/>
      <c r="M29" s="186">
        <f>RANK(K29, K$7:$K$39)</f>
        <v>23</v>
      </c>
      <c r="N29" s="578"/>
      <c r="O29" s="541"/>
      <c r="P29" s="188">
        <v>4</v>
      </c>
      <c r="Q29" s="188">
        <v>2925.7179323548144</v>
      </c>
      <c r="R29" s="185">
        <f t="shared" si="10"/>
        <v>731.42948308870359</v>
      </c>
      <c r="S29" s="182">
        <f t="shared" si="16"/>
        <v>23</v>
      </c>
      <c r="T29" s="540"/>
      <c r="U29" s="188">
        <v>4</v>
      </c>
      <c r="V29" s="188">
        <v>2925.8964143426379</v>
      </c>
      <c r="W29" s="185">
        <f t="shared" si="11"/>
        <v>731.47410358565946</v>
      </c>
      <c r="X29" s="182">
        <f t="shared" si="17"/>
        <v>23</v>
      </c>
      <c r="Y29" s="540"/>
      <c r="Z29" s="188">
        <v>4</v>
      </c>
      <c r="AA29" s="188">
        <v>2926.5033407572391</v>
      </c>
      <c r="AB29" s="185">
        <f t="shared" si="28"/>
        <v>731.62583518930978</v>
      </c>
      <c r="AC29" s="182">
        <f t="shared" si="19"/>
        <v>21</v>
      </c>
      <c r="AD29" s="540"/>
      <c r="AE29" s="188">
        <v>4</v>
      </c>
      <c r="AF29" s="188">
        <v>2927.0657363202381</v>
      </c>
      <c r="AG29" s="185">
        <f t="shared" si="29"/>
        <v>731.76643408005953</v>
      </c>
      <c r="AH29" s="182">
        <f t="shared" si="21"/>
        <v>21</v>
      </c>
      <c r="AI29" s="540"/>
      <c r="AJ29" s="188">
        <v>4</v>
      </c>
      <c r="AK29" s="188">
        <v>2927.236580516897</v>
      </c>
      <c r="AL29" s="185">
        <f t="shared" si="30"/>
        <v>731.80914512922425</v>
      </c>
      <c r="AM29" s="182">
        <f t="shared" si="23"/>
        <v>21</v>
      </c>
      <c r="AN29" s="540"/>
      <c r="AO29" s="188">
        <v>4</v>
      </c>
      <c r="AP29" s="188">
        <v>2927.3056057866179</v>
      </c>
      <c r="AQ29" s="185">
        <f t="shared" si="31"/>
        <v>731.82640144665447</v>
      </c>
      <c r="AR29" s="182">
        <f t="shared" si="25"/>
        <v>21</v>
      </c>
      <c r="AS29" s="540"/>
      <c r="AT29" s="188">
        <v>4</v>
      </c>
      <c r="AU29" s="188">
        <v>2928.0453257790391</v>
      </c>
      <c r="AV29" s="185">
        <f t="shared" si="32"/>
        <v>732.01133144475978</v>
      </c>
      <c r="AW29" s="182">
        <f t="shared" si="27"/>
        <v>19</v>
      </c>
      <c r="AX29" s="540"/>
    </row>
    <row r="30" spans="2:50" ht="14.25" customHeight="1">
      <c r="B30" s="530"/>
      <c r="C30" s="180">
        <v>24</v>
      </c>
      <c r="D30" s="183" t="s">
        <v>165</v>
      </c>
      <c r="E30" s="184">
        <v>4</v>
      </c>
      <c r="F30" s="180">
        <v>3000</v>
      </c>
      <c r="G30" s="185">
        <f t="shared" si="33"/>
        <v>750</v>
      </c>
      <c r="H30" s="558"/>
      <c r="I30" s="186">
        <f t="shared" si="13"/>
        <v>4</v>
      </c>
      <c r="J30" s="186">
        <f t="shared" si="14"/>
        <v>2688.573110491338</v>
      </c>
      <c r="K30" s="187">
        <f t="shared" si="15"/>
        <v>672.14327762283449</v>
      </c>
      <c r="L30" s="559"/>
      <c r="M30" s="186">
        <f>RANK(K30, K$7:$K$39)</f>
        <v>24</v>
      </c>
      <c r="N30" s="578"/>
      <c r="O30" s="541"/>
      <c r="P30" s="188">
        <v>4</v>
      </c>
      <c r="Q30" s="188">
        <v>2688.7451487710246</v>
      </c>
      <c r="R30" s="185">
        <f t="shared" si="10"/>
        <v>672.18628719275614</v>
      </c>
      <c r="S30" s="182">
        <f t="shared" si="16"/>
        <v>24</v>
      </c>
      <c r="T30" s="540"/>
      <c r="U30" s="188">
        <v>4</v>
      </c>
      <c r="V30" s="188">
        <v>2688.466637207252</v>
      </c>
      <c r="W30" s="185">
        <f t="shared" si="11"/>
        <v>672.116659301813</v>
      </c>
      <c r="X30" s="182">
        <f t="shared" si="17"/>
        <v>24</v>
      </c>
      <c r="Y30" s="540"/>
      <c r="Z30" s="188">
        <v>4</v>
      </c>
      <c r="AA30" s="188">
        <v>2688.518155053976</v>
      </c>
      <c r="AB30" s="185">
        <f t="shared" si="28"/>
        <v>672.129538763494</v>
      </c>
      <c r="AC30" s="182">
        <f t="shared" si="19"/>
        <v>22</v>
      </c>
      <c r="AD30" s="540"/>
      <c r="AE30" s="188">
        <v>4</v>
      </c>
      <c r="AF30" s="188">
        <v>2688.241206030149</v>
      </c>
      <c r="AG30" s="185">
        <f t="shared" si="29"/>
        <v>672.06030150753725</v>
      </c>
      <c r="AH30" s="182">
        <f t="shared" si="21"/>
        <v>22</v>
      </c>
      <c r="AI30" s="540"/>
      <c r="AJ30" s="188">
        <v>4</v>
      </c>
      <c r="AK30" s="188">
        <v>2687.5055978504251</v>
      </c>
      <c r="AL30" s="185">
        <f t="shared" si="30"/>
        <v>671.87639946260629</v>
      </c>
      <c r="AM30" s="182">
        <f t="shared" si="23"/>
        <v>22</v>
      </c>
      <c r="AN30" s="540"/>
      <c r="AO30" s="188">
        <v>4</v>
      </c>
      <c r="AP30" s="188">
        <v>2687.9610863396852</v>
      </c>
      <c r="AQ30" s="185">
        <f t="shared" si="31"/>
        <v>671.99027158492129</v>
      </c>
      <c r="AR30" s="182">
        <f t="shared" si="25"/>
        <v>22</v>
      </c>
      <c r="AS30" s="540"/>
      <c r="AT30" s="188">
        <v>4</v>
      </c>
      <c r="AU30" s="188">
        <v>2690.5739421868539</v>
      </c>
      <c r="AV30" s="185">
        <f t="shared" si="32"/>
        <v>672.64348554671346</v>
      </c>
      <c r="AW30" s="182">
        <f t="shared" si="27"/>
        <v>22</v>
      </c>
      <c r="AX30" s="540"/>
    </row>
    <row r="31" spans="2:50" ht="14.25" customHeight="1">
      <c r="B31" s="530"/>
      <c r="C31" s="180">
        <v>25</v>
      </c>
      <c r="D31" s="183" t="s">
        <v>166</v>
      </c>
      <c r="E31" s="184">
        <v>4</v>
      </c>
      <c r="F31" s="180">
        <v>3300</v>
      </c>
      <c r="G31" s="185">
        <f t="shared" si="33"/>
        <v>825</v>
      </c>
      <c r="H31" s="558"/>
      <c r="I31" s="186">
        <f t="shared" si="13"/>
        <v>4</v>
      </c>
      <c r="J31" s="186">
        <f t="shared" si="14"/>
        <v>2959.2978632191944</v>
      </c>
      <c r="K31" s="187">
        <f t="shared" si="15"/>
        <v>739.82446580479859</v>
      </c>
      <c r="L31" s="559"/>
      <c r="M31" s="186">
        <f>RANK(K31, K$7:$K$39)</f>
        <v>12</v>
      </c>
      <c r="N31" s="578"/>
      <c r="O31" s="541"/>
      <c r="P31" s="188">
        <v>4</v>
      </c>
      <c r="Q31" s="188">
        <v>2958.3333333333308</v>
      </c>
      <c r="R31" s="185">
        <f t="shared" si="10"/>
        <v>739.58333333333269</v>
      </c>
      <c r="S31" s="182">
        <f t="shared" si="16"/>
        <v>13</v>
      </c>
      <c r="T31" s="540"/>
      <c r="U31" s="188">
        <v>4</v>
      </c>
      <c r="V31" s="188">
        <v>2957.2979493365442</v>
      </c>
      <c r="W31" s="185">
        <f t="shared" si="11"/>
        <v>739.32448733413605</v>
      </c>
      <c r="X31" s="182">
        <f t="shared" si="17"/>
        <v>13</v>
      </c>
      <c r="Y31" s="540"/>
      <c r="Z31" s="188">
        <v>4</v>
      </c>
      <c r="AA31" s="188">
        <v>2959.7811217510166</v>
      </c>
      <c r="AB31" s="185">
        <f t="shared" si="28"/>
        <v>739.94528043775415</v>
      </c>
      <c r="AC31" s="182">
        <f t="shared" si="19"/>
        <v>12</v>
      </c>
      <c r="AD31" s="540"/>
      <c r="AE31" s="188">
        <v>4</v>
      </c>
      <c r="AF31" s="188">
        <v>2960.2409638554009</v>
      </c>
      <c r="AG31" s="185">
        <f t="shared" si="29"/>
        <v>740.06024096385022</v>
      </c>
      <c r="AH31" s="182">
        <f t="shared" si="21"/>
        <v>12</v>
      </c>
      <c r="AI31" s="540"/>
      <c r="AJ31" s="188">
        <v>4</v>
      </c>
      <c r="AK31" s="188">
        <v>2959.8991172761812</v>
      </c>
      <c r="AL31" s="185">
        <f t="shared" si="30"/>
        <v>739.9747793190453</v>
      </c>
      <c r="AM31" s="182">
        <f t="shared" si="23"/>
        <v>12</v>
      </c>
      <c r="AN31" s="540"/>
      <c r="AO31" s="188">
        <v>4</v>
      </c>
      <c r="AP31" s="188">
        <v>2959.8152424942446</v>
      </c>
      <c r="AQ31" s="185">
        <f t="shared" si="31"/>
        <v>739.95381062356114</v>
      </c>
      <c r="AR31" s="182">
        <f t="shared" si="25"/>
        <v>12</v>
      </c>
      <c r="AS31" s="540"/>
      <c r="AT31" s="188">
        <v>4</v>
      </c>
      <c r="AU31" s="188">
        <v>2959.7173144876383</v>
      </c>
      <c r="AV31" s="185">
        <f t="shared" si="32"/>
        <v>739.92932862190958</v>
      </c>
      <c r="AW31" s="182">
        <f t="shared" si="27"/>
        <v>12</v>
      </c>
      <c r="AX31" s="540"/>
    </row>
    <row r="32" spans="2:50" ht="14.25" customHeight="1">
      <c r="B32" s="530"/>
      <c r="C32" s="180">
        <v>26</v>
      </c>
      <c r="D32" s="183" t="s">
        <v>167</v>
      </c>
      <c r="E32" s="184">
        <v>3</v>
      </c>
      <c r="F32" s="180">
        <v>3300</v>
      </c>
      <c r="G32" s="185">
        <f t="shared" si="33"/>
        <v>1100</v>
      </c>
      <c r="H32" s="558"/>
      <c r="I32" s="186">
        <f t="shared" si="13"/>
        <v>3</v>
      </c>
      <c r="J32" s="186">
        <f t="shared" si="14"/>
        <v>2957.305706169609</v>
      </c>
      <c r="K32" s="187">
        <f t="shared" si="15"/>
        <v>985.76856872320297</v>
      </c>
      <c r="L32" s="559"/>
      <c r="M32" s="186">
        <f>RANK(K32, K$7:$K$39)</f>
        <v>7</v>
      </c>
      <c r="N32" s="578"/>
      <c r="O32" s="541"/>
      <c r="P32" s="188">
        <v>3</v>
      </c>
      <c r="Q32" s="188">
        <v>2956.4013840830407</v>
      </c>
      <c r="R32" s="185">
        <f t="shared" si="10"/>
        <v>985.46712802768025</v>
      </c>
      <c r="S32" s="182">
        <f t="shared" si="16"/>
        <v>7</v>
      </c>
      <c r="T32" s="540"/>
      <c r="U32" s="188">
        <v>3</v>
      </c>
      <c r="V32" s="188">
        <v>2956.2352941176464</v>
      </c>
      <c r="W32" s="185">
        <f t="shared" si="11"/>
        <v>985.41176470588209</v>
      </c>
      <c r="X32" s="182">
        <f t="shared" si="17"/>
        <v>7</v>
      </c>
      <c r="Y32" s="540"/>
      <c r="Z32" s="188">
        <v>3</v>
      </c>
      <c r="AA32" s="188">
        <v>2957.1428571428614</v>
      </c>
      <c r="AB32" s="185">
        <f t="shared" si="28"/>
        <v>985.71428571428714</v>
      </c>
      <c r="AC32" s="182">
        <f t="shared" si="19"/>
        <v>7</v>
      </c>
      <c r="AD32" s="540"/>
      <c r="AE32" s="188">
        <v>3</v>
      </c>
      <c r="AF32" s="188">
        <v>2958.1804842259744</v>
      </c>
      <c r="AG32" s="185">
        <f t="shared" si="29"/>
        <v>986.06016140865813</v>
      </c>
      <c r="AH32" s="182">
        <f t="shared" si="21"/>
        <v>7</v>
      </c>
      <c r="AI32" s="540"/>
      <c r="AJ32" s="188">
        <v>3</v>
      </c>
      <c r="AK32" s="188">
        <v>2957.545397620544</v>
      </c>
      <c r="AL32" s="185">
        <f t="shared" si="30"/>
        <v>985.84846587351467</v>
      </c>
      <c r="AM32" s="182">
        <f t="shared" si="23"/>
        <v>7</v>
      </c>
      <c r="AN32" s="540"/>
      <c r="AO32" s="188">
        <v>3</v>
      </c>
      <c r="AP32" s="188">
        <v>2957.7272727272725</v>
      </c>
      <c r="AQ32" s="185">
        <f t="shared" si="31"/>
        <v>985.90909090909088</v>
      </c>
      <c r="AR32" s="182">
        <f t="shared" si="25"/>
        <v>7</v>
      </c>
      <c r="AS32" s="540"/>
      <c r="AT32" s="188">
        <v>3</v>
      </c>
      <c r="AU32" s="188">
        <v>2957.9072532699211</v>
      </c>
      <c r="AV32" s="185">
        <f t="shared" si="32"/>
        <v>985.96908442330698</v>
      </c>
      <c r="AW32" s="182">
        <f t="shared" si="27"/>
        <v>7</v>
      </c>
      <c r="AX32" s="540"/>
    </row>
    <row r="33" spans="1:50" ht="14.25" customHeight="1">
      <c r="B33" s="530"/>
      <c r="C33" s="180">
        <v>27</v>
      </c>
      <c r="D33" s="183" t="s">
        <v>168</v>
      </c>
      <c r="E33" s="184">
        <v>4</v>
      </c>
      <c r="F33" s="180">
        <v>3000</v>
      </c>
      <c r="G33" s="185">
        <f t="shared" si="33"/>
        <v>750</v>
      </c>
      <c r="H33" s="558"/>
      <c r="I33" s="186">
        <f t="shared" si="13"/>
        <v>4</v>
      </c>
      <c r="J33" s="186">
        <f t="shared" si="14"/>
        <v>2664.7512933812186</v>
      </c>
      <c r="K33" s="187">
        <f t="shared" si="15"/>
        <v>666.18782334530465</v>
      </c>
      <c r="L33" s="559"/>
      <c r="M33" s="186">
        <f>RANK(K33, K$7:$K$39)</f>
        <v>25</v>
      </c>
      <c r="N33" s="578"/>
      <c r="O33" s="541"/>
      <c r="P33" s="188">
        <v>4</v>
      </c>
      <c r="Q33" s="188">
        <v>2664.6417959722708</v>
      </c>
      <c r="R33" s="185">
        <f t="shared" si="10"/>
        <v>666.16044899306769</v>
      </c>
      <c r="S33" s="182">
        <f t="shared" si="16"/>
        <v>25</v>
      </c>
      <c r="T33" s="540"/>
      <c r="U33" s="188">
        <v>4</v>
      </c>
      <c r="V33" s="188">
        <v>2664.759959141983</v>
      </c>
      <c r="W33" s="185">
        <f t="shared" si="11"/>
        <v>666.18998978549575</v>
      </c>
      <c r="X33" s="182">
        <f t="shared" si="17"/>
        <v>25</v>
      </c>
      <c r="Y33" s="540"/>
      <c r="Z33" s="188">
        <v>4</v>
      </c>
      <c r="AA33" s="188">
        <v>2664.8648648648705</v>
      </c>
      <c r="AB33" s="185">
        <f t="shared" si="28"/>
        <v>666.21621621621762</v>
      </c>
      <c r="AC33" s="182">
        <f t="shared" si="19"/>
        <v>23</v>
      </c>
      <c r="AD33" s="540"/>
      <c r="AE33" s="188">
        <v>4</v>
      </c>
      <c r="AF33" s="188">
        <v>2664.4783118405658</v>
      </c>
      <c r="AG33" s="185">
        <f t="shared" si="29"/>
        <v>666.11957796014144</v>
      </c>
      <c r="AH33" s="182">
        <f t="shared" si="21"/>
        <v>23</v>
      </c>
      <c r="AI33" s="540"/>
      <c r="AJ33" s="188">
        <v>4</v>
      </c>
      <c r="AK33" s="188">
        <v>2664.648648648656</v>
      </c>
      <c r="AL33" s="185">
        <f t="shared" si="30"/>
        <v>666.16216216216401</v>
      </c>
      <c r="AM33" s="182">
        <f t="shared" si="23"/>
        <v>23</v>
      </c>
      <c r="AN33" s="540"/>
      <c r="AO33" s="188">
        <v>4</v>
      </c>
      <c r="AP33" s="188">
        <v>2664.585365853658</v>
      </c>
      <c r="AQ33" s="185">
        <f t="shared" si="31"/>
        <v>666.1463414634145</v>
      </c>
      <c r="AR33" s="182">
        <f t="shared" si="25"/>
        <v>23</v>
      </c>
      <c r="AS33" s="540"/>
      <c r="AT33" s="188">
        <v>4</v>
      </c>
      <c r="AU33" s="188">
        <v>2665.2801073465289</v>
      </c>
      <c r="AV33" s="185">
        <f t="shared" si="32"/>
        <v>666.32002683663222</v>
      </c>
      <c r="AW33" s="182">
        <f t="shared" si="27"/>
        <v>23</v>
      </c>
      <c r="AX33" s="540"/>
    </row>
    <row r="34" spans="1:50" ht="14.25" customHeight="1">
      <c r="B34" s="530"/>
      <c r="C34" s="180">
        <v>28</v>
      </c>
      <c r="D34" s="183" t="s">
        <v>169</v>
      </c>
      <c r="E34" s="184">
        <v>5</v>
      </c>
      <c r="F34" s="180">
        <v>3000</v>
      </c>
      <c r="G34" s="185">
        <f t="shared" si="33"/>
        <v>600</v>
      </c>
      <c r="H34" s="558"/>
      <c r="I34" s="186">
        <f t="shared" si="13"/>
        <v>5</v>
      </c>
      <c r="J34" s="186">
        <f t="shared" si="14"/>
        <v>2663.1570810760809</v>
      </c>
      <c r="K34" s="187">
        <f t="shared" si="15"/>
        <v>532.63141621521618</v>
      </c>
      <c r="L34" s="559"/>
      <c r="M34" s="186">
        <f>RANK(K34, K$7:$K$39)</f>
        <v>29</v>
      </c>
      <c r="N34" s="578"/>
      <c r="O34" s="541"/>
      <c r="P34" s="188">
        <v>5</v>
      </c>
      <c r="Q34" s="188">
        <v>2662.9757785467186</v>
      </c>
      <c r="R34" s="185">
        <f t="shared" si="10"/>
        <v>532.59515570934377</v>
      </c>
      <c r="S34" s="182">
        <f t="shared" si="16"/>
        <v>29</v>
      </c>
      <c r="T34" s="540"/>
      <c r="U34" s="188">
        <v>5</v>
      </c>
      <c r="V34" s="188">
        <v>2662.5306122448956</v>
      </c>
      <c r="W34" s="185">
        <f t="shared" si="11"/>
        <v>532.50612244897911</v>
      </c>
      <c r="X34" s="182">
        <f t="shared" si="17"/>
        <v>29</v>
      </c>
      <c r="Y34" s="540"/>
      <c r="Z34" s="188">
        <v>5</v>
      </c>
      <c r="AA34" s="188">
        <v>2662.6538987688132</v>
      </c>
      <c r="AB34" s="185">
        <f t="shared" si="28"/>
        <v>532.53077975376266</v>
      </c>
      <c r="AC34" s="182">
        <f t="shared" si="19"/>
        <v>27</v>
      </c>
      <c r="AD34" s="540"/>
      <c r="AE34" s="188">
        <v>5</v>
      </c>
      <c r="AF34" s="188">
        <v>2662.6282364435756</v>
      </c>
      <c r="AG34" s="185">
        <f t="shared" si="29"/>
        <v>532.52564728871516</v>
      </c>
      <c r="AH34" s="182">
        <f t="shared" si="21"/>
        <v>27</v>
      </c>
      <c r="AI34" s="540"/>
      <c r="AJ34" s="188">
        <v>5</v>
      </c>
      <c r="AK34" s="188">
        <v>2663.6015325670573</v>
      </c>
      <c r="AL34" s="185">
        <f t="shared" si="30"/>
        <v>532.72030651341151</v>
      </c>
      <c r="AM34" s="182">
        <f t="shared" si="23"/>
        <v>27</v>
      </c>
      <c r="AN34" s="540"/>
      <c r="AO34" s="188">
        <v>5</v>
      </c>
      <c r="AP34" s="188">
        <v>2663.8867033831621</v>
      </c>
      <c r="AQ34" s="185">
        <f t="shared" si="31"/>
        <v>532.77734067663243</v>
      </c>
      <c r="AR34" s="182">
        <f t="shared" si="25"/>
        <v>27</v>
      </c>
      <c r="AS34" s="540"/>
      <c r="AT34" s="188">
        <v>5</v>
      </c>
      <c r="AU34" s="188">
        <v>2663.8228055783425</v>
      </c>
      <c r="AV34" s="185">
        <f t="shared" si="32"/>
        <v>532.76456111566847</v>
      </c>
      <c r="AW34" s="182">
        <f t="shared" si="27"/>
        <v>27</v>
      </c>
      <c r="AX34" s="540"/>
    </row>
    <row r="35" spans="1:50" ht="14.25" customHeight="1">
      <c r="B35" s="530"/>
      <c r="C35" s="180">
        <v>29</v>
      </c>
      <c r="D35" s="183" t="s">
        <v>170</v>
      </c>
      <c r="E35" s="184">
        <v>3</v>
      </c>
      <c r="F35" s="180">
        <v>3000</v>
      </c>
      <c r="G35" s="185">
        <f t="shared" si="33"/>
        <v>1000</v>
      </c>
      <c r="H35" s="558"/>
      <c r="I35" s="186">
        <f t="shared" si="13"/>
        <v>3</v>
      </c>
      <c r="J35" s="186">
        <f t="shared" si="14"/>
        <v>2688.4516593955973</v>
      </c>
      <c r="K35" s="187">
        <f t="shared" si="15"/>
        <v>896.15055313186565</v>
      </c>
      <c r="L35" s="559"/>
      <c r="M35" s="186">
        <f>RANK(K35, K$7:$K$39)</f>
        <v>11</v>
      </c>
      <c r="N35" s="578"/>
      <c r="O35" s="541"/>
      <c r="P35" s="188">
        <v>3</v>
      </c>
      <c r="Q35" s="188">
        <v>2688.5917529529706</v>
      </c>
      <c r="R35" s="185">
        <f t="shared" si="10"/>
        <v>896.19725098432355</v>
      </c>
      <c r="S35" s="182">
        <f t="shared" si="16"/>
        <v>11</v>
      </c>
      <c r="T35" s="540"/>
      <c r="U35" s="188">
        <v>3</v>
      </c>
      <c r="V35" s="188">
        <v>2688.8143986431255</v>
      </c>
      <c r="W35" s="185">
        <f t="shared" si="11"/>
        <v>896.27146621437521</v>
      </c>
      <c r="X35" s="182">
        <f t="shared" si="17"/>
        <v>10</v>
      </c>
      <c r="Y35" s="540"/>
      <c r="Z35" s="188">
        <v>3</v>
      </c>
      <c r="AA35" s="188">
        <v>2687.8228107330774</v>
      </c>
      <c r="AB35" s="185">
        <f t="shared" si="28"/>
        <v>895.9409369110258</v>
      </c>
      <c r="AC35" s="182">
        <f t="shared" si="19"/>
        <v>11</v>
      </c>
      <c r="AD35" s="540"/>
      <c r="AE35" s="188">
        <v>3</v>
      </c>
      <c r="AF35" s="188">
        <v>2686.2612499477827</v>
      </c>
      <c r="AG35" s="185">
        <f t="shared" si="29"/>
        <v>895.42041664926091</v>
      </c>
      <c r="AH35" s="182">
        <f t="shared" si="21"/>
        <v>11</v>
      </c>
      <c r="AI35" s="540"/>
      <c r="AJ35" s="188">
        <v>3</v>
      </c>
      <c r="AK35" s="188">
        <v>2688.0835382407081</v>
      </c>
      <c r="AL35" s="185">
        <f t="shared" si="30"/>
        <v>896.02784608023603</v>
      </c>
      <c r="AM35" s="182">
        <f t="shared" si="23"/>
        <v>11</v>
      </c>
      <c r="AN35" s="540"/>
      <c r="AO35" s="188">
        <v>3</v>
      </c>
      <c r="AP35" s="188">
        <v>2689.8234722842835</v>
      </c>
      <c r="AQ35" s="185">
        <f t="shared" si="31"/>
        <v>896.60782409476121</v>
      </c>
      <c r="AR35" s="182">
        <f t="shared" si="25"/>
        <v>10</v>
      </c>
      <c r="AS35" s="540"/>
      <c r="AT35" s="188">
        <v>3</v>
      </c>
      <c r="AU35" s="188">
        <v>2689.7643929672322</v>
      </c>
      <c r="AV35" s="185">
        <f t="shared" si="32"/>
        <v>896.5881309890774</v>
      </c>
      <c r="AW35" s="182">
        <f t="shared" si="27"/>
        <v>10</v>
      </c>
      <c r="AX35" s="540"/>
    </row>
    <row r="36" spans="1:50" ht="14.25" customHeight="1">
      <c r="B36" s="530"/>
      <c r="C36" s="180">
        <v>30</v>
      </c>
      <c r="D36" s="183" t="s">
        <v>171</v>
      </c>
      <c r="E36" s="184">
        <v>12</v>
      </c>
      <c r="F36" s="180">
        <v>3600</v>
      </c>
      <c r="G36" s="185">
        <f t="shared" si="33"/>
        <v>300</v>
      </c>
      <c r="H36" s="558"/>
      <c r="I36" s="186">
        <f t="shared" si="13"/>
        <v>12</v>
      </c>
      <c r="J36" s="186">
        <f t="shared" si="14"/>
        <v>3123.5270669334591</v>
      </c>
      <c r="K36" s="187">
        <f t="shared" si="15"/>
        <v>260.2939222444549</v>
      </c>
      <c r="L36" s="559"/>
      <c r="M36" s="186">
        <f>RANK(K36, K$7:$K$39)</f>
        <v>30</v>
      </c>
      <c r="N36" s="578"/>
      <c r="O36" s="541"/>
      <c r="P36" s="188">
        <v>12</v>
      </c>
      <c r="Q36" s="188">
        <v>3122.6039783001802</v>
      </c>
      <c r="R36" s="185">
        <f t="shared" si="10"/>
        <v>260.21699819168168</v>
      </c>
      <c r="S36" s="182">
        <f t="shared" si="16"/>
        <v>30</v>
      </c>
      <c r="T36" s="540"/>
      <c r="U36" s="188">
        <v>12</v>
      </c>
      <c r="V36" s="188">
        <v>3123.4972677595656</v>
      </c>
      <c r="W36" s="185">
        <f t="shared" si="11"/>
        <v>260.2914389799638</v>
      </c>
      <c r="X36" s="182">
        <f t="shared" si="17"/>
        <v>30</v>
      </c>
      <c r="Y36" s="540"/>
      <c r="Z36" s="188">
        <v>12</v>
      </c>
      <c r="AA36" s="188">
        <v>3122.6649248856838</v>
      </c>
      <c r="AB36" s="185">
        <f t="shared" si="28"/>
        <v>260.22207707380699</v>
      </c>
      <c r="AC36" s="182">
        <f t="shared" si="19"/>
        <v>28</v>
      </c>
      <c r="AD36" s="540"/>
      <c r="AE36" s="188">
        <v>12</v>
      </c>
      <c r="AF36" s="188">
        <v>3123.3449477351905</v>
      </c>
      <c r="AG36" s="185">
        <f t="shared" si="29"/>
        <v>260.27874564459921</v>
      </c>
      <c r="AH36" s="182">
        <f t="shared" si="21"/>
        <v>29</v>
      </c>
      <c r="AI36" s="540"/>
      <c r="AJ36" s="188">
        <v>12</v>
      </c>
      <c r="AK36" s="188">
        <v>3123.1053604436329</v>
      </c>
      <c r="AL36" s="185">
        <f t="shared" si="30"/>
        <v>260.25878003696943</v>
      </c>
      <c r="AM36" s="182">
        <f t="shared" si="23"/>
        <v>29</v>
      </c>
      <c r="AN36" s="540"/>
      <c r="AO36" s="188">
        <v>12</v>
      </c>
      <c r="AP36" s="188">
        <v>3124.2931332948547</v>
      </c>
      <c r="AQ36" s="185">
        <f t="shared" si="31"/>
        <v>260.35776110790454</v>
      </c>
      <c r="AR36" s="182">
        <f t="shared" si="25"/>
        <v>29</v>
      </c>
      <c r="AS36" s="540"/>
      <c r="AT36" s="188">
        <v>12</v>
      </c>
      <c r="AU36" s="188">
        <v>3125.1798561151045</v>
      </c>
      <c r="AV36" s="185">
        <f t="shared" si="32"/>
        <v>260.43165467625869</v>
      </c>
      <c r="AW36" s="182">
        <f t="shared" si="27"/>
        <v>28</v>
      </c>
      <c r="AX36" s="540"/>
    </row>
    <row r="37" spans="1:50" ht="14.25" customHeight="1">
      <c r="B37" s="530"/>
      <c r="C37" s="180">
        <v>31</v>
      </c>
      <c r="D37" s="183" t="s">
        <v>172</v>
      </c>
      <c r="E37" s="180">
        <v>4</v>
      </c>
      <c r="F37" s="180">
        <v>3300</v>
      </c>
      <c r="G37" s="185">
        <f t="shared" si="33"/>
        <v>825</v>
      </c>
      <c r="H37" s="558"/>
      <c r="I37" s="186">
        <f t="shared" si="13"/>
        <v>4</v>
      </c>
      <c r="J37" s="186">
        <f t="shared" si="14"/>
        <v>2953.7657712204773</v>
      </c>
      <c r="K37" s="187">
        <f t="shared" si="15"/>
        <v>738.44144280511932</v>
      </c>
      <c r="L37" s="559"/>
      <c r="M37" s="186">
        <f>RANK(K37, K$7:$K$39)</f>
        <v>17</v>
      </c>
      <c r="N37" s="578"/>
      <c r="O37" s="541"/>
      <c r="P37" s="188">
        <v>4</v>
      </c>
      <c r="Q37" s="188">
        <v>2952.8404669260672</v>
      </c>
      <c r="R37" s="185">
        <f t="shared" si="10"/>
        <v>738.21011673151679</v>
      </c>
      <c r="S37" s="182">
        <f t="shared" si="16"/>
        <v>17</v>
      </c>
      <c r="T37" s="540"/>
      <c r="U37" s="188">
        <v>4</v>
      </c>
      <c r="V37" s="188">
        <v>2954.6910755148879</v>
      </c>
      <c r="W37" s="185">
        <f t="shared" si="11"/>
        <v>738.67276887872197</v>
      </c>
      <c r="X37" s="182">
        <f t="shared" si="17"/>
        <v>15</v>
      </c>
      <c r="Y37" s="540"/>
      <c r="Z37" s="188"/>
      <c r="AA37" s="188"/>
      <c r="AB37" s="185"/>
      <c r="AC37" s="182"/>
      <c r="AD37" s="540"/>
      <c r="AE37" s="188"/>
      <c r="AF37" s="188"/>
      <c r="AG37" s="185"/>
      <c r="AH37" s="182"/>
      <c r="AI37" s="540"/>
      <c r="AJ37" s="188"/>
      <c r="AK37" s="188"/>
      <c r="AL37" s="185"/>
      <c r="AM37" s="182"/>
      <c r="AN37" s="540"/>
      <c r="AO37" s="188"/>
      <c r="AP37" s="188"/>
      <c r="AQ37" s="185"/>
      <c r="AR37" s="182"/>
      <c r="AS37" s="540"/>
      <c r="AT37" s="188"/>
      <c r="AU37" s="188"/>
      <c r="AV37" s="185"/>
      <c r="AW37" s="182"/>
      <c r="AX37" s="540"/>
    </row>
    <row r="38" spans="1:50" ht="14.25" customHeight="1">
      <c r="B38" s="530"/>
      <c r="C38" s="180">
        <v>32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78"/>
      <c r="O38" s="541"/>
      <c r="P38" s="188"/>
      <c r="Q38" s="188"/>
      <c r="R38" s="185"/>
      <c r="S38" s="182"/>
      <c r="T38" s="540"/>
      <c r="U38" s="188"/>
      <c r="V38" s="188"/>
      <c r="W38" s="185"/>
      <c r="X38" s="182"/>
      <c r="Y38" s="540"/>
      <c r="Z38" s="188"/>
      <c r="AA38" s="188"/>
      <c r="AB38" s="185"/>
      <c r="AC38" s="182"/>
      <c r="AD38" s="540"/>
      <c r="AE38" s="188"/>
      <c r="AF38" s="188"/>
      <c r="AG38" s="185"/>
      <c r="AH38" s="182"/>
      <c r="AI38" s="540"/>
      <c r="AJ38" s="188"/>
      <c r="AK38" s="188"/>
      <c r="AL38" s="185"/>
      <c r="AM38" s="182"/>
      <c r="AN38" s="540"/>
      <c r="AO38" s="188"/>
      <c r="AP38" s="188"/>
      <c r="AQ38" s="185"/>
      <c r="AR38" s="182"/>
      <c r="AS38" s="540"/>
      <c r="AT38" s="188"/>
      <c r="AU38" s="188"/>
      <c r="AV38" s="185"/>
      <c r="AW38" s="182"/>
      <c r="AX38" s="540"/>
    </row>
    <row r="39" spans="1:50" ht="14.25" customHeight="1">
      <c r="B39" s="530"/>
      <c r="C39" s="180">
        <v>33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78"/>
      <c r="O39" s="541"/>
      <c r="P39" s="188"/>
      <c r="Q39" s="188"/>
      <c r="R39" s="185"/>
      <c r="S39" s="182"/>
      <c r="T39" s="540"/>
      <c r="U39" s="188"/>
      <c r="V39" s="188"/>
      <c r="W39" s="185"/>
      <c r="X39" s="182"/>
      <c r="Y39" s="540"/>
      <c r="Z39" s="188"/>
      <c r="AA39" s="188"/>
      <c r="AB39" s="185"/>
      <c r="AC39" s="182"/>
      <c r="AD39" s="540"/>
      <c r="AE39" s="188"/>
      <c r="AF39" s="188"/>
      <c r="AG39" s="185"/>
      <c r="AH39" s="182"/>
      <c r="AI39" s="540"/>
      <c r="AJ39" s="188"/>
      <c r="AK39" s="188"/>
      <c r="AL39" s="185"/>
      <c r="AM39" s="182"/>
      <c r="AN39" s="540"/>
      <c r="AO39" s="188"/>
      <c r="AP39" s="188"/>
      <c r="AQ39" s="185"/>
      <c r="AR39" s="182"/>
      <c r="AS39" s="540"/>
      <c r="AT39" s="188"/>
      <c r="AU39" s="188"/>
      <c r="AV39" s="185"/>
      <c r="AW39" s="182"/>
      <c r="AX39" s="540"/>
    </row>
    <row r="40" spans="1:50" ht="14.25" customHeight="1" collapsed="1">
      <c r="B40" s="544" t="s">
        <v>173</v>
      </c>
      <c r="C40" s="545"/>
      <c r="D40" s="545"/>
      <c r="E40" s="545"/>
      <c r="F40" s="545"/>
      <c r="G40" s="545"/>
      <c r="H40" s="545"/>
      <c r="I40" s="545"/>
      <c r="J40" s="545"/>
      <c r="K40" s="545"/>
      <c r="L40" s="545"/>
      <c r="M40" s="546"/>
      <c r="N40" s="549" t="s">
        <v>127</v>
      </c>
      <c r="O40" s="549" t="s">
        <v>77</v>
      </c>
      <c r="P40" s="551">
        <f>AT2+1</f>
        <v>46056</v>
      </c>
      <c r="Q40" s="552"/>
      <c r="R40" s="552"/>
      <c r="S40" s="552"/>
      <c r="T40" s="552"/>
      <c r="U40" s="542">
        <f>P40+1</f>
        <v>46057</v>
      </c>
      <c r="V40" s="543"/>
      <c r="W40" s="543"/>
      <c r="X40" s="543"/>
      <c r="Y40" s="543"/>
      <c r="Z40" s="551">
        <f t="shared" ref="Z40" si="34">U40+1</f>
        <v>46058</v>
      </c>
      <c r="AA40" s="552"/>
      <c r="AB40" s="552"/>
      <c r="AC40" s="552"/>
      <c r="AD40" s="552"/>
      <c r="AE40" s="542">
        <f t="shared" ref="AE40" si="35">Z40+1</f>
        <v>46059</v>
      </c>
      <c r="AF40" s="543"/>
      <c r="AG40" s="543"/>
      <c r="AH40" s="543"/>
      <c r="AI40" s="543"/>
      <c r="AJ40" s="532">
        <f t="shared" ref="AJ40" si="36">AE40+1</f>
        <v>46060</v>
      </c>
      <c r="AK40" s="533"/>
      <c r="AL40" s="533"/>
      <c r="AM40" s="533"/>
      <c r="AN40" s="534"/>
      <c r="AO40" s="542">
        <f t="shared" ref="AO40" si="37">AJ40+1</f>
        <v>46061</v>
      </c>
      <c r="AP40" s="543"/>
      <c r="AQ40" s="543"/>
      <c r="AR40" s="543"/>
      <c r="AS40" s="543"/>
      <c r="AT40" s="532">
        <f t="shared" ref="AT40" si="38">AO40+1</f>
        <v>46062</v>
      </c>
      <c r="AU40" s="533"/>
      <c r="AV40" s="533"/>
      <c r="AW40" s="533"/>
      <c r="AX40" s="534"/>
    </row>
    <row r="41" spans="1:50" ht="14.25" customHeight="1"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8"/>
      <c r="N41" s="550"/>
      <c r="O41" s="550"/>
      <c r="P41" s="535">
        <f>P40</f>
        <v>46056</v>
      </c>
      <c r="Q41" s="535"/>
      <c r="R41" s="535"/>
      <c r="S41" s="535"/>
      <c r="T41" s="535"/>
      <c r="U41" s="536">
        <f>U40</f>
        <v>46057</v>
      </c>
      <c r="V41" s="536"/>
      <c r="W41" s="536"/>
      <c r="X41" s="536"/>
      <c r="Y41" s="536"/>
      <c r="Z41" s="535">
        <f t="shared" ref="Z41" si="39">Z40</f>
        <v>46058</v>
      </c>
      <c r="AA41" s="535"/>
      <c r="AB41" s="535"/>
      <c r="AC41" s="535"/>
      <c r="AD41" s="535"/>
      <c r="AE41" s="536">
        <f t="shared" ref="AE41" si="40">AE40</f>
        <v>46059</v>
      </c>
      <c r="AF41" s="536"/>
      <c r="AG41" s="536"/>
      <c r="AH41" s="536"/>
      <c r="AI41" s="536"/>
      <c r="AJ41" s="537">
        <f t="shared" ref="AJ41" si="41">AJ40</f>
        <v>46060</v>
      </c>
      <c r="AK41" s="538"/>
      <c r="AL41" s="538"/>
      <c r="AM41" s="538"/>
      <c r="AN41" s="539"/>
      <c r="AO41" s="536">
        <f t="shared" ref="AO41" si="42">AO40</f>
        <v>46061</v>
      </c>
      <c r="AP41" s="536"/>
      <c r="AQ41" s="536"/>
      <c r="AR41" s="536"/>
      <c r="AS41" s="536"/>
      <c r="AT41" s="537">
        <f t="shared" ref="AT41" si="43">AT40</f>
        <v>46062</v>
      </c>
      <c r="AU41" s="538"/>
      <c r="AV41" s="538"/>
      <c r="AW41" s="538"/>
      <c r="AX41" s="539"/>
    </row>
    <row r="42" spans="1:50" ht="14.25" customHeight="1">
      <c r="B42" s="530" t="s">
        <v>128</v>
      </c>
      <c r="C42" s="530" t="s">
        <v>129</v>
      </c>
      <c r="D42" s="530"/>
      <c r="E42" s="530" t="s">
        <v>130</v>
      </c>
      <c r="F42" s="530"/>
      <c r="G42" s="530"/>
      <c r="H42" s="530" t="s">
        <v>131</v>
      </c>
      <c r="I42" s="553" t="s">
        <v>132</v>
      </c>
      <c r="J42" s="553"/>
      <c r="K42" s="553"/>
      <c r="L42" s="553" t="s">
        <v>131</v>
      </c>
      <c r="M42" s="553" t="s">
        <v>133</v>
      </c>
      <c r="N42" s="578"/>
      <c r="O42" s="541" t="s">
        <v>134</v>
      </c>
      <c r="P42" s="541" t="s">
        <v>135</v>
      </c>
      <c r="Q42" s="541"/>
      <c r="R42" s="541"/>
      <c r="S42" s="541"/>
      <c r="T42" s="541" t="s">
        <v>131</v>
      </c>
      <c r="U42" s="541" t="s">
        <v>135</v>
      </c>
      <c r="V42" s="541"/>
      <c r="W42" s="541"/>
      <c r="X42" s="541"/>
      <c r="Y42" s="541" t="s">
        <v>131</v>
      </c>
      <c r="Z42" s="541" t="s">
        <v>135</v>
      </c>
      <c r="AA42" s="541"/>
      <c r="AB42" s="541"/>
      <c r="AC42" s="541"/>
      <c r="AD42" s="541" t="s">
        <v>131</v>
      </c>
      <c r="AE42" s="541" t="s">
        <v>135</v>
      </c>
      <c r="AF42" s="541"/>
      <c r="AG42" s="541"/>
      <c r="AH42" s="541"/>
      <c r="AI42" s="541" t="s">
        <v>131</v>
      </c>
      <c r="AJ42" s="541" t="s">
        <v>135</v>
      </c>
      <c r="AK42" s="541"/>
      <c r="AL42" s="541"/>
      <c r="AM42" s="541"/>
      <c r="AN42" s="541" t="s">
        <v>131</v>
      </c>
      <c r="AO42" s="541" t="s">
        <v>135</v>
      </c>
      <c r="AP42" s="541"/>
      <c r="AQ42" s="541"/>
      <c r="AR42" s="541"/>
      <c r="AS42" s="541" t="s">
        <v>131</v>
      </c>
      <c r="AT42" s="541" t="s">
        <v>135</v>
      </c>
      <c r="AU42" s="541"/>
      <c r="AV42" s="541"/>
      <c r="AW42" s="541"/>
      <c r="AX42" s="541" t="s">
        <v>131</v>
      </c>
    </row>
    <row r="43" spans="1:50" ht="14.25" customHeight="1">
      <c r="B43" s="530"/>
      <c r="C43" s="530"/>
      <c r="D43" s="530"/>
      <c r="E43" s="530" t="s">
        <v>136</v>
      </c>
      <c r="F43" s="530"/>
      <c r="G43" s="530"/>
      <c r="H43" s="530"/>
      <c r="I43" s="553" t="s">
        <v>136</v>
      </c>
      <c r="J43" s="553"/>
      <c r="K43" s="553"/>
      <c r="L43" s="553"/>
      <c r="M43" s="553"/>
      <c r="N43" s="578"/>
      <c r="O43" s="541"/>
      <c r="P43" s="541" t="s">
        <v>137</v>
      </c>
      <c r="Q43" s="541"/>
      <c r="R43" s="541"/>
      <c r="S43" s="541"/>
      <c r="T43" s="541"/>
      <c r="U43" s="541" t="s">
        <v>137</v>
      </c>
      <c r="V43" s="541"/>
      <c r="W43" s="541"/>
      <c r="X43" s="541"/>
      <c r="Y43" s="541"/>
      <c r="Z43" s="541" t="s">
        <v>137</v>
      </c>
      <c r="AA43" s="541"/>
      <c r="AB43" s="541"/>
      <c r="AC43" s="541"/>
      <c r="AD43" s="541"/>
      <c r="AE43" s="541" t="s">
        <v>137</v>
      </c>
      <c r="AF43" s="541"/>
      <c r="AG43" s="541"/>
      <c r="AH43" s="541"/>
      <c r="AI43" s="541"/>
      <c r="AJ43" s="541" t="s">
        <v>137</v>
      </c>
      <c r="AK43" s="541"/>
      <c r="AL43" s="541"/>
      <c r="AM43" s="541"/>
      <c r="AN43" s="541"/>
      <c r="AO43" s="541" t="s">
        <v>137</v>
      </c>
      <c r="AP43" s="541"/>
      <c r="AQ43" s="541"/>
      <c r="AR43" s="541"/>
      <c r="AS43" s="541"/>
      <c r="AT43" s="541" t="s">
        <v>137</v>
      </c>
      <c r="AU43" s="541"/>
      <c r="AV43" s="541"/>
      <c r="AW43" s="541"/>
      <c r="AX43" s="541"/>
    </row>
    <row r="44" spans="1:50" ht="14.25" customHeight="1">
      <c r="A44" s="177"/>
      <c r="B44" s="530"/>
      <c r="C44" s="530"/>
      <c r="D44" s="530"/>
      <c r="E44" s="180" t="s">
        <v>138</v>
      </c>
      <c r="F44" s="180" t="s">
        <v>139</v>
      </c>
      <c r="G44" s="180" t="s">
        <v>140</v>
      </c>
      <c r="H44" s="530"/>
      <c r="I44" s="181" t="s">
        <v>138</v>
      </c>
      <c r="J44" s="181" t="s">
        <v>139</v>
      </c>
      <c r="K44" s="181" t="s">
        <v>140</v>
      </c>
      <c r="L44" s="553"/>
      <c r="M44" s="553"/>
      <c r="N44" s="578"/>
      <c r="O44" s="541"/>
      <c r="P44" s="182" t="s">
        <v>138</v>
      </c>
      <c r="Q44" s="182" t="s">
        <v>139</v>
      </c>
      <c r="R44" s="182" t="s">
        <v>140</v>
      </c>
      <c r="S44" s="182" t="s">
        <v>133</v>
      </c>
      <c r="T44" s="541"/>
      <c r="U44" s="182" t="s">
        <v>138</v>
      </c>
      <c r="V44" s="182" t="s">
        <v>139</v>
      </c>
      <c r="W44" s="182" t="s">
        <v>140</v>
      </c>
      <c r="X44" s="182" t="s">
        <v>133</v>
      </c>
      <c r="Y44" s="541"/>
      <c r="Z44" s="182" t="s">
        <v>138</v>
      </c>
      <c r="AA44" s="182" t="s">
        <v>139</v>
      </c>
      <c r="AB44" s="182" t="s">
        <v>140</v>
      </c>
      <c r="AC44" s="182" t="s">
        <v>133</v>
      </c>
      <c r="AD44" s="541"/>
      <c r="AE44" s="182" t="s">
        <v>138</v>
      </c>
      <c r="AF44" s="182" t="s">
        <v>139</v>
      </c>
      <c r="AG44" s="182" t="s">
        <v>140</v>
      </c>
      <c r="AH44" s="182" t="s">
        <v>133</v>
      </c>
      <c r="AI44" s="541"/>
      <c r="AJ44" s="182" t="s">
        <v>138</v>
      </c>
      <c r="AK44" s="182" t="s">
        <v>139</v>
      </c>
      <c r="AL44" s="182" t="s">
        <v>140</v>
      </c>
      <c r="AM44" s="182" t="s">
        <v>133</v>
      </c>
      <c r="AN44" s="541"/>
      <c r="AO44" s="182" t="s">
        <v>138</v>
      </c>
      <c r="AP44" s="182" t="s">
        <v>139</v>
      </c>
      <c r="AQ44" s="182" t="s">
        <v>140</v>
      </c>
      <c r="AR44" s="182" t="s">
        <v>133</v>
      </c>
      <c r="AS44" s="541"/>
      <c r="AT44" s="182" t="s">
        <v>138</v>
      </c>
      <c r="AU44" s="182" t="s">
        <v>139</v>
      </c>
      <c r="AV44" s="182" t="s">
        <v>140</v>
      </c>
      <c r="AW44" s="182" t="s">
        <v>133</v>
      </c>
      <c r="AX44" s="541"/>
    </row>
    <row r="45" spans="1:50" ht="14.25" customHeight="1">
      <c r="B45" s="530" t="s">
        <v>141</v>
      </c>
      <c r="C45" s="180">
        <v>1</v>
      </c>
      <c r="D45" s="183" t="s">
        <v>142</v>
      </c>
      <c r="E45" s="184">
        <v>4</v>
      </c>
      <c r="F45" s="180">
        <v>3300</v>
      </c>
      <c r="G45" s="185">
        <f>F45/E45</f>
        <v>825</v>
      </c>
      <c r="H45" s="558">
        <f>AVERAGE(G45:G77)</f>
        <v>873.44827586206895</v>
      </c>
      <c r="I45" s="186">
        <f>AVERAGE(P45,U45,Z45,AE45,AJ45,AO45,AT45)</f>
        <v>4</v>
      </c>
      <c r="J45" s="186">
        <f>AVERAGE(Q45,V45,AA45,AF45,AK45,AP45,AU45)</f>
        <v>2955.4153981312897</v>
      </c>
      <c r="K45" s="187">
        <f>AVERAGE(R45,W45,AB45,AG45,AL45,AQ45,AV45)</f>
        <v>738.85384953282244</v>
      </c>
      <c r="L45" s="559">
        <f>IFERROR(AVERAGE(K45:K77),"-")</f>
        <v>774.43680274813096</v>
      </c>
      <c r="M45" s="186">
        <f>RANK(K45, K$45:$K$77)</f>
        <v>16</v>
      </c>
      <c r="N45" s="578"/>
      <c r="O45" s="541"/>
      <c r="P45" s="188">
        <v>4</v>
      </c>
      <c r="Q45" s="188">
        <v>2955.0617283950623</v>
      </c>
      <c r="R45" s="185">
        <f t="shared" ref="R45:R73" si="44">IFERROR(Q45/P45,"")</f>
        <v>738.76543209876559</v>
      </c>
      <c r="S45" s="182">
        <f>RANK(R45, R$45:R$77)</f>
        <v>16</v>
      </c>
      <c r="T45" s="540">
        <f>AVERAGE(R45:R77)</f>
        <v>774.24900086275022</v>
      </c>
      <c r="U45" s="188">
        <v>4</v>
      </c>
      <c r="V45" s="188">
        <v>2955.2536734128089</v>
      </c>
      <c r="W45" s="185">
        <f t="shared" ref="W45:W73" si="45">IFERROR(V45/U45,"")</f>
        <v>738.81341835320222</v>
      </c>
      <c r="X45" s="182">
        <f>RANK(W45, W$45:W$77)</f>
        <v>16</v>
      </c>
      <c r="Y45" s="540">
        <f>AVERAGE(W45:W77)</f>
        <v>774.24783438902614</v>
      </c>
      <c r="Z45" s="188">
        <v>4</v>
      </c>
      <c r="AA45" s="188">
        <v>2955.1466359977012</v>
      </c>
      <c r="AB45" s="185">
        <f>IFERROR(AA45/Z45,"")</f>
        <v>738.7866589994253</v>
      </c>
      <c r="AC45" s="182">
        <f>RANK(AB45, AB$45:AB$77)</f>
        <v>16</v>
      </c>
      <c r="AD45" s="540">
        <f>AVERAGE(AB45:AB77)</f>
        <v>774.34803405601031</v>
      </c>
      <c r="AE45" s="188">
        <v>4</v>
      </c>
      <c r="AF45" s="188">
        <v>2955.704697986575</v>
      </c>
      <c r="AG45" s="185">
        <f>IFERROR(AF45/AE45,"")</f>
        <v>738.92617449664374</v>
      </c>
      <c r="AH45" s="182">
        <f>RANK(AG45, AG$45:AG$77)</f>
        <v>16</v>
      </c>
      <c r="AI45" s="540">
        <f>AVERAGE(AG45:AG77)</f>
        <v>774.43048477543391</v>
      </c>
      <c r="AJ45" s="188">
        <v>4</v>
      </c>
      <c r="AK45" s="188">
        <v>2955.4770318021197</v>
      </c>
      <c r="AL45" s="185">
        <f>IFERROR(AK45/AJ45,"")</f>
        <v>738.86925795052991</v>
      </c>
      <c r="AM45" s="182">
        <f>RANK(AL45, AL$45:AL$77)</f>
        <v>16</v>
      </c>
      <c r="AN45" s="540">
        <f>AVERAGE(AL45:AL77)</f>
        <v>774.53674771635724</v>
      </c>
      <c r="AO45" s="188">
        <v>4</v>
      </c>
      <c r="AP45" s="188">
        <v>2955.6650246305417</v>
      </c>
      <c r="AQ45" s="185">
        <f>IFERROR(AP45/AO45,"")</f>
        <v>738.91625615763542</v>
      </c>
      <c r="AR45" s="182">
        <f>RANK(AQ45, AQ$45:AQ$77)</f>
        <v>16</v>
      </c>
      <c r="AS45" s="540">
        <f>AVERAGE(AQ45:AQ77)</f>
        <v>774.59733291169039</v>
      </c>
      <c r="AT45" s="188">
        <v>4</v>
      </c>
      <c r="AU45" s="188">
        <v>2955.5989946942223</v>
      </c>
      <c r="AV45" s="185">
        <f>IFERROR(AU45/AT45,"")</f>
        <v>738.89974867355556</v>
      </c>
      <c r="AW45" s="182">
        <f>RANK(AV45, AV$45:AV$77)</f>
        <v>16</v>
      </c>
      <c r="AX45" s="540">
        <f>AVERAGE(AV45:AV77)</f>
        <v>774.64818452564896</v>
      </c>
    </row>
    <row r="46" spans="1:50" ht="14.25" customHeight="1">
      <c r="B46" s="530"/>
      <c r="C46" s="180">
        <v>2</v>
      </c>
      <c r="D46" s="183" t="s">
        <v>143</v>
      </c>
      <c r="E46" s="184">
        <v>3</v>
      </c>
      <c r="F46" s="180">
        <v>3600</v>
      </c>
      <c r="G46" s="185">
        <f t="shared" ref="G46:G65" si="46">F46/E46</f>
        <v>1200</v>
      </c>
      <c r="H46" s="558"/>
      <c r="I46" s="186">
        <f t="shared" ref="I46:K73" si="47">AVERAGE(P46,U46,Z46,AE46,AJ46,AO46,AT46)</f>
        <v>3</v>
      </c>
      <c r="J46" s="186">
        <f t="shared" si="47"/>
        <v>3130.3104415519556</v>
      </c>
      <c r="K46" s="187">
        <f t="shared" si="47"/>
        <v>1043.4368138506518</v>
      </c>
      <c r="L46" s="559"/>
      <c r="M46" s="186">
        <f>RANK(K46, K$45:$K$77)</f>
        <v>5</v>
      </c>
      <c r="N46" s="578"/>
      <c r="O46" s="541"/>
      <c r="P46" s="188">
        <v>3</v>
      </c>
      <c r="Q46" s="188">
        <v>3127.4832962138098</v>
      </c>
      <c r="R46" s="185">
        <f t="shared" si="44"/>
        <v>1042.49443207127</v>
      </c>
      <c r="S46" s="182">
        <f t="shared" ref="S46:S73" si="48">RANK(R46, R$45:R$77)</f>
        <v>6</v>
      </c>
      <c r="T46" s="540"/>
      <c r="U46" s="188">
        <v>3</v>
      </c>
      <c r="V46" s="188">
        <v>3127.8325123152708</v>
      </c>
      <c r="W46" s="185">
        <f t="shared" si="45"/>
        <v>1042.6108374384237</v>
      </c>
      <c r="X46" s="182">
        <f t="shared" ref="X46:X73" si="49">RANK(W46, W$45:W$77)</f>
        <v>6</v>
      </c>
      <c r="Y46" s="540"/>
      <c r="Z46" s="188">
        <v>3</v>
      </c>
      <c r="AA46" s="188">
        <v>3130.3599872570903</v>
      </c>
      <c r="AB46" s="185">
        <f t="shared" ref="AB46:AB73" si="50">IFERROR(AA46/Z46,"")</f>
        <v>1043.4533290856969</v>
      </c>
      <c r="AC46" s="182">
        <f t="shared" ref="AC46:AC73" si="51">RANK(AB46, AB$45:AB$77)</f>
        <v>5</v>
      </c>
      <c r="AD46" s="540"/>
      <c r="AE46" s="188">
        <v>3</v>
      </c>
      <c r="AF46" s="188">
        <v>3130.4347826086951</v>
      </c>
      <c r="AG46" s="185">
        <f t="shared" ref="AG46:AG73" si="52">IFERROR(AF46/AE46,"")</f>
        <v>1043.478260869565</v>
      </c>
      <c r="AH46" s="182">
        <f t="shared" ref="AH46:AH73" si="53">RANK(AG46, AG$45:AG$77)</f>
        <v>4</v>
      </c>
      <c r="AI46" s="540"/>
      <c r="AJ46" s="188">
        <v>3</v>
      </c>
      <c r="AK46" s="188">
        <v>3132.116004296457</v>
      </c>
      <c r="AL46" s="185">
        <f t="shared" ref="AL46:AL73" si="54">IFERROR(AK46/AJ46,"")</f>
        <v>1044.038668098819</v>
      </c>
      <c r="AM46" s="182">
        <f t="shared" ref="AM46:AM73" si="55">RANK(AL46, AL$45:AL$77)</f>
        <v>4</v>
      </c>
      <c r="AN46" s="540"/>
      <c r="AO46" s="188">
        <v>3</v>
      </c>
      <c r="AP46" s="188">
        <v>3132.0000000000005</v>
      </c>
      <c r="AQ46" s="185">
        <f t="shared" ref="AQ46:AQ73" si="56">IFERROR(AP46/AO46,"")</f>
        <v>1044.0000000000002</v>
      </c>
      <c r="AR46" s="182">
        <f t="shared" ref="AR46:AR73" si="57">RANK(AQ46, AQ$45:AQ$77)</f>
        <v>4</v>
      </c>
      <c r="AS46" s="540"/>
      <c r="AT46" s="188">
        <v>3</v>
      </c>
      <c r="AU46" s="188">
        <v>3131.9465081723633</v>
      </c>
      <c r="AV46" s="185">
        <f t="shared" ref="AV46:AV73" si="58">IFERROR(AU46/AT46,"")</f>
        <v>1043.9821693907877</v>
      </c>
      <c r="AW46" s="182">
        <f t="shared" ref="AW46:AW73" si="59">RANK(AV46, AV$45:AV$77)</f>
        <v>5</v>
      </c>
      <c r="AX46" s="540"/>
    </row>
    <row r="47" spans="1:50" ht="14.25" customHeight="1">
      <c r="B47" s="530"/>
      <c r="C47" s="180">
        <v>3</v>
      </c>
      <c r="D47" s="183" t="s">
        <v>144</v>
      </c>
      <c r="E47" s="184">
        <v>4</v>
      </c>
      <c r="F47" s="180">
        <v>3300</v>
      </c>
      <c r="G47" s="185">
        <f t="shared" si="46"/>
        <v>825</v>
      </c>
      <c r="H47" s="558"/>
      <c r="I47" s="186">
        <f t="shared" si="47"/>
        <v>4</v>
      </c>
      <c r="J47" s="186">
        <f t="shared" si="47"/>
        <v>2955.0307003768403</v>
      </c>
      <c r="K47" s="187">
        <f t="shared" si="47"/>
        <v>738.75767509421007</v>
      </c>
      <c r="L47" s="559"/>
      <c r="M47" s="186">
        <f>RANK(K47, K$45:$K$77)</f>
        <v>17</v>
      </c>
      <c r="N47" s="578"/>
      <c r="O47" s="541"/>
      <c r="P47" s="188">
        <v>4</v>
      </c>
      <c r="Q47" s="188">
        <v>2954.3410584572794</v>
      </c>
      <c r="R47" s="185">
        <f t="shared" si="44"/>
        <v>738.58526461431984</v>
      </c>
      <c r="S47" s="182">
        <f t="shared" si="48"/>
        <v>17</v>
      </c>
      <c r="T47" s="540"/>
      <c r="U47" s="188">
        <v>4</v>
      </c>
      <c r="V47" s="188">
        <v>2954.6365458189089</v>
      </c>
      <c r="W47" s="185">
        <f t="shared" si="45"/>
        <v>738.65913645472722</v>
      </c>
      <c r="X47" s="182">
        <f t="shared" si="49"/>
        <v>17</v>
      </c>
      <c r="Y47" s="540"/>
      <c r="Z47" s="188">
        <v>4</v>
      </c>
      <c r="AA47" s="188">
        <v>2954.9211119459046</v>
      </c>
      <c r="AB47" s="185">
        <f t="shared" si="50"/>
        <v>738.73027798647615</v>
      </c>
      <c r="AC47" s="182">
        <f t="shared" si="51"/>
        <v>17</v>
      </c>
      <c r="AD47" s="540"/>
      <c r="AE47" s="188">
        <v>4</v>
      </c>
      <c r="AF47" s="188">
        <v>2955.3508150248049</v>
      </c>
      <c r="AG47" s="185">
        <f t="shared" si="52"/>
        <v>738.83770375620122</v>
      </c>
      <c r="AH47" s="182">
        <f t="shared" si="53"/>
        <v>17</v>
      </c>
      <c r="AI47" s="540"/>
      <c r="AJ47" s="188">
        <v>4</v>
      </c>
      <c r="AK47" s="188">
        <v>2955.2506859565979</v>
      </c>
      <c r="AL47" s="185">
        <f t="shared" si="54"/>
        <v>738.81267148914947</v>
      </c>
      <c r="AM47" s="182">
        <f t="shared" si="55"/>
        <v>17</v>
      </c>
      <c r="AN47" s="540"/>
      <c r="AO47" s="188">
        <v>4</v>
      </c>
      <c r="AP47" s="188">
        <v>2955.4262238959241</v>
      </c>
      <c r="AQ47" s="185">
        <f t="shared" si="56"/>
        <v>738.85655597398102</v>
      </c>
      <c r="AR47" s="182">
        <f t="shared" si="57"/>
        <v>17</v>
      </c>
      <c r="AS47" s="540"/>
      <c r="AT47" s="188">
        <v>4</v>
      </c>
      <c r="AU47" s="188">
        <v>2955.288461538461</v>
      </c>
      <c r="AV47" s="185">
        <f t="shared" si="58"/>
        <v>738.82211538461524</v>
      </c>
      <c r="AW47" s="182">
        <f t="shared" si="59"/>
        <v>17</v>
      </c>
      <c r="AX47" s="540"/>
    </row>
    <row r="48" spans="1:50" ht="14.25" customHeight="1">
      <c r="B48" s="530"/>
      <c r="C48" s="180">
        <v>4</v>
      </c>
      <c r="D48" s="183" t="s">
        <v>145</v>
      </c>
      <c r="E48" s="184">
        <v>5</v>
      </c>
      <c r="F48" s="180">
        <v>3300</v>
      </c>
      <c r="G48" s="185">
        <f t="shared" si="46"/>
        <v>660</v>
      </c>
      <c r="H48" s="558"/>
      <c r="I48" s="186">
        <f t="shared" si="47"/>
        <v>5</v>
      </c>
      <c r="J48" s="186">
        <f t="shared" si="47"/>
        <v>2956.5203446313317</v>
      </c>
      <c r="K48" s="187">
        <f t="shared" si="47"/>
        <v>591.30406892626627</v>
      </c>
      <c r="L48" s="559"/>
      <c r="M48" s="186">
        <f>RANK(K48, K$45:$K$77)</f>
        <v>25</v>
      </c>
      <c r="N48" s="578"/>
      <c r="O48" s="541"/>
      <c r="P48" s="188">
        <v>5</v>
      </c>
      <c r="Q48" s="188">
        <v>2957.2285143237909</v>
      </c>
      <c r="R48" s="185">
        <f t="shared" si="44"/>
        <v>591.44570286475823</v>
      </c>
      <c r="S48" s="182">
        <f t="shared" si="48"/>
        <v>24</v>
      </c>
      <c r="T48" s="540"/>
      <c r="U48" s="188">
        <v>5</v>
      </c>
      <c r="V48" s="188">
        <v>2957.560025957172</v>
      </c>
      <c r="W48" s="185">
        <f t="shared" si="45"/>
        <v>591.51200519143435</v>
      </c>
      <c r="X48" s="182">
        <f t="shared" si="49"/>
        <v>24</v>
      </c>
      <c r="Y48" s="540"/>
      <c r="Z48" s="188">
        <v>5</v>
      </c>
      <c r="AA48" s="188">
        <v>2957.3988055739928</v>
      </c>
      <c r="AB48" s="185">
        <f t="shared" si="50"/>
        <v>591.47976111479852</v>
      </c>
      <c r="AC48" s="182">
        <f t="shared" si="51"/>
        <v>24</v>
      </c>
      <c r="AD48" s="540"/>
      <c r="AE48" s="188">
        <v>5</v>
      </c>
      <c r="AF48" s="188">
        <v>2956.3342318059263</v>
      </c>
      <c r="AG48" s="185">
        <f t="shared" si="52"/>
        <v>591.26684636118523</v>
      </c>
      <c r="AH48" s="182">
        <f t="shared" si="53"/>
        <v>25</v>
      </c>
      <c r="AI48" s="540"/>
      <c r="AJ48" s="188">
        <v>5</v>
      </c>
      <c r="AK48" s="188">
        <v>2955.9798994975004</v>
      </c>
      <c r="AL48" s="185">
        <f t="shared" si="54"/>
        <v>591.19597989950012</v>
      </c>
      <c r="AM48" s="182">
        <f t="shared" si="55"/>
        <v>26</v>
      </c>
      <c r="AN48" s="540"/>
      <c r="AO48" s="188">
        <v>5</v>
      </c>
      <c r="AP48" s="188">
        <v>2955.6610169491551</v>
      </c>
      <c r="AQ48" s="185">
        <f t="shared" si="56"/>
        <v>591.13220338983103</v>
      </c>
      <c r="AR48" s="182">
        <f t="shared" si="57"/>
        <v>26</v>
      </c>
      <c r="AS48" s="540"/>
      <c r="AT48" s="188">
        <v>5</v>
      </c>
      <c r="AU48" s="188">
        <v>2955.4799183117811</v>
      </c>
      <c r="AV48" s="185">
        <f t="shared" si="58"/>
        <v>591.09598366235628</v>
      </c>
      <c r="AW48" s="182">
        <f t="shared" si="59"/>
        <v>26</v>
      </c>
      <c r="AX48" s="540"/>
    </row>
    <row r="49" spans="2:50" ht="14.25" customHeight="1">
      <c r="B49" s="530"/>
      <c r="C49" s="180">
        <v>5</v>
      </c>
      <c r="D49" s="183" t="s">
        <v>146</v>
      </c>
      <c r="E49" s="184">
        <v>3</v>
      </c>
      <c r="F49" s="180">
        <v>3600</v>
      </c>
      <c r="G49" s="185">
        <f t="shared" si="46"/>
        <v>1200</v>
      </c>
      <c r="H49" s="558"/>
      <c r="I49" s="186">
        <f t="shared" si="47"/>
        <v>3</v>
      </c>
      <c r="J49" s="186">
        <f t="shared" si="47"/>
        <v>3130.9454853595535</v>
      </c>
      <c r="K49" s="187">
        <f t="shared" si="47"/>
        <v>1043.6484951198511</v>
      </c>
      <c r="L49" s="559"/>
      <c r="M49" s="186">
        <f>RANK(K49, K$45:$K$77)</f>
        <v>4</v>
      </c>
      <c r="N49" s="578"/>
      <c r="O49" s="541"/>
      <c r="P49" s="188">
        <v>3</v>
      </c>
      <c r="Q49" s="188">
        <v>3129.7475301866079</v>
      </c>
      <c r="R49" s="185">
        <f t="shared" si="44"/>
        <v>1043.2491767288693</v>
      </c>
      <c r="S49" s="182">
        <f t="shared" si="48"/>
        <v>3</v>
      </c>
      <c r="T49" s="540"/>
      <c r="U49" s="188">
        <v>3</v>
      </c>
      <c r="V49" s="188">
        <v>3129.2914536157787</v>
      </c>
      <c r="W49" s="185">
        <f t="shared" si="45"/>
        <v>1043.0971512052595</v>
      </c>
      <c r="X49" s="182">
        <f t="shared" si="49"/>
        <v>4</v>
      </c>
      <c r="Y49" s="540"/>
      <c r="Z49" s="188">
        <v>3</v>
      </c>
      <c r="AA49" s="188">
        <v>3131.09243697479</v>
      </c>
      <c r="AB49" s="185">
        <f t="shared" si="50"/>
        <v>1043.6974789915967</v>
      </c>
      <c r="AC49" s="182">
        <f t="shared" si="51"/>
        <v>3</v>
      </c>
      <c r="AD49" s="540"/>
      <c r="AE49" s="188">
        <v>3</v>
      </c>
      <c r="AF49" s="188">
        <v>3131.2969454181289</v>
      </c>
      <c r="AG49" s="185">
        <f t="shared" si="52"/>
        <v>1043.7656484727097</v>
      </c>
      <c r="AH49" s="182">
        <f t="shared" si="53"/>
        <v>3</v>
      </c>
      <c r="AI49" s="540"/>
      <c r="AJ49" s="188">
        <v>3</v>
      </c>
      <c r="AK49" s="188">
        <v>3131.4166231050704</v>
      </c>
      <c r="AL49" s="185">
        <f t="shared" si="54"/>
        <v>1043.8055410350235</v>
      </c>
      <c r="AM49" s="182">
        <f t="shared" si="55"/>
        <v>5</v>
      </c>
      <c r="AN49" s="540"/>
      <c r="AO49" s="188">
        <v>3</v>
      </c>
      <c r="AP49" s="188">
        <v>3131.4794215795337</v>
      </c>
      <c r="AQ49" s="185">
        <f t="shared" si="56"/>
        <v>1043.8264738598446</v>
      </c>
      <c r="AR49" s="182">
        <f t="shared" si="57"/>
        <v>5</v>
      </c>
      <c r="AS49" s="540"/>
      <c r="AT49" s="188">
        <v>3</v>
      </c>
      <c r="AU49" s="188">
        <v>3132.2939866369666</v>
      </c>
      <c r="AV49" s="185">
        <f t="shared" si="58"/>
        <v>1044.0979955456555</v>
      </c>
      <c r="AW49" s="182">
        <f t="shared" si="59"/>
        <v>4</v>
      </c>
      <c r="AX49" s="540"/>
    </row>
    <row r="50" spans="2:50" ht="14.25" customHeight="1">
      <c r="B50" s="530"/>
      <c r="C50" s="180">
        <v>6</v>
      </c>
      <c r="D50" s="183" t="s">
        <v>147</v>
      </c>
      <c r="E50" s="184">
        <v>3</v>
      </c>
      <c r="F50" s="180">
        <v>3000</v>
      </c>
      <c r="G50" s="185">
        <f t="shared" si="46"/>
        <v>1000</v>
      </c>
      <c r="H50" s="558"/>
      <c r="I50" s="186">
        <f t="shared" si="47"/>
        <v>3</v>
      </c>
      <c r="J50" s="186">
        <f t="shared" si="47"/>
        <v>2690.7255674444596</v>
      </c>
      <c r="K50" s="187">
        <f t="shared" si="47"/>
        <v>896.90852248148656</v>
      </c>
      <c r="L50" s="559"/>
      <c r="M50" s="186">
        <f>RANK(K50, K$45:$K$77)</f>
        <v>9</v>
      </c>
      <c r="N50" s="578"/>
      <c r="O50" s="541"/>
      <c r="P50" s="188">
        <v>3</v>
      </c>
      <c r="Q50" s="188">
        <v>2690.6226175349429</v>
      </c>
      <c r="R50" s="185">
        <f t="shared" si="44"/>
        <v>896.87420584498102</v>
      </c>
      <c r="S50" s="182">
        <f t="shared" si="48"/>
        <v>9</v>
      </c>
      <c r="T50" s="540"/>
      <c r="U50" s="188">
        <v>3</v>
      </c>
      <c r="V50" s="188">
        <v>2690.5956112852673</v>
      </c>
      <c r="W50" s="185">
        <f t="shared" si="45"/>
        <v>896.86520376175577</v>
      </c>
      <c r="X50" s="182">
        <f t="shared" si="49"/>
        <v>9</v>
      </c>
      <c r="Y50" s="540"/>
      <c r="Z50" s="188">
        <v>3</v>
      </c>
      <c r="AA50" s="188">
        <v>2690.353697749194</v>
      </c>
      <c r="AB50" s="185">
        <f t="shared" si="50"/>
        <v>896.78456591639804</v>
      </c>
      <c r="AC50" s="182">
        <f t="shared" si="51"/>
        <v>9</v>
      </c>
      <c r="AD50" s="540"/>
      <c r="AE50" s="188">
        <v>3</v>
      </c>
      <c r="AF50" s="188">
        <v>2690.797546012267</v>
      </c>
      <c r="AG50" s="185">
        <f t="shared" si="52"/>
        <v>896.93251533742239</v>
      </c>
      <c r="AH50" s="182">
        <f t="shared" si="53"/>
        <v>9</v>
      </c>
      <c r="AI50" s="540"/>
      <c r="AJ50" s="188">
        <v>3</v>
      </c>
      <c r="AK50" s="188">
        <v>2691.1860718171929</v>
      </c>
      <c r="AL50" s="185">
        <f t="shared" si="54"/>
        <v>897.06202393906426</v>
      </c>
      <c r="AM50" s="182">
        <f t="shared" si="55"/>
        <v>9</v>
      </c>
      <c r="AN50" s="540"/>
      <c r="AO50" s="188">
        <v>3</v>
      </c>
      <c r="AP50" s="188">
        <v>2690.7541969431209</v>
      </c>
      <c r="AQ50" s="185">
        <f t="shared" si="56"/>
        <v>896.91806564770695</v>
      </c>
      <c r="AR50" s="182">
        <f t="shared" si="57"/>
        <v>9</v>
      </c>
      <c r="AS50" s="540"/>
      <c r="AT50" s="188">
        <v>3</v>
      </c>
      <c r="AU50" s="188">
        <v>2690.7692307692305</v>
      </c>
      <c r="AV50" s="185">
        <f t="shared" si="58"/>
        <v>896.92307692307679</v>
      </c>
      <c r="AW50" s="182">
        <f t="shared" si="59"/>
        <v>9</v>
      </c>
      <c r="AX50" s="540"/>
    </row>
    <row r="51" spans="2:50" ht="14.25" customHeight="1">
      <c r="B51" s="530"/>
      <c r="C51" s="180">
        <v>7</v>
      </c>
      <c r="D51" s="183" t="s">
        <v>148</v>
      </c>
      <c r="E51" s="184">
        <v>3</v>
      </c>
      <c r="F51" s="180">
        <v>3600</v>
      </c>
      <c r="G51" s="185">
        <f t="shared" si="46"/>
        <v>1200</v>
      </c>
      <c r="H51" s="558"/>
      <c r="I51" s="186">
        <f t="shared" si="47"/>
        <v>3</v>
      </c>
      <c r="J51" s="186">
        <f t="shared" si="47"/>
        <v>3136.7304194586654</v>
      </c>
      <c r="K51" s="187">
        <f t="shared" si="47"/>
        <v>1045.5768064862218</v>
      </c>
      <c r="L51" s="559"/>
      <c r="M51" s="186">
        <f>RANK(K51, K$45:$K$77)</f>
        <v>1</v>
      </c>
      <c r="N51" s="578"/>
      <c r="O51" s="541"/>
      <c r="P51" s="188">
        <v>3</v>
      </c>
      <c r="Q51" s="188">
        <v>3134.9282296650686</v>
      </c>
      <c r="R51" s="185">
        <f t="shared" si="44"/>
        <v>1044.9760765550229</v>
      </c>
      <c r="S51" s="182">
        <f t="shared" si="48"/>
        <v>2</v>
      </c>
      <c r="T51" s="540"/>
      <c r="U51" s="188">
        <v>3</v>
      </c>
      <c r="V51" s="188">
        <v>3134.2915811088333</v>
      </c>
      <c r="W51" s="185">
        <f t="shared" si="45"/>
        <v>1044.7638603696112</v>
      </c>
      <c r="X51" s="182">
        <f t="shared" si="49"/>
        <v>2</v>
      </c>
      <c r="Y51" s="540"/>
      <c r="Z51" s="188">
        <v>3</v>
      </c>
      <c r="AA51" s="188">
        <v>3135.4838709677442</v>
      </c>
      <c r="AB51" s="185">
        <f t="shared" si="50"/>
        <v>1045.1612903225814</v>
      </c>
      <c r="AC51" s="182">
        <f t="shared" si="51"/>
        <v>2</v>
      </c>
      <c r="AD51" s="540"/>
      <c r="AE51" s="188">
        <v>3</v>
      </c>
      <c r="AF51" s="188">
        <v>3136.6336633663427</v>
      </c>
      <c r="AG51" s="185">
        <f t="shared" si="52"/>
        <v>1045.5445544554475</v>
      </c>
      <c r="AH51" s="182">
        <f t="shared" si="53"/>
        <v>2</v>
      </c>
      <c r="AI51" s="540"/>
      <c r="AJ51" s="188">
        <v>3</v>
      </c>
      <c r="AK51" s="188">
        <v>3138.6637458926602</v>
      </c>
      <c r="AL51" s="185">
        <f t="shared" si="54"/>
        <v>1046.2212486308867</v>
      </c>
      <c r="AM51" s="182">
        <f t="shared" si="55"/>
        <v>1</v>
      </c>
      <c r="AN51" s="540"/>
      <c r="AO51" s="188">
        <v>3</v>
      </c>
      <c r="AP51" s="188">
        <v>3138.6503067484682</v>
      </c>
      <c r="AQ51" s="185">
        <f t="shared" si="56"/>
        <v>1046.2167689161561</v>
      </c>
      <c r="AR51" s="182">
        <f t="shared" si="57"/>
        <v>1</v>
      </c>
      <c r="AS51" s="540"/>
      <c r="AT51" s="188">
        <v>3</v>
      </c>
      <c r="AU51" s="188">
        <v>3138.4615384615408</v>
      </c>
      <c r="AV51" s="185">
        <f t="shared" si="58"/>
        <v>1046.1538461538469</v>
      </c>
      <c r="AW51" s="182">
        <f t="shared" si="59"/>
        <v>1</v>
      </c>
      <c r="AX51" s="540"/>
    </row>
    <row r="52" spans="2:50" ht="14.25" customHeight="1">
      <c r="B52" s="530"/>
      <c r="C52" s="180">
        <v>8</v>
      </c>
      <c r="D52" s="183" t="s">
        <v>149</v>
      </c>
      <c r="E52" s="184">
        <v>4</v>
      </c>
      <c r="F52" s="180">
        <v>3300</v>
      </c>
      <c r="G52" s="185">
        <f t="shared" si="46"/>
        <v>825</v>
      </c>
      <c r="H52" s="558"/>
      <c r="I52" s="186">
        <f t="shared" si="47"/>
        <v>4</v>
      </c>
      <c r="J52" s="186">
        <f t="shared" si="47"/>
        <v>2928.0547655592995</v>
      </c>
      <c r="K52" s="187">
        <f t="shared" si="47"/>
        <v>732.01369138982488</v>
      </c>
      <c r="L52" s="559"/>
      <c r="M52" s="186">
        <f>RANK(K52, K$45:$K$77)</f>
        <v>20</v>
      </c>
      <c r="N52" s="578"/>
      <c r="O52" s="541"/>
      <c r="P52" s="188">
        <v>4</v>
      </c>
      <c r="Q52" s="188">
        <v>2928.04816859007</v>
      </c>
      <c r="R52" s="185">
        <f t="shared" si="44"/>
        <v>732.01204214751749</v>
      </c>
      <c r="S52" s="182">
        <f t="shared" si="48"/>
        <v>21</v>
      </c>
      <c r="T52" s="540"/>
      <c r="U52" s="188">
        <v>4</v>
      </c>
      <c r="V52" s="188">
        <v>2928.3316880552857</v>
      </c>
      <c r="W52" s="185">
        <f t="shared" si="45"/>
        <v>732.08292201382142</v>
      </c>
      <c r="X52" s="182">
        <f t="shared" si="49"/>
        <v>20</v>
      </c>
      <c r="Y52" s="540"/>
      <c r="Z52" s="188">
        <v>4</v>
      </c>
      <c r="AA52" s="188">
        <v>2928.5067873303183</v>
      </c>
      <c r="AB52" s="185">
        <f t="shared" si="50"/>
        <v>732.12669683257957</v>
      </c>
      <c r="AC52" s="182">
        <f t="shared" si="51"/>
        <v>19</v>
      </c>
      <c r="AD52" s="540"/>
      <c r="AE52" s="188">
        <v>4</v>
      </c>
      <c r="AF52" s="188">
        <v>2927.8969957081586</v>
      </c>
      <c r="AG52" s="185">
        <f t="shared" si="52"/>
        <v>731.97424892703964</v>
      </c>
      <c r="AH52" s="182">
        <f t="shared" si="53"/>
        <v>21</v>
      </c>
      <c r="AI52" s="540"/>
      <c r="AJ52" s="188">
        <v>4</v>
      </c>
      <c r="AK52" s="188">
        <v>2927.3456295108226</v>
      </c>
      <c r="AL52" s="185">
        <f t="shared" si="54"/>
        <v>731.83640737770565</v>
      </c>
      <c r="AM52" s="182">
        <f t="shared" si="55"/>
        <v>21</v>
      </c>
      <c r="AN52" s="540"/>
      <c r="AO52" s="188">
        <v>4</v>
      </c>
      <c r="AP52" s="188">
        <v>2927.8538812785441</v>
      </c>
      <c r="AQ52" s="185">
        <f t="shared" si="56"/>
        <v>731.96347031963603</v>
      </c>
      <c r="AR52" s="182">
        <f t="shared" si="57"/>
        <v>20</v>
      </c>
      <c r="AS52" s="540"/>
      <c r="AT52" s="188">
        <v>4</v>
      </c>
      <c r="AU52" s="188">
        <v>2928.4002084418953</v>
      </c>
      <c r="AV52" s="185">
        <f t="shared" si="58"/>
        <v>732.10005211047383</v>
      </c>
      <c r="AW52" s="182">
        <f t="shared" si="59"/>
        <v>18</v>
      </c>
      <c r="AX52" s="540"/>
    </row>
    <row r="53" spans="2:50" ht="14.25" customHeight="1">
      <c r="B53" s="530"/>
      <c r="C53" s="180">
        <v>9</v>
      </c>
      <c r="D53" s="183" t="s">
        <v>150</v>
      </c>
      <c r="E53" s="184">
        <v>4</v>
      </c>
      <c r="F53" s="180">
        <v>3300</v>
      </c>
      <c r="G53" s="185">
        <f t="shared" si="46"/>
        <v>825</v>
      </c>
      <c r="H53" s="558"/>
      <c r="I53" s="186">
        <f t="shared" si="47"/>
        <v>4</v>
      </c>
      <c r="J53" s="186">
        <f t="shared" si="47"/>
        <v>2927.90429918885</v>
      </c>
      <c r="K53" s="187">
        <f t="shared" si="47"/>
        <v>731.9760747972125</v>
      </c>
      <c r="L53" s="559"/>
      <c r="M53" s="186">
        <f>RANK(K53, K$45:$K$77)</f>
        <v>21</v>
      </c>
      <c r="N53" s="578"/>
      <c r="O53" s="541"/>
      <c r="P53" s="188">
        <v>4</v>
      </c>
      <c r="Q53" s="188">
        <v>2928.5775676837097</v>
      </c>
      <c r="R53" s="185">
        <f t="shared" si="44"/>
        <v>732.14439192092743</v>
      </c>
      <c r="S53" s="182">
        <f t="shared" si="48"/>
        <v>18</v>
      </c>
      <c r="T53" s="540"/>
      <c r="U53" s="188">
        <v>4</v>
      </c>
      <c r="V53" s="188">
        <v>2927.7944325481772</v>
      </c>
      <c r="W53" s="185">
        <f t="shared" si="45"/>
        <v>731.94860813704429</v>
      </c>
      <c r="X53" s="182">
        <f t="shared" si="49"/>
        <v>21</v>
      </c>
      <c r="Y53" s="540"/>
      <c r="Z53" s="188">
        <v>4</v>
      </c>
      <c r="AA53" s="188">
        <v>2927.4725274725301</v>
      </c>
      <c r="AB53" s="185">
        <f t="shared" si="50"/>
        <v>731.86813186813254</v>
      </c>
      <c r="AC53" s="182">
        <f t="shared" si="51"/>
        <v>21</v>
      </c>
      <c r="AD53" s="540"/>
      <c r="AE53" s="188">
        <v>4</v>
      </c>
      <c r="AF53" s="188">
        <v>2928.2198053806578</v>
      </c>
      <c r="AG53" s="185">
        <f t="shared" si="52"/>
        <v>732.05495134516445</v>
      </c>
      <c r="AH53" s="182">
        <f t="shared" si="53"/>
        <v>20</v>
      </c>
      <c r="AI53" s="540"/>
      <c r="AJ53" s="188">
        <v>4</v>
      </c>
      <c r="AK53" s="188">
        <v>2928.2083075015566</v>
      </c>
      <c r="AL53" s="185">
        <f t="shared" si="54"/>
        <v>732.05207687538916</v>
      </c>
      <c r="AM53" s="182">
        <f t="shared" si="55"/>
        <v>19</v>
      </c>
      <c r="AN53" s="540"/>
      <c r="AO53" s="188">
        <v>4</v>
      </c>
      <c r="AP53" s="188">
        <v>2928.3582089552206</v>
      </c>
      <c r="AQ53" s="185">
        <f t="shared" si="56"/>
        <v>732.08955223880514</v>
      </c>
      <c r="AR53" s="182">
        <f t="shared" si="57"/>
        <v>18</v>
      </c>
      <c r="AS53" s="540"/>
      <c r="AT53" s="188">
        <v>4</v>
      </c>
      <c r="AU53" s="188">
        <v>2926.6992447800994</v>
      </c>
      <c r="AV53" s="185">
        <f t="shared" si="58"/>
        <v>731.67481119502486</v>
      </c>
      <c r="AW53" s="182">
        <f t="shared" si="59"/>
        <v>21</v>
      </c>
      <c r="AX53" s="540"/>
    </row>
    <row r="54" spans="2:50" ht="14.25" customHeight="1">
      <c r="B54" s="530"/>
      <c r="C54" s="180">
        <v>10</v>
      </c>
      <c r="D54" s="183" t="s">
        <v>151</v>
      </c>
      <c r="E54" s="184">
        <v>4</v>
      </c>
      <c r="F54" s="180">
        <v>3300</v>
      </c>
      <c r="G54" s="185">
        <f t="shared" si="46"/>
        <v>825</v>
      </c>
      <c r="H54" s="558"/>
      <c r="I54" s="186">
        <f t="shared" si="47"/>
        <v>4</v>
      </c>
      <c r="J54" s="186">
        <f t="shared" si="47"/>
        <v>2959.5662657046983</v>
      </c>
      <c r="K54" s="187">
        <f t="shared" si="47"/>
        <v>739.89156642617456</v>
      </c>
      <c r="L54" s="559"/>
      <c r="M54" s="186">
        <f>RANK(K54, K$45:$K$77)</f>
        <v>13</v>
      </c>
      <c r="N54" s="578"/>
      <c r="O54" s="541"/>
      <c r="P54" s="188">
        <v>4</v>
      </c>
      <c r="Q54" s="188">
        <v>2958.7500000000036</v>
      </c>
      <c r="R54" s="185">
        <f t="shared" si="44"/>
        <v>739.68750000000091</v>
      </c>
      <c r="S54" s="182">
        <f t="shared" si="48"/>
        <v>13</v>
      </c>
      <c r="T54" s="540"/>
      <c r="U54" s="188">
        <v>4</v>
      </c>
      <c r="V54" s="188">
        <v>2958.4905660377344</v>
      </c>
      <c r="W54" s="185">
        <f t="shared" si="45"/>
        <v>739.62264150943361</v>
      </c>
      <c r="X54" s="182">
        <f t="shared" si="49"/>
        <v>14</v>
      </c>
      <c r="Y54" s="540"/>
      <c r="Z54" s="188">
        <v>4</v>
      </c>
      <c r="AA54" s="188">
        <v>2958.3778014941249</v>
      </c>
      <c r="AB54" s="185">
        <f t="shared" si="50"/>
        <v>739.59445037353123</v>
      </c>
      <c r="AC54" s="182">
        <f t="shared" si="51"/>
        <v>14</v>
      </c>
      <c r="AD54" s="540"/>
      <c r="AE54" s="188">
        <v>4</v>
      </c>
      <c r="AF54" s="188">
        <v>2958.1595974119336</v>
      </c>
      <c r="AG54" s="185">
        <f t="shared" si="52"/>
        <v>739.53989935298341</v>
      </c>
      <c r="AH54" s="182">
        <f t="shared" si="53"/>
        <v>14</v>
      </c>
      <c r="AI54" s="540"/>
      <c r="AJ54" s="188">
        <v>4</v>
      </c>
      <c r="AK54" s="188">
        <v>2960.4344453064432</v>
      </c>
      <c r="AL54" s="185">
        <f t="shared" si="54"/>
        <v>740.1086113266108</v>
      </c>
      <c r="AM54" s="182">
        <f t="shared" si="55"/>
        <v>13</v>
      </c>
      <c r="AN54" s="540"/>
      <c r="AO54" s="188">
        <v>4</v>
      </c>
      <c r="AP54" s="188">
        <v>2960.924369747901</v>
      </c>
      <c r="AQ54" s="185">
        <f t="shared" si="56"/>
        <v>740.23109243697525</v>
      </c>
      <c r="AR54" s="182">
        <f t="shared" si="57"/>
        <v>13</v>
      </c>
      <c r="AS54" s="540"/>
      <c r="AT54" s="188">
        <v>4</v>
      </c>
      <c r="AU54" s="188">
        <v>2961.8270799347474</v>
      </c>
      <c r="AV54" s="185">
        <f t="shared" si="58"/>
        <v>740.45676998368685</v>
      </c>
      <c r="AW54" s="182">
        <f t="shared" si="59"/>
        <v>13</v>
      </c>
      <c r="AX54" s="540"/>
    </row>
    <row r="55" spans="2:50" ht="14.25" customHeight="1">
      <c r="B55" s="530"/>
      <c r="C55" s="180">
        <v>11</v>
      </c>
      <c r="D55" s="183" t="s">
        <v>152</v>
      </c>
      <c r="E55" s="184">
        <v>3</v>
      </c>
      <c r="F55" s="180">
        <v>3000</v>
      </c>
      <c r="G55" s="185">
        <f t="shared" si="46"/>
        <v>1000</v>
      </c>
      <c r="H55" s="558"/>
      <c r="I55" s="186">
        <f t="shared" si="47"/>
        <v>3</v>
      </c>
      <c r="J55" s="186">
        <f t="shared" si="47"/>
        <v>2689.9909665306013</v>
      </c>
      <c r="K55" s="187">
        <f t="shared" si="47"/>
        <v>896.66365551020056</v>
      </c>
      <c r="L55" s="559"/>
      <c r="M55" s="186">
        <f>RANK(K55, K$45:$K$77)</f>
        <v>11</v>
      </c>
      <c r="N55" s="578"/>
      <c r="O55" s="541"/>
      <c r="P55" s="188">
        <v>3</v>
      </c>
      <c r="Q55" s="188">
        <v>2689.4641384995889</v>
      </c>
      <c r="R55" s="185">
        <f t="shared" si="44"/>
        <v>896.48804616652967</v>
      </c>
      <c r="S55" s="182">
        <f t="shared" si="48"/>
        <v>11</v>
      </c>
      <c r="T55" s="540"/>
      <c r="U55" s="188">
        <v>3</v>
      </c>
      <c r="V55" s="188">
        <v>2689.7709389753459</v>
      </c>
      <c r="W55" s="185">
        <f t="shared" si="45"/>
        <v>896.59031299178196</v>
      </c>
      <c r="X55" s="182">
        <f t="shared" si="49"/>
        <v>10</v>
      </c>
      <c r="Y55" s="540"/>
      <c r="Z55" s="188">
        <v>3</v>
      </c>
      <c r="AA55" s="188">
        <v>2689.9676375404529</v>
      </c>
      <c r="AB55" s="185">
        <f t="shared" si="50"/>
        <v>896.65587918015092</v>
      </c>
      <c r="AC55" s="182">
        <f t="shared" si="51"/>
        <v>11</v>
      </c>
      <c r="AD55" s="540"/>
      <c r="AE55" s="188">
        <v>3</v>
      </c>
      <c r="AF55" s="188">
        <v>2690.0921141316567</v>
      </c>
      <c r="AG55" s="185">
        <f t="shared" si="52"/>
        <v>896.69737137721893</v>
      </c>
      <c r="AH55" s="182">
        <f t="shared" si="53"/>
        <v>10</v>
      </c>
      <c r="AI55" s="540"/>
      <c r="AJ55" s="188">
        <v>3</v>
      </c>
      <c r="AK55" s="188">
        <v>2690.2588235294111</v>
      </c>
      <c r="AL55" s="185">
        <f t="shared" si="54"/>
        <v>896.75294117647036</v>
      </c>
      <c r="AM55" s="182">
        <f t="shared" si="55"/>
        <v>10</v>
      </c>
      <c r="AN55" s="540"/>
      <c r="AO55" s="188">
        <v>3</v>
      </c>
      <c r="AP55" s="188">
        <v>2690.2398948406176</v>
      </c>
      <c r="AQ55" s="185">
        <f t="shared" si="56"/>
        <v>896.74663161353919</v>
      </c>
      <c r="AR55" s="182">
        <f t="shared" si="57"/>
        <v>11</v>
      </c>
      <c r="AS55" s="540"/>
      <c r="AT55" s="188">
        <v>3</v>
      </c>
      <c r="AU55" s="188">
        <v>2690.1432181971363</v>
      </c>
      <c r="AV55" s="185">
        <f t="shared" si="58"/>
        <v>896.71440606571207</v>
      </c>
      <c r="AW55" s="182">
        <f t="shared" si="59"/>
        <v>11</v>
      </c>
      <c r="AX55" s="540"/>
    </row>
    <row r="56" spans="2:50" ht="14.25" customHeight="1">
      <c r="B56" s="530"/>
      <c r="C56" s="180">
        <v>12</v>
      </c>
      <c r="D56" s="183" t="s">
        <v>153</v>
      </c>
      <c r="E56" s="184">
        <v>12</v>
      </c>
      <c r="F56" s="180">
        <v>3600</v>
      </c>
      <c r="G56" s="185">
        <f t="shared" si="46"/>
        <v>300</v>
      </c>
      <c r="H56" s="558"/>
      <c r="I56" s="186">
        <f t="shared" si="47"/>
        <v>12</v>
      </c>
      <c r="J56" s="186">
        <f t="shared" si="47"/>
        <v>3125.3695994828263</v>
      </c>
      <c r="K56" s="187">
        <f t="shared" si="47"/>
        <v>260.44746662356886</v>
      </c>
      <c r="L56" s="559"/>
      <c r="M56" s="186">
        <f>RANK(K56, K$45:$K$77)</f>
        <v>29</v>
      </c>
      <c r="N56" s="578"/>
      <c r="O56" s="541"/>
      <c r="P56" s="188">
        <v>12</v>
      </c>
      <c r="Q56" s="188">
        <v>3124.2486620008121</v>
      </c>
      <c r="R56" s="185">
        <f t="shared" si="44"/>
        <v>260.35405516673433</v>
      </c>
      <c r="S56" s="182">
        <f t="shared" si="48"/>
        <v>29</v>
      </c>
      <c r="T56" s="540"/>
      <c r="U56" s="188">
        <v>12</v>
      </c>
      <c r="V56" s="188">
        <v>3124.3600330305517</v>
      </c>
      <c r="W56" s="185">
        <f t="shared" si="45"/>
        <v>260.36333608587933</v>
      </c>
      <c r="X56" s="182">
        <f t="shared" si="49"/>
        <v>29</v>
      </c>
      <c r="Y56" s="540"/>
      <c r="Z56" s="188">
        <v>12</v>
      </c>
      <c r="AA56" s="188">
        <v>3124.0572171651484</v>
      </c>
      <c r="AB56" s="185">
        <f t="shared" si="50"/>
        <v>260.33810143042905</v>
      </c>
      <c r="AC56" s="182">
        <f t="shared" si="51"/>
        <v>29</v>
      </c>
      <c r="AD56" s="540"/>
      <c r="AE56" s="188">
        <v>12</v>
      </c>
      <c r="AF56" s="188">
        <v>3124.6712256706946</v>
      </c>
      <c r="AG56" s="185">
        <f t="shared" si="52"/>
        <v>260.38926880589122</v>
      </c>
      <c r="AH56" s="182">
        <f t="shared" si="53"/>
        <v>29</v>
      </c>
      <c r="AI56" s="540"/>
      <c r="AJ56" s="188">
        <v>12</v>
      </c>
      <c r="AK56" s="188">
        <v>3125.5656108597291</v>
      </c>
      <c r="AL56" s="185">
        <f t="shared" si="54"/>
        <v>260.4638009049774</v>
      </c>
      <c r="AM56" s="182">
        <f t="shared" si="55"/>
        <v>28</v>
      </c>
      <c r="AN56" s="540"/>
      <c r="AO56" s="188">
        <v>12</v>
      </c>
      <c r="AP56" s="188">
        <v>3127.2128447920968</v>
      </c>
      <c r="AQ56" s="185">
        <f t="shared" si="56"/>
        <v>260.60107039934138</v>
      </c>
      <c r="AR56" s="182">
        <f t="shared" si="57"/>
        <v>28</v>
      </c>
      <c r="AS56" s="540"/>
      <c r="AT56" s="188">
        <v>12</v>
      </c>
      <c r="AU56" s="188">
        <v>3127.47160286075</v>
      </c>
      <c r="AV56" s="185">
        <f t="shared" si="58"/>
        <v>260.62263357172918</v>
      </c>
      <c r="AW56" s="182">
        <f t="shared" si="59"/>
        <v>28</v>
      </c>
      <c r="AX56" s="540"/>
    </row>
    <row r="57" spans="2:50" ht="14.25" customHeight="1">
      <c r="B57" s="530"/>
      <c r="C57" s="180">
        <v>13</v>
      </c>
      <c r="D57" s="183" t="s">
        <v>154</v>
      </c>
      <c r="E57" s="184">
        <v>3</v>
      </c>
      <c r="F57" s="180">
        <v>3300</v>
      </c>
      <c r="G57" s="185">
        <f t="shared" si="46"/>
        <v>1100</v>
      </c>
      <c r="H57" s="558"/>
      <c r="I57" s="186">
        <f t="shared" si="47"/>
        <v>3</v>
      </c>
      <c r="J57" s="186">
        <f t="shared" si="47"/>
        <v>2955.1214457661695</v>
      </c>
      <c r="K57" s="187">
        <f t="shared" si="47"/>
        <v>985.04048192205653</v>
      </c>
      <c r="L57" s="559"/>
      <c r="M57" s="186">
        <f>RANK(K57, K$45:$K$77)</f>
        <v>8</v>
      </c>
      <c r="N57" s="578"/>
      <c r="O57" s="541"/>
      <c r="P57" s="188">
        <v>3</v>
      </c>
      <c r="Q57" s="188">
        <v>2954.3736263736264</v>
      </c>
      <c r="R57" s="185">
        <f t="shared" si="44"/>
        <v>984.79120879120876</v>
      </c>
      <c r="S57" s="182">
        <f t="shared" si="48"/>
        <v>8</v>
      </c>
      <c r="T57" s="540"/>
      <c r="U57" s="188">
        <v>3</v>
      </c>
      <c r="V57" s="188">
        <v>2954.631119282923</v>
      </c>
      <c r="W57" s="185">
        <f t="shared" si="45"/>
        <v>984.8770397609743</v>
      </c>
      <c r="X57" s="182">
        <f t="shared" si="49"/>
        <v>8</v>
      </c>
      <c r="Y57" s="540"/>
      <c r="Z57" s="188">
        <v>3</v>
      </c>
      <c r="AA57" s="188">
        <v>2954.4592030360536</v>
      </c>
      <c r="AB57" s="185">
        <f t="shared" si="50"/>
        <v>984.81973434535121</v>
      </c>
      <c r="AC57" s="182">
        <f t="shared" si="51"/>
        <v>8</v>
      </c>
      <c r="AD57" s="540"/>
      <c r="AE57" s="188">
        <v>3</v>
      </c>
      <c r="AF57" s="188">
        <v>2955.0085861476791</v>
      </c>
      <c r="AG57" s="185">
        <f t="shared" si="52"/>
        <v>985.00286204922634</v>
      </c>
      <c r="AH57" s="182">
        <f t="shared" si="53"/>
        <v>8</v>
      </c>
      <c r="AI57" s="540"/>
      <c r="AJ57" s="188">
        <v>3</v>
      </c>
      <c r="AK57" s="188">
        <v>2955.7215416791164</v>
      </c>
      <c r="AL57" s="185">
        <f t="shared" si="54"/>
        <v>985.24051389303884</v>
      </c>
      <c r="AM57" s="182">
        <f t="shared" si="55"/>
        <v>8</v>
      </c>
      <c r="AN57" s="540"/>
      <c r="AO57" s="188">
        <v>3</v>
      </c>
      <c r="AP57" s="188">
        <v>2955.7977332170885</v>
      </c>
      <c r="AQ57" s="185">
        <f t="shared" si="56"/>
        <v>985.26591107236288</v>
      </c>
      <c r="AR57" s="182">
        <f t="shared" si="57"/>
        <v>8</v>
      </c>
      <c r="AS57" s="540"/>
      <c r="AT57" s="188">
        <v>3</v>
      </c>
      <c r="AU57" s="188">
        <v>2955.858310626701</v>
      </c>
      <c r="AV57" s="185">
        <f t="shared" si="58"/>
        <v>985.28610354223372</v>
      </c>
      <c r="AW57" s="182">
        <f t="shared" si="59"/>
        <v>8</v>
      </c>
      <c r="AX57" s="540"/>
    </row>
    <row r="58" spans="2:50" ht="14.25" customHeight="1">
      <c r="B58" s="530"/>
      <c r="C58" s="180">
        <v>14</v>
      </c>
      <c r="D58" s="183" t="s">
        <v>156</v>
      </c>
      <c r="E58" s="184">
        <v>5</v>
      </c>
      <c r="F58" s="180">
        <v>3300</v>
      </c>
      <c r="G58" s="185">
        <f t="shared" si="46"/>
        <v>660</v>
      </c>
      <c r="H58" s="558"/>
      <c r="I58" s="186">
        <f t="shared" si="47"/>
        <v>5</v>
      </c>
      <c r="J58" s="186">
        <f t="shared" si="47"/>
        <v>2957.4894672905502</v>
      </c>
      <c r="K58" s="187">
        <f t="shared" si="47"/>
        <v>591.49789345811018</v>
      </c>
      <c r="L58" s="559"/>
      <c r="M58" s="186">
        <f>RANK(K58, K$45:$K$77)</f>
        <v>24</v>
      </c>
      <c r="N58" s="578"/>
      <c r="O58" s="541"/>
      <c r="P58" s="188">
        <v>5</v>
      </c>
      <c r="Q58" s="188">
        <v>2957.1119133573998</v>
      </c>
      <c r="R58" s="185">
        <f t="shared" si="44"/>
        <v>591.42238267147991</v>
      </c>
      <c r="S58" s="182">
        <f t="shared" si="48"/>
        <v>25</v>
      </c>
      <c r="T58" s="540"/>
      <c r="U58" s="188">
        <v>5</v>
      </c>
      <c r="V58" s="188">
        <v>2957.2279849922757</v>
      </c>
      <c r="W58" s="185">
        <f t="shared" si="45"/>
        <v>591.44559699845513</v>
      </c>
      <c r="X58" s="182">
        <f t="shared" si="49"/>
        <v>25</v>
      </c>
      <c r="Y58" s="540"/>
      <c r="Z58" s="188">
        <v>5</v>
      </c>
      <c r="AA58" s="188">
        <v>2957.3840793352979</v>
      </c>
      <c r="AB58" s="185">
        <f t="shared" si="50"/>
        <v>591.4768158670596</v>
      </c>
      <c r="AC58" s="182">
        <f t="shared" si="51"/>
        <v>25</v>
      </c>
      <c r="AD58" s="540"/>
      <c r="AE58" s="188">
        <v>5</v>
      </c>
      <c r="AF58" s="188">
        <v>2957.2808586762089</v>
      </c>
      <c r="AG58" s="185">
        <f t="shared" si="52"/>
        <v>591.45617173524181</v>
      </c>
      <c r="AH58" s="182">
        <f t="shared" si="53"/>
        <v>24</v>
      </c>
      <c r="AI58" s="540"/>
      <c r="AJ58" s="188">
        <v>5</v>
      </c>
      <c r="AK58" s="188">
        <v>2957.6583801122656</v>
      </c>
      <c r="AL58" s="185">
        <f t="shared" si="54"/>
        <v>591.5316760224531</v>
      </c>
      <c r="AM58" s="182">
        <f t="shared" si="55"/>
        <v>24</v>
      </c>
      <c r="AN58" s="540"/>
      <c r="AO58" s="188">
        <v>5</v>
      </c>
      <c r="AP58" s="188">
        <v>2957.8216171158656</v>
      </c>
      <c r="AQ58" s="185">
        <f t="shared" si="56"/>
        <v>591.56432342317316</v>
      </c>
      <c r="AR58" s="182">
        <f t="shared" si="57"/>
        <v>24</v>
      </c>
      <c r="AS58" s="540"/>
      <c r="AT58" s="188">
        <v>5</v>
      </c>
      <c r="AU58" s="188">
        <v>2957.9414374445419</v>
      </c>
      <c r="AV58" s="185">
        <f t="shared" si="58"/>
        <v>591.58828748890835</v>
      </c>
      <c r="AW58" s="182">
        <f t="shared" si="59"/>
        <v>24</v>
      </c>
      <c r="AX58" s="540"/>
    </row>
    <row r="59" spans="2:50" ht="14.25" customHeight="1">
      <c r="B59" s="530"/>
      <c r="C59" s="180">
        <v>15</v>
      </c>
      <c r="D59" s="183" t="s">
        <v>157</v>
      </c>
      <c r="E59" s="184">
        <v>4</v>
      </c>
      <c r="F59" s="180">
        <v>3300</v>
      </c>
      <c r="G59" s="185">
        <f t="shared" si="46"/>
        <v>825</v>
      </c>
      <c r="H59" s="558"/>
      <c r="I59" s="186">
        <f t="shared" si="47"/>
        <v>4</v>
      </c>
      <c r="J59" s="186">
        <f t="shared" si="47"/>
        <v>2956.5415204620626</v>
      </c>
      <c r="K59" s="187">
        <f t="shared" si="47"/>
        <v>739.13538011551566</v>
      </c>
      <c r="L59" s="559"/>
      <c r="M59" s="186">
        <f>RANK(K59, K$45:$K$77)</f>
        <v>15</v>
      </c>
      <c r="N59" s="578"/>
      <c r="O59" s="541"/>
      <c r="P59" s="188">
        <v>4</v>
      </c>
      <c r="Q59" s="188">
        <v>2956.2784645413167</v>
      </c>
      <c r="R59" s="185">
        <f t="shared" si="44"/>
        <v>739.06961613532917</v>
      </c>
      <c r="S59" s="182">
        <f t="shared" si="48"/>
        <v>15</v>
      </c>
      <c r="T59" s="540"/>
      <c r="U59" s="188">
        <v>4</v>
      </c>
      <c r="V59" s="188">
        <v>2956.4222326015883</v>
      </c>
      <c r="W59" s="185">
        <f t="shared" si="45"/>
        <v>739.10555815039709</v>
      </c>
      <c r="X59" s="182">
        <f t="shared" si="49"/>
        <v>15</v>
      </c>
      <c r="Y59" s="540"/>
      <c r="Z59" s="188">
        <v>4</v>
      </c>
      <c r="AA59" s="188">
        <v>2956.4585226535119</v>
      </c>
      <c r="AB59" s="185">
        <f t="shared" si="50"/>
        <v>739.11463066337797</v>
      </c>
      <c r="AC59" s="182">
        <f t="shared" si="51"/>
        <v>15</v>
      </c>
      <c r="AD59" s="540"/>
      <c r="AE59" s="188">
        <v>4</v>
      </c>
      <c r="AF59" s="188">
        <v>2956.6448510751957</v>
      </c>
      <c r="AG59" s="185">
        <f t="shared" si="52"/>
        <v>739.16121276879892</v>
      </c>
      <c r="AH59" s="182">
        <f t="shared" si="53"/>
        <v>15</v>
      </c>
      <c r="AI59" s="540"/>
      <c r="AJ59" s="188">
        <v>4</v>
      </c>
      <c r="AK59" s="188">
        <v>2956.6298990847213</v>
      </c>
      <c r="AL59" s="185">
        <f t="shared" si="54"/>
        <v>739.15747477118032</v>
      </c>
      <c r="AM59" s="182">
        <f t="shared" si="55"/>
        <v>15</v>
      </c>
      <c r="AN59" s="540"/>
      <c r="AO59" s="188">
        <v>4</v>
      </c>
      <c r="AP59" s="188">
        <v>2956.5309360126903</v>
      </c>
      <c r="AQ59" s="185">
        <f t="shared" si="56"/>
        <v>739.13273400317257</v>
      </c>
      <c r="AR59" s="182">
        <f t="shared" si="57"/>
        <v>15</v>
      </c>
      <c r="AS59" s="540"/>
      <c r="AT59" s="188">
        <v>4</v>
      </c>
      <c r="AU59" s="188">
        <v>2956.8257372654166</v>
      </c>
      <c r="AV59" s="185">
        <f t="shared" si="58"/>
        <v>739.20643431635415</v>
      </c>
      <c r="AW59" s="182">
        <f t="shared" si="59"/>
        <v>15</v>
      </c>
      <c r="AX59" s="540"/>
    </row>
    <row r="60" spans="2:50" ht="14.25" customHeight="1">
      <c r="B60" s="530"/>
      <c r="C60" s="180">
        <v>16</v>
      </c>
      <c r="D60" s="183" t="s">
        <v>158</v>
      </c>
      <c r="E60" s="184">
        <v>3</v>
      </c>
      <c r="F60" s="180">
        <v>3600</v>
      </c>
      <c r="G60" s="185">
        <f t="shared" si="46"/>
        <v>1200</v>
      </c>
      <c r="H60" s="558"/>
      <c r="I60" s="186">
        <f t="shared" si="47"/>
        <v>3</v>
      </c>
      <c r="J60" s="186">
        <f t="shared" si="47"/>
        <v>3130.2514718897255</v>
      </c>
      <c r="K60" s="187">
        <f t="shared" si="47"/>
        <v>1043.4171572965752</v>
      </c>
      <c r="L60" s="559"/>
      <c r="M60" s="186">
        <f>RANK(K60, K$45:$K$77)</f>
        <v>6</v>
      </c>
      <c r="N60" s="578"/>
      <c r="O60" s="541"/>
      <c r="P60" s="188">
        <v>3</v>
      </c>
      <c r="Q60" s="188">
        <v>3129.2584863294142</v>
      </c>
      <c r="R60" s="185">
        <f t="shared" si="44"/>
        <v>1043.0861621098047</v>
      </c>
      <c r="S60" s="182">
        <f t="shared" si="48"/>
        <v>4</v>
      </c>
      <c r="T60" s="540"/>
      <c r="U60" s="188">
        <v>3</v>
      </c>
      <c r="V60" s="188">
        <v>3129.4296969474299</v>
      </c>
      <c r="W60" s="185">
        <f t="shared" si="45"/>
        <v>1043.1432323158099</v>
      </c>
      <c r="X60" s="182">
        <f t="shared" si="49"/>
        <v>3</v>
      </c>
      <c r="Y60" s="540"/>
      <c r="Z60" s="188">
        <v>3</v>
      </c>
      <c r="AA60" s="188">
        <v>3130.3697689708561</v>
      </c>
      <c r="AB60" s="185">
        <f t="shared" si="50"/>
        <v>1043.456589656952</v>
      </c>
      <c r="AC60" s="182">
        <f t="shared" si="51"/>
        <v>4</v>
      </c>
      <c r="AD60" s="540"/>
      <c r="AE60" s="188">
        <v>3</v>
      </c>
      <c r="AF60" s="188">
        <v>3130.326737229635</v>
      </c>
      <c r="AG60" s="185">
        <f t="shared" si="52"/>
        <v>1043.4422457432117</v>
      </c>
      <c r="AH60" s="182">
        <f t="shared" si="53"/>
        <v>6</v>
      </c>
      <c r="AI60" s="540"/>
      <c r="AJ60" s="188">
        <v>3</v>
      </c>
      <c r="AK60" s="188">
        <v>3130.4958190067387</v>
      </c>
      <c r="AL60" s="185">
        <f t="shared" si="54"/>
        <v>1043.4986063355796</v>
      </c>
      <c r="AM60" s="182">
        <f t="shared" si="55"/>
        <v>6</v>
      </c>
      <c r="AN60" s="540"/>
      <c r="AO60" s="188">
        <v>3</v>
      </c>
      <c r="AP60" s="188">
        <v>3130.9926218617011</v>
      </c>
      <c r="AQ60" s="185">
        <f t="shared" si="56"/>
        <v>1043.6642072872337</v>
      </c>
      <c r="AR60" s="182">
        <f t="shared" si="57"/>
        <v>6</v>
      </c>
      <c r="AS60" s="540"/>
      <c r="AT60" s="188">
        <v>3</v>
      </c>
      <c r="AU60" s="188">
        <v>3130.8871728823028</v>
      </c>
      <c r="AV60" s="185">
        <f t="shared" si="58"/>
        <v>1043.6290576274343</v>
      </c>
      <c r="AW60" s="182">
        <f t="shared" si="59"/>
        <v>6</v>
      </c>
      <c r="AX60" s="540"/>
    </row>
    <row r="61" spans="2:50" ht="14.25" customHeight="1">
      <c r="B61" s="530"/>
      <c r="C61" s="180">
        <v>17</v>
      </c>
      <c r="D61" s="183" t="s">
        <v>159</v>
      </c>
      <c r="E61" s="184">
        <v>4</v>
      </c>
      <c r="F61" s="180">
        <v>3300</v>
      </c>
      <c r="G61" s="185">
        <f t="shared" si="46"/>
        <v>825</v>
      </c>
      <c r="H61" s="558"/>
      <c r="I61" s="186">
        <f t="shared" si="47"/>
        <v>4</v>
      </c>
      <c r="J61" s="186">
        <f t="shared" si="47"/>
        <v>2958.8785900551075</v>
      </c>
      <c r="K61" s="187">
        <f t="shared" si="47"/>
        <v>739.71964751377686</v>
      </c>
      <c r="L61" s="559"/>
      <c r="M61" s="186">
        <f>RANK(K61, K$45:$K$77)</f>
        <v>14</v>
      </c>
      <c r="N61" s="578"/>
      <c r="O61" s="541"/>
      <c r="P61" s="188">
        <v>4</v>
      </c>
      <c r="Q61" s="188">
        <v>2958.7259891643412</v>
      </c>
      <c r="R61" s="185">
        <f t="shared" si="44"/>
        <v>739.68149729108529</v>
      </c>
      <c r="S61" s="182">
        <f t="shared" si="48"/>
        <v>14</v>
      </c>
      <c r="T61" s="540"/>
      <c r="U61" s="188">
        <v>4</v>
      </c>
      <c r="V61" s="188">
        <v>2958.6967945349447</v>
      </c>
      <c r="W61" s="185">
        <f t="shared" si="45"/>
        <v>739.67419863373618</v>
      </c>
      <c r="X61" s="182">
        <f t="shared" si="49"/>
        <v>13</v>
      </c>
      <c r="Y61" s="540"/>
      <c r="Z61" s="188">
        <v>4</v>
      </c>
      <c r="AA61" s="188">
        <v>2958.6764140053865</v>
      </c>
      <c r="AB61" s="185">
        <f t="shared" si="50"/>
        <v>739.66910350134663</v>
      </c>
      <c r="AC61" s="182">
        <f t="shared" si="51"/>
        <v>13</v>
      </c>
      <c r="AD61" s="540"/>
      <c r="AE61" s="188">
        <v>4</v>
      </c>
      <c r="AF61" s="188">
        <v>2958.9733306597154</v>
      </c>
      <c r="AG61" s="185">
        <f t="shared" si="52"/>
        <v>739.74333266492886</v>
      </c>
      <c r="AH61" s="182">
        <f t="shared" si="53"/>
        <v>13</v>
      </c>
      <c r="AI61" s="540"/>
      <c r="AJ61" s="188">
        <v>4</v>
      </c>
      <c r="AK61" s="188">
        <v>2958.9473684210479</v>
      </c>
      <c r="AL61" s="185">
        <f t="shared" si="54"/>
        <v>739.73684210526199</v>
      </c>
      <c r="AM61" s="182">
        <f t="shared" si="55"/>
        <v>14</v>
      </c>
      <c r="AN61" s="540"/>
      <c r="AO61" s="188">
        <v>4</v>
      </c>
      <c r="AP61" s="188">
        <v>2958.7933247753522</v>
      </c>
      <c r="AQ61" s="185">
        <f t="shared" si="56"/>
        <v>739.69833119383804</v>
      </c>
      <c r="AR61" s="182">
        <f t="shared" si="57"/>
        <v>14</v>
      </c>
      <c r="AS61" s="540"/>
      <c r="AT61" s="188">
        <v>4</v>
      </c>
      <c r="AU61" s="188">
        <v>2959.3369088249624</v>
      </c>
      <c r="AV61" s="185">
        <f t="shared" si="58"/>
        <v>739.8342272062406</v>
      </c>
      <c r="AW61" s="182">
        <f t="shared" si="59"/>
        <v>14</v>
      </c>
      <c r="AX61" s="540"/>
    </row>
    <row r="62" spans="2:50" ht="14.25" customHeight="1">
      <c r="B62" s="530"/>
      <c r="C62" s="180">
        <v>18</v>
      </c>
      <c r="D62" s="183" t="s">
        <v>160</v>
      </c>
      <c r="E62" s="184">
        <v>5</v>
      </c>
      <c r="F62" s="180">
        <v>3300</v>
      </c>
      <c r="G62" s="185">
        <f t="shared" si="46"/>
        <v>660</v>
      </c>
      <c r="H62" s="558"/>
      <c r="I62" s="186">
        <f t="shared" si="47"/>
        <v>5</v>
      </c>
      <c r="J62" s="186">
        <f t="shared" si="47"/>
        <v>2955.2883229916633</v>
      </c>
      <c r="K62" s="187">
        <f t="shared" si="47"/>
        <v>591.05766459833274</v>
      </c>
      <c r="L62" s="559"/>
      <c r="M62" s="186">
        <f>RANK(K62, K$45:$K$77)</f>
        <v>26</v>
      </c>
      <c r="N62" s="578"/>
      <c r="O62" s="541"/>
      <c r="P62" s="188">
        <v>5</v>
      </c>
      <c r="Q62" s="188">
        <v>2954.028670291651</v>
      </c>
      <c r="R62" s="185">
        <f t="shared" si="44"/>
        <v>590.80573405833024</v>
      </c>
      <c r="S62" s="182">
        <f t="shared" si="48"/>
        <v>26</v>
      </c>
      <c r="T62" s="540"/>
      <c r="U62" s="188">
        <v>5</v>
      </c>
      <c r="V62" s="188">
        <v>2954.4072948328389</v>
      </c>
      <c r="W62" s="185">
        <f t="shared" si="45"/>
        <v>590.88145896656783</v>
      </c>
      <c r="X62" s="182">
        <f t="shared" si="49"/>
        <v>26</v>
      </c>
      <c r="Y62" s="540"/>
      <c r="Z62" s="188">
        <v>5</v>
      </c>
      <c r="AA62" s="188">
        <v>2954.1463414634136</v>
      </c>
      <c r="AB62" s="185">
        <f t="shared" si="50"/>
        <v>590.82926829268274</v>
      </c>
      <c r="AC62" s="182">
        <f t="shared" si="51"/>
        <v>26</v>
      </c>
      <c r="AD62" s="540"/>
      <c r="AE62" s="188">
        <v>5</v>
      </c>
      <c r="AF62" s="188">
        <v>2954.2403904820121</v>
      </c>
      <c r="AG62" s="185">
        <f t="shared" si="52"/>
        <v>590.84807809640245</v>
      </c>
      <c r="AH62" s="182">
        <f t="shared" si="53"/>
        <v>26</v>
      </c>
      <c r="AI62" s="540"/>
      <c r="AJ62" s="188">
        <v>5</v>
      </c>
      <c r="AK62" s="188">
        <v>2956.0344827586273</v>
      </c>
      <c r="AL62" s="185">
        <f t="shared" si="54"/>
        <v>591.20689655172544</v>
      </c>
      <c r="AM62" s="182">
        <f t="shared" si="55"/>
        <v>25</v>
      </c>
      <c r="AN62" s="540"/>
      <c r="AO62" s="188">
        <v>5</v>
      </c>
      <c r="AP62" s="188">
        <v>2956.6336633663423</v>
      </c>
      <c r="AQ62" s="185">
        <f t="shared" si="56"/>
        <v>591.32673267326845</v>
      </c>
      <c r="AR62" s="182">
        <f t="shared" si="57"/>
        <v>25</v>
      </c>
      <c r="AS62" s="540"/>
      <c r="AT62" s="188">
        <v>5</v>
      </c>
      <c r="AU62" s="188">
        <v>2957.5274177467595</v>
      </c>
      <c r="AV62" s="185">
        <f t="shared" si="58"/>
        <v>591.50548354935188</v>
      </c>
      <c r="AW62" s="182">
        <f t="shared" si="59"/>
        <v>25</v>
      </c>
      <c r="AX62" s="540"/>
    </row>
    <row r="63" spans="2:50" ht="14.25" customHeight="1">
      <c r="B63" s="530"/>
      <c r="C63" s="180">
        <v>19</v>
      </c>
      <c r="D63" s="183" t="s">
        <v>161</v>
      </c>
      <c r="E63" s="184">
        <v>3</v>
      </c>
      <c r="F63" s="180">
        <v>3600</v>
      </c>
      <c r="G63" s="185">
        <f t="shared" si="46"/>
        <v>1200</v>
      </c>
      <c r="H63" s="558"/>
      <c r="I63" s="186">
        <f t="shared" si="47"/>
        <v>3</v>
      </c>
      <c r="J63" s="186">
        <f t="shared" si="47"/>
        <v>3131.228734006344</v>
      </c>
      <c r="K63" s="187">
        <f t="shared" si="47"/>
        <v>1043.7429113354481</v>
      </c>
      <c r="L63" s="559"/>
      <c r="M63" s="186">
        <f>RANK(K63, K$45:$K$77)</f>
        <v>3</v>
      </c>
      <c r="N63" s="578"/>
      <c r="O63" s="541"/>
      <c r="P63" s="188">
        <v>3</v>
      </c>
      <c r="Q63" s="188">
        <v>3128.7261584218613</v>
      </c>
      <c r="R63" s="185">
        <f t="shared" si="44"/>
        <v>1042.9087194739539</v>
      </c>
      <c r="S63" s="182">
        <f t="shared" si="48"/>
        <v>5</v>
      </c>
      <c r="T63" s="540"/>
      <c r="U63" s="188">
        <v>3</v>
      </c>
      <c r="V63" s="188">
        <v>3128.7848661287635</v>
      </c>
      <c r="W63" s="185">
        <f t="shared" si="45"/>
        <v>1042.9282887095878</v>
      </c>
      <c r="X63" s="182">
        <f t="shared" si="49"/>
        <v>5</v>
      </c>
      <c r="Y63" s="540"/>
      <c r="Z63" s="188">
        <v>3</v>
      </c>
      <c r="AA63" s="188">
        <v>3130.2995391705049</v>
      </c>
      <c r="AB63" s="185">
        <f t="shared" si="50"/>
        <v>1043.4331797235016</v>
      </c>
      <c r="AC63" s="182">
        <f t="shared" si="51"/>
        <v>6</v>
      </c>
      <c r="AD63" s="540"/>
      <c r="AE63" s="188">
        <v>3</v>
      </c>
      <c r="AF63" s="188">
        <v>3130.4347826086946</v>
      </c>
      <c r="AG63" s="185">
        <f t="shared" si="52"/>
        <v>1043.4782608695648</v>
      </c>
      <c r="AH63" s="182">
        <f t="shared" si="53"/>
        <v>5</v>
      </c>
      <c r="AI63" s="540"/>
      <c r="AJ63" s="188">
        <v>3</v>
      </c>
      <c r="AK63" s="188">
        <v>3132.3074405501793</v>
      </c>
      <c r="AL63" s="185">
        <f t="shared" si="54"/>
        <v>1044.102480183393</v>
      </c>
      <c r="AM63" s="182">
        <f t="shared" si="55"/>
        <v>3</v>
      </c>
      <c r="AN63" s="540"/>
      <c r="AO63" s="188">
        <v>3</v>
      </c>
      <c r="AP63" s="188">
        <v>3133.5483562691061</v>
      </c>
      <c r="AQ63" s="185">
        <f t="shared" si="56"/>
        <v>1044.5161187563688</v>
      </c>
      <c r="AR63" s="182">
        <f t="shared" si="57"/>
        <v>3</v>
      </c>
      <c r="AS63" s="540"/>
      <c r="AT63" s="188">
        <v>3</v>
      </c>
      <c r="AU63" s="188">
        <v>3134.4999948952982</v>
      </c>
      <c r="AV63" s="185">
        <f t="shared" si="58"/>
        <v>1044.833331631766</v>
      </c>
      <c r="AW63" s="182">
        <f t="shared" si="59"/>
        <v>3</v>
      </c>
      <c r="AX63" s="540"/>
    </row>
    <row r="64" spans="2:50" ht="14.25" customHeight="1">
      <c r="B64" s="530"/>
      <c r="C64" s="180">
        <v>20</v>
      </c>
      <c r="D64" s="183" t="s">
        <v>162</v>
      </c>
      <c r="E64" s="184">
        <v>3</v>
      </c>
      <c r="F64" s="180">
        <v>3600</v>
      </c>
      <c r="G64" s="185">
        <f t="shared" si="46"/>
        <v>1200</v>
      </c>
      <c r="H64" s="558"/>
      <c r="I64" s="186">
        <f t="shared" si="47"/>
        <v>3</v>
      </c>
      <c r="J64" s="186">
        <f t="shared" si="47"/>
        <v>3136.3145953318713</v>
      </c>
      <c r="K64" s="187">
        <f t="shared" si="47"/>
        <v>1045.4381984439572</v>
      </c>
      <c r="L64" s="559"/>
      <c r="M64" s="186">
        <f>RANK(K64, K$45:$K$77)</f>
        <v>2</v>
      </c>
      <c r="N64" s="578"/>
      <c r="O64" s="541"/>
      <c r="P64" s="188">
        <v>3</v>
      </c>
      <c r="Q64" s="188">
        <v>3135.5648535564774</v>
      </c>
      <c r="R64" s="185">
        <f t="shared" si="44"/>
        <v>1045.1882845188259</v>
      </c>
      <c r="S64" s="182">
        <f t="shared" si="48"/>
        <v>1</v>
      </c>
      <c r="T64" s="540"/>
      <c r="U64" s="188">
        <v>3</v>
      </c>
      <c r="V64" s="188">
        <v>3135.1578947368371</v>
      </c>
      <c r="W64" s="185">
        <f t="shared" si="45"/>
        <v>1045.0526315789457</v>
      </c>
      <c r="X64" s="182">
        <f t="shared" si="49"/>
        <v>1</v>
      </c>
      <c r="Y64" s="540"/>
      <c r="Z64" s="188">
        <v>3</v>
      </c>
      <c r="AA64" s="188">
        <v>3135.7528957529084</v>
      </c>
      <c r="AB64" s="185">
        <f t="shared" si="50"/>
        <v>1045.2509652509696</v>
      </c>
      <c r="AC64" s="182">
        <f t="shared" si="51"/>
        <v>1</v>
      </c>
      <c r="AD64" s="540"/>
      <c r="AE64" s="188">
        <v>3</v>
      </c>
      <c r="AF64" s="188">
        <v>3136.6956521739289</v>
      </c>
      <c r="AG64" s="185">
        <f t="shared" si="52"/>
        <v>1045.5652173913097</v>
      </c>
      <c r="AH64" s="182">
        <f t="shared" si="53"/>
        <v>1</v>
      </c>
      <c r="AI64" s="540"/>
      <c r="AJ64" s="188">
        <v>3</v>
      </c>
      <c r="AK64" s="188">
        <v>3136.3847944142667</v>
      </c>
      <c r="AL64" s="185">
        <f t="shared" si="54"/>
        <v>1045.4615981380889</v>
      </c>
      <c r="AM64" s="182">
        <f t="shared" si="55"/>
        <v>2</v>
      </c>
      <c r="AN64" s="540"/>
      <c r="AO64" s="188">
        <v>3</v>
      </c>
      <c r="AP64" s="188">
        <v>3137.4301675977649</v>
      </c>
      <c r="AQ64" s="185">
        <f t="shared" si="56"/>
        <v>1045.8100558659216</v>
      </c>
      <c r="AR64" s="182">
        <f t="shared" si="57"/>
        <v>2</v>
      </c>
      <c r="AS64" s="540"/>
      <c r="AT64" s="188">
        <v>3</v>
      </c>
      <c r="AU64" s="188">
        <v>3137.2159090909172</v>
      </c>
      <c r="AV64" s="185">
        <f t="shared" si="58"/>
        <v>1045.738636363639</v>
      </c>
      <c r="AW64" s="182">
        <f t="shared" si="59"/>
        <v>2</v>
      </c>
      <c r="AX64" s="540"/>
    </row>
    <row r="65" spans="2:50" ht="14.25" customHeight="1">
      <c r="B65" s="530"/>
      <c r="C65" s="180">
        <v>21</v>
      </c>
      <c r="D65" s="183" t="s">
        <v>163</v>
      </c>
      <c r="E65" s="184">
        <v>4</v>
      </c>
      <c r="F65" s="180">
        <v>3300</v>
      </c>
      <c r="G65" s="185">
        <f t="shared" si="46"/>
        <v>825</v>
      </c>
      <c r="H65" s="558"/>
      <c r="I65" s="186">
        <f t="shared" si="47"/>
        <v>4</v>
      </c>
      <c r="J65" s="186">
        <f t="shared" si="47"/>
        <v>2928.3159496638159</v>
      </c>
      <c r="K65" s="187">
        <f t="shared" si="47"/>
        <v>732.07898741595397</v>
      </c>
      <c r="L65" s="559"/>
      <c r="M65" s="186">
        <f>RANK(K65, K$45:$K$77)</f>
        <v>18</v>
      </c>
      <c r="N65" s="578"/>
      <c r="O65" s="541"/>
      <c r="P65" s="188">
        <v>4</v>
      </c>
      <c r="Q65" s="188">
        <v>2928.4752475247469</v>
      </c>
      <c r="R65" s="185">
        <f t="shared" si="44"/>
        <v>732.11881188118673</v>
      </c>
      <c r="S65" s="182">
        <f t="shared" si="48"/>
        <v>19</v>
      </c>
      <c r="T65" s="540"/>
      <c r="U65" s="188">
        <v>4</v>
      </c>
      <c r="V65" s="188">
        <v>2928.7128712871345</v>
      </c>
      <c r="W65" s="185">
        <f t="shared" si="45"/>
        <v>732.17821782178362</v>
      </c>
      <c r="X65" s="182">
        <f t="shared" si="49"/>
        <v>18</v>
      </c>
      <c r="Y65" s="540"/>
      <c r="Z65" s="188">
        <v>4</v>
      </c>
      <c r="AA65" s="188">
        <v>2928.7292817679509</v>
      </c>
      <c r="AB65" s="185">
        <f t="shared" si="50"/>
        <v>732.18232044198771</v>
      </c>
      <c r="AC65" s="182">
        <f t="shared" si="51"/>
        <v>18</v>
      </c>
      <c r="AD65" s="540"/>
      <c r="AE65" s="188">
        <v>4</v>
      </c>
      <c r="AF65" s="188">
        <v>2928.2208588957074</v>
      </c>
      <c r="AG65" s="185">
        <f t="shared" si="52"/>
        <v>732.05521472392684</v>
      </c>
      <c r="AH65" s="182">
        <f t="shared" si="53"/>
        <v>19</v>
      </c>
      <c r="AI65" s="540"/>
      <c r="AJ65" s="188">
        <v>4</v>
      </c>
      <c r="AK65" s="188">
        <v>2928.4497444633662</v>
      </c>
      <c r="AL65" s="185">
        <f t="shared" si="54"/>
        <v>732.11243611584155</v>
      </c>
      <c r="AM65" s="182">
        <f t="shared" si="55"/>
        <v>18</v>
      </c>
      <c r="AN65" s="540"/>
      <c r="AO65" s="188">
        <v>4</v>
      </c>
      <c r="AP65" s="188">
        <v>2927.6429130775336</v>
      </c>
      <c r="AQ65" s="185">
        <f t="shared" si="56"/>
        <v>731.91072826938341</v>
      </c>
      <c r="AR65" s="182">
        <f t="shared" si="57"/>
        <v>21</v>
      </c>
      <c r="AS65" s="540"/>
      <c r="AT65" s="188">
        <v>4</v>
      </c>
      <c r="AU65" s="188">
        <v>2927.9807306302773</v>
      </c>
      <c r="AV65" s="185">
        <f t="shared" si="58"/>
        <v>731.99518265756933</v>
      </c>
      <c r="AW65" s="182">
        <f t="shared" si="59"/>
        <v>20</v>
      </c>
      <c r="AX65" s="540"/>
    </row>
    <row r="66" spans="2:50" ht="14.25" customHeight="1">
      <c r="B66" s="530"/>
      <c r="C66" s="180">
        <v>22</v>
      </c>
      <c r="D66" s="183" t="s">
        <v>164</v>
      </c>
      <c r="E66" s="184">
        <v>4</v>
      </c>
      <c r="F66" s="180">
        <v>3300</v>
      </c>
      <c r="G66" s="185">
        <f>F66/E66</f>
        <v>825</v>
      </c>
      <c r="H66" s="558"/>
      <c r="I66" s="186">
        <f t="shared" si="47"/>
        <v>4</v>
      </c>
      <c r="J66" s="186">
        <f t="shared" si="47"/>
        <v>2928.2609422864625</v>
      </c>
      <c r="K66" s="187">
        <f t="shared" si="47"/>
        <v>732.06523557161563</v>
      </c>
      <c r="L66" s="559"/>
      <c r="M66" s="186">
        <f>RANK(K66, K$45:$K$77)</f>
        <v>19</v>
      </c>
      <c r="N66" s="578"/>
      <c r="O66" s="541"/>
      <c r="P66" s="188">
        <v>4</v>
      </c>
      <c r="Q66" s="188">
        <v>2928.3829395520115</v>
      </c>
      <c r="R66" s="185">
        <f t="shared" si="44"/>
        <v>732.09573488800288</v>
      </c>
      <c r="S66" s="182">
        <f t="shared" si="48"/>
        <v>20</v>
      </c>
      <c r="T66" s="540"/>
      <c r="U66" s="188">
        <v>4</v>
      </c>
      <c r="V66" s="188">
        <v>2928.4793814432996</v>
      </c>
      <c r="W66" s="185">
        <f t="shared" si="45"/>
        <v>732.11984536082491</v>
      </c>
      <c r="X66" s="182">
        <f t="shared" si="49"/>
        <v>19</v>
      </c>
      <c r="Y66" s="540"/>
      <c r="Z66" s="188">
        <v>4</v>
      </c>
      <c r="AA66" s="188">
        <v>2928.1163434903106</v>
      </c>
      <c r="AB66" s="185">
        <f t="shared" si="50"/>
        <v>732.02908587257764</v>
      </c>
      <c r="AC66" s="182">
        <f t="shared" si="51"/>
        <v>20</v>
      </c>
      <c r="AD66" s="540"/>
      <c r="AE66" s="188">
        <v>4</v>
      </c>
      <c r="AF66" s="188">
        <v>2928.6087280865349</v>
      </c>
      <c r="AG66" s="185">
        <f t="shared" si="52"/>
        <v>732.15218202163373</v>
      </c>
      <c r="AH66" s="182">
        <f t="shared" si="53"/>
        <v>18</v>
      </c>
      <c r="AI66" s="540"/>
      <c r="AJ66" s="188">
        <v>4</v>
      </c>
      <c r="AK66" s="188">
        <v>2928.0622164614424</v>
      </c>
      <c r="AL66" s="185">
        <f t="shared" si="54"/>
        <v>732.0155541153606</v>
      </c>
      <c r="AM66" s="182">
        <f t="shared" si="55"/>
        <v>20</v>
      </c>
      <c r="AN66" s="540"/>
      <c r="AO66" s="188">
        <v>4</v>
      </c>
      <c r="AP66" s="188">
        <v>2928.0432822362554</v>
      </c>
      <c r="AQ66" s="185">
        <f t="shared" si="56"/>
        <v>732.01082055906386</v>
      </c>
      <c r="AR66" s="182">
        <f t="shared" si="57"/>
        <v>19</v>
      </c>
      <c r="AS66" s="540"/>
      <c r="AT66" s="188">
        <v>4</v>
      </c>
      <c r="AU66" s="188">
        <v>2928.1337047353791</v>
      </c>
      <c r="AV66" s="185">
        <f t="shared" si="58"/>
        <v>732.03342618384477</v>
      </c>
      <c r="AW66" s="182">
        <f t="shared" si="59"/>
        <v>19</v>
      </c>
      <c r="AX66" s="540"/>
    </row>
    <row r="67" spans="2:50" ht="14.25" customHeight="1">
      <c r="B67" s="530"/>
      <c r="C67" s="180">
        <v>23</v>
      </c>
      <c r="D67" s="183" t="s">
        <v>165</v>
      </c>
      <c r="E67" s="184">
        <v>4</v>
      </c>
      <c r="F67" s="180">
        <v>3000</v>
      </c>
      <c r="G67" s="185">
        <f t="shared" ref="G67:G73" si="60">F67/E67</f>
        <v>750</v>
      </c>
      <c r="H67" s="558"/>
      <c r="I67" s="186">
        <f t="shared" si="47"/>
        <v>4</v>
      </c>
      <c r="J67" s="186">
        <f t="shared" si="47"/>
        <v>2690.7221810926458</v>
      </c>
      <c r="K67" s="187">
        <f t="shared" si="47"/>
        <v>672.68054527316144</v>
      </c>
      <c r="L67" s="559"/>
      <c r="M67" s="186">
        <f>RANK(K67, K$45:$K$77)</f>
        <v>22</v>
      </c>
      <c r="N67" s="578"/>
      <c r="O67" s="541"/>
      <c r="P67" s="188">
        <v>4</v>
      </c>
      <c r="Q67" s="188">
        <v>2690.6474820143803</v>
      </c>
      <c r="R67" s="185">
        <f t="shared" si="44"/>
        <v>672.66187050359508</v>
      </c>
      <c r="S67" s="182">
        <f t="shared" si="48"/>
        <v>22</v>
      </c>
      <c r="T67" s="540"/>
      <c r="U67" s="188">
        <v>4</v>
      </c>
      <c r="V67" s="188">
        <v>2690.2904564315359</v>
      </c>
      <c r="W67" s="185">
        <f t="shared" si="45"/>
        <v>672.57261410788396</v>
      </c>
      <c r="X67" s="182">
        <f t="shared" si="49"/>
        <v>22</v>
      </c>
      <c r="Y67" s="540"/>
      <c r="Z67" s="188">
        <v>4</v>
      </c>
      <c r="AA67" s="188">
        <v>2690.1789611523386</v>
      </c>
      <c r="AB67" s="185">
        <f t="shared" si="50"/>
        <v>672.54474028808465</v>
      </c>
      <c r="AC67" s="182">
        <f t="shared" si="51"/>
        <v>22</v>
      </c>
      <c r="AD67" s="540"/>
      <c r="AE67" s="188">
        <v>4</v>
      </c>
      <c r="AF67" s="188">
        <v>2690.927419354839</v>
      </c>
      <c r="AG67" s="185">
        <f t="shared" si="52"/>
        <v>672.73185483870975</v>
      </c>
      <c r="AH67" s="182">
        <f t="shared" si="53"/>
        <v>22</v>
      </c>
      <c r="AI67" s="540"/>
      <c r="AJ67" s="188">
        <v>4</v>
      </c>
      <c r="AK67" s="188">
        <v>2690.625000000005</v>
      </c>
      <c r="AL67" s="185">
        <f t="shared" si="54"/>
        <v>672.65625000000125</v>
      </c>
      <c r="AM67" s="182">
        <f t="shared" si="55"/>
        <v>22</v>
      </c>
      <c r="AN67" s="540"/>
      <c r="AO67" s="188">
        <v>4</v>
      </c>
      <c r="AP67" s="188">
        <v>2691.152182461652</v>
      </c>
      <c r="AQ67" s="185">
        <f t="shared" si="56"/>
        <v>672.78804561541301</v>
      </c>
      <c r="AR67" s="182">
        <f t="shared" si="57"/>
        <v>22</v>
      </c>
      <c r="AS67" s="540"/>
      <c r="AT67" s="188">
        <v>4</v>
      </c>
      <c r="AU67" s="188">
        <v>2691.2337662337686</v>
      </c>
      <c r="AV67" s="185">
        <f t="shared" si="58"/>
        <v>672.80844155844215</v>
      </c>
      <c r="AW67" s="182">
        <f t="shared" si="59"/>
        <v>22</v>
      </c>
      <c r="AX67" s="540"/>
    </row>
    <row r="68" spans="2:50" ht="14.25" customHeight="1">
      <c r="B68" s="530"/>
      <c r="C68" s="180">
        <v>24</v>
      </c>
      <c r="D68" s="183" t="s">
        <v>166</v>
      </c>
      <c r="E68" s="184">
        <v>4</v>
      </c>
      <c r="F68" s="180">
        <v>3300</v>
      </c>
      <c r="G68" s="185">
        <f t="shared" si="60"/>
        <v>825</v>
      </c>
      <c r="H68" s="558"/>
      <c r="I68" s="186">
        <f t="shared" si="47"/>
        <v>4</v>
      </c>
      <c r="J68" s="186">
        <f t="shared" si="47"/>
        <v>2961.4274401724469</v>
      </c>
      <c r="K68" s="187">
        <f t="shared" si="47"/>
        <v>740.35686004311174</v>
      </c>
      <c r="L68" s="559"/>
      <c r="M68" s="186">
        <f>RANK(K68, K$45:$K$77)</f>
        <v>12</v>
      </c>
      <c r="N68" s="578"/>
      <c r="O68" s="541"/>
      <c r="P68" s="188">
        <v>4</v>
      </c>
      <c r="Q68" s="188">
        <v>2960.6765327695539</v>
      </c>
      <c r="R68" s="185">
        <f t="shared" si="44"/>
        <v>740.16913319238847</v>
      </c>
      <c r="S68" s="182">
        <f t="shared" si="48"/>
        <v>12</v>
      </c>
      <c r="T68" s="540"/>
      <c r="U68" s="188">
        <v>4</v>
      </c>
      <c r="V68" s="188">
        <v>2960.1713062098538</v>
      </c>
      <c r="W68" s="185">
        <f t="shared" si="45"/>
        <v>740.04282655246345</v>
      </c>
      <c r="X68" s="182">
        <f t="shared" si="49"/>
        <v>12</v>
      </c>
      <c r="Y68" s="540"/>
      <c r="Z68" s="188">
        <v>4</v>
      </c>
      <c r="AA68" s="188">
        <v>2960.1895734597015</v>
      </c>
      <c r="AB68" s="185">
        <f t="shared" si="50"/>
        <v>740.04739336492537</v>
      </c>
      <c r="AC68" s="182">
        <f t="shared" si="51"/>
        <v>12</v>
      </c>
      <c r="AD68" s="540"/>
      <c r="AE68" s="188">
        <v>4</v>
      </c>
      <c r="AF68" s="188">
        <v>2961.8906942393178</v>
      </c>
      <c r="AG68" s="185">
        <f t="shared" si="52"/>
        <v>740.47267355982945</v>
      </c>
      <c r="AH68" s="182">
        <f t="shared" si="53"/>
        <v>12</v>
      </c>
      <c r="AI68" s="540"/>
      <c r="AJ68" s="188">
        <v>4</v>
      </c>
      <c r="AK68" s="188">
        <v>2961.4395886889333</v>
      </c>
      <c r="AL68" s="185">
        <f t="shared" si="54"/>
        <v>740.35989717223333</v>
      </c>
      <c r="AM68" s="182">
        <f t="shared" si="55"/>
        <v>12</v>
      </c>
      <c r="AN68" s="540"/>
      <c r="AO68" s="188">
        <v>4</v>
      </c>
      <c r="AP68" s="188">
        <v>2962.3318385650159</v>
      </c>
      <c r="AQ68" s="185">
        <f t="shared" si="56"/>
        <v>740.58295964125398</v>
      </c>
      <c r="AR68" s="182">
        <f t="shared" si="57"/>
        <v>12</v>
      </c>
      <c r="AS68" s="540"/>
      <c r="AT68" s="188">
        <v>4</v>
      </c>
      <c r="AU68" s="188">
        <v>2963.2925472747502</v>
      </c>
      <c r="AV68" s="185">
        <f t="shared" si="58"/>
        <v>740.82313681868754</v>
      </c>
      <c r="AW68" s="182">
        <f t="shared" si="59"/>
        <v>12</v>
      </c>
      <c r="AX68" s="540"/>
    </row>
    <row r="69" spans="2:50" ht="14.25" customHeight="1">
      <c r="B69" s="530"/>
      <c r="C69" s="180">
        <v>25</v>
      </c>
      <c r="D69" s="183" t="s">
        <v>167</v>
      </c>
      <c r="E69" s="184">
        <v>3</v>
      </c>
      <c r="F69" s="180">
        <v>3300</v>
      </c>
      <c r="G69" s="185">
        <f t="shared" si="60"/>
        <v>1100</v>
      </c>
      <c r="H69" s="558"/>
      <c r="I69" s="186">
        <f t="shared" si="47"/>
        <v>3</v>
      </c>
      <c r="J69" s="186">
        <f t="shared" si="47"/>
        <v>2958.9045323536011</v>
      </c>
      <c r="K69" s="187">
        <f t="shared" si="47"/>
        <v>986.30151078453366</v>
      </c>
      <c r="L69" s="559"/>
      <c r="M69" s="186">
        <f>RANK(K69, K$45:$K$77)</f>
        <v>7</v>
      </c>
      <c r="N69" s="578"/>
      <c r="O69" s="541"/>
      <c r="P69" s="188">
        <v>3</v>
      </c>
      <c r="Q69" s="188">
        <v>2958.1073283323622</v>
      </c>
      <c r="R69" s="185">
        <f t="shared" si="44"/>
        <v>986.03577611078742</v>
      </c>
      <c r="S69" s="182">
        <f t="shared" si="48"/>
        <v>7</v>
      </c>
      <c r="T69" s="540"/>
      <c r="U69" s="188">
        <v>3</v>
      </c>
      <c r="V69" s="188">
        <v>2957.7464788732436</v>
      </c>
      <c r="W69" s="185">
        <f t="shared" si="45"/>
        <v>985.91549295774792</v>
      </c>
      <c r="X69" s="182">
        <f t="shared" si="49"/>
        <v>7</v>
      </c>
      <c r="Y69" s="540"/>
      <c r="Z69" s="188">
        <v>3</v>
      </c>
      <c r="AA69" s="188">
        <v>2958.3011583011707</v>
      </c>
      <c r="AB69" s="185">
        <f t="shared" si="50"/>
        <v>986.10038610039021</v>
      </c>
      <c r="AC69" s="182">
        <f t="shared" si="51"/>
        <v>7</v>
      </c>
      <c r="AD69" s="540"/>
      <c r="AE69" s="188">
        <v>3</v>
      </c>
      <c r="AF69" s="188">
        <v>2958.8692579505223</v>
      </c>
      <c r="AG69" s="185">
        <f t="shared" si="52"/>
        <v>986.28975265017414</v>
      </c>
      <c r="AH69" s="182">
        <f t="shared" si="53"/>
        <v>7</v>
      </c>
      <c r="AI69" s="540"/>
      <c r="AJ69" s="188">
        <v>3</v>
      </c>
      <c r="AK69" s="188">
        <v>2959.341355288168</v>
      </c>
      <c r="AL69" s="185">
        <f t="shared" si="54"/>
        <v>986.44711842938932</v>
      </c>
      <c r="AM69" s="182">
        <f t="shared" si="55"/>
        <v>7</v>
      </c>
      <c r="AN69" s="540"/>
      <c r="AO69" s="188">
        <v>3</v>
      </c>
      <c r="AP69" s="188">
        <v>2959.7315436241588</v>
      </c>
      <c r="AQ69" s="185">
        <f t="shared" si="56"/>
        <v>986.57718120805293</v>
      </c>
      <c r="AR69" s="182">
        <f t="shared" si="57"/>
        <v>7</v>
      </c>
      <c r="AS69" s="540"/>
      <c r="AT69" s="188">
        <v>3</v>
      </c>
      <c r="AU69" s="188">
        <v>2960.2346041055812</v>
      </c>
      <c r="AV69" s="185">
        <f t="shared" si="58"/>
        <v>986.74486803519369</v>
      </c>
      <c r="AW69" s="182">
        <f t="shared" si="59"/>
        <v>7</v>
      </c>
      <c r="AX69" s="540"/>
    </row>
    <row r="70" spans="2:50" ht="14.25" customHeight="1">
      <c r="B70" s="530"/>
      <c r="C70" s="180">
        <v>26</v>
      </c>
      <c r="D70" s="183" t="s">
        <v>168</v>
      </c>
      <c r="E70" s="184">
        <v>4</v>
      </c>
      <c r="F70" s="180">
        <v>3000</v>
      </c>
      <c r="G70" s="185">
        <f t="shared" si="60"/>
        <v>750</v>
      </c>
      <c r="H70" s="558"/>
      <c r="I70" s="186">
        <f t="shared" si="47"/>
        <v>4</v>
      </c>
      <c r="J70" s="186">
        <f t="shared" si="47"/>
        <v>2666.0681088099386</v>
      </c>
      <c r="K70" s="187">
        <f t="shared" si="47"/>
        <v>666.51702720248466</v>
      </c>
      <c r="L70" s="559"/>
      <c r="M70" s="186">
        <f>RANK(K70, K$45:$K$77)</f>
        <v>23</v>
      </c>
      <c r="N70" s="578"/>
      <c r="O70" s="541"/>
      <c r="P70" s="188">
        <v>4</v>
      </c>
      <c r="Q70" s="188">
        <v>2665.9919028340141</v>
      </c>
      <c r="R70" s="185">
        <f t="shared" si="44"/>
        <v>666.49797570850353</v>
      </c>
      <c r="S70" s="182">
        <f t="shared" si="48"/>
        <v>23</v>
      </c>
      <c r="T70" s="540"/>
      <c r="U70" s="188">
        <v>4</v>
      </c>
      <c r="V70" s="188">
        <v>2666.0139860139834</v>
      </c>
      <c r="W70" s="185">
        <f t="shared" si="45"/>
        <v>666.50349650349585</v>
      </c>
      <c r="X70" s="182">
        <f t="shared" si="49"/>
        <v>23</v>
      </c>
      <c r="Y70" s="540"/>
      <c r="Z70" s="188">
        <v>4</v>
      </c>
      <c r="AA70" s="188">
        <v>2665.7342657342665</v>
      </c>
      <c r="AB70" s="185">
        <f t="shared" si="50"/>
        <v>666.43356643356663</v>
      </c>
      <c r="AC70" s="182">
        <f t="shared" si="51"/>
        <v>23</v>
      </c>
      <c r="AD70" s="540"/>
      <c r="AE70" s="188">
        <v>4</v>
      </c>
      <c r="AF70" s="188">
        <v>2665.9949622166264</v>
      </c>
      <c r="AG70" s="185">
        <f t="shared" si="52"/>
        <v>666.4987405541566</v>
      </c>
      <c r="AH70" s="182">
        <f t="shared" si="53"/>
        <v>23</v>
      </c>
      <c r="AI70" s="540"/>
      <c r="AJ70" s="188">
        <v>4</v>
      </c>
      <c r="AK70" s="188">
        <v>2665.9459459459536</v>
      </c>
      <c r="AL70" s="185">
        <f t="shared" si="54"/>
        <v>666.48648648648839</v>
      </c>
      <c r="AM70" s="182">
        <f t="shared" si="55"/>
        <v>23</v>
      </c>
      <c r="AN70" s="540"/>
      <c r="AO70" s="188">
        <v>4</v>
      </c>
      <c r="AP70" s="188">
        <v>2666.1290322580603</v>
      </c>
      <c r="AQ70" s="185">
        <f t="shared" si="56"/>
        <v>666.53225806451508</v>
      </c>
      <c r="AR70" s="182">
        <f t="shared" si="57"/>
        <v>23</v>
      </c>
      <c r="AS70" s="540"/>
      <c r="AT70" s="188">
        <v>4</v>
      </c>
      <c r="AU70" s="188">
        <v>2666.666666666667</v>
      </c>
      <c r="AV70" s="185">
        <f t="shared" si="58"/>
        <v>666.66666666666674</v>
      </c>
      <c r="AW70" s="182">
        <f t="shared" si="59"/>
        <v>23</v>
      </c>
      <c r="AX70" s="540"/>
    </row>
    <row r="71" spans="2:50" ht="14.25" customHeight="1">
      <c r="B71" s="530"/>
      <c r="C71" s="180">
        <v>27</v>
      </c>
      <c r="D71" s="183" t="s">
        <v>169</v>
      </c>
      <c r="E71" s="184">
        <v>5</v>
      </c>
      <c r="F71" s="180">
        <v>3000</v>
      </c>
      <c r="G71" s="185">
        <f t="shared" si="60"/>
        <v>600</v>
      </c>
      <c r="H71" s="558"/>
      <c r="I71" s="186">
        <f t="shared" si="47"/>
        <v>5</v>
      </c>
      <c r="J71" s="186">
        <f t="shared" si="47"/>
        <v>2665.0578901669119</v>
      </c>
      <c r="K71" s="187">
        <f t="shared" si="47"/>
        <v>533.01157803338242</v>
      </c>
      <c r="L71" s="559"/>
      <c r="M71" s="186">
        <f>RANK(K71, K$45:$K$77)</f>
        <v>27</v>
      </c>
      <c r="N71" s="578"/>
      <c r="O71" s="541"/>
      <c r="P71" s="188">
        <v>5</v>
      </c>
      <c r="Q71" s="188">
        <v>2663.4985661614078</v>
      </c>
      <c r="R71" s="185">
        <f t="shared" si="44"/>
        <v>532.69971323228151</v>
      </c>
      <c r="S71" s="182">
        <f t="shared" si="48"/>
        <v>27</v>
      </c>
      <c r="T71" s="540"/>
      <c r="U71" s="188">
        <v>5</v>
      </c>
      <c r="V71" s="188">
        <v>2664.0907181856351</v>
      </c>
      <c r="W71" s="185">
        <f t="shared" si="45"/>
        <v>532.81814363712704</v>
      </c>
      <c r="X71" s="182">
        <f t="shared" si="49"/>
        <v>27</v>
      </c>
      <c r="Y71" s="540"/>
      <c r="Z71" s="188">
        <v>5</v>
      </c>
      <c r="AA71" s="188">
        <v>2664.456362749881</v>
      </c>
      <c r="AB71" s="185">
        <f t="shared" si="50"/>
        <v>532.89127254997618</v>
      </c>
      <c r="AC71" s="182">
        <f t="shared" si="51"/>
        <v>27</v>
      </c>
      <c r="AD71" s="540"/>
      <c r="AE71" s="188">
        <v>5</v>
      </c>
      <c r="AF71" s="188">
        <v>2665.3104925053563</v>
      </c>
      <c r="AG71" s="185">
        <f t="shared" si="52"/>
        <v>533.0620985010712</v>
      </c>
      <c r="AH71" s="182">
        <f t="shared" si="53"/>
        <v>27</v>
      </c>
      <c r="AI71" s="540"/>
      <c r="AJ71" s="188">
        <v>5</v>
      </c>
      <c r="AK71" s="188">
        <v>2665.9279778393434</v>
      </c>
      <c r="AL71" s="185">
        <f t="shared" si="54"/>
        <v>533.18559556786863</v>
      </c>
      <c r="AM71" s="182">
        <f t="shared" si="55"/>
        <v>27</v>
      </c>
      <c r="AN71" s="540"/>
      <c r="AO71" s="188">
        <v>5</v>
      </c>
      <c r="AP71" s="188">
        <v>2665.9793814432883</v>
      </c>
      <c r="AQ71" s="185">
        <f t="shared" si="56"/>
        <v>533.1958762886577</v>
      </c>
      <c r="AR71" s="182">
        <f t="shared" si="57"/>
        <v>27</v>
      </c>
      <c r="AS71" s="540"/>
      <c r="AT71" s="188">
        <v>5</v>
      </c>
      <c r="AU71" s="188">
        <v>2666.1417322834732</v>
      </c>
      <c r="AV71" s="185">
        <f t="shared" si="58"/>
        <v>533.22834645669468</v>
      </c>
      <c r="AW71" s="182">
        <f t="shared" si="59"/>
        <v>27</v>
      </c>
      <c r="AX71" s="540"/>
    </row>
    <row r="72" spans="2:50" ht="14.25" customHeight="1">
      <c r="B72" s="530"/>
      <c r="C72" s="180">
        <v>28</v>
      </c>
      <c r="D72" s="183" t="s">
        <v>170</v>
      </c>
      <c r="E72" s="184">
        <v>3</v>
      </c>
      <c r="F72" s="180">
        <v>3000</v>
      </c>
      <c r="G72" s="185">
        <f t="shared" si="60"/>
        <v>1000</v>
      </c>
      <c r="H72" s="558"/>
      <c r="I72" s="186">
        <f t="shared" si="47"/>
        <v>3</v>
      </c>
      <c r="J72" s="186">
        <f t="shared" si="47"/>
        <v>2690.0243104279084</v>
      </c>
      <c r="K72" s="187">
        <f t="shared" si="47"/>
        <v>896.67477014263625</v>
      </c>
      <c r="L72" s="559"/>
      <c r="M72" s="186">
        <f>RANK(K72, K$45:$K$77)</f>
        <v>10</v>
      </c>
      <c r="N72" s="578"/>
      <c r="O72" s="541"/>
      <c r="P72" s="188">
        <v>3</v>
      </c>
      <c r="Q72" s="188">
        <v>2689.6244595658482</v>
      </c>
      <c r="R72" s="185">
        <f t="shared" si="44"/>
        <v>896.54148652194942</v>
      </c>
      <c r="S72" s="182">
        <f t="shared" si="48"/>
        <v>10</v>
      </c>
      <c r="T72" s="540"/>
      <c r="U72" s="188">
        <v>3</v>
      </c>
      <c r="V72" s="188">
        <v>2689.6553992784648</v>
      </c>
      <c r="W72" s="185">
        <f t="shared" si="45"/>
        <v>896.55179975948829</v>
      </c>
      <c r="X72" s="182">
        <f t="shared" si="49"/>
        <v>11</v>
      </c>
      <c r="Y72" s="540"/>
      <c r="Z72" s="188">
        <v>3</v>
      </c>
      <c r="AA72" s="188">
        <v>2689.9852042907423</v>
      </c>
      <c r="AB72" s="185">
        <f t="shared" si="50"/>
        <v>896.66173476358074</v>
      </c>
      <c r="AC72" s="182">
        <f t="shared" si="51"/>
        <v>10</v>
      </c>
      <c r="AD72" s="540"/>
      <c r="AE72" s="188">
        <v>3</v>
      </c>
      <c r="AF72" s="188">
        <v>2689.9747921195803</v>
      </c>
      <c r="AG72" s="185">
        <f t="shared" si="52"/>
        <v>896.65826403986011</v>
      </c>
      <c r="AH72" s="182">
        <f t="shared" si="53"/>
        <v>11</v>
      </c>
      <c r="AI72" s="540"/>
      <c r="AJ72" s="188">
        <v>3</v>
      </c>
      <c r="AK72" s="188">
        <v>2690.2228134353145</v>
      </c>
      <c r="AL72" s="185">
        <f t="shared" si="54"/>
        <v>896.74093781177146</v>
      </c>
      <c r="AM72" s="182">
        <f t="shared" si="55"/>
        <v>11</v>
      </c>
      <c r="AN72" s="540"/>
      <c r="AO72" s="188">
        <v>3</v>
      </c>
      <c r="AP72" s="188">
        <v>2690.3044076612159</v>
      </c>
      <c r="AQ72" s="185">
        <f t="shared" si="56"/>
        <v>896.76813588707194</v>
      </c>
      <c r="AR72" s="182">
        <f t="shared" si="57"/>
        <v>10</v>
      </c>
      <c r="AS72" s="540"/>
      <c r="AT72" s="188">
        <v>3</v>
      </c>
      <c r="AU72" s="188">
        <v>2690.4030966441946</v>
      </c>
      <c r="AV72" s="185">
        <f t="shared" si="58"/>
        <v>896.80103221473155</v>
      </c>
      <c r="AW72" s="182">
        <f t="shared" si="59"/>
        <v>10</v>
      </c>
      <c r="AX72" s="540"/>
    </row>
    <row r="73" spans="2:50" ht="14.25" customHeight="1">
      <c r="B73" s="530"/>
      <c r="C73" s="180">
        <v>29</v>
      </c>
      <c r="D73" s="183" t="s">
        <v>171</v>
      </c>
      <c r="E73" s="184">
        <v>12</v>
      </c>
      <c r="F73" s="180">
        <v>3600</v>
      </c>
      <c r="G73" s="185">
        <f t="shared" si="60"/>
        <v>300</v>
      </c>
      <c r="H73" s="558"/>
      <c r="I73" s="186">
        <f t="shared" si="47"/>
        <v>12</v>
      </c>
      <c r="J73" s="186">
        <f t="shared" si="47"/>
        <v>3125.4329316798535</v>
      </c>
      <c r="K73" s="187">
        <f t="shared" si="47"/>
        <v>260.45274430665444</v>
      </c>
      <c r="L73" s="559"/>
      <c r="M73" s="186">
        <f>RANK(K73, K$45:$K$77)</f>
        <v>28</v>
      </c>
      <c r="N73" s="578"/>
      <c r="O73" s="541"/>
      <c r="P73" s="188">
        <v>12</v>
      </c>
      <c r="Q73" s="188">
        <v>3124.4471010161278</v>
      </c>
      <c r="R73" s="185">
        <f t="shared" si="44"/>
        <v>260.37059175134397</v>
      </c>
      <c r="S73" s="182">
        <f t="shared" si="48"/>
        <v>28</v>
      </c>
      <c r="T73" s="540"/>
      <c r="U73" s="188">
        <v>12</v>
      </c>
      <c r="V73" s="188">
        <v>3125.3678634490816</v>
      </c>
      <c r="W73" s="185">
        <f t="shared" si="45"/>
        <v>260.44732195409011</v>
      </c>
      <c r="X73" s="182">
        <f t="shared" si="49"/>
        <v>28</v>
      </c>
      <c r="Y73" s="540"/>
      <c r="Z73" s="188">
        <v>12</v>
      </c>
      <c r="AA73" s="188">
        <v>3125.7069408740422</v>
      </c>
      <c r="AB73" s="185">
        <f t="shared" si="50"/>
        <v>260.4755784061702</v>
      </c>
      <c r="AC73" s="182">
        <f t="shared" si="51"/>
        <v>28</v>
      </c>
      <c r="AD73" s="540"/>
      <c r="AE73" s="188">
        <v>12</v>
      </c>
      <c r="AF73" s="188">
        <v>3125.5014326647688</v>
      </c>
      <c r="AG73" s="185">
        <f t="shared" si="52"/>
        <v>260.45845272206407</v>
      </c>
      <c r="AH73" s="182">
        <f t="shared" si="53"/>
        <v>28</v>
      </c>
      <c r="AI73" s="540"/>
      <c r="AJ73" s="188">
        <v>12</v>
      </c>
      <c r="AK73" s="188">
        <v>3124.8730964467131</v>
      </c>
      <c r="AL73" s="185">
        <f t="shared" si="54"/>
        <v>260.40609137055941</v>
      </c>
      <c r="AM73" s="182">
        <f t="shared" si="55"/>
        <v>29</v>
      </c>
      <c r="AN73" s="540"/>
      <c r="AO73" s="188">
        <v>12</v>
      </c>
      <c r="AP73" s="188">
        <v>3125.7611241217714</v>
      </c>
      <c r="AQ73" s="185">
        <f t="shared" si="56"/>
        <v>260.48009367681431</v>
      </c>
      <c r="AR73" s="182">
        <f t="shared" si="57"/>
        <v>29</v>
      </c>
      <c r="AS73" s="540"/>
      <c r="AT73" s="188">
        <v>12</v>
      </c>
      <c r="AU73" s="188">
        <v>3126.3729631864694</v>
      </c>
      <c r="AV73" s="185">
        <f t="shared" si="58"/>
        <v>260.53108026553912</v>
      </c>
      <c r="AW73" s="182">
        <f t="shared" si="59"/>
        <v>29</v>
      </c>
      <c r="AX73" s="540"/>
    </row>
    <row r="74" spans="2:50" ht="14.25" customHeight="1">
      <c r="B74" s="530"/>
      <c r="C74" s="180">
        <v>30</v>
      </c>
      <c r="D74" s="183"/>
      <c r="E74" s="184"/>
      <c r="F74" s="180"/>
      <c r="G74" s="185"/>
      <c r="H74" s="558"/>
      <c r="I74" s="186"/>
      <c r="J74" s="186"/>
      <c r="K74" s="187"/>
      <c r="L74" s="559"/>
      <c r="M74" s="186"/>
      <c r="N74" s="578"/>
      <c r="O74" s="541"/>
      <c r="P74" s="188"/>
      <c r="Q74" s="188"/>
      <c r="R74" s="185"/>
      <c r="S74" s="182"/>
      <c r="T74" s="540"/>
      <c r="U74" s="188"/>
      <c r="V74" s="188"/>
      <c r="W74" s="185"/>
      <c r="X74" s="182"/>
      <c r="Y74" s="540"/>
      <c r="Z74" s="188"/>
      <c r="AA74" s="188"/>
      <c r="AB74" s="185"/>
      <c r="AC74" s="182"/>
      <c r="AD74" s="540"/>
      <c r="AE74" s="188"/>
      <c r="AF74" s="188"/>
      <c r="AG74" s="185"/>
      <c r="AH74" s="182"/>
      <c r="AI74" s="540"/>
      <c r="AJ74" s="188"/>
      <c r="AK74" s="188"/>
      <c r="AL74" s="185"/>
      <c r="AM74" s="182"/>
      <c r="AN74" s="540"/>
      <c r="AO74" s="188"/>
      <c r="AP74" s="188"/>
      <c r="AQ74" s="185"/>
      <c r="AR74" s="182"/>
      <c r="AS74" s="540"/>
      <c r="AT74" s="188"/>
      <c r="AU74" s="188"/>
      <c r="AV74" s="185"/>
      <c r="AW74" s="182"/>
      <c r="AX74" s="540"/>
    </row>
    <row r="75" spans="2:50" ht="14.25" customHeight="1">
      <c r="B75" s="530"/>
      <c r="C75" s="180">
        <v>31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78"/>
      <c r="O75" s="541"/>
      <c r="P75" s="188"/>
      <c r="Q75" s="188"/>
      <c r="R75" s="185"/>
      <c r="S75" s="182"/>
      <c r="T75" s="540"/>
      <c r="U75" s="188"/>
      <c r="V75" s="188"/>
      <c r="W75" s="185"/>
      <c r="X75" s="182"/>
      <c r="Y75" s="540"/>
      <c r="Z75" s="188"/>
      <c r="AA75" s="188"/>
      <c r="AB75" s="185"/>
      <c r="AC75" s="182"/>
      <c r="AD75" s="540"/>
      <c r="AE75" s="188"/>
      <c r="AF75" s="188"/>
      <c r="AG75" s="185"/>
      <c r="AH75" s="182"/>
      <c r="AI75" s="540"/>
      <c r="AJ75" s="188"/>
      <c r="AK75" s="188"/>
      <c r="AL75" s="185"/>
      <c r="AM75" s="182"/>
      <c r="AN75" s="540"/>
      <c r="AO75" s="188"/>
      <c r="AP75" s="188"/>
      <c r="AQ75" s="185"/>
      <c r="AR75" s="182"/>
      <c r="AS75" s="540"/>
      <c r="AT75" s="188"/>
      <c r="AU75" s="188"/>
      <c r="AV75" s="185"/>
      <c r="AW75" s="182"/>
      <c r="AX75" s="540"/>
    </row>
    <row r="76" spans="2:50" ht="14.25" customHeight="1">
      <c r="B76" s="530"/>
      <c r="C76" s="180">
        <v>32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78"/>
      <c r="O76" s="541"/>
      <c r="P76" s="188"/>
      <c r="Q76" s="188"/>
      <c r="R76" s="185"/>
      <c r="S76" s="182"/>
      <c r="T76" s="540"/>
      <c r="U76" s="188"/>
      <c r="V76" s="188"/>
      <c r="W76" s="185"/>
      <c r="X76" s="182"/>
      <c r="Y76" s="540"/>
      <c r="Z76" s="188"/>
      <c r="AA76" s="188"/>
      <c r="AB76" s="185"/>
      <c r="AC76" s="182"/>
      <c r="AD76" s="540"/>
      <c r="AE76" s="188"/>
      <c r="AF76" s="188"/>
      <c r="AG76" s="185"/>
      <c r="AH76" s="182"/>
      <c r="AI76" s="540"/>
      <c r="AJ76" s="188"/>
      <c r="AK76" s="188"/>
      <c r="AL76" s="185"/>
      <c r="AM76" s="182"/>
      <c r="AN76" s="540"/>
      <c r="AO76" s="188"/>
      <c r="AP76" s="188"/>
      <c r="AQ76" s="185"/>
      <c r="AR76" s="182"/>
      <c r="AS76" s="540"/>
      <c r="AT76" s="188"/>
      <c r="AU76" s="188"/>
      <c r="AV76" s="185"/>
      <c r="AW76" s="182"/>
      <c r="AX76" s="540"/>
    </row>
    <row r="77" spans="2:50" ht="14.25" customHeight="1">
      <c r="B77" s="530"/>
      <c r="C77" s="180">
        <v>33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78"/>
      <c r="O77" s="541"/>
      <c r="P77" s="188"/>
      <c r="Q77" s="188"/>
      <c r="R77" s="185"/>
      <c r="S77" s="182"/>
      <c r="T77" s="540"/>
      <c r="U77" s="188"/>
      <c r="V77" s="188"/>
      <c r="W77" s="185"/>
      <c r="X77" s="182"/>
      <c r="Y77" s="540"/>
      <c r="Z77" s="188"/>
      <c r="AA77" s="188"/>
      <c r="AB77" s="185"/>
      <c r="AC77" s="182"/>
      <c r="AD77" s="540"/>
      <c r="AE77" s="188"/>
      <c r="AF77" s="188"/>
      <c r="AG77" s="185"/>
      <c r="AH77" s="182"/>
      <c r="AI77" s="540"/>
      <c r="AJ77" s="188"/>
      <c r="AK77" s="188"/>
      <c r="AL77" s="185"/>
      <c r="AM77" s="182"/>
      <c r="AN77" s="540"/>
      <c r="AO77" s="188"/>
      <c r="AP77" s="188"/>
      <c r="AQ77" s="185"/>
      <c r="AR77" s="182"/>
      <c r="AS77" s="540"/>
      <c r="AT77" s="188"/>
      <c r="AU77" s="188"/>
      <c r="AV77" s="185"/>
      <c r="AW77" s="182"/>
      <c r="AX77" s="540"/>
    </row>
    <row r="78" spans="2:50" ht="14.25" customHeight="1" collapsed="1">
      <c r="B78" s="544" t="s">
        <v>174</v>
      </c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85"/>
      <c r="N78" s="549" t="s">
        <v>127</v>
      </c>
      <c r="O78" s="549" t="s">
        <v>77</v>
      </c>
      <c r="P78" s="532">
        <f>AT40+1</f>
        <v>46063</v>
      </c>
      <c r="Q78" s="533"/>
      <c r="R78" s="533"/>
      <c r="S78" s="533"/>
      <c r="T78" s="534"/>
      <c r="U78" s="579">
        <f>P78+1</f>
        <v>46064</v>
      </c>
      <c r="V78" s="580"/>
      <c r="W78" s="580"/>
      <c r="X78" s="580"/>
      <c r="Y78" s="581"/>
      <c r="Z78" s="532">
        <f t="shared" ref="Z78" si="61">U78+1</f>
        <v>46065</v>
      </c>
      <c r="AA78" s="533"/>
      <c r="AB78" s="533"/>
      <c r="AC78" s="533"/>
      <c r="AD78" s="534"/>
      <c r="AE78" s="579">
        <f t="shared" ref="AE78" si="62">Z78+1</f>
        <v>46066</v>
      </c>
      <c r="AF78" s="580"/>
      <c r="AG78" s="580"/>
      <c r="AH78" s="580"/>
      <c r="AI78" s="581"/>
      <c r="AJ78" s="532">
        <f t="shared" ref="AJ78" si="63">AE78+1</f>
        <v>46067</v>
      </c>
      <c r="AK78" s="533"/>
      <c r="AL78" s="533"/>
      <c r="AM78" s="533"/>
      <c r="AN78" s="534"/>
      <c r="AO78" s="579">
        <f t="shared" ref="AO78" si="64">AJ78+1</f>
        <v>46068</v>
      </c>
      <c r="AP78" s="580"/>
      <c r="AQ78" s="580"/>
      <c r="AR78" s="580"/>
      <c r="AS78" s="581"/>
      <c r="AT78" s="532">
        <f t="shared" ref="AT78" si="65">AO78+1</f>
        <v>46069</v>
      </c>
      <c r="AU78" s="533"/>
      <c r="AV78" s="533"/>
      <c r="AW78" s="533"/>
      <c r="AX78" s="534"/>
    </row>
    <row r="79" spans="2:50" ht="14.25" customHeight="1">
      <c r="B79" s="586"/>
      <c r="C79" s="586"/>
      <c r="D79" s="586"/>
      <c r="E79" s="586"/>
      <c r="F79" s="586"/>
      <c r="G79" s="586"/>
      <c r="H79" s="586"/>
      <c r="I79" s="586"/>
      <c r="J79" s="586"/>
      <c r="K79" s="586"/>
      <c r="L79" s="586"/>
      <c r="M79" s="587"/>
      <c r="N79" s="550"/>
      <c r="O79" s="550"/>
      <c r="P79" s="537">
        <f>P78</f>
        <v>46063</v>
      </c>
      <c r="Q79" s="538"/>
      <c r="R79" s="538"/>
      <c r="S79" s="538"/>
      <c r="T79" s="539"/>
      <c r="U79" s="582">
        <f>U78</f>
        <v>46064</v>
      </c>
      <c r="V79" s="583"/>
      <c r="W79" s="583"/>
      <c r="X79" s="583"/>
      <c r="Y79" s="584"/>
      <c r="Z79" s="537">
        <f t="shared" ref="Z79" si="66">Z78</f>
        <v>46065</v>
      </c>
      <c r="AA79" s="538"/>
      <c r="AB79" s="538"/>
      <c r="AC79" s="538"/>
      <c r="AD79" s="539"/>
      <c r="AE79" s="582">
        <f t="shared" ref="AE79" si="67">AE78</f>
        <v>46066</v>
      </c>
      <c r="AF79" s="583"/>
      <c r="AG79" s="583"/>
      <c r="AH79" s="583"/>
      <c r="AI79" s="584"/>
      <c r="AJ79" s="537">
        <f t="shared" ref="AJ79" si="68">AJ78</f>
        <v>46067</v>
      </c>
      <c r="AK79" s="538"/>
      <c r="AL79" s="538"/>
      <c r="AM79" s="538"/>
      <c r="AN79" s="539"/>
      <c r="AO79" s="582">
        <f t="shared" ref="AO79" si="69">AO78</f>
        <v>46068</v>
      </c>
      <c r="AP79" s="583"/>
      <c r="AQ79" s="583"/>
      <c r="AR79" s="583"/>
      <c r="AS79" s="584"/>
      <c r="AT79" s="537">
        <f t="shared" ref="AT79" si="70">AT78</f>
        <v>46069</v>
      </c>
      <c r="AU79" s="538"/>
      <c r="AV79" s="538"/>
      <c r="AW79" s="538"/>
      <c r="AX79" s="539"/>
    </row>
    <row r="80" spans="2:50" ht="14.25" customHeight="1">
      <c r="B80" s="530" t="s">
        <v>128</v>
      </c>
      <c r="C80" s="530" t="s">
        <v>129</v>
      </c>
      <c r="D80" s="530"/>
      <c r="E80" s="569" t="s">
        <v>130</v>
      </c>
      <c r="F80" s="570"/>
      <c r="G80" s="571"/>
      <c r="H80" s="530" t="s">
        <v>131</v>
      </c>
      <c r="I80" s="572" t="s">
        <v>132</v>
      </c>
      <c r="J80" s="573"/>
      <c r="K80" s="574"/>
      <c r="L80" s="553" t="s">
        <v>131</v>
      </c>
      <c r="M80" s="553" t="s">
        <v>133</v>
      </c>
      <c r="N80" s="578"/>
      <c r="O80" s="541" t="s">
        <v>134</v>
      </c>
      <c r="P80" s="554" t="s">
        <v>135</v>
      </c>
      <c r="Q80" s="555"/>
      <c r="R80" s="555"/>
      <c r="S80" s="556"/>
      <c r="T80" s="541" t="s">
        <v>131</v>
      </c>
      <c r="U80" s="554" t="s">
        <v>135</v>
      </c>
      <c r="V80" s="555"/>
      <c r="W80" s="555"/>
      <c r="X80" s="556"/>
      <c r="Y80" s="541" t="s">
        <v>131</v>
      </c>
      <c r="Z80" s="554" t="s">
        <v>135</v>
      </c>
      <c r="AA80" s="555"/>
      <c r="AB80" s="555"/>
      <c r="AC80" s="556"/>
      <c r="AD80" s="541" t="s">
        <v>131</v>
      </c>
      <c r="AE80" s="554" t="s">
        <v>135</v>
      </c>
      <c r="AF80" s="555"/>
      <c r="AG80" s="555"/>
      <c r="AH80" s="556"/>
      <c r="AI80" s="541" t="s">
        <v>131</v>
      </c>
      <c r="AJ80" s="554" t="s">
        <v>135</v>
      </c>
      <c r="AK80" s="555"/>
      <c r="AL80" s="555"/>
      <c r="AM80" s="556"/>
      <c r="AN80" s="541" t="s">
        <v>131</v>
      </c>
      <c r="AO80" s="554" t="s">
        <v>135</v>
      </c>
      <c r="AP80" s="555"/>
      <c r="AQ80" s="555"/>
      <c r="AR80" s="556"/>
      <c r="AS80" s="541" t="s">
        <v>131</v>
      </c>
      <c r="AT80" s="554" t="s">
        <v>135</v>
      </c>
      <c r="AU80" s="555"/>
      <c r="AV80" s="555"/>
      <c r="AW80" s="556"/>
      <c r="AX80" s="541" t="s">
        <v>131</v>
      </c>
    </row>
    <row r="81" spans="1:50" ht="14.25" customHeight="1">
      <c r="B81" s="530"/>
      <c r="C81" s="530"/>
      <c r="D81" s="530"/>
      <c r="E81" s="530" t="s">
        <v>136</v>
      </c>
      <c r="F81" s="530"/>
      <c r="G81" s="530"/>
      <c r="H81" s="530"/>
      <c r="I81" s="553" t="s">
        <v>136</v>
      </c>
      <c r="J81" s="553"/>
      <c r="K81" s="553"/>
      <c r="L81" s="553"/>
      <c r="M81" s="553"/>
      <c r="N81" s="578"/>
      <c r="O81" s="541"/>
      <c r="P81" s="541" t="s">
        <v>137</v>
      </c>
      <c r="Q81" s="541"/>
      <c r="R81" s="541"/>
      <c r="S81" s="541"/>
      <c r="T81" s="541"/>
      <c r="U81" s="541" t="s">
        <v>137</v>
      </c>
      <c r="V81" s="541"/>
      <c r="W81" s="541"/>
      <c r="X81" s="541"/>
      <c r="Y81" s="541"/>
      <c r="Z81" s="541" t="s">
        <v>137</v>
      </c>
      <c r="AA81" s="541"/>
      <c r="AB81" s="541"/>
      <c r="AC81" s="541"/>
      <c r="AD81" s="541"/>
      <c r="AE81" s="541" t="s">
        <v>137</v>
      </c>
      <c r="AF81" s="541"/>
      <c r="AG81" s="541"/>
      <c r="AH81" s="541"/>
      <c r="AI81" s="541"/>
      <c r="AJ81" s="541" t="s">
        <v>137</v>
      </c>
      <c r="AK81" s="541"/>
      <c r="AL81" s="541"/>
      <c r="AM81" s="541"/>
      <c r="AN81" s="541"/>
      <c r="AO81" s="541" t="s">
        <v>137</v>
      </c>
      <c r="AP81" s="541"/>
      <c r="AQ81" s="541"/>
      <c r="AR81" s="541"/>
      <c r="AS81" s="541"/>
      <c r="AT81" s="541" t="s">
        <v>137</v>
      </c>
      <c r="AU81" s="541"/>
      <c r="AV81" s="541"/>
      <c r="AW81" s="541"/>
      <c r="AX81" s="541"/>
    </row>
    <row r="82" spans="1:50" ht="14.25" customHeight="1">
      <c r="A82" s="177"/>
      <c r="B82" s="530"/>
      <c r="C82" s="530"/>
      <c r="D82" s="530"/>
      <c r="E82" s="180" t="s">
        <v>138</v>
      </c>
      <c r="F82" s="180" t="s">
        <v>139</v>
      </c>
      <c r="G82" s="180" t="s">
        <v>140</v>
      </c>
      <c r="H82" s="530"/>
      <c r="I82" s="181" t="s">
        <v>138</v>
      </c>
      <c r="J82" s="181" t="s">
        <v>139</v>
      </c>
      <c r="K82" s="181" t="s">
        <v>140</v>
      </c>
      <c r="L82" s="553"/>
      <c r="M82" s="553"/>
      <c r="N82" s="578"/>
      <c r="O82" s="541"/>
      <c r="P82" s="182" t="s">
        <v>138</v>
      </c>
      <c r="Q82" s="182" t="s">
        <v>139</v>
      </c>
      <c r="R82" s="182" t="s">
        <v>140</v>
      </c>
      <c r="S82" s="182" t="s">
        <v>133</v>
      </c>
      <c r="T82" s="541"/>
      <c r="U82" s="182" t="s">
        <v>138</v>
      </c>
      <c r="V82" s="182" t="s">
        <v>139</v>
      </c>
      <c r="W82" s="182" t="s">
        <v>140</v>
      </c>
      <c r="X82" s="182" t="s">
        <v>133</v>
      </c>
      <c r="Y82" s="541"/>
      <c r="Z82" s="182" t="s">
        <v>138</v>
      </c>
      <c r="AA82" s="182" t="s">
        <v>139</v>
      </c>
      <c r="AB82" s="182" t="s">
        <v>140</v>
      </c>
      <c r="AC82" s="182" t="s">
        <v>133</v>
      </c>
      <c r="AD82" s="541"/>
      <c r="AE82" s="182" t="s">
        <v>138</v>
      </c>
      <c r="AF82" s="182" t="s">
        <v>139</v>
      </c>
      <c r="AG82" s="182" t="s">
        <v>140</v>
      </c>
      <c r="AH82" s="182" t="s">
        <v>133</v>
      </c>
      <c r="AI82" s="541"/>
      <c r="AJ82" s="182" t="s">
        <v>138</v>
      </c>
      <c r="AK82" s="182" t="s">
        <v>139</v>
      </c>
      <c r="AL82" s="182" t="s">
        <v>140</v>
      </c>
      <c r="AM82" s="182" t="s">
        <v>133</v>
      </c>
      <c r="AN82" s="541"/>
      <c r="AO82" s="182" t="s">
        <v>138</v>
      </c>
      <c r="AP82" s="182" t="s">
        <v>139</v>
      </c>
      <c r="AQ82" s="182" t="s">
        <v>140</v>
      </c>
      <c r="AR82" s="182" t="s">
        <v>133</v>
      </c>
      <c r="AS82" s="541"/>
      <c r="AT82" s="182" t="s">
        <v>138</v>
      </c>
      <c r="AU82" s="182" t="s">
        <v>139</v>
      </c>
      <c r="AV82" s="182" t="s">
        <v>140</v>
      </c>
      <c r="AW82" s="182" t="s">
        <v>133</v>
      </c>
      <c r="AX82" s="541"/>
    </row>
    <row r="83" spans="1:50" ht="14.25" customHeight="1">
      <c r="B83" s="530" t="s">
        <v>141</v>
      </c>
      <c r="C83" s="180">
        <v>1</v>
      </c>
      <c r="D83" s="183" t="s">
        <v>142</v>
      </c>
      <c r="E83" s="184">
        <v>4</v>
      </c>
      <c r="F83" s="180">
        <v>3300</v>
      </c>
      <c r="G83" s="185">
        <f>F83/E83</f>
        <v>825</v>
      </c>
      <c r="H83" s="558">
        <f>AVERAGE(G83:G115)</f>
        <v>873.44827586206895</v>
      </c>
      <c r="I83" s="186">
        <f>AVERAGE(P83,U83,Z83,AE83,AJ83,AO83,AT83)</f>
        <v>4</v>
      </c>
      <c r="J83" s="186">
        <f>AVERAGE(Q83,V83,AA83,AF83,AK83,AP83,AU83)</f>
        <v>2957.4663176568529</v>
      </c>
      <c r="K83" s="187">
        <f>AVERAGE(R83,W83,AB83,AG83,AL83,AQ83,AV83)</f>
        <v>739.36657941421322</v>
      </c>
      <c r="L83" s="559">
        <f>IFERROR(AVERAGE(K83:K115),"-")</f>
        <v>775.23323423109639</v>
      </c>
      <c r="M83" s="186">
        <f>RANK(K83, K$83:$K$115)</f>
        <v>17</v>
      </c>
      <c r="N83" s="578"/>
      <c r="O83" s="541"/>
      <c r="P83" s="188">
        <v>4</v>
      </c>
      <c r="Q83" s="188">
        <v>2955.5744680851067</v>
      </c>
      <c r="R83" s="185">
        <f t="shared" ref="R83:R111" si="71">IFERROR(Q83/P83,"")</f>
        <v>738.89361702127667</v>
      </c>
      <c r="S83" s="182">
        <f>RANK(R83, R$83:R$115)</f>
        <v>17</v>
      </c>
      <c r="T83" s="540">
        <f>AVERAGE(R83:R115)</f>
        <v>774.67653722457908</v>
      </c>
      <c r="U83" s="188">
        <v>4</v>
      </c>
      <c r="V83" s="188">
        <v>2955.5230002929975</v>
      </c>
      <c r="W83" s="185">
        <f t="shared" ref="W83:W111" si="72">IFERROR(V83/U83,"")</f>
        <v>738.88075007324937</v>
      </c>
      <c r="X83" s="182">
        <f>RANK(W83, W$83:W$115)</f>
        <v>17</v>
      </c>
      <c r="Y83" s="540">
        <f>AVERAGE(W83:W115)</f>
        <v>775.07666572215339</v>
      </c>
      <c r="Z83" s="188">
        <v>4</v>
      </c>
      <c r="AA83" s="188">
        <v>2955.6373369019748</v>
      </c>
      <c r="AB83" s="185">
        <f>IFERROR(AA83/Z83,"")</f>
        <v>738.90933422549369</v>
      </c>
      <c r="AC83" s="182">
        <f>RANK(AB83, AB$83:AB$115)</f>
        <v>17</v>
      </c>
      <c r="AD83" s="540">
        <f>AVERAGE(AB83:AB115)</f>
        <v>775.18058687909456</v>
      </c>
      <c r="AE83" s="188">
        <v>4</v>
      </c>
      <c r="AF83" s="188">
        <v>2956.7723342939489</v>
      </c>
      <c r="AG83" s="185">
        <f>IFERROR(AF83/AE83,"")</f>
        <v>739.19308357348723</v>
      </c>
      <c r="AH83" s="182">
        <f>RANK(AG83, AG$83:AG$115)</f>
        <v>17</v>
      </c>
      <c r="AI83" s="540">
        <f>AVERAGE(AG83:AG115)</f>
        <v>775.19236777485776</v>
      </c>
      <c r="AJ83" s="188">
        <v>4</v>
      </c>
      <c r="AK83" s="188">
        <v>2959.4140456699738</v>
      </c>
      <c r="AL83" s="185">
        <f>IFERROR(AK83/AJ83,"")</f>
        <v>739.85351141749345</v>
      </c>
      <c r="AM83" s="182">
        <f>RANK(AL83, AL$83:AL$115)</f>
        <v>15</v>
      </c>
      <c r="AN83" s="540">
        <f>AVERAGE(AL83:AL115)</f>
        <v>775.41825480343846</v>
      </c>
      <c r="AO83" s="188">
        <v>4</v>
      </c>
      <c r="AP83" s="188">
        <v>2959.3749999999995</v>
      </c>
      <c r="AQ83" s="185">
        <f>IFERROR(AP83/AO83,"")</f>
        <v>739.84374999999989</v>
      </c>
      <c r="AR83" s="182">
        <f>RANK(AQ83, AQ$83:AQ$115)</f>
        <v>16</v>
      </c>
      <c r="AS83" s="540">
        <f>AVERAGE(AQ83:AQ115)</f>
        <v>775.50424670831558</v>
      </c>
      <c r="AT83" s="188">
        <v>4</v>
      </c>
      <c r="AU83" s="188">
        <v>2959.9680383539703</v>
      </c>
      <c r="AV83" s="185">
        <f>IFERROR(AU83/AT83,"")</f>
        <v>739.99200958849258</v>
      </c>
      <c r="AW83" s="182">
        <f>RANK(AV83, AV$83:AV$115)</f>
        <v>15</v>
      </c>
      <c r="AX83" s="540">
        <f>AVERAGE(AV83:AV115)</f>
        <v>775.58398050523544</v>
      </c>
    </row>
    <row r="84" spans="1:50" ht="14.25" customHeight="1">
      <c r="B84" s="530"/>
      <c r="C84" s="180">
        <v>2</v>
      </c>
      <c r="D84" s="183" t="s">
        <v>143</v>
      </c>
      <c r="E84" s="184">
        <v>3</v>
      </c>
      <c r="F84" s="180">
        <v>3600</v>
      </c>
      <c r="G84" s="185">
        <f t="shared" ref="G84:G103" si="73">F84/E84</f>
        <v>1200</v>
      </c>
      <c r="H84" s="558"/>
      <c r="I84" s="186">
        <f t="shared" ref="I84:K111" si="74">AVERAGE(P84,U84,Z84,AE84,AJ84,AO84,AT84)</f>
        <v>3</v>
      </c>
      <c r="J84" s="186">
        <f t="shared" si="74"/>
        <v>3137.4531170728706</v>
      </c>
      <c r="K84" s="187">
        <f t="shared" si="74"/>
        <v>1045.8177056909569</v>
      </c>
      <c r="L84" s="559"/>
      <c r="M84" s="186">
        <f>RANK(K84, K$83:$K$115)</f>
        <v>6</v>
      </c>
      <c r="N84" s="578"/>
      <c r="O84" s="541"/>
      <c r="P84" s="188">
        <v>3</v>
      </c>
      <c r="Q84" s="188">
        <v>3131.5662650602394</v>
      </c>
      <c r="R84" s="185">
        <f t="shared" si="71"/>
        <v>1043.8554216867465</v>
      </c>
      <c r="S84" s="182">
        <f t="shared" ref="S84:S111" si="75">RANK(R84, R$83:R$115)</f>
        <v>5</v>
      </c>
      <c r="T84" s="540"/>
      <c r="U84" s="188">
        <v>3</v>
      </c>
      <c r="V84" s="188">
        <v>3137.7661316737626</v>
      </c>
      <c r="W84" s="185">
        <f t="shared" si="72"/>
        <v>1045.9220438912541</v>
      </c>
      <c r="X84" s="182">
        <f t="shared" ref="X84:X111" si="76">RANK(W84, W$83:W$115)</f>
        <v>6</v>
      </c>
      <c r="Y84" s="540"/>
      <c r="Z84" s="188">
        <v>3</v>
      </c>
      <c r="AA84" s="188">
        <v>3138.2519863791135</v>
      </c>
      <c r="AB84" s="185">
        <f t="shared" ref="AB84:AB111" si="77">IFERROR(AA84/Z84,"")</f>
        <v>1046.0839954597045</v>
      </c>
      <c r="AC84" s="182">
        <f t="shared" ref="AC84:AC111" si="78">RANK(AB84, AB$83:AB$115)</f>
        <v>6</v>
      </c>
      <c r="AD84" s="540"/>
      <c r="AE84" s="188">
        <v>3</v>
      </c>
      <c r="AF84" s="188">
        <v>3138.3103206178339</v>
      </c>
      <c r="AG84" s="185">
        <f t="shared" ref="AG84:AG111" si="79">IFERROR(AF84/AE84,"")</f>
        <v>1046.1034402059447</v>
      </c>
      <c r="AH84" s="182">
        <f t="shared" ref="AH84:AH111" si="80">RANK(AG84, AG$83:AG$115)</f>
        <v>6</v>
      </c>
      <c r="AI84" s="540"/>
      <c r="AJ84" s="188">
        <v>3</v>
      </c>
      <c r="AK84" s="188">
        <v>3138.8212372138355</v>
      </c>
      <c r="AL84" s="185">
        <f t="shared" ref="AL84:AL111" si="81">IFERROR(AK84/AJ84,"")</f>
        <v>1046.2737457379451</v>
      </c>
      <c r="AM84" s="182">
        <f t="shared" ref="AM84:AM111" si="82">RANK(AL84, AL$83:AL$115)</f>
        <v>6</v>
      </c>
      <c r="AN84" s="540"/>
      <c r="AO84" s="188">
        <v>3</v>
      </c>
      <c r="AP84" s="188">
        <v>3138.7283236994244</v>
      </c>
      <c r="AQ84" s="185">
        <f t="shared" ref="AQ84:AQ111" si="83">IFERROR(AP84/AO84,"")</f>
        <v>1046.2427745664747</v>
      </c>
      <c r="AR84" s="182">
        <f t="shared" ref="AR84:AR111" si="84">RANK(AQ84, AQ$83:AQ$115)</f>
        <v>6</v>
      </c>
      <c r="AS84" s="540"/>
      <c r="AT84" s="188">
        <v>3</v>
      </c>
      <c r="AU84" s="188">
        <v>3138.7275548658881</v>
      </c>
      <c r="AV84" s="185">
        <f t="shared" ref="AV84:AV111" si="85">IFERROR(AU84/AT84,"")</f>
        <v>1046.2425182886293</v>
      </c>
      <c r="AW84" s="182">
        <f t="shared" ref="AW84:AW111" si="86">RANK(AV84, AV$83:AV$115)</f>
        <v>6</v>
      </c>
      <c r="AX84" s="540"/>
    </row>
    <row r="85" spans="1:50" ht="14.25" customHeight="1">
      <c r="B85" s="530"/>
      <c r="C85" s="180">
        <v>3</v>
      </c>
      <c r="D85" s="183" t="s">
        <v>144</v>
      </c>
      <c r="E85" s="184">
        <v>4</v>
      </c>
      <c r="F85" s="180">
        <v>3300</v>
      </c>
      <c r="G85" s="185">
        <f t="shared" si="73"/>
        <v>825</v>
      </c>
      <c r="H85" s="558"/>
      <c r="I85" s="186">
        <f t="shared" si="74"/>
        <v>4</v>
      </c>
      <c r="J85" s="186">
        <f t="shared" si="74"/>
        <v>2958.2602911575641</v>
      </c>
      <c r="K85" s="187">
        <f t="shared" si="74"/>
        <v>739.56507278939102</v>
      </c>
      <c r="L85" s="559"/>
      <c r="M85" s="186">
        <f>RANK(K85, K$83:$K$115)</f>
        <v>16</v>
      </c>
      <c r="N85" s="578"/>
      <c r="O85" s="541"/>
      <c r="P85" s="188">
        <v>4</v>
      </c>
      <c r="Q85" s="188">
        <v>2957.4193548387102</v>
      </c>
      <c r="R85" s="185">
        <f t="shared" si="71"/>
        <v>739.35483870967755</v>
      </c>
      <c r="S85" s="182">
        <f t="shared" si="75"/>
        <v>15</v>
      </c>
      <c r="T85" s="540"/>
      <c r="U85" s="188">
        <v>4</v>
      </c>
      <c r="V85" s="188">
        <v>2957.5090184165551</v>
      </c>
      <c r="W85" s="185">
        <f t="shared" si="72"/>
        <v>739.37725460413878</v>
      </c>
      <c r="X85" s="182">
        <f t="shared" si="76"/>
        <v>16</v>
      </c>
      <c r="Y85" s="540"/>
      <c r="Z85" s="188">
        <v>4</v>
      </c>
      <c r="AA85" s="188">
        <v>2957.4844995571284</v>
      </c>
      <c r="AB85" s="185">
        <f t="shared" si="77"/>
        <v>739.3711248892821</v>
      </c>
      <c r="AC85" s="182">
        <f t="shared" si="78"/>
        <v>16</v>
      </c>
      <c r="AD85" s="540"/>
      <c r="AE85" s="188">
        <v>4</v>
      </c>
      <c r="AF85" s="188">
        <v>2957.7646426652336</v>
      </c>
      <c r="AG85" s="185">
        <f t="shared" si="79"/>
        <v>739.44116066630841</v>
      </c>
      <c r="AH85" s="182">
        <f t="shared" si="80"/>
        <v>16</v>
      </c>
      <c r="AI85" s="540"/>
      <c r="AJ85" s="188">
        <v>4</v>
      </c>
      <c r="AK85" s="188">
        <v>2958.8201928530943</v>
      </c>
      <c r="AL85" s="185">
        <f t="shared" si="81"/>
        <v>739.70504821327359</v>
      </c>
      <c r="AM85" s="182">
        <f t="shared" si="82"/>
        <v>17</v>
      </c>
      <c r="AN85" s="540"/>
      <c r="AO85" s="188">
        <v>4</v>
      </c>
      <c r="AP85" s="188">
        <v>2959.4235033259451</v>
      </c>
      <c r="AQ85" s="185">
        <f t="shared" si="83"/>
        <v>739.85587583148629</v>
      </c>
      <c r="AR85" s="182">
        <f t="shared" si="84"/>
        <v>15</v>
      </c>
      <c r="AS85" s="540"/>
      <c r="AT85" s="188">
        <v>4</v>
      </c>
      <c r="AU85" s="188">
        <v>2959.4008264462818</v>
      </c>
      <c r="AV85" s="185">
        <f t="shared" si="85"/>
        <v>739.85020661157046</v>
      </c>
      <c r="AW85" s="182">
        <f t="shared" si="86"/>
        <v>16</v>
      </c>
      <c r="AX85" s="540"/>
    </row>
    <row r="86" spans="1:50" ht="14.25" customHeight="1">
      <c r="B86" s="530"/>
      <c r="C86" s="180">
        <v>4</v>
      </c>
      <c r="D86" s="183" t="s">
        <v>145</v>
      </c>
      <c r="E86" s="184">
        <v>5</v>
      </c>
      <c r="F86" s="180">
        <v>3300</v>
      </c>
      <c r="G86" s="185">
        <f t="shared" si="73"/>
        <v>660</v>
      </c>
      <c r="H86" s="558"/>
      <c r="I86" s="186">
        <f t="shared" si="74"/>
        <v>5</v>
      </c>
      <c r="J86" s="186">
        <f t="shared" si="74"/>
        <v>2958.654235967414</v>
      </c>
      <c r="K86" s="187">
        <f t="shared" si="74"/>
        <v>591.73084719348287</v>
      </c>
      <c r="L86" s="559"/>
      <c r="M86" s="186">
        <f>RANK(K86, K$83:$K$115)</f>
        <v>26</v>
      </c>
      <c r="N86" s="578"/>
      <c r="O86" s="541"/>
      <c r="P86" s="188">
        <v>5</v>
      </c>
      <c r="Q86" s="188">
        <v>2956.3250883392247</v>
      </c>
      <c r="R86" s="185">
        <f t="shared" si="71"/>
        <v>591.26501766784497</v>
      </c>
      <c r="S86" s="182">
        <f t="shared" si="75"/>
        <v>26</v>
      </c>
      <c r="T86" s="540"/>
      <c r="U86" s="188">
        <v>5</v>
      </c>
      <c r="V86" s="188">
        <v>2956.2043795620407</v>
      </c>
      <c r="W86" s="185">
        <f t="shared" si="72"/>
        <v>591.24087591240811</v>
      </c>
      <c r="X86" s="182">
        <f t="shared" si="76"/>
        <v>26</v>
      </c>
      <c r="Y86" s="540"/>
      <c r="Z86" s="188">
        <v>5</v>
      </c>
      <c r="AA86" s="188">
        <v>2957.1428571428464</v>
      </c>
      <c r="AB86" s="185">
        <f t="shared" si="77"/>
        <v>591.42857142856928</v>
      </c>
      <c r="AC86" s="182">
        <f t="shared" si="78"/>
        <v>26</v>
      </c>
      <c r="AD86" s="540"/>
      <c r="AE86" s="188">
        <v>5</v>
      </c>
      <c r="AF86" s="188">
        <v>2956.1304836895497</v>
      </c>
      <c r="AG86" s="185">
        <f t="shared" si="79"/>
        <v>591.22609673790998</v>
      </c>
      <c r="AH86" s="182">
        <f t="shared" si="80"/>
        <v>26</v>
      </c>
      <c r="AI86" s="540"/>
      <c r="AJ86" s="188">
        <v>5</v>
      </c>
      <c r="AK86" s="188">
        <v>2959.8991172761812</v>
      </c>
      <c r="AL86" s="185">
        <f t="shared" si="81"/>
        <v>591.97982345523621</v>
      </c>
      <c r="AM86" s="182">
        <f t="shared" si="82"/>
        <v>24</v>
      </c>
      <c r="AN86" s="540"/>
      <c r="AO86" s="188">
        <v>5</v>
      </c>
      <c r="AP86" s="188">
        <v>2962.0817843866294</v>
      </c>
      <c r="AQ86" s="185">
        <f t="shared" si="83"/>
        <v>592.41635687732582</v>
      </c>
      <c r="AR86" s="182">
        <f t="shared" si="84"/>
        <v>24</v>
      </c>
      <c r="AS86" s="540"/>
      <c r="AT86" s="188">
        <v>5</v>
      </c>
      <c r="AU86" s="188">
        <v>2962.7959413754293</v>
      </c>
      <c r="AV86" s="185">
        <f t="shared" si="85"/>
        <v>592.55918827508583</v>
      </c>
      <c r="AW86" s="182">
        <f t="shared" si="86"/>
        <v>24</v>
      </c>
      <c r="AX86" s="540"/>
    </row>
    <row r="87" spans="1:50" ht="14.25" customHeight="1">
      <c r="B87" s="530"/>
      <c r="C87" s="180">
        <v>5</v>
      </c>
      <c r="D87" s="183" t="s">
        <v>146</v>
      </c>
      <c r="E87" s="184">
        <v>3</v>
      </c>
      <c r="F87" s="180">
        <v>3600</v>
      </c>
      <c r="G87" s="185">
        <f t="shared" si="73"/>
        <v>1200</v>
      </c>
      <c r="H87" s="558"/>
      <c r="I87" s="186">
        <f t="shared" si="74"/>
        <v>3</v>
      </c>
      <c r="J87" s="186">
        <f t="shared" si="74"/>
        <v>3138.6435840621807</v>
      </c>
      <c r="K87" s="187">
        <f t="shared" si="74"/>
        <v>1046.2145280207267</v>
      </c>
      <c r="L87" s="559"/>
      <c r="M87" s="186">
        <f>RANK(K87, K$83:$K$115)</f>
        <v>4</v>
      </c>
      <c r="N87" s="578"/>
      <c r="O87" s="541"/>
      <c r="P87" s="188">
        <v>3</v>
      </c>
      <c r="Q87" s="188">
        <v>3132.6792452830205</v>
      </c>
      <c r="R87" s="185">
        <f t="shared" si="71"/>
        <v>1044.2264150943402</v>
      </c>
      <c r="S87" s="182">
        <f t="shared" si="75"/>
        <v>4</v>
      </c>
      <c r="T87" s="540"/>
      <c r="U87" s="188">
        <v>3</v>
      </c>
      <c r="V87" s="188">
        <v>3138.8253843121779</v>
      </c>
      <c r="W87" s="185">
        <f t="shared" si="72"/>
        <v>1046.2751281040594</v>
      </c>
      <c r="X87" s="182">
        <f t="shared" si="76"/>
        <v>4</v>
      </c>
      <c r="Y87" s="540"/>
      <c r="Z87" s="188">
        <v>3</v>
      </c>
      <c r="AA87" s="188">
        <v>3139.5918367346949</v>
      </c>
      <c r="AB87" s="185">
        <f t="shared" si="77"/>
        <v>1046.5306122448983</v>
      </c>
      <c r="AC87" s="182">
        <f t="shared" si="78"/>
        <v>4</v>
      </c>
      <c r="AD87" s="540"/>
      <c r="AE87" s="188">
        <v>3</v>
      </c>
      <c r="AF87" s="188">
        <v>3140.3835616438291</v>
      </c>
      <c r="AG87" s="185">
        <f t="shared" si="79"/>
        <v>1046.794520547943</v>
      </c>
      <c r="AH87" s="182">
        <f t="shared" si="80"/>
        <v>3</v>
      </c>
      <c r="AI87" s="540"/>
      <c r="AJ87" s="188">
        <v>3</v>
      </c>
      <c r="AK87" s="188">
        <v>3139.8963730569985</v>
      </c>
      <c r="AL87" s="185">
        <f t="shared" si="81"/>
        <v>1046.6321243523328</v>
      </c>
      <c r="AM87" s="182">
        <f t="shared" si="82"/>
        <v>4</v>
      </c>
      <c r="AN87" s="540"/>
      <c r="AO87" s="188">
        <v>3</v>
      </c>
      <c r="AP87" s="188">
        <v>3139.3939393939386</v>
      </c>
      <c r="AQ87" s="185">
        <f t="shared" si="83"/>
        <v>1046.4646464646462</v>
      </c>
      <c r="AR87" s="182">
        <f t="shared" si="84"/>
        <v>4</v>
      </c>
      <c r="AS87" s="540"/>
      <c r="AT87" s="188">
        <v>3</v>
      </c>
      <c r="AU87" s="188">
        <v>3139.7347480106041</v>
      </c>
      <c r="AV87" s="185">
        <f t="shared" si="85"/>
        <v>1046.5782493368681</v>
      </c>
      <c r="AW87" s="182">
        <f t="shared" si="86"/>
        <v>4</v>
      </c>
      <c r="AX87" s="540"/>
    </row>
    <row r="88" spans="1:50" ht="14.25" customHeight="1">
      <c r="B88" s="530"/>
      <c r="C88" s="180">
        <v>6</v>
      </c>
      <c r="D88" s="183" t="s">
        <v>147</v>
      </c>
      <c r="E88" s="184">
        <v>3</v>
      </c>
      <c r="F88" s="180">
        <v>3000</v>
      </c>
      <c r="G88" s="185">
        <f t="shared" si="73"/>
        <v>1000</v>
      </c>
      <c r="H88" s="558"/>
      <c r="I88" s="186">
        <f t="shared" si="74"/>
        <v>3</v>
      </c>
      <c r="J88" s="186">
        <f t="shared" si="74"/>
        <v>2690.4995906757622</v>
      </c>
      <c r="K88" s="187">
        <f t="shared" si="74"/>
        <v>896.83319689192081</v>
      </c>
      <c r="L88" s="559"/>
      <c r="M88" s="186">
        <f>RANK(K88, K$83:$K$115)</f>
        <v>10</v>
      </c>
      <c r="N88" s="578"/>
      <c r="O88" s="541"/>
      <c r="P88" s="188">
        <v>3</v>
      </c>
      <c r="Q88" s="188">
        <v>2691.0983862571611</v>
      </c>
      <c r="R88" s="185">
        <f t="shared" si="71"/>
        <v>897.03279541905374</v>
      </c>
      <c r="S88" s="182">
        <f t="shared" si="75"/>
        <v>9</v>
      </c>
      <c r="T88" s="540"/>
      <c r="U88" s="188">
        <v>3</v>
      </c>
      <c r="V88" s="188">
        <v>2690.7474298416228</v>
      </c>
      <c r="W88" s="185">
        <f t="shared" si="72"/>
        <v>896.91580994720755</v>
      </c>
      <c r="X88" s="182">
        <f t="shared" si="76"/>
        <v>9</v>
      </c>
      <c r="Y88" s="540"/>
      <c r="Z88" s="188">
        <v>3</v>
      </c>
      <c r="AA88" s="188">
        <v>2690.3288830999641</v>
      </c>
      <c r="AB88" s="185">
        <f t="shared" si="77"/>
        <v>896.77629436665472</v>
      </c>
      <c r="AC88" s="182">
        <f t="shared" si="78"/>
        <v>10</v>
      </c>
      <c r="AD88" s="540"/>
      <c r="AE88" s="188">
        <v>3</v>
      </c>
      <c r="AF88" s="188">
        <v>2689.9681528662409</v>
      </c>
      <c r="AG88" s="185">
        <f t="shared" si="79"/>
        <v>896.65605095541366</v>
      </c>
      <c r="AH88" s="182">
        <f t="shared" si="80"/>
        <v>11</v>
      </c>
      <c r="AI88" s="540"/>
      <c r="AJ88" s="188">
        <v>3</v>
      </c>
      <c r="AK88" s="188">
        <v>2690.3474903474848</v>
      </c>
      <c r="AL88" s="185">
        <f t="shared" si="81"/>
        <v>896.78249678249495</v>
      </c>
      <c r="AM88" s="182">
        <f t="shared" si="82"/>
        <v>11</v>
      </c>
      <c r="AN88" s="540"/>
      <c r="AO88" s="188">
        <v>3</v>
      </c>
      <c r="AP88" s="188">
        <v>2690.5422446406023</v>
      </c>
      <c r="AQ88" s="185">
        <f t="shared" si="83"/>
        <v>896.84741488020074</v>
      </c>
      <c r="AR88" s="182">
        <f t="shared" si="84"/>
        <v>11</v>
      </c>
      <c r="AS88" s="540"/>
      <c r="AT88" s="188">
        <v>3</v>
      </c>
      <c r="AU88" s="188">
        <v>2690.4645476772616</v>
      </c>
      <c r="AV88" s="185">
        <f t="shared" si="85"/>
        <v>896.82151589242051</v>
      </c>
      <c r="AW88" s="182">
        <f t="shared" si="86"/>
        <v>11</v>
      </c>
      <c r="AX88" s="540"/>
    </row>
    <row r="89" spans="1:50" ht="14.25" customHeight="1">
      <c r="B89" s="530"/>
      <c r="C89" s="180">
        <v>7</v>
      </c>
      <c r="D89" s="183" t="s">
        <v>148</v>
      </c>
      <c r="E89" s="184">
        <v>3</v>
      </c>
      <c r="F89" s="180">
        <v>3600</v>
      </c>
      <c r="G89" s="185">
        <f t="shared" si="73"/>
        <v>1200</v>
      </c>
      <c r="H89" s="558"/>
      <c r="I89" s="186">
        <f t="shared" si="74"/>
        <v>3</v>
      </c>
      <c r="J89" s="186">
        <f t="shared" si="74"/>
        <v>3143.2205035965808</v>
      </c>
      <c r="K89" s="187">
        <f t="shared" si="74"/>
        <v>1047.7401678655269</v>
      </c>
      <c r="L89" s="559"/>
      <c r="M89" s="186">
        <f>RANK(K89, K$83:$K$115)</f>
        <v>1</v>
      </c>
      <c r="N89" s="578"/>
      <c r="O89" s="541"/>
      <c r="P89" s="188">
        <v>3</v>
      </c>
      <c r="Q89" s="188">
        <v>3138.929088277861</v>
      </c>
      <c r="R89" s="185">
        <f t="shared" si="71"/>
        <v>1046.3096960926202</v>
      </c>
      <c r="S89" s="182">
        <f t="shared" si="75"/>
        <v>1</v>
      </c>
      <c r="T89" s="540"/>
      <c r="U89" s="188">
        <v>3</v>
      </c>
      <c r="V89" s="188">
        <v>3144.0926640926655</v>
      </c>
      <c r="W89" s="185">
        <f t="shared" si="72"/>
        <v>1048.0308880308885</v>
      </c>
      <c r="X89" s="182">
        <f t="shared" si="76"/>
        <v>1</v>
      </c>
      <c r="Y89" s="540"/>
      <c r="Z89" s="188">
        <v>3</v>
      </c>
      <c r="AA89" s="188">
        <v>3144.7470817120743</v>
      </c>
      <c r="AB89" s="185">
        <f t="shared" si="77"/>
        <v>1048.2490272373582</v>
      </c>
      <c r="AC89" s="182">
        <f t="shared" si="78"/>
        <v>1</v>
      </c>
      <c r="AD89" s="540"/>
      <c r="AE89" s="188">
        <v>3</v>
      </c>
      <c r="AF89" s="188">
        <v>3143.4146341463402</v>
      </c>
      <c r="AG89" s="185">
        <f t="shared" si="79"/>
        <v>1047.80487804878</v>
      </c>
      <c r="AH89" s="182">
        <f t="shared" si="80"/>
        <v>1</v>
      </c>
      <c r="AI89" s="540"/>
      <c r="AJ89" s="188">
        <v>3</v>
      </c>
      <c r="AK89" s="188">
        <v>3142.8571428571499</v>
      </c>
      <c r="AL89" s="185">
        <f t="shared" si="81"/>
        <v>1047.61904761905</v>
      </c>
      <c r="AM89" s="182">
        <f t="shared" si="82"/>
        <v>2</v>
      </c>
      <c r="AN89" s="540"/>
      <c r="AO89" s="188">
        <v>3</v>
      </c>
      <c r="AP89" s="188">
        <v>3144.3609022556388</v>
      </c>
      <c r="AQ89" s="185">
        <f t="shared" si="83"/>
        <v>1048.1203007518795</v>
      </c>
      <c r="AR89" s="182">
        <f t="shared" si="84"/>
        <v>2</v>
      </c>
      <c r="AS89" s="540"/>
      <c r="AT89" s="188">
        <v>3</v>
      </c>
      <c r="AU89" s="188">
        <v>3144.142011834334</v>
      </c>
      <c r="AV89" s="185">
        <f t="shared" si="85"/>
        <v>1048.0473372781114</v>
      </c>
      <c r="AW89" s="182">
        <f t="shared" si="86"/>
        <v>2</v>
      </c>
      <c r="AX89" s="540"/>
    </row>
    <row r="90" spans="1:50" ht="14.25" customHeight="1">
      <c r="B90" s="530"/>
      <c r="C90" s="180">
        <v>8</v>
      </c>
      <c r="D90" s="183" t="s">
        <v>149</v>
      </c>
      <c r="E90" s="184">
        <v>4</v>
      </c>
      <c r="F90" s="180">
        <v>3300</v>
      </c>
      <c r="G90" s="185">
        <f t="shared" si="73"/>
        <v>825</v>
      </c>
      <c r="H90" s="558"/>
      <c r="I90" s="186">
        <f t="shared" si="74"/>
        <v>4</v>
      </c>
      <c r="J90" s="186">
        <f t="shared" si="74"/>
        <v>2927.5567312470448</v>
      </c>
      <c r="K90" s="187">
        <f t="shared" si="74"/>
        <v>731.8891828117612</v>
      </c>
      <c r="L90" s="559"/>
      <c r="M90" s="186">
        <f>RANK(K90, K$83:$K$115)</f>
        <v>20</v>
      </c>
      <c r="N90" s="578"/>
      <c r="O90" s="541"/>
      <c r="P90" s="188">
        <v>4</v>
      </c>
      <c r="Q90" s="188">
        <v>2927.4519979242341</v>
      </c>
      <c r="R90" s="185">
        <f t="shared" si="71"/>
        <v>731.86299948105852</v>
      </c>
      <c r="S90" s="182">
        <f t="shared" si="75"/>
        <v>20</v>
      </c>
      <c r="T90" s="540"/>
      <c r="U90" s="188">
        <v>4</v>
      </c>
      <c r="V90" s="188">
        <v>2927.6641550053828</v>
      </c>
      <c r="W90" s="185">
        <f t="shared" si="72"/>
        <v>731.9160387513457</v>
      </c>
      <c r="X90" s="182">
        <f t="shared" si="76"/>
        <v>20</v>
      </c>
      <c r="Y90" s="540"/>
      <c r="Z90" s="188">
        <v>4</v>
      </c>
      <c r="AA90" s="188">
        <v>2927.7108433734875</v>
      </c>
      <c r="AB90" s="185">
        <f t="shared" si="77"/>
        <v>731.92771084337187</v>
      </c>
      <c r="AC90" s="182">
        <f t="shared" si="78"/>
        <v>19</v>
      </c>
      <c r="AD90" s="540"/>
      <c r="AE90" s="188">
        <v>4</v>
      </c>
      <c r="AF90" s="188">
        <v>2927.9999999999918</v>
      </c>
      <c r="AG90" s="185">
        <f t="shared" si="79"/>
        <v>731.99999999999795</v>
      </c>
      <c r="AH90" s="182">
        <f t="shared" si="80"/>
        <v>20</v>
      </c>
      <c r="AI90" s="540"/>
      <c r="AJ90" s="188">
        <v>4</v>
      </c>
      <c r="AK90" s="188">
        <v>2928.5714285714303</v>
      </c>
      <c r="AL90" s="185">
        <f t="shared" si="81"/>
        <v>732.14285714285757</v>
      </c>
      <c r="AM90" s="182">
        <f t="shared" si="82"/>
        <v>20</v>
      </c>
      <c r="AN90" s="540"/>
      <c r="AO90" s="188">
        <v>4</v>
      </c>
      <c r="AP90" s="188">
        <v>2927.0029673590511</v>
      </c>
      <c r="AQ90" s="185">
        <f t="shared" si="83"/>
        <v>731.75074183976278</v>
      </c>
      <c r="AR90" s="182">
        <f t="shared" si="84"/>
        <v>21</v>
      </c>
      <c r="AS90" s="540"/>
      <c r="AT90" s="188">
        <v>4</v>
      </c>
      <c r="AU90" s="188">
        <v>2926.4957264957357</v>
      </c>
      <c r="AV90" s="185">
        <f t="shared" si="85"/>
        <v>731.62393162393391</v>
      </c>
      <c r="AW90" s="182">
        <f t="shared" si="86"/>
        <v>21</v>
      </c>
      <c r="AX90" s="540"/>
    </row>
    <row r="91" spans="1:50" ht="14.25" customHeight="1">
      <c r="B91" s="530"/>
      <c r="C91" s="180">
        <v>9</v>
      </c>
      <c r="D91" s="183" t="s">
        <v>150</v>
      </c>
      <c r="E91" s="184">
        <v>4</v>
      </c>
      <c r="F91" s="180">
        <v>3300</v>
      </c>
      <c r="G91" s="185">
        <f t="shared" si="73"/>
        <v>825</v>
      </c>
      <c r="H91" s="558"/>
      <c r="I91" s="186">
        <f t="shared" si="74"/>
        <v>4</v>
      </c>
      <c r="J91" s="186">
        <f t="shared" si="74"/>
        <v>2927.4621899201402</v>
      </c>
      <c r="K91" s="187">
        <f t="shared" si="74"/>
        <v>731.86554748003505</v>
      </c>
      <c r="L91" s="559"/>
      <c r="M91" s="186">
        <f>RANK(K91, K$83:$K$115)</f>
        <v>21</v>
      </c>
      <c r="N91" s="578"/>
      <c r="O91" s="541"/>
      <c r="P91" s="188">
        <v>4</v>
      </c>
      <c r="Q91" s="188">
        <v>2926.9076305220879</v>
      </c>
      <c r="R91" s="185">
        <f t="shared" si="71"/>
        <v>731.72690763052196</v>
      </c>
      <c r="S91" s="182">
        <f t="shared" si="75"/>
        <v>21</v>
      </c>
      <c r="T91" s="540"/>
      <c r="U91" s="188">
        <v>4</v>
      </c>
      <c r="V91" s="188">
        <v>2926.6544117647104</v>
      </c>
      <c r="W91" s="185">
        <f t="shared" si="72"/>
        <v>731.6636029411776</v>
      </c>
      <c r="X91" s="182">
        <f t="shared" si="76"/>
        <v>21</v>
      </c>
      <c r="Y91" s="540"/>
      <c r="Z91" s="188">
        <v>4</v>
      </c>
      <c r="AA91" s="188">
        <v>2926.8292682926822</v>
      </c>
      <c r="AB91" s="185">
        <f t="shared" si="77"/>
        <v>731.70731707317054</v>
      </c>
      <c r="AC91" s="182">
        <f t="shared" si="78"/>
        <v>21</v>
      </c>
      <c r="AD91" s="540"/>
      <c r="AE91" s="188">
        <v>4</v>
      </c>
      <c r="AF91" s="188">
        <v>2927.9341111873696</v>
      </c>
      <c r="AG91" s="185">
        <f t="shared" si="79"/>
        <v>731.9835277968424</v>
      </c>
      <c r="AH91" s="182">
        <f t="shared" si="80"/>
        <v>21</v>
      </c>
      <c r="AI91" s="540"/>
      <c r="AJ91" s="188">
        <v>4</v>
      </c>
      <c r="AK91" s="188">
        <v>2927.3542600896903</v>
      </c>
      <c r="AL91" s="185">
        <f t="shared" si="81"/>
        <v>731.83856502242259</v>
      </c>
      <c r="AM91" s="182">
        <f t="shared" si="82"/>
        <v>21</v>
      </c>
      <c r="AN91" s="540"/>
      <c r="AO91" s="188">
        <v>4</v>
      </c>
      <c r="AP91" s="188">
        <v>2928.4564740307219</v>
      </c>
      <c r="AQ91" s="185">
        <f t="shared" si="83"/>
        <v>732.11411850768047</v>
      </c>
      <c r="AR91" s="182">
        <f t="shared" si="84"/>
        <v>20</v>
      </c>
      <c r="AS91" s="540"/>
      <c r="AT91" s="188">
        <v>4</v>
      </c>
      <c r="AU91" s="188">
        <v>2928.0991735537159</v>
      </c>
      <c r="AV91" s="185">
        <f t="shared" si="85"/>
        <v>732.02479338842898</v>
      </c>
      <c r="AW91" s="182">
        <f t="shared" si="86"/>
        <v>20</v>
      </c>
      <c r="AX91" s="540"/>
    </row>
    <row r="92" spans="1:50" ht="14.25" customHeight="1">
      <c r="B92" s="530"/>
      <c r="C92" s="180">
        <v>10</v>
      </c>
      <c r="D92" s="183" t="s">
        <v>151</v>
      </c>
      <c r="E92" s="184">
        <v>4</v>
      </c>
      <c r="F92" s="180">
        <v>3300</v>
      </c>
      <c r="G92" s="185">
        <f t="shared" si="73"/>
        <v>825</v>
      </c>
      <c r="H92" s="558"/>
      <c r="I92" s="186">
        <f t="shared" si="74"/>
        <v>4</v>
      </c>
      <c r="J92" s="186">
        <f t="shared" si="74"/>
        <v>2964.9310293921712</v>
      </c>
      <c r="K92" s="187">
        <f t="shared" si="74"/>
        <v>741.23275734804281</v>
      </c>
      <c r="L92" s="559"/>
      <c r="M92" s="186">
        <f>RANK(K92, K$83:$K$115)</f>
        <v>12</v>
      </c>
      <c r="N92" s="578"/>
      <c r="O92" s="541"/>
      <c r="P92" s="188">
        <v>4</v>
      </c>
      <c r="Q92" s="188">
        <v>2962.7959413754215</v>
      </c>
      <c r="R92" s="185">
        <f t="shared" si="71"/>
        <v>740.69898534385538</v>
      </c>
      <c r="S92" s="182">
        <f t="shared" si="75"/>
        <v>12</v>
      </c>
      <c r="T92" s="540"/>
      <c r="U92" s="188">
        <v>4</v>
      </c>
      <c r="V92" s="188">
        <v>2963.4660421545668</v>
      </c>
      <c r="W92" s="185">
        <f t="shared" si="72"/>
        <v>740.86651053864171</v>
      </c>
      <c r="X92" s="182">
        <f t="shared" si="76"/>
        <v>12</v>
      </c>
      <c r="Y92" s="540"/>
      <c r="Z92" s="188">
        <v>4</v>
      </c>
      <c r="AA92" s="188">
        <v>2963.478260869565</v>
      </c>
      <c r="AB92" s="185">
        <f t="shared" si="77"/>
        <v>740.86956521739125</v>
      </c>
      <c r="AC92" s="182">
        <f t="shared" si="78"/>
        <v>13</v>
      </c>
      <c r="AD92" s="540"/>
      <c r="AE92" s="188">
        <v>4</v>
      </c>
      <c r="AF92" s="188">
        <v>2963.9686684073176</v>
      </c>
      <c r="AG92" s="185">
        <f t="shared" si="79"/>
        <v>740.99216710182941</v>
      </c>
      <c r="AH92" s="182">
        <f t="shared" si="80"/>
        <v>12</v>
      </c>
      <c r="AI92" s="540"/>
      <c r="AJ92" s="188">
        <v>4</v>
      </c>
      <c r="AK92" s="188">
        <v>2966.0797034291031</v>
      </c>
      <c r="AL92" s="185">
        <f t="shared" si="81"/>
        <v>741.51992585727578</v>
      </c>
      <c r="AM92" s="182">
        <f t="shared" si="82"/>
        <v>12</v>
      </c>
      <c r="AN92" s="540"/>
      <c r="AO92" s="188">
        <v>4</v>
      </c>
      <c r="AP92" s="188">
        <v>2966.5384615384673</v>
      </c>
      <c r="AQ92" s="185">
        <f t="shared" si="83"/>
        <v>741.63461538461684</v>
      </c>
      <c r="AR92" s="182">
        <f t="shared" si="84"/>
        <v>12</v>
      </c>
      <c r="AS92" s="540"/>
      <c r="AT92" s="188">
        <v>4</v>
      </c>
      <c r="AU92" s="188">
        <v>2968.1901279707586</v>
      </c>
      <c r="AV92" s="185">
        <f t="shared" si="85"/>
        <v>742.04753199268964</v>
      </c>
      <c r="AW92" s="182">
        <f t="shared" si="86"/>
        <v>12</v>
      </c>
      <c r="AX92" s="540"/>
    </row>
    <row r="93" spans="1:50" ht="14.25" customHeight="1">
      <c r="B93" s="530"/>
      <c r="C93" s="180">
        <v>11</v>
      </c>
      <c r="D93" s="183" t="s">
        <v>152</v>
      </c>
      <c r="E93" s="184">
        <v>3</v>
      </c>
      <c r="F93" s="180">
        <v>3000</v>
      </c>
      <c r="G93" s="185">
        <f t="shared" si="73"/>
        <v>1000</v>
      </c>
      <c r="H93" s="558"/>
      <c r="I93" s="186">
        <f t="shared" si="74"/>
        <v>3</v>
      </c>
      <c r="J93" s="186">
        <f t="shared" si="74"/>
        <v>2690.4720384533834</v>
      </c>
      <c r="K93" s="187">
        <f t="shared" si="74"/>
        <v>896.82401281779437</v>
      </c>
      <c r="L93" s="559"/>
      <c r="M93" s="186">
        <f>RANK(K93, K$83:$K$115)</f>
        <v>11</v>
      </c>
      <c r="N93" s="578"/>
      <c r="O93" s="541"/>
      <c r="P93" s="188">
        <v>3</v>
      </c>
      <c r="Q93" s="188">
        <v>2690.056093829679</v>
      </c>
      <c r="R93" s="185">
        <f t="shared" si="71"/>
        <v>896.68536460989299</v>
      </c>
      <c r="S93" s="182">
        <f t="shared" si="75"/>
        <v>11</v>
      </c>
      <c r="T93" s="540"/>
      <c r="U93" s="188">
        <v>3</v>
      </c>
      <c r="V93" s="188">
        <v>2690.2780237294151</v>
      </c>
      <c r="W93" s="185">
        <f t="shared" si="72"/>
        <v>896.75934124313835</v>
      </c>
      <c r="X93" s="182">
        <f t="shared" si="76"/>
        <v>11</v>
      </c>
      <c r="Y93" s="540"/>
      <c r="Z93" s="188">
        <v>3</v>
      </c>
      <c r="AA93" s="188">
        <v>2690.3029070949378</v>
      </c>
      <c r="AB93" s="185">
        <f t="shared" si="77"/>
        <v>896.76763569831257</v>
      </c>
      <c r="AC93" s="182">
        <f t="shared" si="78"/>
        <v>11</v>
      </c>
      <c r="AD93" s="540"/>
      <c r="AE93" s="188">
        <v>3</v>
      </c>
      <c r="AF93" s="188">
        <v>2690.2845927379767</v>
      </c>
      <c r="AG93" s="185">
        <f t="shared" si="79"/>
        <v>896.76153091265894</v>
      </c>
      <c r="AH93" s="182">
        <f t="shared" si="80"/>
        <v>10</v>
      </c>
      <c r="AI93" s="540"/>
      <c r="AJ93" s="188">
        <v>3</v>
      </c>
      <c r="AK93" s="188">
        <v>2690.5650728713886</v>
      </c>
      <c r="AL93" s="185">
        <f t="shared" si="81"/>
        <v>896.85502429046289</v>
      </c>
      <c r="AM93" s="182">
        <f t="shared" si="82"/>
        <v>10</v>
      </c>
      <c r="AN93" s="540"/>
      <c r="AO93" s="188">
        <v>3</v>
      </c>
      <c r="AP93" s="188">
        <v>2690.6700379266745</v>
      </c>
      <c r="AQ93" s="185">
        <f t="shared" si="83"/>
        <v>896.89001264222486</v>
      </c>
      <c r="AR93" s="182">
        <f t="shared" si="84"/>
        <v>10</v>
      </c>
      <c r="AS93" s="540"/>
      <c r="AT93" s="188">
        <v>3</v>
      </c>
      <c r="AU93" s="188">
        <v>2691.1475409836112</v>
      </c>
      <c r="AV93" s="185">
        <f t="shared" si="85"/>
        <v>897.04918032787043</v>
      </c>
      <c r="AW93" s="182">
        <f t="shared" si="86"/>
        <v>9</v>
      </c>
      <c r="AX93" s="540"/>
    </row>
    <row r="94" spans="1:50" ht="14.25" customHeight="1">
      <c r="B94" s="530"/>
      <c r="C94" s="180">
        <v>12</v>
      </c>
      <c r="D94" s="183" t="s">
        <v>153</v>
      </c>
      <c r="E94" s="184">
        <v>12</v>
      </c>
      <c r="F94" s="180">
        <v>3600</v>
      </c>
      <c r="G94" s="185">
        <f t="shared" si="73"/>
        <v>300</v>
      </c>
      <c r="H94" s="558"/>
      <c r="I94" s="186">
        <f t="shared" si="74"/>
        <v>12</v>
      </c>
      <c r="J94" s="186">
        <f t="shared" si="74"/>
        <v>3126.3834186986596</v>
      </c>
      <c r="K94" s="187">
        <f t="shared" si="74"/>
        <v>260.53195155822164</v>
      </c>
      <c r="L94" s="559"/>
      <c r="M94" s="186">
        <f>RANK(K94, K$83:$K$115)</f>
        <v>29</v>
      </c>
      <c r="N94" s="578"/>
      <c r="O94" s="541"/>
      <c r="P94" s="188">
        <v>12</v>
      </c>
      <c r="Q94" s="188">
        <v>3127.0650263620396</v>
      </c>
      <c r="R94" s="185">
        <f t="shared" si="71"/>
        <v>260.58875219683665</v>
      </c>
      <c r="S94" s="182">
        <f t="shared" si="75"/>
        <v>29</v>
      </c>
      <c r="T94" s="540"/>
      <c r="U94" s="188">
        <v>12</v>
      </c>
      <c r="V94" s="188">
        <v>3127.0650263620396</v>
      </c>
      <c r="W94" s="185">
        <f t="shared" si="72"/>
        <v>260.58875219683665</v>
      </c>
      <c r="X94" s="182">
        <f t="shared" si="76"/>
        <v>28</v>
      </c>
      <c r="Y94" s="540"/>
      <c r="Z94" s="188">
        <v>12</v>
      </c>
      <c r="AA94" s="188">
        <v>3128.1733746130021</v>
      </c>
      <c r="AB94" s="185">
        <f t="shared" si="77"/>
        <v>260.68111455108351</v>
      </c>
      <c r="AC94" s="182">
        <f t="shared" si="78"/>
        <v>28</v>
      </c>
      <c r="AD94" s="540"/>
      <c r="AE94" s="188">
        <v>12</v>
      </c>
      <c r="AF94" s="188">
        <v>3128.081779915819</v>
      </c>
      <c r="AG94" s="185">
        <f t="shared" si="79"/>
        <v>260.6734816596516</v>
      </c>
      <c r="AH94" s="182">
        <f t="shared" si="80"/>
        <v>29</v>
      </c>
      <c r="AI94" s="540"/>
      <c r="AJ94" s="188">
        <v>12</v>
      </c>
      <c r="AK94" s="188">
        <v>3127.7108433734966</v>
      </c>
      <c r="AL94" s="185">
        <f t="shared" si="81"/>
        <v>260.64257028112473</v>
      </c>
      <c r="AM94" s="182">
        <f t="shared" si="82"/>
        <v>29</v>
      </c>
      <c r="AN94" s="540"/>
      <c r="AO94" s="188">
        <v>12</v>
      </c>
      <c r="AP94" s="188">
        <v>3122.639068564039</v>
      </c>
      <c r="AQ94" s="185">
        <f t="shared" si="83"/>
        <v>260.21992238033658</v>
      </c>
      <c r="AR94" s="182">
        <f t="shared" si="84"/>
        <v>29</v>
      </c>
      <c r="AS94" s="540"/>
      <c r="AT94" s="188">
        <v>12</v>
      </c>
      <c r="AU94" s="188">
        <v>3123.9488117001783</v>
      </c>
      <c r="AV94" s="185">
        <f t="shared" si="85"/>
        <v>260.32906764168155</v>
      </c>
      <c r="AW94" s="182">
        <f t="shared" si="86"/>
        <v>29</v>
      </c>
      <c r="AX94" s="540"/>
    </row>
    <row r="95" spans="1:50" ht="14.25" customHeight="1">
      <c r="B95" s="530"/>
      <c r="C95" s="180">
        <v>13</v>
      </c>
      <c r="D95" s="183" t="s">
        <v>154</v>
      </c>
      <c r="E95" s="184">
        <v>3</v>
      </c>
      <c r="F95" s="180">
        <v>3300</v>
      </c>
      <c r="G95" s="185">
        <f t="shared" si="73"/>
        <v>1100</v>
      </c>
      <c r="H95" s="558"/>
      <c r="I95" s="186">
        <f t="shared" si="74"/>
        <v>3</v>
      </c>
      <c r="J95" s="186">
        <f t="shared" si="74"/>
        <v>2957.3465095748984</v>
      </c>
      <c r="K95" s="187">
        <f t="shared" si="74"/>
        <v>985.78216985829954</v>
      </c>
      <c r="L95" s="559"/>
      <c r="M95" s="186">
        <f>RANK(K95, K$83:$K$115)</f>
        <v>8</v>
      </c>
      <c r="N95" s="578"/>
      <c r="O95" s="541"/>
      <c r="P95" s="188">
        <v>3</v>
      </c>
      <c r="Q95" s="188">
        <v>2955.6225365175046</v>
      </c>
      <c r="R95" s="185">
        <f t="shared" si="71"/>
        <v>985.20751217250154</v>
      </c>
      <c r="S95" s="182">
        <f t="shared" si="75"/>
        <v>8</v>
      </c>
      <c r="T95" s="540"/>
      <c r="U95" s="188">
        <v>3</v>
      </c>
      <c r="V95" s="188">
        <v>2955.9189650964149</v>
      </c>
      <c r="W95" s="185">
        <f t="shared" si="72"/>
        <v>985.30632169880494</v>
      </c>
      <c r="X95" s="182">
        <f t="shared" si="76"/>
        <v>8</v>
      </c>
      <c r="Y95" s="540"/>
      <c r="Z95" s="188">
        <v>3</v>
      </c>
      <c r="AA95" s="188">
        <v>2956.3729683490151</v>
      </c>
      <c r="AB95" s="185">
        <f t="shared" si="77"/>
        <v>985.4576561163384</v>
      </c>
      <c r="AC95" s="182">
        <f t="shared" si="78"/>
        <v>8</v>
      </c>
      <c r="AD95" s="540"/>
      <c r="AE95" s="188">
        <v>3</v>
      </c>
      <c r="AF95" s="188">
        <v>2956.8838146406952</v>
      </c>
      <c r="AG95" s="185">
        <f t="shared" si="79"/>
        <v>985.62793821356502</v>
      </c>
      <c r="AH95" s="182">
        <f t="shared" si="80"/>
        <v>8</v>
      </c>
      <c r="AI95" s="540"/>
      <c r="AJ95" s="188">
        <v>3</v>
      </c>
      <c r="AK95" s="188">
        <v>2958.765778401124</v>
      </c>
      <c r="AL95" s="185">
        <f t="shared" si="81"/>
        <v>986.25525946704136</v>
      </c>
      <c r="AM95" s="182">
        <f t="shared" si="82"/>
        <v>8</v>
      </c>
      <c r="AN95" s="540"/>
      <c r="AO95" s="188">
        <v>3</v>
      </c>
      <c r="AP95" s="188">
        <v>2958.9905362776026</v>
      </c>
      <c r="AQ95" s="185">
        <f t="shared" si="83"/>
        <v>986.33017875920086</v>
      </c>
      <c r="AR95" s="182">
        <f t="shared" si="84"/>
        <v>8</v>
      </c>
      <c r="AS95" s="540"/>
      <c r="AT95" s="188">
        <v>3</v>
      </c>
      <c r="AU95" s="188">
        <v>2958.8709677419356</v>
      </c>
      <c r="AV95" s="185">
        <f t="shared" si="85"/>
        <v>986.29032258064524</v>
      </c>
      <c r="AW95" s="182">
        <f t="shared" si="86"/>
        <v>8</v>
      </c>
      <c r="AX95" s="540"/>
    </row>
    <row r="96" spans="1:50" ht="14.25" customHeight="1">
      <c r="B96" s="530"/>
      <c r="C96" s="180">
        <v>14</v>
      </c>
      <c r="D96" s="183" t="s">
        <v>156</v>
      </c>
      <c r="E96" s="184">
        <v>5</v>
      </c>
      <c r="F96" s="180">
        <v>3300</v>
      </c>
      <c r="G96" s="185">
        <f t="shared" si="73"/>
        <v>660</v>
      </c>
      <c r="H96" s="558"/>
      <c r="I96" s="186">
        <f t="shared" si="74"/>
        <v>5</v>
      </c>
      <c r="J96" s="186">
        <f t="shared" si="74"/>
        <v>2958.7707215325167</v>
      </c>
      <c r="K96" s="187">
        <f t="shared" si="74"/>
        <v>591.75414430650324</v>
      </c>
      <c r="L96" s="559"/>
      <c r="M96" s="186">
        <f>RANK(K96, K$83:$K$115)</f>
        <v>25</v>
      </c>
      <c r="N96" s="578"/>
      <c r="O96" s="541"/>
      <c r="P96" s="188">
        <v>5</v>
      </c>
      <c r="Q96" s="188">
        <v>2957.8607111372348</v>
      </c>
      <c r="R96" s="185">
        <f t="shared" si="71"/>
        <v>591.57214222744699</v>
      </c>
      <c r="S96" s="182">
        <f t="shared" si="75"/>
        <v>24</v>
      </c>
      <c r="T96" s="540"/>
      <c r="U96" s="188">
        <v>5</v>
      </c>
      <c r="V96" s="188">
        <v>2957.7946768060847</v>
      </c>
      <c r="W96" s="185">
        <f t="shared" si="72"/>
        <v>591.55893536121698</v>
      </c>
      <c r="X96" s="182">
        <f t="shared" si="76"/>
        <v>24</v>
      </c>
      <c r="Y96" s="540"/>
      <c r="Z96" s="188">
        <v>5</v>
      </c>
      <c r="AA96" s="188">
        <v>2957.8454332552665</v>
      </c>
      <c r="AB96" s="185">
        <f t="shared" si="77"/>
        <v>591.56908665105334</v>
      </c>
      <c r="AC96" s="182">
        <f t="shared" si="78"/>
        <v>24</v>
      </c>
      <c r="AD96" s="540"/>
      <c r="AE96" s="188">
        <v>5</v>
      </c>
      <c r="AF96" s="188">
        <v>2957.8947368421063</v>
      </c>
      <c r="AG96" s="185">
        <f t="shared" si="79"/>
        <v>591.57894736842127</v>
      </c>
      <c r="AH96" s="182">
        <f t="shared" si="80"/>
        <v>24</v>
      </c>
      <c r="AI96" s="540"/>
      <c r="AJ96" s="188">
        <v>5</v>
      </c>
      <c r="AK96" s="188">
        <v>2959.0102205486796</v>
      </c>
      <c r="AL96" s="185">
        <f t="shared" si="81"/>
        <v>591.8020441097359</v>
      </c>
      <c r="AM96" s="182">
        <f t="shared" si="82"/>
        <v>26</v>
      </c>
      <c r="AN96" s="540"/>
      <c r="AO96" s="188">
        <v>5</v>
      </c>
      <c r="AP96" s="188">
        <v>2960.3864734299541</v>
      </c>
      <c r="AQ96" s="185">
        <f t="shared" si="83"/>
        <v>592.07729468599086</v>
      </c>
      <c r="AR96" s="182">
        <f t="shared" si="84"/>
        <v>26</v>
      </c>
      <c r="AS96" s="540"/>
      <c r="AT96" s="188">
        <v>5</v>
      </c>
      <c r="AU96" s="188">
        <v>2960.6027987082894</v>
      </c>
      <c r="AV96" s="185">
        <f t="shared" si="85"/>
        <v>592.12055974165787</v>
      </c>
      <c r="AW96" s="182">
        <f t="shared" si="86"/>
        <v>26</v>
      </c>
      <c r="AX96" s="540"/>
    </row>
    <row r="97" spans="2:50" ht="14.25" customHeight="1">
      <c r="B97" s="530"/>
      <c r="C97" s="180">
        <v>15</v>
      </c>
      <c r="D97" s="183" t="s">
        <v>157</v>
      </c>
      <c r="E97" s="184">
        <v>4</v>
      </c>
      <c r="F97" s="180">
        <v>3300</v>
      </c>
      <c r="G97" s="185">
        <f t="shared" si="73"/>
        <v>825</v>
      </c>
      <c r="H97" s="558"/>
      <c r="I97" s="186">
        <f t="shared" si="74"/>
        <v>4</v>
      </c>
      <c r="J97" s="186">
        <f t="shared" si="74"/>
        <v>2958.4460115215102</v>
      </c>
      <c r="K97" s="187">
        <f t="shared" si="74"/>
        <v>739.61150288037754</v>
      </c>
      <c r="L97" s="559"/>
      <c r="M97" s="186">
        <f>RANK(K97, K$83:$K$115)</f>
        <v>15</v>
      </c>
      <c r="N97" s="578"/>
      <c r="O97" s="541"/>
      <c r="P97" s="188">
        <v>4</v>
      </c>
      <c r="Q97" s="188">
        <v>2957.0998326826557</v>
      </c>
      <c r="R97" s="185">
        <f t="shared" si="71"/>
        <v>739.27495817066392</v>
      </c>
      <c r="S97" s="182">
        <f t="shared" si="75"/>
        <v>16</v>
      </c>
      <c r="T97" s="540"/>
      <c r="U97" s="188">
        <v>4</v>
      </c>
      <c r="V97" s="188">
        <v>2958.2222222222222</v>
      </c>
      <c r="W97" s="185">
        <f t="shared" si="72"/>
        <v>739.55555555555554</v>
      </c>
      <c r="X97" s="182">
        <f t="shared" si="76"/>
        <v>15</v>
      </c>
      <c r="Y97" s="540"/>
      <c r="Z97" s="188">
        <v>4</v>
      </c>
      <c r="AA97" s="188">
        <v>2958.3050847457616</v>
      </c>
      <c r="AB97" s="185">
        <f t="shared" si="77"/>
        <v>739.57627118644041</v>
      </c>
      <c r="AC97" s="182">
        <f t="shared" si="78"/>
        <v>15</v>
      </c>
      <c r="AD97" s="540"/>
      <c r="AE97" s="188">
        <v>4</v>
      </c>
      <c r="AF97" s="188">
        <v>2958.4326018808806</v>
      </c>
      <c r="AG97" s="185">
        <f t="shared" si="79"/>
        <v>739.60815047022015</v>
      </c>
      <c r="AH97" s="182">
        <f t="shared" si="80"/>
        <v>15</v>
      </c>
      <c r="AI97" s="540"/>
      <c r="AJ97" s="188">
        <v>4</v>
      </c>
      <c r="AK97" s="188">
        <v>2958.8321167883191</v>
      </c>
      <c r="AL97" s="185">
        <f t="shared" si="81"/>
        <v>739.70802919707978</v>
      </c>
      <c r="AM97" s="182">
        <f t="shared" si="82"/>
        <v>16</v>
      </c>
      <c r="AN97" s="540"/>
      <c r="AO97" s="188">
        <v>4</v>
      </c>
      <c r="AP97" s="188">
        <v>2959.0375939849637</v>
      </c>
      <c r="AQ97" s="185">
        <f t="shared" si="83"/>
        <v>739.75939849624092</v>
      </c>
      <c r="AR97" s="182">
        <f t="shared" si="84"/>
        <v>17</v>
      </c>
      <c r="AS97" s="540"/>
      <c r="AT97" s="188">
        <v>4</v>
      </c>
      <c r="AU97" s="188">
        <v>2959.1926283457683</v>
      </c>
      <c r="AV97" s="185">
        <f t="shared" si="85"/>
        <v>739.79815708644207</v>
      </c>
      <c r="AW97" s="182">
        <f t="shared" si="86"/>
        <v>17</v>
      </c>
      <c r="AX97" s="540"/>
    </row>
    <row r="98" spans="2:50" ht="14.25" customHeight="1">
      <c r="B98" s="530"/>
      <c r="C98" s="180">
        <v>16</v>
      </c>
      <c r="D98" s="183" t="s">
        <v>158</v>
      </c>
      <c r="E98" s="184">
        <v>3</v>
      </c>
      <c r="F98" s="180">
        <v>3600</v>
      </c>
      <c r="G98" s="185">
        <f t="shared" si="73"/>
        <v>1200</v>
      </c>
      <c r="H98" s="558"/>
      <c r="I98" s="186">
        <f t="shared" si="74"/>
        <v>3</v>
      </c>
      <c r="J98" s="186">
        <f t="shared" si="74"/>
        <v>3137.8604447623379</v>
      </c>
      <c r="K98" s="187">
        <f t="shared" si="74"/>
        <v>1045.953481587446</v>
      </c>
      <c r="L98" s="559"/>
      <c r="M98" s="186">
        <f>RANK(K98, K$83:$K$115)</f>
        <v>5</v>
      </c>
      <c r="N98" s="578"/>
      <c r="O98" s="541"/>
      <c r="P98" s="188">
        <v>3</v>
      </c>
      <c r="Q98" s="188">
        <v>3131.1109248768043</v>
      </c>
      <c r="R98" s="185">
        <f t="shared" si="71"/>
        <v>1043.7036416256014</v>
      </c>
      <c r="S98" s="182">
        <f t="shared" si="75"/>
        <v>6</v>
      </c>
      <c r="T98" s="540"/>
      <c r="U98" s="188">
        <v>3</v>
      </c>
      <c r="V98" s="188">
        <v>3138.8892859695497</v>
      </c>
      <c r="W98" s="185">
        <f t="shared" si="72"/>
        <v>1046.2964286565166</v>
      </c>
      <c r="X98" s="182">
        <f t="shared" si="76"/>
        <v>3</v>
      </c>
      <c r="Y98" s="540"/>
      <c r="Z98" s="188">
        <v>3</v>
      </c>
      <c r="AA98" s="188">
        <v>3138.6768135510001</v>
      </c>
      <c r="AB98" s="185">
        <f t="shared" si="77"/>
        <v>1046.225604517</v>
      </c>
      <c r="AC98" s="182">
        <f t="shared" si="78"/>
        <v>5</v>
      </c>
      <c r="AD98" s="540"/>
      <c r="AE98" s="188">
        <v>3</v>
      </c>
      <c r="AF98" s="188">
        <v>3138.7145402220108</v>
      </c>
      <c r="AG98" s="185">
        <f t="shared" si="79"/>
        <v>1046.2381800740036</v>
      </c>
      <c r="AH98" s="182">
        <f t="shared" si="80"/>
        <v>5</v>
      </c>
      <c r="AI98" s="540"/>
      <c r="AJ98" s="188">
        <v>3</v>
      </c>
      <c r="AK98" s="188">
        <v>3138.8912399492192</v>
      </c>
      <c r="AL98" s="185">
        <f t="shared" si="81"/>
        <v>1046.297079983073</v>
      </c>
      <c r="AM98" s="182">
        <f t="shared" si="82"/>
        <v>5</v>
      </c>
      <c r="AN98" s="540"/>
      <c r="AO98" s="188">
        <v>3</v>
      </c>
      <c r="AP98" s="188">
        <v>3139.3169988574346</v>
      </c>
      <c r="AQ98" s="185">
        <f t="shared" si="83"/>
        <v>1046.4389996191449</v>
      </c>
      <c r="AR98" s="182">
        <f t="shared" si="84"/>
        <v>5</v>
      </c>
      <c r="AS98" s="540"/>
      <c r="AT98" s="188">
        <v>3</v>
      </c>
      <c r="AU98" s="188">
        <v>3139.4233099103462</v>
      </c>
      <c r="AV98" s="185">
        <f t="shared" si="85"/>
        <v>1046.474436636782</v>
      </c>
      <c r="AW98" s="182">
        <f t="shared" si="86"/>
        <v>5</v>
      </c>
      <c r="AX98" s="540"/>
    </row>
    <row r="99" spans="2:50" ht="14.25" customHeight="1">
      <c r="B99" s="530"/>
      <c r="C99" s="180">
        <v>17</v>
      </c>
      <c r="D99" s="183" t="s">
        <v>159</v>
      </c>
      <c r="E99" s="184">
        <v>4</v>
      </c>
      <c r="F99" s="180">
        <v>3300</v>
      </c>
      <c r="G99" s="185">
        <f t="shared" si="73"/>
        <v>825</v>
      </c>
      <c r="H99" s="558"/>
      <c r="I99" s="186">
        <f t="shared" si="74"/>
        <v>4</v>
      </c>
      <c r="J99" s="186">
        <f t="shared" si="74"/>
        <v>2960.8853911931074</v>
      </c>
      <c r="K99" s="187">
        <f t="shared" si="74"/>
        <v>740.22134779827684</v>
      </c>
      <c r="L99" s="559"/>
      <c r="M99" s="186">
        <f>RANK(K99, K$83:$K$115)</f>
        <v>14</v>
      </c>
      <c r="N99" s="578"/>
      <c r="O99" s="541"/>
      <c r="P99" s="188">
        <v>4</v>
      </c>
      <c r="Q99" s="188">
        <v>2959.3322203672792</v>
      </c>
      <c r="R99" s="185">
        <f t="shared" si="71"/>
        <v>739.8330550918198</v>
      </c>
      <c r="S99" s="182">
        <f t="shared" si="75"/>
        <v>14</v>
      </c>
      <c r="T99" s="540"/>
      <c r="U99" s="188">
        <v>4</v>
      </c>
      <c r="V99" s="188">
        <v>2959.513274336281</v>
      </c>
      <c r="W99" s="185">
        <f t="shared" si="72"/>
        <v>739.87831858407026</v>
      </c>
      <c r="X99" s="182">
        <f t="shared" si="76"/>
        <v>14</v>
      </c>
      <c r="Y99" s="540"/>
      <c r="Z99" s="188">
        <v>4</v>
      </c>
      <c r="AA99" s="188">
        <v>2959.7560975609749</v>
      </c>
      <c r="AB99" s="185">
        <f t="shared" si="77"/>
        <v>739.93902439024373</v>
      </c>
      <c r="AC99" s="182">
        <f t="shared" si="78"/>
        <v>14</v>
      </c>
      <c r="AD99" s="540"/>
      <c r="AE99" s="188">
        <v>4</v>
      </c>
      <c r="AF99" s="188">
        <v>2959.6804511278219</v>
      </c>
      <c r="AG99" s="185">
        <f t="shared" si="79"/>
        <v>739.92011278195548</v>
      </c>
      <c r="AH99" s="182">
        <f t="shared" si="80"/>
        <v>14</v>
      </c>
      <c r="AI99" s="540"/>
      <c r="AJ99" s="188">
        <v>4</v>
      </c>
      <c r="AK99" s="188">
        <v>2962.509047044633</v>
      </c>
      <c r="AL99" s="185">
        <f t="shared" si="81"/>
        <v>740.62726176115825</v>
      </c>
      <c r="AM99" s="182">
        <f t="shared" si="82"/>
        <v>14</v>
      </c>
      <c r="AN99" s="540"/>
      <c r="AO99" s="188">
        <v>4</v>
      </c>
      <c r="AP99" s="188">
        <v>2962.5084592826556</v>
      </c>
      <c r="AQ99" s="185">
        <f t="shared" si="83"/>
        <v>740.62711482066391</v>
      </c>
      <c r="AR99" s="182">
        <f t="shared" si="84"/>
        <v>13</v>
      </c>
      <c r="AS99" s="540"/>
      <c r="AT99" s="188">
        <v>4</v>
      </c>
      <c r="AU99" s="188">
        <v>2962.8981886321035</v>
      </c>
      <c r="AV99" s="185">
        <f t="shared" si="85"/>
        <v>740.72454715802587</v>
      </c>
      <c r="AW99" s="182">
        <f t="shared" si="86"/>
        <v>14</v>
      </c>
      <c r="AX99" s="540"/>
    </row>
    <row r="100" spans="2:50" ht="14.25" customHeight="1">
      <c r="B100" s="530"/>
      <c r="C100" s="180">
        <v>18</v>
      </c>
      <c r="D100" s="183" t="s">
        <v>160</v>
      </c>
      <c r="E100" s="184">
        <v>5</v>
      </c>
      <c r="F100" s="180">
        <v>3300</v>
      </c>
      <c r="G100" s="185">
        <f t="shared" si="73"/>
        <v>660</v>
      </c>
      <c r="H100" s="558"/>
      <c r="I100" s="186">
        <f t="shared" si="74"/>
        <v>5</v>
      </c>
      <c r="J100" s="186">
        <f t="shared" si="74"/>
        <v>2958.8003106389037</v>
      </c>
      <c r="K100" s="187">
        <f t="shared" si="74"/>
        <v>591.76006212778077</v>
      </c>
      <c r="L100" s="559"/>
      <c r="M100" s="186">
        <f>RANK(K100, K$83:$K$115)</f>
        <v>24</v>
      </c>
      <c r="N100" s="578"/>
      <c r="O100" s="541"/>
      <c r="P100" s="188">
        <v>5</v>
      </c>
      <c r="Q100" s="188">
        <v>2956.4766839378221</v>
      </c>
      <c r="R100" s="185">
        <f t="shared" si="71"/>
        <v>591.29533678756445</v>
      </c>
      <c r="S100" s="182">
        <f t="shared" si="75"/>
        <v>25</v>
      </c>
      <c r="T100" s="540"/>
      <c r="U100" s="188">
        <v>5</v>
      </c>
      <c r="V100" s="188">
        <v>2957.6592082616276</v>
      </c>
      <c r="W100" s="185">
        <f t="shared" si="72"/>
        <v>591.53184165232551</v>
      </c>
      <c r="X100" s="182">
        <f t="shared" si="76"/>
        <v>25</v>
      </c>
      <c r="Y100" s="540"/>
      <c r="Z100" s="188">
        <v>5</v>
      </c>
      <c r="AA100" s="188">
        <v>2957.755426151401</v>
      </c>
      <c r="AB100" s="185">
        <f t="shared" si="77"/>
        <v>591.55108523028025</v>
      </c>
      <c r="AC100" s="182">
        <f t="shared" si="78"/>
        <v>25</v>
      </c>
      <c r="AD100" s="540"/>
      <c r="AE100" s="188">
        <v>5</v>
      </c>
      <c r="AF100" s="188">
        <v>2957.507082152988</v>
      </c>
      <c r="AG100" s="185">
        <f t="shared" si="79"/>
        <v>591.5014164305976</v>
      </c>
      <c r="AH100" s="182">
        <f t="shared" si="80"/>
        <v>25</v>
      </c>
      <c r="AI100" s="540"/>
      <c r="AJ100" s="188">
        <v>5</v>
      </c>
      <c r="AK100" s="188">
        <v>2959.459459459466</v>
      </c>
      <c r="AL100" s="185">
        <f t="shared" si="81"/>
        <v>591.89189189189324</v>
      </c>
      <c r="AM100" s="182">
        <f t="shared" si="82"/>
        <v>25</v>
      </c>
      <c r="AN100" s="540"/>
      <c r="AO100" s="188">
        <v>5</v>
      </c>
      <c r="AP100" s="188">
        <v>2960.5594405594475</v>
      </c>
      <c r="AQ100" s="185">
        <f t="shared" si="83"/>
        <v>592.11188811188947</v>
      </c>
      <c r="AR100" s="182">
        <f t="shared" si="84"/>
        <v>25</v>
      </c>
      <c r="AS100" s="540"/>
      <c r="AT100" s="188">
        <v>5</v>
      </c>
      <c r="AU100" s="188">
        <v>2962.1848739495745</v>
      </c>
      <c r="AV100" s="185">
        <f t="shared" si="85"/>
        <v>592.43697478991487</v>
      </c>
      <c r="AW100" s="182">
        <f t="shared" si="86"/>
        <v>25</v>
      </c>
      <c r="AX100" s="540"/>
    </row>
    <row r="101" spans="2:50" ht="14.25" customHeight="1">
      <c r="B101" s="530"/>
      <c r="C101" s="180">
        <v>19</v>
      </c>
      <c r="D101" s="183" t="s">
        <v>161</v>
      </c>
      <c r="E101" s="184">
        <v>3</v>
      </c>
      <c r="F101" s="180">
        <v>3600</v>
      </c>
      <c r="G101" s="185">
        <f t="shared" si="73"/>
        <v>1200</v>
      </c>
      <c r="H101" s="558"/>
      <c r="I101" s="186">
        <f t="shared" si="74"/>
        <v>3</v>
      </c>
      <c r="J101" s="186">
        <f t="shared" si="74"/>
        <v>3139.1871290628474</v>
      </c>
      <c r="K101" s="187">
        <f t="shared" si="74"/>
        <v>1046.3957096876159</v>
      </c>
      <c r="L101" s="559"/>
      <c r="M101" s="186">
        <f>RANK(K101, K$83:$K$115)</f>
        <v>3</v>
      </c>
      <c r="N101" s="578"/>
      <c r="O101" s="541"/>
      <c r="P101" s="188">
        <v>3</v>
      </c>
      <c r="Q101" s="188">
        <v>3134.3742464432089</v>
      </c>
      <c r="R101" s="185">
        <f t="shared" si="71"/>
        <v>1044.7914154810696</v>
      </c>
      <c r="S101" s="182">
        <f t="shared" si="75"/>
        <v>3</v>
      </c>
      <c r="T101" s="540"/>
      <c r="U101" s="188">
        <v>3</v>
      </c>
      <c r="V101" s="188">
        <v>3139.7530864197497</v>
      </c>
      <c r="W101" s="185">
        <f t="shared" si="72"/>
        <v>1046.5843621399165</v>
      </c>
      <c r="X101" s="182">
        <f t="shared" si="76"/>
        <v>2</v>
      </c>
      <c r="Y101" s="540"/>
      <c r="Z101" s="188">
        <v>3</v>
      </c>
      <c r="AA101" s="188">
        <v>3139.6535433070921</v>
      </c>
      <c r="AB101" s="185">
        <f t="shared" si="77"/>
        <v>1046.5511811023641</v>
      </c>
      <c r="AC101" s="182">
        <f t="shared" si="78"/>
        <v>3</v>
      </c>
      <c r="AD101" s="540"/>
      <c r="AE101" s="188">
        <v>3</v>
      </c>
      <c r="AF101" s="188">
        <v>3139.9130143860784</v>
      </c>
      <c r="AG101" s="185">
        <f t="shared" si="79"/>
        <v>1046.6376714620262</v>
      </c>
      <c r="AH101" s="182">
        <f t="shared" si="80"/>
        <v>4</v>
      </c>
      <c r="AI101" s="540"/>
      <c r="AJ101" s="188">
        <v>3</v>
      </c>
      <c r="AK101" s="188">
        <v>3140.1098901098921</v>
      </c>
      <c r="AL101" s="185">
        <f t="shared" si="81"/>
        <v>1046.7032967032974</v>
      </c>
      <c r="AM101" s="182">
        <f t="shared" si="82"/>
        <v>3</v>
      </c>
      <c r="AN101" s="540"/>
      <c r="AO101" s="188">
        <v>3</v>
      </c>
      <c r="AP101" s="188">
        <v>3140.3257328990157</v>
      </c>
      <c r="AQ101" s="185">
        <f t="shared" si="83"/>
        <v>1046.7752442996718</v>
      </c>
      <c r="AR101" s="182">
        <f t="shared" si="84"/>
        <v>3</v>
      </c>
      <c r="AS101" s="540"/>
      <c r="AT101" s="188">
        <v>3</v>
      </c>
      <c r="AU101" s="188">
        <v>3140.1803898748963</v>
      </c>
      <c r="AV101" s="185">
        <f t="shared" si="85"/>
        <v>1046.7267966249653</v>
      </c>
      <c r="AW101" s="182">
        <f t="shared" si="86"/>
        <v>3</v>
      </c>
      <c r="AX101" s="540"/>
    </row>
    <row r="102" spans="2:50" ht="14.25" customHeight="1">
      <c r="B102" s="530"/>
      <c r="C102" s="180">
        <v>20</v>
      </c>
      <c r="D102" s="183" t="s">
        <v>162</v>
      </c>
      <c r="E102" s="184">
        <v>3</v>
      </c>
      <c r="F102" s="180">
        <v>3600</v>
      </c>
      <c r="G102" s="185">
        <f t="shared" si="73"/>
        <v>1200</v>
      </c>
      <c r="H102" s="558"/>
      <c r="I102" s="186">
        <f t="shared" si="74"/>
        <v>3</v>
      </c>
      <c r="J102" s="186">
        <f t="shared" si="74"/>
        <v>3141.9112234629888</v>
      </c>
      <c r="K102" s="187">
        <f t="shared" si="74"/>
        <v>1047.3037411543294</v>
      </c>
      <c r="L102" s="559"/>
      <c r="M102" s="186">
        <f>RANK(K102, K$83:$K$115)</f>
        <v>2</v>
      </c>
      <c r="N102" s="578"/>
      <c r="O102" s="541"/>
      <c r="P102" s="188">
        <v>3</v>
      </c>
      <c r="Q102" s="188">
        <v>3137.7643504531666</v>
      </c>
      <c r="R102" s="185">
        <f t="shared" si="71"/>
        <v>1045.9214501510555</v>
      </c>
      <c r="S102" s="182">
        <f t="shared" si="75"/>
        <v>2</v>
      </c>
      <c r="T102" s="540"/>
      <c r="U102" s="188">
        <v>3</v>
      </c>
      <c r="V102" s="188">
        <v>3138.3116883117027</v>
      </c>
      <c r="W102" s="185">
        <f t="shared" si="72"/>
        <v>1046.103896103901</v>
      </c>
      <c r="X102" s="182">
        <f t="shared" si="76"/>
        <v>5</v>
      </c>
      <c r="Y102" s="540"/>
      <c r="Z102" s="188">
        <v>3</v>
      </c>
      <c r="AA102" s="188">
        <v>3140.4255319148883</v>
      </c>
      <c r="AB102" s="185">
        <f t="shared" si="77"/>
        <v>1046.8085106382962</v>
      </c>
      <c r="AC102" s="182">
        <f t="shared" si="78"/>
        <v>2</v>
      </c>
      <c r="AD102" s="540"/>
      <c r="AE102" s="188">
        <v>3</v>
      </c>
      <c r="AF102" s="188">
        <v>3141.0199556541006</v>
      </c>
      <c r="AG102" s="185">
        <f t="shared" si="79"/>
        <v>1047.0066518847002</v>
      </c>
      <c r="AH102" s="182">
        <f t="shared" si="80"/>
        <v>2</v>
      </c>
      <c r="AI102" s="540"/>
      <c r="AJ102" s="188">
        <v>3</v>
      </c>
      <c r="AK102" s="188">
        <v>3143.8914027149408</v>
      </c>
      <c r="AL102" s="185">
        <f t="shared" si="81"/>
        <v>1047.9638009049802</v>
      </c>
      <c r="AM102" s="182">
        <f t="shared" si="82"/>
        <v>1</v>
      </c>
      <c r="AN102" s="540"/>
      <c r="AO102" s="188">
        <v>3</v>
      </c>
      <c r="AP102" s="188">
        <v>3146.153846153838</v>
      </c>
      <c r="AQ102" s="185">
        <f t="shared" si="83"/>
        <v>1048.717948717946</v>
      </c>
      <c r="AR102" s="182">
        <f t="shared" si="84"/>
        <v>1</v>
      </c>
      <c r="AS102" s="540"/>
      <c r="AT102" s="188">
        <v>3</v>
      </c>
      <c r="AU102" s="188">
        <v>3145.8117890382805</v>
      </c>
      <c r="AV102" s="185">
        <f t="shared" si="85"/>
        <v>1048.6039296794268</v>
      </c>
      <c r="AW102" s="182">
        <f t="shared" si="86"/>
        <v>1</v>
      </c>
      <c r="AX102" s="540"/>
    </row>
    <row r="103" spans="2:50" ht="14.25" customHeight="1">
      <c r="B103" s="530"/>
      <c r="C103" s="180">
        <v>21</v>
      </c>
      <c r="D103" s="183" t="s">
        <v>163</v>
      </c>
      <c r="E103" s="184">
        <v>4</v>
      </c>
      <c r="F103" s="180">
        <v>3300</v>
      </c>
      <c r="G103" s="185">
        <f t="shared" si="73"/>
        <v>825</v>
      </c>
      <c r="H103" s="558"/>
      <c r="I103" s="186">
        <f t="shared" si="74"/>
        <v>4</v>
      </c>
      <c r="J103" s="186">
        <f t="shared" si="74"/>
        <v>2928.6767155600114</v>
      </c>
      <c r="K103" s="187">
        <f t="shared" si="74"/>
        <v>732.16917889000285</v>
      </c>
      <c r="L103" s="559"/>
      <c r="M103" s="186">
        <f>RANK(K103, K$83:$K$115)</f>
        <v>18</v>
      </c>
      <c r="N103" s="578"/>
      <c r="O103" s="541"/>
      <c r="P103" s="188">
        <v>4</v>
      </c>
      <c r="Q103" s="188">
        <v>2928.1002087682709</v>
      </c>
      <c r="R103" s="185">
        <f t="shared" si="71"/>
        <v>732.02505219206773</v>
      </c>
      <c r="S103" s="182">
        <f t="shared" si="75"/>
        <v>18</v>
      </c>
      <c r="T103" s="540"/>
      <c r="U103" s="188">
        <v>4</v>
      </c>
      <c r="V103" s="188">
        <v>2928.2608695652175</v>
      </c>
      <c r="W103" s="185">
        <f t="shared" si="72"/>
        <v>732.06521739130437</v>
      </c>
      <c r="X103" s="182">
        <f t="shared" si="76"/>
        <v>18</v>
      </c>
      <c r="Y103" s="540"/>
      <c r="Z103" s="188">
        <v>4</v>
      </c>
      <c r="AA103" s="188">
        <v>2928.2855597620214</v>
      </c>
      <c r="AB103" s="185">
        <f t="shared" si="77"/>
        <v>732.07138994050536</v>
      </c>
      <c r="AC103" s="182">
        <f t="shared" si="78"/>
        <v>18</v>
      </c>
      <c r="AD103" s="540"/>
      <c r="AE103" s="188">
        <v>4</v>
      </c>
      <c r="AF103" s="188">
        <v>2928.6245353159975</v>
      </c>
      <c r="AG103" s="185">
        <f t="shared" si="79"/>
        <v>732.15613382899937</v>
      </c>
      <c r="AH103" s="182">
        <f t="shared" si="80"/>
        <v>18</v>
      </c>
      <c r="AI103" s="540"/>
      <c r="AJ103" s="188">
        <v>4</v>
      </c>
      <c r="AK103" s="188">
        <v>2928.81355932204</v>
      </c>
      <c r="AL103" s="185">
        <f t="shared" si="81"/>
        <v>732.20338983050999</v>
      </c>
      <c r="AM103" s="182">
        <f t="shared" si="82"/>
        <v>19</v>
      </c>
      <c r="AN103" s="540"/>
      <c r="AO103" s="188">
        <v>4</v>
      </c>
      <c r="AP103" s="188">
        <v>2928.8888888888991</v>
      </c>
      <c r="AQ103" s="185">
        <f t="shared" si="83"/>
        <v>732.22222222222479</v>
      </c>
      <c r="AR103" s="182">
        <f t="shared" si="84"/>
        <v>19</v>
      </c>
      <c r="AS103" s="540"/>
      <c r="AT103" s="188">
        <v>4</v>
      </c>
      <c r="AU103" s="188">
        <v>2929.7633872976367</v>
      </c>
      <c r="AV103" s="185">
        <f t="shared" si="85"/>
        <v>732.44084682440916</v>
      </c>
      <c r="AW103" s="182">
        <f t="shared" si="86"/>
        <v>19</v>
      </c>
      <c r="AX103" s="540"/>
    </row>
    <row r="104" spans="2:50" ht="14.25" customHeight="1">
      <c r="B104" s="530"/>
      <c r="C104" s="180">
        <v>22</v>
      </c>
      <c r="D104" s="183" t="s">
        <v>164</v>
      </c>
      <c r="E104" s="184">
        <v>4</v>
      </c>
      <c r="F104" s="180">
        <v>3300</v>
      </c>
      <c r="G104" s="185">
        <f>F104/E104</f>
        <v>825</v>
      </c>
      <c r="H104" s="558"/>
      <c r="I104" s="186">
        <f t="shared" si="74"/>
        <v>4</v>
      </c>
      <c r="J104" s="186">
        <f t="shared" si="74"/>
        <v>2928.5954194196011</v>
      </c>
      <c r="K104" s="187">
        <f t="shared" si="74"/>
        <v>732.14885485490026</v>
      </c>
      <c r="L104" s="559"/>
      <c r="M104" s="186">
        <f>RANK(K104, K$83:$K$115)</f>
        <v>19</v>
      </c>
      <c r="N104" s="578"/>
      <c r="O104" s="541"/>
      <c r="P104" s="188">
        <v>4</v>
      </c>
      <c r="Q104" s="188">
        <v>2927.8195488721803</v>
      </c>
      <c r="R104" s="185">
        <f t="shared" si="71"/>
        <v>731.95488721804509</v>
      </c>
      <c r="S104" s="182">
        <f t="shared" si="75"/>
        <v>19</v>
      </c>
      <c r="T104" s="540"/>
      <c r="U104" s="188">
        <v>4</v>
      </c>
      <c r="V104" s="188">
        <v>2927.7254374158838</v>
      </c>
      <c r="W104" s="185">
        <f t="shared" si="72"/>
        <v>731.93135935397095</v>
      </c>
      <c r="X104" s="182">
        <f t="shared" si="76"/>
        <v>19</v>
      </c>
      <c r="Y104" s="540"/>
      <c r="Z104" s="188">
        <v>4</v>
      </c>
      <c r="AA104" s="188">
        <v>2927.5362318840635</v>
      </c>
      <c r="AB104" s="185">
        <f t="shared" si="77"/>
        <v>731.88405797101586</v>
      </c>
      <c r="AC104" s="182">
        <f t="shared" si="78"/>
        <v>20</v>
      </c>
      <c r="AD104" s="540"/>
      <c r="AE104" s="188">
        <v>4</v>
      </c>
      <c r="AF104" s="188">
        <v>2928.0632411067304</v>
      </c>
      <c r="AG104" s="185">
        <f t="shared" si="79"/>
        <v>732.0158102766826</v>
      </c>
      <c r="AH104" s="182">
        <f t="shared" si="80"/>
        <v>19</v>
      </c>
      <c r="AI104" s="540"/>
      <c r="AJ104" s="188">
        <v>4</v>
      </c>
      <c r="AK104" s="188">
        <v>2929.0086797624485</v>
      </c>
      <c r="AL104" s="185">
        <f t="shared" si="81"/>
        <v>732.25216994061213</v>
      </c>
      <c r="AM104" s="182">
        <f t="shared" si="82"/>
        <v>18</v>
      </c>
      <c r="AN104" s="540"/>
      <c r="AO104" s="188">
        <v>4</v>
      </c>
      <c r="AP104" s="188">
        <v>2929.7104677060233</v>
      </c>
      <c r="AQ104" s="185">
        <f t="shared" si="83"/>
        <v>732.42761692650583</v>
      </c>
      <c r="AR104" s="182">
        <f t="shared" si="84"/>
        <v>18</v>
      </c>
      <c r="AS104" s="540"/>
      <c r="AT104" s="188">
        <v>4</v>
      </c>
      <c r="AU104" s="188">
        <v>2930.3043291898798</v>
      </c>
      <c r="AV104" s="185">
        <f t="shared" si="85"/>
        <v>732.57608229746995</v>
      </c>
      <c r="AW104" s="182">
        <f t="shared" si="86"/>
        <v>18</v>
      </c>
      <c r="AX104" s="540"/>
    </row>
    <row r="105" spans="2:50" ht="14.25" customHeight="1">
      <c r="B105" s="530"/>
      <c r="C105" s="180">
        <v>23</v>
      </c>
      <c r="D105" s="183" t="s">
        <v>165</v>
      </c>
      <c r="E105" s="184">
        <v>4</v>
      </c>
      <c r="F105" s="180">
        <v>3000</v>
      </c>
      <c r="G105" s="185">
        <f t="shared" ref="G105:G111" si="87">F105/E105</f>
        <v>750</v>
      </c>
      <c r="H105" s="558"/>
      <c r="I105" s="186">
        <f t="shared" si="74"/>
        <v>4</v>
      </c>
      <c r="J105" s="186">
        <f t="shared" si="74"/>
        <v>2691.6337201684792</v>
      </c>
      <c r="K105" s="187">
        <f t="shared" si="74"/>
        <v>672.90843004211979</v>
      </c>
      <c r="L105" s="559"/>
      <c r="M105" s="186">
        <f>RANK(K105, K$83:$K$115)</f>
        <v>22</v>
      </c>
      <c r="N105" s="578"/>
      <c r="O105" s="541"/>
      <c r="P105" s="188">
        <v>4</v>
      </c>
      <c r="Q105" s="188">
        <v>2691.0299003322302</v>
      </c>
      <c r="R105" s="185">
        <f t="shared" si="71"/>
        <v>672.75747508305756</v>
      </c>
      <c r="S105" s="182">
        <f t="shared" si="75"/>
        <v>22</v>
      </c>
      <c r="T105" s="540"/>
      <c r="U105" s="188">
        <v>4</v>
      </c>
      <c r="V105" s="188">
        <v>2691.2943344081104</v>
      </c>
      <c r="W105" s="185">
        <f t="shared" si="72"/>
        <v>672.82358360202761</v>
      </c>
      <c r="X105" s="182">
        <f t="shared" si="76"/>
        <v>22</v>
      </c>
      <c r="Y105" s="540"/>
      <c r="Z105" s="188">
        <v>4</v>
      </c>
      <c r="AA105" s="188">
        <v>2690.9857670005331</v>
      </c>
      <c r="AB105" s="185">
        <f t="shared" si="77"/>
        <v>672.74644175013327</v>
      </c>
      <c r="AC105" s="182">
        <f t="shared" si="78"/>
        <v>22</v>
      </c>
      <c r="AD105" s="540"/>
      <c r="AE105" s="188">
        <v>4</v>
      </c>
      <c r="AF105" s="188">
        <v>2691.1201392919365</v>
      </c>
      <c r="AG105" s="185">
        <f t="shared" si="79"/>
        <v>672.78003482298413</v>
      </c>
      <c r="AH105" s="182">
        <f t="shared" si="80"/>
        <v>22</v>
      </c>
      <c r="AI105" s="540"/>
      <c r="AJ105" s="188">
        <v>4</v>
      </c>
      <c r="AK105" s="188">
        <v>2691.7933130699171</v>
      </c>
      <c r="AL105" s="185">
        <f t="shared" si="81"/>
        <v>672.94832826747927</v>
      </c>
      <c r="AM105" s="182">
        <f t="shared" si="82"/>
        <v>22</v>
      </c>
      <c r="AN105" s="540"/>
      <c r="AO105" s="188">
        <v>4</v>
      </c>
      <c r="AP105" s="188">
        <v>2692.1739130434767</v>
      </c>
      <c r="AQ105" s="185">
        <f t="shared" si="83"/>
        <v>673.04347826086916</v>
      </c>
      <c r="AR105" s="182">
        <f t="shared" si="84"/>
        <v>22</v>
      </c>
      <c r="AS105" s="540"/>
      <c r="AT105" s="188">
        <v>4</v>
      </c>
      <c r="AU105" s="188">
        <v>2693.0386740331469</v>
      </c>
      <c r="AV105" s="185">
        <f t="shared" si="85"/>
        <v>673.25966850828672</v>
      </c>
      <c r="AW105" s="182">
        <f t="shared" si="86"/>
        <v>22</v>
      </c>
      <c r="AX105" s="540"/>
    </row>
    <row r="106" spans="2:50" ht="14.25" customHeight="1">
      <c r="B106" s="530"/>
      <c r="C106" s="180">
        <v>24</v>
      </c>
      <c r="D106" s="183" t="s">
        <v>166</v>
      </c>
      <c r="E106" s="184">
        <v>4</v>
      </c>
      <c r="F106" s="180">
        <v>3300</v>
      </c>
      <c r="G106" s="185">
        <f t="shared" si="87"/>
        <v>825</v>
      </c>
      <c r="H106" s="558"/>
      <c r="I106" s="186">
        <f t="shared" si="74"/>
        <v>4</v>
      </c>
      <c r="J106" s="186">
        <f t="shared" si="74"/>
        <v>2963.138841974413</v>
      </c>
      <c r="K106" s="187">
        <f t="shared" si="74"/>
        <v>740.78471049360326</v>
      </c>
      <c r="L106" s="559"/>
      <c r="M106" s="186">
        <f>RANK(K106, K$83:$K$115)</f>
        <v>13</v>
      </c>
      <c r="N106" s="578"/>
      <c r="O106" s="541"/>
      <c r="P106" s="188">
        <v>4</v>
      </c>
      <c r="Q106" s="188">
        <v>2962.679425837322</v>
      </c>
      <c r="R106" s="185">
        <f t="shared" si="71"/>
        <v>740.6698564593305</v>
      </c>
      <c r="S106" s="182">
        <f t="shared" si="75"/>
        <v>13</v>
      </c>
      <c r="T106" s="540"/>
      <c r="U106" s="188">
        <v>4</v>
      </c>
      <c r="V106" s="188">
        <v>2962.0879120879431</v>
      </c>
      <c r="W106" s="185">
        <f t="shared" si="72"/>
        <v>740.52197802198577</v>
      </c>
      <c r="X106" s="182">
        <f t="shared" si="76"/>
        <v>13</v>
      </c>
      <c r="Y106" s="540"/>
      <c r="Z106" s="188">
        <v>4</v>
      </c>
      <c r="AA106" s="188">
        <v>2965.7422512235066</v>
      </c>
      <c r="AB106" s="185">
        <f t="shared" si="77"/>
        <v>741.43556280587666</v>
      </c>
      <c r="AC106" s="182">
        <f t="shared" si="78"/>
        <v>12</v>
      </c>
      <c r="AD106" s="540"/>
      <c r="AE106" s="188">
        <v>4</v>
      </c>
      <c r="AF106" s="188">
        <v>2963.5359116022178</v>
      </c>
      <c r="AG106" s="185">
        <f t="shared" si="79"/>
        <v>740.88397790055444</v>
      </c>
      <c r="AH106" s="182">
        <f t="shared" si="80"/>
        <v>13</v>
      </c>
      <c r="AI106" s="540"/>
      <c r="AJ106" s="188">
        <v>4</v>
      </c>
      <c r="AK106" s="188">
        <v>2962.8997867804255</v>
      </c>
      <c r="AL106" s="185">
        <f t="shared" si="81"/>
        <v>740.72494669510638</v>
      </c>
      <c r="AM106" s="182">
        <f t="shared" si="82"/>
        <v>13</v>
      </c>
      <c r="AN106" s="540"/>
      <c r="AO106" s="188">
        <v>4</v>
      </c>
      <c r="AP106" s="188">
        <v>2961.849710982634</v>
      </c>
      <c r="AQ106" s="185">
        <f t="shared" si="83"/>
        <v>740.46242774565849</v>
      </c>
      <c r="AR106" s="182">
        <f t="shared" si="84"/>
        <v>14</v>
      </c>
      <c r="AS106" s="540"/>
      <c r="AT106" s="188">
        <v>4</v>
      </c>
      <c r="AU106" s="188">
        <v>2963.1768953068408</v>
      </c>
      <c r="AV106" s="185">
        <f t="shared" si="85"/>
        <v>740.79422382671021</v>
      </c>
      <c r="AW106" s="182">
        <f t="shared" si="86"/>
        <v>13</v>
      </c>
      <c r="AX106" s="540"/>
    </row>
    <row r="107" spans="2:50" ht="14.25" customHeight="1">
      <c r="B107" s="530"/>
      <c r="C107" s="180">
        <v>25</v>
      </c>
      <c r="D107" s="183" t="s">
        <v>167</v>
      </c>
      <c r="E107" s="184">
        <v>3</v>
      </c>
      <c r="F107" s="180">
        <v>3300</v>
      </c>
      <c r="G107" s="185">
        <f t="shared" si="87"/>
        <v>1100</v>
      </c>
      <c r="H107" s="558"/>
      <c r="I107" s="186">
        <f t="shared" si="74"/>
        <v>3</v>
      </c>
      <c r="J107" s="186">
        <f t="shared" si="74"/>
        <v>2961.3987923170107</v>
      </c>
      <c r="K107" s="187">
        <f t="shared" si="74"/>
        <v>987.13293077233698</v>
      </c>
      <c r="L107" s="559"/>
      <c r="M107" s="186">
        <f>RANK(K107, K$83:$K$115)</f>
        <v>7</v>
      </c>
      <c r="N107" s="578"/>
      <c r="O107" s="541"/>
      <c r="P107" s="188">
        <v>3</v>
      </c>
      <c r="Q107" s="188">
        <v>2959.9514563106877</v>
      </c>
      <c r="R107" s="185">
        <f t="shared" si="71"/>
        <v>986.65048543689591</v>
      </c>
      <c r="S107" s="182">
        <f t="shared" si="75"/>
        <v>7</v>
      </c>
      <c r="T107" s="540"/>
      <c r="U107" s="188">
        <v>3</v>
      </c>
      <c r="V107" s="188">
        <v>2961.0921501706575</v>
      </c>
      <c r="W107" s="185">
        <f t="shared" si="72"/>
        <v>987.03071672355247</v>
      </c>
      <c r="X107" s="182">
        <f t="shared" si="76"/>
        <v>7</v>
      </c>
      <c r="Y107" s="540"/>
      <c r="Z107" s="188">
        <v>3</v>
      </c>
      <c r="AA107" s="188">
        <v>2961.7021276595592</v>
      </c>
      <c r="AB107" s="185">
        <f t="shared" si="77"/>
        <v>987.23404255318644</v>
      </c>
      <c r="AC107" s="182">
        <f t="shared" si="78"/>
        <v>7</v>
      </c>
      <c r="AD107" s="540"/>
      <c r="AE107" s="188">
        <v>3</v>
      </c>
      <c r="AF107" s="188">
        <v>2960.5683836589692</v>
      </c>
      <c r="AG107" s="185">
        <f t="shared" si="79"/>
        <v>986.85612788632307</v>
      </c>
      <c r="AH107" s="182">
        <f t="shared" si="80"/>
        <v>7</v>
      </c>
      <c r="AI107" s="540"/>
      <c r="AJ107" s="188">
        <v>3</v>
      </c>
      <c r="AK107" s="188">
        <v>2961.5094339622392</v>
      </c>
      <c r="AL107" s="185">
        <f t="shared" si="81"/>
        <v>987.16981132074636</v>
      </c>
      <c r="AM107" s="182">
        <f t="shared" si="82"/>
        <v>7</v>
      </c>
      <c r="AN107" s="540"/>
      <c r="AO107" s="188">
        <v>3</v>
      </c>
      <c r="AP107" s="188">
        <v>2962.6643295354888</v>
      </c>
      <c r="AQ107" s="185">
        <f t="shared" si="83"/>
        <v>987.55477651182957</v>
      </c>
      <c r="AR107" s="182">
        <f t="shared" si="84"/>
        <v>7</v>
      </c>
      <c r="AS107" s="540"/>
      <c r="AT107" s="188">
        <v>3</v>
      </c>
      <c r="AU107" s="188">
        <v>2962.3036649214741</v>
      </c>
      <c r="AV107" s="185">
        <f t="shared" si="85"/>
        <v>987.43455497382467</v>
      </c>
      <c r="AW107" s="182">
        <f t="shared" si="86"/>
        <v>7</v>
      </c>
      <c r="AX107" s="540"/>
    </row>
    <row r="108" spans="2:50" ht="14.25" customHeight="1">
      <c r="B108" s="530"/>
      <c r="C108" s="180">
        <v>26</v>
      </c>
      <c r="D108" s="183" t="s">
        <v>168</v>
      </c>
      <c r="E108" s="184">
        <v>4</v>
      </c>
      <c r="F108" s="180">
        <v>3000</v>
      </c>
      <c r="G108" s="185">
        <f t="shared" si="87"/>
        <v>750</v>
      </c>
      <c r="H108" s="558"/>
      <c r="I108" s="186">
        <f t="shared" si="74"/>
        <v>4</v>
      </c>
      <c r="J108" s="186">
        <f t="shared" si="74"/>
        <v>2668.2146509750696</v>
      </c>
      <c r="K108" s="187">
        <f t="shared" si="74"/>
        <v>667.0536627437674</v>
      </c>
      <c r="L108" s="559"/>
      <c r="M108" s="186">
        <f>RANK(K108, K$83:$K$115)</f>
        <v>23</v>
      </c>
      <c r="N108" s="578"/>
      <c r="O108" s="541"/>
      <c r="P108" s="188">
        <v>4</v>
      </c>
      <c r="Q108" s="188">
        <v>2666.5249734325189</v>
      </c>
      <c r="R108" s="185">
        <f t="shared" si="71"/>
        <v>666.63124335812972</v>
      </c>
      <c r="S108" s="182">
        <f t="shared" si="75"/>
        <v>23</v>
      </c>
      <c r="T108" s="540"/>
      <c r="U108" s="188">
        <v>4</v>
      </c>
      <c r="V108" s="188">
        <v>2666.9218989280253</v>
      </c>
      <c r="W108" s="185">
        <f t="shared" si="72"/>
        <v>666.73047473200631</v>
      </c>
      <c r="X108" s="182">
        <f t="shared" si="76"/>
        <v>23</v>
      </c>
      <c r="Y108" s="540"/>
      <c r="Z108" s="188">
        <v>4</v>
      </c>
      <c r="AA108" s="188">
        <v>2667.2443674176857</v>
      </c>
      <c r="AB108" s="185">
        <f t="shared" si="77"/>
        <v>666.81109185442142</v>
      </c>
      <c r="AC108" s="182">
        <f t="shared" si="78"/>
        <v>23</v>
      </c>
      <c r="AD108" s="540"/>
      <c r="AE108" s="188">
        <v>4</v>
      </c>
      <c r="AF108" s="188">
        <v>2667.5875678342336</v>
      </c>
      <c r="AG108" s="185">
        <f t="shared" si="79"/>
        <v>666.8968919585584</v>
      </c>
      <c r="AH108" s="182">
        <f t="shared" si="80"/>
        <v>23</v>
      </c>
      <c r="AI108" s="540"/>
      <c r="AJ108" s="188">
        <v>4</v>
      </c>
      <c r="AK108" s="188">
        <v>2669.6629213483116</v>
      </c>
      <c r="AL108" s="185">
        <f t="shared" si="81"/>
        <v>667.41573033707789</v>
      </c>
      <c r="AM108" s="182">
        <f t="shared" si="82"/>
        <v>23</v>
      </c>
      <c r="AN108" s="540"/>
      <c r="AO108" s="188">
        <v>4</v>
      </c>
      <c r="AP108" s="188">
        <v>2669.5608278647155</v>
      </c>
      <c r="AQ108" s="185">
        <f t="shared" si="83"/>
        <v>667.39020696617888</v>
      </c>
      <c r="AR108" s="182">
        <f t="shared" si="84"/>
        <v>23</v>
      </c>
      <c r="AS108" s="540"/>
      <c r="AT108" s="188">
        <v>4</v>
      </c>
      <c r="AU108" s="188">
        <v>2669.9999999999964</v>
      </c>
      <c r="AV108" s="185">
        <f t="shared" si="85"/>
        <v>667.49999999999909</v>
      </c>
      <c r="AW108" s="182">
        <f t="shared" si="86"/>
        <v>23</v>
      </c>
      <c r="AX108" s="540"/>
    </row>
    <row r="109" spans="2:50" ht="14.25" customHeight="1">
      <c r="B109" s="530"/>
      <c r="C109" s="180">
        <v>27</v>
      </c>
      <c r="D109" s="183" t="s">
        <v>169</v>
      </c>
      <c r="E109" s="184">
        <v>5</v>
      </c>
      <c r="F109" s="180">
        <v>3000</v>
      </c>
      <c r="G109" s="185">
        <f t="shared" si="87"/>
        <v>600</v>
      </c>
      <c r="H109" s="558"/>
      <c r="I109" s="186">
        <f t="shared" si="74"/>
        <v>5</v>
      </c>
      <c r="J109" s="186">
        <f t="shared" si="74"/>
        <v>2668.6289829309535</v>
      </c>
      <c r="K109" s="187">
        <f t="shared" si="74"/>
        <v>533.72579658619065</v>
      </c>
      <c r="L109" s="559"/>
      <c r="M109" s="186">
        <f>RANK(K109, K$83:$K$115)</f>
        <v>27</v>
      </c>
      <c r="N109" s="578"/>
      <c r="O109" s="541"/>
      <c r="P109" s="188">
        <v>5</v>
      </c>
      <c r="Q109" s="188">
        <v>2667.088036117384</v>
      </c>
      <c r="R109" s="185">
        <f t="shared" si="71"/>
        <v>533.41760722347681</v>
      </c>
      <c r="S109" s="182">
        <f t="shared" si="75"/>
        <v>27</v>
      </c>
      <c r="T109" s="540"/>
      <c r="U109" s="188">
        <v>5</v>
      </c>
      <c r="V109" s="188">
        <v>2667.6000000000008</v>
      </c>
      <c r="W109" s="185">
        <f t="shared" si="72"/>
        <v>533.52000000000021</v>
      </c>
      <c r="X109" s="182">
        <f t="shared" si="76"/>
        <v>27</v>
      </c>
      <c r="Y109" s="540"/>
      <c r="Z109" s="188">
        <v>5</v>
      </c>
      <c r="AA109" s="188">
        <v>2667.5480769230853</v>
      </c>
      <c r="AB109" s="185">
        <f t="shared" si="77"/>
        <v>533.50961538461706</v>
      </c>
      <c r="AC109" s="182">
        <f t="shared" si="78"/>
        <v>27</v>
      </c>
      <c r="AD109" s="540"/>
      <c r="AE109" s="188">
        <v>5</v>
      </c>
      <c r="AF109" s="188">
        <v>2668.0203045685316</v>
      </c>
      <c r="AG109" s="185">
        <f t="shared" si="79"/>
        <v>533.60406091370635</v>
      </c>
      <c r="AH109" s="182">
        <f t="shared" si="80"/>
        <v>27</v>
      </c>
      <c r="AI109" s="540"/>
      <c r="AJ109" s="188">
        <v>5</v>
      </c>
      <c r="AK109" s="188">
        <v>2668.6434395848905</v>
      </c>
      <c r="AL109" s="185">
        <f t="shared" si="81"/>
        <v>533.72868791697806</v>
      </c>
      <c r="AM109" s="182">
        <f t="shared" si="82"/>
        <v>27</v>
      </c>
      <c r="AN109" s="540"/>
      <c r="AO109" s="188">
        <v>5</v>
      </c>
      <c r="AP109" s="188">
        <v>2670.1986754966861</v>
      </c>
      <c r="AQ109" s="185">
        <f t="shared" si="83"/>
        <v>534.03973509933724</v>
      </c>
      <c r="AR109" s="182">
        <f t="shared" si="84"/>
        <v>27</v>
      </c>
      <c r="AS109" s="540"/>
      <c r="AT109" s="188">
        <v>5</v>
      </c>
      <c r="AU109" s="188">
        <v>2671.3043478260961</v>
      </c>
      <c r="AV109" s="185">
        <f t="shared" si="85"/>
        <v>534.2608695652192</v>
      </c>
      <c r="AW109" s="182">
        <f t="shared" si="86"/>
        <v>27</v>
      </c>
      <c r="AX109" s="540"/>
    </row>
    <row r="110" spans="2:50" ht="14.25" customHeight="1">
      <c r="B110" s="530"/>
      <c r="C110" s="180">
        <v>28</v>
      </c>
      <c r="D110" s="183" t="s">
        <v>170</v>
      </c>
      <c r="E110" s="184">
        <v>3</v>
      </c>
      <c r="F110" s="180">
        <v>3000</v>
      </c>
      <c r="G110" s="185">
        <f t="shared" si="87"/>
        <v>1000</v>
      </c>
      <c r="H110" s="558"/>
      <c r="I110" s="186">
        <f t="shared" si="74"/>
        <v>3</v>
      </c>
      <c r="J110" s="186">
        <f t="shared" si="74"/>
        <v>2690.6993314071342</v>
      </c>
      <c r="K110" s="187">
        <f t="shared" si="74"/>
        <v>896.89977713571147</v>
      </c>
      <c r="L110" s="559"/>
      <c r="M110" s="186">
        <f>RANK(K110, K$83:$K$115)</f>
        <v>9</v>
      </c>
      <c r="N110" s="578"/>
      <c r="O110" s="541"/>
      <c r="P110" s="188">
        <v>3</v>
      </c>
      <c r="Q110" s="188">
        <v>2690.4419814064449</v>
      </c>
      <c r="R110" s="185">
        <f t="shared" si="71"/>
        <v>896.81399380214827</v>
      </c>
      <c r="S110" s="182">
        <f t="shared" si="75"/>
        <v>10</v>
      </c>
      <c r="T110" s="540"/>
      <c r="U110" s="188">
        <v>3</v>
      </c>
      <c r="V110" s="188">
        <v>2690.3378652805704</v>
      </c>
      <c r="W110" s="185">
        <f t="shared" si="72"/>
        <v>896.77928842685685</v>
      </c>
      <c r="X110" s="182">
        <f t="shared" si="76"/>
        <v>10</v>
      </c>
      <c r="Y110" s="540"/>
      <c r="Z110" s="188">
        <v>3</v>
      </c>
      <c r="AA110" s="188">
        <v>2690.7250693852829</v>
      </c>
      <c r="AB110" s="185">
        <f t="shared" si="77"/>
        <v>896.90835646176095</v>
      </c>
      <c r="AC110" s="182">
        <f t="shared" si="78"/>
        <v>9</v>
      </c>
      <c r="AD110" s="540"/>
      <c r="AE110" s="188">
        <v>3</v>
      </c>
      <c r="AF110" s="188">
        <v>2690.8137931034498</v>
      </c>
      <c r="AG110" s="185">
        <f t="shared" si="79"/>
        <v>896.93793103448331</v>
      </c>
      <c r="AH110" s="182">
        <f t="shared" si="80"/>
        <v>9</v>
      </c>
      <c r="AI110" s="540"/>
      <c r="AJ110" s="188">
        <v>3</v>
      </c>
      <c r="AK110" s="188">
        <v>2690.617075232461</v>
      </c>
      <c r="AL110" s="185">
        <f t="shared" si="81"/>
        <v>896.87235841082031</v>
      </c>
      <c r="AM110" s="182">
        <f t="shared" si="82"/>
        <v>9</v>
      </c>
      <c r="AN110" s="540"/>
      <c r="AO110" s="188">
        <v>3</v>
      </c>
      <c r="AP110" s="188">
        <v>2691.0363391655469</v>
      </c>
      <c r="AQ110" s="185">
        <f t="shared" si="83"/>
        <v>897.01211305518234</v>
      </c>
      <c r="AR110" s="182">
        <f t="shared" si="84"/>
        <v>9</v>
      </c>
      <c r="AS110" s="540"/>
      <c r="AT110" s="188">
        <v>3</v>
      </c>
      <c r="AU110" s="188">
        <v>2690.9231962761828</v>
      </c>
      <c r="AV110" s="185">
        <f t="shared" si="85"/>
        <v>896.9743987587276</v>
      </c>
      <c r="AW110" s="182">
        <f t="shared" si="86"/>
        <v>10</v>
      </c>
      <c r="AX110" s="540"/>
    </row>
    <row r="111" spans="2:50" ht="14.25" customHeight="1">
      <c r="B111" s="530"/>
      <c r="C111" s="180">
        <v>29</v>
      </c>
      <c r="D111" s="183" t="s">
        <v>171</v>
      </c>
      <c r="E111" s="184">
        <v>12</v>
      </c>
      <c r="F111" s="180">
        <v>3600</v>
      </c>
      <c r="G111" s="185">
        <f t="shared" si="87"/>
        <v>300</v>
      </c>
      <c r="H111" s="558"/>
      <c r="I111" s="186">
        <f t="shared" si="74"/>
        <v>12</v>
      </c>
      <c r="J111" s="186">
        <f t="shared" si="74"/>
        <v>3126.5609028055228</v>
      </c>
      <c r="K111" s="187">
        <f t="shared" si="74"/>
        <v>260.54674190046023</v>
      </c>
      <c r="L111" s="559"/>
      <c r="M111" s="186">
        <f>RANK(K111, K$83:$K$115)</f>
        <v>28</v>
      </c>
      <c r="N111" s="578"/>
      <c r="O111" s="541"/>
      <c r="P111" s="188">
        <v>12</v>
      </c>
      <c r="Q111" s="188">
        <v>3127.1838729383016</v>
      </c>
      <c r="R111" s="185">
        <f t="shared" si="71"/>
        <v>260.59865607819182</v>
      </c>
      <c r="S111" s="182">
        <f t="shared" si="75"/>
        <v>28</v>
      </c>
      <c r="T111" s="540"/>
      <c r="U111" s="188">
        <v>12</v>
      </c>
      <c r="V111" s="188">
        <v>3126.816380449141</v>
      </c>
      <c r="W111" s="185">
        <f t="shared" si="72"/>
        <v>260.56803170409506</v>
      </c>
      <c r="X111" s="182">
        <f t="shared" si="76"/>
        <v>29</v>
      </c>
      <c r="Y111" s="540"/>
      <c r="Z111" s="188">
        <v>12</v>
      </c>
      <c r="AA111" s="188">
        <v>3127.8688524590043</v>
      </c>
      <c r="AB111" s="185">
        <f t="shared" si="77"/>
        <v>260.65573770491704</v>
      </c>
      <c r="AC111" s="182">
        <f t="shared" si="78"/>
        <v>29</v>
      </c>
      <c r="AD111" s="540"/>
      <c r="AE111" s="188">
        <v>12</v>
      </c>
      <c r="AF111" s="188">
        <v>3128.3842794759826</v>
      </c>
      <c r="AG111" s="185">
        <f t="shared" si="79"/>
        <v>260.69868995633186</v>
      </c>
      <c r="AH111" s="182">
        <f t="shared" si="80"/>
        <v>28</v>
      </c>
      <c r="AI111" s="540"/>
      <c r="AJ111" s="188">
        <v>12</v>
      </c>
      <c r="AK111" s="188">
        <v>3128.6467486818929</v>
      </c>
      <c r="AL111" s="185">
        <f t="shared" si="81"/>
        <v>260.72056239015774</v>
      </c>
      <c r="AM111" s="182">
        <f t="shared" si="82"/>
        <v>28</v>
      </c>
      <c r="AN111" s="540"/>
      <c r="AO111" s="188">
        <v>12</v>
      </c>
      <c r="AP111" s="188">
        <v>3122.7837613918969</v>
      </c>
      <c r="AQ111" s="185">
        <f t="shared" si="83"/>
        <v>260.23198011599141</v>
      </c>
      <c r="AR111" s="182">
        <f t="shared" si="84"/>
        <v>28</v>
      </c>
      <c r="AS111" s="540"/>
      <c r="AT111" s="188">
        <v>12</v>
      </c>
      <c r="AU111" s="188">
        <v>3124.2424242424404</v>
      </c>
      <c r="AV111" s="185">
        <f t="shared" si="85"/>
        <v>260.3535353535367</v>
      </c>
      <c r="AW111" s="182">
        <f t="shared" si="86"/>
        <v>28</v>
      </c>
      <c r="AX111" s="540"/>
    </row>
    <row r="112" spans="2:50" ht="14.25" customHeight="1">
      <c r="B112" s="530"/>
      <c r="C112" s="180">
        <v>30</v>
      </c>
      <c r="D112" s="183"/>
      <c r="E112" s="184"/>
      <c r="F112" s="180"/>
      <c r="G112" s="185"/>
      <c r="H112" s="558"/>
      <c r="I112" s="186"/>
      <c r="J112" s="186"/>
      <c r="K112" s="187"/>
      <c r="L112" s="559"/>
      <c r="M112" s="186"/>
      <c r="N112" s="578"/>
      <c r="O112" s="541"/>
      <c r="P112" s="188"/>
      <c r="Q112" s="188"/>
      <c r="R112" s="185"/>
      <c r="S112" s="182"/>
      <c r="T112" s="540"/>
      <c r="U112" s="188"/>
      <c r="V112" s="188"/>
      <c r="W112" s="185"/>
      <c r="X112" s="182"/>
      <c r="Y112" s="540"/>
      <c r="Z112" s="188"/>
      <c r="AA112" s="188"/>
      <c r="AB112" s="185"/>
      <c r="AC112" s="182"/>
      <c r="AD112" s="540"/>
      <c r="AE112" s="188"/>
      <c r="AF112" s="188"/>
      <c r="AG112" s="185"/>
      <c r="AH112" s="182"/>
      <c r="AI112" s="540"/>
      <c r="AJ112" s="188"/>
      <c r="AK112" s="188"/>
      <c r="AL112" s="185"/>
      <c r="AM112" s="182"/>
      <c r="AN112" s="540"/>
      <c r="AO112" s="188"/>
      <c r="AP112" s="188"/>
      <c r="AQ112" s="185"/>
      <c r="AR112" s="182"/>
      <c r="AS112" s="540"/>
      <c r="AT112" s="188"/>
      <c r="AU112" s="188"/>
      <c r="AV112" s="185"/>
      <c r="AW112" s="182"/>
      <c r="AX112" s="540"/>
    </row>
    <row r="113" spans="1:50" ht="14.25" customHeight="1">
      <c r="B113" s="530"/>
      <c r="C113" s="180">
        <v>31</v>
      </c>
      <c r="D113" s="183"/>
      <c r="E113" s="180"/>
      <c r="F113" s="180"/>
      <c r="G113" s="185"/>
      <c r="H113" s="558"/>
      <c r="I113" s="186"/>
      <c r="J113" s="186"/>
      <c r="K113" s="187"/>
      <c r="L113" s="559"/>
      <c r="M113" s="186"/>
      <c r="N113" s="578"/>
      <c r="O113" s="541"/>
      <c r="P113" s="188"/>
      <c r="Q113" s="188"/>
      <c r="R113" s="185"/>
      <c r="S113" s="182"/>
      <c r="T113" s="540"/>
      <c r="U113" s="188"/>
      <c r="V113" s="188"/>
      <c r="W113" s="185"/>
      <c r="X113" s="182"/>
      <c r="Y113" s="540"/>
      <c r="Z113" s="188"/>
      <c r="AA113" s="188"/>
      <c r="AB113" s="185"/>
      <c r="AC113" s="182"/>
      <c r="AD113" s="540"/>
      <c r="AE113" s="188"/>
      <c r="AF113" s="188"/>
      <c r="AG113" s="185"/>
      <c r="AH113" s="182"/>
      <c r="AI113" s="540"/>
      <c r="AJ113" s="188"/>
      <c r="AK113" s="188"/>
      <c r="AL113" s="185"/>
      <c r="AM113" s="182"/>
      <c r="AN113" s="540"/>
      <c r="AO113" s="188"/>
      <c r="AP113" s="188"/>
      <c r="AQ113" s="185"/>
      <c r="AR113" s="182"/>
      <c r="AS113" s="540"/>
      <c r="AT113" s="188"/>
      <c r="AU113" s="188"/>
      <c r="AV113" s="185"/>
      <c r="AW113" s="182"/>
      <c r="AX113" s="540"/>
    </row>
    <row r="114" spans="1:50" ht="14.25" customHeight="1">
      <c r="B114" s="530"/>
      <c r="C114" s="180">
        <v>32</v>
      </c>
      <c r="D114" s="183"/>
      <c r="E114" s="180"/>
      <c r="F114" s="180"/>
      <c r="G114" s="185"/>
      <c r="H114" s="558"/>
      <c r="I114" s="186"/>
      <c r="J114" s="186"/>
      <c r="K114" s="187"/>
      <c r="L114" s="559"/>
      <c r="M114" s="186"/>
      <c r="N114" s="578"/>
      <c r="O114" s="541"/>
      <c r="P114" s="188"/>
      <c r="Q114" s="188"/>
      <c r="R114" s="185"/>
      <c r="S114" s="182"/>
      <c r="T114" s="540"/>
      <c r="U114" s="188"/>
      <c r="V114" s="188"/>
      <c r="W114" s="185"/>
      <c r="X114" s="182"/>
      <c r="Y114" s="540"/>
      <c r="Z114" s="188"/>
      <c r="AA114" s="188"/>
      <c r="AB114" s="185"/>
      <c r="AC114" s="182"/>
      <c r="AD114" s="540"/>
      <c r="AE114" s="188"/>
      <c r="AF114" s="188"/>
      <c r="AG114" s="185"/>
      <c r="AH114" s="182"/>
      <c r="AI114" s="540"/>
      <c r="AJ114" s="188"/>
      <c r="AK114" s="188"/>
      <c r="AL114" s="185"/>
      <c r="AM114" s="182"/>
      <c r="AN114" s="540"/>
      <c r="AO114" s="188"/>
      <c r="AP114" s="188"/>
      <c r="AQ114" s="185"/>
      <c r="AR114" s="182"/>
      <c r="AS114" s="540"/>
      <c r="AT114" s="188"/>
      <c r="AU114" s="188"/>
      <c r="AV114" s="185"/>
      <c r="AW114" s="182"/>
      <c r="AX114" s="540"/>
    </row>
    <row r="115" spans="1:50" ht="14.25" customHeight="1">
      <c r="B115" s="530"/>
      <c r="C115" s="180">
        <v>33</v>
      </c>
      <c r="D115" s="183"/>
      <c r="E115" s="180"/>
      <c r="F115" s="180"/>
      <c r="G115" s="185"/>
      <c r="H115" s="558"/>
      <c r="I115" s="186"/>
      <c r="J115" s="186"/>
      <c r="K115" s="187"/>
      <c r="L115" s="559"/>
      <c r="M115" s="186"/>
      <c r="N115" s="578"/>
      <c r="O115" s="541"/>
      <c r="P115" s="188"/>
      <c r="Q115" s="188"/>
      <c r="R115" s="185"/>
      <c r="S115" s="182"/>
      <c r="T115" s="540"/>
      <c r="U115" s="188"/>
      <c r="V115" s="188"/>
      <c r="W115" s="185"/>
      <c r="X115" s="182"/>
      <c r="Y115" s="540"/>
      <c r="Z115" s="188"/>
      <c r="AA115" s="188"/>
      <c r="AB115" s="185"/>
      <c r="AC115" s="182"/>
      <c r="AD115" s="540"/>
      <c r="AE115" s="188"/>
      <c r="AF115" s="188"/>
      <c r="AG115" s="185"/>
      <c r="AH115" s="182"/>
      <c r="AI115" s="540"/>
      <c r="AJ115" s="188"/>
      <c r="AK115" s="188"/>
      <c r="AL115" s="185"/>
      <c r="AM115" s="182"/>
      <c r="AN115" s="540"/>
      <c r="AO115" s="188"/>
      <c r="AP115" s="188"/>
      <c r="AQ115" s="185"/>
      <c r="AR115" s="182"/>
      <c r="AS115" s="540"/>
      <c r="AT115" s="188"/>
      <c r="AU115" s="188"/>
      <c r="AV115" s="185"/>
      <c r="AW115" s="182"/>
      <c r="AX115" s="540"/>
    </row>
    <row r="116" spans="1:50" ht="14.25" customHeight="1" collapsed="1">
      <c r="B116" s="544" t="s">
        <v>175</v>
      </c>
      <c r="C116" s="545"/>
      <c r="D116" s="545"/>
      <c r="E116" s="545"/>
      <c r="F116" s="545"/>
      <c r="G116" s="545"/>
      <c r="H116" s="545"/>
      <c r="I116" s="545"/>
      <c r="J116" s="545"/>
      <c r="K116" s="545"/>
      <c r="L116" s="545"/>
      <c r="M116" s="546"/>
      <c r="N116" s="549" t="s">
        <v>127</v>
      </c>
      <c r="O116" s="549" t="s">
        <v>77</v>
      </c>
      <c r="P116" s="551">
        <f>AT78+1</f>
        <v>46070</v>
      </c>
      <c r="Q116" s="552"/>
      <c r="R116" s="552"/>
      <c r="S116" s="552"/>
      <c r="T116" s="552"/>
      <c r="U116" s="542">
        <f>P116+1</f>
        <v>46071</v>
      </c>
      <c r="V116" s="543"/>
      <c r="W116" s="543"/>
      <c r="X116" s="543"/>
      <c r="Y116" s="543"/>
      <c r="Z116" s="551">
        <f t="shared" ref="Z116" si="88">U116+1</f>
        <v>46072</v>
      </c>
      <c r="AA116" s="552"/>
      <c r="AB116" s="552"/>
      <c r="AC116" s="552"/>
      <c r="AD116" s="552"/>
      <c r="AE116" s="542">
        <f t="shared" ref="AE116" si="89">Z116+1</f>
        <v>46073</v>
      </c>
      <c r="AF116" s="543"/>
      <c r="AG116" s="543"/>
      <c r="AH116" s="543"/>
      <c r="AI116" s="543"/>
      <c r="AJ116" s="532">
        <f t="shared" ref="AJ116" si="90">AE116+1</f>
        <v>46074</v>
      </c>
      <c r="AK116" s="533"/>
      <c r="AL116" s="533"/>
      <c r="AM116" s="533"/>
      <c r="AN116" s="534"/>
      <c r="AO116" s="542">
        <f t="shared" ref="AO116" si="91">AJ116+1</f>
        <v>46075</v>
      </c>
      <c r="AP116" s="543"/>
      <c r="AQ116" s="543"/>
      <c r="AR116" s="543"/>
      <c r="AS116" s="543"/>
      <c r="AT116" s="532">
        <f t="shared" ref="AT116" si="92">AO116+1</f>
        <v>46076</v>
      </c>
      <c r="AU116" s="533"/>
      <c r="AV116" s="533"/>
      <c r="AW116" s="533"/>
      <c r="AX116" s="534"/>
    </row>
    <row r="117" spans="1:50" ht="14.25" customHeight="1"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8"/>
      <c r="N117" s="550"/>
      <c r="O117" s="550"/>
      <c r="P117" s="535">
        <f>P116</f>
        <v>46070</v>
      </c>
      <c r="Q117" s="535"/>
      <c r="R117" s="535"/>
      <c r="S117" s="535"/>
      <c r="T117" s="535"/>
      <c r="U117" s="536">
        <f>U116</f>
        <v>46071</v>
      </c>
      <c r="V117" s="536"/>
      <c r="W117" s="536"/>
      <c r="X117" s="536"/>
      <c r="Y117" s="536"/>
      <c r="Z117" s="535">
        <f t="shared" ref="Z117" si="93">Z116</f>
        <v>46072</v>
      </c>
      <c r="AA117" s="535"/>
      <c r="AB117" s="535"/>
      <c r="AC117" s="535"/>
      <c r="AD117" s="535"/>
      <c r="AE117" s="536">
        <f t="shared" ref="AE117" si="94">AE116</f>
        <v>46073</v>
      </c>
      <c r="AF117" s="536"/>
      <c r="AG117" s="536"/>
      <c r="AH117" s="536"/>
      <c r="AI117" s="536"/>
      <c r="AJ117" s="537">
        <f t="shared" ref="AJ117" si="95">AJ116</f>
        <v>46074</v>
      </c>
      <c r="AK117" s="538"/>
      <c r="AL117" s="538"/>
      <c r="AM117" s="538"/>
      <c r="AN117" s="539"/>
      <c r="AO117" s="536">
        <f t="shared" ref="AO117" si="96">AO116</f>
        <v>46075</v>
      </c>
      <c r="AP117" s="536"/>
      <c r="AQ117" s="536"/>
      <c r="AR117" s="536"/>
      <c r="AS117" s="536"/>
      <c r="AT117" s="537">
        <f t="shared" ref="AT117" si="97">AT116</f>
        <v>46076</v>
      </c>
      <c r="AU117" s="538"/>
      <c r="AV117" s="538"/>
      <c r="AW117" s="538"/>
      <c r="AX117" s="539"/>
    </row>
    <row r="118" spans="1:50" ht="14.25" customHeight="1">
      <c r="B118" s="530" t="s">
        <v>128</v>
      </c>
      <c r="C118" s="530" t="s">
        <v>129</v>
      </c>
      <c r="D118" s="530"/>
      <c r="E118" s="530" t="s">
        <v>130</v>
      </c>
      <c r="F118" s="530"/>
      <c r="G118" s="530"/>
      <c r="H118" s="530" t="s">
        <v>131</v>
      </c>
      <c r="I118" s="553" t="s">
        <v>132</v>
      </c>
      <c r="J118" s="553"/>
      <c r="K118" s="553"/>
      <c r="L118" s="553" t="s">
        <v>131</v>
      </c>
      <c r="M118" s="553" t="s">
        <v>133</v>
      </c>
      <c r="N118" s="578"/>
      <c r="O118" s="541" t="s">
        <v>134</v>
      </c>
      <c r="P118" s="541" t="s">
        <v>135</v>
      </c>
      <c r="Q118" s="541"/>
      <c r="R118" s="541"/>
      <c r="S118" s="541"/>
      <c r="T118" s="541" t="s">
        <v>131</v>
      </c>
      <c r="U118" s="541" t="s">
        <v>135</v>
      </c>
      <c r="V118" s="541"/>
      <c r="W118" s="541"/>
      <c r="X118" s="541"/>
      <c r="Y118" s="541" t="s">
        <v>131</v>
      </c>
      <c r="Z118" s="541" t="s">
        <v>135</v>
      </c>
      <c r="AA118" s="541"/>
      <c r="AB118" s="541"/>
      <c r="AC118" s="541"/>
      <c r="AD118" s="541" t="s">
        <v>131</v>
      </c>
      <c r="AE118" s="541" t="s">
        <v>135</v>
      </c>
      <c r="AF118" s="541"/>
      <c r="AG118" s="541"/>
      <c r="AH118" s="541"/>
      <c r="AI118" s="541" t="s">
        <v>131</v>
      </c>
      <c r="AJ118" s="541" t="s">
        <v>135</v>
      </c>
      <c r="AK118" s="541"/>
      <c r="AL118" s="541"/>
      <c r="AM118" s="541"/>
      <c r="AN118" s="541" t="s">
        <v>131</v>
      </c>
      <c r="AO118" s="541" t="s">
        <v>135</v>
      </c>
      <c r="AP118" s="541"/>
      <c r="AQ118" s="541"/>
      <c r="AR118" s="541"/>
      <c r="AS118" s="541" t="s">
        <v>131</v>
      </c>
      <c r="AT118" s="541" t="s">
        <v>135</v>
      </c>
      <c r="AU118" s="541"/>
      <c r="AV118" s="541"/>
      <c r="AW118" s="541"/>
      <c r="AX118" s="541" t="s">
        <v>131</v>
      </c>
    </row>
    <row r="119" spans="1:50" ht="14.25" customHeight="1">
      <c r="B119" s="530"/>
      <c r="C119" s="530"/>
      <c r="D119" s="530"/>
      <c r="E119" s="530" t="s">
        <v>136</v>
      </c>
      <c r="F119" s="530"/>
      <c r="G119" s="530"/>
      <c r="H119" s="530"/>
      <c r="I119" s="553" t="s">
        <v>136</v>
      </c>
      <c r="J119" s="553"/>
      <c r="K119" s="553"/>
      <c r="L119" s="553"/>
      <c r="M119" s="553"/>
      <c r="N119" s="578"/>
      <c r="O119" s="541"/>
      <c r="P119" s="541" t="s">
        <v>137</v>
      </c>
      <c r="Q119" s="541"/>
      <c r="R119" s="541"/>
      <c r="S119" s="541"/>
      <c r="T119" s="541"/>
      <c r="U119" s="541" t="s">
        <v>137</v>
      </c>
      <c r="V119" s="541"/>
      <c r="W119" s="541"/>
      <c r="X119" s="541"/>
      <c r="Y119" s="541"/>
      <c r="Z119" s="541" t="s">
        <v>137</v>
      </c>
      <c r="AA119" s="541"/>
      <c r="AB119" s="541"/>
      <c r="AC119" s="541"/>
      <c r="AD119" s="541"/>
      <c r="AE119" s="541" t="s">
        <v>137</v>
      </c>
      <c r="AF119" s="541"/>
      <c r="AG119" s="541"/>
      <c r="AH119" s="541"/>
      <c r="AI119" s="541"/>
      <c r="AJ119" s="541" t="s">
        <v>137</v>
      </c>
      <c r="AK119" s="541"/>
      <c r="AL119" s="541"/>
      <c r="AM119" s="541"/>
      <c r="AN119" s="541"/>
      <c r="AO119" s="541" t="s">
        <v>137</v>
      </c>
      <c r="AP119" s="541"/>
      <c r="AQ119" s="541"/>
      <c r="AR119" s="541"/>
      <c r="AS119" s="541"/>
      <c r="AT119" s="541" t="s">
        <v>137</v>
      </c>
      <c r="AU119" s="541"/>
      <c r="AV119" s="541"/>
      <c r="AW119" s="541"/>
      <c r="AX119" s="541"/>
    </row>
    <row r="120" spans="1:50" ht="14.25" customHeight="1">
      <c r="A120" s="177"/>
      <c r="B120" s="530"/>
      <c r="C120" s="530"/>
      <c r="D120" s="530"/>
      <c r="E120" s="180" t="s">
        <v>138</v>
      </c>
      <c r="F120" s="180" t="s">
        <v>139</v>
      </c>
      <c r="G120" s="180" t="s">
        <v>140</v>
      </c>
      <c r="H120" s="530"/>
      <c r="I120" s="181" t="s">
        <v>138</v>
      </c>
      <c r="J120" s="181" t="s">
        <v>139</v>
      </c>
      <c r="K120" s="181" t="s">
        <v>140</v>
      </c>
      <c r="L120" s="553"/>
      <c r="M120" s="553"/>
      <c r="N120" s="578"/>
      <c r="O120" s="541"/>
      <c r="P120" s="182" t="s">
        <v>138</v>
      </c>
      <c r="Q120" s="182" t="s">
        <v>139</v>
      </c>
      <c r="R120" s="182" t="s">
        <v>140</v>
      </c>
      <c r="S120" s="182" t="s">
        <v>133</v>
      </c>
      <c r="T120" s="541"/>
      <c r="U120" s="182" t="s">
        <v>138</v>
      </c>
      <c r="V120" s="182" t="s">
        <v>139</v>
      </c>
      <c r="W120" s="182" t="s">
        <v>140</v>
      </c>
      <c r="X120" s="182" t="s">
        <v>133</v>
      </c>
      <c r="Y120" s="541"/>
      <c r="Z120" s="182" t="s">
        <v>138</v>
      </c>
      <c r="AA120" s="182" t="s">
        <v>139</v>
      </c>
      <c r="AB120" s="182" t="s">
        <v>140</v>
      </c>
      <c r="AC120" s="182" t="s">
        <v>133</v>
      </c>
      <c r="AD120" s="541"/>
      <c r="AE120" s="182" t="s">
        <v>138</v>
      </c>
      <c r="AF120" s="182" t="s">
        <v>139</v>
      </c>
      <c r="AG120" s="182" t="s">
        <v>140</v>
      </c>
      <c r="AH120" s="182" t="s">
        <v>133</v>
      </c>
      <c r="AI120" s="541"/>
      <c r="AJ120" s="182" t="s">
        <v>138</v>
      </c>
      <c r="AK120" s="182" t="s">
        <v>139</v>
      </c>
      <c r="AL120" s="182" t="s">
        <v>140</v>
      </c>
      <c r="AM120" s="182" t="s">
        <v>133</v>
      </c>
      <c r="AN120" s="541"/>
      <c r="AO120" s="182" t="s">
        <v>138</v>
      </c>
      <c r="AP120" s="182" t="s">
        <v>139</v>
      </c>
      <c r="AQ120" s="182" t="s">
        <v>140</v>
      </c>
      <c r="AR120" s="182" t="s">
        <v>133</v>
      </c>
      <c r="AS120" s="541"/>
      <c r="AT120" s="182" t="s">
        <v>138</v>
      </c>
      <c r="AU120" s="182" t="s">
        <v>139</v>
      </c>
      <c r="AV120" s="182" t="s">
        <v>140</v>
      </c>
      <c r="AW120" s="182" t="s">
        <v>133</v>
      </c>
      <c r="AX120" s="541"/>
    </row>
    <row r="121" spans="1:50" ht="14.25" customHeight="1">
      <c r="B121" s="530" t="s">
        <v>141</v>
      </c>
      <c r="C121" s="180">
        <v>1</v>
      </c>
      <c r="D121" s="183" t="s">
        <v>142</v>
      </c>
      <c r="E121" s="184">
        <v>4</v>
      </c>
      <c r="F121" s="180">
        <v>3300</v>
      </c>
      <c r="G121" s="185">
        <f>F121/E121</f>
        <v>825</v>
      </c>
      <c r="H121" s="558">
        <f>AVERAGE(G121:G153)</f>
        <v>873.44827586206895</v>
      </c>
      <c r="I121" s="186">
        <f>AVERAGE(P121,U121,Z121,AE121,AJ121,AO121,AT121)</f>
        <v>4</v>
      </c>
      <c r="J121" s="186">
        <f>AVERAGE(Q121,V121,AA121,AF121,AK121,AP121,AU121)</f>
        <v>2961.2000469156105</v>
      </c>
      <c r="K121" s="187">
        <f>AVERAGE(R121,W121,AB121,AG121,AL121,AQ121,AV121)</f>
        <v>740.30001172890263</v>
      </c>
      <c r="L121" s="559">
        <f>IFERROR(AVERAGE(K121:K153),"-")</f>
        <v>775.89436223806035</v>
      </c>
      <c r="M121" s="186">
        <f>RANK(K121, K$121:$K$153)</f>
        <v>16</v>
      </c>
      <c r="N121" s="578"/>
      <c r="O121" s="541"/>
      <c r="P121" s="188">
        <v>4</v>
      </c>
      <c r="Q121" s="188">
        <v>2960.4624277456669</v>
      </c>
      <c r="R121" s="185">
        <f t="shared" ref="R121:R149" si="98">IFERROR(Q121/P121,"")</f>
        <v>740.11560693641673</v>
      </c>
      <c r="S121" s="182">
        <f>RANK(R121, R$121:R$153)</f>
        <v>15</v>
      </c>
      <c r="T121" s="540">
        <f>AVERAGE(R121:R153)</f>
        <v>775.63708109943775</v>
      </c>
      <c r="U121" s="188">
        <v>4</v>
      </c>
      <c r="V121" s="188">
        <v>2961.0921501706484</v>
      </c>
      <c r="W121" s="185">
        <f t="shared" ref="W121:W149" si="99">IFERROR(V121/U121,"")</f>
        <v>740.27303754266211</v>
      </c>
      <c r="X121" s="182">
        <f>RANK(W121, W$121:W$153)</f>
        <v>16</v>
      </c>
      <c r="Y121" s="540">
        <f>AVERAGE(W121:W153)</f>
        <v>775.75858050974227</v>
      </c>
      <c r="Z121" s="188">
        <v>4</v>
      </c>
      <c r="AA121" s="188">
        <v>2961.6037008481153</v>
      </c>
      <c r="AB121" s="185">
        <f>IFERROR(AA121/Z121,"")</f>
        <v>740.40092521202882</v>
      </c>
      <c r="AC121" s="182">
        <f>RANK(AB121, AB$121:AB$153)</f>
        <v>16</v>
      </c>
      <c r="AD121" s="540">
        <f>AVERAGE(AB121:AB153)</f>
        <v>775.82131809668613</v>
      </c>
      <c r="AE121" s="188">
        <v>4</v>
      </c>
      <c r="AF121" s="188">
        <v>2961.2903225806463</v>
      </c>
      <c r="AG121" s="185">
        <f>IFERROR(AF121/AE121,"")</f>
        <v>740.32258064516157</v>
      </c>
      <c r="AH121" s="182">
        <f>RANK(AG121, AG$121:AG$153)</f>
        <v>16</v>
      </c>
      <c r="AI121" s="540">
        <f>AVERAGE(AG121:AG153)</f>
        <v>775.93249382824774</v>
      </c>
      <c r="AJ121" s="188">
        <v>4</v>
      </c>
      <c r="AK121" s="188">
        <v>2961.1267605633839</v>
      </c>
      <c r="AL121" s="185">
        <f>IFERROR(AK121/AJ121,"")</f>
        <v>740.28169014084597</v>
      </c>
      <c r="AM121" s="182">
        <f>RANK(AL121, AL$121:AL$153)</f>
        <v>16</v>
      </c>
      <c r="AN121" s="540">
        <f>AVERAGE(AL121:AL153)</f>
        <v>775.96827879984107</v>
      </c>
      <c r="AO121" s="188">
        <v>4</v>
      </c>
      <c r="AP121" s="188">
        <v>2961.3188976377946</v>
      </c>
      <c r="AQ121" s="185">
        <f>IFERROR(AP121/AO121,"")</f>
        <v>740.32972440944866</v>
      </c>
      <c r="AR121" s="182">
        <f>RANK(AQ121, AQ$121:AQ$153)</f>
        <v>16</v>
      </c>
      <c r="AS121" s="540">
        <f>AVERAGE(AQ121:AQ153)</f>
        <v>776.05071104949388</v>
      </c>
      <c r="AT121" s="188">
        <v>4</v>
      </c>
      <c r="AU121" s="188">
        <v>2961.5060688630197</v>
      </c>
      <c r="AV121" s="185">
        <f>IFERROR(AU121/AT121,"")</f>
        <v>740.37651721575492</v>
      </c>
      <c r="AW121" s="182">
        <f>RANK(AV121, AV$121:AV$153)</f>
        <v>16</v>
      </c>
      <c r="AX121" s="540">
        <f>AVERAGE(AV121:AV153)</f>
        <v>776.09207228297328</v>
      </c>
    </row>
    <row r="122" spans="1:50" ht="14.25" customHeight="1">
      <c r="B122" s="530"/>
      <c r="C122" s="180">
        <v>2</v>
      </c>
      <c r="D122" s="183" t="s">
        <v>143</v>
      </c>
      <c r="E122" s="184">
        <v>3</v>
      </c>
      <c r="F122" s="180">
        <v>3600</v>
      </c>
      <c r="G122" s="185">
        <f t="shared" ref="G122:G141" si="100">F122/E122</f>
        <v>1200</v>
      </c>
      <c r="H122" s="558"/>
      <c r="I122" s="186">
        <f t="shared" ref="I122:K149" si="101">AVERAGE(P122,U122,Z122,AE122,AJ122,AO122,AT122)</f>
        <v>3</v>
      </c>
      <c r="J122" s="186">
        <f t="shared" si="101"/>
        <v>3139.4132307580244</v>
      </c>
      <c r="K122" s="187">
        <f t="shared" si="101"/>
        <v>1046.4710769193412</v>
      </c>
      <c r="L122" s="559"/>
      <c r="M122" s="186">
        <f>RANK(K122, K$121:$K$153)</f>
        <v>6</v>
      </c>
      <c r="N122" s="578"/>
      <c r="O122" s="541"/>
      <c r="P122" s="188">
        <v>3</v>
      </c>
      <c r="Q122" s="188">
        <v>3138.9961389961391</v>
      </c>
      <c r="R122" s="185">
        <f t="shared" si="98"/>
        <v>1046.3320463320463</v>
      </c>
      <c r="S122" s="182">
        <f t="shared" ref="S122:S149" si="102">RANK(R122, R$121:R$153)</f>
        <v>6</v>
      </c>
      <c r="T122" s="540"/>
      <c r="U122" s="188">
        <v>3</v>
      </c>
      <c r="V122" s="188">
        <v>3139.0337751175721</v>
      </c>
      <c r="W122" s="185">
        <f t="shared" si="99"/>
        <v>1046.3445917058573</v>
      </c>
      <c r="X122" s="182">
        <f t="shared" ref="X122:X149" si="103">RANK(W122, W$121:W$153)</f>
        <v>6</v>
      </c>
      <c r="Y122" s="540"/>
      <c r="Z122" s="188">
        <v>3</v>
      </c>
      <c r="AA122" s="188">
        <v>3139.0385859021353</v>
      </c>
      <c r="AB122" s="185">
        <f t="shared" ref="AB122:AB149" si="104">IFERROR(AA122/Z122,"")</f>
        <v>1046.3461953007118</v>
      </c>
      <c r="AC122" s="182">
        <f t="shared" ref="AC122:AC149" si="105">RANK(AB122, AB$121:AB$153)</f>
        <v>6</v>
      </c>
      <c r="AD122" s="540"/>
      <c r="AE122" s="188">
        <v>3</v>
      </c>
      <c r="AF122" s="188">
        <v>3139.4579696830492</v>
      </c>
      <c r="AG122" s="185">
        <f t="shared" ref="AG122:AG149" si="106">IFERROR(AF122/AE122,"")</f>
        <v>1046.4859898943498</v>
      </c>
      <c r="AH122" s="182">
        <f t="shared" ref="AH122:AH149" si="107">RANK(AG122, AG$121:AG$153)</f>
        <v>6</v>
      </c>
      <c r="AI122" s="540"/>
      <c r="AJ122" s="188">
        <v>3</v>
      </c>
      <c r="AK122" s="188">
        <v>3139.5907473309603</v>
      </c>
      <c r="AL122" s="185">
        <f t="shared" ref="AL122:AL149" si="108">IFERROR(AK122/AJ122,"")</f>
        <v>1046.53024911032</v>
      </c>
      <c r="AM122" s="182">
        <f t="shared" ref="AM122:AM149" si="109">RANK(AL122, AL$121:AL$153)</f>
        <v>6</v>
      </c>
      <c r="AN122" s="540"/>
      <c r="AO122" s="188">
        <v>3</v>
      </c>
      <c r="AP122" s="188">
        <v>3139.775398276312</v>
      </c>
      <c r="AQ122" s="185">
        <f t="shared" ref="AQ122:AQ149" si="110">IFERROR(AP122/AO122,"")</f>
        <v>1046.5917994254373</v>
      </c>
      <c r="AR122" s="182">
        <f t="shared" ref="AR122:AR149" si="111">RANK(AQ122, AQ$121:AQ$153)</f>
        <v>6</v>
      </c>
      <c r="AS122" s="540"/>
      <c r="AT122" s="188">
        <v>3</v>
      </c>
      <c r="AU122" s="188">
        <v>3139.9999999999991</v>
      </c>
      <c r="AV122" s="185">
        <f t="shared" ref="AV122:AV149" si="112">IFERROR(AU122/AT122,"")</f>
        <v>1046.6666666666663</v>
      </c>
      <c r="AW122" s="182">
        <f t="shared" ref="AW122:AW149" si="113">RANK(AV122, AV$121:AV$153)</f>
        <v>6</v>
      </c>
      <c r="AX122" s="540"/>
    </row>
    <row r="123" spans="1:50" ht="14.25" customHeight="1">
      <c r="B123" s="530"/>
      <c r="C123" s="180">
        <v>3</v>
      </c>
      <c r="D123" s="183" t="s">
        <v>144</v>
      </c>
      <c r="E123" s="184">
        <v>4</v>
      </c>
      <c r="F123" s="180">
        <v>3300</v>
      </c>
      <c r="G123" s="185">
        <f t="shared" si="100"/>
        <v>825</v>
      </c>
      <c r="H123" s="558"/>
      <c r="I123" s="186">
        <f t="shared" si="101"/>
        <v>4</v>
      </c>
      <c r="J123" s="186">
        <f t="shared" si="101"/>
        <v>2962.5747998347756</v>
      </c>
      <c r="K123" s="187">
        <f t="shared" si="101"/>
        <v>740.6436999586939</v>
      </c>
      <c r="L123" s="559"/>
      <c r="M123" s="186">
        <f>RANK(K123, K$121:$K$153)</f>
        <v>15</v>
      </c>
      <c r="N123" s="578"/>
      <c r="O123" s="541"/>
      <c r="P123" s="188">
        <v>4</v>
      </c>
      <c r="Q123" s="188">
        <v>2959.6981132075484</v>
      </c>
      <c r="R123" s="185">
        <f t="shared" si="98"/>
        <v>739.92452830188711</v>
      </c>
      <c r="S123" s="182">
        <f t="shared" si="102"/>
        <v>16</v>
      </c>
      <c r="T123" s="540"/>
      <c r="U123" s="188">
        <v>4</v>
      </c>
      <c r="V123" s="188">
        <v>2962.4074987666481</v>
      </c>
      <c r="W123" s="185">
        <f t="shared" si="99"/>
        <v>740.60187469166203</v>
      </c>
      <c r="X123" s="182">
        <f t="shared" si="103"/>
        <v>15</v>
      </c>
      <c r="Y123" s="540"/>
      <c r="Z123" s="188">
        <v>4</v>
      </c>
      <c r="AA123" s="188">
        <v>2962.9367088607578</v>
      </c>
      <c r="AB123" s="185">
        <f t="shared" si="104"/>
        <v>740.73417721518945</v>
      </c>
      <c r="AC123" s="182">
        <f t="shared" si="105"/>
        <v>15</v>
      </c>
      <c r="AD123" s="540"/>
      <c r="AE123" s="188">
        <v>4</v>
      </c>
      <c r="AF123" s="188">
        <v>2962.8654200684732</v>
      </c>
      <c r="AG123" s="185">
        <f t="shared" si="106"/>
        <v>740.7163550171183</v>
      </c>
      <c r="AH123" s="182">
        <f t="shared" si="107"/>
        <v>15</v>
      </c>
      <c r="AI123" s="540"/>
      <c r="AJ123" s="188">
        <v>4</v>
      </c>
      <c r="AK123" s="188">
        <v>2963.284275755228</v>
      </c>
      <c r="AL123" s="185">
        <f t="shared" si="108"/>
        <v>740.821068938807</v>
      </c>
      <c r="AM123" s="182">
        <f t="shared" si="109"/>
        <v>14</v>
      </c>
      <c r="AN123" s="540"/>
      <c r="AO123" s="188">
        <v>4</v>
      </c>
      <c r="AP123" s="188">
        <v>2963.200988722384</v>
      </c>
      <c r="AQ123" s="185">
        <f t="shared" si="110"/>
        <v>740.80024718059599</v>
      </c>
      <c r="AR123" s="182">
        <f t="shared" si="111"/>
        <v>15</v>
      </c>
      <c r="AS123" s="540"/>
      <c r="AT123" s="188">
        <v>4</v>
      </c>
      <c r="AU123" s="188">
        <v>2963.6305934623906</v>
      </c>
      <c r="AV123" s="185">
        <f t="shared" si="112"/>
        <v>740.90764836559765</v>
      </c>
      <c r="AW123" s="182">
        <f t="shared" si="113"/>
        <v>15</v>
      </c>
      <c r="AX123" s="540"/>
    </row>
    <row r="124" spans="1:50" ht="14.25" customHeight="1">
      <c r="B124" s="530"/>
      <c r="C124" s="180">
        <v>4</v>
      </c>
      <c r="D124" s="183" t="s">
        <v>145</v>
      </c>
      <c r="E124" s="184">
        <v>5</v>
      </c>
      <c r="F124" s="180">
        <v>3300</v>
      </c>
      <c r="G124" s="185">
        <f t="shared" si="100"/>
        <v>660</v>
      </c>
      <c r="H124" s="558"/>
      <c r="I124" s="186">
        <f t="shared" si="101"/>
        <v>5</v>
      </c>
      <c r="J124" s="186">
        <f t="shared" si="101"/>
        <v>2964.8290856864264</v>
      </c>
      <c r="K124" s="187">
        <f t="shared" si="101"/>
        <v>592.9658171372854</v>
      </c>
      <c r="L124" s="559"/>
      <c r="M124" s="186">
        <f>RANK(K124, K$121:$K$153)</f>
        <v>24</v>
      </c>
      <c r="N124" s="578"/>
      <c r="O124" s="541"/>
      <c r="P124" s="188">
        <v>5</v>
      </c>
      <c r="Q124" s="188">
        <v>2962.5000000000082</v>
      </c>
      <c r="R124" s="185">
        <f t="shared" si="98"/>
        <v>592.50000000000159</v>
      </c>
      <c r="S124" s="182">
        <f t="shared" si="102"/>
        <v>24</v>
      </c>
      <c r="T124" s="540"/>
      <c r="U124" s="188">
        <v>5</v>
      </c>
      <c r="V124" s="188">
        <v>2964.7058823529455</v>
      </c>
      <c r="W124" s="185">
        <f t="shared" si="99"/>
        <v>592.94117647058908</v>
      </c>
      <c r="X124" s="182">
        <f t="shared" si="103"/>
        <v>24</v>
      </c>
      <c r="Y124" s="540"/>
      <c r="Z124" s="188">
        <v>5</v>
      </c>
      <c r="AA124" s="188">
        <v>2963.2653061224551</v>
      </c>
      <c r="AB124" s="185">
        <f t="shared" si="104"/>
        <v>592.65306122449101</v>
      </c>
      <c r="AC124" s="182">
        <f t="shared" si="105"/>
        <v>24</v>
      </c>
      <c r="AD124" s="540"/>
      <c r="AE124" s="188">
        <v>5</v>
      </c>
      <c r="AF124" s="188">
        <v>2964.7058823529424</v>
      </c>
      <c r="AG124" s="185">
        <f t="shared" si="106"/>
        <v>592.94117647058852</v>
      </c>
      <c r="AH124" s="182">
        <f t="shared" si="107"/>
        <v>24</v>
      </c>
      <c r="AI124" s="540"/>
      <c r="AJ124" s="188">
        <v>5</v>
      </c>
      <c r="AK124" s="188">
        <v>2965.4101995565402</v>
      </c>
      <c r="AL124" s="185">
        <f t="shared" si="108"/>
        <v>593.08203991130802</v>
      </c>
      <c r="AM124" s="182">
        <f t="shared" si="109"/>
        <v>24</v>
      </c>
      <c r="AN124" s="540"/>
      <c r="AO124" s="188">
        <v>5</v>
      </c>
      <c r="AP124" s="188">
        <v>2966.4179104477575</v>
      </c>
      <c r="AQ124" s="185">
        <f t="shared" si="110"/>
        <v>593.28358208955149</v>
      </c>
      <c r="AR124" s="182">
        <f t="shared" si="111"/>
        <v>24</v>
      </c>
      <c r="AS124" s="540"/>
      <c r="AT124" s="188">
        <v>5</v>
      </c>
      <c r="AU124" s="188">
        <v>2966.798418972337</v>
      </c>
      <c r="AV124" s="185">
        <f t="shared" si="112"/>
        <v>593.3596837944674</v>
      </c>
      <c r="AW124" s="182">
        <f t="shared" si="113"/>
        <v>24</v>
      </c>
      <c r="AX124" s="540"/>
    </row>
    <row r="125" spans="1:50" ht="14.25" customHeight="1">
      <c r="B125" s="530"/>
      <c r="C125" s="180">
        <v>5</v>
      </c>
      <c r="D125" s="183" t="s">
        <v>146</v>
      </c>
      <c r="E125" s="184">
        <v>3</v>
      </c>
      <c r="F125" s="180">
        <v>3600</v>
      </c>
      <c r="G125" s="185">
        <f t="shared" si="100"/>
        <v>1200</v>
      </c>
      <c r="H125" s="558"/>
      <c r="I125" s="186">
        <f t="shared" si="101"/>
        <v>3</v>
      </c>
      <c r="J125" s="186">
        <f t="shared" si="101"/>
        <v>3141.3733552517624</v>
      </c>
      <c r="K125" s="187">
        <f t="shared" si="101"/>
        <v>1047.1244517505877</v>
      </c>
      <c r="L125" s="559"/>
      <c r="M125" s="186">
        <f>RANK(K125, K$121:$K$153)</f>
        <v>4</v>
      </c>
      <c r="N125" s="578"/>
      <c r="O125" s="541"/>
      <c r="P125" s="188">
        <v>3</v>
      </c>
      <c r="Q125" s="188">
        <v>3140.5007363770292</v>
      </c>
      <c r="R125" s="185">
        <f t="shared" si="98"/>
        <v>1046.8335787923431</v>
      </c>
      <c r="S125" s="182">
        <f t="shared" si="102"/>
        <v>4</v>
      </c>
      <c r="T125" s="540"/>
      <c r="U125" s="188">
        <v>3</v>
      </c>
      <c r="V125" s="188">
        <v>3140.3508771929833</v>
      </c>
      <c r="W125" s="185">
        <f t="shared" si="99"/>
        <v>1046.7836257309943</v>
      </c>
      <c r="X125" s="182">
        <f t="shared" si="103"/>
        <v>4</v>
      </c>
      <c r="Y125" s="540"/>
      <c r="Z125" s="188">
        <v>3</v>
      </c>
      <c r="AA125" s="188">
        <v>3140.3865717192234</v>
      </c>
      <c r="AB125" s="185">
        <f t="shared" si="104"/>
        <v>1046.7955239064079</v>
      </c>
      <c r="AC125" s="182">
        <f t="shared" si="105"/>
        <v>4</v>
      </c>
      <c r="AD125" s="540"/>
      <c r="AE125" s="188">
        <v>3</v>
      </c>
      <c r="AF125" s="188">
        <v>3141.1566535654069</v>
      </c>
      <c r="AG125" s="185">
        <f t="shared" si="106"/>
        <v>1047.0522178551357</v>
      </c>
      <c r="AH125" s="182">
        <f t="shared" si="107"/>
        <v>4</v>
      </c>
      <c r="AI125" s="540"/>
      <c r="AJ125" s="188">
        <v>3</v>
      </c>
      <c r="AK125" s="188">
        <v>3142.0229405630876</v>
      </c>
      <c r="AL125" s="185">
        <f t="shared" si="108"/>
        <v>1047.3409801876958</v>
      </c>
      <c r="AM125" s="182">
        <f t="shared" si="109"/>
        <v>4</v>
      </c>
      <c r="AN125" s="540"/>
      <c r="AO125" s="188">
        <v>3</v>
      </c>
      <c r="AP125" s="188">
        <v>3142.6475491830643</v>
      </c>
      <c r="AQ125" s="185">
        <f t="shared" si="110"/>
        <v>1047.5491830610215</v>
      </c>
      <c r="AR125" s="182">
        <f t="shared" si="111"/>
        <v>3</v>
      </c>
      <c r="AS125" s="540"/>
      <c r="AT125" s="188">
        <v>3</v>
      </c>
      <c r="AU125" s="188">
        <v>3142.5481581615422</v>
      </c>
      <c r="AV125" s="185">
        <f t="shared" si="112"/>
        <v>1047.5160527205142</v>
      </c>
      <c r="AW125" s="182">
        <f t="shared" si="113"/>
        <v>4</v>
      </c>
      <c r="AX125" s="540"/>
    </row>
    <row r="126" spans="1:50" ht="14.25" customHeight="1">
      <c r="B126" s="530"/>
      <c r="C126" s="180">
        <v>6</v>
      </c>
      <c r="D126" s="183" t="s">
        <v>147</v>
      </c>
      <c r="E126" s="184">
        <v>3</v>
      </c>
      <c r="F126" s="180">
        <v>3000</v>
      </c>
      <c r="G126" s="185">
        <f t="shared" si="100"/>
        <v>1000</v>
      </c>
      <c r="H126" s="558"/>
      <c r="I126" s="186">
        <f t="shared" si="101"/>
        <v>3</v>
      </c>
      <c r="J126" s="186">
        <f t="shared" si="101"/>
        <v>2691.6739930027411</v>
      </c>
      <c r="K126" s="187">
        <f t="shared" si="101"/>
        <v>897.224664334247</v>
      </c>
      <c r="L126" s="559"/>
      <c r="M126" s="186">
        <f>RANK(K126, K$121:$K$153)</f>
        <v>11</v>
      </c>
      <c r="N126" s="578"/>
      <c r="O126" s="541"/>
      <c r="P126" s="188">
        <v>3</v>
      </c>
      <c r="Q126" s="188">
        <v>2690.6860866232291</v>
      </c>
      <c r="R126" s="185">
        <f t="shared" si="98"/>
        <v>896.89536220774301</v>
      </c>
      <c r="S126" s="182">
        <f t="shared" si="102"/>
        <v>11</v>
      </c>
      <c r="T126" s="540"/>
      <c r="U126" s="188">
        <v>3</v>
      </c>
      <c r="V126" s="188">
        <v>2691.2096168294511</v>
      </c>
      <c r="W126" s="185">
        <f t="shared" si="99"/>
        <v>897.06987227648369</v>
      </c>
      <c r="X126" s="182">
        <f t="shared" si="103"/>
        <v>10</v>
      </c>
      <c r="Y126" s="540"/>
      <c r="Z126" s="188">
        <v>3</v>
      </c>
      <c r="AA126" s="188">
        <v>2691.4481185860905</v>
      </c>
      <c r="AB126" s="185">
        <f t="shared" si="104"/>
        <v>897.14937286203019</v>
      </c>
      <c r="AC126" s="182">
        <f t="shared" si="105"/>
        <v>10</v>
      </c>
      <c r="AD126" s="540"/>
      <c r="AE126" s="188">
        <v>3</v>
      </c>
      <c r="AF126" s="188">
        <v>2691.9315403422984</v>
      </c>
      <c r="AG126" s="185">
        <f t="shared" si="106"/>
        <v>897.31051344743275</v>
      </c>
      <c r="AH126" s="182">
        <f t="shared" si="107"/>
        <v>10</v>
      </c>
      <c r="AI126" s="540"/>
      <c r="AJ126" s="188">
        <v>3</v>
      </c>
      <c r="AK126" s="188">
        <v>2692.1862667719006</v>
      </c>
      <c r="AL126" s="185">
        <f t="shared" si="108"/>
        <v>897.3954222573002</v>
      </c>
      <c r="AM126" s="182">
        <f t="shared" si="109"/>
        <v>9</v>
      </c>
      <c r="AN126" s="540"/>
      <c r="AO126" s="188">
        <v>3</v>
      </c>
      <c r="AP126" s="188">
        <v>2692.1587608906098</v>
      </c>
      <c r="AQ126" s="185">
        <f t="shared" si="110"/>
        <v>897.38625363020321</v>
      </c>
      <c r="AR126" s="182">
        <f t="shared" si="111"/>
        <v>11</v>
      </c>
      <c r="AS126" s="540"/>
      <c r="AT126" s="188">
        <v>3</v>
      </c>
      <c r="AU126" s="188">
        <v>2692.0975609756088</v>
      </c>
      <c r="AV126" s="185">
        <f t="shared" si="112"/>
        <v>897.36585365853625</v>
      </c>
      <c r="AW126" s="182">
        <f t="shared" si="113"/>
        <v>11</v>
      </c>
      <c r="AX126" s="540"/>
    </row>
    <row r="127" spans="1:50" ht="14.25" customHeight="1">
      <c r="B127" s="530"/>
      <c r="C127" s="180">
        <v>7</v>
      </c>
      <c r="D127" s="183" t="s">
        <v>148</v>
      </c>
      <c r="E127" s="184">
        <v>3</v>
      </c>
      <c r="F127" s="180">
        <v>3600</v>
      </c>
      <c r="G127" s="185">
        <f t="shared" si="100"/>
        <v>1200</v>
      </c>
      <c r="H127" s="558"/>
      <c r="I127" s="186">
        <f t="shared" si="101"/>
        <v>3</v>
      </c>
      <c r="J127" s="186">
        <f t="shared" si="101"/>
        <v>3143.9343410581728</v>
      </c>
      <c r="K127" s="187">
        <f t="shared" si="101"/>
        <v>1047.9781136860577</v>
      </c>
      <c r="L127" s="559"/>
      <c r="M127" s="186">
        <f>RANK(K127, K$121:$K$153)</f>
        <v>2</v>
      </c>
      <c r="N127" s="578"/>
      <c r="O127" s="541"/>
      <c r="P127" s="188">
        <v>3</v>
      </c>
      <c r="Q127" s="188">
        <v>3144.2060085836902</v>
      </c>
      <c r="R127" s="185">
        <f t="shared" si="98"/>
        <v>1048.0686695278966</v>
      </c>
      <c r="S127" s="182">
        <f t="shared" si="102"/>
        <v>2</v>
      </c>
      <c r="T127" s="540"/>
      <c r="U127" s="188">
        <v>3</v>
      </c>
      <c r="V127" s="188">
        <v>3143.0340557275608</v>
      </c>
      <c r="W127" s="185">
        <f t="shared" si="99"/>
        <v>1047.6780185758537</v>
      </c>
      <c r="X127" s="182">
        <f t="shared" si="103"/>
        <v>2</v>
      </c>
      <c r="Y127" s="540"/>
      <c r="Z127" s="188">
        <v>3</v>
      </c>
      <c r="AA127" s="188">
        <v>3143.9252336448694</v>
      </c>
      <c r="AB127" s="185">
        <f t="shared" si="104"/>
        <v>1047.9750778816231</v>
      </c>
      <c r="AC127" s="182">
        <f t="shared" si="105"/>
        <v>2</v>
      </c>
      <c r="AD127" s="540"/>
      <c r="AE127" s="188">
        <v>3</v>
      </c>
      <c r="AF127" s="188">
        <v>3144.4168734491327</v>
      </c>
      <c r="AG127" s="185">
        <f t="shared" si="106"/>
        <v>1048.1389578163776</v>
      </c>
      <c r="AH127" s="182">
        <f t="shared" si="107"/>
        <v>2</v>
      </c>
      <c r="AI127" s="540"/>
      <c r="AJ127" s="188">
        <v>3</v>
      </c>
      <c r="AK127" s="188">
        <v>3143.6018957346</v>
      </c>
      <c r="AL127" s="185">
        <f t="shared" si="108"/>
        <v>1047.8672985782</v>
      </c>
      <c r="AM127" s="182">
        <f t="shared" si="109"/>
        <v>2</v>
      </c>
      <c r="AN127" s="540"/>
      <c r="AO127" s="188">
        <v>3</v>
      </c>
      <c r="AP127" s="188">
        <v>3144.2732752846582</v>
      </c>
      <c r="AQ127" s="185">
        <f t="shared" si="110"/>
        <v>1048.0910917615527</v>
      </c>
      <c r="AR127" s="182">
        <f t="shared" si="111"/>
        <v>2</v>
      </c>
      <c r="AS127" s="540"/>
      <c r="AT127" s="188">
        <v>3</v>
      </c>
      <c r="AU127" s="188">
        <v>3144.0830449827013</v>
      </c>
      <c r="AV127" s="185">
        <f t="shared" si="112"/>
        <v>1048.0276816609005</v>
      </c>
      <c r="AW127" s="182">
        <f t="shared" si="113"/>
        <v>2</v>
      </c>
      <c r="AX127" s="540"/>
    </row>
    <row r="128" spans="1:50" ht="14.25" customHeight="1">
      <c r="B128" s="530"/>
      <c r="C128" s="180">
        <v>8</v>
      </c>
      <c r="D128" s="183" t="s">
        <v>149</v>
      </c>
      <c r="E128" s="184">
        <v>4</v>
      </c>
      <c r="F128" s="180">
        <v>3300</v>
      </c>
      <c r="G128" s="185">
        <f t="shared" si="100"/>
        <v>825</v>
      </c>
      <c r="H128" s="558"/>
      <c r="I128" s="186">
        <f t="shared" si="101"/>
        <v>4</v>
      </c>
      <c r="J128" s="186">
        <f t="shared" si="101"/>
        <v>2927.2747940463923</v>
      </c>
      <c r="K128" s="187">
        <f t="shared" si="101"/>
        <v>731.81869851159809</v>
      </c>
      <c r="L128" s="559"/>
      <c r="M128" s="186">
        <f>RANK(K128, K$121:$K$153)</f>
        <v>21</v>
      </c>
      <c r="N128" s="578"/>
      <c r="O128" s="541"/>
      <c r="P128" s="188">
        <v>4</v>
      </c>
      <c r="Q128" s="188">
        <v>2926.729291204093</v>
      </c>
      <c r="R128" s="185">
        <f t="shared" si="98"/>
        <v>731.68232280102325</v>
      </c>
      <c r="S128" s="182">
        <f t="shared" si="102"/>
        <v>21</v>
      </c>
      <c r="T128" s="540"/>
      <c r="U128" s="188">
        <v>4</v>
      </c>
      <c r="V128" s="188">
        <v>2926.1083743842401</v>
      </c>
      <c r="W128" s="185">
        <f t="shared" si="99"/>
        <v>731.52709359606001</v>
      </c>
      <c r="X128" s="182">
        <f t="shared" si="103"/>
        <v>21</v>
      </c>
      <c r="Y128" s="540"/>
      <c r="Z128" s="188">
        <v>4</v>
      </c>
      <c r="AA128" s="188">
        <v>2925.7731958762893</v>
      </c>
      <c r="AB128" s="185">
        <f t="shared" si="104"/>
        <v>731.44329896907232</v>
      </c>
      <c r="AC128" s="182">
        <f t="shared" si="105"/>
        <v>21</v>
      </c>
      <c r="AD128" s="540"/>
      <c r="AE128" s="188">
        <v>4</v>
      </c>
      <c r="AF128" s="188">
        <v>2926.4957264957357</v>
      </c>
      <c r="AG128" s="185">
        <f t="shared" si="106"/>
        <v>731.62393162393391</v>
      </c>
      <c r="AH128" s="182">
        <f t="shared" si="107"/>
        <v>21</v>
      </c>
      <c r="AI128" s="540"/>
      <c r="AJ128" s="188">
        <v>4</v>
      </c>
      <c r="AK128" s="188">
        <v>2927.6518585675476</v>
      </c>
      <c r="AL128" s="185">
        <f t="shared" si="108"/>
        <v>731.9129646418869</v>
      </c>
      <c r="AM128" s="182">
        <f t="shared" si="109"/>
        <v>21</v>
      </c>
      <c r="AN128" s="540"/>
      <c r="AO128" s="188">
        <v>4</v>
      </c>
      <c r="AP128" s="188">
        <v>2928.6673058485189</v>
      </c>
      <c r="AQ128" s="185">
        <f t="shared" si="110"/>
        <v>732.16682646212973</v>
      </c>
      <c r="AR128" s="182">
        <f t="shared" si="111"/>
        <v>21</v>
      </c>
      <c r="AS128" s="540"/>
      <c r="AT128" s="188">
        <v>4</v>
      </c>
      <c r="AU128" s="188">
        <v>2929.497805948321</v>
      </c>
      <c r="AV128" s="185">
        <f t="shared" si="112"/>
        <v>732.37445148708025</v>
      </c>
      <c r="AW128" s="182">
        <f t="shared" si="113"/>
        <v>21</v>
      </c>
      <c r="AX128" s="540"/>
    </row>
    <row r="129" spans="2:50" ht="14.25" customHeight="1">
      <c r="B129" s="530"/>
      <c r="C129" s="180">
        <v>9</v>
      </c>
      <c r="D129" s="183" t="s">
        <v>150</v>
      </c>
      <c r="E129" s="184">
        <v>4</v>
      </c>
      <c r="F129" s="180">
        <v>3300</v>
      </c>
      <c r="G129" s="185">
        <f t="shared" si="100"/>
        <v>825</v>
      </c>
      <c r="H129" s="558"/>
      <c r="I129" s="186">
        <f t="shared" si="101"/>
        <v>4</v>
      </c>
      <c r="J129" s="186">
        <f t="shared" si="101"/>
        <v>2929.7412424234185</v>
      </c>
      <c r="K129" s="187">
        <f t="shared" si="101"/>
        <v>732.43531060585462</v>
      </c>
      <c r="L129" s="559"/>
      <c r="M129" s="186">
        <f>RANK(K129, K$121:$K$153)</f>
        <v>20</v>
      </c>
      <c r="N129" s="578"/>
      <c r="O129" s="541"/>
      <c r="P129" s="188">
        <v>4</v>
      </c>
      <c r="Q129" s="188">
        <v>2928.3408650742431</v>
      </c>
      <c r="R129" s="185">
        <f t="shared" si="98"/>
        <v>732.08521626856077</v>
      </c>
      <c r="S129" s="182">
        <f t="shared" si="102"/>
        <v>20</v>
      </c>
      <c r="T129" s="540"/>
      <c r="U129" s="188">
        <v>4</v>
      </c>
      <c r="V129" s="188">
        <v>2927.8195488721803</v>
      </c>
      <c r="W129" s="185">
        <f t="shared" si="99"/>
        <v>731.95488721804509</v>
      </c>
      <c r="X129" s="182">
        <f t="shared" si="103"/>
        <v>20</v>
      </c>
      <c r="Y129" s="540"/>
      <c r="Z129" s="188">
        <v>4</v>
      </c>
      <c r="AA129" s="188">
        <v>2928.8522511097099</v>
      </c>
      <c r="AB129" s="185">
        <f t="shared" si="104"/>
        <v>732.21306277742747</v>
      </c>
      <c r="AC129" s="182">
        <f t="shared" si="105"/>
        <v>20</v>
      </c>
      <c r="AD129" s="540"/>
      <c r="AE129" s="188">
        <v>4</v>
      </c>
      <c r="AF129" s="188">
        <v>2930.1742160278736</v>
      </c>
      <c r="AG129" s="185">
        <f t="shared" si="106"/>
        <v>732.54355400696841</v>
      </c>
      <c r="AH129" s="182">
        <f t="shared" si="107"/>
        <v>20</v>
      </c>
      <c r="AI129" s="540"/>
      <c r="AJ129" s="188">
        <v>4</v>
      </c>
      <c r="AK129" s="188">
        <v>2931.0160427807541</v>
      </c>
      <c r="AL129" s="185">
        <f t="shared" si="108"/>
        <v>732.75401069518853</v>
      </c>
      <c r="AM129" s="182">
        <f t="shared" si="109"/>
        <v>20</v>
      </c>
      <c r="AN129" s="540"/>
      <c r="AO129" s="188">
        <v>4</v>
      </c>
      <c r="AP129" s="188">
        <v>2930.8064516129061</v>
      </c>
      <c r="AQ129" s="185">
        <f t="shared" si="110"/>
        <v>732.70161290322653</v>
      </c>
      <c r="AR129" s="182">
        <f t="shared" si="111"/>
        <v>20</v>
      </c>
      <c r="AS129" s="540"/>
      <c r="AT129" s="188">
        <v>4</v>
      </c>
      <c r="AU129" s="188">
        <v>2931.1793214862682</v>
      </c>
      <c r="AV129" s="185">
        <f t="shared" si="112"/>
        <v>732.79483037156706</v>
      </c>
      <c r="AW129" s="182">
        <f t="shared" si="113"/>
        <v>20</v>
      </c>
      <c r="AX129" s="540"/>
    </row>
    <row r="130" spans="2:50" ht="14.25" customHeight="1">
      <c r="B130" s="530"/>
      <c r="C130" s="180">
        <v>10</v>
      </c>
      <c r="D130" s="183" t="s">
        <v>151</v>
      </c>
      <c r="E130" s="184">
        <v>4</v>
      </c>
      <c r="F130" s="180">
        <v>3300</v>
      </c>
      <c r="G130" s="185">
        <f t="shared" si="100"/>
        <v>825</v>
      </c>
      <c r="H130" s="558"/>
      <c r="I130" s="186">
        <f t="shared" si="101"/>
        <v>4</v>
      </c>
      <c r="J130" s="186">
        <f t="shared" si="101"/>
        <v>2966.7029982727267</v>
      </c>
      <c r="K130" s="187">
        <f t="shared" si="101"/>
        <v>741.67574956818169</v>
      </c>
      <c r="L130" s="559"/>
      <c r="M130" s="186">
        <f>RANK(K130, K$121:$K$153)</f>
        <v>12</v>
      </c>
      <c r="N130" s="578"/>
      <c r="O130" s="541"/>
      <c r="P130" s="188">
        <v>4</v>
      </c>
      <c r="Q130" s="188">
        <v>2966.3999999999955</v>
      </c>
      <c r="R130" s="185">
        <f t="shared" si="98"/>
        <v>741.59999999999889</v>
      </c>
      <c r="S130" s="182">
        <f t="shared" si="102"/>
        <v>12</v>
      </c>
      <c r="T130" s="540"/>
      <c r="U130" s="188">
        <v>4</v>
      </c>
      <c r="V130" s="188">
        <v>2967.2209026128248</v>
      </c>
      <c r="W130" s="185">
        <f t="shared" si="99"/>
        <v>741.80522565320621</v>
      </c>
      <c r="X130" s="182">
        <f t="shared" si="103"/>
        <v>12</v>
      </c>
      <c r="Y130" s="540"/>
      <c r="Z130" s="188">
        <v>4</v>
      </c>
      <c r="AA130" s="188">
        <v>2968.2119205298009</v>
      </c>
      <c r="AB130" s="185">
        <f t="shared" si="104"/>
        <v>742.05298013245022</v>
      </c>
      <c r="AC130" s="182">
        <f t="shared" si="105"/>
        <v>12</v>
      </c>
      <c r="AD130" s="540"/>
      <c r="AE130" s="188">
        <v>4</v>
      </c>
      <c r="AF130" s="188">
        <v>2968.0672268907574</v>
      </c>
      <c r="AG130" s="185">
        <f t="shared" si="106"/>
        <v>742.01680672268935</v>
      </c>
      <c r="AH130" s="182">
        <f t="shared" si="107"/>
        <v>12</v>
      </c>
      <c r="AI130" s="540"/>
      <c r="AJ130" s="188">
        <v>4</v>
      </c>
      <c r="AK130" s="188">
        <v>2965.8194566169959</v>
      </c>
      <c r="AL130" s="185">
        <f t="shared" si="108"/>
        <v>741.45486415424898</v>
      </c>
      <c r="AM130" s="182">
        <f t="shared" si="109"/>
        <v>12</v>
      </c>
      <c r="AN130" s="540"/>
      <c r="AO130" s="188">
        <v>4</v>
      </c>
      <c r="AP130" s="188">
        <v>2965.2485904664209</v>
      </c>
      <c r="AQ130" s="185">
        <f t="shared" si="110"/>
        <v>741.31214761660522</v>
      </c>
      <c r="AR130" s="182">
        <f t="shared" si="111"/>
        <v>13</v>
      </c>
      <c r="AS130" s="540"/>
      <c r="AT130" s="188">
        <v>4</v>
      </c>
      <c r="AU130" s="188">
        <v>2965.9528907922945</v>
      </c>
      <c r="AV130" s="185">
        <f t="shared" si="112"/>
        <v>741.48822269807363</v>
      </c>
      <c r="AW130" s="182">
        <f t="shared" si="113"/>
        <v>12</v>
      </c>
      <c r="AX130" s="540"/>
    </row>
    <row r="131" spans="2:50" ht="14.25" customHeight="1">
      <c r="B131" s="530"/>
      <c r="C131" s="180">
        <v>11</v>
      </c>
      <c r="D131" s="183" t="s">
        <v>152</v>
      </c>
      <c r="E131" s="184">
        <v>3</v>
      </c>
      <c r="F131" s="180">
        <v>3000</v>
      </c>
      <c r="G131" s="185">
        <f t="shared" si="100"/>
        <v>1000</v>
      </c>
      <c r="H131" s="558"/>
      <c r="I131" s="186">
        <f t="shared" si="101"/>
        <v>3</v>
      </c>
      <c r="J131" s="186">
        <f t="shared" si="101"/>
        <v>2692.0611315370115</v>
      </c>
      <c r="K131" s="187">
        <f t="shared" si="101"/>
        <v>897.35371051233699</v>
      </c>
      <c r="L131" s="559"/>
      <c r="M131" s="186">
        <f>RANK(K131, K$121:$K$153)</f>
        <v>9</v>
      </c>
      <c r="N131" s="578"/>
      <c r="O131" s="541"/>
      <c r="P131" s="188">
        <v>3</v>
      </c>
      <c r="Q131" s="188">
        <v>2691.2621359223303</v>
      </c>
      <c r="R131" s="185">
        <f t="shared" si="98"/>
        <v>897.08737864077682</v>
      </c>
      <c r="S131" s="182">
        <f t="shared" si="102"/>
        <v>9</v>
      </c>
      <c r="T131" s="540"/>
      <c r="U131" s="188">
        <v>3</v>
      </c>
      <c r="V131" s="188">
        <v>2691.4006059193657</v>
      </c>
      <c r="W131" s="185">
        <f t="shared" si="99"/>
        <v>897.1335353064552</v>
      </c>
      <c r="X131" s="182">
        <f t="shared" si="103"/>
        <v>9</v>
      </c>
      <c r="Y131" s="540"/>
      <c r="Z131" s="188">
        <v>3</v>
      </c>
      <c r="AA131" s="188">
        <v>2691.8764845605747</v>
      </c>
      <c r="AB131" s="185">
        <f t="shared" si="104"/>
        <v>897.2921615201916</v>
      </c>
      <c r="AC131" s="182">
        <f t="shared" si="105"/>
        <v>9</v>
      </c>
      <c r="AD131" s="540"/>
      <c r="AE131" s="188">
        <v>3</v>
      </c>
      <c r="AF131" s="188">
        <v>2692.0588235294117</v>
      </c>
      <c r="AG131" s="185">
        <f t="shared" si="106"/>
        <v>897.35294117647061</v>
      </c>
      <c r="AH131" s="182">
        <f t="shared" si="107"/>
        <v>9</v>
      </c>
      <c r="AI131" s="540"/>
      <c r="AJ131" s="188">
        <v>3</v>
      </c>
      <c r="AK131" s="188">
        <v>2692.0695403667555</v>
      </c>
      <c r="AL131" s="185">
        <f t="shared" si="108"/>
        <v>897.35651345558517</v>
      </c>
      <c r="AM131" s="182">
        <f t="shared" si="109"/>
        <v>10</v>
      </c>
      <c r="AN131" s="540"/>
      <c r="AO131" s="188">
        <v>3</v>
      </c>
      <c r="AP131" s="188">
        <v>2692.8085232317258</v>
      </c>
      <c r="AQ131" s="185">
        <f t="shared" si="110"/>
        <v>897.60284107724192</v>
      </c>
      <c r="AR131" s="182">
        <f t="shared" si="111"/>
        <v>10</v>
      </c>
      <c r="AS131" s="540"/>
      <c r="AT131" s="188">
        <v>3</v>
      </c>
      <c r="AU131" s="188">
        <v>2692.9518072289143</v>
      </c>
      <c r="AV131" s="185">
        <f t="shared" si="112"/>
        <v>897.65060240963805</v>
      </c>
      <c r="AW131" s="182">
        <f t="shared" si="113"/>
        <v>10</v>
      </c>
      <c r="AX131" s="540"/>
    </row>
    <row r="132" spans="2:50" ht="14.25" customHeight="1">
      <c r="B132" s="530"/>
      <c r="C132" s="180">
        <v>12</v>
      </c>
      <c r="D132" s="183" t="s">
        <v>153</v>
      </c>
      <c r="E132" s="184">
        <v>12</v>
      </c>
      <c r="F132" s="180">
        <v>3600</v>
      </c>
      <c r="G132" s="185">
        <f t="shared" si="100"/>
        <v>300</v>
      </c>
      <c r="H132" s="558"/>
      <c r="I132" s="186">
        <f t="shared" si="101"/>
        <v>12</v>
      </c>
      <c r="J132" s="186">
        <f t="shared" si="101"/>
        <v>3124.6931384002878</v>
      </c>
      <c r="K132" s="187">
        <f t="shared" si="101"/>
        <v>260.39109486669065</v>
      </c>
      <c r="L132" s="559"/>
      <c r="M132" s="186">
        <f>RANK(K132, K$121:$K$153)</f>
        <v>28</v>
      </c>
      <c r="N132" s="578"/>
      <c r="O132" s="541"/>
      <c r="P132" s="188">
        <v>12</v>
      </c>
      <c r="Q132" s="188">
        <v>3123.8095238095193</v>
      </c>
      <c r="R132" s="185">
        <f t="shared" si="98"/>
        <v>260.31746031745996</v>
      </c>
      <c r="S132" s="182">
        <f t="shared" si="102"/>
        <v>28</v>
      </c>
      <c r="T132" s="540"/>
      <c r="U132" s="188">
        <v>12</v>
      </c>
      <c r="V132" s="188">
        <v>3124.4495944380019</v>
      </c>
      <c r="W132" s="185">
        <f t="shared" si="99"/>
        <v>260.37079953650016</v>
      </c>
      <c r="X132" s="182">
        <f t="shared" si="103"/>
        <v>29</v>
      </c>
      <c r="Y132" s="540"/>
      <c r="Z132" s="188">
        <v>12</v>
      </c>
      <c r="AA132" s="188">
        <v>3123.8979118329394</v>
      </c>
      <c r="AB132" s="185">
        <f t="shared" si="104"/>
        <v>260.32482598607828</v>
      </c>
      <c r="AC132" s="182">
        <f t="shared" si="105"/>
        <v>29</v>
      </c>
      <c r="AD132" s="540"/>
      <c r="AE132" s="188">
        <v>12</v>
      </c>
      <c r="AF132" s="188">
        <v>3124.8374512353721</v>
      </c>
      <c r="AG132" s="185">
        <f t="shared" si="106"/>
        <v>260.40312093628103</v>
      </c>
      <c r="AH132" s="182">
        <f t="shared" si="107"/>
        <v>29</v>
      </c>
      <c r="AI132" s="540"/>
      <c r="AJ132" s="188">
        <v>12</v>
      </c>
      <c r="AK132" s="188">
        <v>3124.7739602169977</v>
      </c>
      <c r="AL132" s="185">
        <f t="shared" si="108"/>
        <v>260.39783001808314</v>
      </c>
      <c r="AM132" s="182">
        <f t="shared" si="109"/>
        <v>28</v>
      </c>
      <c r="AN132" s="540"/>
      <c r="AO132" s="188">
        <v>12</v>
      </c>
      <c r="AP132" s="188">
        <v>3125.1939567170325</v>
      </c>
      <c r="AQ132" s="185">
        <f t="shared" si="110"/>
        <v>260.43282972641936</v>
      </c>
      <c r="AR132" s="182">
        <f t="shared" si="111"/>
        <v>29</v>
      </c>
      <c r="AS132" s="540"/>
      <c r="AT132" s="188">
        <v>12</v>
      </c>
      <c r="AU132" s="188">
        <v>3125.8895705521495</v>
      </c>
      <c r="AV132" s="185">
        <f t="shared" si="112"/>
        <v>260.49079754601246</v>
      </c>
      <c r="AW132" s="182">
        <f t="shared" si="113"/>
        <v>28</v>
      </c>
      <c r="AX132" s="540"/>
    </row>
    <row r="133" spans="2:50" ht="14.25" customHeight="1">
      <c r="B133" s="530"/>
      <c r="C133" s="180">
        <v>13</v>
      </c>
      <c r="D133" s="183" t="s">
        <v>154</v>
      </c>
      <c r="E133" s="184">
        <v>3</v>
      </c>
      <c r="F133" s="180">
        <v>3300</v>
      </c>
      <c r="G133" s="185">
        <f t="shared" si="100"/>
        <v>1100</v>
      </c>
      <c r="H133" s="558"/>
      <c r="I133" s="186">
        <f t="shared" si="101"/>
        <v>3</v>
      </c>
      <c r="J133" s="186">
        <f t="shared" si="101"/>
        <v>2959.4098909536738</v>
      </c>
      <c r="K133" s="187">
        <f t="shared" si="101"/>
        <v>986.4699636512247</v>
      </c>
      <c r="L133" s="559"/>
      <c r="M133" s="186">
        <f>RANK(K133, K$121:$K$153)</f>
        <v>8</v>
      </c>
      <c r="N133" s="578"/>
      <c r="O133" s="541"/>
      <c r="P133" s="188">
        <v>3</v>
      </c>
      <c r="Q133" s="188">
        <v>2959.0361445783115</v>
      </c>
      <c r="R133" s="185">
        <f t="shared" si="98"/>
        <v>986.34538152610378</v>
      </c>
      <c r="S133" s="182">
        <f t="shared" si="102"/>
        <v>8</v>
      </c>
      <c r="T133" s="540"/>
      <c r="U133" s="188">
        <v>3</v>
      </c>
      <c r="V133" s="188">
        <v>2958.627515671395</v>
      </c>
      <c r="W133" s="185">
        <f t="shared" si="99"/>
        <v>986.20917189046497</v>
      </c>
      <c r="X133" s="182">
        <f t="shared" si="103"/>
        <v>8</v>
      </c>
      <c r="Y133" s="540"/>
      <c r="Z133" s="188">
        <v>3</v>
      </c>
      <c r="AA133" s="188">
        <v>2959.2310241962214</v>
      </c>
      <c r="AB133" s="185">
        <f t="shared" si="104"/>
        <v>986.41034139874046</v>
      </c>
      <c r="AC133" s="182">
        <f t="shared" si="105"/>
        <v>8</v>
      </c>
      <c r="AD133" s="540"/>
      <c r="AE133" s="188">
        <v>3</v>
      </c>
      <c r="AF133" s="188">
        <v>2959.7402597402579</v>
      </c>
      <c r="AG133" s="185">
        <f t="shared" si="106"/>
        <v>986.580086580086</v>
      </c>
      <c r="AH133" s="182">
        <f t="shared" si="107"/>
        <v>8</v>
      </c>
      <c r="AI133" s="540"/>
      <c r="AJ133" s="188">
        <v>3</v>
      </c>
      <c r="AK133" s="188">
        <v>2959.8035776920415</v>
      </c>
      <c r="AL133" s="185">
        <f t="shared" si="108"/>
        <v>986.60119256401379</v>
      </c>
      <c r="AM133" s="182">
        <f t="shared" si="109"/>
        <v>8</v>
      </c>
      <c r="AN133" s="540"/>
      <c r="AO133" s="188">
        <v>3</v>
      </c>
      <c r="AP133" s="188">
        <v>2959.6616206589465</v>
      </c>
      <c r="AQ133" s="185">
        <f t="shared" si="110"/>
        <v>986.55387355298217</v>
      </c>
      <c r="AR133" s="182">
        <f t="shared" si="111"/>
        <v>8</v>
      </c>
      <c r="AS133" s="540"/>
      <c r="AT133" s="188">
        <v>3</v>
      </c>
      <c r="AU133" s="188">
        <v>2959.7690941385431</v>
      </c>
      <c r="AV133" s="185">
        <f t="shared" si="112"/>
        <v>986.58969804618107</v>
      </c>
      <c r="AW133" s="182">
        <f t="shared" si="113"/>
        <v>8</v>
      </c>
      <c r="AX133" s="540"/>
    </row>
    <row r="134" spans="2:50" ht="14.25" customHeight="1">
      <c r="B134" s="530"/>
      <c r="C134" s="180">
        <v>14</v>
      </c>
      <c r="D134" s="183" t="s">
        <v>156</v>
      </c>
      <c r="E134" s="184">
        <v>5</v>
      </c>
      <c r="F134" s="180">
        <v>3300</v>
      </c>
      <c r="G134" s="185">
        <f t="shared" si="100"/>
        <v>660</v>
      </c>
      <c r="H134" s="558"/>
      <c r="I134" s="186">
        <f t="shared" si="101"/>
        <v>5</v>
      </c>
      <c r="J134" s="186">
        <f t="shared" si="101"/>
        <v>2960.3895109549694</v>
      </c>
      <c r="K134" s="187">
        <f t="shared" si="101"/>
        <v>592.07790219099388</v>
      </c>
      <c r="L134" s="559"/>
      <c r="M134" s="186">
        <f>RANK(K134, K$121:$K$153)</f>
        <v>26</v>
      </c>
      <c r="N134" s="578"/>
      <c r="O134" s="541"/>
      <c r="P134" s="188">
        <v>5</v>
      </c>
      <c r="Q134" s="188">
        <v>2960.2523659305994</v>
      </c>
      <c r="R134" s="185">
        <f t="shared" si="98"/>
        <v>592.05047318611992</v>
      </c>
      <c r="S134" s="182">
        <f t="shared" si="102"/>
        <v>26</v>
      </c>
      <c r="T134" s="540"/>
      <c r="U134" s="188">
        <v>5</v>
      </c>
      <c r="V134" s="188">
        <v>2960.8008429926272</v>
      </c>
      <c r="W134" s="185">
        <f t="shared" si="99"/>
        <v>592.16016859852539</v>
      </c>
      <c r="X134" s="182">
        <f t="shared" si="103"/>
        <v>26</v>
      </c>
      <c r="Y134" s="540"/>
      <c r="Z134" s="188">
        <v>5</v>
      </c>
      <c r="AA134" s="188">
        <v>2960.3960396039661</v>
      </c>
      <c r="AB134" s="185">
        <f t="shared" si="104"/>
        <v>592.07920792079324</v>
      </c>
      <c r="AC134" s="182">
        <f t="shared" si="105"/>
        <v>26</v>
      </c>
      <c r="AD134" s="540"/>
      <c r="AE134" s="188">
        <v>5</v>
      </c>
      <c r="AF134" s="188">
        <v>2960.1476014760146</v>
      </c>
      <c r="AG134" s="185">
        <f t="shared" si="106"/>
        <v>592.02952029520293</v>
      </c>
      <c r="AH134" s="182">
        <f t="shared" si="107"/>
        <v>26</v>
      </c>
      <c r="AI134" s="540"/>
      <c r="AJ134" s="188">
        <v>5</v>
      </c>
      <c r="AK134" s="188">
        <v>2960.4833836858043</v>
      </c>
      <c r="AL134" s="185">
        <f t="shared" si="108"/>
        <v>592.09667673716081</v>
      </c>
      <c r="AM134" s="182">
        <f t="shared" si="109"/>
        <v>26</v>
      </c>
      <c r="AN134" s="540"/>
      <c r="AO134" s="188">
        <v>5</v>
      </c>
      <c r="AP134" s="188">
        <v>2960.260586319218</v>
      </c>
      <c r="AQ134" s="185">
        <f t="shared" si="110"/>
        <v>592.05211726384357</v>
      </c>
      <c r="AR134" s="182">
        <f t="shared" si="111"/>
        <v>26</v>
      </c>
      <c r="AS134" s="540"/>
      <c r="AT134" s="188">
        <v>5</v>
      </c>
      <c r="AU134" s="188">
        <v>2960.385756676555</v>
      </c>
      <c r="AV134" s="185">
        <f t="shared" si="112"/>
        <v>592.07715133531099</v>
      </c>
      <c r="AW134" s="182">
        <f t="shared" si="113"/>
        <v>26</v>
      </c>
      <c r="AX134" s="540"/>
    </row>
    <row r="135" spans="2:50" ht="14.25" customHeight="1">
      <c r="B135" s="530"/>
      <c r="C135" s="180">
        <v>15</v>
      </c>
      <c r="D135" s="183" t="s">
        <v>157</v>
      </c>
      <c r="E135" s="184">
        <v>4</v>
      </c>
      <c r="F135" s="180">
        <v>3300</v>
      </c>
      <c r="G135" s="185">
        <f t="shared" si="100"/>
        <v>825</v>
      </c>
      <c r="H135" s="558"/>
      <c r="I135" s="186">
        <f t="shared" si="101"/>
        <v>4</v>
      </c>
      <c r="J135" s="186">
        <f t="shared" si="101"/>
        <v>2960.0428416940308</v>
      </c>
      <c r="K135" s="187">
        <f t="shared" si="101"/>
        <v>740.0107104235077</v>
      </c>
      <c r="L135" s="559"/>
      <c r="M135" s="186">
        <f>RANK(K135, K$121:$K$153)</f>
        <v>17</v>
      </c>
      <c r="N135" s="578"/>
      <c r="O135" s="541"/>
      <c r="P135" s="188">
        <v>4</v>
      </c>
      <c r="Q135" s="188">
        <v>2959.4785744002224</v>
      </c>
      <c r="R135" s="185">
        <f t="shared" si="98"/>
        <v>739.86964360005561</v>
      </c>
      <c r="S135" s="182">
        <f t="shared" si="102"/>
        <v>17</v>
      </c>
      <c r="T135" s="540"/>
      <c r="U135" s="188">
        <v>4</v>
      </c>
      <c r="V135" s="188">
        <v>2959.6540178571449</v>
      </c>
      <c r="W135" s="185">
        <f t="shared" si="99"/>
        <v>739.91350446428623</v>
      </c>
      <c r="X135" s="182">
        <f t="shared" si="103"/>
        <v>17</v>
      </c>
      <c r="Y135" s="540"/>
      <c r="Z135" s="188">
        <v>4</v>
      </c>
      <c r="AA135" s="188">
        <v>2959.9764913311815</v>
      </c>
      <c r="AB135" s="185">
        <f t="shared" si="104"/>
        <v>739.99412283279537</v>
      </c>
      <c r="AC135" s="182">
        <f t="shared" si="105"/>
        <v>17</v>
      </c>
      <c r="AD135" s="540"/>
      <c r="AE135" s="188">
        <v>4</v>
      </c>
      <c r="AF135" s="188">
        <v>2960.2279544091184</v>
      </c>
      <c r="AG135" s="185">
        <f t="shared" si="106"/>
        <v>740.0569886022796</v>
      </c>
      <c r="AH135" s="182">
        <f t="shared" si="107"/>
        <v>17</v>
      </c>
      <c r="AI135" s="540"/>
      <c r="AJ135" s="188">
        <v>4</v>
      </c>
      <c r="AK135" s="188">
        <v>2960.09367681499</v>
      </c>
      <c r="AL135" s="185">
        <f t="shared" si="108"/>
        <v>740.02341920374749</v>
      </c>
      <c r="AM135" s="182">
        <f t="shared" si="109"/>
        <v>17</v>
      </c>
      <c r="AN135" s="540"/>
      <c r="AO135" s="188">
        <v>4</v>
      </c>
      <c r="AP135" s="188">
        <v>2960.3524229074878</v>
      </c>
      <c r="AQ135" s="185">
        <f t="shared" si="110"/>
        <v>740.08810572687196</v>
      </c>
      <c r="AR135" s="182">
        <f t="shared" si="111"/>
        <v>17</v>
      </c>
      <c r="AS135" s="540"/>
      <c r="AT135" s="188">
        <v>4</v>
      </c>
      <c r="AU135" s="188">
        <v>2960.5167541380711</v>
      </c>
      <c r="AV135" s="185">
        <f t="shared" si="112"/>
        <v>740.12918853451777</v>
      </c>
      <c r="AW135" s="182">
        <f t="shared" si="113"/>
        <v>17</v>
      </c>
      <c r="AX135" s="540"/>
    </row>
    <row r="136" spans="2:50" ht="14.25" customHeight="1">
      <c r="B136" s="530"/>
      <c r="C136" s="180">
        <v>16</v>
      </c>
      <c r="D136" s="183" t="s">
        <v>158</v>
      </c>
      <c r="E136" s="184">
        <v>3</v>
      </c>
      <c r="F136" s="180">
        <v>3600</v>
      </c>
      <c r="G136" s="185">
        <f t="shared" si="100"/>
        <v>1200</v>
      </c>
      <c r="H136" s="558"/>
      <c r="I136" s="186">
        <f t="shared" si="101"/>
        <v>3</v>
      </c>
      <c r="J136" s="186">
        <f t="shared" si="101"/>
        <v>3140.0499663295027</v>
      </c>
      <c r="K136" s="187">
        <f t="shared" si="101"/>
        <v>1046.6833221098343</v>
      </c>
      <c r="L136" s="559"/>
      <c r="M136" s="186">
        <f>RANK(K136, K$121:$K$153)</f>
        <v>5</v>
      </c>
      <c r="N136" s="578"/>
      <c r="O136" s="541"/>
      <c r="P136" s="188">
        <v>3</v>
      </c>
      <c r="Q136" s="188">
        <v>3139.5448079658627</v>
      </c>
      <c r="R136" s="185">
        <f t="shared" si="98"/>
        <v>1046.5149359886209</v>
      </c>
      <c r="S136" s="182">
        <f t="shared" si="102"/>
        <v>5</v>
      </c>
      <c r="T136" s="540"/>
      <c r="U136" s="188">
        <v>3</v>
      </c>
      <c r="V136" s="188">
        <v>3139.7495527728097</v>
      </c>
      <c r="W136" s="185">
        <f t="shared" si="99"/>
        <v>1046.5831842576033</v>
      </c>
      <c r="X136" s="182">
        <f t="shared" si="103"/>
        <v>5</v>
      </c>
      <c r="Y136" s="540"/>
      <c r="Z136" s="188">
        <v>3</v>
      </c>
      <c r="AA136" s="188">
        <v>3140.1098901098894</v>
      </c>
      <c r="AB136" s="185">
        <f t="shared" si="104"/>
        <v>1046.7032967032965</v>
      </c>
      <c r="AC136" s="182">
        <f t="shared" si="105"/>
        <v>5</v>
      </c>
      <c r="AD136" s="540"/>
      <c r="AE136" s="188">
        <v>3</v>
      </c>
      <c r="AF136" s="188">
        <v>3140.0177462289266</v>
      </c>
      <c r="AG136" s="185">
        <f t="shared" si="106"/>
        <v>1046.6725820763088</v>
      </c>
      <c r="AH136" s="182">
        <f t="shared" si="107"/>
        <v>5</v>
      </c>
      <c r="AI136" s="540"/>
      <c r="AJ136" s="188">
        <v>3</v>
      </c>
      <c r="AK136" s="188">
        <v>3140.2539407463687</v>
      </c>
      <c r="AL136" s="185">
        <f t="shared" si="108"/>
        <v>1046.751313582123</v>
      </c>
      <c r="AM136" s="182">
        <f t="shared" si="109"/>
        <v>5</v>
      </c>
      <c r="AN136" s="540"/>
      <c r="AO136" s="188">
        <v>3</v>
      </c>
      <c r="AP136" s="188">
        <v>3140.2954318608872</v>
      </c>
      <c r="AQ136" s="185">
        <f t="shared" si="110"/>
        <v>1046.7651439536291</v>
      </c>
      <c r="AR136" s="182">
        <f t="shared" si="111"/>
        <v>5</v>
      </c>
      <c r="AS136" s="540"/>
      <c r="AT136" s="188">
        <v>3</v>
      </c>
      <c r="AU136" s="188">
        <v>3140.3783946217754</v>
      </c>
      <c r="AV136" s="185">
        <f t="shared" si="112"/>
        <v>1046.7927982072586</v>
      </c>
      <c r="AW136" s="182">
        <f t="shared" si="113"/>
        <v>5</v>
      </c>
      <c r="AX136" s="540"/>
    </row>
    <row r="137" spans="2:50" ht="14.25" customHeight="1">
      <c r="B137" s="530"/>
      <c r="C137" s="180">
        <v>17</v>
      </c>
      <c r="D137" s="183" t="s">
        <v>159</v>
      </c>
      <c r="E137" s="184">
        <v>4</v>
      </c>
      <c r="F137" s="180">
        <v>3300</v>
      </c>
      <c r="G137" s="185">
        <f t="shared" si="100"/>
        <v>825</v>
      </c>
      <c r="H137" s="558"/>
      <c r="I137" s="186">
        <f t="shared" si="101"/>
        <v>4</v>
      </c>
      <c r="J137" s="186">
        <f t="shared" si="101"/>
        <v>2963.5423415440814</v>
      </c>
      <c r="K137" s="187">
        <f t="shared" si="101"/>
        <v>740.88558538602035</v>
      </c>
      <c r="L137" s="559"/>
      <c r="M137" s="186">
        <f>RANK(K137, K$121:$K$153)</f>
        <v>14</v>
      </c>
      <c r="N137" s="578"/>
      <c r="O137" s="541"/>
      <c r="P137" s="188">
        <v>4</v>
      </c>
      <c r="Q137" s="188">
        <v>2963.2129886776338</v>
      </c>
      <c r="R137" s="185">
        <f t="shared" si="98"/>
        <v>740.80324716940845</v>
      </c>
      <c r="S137" s="182">
        <f t="shared" si="102"/>
        <v>14</v>
      </c>
      <c r="T137" s="540"/>
      <c r="U137" s="188">
        <v>4</v>
      </c>
      <c r="V137" s="188">
        <v>2963.3617859487822</v>
      </c>
      <c r="W137" s="185">
        <f t="shared" si="99"/>
        <v>740.84044648719555</v>
      </c>
      <c r="X137" s="182">
        <f t="shared" si="103"/>
        <v>14</v>
      </c>
      <c r="Y137" s="540"/>
      <c r="Z137" s="188">
        <v>4</v>
      </c>
      <c r="AA137" s="188">
        <v>2963.3649932157387</v>
      </c>
      <c r="AB137" s="185">
        <f t="shared" si="104"/>
        <v>740.84124830393466</v>
      </c>
      <c r="AC137" s="182">
        <f t="shared" si="105"/>
        <v>14</v>
      </c>
      <c r="AD137" s="540"/>
      <c r="AE137" s="188">
        <v>4</v>
      </c>
      <c r="AF137" s="188">
        <v>2963.3995887594288</v>
      </c>
      <c r="AG137" s="185">
        <f t="shared" si="106"/>
        <v>740.84989718985719</v>
      </c>
      <c r="AH137" s="182">
        <f t="shared" si="107"/>
        <v>14</v>
      </c>
      <c r="AI137" s="540"/>
      <c r="AJ137" s="188">
        <v>4</v>
      </c>
      <c r="AK137" s="188">
        <v>2963.2742554357765</v>
      </c>
      <c r="AL137" s="185">
        <f t="shared" si="108"/>
        <v>740.81856385894412</v>
      </c>
      <c r="AM137" s="182">
        <f t="shared" si="109"/>
        <v>15</v>
      </c>
      <c r="AN137" s="540"/>
      <c r="AO137" s="188">
        <v>4</v>
      </c>
      <c r="AP137" s="188">
        <v>2963.9575971731474</v>
      </c>
      <c r="AQ137" s="185">
        <f t="shared" si="110"/>
        <v>740.98939929328685</v>
      </c>
      <c r="AR137" s="182">
        <f t="shared" si="111"/>
        <v>14</v>
      </c>
      <c r="AS137" s="540"/>
      <c r="AT137" s="188">
        <v>4</v>
      </c>
      <c r="AU137" s="188">
        <v>2964.2251815980626</v>
      </c>
      <c r="AV137" s="185">
        <f t="shared" si="112"/>
        <v>741.05629539951565</v>
      </c>
      <c r="AW137" s="182">
        <f t="shared" si="113"/>
        <v>14</v>
      </c>
      <c r="AX137" s="540"/>
    </row>
    <row r="138" spans="2:50" ht="14.25" customHeight="1">
      <c r="B138" s="530"/>
      <c r="C138" s="180">
        <v>18</v>
      </c>
      <c r="D138" s="183" t="s">
        <v>160</v>
      </c>
      <c r="E138" s="184">
        <v>5</v>
      </c>
      <c r="F138" s="180">
        <v>3300</v>
      </c>
      <c r="G138" s="185">
        <f t="shared" si="100"/>
        <v>660</v>
      </c>
      <c r="H138" s="558"/>
      <c r="I138" s="186">
        <f t="shared" si="101"/>
        <v>5</v>
      </c>
      <c r="J138" s="186">
        <f t="shared" si="101"/>
        <v>2963.8113518637097</v>
      </c>
      <c r="K138" s="187">
        <f t="shared" si="101"/>
        <v>592.76227037274191</v>
      </c>
      <c r="L138" s="559"/>
      <c r="M138" s="186">
        <f>RANK(K138, K$121:$K$153)</f>
        <v>25</v>
      </c>
      <c r="N138" s="578"/>
      <c r="O138" s="541"/>
      <c r="P138" s="188">
        <v>5</v>
      </c>
      <c r="Q138" s="188">
        <v>2961.6862988220773</v>
      </c>
      <c r="R138" s="185">
        <f t="shared" si="98"/>
        <v>592.33725976441542</v>
      </c>
      <c r="S138" s="182">
        <f t="shared" si="102"/>
        <v>25</v>
      </c>
      <c r="T138" s="540"/>
      <c r="U138" s="188">
        <v>5</v>
      </c>
      <c r="V138" s="188">
        <v>2962.3616236162447</v>
      </c>
      <c r="W138" s="185">
        <f t="shared" si="99"/>
        <v>592.4723247232489</v>
      </c>
      <c r="X138" s="182">
        <f t="shared" si="103"/>
        <v>25</v>
      </c>
      <c r="Y138" s="540"/>
      <c r="Z138" s="188">
        <v>5</v>
      </c>
      <c r="AA138" s="188">
        <v>2963.2183908046063</v>
      </c>
      <c r="AB138" s="185">
        <f t="shared" si="104"/>
        <v>592.64367816092124</v>
      </c>
      <c r="AC138" s="182">
        <f t="shared" si="105"/>
        <v>25</v>
      </c>
      <c r="AD138" s="540"/>
      <c r="AE138" s="188">
        <v>5</v>
      </c>
      <c r="AF138" s="188">
        <v>2964.5621181262727</v>
      </c>
      <c r="AG138" s="185">
        <f t="shared" si="106"/>
        <v>592.91242362525452</v>
      </c>
      <c r="AH138" s="182">
        <f t="shared" si="107"/>
        <v>25</v>
      </c>
      <c r="AI138" s="540"/>
      <c r="AJ138" s="188">
        <v>5</v>
      </c>
      <c r="AK138" s="188">
        <v>2964.3750000000105</v>
      </c>
      <c r="AL138" s="185">
        <f t="shared" si="108"/>
        <v>592.87500000000205</v>
      </c>
      <c r="AM138" s="182">
        <f t="shared" si="109"/>
        <v>25</v>
      </c>
      <c r="AN138" s="540"/>
      <c r="AO138" s="188">
        <v>5</v>
      </c>
      <c r="AP138" s="188">
        <v>2965.1821862348279</v>
      </c>
      <c r="AQ138" s="185">
        <f t="shared" si="110"/>
        <v>593.03643724696553</v>
      </c>
      <c r="AR138" s="182">
        <f t="shared" si="111"/>
        <v>25</v>
      </c>
      <c r="AS138" s="540"/>
      <c r="AT138" s="188">
        <v>5</v>
      </c>
      <c r="AU138" s="188">
        <v>2965.2938454419264</v>
      </c>
      <c r="AV138" s="185">
        <f t="shared" si="112"/>
        <v>593.05876908838525</v>
      </c>
      <c r="AW138" s="182">
        <f t="shared" si="113"/>
        <v>25</v>
      </c>
      <c r="AX138" s="540"/>
    </row>
    <row r="139" spans="2:50" ht="14.25" customHeight="1">
      <c r="B139" s="530"/>
      <c r="C139" s="180">
        <v>19</v>
      </c>
      <c r="D139" s="183" t="s">
        <v>161</v>
      </c>
      <c r="E139" s="184">
        <v>3</v>
      </c>
      <c r="F139" s="180">
        <v>3600</v>
      </c>
      <c r="G139" s="185">
        <f t="shared" si="100"/>
        <v>1200</v>
      </c>
      <c r="H139" s="558"/>
      <c r="I139" s="186">
        <f t="shared" si="101"/>
        <v>3</v>
      </c>
      <c r="J139" s="186">
        <f t="shared" si="101"/>
        <v>3141.9035478284923</v>
      </c>
      <c r="K139" s="187">
        <f t="shared" si="101"/>
        <v>1047.3011826094973</v>
      </c>
      <c r="L139" s="559"/>
      <c r="M139" s="186">
        <f>RANK(K139, K$121:$K$153)</f>
        <v>3</v>
      </c>
      <c r="N139" s="578"/>
      <c r="O139" s="541"/>
      <c r="P139" s="188">
        <v>3</v>
      </c>
      <c r="Q139" s="188">
        <v>3140.7543698252057</v>
      </c>
      <c r="R139" s="185">
        <f t="shared" si="98"/>
        <v>1046.9181232750686</v>
      </c>
      <c r="S139" s="182">
        <f t="shared" si="102"/>
        <v>3</v>
      </c>
      <c r="T139" s="540"/>
      <c r="U139" s="188">
        <v>3</v>
      </c>
      <c r="V139" s="188">
        <v>3141.4084507042244</v>
      </c>
      <c r="W139" s="185">
        <f t="shared" si="99"/>
        <v>1047.1361502347415</v>
      </c>
      <c r="X139" s="182">
        <f t="shared" si="103"/>
        <v>3</v>
      </c>
      <c r="Y139" s="540"/>
      <c r="Z139" s="188">
        <v>3</v>
      </c>
      <c r="AA139" s="188">
        <v>3141.4382457271863</v>
      </c>
      <c r="AB139" s="185">
        <f t="shared" si="104"/>
        <v>1047.1460819090621</v>
      </c>
      <c r="AC139" s="182">
        <f t="shared" si="105"/>
        <v>3</v>
      </c>
      <c r="AD139" s="540"/>
      <c r="AE139" s="188">
        <v>3</v>
      </c>
      <c r="AF139" s="188">
        <v>3142.2033344230122</v>
      </c>
      <c r="AG139" s="185">
        <f t="shared" si="106"/>
        <v>1047.4011114743373</v>
      </c>
      <c r="AH139" s="182">
        <f t="shared" si="107"/>
        <v>3</v>
      </c>
      <c r="AI139" s="540"/>
      <c r="AJ139" s="188">
        <v>3</v>
      </c>
      <c r="AK139" s="188">
        <v>3142.0928402832401</v>
      </c>
      <c r="AL139" s="185">
        <f t="shared" si="108"/>
        <v>1047.3642800944133</v>
      </c>
      <c r="AM139" s="182">
        <f t="shared" si="109"/>
        <v>3</v>
      </c>
      <c r="AN139" s="540"/>
      <c r="AO139" s="188">
        <v>3</v>
      </c>
      <c r="AP139" s="188">
        <v>3142.5705194971943</v>
      </c>
      <c r="AQ139" s="185">
        <f t="shared" si="110"/>
        <v>1047.5235064990648</v>
      </c>
      <c r="AR139" s="182">
        <f t="shared" si="111"/>
        <v>4</v>
      </c>
      <c r="AS139" s="540"/>
      <c r="AT139" s="188">
        <v>3</v>
      </c>
      <c r="AU139" s="188">
        <v>3142.8570743393811</v>
      </c>
      <c r="AV139" s="185">
        <f t="shared" si="112"/>
        <v>1047.6190247797938</v>
      </c>
      <c r="AW139" s="182">
        <f t="shared" si="113"/>
        <v>3</v>
      </c>
      <c r="AX139" s="540"/>
    </row>
    <row r="140" spans="2:50" ht="14.25" customHeight="1">
      <c r="B140" s="530"/>
      <c r="C140" s="180">
        <v>20</v>
      </c>
      <c r="D140" s="183" t="s">
        <v>162</v>
      </c>
      <c r="E140" s="184">
        <v>3</v>
      </c>
      <c r="F140" s="180">
        <v>3600</v>
      </c>
      <c r="G140" s="185">
        <f t="shared" si="100"/>
        <v>1200</v>
      </c>
      <c r="H140" s="558"/>
      <c r="I140" s="186">
        <f t="shared" si="101"/>
        <v>3</v>
      </c>
      <c r="J140" s="186">
        <f t="shared" si="101"/>
        <v>3148.5085847644477</v>
      </c>
      <c r="K140" s="187">
        <f t="shared" si="101"/>
        <v>1049.5028615881492</v>
      </c>
      <c r="L140" s="559"/>
      <c r="M140" s="186">
        <f>RANK(K140, K$121:$K$153)</f>
        <v>1</v>
      </c>
      <c r="N140" s="578"/>
      <c r="O140" s="541"/>
      <c r="P140" s="188">
        <v>3</v>
      </c>
      <c r="Q140" s="188">
        <v>3147.1285323609786</v>
      </c>
      <c r="R140" s="185">
        <f t="shared" si="98"/>
        <v>1049.0428441203262</v>
      </c>
      <c r="S140" s="182">
        <f t="shared" si="102"/>
        <v>1</v>
      </c>
      <c r="T140" s="540"/>
      <c r="U140" s="188">
        <v>3</v>
      </c>
      <c r="V140" s="188">
        <v>3148.0106100795911</v>
      </c>
      <c r="W140" s="185">
        <f t="shared" si="99"/>
        <v>1049.3368700265303</v>
      </c>
      <c r="X140" s="182">
        <f t="shared" si="103"/>
        <v>1</v>
      </c>
      <c r="Y140" s="540"/>
      <c r="Z140" s="188">
        <v>3</v>
      </c>
      <c r="AA140" s="188">
        <v>3148.2071713147502</v>
      </c>
      <c r="AB140" s="185">
        <f t="shared" si="104"/>
        <v>1049.40239043825</v>
      </c>
      <c r="AC140" s="182">
        <f t="shared" si="105"/>
        <v>1</v>
      </c>
      <c r="AD140" s="540"/>
      <c r="AE140" s="188">
        <v>3</v>
      </c>
      <c r="AF140" s="188">
        <v>3149.5103373231891</v>
      </c>
      <c r="AG140" s="185">
        <f t="shared" si="106"/>
        <v>1049.8367791077296</v>
      </c>
      <c r="AH140" s="182">
        <f t="shared" si="107"/>
        <v>1</v>
      </c>
      <c r="AI140" s="540"/>
      <c r="AJ140" s="188">
        <v>3</v>
      </c>
      <c r="AK140" s="188">
        <v>3149.3044822256625</v>
      </c>
      <c r="AL140" s="185">
        <f t="shared" si="108"/>
        <v>1049.7681607418874</v>
      </c>
      <c r="AM140" s="182">
        <f t="shared" si="109"/>
        <v>1</v>
      </c>
      <c r="AN140" s="540"/>
      <c r="AO140" s="188">
        <v>3</v>
      </c>
      <c r="AP140" s="188">
        <v>3148.5677912157871</v>
      </c>
      <c r="AQ140" s="185">
        <f t="shared" si="110"/>
        <v>1049.5225970719291</v>
      </c>
      <c r="AR140" s="182">
        <f t="shared" si="111"/>
        <v>1</v>
      </c>
      <c r="AS140" s="540"/>
      <c r="AT140" s="188">
        <v>3</v>
      </c>
      <c r="AU140" s="188">
        <v>3148.8311688311737</v>
      </c>
      <c r="AV140" s="185">
        <f t="shared" si="112"/>
        <v>1049.6103896103912</v>
      </c>
      <c r="AW140" s="182">
        <f t="shared" si="113"/>
        <v>1</v>
      </c>
      <c r="AX140" s="540"/>
    </row>
    <row r="141" spans="2:50" ht="14.25" customHeight="1">
      <c r="B141" s="530"/>
      <c r="C141" s="180">
        <v>21</v>
      </c>
      <c r="D141" s="183" t="s">
        <v>163</v>
      </c>
      <c r="E141" s="184">
        <v>4</v>
      </c>
      <c r="F141" s="180">
        <v>3300</v>
      </c>
      <c r="G141" s="185">
        <f t="shared" si="100"/>
        <v>825</v>
      </c>
      <c r="H141" s="558"/>
      <c r="I141" s="186">
        <f t="shared" si="101"/>
        <v>4</v>
      </c>
      <c r="J141" s="186">
        <f t="shared" si="101"/>
        <v>2931.0670421257682</v>
      </c>
      <c r="K141" s="187">
        <f t="shared" si="101"/>
        <v>732.76676053144206</v>
      </c>
      <c r="L141" s="559"/>
      <c r="M141" s="186">
        <f>RANK(K141, K$121:$K$153)</f>
        <v>19</v>
      </c>
      <c r="N141" s="578"/>
      <c r="O141" s="541"/>
      <c r="P141" s="188">
        <v>4</v>
      </c>
      <c r="Q141" s="188">
        <v>2930.4247990815202</v>
      </c>
      <c r="R141" s="185">
        <f t="shared" si="98"/>
        <v>732.60619977038004</v>
      </c>
      <c r="S141" s="182">
        <f t="shared" si="102"/>
        <v>19</v>
      </c>
      <c r="T141" s="540"/>
      <c r="U141" s="188">
        <v>4</v>
      </c>
      <c r="V141" s="188">
        <v>2930.1854974704893</v>
      </c>
      <c r="W141" s="185">
        <f t="shared" si="99"/>
        <v>732.54637436762232</v>
      </c>
      <c r="X141" s="182">
        <f t="shared" si="103"/>
        <v>19</v>
      </c>
      <c r="Y141" s="540"/>
      <c r="Z141" s="188">
        <v>4</v>
      </c>
      <c r="AA141" s="188">
        <v>2930.0869565217372</v>
      </c>
      <c r="AB141" s="185">
        <f t="shared" si="104"/>
        <v>732.5217391304343</v>
      </c>
      <c r="AC141" s="182">
        <f t="shared" si="105"/>
        <v>19</v>
      </c>
      <c r="AD141" s="540"/>
      <c r="AE141" s="188">
        <v>4</v>
      </c>
      <c r="AF141" s="188">
        <v>2931.1475409836094</v>
      </c>
      <c r="AG141" s="185">
        <f t="shared" si="106"/>
        <v>732.78688524590234</v>
      </c>
      <c r="AH141" s="182">
        <f t="shared" si="107"/>
        <v>19</v>
      </c>
      <c r="AI141" s="540"/>
      <c r="AJ141" s="188">
        <v>4</v>
      </c>
      <c r="AK141" s="188">
        <v>2931.5649867374023</v>
      </c>
      <c r="AL141" s="185">
        <f t="shared" si="108"/>
        <v>732.89124668435056</v>
      </c>
      <c r="AM141" s="182">
        <f t="shared" si="109"/>
        <v>19</v>
      </c>
      <c r="AN141" s="540"/>
      <c r="AO141" s="188">
        <v>4</v>
      </c>
      <c r="AP141" s="188">
        <v>2932.2363500373945</v>
      </c>
      <c r="AQ141" s="185">
        <f t="shared" si="110"/>
        <v>733.05908750934861</v>
      </c>
      <c r="AR141" s="182">
        <f t="shared" si="111"/>
        <v>19</v>
      </c>
      <c r="AS141" s="540"/>
      <c r="AT141" s="188">
        <v>4</v>
      </c>
      <c r="AU141" s="188">
        <v>2931.823164048225</v>
      </c>
      <c r="AV141" s="185">
        <f t="shared" si="112"/>
        <v>732.95579101205624</v>
      </c>
      <c r="AW141" s="182">
        <f t="shared" si="113"/>
        <v>19</v>
      </c>
      <c r="AX141" s="540"/>
    </row>
    <row r="142" spans="2:50" ht="14.25" customHeight="1">
      <c r="B142" s="530"/>
      <c r="C142" s="180">
        <v>22</v>
      </c>
      <c r="D142" s="183" t="s">
        <v>164</v>
      </c>
      <c r="E142" s="184">
        <v>4</v>
      </c>
      <c r="F142" s="180">
        <v>3300</v>
      </c>
      <c r="G142" s="185">
        <f>F142/E142</f>
        <v>825</v>
      </c>
      <c r="H142" s="558"/>
      <c r="I142" s="186">
        <f t="shared" si="101"/>
        <v>4</v>
      </c>
      <c r="J142" s="186">
        <f t="shared" si="101"/>
        <v>2933.3801221019276</v>
      </c>
      <c r="K142" s="187">
        <f t="shared" si="101"/>
        <v>733.34503052548189</v>
      </c>
      <c r="L142" s="559"/>
      <c r="M142" s="186">
        <f>RANK(K142, K$121:$K$153)</f>
        <v>18</v>
      </c>
      <c r="N142" s="578"/>
      <c r="O142" s="541"/>
      <c r="P142" s="188">
        <v>4</v>
      </c>
      <c r="Q142" s="188">
        <v>2931.2649164677809</v>
      </c>
      <c r="R142" s="185">
        <f t="shared" si="98"/>
        <v>732.81622911694524</v>
      </c>
      <c r="S142" s="182">
        <f t="shared" si="102"/>
        <v>18</v>
      </c>
      <c r="T142" s="540"/>
      <c r="U142" s="188">
        <v>4</v>
      </c>
      <c r="V142" s="188">
        <v>2931.9587628866043</v>
      </c>
      <c r="W142" s="185">
        <f t="shared" si="99"/>
        <v>732.98969072165107</v>
      </c>
      <c r="X142" s="182">
        <f t="shared" si="103"/>
        <v>18</v>
      </c>
      <c r="Y142" s="540"/>
      <c r="Z142" s="188">
        <v>4</v>
      </c>
      <c r="AA142" s="188">
        <v>2932.5183374083131</v>
      </c>
      <c r="AB142" s="185">
        <f t="shared" si="104"/>
        <v>733.12958435207827</v>
      </c>
      <c r="AC142" s="182">
        <f t="shared" si="105"/>
        <v>18</v>
      </c>
      <c r="AD142" s="540"/>
      <c r="AE142" s="188">
        <v>4</v>
      </c>
      <c r="AF142" s="188">
        <v>2934.2572542226076</v>
      </c>
      <c r="AG142" s="185">
        <f t="shared" si="106"/>
        <v>733.56431355565189</v>
      </c>
      <c r="AH142" s="182">
        <f t="shared" si="107"/>
        <v>18</v>
      </c>
      <c r="AI142" s="540"/>
      <c r="AJ142" s="188">
        <v>4</v>
      </c>
      <c r="AK142" s="188">
        <v>2934.4437041971996</v>
      </c>
      <c r="AL142" s="185">
        <f t="shared" si="108"/>
        <v>733.61092604929991</v>
      </c>
      <c r="AM142" s="182">
        <f t="shared" si="109"/>
        <v>18</v>
      </c>
      <c r="AN142" s="540"/>
      <c r="AO142" s="188">
        <v>4</v>
      </c>
      <c r="AP142" s="188">
        <v>2934.6633416458867</v>
      </c>
      <c r="AQ142" s="185">
        <f t="shared" si="110"/>
        <v>733.66583541147168</v>
      </c>
      <c r="AR142" s="182">
        <f t="shared" si="111"/>
        <v>18</v>
      </c>
      <c r="AS142" s="540"/>
      <c r="AT142" s="188">
        <v>4</v>
      </c>
      <c r="AU142" s="188">
        <v>2934.5545378850979</v>
      </c>
      <c r="AV142" s="185">
        <f t="shared" si="112"/>
        <v>733.63863447127449</v>
      </c>
      <c r="AW142" s="182">
        <f t="shared" si="113"/>
        <v>18</v>
      </c>
      <c r="AX142" s="540"/>
    </row>
    <row r="143" spans="2:50" ht="14.25" customHeight="1">
      <c r="B143" s="530"/>
      <c r="C143" s="180">
        <v>23</v>
      </c>
      <c r="D143" s="183" t="s">
        <v>165</v>
      </c>
      <c r="E143" s="184">
        <v>4</v>
      </c>
      <c r="F143" s="180">
        <v>3000</v>
      </c>
      <c r="G143" s="185">
        <f t="shared" ref="G143:G149" si="114">F143/E143</f>
        <v>750</v>
      </c>
      <c r="H143" s="558"/>
      <c r="I143" s="186">
        <f t="shared" si="101"/>
        <v>4</v>
      </c>
      <c r="J143" s="186">
        <f t="shared" si="101"/>
        <v>2694.4995792469394</v>
      </c>
      <c r="K143" s="187">
        <f t="shared" si="101"/>
        <v>673.62489481173486</v>
      </c>
      <c r="L143" s="559"/>
      <c r="M143" s="186">
        <f>RANK(K143, K$121:$K$153)</f>
        <v>22</v>
      </c>
      <c r="N143" s="578"/>
      <c r="O143" s="541"/>
      <c r="P143" s="188">
        <v>4</v>
      </c>
      <c r="Q143" s="188">
        <v>2693.9659618360079</v>
      </c>
      <c r="R143" s="185">
        <f t="shared" si="98"/>
        <v>673.49149045900197</v>
      </c>
      <c r="S143" s="182">
        <f t="shared" si="102"/>
        <v>22</v>
      </c>
      <c r="T143" s="540"/>
      <c r="U143" s="188">
        <v>4</v>
      </c>
      <c r="V143" s="188">
        <v>2694.6107784431179</v>
      </c>
      <c r="W143" s="185">
        <f t="shared" si="99"/>
        <v>673.65269461077946</v>
      </c>
      <c r="X143" s="182">
        <f t="shared" si="103"/>
        <v>22</v>
      </c>
      <c r="Y143" s="540"/>
      <c r="Z143" s="188">
        <v>4</v>
      </c>
      <c r="AA143" s="188">
        <v>2694.2060085836902</v>
      </c>
      <c r="AB143" s="185">
        <f t="shared" si="104"/>
        <v>673.55150214592254</v>
      </c>
      <c r="AC143" s="182">
        <f t="shared" si="105"/>
        <v>22</v>
      </c>
      <c r="AD143" s="540"/>
      <c r="AE143" s="188">
        <v>4</v>
      </c>
      <c r="AF143" s="188">
        <v>2694.1798941798984</v>
      </c>
      <c r="AG143" s="185">
        <f t="shared" si="106"/>
        <v>673.5449735449746</v>
      </c>
      <c r="AH143" s="182">
        <f t="shared" si="107"/>
        <v>22</v>
      </c>
      <c r="AI143" s="540"/>
      <c r="AJ143" s="188">
        <v>4</v>
      </c>
      <c r="AK143" s="188">
        <v>2694.8571428571345</v>
      </c>
      <c r="AL143" s="185">
        <f t="shared" si="108"/>
        <v>673.71428571428362</v>
      </c>
      <c r="AM143" s="182">
        <f t="shared" si="109"/>
        <v>22</v>
      </c>
      <c r="AN143" s="540"/>
      <c r="AO143" s="188">
        <v>4</v>
      </c>
      <c r="AP143" s="188">
        <v>2694.6902654867235</v>
      </c>
      <c r="AQ143" s="185">
        <f t="shared" si="110"/>
        <v>673.67256637168089</v>
      </c>
      <c r="AR143" s="182">
        <f t="shared" si="111"/>
        <v>22</v>
      </c>
      <c r="AS143" s="540"/>
      <c r="AT143" s="188">
        <v>4</v>
      </c>
      <c r="AU143" s="188">
        <v>2694.9870033420048</v>
      </c>
      <c r="AV143" s="185">
        <f t="shared" si="112"/>
        <v>673.74675083550119</v>
      </c>
      <c r="AW143" s="182">
        <f t="shared" si="113"/>
        <v>22</v>
      </c>
      <c r="AX143" s="540"/>
    </row>
    <row r="144" spans="2:50" ht="14.25" customHeight="1">
      <c r="B144" s="530"/>
      <c r="C144" s="180">
        <v>24</v>
      </c>
      <c r="D144" s="183" t="s">
        <v>166</v>
      </c>
      <c r="E144" s="184">
        <v>4</v>
      </c>
      <c r="F144" s="180">
        <v>3300</v>
      </c>
      <c r="G144" s="185">
        <f t="shared" si="114"/>
        <v>825</v>
      </c>
      <c r="H144" s="558"/>
      <c r="I144" s="186">
        <f t="shared" si="101"/>
        <v>4</v>
      </c>
      <c r="J144" s="186">
        <f t="shared" si="101"/>
        <v>2965.2230119798119</v>
      </c>
      <c r="K144" s="187">
        <f t="shared" si="101"/>
        <v>741.30575299495297</v>
      </c>
      <c r="L144" s="559"/>
      <c r="M144" s="186">
        <f>RANK(K144, K$121:$K$153)</f>
        <v>13</v>
      </c>
      <c r="N144" s="578"/>
      <c r="O144" s="541"/>
      <c r="P144" s="188">
        <v>4</v>
      </c>
      <c r="Q144" s="188">
        <v>2963.3802816901225</v>
      </c>
      <c r="R144" s="185">
        <f t="shared" si="98"/>
        <v>740.84507042253063</v>
      </c>
      <c r="S144" s="182">
        <f t="shared" si="102"/>
        <v>13</v>
      </c>
      <c r="T144" s="540"/>
      <c r="U144" s="188">
        <v>4</v>
      </c>
      <c r="V144" s="188">
        <v>2965.384615384653</v>
      </c>
      <c r="W144" s="185">
        <f t="shared" si="99"/>
        <v>741.34615384616325</v>
      </c>
      <c r="X144" s="182">
        <f t="shared" si="103"/>
        <v>13</v>
      </c>
      <c r="Y144" s="540"/>
      <c r="Z144" s="188">
        <v>4</v>
      </c>
      <c r="AA144" s="188">
        <v>2967.4876847291143</v>
      </c>
      <c r="AB144" s="185">
        <f t="shared" si="104"/>
        <v>741.87192118227858</v>
      </c>
      <c r="AC144" s="182">
        <f t="shared" si="105"/>
        <v>13</v>
      </c>
      <c r="AD144" s="540"/>
      <c r="AE144" s="188">
        <v>4</v>
      </c>
      <c r="AF144" s="188">
        <v>2964.3243243243219</v>
      </c>
      <c r="AG144" s="185">
        <f t="shared" si="106"/>
        <v>741.08108108108047</v>
      </c>
      <c r="AH144" s="182">
        <f t="shared" si="107"/>
        <v>13</v>
      </c>
      <c r="AI144" s="540"/>
      <c r="AJ144" s="188">
        <v>4</v>
      </c>
      <c r="AK144" s="188">
        <v>2965.4834761321913</v>
      </c>
      <c r="AL144" s="185">
        <f t="shared" si="108"/>
        <v>741.37086903304782</v>
      </c>
      <c r="AM144" s="182">
        <f t="shared" si="109"/>
        <v>13</v>
      </c>
      <c r="AN144" s="540"/>
      <c r="AO144" s="188">
        <v>4</v>
      </c>
      <c r="AP144" s="188">
        <v>2965.573770491816</v>
      </c>
      <c r="AQ144" s="185">
        <f t="shared" si="110"/>
        <v>741.39344262295401</v>
      </c>
      <c r="AR144" s="182">
        <f t="shared" si="111"/>
        <v>12</v>
      </c>
      <c r="AS144" s="540"/>
      <c r="AT144" s="188">
        <v>4</v>
      </c>
      <c r="AU144" s="188">
        <v>2964.9269311064636</v>
      </c>
      <c r="AV144" s="185">
        <f t="shared" si="112"/>
        <v>741.2317327766159</v>
      </c>
      <c r="AW144" s="182">
        <f t="shared" si="113"/>
        <v>13</v>
      </c>
      <c r="AX144" s="540"/>
    </row>
    <row r="145" spans="1:50" ht="14.25" customHeight="1">
      <c r="B145" s="530"/>
      <c r="C145" s="180">
        <v>25</v>
      </c>
      <c r="D145" s="183" t="s">
        <v>167</v>
      </c>
      <c r="E145" s="184">
        <v>3</v>
      </c>
      <c r="F145" s="180">
        <v>3300</v>
      </c>
      <c r="G145" s="185">
        <f t="shared" si="114"/>
        <v>1100</v>
      </c>
      <c r="H145" s="558"/>
      <c r="I145" s="186">
        <f t="shared" si="101"/>
        <v>3</v>
      </c>
      <c r="J145" s="186">
        <f t="shared" si="101"/>
        <v>2963.1701051271812</v>
      </c>
      <c r="K145" s="187">
        <f t="shared" si="101"/>
        <v>987.72336837572698</v>
      </c>
      <c r="L145" s="559"/>
      <c r="M145" s="186">
        <f>RANK(K145, K$121:$K$153)</f>
        <v>7</v>
      </c>
      <c r="N145" s="578"/>
      <c r="O145" s="541"/>
      <c r="P145" s="188">
        <v>3</v>
      </c>
      <c r="Q145" s="188">
        <v>2962.3906705539353</v>
      </c>
      <c r="R145" s="185">
        <f t="shared" si="98"/>
        <v>987.46355685131175</v>
      </c>
      <c r="S145" s="182">
        <f t="shared" si="102"/>
        <v>7</v>
      </c>
      <c r="T145" s="540"/>
      <c r="U145" s="188">
        <v>3</v>
      </c>
      <c r="V145" s="188">
        <v>2962.7065302911083</v>
      </c>
      <c r="W145" s="185">
        <f t="shared" si="99"/>
        <v>987.56884343036938</v>
      </c>
      <c r="X145" s="182">
        <f t="shared" si="103"/>
        <v>7</v>
      </c>
      <c r="Y145" s="540"/>
      <c r="Z145" s="188">
        <v>3</v>
      </c>
      <c r="AA145" s="188">
        <v>2961.7805065234097</v>
      </c>
      <c r="AB145" s="185">
        <f t="shared" si="104"/>
        <v>987.26016884113653</v>
      </c>
      <c r="AC145" s="182">
        <f t="shared" si="105"/>
        <v>7</v>
      </c>
      <c r="AD145" s="540"/>
      <c r="AE145" s="188">
        <v>3</v>
      </c>
      <c r="AF145" s="188">
        <v>2963.5359116022178</v>
      </c>
      <c r="AG145" s="185">
        <f t="shared" si="106"/>
        <v>987.84530386740596</v>
      </c>
      <c r="AH145" s="182">
        <f t="shared" si="107"/>
        <v>7</v>
      </c>
      <c r="AI145" s="540"/>
      <c r="AJ145" s="188">
        <v>3</v>
      </c>
      <c r="AK145" s="188">
        <v>2963.9919082940019</v>
      </c>
      <c r="AL145" s="185">
        <f t="shared" si="108"/>
        <v>987.99730276466732</v>
      </c>
      <c r="AM145" s="182">
        <f t="shared" si="109"/>
        <v>7</v>
      </c>
      <c r="AN145" s="540"/>
      <c r="AO145" s="188">
        <v>3</v>
      </c>
      <c r="AP145" s="188">
        <v>2963.5467980295603</v>
      </c>
      <c r="AQ145" s="185">
        <f t="shared" si="110"/>
        <v>987.84893267652012</v>
      </c>
      <c r="AR145" s="182">
        <f t="shared" si="111"/>
        <v>7</v>
      </c>
      <c r="AS145" s="540"/>
      <c r="AT145" s="188">
        <v>3</v>
      </c>
      <c r="AU145" s="188">
        <v>2964.2384105960341</v>
      </c>
      <c r="AV145" s="185">
        <f t="shared" si="112"/>
        <v>988.079470198678</v>
      </c>
      <c r="AW145" s="182">
        <f t="shared" si="113"/>
        <v>7</v>
      </c>
      <c r="AX145" s="540"/>
    </row>
    <row r="146" spans="1:50" ht="14.25" customHeight="1">
      <c r="B146" s="530"/>
      <c r="C146" s="180">
        <v>26</v>
      </c>
      <c r="D146" s="183" t="s">
        <v>168</v>
      </c>
      <c r="E146" s="184">
        <v>4</v>
      </c>
      <c r="F146" s="180">
        <v>3000</v>
      </c>
      <c r="G146" s="185">
        <f t="shared" si="114"/>
        <v>750</v>
      </c>
      <c r="H146" s="558"/>
      <c r="I146" s="186">
        <f t="shared" si="101"/>
        <v>4</v>
      </c>
      <c r="J146" s="186">
        <f t="shared" si="101"/>
        <v>2673.0719827384046</v>
      </c>
      <c r="K146" s="187">
        <f t="shared" si="101"/>
        <v>668.26799568460115</v>
      </c>
      <c r="L146" s="559"/>
      <c r="M146" s="186">
        <f>RANK(K146, K$121:$K$153)</f>
        <v>23</v>
      </c>
      <c r="N146" s="578"/>
      <c r="O146" s="541"/>
      <c r="P146" s="188">
        <v>4</v>
      </c>
      <c r="Q146" s="188">
        <v>2670.7489401789926</v>
      </c>
      <c r="R146" s="185">
        <f t="shared" si="98"/>
        <v>667.68723504474815</v>
      </c>
      <c r="S146" s="182">
        <f t="shared" si="102"/>
        <v>23</v>
      </c>
      <c r="T146" s="540"/>
      <c r="U146" s="188">
        <v>4</v>
      </c>
      <c r="V146" s="188">
        <v>2672.5954567423869</v>
      </c>
      <c r="W146" s="185">
        <f t="shared" si="99"/>
        <v>668.14886418559672</v>
      </c>
      <c r="X146" s="182">
        <f t="shared" si="103"/>
        <v>23</v>
      </c>
      <c r="Y146" s="540"/>
      <c r="Z146" s="188">
        <v>4</v>
      </c>
      <c r="AA146" s="188">
        <v>2673.1802638006834</v>
      </c>
      <c r="AB146" s="185">
        <f t="shared" si="104"/>
        <v>668.29506595017085</v>
      </c>
      <c r="AC146" s="182">
        <f t="shared" si="105"/>
        <v>23</v>
      </c>
      <c r="AD146" s="540"/>
      <c r="AE146" s="188">
        <v>4</v>
      </c>
      <c r="AF146" s="188">
        <v>2673.7160120845874</v>
      </c>
      <c r="AG146" s="185">
        <f t="shared" si="106"/>
        <v>668.42900302114685</v>
      </c>
      <c r="AH146" s="182">
        <f t="shared" si="107"/>
        <v>23</v>
      </c>
      <c r="AI146" s="540"/>
      <c r="AJ146" s="188">
        <v>4</v>
      </c>
      <c r="AK146" s="188">
        <v>2673.8878143133416</v>
      </c>
      <c r="AL146" s="185">
        <f t="shared" si="108"/>
        <v>668.47195357833539</v>
      </c>
      <c r="AM146" s="182">
        <f t="shared" si="109"/>
        <v>23</v>
      </c>
      <c r="AN146" s="540"/>
      <c r="AO146" s="188">
        <v>4</v>
      </c>
      <c r="AP146" s="188">
        <v>2673.7051792828761</v>
      </c>
      <c r="AQ146" s="185">
        <f t="shared" si="110"/>
        <v>668.42629482071902</v>
      </c>
      <c r="AR146" s="182">
        <f t="shared" si="111"/>
        <v>23</v>
      </c>
      <c r="AS146" s="540"/>
      <c r="AT146" s="188">
        <v>4</v>
      </c>
      <c r="AU146" s="188">
        <v>2673.6702127659632</v>
      </c>
      <c r="AV146" s="185">
        <f t="shared" si="112"/>
        <v>668.41755319149081</v>
      </c>
      <c r="AW146" s="182">
        <f t="shared" si="113"/>
        <v>23</v>
      </c>
      <c r="AX146" s="540"/>
    </row>
    <row r="147" spans="1:50" ht="14.25" customHeight="1">
      <c r="B147" s="530"/>
      <c r="C147" s="180">
        <v>27</v>
      </c>
      <c r="D147" s="183" t="s">
        <v>169</v>
      </c>
      <c r="E147" s="184">
        <v>5</v>
      </c>
      <c r="F147" s="180">
        <v>3000</v>
      </c>
      <c r="G147" s="185">
        <f t="shared" si="114"/>
        <v>600</v>
      </c>
      <c r="H147" s="558"/>
      <c r="I147" s="186">
        <f t="shared" si="101"/>
        <v>5</v>
      </c>
      <c r="J147" s="186">
        <f t="shared" si="101"/>
        <v>2670.9594388878045</v>
      </c>
      <c r="K147" s="187">
        <f t="shared" si="101"/>
        <v>534.19188777756096</v>
      </c>
      <c r="L147" s="559"/>
      <c r="M147" s="186">
        <f>RANK(K147, K$121:$K$153)</f>
        <v>27</v>
      </c>
      <c r="N147" s="578"/>
      <c r="O147" s="541"/>
      <c r="P147" s="188">
        <v>5</v>
      </c>
      <c r="Q147" s="188">
        <v>2669.8072805139218</v>
      </c>
      <c r="R147" s="185">
        <f t="shared" si="98"/>
        <v>533.96145610278438</v>
      </c>
      <c r="S147" s="182">
        <f t="shared" si="102"/>
        <v>27</v>
      </c>
      <c r="T147" s="540"/>
      <c r="U147" s="188">
        <v>5</v>
      </c>
      <c r="V147" s="188">
        <v>2670.9677419354889</v>
      </c>
      <c r="W147" s="185">
        <f t="shared" si="99"/>
        <v>534.19354838709774</v>
      </c>
      <c r="X147" s="182">
        <f t="shared" si="103"/>
        <v>27</v>
      </c>
      <c r="Y147" s="540"/>
      <c r="Z147" s="188">
        <v>5</v>
      </c>
      <c r="AA147" s="188">
        <v>2670.7040121120522</v>
      </c>
      <c r="AB147" s="185">
        <f t="shared" si="104"/>
        <v>534.14080242241039</v>
      </c>
      <c r="AC147" s="182">
        <f t="shared" si="105"/>
        <v>27</v>
      </c>
      <c r="AD147" s="540"/>
      <c r="AE147" s="188">
        <v>5</v>
      </c>
      <c r="AF147" s="188">
        <v>2670.0906344411023</v>
      </c>
      <c r="AG147" s="185">
        <f t="shared" si="106"/>
        <v>534.01812688822042</v>
      </c>
      <c r="AH147" s="182">
        <f t="shared" si="107"/>
        <v>27</v>
      </c>
      <c r="AI147" s="540"/>
      <c r="AJ147" s="188">
        <v>5</v>
      </c>
      <c r="AK147" s="188">
        <v>2670.0163844893568</v>
      </c>
      <c r="AL147" s="185">
        <f t="shared" si="108"/>
        <v>534.00327689787139</v>
      </c>
      <c r="AM147" s="182">
        <f t="shared" si="109"/>
        <v>27</v>
      </c>
      <c r="AN147" s="540"/>
      <c r="AO147" s="188">
        <v>5</v>
      </c>
      <c r="AP147" s="188">
        <v>2672.7272727272789</v>
      </c>
      <c r="AQ147" s="185">
        <f t="shared" si="110"/>
        <v>534.54545454545575</v>
      </c>
      <c r="AR147" s="182">
        <f t="shared" si="111"/>
        <v>27</v>
      </c>
      <c r="AS147" s="540"/>
      <c r="AT147" s="188">
        <v>5</v>
      </c>
      <c r="AU147" s="188">
        <v>2672.4027459954318</v>
      </c>
      <c r="AV147" s="185">
        <f t="shared" si="112"/>
        <v>534.48054919908634</v>
      </c>
      <c r="AW147" s="182">
        <f t="shared" si="113"/>
        <v>27</v>
      </c>
      <c r="AX147" s="540"/>
    </row>
    <row r="148" spans="1:50" ht="14.25" customHeight="1">
      <c r="B148" s="530"/>
      <c r="C148" s="180">
        <v>28</v>
      </c>
      <c r="D148" s="183" t="s">
        <v>170</v>
      </c>
      <c r="E148" s="184">
        <v>3</v>
      </c>
      <c r="F148" s="180">
        <v>3000</v>
      </c>
      <c r="G148" s="185">
        <f t="shared" si="114"/>
        <v>1000</v>
      </c>
      <c r="H148" s="558"/>
      <c r="I148" s="186">
        <f t="shared" si="101"/>
        <v>3</v>
      </c>
      <c r="J148" s="186">
        <f t="shared" si="101"/>
        <v>2691.7539893285643</v>
      </c>
      <c r="K148" s="187">
        <f t="shared" si="101"/>
        <v>897.25132977618796</v>
      </c>
      <c r="L148" s="559"/>
      <c r="M148" s="186">
        <f>RANK(K148, K$121:$K$153)</f>
        <v>10</v>
      </c>
      <c r="N148" s="578"/>
      <c r="O148" s="541"/>
      <c r="P148" s="188">
        <v>3</v>
      </c>
      <c r="Q148" s="188">
        <v>2690.9874508809735</v>
      </c>
      <c r="R148" s="185">
        <f t="shared" si="98"/>
        <v>896.99581696032453</v>
      </c>
      <c r="S148" s="182">
        <f t="shared" si="102"/>
        <v>10</v>
      </c>
      <c r="T148" s="540"/>
      <c r="U148" s="188">
        <v>3</v>
      </c>
      <c r="V148" s="188">
        <v>2691.1324376199641</v>
      </c>
      <c r="W148" s="185">
        <f t="shared" si="99"/>
        <v>897.04414587332133</v>
      </c>
      <c r="X148" s="182">
        <f t="shared" si="103"/>
        <v>11</v>
      </c>
      <c r="Y148" s="540"/>
      <c r="Z148" s="188">
        <v>3</v>
      </c>
      <c r="AA148" s="188">
        <v>2691.1673553719015</v>
      </c>
      <c r="AB148" s="185">
        <f t="shared" si="104"/>
        <v>897.05578512396721</v>
      </c>
      <c r="AC148" s="182">
        <f t="shared" si="105"/>
        <v>11</v>
      </c>
      <c r="AD148" s="540"/>
      <c r="AE148" s="188">
        <v>3</v>
      </c>
      <c r="AF148" s="188">
        <v>2691.3049394475433</v>
      </c>
      <c r="AG148" s="185">
        <f t="shared" si="106"/>
        <v>897.10164648251441</v>
      </c>
      <c r="AH148" s="182">
        <f t="shared" si="107"/>
        <v>11</v>
      </c>
      <c r="AI148" s="540"/>
      <c r="AJ148" s="188">
        <v>3</v>
      </c>
      <c r="AK148" s="188">
        <v>2691.5553888736276</v>
      </c>
      <c r="AL148" s="185">
        <f t="shared" si="108"/>
        <v>897.18512962454258</v>
      </c>
      <c r="AM148" s="182">
        <f t="shared" si="109"/>
        <v>11</v>
      </c>
      <c r="AN148" s="540"/>
      <c r="AO148" s="188">
        <v>3</v>
      </c>
      <c r="AP148" s="188">
        <v>2692.8885772603708</v>
      </c>
      <c r="AQ148" s="185">
        <f t="shared" si="110"/>
        <v>897.62952575345696</v>
      </c>
      <c r="AR148" s="182">
        <f t="shared" si="111"/>
        <v>9</v>
      </c>
      <c r="AS148" s="540"/>
      <c r="AT148" s="188">
        <v>3</v>
      </c>
      <c r="AU148" s="188">
        <v>2693.2417758455667</v>
      </c>
      <c r="AV148" s="185">
        <f t="shared" si="112"/>
        <v>897.74725861518891</v>
      </c>
      <c r="AW148" s="182">
        <f t="shared" si="113"/>
        <v>9</v>
      </c>
      <c r="AX148" s="540"/>
    </row>
    <row r="149" spans="1:50" ht="14.25" customHeight="1">
      <c r="B149" s="530"/>
      <c r="C149" s="180">
        <v>29</v>
      </c>
      <c r="D149" s="183" t="s">
        <v>171</v>
      </c>
      <c r="E149" s="184">
        <v>12</v>
      </c>
      <c r="F149" s="180">
        <v>3600</v>
      </c>
      <c r="G149" s="185">
        <f t="shared" si="114"/>
        <v>300</v>
      </c>
      <c r="H149" s="558"/>
      <c r="I149" s="186">
        <f t="shared" si="101"/>
        <v>12</v>
      </c>
      <c r="J149" s="186">
        <f t="shared" si="101"/>
        <v>3124.5994381717805</v>
      </c>
      <c r="K149" s="187">
        <f t="shared" si="101"/>
        <v>260.38328651431505</v>
      </c>
      <c r="L149" s="559"/>
      <c r="M149" s="186">
        <f>RANK(K149, K$121:$K$153)</f>
        <v>29</v>
      </c>
      <c r="N149" s="578"/>
      <c r="O149" s="541"/>
      <c r="P149" s="188">
        <v>12</v>
      </c>
      <c r="Q149" s="188">
        <v>3123.4106207928166</v>
      </c>
      <c r="R149" s="185">
        <f t="shared" si="98"/>
        <v>260.28421839940137</v>
      </c>
      <c r="S149" s="182">
        <f t="shared" si="102"/>
        <v>29</v>
      </c>
      <c r="T149" s="540"/>
      <c r="U149" s="188">
        <v>12</v>
      </c>
      <c r="V149" s="188">
        <v>3124.4755244755252</v>
      </c>
      <c r="W149" s="185">
        <f t="shared" si="99"/>
        <v>260.37296037296045</v>
      </c>
      <c r="X149" s="182">
        <f t="shared" si="103"/>
        <v>28</v>
      </c>
      <c r="Y149" s="540"/>
      <c r="Z149" s="188">
        <v>12</v>
      </c>
      <c r="AA149" s="188">
        <v>3124.6874999999955</v>
      </c>
      <c r="AB149" s="185">
        <f t="shared" si="104"/>
        <v>260.3906249999996</v>
      </c>
      <c r="AC149" s="182">
        <f t="shared" si="105"/>
        <v>28</v>
      </c>
      <c r="AD149" s="540"/>
      <c r="AE149" s="188">
        <v>12</v>
      </c>
      <c r="AF149" s="188">
        <v>3125.0814332247633</v>
      </c>
      <c r="AG149" s="185">
        <f t="shared" si="106"/>
        <v>260.42345276873027</v>
      </c>
      <c r="AH149" s="182">
        <f t="shared" si="107"/>
        <v>28</v>
      </c>
      <c r="AI149" s="540"/>
      <c r="AJ149" s="188">
        <v>12</v>
      </c>
      <c r="AK149" s="188">
        <v>3124.0986717267597</v>
      </c>
      <c r="AL149" s="185">
        <f t="shared" si="108"/>
        <v>260.34155597722997</v>
      </c>
      <c r="AM149" s="182">
        <f t="shared" si="109"/>
        <v>29</v>
      </c>
      <c r="AN149" s="540"/>
      <c r="AO149" s="188">
        <v>12</v>
      </c>
      <c r="AP149" s="188">
        <v>3125.4019292604598</v>
      </c>
      <c r="AQ149" s="185">
        <f t="shared" si="110"/>
        <v>260.45016077170499</v>
      </c>
      <c r="AR149" s="182">
        <f t="shared" si="111"/>
        <v>28</v>
      </c>
      <c r="AS149" s="540"/>
      <c r="AT149" s="188">
        <v>12</v>
      </c>
      <c r="AU149" s="188">
        <v>3125.0403877221443</v>
      </c>
      <c r="AV149" s="185">
        <f t="shared" si="112"/>
        <v>260.42003231017867</v>
      </c>
      <c r="AW149" s="182">
        <f t="shared" si="113"/>
        <v>29</v>
      </c>
      <c r="AX149" s="540"/>
    </row>
    <row r="150" spans="1:50" ht="14.25" customHeight="1">
      <c r="B150" s="530"/>
      <c r="C150" s="180">
        <v>30</v>
      </c>
      <c r="D150" s="183"/>
      <c r="E150" s="184"/>
      <c r="F150" s="180"/>
      <c r="G150" s="185"/>
      <c r="H150" s="558"/>
      <c r="I150" s="186"/>
      <c r="J150" s="186"/>
      <c r="K150" s="187"/>
      <c r="L150" s="559"/>
      <c r="M150" s="186"/>
      <c r="N150" s="578"/>
      <c r="O150" s="541"/>
      <c r="P150" s="188"/>
      <c r="Q150" s="188"/>
      <c r="R150" s="185"/>
      <c r="S150" s="182"/>
      <c r="T150" s="540"/>
      <c r="U150" s="188"/>
      <c r="V150" s="188"/>
      <c r="W150" s="185"/>
      <c r="X150" s="182"/>
      <c r="Y150" s="540"/>
      <c r="Z150" s="188"/>
      <c r="AA150" s="188"/>
      <c r="AB150" s="185"/>
      <c r="AC150" s="182"/>
      <c r="AD150" s="540"/>
      <c r="AE150" s="188"/>
      <c r="AF150" s="188"/>
      <c r="AG150" s="185"/>
      <c r="AH150" s="182"/>
      <c r="AI150" s="540"/>
      <c r="AJ150" s="188"/>
      <c r="AK150" s="188"/>
      <c r="AL150" s="185"/>
      <c r="AM150" s="182"/>
      <c r="AN150" s="540"/>
      <c r="AO150" s="188"/>
      <c r="AP150" s="188"/>
      <c r="AQ150" s="185"/>
      <c r="AR150" s="182"/>
      <c r="AS150" s="540"/>
      <c r="AT150" s="188"/>
      <c r="AU150" s="188"/>
      <c r="AV150" s="185"/>
      <c r="AW150" s="182"/>
      <c r="AX150" s="540"/>
    </row>
    <row r="151" spans="1:50" ht="14.25" customHeight="1">
      <c r="B151" s="530"/>
      <c r="C151" s="180">
        <v>31</v>
      </c>
      <c r="D151" s="183"/>
      <c r="E151" s="180"/>
      <c r="F151" s="180"/>
      <c r="G151" s="185"/>
      <c r="H151" s="558"/>
      <c r="I151" s="186"/>
      <c r="J151" s="186"/>
      <c r="K151" s="187"/>
      <c r="L151" s="559"/>
      <c r="M151" s="186"/>
      <c r="N151" s="578"/>
      <c r="O151" s="541"/>
      <c r="P151" s="188"/>
      <c r="Q151" s="188"/>
      <c r="R151" s="185"/>
      <c r="S151" s="182"/>
      <c r="T151" s="540"/>
      <c r="U151" s="188"/>
      <c r="V151" s="188"/>
      <c r="W151" s="185"/>
      <c r="X151" s="182"/>
      <c r="Y151" s="540"/>
      <c r="Z151" s="188"/>
      <c r="AA151" s="188"/>
      <c r="AB151" s="185"/>
      <c r="AC151" s="182"/>
      <c r="AD151" s="540"/>
      <c r="AE151" s="188"/>
      <c r="AF151" s="188"/>
      <c r="AG151" s="185"/>
      <c r="AH151" s="182"/>
      <c r="AI151" s="540"/>
      <c r="AJ151" s="188"/>
      <c r="AK151" s="188"/>
      <c r="AL151" s="185"/>
      <c r="AM151" s="182"/>
      <c r="AN151" s="540"/>
      <c r="AO151" s="188"/>
      <c r="AP151" s="188"/>
      <c r="AQ151" s="185"/>
      <c r="AR151" s="182"/>
      <c r="AS151" s="540"/>
      <c r="AT151" s="188"/>
      <c r="AU151" s="188"/>
      <c r="AV151" s="185"/>
      <c r="AW151" s="182"/>
      <c r="AX151" s="540"/>
    </row>
    <row r="152" spans="1:50" ht="14.25" customHeight="1">
      <c r="B152" s="530"/>
      <c r="C152" s="180">
        <v>32</v>
      </c>
      <c r="D152" s="183"/>
      <c r="E152" s="180"/>
      <c r="F152" s="180"/>
      <c r="G152" s="185"/>
      <c r="H152" s="558"/>
      <c r="I152" s="186"/>
      <c r="J152" s="186"/>
      <c r="K152" s="187"/>
      <c r="L152" s="559"/>
      <c r="M152" s="186"/>
      <c r="N152" s="578"/>
      <c r="O152" s="541"/>
      <c r="P152" s="188"/>
      <c r="Q152" s="188"/>
      <c r="R152" s="185"/>
      <c r="S152" s="182"/>
      <c r="T152" s="540"/>
      <c r="U152" s="188"/>
      <c r="V152" s="188"/>
      <c r="W152" s="185"/>
      <c r="X152" s="182"/>
      <c r="Y152" s="540"/>
      <c r="Z152" s="188"/>
      <c r="AA152" s="188"/>
      <c r="AB152" s="185"/>
      <c r="AC152" s="182"/>
      <c r="AD152" s="540"/>
      <c r="AE152" s="188"/>
      <c r="AF152" s="188"/>
      <c r="AG152" s="185"/>
      <c r="AH152" s="182"/>
      <c r="AI152" s="540"/>
      <c r="AJ152" s="188"/>
      <c r="AK152" s="188"/>
      <c r="AL152" s="185"/>
      <c r="AM152" s="182"/>
      <c r="AN152" s="540"/>
      <c r="AO152" s="188"/>
      <c r="AP152" s="188"/>
      <c r="AQ152" s="185"/>
      <c r="AR152" s="182"/>
      <c r="AS152" s="540"/>
      <c r="AT152" s="188"/>
      <c r="AU152" s="188"/>
      <c r="AV152" s="185"/>
      <c r="AW152" s="182"/>
      <c r="AX152" s="540"/>
    </row>
    <row r="153" spans="1:50" ht="14.25" customHeight="1">
      <c r="B153" s="530"/>
      <c r="C153" s="180">
        <v>33</v>
      </c>
      <c r="D153" s="183"/>
      <c r="E153" s="180"/>
      <c r="F153" s="180"/>
      <c r="G153" s="185"/>
      <c r="H153" s="558"/>
      <c r="I153" s="186"/>
      <c r="J153" s="186"/>
      <c r="K153" s="187"/>
      <c r="L153" s="559"/>
      <c r="M153" s="186"/>
      <c r="N153" s="578"/>
      <c r="O153" s="541"/>
      <c r="P153" s="188"/>
      <c r="Q153" s="188"/>
      <c r="R153" s="185"/>
      <c r="S153" s="182"/>
      <c r="T153" s="540"/>
      <c r="U153" s="188"/>
      <c r="V153" s="188"/>
      <c r="W153" s="185"/>
      <c r="X153" s="182"/>
      <c r="Y153" s="540"/>
      <c r="Z153" s="188"/>
      <c r="AA153" s="188"/>
      <c r="AB153" s="185"/>
      <c r="AC153" s="182"/>
      <c r="AD153" s="540"/>
      <c r="AE153" s="188"/>
      <c r="AF153" s="188"/>
      <c r="AG153" s="185"/>
      <c r="AH153" s="182"/>
      <c r="AI153" s="540"/>
      <c r="AJ153" s="188"/>
      <c r="AK153" s="188"/>
      <c r="AL153" s="185"/>
      <c r="AM153" s="182"/>
      <c r="AN153" s="540"/>
      <c r="AO153" s="188"/>
      <c r="AP153" s="188"/>
      <c r="AQ153" s="185"/>
      <c r="AR153" s="182"/>
      <c r="AS153" s="540"/>
      <c r="AT153" s="188"/>
      <c r="AU153" s="188"/>
      <c r="AV153" s="185"/>
      <c r="AW153" s="182"/>
      <c r="AX153" s="540"/>
    </row>
    <row r="154" spans="1:50" ht="14.25" customHeight="1" collapsed="1">
      <c r="B154" s="544" t="s">
        <v>176</v>
      </c>
      <c r="C154" s="545"/>
      <c r="D154" s="545"/>
      <c r="E154" s="545"/>
      <c r="F154" s="545"/>
      <c r="G154" s="545"/>
      <c r="H154" s="545"/>
      <c r="I154" s="545"/>
      <c r="J154" s="545"/>
      <c r="K154" s="545"/>
      <c r="L154" s="545"/>
      <c r="M154" s="546"/>
      <c r="N154" s="549" t="s">
        <v>127</v>
      </c>
      <c r="O154" s="549" t="s">
        <v>77</v>
      </c>
      <c r="P154" s="551">
        <f>AT116+1</f>
        <v>46077</v>
      </c>
      <c r="Q154" s="552"/>
      <c r="R154" s="552"/>
      <c r="S154" s="552"/>
      <c r="T154" s="552"/>
      <c r="U154" s="542">
        <f>P154+1</f>
        <v>46078</v>
      </c>
      <c r="V154" s="543"/>
      <c r="W154" s="543"/>
      <c r="X154" s="543"/>
      <c r="Y154" s="543"/>
      <c r="Z154" s="551">
        <f t="shared" ref="Z154" si="115">U154+1</f>
        <v>46079</v>
      </c>
      <c r="AA154" s="552"/>
      <c r="AB154" s="552"/>
      <c r="AC154" s="552"/>
      <c r="AD154" s="552"/>
      <c r="AE154" s="542">
        <f t="shared" ref="AE154" si="116">Z154+1</f>
        <v>46080</v>
      </c>
      <c r="AF154" s="543"/>
      <c r="AG154" s="543"/>
      <c r="AH154" s="543"/>
      <c r="AI154" s="543"/>
      <c r="AJ154" s="532">
        <f t="shared" ref="AJ154" si="117">AE154+1</f>
        <v>46081</v>
      </c>
      <c r="AK154" s="533"/>
      <c r="AL154" s="533"/>
      <c r="AM154" s="533"/>
      <c r="AN154" s="534"/>
      <c r="AO154" s="542">
        <f t="shared" ref="AO154" si="118">AJ154+1</f>
        <v>46082</v>
      </c>
      <c r="AP154" s="543"/>
      <c r="AQ154" s="543"/>
      <c r="AR154" s="543"/>
      <c r="AS154" s="543"/>
      <c r="AT154" s="532">
        <f t="shared" ref="AT154" si="119">AO154+1</f>
        <v>46083</v>
      </c>
      <c r="AU154" s="533"/>
      <c r="AV154" s="533"/>
      <c r="AW154" s="533"/>
      <c r="AX154" s="534"/>
    </row>
    <row r="155" spans="1:50" ht="14.25" customHeight="1"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8"/>
      <c r="N155" s="550"/>
      <c r="O155" s="550"/>
      <c r="P155" s="535">
        <f>P154</f>
        <v>46077</v>
      </c>
      <c r="Q155" s="535"/>
      <c r="R155" s="535"/>
      <c r="S155" s="535"/>
      <c r="T155" s="535"/>
      <c r="U155" s="536">
        <f>U154</f>
        <v>46078</v>
      </c>
      <c r="V155" s="536"/>
      <c r="W155" s="536"/>
      <c r="X155" s="536"/>
      <c r="Y155" s="536"/>
      <c r="Z155" s="535">
        <f t="shared" ref="Z155" si="120">Z154</f>
        <v>46079</v>
      </c>
      <c r="AA155" s="535"/>
      <c r="AB155" s="535"/>
      <c r="AC155" s="535"/>
      <c r="AD155" s="535"/>
      <c r="AE155" s="536">
        <f t="shared" ref="AE155" si="121">AE154</f>
        <v>46080</v>
      </c>
      <c r="AF155" s="536"/>
      <c r="AG155" s="536"/>
      <c r="AH155" s="536"/>
      <c r="AI155" s="536"/>
      <c r="AJ155" s="537">
        <f t="shared" ref="AJ155" si="122">AJ154</f>
        <v>46081</v>
      </c>
      <c r="AK155" s="538"/>
      <c r="AL155" s="538"/>
      <c r="AM155" s="538"/>
      <c r="AN155" s="539"/>
      <c r="AO155" s="536">
        <f t="shared" ref="AO155" si="123">AO154</f>
        <v>46082</v>
      </c>
      <c r="AP155" s="536"/>
      <c r="AQ155" s="536"/>
      <c r="AR155" s="536"/>
      <c r="AS155" s="536"/>
      <c r="AT155" s="537">
        <f t="shared" ref="AT155" si="124">AT154</f>
        <v>46083</v>
      </c>
      <c r="AU155" s="538"/>
      <c r="AV155" s="538"/>
      <c r="AW155" s="538"/>
      <c r="AX155" s="539"/>
    </row>
    <row r="156" spans="1:50" ht="14.25" customHeight="1">
      <c r="B156" s="530" t="s">
        <v>128</v>
      </c>
      <c r="C156" s="530" t="s">
        <v>129</v>
      </c>
      <c r="D156" s="530"/>
      <c r="E156" s="530" t="s">
        <v>130</v>
      </c>
      <c r="F156" s="530"/>
      <c r="G156" s="530"/>
      <c r="H156" s="530" t="s">
        <v>131</v>
      </c>
      <c r="I156" s="553" t="s">
        <v>132</v>
      </c>
      <c r="J156" s="553"/>
      <c r="K156" s="553"/>
      <c r="L156" s="553" t="s">
        <v>131</v>
      </c>
      <c r="M156" s="553" t="s">
        <v>133</v>
      </c>
      <c r="N156" s="578"/>
      <c r="O156" s="541" t="s">
        <v>134</v>
      </c>
      <c r="P156" s="541" t="s">
        <v>135</v>
      </c>
      <c r="Q156" s="541"/>
      <c r="R156" s="541"/>
      <c r="S156" s="541"/>
      <c r="T156" s="541" t="s">
        <v>131</v>
      </c>
      <c r="U156" s="541" t="s">
        <v>135</v>
      </c>
      <c r="V156" s="541"/>
      <c r="W156" s="541"/>
      <c r="X156" s="541"/>
      <c r="Y156" s="541" t="s">
        <v>131</v>
      </c>
      <c r="Z156" s="541" t="s">
        <v>135</v>
      </c>
      <c r="AA156" s="541"/>
      <c r="AB156" s="541"/>
      <c r="AC156" s="541"/>
      <c r="AD156" s="541" t="s">
        <v>131</v>
      </c>
      <c r="AE156" s="541" t="s">
        <v>135</v>
      </c>
      <c r="AF156" s="541"/>
      <c r="AG156" s="541"/>
      <c r="AH156" s="541"/>
      <c r="AI156" s="541" t="s">
        <v>131</v>
      </c>
      <c r="AJ156" s="541" t="s">
        <v>135</v>
      </c>
      <c r="AK156" s="541"/>
      <c r="AL156" s="541"/>
      <c r="AM156" s="541"/>
      <c r="AN156" s="541" t="s">
        <v>131</v>
      </c>
      <c r="AO156" s="541" t="s">
        <v>135</v>
      </c>
      <c r="AP156" s="541"/>
      <c r="AQ156" s="541"/>
      <c r="AR156" s="541"/>
      <c r="AS156" s="541" t="s">
        <v>131</v>
      </c>
      <c r="AT156" s="541" t="s">
        <v>135</v>
      </c>
      <c r="AU156" s="541"/>
      <c r="AV156" s="541"/>
      <c r="AW156" s="541"/>
      <c r="AX156" s="541" t="s">
        <v>131</v>
      </c>
    </row>
    <row r="157" spans="1:50" ht="14.25" customHeight="1">
      <c r="B157" s="530"/>
      <c r="C157" s="530"/>
      <c r="D157" s="530"/>
      <c r="E157" s="530" t="s">
        <v>136</v>
      </c>
      <c r="F157" s="530"/>
      <c r="G157" s="530"/>
      <c r="H157" s="530"/>
      <c r="I157" s="553" t="s">
        <v>136</v>
      </c>
      <c r="J157" s="553"/>
      <c r="K157" s="553"/>
      <c r="L157" s="553"/>
      <c r="M157" s="553"/>
      <c r="N157" s="578"/>
      <c r="O157" s="541"/>
      <c r="P157" s="541" t="s">
        <v>137</v>
      </c>
      <c r="Q157" s="541"/>
      <c r="R157" s="541"/>
      <c r="S157" s="541"/>
      <c r="T157" s="541"/>
      <c r="U157" s="541" t="s">
        <v>137</v>
      </c>
      <c r="V157" s="541"/>
      <c r="W157" s="541"/>
      <c r="X157" s="541"/>
      <c r="Y157" s="541"/>
      <c r="Z157" s="541" t="s">
        <v>137</v>
      </c>
      <c r="AA157" s="541"/>
      <c r="AB157" s="541"/>
      <c r="AC157" s="541"/>
      <c r="AD157" s="541"/>
      <c r="AE157" s="541" t="s">
        <v>137</v>
      </c>
      <c r="AF157" s="541"/>
      <c r="AG157" s="541"/>
      <c r="AH157" s="541"/>
      <c r="AI157" s="541"/>
      <c r="AJ157" s="541" t="s">
        <v>137</v>
      </c>
      <c r="AK157" s="541"/>
      <c r="AL157" s="541"/>
      <c r="AM157" s="541"/>
      <c r="AN157" s="541"/>
      <c r="AO157" s="541" t="s">
        <v>137</v>
      </c>
      <c r="AP157" s="541"/>
      <c r="AQ157" s="541"/>
      <c r="AR157" s="541"/>
      <c r="AS157" s="541"/>
      <c r="AT157" s="541" t="s">
        <v>137</v>
      </c>
      <c r="AU157" s="541"/>
      <c r="AV157" s="541"/>
      <c r="AW157" s="541"/>
      <c r="AX157" s="541"/>
    </row>
    <row r="158" spans="1:50" ht="14.25" customHeight="1">
      <c r="A158" s="177"/>
      <c r="B158" s="530"/>
      <c r="C158" s="530"/>
      <c r="D158" s="530"/>
      <c r="E158" s="180" t="s">
        <v>138</v>
      </c>
      <c r="F158" s="180" t="s">
        <v>139</v>
      </c>
      <c r="G158" s="180" t="s">
        <v>140</v>
      </c>
      <c r="H158" s="530"/>
      <c r="I158" s="181" t="s">
        <v>138</v>
      </c>
      <c r="J158" s="181" t="s">
        <v>139</v>
      </c>
      <c r="K158" s="181" t="s">
        <v>140</v>
      </c>
      <c r="L158" s="553"/>
      <c r="M158" s="553"/>
      <c r="N158" s="578"/>
      <c r="O158" s="541"/>
      <c r="P158" s="182" t="s">
        <v>138</v>
      </c>
      <c r="Q158" s="182" t="s">
        <v>139</v>
      </c>
      <c r="R158" s="182" t="s">
        <v>140</v>
      </c>
      <c r="S158" s="182" t="s">
        <v>133</v>
      </c>
      <c r="T158" s="541"/>
      <c r="U158" s="182" t="s">
        <v>138</v>
      </c>
      <c r="V158" s="182" t="s">
        <v>139</v>
      </c>
      <c r="W158" s="182" t="s">
        <v>140</v>
      </c>
      <c r="X158" s="182" t="s">
        <v>133</v>
      </c>
      <c r="Y158" s="541"/>
      <c r="Z158" s="182" t="s">
        <v>138</v>
      </c>
      <c r="AA158" s="182" t="s">
        <v>139</v>
      </c>
      <c r="AB158" s="182" t="s">
        <v>140</v>
      </c>
      <c r="AC158" s="182" t="s">
        <v>133</v>
      </c>
      <c r="AD158" s="541"/>
      <c r="AE158" s="182" t="s">
        <v>138</v>
      </c>
      <c r="AF158" s="182" t="s">
        <v>139</v>
      </c>
      <c r="AG158" s="182" t="s">
        <v>140</v>
      </c>
      <c r="AH158" s="182" t="s">
        <v>133</v>
      </c>
      <c r="AI158" s="541"/>
      <c r="AJ158" s="182" t="s">
        <v>138</v>
      </c>
      <c r="AK158" s="182" t="s">
        <v>139</v>
      </c>
      <c r="AL158" s="182" t="s">
        <v>140</v>
      </c>
      <c r="AM158" s="182" t="s">
        <v>133</v>
      </c>
      <c r="AN158" s="541"/>
      <c r="AO158" s="182" t="s">
        <v>138</v>
      </c>
      <c r="AP158" s="182" t="s">
        <v>139</v>
      </c>
      <c r="AQ158" s="182" t="s">
        <v>140</v>
      </c>
      <c r="AR158" s="182" t="s">
        <v>133</v>
      </c>
      <c r="AS158" s="541"/>
      <c r="AT158" s="182" t="s">
        <v>138</v>
      </c>
      <c r="AU158" s="182" t="s">
        <v>139</v>
      </c>
      <c r="AV158" s="182" t="s">
        <v>140</v>
      </c>
      <c r="AW158" s="182" t="s">
        <v>133</v>
      </c>
      <c r="AX158" s="541"/>
    </row>
    <row r="159" spans="1:50" ht="14.25" customHeight="1">
      <c r="B159" s="530" t="s">
        <v>141</v>
      </c>
      <c r="C159" s="180">
        <v>1</v>
      </c>
      <c r="D159" s="183" t="s">
        <v>142</v>
      </c>
      <c r="E159" s="184">
        <v>4</v>
      </c>
      <c r="F159" s="180">
        <v>3300</v>
      </c>
      <c r="G159" s="185">
        <f>F159/E159</f>
        <v>825</v>
      </c>
      <c r="H159" s="558">
        <f>AVERAGE(G159:G191)</f>
        <v>869.33333333333337</v>
      </c>
      <c r="I159" s="186">
        <f>AVERAGE(P159,U159,Z159,AE159,AJ159,AO159,AT159)</f>
        <v>4</v>
      </c>
      <c r="J159" s="186">
        <f>AVERAGE(Q159,V159,AA159,AF159,AK159,AP159,AU159)</f>
        <v>2962.302049454298</v>
      </c>
      <c r="K159" s="187">
        <f>AVERAGE(R159,W159,AB159,AG159,AL159,AQ159,AV159)</f>
        <v>740.57551236357449</v>
      </c>
      <c r="L159" s="559">
        <f>IFERROR(AVERAGE(K159:K191),"-")</f>
        <v>770.91905873162898</v>
      </c>
      <c r="M159" s="186">
        <f>RANK(K159, K$159:$K$191)</f>
        <v>16</v>
      </c>
      <c r="N159" s="578"/>
      <c r="O159" s="541"/>
      <c r="P159" s="188">
        <v>4</v>
      </c>
      <c r="Q159" s="188">
        <v>2961.6641901931662</v>
      </c>
      <c r="R159" s="185">
        <f t="shared" ref="R159:R187" si="125">IFERROR(Q159/P159,"")</f>
        <v>740.41604754829154</v>
      </c>
      <c r="S159" s="182">
        <f>RANK(R159, R$159:R$191)</f>
        <v>16</v>
      </c>
      <c r="T159" s="540">
        <f>AVERAGE(R159:R191)</f>
        <v>776.09340635187971</v>
      </c>
      <c r="U159" s="188">
        <v>4</v>
      </c>
      <c r="V159" s="188">
        <v>2961.8427641462176</v>
      </c>
      <c r="W159" s="185">
        <f t="shared" ref="W159:W187" si="126">IFERROR(V159/U159,"")</f>
        <v>740.46069103655441</v>
      </c>
      <c r="X159" s="182">
        <f>RANK(W159, W$159:W$191)</f>
        <v>16</v>
      </c>
      <c r="Y159" s="540">
        <f>AVERAGE(W159:W191)</f>
        <v>776.16964066600656</v>
      </c>
      <c r="Z159" s="188">
        <v>4</v>
      </c>
      <c r="AA159" s="188">
        <v>2961.993769470404</v>
      </c>
      <c r="AB159" s="185">
        <f>IFERROR(AA159/Z159,"")</f>
        <v>740.498442367601</v>
      </c>
      <c r="AC159" s="182">
        <f>RANK(AB159, AB$159:AB$191)</f>
        <v>16</v>
      </c>
      <c r="AD159" s="540">
        <f>AVERAGE(AB159:AB191)</f>
        <v>776.34172697461179</v>
      </c>
      <c r="AE159" s="188">
        <v>4</v>
      </c>
      <c r="AF159" s="188">
        <v>2962.1739130434785</v>
      </c>
      <c r="AG159" s="185">
        <f>IFERROR(AF159/AE159,"")</f>
        <v>740.54347826086962</v>
      </c>
      <c r="AH159" s="182">
        <f>RANK(AG159, AG$159:AG$191)</f>
        <v>17</v>
      </c>
      <c r="AI159" s="540">
        <f>AVERAGE(AG159:AG191)</f>
        <v>776.65641373881761</v>
      </c>
      <c r="AJ159" s="188">
        <v>4</v>
      </c>
      <c r="AK159" s="188">
        <v>2962.8435324294628</v>
      </c>
      <c r="AL159" s="185">
        <f>IFERROR(AK159/AJ159,"")</f>
        <v>740.7108831073657</v>
      </c>
      <c r="AM159" s="182">
        <f>RANK(AL159, AL$159:AL$191)</f>
        <v>16</v>
      </c>
      <c r="AN159" s="540">
        <f>AVERAGE(AL159:AL191)</f>
        <v>776.78819237673417</v>
      </c>
      <c r="AO159" s="188">
        <v>4</v>
      </c>
      <c r="AP159" s="188">
        <v>2962.8099173553724</v>
      </c>
      <c r="AQ159" s="185">
        <f>IFERROR(AP159/AO159,"")</f>
        <v>740.70247933884309</v>
      </c>
      <c r="AR159" s="182">
        <f>RANK(AQ159, AQ$159:AQ$191)</f>
        <v>16</v>
      </c>
      <c r="AS159" s="540">
        <f>AVERAGE(AQ159:AQ191)</f>
        <v>776.73268404090675</v>
      </c>
      <c r="AT159" s="188">
        <v>4</v>
      </c>
      <c r="AU159" s="188">
        <v>2962.7862595419851</v>
      </c>
      <c r="AV159" s="185">
        <f>IFERROR(AU159/AT159,"")</f>
        <v>740.69656488549629</v>
      </c>
      <c r="AW159" s="182">
        <f>RANK(AV159, AV$159:AV$191)</f>
        <v>16</v>
      </c>
      <c r="AX159" s="540">
        <f>AVERAGE(AV159:AV191)</f>
        <v>771.19592636995674</v>
      </c>
    </row>
    <row r="160" spans="1:50" ht="14.25" customHeight="1">
      <c r="B160" s="530"/>
      <c r="C160" s="180">
        <v>2</v>
      </c>
      <c r="D160" s="183" t="s">
        <v>143</v>
      </c>
      <c r="E160" s="184">
        <v>3</v>
      </c>
      <c r="F160" s="180">
        <v>3600</v>
      </c>
      <c r="G160" s="185">
        <f t="shared" ref="G160:G179" si="127">F160/E160</f>
        <v>1200</v>
      </c>
      <c r="H160" s="558"/>
      <c r="I160" s="186">
        <f t="shared" ref="I160:K188" si="128">AVERAGE(P160,U160,Z160,AE160,AJ160,AO160,AT160)</f>
        <v>3</v>
      </c>
      <c r="J160" s="186">
        <f t="shared" si="128"/>
        <v>3144.2648275266729</v>
      </c>
      <c r="K160" s="187">
        <f t="shared" si="128"/>
        <v>1048.0882758422244</v>
      </c>
      <c r="L160" s="559"/>
      <c r="M160" s="186">
        <f>RANK(K160, K$159:$K$191)</f>
        <v>6</v>
      </c>
      <c r="N160" s="578"/>
      <c r="O160" s="541"/>
      <c r="P160" s="188">
        <v>3</v>
      </c>
      <c r="Q160" s="188">
        <v>3139.9437976716172</v>
      </c>
      <c r="R160" s="185">
        <f t="shared" si="125"/>
        <v>1046.6479325572056</v>
      </c>
      <c r="S160" s="182">
        <f t="shared" ref="S160:S187" si="129">RANK(R160, R$159:R$191)</f>
        <v>6</v>
      </c>
      <c r="T160" s="540"/>
      <c r="U160" s="188">
        <v>3</v>
      </c>
      <c r="V160" s="188">
        <v>3140.122699386503</v>
      </c>
      <c r="W160" s="185">
        <f t="shared" si="126"/>
        <v>1046.7075664621677</v>
      </c>
      <c r="X160" s="182">
        <f t="shared" ref="X160:X187" si="130">RANK(W160, W$159:W$191)</f>
        <v>6</v>
      </c>
      <c r="Y160" s="540"/>
      <c r="Z160" s="188">
        <v>3</v>
      </c>
      <c r="AA160" s="188">
        <v>3141.3047637268014</v>
      </c>
      <c r="AB160" s="185">
        <f t="shared" ref="AB160:AB187" si="131">IFERROR(AA160/Z160,"")</f>
        <v>1047.1015879089339</v>
      </c>
      <c r="AC160" s="182">
        <f t="shared" ref="AC160:AC187" si="132">RANK(AB160, AB$159:AB$191)</f>
        <v>6</v>
      </c>
      <c r="AD160" s="540"/>
      <c r="AE160" s="188">
        <v>3</v>
      </c>
      <c r="AF160" s="188">
        <v>3146.7729083665345</v>
      </c>
      <c r="AG160" s="185">
        <f t="shared" ref="AG160:AG187" si="133">IFERROR(AF160/AE160,"")</f>
        <v>1048.9243027888449</v>
      </c>
      <c r="AH160" s="182">
        <f t="shared" ref="AH160:AH187" si="134">RANK(AG160, AG$159:AG$191)</f>
        <v>3</v>
      </c>
      <c r="AI160" s="540"/>
      <c r="AJ160" s="188">
        <v>3</v>
      </c>
      <c r="AK160" s="188">
        <v>3147.0731707317063</v>
      </c>
      <c r="AL160" s="185">
        <f t="shared" ref="AL160:AL187" si="135">IFERROR(AK160/AJ160,"")</f>
        <v>1049.0243902439022</v>
      </c>
      <c r="AM160" s="182">
        <f t="shared" ref="AM160:AM187" si="136">RANK(AL160, AL$159:AL$191)</f>
        <v>3</v>
      </c>
      <c r="AN160" s="540"/>
      <c r="AO160" s="188">
        <v>3</v>
      </c>
      <c r="AP160" s="188">
        <v>3147.2485313511565</v>
      </c>
      <c r="AQ160" s="185">
        <f t="shared" ref="AQ160:AQ187" si="137">IFERROR(AP160/AO160,"")</f>
        <v>1049.0828437837188</v>
      </c>
      <c r="AR160" s="182">
        <f t="shared" ref="AR160:AR187" si="138">RANK(AQ160, AQ$159:AQ$191)</f>
        <v>3</v>
      </c>
      <c r="AS160" s="540"/>
      <c r="AT160" s="188">
        <v>3</v>
      </c>
      <c r="AU160" s="188">
        <v>3147.3879214523899</v>
      </c>
      <c r="AV160" s="185">
        <f t="shared" ref="AV160:AV188" si="139">IFERROR(AU160/AT160,"")</f>
        <v>1049.1293071507966</v>
      </c>
      <c r="AW160" s="182">
        <f t="shared" ref="AW160:AW188" si="140">RANK(AV160, AV$159:AV$191)</f>
        <v>3</v>
      </c>
      <c r="AX160" s="540"/>
    </row>
    <row r="161" spans="2:50" ht="14.25" customHeight="1">
      <c r="B161" s="530"/>
      <c r="C161" s="180">
        <v>3</v>
      </c>
      <c r="D161" s="183" t="s">
        <v>144</v>
      </c>
      <c r="E161" s="184">
        <v>4</v>
      </c>
      <c r="F161" s="180">
        <v>3300</v>
      </c>
      <c r="G161" s="185">
        <f t="shared" si="127"/>
        <v>825</v>
      </c>
      <c r="H161" s="558"/>
      <c r="I161" s="186">
        <f t="shared" si="128"/>
        <v>4</v>
      </c>
      <c r="J161" s="186">
        <f t="shared" si="128"/>
        <v>2963.9546154947789</v>
      </c>
      <c r="K161" s="187">
        <f t="shared" si="128"/>
        <v>740.98865387369472</v>
      </c>
      <c r="L161" s="559"/>
      <c r="M161" s="186">
        <f>RANK(K161, K$159:$K$191)</f>
        <v>15</v>
      </c>
      <c r="N161" s="578"/>
      <c r="O161" s="541"/>
      <c r="P161" s="188">
        <v>4</v>
      </c>
      <c r="Q161" s="188">
        <v>2963.5764705882357</v>
      </c>
      <c r="R161" s="185">
        <f t="shared" si="125"/>
        <v>740.89411764705892</v>
      </c>
      <c r="S161" s="182">
        <f t="shared" si="129"/>
        <v>15</v>
      </c>
      <c r="T161" s="540"/>
      <c r="U161" s="188">
        <v>4</v>
      </c>
      <c r="V161" s="188">
        <v>2963.6969985707497</v>
      </c>
      <c r="W161" s="185">
        <f t="shared" si="126"/>
        <v>740.92424964268741</v>
      </c>
      <c r="X161" s="182">
        <f t="shared" si="130"/>
        <v>15</v>
      </c>
      <c r="Y161" s="540"/>
      <c r="Z161" s="188">
        <v>4</v>
      </c>
      <c r="AA161" s="188">
        <v>2963.761979050591</v>
      </c>
      <c r="AB161" s="185">
        <f t="shared" si="131"/>
        <v>740.94049476264775</v>
      </c>
      <c r="AC161" s="182">
        <f t="shared" si="132"/>
        <v>15</v>
      </c>
      <c r="AD161" s="540"/>
      <c r="AE161" s="188">
        <v>4</v>
      </c>
      <c r="AF161" s="188">
        <v>2964.1666666666642</v>
      </c>
      <c r="AG161" s="185">
        <f t="shared" si="133"/>
        <v>741.04166666666606</v>
      </c>
      <c r="AH161" s="182">
        <f t="shared" si="134"/>
        <v>15</v>
      </c>
      <c r="AI161" s="540"/>
      <c r="AJ161" s="188">
        <v>4</v>
      </c>
      <c r="AK161" s="188">
        <v>2964.2589118198862</v>
      </c>
      <c r="AL161" s="185">
        <f t="shared" si="135"/>
        <v>741.06472795497154</v>
      </c>
      <c r="AM161" s="182">
        <f t="shared" si="136"/>
        <v>15</v>
      </c>
      <c r="AN161" s="540"/>
      <c r="AO161" s="188">
        <v>4</v>
      </c>
      <c r="AP161" s="188">
        <v>2964.0614192834414</v>
      </c>
      <c r="AQ161" s="185">
        <f t="shared" si="137"/>
        <v>741.01535482086035</v>
      </c>
      <c r="AR161" s="182">
        <f t="shared" si="138"/>
        <v>15</v>
      </c>
      <c r="AS161" s="540"/>
      <c r="AT161" s="188">
        <v>4</v>
      </c>
      <c r="AU161" s="188">
        <v>2964.1598624838857</v>
      </c>
      <c r="AV161" s="185">
        <f t="shared" si="139"/>
        <v>741.03996562097143</v>
      </c>
      <c r="AW161" s="182">
        <f t="shared" si="140"/>
        <v>15</v>
      </c>
      <c r="AX161" s="540"/>
    </row>
    <row r="162" spans="2:50" ht="14.25" customHeight="1">
      <c r="B162" s="530"/>
      <c r="C162" s="180">
        <v>4</v>
      </c>
      <c r="D162" s="183" t="s">
        <v>145</v>
      </c>
      <c r="E162" s="184">
        <v>5</v>
      </c>
      <c r="F162" s="180">
        <v>3300</v>
      </c>
      <c r="G162" s="185">
        <f t="shared" si="127"/>
        <v>660</v>
      </c>
      <c r="H162" s="558"/>
      <c r="I162" s="186">
        <f t="shared" si="128"/>
        <v>5</v>
      </c>
      <c r="J162" s="186">
        <f t="shared" si="128"/>
        <v>2967.1611207537385</v>
      </c>
      <c r="K162" s="187">
        <f t="shared" si="128"/>
        <v>593.43222415074774</v>
      </c>
      <c r="L162" s="559"/>
      <c r="M162" s="186">
        <f>RANK(K162, K$159:$K$191)</f>
        <v>25</v>
      </c>
      <c r="N162" s="578"/>
      <c r="O162" s="541"/>
      <c r="P162" s="188">
        <v>5</v>
      </c>
      <c r="Q162" s="188">
        <v>2966.081871345028</v>
      </c>
      <c r="R162" s="185">
        <f t="shared" si="125"/>
        <v>593.21637426900566</v>
      </c>
      <c r="S162" s="182">
        <f t="shared" si="129"/>
        <v>24</v>
      </c>
      <c r="T162" s="540"/>
      <c r="U162" s="188">
        <v>5</v>
      </c>
      <c r="V162" s="188">
        <v>2966.3810151615021</v>
      </c>
      <c r="W162" s="185">
        <f t="shared" si="126"/>
        <v>593.27620303230037</v>
      </c>
      <c r="X162" s="182">
        <f t="shared" si="130"/>
        <v>25</v>
      </c>
      <c r="Y162" s="540"/>
      <c r="Z162" s="188">
        <v>5</v>
      </c>
      <c r="AA162" s="188">
        <v>2967.5213675213631</v>
      </c>
      <c r="AB162" s="185">
        <f t="shared" si="131"/>
        <v>593.50427350427265</v>
      </c>
      <c r="AC162" s="182">
        <f t="shared" si="132"/>
        <v>24</v>
      </c>
      <c r="AD162" s="540"/>
      <c r="AE162" s="188">
        <v>5</v>
      </c>
      <c r="AF162" s="188">
        <v>2968.104312938819</v>
      </c>
      <c r="AG162" s="185">
        <f t="shared" si="133"/>
        <v>593.62086258776378</v>
      </c>
      <c r="AH162" s="182">
        <f t="shared" si="134"/>
        <v>24</v>
      </c>
      <c r="AI162" s="540"/>
      <c r="AJ162" s="188">
        <v>5</v>
      </c>
      <c r="AK162" s="188">
        <v>2969.7219361482962</v>
      </c>
      <c r="AL162" s="185">
        <f t="shared" si="135"/>
        <v>593.94438722965924</v>
      </c>
      <c r="AM162" s="182">
        <f t="shared" si="136"/>
        <v>24</v>
      </c>
      <c r="AN162" s="540"/>
      <c r="AO162" s="188">
        <v>5</v>
      </c>
      <c r="AP162" s="188">
        <v>2965.3631284916155</v>
      </c>
      <c r="AQ162" s="185">
        <f t="shared" si="137"/>
        <v>593.07262569832312</v>
      </c>
      <c r="AR162" s="182">
        <f t="shared" si="138"/>
        <v>25</v>
      </c>
      <c r="AS162" s="540"/>
      <c r="AT162" s="188">
        <v>5</v>
      </c>
      <c r="AU162" s="188">
        <v>2966.9542136695472</v>
      </c>
      <c r="AV162" s="185">
        <f t="shared" si="139"/>
        <v>593.39084273390949</v>
      </c>
      <c r="AW162" s="182">
        <f t="shared" si="140"/>
        <v>26</v>
      </c>
      <c r="AX162" s="540"/>
    </row>
    <row r="163" spans="2:50" ht="14.25" customHeight="1">
      <c r="B163" s="530"/>
      <c r="C163" s="180">
        <v>5</v>
      </c>
      <c r="D163" s="183" t="s">
        <v>146</v>
      </c>
      <c r="E163" s="184">
        <v>3</v>
      </c>
      <c r="F163" s="180">
        <v>3600</v>
      </c>
      <c r="G163" s="185">
        <f t="shared" si="127"/>
        <v>1200</v>
      </c>
      <c r="H163" s="558"/>
      <c r="I163" s="186">
        <f t="shared" si="128"/>
        <v>3</v>
      </c>
      <c r="J163" s="186">
        <f t="shared" si="128"/>
        <v>3144.8244057808597</v>
      </c>
      <c r="K163" s="187">
        <f t="shared" si="128"/>
        <v>1048.2748019269532</v>
      </c>
      <c r="L163" s="559"/>
      <c r="M163" s="186">
        <f>RANK(K163, K$159:$K$191)</f>
        <v>5</v>
      </c>
      <c r="N163" s="578"/>
      <c r="O163" s="541"/>
      <c r="P163" s="188">
        <v>3</v>
      </c>
      <c r="Q163" s="188">
        <v>3142.6630434782592</v>
      </c>
      <c r="R163" s="185">
        <f t="shared" si="125"/>
        <v>1047.5543478260863</v>
      </c>
      <c r="S163" s="182">
        <f t="shared" si="129"/>
        <v>3</v>
      </c>
      <c r="T163" s="540"/>
      <c r="U163" s="188">
        <v>3</v>
      </c>
      <c r="V163" s="188">
        <v>3143.3298862461243</v>
      </c>
      <c r="W163" s="185">
        <f t="shared" si="126"/>
        <v>1047.7766287487082</v>
      </c>
      <c r="X163" s="182">
        <f t="shared" si="130"/>
        <v>3</v>
      </c>
      <c r="Y163" s="540"/>
      <c r="Z163" s="188">
        <v>3</v>
      </c>
      <c r="AA163" s="188">
        <v>3144.2389758179252</v>
      </c>
      <c r="AB163" s="185">
        <f t="shared" si="131"/>
        <v>1048.0796586059751</v>
      </c>
      <c r="AC163" s="182">
        <f t="shared" si="132"/>
        <v>4</v>
      </c>
      <c r="AD163" s="540"/>
      <c r="AE163" s="188">
        <v>3</v>
      </c>
      <c r="AF163" s="188">
        <v>3145.3194650817254</v>
      </c>
      <c r="AG163" s="185">
        <f t="shared" si="133"/>
        <v>1048.4398216939085</v>
      </c>
      <c r="AH163" s="182">
        <f t="shared" si="134"/>
        <v>6</v>
      </c>
      <c r="AI163" s="540"/>
      <c r="AJ163" s="188">
        <v>3</v>
      </c>
      <c r="AK163" s="188">
        <v>3146.2481608631674</v>
      </c>
      <c r="AL163" s="185">
        <f t="shared" si="135"/>
        <v>1048.7493869543891</v>
      </c>
      <c r="AM163" s="182">
        <f t="shared" si="136"/>
        <v>5</v>
      </c>
      <c r="AN163" s="540"/>
      <c r="AO163" s="188">
        <v>3</v>
      </c>
      <c r="AP163" s="188">
        <v>3145.8531935176379</v>
      </c>
      <c r="AQ163" s="185">
        <f t="shared" si="137"/>
        <v>1048.617731172546</v>
      </c>
      <c r="AR163" s="182">
        <f t="shared" si="138"/>
        <v>5</v>
      </c>
      <c r="AS163" s="540"/>
      <c r="AT163" s="188">
        <v>3</v>
      </c>
      <c r="AU163" s="188">
        <v>3146.1181154611818</v>
      </c>
      <c r="AV163" s="185">
        <f t="shared" si="139"/>
        <v>1048.7060384870606</v>
      </c>
      <c r="AW163" s="182">
        <f t="shared" si="140"/>
        <v>5</v>
      </c>
      <c r="AX163" s="540"/>
    </row>
    <row r="164" spans="2:50" ht="14.25" customHeight="1">
      <c r="B164" s="530"/>
      <c r="C164" s="180">
        <v>6</v>
      </c>
      <c r="D164" s="183" t="s">
        <v>147</v>
      </c>
      <c r="E164" s="184">
        <v>3</v>
      </c>
      <c r="F164" s="180">
        <v>3000</v>
      </c>
      <c r="G164" s="185">
        <f t="shared" si="127"/>
        <v>1000</v>
      </c>
      <c r="H164" s="558"/>
      <c r="I164" s="186">
        <f t="shared" si="128"/>
        <v>3</v>
      </c>
      <c r="J164" s="186">
        <f t="shared" si="128"/>
        <v>2693.1680216749905</v>
      </c>
      <c r="K164" s="187">
        <f t="shared" si="128"/>
        <v>897.72267389166336</v>
      </c>
      <c r="L164" s="559"/>
      <c r="M164" s="186">
        <f>RANK(K164, K$159:$K$191)</f>
        <v>10</v>
      </c>
      <c r="N164" s="578"/>
      <c r="O164" s="541"/>
      <c r="P164" s="188">
        <v>3</v>
      </c>
      <c r="Q164" s="188">
        <v>2692.3636363636383</v>
      </c>
      <c r="R164" s="185">
        <f t="shared" si="125"/>
        <v>897.45454545454606</v>
      </c>
      <c r="S164" s="182">
        <f t="shared" si="129"/>
        <v>11</v>
      </c>
      <c r="T164" s="540"/>
      <c r="U164" s="188">
        <v>3</v>
      </c>
      <c r="V164" s="188">
        <v>2692.5953627524318</v>
      </c>
      <c r="W164" s="185">
        <f t="shared" si="126"/>
        <v>897.5317875841439</v>
      </c>
      <c r="X164" s="182">
        <f t="shared" si="130"/>
        <v>11</v>
      </c>
      <c r="Y164" s="540"/>
      <c r="Z164" s="188">
        <v>3</v>
      </c>
      <c r="AA164" s="188">
        <v>2693.2423208191167</v>
      </c>
      <c r="AB164" s="185">
        <f t="shared" si="131"/>
        <v>897.74744027303893</v>
      </c>
      <c r="AC164" s="182">
        <f t="shared" si="132"/>
        <v>10</v>
      </c>
      <c r="AD164" s="540"/>
      <c r="AE164" s="188">
        <v>3</v>
      </c>
      <c r="AF164" s="188">
        <v>2693.6260623229446</v>
      </c>
      <c r="AG164" s="185">
        <f t="shared" si="133"/>
        <v>897.87535410764815</v>
      </c>
      <c r="AH164" s="182">
        <f t="shared" si="134"/>
        <v>10</v>
      </c>
      <c r="AI164" s="540"/>
      <c r="AJ164" s="188">
        <v>3</v>
      </c>
      <c r="AK164" s="188">
        <v>2693.3726067746697</v>
      </c>
      <c r="AL164" s="185">
        <f t="shared" si="135"/>
        <v>897.79086892488988</v>
      </c>
      <c r="AM164" s="182">
        <f t="shared" si="136"/>
        <v>10</v>
      </c>
      <c r="AN164" s="540"/>
      <c r="AO164" s="188">
        <v>3</v>
      </c>
      <c r="AP164" s="188">
        <v>2693.4335617952684</v>
      </c>
      <c r="AQ164" s="185">
        <f t="shared" si="137"/>
        <v>897.81118726508942</v>
      </c>
      <c r="AR164" s="182">
        <f t="shared" si="138"/>
        <v>10</v>
      </c>
      <c r="AS164" s="540"/>
      <c r="AT164" s="188">
        <v>3</v>
      </c>
      <c r="AU164" s="188">
        <v>2693.5426008968607</v>
      </c>
      <c r="AV164" s="185">
        <f t="shared" si="139"/>
        <v>897.84753363228685</v>
      </c>
      <c r="AW164" s="182">
        <f t="shared" si="140"/>
        <v>10</v>
      </c>
      <c r="AX164" s="540"/>
    </row>
    <row r="165" spans="2:50" ht="14.25" customHeight="1">
      <c r="B165" s="530"/>
      <c r="C165" s="180">
        <v>7</v>
      </c>
      <c r="D165" s="183" t="s">
        <v>148</v>
      </c>
      <c r="E165" s="184">
        <v>3</v>
      </c>
      <c r="F165" s="180">
        <v>3600</v>
      </c>
      <c r="G165" s="185">
        <f t="shared" si="127"/>
        <v>1200</v>
      </c>
      <c r="H165" s="558"/>
      <c r="I165" s="186">
        <f t="shared" si="128"/>
        <v>3</v>
      </c>
      <c r="J165" s="186">
        <f t="shared" si="128"/>
        <v>3144.8670983138668</v>
      </c>
      <c r="K165" s="187">
        <f t="shared" si="128"/>
        <v>1048.2890327712892</v>
      </c>
      <c r="L165" s="559"/>
      <c r="M165" s="186">
        <f>RANK(K165, K$159:$K$191)</f>
        <v>4</v>
      </c>
      <c r="N165" s="578"/>
      <c r="O165" s="541"/>
      <c r="P165" s="188">
        <v>3</v>
      </c>
      <c r="Q165" s="188">
        <v>3144.0000000000009</v>
      </c>
      <c r="R165" s="185">
        <f t="shared" si="125"/>
        <v>1048.0000000000002</v>
      </c>
      <c r="S165" s="182">
        <f t="shared" si="129"/>
        <v>2</v>
      </c>
      <c r="T165" s="540"/>
      <c r="U165" s="188">
        <v>3</v>
      </c>
      <c r="V165" s="188">
        <v>3143.6260623229491</v>
      </c>
      <c r="W165" s="185">
        <f t="shared" si="126"/>
        <v>1047.8753541076496</v>
      </c>
      <c r="X165" s="182">
        <f t="shared" si="130"/>
        <v>2</v>
      </c>
      <c r="Y165" s="540"/>
      <c r="Z165" s="188">
        <v>3</v>
      </c>
      <c r="AA165" s="188">
        <v>3144.6215139442324</v>
      </c>
      <c r="AB165" s="185">
        <f t="shared" si="131"/>
        <v>1048.2071713147441</v>
      </c>
      <c r="AC165" s="182">
        <f t="shared" si="132"/>
        <v>3</v>
      </c>
      <c r="AD165" s="540"/>
      <c r="AE165" s="188">
        <v>3</v>
      </c>
      <c r="AF165" s="188">
        <v>3145.6684491978749</v>
      </c>
      <c r="AG165" s="185">
        <f t="shared" si="133"/>
        <v>1048.556149732625</v>
      </c>
      <c r="AH165" s="182">
        <f t="shared" si="134"/>
        <v>5</v>
      </c>
      <c r="AI165" s="540"/>
      <c r="AJ165" s="188">
        <v>3</v>
      </c>
      <c r="AK165" s="188">
        <v>3145.6684491978749</v>
      </c>
      <c r="AL165" s="185">
        <f t="shared" si="135"/>
        <v>1048.556149732625</v>
      </c>
      <c r="AM165" s="182">
        <f t="shared" si="136"/>
        <v>6</v>
      </c>
      <c r="AN165" s="540"/>
      <c r="AO165" s="188">
        <v>3</v>
      </c>
      <c r="AP165" s="188">
        <v>3145.0676982591917</v>
      </c>
      <c r="AQ165" s="185">
        <f t="shared" si="137"/>
        <v>1048.3558994197306</v>
      </c>
      <c r="AR165" s="182">
        <f t="shared" si="138"/>
        <v>6</v>
      </c>
      <c r="AS165" s="540"/>
      <c r="AT165" s="188">
        <v>3</v>
      </c>
      <c r="AU165" s="188">
        <v>3145.417515274949</v>
      </c>
      <c r="AV165" s="185">
        <f t="shared" si="139"/>
        <v>1048.4725050916497</v>
      </c>
      <c r="AW165" s="182">
        <f t="shared" si="140"/>
        <v>6</v>
      </c>
      <c r="AX165" s="540"/>
    </row>
    <row r="166" spans="2:50" ht="14.25" customHeight="1">
      <c r="B166" s="530"/>
      <c r="C166" s="180">
        <v>8</v>
      </c>
      <c r="D166" s="183" t="s">
        <v>149</v>
      </c>
      <c r="E166" s="184">
        <v>4</v>
      </c>
      <c r="F166" s="180">
        <v>3300</v>
      </c>
      <c r="G166" s="185">
        <f t="shared" si="127"/>
        <v>825</v>
      </c>
      <c r="H166" s="558"/>
      <c r="I166" s="186">
        <f t="shared" si="128"/>
        <v>4</v>
      </c>
      <c r="J166" s="186">
        <f t="shared" si="128"/>
        <v>2932.9873240869515</v>
      </c>
      <c r="K166" s="187">
        <f t="shared" si="128"/>
        <v>733.24683102173788</v>
      </c>
      <c r="L166" s="559"/>
      <c r="M166" s="186">
        <f>RANK(K166, K$159:$K$191)</f>
        <v>19</v>
      </c>
      <c r="N166" s="578"/>
      <c r="O166" s="541"/>
      <c r="P166" s="188">
        <v>4</v>
      </c>
      <c r="Q166" s="188">
        <v>2929.0258449304156</v>
      </c>
      <c r="R166" s="185">
        <f t="shared" si="125"/>
        <v>732.2564612326039</v>
      </c>
      <c r="S166" s="182">
        <f t="shared" si="129"/>
        <v>21</v>
      </c>
      <c r="T166" s="540"/>
      <c r="U166" s="188">
        <v>4</v>
      </c>
      <c r="V166" s="188">
        <v>2929.7777777777778</v>
      </c>
      <c r="W166" s="185">
        <f t="shared" si="126"/>
        <v>732.44444444444446</v>
      </c>
      <c r="X166" s="182">
        <f t="shared" si="130"/>
        <v>21</v>
      </c>
      <c r="Y166" s="540"/>
      <c r="Z166" s="188">
        <v>4</v>
      </c>
      <c r="AA166" s="188">
        <v>2934.0711462450604</v>
      </c>
      <c r="AB166" s="185">
        <f t="shared" si="131"/>
        <v>733.5177865612651</v>
      </c>
      <c r="AC166" s="182">
        <f t="shared" si="132"/>
        <v>19</v>
      </c>
      <c r="AD166" s="540"/>
      <c r="AE166" s="188">
        <v>4</v>
      </c>
      <c r="AF166" s="188">
        <v>2933.7759336099593</v>
      </c>
      <c r="AG166" s="185">
        <f t="shared" si="133"/>
        <v>733.44398340248983</v>
      </c>
      <c r="AH166" s="182">
        <f t="shared" si="134"/>
        <v>19</v>
      </c>
      <c r="AI166" s="540"/>
      <c r="AJ166" s="188">
        <v>4</v>
      </c>
      <c r="AK166" s="188">
        <v>2935.0125944584288</v>
      </c>
      <c r="AL166" s="185">
        <f t="shared" si="135"/>
        <v>733.7531486146072</v>
      </c>
      <c r="AM166" s="182">
        <f t="shared" si="136"/>
        <v>19</v>
      </c>
      <c r="AN166" s="540"/>
      <c r="AO166" s="188">
        <v>4</v>
      </c>
      <c r="AP166" s="188">
        <v>2934.6919870310326</v>
      </c>
      <c r="AQ166" s="185">
        <f t="shared" si="137"/>
        <v>733.67299675775814</v>
      </c>
      <c r="AR166" s="182">
        <f t="shared" si="138"/>
        <v>18</v>
      </c>
      <c r="AS166" s="540"/>
      <c r="AT166" s="188">
        <v>4</v>
      </c>
      <c r="AU166" s="188">
        <v>2934.5559845559837</v>
      </c>
      <c r="AV166" s="185">
        <f t="shared" si="139"/>
        <v>733.63899613899594</v>
      </c>
      <c r="AW166" s="182">
        <f t="shared" si="140"/>
        <v>19</v>
      </c>
      <c r="AX166" s="540"/>
    </row>
    <row r="167" spans="2:50" ht="14.25" customHeight="1">
      <c r="B167" s="530"/>
      <c r="C167" s="180">
        <v>9</v>
      </c>
      <c r="D167" s="183" t="s">
        <v>150</v>
      </c>
      <c r="E167" s="184">
        <v>4</v>
      </c>
      <c r="F167" s="180">
        <v>3300</v>
      </c>
      <c r="G167" s="185">
        <f t="shared" si="127"/>
        <v>825</v>
      </c>
      <c r="H167" s="558"/>
      <c r="I167" s="186">
        <f t="shared" si="128"/>
        <v>4</v>
      </c>
      <c r="J167" s="186">
        <f t="shared" si="128"/>
        <v>2932.9634050535565</v>
      </c>
      <c r="K167" s="187">
        <f t="shared" si="128"/>
        <v>733.24085126338912</v>
      </c>
      <c r="L167" s="559"/>
      <c r="M167" s="186">
        <f>RANK(K167, K$159:$K$191)</f>
        <v>20</v>
      </c>
      <c r="N167" s="578"/>
      <c r="O167" s="541"/>
      <c r="P167" s="188">
        <v>4</v>
      </c>
      <c r="Q167" s="188">
        <v>2931.4708299096101</v>
      </c>
      <c r="R167" s="185">
        <f t="shared" si="125"/>
        <v>732.86770747740252</v>
      </c>
      <c r="S167" s="182">
        <f t="shared" si="129"/>
        <v>19</v>
      </c>
      <c r="T167" s="540"/>
      <c r="U167" s="188">
        <v>4</v>
      </c>
      <c r="V167" s="188">
        <v>2932.0800980792783</v>
      </c>
      <c r="W167" s="185">
        <f t="shared" si="126"/>
        <v>733.02002451981957</v>
      </c>
      <c r="X167" s="182">
        <f t="shared" si="130"/>
        <v>19</v>
      </c>
      <c r="Y167" s="540"/>
      <c r="Z167" s="188">
        <v>4</v>
      </c>
      <c r="AA167" s="188">
        <v>2933.4112149532675</v>
      </c>
      <c r="AB167" s="185">
        <f t="shared" si="131"/>
        <v>733.35280373831688</v>
      </c>
      <c r="AC167" s="182">
        <f t="shared" si="132"/>
        <v>20</v>
      </c>
      <c r="AD167" s="540"/>
      <c r="AE167" s="188">
        <v>4</v>
      </c>
      <c r="AF167" s="188">
        <v>2933.3333333333362</v>
      </c>
      <c r="AG167" s="185">
        <f t="shared" si="133"/>
        <v>733.33333333333405</v>
      </c>
      <c r="AH167" s="182">
        <f t="shared" si="134"/>
        <v>20</v>
      </c>
      <c r="AI167" s="540"/>
      <c r="AJ167" s="188">
        <v>4</v>
      </c>
      <c r="AK167" s="188">
        <v>2933.579335793358</v>
      </c>
      <c r="AL167" s="185">
        <f t="shared" si="135"/>
        <v>733.39483394833951</v>
      </c>
      <c r="AM167" s="182">
        <f t="shared" si="136"/>
        <v>20</v>
      </c>
      <c r="AN167" s="540"/>
      <c r="AO167" s="188">
        <v>4</v>
      </c>
      <c r="AP167" s="188">
        <v>2933.6405529953922</v>
      </c>
      <c r="AQ167" s="185">
        <f t="shared" si="137"/>
        <v>733.41013824884806</v>
      </c>
      <c r="AR167" s="182">
        <f t="shared" si="138"/>
        <v>20</v>
      </c>
      <c r="AS167" s="540"/>
      <c r="AT167" s="188">
        <v>4</v>
      </c>
      <c r="AU167" s="188">
        <v>2933.2284703106538</v>
      </c>
      <c r="AV167" s="185">
        <f t="shared" si="139"/>
        <v>733.30711757766346</v>
      </c>
      <c r="AW167" s="182">
        <f t="shared" si="140"/>
        <v>21</v>
      </c>
      <c r="AX167" s="540"/>
    </row>
    <row r="168" spans="2:50" ht="14.25" customHeight="1">
      <c r="B168" s="530"/>
      <c r="C168" s="180">
        <v>10</v>
      </c>
      <c r="D168" s="183" t="s">
        <v>151</v>
      </c>
      <c r="E168" s="184">
        <v>4</v>
      </c>
      <c r="F168" s="180">
        <v>3300</v>
      </c>
      <c r="G168" s="185">
        <f t="shared" si="127"/>
        <v>825</v>
      </c>
      <c r="H168" s="558"/>
      <c r="I168" s="186">
        <f t="shared" si="128"/>
        <v>4</v>
      </c>
      <c r="J168" s="186">
        <f t="shared" si="128"/>
        <v>2966.9897160839378</v>
      </c>
      <c r="K168" s="187">
        <f t="shared" si="128"/>
        <v>741.74742902098444</v>
      </c>
      <c r="L168" s="559"/>
      <c r="M168" s="186">
        <f>RANK(K168, K$159:$K$191)</f>
        <v>12</v>
      </c>
      <c r="N168" s="578"/>
      <c r="O168" s="541"/>
      <c r="P168" s="188">
        <v>4</v>
      </c>
      <c r="Q168" s="188">
        <v>2965.3725078698885</v>
      </c>
      <c r="R168" s="185">
        <f t="shared" si="125"/>
        <v>741.34312696747213</v>
      </c>
      <c r="S168" s="182">
        <f t="shared" si="129"/>
        <v>12</v>
      </c>
      <c r="T168" s="540"/>
      <c r="U168" s="188">
        <v>4</v>
      </c>
      <c r="V168" s="188">
        <v>2965.941644562336</v>
      </c>
      <c r="W168" s="185">
        <f t="shared" si="126"/>
        <v>741.48541114058401</v>
      </c>
      <c r="X168" s="182">
        <f t="shared" si="130"/>
        <v>12</v>
      </c>
      <c r="Y168" s="540"/>
      <c r="Z168" s="188">
        <v>4</v>
      </c>
      <c r="AA168" s="188">
        <v>2967.3062164236399</v>
      </c>
      <c r="AB168" s="185">
        <f t="shared" si="131"/>
        <v>741.82655410590996</v>
      </c>
      <c r="AC168" s="182">
        <f t="shared" si="132"/>
        <v>12</v>
      </c>
      <c r="AD168" s="540"/>
      <c r="AE168" s="188">
        <v>4</v>
      </c>
      <c r="AF168" s="188">
        <v>2967.7626303127586</v>
      </c>
      <c r="AG168" s="185">
        <f t="shared" si="133"/>
        <v>741.94065757818964</v>
      </c>
      <c r="AH168" s="182">
        <f t="shared" si="134"/>
        <v>12</v>
      </c>
      <c r="AI168" s="540"/>
      <c r="AJ168" s="188">
        <v>4</v>
      </c>
      <c r="AK168" s="188">
        <v>2967.2904800650849</v>
      </c>
      <c r="AL168" s="185">
        <f t="shared" si="135"/>
        <v>741.82262001627123</v>
      </c>
      <c r="AM168" s="182">
        <f t="shared" si="136"/>
        <v>13</v>
      </c>
      <c r="AN168" s="540"/>
      <c r="AO168" s="188">
        <v>4</v>
      </c>
      <c r="AP168" s="188">
        <v>2966.994106090373</v>
      </c>
      <c r="AQ168" s="185">
        <f t="shared" si="137"/>
        <v>741.74852652259324</v>
      </c>
      <c r="AR168" s="182">
        <f t="shared" si="138"/>
        <v>12</v>
      </c>
      <c r="AS168" s="540"/>
      <c r="AT168" s="188">
        <v>4</v>
      </c>
      <c r="AU168" s="188">
        <v>2968.2604272634831</v>
      </c>
      <c r="AV168" s="185">
        <f t="shared" si="139"/>
        <v>742.06510681587076</v>
      </c>
      <c r="AW168" s="182">
        <f t="shared" si="140"/>
        <v>12</v>
      </c>
      <c r="AX168" s="540"/>
    </row>
    <row r="169" spans="2:50" ht="14.25" customHeight="1">
      <c r="B169" s="530"/>
      <c r="C169" s="180">
        <v>11</v>
      </c>
      <c r="D169" s="183" t="s">
        <v>152</v>
      </c>
      <c r="E169" s="184">
        <v>3</v>
      </c>
      <c r="F169" s="180">
        <v>3000</v>
      </c>
      <c r="G169" s="185">
        <f t="shared" si="127"/>
        <v>1000</v>
      </c>
      <c r="H169" s="558"/>
      <c r="I169" s="186">
        <f t="shared" si="128"/>
        <v>3</v>
      </c>
      <c r="J169" s="186">
        <f t="shared" si="128"/>
        <v>2693.1022887416889</v>
      </c>
      <c r="K169" s="187">
        <f t="shared" si="128"/>
        <v>897.70076291389626</v>
      </c>
      <c r="L169" s="559"/>
      <c r="M169" s="186">
        <f>RANK(K169, K$159:$K$191)</f>
        <v>11</v>
      </c>
      <c r="N169" s="578"/>
      <c r="O169" s="541"/>
      <c r="P169" s="188">
        <v>3</v>
      </c>
      <c r="Q169" s="188">
        <v>2692.8453577321143</v>
      </c>
      <c r="R169" s="185">
        <f t="shared" si="125"/>
        <v>897.61511924403806</v>
      </c>
      <c r="S169" s="182">
        <f t="shared" si="129"/>
        <v>10</v>
      </c>
      <c r="T169" s="540"/>
      <c r="U169" s="188">
        <v>3</v>
      </c>
      <c r="V169" s="188">
        <v>2692.9525564256101</v>
      </c>
      <c r="W169" s="185">
        <f t="shared" si="126"/>
        <v>897.65085214187002</v>
      </c>
      <c r="X169" s="182">
        <f t="shared" si="130"/>
        <v>10</v>
      </c>
      <c r="Y169" s="540"/>
      <c r="Z169" s="188">
        <v>3</v>
      </c>
      <c r="AA169" s="188">
        <v>2692.96131896005</v>
      </c>
      <c r="AB169" s="185">
        <f t="shared" si="131"/>
        <v>897.65377298668329</v>
      </c>
      <c r="AC169" s="182">
        <f t="shared" si="132"/>
        <v>11</v>
      </c>
      <c r="AD169" s="540"/>
      <c r="AE169" s="188">
        <v>3</v>
      </c>
      <c r="AF169" s="188">
        <v>2693.0448222565683</v>
      </c>
      <c r="AG169" s="185">
        <f t="shared" si="133"/>
        <v>897.68160741885606</v>
      </c>
      <c r="AH169" s="182">
        <f t="shared" si="134"/>
        <v>11</v>
      </c>
      <c r="AI169" s="540"/>
      <c r="AJ169" s="188">
        <v>3</v>
      </c>
      <c r="AK169" s="188">
        <v>2693.2911678337477</v>
      </c>
      <c r="AL169" s="185">
        <f t="shared" si="135"/>
        <v>897.76372261124925</v>
      </c>
      <c r="AM169" s="182">
        <f t="shared" si="136"/>
        <v>11</v>
      </c>
      <c r="AN169" s="540"/>
      <c r="AO169" s="188">
        <v>3</v>
      </c>
      <c r="AP169" s="188">
        <v>2693.2496931678706</v>
      </c>
      <c r="AQ169" s="185">
        <f t="shared" si="137"/>
        <v>897.74989772262359</v>
      </c>
      <c r="AR169" s="182">
        <f t="shared" si="138"/>
        <v>11</v>
      </c>
      <c r="AS169" s="540"/>
      <c r="AT169" s="188">
        <v>3</v>
      </c>
      <c r="AU169" s="188">
        <v>2693.3711048158634</v>
      </c>
      <c r="AV169" s="185">
        <f t="shared" si="139"/>
        <v>897.79036827195443</v>
      </c>
      <c r="AW169" s="182">
        <f t="shared" si="140"/>
        <v>11</v>
      </c>
      <c r="AX169" s="540"/>
    </row>
    <row r="170" spans="2:50" ht="14.25" customHeight="1">
      <c r="B170" s="530"/>
      <c r="C170" s="180">
        <v>12</v>
      </c>
      <c r="D170" s="183" t="s">
        <v>153</v>
      </c>
      <c r="E170" s="184">
        <v>12</v>
      </c>
      <c r="F170" s="180">
        <v>3600</v>
      </c>
      <c r="G170" s="185">
        <f t="shared" si="127"/>
        <v>300</v>
      </c>
      <c r="H170" s="558"/>
      <c r="I170" s="186">
        <f t="shared" si="128"/>
        <v>12</v>
      </c>
      <c r="J170" s="186">
        <f t="shared" si="128"/>
        <v>3126.1142403960889</v>
      </c>
      <c r="K170" s="187">
        <f t="shared" si="128"/>
        <v>260.50952003300745</v>
      </c>
      <c r="L170" s="559"/>
      <c r="M170" s="186">
        <f>RANK(K170, K$159:$K$191)</f>
        <v>29</v>
      </c>
      <c r="N170" s="578"/>
      <c r="O170" s="541"/>
      <c r="P170" s="188">
        <v>12</v>
      </c>
      <c r="Q170" s="188">
        <v>3125.7050765511699</v>
      </c>
      <c r="R170" s="185">
        <f t="shared" si="125"/>
        <v>260.47542304593082</v>
      </c>
      <c r="S170" s="182">
        <f t="shared" si="129"/>
        <v>29</v>
      </c>
      <c r="T170" s="540"/>
      <c r="U170" s="188">
        <v>12</v>
      </c>
      <c r="V170" s="188">
        <v>3125.7663628831824</v>
      </c>
      <c r="W170" s="185">
        <f t="shared" si="126"/>
        <v>260.48053024026518</v>
      </c>
      <c r="X170" s="182">
        <f t="shared" si="130"/>
        <v>28</v>
      </c>
      <c r="Y170" s="540"/>
      <c r="Z170" s="188">
        <v>12</v>
      </c>
      <c r="AA170" s="188">
        <v>3126.3681592039802</v>
      </c>
      <c r="AB170" s="185">
        <f t="shared" si="131"/>
        <v>260.530679933665</v>
      </c>
      <c r="AC170" s="182">
        <f t="shared" si="132"/>
        <v>28</v>
      </c>
      <c r="AD170" s="540"/>
      <c r="AE170" s="188">
        <v>12</v>
      </c>
      <c r="AF170" s="188">
        <v>3126.5353418308173</v>
      </c>
      <c r="AG170" s="185">
        <f t="shared" si="133"/>
        <v>260.54461181923477</v>
      </c>
      <c r="AH170" s="182">
        <f t="shared" si="134"/>
        <v>28</v>
      </c>
      <c r="AI170" s="540"/>
      <c r="AJ170" s="188">
        <v>12</v>
      </c>
      <c r="AK170" s="188">
        <v>3128.1451141018106</v>
      </c>
      <c r="AL170" s="185">
        <f t="shared" si="135"/>
        <v>260.67875950848423</v>
      </c>
      <c r="AM170" s="182">
        <f t="shared" si="136"/>
        <v>28</v>
      </c>
      <c r="AN170" s="540"/>
      <c r="AO170" s="188">
        <v>12</v>
      </c>
      <c r="AP170" s="188">
        <v>3125.2595155709323</v>
      </c>
      <c r="AQ170" s="185">
        <f t="shared" si="137"/>
        <v>260.43829296424434</v>
      </c>
      <c r="AR170" s="182">
        <f t="shared" si="138"/>
        <v>28</v>
      </c>
      <c r="AS170" s="540"/>
      <c r="AT170" s="188">
        <v>12</v>
      </c>
      <c r="AU170" s="188">
        <v>3125.0201126307343</v>
      </c>
      <c r="AV170" s="185">
        <f t="shared" si="139"/>
        <v>260.41834271922784</v>
      </c>
      <c r="AW170" s="182">
        <f t="shared" si="140"/>
        <v>29</v>
      </c>
      <c r="AX170" s="540"/>
    </row>
    <row r="171" spans="2:50" ht="14.25" customHeight="1">
      <c r="B171" s="530"/>
      <c r="C171" s="180">
        <v>13</v>
      </c>
      <c r="D171" s="183" t="s">
        <v>154</v>
      </c>
      <c r="E171" s="184">
        <v>3</v>
      </c>
      <c r="F171" s="180">
        <v>3300</v>
      </c>
      <c r="G171" s="185">
        <f t="shared" si="127"/>
        <v>1100</v>
      </c>
      <c r="H171" s="558"/>
      <c r="I171" s="186">
        <f t="shared" si="128"/>
        <v>3</v>
      </c>
      <c r="J171" s="186">
        <f t="shared" si="128"/>
        <v>2962.0824562427224</v>
      </c>
      <c r="K171" s="187">
        <f t="shared" si="128"/>
        <v>987.36081874757417</v>
      </c>
      <c r="L171" s="559"/>
      <c r="M171" s="186">
        <f>RANK(K171, K$159:$K$191)</f>
        <v>8</v>
      </c>
      <c r="N171" s="578"/>
      <c r="O171" s="541"/>
      <c r="P171" s="188">
        <v>3</v>
      </c>
      <c r="Q171" s="188">
        <v>2959.7182478538434</v>
      </c>
      <c r="R171" s="185">
        <f t="shared" si="125"/>
        <v>986.57274928461447</v>
      </c>
      <c r="S171" s="182">
        <f t="shared" si="129"/>
        <v>8</v>
      </c>
      <c r="T171" s="540"/>
      <c r="U171" s="188">
        <v>3</v>
      </c>
      <c r="V171" s="188">
        <v>2959.9634369287041</v>
      </c>
      <c r="W171" s="185">
        <f t="shared" si="126"/>
        <v>986.65447897623471</v>
      </c>
      <c r="X171" s="182">
        <f t="shared" si="130"/>
        <v>8</v>
      </c>
      <c r="Y171" s="540"/>
      <c r="Z171" s="188">
        <v>3</v>
      </c>
      <c r="AA171" s="188">
        <v>2959.4619382451851</v>
      </c>
      <c r="AB171" s="185">
        <f t="shared" si="131"/>
        <v>986.48731274839508</v>
      </c>
      <c r="AC171" s="182">
        <f t="shared" si="132"/>
        <v>8</v>
      </c>
      <c r="AD171" s="540"/>
      <c r="AE171" s="188">
        <v>3</v>
      </c>
      <c r="AF171" s="188">
        <v>2963.3039092055451</v>
      </c>
      <c r="AG171" s="185">
        <f t="shared" si="133"/>
        <v>987.76796973518174</v>
      </c>
      <c r="AH171" s="182">
        <f t="shared" si="134"/>
        <v>8</v>
      </c>
      <c r="AI171" s="540"/>
      <c r="AJ171" s="188">
        <v>3</v>
      </c>
      <c r="AK171" s="188">
        <v>2964.0039774610541</v>
      </c>
      <c r="AL171" s="185">
        <f t="shared" si="135"/>
        <v>988.00132582035133</v>
      </c>
      <c r="AM171" s="182">
        <f t="shared" si="136"/>
        <v>8</v>
      </c>
      <c r="AN171" s="540"/>
      <c r="AO171" s="188">
        <v>3</v>
      </c>
      <c r="AP171" s="188">
        <v>2964.2302980808486</v>
      </c>
      <c r="AQ171" s="185">
        <f t="shared" si="137"/>
        <v>988.07676602694949</v>
      </c>
      <c r="AR171" s="182">
        <f t="shared" si="138"/>
        <v>8</v>
      </c>
      <c r="AS171" s="540"/>
      <c r="AT171" s="188">
        <v>3</v>
      </c>
      <c r="AU171" s="188">
        <v>2963.8953859238786</v>
      </c>
      <c r="AV171" s="185">
        <f t="shared" si="139"/>
        <v>987.96512864129284</v>
      </c>
      <c r="AW171" s="182">
        <f t="shared" si="140"/>
        <v>8</v>
      </c>
      <c r="AX171" s="540"/>
    </row>
    <row r="172" spans="2:50" ht="14.25" customHeight="1">
      <c r="B172" s="530"/>
      <c r="C172" s="180">
        <v>14</v>
      </c>
      <c r="D172" s="183" t="s">
        <v>156</v>
      </c>
      <c r="E172" s="184">
        <v>5</v>
      </c>
      <c r="F172" s="180">
        <v>3300</v>
      </c>
      <c r="G172" s="185">
        <f t="shared" si="127"/>
        <v>660</v>
      </c>
      <c r="H172" s="558"/>
      <c r="I172" s="186">
        <f t="shared" si="128"/>
        <v>5</v>
      </c>
      <c r="J172" s="186">
        <f t="shared" si="128"/>
        <v>2961.9073064467134</v>
      </c>
      <c r="K172" s="187">
        <f t="shared" si="128"/>
        <v>592.38146128934284</v>
      </c>
      <c r="L172" s="559"/>
      <c r="M172" s="186">
        <f>RANK(K172, K$159:$K$191)</f>
        <v>27</v>
      </c>
      <c r="N172" s="578"/>
      <c r="O172" s="541"/>
      <c r="P172" s="188">
        <v>5</v>
      </c>
      <c r="Q172" s="188">
        <v>2960.3305785123962</v>
      </c>
      <c r="R172" s="185">
        <f t="shared" si="125"/>
        <v>592.06611570247924</v>
      </c>
      <c r="S172" s="182">
        <f t="shared" si="129"/>
        <v>26</v>
      </c>
      <c r="T172" s="540"/>
      <c r="U172" s="188">
        <v>5</v>
      </c>
      <c r="V172" s="188">
        <v>2959.9999999999968</v>
      </c>
      <c r="W172" s="185">
        <f t="shared" si="126"/>
        <v>591.99999999999932</v>
      </c>
      <c r="X172" s="182">
        <f t="shared" si="130"/>
        <v>26</v>
      </c>
      <c r="Y172" s="540"/>
      <c r="Z172" s="188">
        <v>5</v>
      </c>
      <c r="AA172" s="188">
        <v>2959.8103141671577</v>
      </c>
      <c r="AB172" s="185">
        <f t="shared" si="131"/>
        <v>591.96206283343156</v>
      </c>
      <c r="AC172" s="182">
        <f t="shared" si="132"/>
        <v>26</v>
      </c>
      <c r="AD172" s="540"/>
      <c r="AE172" s="188">
        <v>5</v>
      </c>
      <c r="AF172" s="188">
        <v>2962.8318584070807</v>
      </c>
      <c r="AG172" s="185">
        <f t="shared" si="133"/>
        <v>592.56637168141617</v>
      </c>
      <c r="AH172" s="182">
        <f t="shared" si="134"/>
        <v>26</v>
      </c>
      <c r="AI172" s="540"/>
      <c r="AJ172" s="188">
        <v>5</v>
      </c>
      <c r="AK172" s="188">
        <v>2963.4293369055558</v>
      </c>
      <c r="AL172" s="185">
        <f t="shared" si="135"/>
        <v>592.68586738111117</v>
      </c>
      <c r="AM172" s="182">
        <f t="shared" si="136"/>
        <v>26</v>
      </c>
      <c r="AN172" s="540"/>
      <c r="AO172" s="188">
        <v>5</v>
      </c>
      <c r="AP172" s="188">
        <v>2963.3126934984489</v>
      </c>
      <c r="AQ172" s="185">
        <f t="shared" si="137"/>
        <v>592.66253869968978</v>
      </c>
      <c r="AR172" s="182">
        <f t="shared" si="138"/>
        <v>26</v>
      </c>
      <c r="AS172" s="540"/>
      <c r="AT172" s="188">
        <v>5</v>
      </c>
      <c r="AU172" s="188">
        <v>2963.6363636363608</v>
      </c>
      <c r="AV172" s="185">
        <f t="shared" si="139"/>
        <v>592.72727272727218</v>
      </c>
      <c r="AW172" s="182">
        <f t="shared" si="140"/>
        <v>27</v>
      </c>
      <c r="AX172" s="540"/>
    </row>
    <row r="173" spans="2:50" ht="14.25" customHeight="1">
      <c r="B173" s="530"/>
      <c r="C173" s="180">
        <v>15</v>
      </c>
      <c r="D173" s="183" t="s">
        <v>157</v>
      </c>
      <c r="E173" s="184">
        <v>4</v>
      </c>
      <c r="F173" s="180">
        <v>3300</v>
      </c>
      <c r="G173" s="185">
        <f t="shared" si="127"/>
        <v>825</v>
      </c>
      <c r="H173" s="558"/>
      <c r="I173" s="186">
        <f t="shared" si="128"/>
        <v>4</v>
      </c>
      <c r="J173" s="186">
        <f t="shared" si="128"/>
        <v>2961.6347281407147</v>
      </c>
      <c r="K173" s="187">
        <f t="shared" si="128"/>
        <v>740.40868203517869</v>
      </c>
      <c r="L173" s="559"/>
      <c r="M173" s="186">
        <f>RANK(K173, K$159:$K$191)</f>
        <v>17</v>
      </c>
      <c r="N173" s="578"/>
      <c r="O173" s="541"/>
      <c r="P173" s="188">
        <v>4</v>
      </c>
      <c r="Q173" s="188">
        <v>2960.6469002695412</v>
      </c>
      <c r="R173" s="185">
        <f t="shared" si="125"/>
        <v>740.16172506738531</v>
      </c>
      <c r="S173" s="182">
        <f t="shared" si="129"/>
        <v>17</v>
      </c>
      <c r="T173" s="540"/>
      <c r="U173" s="188">
        <v>4</v>
      </c>
      <c r="V173" s="188">
        <v>2960.6853438295921</v>
      </c>
      <c r="W173" s="185">
        <f t="shared" si="126"/>
        <v>740.17133595739801</v>
      </c>
      <c r="X173" s="182">
        <f t="shared" si="130"/>
        <v>17</v>
      </c>
      <c r="Y173" s="540"/>
      <c r="Z173" s="188">
        <v>4</v>
      </c>
      <c r="AA173" s="188">
        <v>2960.7822954194544</v>
      </c>
      <c r="AB173" s="185">
        <f t="shared" si="131"/>
        <v>740.1955738548636</v>
      </c>
      <c r="AC173" s="182">
        <f t="shared" si="132"/>
        <v>17</v>
      </c>
      <c r="AD173" s="540"/>
      <c r="AE173" s="188">
        <v>4</v>
      </c>
      <c r="AF173" s="188">
        <v>2962.450066577896</v>
      </c>
      <c r="AG173" s="185">
        <f t="shared" si="133"/>
        <v>740.612516644474</v>
      </c>
      <c r="AH173" s="182">
        <f t="shared" si="134"/>
        <v>16</v>
      </c>
      <c r="AI173" s="540"/>
      <c r="AJ173" s="188">
        <v>4</v>
      </c>
      <c r="AK173" s="188">
        <v>2962.3081110506259</v>
      </c>
      <c r="AL173" s="185">
        <f t="shared" si="135"/>
        <v>740.57702776265648</v>
      </c>
      <c r="AM173" s="182">
        <f t="shared" si="136"/>
        <v>17</v>
      </c>
      <c r="AN173" s="540"/>
      <c r="AO173" s="188">
        <v>4</v>
      </c>
      <c r="AP173" s="188">
        <v>2962.299020513768</v>
      </c>
      <c r="AQ173" s="185">
        <f t="shared" si="137"/>
        <v>740.57475512844201</v>
      </c>
      <c r="AR173" s="182">
        <f t="shared" si="138"/>
        <v>17</v>
      </c>
      <c r="AS173" s="540"/>
      <c r="AT173" s="188">
        <v>4</v>
      </c>
      <c r="AU173" s="188">
        <v>2962.2713593241238</v>
      </c>
      <c r="AV173" s="185">
        <f t="shared" si="139"/>
        <v>740.56783983103094</v>
      </c>
      <c r="AW173" s="182">
        <f t="shared" si="140"/>
        <v>17</v>
      </c>
      <c r="AX173" s="540"/>
    </row>
    <row r="174" spans="2:50" ht="14.25" customHeight="1">
      <c r="B174" s="530"/>
      <c r="C174" s="180">
        <v>16</v>
      </c>
      <c r="D174" s="183" t="s">
        <v>158</v>
      </c>
      <c r="E174" s="184">
        <v>3</v>
      </c>
      <c r="F174" s="180">
        <v>3600</v>
      </c>
      <c r="G174" s="185">
        <f t="shared" si="127"/>
        <v>1200</v>
      </c>
      <c r="H174" s="558"/>
      <c r="I174" s="186">
        <f t="shared" si="128"/>
        <v>3</v>
      </c>
      <c r="J174" s="186">
        <f t="shared" si="128"/>
        <v>3145.717812662132</v>
      </c>
      <c r="K174" s="187">
        <f t="shared" si="128"/>
        <v>1048.5726042207104</v>
      </c>
      <c r="L174" s="559"/>
      <c r="M174" s="186">
        <f>RANK(K174, K$159:$K$191)</f>
        <v>2</v>
      </c>
      <c r="N174" s="578"/>
      <c r="O174" s="541"/>
      <c r="P174" s="188">
        <v>3</v>
      </c>
      <c r="Q174" s="188">
        <v>3141.0357683506836</v>
      </c>
      <c r="R174" s="185">
        <f t="shared" si="125"/>
        <v>1047.0119227835612</v>
      </c>
      <c r="S174" s="182">
        <f t="shared" si="129"/>
        <v>5</v>
      </c>
      <c r="T174" s="540"/>
      <c r="U174" s="188">
        <v>3</v>
      </c>
      <c r="V174" s="188">
        <v>3141.4594514717874</v>
      </c>
      <c r="W174" s="185">
        <f t="shared" si="126"/>
        <v>1047.1531504905959</v>
      </c>
      <c r="X174" s="182">
        <f t="shared" si="130"/>
        <v>5</v>
      </c>
      <c r="Y174" s="540"/>
      <c r="Z174" s="188">
        <v>3</v>
      </c>
      <c r="AA174" s="188">
        <v>3141.6975788249374</v>
      </c>
      <c r="AB174" s="185">
        <f t="shared" si="131"/>
        <v>1047.2325262749791</v>
      </c>
      <c r="AC174" s="182">
        <f t="shared" si="132"/>
        <v>5</v>
      </c>
      <c r="AD174" s="540"/>
      <c r="AE174" s="188">
        <v>3</v>
      </c>
      <c r="AF174" s="188">
        <v>3147.4406423558403</v>
      </c>
      <c r="AG174" s="185">
        <f t="shared" si="133"/>
        <v>1049.14688078528</v>
      </c>
      <c r="AH174" s="182">
        <f t="shared" si="134"/>
        <v>2</v>
      </c>
      <c r="AI174" s="540"/>
      <c r="AJ174" s="188">
        <v>3</v>
      </c>
      <c r="AK174" s="188">
        <v>3149.1798247910442</v>
      </c>
      <c r="AL174" s="185">
        <f t="shared" si="135"/>
        <v>1049.7266082636813</v>
      </c>
      <c r="AM174" s="182">
        <f t="shared" si="136"/>
        <v>2</v>
      </c>
      <c r="AN174" s="540"/>
      <c r="AO174" s="188">
        <v>3</v>
      </c>
      <c r="AP174" s="188">
        <v>3149.3933603934602</v>
      </c>
      <c r="AQ174" s="185">
        <f t="shared" si="137"/>
        <v>1049.79778679782</v>
      </c>
      <c r="AR174" s="182">
        <f t="shared" si="138"/>
        <v>2</v>
      </c>
      <c r="AS174" s="540"/>
      <c r="AT174" s="188">
        <v>3</v>
      </c>
      <c r="AU174" s="188">
        <v>3149.8180624471702</v>
      </c>
      <c r="AV174" s="185">
        <f t="shared" si="139"/>
        <v>1049.9393541490567</v>
      </c>
      <c r="AW174" s="182">
        <f t="shared" si="140"/>
        <v>2</v>
      </c>
      <c r="AX174" s="540"/>
    </row>
    <row r="175" spans="2:50" ht="14.25" customHeight="1">
      <c r="B175" s="530"/>
      <c r="C175" s="180">
        <v>17</v>
      </c>
      <c r="D175" s="183" t="s">
        <v>159</v>
      </c>
      <c r="E175" s="184">
        <v>4</v>
      </c>
      <c r="F175" s="180">
        <v>3300</v>
      </c>
      <c r="G175" s="185">
        <f t="shared" si="127"/>
        <v>825</v>
      </c>
      <c r="H175" s="558"/>
      <c r="I175" s="186">
        <f t="shared" si="128"/>
        <v>4</v>
      </c>
      <c r="J175" s="186">
        <f t="shared" si="128"/>
        <v>2964.8745759425396</v>
      </c>
      <c r="K175" s="187">
        <f t="shared" si="128"/>
        <v>741.21864398563491</v>
      </c>
      <c r="L175" s="559"/>
      <c r="M175" s="186">
        <f>RANK(K175, K$159:$K$191)</f>
        <v>14</v>
      </c>
      <c r="N175" s="578"/>
      <c r="O175" s="541"/>
      <c r="P175" s="188">
        <v>4</v>
      </c>
      <c r="Q175" s="188">
        <v>2964.4808743169383</v>
      </c>
      <c r="R175" s="185">
        <f t="shared" si="125"/>
        <v>741.12021857923457</v>
      </c>
      <c r="S175" s="182">
        <f t="shared" si="129"/>
        <v>14</v>
      </c>
      <c r="T175" s="540"/>
      <c r="U175" s="188">
        <v>4</v>
      </c>
      <c r="V175" s="188">
        <v>2964.6716273050788</v>
      </c>
      <c r="W175" s="185">
        <f t="shared" si="126"/>
        <v>741.1679068262697</v>
      </c>
      <c r="X175" s="182">
        <f t="shared" si="130"/>
        <v>14</v>
      </c>
      <c r="Y175" s="540"/>
      <c r="Z175" s="188">
        <v>4</v>
      </c>
      <c r="AA175" s="188">
        <v>2964.6250715512283</v>
      </c>
      <c r="AB175" s="185">
        <f t="shared" si="131"/>
        <v>741.15626788780708</v>
      </c>
      <c r="AC175" s="182">
        <f t="shared" si="132"/>
        <v>14</v>
      </c>
      <c r="AD175" s="540"/>
      <c r="AE175" s="188">
        <v>4</v>
      </c>
      <c r="AF175" s="188">
        <v>2964.8734177215183</v>
      </c>
      <c r="AG175" s="185">
        <f t="shared" si="133"/>
        <v>741.21835443037958</v>
      </c>
      <c r="AH175" s="182">
        <f t="shared" si="134"/>
        <v>14</v>
      </c>
      <c r="AI175" s="540"/>
      <c r="AJ175" s="188">
        <v>4</v>
      </c>
      <c r="AK175" s="188">
        <v>2964.8464730290461</v>
      </c>
      <c r="AL175" s="185">
        <f t="shared" si="135"/>
        <v>741.21161825726153</v>
      </c>
      <c r="AM175" s="182">
        <f t="shared" si="136"/>
        <v>14</v>
      </c>
      <c r="AN175" s="540"/>
      <c r="AO175" s="188">
        <v>4</v>
      </c>
      <c r="AP175" s="188">
        <v>2965.1601830663649</v>
      </c>
      <c r="AQ175" s="185">
        <f t="shared" si="137"/>
        <v>741.29004576659122</v>
      </c>
      <c r="AR175" s="182">
        <f t="shared" si="138"/>
        <v>14</v>
      </c>
      <c r="AS175" s="540"/>
      <c r="AT175" s="188">
        <v>4</v>
      </c>
      <c r="AU175" s="188">
        <v>2965.4643846076024</v>
      </c>
      <c r="AV175" s="185">
        <f t="shared" si="139"/>
        <v>741.36609615190059</v>
      </c>
      <c r="AW175" s="182">
        <f t="shared" si="140"/>
        <v>14</v>
      </c>
      <c r="AX175" s="540"/>
    </row>
    <row r="176" spans="2:50" ht="14.25" customHeight="1">
      <c r="B176" s="530"/>
      <c r="C176" s="180">
        <v>18</v>
      </c>
      <c r="D176" s="183" t="s">
        <v>160</v>
      </c>
      <c r="E176" s="184">
        <v>5</v>
      </c>
      <c r="F176" s="180">
        <v>3300</v>
      </c>
      <c r="G176" s="185">
        <f t="shared" si="127"/>
        <v>660</v>
      </c>
      <c r="H176" s="558"/>
      <c r="I176" s="186">
        <f t="shared" si="128"/>
        <v>5</v>
      </c>
      <c r="J176" s="186">
        <f t="shared" si="128"/>
        <v>2966.8362262437013</v>
      </c>
      <c r="K176" s="187">
        <f t="shared" si="128"/>
        <v>593.36724524874023</v>
      </c>
      <c r="L176" s="559"/>
      <c r="M176" s="186">
        <f>RANK(K176, K$159:$K$191)</f>
        <v>26</v>
      </c>
      <c r="N176" s="578"/>
      <c r="O176" s="541"/>
      <c r="P176" s="188">
        <v>5</v>
      </c>
      <c r="Q176" s="188">
        <v>2966.0583941605964</v>
      </c>
      <c r="R176" s="185">
        <f t="shared" si="125"/>
        <v>593.21167883211933</v>
      </c>
      <c r="S176" s="182">
        <f t="shared" si="129"/>
        <v>25</v>
      </c>
      <c r="T176" s="540"/>
      <c r="U176" s="188">
        <v>5</v>
      </c>
      <c r="V176" s="188">
        <v>2966.7513980681333</v>
      </c>
      <c r="W176" s="185">
        <f t="shared" si="126"/>
        <v>593.35027961362664</v>
      </c>
      <c r="X176" s="182">
        <f t="shared" si="130"/>
        <v>24</v>
      </c>
      <c r="Y176" s="540"/>
      <c r="Z176" s="188">
        <v>5</v>
      </c>
      <c r="AA176" s="188">
        <v>2966.0249150622858</v>
      </c>
      <c r="AB176" s="185">
        <f t="shared" si="131"/>
        <v>593.20498301245721</v>
      </c>
      <c r="AC176" s="182">
        <f t="shared" si="132"/>
        <v>25</v>
      </c>
      <c r="AD176" s="540"/>
      <c r="AE176" s="188">
        <v>5</v>
      </c>
      <c r="AF176" s="188">
        <v>2967.0329670329697</v>
      </c>
      <c r="AG176" s="185">
        <f t="shared" si="133"/>
        <v>593.40659340659397</v>
      </c>
      <c r="AH176" s="182">
        <f t="shared" si="134"/>
        <v>25</v>
      </c>
      <c r="AI176" s="540"/>
      <c r="AJ176" s="188">
        <v>5</v>
      </c>
      <c r="AK176" s="188">
        <v>2967.326732673273</v>
      </c>
      <c r="AL176" s="185">
        <f t="shared" si="135"/>
        <v>593.4653465346546</v>
      </c>
      <c r="AM176" s="182">
        <f t="shared" si="136"/>
        <v>25</v>
      </c>
      <c r="AN176" s="540"/>
      <c r="AO176" s="188">
        <v>5</v>
      </c>
      <c r="AP176" s="188">
        <v>2967.1378091872762</v>
      </c>
      <c r="AQ176" s="185">
        <f t="shared" si="137"/>
        <v>593.42756183745519</v>
      </c>
      <c r="AR176" s="182">
        <f t="shared" si="138"/>
        <v>24</v>
      </c>
      <c r="AS176" s="540"/>
      <c r="AT176" s="188">
        <v>5</v>
      </c>
      <c r="AU176" s="188">
        <v>2967.5213675213763</v>
      </c>
      <c r="AV176" s="185">
        <f t="shared" si="139"/>
        <v>593.50427350427526</v>
      </c>
      <c r="AW176" s="182">
        <f t="shared" si="140"/>
        <v>25</v>
      </c>
      <c r="AX176" s="540"/>
    </row>
    <row r="177" spans="2:50" ht="14.25" customHeight="1">
      <c r="B177" s="530"/>
      <c r="C177" s="180">
        <v>19</v>
      </c>
      <c r="D177" s="183" t="s">
        <v>161</v>
      </c>
      <c r="E177" s="184">
        <v>3</v>
      </c>
      <c r="F177" s="180">
        <v>3600</v>
      </c>
      <c r="G177" s="185">
        <f t="shared" si="127"/>
        <v>1200</v>
      </c>
      <c r="H177" s="558"/>
      <c r="I177" s="186">
        <f t="shared" si="128"/>
        <v>3</v>
      </c>
      <c r="J177" s="186">
        <f t="shared" si="128"/>
        <v>3145.4611046663422</v>
      </c>
      <c r="K177" s="187">
        <f t="shared" si="128"/>
        <v>1048.487034888781</v>
      </c>
      <c r="L177" s="559"/>
      <c r="M177" s="186">
        <f>RANK(K177, K$159:$K$191)</f>
        <v>3</v>
      </c>
      <c r="N177" s="578"/>
      <c r="O177" s="541"/>
      <c r="P177" s="188">
        <v>3</v>
      </c>
      <c r="Q177" s="188">
        <v>3142.3734019041704</v>
      </c>
      <c r="R177" s="185">
        <f t="shared" si="125"/>
        <v>1047.4578006347235</v>
      </c>
      <c r="S177" s="182">
        <f t="shared" si="129"/>
        <v>4</v>
      </c>
      <c r="T177" s="540"/>
      <c r="U177" s="188">
        <v>3</v>
      </c>
      <c r="V177" s="188">
        <v>3142.3662647695519</v>
      </c>
      <c r="W177" s="185">
        <f t="shared" si="126"/>
        <v>1047.4554215898506</v>
      </c>
      <c r="X177" s="182">
        <f t="shared" si="130"/>
        <v>4</v>
      </c>
      <c r="Y177" s="540"/>
      <c r="Z177" s="188">
        <v>3</v>
      </c>
      <c r="AA177" s="188">
        <v>3145.8715596330262</v>
      </c>
      <c r="AB177" s="185">
        <f t="shared" si="131"/>
        <v>1048.6238532110087</v>
      </c>
      <c r="AC177" s="182">
        <f t="shared" si="132"/>
        <v>2</v>
      </c>
      <c r="AD177" s="540"/>
      <c r="AE177" s="188">
        <v>3</v>
      </c>
      <c r="AF177" s="188">
        <v>3146.5809468147277</v>
      </c>
      <c r="AG177" s="185">
        <f t="shared" si="133"/>
        <v>1048.8603156049091</v>
      </c>
      <c r="AH177" s="182">
        <f t="shared" si="134"/>
        <v>4</v>
      </c>
      <c r="AI177" s="540"/>
      <c r="AJ177" s="188">
        <v>3</v>
      </c>
      <c r="AK177" s="188">
        <v>3146.8373476929137</v>
      </c>
      <c r="AL177" s="185">
        <f t="shared" si="135"/>
        <v>1048.9457825643046</v>
      </c>
      <c r="AM177" s="182">
        <f t="shared" si="136"/>
        <v>4</v>
      </c>
      <c r="AN177" s="540"/>
      <c r="AO177" s="188">
        <v>3</v>
      </c>
      <c r="AP177" s="188">
        <v>3147.0626670626716</v>
      </c>
      <c r="AQ177" s="185">
        <f t="shared" si="137"/>
        <v>1049.0208890208905</v>
      </c>
      <c r="AR177" s="182">
        <f t="shared" si="138"/>
        <v>4</v>
      </c>
      <c r="AS177" s="540"/>
      <c r="AT177" s="188">
        <v>3</v>
      </c>
      <c r="AU177" s="188">
        <v>3147.1355447873375</v>
      </c>
      <c r="AV177" s="185">
        <f t="shared" si="139"/>
        <v>1049.0451815957792</v>
      </c>
      <c r="AW177" s="182">
        <f t="shared" si="140"/>
        <v>4</v>
      </c>
      <c r="AX177" s="540"/>
    </row>
    <row r="178" spans="2:50" ht="14.25" customHeight="1">
      <c r="B178" s="530"/>
      <c r="C178" s="180">
        <v>20</v>
      </c>
      <c r="D178" s="183" t="s">
        <v>162</v>
      </c>
      <c r="E178" s="184">
        <v>3</v>
      </c>
      <c r="F178" s="180">
        <v>3600</v>
      </c>
      <c r="G178" s="185">
        <f t="shared" si="127"/>
        <v>1200</v>
      </c>
      <c r="H178" s="558"/>
      <c r="I178" s="186">
        <f t="shared" si="128"/>
        <v>3</v>
      </c>
      <c r="J178" s="186">
        <f t="shared" si="128"/>
        <v>3151.5025959857621</v>
      </c>
      <c r="K178" s="187">
        <f t="shared" si="128"/>
        <v>1050.5008653285875</v>
      </c>
      <c r="L178" s="559"/>
      <c r="M178" s="186">
        <f>RANK(K178, K$159:$K$191)</f>
        <v>1</v>
      </c>
      <c r="N178" s="578"/>
      <c r="O178" s="541"/>
      <c r="P178" s="188">
        <v>3</v>
      </c>
      <c r="Q178" s="188">
        <v>3148.2071713147502</v>
      </c>
      <c r="R178" s="185">
        <f t="shared" si="125"/>
        <v>1049.40239043825</v>
      </c>
      <c r="S178" s="182">
        <f t="shared" si="129"/>
        <v>1</v>
      </c>
      <c r="T178" s="540"/>
      <c r="U178" s="188">
        <v>3</v>
      </c>
      <c r="V178" s="188">
        <v>3149.3129770992441</v>
      </c>
      <c r="W178" s="185">
        <f t="shared" si="126"/>
        <v>1049.7709923664147</v>
      </c>
      <c r="X178" s="182">
        <f t="shared" si="130"/>
        <v>1</v>
      </c>
      <c r="Y178" s="540"/>
      <c r="Z178" s="188">
        <v>3</v>
      </c>
      <c r="AA178" s="188">
        <v>3149.9999999999941</v>
      </c>
      <c r="AB178" s="185">
        <f t="shared" si="131"/>
        <v>1049.999999999998</v>
      </c>
      <c r="AC178" s="182">
        <f t="shared" si="132"/>
        <v>1</v>
      </c>
      <c r="AD178" s="540"/>
      <c r="AE178" s="188">
        <v>3</v>
      </c>
      <c r="AF178" s="188">
        <v>3152.4680073126101</v>
      </c>
      <c r="AG178" s="185">
        <f t="shared" si="133"/>
        <v>1050.8226691042034</v>
      </c>
      <c r="AH178" s="182">
        <f t="shared" si="134"/>
        <v>1</v>
      </c>
      <c r="AI178" s="540"/>
      <c r="AJ178" s="188">
        <v>3</v>
      </c>
      <c r="AK178" s="188">
        <v>3153.2097004279708</v>
      </c>
      <c r="AL178" s="185">
        <f t="shared" si="135"/>
        <v>1051.0699001426569</v>
      </c>
      <c r="AM178" s="182">
        <f t="shared" si="136"/>
        <v>1</v>
      </c>
      <c r="AN178" s="540"/>
      <c r="AO178" s="188">
        <v>3</v>
      </c>
      <c r="AP178" s="188">
        <v>3153.1034482758746</v>
      </c>
      <c r="AQ178" s="185">
        <f t="shared" si="137"/>
        <v>1051.0344827586248</v>
      </c>
      <c r="AR178" s="182">
        <f t="shared" si="138"/>
        <v>1</v>
      </c>
      <c r="AS178" s="540"/>
      <c r="AT178" s="188">
        <v>3</v>
      </c>
      <c r="AU178" s="188">
        <v>3154.2168674698928</v>
      </c>
      <c r="AV178" s="185">
        <f t="shared" si="139"/>
        <v>1051.4056224899643</v>
      </c>
      <c r="AW178" s="182">
        <f t="shared" si="140"/>
        <v>1</v>
      </c>
      <c r="AX178" s="540"/>
    </row>
    <row r="179" spans="2:50" ht="14.25" customHeight="1">
      <c r="B179" s="530"/>
      <c r="C179" s="180">
        <v>21</v>
      </c>
      <c r="D179" s="183" t="s">
        <v>163</v>
      </c>
      <c r="E179" s="184">
        <v>4</v>
      </c>
      <c r="F179" s="180">
        <v>3300</v>
      </c>
      <c r="G179" s="185">
        <f t="shared" si="127"/>
        <v>825</v>
      </c>
      <c r="H179" s="558"/>
      <c r="I179" s="186">
        <f t="shared" si="128"/>
        <v>4</v>
      </c>
      <c r="J179" s="186">
        <f t="shared" si="128"/>
        <v>2932.7637704402555</v>
      </c>
      <c r="K179" s="187">
        <f t="shared" si="128"/>
        <v>733.19094261006387</v>
      </c>
      <c r="L179" s="559"/>
      <c r="M179" s="186">
        <f>RANK(K179, K$159:$K$191)</f>
        <v>21</v>
      </c>
      <c r="N179" s="578"/>
      <c r="O179" s="541"/>
      <c r="P179" s="188">
        <v>4</v>
      </c>
      <c r="Q179" s="188">
        <v>2931.4674735249541</v>
      </c>
      <c r="R179" s="185">
        <f t="shared" si="125"/>
        <v>732.86686838123853</v>
      </c>
      <c r="S179" s="182">
        <f t="shared" si="129"/>
        <v>20</v>
      </c>
      <c r="T179" s="540"/>
      <c r="U179" s="188">
        <v>4</v>
      </c>
      <c r="V179" s="188">
        <v>2931.958762886602</v>
      </c>
      <c r="W179" s="185">
        <f t="shared" si="126"/>
        <v>732.9896907216505</v>
      </c>
      <c r="X179" s="182">
        <f t="shared" si="130"/>
        <v>20</v>
      </c>
      <c r="Y179" s="540"/>
      <c r="Z179" s="188">
        <v>4</v>
      </c>
      <c r="AA179" s="188">
        <v>2932.0754716981119</v>
      </c>
      <c r="AB179" s="185">
        <f t="shared" si="131"/>
        <v>733.01886792452797</v>
      </c>
      <c r="AC179" s="182">
        <f t="shared" si="132"/>
        <v>21</v>
      </c>
      <c r="AD179" s="540"/>
      <c r="AE179" s="188">
        <v>4</v>
      </c>
      <c r="AF179" s="188">
        <v>2933.052631578938</v>
      </c>
      <c r="AG179" s="185">
        <f t="shared" si="133"/>
        <v>733.26315789473449</v>
      </c>
      <c r="AH179" s="182">
        <f t="shared" si="134"/>
        <v>21</v>
      </c>
      <c r="AI179" s="540"/>
      <c r="AJ179" s="188">
        <v>4</v>
      </c>
      <c r="AK179" s="188">
        <v>2932.8931077177076</v>
      </c>
      <c r="AL179" s="185">
        <f t="shared" si="135"/>
        <v>733.2232769294269</v>
      </c>
      <c r="AM179" s="182">
        <f t="shared" si="136"/>
        <v>21</v>
      </c>
      <c r="AN179" s="540"/>
      <c r="AO179" s="188">
        <v>4</v>
      </c>
      <c r="AP179" s="188">
        <v>2933.523945675483</v>
      </c>
      <c r="AQ179" s="185">
        <f t="shared" si="137"/>
        <v>733.38098641887075</v>
      </c>
      <c r="AR179" s="182">
        <f t="shared" si="138"/>
        <v>21</v>
      </c>
      <c r="AS179" s="540"/>
      <c r="AT179" s="188">
        <v>4</v>
      </c>
      <c r="AU179" s="188">
        <v>2934.3749999999918</v>
      </c>
      <c r="AV179" s="185">
        <f t="shared" si="139"/>
        <v>733.59374999999795</v>
      </c>
      <c r="AW179" s="182">
        <f t="shared" si="140"/>
        <v>20</v>
      </c>
      <c r="AX179" s="540"/>
    </row>
    <row r="180" spans="2:50" ht="14.25" customHeight="1">
      <c r="B180" s="530"/>
      <c r="C180" s="180">
        <v>22</v>
      </c>
      <c r="D180" s="183" t="s">
        <v>164</v>
      </c>
      <c r="E180" s="184">
        <v>4</v>
      </c>
      <c r="F180" s="180">
        <v>3300</v>
      </c>
      <c r="G180" s="185">
        <f>F180/E180</f>
        <v>825</v>
      </c>
      <c r="H180" s="558"/>
      <c r="I180" s="186">
        <f t="shared" si="128"/>
        <v>4</v>
      </c>
      <c r="J180" s="186">
        <f t="shared" si="128"/>
        <v>2934.9088899872909</v>
      </c>
      <c r="K180" s="187">
        <f t="shared" si="128"/>
        <v>733.72722249682272</v>
      </c>
      <c r="L180" s="559"/>
      <c r="M180" s="186">
        <f>RANK(K180, K$159:$K$191)</f>
        <v>18</v>
      </c>
      <c r="N180" s="578"/>
      <c r="O180" s="541"/>
      <c r="P180" s="188">
        <v>4</v>
      </c>
      <c r="Q180" s="188">
        <v>2934.7167694896284</v>
      </c>
      <c r="R180" s="185">
        <f t="shared" si="125"/>
        <v>733.6791923724071</v>
      </c>
      <c r="S180" s="182">
        <f t="shared" si="129"/>
        <v>18</v>
      </c>
      <c r="T180" s="540"/>
      <c r="U180" s="188">
        <v>4</v>
      </c>
      <c r="V180" s="188">
        <v>2934.2546890424528</v>
      </c>
      <c r="W180" s="185">
        <f t="shared" si="126"/>
        <v>733.5636722606132</v>
      </c>
      <c r="X180" s="182">
        <f t="shared" si="130"/>
        <v>18</v>
      </c>
      <c r="Y180" s="540"/>
      <c r="Z180" s="188">
        <v>4</v>
      </c>
      <c r="AA180" s="188">
        <v>2934.7680890537977</v>
      </c>
      <c r="AB180" s="185">
        <f t="shared" si="131"/>
        <v>733.69202226344942</v>
      </c>
      <c r="AC180" s="182">
        <f t="shared" si="132"/>
        <v>18</v>
      </c>
      <c r="AD180" s="540"/>
      <c r="AE180" s="188">
        <v>4</v>
      </c>
      <c r="AF180" s="188">
        <v>2935.0993377483414</v>
      </c>
      <c r="AG180" s="185">
        <f t="shared" si="133"/>
        <v>733.77483443708536</v>
      </c>
      <c r="AH180" s="182">
        <f t="shared" si="134"/>
        <v>18</v>
      </c>
      <c r="AI180" s="540"/>
      <c r="AJ180" s="188">
        <v>4</v>
      </c>
      <c r="AK180" s="188">
        <v>2935.7731015553572</v>
      </c>
      <c r="AL180" s="185">
        <f t="shared" si="135"/>
        <v>733.94327538883931</v>
      </c>
      <c r="AM180" s="182">
        <f t="shared" si="136"/>
        <v>18</v>
      </c>
      <c r="AN180" s="540"/>
      <c r="AO180" s="188">
        <v>4</v>
      </c>
      <c r="AP180" s="188">
        <v>2934.5692475463457</v>
      </c>
      <c r="AQ180" s="185">
        <f t="shared" si="137"/>
        <v>733.64231188658641</v>
      </c>
      <c r="AR180" s="182">
        <f t="shared" si="138"/>
        <v>19</v>
      </c>
      <c r="AS180" s="540"/>
      <c r="AT180" s="188">
        <v>4</v>
      </c>
      <c r="AU180" s="188">
        <v>2935.1809954751138</v>
      </c>
      <c r="AV180" s="185">
        <f t="shared" si="139"/>
        <v>733.79524886877846</v>
      </c>
      <c r="AW180" s="182">
        <f t="shared" si="140"/>
        <v>18</v>
      </c>
      <c r="AX180" s="540"/>
    </row>
    <row r="181" spans="2:50" ht="14.25" customHeight="1">
      <c r="B181" s="530"/>
      <c r="C181" s="180">
        <v>23</v>
      </c>
      <c r="D181" s="183" t="s">
        <v>165</v>
      </c>
      <c r="E181" s="184">
        <v>4</v>
      </c>
      <c r="F181" s="180">
        <v>3000</v>
      </c>
      <c r="G181" s="185">
        <f t="shared" ref="G181:G188" si="141">F181/E181</f>
        <v>750</v>
      </c>
      <c r="H181" s="558"/>
      <c r="I181" s="186">
        <f t="shared" si="128"/>
        <v>4</v>
      </c>
      <c r="J181" s="186">
        <f t="shared" si="128"/>
        <v>2695.0793928698135</v>
      </c>
      <c r="K181" s="187">
        <f t="shared" si="128"/>
        <v>673.76984821745339</v>
      </c>
      <c r="L181" s="559"/>
      <c r="M181" s="186">
        <f>RANK(K181, K$159:$K$191)</f>
        <v>22</v>
      </c>
      <c r="N181" s="578"/>
      <c r="O181" s="541"/>
      <c r="P181" s="188">
        <v>4</v>
      </c>
      <c r="Q181" s="188">
        <v>2695.2091254752936</v>
      </c>
      <c r="R181" s="185">
        <f t="shared" si="125"/>
        <v>673.8022813688234</v>
      </c>
      <c r="S181" s="182">
        <f t="shared" si="129"/>
        <v>22</v>
      </c>
      <c r="T181" s="540"/>
      <c r="U181" s="188">
        <v>4</v>
      </c>
      <c r="V181" s="188">
        <v>2694.5736434108544</v>
      </c>
      <c r="W181" s="185">
        <f t="shared" si="126"/>
        <v>673.6434108527136</v>
      </c>
      <c r="X181" s="182">
        <f t="shared" si="130"/>
        <v>22</v>
      </c>
      <c r="Y181" s="540"/>
      <c r="Z181" s="188">
        <v>4</v>
      </c>
      <c r="AA181" s="188">
        <v>2695.3499295443867</v>
      </c>
      <c r="AB181" s="185">
        <f t="shared" si="131"/>
        <v>673.83748238609667</v>
      </c>
      <c r="AC181" s="182">
        <f t="shared" si="132"/>
        <v>22</v>
      </c>
      <c r="AD181" s="540"/>
      <c r="AE181" s="188">
        <v>4</v>
      </c>
      <c r="AF181" s="188">
        <v>2694.9907235621581</v>
      </c>
      <c r="AG181" s="185">
        <f t="shared" si="133"/>
        <v>673.74768089053953</v>
      </c>
      <c r="AH181" s="182">
        <f t="shared" si="134"/>
        <v>22</v>
      </c>
      <c r="AI181" s="540"/>
      <c r="AJ181" s="188">
        <v>4</v>
      </c>
      <c r="AK181" s="188">
        <v>2695.2573976489675</v>
      </c>
      <c r="AL181" s="185">
        <f t="shared" si="135"/>
        <v>673.81434941224188</v>
      </c>
      <c r="AM181" s="182">
        <f t="shared" si="136"/>
        <v>22</v>
      </c>
      <c r="AN181" s="540"/>
      <c r="AO181" s="188">
        <v>4</v>
      </c>
      <c r="AP181" s="188">
        <v>2695.438088341778</v>
      </c>
      <c r="AQ181" s="185">
        <f t="shared" si="137"/>
        <v>673.8595220854445</v>
      </c>
      <c r="AR181" s="182">
        <f t="shared" si="138"/>
        <v>22</v>
      </c>
      <c r="AS181" s="540"/>
      <c r="AT181" s="188">
        <v>4</v>
      </c>
      <c r="AU181" s="188">
        <v>2694.7368421052547</v>
      </c>
      <c r="AV181" s="185">
        <f t="shared" si="139"/>
        <v>673.68421052631368</v>
      </c>
      <c r="AW181" s="182">
        <f t="shared" si="140"/>
        <v>22</v>
      </c>
      <c r="AX181" s="540"/>
    </row>
    <row r="182" spans="2:50" ht="14.25" customHeight="1">
      <c r="B182" s="530"/>
      <c r="C182" s="180">
        <v>24</v>
      </c>
      <c r="D182" s="183" t="s">
        <v>166</v>
      </c>
      <c r="E182" s="184">
        <v>4</v>
      </c>
      <c r="F182" s="180">
        <v>3300</v>
      </c>
      <c r="G182" s="185">
        <f t="shared" si="141"/>
        <v>825</v>
      </c>
      <c r="H182" s="558"/>
      <c r="I182" s="186">
        <f t="shared" si="128"/>
        <v>4</v>
      </c>
      <c r="J182" s="186">
        <f t="shared" si="128"/>
        <v>2965.9856921749124</v>
      </c>
      <c r="K182" s="187">
        <f t="shared" si="128"/>
        <v>741.4964230437281</v>
      </c>
      <c r="L182" s="559"/>
      <c r="M182" s="186">
        <f>RANK(K182, K$159:$K$191)</f>
        <v>13</v>
      </c>
      <c r="N182" s="578"/>
      <c r="O182" s="541"/>
      <c r="P182" s="188">
        <v>4</v>
      </c>
      <c r="Q182" s="188">
        <v>2964.4820295983063</v>
      </c>
      <c r="R182" s="185">
        <f t="shared" si="125"/>
        <v>741.12050739957658</v>
      </c>
      <c r="S182" s="182">
        <f t="shared" si="129"/>
        <v>13</v>
      </c>
      <c r="T182" s="540"/>
      <c r="U182" s="188">
        <v>4</v>
      </c>
      <c r="V182" s="188">
        <v>2965.7794676806134</v>
      </c>
      <c r="W182" s="185">
        <f t="shared" si="126"/>
        <v>741.44486692015334</v>
      </c>
      <c r="X182" s="182">
        <f t="shared" si="130"/>
        <v>13</v>
      </c>
      <c r="Y182" s="540"/>
      <c r="Z182" s="188">
        <v>4</v>
      </c>
      <c r="AA182" s="188">
        <v>2965.0393700787099</v>
      </c>
      <c r="AB182" s="185">
        <f t="shared" si="131"/>
        <v>741.25984251967748</v>
      </c>
      <c r="AC182" s="182">
        <f t="shared" si="132"/>
        <v>13</v>
      </c>
      <c r="AD182" s="540"/>
      <c r="AE182" s="188">
        <v>4</v>
      </c>
      <c r="AF182" s="188">
        <v>2966.0377358490405</v>
      </c>
      <c r="AG182" s="185">
        <f t="shared" si="133"/>
        <v>741.50943396226012</v>
      </c>
      <c r="AH182" s="182">
        <f t="shared" si="134"/>
        <v>13</v>
      </c>
      <c r="AI182" s="540"/>
      <c r="AJ182" s="188">
        <v>4</v>
      </c>
      <c r="AK182" s="188">
        <v>2967.3988439306436</v>
      </c>
      <c r="AL182" s="185">
        <f t="shared" si="135"/>
        <v>741.84971098266089</v>
      </c>
      <c r="AM182" s="182">
        <f t="shared" si="136"/>
        <v>12</v>
      </c>
      <c r="AN182" s="540"/>
      <c r="AO182" s="188">
        <v>4</v>
      </c>
      <c r="AP182" s="188">
        <v>2966.1721068249126</v>
      </c>
      <c r="AQ182" s="185">
        <f t="shared" si="137"/>
        <v>741.54302670622815</v>
      </c>
      <c r="AR182" s="182">
        <f t="shared" si="138"/>
        <v>13</v>
      </c>
      <c r="AS182" s="540"/>
      <c r="AT182" s="188">
        <v>4</v>
      </c>
      <c r="AU182" s="188">
        <v>2966.9902912621633</v>
      </c>
      <c r="AV182" s="185">
        <f t="shared" si="139"/>
        <v>741.74757281554082</v>
      </c>
      <c r="AW182" s="182">
        <f t="shared" si="140"/>
        <v>13</v>
      </c>
      <c r="AX182" s="540"/>
    </row>
    <row r="183" spans="2:50" ht="14.25" customHeight="1">
      <c r="B183" s="530"/>
      <c r="C183" s="180">
        <v>25</v>
      </c>
      <c r="D183" s="183" t="s">
        <v>167</v>
      </c>
      <c r="E183" s="184">
        <v>3</v>
      </c>
      <c r="F183" s="180">
        <v>3300</v>
      </c>
      <c r="G183" s="185">
        <f t="shared" si="141"/>
        <v>1100</v>
      </c>
      <c r="H183" s="558"/>
      <c r="I183" s="186">
        <f t="shared" si="128"/>
        <v>3</v>
      </c>
      <c r="J183" s="186">
        <f t="shared" si="128"/>
        <v>2967.6519330989481</v>
      </c>
      <c r="K183" s="187">
        <f t="shared" si="128"/>
        <v>989.21731103298282</v>
      </c>
      <c r="L183" s="559"/>
      <c r="M183" s="186">
        <f>RANK(K183, K$159:$K$191)</f>
        <v>7</v>
      </c>
      <c r="N183" s="578"/>
      <c r="O183" s="541"/>
      <c r="P183" s="188">
        <v>3</v>
      </c>
      <c r="Q183" s="188">
        <v>2965.1877133105859</v>
      </c>
      <c r="R183" s="185">
        <f t="shared" si="125"/>
        <v>988.395904436862</v>
      </c>
      <c r="S183" s="182">
        <f t="shared" si="129"/>
        <v>7</v>
      </c>
      <c r="T183" s="540"/>
      <c r="U183" s="188">
        <v>3</v>
      </c>
      <c r="V183" s="188">
        <v>2966.2650602409572</v>
      </c>
      <c r="W183" s="185">
        <f t="shared" si="126"/>
        <v>988.75502008031901</v>
      </c>
      <c r="X183" s="182">
        <f t="shared" si="130"/>
        <v>7</v>
      </c>
      <c r="Y183" s="540"/>
      <c r="Z183" s="188">
        <v>3</v>
      </c>
      <c r="AA183" s="188">
        <v>2966.9724770642133</v>
      </c>
      <c r="AB183" s="185">
        <f t="shared" si="131"/>
        <v>988.99082568807114</v>
      </c>
      <c r="AC183" s="182">
        <f t="shared" si="132"/>
        <v>7</v>
      </c>
      <c r="AD183" s="540"/>
      <c r="AE183" s="188">
        <v>3</v>
      </c>
      <c r="AF183" s="188">
        <v>2967.4922600619111</v>
      </c>
      <c r="AG183" s="185">
        <f t="shared" si="133"/>
        <v>989.16408668730367</v>
      </c>
      <c r="AH183" s="182">
        <f t="shared" si="134"/>
        <v>7</v>
      </c>
      <c r="AI183" s="540"/>
      <c r="AJ183" s="188">
        <v>3</v>
      </c>
      <c r="AK183" s="188">
        <v>2969.0721649484672</v>
      </c>
      <c r="AL183" s="185">
        <f t="shared" si="135"/>
        <v>989.69072164948909</v>
      </c>
      <c r="AM183" s="182">
        <f t="shared" si="136"/>
        <v>7</v>
      </c>
      <c r="AN183" s="540"/>
      <c r="AO183" s="188">
        <v>3</v>
      </c>
      <c r="AP183" s="188">
        <v>2969.1725256895497</v>
      </c>
      <c r="AQ183" s="185">
        <f t="shared" si="137"/>
        <v>989.72417522984995</v>
      </c>
      <c r="AR183" s="182">
        <f t="shared" si="138"/>
        <v>7</v>
      </c>
      <c r="AS183" s="540"/>
      <c r="AT183" s="188">
        <v>3</v>
      </c>
      <c r="AU183" s="188">
        <v>2969.4013303769548</v>
      </c>
      <c r="AV183" s="185">
        <f t="shared" si="139"/>
        <v>989.80044345898489</v>
      </c>
      <c r="AW183" s="182">
        <f t="shared" si="140"/>
        <v>7</v>
      </c>
      <c r="AX183" s="540"/>
    </row>
    <row r="184" spans="2:50" ht="14.25" customHeight="1">
      <c r="B184" s="530"/>
      <c r="C184" s="180">
        <v>26</v>
      </c>
      <c r="D184" s="183" t="s">
        <v>168</v>
      </c>
      <c r="E184" s="184">
        <v>4</v>
      </c>
      <c r="F184" s="180">
        <v>3000</v>
      </c>
      <c r="G184" s="185">
        <f t="shared" si="141"/>
        <v>750</v>
      </c>
      <c r="H184" s="558"/>
      <c r="I184" s="186">
        <f t="shared" si="128"/>
        <v>4</v>
      </c>
      <c r="J184" s="186">
        <f t="shared" si="128"/>
        <v>2674.0351726798567</v>
      </c>
      <c r="K184" s="187">
        <f t="shared" si="128"/>
        <v>668.50879316996418</v>
      </c>
      <c r="L184" s="559"/>
      <c r="M184" s="186">
        <f>RANK(K184, K$159:$K$191)</f>
        <v>23</v>
      </c>
      <c r="N184" s="578"/>
      <c r="O184" s="541"/>
      <c r="P184" s="188">
        <v>4</v>
      </c>
      <c r="Q184" s="188">
        <v>2673.8690074274145</v>
      </c>
      <c r="R184" s="185">
        <f t="shared" si="125"/>
        <v>668.46725185685364</v>
      </c>
      <c r="S184" s="182">
        <f t="shared" si="129"/>
        <v>23</v>
      </c>
      <c r="T184" s="540"/>
      <c r="U184" s="188">
        <v>4</v>
      </c>
      <c r="V184" s="188">
        <v>2673.7660318694207</v>
      </c>
      <c r="W184" s="185">
        <f t="shared" si="126"/>
        <v>668.44150796735516</v>
      </c>
      <c r="X184" s="182">
        <f t="shared" si="130"/>
        <v>23</v>
      </c>
      <c r="Y184" s="540"/>
      <c r="Z184" s="188">
        <v>4</v>
      </c>
      <c r="AA184" s="188">
        <v>2674.4206383909172</v>
      </c>
      <c r="AB184" s="185">
        <f t="shared" si="131"/>
        <v>668.60515959772931</v>
      </c>
      <c r="AC184" s="182">
        <f t="shared" si="132"/>
        <v>23</v>
      </c>
      <c r="AD184" s="540"/>
      <c r="AE184" s="188">
        <v>4</v>
      </c>
      <c r="AF184" s="188">
        <v>2673.9188586714349</v>
      </c>
      <c r="AG184" s="185">
        <f t="shared" si="133"/>
        <v>668.47971466785873</v>
      </c>
      <c r="AH184" s="182">
        <f t="shared" si="134"/>
        <v>23</v>
      </c>
      <c r="AI184" s="540"/>
      <c r="AJ184" s="188">
        <v>4</v>
      </c>
      <c r="AK184" s="188">
        <v>2674.3238236383913</v>
      </c>
      <c r="AL184" s="185">
        <f t="shared" si="135"/>
        <v>668.58095590959783</v>
      </c>
      <c r="AM184" s="182">
        <f t="shared" si="136"/>
        <v>23</v>
      </c>
      <c r="AN184" s="540"/>
      <c r="AO184" s="188">
        <v>4</v>
      </c>
      <c r="AP184" s="188">
        <v>2674.1851368970069</v>
      </c>
      <c r="AQ184" s="185">
        <f t="shared" si="137"/>
        <v>668.54628422425174</v>
      </c>
      <c r="AR184" s="182">
        <f t="shared" si="138"/>
        <v>23</v>
      </c>
      <c r="AS184" s="540"/>
      <c r="AT184" s="188">
        <v>4</v>
      </c>
      <c r="AU184" s="188">
        <v>2673.7627118644091</v>
      </c>
      <c r="AV184" s="185">
        <f t="shared" si="139"/>
        <v>668.44067796610227</v>
      </c>
      <c r="AW184" s="182">
        <f t="shared" si="140"/>
        <v>23</v>
      </c>
      <c r="AX184" s="540"/>
    </row>
    <row r="185" spans="2:50" ht="14.25" customHeight="1">
      <c r="B185" s="530"/>
      <c r="C185" s="180">
        <v>27</v>
      </c>
      <c r="D185" s="183" t="s">
        <v>169</v>
      </c>
      <c r="E185" s="184">
        <v>5</v>
      </c>
      <c r="F185" s="180">
        <v>3000</v>
      </c>
      <c r="G185" s="185">
        <f t="shared" si="141"/>
        <v>600</v>
      </c>
      <c r="H185" s="558"/>
      <c r="I185" s="186">
        <f t="shared" si="128"/>
        <v>5</v>
      </c>
      <c r="J185" s="186">
        <f t="shared" si="128"/>
        <v>2672.8639634656934</v>
      </c>
      <c r="K185" s="187">
        <f t="shared" si="128"/>
        <v>534.57279269313858</v>
      </c>
      <c r="L185" s="559"/>
      <c r="M185" s="186">
        <f>RANK(K185, K$159:$K$191)</f>
        <v>28</v>
      </c>
      <c r="N185" s="578"/>
      <c r="O185" s="541"/>
      <c r="P185" s="188">
        <v>5</v>
      </c>
      <c r="Q185" s="188">
        <v>2672.0229555236842</v>
      </c>
      <c r="R185" s="185">
        <f t="shared" si="125"/>
        <v>534.40459110473682</v>
      </c>
      <c r="S185" s="182">
        <f t="shared" si="129"/>
        <v>27</v>
      </c>
      <c r="T185" s="540"/>
      <c r="U185" s="188">
        <v>5</v>
      </c>
      <c r="V185" s="188">
        <v>2672.5704427832134</v>
      </c>
      <c r="W185" s="185">
        <f t="shared" si="126"/>
        <v>534.51408855664272</v>
      </c>
      <c r="X185" s="182">
        <f t="shared" si="130"/>
        <v>27</v>
      </c>
      <c r="Y185" s="540"/>
      <c r="Z185" s="188">
        <v>5</v>
      </c>
      <c r="AA185" s="188">
        <v>2672.6552179656537</v>
      </c>
      <c r="AB185" s="185">
        <f t="shared" si="131"/>
        <v>534.53104359313079</v>
      </c>
      <c r="AC185" s="182">
        <f t="shared" si="132"/>
        <v>27</v>
      </c>
      <c r="AD185" s="540"/>
      <c r="AE185" s="188">
        <v>5</v>
      </c>
      <c r="AF185" s="188">
        <v>2672.6519337016589</v>
      </c>
      <c r="AG185" s="185">
        <f t="shared" si="133"/>
        <v>534.53038674033178</v>
      </c>
      <c r="AH185" s="182">
        <f t="shared" si="134"/>
        <v>27</v>
      </c>
      <c r="AI185" s="540"/>
      <c r="AJ185" s="188">
        <v>5</v>
      </c>
      <c r="AK185" s="188">
        <v>2673.0192719486113</v>
      </c>
      <c r="AL185" s="185">
        <f t="shared" si="135"/>
        <v>534.6038543897223</v>
      </c>
      <c r="AM185" s="182">
        <f t="shared" si="136"/>
        <v>27</v>
      </c>
      <c r="AN185" s="540"/>
      <c r="AO185" s="188">
        <v>5</v>
      </c>
      <c r="AP185" s="188">
        <v>2673.6646539712101</v>
      </c>
      <c r="AQ185" s="185">
        <f t="shared" si="137"/>
        <v>534.73293079424207</v>
      </c>
      <c r="AR185" s="182">
        <f t="shared" si="138"/>
        <v>27</v>
      </c>
      <c r="AS185" s="540"/>
      <c r="AT185" s="188">
        <v>5</v>
      </c>
      <c r="AU185" s="188">
        <v>2673.4632683658224</v>
      </c>
      <c r="AV185" s="185">
        <f t="shared" si="139"/>
        <v>534.6926536731645</v>
      </c>
      <c r="AW185" s="182">
        <f t="shared" si="140"/>
        <v>28</v>
      </c>
      <c r="AX185" s="540"/>
    </row>
    <row r="186" spans="2:50" ht="14.25" customHeight="1">
      <c r="B186" s="530"/>
      <c r="C186" s="180">
        <v>28</v>
      </c>
      <c r="D186" s="183" t="s">
        <v>170</v>
      </c>
      <c r="E186" s="184">
        <v>3</v>
      </c>
      <c r="F186" s="180">
        <v>3000</v>
      </c>
      <c r="G186" s="185">
        <f t="shared" si="141"/>
        <v>1000</v>
      </c>
      <c r="H186" s="558"/>
      <c r="I186" s="186">
        <f t="shared" si="128"/>
        <v>3</v>
      </c>
      <c r="J186" s="186">
        <f t="shared" si="128"/>
        <v>2693.5179146935952</v>
      </c>
      <c r="K186" s="187">
        <f t="shared" si="128"/>
        <v>897.83930489786519</v>
      </c>
      <c r="L186" s="559"/>
      <c r="M186" s="186">
        <f>RANK(K186, K$159:$K$191)</f>
        <v>9</v>
      </c>
      <c r="N186" s="578"/>
      <c r="O186" s="541"/>
      <c r="P186" s="188">
        <v>3</v>
      </c>
      <c r="Q186" s="188">
        <v>2693.1651601440308</v>
      </c>
      <c r="R186" s="185">
        <f t="shared" si="125"/>
        <v>897.7217200480103</v>
      </c>
      <c r="S186" s="182">
        <f t="shared" si="129"/>
        <v>9</v>
      </c>
      <c r="T186" s="540"/>
      <c r="U186" s="188">
        <v>3</v>
      </c>
      <c r="V186" s="188">
        <v>2693.3113577807871</v>
      </c>
      <c r="W186" s="185">
        <f t="shared" si="126"/>
        <v>897.77045259359568</v>
      </c>
      <c r="X186" s="182">
        <f t="shared" si="130"/>
        <v>9</v>
      </c>
      <c r="Y186" s="540"/>
      <c r="Z186" s="188">
        <v>3</v>
      </c>
      <c r="AA186" s="188">
        <v>2693.3107094185721</v>
      </c>
      <c r="AB186" s="185">
        <f t="shared" si="131"/>
        <v>897.77023647285739</v>
      </c>
      <c r="AC186" s="182">
        <f t="shared" si="132"/>
        <v>9</v>
      </c>
      <c r="AD186" s="540"/>
      <c r="AE186" s="188">
        <v>3</v>
      </c>
      <c r="AF186" s="188">
        <v>2693.708649503737</v>
      </c>
      <c r="AG186" s="185">
        <f t="shared" si="133"/>
        <v>897.90288316791236</v>
      </c>
      <c r="AH186" s="182">
        <f t="shared" si="134"/>
        <v>9</v>
      </c>
      <c r="AI186" s="540"/>
      <c r="AJ186" s="188">
        <v>3</v>
      </c>
      <c r="AK186" s="188">
        <v>2693.5611549885762</v>
      </c>
      <c r="AL186" s="185">
        <f t="shared" si="135"/>
        <v>897.85371832952535</v>
      </c>
      <c r="AM186" s="182">
        <f t="shared" si="136"/>
        <v>9</v>
      </c>
      <c r="AN186" s="540"/>
      <c r="AO186" s="188">
        <v>3</v>
      </c>
      <c r="AP186" s="188">
        <v>2693.6994391024846</v>
      </c>
      <c r="AQ186" s="185">
        <f t="shared" si="137"/>
        <v>897.89981303416153</v>
      </c>
      <c r="AR186" s="182">
        <f t="shared" si="138"/>
        <v>9</v>
      </c>
      <c r="AS186" s="540"/>
      <c r="AT186" s="188">
        <v>3</v>
      </c>
      <c r="AU186" s="188">
        <v>2693.8689319169798</v>
      </c>
      <c r="AV186" s="185">
        <f t="shared" si="139"/>
        <v>897.95631063899327</v>
      </c>
      <c r="AW186" s="182">
        <f t="shared" si="140"/>
        <v>9</v>
      </c>
      <c r="AX186" s="540"/>
    </row>
    <row r="187" spans="2:50" ht="14.25" customHeight="1">
      <c r="B187" s="530"/>
      <c r="C187" s="180">
        <v>29</v>
      </c>
      <c r="D187" s="183" t="s">
        <v>171</v>
      </c>
      <c r="E187" s="184">
        <v>12</v>
      </c>
      <c r="F187" s="180">
        <v>3600</v>
      </c>
      <c r="G187" s="185">
        <f t="shared" si="141"/>
        <v>300</v>
      </c>
      <c r="H187" s="558"/>
      <c r="I187" s="186">
        <f t="shared" si="128"/>
        <v>12</v>
      </c>
      <c r="J187" s="186">
        <f t="shared" si="128"/>
        <v>3124.7330231823698</v>
      </c>
      <c r="K187" s="187">
        <f t="shared" si="128"/>
        <v>260.39441859853076</v>
      </c>
      <c r="L187" s="559"/>
      <c r="M187" s="186">
        <f>RANK(K187, K$159:$K$191)</f>
        <v>30</v>
      </c>
      <c r="N187" s="578"/>
      <c r="O187" s="541"/>
      <c r="P187" s="188">
        <v>12</v>
      </c>
      <c r="Q187" s="188">
        <v>3126.0559517279203</v>
      </c>
      <c r="R187" s="185">
        <f t="shared" si="125"/>
        <v>260.50466264399336</v>
      </c>
      <c r="S187" s="182">
        <f t="shared" si="129"/>
        <v>28</v>
      </c>
      <c r="T187" s="540"/>
      <c r="U187" s="188">
        <v>12</v>
      </c>
      <c r="V187" s="188">
        <v>3125.2747252747308</v>
      </c>
      <c r="W187" s="185">
        <f t="shared" si="126"/>
        <v>260.43956043956092</v>
      </c>
      <c r="X187" s="182">
        <f t="shared" si="130"/>
        <v>29</v>
      </c>
      <c r="Y187" s="540"/>
      <c r="Z187" s="188">
        <v>12</v>
      </c>
      <c r="AA187" s="188">
        <v>3124.576271186439</v>
      </c>
      <c r="AB187" s="185">
        <f t="shared" si="131"/>
        <v>260.38135593220323</v>
      </c>
      <c r="AC187" s="182">
        <f t="shared" si="132"/>
        <v>29</v>
      </c>
      <c r="AD187" s="540"/>
      <c r="AE187" s="188">
        <v>12</v>
      </c>
      <c r="AF187" s="188">
        <v>3123.7958303378864</v>
      </c>
      <c r="AG187" s="185">
        <f t="shared" si="133"/>
        <v>260.31631919482385</v>
      </c>
      <c r="AH187" s="182">
        <f t="shared" si="134"/>
        <v>29</v>
      </c>
      <c r="AI187" s="540"/>
      <c r="AJ187" s="188">
        <v>12</v>
      </c>
      <c r="AK187" s="188">
        <v>3124.3243243243219</v>
      </c>
      <c r="AL187" s="185">
        <f t="shared" si="135"/>
        <v>260.36036036036018</v>
      </c>
      <c r="AM187" s="182">
        <f t="shared" si="136"/>
        <v>29</v>
      </c>
      <c r="AN187" s="540"/>
      <c r="AO187" s="188">
        <v>12</v>
      </c>
      <c r="AP187" s="188">
        <v>3124.2718446601907</v>
      </c>
      <c r="AQ187" s="185">
        <f t="shared" si="137"/>
        <v>260.35598705501587</v>
      </c>
      <c r="AR187" s="182">
        <f t="shared" si="138"/>
        <v>29</v>
      </c>
      <c r="AS187" s="540"/>
      <c r="AT187" s="188">
        <v>12</v>
      </c>
      <c r="AU187" s="188">
        <v>3124.8322147650983</v>
      </c>
      <c r="AV187" s="185">
        <f t="shared" si="139"/>
        <v>260.40268456375821</v>
      </c>
      <c r="AW187" s="182">
        <f t="shared" si="140"/>
        <v>30</v>
      </c>
      <c r="AX187" s="540"/>
    </row>
    <row r="188" spans="2:50" ht="14.25" customHeight="1">
      <c r="B188" s="530"/>
      <c r="C188" s="180">
        <v>30</v>
      </c>
      <c r="D188" s="183" t="s">
        <v>177</v>
      </c>
      <c r="E188" s="184">
        <v>4</v>
      </c>
      <c r="F188" s="180">
        <v>3000</v>
      </c>
      <c r="G188" s="185">
        <f t="shared" si="141"/>
        <v>750</v>
      </c>
      <c r="H188" s="558"/>
      <c r="I188" s="186">
        <f t="shared" si="128"/>
        <v>4</v>
      </c>
      <c r="J188" s="186">
        <f t="shared" si="128"/>
        <v>2434.9631214824349</v>
      </c>
      <c r="K188" s="187">
        <f t="shared" si="128"/>
        <v>608.74078037060872</v>
      </c>
      <c r="L188" s="559"/>
      <c r="M188" s="186">
        <f>RANK(K188, K$159:$K$191)</f>
        <v>24</v>
      </c>
      <c r="N188" s="578"/>
      <c r="O188" s="541"/>
      <c r="P188" s="188"/>
      <c r="Q188" s="188"/>
      <c r="R188" s="185"/>
      <c r="S188" s="182"/>
      <c r="T188" s="540"/>
      <c r="U188" s="188"/>
      <c r="V188" s="188"/>
      <c r="W188" s="185"/>
      <c r="X188" s="182"/>
      <c r="Y188" s="540"/>
      <c r="Z188" s="188"/>
      <c r="AA188" s="188"/>
      <c r="AB188" s="185"/>
      <c r="AC188" s="182"/>
      <c r="AD188" s="540"/>
      <c r="AE188" s="188"/>
      <c r="AF188" s="188"/>
      <c r="AG188" s="185"/>
      <c r="AH188" s="182"/>
      <c r="AI188" s="540"/>
      <c r="AJ188" s="188"/>
      <c r="AK188" s="188"/>
      <c r="AL188" s="185"/>
      <c r="AM188" s="182"/>
      <c r="AN188" s="540"/>
      <c r="AO188" s="188"/>
      <c r="AP188" s="188"/>
      <c r="AQ188" s="185"/>
      <c r="AR188" s="182"/>
      <c r="AS188" s="540"/>
      <c r="AT188" s="188">
        <v>4</v>
      </c>
      <c r="AU188" s="188">
        <v>2434.9631214824349</v>
      </c>
      <c r="AV188" s="185">
        <f t="shared" si="139"/>
        <v>608.74078037060872</v>
      </c>
      <c r="AW188" s="182">
        <f t="shared" si="140"/>
        <v>24</v>
      </c>
      <c r="AX188" s="540"/>
    </row>
    <row r="189" spans="2:50" ht="14.25" customHeight="1">
      <c r="B189" s="530"/>
      <c r="C189" s="180">
        <v>31</v>
      </c>
      <c r="D189" s="183"/>
      <c r="E189" s="180"/>
      <c r="F189" s="180"/>
      <c r="G189" s="185"/>
      <c r="H189" s="558"/>
      <c r="I189" s="186"/>
      <c r="J189" s="186"/>
      <c r="K189" s="187"/>
      <c r="L189" s="559"/>
      <c r="M189" s="186"/>
      <c r="N189" s="578"/>
      <c r="O189" s="541"/>
      <c r="P189" s="188"/>
      <c r="Q189" s="188"/>
      <c r="R189" s="185"/>
      <c r="S189" s="182"/>
      <c r="T189" s="540"/>
      <c r="U189" s="188"/>
      <c r="V189" s="188"/>
      <c r="W189" s="185"/>
      <c r="X189" s="182"/>
      <c r="Y189" s="540"/>
      <c r="Z189" s="188"/>
      <c r="AA189" s="188"/>
      <c r="AB189" s="185"/>
      <c r="AC189" s="182"/>
      <c r="AD189" s="540"/>
      <c r="AE189" s="188"/>
      <c r="AF189" s="188"/>
      <c r="AG189" s="185"/>
      <c r="AH189" s="182"/>
      <c r="AI189" s="540"/>
      <c r="AJ189" s="188"/>
      <c r="AK189" s="188"/>
      <c r="AL189" s="185"/>
      <c r="AM189" s="182"/>
      <c r="AN189" s="540"/>
      <c r="AO189" s="188"/>
      <c r="AP189" s="188"/>
      <c r="AQ189" s="185"/>
      <c r="AR189" s="182"/>
      <c r="AS189" s="540"/>
      <c r="AT189" s="188"/>
      <c r="AU189" s="188"/>
      <c r="AV189" s="185"/>
      <c r="AW189" s="182"/>
      <c r="AX189" s="540"/>
    </row>
    <row r="190" spans="2:50" ht="14.25" customHeight="1">
      <c r="B190" s="530"/>
      <c r="C190" s="180">
        <v>32</v>
      </c>
      <c r="D190" s="183"/>
      <c r="E190" s="180"/>
      <c r="F190" s="180"/>
      <c r="G190" s="185"/>
      <c r="H190" s="558"/>
      <c r="I190" s="186"/>
      <c r="J190" s="186"/>
      <c r="K190" s="187"/>
      <c r="L190" s="559"/>
      <c r="M190" s="186"/>
      <c r="N190" s="578"/>
      <c r="O190" s="541"/>
      <c r="P190" s="188"/>
      <c r="Q190" s="188"/>
      <c r="R190" s="185"/>
      <c r="S190" s="182"/>
      <c r="T190" s="540"/>
      <c r="U190" s="188"/>
      <c r="V190" s="188"/>
      <c r="W190" s="185"/>
      <c r="X190" s="182"/>
      <c r="Y190" s="540"/>
      <c r="Z190" s="188"/>
      <c r="AA190" s="188"/>
      <c r="AB190" s="185"/>
      <c r="AC190" s="182"/>
      <c r="AD190" s="540"/>
      <c r="AE190" s="188"/>
      <c r="AF190" s="188"/>
      <c r="AG190" s="185"/>
      <c r="AH190" s="182"/>
      <c r="AI190" s="540"/>
      <c r="AJ190" s="188"/>
      <c r="AK190" s="188"/>
      <c r="AL190" s="185"/>
      <c r="AM190" s="182"/>
      <c r="AN190" s="540"/>
      <c r="AO190" s="188"/>
      <c r="AP190" s="188"/>
      <c r="AQ190" s="185"/>
      <c r="AR190" s="182"/>
      <c r="AS190" s="540"/>
      <c r="AT190" s="188"/>
      <c r="AU190" s="188"/>
      <c r="AV190" s="185"/>
      <c r="AW190" s="182"/>
      <c r="AX190" s="540"/>
    </row>
    <row r="191" spans="2:50" ht="14.25" customHeight="1">
      <c r="B191" s="530"/>
      <c r="C191" s="180">
        <v>33</v>
      </c>
      <c r="D191" s="183"/>
      <c r="E191" s="180"/>
      <c r="F191" s="180"/>
      <c r="G191" s="185"/>
      <c r="H191" s="558"/>
      <c r="I191" s="186"/>
      <c r="J191" s="186"/>
      <c r="K191" s="187"/>
      <c r="L191" s="559"/>
      <c r="M191" s="186"/>
      <c r="N191" s="578"/>
      <c r="O191" s="541"/>
      <c r="P191" s="188"/>
      <c r="Q191" s="188"/>
      <c r="R191" s="185"/>
      <c r="S191" s="182"/>
      <c r="T191" s="540"/>
      <c r="U191" s="188"/>
      <c r="V191" s="188"/>
      <c r="W191" s="185"/>
      <c r="X191" s="182"/>
      <c r="Y191" s="540"/>
      <c r="Z191" s="188"/>
      <c r="AA191" s="188"/>
      <c r="AB191" s="185"/>
      <c r="AC191" s="182"/>
      <c r="AD191" s="540"/>
      <c r="AE191" s="188"/>
      <c r="AF191" s="188"/>
      <c r="AG191" s="185"/>
      <c r="AH191" s="182"/>
      <c r="AI191" s="540"/>
      <c r="AJ191" s="188"/>
      <c r="AK191" s="188"/>
      <c r="AL191" s="185"/>
      <c r="AM191" s="182"/>
      <c r="AN191" s="540"/>
      <c r="AO191" s="188"/>
      <c r="AP191" s="188"/>
      <c r="AQ191" s="185"/>
      <c r="AR191" s="182"/>
      <c r="AS191" s="540"/>
      <c r="AT191" s="188"/>
      <c r="AU191" s="188"/>
      <c r="AV191" s="185"/>
      <c r="AW191" s="182"/>
      <c r="AX191" s="540"/>
    </row>
  </sheetData>
  <mergeCells count="295"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N156:N191"/>
    <mergeCell ref="O156:O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AX159:AX191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AD121:AD153"/>
    <mergeCell ref="AI121:AI153"/>
    <mergeCell ref="AN121:AN153"/>
    <mergeCell ref="AS121:AS153"/>
    <mergeCell ref="AJ118:AM118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01"/>
  <sheetViews>
    <sheetView zoomScaleNormal="100" workbookViewId="0">
      <pane xSplit="13" ySplit="1" topLeftCell="N74" activePane="bottomRight" state="frozen"/>
      <selection pane="bottomRight" activeCell="L103" sqref="L103"/>
      <selection pane="bottomLeft" activeCell="E31" sqref="E31"/>
      <selection pane="topRight" activeCell="E31" sqref="E31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.6">
      <c r="A1" s="74"/>
      <c r="B1" s="372" t="s">
        <v>178</v>
      </c>
      <c r="C1" s="175">
        <f>AVERAGE(L27,L47,L67,L87)</f>
        <v>304.46478382945497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v>46053</v>
      </c>
      <c r="AK2" s="589"/>
      <c r="AL2" s="589"/>
      <c r="AM2" s="589"/>
      <c r="AN2" s="590"/>
      <c r="AO2" s="598">
        <f t="shared" ref="AO2" si="2">AJ2+1</f>
        <v>46054</v>
      </c>
      <c r="AP2" s="599"/>
      <c r="AQ2" s="599"/>
      <c r="AR2" s="599"/>
      <c r="AS2" s="599"/>
      <c r="AT2" s="588">
        <f t="shared" ref="AT2" si="3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4">Z2</f>
        <v>46051</v>
      </c>
      <c r="AA3" s="591"/>
      <c r="AB3" s="591"/>
      <c r="AC3" s="591"/>
      <c r="AD3" s="591"/>
      <c r="AE3" s="592">
        <f t="shared" ref="AE3" si="5">AE2</f>
        <v>46052</v>
      </c>
      <c r="AF3" s="592"/>
      <c r="AG3" s="592"/>
      <c r="AH3" s="592"/>
      <c r="AI3" s="592"/>
      <c r="AJ3" s="593"/>
      <c r="AK3" s="594"/>
      <c r="AL3" s="594"/>
      <c r="AM3" s="594"/>
      <c r="AN3" s="595"/>
      <c r="AO3" s="592">
        <f t="shared" ref="AO3" si="6">AO2</f>
        <v>46054</v>
      </c>
      <c r="AP3" s="592"/>
      <c r="AQ3" s="592"/>
      <c r="AR3" s="592"/>
      <c r="AS3" s="592"/>
      <c r="AT3" s="593">
        <f t="shared" ref="AT3" si="7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 t="s">
        <v>137</v>
      </c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530" t="s">
        <v>179</v>
      </c>
      <c r="C7" s="180">
        <v>1</v>
      </c>
      <c r="D7" s="183" t="s">
        <v>180</v>
      </c>
      <c r="E7" s="180">
        <v>12</v>
      </c>
      <c r="F7" s="180">
        <v>3600</v>
      </c>
      <c r="G7" s="185">
        <f t="shared" ref="G7:G15" si="8">F7/E7</f>
        <v>300</v>
      </c>
      <c r="H7" s="558">
        <f>AVERAGE(G7:G21)</f>
        <v>348.65319865319867</v>
      </c>
      <c r="I7" s="186">
        <f>AVERAGE(P7,U7,Z7,AE7,AJ7,AO7,AT7)</f>
        <v>12</v>
      </c>
      <c r="J7" s="186">
        <f>AVERAGE(Q7,V7,AA7,AF7,AK7,AP7,AU7)</f>
        <v>3135.5174846663926</v>
      </c>
      <c r="K7" s="187">
        <f>AVERAGE(R7,W7,AB7,AG7,AL7,AQ7,AV7)</f>
        <v>261.29312372219943</v>
      </c>
      <c r="L7" s="559">
        <f>IFERROR(AVERAGE(K7:K21),"-")</f>
        <v>307.88508023534337</v>
      </c>
      <c r="M7" s="186">
        <f>RANK(K7, K$7:$K$21)</f>
        <v>6</v>
      </c>
      <c r="N7" s="530"/>
      <c r="O7" s="530"/>
      <c r="P7" s="188">
        <v>12</v>
      </c>
      <c r="Q7" s="188">
        <v>3131.7073170731696</v>
      </c>
      <c r="R7" s="185">
        <f>IFERROR(Q7/P7,"")</f>
        <v>260.97560975609747</v>
      </c>
      <c r="S7" s="182">
        <f>RANK(R7, R$7:R$21)</f>
        <v>8</v>
      </c>
      <c r="T7" s="558">
        <f>AVERAGE(R7:R21)</f>
        <v>307.65252101063265</v>
      </c>
      <c r="U7" s="188">
        <v>12</v>
      </c>
      <c r="V7" s="188">
        <v>3131.1120726958047</v>
      </c>
      <c r="W7" s="185">
        <f t="shared" ref="W7:W15" si="9">IFERROR(V7/U7,"")</f>
        <v>260.92600605798373</v>
      </c>
      <c r="X7" s="182">
        <f>RANK(W7, W$7:W$21)</f>
        <v>8</v>
      </c>
      <c r="Y7" s="558">
        <f>AVERAGE(W7:W21)</f>
        <v>307.65573118804838</v>
      </c>
      <c r="Z7" s="188">
        <v>12</v>
      </c>
      <c r="AA7" s="188">
        <v>3136.303484781653</v>
      </c>
      <c r="AB7" s="185">
        <f t="shared" ref="AB7:AB15" si="10">IFERROR(AA7/Z7,"")</f>
        <v>261.35862373180441</v>
      </c>
      <c r="AC7" s="182">
        <f>RANK(AB7, AB$7:AB$21)</f>
        <v>6</v>
      </c>
      <c r="AD7" s="558">
        <f>AVERAGE(AB7:AB21)</f>
        <v>307.76142372568279</v>
      </c>
      <c r="AE7" s="188">
        <v>12</v>
      </c>
      <c r="AF7" s="188">
        <v>3136.3636363636397</v>
      </c>
      <c r="AG7" s="185">
        <f>IFERROR(AF7/AE7,"")</f>
        <v>261.36363636363666</v>
      </c>
      <c r="AH7" s="182">
        <f>RANK(AG7, AG$7:AG$21)</f>
        <v>7</v>
      </c>
      <c r="AI7" s="558">
        <f>AVERAGE(AG7:AG21)</f>
        <v>307.9378703271409</v>
      </c>
      <c r="AJ7" s="188">
        <v>12</v>
      </c>
      <c r="AK7" s="188">
        <v>3137.1428571428523</v>
      </c>
      <c r="AL7" s="185">
        <f t="shared" ref="AL7:AL15" si="11">IFERROR(AK7/AJ7,"")</f>
        <v>261.42857142857105</v>
      </c>
      <c r="AM7" s="182">
        <f>RANK(AL7, AL$7:AL$21)</f>
        <v>6</v>
      </c>
      <c r="AN7" s="558">
        <f>AVERAGE(AL7:AL21)</f>
        <v>308.02436037642167</v>
      </c>
      <c r="AO7" s="188">
        <v>12</v>
      </c>
      <c r="AP7" s="188">
        <v>3137.5314861460915</v>
      </c>
      <c r="AQ7" s="185">
        <f t="shared" ref="AQ7:AQ15" si="12">IFERROR(AP7/AO7,"")</f>
        <v>261.46095717884094</v>
      </c>
      <c r="AR7" s="182">
        <f>RANK(AQ7, AQ$7:AQ$21)</f>
        <v>6</v>
      </c>
      <c r="AS7" s="558">
        <f>AVERAGE(AQ7:AQ21)</f>
        <v>308.04047313372416</v>
      </c>
      <c r="AT7" s="188">
        <v>12</v>
      </c>
      <c r="AU7" s="188">
        <v>3138.4615384615404</v>
      </c>
      <c r="AV7" s="185">
        <f t="shared" ref="AV7:AV15" si="13">IFERROR(AU7/AT7,"")</f>
        <v>261.53846153846172</v>
      </c>
      <c r="AW7" s="182">
        <f>RANK(AV7, AV$7:AV$21)</f>
        <v>6</v>
      </c>
      <c r="AX7" s="558">
        <f>AVERAGE(AV7:AV21)</f>
        <v>308.12318188575296</v>
      </c>
    </row>
    <row r="8" spans="1:50" ht="14.25" customHeight="1">
      <c r="B8" s="530"/>
      <c r="C8" s="180">
        <v>2</v>
      </c>
      <c r="D8" s="183" t="s">
        <v>181</v>
      </c>
      <c r="E8" s="180">
        <v>12</v>
      </c>
      <c r="F8" s="180">
        <v>3600</v>
      </c>
      <c r="G8" s="185">
        <f t="shared" si="8"/>
        <v>300</v>
      </c>
      <c r="H8" s="558"/>
      <c r="I8" s="186">
        <f t="shared" ref="I8:I15" si="14">AVERAGE(P8,U8,Z8,AE8,AJ8,AO8,AT8)</f>
        <v>12</v>
      </c>
      <c r="J8" s="186">
        <f t="shared" ref="J8:J15" si="15">AVERAGE(Q8,V8,AA8,AF8,AK8,AP8,AU8)</f>
        <v>3134.8143445815936</v>
      </c>
      <c r="K8" s="187">
        <f t="shared" ref="K8:K15" si="16">AVERAGE(R8,W8,AB8,AG8,AL8,AQ8,AV8)</f>
        <v>261.2345287151328</v>
      </c>
      <c r="L8" s="559"/>
      <c r="M8" s="186">
        <f>RANK(K8, K$7:$K$21)</f>
        <v>9</v>
      </c>
      <c r="N8" s="530"/>
      <c r="O8" s="530"/>
      <c r="P8" s="188">
        <v>12</v>
      </c>
      <c r="Q8" s="188">
        <v>3130.5865244789152</v>
      </c>
      <c r="R8" s="185">
        <f t="shared" ref="R8:R15" si="17">IFERROR(Q8/P8,"")</f>
        <v>260.88221037324291</v>
      </c>
      <c r="S8" s="182">
        <f t="shared" ref="S8:S15" si="18">RANK(R8, R$7:R$21)</f>
        <v>9</v>
      </c>
      <c r="T8" s="558"/>
      <c r="U8" s="188">
        <v>12</v>
      </c>
      <c r="V8" s="188">
        <v>3130.9287646528428</v>
      </c>
      <c r="W8" s="185">
        <f t="shared" si="9"/>
        <v>260.91073038773692</v>
      </c>
      <c r="X8" s="182">
        <f t="shared" ref="X8:X15" si="19">RANK(W8, W$7:W$21)</f>
        <v>9</v>
      </c>
      <c r="Y8" s="558"/>
      <c r="Z8" s="188">
        <v>12</v>
      </c>
      <c r="AA8" s="188">
        <v>3134.9442379182192</v>
      </c>
      <c r="AB8" s="185">
        <f t="shared" si="10"/>
        <v>261.24535315985162</v>
      </c>
      <c r="AC8" s="182">
        <f t="shared" ref="AC8:AC15" si="20">RANK(AB8, AB$7:AB$21)</f>
        <v>8</v>
      </c>
      <c r="AD8" s="558"/>
      <c r="AE8" s="188">
        <v>12</v>
      </c>
      <c r="AF8" s="188">
        <v>3136.3994743758221</v>
      </c>
      <c r="AG8" s="185">
        <f t="shared" ref="AG8:AG15" si="21">IFERROR(AF8/AE8,"")</f>
        <v>261.36662286465184</v>
      </c>
      <c r="AH8" s="182">
        <f t="shared" ref="AH8:AH15" si="22">RANK(AG8, AG$7:AG$21)</f>
        <v>6</v>
      </c>
      <c r="AI8" s="558"/>
      <c r="AJ8" s="188">
        <v>12</v>
      </c>
      <c r="AK8" s="188">
        <v>3136.608996539795</v>
      </c>
      <c r="AL8" s="185">
        <f t="shared" si="11"/>
        <v>261.3840830449829</v>
      </c>
      <c r="AM8" s="182">
        <f t="shared" ref="AM8:AM15" si="23">RANK(AL8, AL$7:AL$21)</f>
        <v>7</v>
      </c>
      <c r="AN8" s="558"/>
      <c r="AO8" s="188">
        <v>12</v>
      </c>
      <c r="AP8" s="188">
        <v>3136.555360281196</v>
      </c>
      <c r="AQ8" s="185">
        <f t="shared" si="12"/>
        <v>261.37961335676636</v>
      </c>
      <c r="AR8" s="182">
        <f t="shared" ref="AR8:AR15" si="24">RANK(AQ8, AQ$7:AQ$21)</f>
        <v>7</v>
      </c>
      <c r="AS8" s="558"/>
      <c r="AT8" s="188">
        <v>12</v>
      </c>
      <c r="AU8" s="188">
        <v>3137.6770538243622</v>
      </c>
      <c r="AV8" s="185">
        <f t="shared" si="13"/>
        <v>261.47308781869685</v>
      </c>
      <c r="AW8" s="182">
        <f t="shared" ref="AW8:AW15" si="25">RANK(AV8, AV$7:AV$21)</f>
        <v>7</v>
      </c>
      <c r="AX8" s="558"/>
    </row>
    <row r="9" spans="1:50" ht="14.25" customHeight="1">
      <c r="B9" s="530"/>
      <c r="C9" s="180">
        <v>3</v>
      </c>
      <c r="D9" s="183" t="s">
        <v>182</v>
      </c>
      <c r="E9" s="180">
        <v>11</v>
      </c>
      <c r="F9" s="180">
        <v>3600</v>
      </c>
      <c r="G9" s="185">
        <f t="shared" si="8"/>
        <v>327.27272727272725</v>
      </c>
      <c r="H9" s="558"/>
      <c r="I9" s="186">
        <f t="shared" si="14"/>
        <v>11</v>
      </c>
      <c r="J9" s="186">
        <f t="shared" si="15"/>
        <v>3171.00351288926</v>
      </c>
      <c r="K9" s="187">
        <f t="shared" si="16"/>
        <v>288.27304662629638</v>
      </c>
      <c r="L9" s="559"/>
      <c r="M9" s="186">
        <f>RANK(K9, K$7:$K$21)</f>
        <v>4</v>
      </c>
      <c r="N9" s="530"/>
      <c r="O9" s="530"/>
      <c r="P9" s="188">
        <v>11</v>
      </c>
      <c r="Q9" s="188">
        <v>3167.9999999999964</v>
      </c>
      <c r="R9" s="185">
        <f t="shared" si="17"/>
        <v>287.99999999999966</v>
      </c>
      <c r="S9" s="182">
        <f t="shared" si="18"/>
        <v>4</v>
      </c>
      <c r="T9" s="558"/>
      <c r="U9" s="188">
        <v>11</v>
      </c>
      <c r="V9" s="188">
        <v>3168.595041322315</v>
      </c>
      <c r="W9" s="185">
        <f t="shared" si="9"/>
        <v>288.05409466566499</v>
      </c>
      <c r="X9" s="182">
        <f t="shared" si="19"/>
        <v>4</v>
      </c>
      <c r="Y9" s="558"/>
      <c r="Z9" s="188">
        <v>11</v>
      </c>
      <c r="AA9" s="188">
        <v>3169.8817672682012</v>
      </c>
      <c r="AB9" s="185">
        <f t="shared" si="10"/>
        <v>288.17106975165467</v>
      </c>
      <c r="AC9" s="182">
        <f t="shared" si="20"/>
        <v>5</v>
      </c>
      <c r="AD9" s="558"/>
      <c r="AE9" s="188">
        <v>11</v>
      </c>
      <c r="AF9" s="188">
        <v>3170.9387755102134</v>
      </c>
      <c r="AG9" s="185">
        <f t="shared" si="21"/>
        <v>288.26716141001941</v>
      </c>
      <c r="AH9" s="182">
        <f t="shared" si="22"/>
        <v>4</v>
      </c>
      <c r="AI9" s="558"/>
      <c r="AJ9" s="188">
        <v>11</v>
      </c>
      <c r="AK9" s="188">
        <v>3172.616984402076</v>
      </c>
      <c r="AL9" s="185">
        <f t="shared" si="11"/>
        <v>288.41972585473417</v>
      </c>
      <c r="AM9" s="182">
        <f t="shared" si="23"/>
        <v>4</v>
      </c>
      <c r="AN9" s="558"/>
      <c r="AO9" s="188">
        <v>11</v>
      </c>
      <c r="AP9" s="188">
        <v>3173.7397420867592</v>
      </c>
      <c r="AQ9" s="185">
        <f t="shared" si="12"/>
        <v>288.52179473515992</v>
      </c>
      <c r="AR9" s="182">
        <f t="shared" si="24"/>
        <v>4</v>
      </c>
      <c r="AS9" s="558"/>
      <c r="AT9" s="188">
        <v>11</v>
      </c>
      <c r="AU9" s="188">
        <v>3173.2522796352587</v>
      </c>
      <c r="AV9" s="185">
        <f t="shared" si="13"/>
        <v>288.47747996684171</v>
      </c>
      <c r="AW9" s="182">
        <f t="shared" si="25"/>
        <v>4</v>
      </c>
      <c r="AX9" s="558"/>
    </row>
    <row r="10" spans="1:50" ht="14.25" customHeight="1">
      <c r="B10" s="530"/>
      <c r="C10" s="180">
        <v>4</v>
      </c>
      <c r="D10" s="183" t="s">
        <v>183</v>
      </c>
      <c r="E10" s="180">
        <v>6</v>
      </c>
      <c r="F10" s="180">
        <v>2600</v>
      </c>
      <c r="G10" s="185">
        <f t="shared" si="8"/>
        <v>433.33333333333331</v>
      </c>
      <c r="H10" s="558"/>
      <c r="I10" s="186">
        <f t="shared" si="14"/>
        <v>6</v>
      </c>
      <c r="J10" s="186">
        <f t="shared" si="15"/>
        <v>2319.6039674427343</v>
      </c>
      <c r="K10" s="187">
        <f t="shared" si="16"/>
        <v>386.60066124045579</v>
      </c>
      <c r="L10" s="559"/>
      <c r="M10" s="186">
        <f>RANK(K10, K$7:$K$21)</f>
        <v>1</v>
      </c>
      <c r="N10" s="530"/>
      <c r="O10" s="530"/>
      <c r="P10" s="188">
        <v>6</v>
      </c>
      <c r="Q10" s="188">
        <v>2318.7577639751612</v>
      </c>
      <c r="R10" s="185">
        <f t="shared" si="17"/>
        <v>386.45962732919355</v>
      </c>
      <c r="S10" s="182">
        <f t="shared" si="18"/>
        <v>1</v>
      </c>
      <c r="T10" s="558"/>
      <c r="U10" s="188">
        <v>6</v>
      </c>
      <c r="V10" s="188">
        <v>2318.136439267882</v>
      </c>
      <c r="W10" s="185">
        <f t="shared" si="9"/>
        <v>386.35607321131369</v>
      </c>
      <c r="X10" s="182">
        <f t="shared" si="19"/>
        <v>2</v>
      </c>
      <c r="Y10" s="558"/>
      <c r="Z10" s="188">
        <v>6</v>
      </c>
      <c r="AA10" s="188">
        <v>2318.7864644107335</v>
      </c>
      <c r="AB10" s="185">
        <f t="shared" si="10"/>
        <v>386.46441073512227</v>
      </c>
      <c r="AC10" s="182">
        <f t="shared" si="20"/>
        <v>1</v>
      </c>
      <c r="AD10" s="558"/>
      <c r="AE10" s="188">
        <v>6</v>
      </c>
      <c r="AF10" s="188">
        <v>2319.9324324324298</v>
      </c>
      <c r="AG10" s="185">
        <f t="shared" si="21"/>
        <v>386.65540540540496</v>
      </c>
      <c r="AH10" s="182">
        <f t="shared" si="22"/>
        <v>1</v>
      </c>
      <c r="AI10" s="558"/>
      <c r="AJ10" s="188">
        <v>6</v>
      </c>
      <c r="AK10" s="188">
        <v>2319.5710455764133</v>
      </c>
      <c r="AL10" s="185">
        <f t="shared" si="11"/>
        <v>386.59517426273555</v>
      </c>
      <c r="AM10" s="182">
        <f t="shared" si="23"/>
        <v>2</v>
      </c>
      <c r="AN10" s="558"/>
      <c r="AO10" s="188">
        <v>6</v>
      </c>
      <c r="AP10" s="188">
        <v>2320.3205495134498</v>
      </c>
      <c r="AQ10" s="185">
        <f t="shared" si="12"/>
        <v>386.72009158557495</v>
      </c>
      <c r="AR10" s="182">
        <f t="shared" si="24"/>
        <v>1</v>
      </c>
      <c r="AS10" s="558"/>
      <c r="AT10" s="188">
        <v>6</v>
      </c>
      <c r="AU10" s="188">
        <v>2321.7230769230723</v>
      </c>
      <c r="AV10" s="185">
        <f t="shared" si="13"/>
        <v>386.9538461538454</v>
      </c>
      <c r="AW10" s="182">
        <f t="shared" si="25"/>
        <v>1</v>
      </c>
      <c r="AX10" s="558"/>
    </row>
    <row r="11" spans="1:50" ht="14.25" customHeight="1">
      <c r="B11" s="530"/>
      <c r="C11" s="180">
        <v>5</v>
      </c>
      <c r="D11" s="183" t="s">
        <v>184</v>
      </c>
      <c r="E11" s="180">
        <v>6</v>
      </c>
      <c r="F11" s="180">
        <v>2500</v>
      </c>
      <c r="G11" s="185">
        <f t="shared" si="8"/>
        <v>416.66666666666669</v>
      </c>
      <c r="H11" s="558"/>
      <c r="I11" s="186">
        <f t="shared" si="14"/>
        <v>6</v>
      </c>
      <c r="J11" s="186">
        <f t="shared" si="15"/>
        <v>2258.3818479964661</v>
      </c>
      <c r="K11" s="187">
        <f t="shared" si="16"/>
        <v>376.39697466607765</v>
      </c>
      <c r="L11" s="559"/>
      <c r="M11" s="186">
        <f>RANK(K11, K$7:$K$21)</f>
        <v>3</v>
      </c>
      <c r="N11" s="530"/>
      <c r="O11" s="530"/>
      <c r="P11" s="188">
        <v>6</v>
      </c>
      <c r="Q11" s="188">
        <v>2255.6249999999964</v>
      </c>
      <c r="R11" s="185">
        <f t="shared" si="17"/>
        <v>375.93749999999937</v>
      </c>
      <c r="S11" s="182">
        <f t="shared" si="18"/>
        <v>3</v>
      </c>
      <c r="T11" s="558"/>
      <c r="U11" s="188">
        <v>6</v>
      </c>
      <c r="V11" s="188">
        <v>2254.2510121457321</v>
      </c>
      <c r="W11" s="185">
        <f t="shared" si="9"/>
        <v>375.70850202428869</v>
      </c>
      <c r="X11" s="182">
        <f t="shared" si="19"/>
        <v>3</v>
      </c>
      <c r="Y11" s="558"/>
      <c r="Z11" s="188">
        <v>6</v>
      </c>
      <c r="AA11" s="188">
        <v>2254.0540540540424</v>
      </c>
      <c r="AB11" s="185">
        <f t="shared" si="10"/>
        <v>375.67567567567374</v>
      </c>
      <c r="AC11" s="182">
        <f t="shared" si="20"/>
        <v>3</v>
      </c>
      <c r="AD11" s="558"/>
      <c r="AE11" s="188">
        <v>6</v>
      </c>
      <c r="AF11" s="188">
        <v>2259.7826086956625</v>
      </c>
      <c r="AG11" s="185">
        <f t="shared" si="21"/>
        <v>376.63043478261039</v>
      </c>
      <c r="AH11" s="182">
        <f t="shared" si="22"/>
        <v>3</v>
      </c>
      <c r="AI11" s="558"/>
      <c r="AJ11" s="188">
        <v>6</v>
      </c>
      <c r="AK11" s="188">
        <v>2261.8421052631852</v>
      </c>
      <c r="AL11" s="185">
        <f t="shared" si="11"/>
        <v>376.97368421053085</v>
      </c>
      <c r="AM11" s="182">
        <f t="shared" si="23"/>
        <v>3</v>
      </c>
      <c r="AN11" s="558"/>
      <c r="AO11" s="188">
        <v>6</v>
      </c>
      <c r="AP11" s="188">
        <v>2261.070911722144</v>
      </c>
      <c r="AQ11" s="185">
        <f t="shared" si="12"/>
        <v>376.84515195369067</v>
      </c>
      <c r="AR11" s="182">
        <f t="shared" si="24"/>
        <v>3</v>
      </c>
      <c r="AS11" s="558"/>
      <c r="AT11" s="188">
        <v>6</v>
      </c>
      <c r="AU11" s="188">
        <v>2262.0472440944991</v>
      </c>
      <c r="AV11" s="185">
        <f t="shared" si="13"/>
        <v>377.00787401574985</v>
      </c>
      <c r="AW11" s="182">
        <f t="shared" si="25"/>
        <v>3</v>
      </c>
      <c r="AX11" s="558"/>
    </row>
    <row r="12" spans="1:50" ht="14.25" customHeight="1">
      <c r="B12" s="530"/>
      <c r="C12" s="180">
        <v>6</v>
      </c>
      <c r="D12" s="183" t="s">
        <v>185</v>
      </c>
      <c r="E12" s="180">
        <v>6</v>
      </c>
      <c r="F12" s="180">
        <v>2600</v>
      </c>
      <c r="G12" s="185">
        <f t="shared" si="8"/>
        <v>433.33333333333331</v>
      </c>
      <c r="H12" s="558"/>
      <c r="I12" s="186">
        <f t="shared" si="14"/>
        <v>6</v>
      </c>
      <c r="J12" s="186">
        <f t="shared" si="15"/>
        <v>2319.2605995557547</v>
      </c>
      <c r="K12" s="187">
        <f t="shared" si="16"/>
        <v>386.5434332592925</v>
      </c>
      <c r="L12" s="559"/>
      <c r="M12" s="186">
        <f>RANK(K12, K$7:$K$21)</f>
        <v>2</v>
      </c>
      <c r="N12" s="530"/>
      <c r="O12" s="530"/>
      <c r="P12" s="188">
        <v>6</v>
      </c>
      <c r="Q12" s="188">
        <v>2317.9182156133816</v>
      </c>
      <c r="R12" s="185">
        <f t="shared" si="17"/>
        <v>386.31970260223028</v>
      </c>
      <c r="S12" s="182">
        <f t="shared" si="18"/>
        <v>2</v>
      </c>
      <c r="T12" s="558"/>
      <c r="U12" s="188">
        <v>6</v>
      </c>
      <c r="V12" s="188">
        <v>2318.8965517241409</v>
      </c>
      <c r="W12" s="185">
        <f t="shared" si="9"/>
        <v>386.48275862069016</v>
      </c>
      <c r="X12" s="182">
        <f t="shared" si="19"/>
        <v>1</v>
      </c>
      <c r="Y12" s="558"/>
      <c r="Z12" s="188">
        <v>6</v>
      </c>
      <c r="AA12" s="188">
        <v>2318.0232558139573</v>
      </c>
      <c r="AB12" s="185">
        <f t="shared" si="10"/>
        <v>386.33720930232624</v>
      </c>
      <c r="AC12" s="182">
        <f t="shared" si="20"/>
        <v>2</v>
      </c>
      <c r="AD12" s="558"/>
      <c r="AE12" s="188">
        <v>6</v>
      </c>
      <c r="AF12" s="188">
        <v>2318.7620889748614</v>
      </c>
      <c r="AG12" s="185">
        <f t="shared" si="21"/>
        <v>386.46034816247692</v>
      </c>
      <c r="AH12" s="182">
        <f t="shared" si="22"/>
        <v>2</v>
      </c>
      <c r="AI12" s="558"/>
      <c r="AJ12" s="188">
        <v>6</v>
      </c>
      <c r="AK12" s="188">
        <v>2319.8187995469975</v>
      </c>
      <c r="AL12" s="185">
        <f t="shared" si="11"/>
        <v>386.63646659116625</v>
      </c>
      <c r="AM12" s="182">
        <f t="shared" si="23"/>
        <v>1</v>
      </c>
      <c r="AN12" s="558"/>
      <c r="AO12" s="188">
        <v>6</v>
      </c>
      <c r="AP12" s="188">
        <v>2320.2826855123694</v>
      </c>
      <c r="AQ12" s="185">
        <f t="shared" si="12"/>
        <v>386.71378091872822</v>
      </c>
      <c r="AR12" s="182">
        <f t="shared" si="24"/>
        <v>2</v>
      </c>
      <c r="AS12" s="558"/>
      <c r="AT12" s="188">
        <v>6</v>
      </c>
      <c r="AU12" s="188">
        <v>2321.1225997045749</v>
      </c>
      <c r="AV12" s="185">
        <f t="shared" si="13"/>
        <v>386.85376661742913</v>
      </c>
      <c r="AW12" s="182">
        <f t="shared" si="25"/>
        <v>2</v>
      </c>
      <c r="AX12" s="558"/>
    </row>
    <row r="13" spans="1:50" ht="14.25" customHeight="1">
      <c r="B13" s="530"/>
      <c r="C13" s="180">
        <v>7</v>
      </c>
      <c r="D13" s="183" t="s">
        <v>186</v>
      </c>
      <c r="E13" s="180">
        <v>12</v>
      </c>
      <c r="F13" s="180">
        <v>3600</v>
      </c>
      <c r="G13" s="185">
        <f t="shared" si="8"/>
        <v>300</v>
      </c>
      <c r="H13" s="558"/>
      <c r="I13" s="186">
        <f t="shared" si="14"/>
        <v>12</v>
      </c>
      <c r="J13" s="186">
        <f t="shared" si="15"/>
        <v>3134.9190788818037</v>
      </c>
      <c r="K13" s="187">
        <f t="shared" si="16"/>
        <v>261.24325657348356</v>
      </c>
      <c r="L13" s="559"/>
      <c r="M13" s="186">
        <f>RANK(K13, K$7:$K$21)</f>
        <v>7</v>
      </c>
      <c r="N13" s="530"/>
      <c r="O13" s="530"/>
      <c r="P13" s="188">
        <v>12</v>
      </c>
      <c r="Q13" s="188">
        <v>3134.1991341991361</v>
      </c>
      <c r="R13" s="185">
        <f t="shared" si="17"/>
        <v>261.18326118326132</v>
      </c>
      <c r="S13" s="182">
        <f t="shared" si="18"/>
        <v>6</v>
      </c>
      <c r="T13" s="558"/>
      <c r="U13" s="188">
        <v>12</v>
      </c>
      <c r="V13" s="188">
        <v>3134.2363381597356</v>
      </c>
      <c r="W13" s="185">
        <f t="shared" si="9"/>
        <v>261.18636151331128</v>
      </c>
      <c r="X13" s="182">
        <f t="shared" si="19"/>
        <v>7</v>
      </c>
      <c r="Y13" s="558"/>
      <c r="Z13" s="188">
        <v>12</v>
      </c>
      <c r="AA13" s="188">
        <v>3134.0364333652974</v>
      </c>
      <c r="AB13" s="185">
        <f t="shared" si="10"/>
        <v>261.16970278044147</v>
      </c>
      <c r="AC13" s="182">
        <f t="shared" si="20"/>
        <v>9</v>
      </c>
      <c r="AD13" s="558"/>
      <c r="AE13" s="188">
        <v>12</v>
      </c>
      <c r="AF13" s="188">
        <v>3134.7075208913666</v>
      </c>
      <c r="AG13" s="185">
        <f t="shared" si="21"/>
        <v>261.22562674094723</v>
      </c>
      <c r="AH13" s="182">
        <f t="shared" si="22"/>
        <v>9</v>
      </c>
      <c r="AI13" s="558"/>
      <c r="AJ13" s="188">
        <v>12</v>
      </c>
      <c r="AK13" s="188">
        <v>3135.6213017751443</v>
      </c>
      <c r="AL13" s="185">
        <f t="shared" si="11"/>
        <v>261.30177514792871</v>
      </c>
      <c r="AM13" s="182">
        <f t="shared" si="23"/>
        <v>8</v>
      </c>
      <c r="AN13" s="558"/>
      <c r="AO13" s="188">
        <v>12</v>
      </c>
      <c r="AP13" s="188">
        <v>3135.7622243528335</v>
      </c>
      <c r="AQ13" s="185">
        <f t="shared" si="12"/>
        <v>261.31351869606948</v>
      </c>
      <c r="AR13" s="182">
        <f t="shared" si="24"/>
        <v>8</v>
      </c>
      <c r="AS13" s="558"/>
      <c r="AT13" s="188">
        <v>12</v>
      </c>
      <c r="AU13" s="188">
        <v>3135.8705994291067</v>
      </c>
      <c r="AV13" s="185">
        <f t="shared" si="13"/>
        <v>261.32254995242556</v>
      </c>
      <c r="AW13" s="182">
        <f t="shared" si="25"/>
        <v>8</v>
      </c>
      <c r="AX13" s="558"/>
    </row>
    <row r="14" spans="1:50" ht="14.25" customHeight="1">
      <c r="B14" s="530"/>
      <c r="C14" s="180">
        <v>8</v>
      </c>
      <c r="D14" s="183" t="s">
        <v>187</v>
      </c>
      <c r="E14" s="180">
        <v>12</v>
      </c>
      <c r="F14" s="180">
        <v>3600</v>
      </c>
      <c r="G14" s="185">
        <f t="shared" si="8"/>
        <v>300</v>
      </c>
      <c r="H14" s="558"/>
      <c r="I14" s="186">
        <f t="shared" si="14"/>
        <v>12</v>
      </c>
      <c r="J14" s="186">
        <f t="shared" si="15"/>
        <v>3134.8512845685168</v>
      </c>
      <c r="K14" s="187">
        <f t="shared" si="16"/>
        <v>261.23760704737634</v>
      </c>
      <c r="L14" s="559"/>
      <c r="M14" s="186">
        <f>RANK(K14, K$7:$K$21)</f>
        <v>8</v>
      </c>
      <c r="N14" s="530"/>
      <c r="O14" s="530"/>
      <c r="P14" s="188">
        <v>12</v>
      </c>
      <c r="Q14" s="188">
        <v>3133.8792221085027</v>
      </c>
      <c r="R14" s="185">
        <f t="shared" si="17"/>
        <v>261.15660184237521</v>
      </c>
      <c r="S14" s="182">
        <f t="shared" si="18"/>
        <v>7</v>
      </c>
      <c r="T14" s="558"/>
      <c r="U14" s="188">
        <v>12</v>
      </c>
      <c r="V14" s="188">
        <v>3134.8514851485211</v>
      </c>
      <c r="W14" s="185">
        <f t="shared" si="9"/>
        <v>261.23762376237676</v>
      </c>
      <c r="X14" s="182">
        <f t="shared" si="19"/>
        <v>6</v>
      </c>
      <c r="Y14" s="558"/>
      <c r="Z14" s="188">
        <v>12</v>
      </c>
      <c r="AA14" s="188">
        <v>3135.0839431769327</v>
      </c>
      <c r="AB14" s="185">
        <f t="shared" si="10"/>
        <v>261.25699526474438</v>
      </c>
      <c r="AC14" s="182">
        <f t="shared" si="20"/>
        <v>7</v>
      </c>
      <c r="AD14" s="558"/>
      <c r="AE14" s="188">
        <v>12</v>
      </c>
      <c r="AF14" s="188">
        <v>3135.1351351351327</v>
      </c>
      <c r="AG14" s="185">
        <f t="shared" si="21"/>
        <v>261.26126126126104</v>
      </c>
      <c r="AH14" s="182">
        <f t="shared" si="22"/>
        <v>8</v>
      </c>
      <c r="AI14" s="558"/>
      <c r="AJ14" s="188">
        <v>12</v>
      </c>
      <c r="AK14" s="188">
        <v>3134.8185868873338</v>
      </c>
      <c r="AL14" s="185">
        <f t="shared" si="11"/>
        <v>261.23488224061117</v>
      </c>
      <c r="AM14" s="182">
        <f t="shared" si="23"/>
        <v>9</v>
      </c>
      <c r="AN14" s="558"/>
      <c r="AO14" s="188">
        <v>12</v>
      </c>
      <c r="AP14" s="188">
        <v>3134.5305284761553</v>
      </c>
      <c r="AQ14" s="185">
        <f t="shared" si="12"/>
        <v>261.21087737301292</v>
      </c>
      <c r="AR14" s="182">
        <f t="shared" si="24"/>
        <v>9</v>
      </c>
      <c r="AS14" s="558"/>
      <c r="AT14" s="188">
        <v>12</v>
      </c>
      <c r="AU14" s="188">
        <v>3135.6600910470379</v>
      </c>
      <c r="AV14" s="185">
        <f t="shared" si="13"/>
        <v>261.30500758725316</v>
      </c>
      <c r="AW14" s="182">
        <f t="shared" si="25"/>
        <v>9</v>
      </c>
      <c r="AX14" s="558"/>
    </row>
    <row r="15" spans="1:50" ht="14.25" customHeight="1">
      <c r="B15" s="530"/>
      <c r="C15" s="180">
        <v>9</v>
      </c>
      <c r="D15" s="183" t="s">
        <v>188</v>
      </c>
      <c r="E15" s="180">
        <v>11</v>
      </c>
      <c r="F15" s="180">
        <v>3600</v>
      </c>
      <c r="G15" s="185">
        <f t="shared" si="8"/>
        <v>327.27272727272725</v>
      </c>
      <c r="H15" s="558"/>
      <c r="I15" s="186">
        <f t="shared" si="14"/>
        <v>11</v>
      </c>
      <c r="J15" s="186">
        <f t="shared" si="15"/>
        <v>3169.5739929455344</v>
      </c>
      <c r="K15" s="187">
        <f t="shared" si="16"/>
        <v>288.14309026777585</v>
      </c>
      <c r="L15" s="559"/>
      <c r="M15" s="186">
        <f>RANK(K15, K$7:$K$21)</f>
        <v>5</v>
      </c>
      <c r="N15" s="530"/>
      <c r="O15" s="530"/>
      <c r="P15" s="188">
        <v>11</v>
      </c>
      <c r="Q15" s="188">
        <v>3167.5399361022396</v>
      </c>
      <c r="R15" s="185">
        <f t="shared" si="17"/>
        <v>287.9581760092945</v>
      </c>
      <c r="S15" s="182">
        <f t="shared" si="18"/>
        <v>5</v>
      </c>
      <c r="T15" s="558"/>
      <c r="U15" s="188">
        <v>11</v>
      </c>
      <c r="V15" s="188">
        <v>3168.4337349397638</v>
      </c>
      <c r="W15" s="185">
        <f t="shared" si="9"/>
        <v>288.03943044906941</v>
      </c>
      <c r="X15" s="182">
        <f t="shared" si="19"/>
        <v>5</v>
      </c>
      <c r="Y15" s="558"/>
      <c r="Z15" s="188">
        <v>11</v>
      </c>
      <c r="AA15" s="188">
        <v>3169.9115044247892</v>
      </c>
      <c r="AB15" s="185">
        <f t="shared" si="10"/>
        <v>288.1737731295263</v>
      </c>
      <c r="AC15" s="182">
        <f t="shared" si="20"/>
        <v>4</v>
      </c>
      <c r="AD15" s="558"/>
      <c r="AE15" s="188">
        <v>11</v>
      </c>
      <c r="AF15" s="188">
        <v>3170.3136954858542</v>
      </c>
      <c r="AG15" s="185">
        <f t="shared" si="21"/>
        <v>288.21033595325946</v>
      </c>
      <c r="AH15" s="182">
        <f t="shared" si="22"/>
        <v>5</v>
      </c>
      <c r="AI15" s="558"/>
      <c r="AJ15" s="188">
        <v>11</v>
      </c>
      <c r="AK15" s="188">
        <v>3170.6936866718806</v>
      </c>
      <c r="AL15" s="185">
        <f t="shared" si="11"/>
        <v>288.24488060653459</v>
      </c>
      <c r="AM15" s="182">
        <f t="shared" si="23"/>
        <v>5</v>
      </c>
      <c r="AN15" s="558"/>
      <c r="AO15" s="188">
        <v>11</v>
      </c>
      <c r="AP15" s="188">
        <v>3170.1831964624107</v>
      </c>
      <c r="AQ15" s="185">
        <f t="shared" si="12"/>
        <v>288.19847240567373</v>
      </c>
      <c r="AR15" s="182">
        <f t="shared" si="24"/>
        <v>5</v>
      </c>
      <c r="AS15" s="558"/>
      <c r="AT15" s="188">
        <v>11</v>
      </c>
      <c r="AU15" s="188">
        <v>3169.9421965318043</v>
      </c>
      <c r="AV15" s="185">
        <f t="shared" si="13"/>
        <v>288.1765633210731</v>
      </c>
      <c r="AW15" s="182">
        <f t="shared" si="25"/>
        <v>5</v>
      </c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26">U22+1</f>
        <v>46058</v>
      </c>
      <c r="AA22" s="597"/>
      <c r="AB22" s="597"/>
      <c r="AC22" s="597"/>
      <c r="AD22" s="597"/>
      <c r="AE22" s="598">
        <f t="shared" ref="AE22" si="27">Z22+1</f>
        <v>46059</v>
      </c>
      <c r="AF22" s="599"/>
      <c r="AG22" s="599"/>
      <c r="AH22" s="599"/>
      <c r="AI22" s="599"/>
      <c r="AJ22" s="588">
        <f t="shared" ref="AJ22" si="28">AE22+1</f>
        <v>46060</v>
      </c>
      <c r="AK22" s="589"/>
      <c r="AL22" s="589"/>
      <c r="AM22" s="589"/>
      <c r="AN22" s="590"/>
      <c r="AO22" s="598">
        <f t="shared" ref="AO22" si="29">AJ22+1</f>
        <v>46061</v>
      </c>
      <c r="AP22" s="599"/>
      <c r="AQ22" s="599"/>
      <c r="AR22" s="599"/>
      <c r="AS22" s="599"/>
      <c r="AT22" s="588">
        <f t="shared" ref="AT22" si="30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31">Z22</f>
        <v>46058</v>
      </c>
      <c r="AA23" s="591"/>
      <c r="AB23" s="591"/>
      <c r="AC23" s="591"/>
      <c r="AD23" s="591"/>
      <c r="AE23" s="592">
        <f t="shared" ref="AE23" si="32">AE22</f>
        <v>46059</v>
      </c>
      <c r="AF23" s="592"/>
      <c r="AG23" s="592"/>
      <c r="AH23" s="592"/>
      <c r="AI23" s="592"/>
      <c r="AJ23" s="593">
        <f t="shared" ref="AJ23" si="33">AJ22</f>
        <v>46060</v>
      </c>
      <c r="AK23" s="594"/>
      <c r="AL23" s="594"/>
      <c r="AM23" s="594"/>
      <c r="AN23" s="595"/>
      <c r="AO23" s="592">
        <f t="shared" ref="AO23" si="34">AO22</f>
        <v>46061</v>
      </c>
      <c r="AP23" s="592"/>
      <c r="AQ23" s="592"/>
      <c r="AR23" s="592"/>
      <c r="AS23" s="592"/>
      <c r="AT23" s="593">
        <f t="shared" ref="AT23" si="35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530" t="s">
        <v>179</v>
      </c>
      <c r="C27" s="180">
        <v>1</v>
      </c>
      <c r="D27" s="183" t="s">
        <v>180</v>
      </c>
      <c r="E27" s="180">
        <v>12</v>
      </c>
      <c r="F27" s="180">
        <v>3600</v>
      </c>
      <c r="G27" s="185">
        <f t="shared" ref="G27:G35" si="36">F27/E27</f>
        <v>300</v>
      </c>
      <c r="H27" s="558">
        <f>AVERAGE(G27:G41)</f>
        <v>348.65319865319867</v>
      </c>
      <c r="I27" s="186">
        <f>AVERAGE(P27,U27,Z27,AE27,AJ27,AO27,AT27)</f>
        <v>12</v>
      </c>
      <c r="J27" s="186">
        <f>AVERAGE(Q27,V27,AA27,AF27,AK27,AP27,AU27)</f>
        <v>3139.3058684648645</v>
      </c>
      <c r="K27" s="187">
        <f>AVERAGE(R27,W27,AB27,AG27,AL27,AQ27,AV27)</f>
        <v>261.60882237207204</v>
      </c>
      <c r="L27" s="559">
        <f>IFERROR(AVERAGE(K27:K41),"-")</f>
        <v>308.28365798359187</v>
      </c>
      <c r="M27" s="186">
        <f>RANK(K27, K$27:$K$41)</f>
        <v>6</v>
      </c>
      <c r="N27" s="530"/>
      <c r="O27" s="530"/>
      <c r="P27" s="188">
        <v>12</v>
      </c>
      <c r="Q27" s="188">
        <v>3138.088829071321</v>
      </c>
      <c r="R27" s="185">
        <f>IFERROR(Q27/P27,"")</f>
        <v>261.50740242261008</v>
      </c>
      <c r="S27" s="182">
        <f>RANK(R27, R$27:R$41)</f>
        <v>6</v>
      </c>
      <c r="T27" s="558">
        <f>AVERAGE(R27:R41)</f>
        <v>308.16738452187735</v>
      </c>
      <c r="U27" s="188">
        <v>12</v>
      </c>
      <c r="V27" s="188">
        <v>3138.3820998278807</v>
      </c>
      <c r="W27" s="185">
        <f t="shared" ref="W27:W35" si="37">IFERROR(V27/U27,"")</f>
        <v>261.53184165232341</v>
      </c>
      <c r="X27" s="182">
        <f>RANK(W27, W$27:W$41)</f>
        <v>8</v>
      </c>
      <c r="Y27" s="558">
        <f>AVERAGE(W27:W41)</f>
        <v>308.22328165128886</v>
      </c>
      <c r="Z27" s="188">
        <v>12</v>
      </c>
      <c r="AA27" s="188">
        <v>3138.3015597920307</v>
      </c>
      <c r="AB27" s="185">
        <f t="shared" ref="AB27:AB35" si="38">IFERROR(AA27/Z27,"")</f>
        <v>261.52512998266923</v>
      </c>
      <c r="AC27" s="182">
        <f>RANK(AB27, AB$27:AB$41)</f>
        <v>9</v>
      </c>
      <c r="AD27" s="558">
        <f>AVERAGE(AB27:AB41)</f>
        <v>308.2389082876573</v>
      </c>
      <c r="AE27" s="188">
        <v>12</v>
      </c>
      <c r="AF27" s="188">
        <v>3139.5611285266491</v>
      </c>
      <c r="AG27" s="185">
        <f>IFERROR(AF27/AE27,"")</f>
        <v>261.63009404388742</v>
      </c>
      <c r="AH27" s="182">
        <f>RANK(AG27, AG$27:AG$41)</f>
        <v>7</v>
      </c>
      <c r="AI27" s="558">
        <f>AVERAGE(AG27:AG41)</f>
        <v>308.35510468329244</v>
      </c>
      <c r="AJ27" s="188">
        <v>12</v>
      </c>
      <c r="AK27" s="188">
        <v>3139.8135818908063</v>
      </c>
      <c r="AL27" s="185">
        <f t="shared" ref="AL27:AL35" si="39">IFERROR(AK27/AJ27,"")</f>
        <v>261.65113182423386</v>
      </c>
      <c r="AM27" s="182">
        <f>RANK(AL27, AL$27:AL$41)</f>
        <v>7</v>
      </c>
      <c r="AN27" s="558">
        <f>AVERAGE(AL27:AL41)</f>
        <v>308.34111552770031</v>
      </c>
      <c r="AO27" s="188">
        <v>12</v>
      </c>
      <c r="AP27" s="188">
        <v>3140.2337228714478</v>
      </c>
      <c r="AQ27" s="185">
        <f t="shared" ref="AQ27:AQ35" si="40">IFERROR(AP27/AO27,"")</f>
        <v>261.68614357262067</v>
      </c>
      <c r="AR27" s="182">
        <f>RANK(AQ27, AQ$27:AQ$41)</f>
        <v>7</v>
      </c>
      <c r="AS27" s="558">
        <f>AVERAGE(AQ27:AQ41)</f>
        <v>308.3343861542823</v>
      </c>
      <c r="AT27" s="188">
        <v>12</v>
      </c>
      <c r="AU27" s="188">
        <v>3140.7601572739145</v>
      </c>
      <c r="AV27" s="185">
        <f t="shared" ref="AV27:AV35" si="41">IFERROR(AU27/AT27,"")</f>
        <v>261.73001310615956</v>
      </c>
      <c r="AW27" s="182">
        <f>RANK(AV27, AV$27:AV$41)</f>
        <v>6</v>
      </c>
      <c r="AX27" s="558">
        <f>AVERAGE(AV27:AV41)</f>
        <v>308.32542505904496</v>
      </c>
    </row>
    <row r="28" spans="2:50" ht="14.25" customHeight="1">
      <c r="B28" s="530"/>
      <c r="C28" s="180">
        <v>2</v>
      </c>
      <c r="D28" s="183" t="s">
        <v>181</v>
      </c>
      <c r="E28" s="180">
        <v>12</v>
      </c>
      <c r="F28" s="180">
        <v>3600</v>
      </c>
      <c r="G28" s="185">
        <f t="shared" si="36"/>
        <v>300</v>
      </c>
      <c r="H28" s="558"/>
      <c r="I28" s="186">
        <f t="shared" ref="I28:K35" si="42">AVERAGE(P28,U28,Z28,AE28,AJ28,AO28,AT28)</f>
        <v>12</v>
      </c>
      <c r="J28" s="186">
        <f t="shared" si="42"/>
        <v>3138.614644804506</v>
      </c>
      <c r="K28" s="187">
        <f t="shared" si="42"/>
        <v>261.55122040037548</v>
      </c>
      <c r="L28" s="559"/>
      <c r="M28" s="186">
        <f>RANK(K28, K$27:$K$41)</f>
        <v>8</v>
      </c>
      <c r="N28" s="530"/>
      <c r="O28" s="530"/>
      <c r="P28" s="188">
        <v>12</v>
      </c>
      <c r="Q28" s="188">
        <v>3137.6303317535462</v>
      </c>
      <c r="R28" s="185">
        <f t="shared" ref="R28:R35" si="43">IFERROR(Q28/P28,"")</f>
        <v>261.46919431279554</v>
      </c>
      <c r="S28" s="182">
        <f t="shared" ref="S28:S35" si="44">RANK(R28, R$27:R$41)</f>
        <v>7</v>
      </c>
      <c r="T28" s="558"/>
      <c r="U28" s="188">
        <v>12</v>
      </c>
      <c r="V28" s="188">
        <v>3138.5826771653578</v>
      </c>
      <c r="W28" s="185">
        <f t="shared" si="37"/>
        <v>261.54855643044647</v>
      </c>
      <c r="X28" s="182">
        <f t="shared" ref="X28:X35" si="45">RANK(W28, W$27:W$41)</f>
        <v>7</v>
      </c>
      <c r="Y28" s="558"/>
      <c r="Z28" s="188">
        <v>12</v>
      </c>
      <c r="AA28" s="188">
        <v>3138.7096774193565</v>
      </c>
      <c r="AB28" s="185">
        <f t="shared" si="38"/>
        <v>261.55913978494635</v>
      </c>
      <c r="AC28" s="182">
        <f t="shared" ref="AC28:AC35" si="46">RANK(AB28, AB$27:AB$41)</f>
        <v>7</v>
      </c>
      <c r="AD28" s="558"/>
      <c r="AE28" s="188">
        <v>12</v>
      </c>
      <c r="AF28" s="188">
        <v>3138.0952380952353</v>
      </c>
      <c r="AG28" s="185">
        <f t="shared" ref="AG28:AG35" si="47">IFERROR(AF28/AE28,"")</f>
        <v>261.50793650793628</v>
      </c>
      <c r="AH28" s="182">
        <f t="shared" ref="AH28:AH35" si="48">RANK(AG28, AG$27:AG$41)</f>
        <v>9</v>
      </c>
      <c r="AI28" s="558"/>
      <c r="AJ28" s="188">
        <v>12</v>
      </c>
      <c r="AK28" s="188">
        <v>3139.0557939914097</v>
      </c>
      <c r="AL28" s="185">
        <f t="shared" si="39"/>
        <v>261.58798283261746</v>
      </c>
      <c r="AM28" s="182">
        <f t="shared" ref="AM28:AM35" si="49">RANK(AL28, AL$27:AL$41)</f>
        <v>8</v>
      </c>
      <c r="AN28" s="558"/>
      <c r="AO28" s="188">
        <v>12</v>
      </c>
      <c r="AP28" s="188">
        <v>3139.1226499552404</v>
      </c>
      <c r="AQ28" s="185">
        <f t="shared" si="40"/>
        <v>261.5935541629367</v>
      </c>
      <c r="AR28" s="182">
        <f t="shared" ref="AR28:AR35" si="50">RANK(AQ28, AQ$27:AQ$41)</f>
        <v>8</v>
      </c>
      <c r="AS28" s="558"/>
      <c r="AT28" s="188">
        <v>12</v>
      </c>
      <c r="AU28" s="188">
        <v>3139.1061452513968</v>
      </c>
      <c r="AV28" s="185">
        <f t="shared" si="41"/>
        <v>261.59217877094972</v>
      </c>
      <c r="AW28" s="182">
        <f t="shared" ref="AW28:AW35" si="51">RANK(AV28, AV$27:AV$41)</f>
        <v>8</v>
      </c>
      <c r="AX28" s="558"/>
    </row>
    <row r="29" spans="2:50" ht="14.25" customHeight="1">
      <c r="B29" s="530"/>
      <c r="C29" s="180">
        <v>3</v>
      </c>
      <c r="D29" s="183" t="s">
        <v>182</v>
      </c>
      <c r="E29" s="180">
        <v>11</v>
      </c>
      <c r="F29" s="180">
        <v>3600</v>
      </c>
      <c r="G29" s="185">
        <f t="shared" si="36"/>
        <v>327.27272727272725</v>
      </c>
      <c r="H29" s="558"/>
      <c r="I29" s="186">
        <f t="shared" si="42"/>
        <v>11</v>
      </c>
      <c r="J29" s="186">
        <f t="shared" si="42"/>
        <v>3172.1920902997326</v>
      </c>
      <c r="K29" s="187">
        <f t="shared" si="42"/>
        <v>288.38109911815752</v>
      </c>
      <c r="L29" s="559"/>
      <c r="M29" s="186">
        <f>RANK(K29, K$27:$K$41)</f>
        <v>4</v>
      </c>
      <c r="N29" s="530"/>
      <c r="O29" s="530"/>
      <c r="P29" s="188">
        <v>11</v>
      </c>
      <c r="Q29" s="188">
        <v>3173.5191637630651</v>
      </c>
      <c r="R29" s="185">
        <f t="shared" si="43"/>
        <v>288.50174216027864</v>
      </c>
      <c r="S29" s="182">
        <f t="shared" si="44"/>
        <v>4</v>
      </c>
      <c r="T29" s="558"/>
      <c r="U29" s="188">
        <v>11</v>
      </c>
      <c r="V29" s="188">
        <v>3173.2162458836465</v>
      </c>
      <c r="W29" s="185">
        <f t="shared" si="37"/>
        <v>288.47420417124061</v>
      </c>
      <c r="X29" s="182">
        <f t="shared" si="45"/>
        <v>4</v>
      </c>
      <c r="Y29" s="558"/>
      <c r="Z29" s="188">
        <v>11</v>
      </c>
      <c r="AA29" s="188">
        <v>3173.0512249443186</v>
      </c>
      <c r="AB29" s="185">
        <f t="shared" si="38"/>
        <v>288.45920226766532</v>
      </c>
      <c r="AC29" s="182">
        <f t="shared" si="46"/>
        <v>4</v>
      </c>
      <c r="AD29" s="558"/>
      <c r="AE29" s="188">
        <v>11</v>
      </c>
      <c r="AF29" s="188">
        <v>3171.2296983758683</v>
      </c>
      <c r="AG29" s="185">
        <f t="shared" si="47"/>
        <v>288.29360894326078</v>
      </c>
      <c r="AH29" s="182">
        <f t="shared" si="48"/>
        <v>5</v>
      </c>
      <c r="AI29" s="558"/>
      <c r="AJ29" s="188">
        <v>11</v>
      </c>
      <c r="AK29" s="188">
        <v>3171.5702479338747</v>
      </c>
      <c r="AL29" s="185">
        <f t="shared" si="39"/>
        <v>288.32456799398864</v>
      </c>
      <c r="AM29" s="182">
        <f t="shared" si="49"/>
        <v>5</v>
      </c>
      <c r="AN29" s="558"/>
      <c r="AO29" s="188">
        <v>11</v>
      </c>
      <c r="AP29" s="188">
        <v>3171.4285714285697</v>
      </c>
      <c r="AQ29" s="185">
        <f t="shared" si="40"/>
        <v>288.31168831168816</v>
      </c>
      <c r="AR29" s="182">
        <f t="shared" si="50"/>
        <v>5</v>
      </c>
      <c r="AS29" s="558"/>
      <c r="AT29" s="188">
        <v>11</v>
      </c>
      <c r="AU29" s="188">
        <v>3171.3294797687859</v>
      </c>
      <c r="AV29" s="185">
        <f t="shared" si="41"/>
        <v>288.30267997898051</v>
      </c>
      <c r="AW29" s="182">
        <f t="shared" si="51"/>
        <v>5</v>
      </c>
      <c r="AX29" s="558"/>
    </row>
    <row r="30" spans="2:50" ht="14.25" customHeight="1">
      <c r="B30" s="530"/>
      <c r="C30" s="180">
        <v>4</v>
      </c>
      <c r="D30" s="183" t="s">
        <v>183</v>
      </c>
      <c r="E30" s="180">
        <v>6</v>
      </c>
      <c r="F30" s="180">
        <v>2600</v>
      </c>
      <c r="G30" s="185">
        <f t="shared" si="36"/>
        <v>433.33333333333331</v>
      </c>
      <c r="H30" s="558"/>
      <c r="I30" s="186">
        <f t="shared" si="42"/>
        <v>6</v>
      </c>
      <c r="J30" s="186">
        <f t="shared" si="42"/>
        <v>2322.9124764783364</v>
      </c>
      <c r="K30" s="187">
        <f t="shared" si="42"/>
        <v>387.15207941305601</v>
      </c>
      <c r="L30" s="559"/>
      <c r="M30" s="186">
        <f>RANK(K30, K$27:$K$41)</f>
        <v>1</v>
      </c>
      <c r="N30" s="530"/>
      <c r="O30" s="530"/>
      <c r="P30" s="188">
        <v>6</v>
      </c>
      <c r="Q30" s="188">
        <v>2321.8697829716157</v>
      </c>
      <c r="R30" s="185">
        <f t="shared" si="43"/>
        <v>386.97829716193593</v>
      </c>
      <c r="S30" s="182">
        <f t="shared" si="44"/>
        <v>1</v>
      </c>
      <c r="T30" s="558"/>
      <c r="U30" s="188">
        <v>6</v>
      </c>
      <c r="V30" s="188">
        <v>2321.6474133601173</v>
      </c>
      <c r="W30" s="185">
        <f t="shared" si="37"/>
        <v>386.94123556001955</v>
      </c>
      <c r="X30" s="182">
        <f t="shared" si="45"/>
        <v>1</v>
      </c>
      <c r="Y30" s="558"/>
      <c r="Z30" s="188">
        <v>6</v>
      </c>
      <c r="AA30" s="188">
        <v>2321.5125191619823</v>
      </c>
      <c r="AB30" s="185">
        <f t="shared" si="38"/>
        <v>386.91875319366369</v>
      </c>
      <c r="AC30" s="182">
        <f t="shared" si="46"/>
        <v>1</v>
      </c>
      <c r="AD30" s="558"/>
      <c r="AE30" s="188">
        <v>6</v>
      </c>
      <c r="AF30" s="188">
        <v>2323.9775461106628</v>
      </c>
      <c r="AG30" s="185">
        <f t="shared" si="47"/>
        <v>387.32959101844381</v>
      </c>
      <c r="AH30" s="182">
        <f t="shared" si="48"/>
        <v>1</v>
      </c>
      <c r="AI30" s="558"/>
      <c r="AJ30" s="188">
        <v>6</v>
      </c>
      <c r="AK30" s="188">
        <v>2323.6074270557042</v>
      </c>
      <c r="AL30" s="185">
        <f t="shared" si="39"/>
        <v>387.26790450928405</v>
      </c>
      <c r="AM30" s="182">
        <f t="shared" si="49"/>
        <v>2</v>
      </c>
      <c r="AN30" s="558"/>
      <c r="AO30" s="188">
        <v>6</v>
      </c>
      <c r="AP30" s="188">
        <v>2323.6191478169349</v>
      </c>
      <c r="AQ30" s="185">
        <f t="shared" si="40"/>
        <v>387.26985796948912</v>
      </c>
      <c r="AR30" s="182">
        <f t="shared" si="50"/>
        <v>2</v>
      </c>
      <c r="AS30" s="558"/>
      <c r="AT30" s="188">
        <v>6</v>
      </c>
      <c r="AU30" s="188">
        <v>2324.1534988713352</v>
      </c>
      <c r="AV30" s="185">
        <f t="shared" si="41"/>
        <v>387.35891647855584</v>
      </c>
      <c r="AW30" s="182">
        <f t="shared" si="51"/>
        <v>1</v>
      </c>
      <c r="AX30" s="558"/>
    </row>
    <row r="31" spans="2:50" ht="14.25" customHeight="1">
      <c r="B31" s="530"/>
      <c r="C31" s="180">
        <v>5</v>
      </c>
      <c r="D31" s="183" t="s">
        <v>184</v>
      </c>
      <c r="E31" s="180">
        <v>6</v>
      </c>
      <c r="F31" s="180">
        <v>2500</v>
      </c>
      <c r="G31" s="185">
        <f t="shared" si="36"/>
        <v>416.66666666666669</v>
      </c>
      <c r="H31" s="558"/>
      <c r="I31" s="186">
        <f t="shared" si="42"/>
        <v>6</v>
      </c>
      <c r="J31" s="186">
        <f t="shared" si="42"/>
        <v>2263.8111645202716</v>
      </c>
      <c r="K31" s="187">
        <f t="shared" si="42"/>
        <v>377.30186075337861</v>
      </c>
      <c r="L31" s="559"/>
      <c r="M31" s="186">
        <f>RANK(K31, K$27:$K$41)</f>
        <v>3</v>
      </c>
      <c r="N31" s="530"/>
      <c r="O31" s="530"/>
      <c r="P31" s="188">
        <v>6</v>
      </c>
      <c r="Q31" s="188">
        <v>2263.3136094674337</v>
      </c>
      <c r="R31" s="185">
        <f t="shared" si="43"/>
        <v>377.21893491123893</v>
      </c>
      <c r="S31" s="182">
        <f t="shared" si="44"/>
        <v>3</v>
      </c>
      <c r="T31" s="558"/>
      <c r="U31" s="188">
        <v>6</v>
      </c>
      <c r="V31" s="188">
        <v>2264.0963855421592</v>
      </c>
      <c r="W31" s="185">
        <f t="shared" si="37"/>
        <v>377.34939759035984</v>
      </c>
      <c r="X31" s="182">
        <f t="shared" si="45"/>
        <v>3</v>
      </c>
      <c r="Y31" s="558"/>
      <c r="Z31" s="188">
        <v>6</v>
      </c>
      <c r="AA31" s="188">
        <v>2264.5914396887142</v>
      </c>
      <c r="AB31" s="185">
        <f t="shared" si="38"/>
        <v>377.4319066147857</v>
      </c>
      <c r="AC31" s="182">
        <f t="shared" si="46"/>
        <v>3</v>
      </c>
      <c r="AD31" s="558"/>
      <c r="AE31" s="188">
        <v>6</v>
      </c>
      <c r="AF31" s="188">
        <v>2265.940054495934</v>
      </c>
      <c r="AG31" s="185">
        <f t="shared" si="47"/>
        <v>377.65667574932235</v>
      </c>
      <c r="AH31" s="182">
        <f t="shared" si="48"/>
        <v>3</v>
      </c>
      <c r="AI31" s="558"/>
      <c r="AJ31" s="188">
        <v>6</v>
      </c>
      <c r="AK31" s="188">
        <v>2263.192182410447</v>
      </c>
      <c r="AL31" s="185">
        <f t="shared" si="39"/>
        <v>377.19869706840785</v>
      </c>
      <c r="AM31" s="182">
        <f t="shared" si="49"/>
        <v>3</v>
      </c>
      <c r="AN31" s="558"/>
      <c r="AO31" s="188">
        <v>6</v>
      </c>
      <c r="AP31" s="188">
        <v>2263.0057803468171</v>
      </c>
      <c r="AQ31" s="185">
        <f t="shared" si="40"/>
        <v>377.16763005780285</v>
      </c>
      <c r="AR31" s="182">
        <f t="shared" si="50"/>
        <v>3</v>
      </c>
      <c r="AS31" s="558"/>
      <c r="AT31" s="188">
        <v>6</v>
      </c>
      <c r="AU31" s="188">
        <v>2262.5386996903958</v>
      </c>
      <c r="AV31" s="185">
        <f t="shared" si="41"/>
        <v>377.08978328173265</v>
      </c>
      <c r="AW31" s="182">
        <f t="shared" si="51"/>
        <v>3</v>
      </c>
      <c r="AX31" s="558"/>
    </row>
    <row r="32" spans="2:50" ht="14.25" customHeight="1">
      <c r="B32" s="530"/>
      <c r="C32" s="180">
        <v>6</v>
      </c>
      <c r="D32" s="183" t="s">
        <v>185</v>
      </c>
      <c r="E32" s="180">
        <v>6</v>
      </c>
      <c r="F32" s="180">
        <v>2600</v>
      </c>
      <c r="G32" s="185">
        <f t="shared" si="36"/>
        <v>433.33333333333331</v>
      </c>
      <c r="H32" s="558"/>
      <c r="I32" s="186">
        <f t="shared" si="42"/>
        <v>6</v>
      </c>
      <c r="J32" s="186">
        <f t="shared" si="42"/>
        <v>2322.7348147065181</v>
      </c>
      <c r="K32" s="187">
        <f t="shared" si="42"/>
        <v>387.1224691177531</v>
      </c>
      <c r="L32" s="559"/>
      <c r="M32" s="186">
        <f>RANK(K32, K$27:$K$41)</f>
        <v>2</v>
      </c>
      <c r="N32" s="530"/>
      <c r="O32" s="530"/>
      <c r="P32" s="188">
        <v>6</v>
      </c>
      <c r="Q32" s="188">
        <v>2321.3377926421399</v>
      </c>
      <c r="R32" s="185">
        <f t="shared" si="43"/>
        <v>386.88963210702332</v>
      </c>
      <c r="S32" s="182">
        <f t="shared" si="44"/>
        <v>2</v>
      </c>
      <c r="T32" s="558"/>
      <c r="U32" s="188">
        <v>6</v>
      </c>
      <c r="V32" s="188">
        <v>2321.3114754098383</v>
      </c>
      <c r="W32" s="185">
        <f t="shared" si="37"/>
        <v>386.88524590163973</v>
      </c>
      <c r="X32" s="182">
        <f t="shared" si="45"/>
        <v>2</v>
      </c>
      <c r="Y32" s="558"/>
      <c r="Z32" s="188">
        <v>6</v>
      </c>
      <c r="AA32" s="188">
        <v>2321.2269938650275</v>
      </c>
      <c r="AB32" s="185">
        <f t="shared" si="38"/>
        <v>386.87116564417124</v>
      </c>
      <c r="AC32" s="182">
        <f t="shared" si="46"/>
        <v>2</v>
      </c>
      <c r="AD32" s="558"/>
      <c r="AE32" s="188">
        <v>6</v>
      </c>
      <c r="AF32" s="188">
        <v>2323.3555767397538</v>
      </c>
      <c r="AG32" s="185">
        <f t="shared" si="47"/>
        <v>387.22592945662564</v>
      </c>
      <c r="AH32" s="182">
        <f t="shared" si="48"/>
        <v>2</v>
      </c>
      <c r="AI32" s="558"/>
      <c r="AJ32" s="188">
        <v>6</v>
      </c>
      <c r="AK32" s="188">
        <v>2324.5033112582842</v>
      </c>
      <c r="AL32" s="185">
        <f t="shared" si="39"/>
        <v>387.41721854304734</v>
      </c>
      <c r="AM32" s="182">
        <f t="shared" si="49"/>
        <v>1</v>
      </c>
      <c r="AN32" s="558"/>
      <c r="AO32" s="188">
        <v>6</v>
      </c>
      <c r="AP32" s="188">
        <v>2323.9327296248402</v>
      </c>
      <c r="AQ32" s="185">
        <f t="shared" si="40"/>
        <v>387.32212160414002</v>
      </c>
      <c r="AR32" s="182">
        <f t="shared" si="50"/>
        <v>1</v>
      </c>
      <c r="AS32" s="558"/>
      <c r="AT32" s="188">
        <v>6</v>
      </c>
      <c r="AU32" s="188">
        <v>2323.4758234057454</v>
      </c>
      <c r="AV32" s="185">
        <f t="shared" si="41"/>
        <v>387.24597056762423</v>
      </c>
      <c r="AW32" s="182">
        <f t="shared" si="51"/>
        <v>2</v>
      </c>
      <c r="AX32" s="558"/>
    </row>
    <row r="33" spans="2:50" ht="14.25" customHeight="1">
      <c r="B33" s="530"/>
      <c r="C33" s="180">
        <v>7</v>
      </c>
      <c r="D33" s="183" t="s">
        <v>186</v>
      </c>
      <c r="E33" s="180">
        <v>12</v>
      </c>
      <c r="F33" s="180">
        <v>3600</v>
      </c>
      <c r="G33" s="185">
        <f t="shared" si="36"/>
        <v>300</v>
      </c>
      <c r="H33" s="558"/>
      <c r="I33" s="186">
        <f t="shared" si="42"/>
        <v>12</v>
      </c>
      <c r="J33" s="186">
        <f t="shared" si="42"/>
        <v>3139.2834714278238</v>
      </c>
      <c r="K33" s="187">
        <f t="shared" si="42"/>
        <v>261.60695595231869</v>
      </c>
      <c r="L33" s="559"/>
      <c r="M33" s="186">
        <f>RANK(K33, K$27:$K$41)</f>
        <v>7</v>
      </c>
      <c r="N33" s="530"/>
      <c r="O33" s="530"/>
      <c r="P33" s="188">
        <v>12</v>
      </c>
      <c r="Q33" s="188">
        <v>3135.8542141230055</v>
      </c>
      <c r="R33" s="185">
        <f t="shared" si="43"/>
        <v>261.32118451025048</v>
      </c>
      <c r="S33" s="182">
        <f t="shared" si="44"/>
        <v>9</v>
      </c>
      <c r="T33" s="558"/>
      <c r="U33" s="188">
        <v>12</v>
      </c>
      <c r="V33" s="188">
        <v>3138.7096774193496</v>
      </c>
      <c r="W33" s="185">
        <f t="shared" si="37"/>
        <v>261.55913978494578</v>
      </c>
      <c r="X33" s="182">
        <f t="shared" si="45"/>
        <v>6</v>
      </c>
      <c r="Y33" s="558"/>
      <c r="Z33" s="188">
        <v>12</v>
      </c>
      <c r="AA33" s="188">
        <v>3139.4047090182225</v>
      </c>
      <c r="AB33" s="185">
        <f t="shared" si="38"/>
        <v>261.61705908485186</v>
      </c>
      <c r="AC33" s="182">
        <f t="shared" si="46"/>
        <v>6</v>
      </c>
      <c r="AD33" s="558"/>
      <c r="AE33" s="188">
        <v>12</v>
      </c>
      <c r="AF33" s="188">
        <v>3139.8347107438085</v>
      </c>
      <c r="AG33" s="185">
        <f t="shared" si="47"/>
        <v>261.65289256198406</v>
      </c>
      <c r="AH33" s="182">
        <f t="shared" si="48"/>
        <v>6</v>
      </c>
      <c r="AI33" s="558"/>
      <c r="AJ33" s="188">
        <v>12</v>
      </c>
      <c r="AK33" s="188">
        <v>3140.2915451894996</v>
      </c>
      <c r="AL33" s="185">
        <f t="shared" si="39"/>
        <v>261.69096209912499</v>
      </c>
      <c r="AM33" s="182">
        <f t="shared" si="49"/>
        <v>6</v>
      </c>
      <c r="AN33" s="558"/>
      <c r="AO33" s="188">
        <v>12</v>
      </c>
      <c r="AP33" s="188">
        <v>3140.7129455909931</v>
      </c>
      <c r="AQ33" s="185">
        <f t="shared" si="40"/>
        <v>261.72607879924942</v>
      </c>
      <c r="AR33" s="182">
        <f t="shared" si="50"/>
        <v>6</v>
      </c>
      <c r="AS33" s="558"/>
      <c r="AT33" s="188">
        <v>12</v>
      </c>
      <c r="AU33" s="188">
        <v>3140.1764979098875</v>
      </c>
      <c r="AV33" s="185">
        <f t="shared" si="41"/>
        <v>261.68137482582398</v>
      </c>
      <c r="AW33" s="182">
        <f t="shared" si="51"/>
        <v>7</v>
      </c>
      <c r="AX33" s="558"/>
    </row>
    <row r="34" spans="2:50" ht="14.25" customHeight="1">
      <c r="B34" s="530"/>
      <c r="C34" s="180">
        <v>8</v>
      </c>
      <c r="D34" s="183" t="s">
        <v>187</v>
      </c>
      <c r="E34" s="180">
        <v>12</v>
      </c>
      <c r="F34" s="180">
        <v>3600</v>
      </c>
      <c r="G34" s="185">
        <f t="shared" si="36"/>
        <v>300</v>
      </c>
      <c r="H34" s="558"/>
      <c r="I34" s="186">
        <f t="shared" si="42"/>
        <v>12</v>
      </c>
      <c r="J34" s="186">
        <f t="shared" si="42"/>
        <v>3138.2059360020403</v>
      </c>
      <c r="K34" s="187">
        <f t="shared" si="42"/>
        <v>261.51716133350334</v>
      </c>
      <c r="L34" s="559"/>
      <c r="M34" s="186">
        <f>RANK(K34, K$27:$K$41)</f>
        <v>9</v>
      </c>
      <c r="N34" s="530"/>
      <c r="O34" s="530"/>
      <c r="P34" s="188">
        <v>12</v>
      </c>
      <c r="Q34" s="188">
        <v>3136.0381861575206</v>
      </c>
      <c r="R34" s="185">
        <f t="shared" si="43"/>
        <v>261.3365155131267</v>
      </c>
      <c r="S34" s="182">
        <f t="shared" si="44"/>
        <v>8</v>
      </c>
      <c r="T34" s="558"/>
      <c r="U34" s="188">
        <v>12</v>
      </c>
      <c r="V34" s="188">
        <v>3137.7565632458263</v>
      </c>
      <c r="W34" s="185">
        <f t="shared" si="37"/>
        <v>261.47971360381888</v>
      </c>
      <c r="X34" s="182">
        <f t="shared" si="45"/>
        <v>9</v>
      </c>
      <c r="Y34" s="558"/>
      <c r="Z34" s="188">
        <v>12</v>
      </c>
      <c r="AA34" s="188">
        <v>3138.3748238609674</v>
      </c>
      <c r="AB34" s="185">
        <f t="shared" si="38"/>
        <v>261.53123532174726</v>
      </c>
      <c r="AC34" s="182">
        <f t="shared" si="46"/>
        <v>8</v>
      </c>
      <c r="AD34" s="558"/>
      <c r="AE34" s="188">
        <v>12</v>
      </c>
      <c r="AF34" s="188">
        <v>3138.8429752066127</v>
      </c>
      <c r="AG34" s="185">
        <f t="shared" si="47"/>
        <v>261.57024793388439</v>
      </c>
      <c r="AH34" s="182">
        <f t="shared" si="48"/>
        <v>8</v>
      </c>
      <c r="AI34" s="558"/>
      <c r="AJ34" s="188">
        <v>12</v>
      </c>
      <c r="AK34" s="188">
        <v>3138.9162561576327</v>
      </c>
      <c r="AL34" s="185">
        <f t="shared" si="39"/>
        <v>261.57635467980271</v>
      </c>
      <c r="AM34" s="182">
        <f t="shared" si="49"/>
        <v>9</v>
      </c>
      <c r="AN34" s="558"/>
      <c r="AO34" s="188">
        <v>12</v>
      </c>
      <c r="AP34" s="188">
        <v>3138.9162561576441</v>
      </c>
      <c r="AQ34" s="185">
        <f t="shared" si="40"/>
        <v>261.57635467980367</v>
      </c>
      <c r="AR34" s="182">
        <f t="shared" si="50"/>
        <v>9</v>
      </c>
      <c r="AS34" s="558"/>
      <c r="AT34" s="188">
        <v>12</v>
      </c>
      <c r="AU34" s="188">
        <v>3138.5964912280783</v>
      </c>
      <c r="AV34" s="185">
        <f t="shared" si="41"/>
        <v>261.54970760233988</v>
      </c>
      <c r="AW34" s="182">
        <f t="shared" si="51"/>
        <v>9</v>
      </c>
      <c r="AX34" s="558"/>
    </row>
    <row r="35" spans="2:50" ht="14.25" customHeight="1">
      <c r="B35" s="530"/>
      <c r="C35" s="180">
        <v>9</v>
      </c>
      <c r="D35" s="183" t="s">
        <v>188</v>
      </c>
      <c r="E35" s="180">
        <v>11</v>
      </c>
      <c r="F35" s="180">
        <v>3600</v>
      </c>
      <c r="G35" s="185">
        <f t="shared" si="36"/>
        <v>327.27272727272725</v>
      </c>
      <c r="H35" s="558"/>
      <c r="I35" s="186">
        <f t="shared" si="42"/>
        <v>11</v>
      </c>
      <c r="J35" s="186">
        <f t="shared" si="42"/>
        <v>3171.4237873088382</v>
      </c>
      <c r="K35" s="187">
        <f t="shared" si="42"/>
        <v>288.31125339171257</v>
      </c>
      <c r="L35" s="559"/>
      <c r="M35" s="186">
        <f>RANK(K35, K$27:$K$41)</f>
        <v>5</v>
      </c>
      <c r="N35" s="530"/>
      <c r="O35" s="530"/>
      <c r="P35" s="188">
        <v>11</v>
      </c>
      <c r="Q35" s="188">
        <v>3171.1191335740059</v>
      </c>
      <c r="R35" s="185">
        <f t="shared" si="43"/>
        <v>288.2835575976369</v>
      </c>
      <c r="S35" s="182">
        <f t="shared" si="44"/>
        <v>5</v>
      </c>
      <c r="T35" s="558"/>
      <c r="U35" s="188">
        <v>11</v>
      </c>
      <c r="V35" s="188">
        <v>3170.6422018348608</v>
      </c>
      <c r="W35" s="185">
        <f t="shared" si="37"/>
        <v>288.24020016680555</v>
      </c>
      <c r="X35" s="182">
        <f t="shared" si="45"/>
        <v>5</v>
      </c>
      <c r="Y35" s="558"/>
      <c r="Z35" s="188">
        <v>11</v>
      </c>
      <c r="AA35" s="188">
        <v>3170.6024096385595</v>
      </c>
      <c r="AB35" s="185">
        <f t="shared" si="38"/>
        <v>288.23658269441449</v>
      </c>
      <c r="AC35" s="182">
        <f t="shared" si="46"/>
        <v>5</v>
      </c>
      <c r="AD35" s="558"/>
      <c r="AE35" s="188">
        <v>11</v>
      </c>
      <c r="AF35" s="188">
        <v>3171.6186252771608</v>
      </c>
      <c r="AG35" s="185">
        <f t="shared" si="47"/>
        <v>288.32896593428734</v>
      </c>
      <c r="AH35" s="182">
        <f t="shared" si="48"/>
        <v>4</v>
      </c>
      <c r="AI35" s="558"/>
      <c r="AJ35" s="188">
        <v>11</v>
      </c>
      <c r="AK35" s="188">
        <v>3171.9074221867577</v>
      </c>
      <c r="AL35" s="185">
        <f t="shared" si="39"/>
        <v>288.35522019879613</v>
      </c>
      <c r="AM35" s="182">
        <f t="shared" si="49"/>
        <v>4</v>
      </c>
      <c r="AN35" s="558"/>
      <c r="AO35" s="188">
        <v>11</v>
      </c>
      <c r="AP35" s="188">
        <v>3171.9165085389036</v>
      </c>
      <c r="AQ35" s="185">
        <f t="shared" si="40"/>
        <v>288.3560462308094</v>
      </c>
      <c r="AR35" s="182">
        <f t="shared" si="50"/>
        <v>4</v>
      </c>
      <c r="AS35" s="558"/>
      <c r="AT35" s="188">
        <v>11</v>
      </c>
      <c r="AU35" s="188">
        <v>3172.1602101116187</v>
      </c>
      <c r="AV35" s="185">
        <f t="shared" si="41"/>
        <v>288.37820091923805</v>
      </c>
      <c r="AW35" s="182">
        <f t="shared" si="51"/>
        <v>4</v>
      </c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52">U42+1</f>
        <v>46065</v>
      </c>
      <c r="AA42" s="597"/>
      <c r="AB42" s="597"/>
      <c r="AC42" s="597"/>
      <c r="AD42" s="597"/>
      <c r="AE42" s="598">
        <f t="shared" ref="AE42" si="53">Z42+1</f>
        <v>46066</v>
      </c>
      <c r="AF42" s="599"/>
      <c r="AG42" s="599"/>
      <c r="AH42" s="599"/>
      <c r="AI42" s="599"/>
      <c r="AJ42" s="588">
        <f t="shared" ref="AJ42" si="54">AE42+1</f>
        <v>46067</v>
      </c>
      <c r="AK42" s="589"/>
      <c r="AL42" s="589"/>
      <c r="AM42" s="589"/>
      <c r="AN42" s="590"/>
      <c r="AO42" s="598">
        <f t="shared" ref="AO42" si="55">AJ42+1</f>
        <v>46068</v>
      </c>
      <c r="AP42" s="599"/>
      <c r="AQ42" s="599"/>
      <c r="AR42" s="599"/>
      <c r="AS42" s="599"/>
      <c r="AT42" s="588">
        <f t="shared" ref="AT42" si="56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57">Z42</f>
        <v>46065</v>
      </c>
      <c r="AA43" s="591"/>
      <c r="AB43" s="591"/>
      <c r="AC43" s="591"/>
      <c r="AD43" s="591"/>
      <c r="AE43" s="592">
        <f t="shared" ref="AE43" si="58">AE42</f>
        <v>46066</v>
      </c>
      <c r="AF43" s="592"/>
      <c r="AG43" s="592"/>
      <c r="AH43" s="592"/>
      <c r="AI43" s="592"/>
      <c r="AJ43" s="593">
        <f t="shared" ref="AJ43" si="59">AJ42</f>
        <v>46067</v>
      </c>
      <c r="AK43" s="594"/>
      <c r="AL43" s="594"/>
      <c r="AM43" s="594"/>
      <c r="AN43" s="595"/>
      <c r="AO43" s="592">
        <f t="shared" ref="AO43" si="60">AO42</f>
        <v>46068</v>
      </c>
      <c r="AP43" s="592"/>
      <c r="AQ43" s="592"/>
      <c r="AR43" s="592"/>
      <c r="AS43" s="592"/>
      <c r="AT43" s="593">
        <f t="shared" ref="AT43" si="61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530" t="s">
        <v>179</v>
      </c>
      <c r="C47" s="180">
        <v>1</v>
      </c>
      <c r="D47" s="183" t="s">
        <v>180</v>
      </c>
      <c r="E47" s="180">
        <v>12</v>
      </c>
      <c r="F47" s="180">
        <v>3600</v>
      </c>
      <c r="G47" s="185">
        <f t="shared" ref="G47:G55" si="62">F47/E47</f>
        <v>300</v>
      </c>
      <c r="H47" s="558">
        <f>AVERAGE(G47:G61)</f>
        <v>348.65319865319867</v>
      </c>
      <c r="I47" s="186">
        <f>AVERAGE(P47,U47,Z47,AE47,AJ47,AO47,AT47)</f>
        <v>12</v>
      </c>
      <c r="J47" s="186">
        <f>AVERAGE(Q47,V47,AA47,AF47,AK47,AP47,AU47)</f>
        <v>3140.1033443064734</v>
      </c>
      <c r="K47" s="187">
        <f>AVERAGE(R47,W47,AB47,AG47,AL47,AQ47,AV47)</f>
        <v>261.67527869220612</v>
      </c>
      <c r="L47" s="559">
        <f>IFERROR(AVERAGE(K47:K61),"-")</f>
        <v>308.53489252823078</v>
      </c>
      <c r="M47" s="186">
        <f>RANK(K47, K$47:$K$61)</f>
        <v>6</v>
      </c>
      <c r="N47" s="530"/>
      <c r="O47" s="530"/>
      <c r="P47" s="188">
        <v>12</v>
      </c>
      <c r="Q47" s="188">
        <v>3140.3571428571449</v>
      </c>
      <c r="R47" s="185">
        <f>IFERROR(Q47/P47,"")</f>
        <v>261.69642857142873</v>
      </c>
      <c r="S47" s="182">
        <f>RANK(R47, R$47:R$61)</f>
        <v>6</v>
      </c>
      <c r="T47" s="558">
        <f>AVERAGE(R47:R61)</f>
        <v>308.32903128810403</v>
      </c>
      <c r="U47" s="188">
        <v>12</v>
      </c>
      <c r="V47" s="188">
        <v>3140.081632653058</v>
      </c>
      <c r="W47" s="185">
        <f t="shared" ref="W47:W55" si="63">IFERROR(V47/U47,"")</f>
        <v>261.67346938775484</v>
      </c>
      <c r="X47" s="182">
        <f>RANK(W47, W$47:W$61)</f>
        <v>6</v>
      </c>
      <c r="Y47" s="558">
        <f>AVERAGE(W47:W61)</f>
        <v>308.35971359874924</v>
      </c>
      <c r="Z47" s="188">
        <v>12</v>
      </c>
      <c r="AA47" s="188">
        <v>3140.6171809841508</v>
      </c>
      <c r="AB47" s="185">
        <f t="shared" ref="AB47:AB55" si="64">IFERROR(AA47/Z47,"")</f>
        <v>261.71809841534588</v>
      </c>
      <c r="AC47" s="182">
        <f>RANK(AB47, AB$47:AB$61)</f>
        <v>6</v>
      </c>
      <c r="AD47" s="558">
        <f>AVERAGE(AB47:AB61)</f>
        <v>308.35429973064544</v>
      </c>
      <c r="AE47" s="188">
        <v>12</v>
      </c>
      <c r="AF47" s="188">
        <v>3139.6419437340123</v>
      </c>
      <c r="AG47" s="185">
        <f>IFERROR(AF47/AE47,"")</f>
        <v>261.63682864450101</v>
      </c>
      <c r="AH47" s="182">
        <f>RANK(AG47, AG$47:AG$61)</f>
        <v>7</v>
      </c>
      <c r="AI47" s="558">
        <f>AVERAGE(AG47:AG61)</f>
        <v>299.84236773452085</v>
      </c>
      <c r="AJ47" s="188">
        <v>12</v>
      </c>
      <c r="AK47" s="188">
        <v>3139.8058252427149</v>
      </c>
      <c r="AL47" s="185">
        <f t="shared" ref="AL47:AL55" si="65">IFERROR(AK47/AJ47,"")</f>
        <v>261.65048543689289</v>
      </c>
      <c r="AM47" s="182">
        <f>RANK(AL47, AL$47:AL$61)</f>
        <v>8</v>
      </c>
      <c r="AN47" s="558">
        <f>AVERAGE(AL47:AL61)</f>
        <v>299.86860790550804</v>
      </c>
      <c r="AO47" s="188">
        <v>12</v>
      </c>
      <c r="AP47" s="188">
        <v>3140.1315789473651</v>
      </c>
      <c r="AQ47" s="185">
        <f t="shared" ref="AQ47:AQ55" si="66">IFERROR(AP47/AO47,"")</f>
        <v>261.67763157894711</v>
      </c>
      <c r="AR47" s="182">
        <f>RANK(AQ47, AQ$47:AQ$61)</f>
        <v>6</v>
      </c>
      <c r="AS47" s="558">
        <f>AVERAGE(AQ47:AQ61)</f>
        <v>300.38782010203994</v>
      </c>
      <c r="AT47" s="188">
        <v>12</v>
      </c>
      <c r="AU47" s="188">
        <v>3140.088105726868</v>
      </c>
      <c r="AV47" s="185">
        <f t="shared" ref="AV47:AV55" si="67">IFERROR(AU47/AT47,"")</f>
        <v>261.67400881057233</v>
      </c>
      <c r="AW47" s="182">
        <f>RANK(AV47, AV$47:AV$61)</f>
        <v>6</v>
      </c>
      <c r="AX47" s="558">
        <f>AVERAGE(AV47:AV61)</f>
        <v>300.40798344099943</v>
      </c>
    </row>
    <row r="48" spans="2:50" ht="14.25" customHeight="1">
      <c r="B48" s="530"/>
      <c r="C48" s="180">
        <v>2</v>
      </c>
      <c r="D48" s="183" t="s">
        <v>181</v>
      </c>
      <c r="E48" s="180">
        <v>12</v>
      </c>
      <c r="F48" s="180">
        <v>3600</v>
      </c>
      <c r="G48" s="185">
        <f t="shared" si="62"/>
        <v>300</v>
      </c>
      <c r="H48" s="558"/>
      <c r="I48" s="186">
        <f t="shared" ref="I48:K55" si="68">AVERAGE(P48,U48,Z48,AE48,AJ48,AO48,AT48)</f>
        <v>12</v>
      </c>
      <c r="J48" s="186">
        <f t="shared" si="68"/>
        <v>3139.7477718352261</v>
      </c>
      <c r="K48" s="187">
        <f t="shared" si="68"/>
        <v>261.64564765293545</v>
      </c>
      <c r="L48" s="559"/>
      <c r="M48" s="186">
        <f>RANK(K48, K$47:$K$61)</f>
        <v>8</v>
      </c>
      <c r="N48" s="530"/>
      <c r="O48" s="530"/>
      <c r="P48" s="188">
        <v>12</v>
      </c>
      <c r="Q48" s="188">
        <v>3139.1722810394654</v>
      </c>
      <c r="R48" s="185">
        <f t="shared" ref="R48:R55" si="69">IFERROR(Q48/P48,"")</f>
        <v>261.59769008662209</v>
      </c>
      <c r="S48" s="182">
        <f t="shared" ref="S48:S55" si="70">RANK(R48, R$47:R$61)</f>
        <v>8</v>
      </c>
      <c r="T48" s="558"/>
      <c r="U48" s="188">
        <v>12</v>
      </c>
      <c r="V48" s="188">
        <v>3139.6825396825398</v>
      </c>
      <c r="W48" s="185">
        <f t="shared" si="63"/>
        <v>261.64021164021165</v>
      </c>
      <c r="X48" s="182">
        <f t="shared" ref="X48:X55" si="71">RANK(W48, W$47:W$61)</f>
        <v>8</v>
      </c>
      <c r="Y48" s="558"/>
      <c r="Z48" s="188">
        <v>12</v>
      </c>
      <c r="AA48" s="188">
        <v>3139.8739873987392</v>
      </c>
      <c r="AB48" s="185">
        <f t="shared" si="64"/>
        <v>261.65616561656162</v>
      </c>
      <c r="AC48" s="182">
        <f t="shared" ref="AC48:AC55" si="72">RANK(AB48, AB$47:AB$61)</f>
        <v>7</v>
      </c>
      <c r="AD48" s="558"/>
      <c r="AE48" s="188">
        <v>12</v>
      </c>
      <c r="AF48" s="188">
        <v>3139.3739703459605</v>
      </c>
      <c r="AG48" s="185">
        <f t="shared" ref="AG48:AG55" si="73">IFERROR(AF48/AE48,"")</f>
        <v>261.61449752883004</v>
      </c>
      <c r="AH48" s="182">
        <f t="shared" ref="AH48:AH55" si="74">RANK(AG48, AG$47:AG$61)</f>
        <v>8</v>
      </c>
      <c r="AI48" s="558"/>
      <c r="AJ48" s="188">
        <v>12</v>
      </c>
      <c r="AK48" s="188">
        <v>3140.4693760732662</v>
      </c>
      <c r="AL48" s="185">
        <f t="shared" si="65"/>
        <v>261.70578133943883</v>
      </c>
      <c r="AM48" s="182">
        <f t="shared" ref="AM48:AM55" si="75">RANK(AL48, AL$47:AL$61)</f>
        <v>6</v>
      </c>
      <c r="AN48" s="558"/>
      <c r="AO48" s="188">
        <v>12</v>
      </c>
      <c r="AP48" s="188">
        <v>3139.6313364055368</v>
      </c>
      <c r="AQ48" s="185">
        <f t="shared" si="66"/>
        <v>261.63594470046138</v>
      </c>
      <c r="AR48" s="182">
        <f t="shared" ref="AR48:AR55" si="76">RANK(AQ48, AQ$47:AQ$61)</f>
        <v>8</v>
      </c>
      <c r="AS48" s="558"/>
      <c r="AT48" s="188">
        <v>12</v>
      </c>
      <c r="AU48" s="188">
        <v>3140.0309119010722</v>
      </c>
      <c r="AV48" s="185">
        <f t="shared" si="67"/>
        <v>261.66924265842266</v>
      </c>
      <c r="AW48" s="182">
        <f t="shared" ref="AW48:AW55" si="77">RANK(AV48, AV$47:AV$61)</f>
        <v>7</v>
      </c>
      <c r="AX48" s="558"/>
    </row>
    <row r="49" spans="2:50" ht="14.25" customHeight="1">
      <c r="B49" s="530"/>
      <c r="C49" s="180">
        <v>3</v>
      </c>
      <c r="D49" s="183" t="s">
        <v>182</v>
      </c>
      <c r="E49" s="180">
        <v>11</v>
      </c>
      <c r="F49" s="180">
        <v>3600</v>
      </c>
      <c r="G49" s="185">
        <f t="shared" si="62"/>
        <v>327.27272727272725</v>
      </c>
      <c r="H49" s="558"/>
      <c r="I49" s="186">
        <f t="shared" si="68"/>
        <v>11</v>
      </c>
      <c r="J49" s="186">
        <f t="shared" si="68"/>
        <v>3171.1239283609725</v>
      </c>
      <c r="K49" s="187">
        <f t="shared" si="68"/>
        <v>288.28399348736116</v>
      </c>
      <c r="L49" s="559"/>
      <c r="M49" s="186">
        <f>RANK(K49, K$47:$K$61)</f>
        <v>5</v>
      </c>
      <c r="N49" s="530"/>
      <c r="O49" s="530"/>
      <c r="P49" s="188">
        <v>11</v>
      </c>
      <c r="Q49" s="188">
        <v>3171.3270142180127</v>
      </c>
      <c r="R49" s="185">
        <f t="shared" si="69"/>
        <v>288.30245583800115</v>
      </c>
      <c r="S49" s="182">
        <f t="shared" si="70"/>
        <v>5</v>
      </c>
      <c r="T49" s="558"/>
      <c r="U49" s="188">
        <v>11</v>
      </c>
      <c r="V49" s="188">
        <v>3170.6239646604113</v>
      </c>
      <c r="W49" s="185">
        <f t="shared" si="63"/>
        <v>288.23854224185555</v>
      </c>
      <c r="X49" s="182">
        <f t="shared" si="71"/>
        <v>5</v>
      </c>
      <c r="Y49" s="558"/>
      <c r="Z49" s="188">
        <v>11</v>
      </c>
      <c r="AA49" s="188">
        <v>3170.9844559585526</v>
      </c>
      <c r="AB49" s="185">
        <f t="shared" si="64"/>
        <v>288.27131417805026</v>
      </c>
      <c r="AC49" s="182">
        <f t="shared" si="72"/>
        <v>5</v>
      </c>
      <c r="AD49" s="558"/>
      <c r="AE49" s="188">
        <v>11</v>
      </c>
      <c r="AF49" s="188">
        <v>3171.4285714285752</v>
      </c>
      <c r="AG49" s="185">
        <f t="shared" si="73"/>
        <v>288.31168831168867</v>
      </c>
      <c r="AH49" s="182">
        <f t="shared" si="74"/>
        <v>4</v>
      </c>
      <c r="AI49" s="558"/>
      <c r="AJ49" s="188">
        <v>11</v>
      </c>
      <c r="AK49" s="188">
        <v>3170.5521472392552</v>
      </c>
      <c r="AL49" s="185">
        <f t="shared" si="65"/>
        <v>288.23201338538684</v>
      </c>
      <c r="AM49" s="182">
        <f t="shared" si="75"/>
        <v>4</v>
      </c>
      <c r="AN49" s="558"/>
      <c r="AO49" s="188">
        <v>11</v>
      </c>
      <c r="AP49" s="188">
        <v>3171.0843373493904</v>
      </c>
      <c r="AQ49" s="185">
        <f t="shared" si="66"/>
        <v>288.28039430449002</v>
      </c>
      <c r="AR49" s="182">
        <f t="shared" si="76"/>
        <v>4</v>
      </c>
      <c r="AS49" s="558"/>
      <c r="AT49" s="188">
        <v>11</v>
      </c>
      <c r="AU49" s="188">
        <v>3171.8670076726121</v>
      </c>
      <c r="AV49" s="185">
        <f t="shared" si="67"/>
        <v>288.35154615205562</v>
      </c>
      <c r="AW49" s="182">
        <f t="shared" si="77"/>
        <v>4</v>
      </c>
      <c r="AX49" s="558"/>
    </row>
    <row r="50" spans="2:50" ht="14.25" customHeight="1">
      <c r="B50" s="530"/>
      <c r="C50" s="180">
        <v>4</v>
      </c>
      <c r="D50" s="183" t="s">
        <v>183</v>
      </c>
      <c r="E50" s="180">
        <v>6</v>
      </c>
      <c r="F50" s="180">
        <v>2600</v>
      </c>
      <c r="G50" s="185">
        <f t="shared" si="62"/>
        <v>433.33333333333331</v>
      </c>
      <c r="H50" s="558"/>
      <c r="I50" s="186">
        <f t="shared" si="68"/>
        <v>6</v>
      </c>
      <c r="J50" s="186">
        <f t="shared" si="68"/>
        <v>2329.6280179805935</v>
      </c>
      <c r="K50" s="187">
        <f t="shared" si="68"/>
        <v>388.27133633009896</v>
      </c>
      <c r="L50" s="559"/>
      <c r="M50" s="186">
        <f>RANK(K50, K$47:$K$61)</f>
        <v>1</v>
      </c>
      <c r="N50" s="530"/>
      <c r="O50" s="530"/>
      <c r="P50" s="188">
        <v>6</v>
      </c>
      <c r="Q50" s="188">
        <v>2324.8243559718967</v>
      </c>
      <c r="R50" s="185">
        <f t="shared" si="69"/>
        <v>387.47072599531612</v>
      </c>
      <c r="S50" s="182">
        <f t="shared" si="70"/>
        <v>1</v>
      </c>
      <c r="T50" s="558"/>
      <c r="U50" s="188">
        <v>6</v>
      </c>
      <c r="V50" s="188">
        <v>2324.6280991735525</v>
      </c>
      <c r="W50" s="185">
        <f t="shared" si="63"/>
        <v>387.4380165289254</v>
      </c>
      <c r="X50" s="182">
        <f t="shared" si="71"/>
        <v>1</v>
      </c>
      <c r="Y50" s="558"/>
      <c r="Z50" s="188">
        <v>6</v>
      </c>
      <c r="AA50" s="188">
        <v>2324.2617255356108</v>
      </c>
      <c r="AB50" s="185">
        <f t="shared" si="64"/>
        <v>387.37695425593512</v>
      </c>
      <c r="AC50" s="182">
        <f t="shared" si="72"/>
        <v>2</v>
      </c>
      <c r="AD50" s="558"/>
      <c r="AE50" s="188">
        <v>6</v>
      </c>
      <c r="AF50" s="188">
        <v>2326.7716535433096</v>
      </c>
      <c r="AG50" s="185">
        <f t="shared" si="73"/>
        <v>387.79527559055163</v>
      </c>
      <c r="AH50" s="182">
        <f t="shared" si="74"/>
        <v>1</v>
      </c>
      <c r="AI50" s="558"/>
      <c r="AJ50" s="188">
        <v>6</v>
      </c>
      <c r="AK50" s="188">
        <v>2327.5636363636354</v>
      </c>
      <c r="AL50" s="185">
        <f t="shared" si="65"/>
        <v>387.92727272727257</v>
      </c>
      <c r="AM50" s="182">
        <f t="shared" si="75"/>
        <v>1</v>
      </c>
      <c r="AN50" s="558"/>
      <c r="AO50" s="188">
        <v>6</v>
      </c>
      <c r="AP50" s="188">
        <v>2339.4736842105217</v>
      </c>
      <c r="AQ50" s="185">
        <f t="shared" si="66"/>
        <v>389.91228070175362</v>
      </c>
      <c r="AR50" s="182">
        <f t="shared" si="76"/>
        <v>2</v>
      </c>
      <c r="AS50" s="558"/>
      <c r="AT50" s="188">
        <v>6</v>
      </c>
      <c r="AU50" s="188">
        <v>2339.8729710656276</v>
      </c>
      <c r="AV50" s="185">
        <f t="shared" si="67"/>
        <v>389.97882851093794</v>
      </c>
      <c r="AW50" s="182">
        <f t="shared" si="77"/>
        <v>1</v>
      </c>
      <c r="AX50" s="558"/>
    </row>
    <row r="51" spans="2:50" ht="14.25" customHeight="1">
      <c r="B51" s="530"/>
      <c r="C51" s="180">
        <v>5</v>
      </c>
      <c r="D51" s="183" t="s">
        <v>184</v>
      </c>
      <c r="E51" s="180">
        <v>6</v>
      </c>
      <c r="F51" s="180">
        <v>2500</v>
      </c>
      <c r="G51" s="185">
        <f t="shared" si="62"/>
        <v>416.66666666666669</v>
      </c>
      <c r="H51" s="558"/>
      <c r="I51" s="186">
        <f t="shared" si="68"/>
        <v>6</v>
      </c>
      <c r="J51" s="186">
        <f t="shared" si="68"/>
        <v>2262.3848913847578</v>
      </c>
      <c r="K51" s="187">
        <f t="shared" si="68"/>
        <v>377.0641485641263</v>
      </c>
      <c r="L51" s="559"/>
      <c r="M51" s="186">
        <f>RANK(K51, K$47:$K$61)</f>
        <v>3</v>
      </c>
      <c r="N51" s="530"/>
      <c r="O51" s="530"/>
      <c r="P51" s="188">
        <v>6</v>
      </c>
      <c r="Q51" s="188">
        <v>2262.520458265129</v>
      </c>
      <c r="R51" s="185">
        <f t="shared" si="69"/>
        <v>377.08674304418815</v>
      </c>
      <c r="S51" s="182">
        <f t="shared" si="70"/>
        <v>3</v>
      </c>
      <c r="T51" s="558"/>
      <c r="U51" s="188">
        <v>6</v>
      </c>
      <c r="V51" s="188">
        <v>2263.1741140215636</v>
      </c>
      <c r="W51" s="185">
        <f t="shared" si="63"/>
        <v>377.19568567026062</v>
      </c>
      <c r="X51" s="182">
        <f t="shared" si="71"/>
        <v>3</v>
      </c>
      <c r="Y51" s="558"/>
      <c r="Z51" s="188">
        <v>6</v>
      </c>
      <c r="AA51" s="188">
        <v>2261.4601018675808</v>
      </c>
      <c r="AB51" s="185">
        <f t="shared" si="64"/>
        <v>376.91001697793013</v>
      </c>
      <c r="AC51" s="182">
        <f t="shared" si="72"/>
        <v>3</v>
      </c>
      <c r="AD51" s="558"/>
      <c r="AE51" s="188"/>
      <c r="AF51" s="188"/>
      <c r="AG51" s="185"/>
      <c r="AH51" s="182"/>
      <c r="AI51" s="558"/>
      <c r="AJ51" s="188"/>
      <c r="AK51" s="188"/>
      <c r="AL51" s="185"/>
      <c r="AM51" s="182"/>
      <c r="AN51" s="558"/>
      <c r="AO51" s="188"/>
      <c r="AP51" s="188"/>
      <c r="AQ51" s="185"/>
      <c r="AR51" s="182"/>
      <c r="AS51" s="558"/>
      <c r="AT51" s="188"/>
      <c r="AU51" s="188"/>
      <c r="AV51" s="185"/>
      <c r="AW51" s="182"/>
      <c r="AX51" s="558"/>
    </row>
    <row r="52" spans="2:50" ht="14.25" customHeight="1">
      <c r="B52" s="530"/>
      <c r="C52" s="180">
        <v>6</v>
      </c>
      <c r="D52" s="183" t="s">
        <v>185</v>
      </c>
      <c r="E52" s="180">
        <v>6</v>
      </c>
      <c r="F52" s="180">
        <v>2600</v>
      </c>
      <c r="G52" s="185">
        <f t="shared" si="62"/>
        <v>433.33333333333331</v>
      </c>
      <c r="H52" s="558"/>
      <c r="I52" s="186">
        <f t="shared" si="68"/>
        <v>6</v>
      </c>
      <c r="J52" s="186">
        <f t="shared" si="68"/>
        <v>2329.0347124822392</v>
      </c>
      <c r="K52" s="187">
        <f t="shared" si="68"/>
        <v>388.1724520803732</v>
      </c>
      <c r="L52" s="559"/>
      <c r="M52" s="186">
        <f>RANK(K52, K$47:$K$61)</f>
        <v>2</v>
      </c>
      <c r="N52" s="530"/>
      <c r="O52" s="530"/>
      <c r="P52" s="188">
        <v>6</v>
      </c>
      <c r="Q52" s="188">
        <v>2323.3309404163692</v>
      </c>
      <c r="R52" s="185">
        <f t="shared" si="69"/>
        <v>387.22182340272821</v>
      </c>
      <c r="S52" s="182">
        <f t="shared" si="70"/>
        <v>2</v>
      </c>
      <c r="T52" s="558"/>
      <c r="U52" s="188">
        <v>6</v>
      </c>
      <c r="V52" s="188">
        <v>2323.8985313751659</v>
      </c>
      <c r="W52" s="185">
        <f t="shared" si="63"/>
        <v>387.31642189586097</v>
      </c>
      <c r="X52" s="182">
        <f t="shared" si="71"/>
        <v>2</v>
      </c>
      <c r="Y52" s="558"/>
      <c r="Z52" s="188">
        <v>6</v>
      </c>
      <c r="AA52" s="188">
        <v>2324.9472944483427</v>
      </c>
      <c r="AB52" s="185">
        <f t="shared" si="64"/>
        <v>387.49121574139048</v>
      </c>
      <c r="AC52" s="182">
        <f t="shared" si="72"/>
        <v>1</v>
      </c>
      <c r="AD52" s="558"/>
      <c r="AE52" s="188">
        <v>6</v>
      </c>
      <c r="AF52" s="188">
        <v>2326.1538461538466</v>
      </c>
      <c r="AG52" s="185">
        <f t="shared" si="73"/>
        <v>387.69230769230779</v>
      </c>
      <c r="AH52" s="182">
        <f t="shared" si="74"/>
        <v>2</v>
      </c>
      <c r="AI52" s="558"/>
      <c r="AJ52" s="188">
        <v>6</v>
      </c>
      <c r="AK52" s="188">
        <v>2326.2510974538986</v>
      </c>
      <c r="AL52" s="185">
        <f t="shared" si="65"/>
        <v>387.70851624231642</v>
      </c>
      <c r="AM52" s="182">
        <f t="shared" si="75"/>
        <v>2</v>
      </c>
      <c r="AN52" s="558"/>
      <c r="AO52" s="188">
        <v>6</v>
      </c>
      <c r="AP52" s="188">
        <v>2339.530842745447</v>
      </c>
      <c r="AQ52" s="185">
        <f t="shared" si="66"/>
        <v>389.92180712424118</v>
      </c>
      <c r="AR52" s="182">
        <f t="shared" si="76"/>
        <v>1</v>
      </c>
      <c r="AS52" s="558"/>
      <c r="AT52" s="188">
        <v>6</v>
      </c>
      <c r="AU52" s="188">
        <v>2339.1304347826044</v>
      </c>
      <c r="AV52" s="185">
        <f t="shared" si="67"/>
        <v>389.85507246376739</v>
      </c>
      <c r="AW52" s="182">
        <f t="shared" si="77"/>
        <v>2</v>
      </c>
      <c r="AX52" s="558"/>
    </row>
    <row r="53" spans="2:50" ht="14.25" customHeight="1">
      <c r="B53" s="530"/>
      <c r="C53" s="180">
        <v>7</v>
      </c>
      <c r="D53" s="183" t="s">
        <v>186</v>
      </c>
      <c r="E53" s="180">
        <v>12</v>
      </c>
      <c r="F53" s="180">
        <v>3600</v>
      </c>
      <c r="G53" s="185">
        <f t="shared" si="62"/>
        <v>300</v>
      </c>
      <c r="H53" s="558"/>
      <c r="I53" s="186">
        <f t="shared" si="68"/>
        <v>12</v>
      </c>
      <c r="J53" s="186">
        <f t="shared" si="68"/>
        <v>3139.9972512733648</v>
      </c>
      <c r="K53" s="187">
        <f t="shared" si="68"/>
        <v>261.66643760611367</v>
      </c>
      <c r="L53" s="559"/>
      <c r="M53" s="186">
        <f>RANK(K53, K$47:$K$61)</f>
        <v>7</v>
      </c>
      <c r="N53" s="530"/>
      <c r="O53" s="530"/>
      <c r="P53" s="188">
        <v>12</v>
      </c>
      <c r="Q53" s="188">
        <v>3139.8113207547185</v>
      </c>
      <c r="R53" s="185">
        <f t="shared" si="69"/>
        <v>261.65094339622652</v>
      </c>
      <c r="S53" s="182">
        <f t="shared" si="70"/>
        <v>7</v>
      </c>
      <c r="T53" s="558"/>
      <c r="U53" s="188">
        <v>12</v>
      </c>
      <c r="V53" s="188">
        <v>3139.9209486165996</v>
      </c>
      <c r="W53" s="185">
        <f t="shared" si="63"/>
        <v>261.66007905138332</v>
      </c>
      <c r="X53" s="182">
        <f t="shared" si="71"/>
        <v>7</v>
      </c>
      <c r="Y53" s="558"/>
      <c r="Z53" s="188">
        <v>12</v>
      </c>
      <c r="AA53" s="188">
        <v>3139.6668167492139</v>
      </c>
      <c r="AB53" s="185">
        <f t="shared" si="64"/>
        <v>261.63890139576785</v>
      </c>
      <c r="AC53" s="182">
        <f t="shared" si="72"/>
        <v>9</v>
      </c>
      <c r="AD53" s="558"/>
      <c r="AE53" s="188">
        <v>12</v>
      </c>
      <c r="AF53" s="188">
        <v>3139.929328621914</v>
      </c>
      <c r="AG53" s="185">
        <f t="shared" si="73"/>
        <v>261.66077738515952</v>
      </c>
      <c r="AH53" s="182">
        <f t="shared" si="74"/>
        <v>5</v>
      </c>
      <c r="AI53" s="558"/>
      <c r="AJ53" s="188">
        <v>12</v>
      </c>
      <c r="AK53" s="188">
        <v>3139.9152029073184</v>
      </c>
      <c r="AL53" s="185">
        <f t="shared" si="65"/>
        <v>261.65960024227655</v>
      </c>
      <c r="AM53" s="182">
        <f t="shared" si="75"/>
        <v>7</v>
      </c>
      <c r="AN53" s="558"/>
      <c r="AO53" s="188">
        <v>12</v>
      </c>
      <c r="AP53" s="188">
        <v>3140.4693760732662</v>
      </c>
      <c r="AQ53" s="185">
        <f t="shared" si="66"/>
        <v>261.70578133943883</v>
      </c>
      <c r="AR53" s="182">
        <f t="shared" si="76"/>
        <v>5</v>
      </c>
      <c r="AS53" s="558"/>
      <c r="AT53" s="188">
        <v>12</v>
      </c>
      <c r="AU53" s="188">
        <v>3140.2677651905205</v>
      </c>
      <c r="AV53" s="185">
        <f t="shared" si="67"/>
        <v>261.68898043254336</v>
      </c>
      <c r="AW53" s="182">
        <f t="shared" si="77"/>
        <v>5</v>
      </c>
      <c r="AX53" s="558"/>
    </row>
    <row r="54" spans="2:50" ht="14.25" customHeight="1">
      <c r="B54" s="530"/>
      <c r="C54" s="180">
        <v>8</v>
      </c>
      <c r="D54" s="183" t="s">
        <v>187</v>
      </c>
      <c r="E54" s="180">
        <v>12</v>
      </c>
      <c r="F54" s="180">
        <v>3600</v>
      </c>
      <c r="G54" s="185">
        <f t="shared" si="62"/>
        <v>300</v>
      </c>
      <c r="H54" s="558"/>
      <c r="I54" s="186">
        <f t="shared" si="68"/>
        <v>12</v>
      </c>
      <c r="J54" s="186">
        <f t="shared" si="68"/>
        <v>3139.6801431425069</v>
      </c>
      <c r="K54" s="187">
        <f t="shared" si="68"/>
        <v>261.64001192854221</v>
      </c>
      <c r="L54" s="559"/>
      <c r="M54" s="186">
        <f>RANK(K54, K$47:$K$61)</f>
        <v>9</v>
      </c>
      <c r="N54" s="530"/>
      <c r="O54" s="530"/>
      <c r="P54" s="188">
        <v>12</v>
      </c>
      <c r="Q54" s="188">
        <v>3138.7283236994244</v>
      </c>
      <c r="R54" s="185">
        <f t="shared" si="69"/>
        <v>261.56069364161868</v>
      </c>
      <c r="S54" s="182">
        <f t="shared" si="70"/>
        <v>9</v>
      </c>
      <c r="T54" s="558"/>
      <c r="U54" s="188">
        <v>12</v>
      </c>
      <c r="V54" s="188">
        <v>3139.1180654338491</v>
      </c>
      <c r="W54" s="185">
        <f t="shared" si="63"/>
        <v>261.59317211948741</v>
      </c>
      <c r="X54" s="182">
        <f t="shared" si="71"/>
        <v>9</v>
      </c>
      <c r="Y54" s="558"/>
      <c r="Z54" s="188">
        <v>12</v>
      </c>
      <c r="AA54" s="188">
        <v>3139.7675593734275</v>
      </c>
      <c r="AB54" s="185">
        <f t="shared" si="64"/>
        <v>261.64729661445227</v>
      </c>
      <c r="AC54" s="182">
        <f t="shared" si="72"/>
        <v>8</v>
      </c>
      <c r="AD54" s="558"/>
      <c r="AE54" s="188">
        <v>12</v>
      </c>
      <c r="AF54" s="188">
        <v>3139.7590361445714</v>
      </c>
      <c r="AG54" s="185">
        <f t="shared" si="73"/>
        <v>261.64658634538097</v>
      </c>
      <c r="AH54" s="182">
        <f t="shared" si="74"/>
        <v>6</v>
      </c>
      <c r="AI54" s="558"/>
      <c r="AJ54" s="188">
        <v>12</v>
      </c>
      <c r="AK54" s="188">
        <v>3140.7308970099698</v>
      </c>
      <c r="AL54" s="185">
        <f t="shared" si="65"/>
        <v>261.7275747508308</v>
      </c>
      <c r="AM54" s="182">
        <f t="shared" si="75"/>
        <v>5</v>
      </c>
      <c r="AN54" s="558"/>
      <c r="AO54" s="188">
        <v>12</v>
      </c>
      <c r="AP54" s="188">
        <v>3139.8843930635767</v>
      </c>
      <c r="AQ54" s="185">
        <f t="shared" si="66"/>
        <v>261.65703275529808</v>
      </c>
      <c r="AR54" s="182">
        <f t="shared" si="76"/>
        <v>7</v>
      </c>
      <c r="AS54" s="558"/>
      <c r="AT54" s="188">
        <v>12</v>
      </c>
      <c r="AU54" s="188">
        <v>3139.772727272727</v>
      </c>
      <c r="AV54" s="185">
        <f t="shared" si="67"/>
        <v>261.64772727272725</v>
      </c>
      <c r="AW54" s="182">
        <f t="shared" si="77"/>
        <v>8</v>
      </c>
      <c r="AX54" s="558"/>
    </row>
    <row r="55" spans="2:50" ht="14.25" customHeight="1">
      <c r="B55" s="530"/>
      <c r="C55" s="180">
        <v>9</v>
      </c>
      <c r="D55" s="183" t="s">
        <v>188</v>
      </c>
      <c r="E55" s="180">
        <v>11</v>
      </c>
      <c r="F55" s="180">
        <v>3600</v>
      </c>
      <c r="G55" s="185">
        <f t="shared" si="62"/>
        <v>327.27272727272725</v>
      </c>
      <c r="H55" s="558"/>
      <c r="I55" s="186">
        <f t="shared" si="68"/>
        <v>11</v>
      </c>
      <c r="J55" s="186">
        <f t="shared" si="68"/>
        <v>3172.3419905355195</v>
      </c>
      <c r="K55" s="187">
        <f t="shared" si="68"/>
        <v>288.39472641231998</v>
      </c>
      <c r="L55" s="559"/>
      <c r="M55" s="186">
        <f>RANK(K55, K$47:$K$61)</f>
        <v>4</v>
      </c>
      <c r="N55" s="530"/>
      <c r="O55" s="530"/>
      <c r="P55" s="188">
        <v>11</v>
      </c>
      <c r="Q55" s="188">
        <v>3172.11155378487</v>
      </c>
      <c r="R55" s="185">
        <f t="shared" si="69"/>
        <v>288.37377761680636</v>
      </c>
      <c r="S55" s="182">
        <f t="shared" si="70"/>
        <v>4</v>
      </c>
      <c r="T55" s="558"/>
      <c r="U55" s="188">
        <v>11</v>
      </c>
      <c r="V55" s="188">
        <v>3173.3000623830358</v>
      </c>
      <c r="W55" s="185">
        <f t="shared" si="63"/>
        <v>288.48182385300328</v>
      </c>
      <c r="X55" s="182">
        <f t="shared" si="71"/>
        <v>4</v>
      </c>
      <c r="Y55" s="558"/>
      <c r="Z55" s="188">
        <v>11</v>
      </c>
      <c r="AA55" s="188">
        <v>3173.2660781841264</v>
      </c>
      <c r="AB55" s="185">
        <f t="shared" si="64"/>
        <v>288.4787343803751</v>
      </c>
      <c r="AC55" s="182">
        <f t="shared" si="72"/>
        <v>4</v>
      </c>
      <c r="AD55" s="558"/>
      <c r="AE55" s="188">
        <v>11</v>
      </c>
      <c r="AF55" s="188">
        <v>3172.1907841552184</v>
      </c>
      <c r="AG55" s="185">
        <f t="shared" si="73"/>
        <v>288.38098037774711</v>
      </c>
      <c r="AH55" s="182">
        <f t="shared" si="74"/>
        <v>3</v>
      </c>
      <c r="AI55" s="558"/>
      <c r="AJ55" s="188">
        <v>11</v>
      </c>
      <c r="AK55" s="188">
        <v>3171.7138103161419</v>
      </c>
      <c r="AL55" s="185">
        <f t="shared" si="65"/>
        <v>288.33761911964928</v>
      </c>
      <c r="AM55" s="182">
        <f t="shared" si="75"/>
        <v>3</v>
      </c>
      <c r="AN55" s="558"/>
      <c r="AO55" s="188">
        <v>11</v>
      </c>
      <c r="AP55" s="188">
        <v>3171.4285714285829</v>
      </c>
      <c r="AQ55" s="185">
        <f t="shared" si="66"/>
        <v>288.31168831168935</v>
      </c>
      <c r="AR55" s="182">
        <f t="shared" si="76"/>
        <v>3</v>
      </c>
      <c r="AS55" s="558"/>
      <c r="AT55" s="188">
        <v>11</v>
      </c>
      <c r="AU55" s="188">
        <v>3172.3830734966605</v>
      </c>
      <c r="AV55" s="185">
        <f t="shared" si="67"/>
        <v>288.39846122696912</v>
      </c>
      <c r="AW55" s="182">
        <f t="shared" si="77"/>
        <v>3</v>
      </c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78">U62+1</f>
        <v>46072</v>
      </c>
      <c r="AA62" s="597"/>
      <c r="AB62" s="597"/>
      <c r="AC62" s="597"/>
      <c r="AD62" s="597"/>
      <c r="AE62" s="598">
        <f t="shared" ref="AE62" si="79">Z62+1</f>
        <v>46073</v>
      </c>
      <c r="AF62" s="599"/>
      <c r="AG62" s="599"/>
      <c r="AH62" s="599"/>
      <c r="AI62" s="599"/>
      <c r="AJ62" s="588">
        <f t="shared" ref="AJ62" si="80">AE62+1</f>
        <v>46074</v>
      </c>
      <c r="AK62" s="589"/>
      <c r="AL62" s="589"/>
      <c r="AM62" s="589"/>
      <c r="AN62" s="590"/>
      <c r="AO62" s="598">
        <f t="shared" ref="AO62" si="81">AJ62+1</f>
        <v>46075</v>
      </c>
      <c r="AP62" s="599"/>
      <c r="AQ62" s="599"/>
      <c r="AR62" s="599"/>
      <c r="AS62" s="599"/>
      <c r="AT62" s="588">
        <f t="shared" ref="AT62" si="82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83">Z62</f>
        <v>46072</v>
      </c>
      <c r="AA63" s="591"/>
      <c r="AB63" s="591"/>
      <c r="AC63" s="591"/>
      <c r="AD63" s="591"/>
      <c r="AE63" s="592">
        <f t="shared" ref="AE63" si="84">AE62</f>
        <v>46073</v>
      </c>
      <c r="AF63" s="592"/>
      <c r="AG63" s="592"/>
      <c r="AH63" s="592"/>
      <c r="AI63" s="592"/>
      <c r="AJ63" s="593">
        <f t="shared" ref="AJ63" si="85">AJ62</f>
        <v>46074</v>
      </c>
      <c r="AK63" s="594"/>
      <c r="AL63" s="594"/>
      <c r="AM63" s="594"/>
      <c r="AN63" s="595"/>
      <c r="AO63" s="592">
        <f t="shared" ref="AO63" si="86">AO62</f>
        <v>46075</v>
      </c>
      <c r="AP63" s="592"/>
      <c r="AQ63" s="592"/>
      <c r="AR63" s="592"/>
      <c r="AS63" s="592"/>
      <c r="AT63" s="593">
        <f t="shared" ref="AT63" si="87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530" t="s">
        <v>179</v>
      </c>
      <c r="C67" s="180">
        <v>1</v>
      </c>
      <c r="D67" s="183" t="s">
        <v>180</v>
      </c>
      <c r="E67" s="180">
        <v>12</v>
      </c>
      <c r="F67" s="180">
        <v>3600</v>
      </c>
      <c r="G67" s="185">
        <f t="shared" ref="G67:G74" si="88">F67/E67</f>
        <v>300</v>
      </c>
      <c r="H67" s="558">
        <f>AVERAGE(G67:G81)</f>
        <v>340.15151515151513</v>
      </c>
      <c r="I67" s="186">
        <f>AVERAGE(P67,U67,Z67,AE67,AJ67,AO67,AT67)</f>
        <v>12</v>
      </c>
      <c r="J67" s="186">
        <f>AVERAGE(Q67,V67,AA67,AF67,AK67,AP67,AU67)</f>
        <v>3140.526995413175</v>
      </c>
      <c r="K67" s="187">
        <f>AVERAGE(R67,W67,AB67,AG67,AL67,AQ67,AV67)</f>
        <v>261.71058295109793</v>
      </c>
      <c r="L67" s="559">
        <f>IFERROR(AVERAGE(K67:K81),"-")</f>
        <v>300.48130541061732</v>
      </c>
      <c r="M67" s="186">
        <f>RANK(K67, K$67:$K$81)</f>
        <v>5</v>
      </c>
      <c r="N67" s="530"/>
      <c r="O67" s="530"/>
      <c r="P67" s="188">
        <v>12</v>
      </c>
      <c r="Q67" s="188">
        <v>3140.8412483039342</v>
      </c>
      <c r="R67" s="185">
        <f>IFERROR(Q67/P67,"")</f>
        <v>261.73677069199454</v>
      </c>
      <c r="S67" s="182">
        <f>RANK(R67, R$67:R$81)</f>
        <v>5</v>
      </c>
      <c r="T67" s="558">
        <f>AVERAGE(R67:R81)</f>
        <v>300.45001570663413</v>
      </c>
      <c r="U67" s="188">
        <v>12</v>
      </c>
      <c r="V67" s="188">
        <v>3140.734109221125</v>
      </c>
      <c r="W67" s="185">
        <f t="shared" ref="W67:W74" si="89">IFERROR(V67/U67,"")</f>
        <v>261.72784243509375</v>
      </c>
      <c r="X67" s="182">
        <f>RANK(W67, W$67:W$81)</f>
        <v>6</v>
      </c>
      <c r="Y67" s="558">
        <f>AVERAGE(W67:W81)</f>
        <v>300.45820401026782</v>
      </c>
      <c r="Z67" s="188">
        <v>12</v>
      </c>
      <c r="AA67" s="188">
        <v>3140.995812005588</v>
      </c>
      <c r="AB67" s="185">
        <f t="shared" ref="AB67:AB74" si="90">IFERROR(AA67/Z67,"")</f>
        <v>261.74965100046569</v>
      </c>
      <c r="AC67" s="182">
        <f>RANK(AB67, AB$67:AB$81)</f>
        <v>5</v>
      </c>
      <c r="AD67" s="558">
        <f>AVERAGE(AB67:AB81)</f>
        <v>300.47208908682575</v>
      </c>
      <c r="AE67" s="188">
        <v>12</v>
      </c>
      <c r="AF67" s="188">
        <v>3139.7089397089394</v>
      </c>
      <c r="AG67" s="185">
        <f>IFERROR(AF67/AE67,"")</f>
        <v>261.64241164241162</v>
      </c>
      <c r="AH67" s="182">
        <f>RANK(AG67, AG$67:AG$81)</f>
        <v>7</v>
      </c>
      <c r="AI67" s="558">
        <f>AVERAGE(AG67:AG81)</f>
        <v>300.4536405996401</v>
      </c>
      <c r="AJ67" s="188">
        <v>12</v>
      </c>
      <c r="AK67" s="188">
        <v>3140.3491271820399</v>
      </c>
      <c r="AL67" s="185">
        <f t="shared" ref="AL67:AL74" si="91">IFERROR(AK67/AJ67,"")</f>
        <v>261.69576059850334</v>
      </c>
      <c r="AM67" s="182">
        <f>RANK(AL67, AL$67:AL$81)</f>
        <v>5</v>
      </c>
      <c r="AN67" s="558">
        <f>AVERAGE(AL67:AL81)</f>
        <v>300.49765942543962</v>
      </c>
      <c r="AO67" s="188">
        <v>12</v>
      </c>
      <c r="AP67" s="188">
        <v>3140.7972270363971</v>
      </c>
      <c r="AQ67" s="185">
        <f t="shared" ref="AQ67:AQ74" si="92">IFERROR(AP67/AO67,"")</f>
        <v>261.73310225303311</v>
      </c>
      <c r="AR67" s="182">
        <f>RANK(AQ67, AQ$67:AQ$81)</f>
        <v>5</v>
      </c>
      <c r="AS67" s="558">
        <f>AVERAGE(AQ67:AQ81)</f>
        <v>300.50552820893398</v>
      </c>
      <c r="AT67" s="188">
        <v>12</v>
      </c>
      <c r="AU67" s="188">
        <v>3140.2625044341989</v>
      </c>
      <c r="AV67" s="185">
        <f t="shared" ref="AV67:AV74" si="93">IFERROR(AU67/AT67,"")</f>
        <v>261.68854203618326</v>
      </c>
      <c r="AW67" s="182">
        <f>RANK(AV67, AV$67:AV$81)</f>
        <v>6</v>
      </c>
      <c r="AX67" s="558">
        <f>AVERAGE(AV67:AV81)</f>
        <v>300.53200083657998</v>
      </c>
    </row>
    <row r="68" spans="2:50" ht="14.25" customHeight="1">
      <c r="B68" s="530"/>
      <c r="C68" s="180">
        <v>2</v>
      </c>
      <c r="D68" s="183" t="s">
        <v>181</v>
      </c>
      <c r="E68" s="180">
        <v>12</v>
      </c>
      <c r="F68" s="180">
        <v>3600</v>
      </c>
      <c r="G68" s="185">
        <f t="shared" si="88"/>
        <v>300</v>
      </c>
      <c r="H68" s="558"/>
      <c r="I68" s="186">
        <f t="shared" ref="I68:K74" si="94">AVERAGE(P68,U68,Z68,AE68,AJ68,AO68,AT68)</f>
        <v>12</v>
      </c>
      <c r="J68" s="186">
        <f t="shared" si="94"/>
        <v>3139.696882329195</v>
      </c>
      <c r="K68" s="187">
        <f t="shared" si="94"/>
        <v>261.64140686076627</v>
      </c>
      <c r="L68" s="559"/>
      <c r="M68" s="186">
        <f>RANK(K68, K$67:$K$81)</f>
        <v>8</v>
      </c>
      <c r="N68" s="530"/>
      <c r="O68" s="530"/>
      <c r="P68" s="188">
        <v>12</v>
      </c>
      <c r="Q68" s="188">
        <v>3139.9416909620986</v>
      </c>
      <c r="R68" s="185">
        <f t="shared" ref="R68:R74" si="95">IFERROR(Q68/P68,"")</f>
        <v>261.66180758017487</v>
      </c>
      <c r="S68" s="182">
        <f t="shared" ref="S68:S74" si="96">RANK(R68, R$67:R$81)</f>
        <v>8</v>
      </c>
      <c r="T68" s="558"/>
      <c r="U68" s="188">
        <v>12</v>
      </c>
      <c r="V68" s="188">
        <v>3139.352969579907</v>
      </c>
      <c r="W68" s="185">
        <f t="shared" si="89"/>
        <v>261.61274746499225</v>
      </c>
      <c r="X68" s="182">
        <f t="shared" ref="X68:X74" si="97">RANK(W68, W$67:W$81)</f>
        <v>8</v>
      </c>
      <c r="Y68" s="558"/>
      <c r="Z68" s="188">
        <v>12</v>
      </c>
      <c r="AA68" s="188">
        <v>3139.4531250000045</v>
      </c>
      <c r="AB68" s="185">
        <f t="shared" si="90"/>
        <v>261.6210937500004</v>
      </c>
      <c r="AC68" s="182">
        <f t="shared" ref="AC68:AC74" si="98">RANK(AB68, AB$67:AB$81)</f>
        <v>7</v>
      </c>
      <c r="AD68" s="558"/>
      <c r="AE68" s="188">
        <v>12</v>
      </c>
      <c r="AF68" s="188">
        <v>3140.5898123324359</v>
      </c>
      <c r="AG68" s="185">
        <f t="shared" ref="AG68:AG74" si="99">IFERROR(AF68/AE68,"")</f>
        <v>261.71581769436966</v>
      </c>
      <c r="AH68" s="182">
        <f t="shared" ref="AH68:AH74" si="100">RANK(AG68, AG$67:AG$81)</f>
        <v>5</v>
      </c>
      <c r="AI68" s="558"/>
      <c r="AJ68" s="188">
        <v>12</v>
      </c>
      <c r="AK68" s="188">
        <v>3139.4695787831538</v>
      </c>
      <c r="AL68" s="185">
        <f t="shared" si="91"/>
        <v>261.62246489859615</v>
      </c>
      <c r="AM68" s="182">
        <f t="shared" ref="AM68:AM74" si="101">RANK(AL68, AL$67:AL$81)</f>
        <v>7</v>
      </c>
      <c r="AN68" s="558"/>
      <c r="AO68" s="188">
        <v>12</v>
      </c>
      <c r="AP68" s="188">
        <v>3139.4736842105253</v>
      </c>
      <c r="AQ68" s="185">
        <f t="shared" si="92"/>
        <v>261.62280701754378</v>
      </c>
      <c r="AR68" s="182">
        <f t="shared" ref="AR68:AR74" si="102">RANK(AQ68, AQ$67:AQ$81)</f>
        <v>8</v>
      </c>
      <c r="AS68" s="558"/>
      <c r="AT68" s="188">
        <v>12</v>
      </c>
      <c r="AU68" s="188">
        <v>3139.5973154362396</v>
      </c>
      <c r="AV68" s="185">
        <f t="shared" si="93"/>
        <v>261.63310961968665</v>
      </c>
      <c r="AW68" s="182">
        <f t="shared" ref="AW68:AW74" si="103">RANK(AV68, AV$67:AV$81)</f>
        <v>7</v>
      </c>
      <c r="AX68" s="558"/>
    </row>
    <row r="69" spans="2:50" ht="14.25" customHeight="1">
      <c r="B69" s="530"/>
      <c r="C69" s="180">
        <v>3</v>
      </c>
      <c r="D69" s="183" t="s">
        <v>182</v>
      </c>
      <c r="E69" s="180">
        <v>11</v>
      </c>
      <c r="F69" s="180">
        <v>3600</v>
      </c>
      <c r="G69" s="185">
        <f t="shared" si="88"/>
        <v>327.27272727272725</v>
      </c>
      <c r="H69" s="558"/>
      <c r="I69" s="186">
        <f t="shared" si="94"/>
        <v>11</v>
      </c>
      <c r="J69" s="186">
        <f t="shared" si="94"/>
        <v>3174.0724951952047</v>
      </c>
      <c r="K69" s="187">
        <f t="shared" si="94"/>
        <v>288.55204501774591</v>
      </c>
      <c r="L69" s="559"/>
      <c r="M69" s="186">
        <f>RANK(K69, K$67:$K$81)</f>
        <v>3</v>
      </c>
      <c r="N69" s="530"/>
      <c r="O69" s="530"/>
      <c r="P69" s="188">
        <v>11</v>
      </c>
      <c r="Q69" s="188">
        <v>3171.8696397941685</v>
      </c>
      <c r="R69" s="185">
        <f t="shared" si="95"/>
        <v>288.35178543583351</v>
      </c>
      <c r="S69" s="182">
        <f t="shared" si="96"/>
        <v>4</v>
      </c>
      <c r="T69" s="558"/>
      <c r="U69" s="188">
        <v>11</v>
      </c>
      <c r="V69" s="188">
        <v>3172.7748691099473</v>
      </c>
      <c r="W69" s="185">
        <f t="shared" si="89"/>
        <v>288.43407900999523</v>
      </c>
      <c r="X69" s="182">
        <f t="shared" si="97"/>
        <v>3</v>
      </c>
      <c r="Y69" s="558"/>
      <c r="Z69" s="188">
        <v>11</v>
      </c>
      <c r="AA69" s="188">
        <v>3173.62637362637</v>
      </c>
      <c r="AB69" s="185">
        <f t="shared" si="90"/>
        <v>288.51148851148815</v>
      </c>
      <c r="AC69" s="182">
        <f t="shared" si="98"/>
        <v>4</v>
      </c>
      <c r="AD69" s="558"/>
      <c r="AE69" s="188">
        <v>11</v>
      </c>
      <c r="AF69" s="188">
        <v>3175.1236749116524</v>
      </c>
      <c r="AG69" s="185">
        <f t="shared" si="99"/>
        <v>288.64760681015019</v>
      </c>
      <c r="AH69" s="182">
        <f t="shared" si="100"/>
        <v>3</v>
      </c>
      <c r="AI69" s="558"/>
      <c r="AJ69" s="188">
        <v>11</v>
      </c>
      <c r="AK69" s="188">
        <v>3174.6328437917205</v>
      </c>
      <c r="AL69" s="185">
        <f t="shared" si="91"/>
        <v>288.60298579924734</v>
      </c>
      <c r="AM69" s="182">
        <f t="shared" si="101"/>
        <v>3</v>
      </c>
      <c r="AN69" s="558"/>
      <c r="AO69" s="188">
        <v>11</v>
      </c>
      <c r="AP69" s="188">
        <v>3174.9552772808579</v>
      </c>
      <c r="AQ69" s="185">
        <f t="shared" si="92"/>
        <v>288.63229793462347</v>
      </c>
      <c r="AR69" s="182">
        <f t="shared" si="102"/>
        <v>3</v>
      </c>
      <c r="AS69" s="558"/>
      <c r="AT69" s="188">
        <v>11</v>
      </c>
      <c r="AU69" s="188">
        <v>3175.5247878517175</v>
      </c>
      <c r="AV69" s="185">
        <f t="shared" si="93"/>
        <v>288.68407162288344</v>
      </c>
      <c r="AW69" s="182">
        <f t="shared" si="103"/>
        <v>3</v>
      </c>
      <c r="AX69" s="558"/>
    </row>
    <row r="70" spans="2:50" ht="14.25" customHeight="1">
      <c r="B70" s="530"/>
      <c r="C70" s="180">
        <v>4</v>
      </c>
      <c r="D70" s="183" t="s">
        <v>183</v>
      </c>
      <c r="E70" s="180">
        <v>6</v>
      </c>
      <c r="F70" s="180">
        <v>2600</v>
      </c>
      <c r="G70" s="185">
        <f t="shared" si="88"/>
        <v>433.33333333333331</v>
      </c>
      <c r="H70" s="558"/>
      <c r="I70" s="186">
        <f t="shared" si="94"/>
        <v>6</v>
      </c>
      <c r="J70" s="186">
        <f t="shared" si="94"/>
        <v>2340.4484467499451</v>
      </c>
      <c r="K70" s="187">
        <f t="shared" si="94"/>
        <v>390.07474112499079</v>
      </c>
      <c r="L70" s="559"/>
      <c r="M70" s="186">
        <f>RANK(K70, K$67:$K$81)</f>
        <v>1</v>
      </c>
      <c r="N70" s="530"/>
      <c r="O70" s="530"/>
      <c r="P70" s="188">
        <v>6</v>
      </c>
      <c r="Q70" s="188">
        <v>2340.3052572074598</v>
      </c>
      <c r="R70" s="185">
        <f t="shared" si="95"/>
        <v>390.05087620124328</v>
      </c>
      <c r="S70" s="182">
        <f t="shared" si="96"/>
        <v>1</v>
      </c>
      <c r="T70" s="558"/>
      <c r="U70" s="188">
        <v>6</v>
      </c>
      <c r="V70" s="188">
        <v>2340.5438066465285</v>
      </c>
      <c r="W70" s="185">
        <f t="shared" si="89"/>
        <v>390.09063444108807</v>
      </c>
      <c r="X70" s="182">
        <f t="shared" si="97"/>
        <v>1</v>
      </c>
      <c r="Y70" s="558"/>
      <c r="Z70" s="188">
        <v>6</v>
      </c>
      <c r="AA70" s="188">
        <v>2340.3441682600369</v>
      </c>
      <c r="AB70" s="185">
        <f t="shared" si="90"/>
        <v>390.05736137667282</v>
      </c>
      <c r="AC70" s="182">
        <f t="shared" si="98"/>
        <v>2</v>
      </c>
      <c r="AD70" s="558"/>
      <c r="AE70" s="188">
        <v>6</v>
      </c>
      <c r="AF70" s="188">
        <v>2339.5881006864929</v>
      </c>
      <c r="AG70" s="185">
        <f t="shared" si="99"/>
        <v>389.93135011441547</v>
      </c>
      <c r="AH70" s="182">
        <f t="shared" si="100"/>
        <v>1</v>
      </c>
      <c r="AI70" s="558"/>
      <c r="AJ70" s="188">
        <v>6</v>
      </c>
      <c r="AK70" s="188">
        <v>2340.6642066420677</v>
      </c>
      <c r="AL70" s="185">
        <f t="shared" si="91"/>
        <v>390.11070110701127</v>
      </c>
      <c r="AM70" s="182">
        <f t="shared" si="101"/>
        <v>2</v>
      </c>
      <c r="AN70" s="558"/>
      <c r="AO70" s="188">
        <v>6</v>
      </c>
      <c r="AP70" s="188">
        <v>2340.747577295801</v>
      </c>
      <c r="AQ70" s="185">
        <f t="shared" si="92"/>
        <v>390.12459621596685</v>
      </c>
      <c r="AR70" s="182">
        <f t="shared" si="102"/>
        <v>1</v>
      </c>
      <c r="AS70" s="558"/>
      <c r="AT70" s="188">
        <v>6</v>
      </c>
      <c r="AU70" s="188">
        <v>2340.9460105112285</v>
      </c>
      <c r="AV70" s="185">
        <f t="shared" si="93"/>
        <v>390.15766841853809</v>
      </c>
      <c r="AW70" s="182">
        <f t="shared" si="103"/>
        <v>1</v>
      </c>
      <c r="AX70" s="558"/>
    </row>
    <row r="71" spans="2:50" ht="14.25" customHeight="1">
      <c r="B71" s="530"/>
      <c r="C71" s="180">
        <v>5</v>
      </c>
      <c r="D71" s="183" t="s">
        <v>185</v>
      </c>
      <c r="E71" s="180">
        <v>6</v>
      </c>
      <c r="F71" s="180">
        <v>2600</v>
      </c>
      <c r="G71" s="185">
        <f t="shared" si="88"/>
        <v>433.33333333333331</v>
      </c>
      <c r="H71" s="558"/>
      <c r="I71" s="186">
        <f t="shared" si="94"/>
        <v>6</v>
      </c>
      <c r="J71" s="186">
        <f t="shared" si="94"/>
        <v>2340.261257140945</v>
      </c>
      <c r="K71" s="187">
        <f t="shared" si="94"/>
        <v>390.04354285682405</v>
      </c>
      <c r="L71" s="559"/>
      <c r="M71" s="186">
        <f>RANK(K71, K$67:$K$81)</f>
        <v>2</v>
      </c>
      <c r="N71" s="530"/>
      <c r="O71" s="530"/>
      <c r="P71" s="188">
        <v>6</v>
      </c>
      <c r="Q71" s="188">
        <v>2340.2390438247003</v>
      </c>
      <c r="R71" s="185">
        <f t="shared" si="95"/>
        <v>390.03984063745003</v>
      </c>
      <c r="S71" s="182">
        <f t="shared" si="96"/>
        <v>2</v>
      </c>
      <c r="T71" s="558"/>
      <c r="U71" s="188">
        <v>6</v>
      </c>
      <c r="V71" s="188">
        <v>2340.1247401247397</v>
      </c>
      <c r="W71" s="185">
        <f t="shared" si="89"/>
        <v>390.02079002078995</v>
      </c>
      <c r="X71" s="182">
        <f t="shared" si="97"/>
        <v>2</v>
      </c>
      <c r="Y71" s="558"/>
      <c r="Z71" s="188">
        <v>6</v>
      </c>
      <c r="AA71" s="188">
        <v>2340.5247813411074</v>
      </c>
      <c r="AB71" s="185">
        <f t="shared" si="90"/>
        <v>390.08746355685122</v>
      </c>
      <c r="AC71" s="182">
        <f t="shared" si="98"/>
        <v>1</v>
      </c>
      <c r="AD71" s="558"/>
      <c r="AE71" s="188">
        <v>6</v>
      </c>
      <c r="AF71" s="188">
        <v>2339.1705069124419</v>
      </c>
      <c r="AG71" s="185">
        <f t="shared" si="99"/>
        <v>389.86175115207362</v>
      </c>
      <c r="AH71" s="182">
        <f t="shared" si="100"/>
        <v>2</v>
      </c>
      <c r="AI71" s="558"/>
      <c r="AJ71" s="188">
        <v>6</v>
      </c>
      <c r="AK71" s="188">
        <v>2340.8530805687305</v>
      </c>
      <c r="AL71" s="185">
        <f t="shared" si="91"/>
        <v>390.14218009478844</v>
      </c>
      <c r="AM71" s="182">
        <f t="shared" si="101"/>
        <v>1</v>
      </c>
      <c r="AN71" s="558"/>
      <c r="AO71" s="188">
        <v>6</v>
      </c>
      <c r="AP71" s="188">
        <v>2340.2952433023493</v>
      </c>
      <c r="AQ71" s="185">
        <f t="shared" si="92"/>
        <v>390.04920721705821</v>
      </c>
      <c r="AR71" s="182">
        <f t="shared" si="102"/>
        <v>2</v>
      </c>
      <c r="AS71" s="558"/>
      <c r="AT71" s="188">
        <v>6</v>
      </c>
      <c r="AU71" s="188">
        <v>2340.6214039125434</v>
      </c>
      <c r="AV71" s="185">
        <f t="shared" si="93"/>
        <v>390.10356731875726</v>
      </c>
      <c r="AW71" s="182">
        <f t="shared" si="103"/>
        <v>2</v>
      </c>
      <c r="AX71" s="558"/>
    </row>
    <row r="72" spans="2:50" ht="14.25" customHeight="1">
      <c r="B72" s="530"/>
      <c r="C72" s="180">
        <v>6</v>
      </c>
      <c r="D72" s="183" t="s">
        <v>186</v>
      </c>
      <c r="E72" s="180">
        <v>12</v>
      </c>
      <c r="F72" s="180">
        <v>3600</v>
      </c>
      <c r="G72" s="185">
        <f t="shared" si="88"/>
        <v>300</v>
      </c>
      <c r="H72" s="558"/>
      <c r="I72" s="186">
        <f t="shared" si="94"/>
        <v>12</v>
      </c>
      <c r="J72" s="186">
        <f t="shared" si="94"/>
        <v>3140.2800943132193</v>
      </c>
      <c r="K72" s="187">
        <f t="shared" si="94"/>
        <v>261.69000785943496</v>
      </c>
      <c r="L72" s="559"/>
      <c r="M72" s="186">
        <f>RANK(K72, K$67:$K$81)</f>
        <v>6</v>
      </c>
      <c r="N72" s="530"/>
      <c r="O72" s="530"/>
      <c r="P72" s="188">
        <v>12</v>
      </c>
      <c r="Q72" s="188">
        <v>3140.073529411763</v>
      </c>
      <c r="R72" s="185">
        <f t="shared" si="95"/>
        <v>261.6727941176469</v>
      </c>
      <c r="S72" s="182">
        <f t="shared" si="96"/>
        <v>7</v>
      </c>
      <c r="T72" s="558"/>
      <c r="U72" s="188">
        <v>12</v>
      </c>
      <c r="V72" s="188">
        <v>3139.8496240601448</v>
      </c>
      <c r="W72" s="185">
        <f t="shared" si="89"/>
        <v>261.65413533834538</v>
      </c>
      <c r="X72" s="182">
        <f t="shared" si="97"/>
        <v>7</v>
      </c>
      <c r="Y72" s="558"/>
      <c r="Z72" s="188">
        <v>12</v>
      </c>
      <c r="AA72" s="188">
        <v>3139.7338403041826</v>
      </c>
      <c r="AB72" s="185">
        <f t="shared" si="90"/>
        <v>261.64448669201522</v>
      </c>
      <c r="AC72" s="182">
        <f t="shared" si="98"/>
        <v>6</v>
      </c>
      <c r="AD72" s="558"/>
      <c r="AE72" s="188">
        <v>12</v>
      </c>
      <c r="AF72" s="188">
        <v>3140.5083829096843</v>
      </c>
      <c r="AG72" s="185">
        <f t="shared" si="99"/>
        <v>261.70903190914038</v>
      </c>
      <c r="AH72" s="182">
        <f t="shared" si="100"/>
        <v>6</v>
      </c>
      <c r="AI72" s="558"/>
      <c r="AJ72" s="188">
        <v>12</v>
      </c>
      <c r="AK72" s="188">
        <v>3140.1651287032505</v>
      </c>
      <c r="AL72" s="185">
        <f t="shared" si="91"/>
        <v>261.68042739193754</v>
      </c>
      <c r="AM72" s="182">
        <f t="shared" si="101"/>
        <v>6</v>
      </c>
      <c r="AN72" s="558"/>
      <c r="AO72" s="188">
        <v>12</v>
      </c>
      <c r="AP72" s="188">
        <v>3140.7079646017783</v>
      </c>
      <c r="AQ72" s="185">
        <f t="shared" si="92"/>
        <v>261.72566371681484</v>
      </c>
      <c r="AR72" s="182">
        <f t="shared" si="102"/>
        <v>6</v>
      </c>
      <c r="AS72" s="558"/>
      <c r="AT72" s="188">
        <v>12</v>
      </c>
      <c r="AU72" s="188">
        <v>3140.9221902017302</v>
      </c>
      <c r="AV72" s="185">
        <f t="shared" si="93"/>
        <v>261.74351585014421</v>
      </c>
      <c r="AW72" s="182">
        <f t="shared" si="103"/>
        <v>5</v>
      </c>
      <c r="AX72" s="558"/>
    </row>
    <row r="73" spans="2:50" ht="14.25" customHeight="1">
      <c r="B73" s="530"/>
      <c r="C73" s="180">
        <v>7</v>
      </c>
      <c r="D73" s="183" t="s">
        <v>187</v>
      </c>
      <c r="E73" s="180">
        <v>12</v>
      </c>
      <c r="F73" s="180">
        <v>3600</v>
      </c>
      <c r="G73" s="185">
        <f t="shared" si="88"/>
        <v>300</v>
      </c>
      <c r="H73" s="558"/>
      <c r="I73" s="186">
        <f t="shared" si="94"/>
        <v>12</v>
      </c>
      <c r="J73" s="186">
        <f t="shared" si="94"/>
        <v>3139.7172713563878</v>
      </c>
      <c r="K73" s="187">
        <f t="shared" si="94"/>
        <v>261.64310594636567</v>
      </c>
      <c r="L73" s="559"/>
      <c r="M73" s="186">
        <f>RANK(K73, K$67:$K$81)</f>
        <v>7</v>
      </c>
      <c r="N73" s="530"/>
      <c r="O73" s="530"/>
      <c r="P73" s="188">
        <v>12</v>
      </c>
      <c r="Q73" s="188">
        <v>3140.1590457256443</v>
      </c>
      <c r="R73" s="185">
        <f t="shared" si="95"/>
        <v>261.67992047713705</v>
      </c>
      <c r="S73" s="182">
        <f t="shared" si="96"/>
        <v>6</v>
      </c>
      <c r="T73" s="558"/>
      <c r="U73" s="188">
        <v>12</v>
      </c>
      <c r="V73" s="188">
        <v>3140.8906882591164</v>
      </c>
      <c r="W73" s="185">
        <f t="shared" si="89"/>
        <v>261.7408906882597</v>
      </c>
      <c r="X73" s="182">
        <f t="shared" si="97"/>
        <v>5</v>
      </c>
      <c r="Y73" s="558"/>
      <c r="Z73" s="188">
        <v>12</v>
      </c>
      <c r="AA73" s="188">
        <v>3139.0937829293953</v>
      </c>
      <c r="AB73" s="185">
        <f t="shared" si="90"/>
        <v>261.59114857744959</v>
      </c>
      <c r="AC73" s="182">
        <f t="shared" si="98"/>
        <v>8</v>
      </c>
      <c r="AD73" s="558"/>
      <c r="AE73" s="188">
        <v>12</v>
      </c>
      <c r="AF73" s="188">
        <v>3139.2529087569023</v>
      </c>
      <c r="AG73" s="185">
        <f t="shared" si="99"/>
        <v>261.6044090630752</v>
      </c>
      <c r="AH73" s="182">
        <f t="shared" si="100"/>
        <v>8</v>
      </c>
      <c r="AI73" s="558"/>
      <c r="AJ73" s="188">
        <v>12</v>
      </c>
      <c r="AK73" s="188">
        <v>3139.4204483324197</v>
      </c>
      <c r="AL73" s="185">
        <f t="shared" si="91"/>
        <v>261.61837069436831</v>
      </c>
      <c r="AM73" s="182">
        <f t="shared" si="101"/>
        <v>8</v>
      </c>
      <c r="AN73" s="558"/>
      <c r="AO73" s="188">
        <v>12</v>
      </c>
      <c r="AP73" s="188">
        <v>3139.7522972433139</v>
      </c>
      <c r="AQ73" s="185">
        <f t="shared" si="92"/>
        <v>261.64602477027614</v>
      </c>
      <c r="AR73" s="182">
        <f t="shared" si="102"/>
        <v>7</v>
      </c>
      <c r="AS73" s="558"/>
      <c r="AT73" s="188">
        <v>12</v>
      </c>
      <c r="AU73" s="188">
        <v>3139.451728247926</v>
      </c>
      <c r="AV73" s="185">
        <f t="shared" si="93"/>
        <v>261.62097735399385</v>
      </c>
      <c r="AW73" s="182">
        <f t="shared" si="103"/>
        <v>8</v>
      </c>
      <c r="AX73" s="558"/>
    </row>
    <row r="74" spans="2:50" ht="14.25" customHeight="1">
      <c r="B74" s="530"/>
      <c r="C74" s="180">
        <v>8</v>
      </c>
      <c r="D74" s="183" t="s">
        <v>188</v>
      </c>
      <c r="E74" s="180">
        <v>11</v>
      </c>
      <c r="F74" s="180">
        <v>3600</v>
      </c>
      <c r="G74" s="185">
        <f t="shared" si="88"/>
        <v>327.27272727272725</v>
      </c>
      <c r="H74" s="558"/>
      <c r="I74" s="186">
        <f t="shared" si="94"/>
        <v>11</v>
      </c>
      <c r="J74" s="186">
        <f t="shared" si="94"/>
        <v>3173.4451173448438</v>
      </c>
      <c r="K74" s="187">
        <f t="shared" si="94"/>
        <v>288.49501066771307</v>
      </c>
      <c r="L74" s="559"/>
      <c r="M74" s="186">
        <f>RANK(K74, K$67:$K$81)</f>
        <v>4</v>
      </c>
      <c r="N74" s="530"/>
      <c r="O74" s="530"/>
      <c r="P74" s="188">
        <v>11</v>
      </c>
      <c r="Q74" s="188">
        <v>3172.4696356275272</v>
      </c>
      <c r="R74" s="185">
        <f t="shared" si="95"/>
        <v>288.40633051159335</v>
      </c>
      <c r="S74" s="182">
        <f t="shared" si="96"/>
        <v>3</v>
      </c>
      <c r="T74" s="558"/>
      <c r="U74" s="188">
        <v>11</v>
      </c>
      <c r="V74" s="188">
        <v>3172.2296395193575</v>
      </c>
      <c r="W74" s="185">
        <f t="shared" si="89"/>
        <v>288.38451268357795</v>
      </c>
      <c r="X74" s="182">
        <f t="shared" si="97"/>
        <v>4</v>
      </c>
      <c r="Y74" s="558"/>
      <c r="Z74" s="188">
        <v>11</v>
      </c>
      <c r="AA74" s="188">
        <v>3173.6542115262941</v>
      </c>
      <c r="AB74" s="185">
        <f t="shared" si="90"/>
        <v>288.51401922966312</v>
      </c>
      <c r="AC74" s="182">
        <f t="shared" si="98"/>
        <v>3</v>
      </c>
      <c r="AD74" s="558"/>
      <c r="AE74" s="188">
        <v>11</v>
      </c>
      <c r="AF74" s="188">
        <v>3173.6842105263327</v>
      </c>
      <c r="AG74" s="185">
        <f t="shared" si="99"/>
        <v>288.5167464114848</v>
      </c>
      <c r="AH74" s="182">
        <f t="shared" si="100"/>
        <v>4</v>
      </c>
      <c r="AI74" s="558"/>
      <c r="AJ74" s="188">
        <v>11</v>
      </c>
      <c r="AK74" s="188">
        <v>3173.5922330097055</v>
      </c>
      <c r="AL74" s="185">
        <f t="shared" si="91"/>
        <v>288.50838481906413</v>
      </c>
      <c r="AM74" s="182">
        <f t="shared" si="101"/>
        <v>4</v>
      </c>
      <c r="AN74" s="558"/>
      <c r="AO74" s="188">
        <v>11</v>
      </c>
      <c r="AP74" s="188">
        <v>3173.6157920077108</v>
      </c>
      <c r="AQ74" s="185">
        <f t="shared" si="92"/>
        <v>288.51052654615552</v>
      </c>
      <c r="AR74" s="182">
        <f t="shared" si="102"/>
        <v>4</v>
      </c>
      <c r="AS74" s="558"/>
      <c r="AT74" s="188">
        <v>11</v>
      </c>
      <c r="AU74" s="188">
        <v>3174.8700991969795</v>
      </c>
      <c r="AV74" s="185">
        <f t="shared" si="93"/>
        <v>288.6245544724527</v>
      </c>
      <c r="AW74" s="182">
        <f t="shared" si="103"/>
        <v>4</v>
      </c>
      <c r="AX74" s="558"/>
    </row>
    <row r="75" spans="2:50" ht="14.25" customHeight="1">
      <c r="B75" s="530"/>
      <c r="C75" s="180">
        <v>9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30"/>
      <c r="O75" s="530"/>
      <c r="P75" s="188"/>
      <c r="Q75" s="188"/>
      <c r="R75" s="185"/>
      <c r="S75" s="182"/>
      <c r="T75" s="558"/>
      <c r="U75" s="188"/>
      <c r="V75" s="188"/>
      <c r="W75" s="185"/>
      <c r="X75" s="182"/>
      <c r="Y75" s="558"/>
      <c r="Z75" s="188"/>
      <c r="AA75" s="188"/>
      <c r="AB75" s="185"/>
      <c r="AC75" s="182"/>
      <c r="AD75" s="558"/>
      <c r="AE75" s="188"/>
      <c r="AF75" s="188"/>
      <c r="AG75" s="185"/>
      <c r="AH75" s="182"/>
      <c r="AI75" s="558"/>
      <c r="AJ75" s="188"/>
      <c r="AK75" s="188"/>
      <c r="AL75" s="185"/>
      <c r="AM75" s="182"/>
      <c r="AN75" s="558"/>
      <c r="AO75" s="188"/>
      <c r="AP75" s="188"/>
      <c r="AQ75" s="185"/>
      <c r="AR75" s="182"/>
      <c r="AS75" s="558"/>
      <c r="AT75" s="188"/>
      <c r="AU75" s="188"/>
      <c r="AV75" s="185"/>
      <c r="AW75" s="182"/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558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558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558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558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558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558"/>
      <c r="AT81" s="188"/>
      <c r="AU81" s="188"/>
      <c r="AV81" s="185"/>
      <c r="AW81" s="182"/>
      <c r="AX81" s="558"/>
    </row>
    <row r="82" spans="2:50" ht="14.25" customHeight="1" collapsed="1">
      <c r="B82" s="544" t="s">
        <v>176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60" t="s">
        <v>127</v>
      </c>
      <c r="O82" s="560" t="s">
        <v>77</v>
      </c>
      <c r="P82" s="596">
        <f>AT62+1</f>
        <v>46077</v>
      </c>
      <c r="Q82" s="597"/>
      <c r="R82" s="597"/>
      <c r="S82" s="597"/>
      <c r="T82" s="597"/>
      <c r="U82" s="598">
        <f>P82+1</f>
        <v>46078</v>
      </c>
      <c r="V82" s="599"/>
      <c r="W82" s="599"/>
      <c r="X82" s="599"/>
      <c r="Y82" s="599"/>
      <c r="Z82" s="596">
        <f t="shared" ref="Z82" si="104">U82+1</f>
        <v>46079</v>
      </c>
      <c r="AA82" s="597"/>
      <c r="AB82" s="597"/>
      <c r="AC82" s="597"/>
      <c r="AD82" s="597"/>
      <c r="AE82" s="598">
        <f t="shared" ref="AE82" si="105">Z82+1</f>
        <v>46080</v>
      </c>
      <c r="AF82" s="599"/>
      <c r="AG82" s="599"/>
      <c r="AH82" s="599"/>
      <c r="AI82" s="599"/>
      <c r="AJ82" s="588">
        <f t="shared" ref="AJ82" si="106">AE82+1</f>
        <v>46081</v>
      </c>
      <c r="AK82" s="589"/>
      <c r="AL82" s="589"/>
      <c r="AM82" s="589"/>
      <c r="AN82" s="590"/>
      <c r="AO82" s="598">
        <f t="shared" ref="AO82" si="107">AJ82+1</f>
        <v>46082</v>
      </c>
      <c r="AP82" s="599"/>
      <c r="AQ82" s="599"/>
      <c r="AR82" s="599"/>
      <c r="AS82" s="599"/>
      <c r="AT82" s="588">
        <f t="shared" ref="AT82" si="108">AO82+1</f>
        <v>46083</v>
      </c>
      <c r="AU82" s="589"/>
      <c r="AV82" s="589"/>
      <c r="AW82" s="589"/>
      <c r="AX82" s="590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62"/>
      <c r="O83" s="562"/>
      <c r="P83" s="591">
        <f>P82</f>
        <v>46077</v>
      </c>
      <c r="Q83" s="591"/>
      <c r="R83" s="591"/>
      <c r="S83" s="591"/>
      <c r="T83" s="591"/>
      <c r="U83" s="592">
        <f>U82</f>
        <v>46078</v>
      </c>
      <c r="V83" s="592"/>
      <c r="W83" s="592"/>
      <c r="X83" s="592"/>
      <c r="Y83" s="592"/>
      <c r="Z83" s="591">
        <f t="shared" ref="Z83" si="109">Z82</f>
        <v>46079</v>
      </c>
      <c r="AA83" s="591"/>
      <c r="AB83" s="591"/>
      <c r="AC83" s="591"/>
      <c r="AD83" s="591"/>
      <c r="AE83" s="592">
        <f t="shared" ref="AE83" si="110">AE82</f>
        <v>46080</v>
      </c>
      <c r="AF83" s="592"/>
      <c r="AG83" s="592"/>
      <c r="AH83" s="592"/>
      <c r="AI83" s="592"/>
      <c r="AJ83" s="593">
        <f t="shared" ref="AJ83" si="111">AJ82</f>
        <v>46081</v>
      </c>
      <c r="AK83" s="594"/>
      <c r="AL83" s="594"/>
      <c r="AM83" s="594"/>
      <c r="AN83" s="595"/>
      <c r="AO83" s="592">
        <f t="shared" ref="AO83" si="112">AO82</f>
        <v>46082</v>
      </c>
      <c r="AP83" s="592"/>
      <c r="AQ83" s="592"/>
      <c r="AR83" s="592"/>
      <c r="AS83" s="592"/>
      <c r="AT83" s="593">
        <f t="shared" ref="AT83" si="113">AT82</f>
        <v>46083</v>
      </c>
      <c r="AU83" s="594"/>
      <c r="AV83" s="594"/>
      <c r="AW83" s="594"/>
      <c r="AX83" s="595"/>
    </row>
    <row r="84" spans="2:50" ht="14.25" customHeight="1">
      <c r="B84" s="530" t="s">
        <v>128</v>
      </c>
      <c r="C84" s="530" t="s">
        <v>129</v>
      </c>
      <c r="D84" s="530"/>
      <c r="E84" s="530" t="s">
        <v>130</v>
      </c>
      <c r="F84" s="530"/>
      <c r="G84" s="530"/>
      <c r="H84" s="530" t="s">
        <v>131</v>
      </c>
      <c r="I84" s="553" t="s">
        <v>132</v>
      </c>
      <c r="J84" s="553"/>
      <c r="K84" s="553"/>
      <c r="L84" s="553" t="s">
        <v>131</v>
      </c>
      <c r="M84" s="553" t="s">
        <v>133</v>
      </c>
      <c r="N84" s="530"/>
      <c r="O84" s="530" t="s">
        <v>134</v>
      </c>
      <c r="P84" s="530" t="s">
        <v>135</v>
      </c>
      <c r="Q84" s="530"/>
      <c r="R84" s="530"/>
      <c r="S84" s="530"/>
      <c r="T84" s="530" t="s">
        <v>131</v>
      </c>
      <c r="U84" s="530" t="s">
        <v>135</v>
      </c>
      <c r="V84" s="530"/>
      <c r="W84" s="530"/>
      <c r="X84" s="530"/>
      <c r="Y84" s="530" t="s">
        <v>131</v>
      </c>
      <c r="Z84" s="530" t="s">
        <v>135</v>
      </c>
      <c r="AA84" s="530"/>
      <c r="AB84" s="530"/>
      <c r="AC84" s="530"/>
      <c r="AD84" s="530" t="s">
        <v>131</v>
      </c>
      <c r="AE84" s="530" t="s">
        <v>135</v>
      </c>
      <c r="AF84" s="530"/>
      <c r="AG84" s="530"/>
      <c r="AH84" s="530"/>
      <c r="AI84" s="530" t="s">
        <v>131</v>
      </c>
      <c r="AJ84" s="530" t="s">
        <v>135</v>
      </c>
      <c r="AK84" s="530"/>
      <c r="AL84" s="530"/>
      <c r="AM84" s="530"/>
      <c r="AN84" s="530" t="s">
        <v>131</v>
      </c>
      <c r="AO84" s="530" t="s">
        <v>135</v>
      </c>
      <c r="AP84" s="530"/>
      <c r="AQ84" s="530"/>
      <c r="AR84" s="530"/>
      <c r="AS84" s="530" t="s">
        <v>131</v>
      </c>
      <c r="AT84" s="530" t="s">
        <v>135</v>
      </c>
      <c r="AU84" s="530"/>
      <c r="AV84" s="530"/>
      <c r="AW84" s="530"/>
      <c r="AX84" s="530" t="s">
        <v>131</v>
      </c>
    </row>
    <row r="85" spans="2:50" ht="14.25" customHeight="1">
      <c r="B85" s="530"/>
      <c r="C85" s="530"/>
      <c r="D85" s="530"/>
      <c r="E85" s="530" t="s">
        <v>136</v>
      </c>
      <c r="F85" s="530"/>
      <c r="G85" s="530"/>
      <c r="H85" s="530"/>
      <c r="I85" s="553" t="s">
        <v>136</v>
      </c>
      <c r="J85" s="553"/>
      <c r="K85" s="553"/>
      <c r="L85" s="553"/>
      <c r="M85" s="553"/>
      <c r="N85" s="530"/>
      <c r="O85" s="530"/>
      <c r="P85" s="530" t="s">
        <v>137</v>
      </c>
      <c r="Q85" s="530"/>
      <c r="R85" s="530"/>
      <c r="S85" s="530"/>
      <c r="T85" s="530"/>
      <c r="U85" s="530" t="s">
        <v>137</v>
      </c>
      <c r="V85" s="530"/>
      <c r="W85" s="530"/>
      <c r="X85" s="530"/>
      <c r="Y85" s="530"/>
      <c r="Z85" s="530" t="s">
        <v>137</v>
      </c>
      <c r="AA85" s="530"/>
      <c r="AB85" s="530"/>
      <c r="AC85" s="530"/>
      <c r="AD85" s="530"/>
      <c r="AE85" s="530" t="s">
        <v>137</v>
      </c>
      <c r="AF85" s="530"/>
      <c r="AG85" s="530"/>
      <c r="AH85" s="530"/>
      <c r="AI85" s="530"/>
      <c r="AJ85" s="530" t="s">
        <v>137</v>
      </c>
      <c r="AK85" s="530"/>
      <c r="AL85" s="530"/>
      <c r="AM85" s="530"/>
      <c r="AN85" s="530"/>
      <c r="AO85" s="530" t="s">
        <v>137</v>
      </c>
      <c r="AP85" s="530"/>
      <c r="AQ85" s="530"/>
      <c r="AR85" s="530"/>
      <c r="AS85" s="530"/>
      <c r="AT85" s="530" t="s">
        <v>137</v>
      </c>
      <c r="AU85" s="530"/>
      <c r="AV85" s="530"/>
      <c r="AW85" s="530"/>
      <c r="AX85" s="530"/>
    </row>
    <row r="86" spans="2:50" ht="14.25" customHeight="1">
      <c r="B86" s="530"/>
      <c r="C86" s="530"/>
      <c r="D86" s="530"/>
      <c r="E86" s="180" t="s">
        <v>138</v>
      </c>
      <c r="F86" s="180" t="s">
        <v>139</v>
      </c>
      <c r="G86" s="180" t="s">
        <v>140</v>
      </c>
      <c r="H86" s="530"/>
      <c r="I86" s="181" t="s">
        <v>138</v>
      </c>
      <c r="J86" s="181" t="s">
        <v>139</v>
      </c>
      <c r="K86" s="181" t="s">
        <v>140</v>
      </c>
      <c r="L86" s="553"/>
      <c r="M86" s="553"/>
      <c r="N86" s="530"/>
      <c r="O86" s="530"/>
      <c r="P86" s="180" t="s">
        <v>138</v>
      </c>
      <c r="Q86" s="180" t="s">
        <v>139</v>
      </c>
      <c r="R86" s="180" t="s">
        <v>140</v>
      </c>
      <c r="S86" s="182" t="s">
        <v>133</v>
      </c>
      <c r="T86" s="530"/>
      <c r="U86" s="180" t="s">
        <v>138</v>
      </c>
      <c r="V86" s="180" t="s">
        <v>139</v>
      </c>
      <c r="W86" s="180" t="s">
        <v>140</v>
      </c>
      <c r="X86" s="182" t="s">
        <v>133</v>
      </c>
      <c r="Y86" s="530"/>
      <c r="Z86" s="180" t="s">
        <v>138</v>
      </c>
      <c r="AA86" s="180" t="s">
        <v>139</v>
      </c>
      <c r="AB86" s="180" t="s">
        <v>140</v>
      </c>
      <c r="AC86" s="182" t="s">
        <v>133</v>
      </c>
      <c r="AD86" s="530"/>
      <c r="AE86" s="180" t="s">
        <v>138</v>
      </c>
      <c r="AF86" s="180" t="s">
        <v>139</v>
      </c>
      <c r="AG86" s="180" t="s">
        <v>140</v>
      </c>
      <c r="AH86" s="182" t="s">
        <v>133</v>
      </c>
      <c r="AI86" s="530"/>
      <c r="AJ86" s="180" t="s">
        <v>138</v>
      </c>
      <c r="AK86" s="180" t="s">
        <v>139</v>
      </c>
      <c r="AL86" s="180" t="s">
        <v>140</v>
      </c>
      <c r="AM86" s="182" t="s">
        <v>133</v>
      </c>
      <c r="AN86" s="530"/>
      <c r="AO86" s="180" t="s">
        <v>138</v>
      </c>
      <c r="AP86" s="180" t="s">
        <v>139</v>
      </c>
      <c r="AQ86" s="180" t="s">
        <v>140</v>
      </c>
      <c r="AR86" s="182" t="s">
        <v>133</v>
      </c>
      <c r="AS86" s="530"/>
      <c r="AT86" s="180" t="s">
        <v>138</v>
      </c>
      <c r="AU86" s="180" t="s">
        <v>139</v>
      </c>
      <c r="AV86" s="180" t="s">
        <v>140</v>
      </c>
      <c r="AW86" s="182" t="s">
        <v>133</v>
      </c>
      <c r="AX86" s="530"/>
    </row>
    <row r="87" spans="2:50" ht="14.25" customHeight="1">
      <c r="B87" s="530" t="s">
        <v>179</v>
      </c>
      <c r="C87" s="180">
        <v>1</v>
      </c>
      <c r="D87" s="183" t="s">
        <v>180</v>
      </c>
      <c r="E87" s="180">
        <v>12</v>
      </c>
      <c r="F87" s="180">
        <v>3600</v>
      </c>
      <c r="G87" s="185">
        <f t="shared" ref="G87:G94" si="114">F87/E87</f>
        <v>300</v>
      </c>
      <c r="H87" s="558">
        <f>AVERAGE(G87:G101)</f>
        <v>340.15151515151513</v>
      </c>
      <c r="I87" s="186">
        <f>AVERAGE(P87,U87,Z87,AE87,AJ87,AO87,AT87)</f>
        <v>12</v>
      </c>
      <c r="J87" s="186">
        <f>AVERAGE(Q87,V87,AA87,AF87,AK87,AP87,AU87)</f>
        <v>3140.3171460477215</v>
      </c>
      <c r="K87" s="187">
        <f>AVERAGE(R87,W87,AB87,AG87,AL87,AQ87,AV87)</f>
        <v>261.69309550397674</v>
      </c>
      <c r="L87" s="559">
        <f>IFERROR(AVERAGE(K87:K101),"-")</f>
        <v>300.55927939537992</v>
      </c>
      <c r="M87" s="186">
        <f>RANK(K87, K$87:$K$101)</f>
        <v>6</v>
      </c>
      <c r="N87" s="530"/>
      <c r="O87" s="530"/>
      <c r="P87" s="188">
        <v>12</v>
      </c>
      <c r="Q87" s="188">
        <v>3140.9572524662062</v>
      </c>
      <c r="R87" s="185">
        <f>IFERROR(Q87/P87,"")</f>
        <v>261.74643770551717</v>
      </c>
      <c r="S87" s="182">
        <f>RANK(R87, R$87:R$101)</f>
        <v>5</v>
      </c>
      <c r="T87" s="558">
        <f>AVERAGE(R87:R101)</f>
        <v>300.56797311618504</v>
      </c>
      <c r="U87" s="188">
        <v>12</v>
      </c>
      <c r="V87" s="188">
        <v>3140.1223461676891</v>
      </c>
      <c r="W87" s="185">
        <f t="shared" ref="W87:W94" si="115">IFERROR(V87/U87,"")</f>
        <v>261.67686218064074</v>
      </c>
      <c r="X87" s="182">
        <f>RANK(W87, W$87:W$101)</f>
        <v>5</v>
      </c>
      <c r="Y87" s="558">
        <f>AVERAGE(W87:W101)</f>
        <v>300.51267827935942</v>
      </c>
      <c r="Z87" s="188">
        <v>12</v>
      </c>
      <c r="AA87" s="188">
        <v>3140.0530503978766</v>
      </c>
      <c r="AB87" s="185">
        <f t="shared" ref="AB87:AB94" si="116">IFERROR(AA87/Z87,"")</f>
        <v>261.67108753315637</v>
      </c>
      <c r="AC87" s="182" t="e">
        <f>RANK(AB87, AB$7:AB$21)</f>
        <v>#N/A</v>
      </c>
      <c r="AD87" s="558">
        <f>AVERAGE(AB87:AB101)</f>
        <v>300.51454818968159</v>
      </c>
      <c r="AE87" s="188">
        <v>12</v>
      </c>
      <c r="AF87" s="188">
        <v>3139.8496240601526</v>
      </c>
      <c r="AG87" s="185">
        <f>IFERROR(AF87/AE87,"")</f>
        <v>261.65413533834607</v>
      </c>
      <c r="AH87" s="182" t="e">
        <f>RANK(AG87, AG$7:AG$21)</f>
        <v>#N/A</v>
      </c>
      <c r="AI87" s="558">
        <f>AVERAGE(AG87:AG101)</f>
        <v>300.57597839118245</v>
      </c>
      <c r="AJ87" s="188">
        <v>12</v>
      </c>
      <c r="AK87" s="188">
        <v>3140.5378973105035</v>
      </c>
      <c r="AL87" s="185">
        <f t="shared" ref="AL87:AL94" si="117">IFERROR(AK87/AJ87,"")</f>
        <v>261.71149144254196</v>
      </c>
      <c r="AM87" s="182">
        <f>RANK(AL87, AL$87:AL$101)</f>
        <v>6</v>
      </c>
      <c r="AN87" s="558">
        <f>AVERAGE(AL87:AL101)</f>
        <v>300.57532705728045</v>
      </c>
      <c r="AO87" s="188">
        <v>12</v>
      </c>
      <c r="AP87" s="188">
        <v>3140.4521739130432</v>
      </c>
      <c r="AQ87" s="185">
        <f t="shared" ref="AQ87:AQ94" si="118">IFERROR(AP87/AO87,"")</f>
        <v>261.70434782608692</v>
      </c>
      <c r="AR87" s="182">
        <f>RANK(AQ87, AQ$87:AQ$101)</f>
        <v>7</v>
      </c>
      <c r="AS87" s="558">
        <f>AVERAGE(AQ87:AQ101)</f>
        <v>300.58262162037931</v>
      </c>
      <c r="AT87" s="188">
        <v>12</v>
      </c>
      <c r="AU87" s="188">
        <v>3140.247678018578</v>
      </c>
      <c r="AV87" s="185">
        <f t="shared" ref="AV87:AV94" si="119">IFERROR(AU87/AT87,"")</f>
        <v>261.68730650154816</v>
      </c>
      <c r="AW87" s="182">
        <f>RANK(AV87, AV$87:AV$101)</f>
        <v>6</v>
      </c>
      <c r="AX87" s="558">
        <f>AVERAGE(AV87:AV101)</f>
        <v>300.58582911359093</v>
      </c>
    </row>
    <row r="88" spans="2:50" ht="14.25" customHeight="1">
      <c r="B88" s="530"/>
      <c r="C88" s="180">
        <v>2</v>
      </c>
      <c r="D88" s="183" t="s">
        <v>181</v>
      </c>
      <c r="E88" s="180">
        <v>12</v>
      </c>
      <c r="F88" s="180">
        <v>3600</v>
      </c>
      <c r="G88" s="185">
        <f t="shared" si="114"/>
        <v>300</v>
      </c>
      <c r="H88" s="558"/>
      <c r="I88" s="186">
        <f t="shared" ref="I88:K94" si="120">AVERAGE(P88,U88,Z88,AE88,AJ88,AO88,AT88)</f>
        <v>12</v>
      </c>
      <c r="J88" s="186">
        <f t="shared" si="120"/>
        <v>3140.2425559193284</v>
      </c>
      <c r="K88" s="187">
        <f t="shared" si="120"/>
        <v>261.68687965994411</v>
      </c>
      <c r="L88" s="559"/>
      <c r="M88" s="186">
        <f>RANK(K88, K$87:$K$101)</f>
        <v>7</v>
      </c>
      <c r="N88" s="530"/>
      <c r="O88" s="530"/>
      <c r="P88" s="188">
        <v>12</v>
      </c>
      <c r="Q88" s="188">
        <v>3140.1253918495245</v>
      </c>
      <c r="R88" s="185">
        <f t="shared" ref="R88:R94" si="121">IFERROR(Q88/P88,"")</f>
        <v>261.67711598746035</v>
      </c>
      <c r="S88" s="182">
        <f t="shared" ref="S88:S94" si="122">RANK(R88, R$87:R$101)</f>
        <v>7</v>
      </c>
      <c r="T88" s="558"/>
      <c r="U88" s="188">
        <v>12</v>
      </c>
      <c r="V88" s="188">
        <v>3139.860139860135</v>
      </c>
      <c r="W88" s="185">
        <f t="shared" si="115"/>
        <v>261.65501165501126</v>
      </c>
      <c r="X88" s="182">
        <f t="shared" ref="X88:X94" si="123">RANK(W88, W$87:W$101)</f>
        <v>7</v>
      </c>
      <c r="Y88" s="558"/>
      <c r="Z88" s="188">
        <v>12</v>
      </c>
      <c r="AA88" s="188">
        <v>3139.6946564885498</v>
      </c>
      <c r="AB88" s="185">
        <f t="shared" si="116"/>
        <v>261.64122137404581</v>
      </c>
      <c r="AC88" s="182" t="e">
        <f t="shared" ref="AC88:AC94" si="124">RANK(AB88, AB$7:AB$21)</f>
        <v>#N/A</v>
      </c>
      <c r="AD88" s="558"/>
      <c r="AE88" s="188">
        <v>12</v>
      </c>
      <c r="AF88" s="188">
        <v>3140.425531914897</v>
      </c>
      <c r="AG88" s="185">
        <f t="shared" ref="AG88:AG94" si="125">IFERROR(AF88/AE88,"")</f>
        <v>261.70212765957473</v>
      </c>
      <c r="AH88" s="182" t="e">
        <f t="shared" ref="AH88:AH93" si="126">RANK(AG88, AG$7:AG$21)</f>
        <v>#N/A</v>
      </c>
      <c r="AI88" s="558"/>
      <c r="AJ88" s="188">
        <v>12</v>
      </c>
      <c r="AK88" s="188">
        <v>3140.347293156286</v>
      </c>
      <c r="AL88" s="185">
        <f t="shared" si="117"/>
        <v>261.69560776302382</v>
      </c>
      <c r="AM88" s="182">
        <f t="shared" ref="AM88:AM94" si="127">RANK(AL88, AL$87:AL$101)</f>
        <v>8</v>
      </c>
      <c r="AN88" s="558"/>
      <c r="AO88" s="188">
        <v>12</v>
      </c>
      <c r="AP88" s="188">
        <v>3140.9124906507077</v>
      </c>
      <c r="AQ88" s="185">
        <f t="shared" si="118"/>
        <v>261.74270755422566</v>
      </c>
      <c r="AR88" s="182">
        <f t="shared" ref="AR88:AR94" si="128">RANK(AQ88, AQ$87:AQ$101)</f>
        <v>5</v>
      </c>
      <c r="AS88" s="558"/>
      <c r="AT88" s="188">
        <v>12</v>
      </c>
      <c r="AU88" s="188">
        <v>3140.3323875152023</v>
      </c>
      <c r="AV88" s="185">
        <f t="shared" si="119"/>
        <v>261.69436562626686</v>
      </c>
      <c r="AW88" s="182">
        <f t="shared" ref="AW88:AW94" si="129">RANK(AV88, AV$87:AV$101)</f>
        <v>5</v>
      </c>
      <c r="AX88" s="558"/>
    </row>
    <row r="89" spans="2:50" ht="14.25" customHeight="1">
      <c r="B89" s="530"/>
      <c r="C89" s="180">
        <v>3</v>
      </c>
      <c r="D89" s="183" t="s">
        <v>182</v>
      </c>
      <c r="E89" s="180">
        <v>11</v>
      </c>
      <c r="F89" s="180">
        <v>3600</v>
      </c>
      <c r="G89" s="185">
        <f t="shared" si="114"/>
        <v>327.27272727272725</v>
      </c>
      <c r="H89" s="558"/>
      <c r="I89" s="186">
        <f t="shared" si="120"/>
        <v>11</v>
      </c>
      <c r="J89" s="186">
        <f t="shared" si="120"/>
        <v>3176.7163075012372</v>
      </c>
      <c r="K89" s="187">
        <f t="shared" si="120"/>
        <v>288.79239159102161</v>
      </c>
      <c r="L89" s="559"/>
      <c r="M89" s="186">
        <f>RANK(K89, K$87:$K$101)</f>
        <v>3</v>
      </c>
      <c r="N89" s="530"/>
      <c r="O89" s="530"/>
      <c r="P89" s="188">
        <v>11</v>
      </c>
      <c r="Q89" s="188">
        <v>3175.8765778401144</v>
      </c>
      <c r="R89" s="185">
        <f t="shared" si="121"/>
        <v>288.71605253091951</v>
      </c>
      <c r="S89" s="182">
        <f t="shared" si="122"/>
        <v>3</v>
      </c>
      <c r="T89" s="558"/>
      <c r="U89" s="188">
        <v>11</v>
      </c>
      <c r="V89" s="188">
        <v>3175.6588404408262</v>
      </c>
      <c r="W89" s="185">
        <f t="shared" si="115"/>
        <v>288.69625822189329</v>
      </c>
      <c r="X89" s="182">
        <f t="shared" si="123"/>
        <v>3</v>
      </c>
      <c r="Y89" s="558"/>
      <c r="Z89" s="188">
        <v>11</v>
      </c>
      <c r="AA89" s="188">
        <v>3175.6345177664989</v>
      </c>
      <c r="AB89" s="185">
        <f t="shared" si="116"/>
        <v>288.69404706968174</v>
      </c>
      <c r="AC89" s="182" t="e">
        <f t="shared" si="124"/>
        <v>#N/A</v>
      </c>
      <c r="AD89" s="558"/>
      <c r="AE89" s="188">
        <v>11</v>
      </c>
      <c r="AF89" s="188">
        <v>3176.5932792584044</v>
      </c>
      <c r="AG89" s="185">
        <f t="shared" si="125"/>
        <v>288.7812072053095</v>
      </c>
      <c r="AH89" s="182" t="e">
        <f t="shared" si="126"/>
        <v>#N/A</v>
      </c>
      <c r="AI89" s="558"/>
      <c r="AJ89" s="188">
        <v>11</v>
      </c>
      <c r="AK89" s="188">
        <v>3176.9889840881283</v>
      </c>
      <c r="AL89" s="185">
        <f t="shared" si="117"/>
        <v>288.81718037164802</v>
      </c>
      <c r="AM89" s="182">
        <f t="shared" si="127"/>
        <v>3</v>
      </c>
      <c r="AN89" s="558"/>
      <c r="AO89" s="188">
        <v>11</v>
      </c>
      <c r="AP89" s="188">
        <v>3177.6726584673634</v>
      </c>
      <c r="AQ89" s="185">
        <f t="shared" si="118"/>
        <v>288.87933258794214</v>
      </c>
      <c r="AR89" s="182">
        <f t="shared" si="128"/>
        <v>3</v>
      </c>
      <c r="AS89" s="558"/>
      <c r="AT89" s="188">
        <v>11</v>
      </c>
      <c r="AU89" s="188">
        <v>3178.5892946473273</v>
      </c>
      <c r="AV89" s="185">
        <f t="shared" si="119"/>
        <v>288.96266314975702</v>
      </c>
      <c r="AW89" s="182">
        <f t="shared" si="129"/>
        <v>3</v>
      </c>
      <c r="AX89" s="558"/>
    </row>
    <row r="90" spans="2:50" ht="14.25" customHeight="1">
      <c r="B90" s="530"/>
      <c r="C90" s="180">
        <v>4</v>
      </c>
      <c r="D90" s="183" t="s">
        <v>183</v>
      </c>
      <c r="E90" s="180">
        <v>6</v>
      </c>
      <c r="F90" s="180">
        <v>2600</v>
      </c>
      <c r="G90" s="185">
        <f t="shared" si="114"/>
        <v>433.33333333333331</v>
      </c>
      <c r="H90" s="558"/>
      <c r="I90" s="186">
        <f t="shared" si="120"/>
        <v>6</v>
      </c>
      <c r="J90" s="186">
        <f t="shared" si="120"/>
        <v>2340.7791755617664</v>
      </c>
      <c r="K90" s="187">
        <f t="shared" si="120"/>
        <v>390.12986259362782</v>
      </c>
      <c r="L90" s="559"/>
      <c r="M90" s="186">
        <f>RANK(K90, K$87:$K$101)</f>
        <v>1</v>
      </c>
      <c r="N90" s="530"/>
      <c r="O90" s="530"/>
      <c r="P90" s="188">
        <v>6</v>
      </c>
      <c r="Q90" s="188">
        <v>2342.0009666505553</v>
      </c>
      <c r="R90" s="185">
        <f t="shared" si="121"/>
        <v>390.33349444175923</v>
      </c>
      <c r="S90" s="182">
        <f t="shared" si="122"/>
        <v>1</v>
      </c>
      <c r="T90" s="558"/>
      <c r="U90" s="188">
        <v>6</v>
      </c>
      <c r="V90" s="188">
        <v>2340.7837445573273</v>
      </c>
      <c r="W90" s="185">
        <f t="shared" si="115"/>
        <v>390.1306240928879</v>
      </c>
      <c r="X90" s="182">
        <f t="shared" si="123"/>
        <v>1</v>
      </c>
      <c r="Y90" s="558"/>
      <c r="Z90" s="188">
        <v>6</v>
      </c>
      <c r="AA90" s="188">
        <v>2340.5438066465285</v>
      </c>
      <c r="AB90" s="185">
        <f t="shared" si="116"/>
        <v>390.09063444108807</v>
      </c>
      <c r="AC90" s="182" t="e">
        <f t="shared" si="124"/>
        <v>#N/A</v>
      </c>
      <c r="AD90" s="558"/>
      <c r="AE90" s="188">
        <v>6</v>
      </c>
      <c r="AF90" s="188">
        <v>2340.5438066465285</v>
      </c>
      <c r="AG90" s="185">
        <f t="shared" si="125"/>
        <v>390.09063444108807</v>
      </c>
      <c r="AH90" s="182" t="e">
        <f t="shared" si="126"/>
        <v>#N/A</v>
      </c>
      <c r="AI90" s="558"/>
      <c r="AJ90" s="188">
        <v>6</v>
      </c>
      <c r="AK90" s="188">
        <v>2340.2359108781097</v>
      </c>
      <c r="AL90" s="185">
        <f t="shared" si="117"/>
        <v>390.03931847968494</v>
      </c>
      <c r="AM90" s="182">
        <f t="shared" si="127"/>
        <v>2</v>
      </c>
      <c r="AN90" s="558"/>
      <c r="AO90" s="188">
        <v>6</v>
      </c>
      <c r="AP90" s="188">
        <v>2340.562248995986</v>
      </c>
      <c r="AQ90" s="185">
        <f t="shared" si="118"/>
        <v>390.09370816599767</v>
      </c>
      <c r="AR90" s="182">
        <f t="shared" si="128"/>
        <v>2</v>
      </c>
      <c r="AS90" s="558"/>
      <c r="AT90" s="188">
        <v>6</v>
      </c>
      <c r="AU90" s="188">
        <v>2340.7837445573332</v>
      </c>
      <c r="AV90" s="185">
        <f t="shared" si="119"/>
        <v>390.13062409288887</v>
      </c>
      <c r="AW90" s="182">
        <f t="shared" si="129"/>
        <v>1</v>
      </c>
      <c r="AX90" s="558"/>
    </row>
    <row r="91" spans="2:50" ht="14.25" customHeight="1">
      <c r="B91" s="530"/>
      <c r="C91" s="180">
        <v>5</v>
      </c>
      <c r="D91" s="183" t="s">
        <v>185</v>
      </c>
      <c r="E91" s="180">
        <v>6</v>
      </c>
      <c r="F91" s="180">
        <v>2600</v>
      </c>
      <c r="G91" s="185">
        <f t="shared" si="114"/>
        <v>433.33333333333331</v>
      </c>
      <c r="H91" s="558"/>
      <c r="I91" s="186">
        <f t="shared" si="120"/>
        <v>6</v>
      </c>
      <c r="J91" s="186">
        <f t="shared" si="120"/>
        <v>2340.4750418364006</v>
      </c>
      <c r="K91" s="187">
        <f t="shared" si="120"/>
        <v>390.07917363940015</v>
      </c>
      <c r="L91" s="559"/>
      <c r="M91" s="186">
        <f>RANK(K91, K$87:$K$101)</f>
        <v>2</v>
      </c>
      <c r="N91" s="530"/>
      <c r="O91" s="530"/>
      <c r="P91" s="188">
        <v>6</v>
      </c>
      <c r="Q91" s="188">
        <v>2340.3159742539538</v>
      </c>
      <c r="R91" s="185">
        <f t="shared" si="121"/>
        <v>390.05266237565894</v>
      </c>
      <c r="S91" s="182">
        <f t="shared" si="122"/>
        <v>2</v>
      </c>
      <c r="T91" s="558"/>
      <c r="U91" s="188">
        <v>6</v>
      </c>
      <c r="V91" s="188">
        <v>2340.2135231316734</v>
      </c>
      <c r="W91" s="185">
        <f t="shared" si="115"/>
        <v>390.03558718861223</v>
      </c>
      <c r="X91" s="182">
        <f t="shared" si="123"/>
        <v>2</v>
      </c>
      <c r="Y91" s="558"/>
      <c r="Z91" s="188">
        <v>6</v>
      </c>
      <c r="AA91" s="188">
        <v>2340.0000000000055</v>
      </c>
      <c r="AB91" s="185">
        <f t="shared" si="116"/>
        <v>390.00000000000091</v>
      </c>
      <c r="AC91" s="182" t="e">
        <f t="shared" si="124"/>
        <v>#N/A</v>
      </c>
      <c r="AD91" s="558"/>
      <c r="AE91" s="188">
        <v>6</v>
      </c>
      <c r="AF91" s="188">
        <v>2341.0557184750724</v>
      </c>
      <c r="AG91" s="185">
        <f t="shared" si="125"/>
        <v>390.17595307917873</v>
      </c>
      <c r="AH91" s="182" t="e">
        <f t="shared" si="126"/>
        <v>#N/A</v>
      </c>
      <c r="AI91" s="558"/>
      <c r="AJ91" s="188">
        <v>6</v>
      </c>
      <c r="AK91" s="188">
        <v>2340.8723747980612</v>
      </c>
      <c r="AL91" s="185">
        <f t="shared" si="117"/>
        <v>390.14539579967686</v>
      </c>
      <c r="AM91" s="182">
        <f t="shared" si="127"/>
        <v>1</v>
      </c>
      <c r="AN91" s="558"/>
      <c r="AO91" s="188">
        <v>6</v>
      </c>
      <c r="AP91" s="188">
        <v>2340.8677021960357</v>
      </c>
      <c r="AQ91" s="185">
        <f t="shared" si="118"/>
        <v>390.14461703267261</v>
      </c>
      <c r="AR91" s="182">
        <f t="shared" si="128"/>
        <v>1</v>
      </c>
      <c r="AS91" s="558"/>
      <c r="AT91" s="188">
        <v>6</v>
      </c>
      <c r="AU91" s="188">
        <v>2340.0000000000018</v>
      </c>
      <c r="AV91" s="185">
        <f t="shared" si="119"/>
        <v>390.00000000000028</v>
      </c>
      <c r="AW91" s="182">
        <f t="shared" si="129"/>
        <v>2</v>
      </c>
      <c r="AX91" s="558"/>
    </row>
    <row r="92" spans="2:50" ht="14.25" customHeight="1">
      <c r="B92" s="530"/>
      <c r="C92" s="180">
        <v>6</v>
      </c>
      <c r="D92" s="183" t="s">
        <v>186</v>
      </c>
      <c r="E92" s="180">
        <v>12</v>
      </c>
      <c r="F92" s="180">
        <v>3600</v>
      </c>
      <c r="G92" s="185">
        <f t="shared" si="114"/>
        <v>300</v>
      </c>
      <c r="H92" s="558"/>
      <c r="I92" s="186">
        <f t="shared" si="120"/>
        <v>12</v>
      </c>
      <c r="J92" s="186">
        <f t="shared" si="120"/>
        <v>3140.4784835398241</v>
      </c>
      <c r="K92" s="187">
        <f t="shared" si="120"/>
        <v>261.70654029498536</v>
      </c>
      <c r="L92" s="559"/>
      <c r="M92" s="186">
        <f>RANK(K92, K$87:$K$101)</f>
        <v>5</v>
      </c>
      <c r="N92" s="530"/>
      <c r="O92" s="530"/>
      <c r="P92" s="188">
        <v>12</v>
      </c>
      <c r="Q92" s="188">
        <v>3140.904079382587</v>
      </c>
      <c r="R92" s="185">
        <f t="shared" si="121"/>
        <v>261.74200661521559</v>
      </c>
      <c r="S92" s="182">
        <f t="shared" si="122"/>
        <v>6</v>
      </c>
      <c r="T92" s="558"/>
      <c r="U92" s="188">
        <v>12</v>
      </c>
      <c r="V92" s="188">
        <v>3140.094339622648</v>
      </c>
      <c r="W92" s="185">
        <f t="shared" si="115"/>
        <v>261.67452830188734</v>
      </c>
      <c r="X92" s="182">
        <f t="shared" si="123"/>
        <v>6</v>
      </c>
      <c r="Y92" s="558"/>
      <c r="Z92" s="188">
        <v>12</v>
      </c>
      <c r="AA92" s="188">
        <v>3140.6725011515327</v>
      </c>
      <c r="AB92" s="185">
        <f t="shared" si="116"/>
        <v>261.72270842929441</v>
      </c>
      <c r="AC92" s="182" t="e">
        <f t="shared" si="124"/>
        <v>#N/A</v>
      </c>
      <c r="AD92" s="558"/>
      <c r="AE92" s="188">
        <v>12</v>
      </c>
      <c r="AF92" s="188">
        <v>3140.7548972766299</v>
      </c>
      <c r="AG92" s="185">
        <f t="shared" si="125"/>
        <v>261.72957477305249</v>
      </c>
      <c r="AH92" s="182" t="e">
        <f t="shared" si="126"/>
        <v>#N/A</v>
      </c>
      <c r="AI92" s="558"/>
      <c r="AJ92" s="188">
        <v>12</v>
      </c>
      <c r="AK92" s="188">
        <v>3140.5353728489517</v>
      </c>
      <c r="AL92" s="185">
        <f t="shared" si="117"/>
        <v>261.711281070746</v>
      </c>
      <c r="AM92" s="182">
        <f t="shared" si="127"/>
        <v>7</v>
      </c>
      <c r="AN92" s="558"/>
      <c r="AO92" s="188">
        <v>12</v>
      </c>
      <c r="AP92" s="188">
        <v>3140.6032482598594</v>
      </c>
      <c r="AQ92" s="185">
        <f t="shared" si="118"/>
        <v>261.71693735498826</v>
      </c>
      <c r="AR92" s="182">
        <f t="shared" si="128"/>
        <v>6</v>
      </c>
      <c r="AS92" s="558"/>
      <c r="AT92" s="188">
        <v>12</v>
      </c>
      <c r="AU92" s="188">
        <v>3139.7849462365602</v>
      </c>
      <c r="AV92" s="185">
        <f t="shared" si="119"/>
        <v>261.64874551971337</v>
      </c>
      <c r="AW92" s="182">
        <f t="shared" si="129"/>
        <v>7</v>
      </c>
      <c r="AX92" s="558"/>
    </row>
    <row r="93" spans="2:50" ht="14.25" customHeight="1">
      <c r="B93" s="530"/>
      <c r="C93" s="180">
        <v>7</v>
      </c>
      <c r="D93" s="183" t="s">
        <v>187</v>
      </c>
      <c r="E93" s="180">
        <v>12</v>
      </c>
      <c r="F93" s="180">
        <v>3600</v>
      </c>
      <c r="G93" s="185">
        <f t="shared" si="114"/>
        <v>300</v>
      </c>
      <c r="H93" s="558"/>
      <c r="I93" s="186">
        <f t="shared" si="120"/>
        <v>12</v>
      </c>
      <c r="J93" s="186">
        <f t="shared" si="120"/>
        <v>3140.1752295223955</v>
      </c>
      <c r="K93" s="187">
        <f t="shared" si="120"/>
        <v>261.68126912686631</v>
      </c>
      <c r="L93" s="559"/>
      <c r="M93" s="186">
        <f>RANK(K93, K$87:$K$101)</f>
        <v>8</v>
      </c>
      <c r="N93" s="530"/>
      <c r="O93" s="530"/>
      <c r="P93" s="188">
        <v>12</v>
      </c>
      <c r="Q93" s="188">
        <v>3139.6195872116605</v>
      </c>
      <c r="R93" s="185">
        <f t="shared" si="121"/>
        <v>261.63496560097173</v>
      </c>
      <c r="S93" s="182">
        <f t="shared" si="122"/>
        <v>8</v>
      </c>
      <c r="T93" s="558"/>
      <c r="U93" s="188">
        <v>12</v>
      </c>
      <c r="V93" s="188">
        <v>3139.5171537484184</v>
      </c>
      <c r="W93" s="185">
        <f t="shared" si="115"/>
        <v>261.62642947903487</v>
      </c>
      <c r="X93" s="182">
        <f t="shared" si="123"/>
        <v>8</v>
      </c>
      <c r="Y93" s="558"/>
      <c r="Z93" s="188">
        <v>12</v>
      </c>
      <c r="AA93" s="188">
        <v>3139.8901647528714</v>
      </c>
      <c r="AB93" s="185">
        <f t="shared" si="116"/>
        <v>261.65751372940593</v>
      </c>
      <c r="AC93" s="182" t="e">
        <f t="shared" si="124"/>
        <v>#N/A</v>
      </c>
      <c r="AD93" s="558"/>
      <c r="AE93" s="188">
        <v>12</v>
      </c>
      <c r="AF93" s="188">
        <v>3140.7485503426528</v>
      </c>
      <c r="AG93" s="185">
        <f t="shared" si="125"/>
        <v>261.72904586188776</v>
      </c>
      <c r="AH93" s="182" t="e">
        <f t="shared" si="126"/>
        <v>#N/A</v>
      </c>
      <c r="AI93" s="558"/>
      <c r="AJ93" s="188">
        <v>12</v>
      </c>
      <c r="AK93" s="188">
        <v>3142.0968600319275</v>
      </c>
      <c r="AL93" s="185">
        <f t="shared" si="117"/>
        <v>261.84140500266062</v>
      </c>
      <c r="AM93" s="182">
        <f t="shared" si="127"/>
        <v>5</v>
      </c>
      <c r="AN93" s="558"/>
      <c r="AO93" s="188">
        <v>12</v>
      </c>
      <c r="AP93" s="188">
        <v>3139.6771452846124</v>
      </c>
      <c r="AQ93" s="185">
        <f t="shared" si="118"/>
        <v>261.63976210705101</v>
      </c>
      <c r="AR93" s="182">
        <f t="shared" si="128"/>
        <v>8</v>
      </c>
      <c r="AS93" s="558"/>
      <c r="AT93" s="188">
        <v>12</v>
      </c>
      <c r="AU93" s="188">
        <v>3139.677145284626</v>
      </c>
      <c r="AV93" s="185">
        <f t="shared" si="119"/>
        <v>261.63976210705215</v>
      </c>
      <c r="AW93" s="182">
        <f t="shared" si="129"/>
        <v>8</v>
      </c>
      <c r="AX93" s="558"/>
    </row>
    <row r="94" spans="2:50" ht="14.25" customHeight="1">
      <c r="B94" s="530"/>
      <c r="C94" s="180">
        <v>8</v>
      </c>
      <c r="D94" s="183" t="s">
        <v>188</v>
      </c>
      <c r="E94" s="180">
        <v>11</v>
      </c>
      <c r="F94" s="180">
        <v>3600</v>
      </c>
      <c r="G94" s="185">
        <f t="shared" si="114"/>
        <v>327.27272727272725</v>
      </c>
      <c r="H94" s="558"/>
      <c r="I94" s="186">
        <f t="shared" si="120"/>
        <v>11</v>
      </c>
      <c r="J94" s="186">
        <f t="shared" si="120"/>
        <v>3175.7552502853882</v>
      </c>
      <c r="K94" s="187">
        <f t="shared" si="120"/>
        <v>288.70502275321712</v>
      </c>
      <c r="L94" s="559"/>
      <c r="M94" s="186">
        <f>RANK(K94, K$87:$K$101)</f>
        <v>4</v>
      </c>
      <c r="N94" s="530"/>
      <c r="O94" s="530"/>
      <c r="P94" s="188">
        <v>11</v>
      </c>
      <c r="Q94" s="188">
        <v>3175.0515463917532</v>
      </c>
      <c r="R94" s="185">
        <f t="shared" si="121"/>
        <v>288.64104967197756</v>
      </c>
      <c r="S94" s="182">
        <f t="shared" si="122"/>
        <v>4</v>
      </c>
      <c r="T94" s="558"/>
      <c r="U94" s="188">
        <v>11</v>
      </c>
      <c r="V94" s="188">
        <v>3174.6673762639816</v>
      </c>
      <c r="W94" s="185">
        <f t="shared" si="115"/>
        <v>288.6061251149074</v>
      </c>
      <c r="X94" s="182">
        <f t="shared" si="123"/>
        <v>4</v>
      </c>
      <c r="Y94" s="558"/>
      <c r="Z94" s="188">
        <v>11</v>
      </c>
      <c r="AA94" s="188">
        <v>3175.0309023485779</v>
      </c>
      <c r="AB94" s="185">
        <f t="shared" si="116"/>
        <v>288.63917294077982</v>
      </c>
      <c r="AC94" s="182" t="e">
        <f t="shared" si="124"/>
        <v>#N/A</v>
      </c>
      <c r="AD94" s="558"/>
      <c r="AE94" s="188">
        <v>11</v>
      </c>
      <c r="AF94" s="188">
        <v>3176.1966364812447</v>
      </c>
      <c r="AG94" s="185">
        <f t="shared" si="125"/>
        <v>288.74514877102223</v>
      </c>
      <c r="AH94" s="182" t="e">
        <f>RANK(AG94, AG$7:AG$21)</f>
        <v>#N/A</v>
      </c>
      <c r="AI94" s="558"/>
      <c r="AJ94" s="188">
        <v>11</v>
      </c>
      <c r="AK94" s="188">
        <v>3175.0503018108793</v>
      </c>
      <c r="AL94" s="185">
        <f t="shared" si="117"/>
        <v>288.64093652826176</v>
      </c>
      <c r="AM94" s="182">
        <f t="shared" si="127"/>
        <v>4</v>
      </c>
      <c r="AN94" s="558"/>
      <c r="AO94" s="188">
        <v>11</v>
      </c>
      <c r="AP94" s="188">
        <v>3176.13516367477</v>
      </c>
      <c r="AQ94" s="185">
        <f t="shared" si="118"/>
        <v>288.73956033407001</v>
      </c>
      <c r="AR94" s="182">
        <f t="shared" si="128"/>
        <v>4</v>
      </c>
      <c r="AS94" s="558"/>
      <c r="AT94" s="188">
        <v>11</v>
      </c>
      <c r="AU94" s="188">
        <v>3178.15482502651</v>
      </c>
      <c r="AV94" s="185">
        <f t="shared" si="119"/>
        <v>288.92316591150092</v>
      </c>
      <c r="AW94" s="182">
        <f t="shared" si="129"/>
        <v>4</v>
      </c>
      <c r="AX94" s="558"/>
    </row>
    <row r="95" spans="2:50" ht="14.25" customHeight="1">
      <c r="B95" s="530"/>
      <c r="C95" s="180">
        <v>9</v>
      </c>
      <c r="D95" s="183"/>
      <c r="E95" s="180"/>
      <c r="F95" s="180"/>
      <c r="G95" s="185"/>
      <c r="H95" s="558"/>
      <c r="I95" s="186"/>
      <c r="J95" s="186"/>
      <c r="K95" s="187"/>
      <c r="L95" s="559"/>
      <c r="M95" s="186"/>
      <c r="N95" s="530"/>
      <c r="O95" s="530"/>
      <c r="P95" s="188"/>
      <c r="Q95" s="188"/>
      <c r="R95" s="185"/>
      <c r="S95" s="182"/>
      <c r="T95" s="558"/>
      <c r="U95" s="188"/>
      <c r="V95" s="188"/>
      <c r="W95" s="185"/>
      <c r="X95" s="182"/>
      <c r="Y95" s="558"/>
      <c r="Z95" s="188"/>
      <c r="AA95" s="188"/>
      <c r="AB95" s="185"/>
      <c r="AC95" s="182"/>
      <c r="AD95" s="558"/>
      <c r="AE95" s="188"/>
      <c r="AF95" s="188"/>
      <c r="AG95" s="185"/>
      <c r="AH95" s="182"/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/>
      <c r="AU95" s="188"/>
      <c r="AV95" s="185"/>
      <c r="AW95" s="182"/>
      <c r="AX95" s="558"/>
    </row>
    <row r="96" spans="2:50" ht="14.25" customHeight="1">
      <c r="B96" s="530"/>
      <c r="C96" s="180">
        <v>10</v>
      </c>
      <c r="D96" s="183"/>
      <c r="E96" s="180"/>
      <c r="F96" s="180"/>
      <c r="G96" s="185"/>
      <c r="H96" s="558"/>
      <c r="I96" s="186"/>
      <c r="J96" s="186"/>
      <c r="K96" s="187"/>
      <c r="L96" s="559"/>
      <c r="M96" s="186"/>
      <c r="N96" s="530"/>
      <c r="O96" s="530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/>
      <c r="AU96" s="188"/>
      <c r="AV96" s="185"/>
      <c r="AW96" s="182"/>
      <c r="AX96" s="558"/>
    </row>
    <row r="97" spans="2:50" ht="14.25" customHeight="1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30"/>
      <c r="O97" s="530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 ht="14.25" customHeight="1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30"/>
      <c r="O98" s="530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 ht="14.25" customHeight="1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30"/>
      <c r="O99" s="530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 ht="14.25" customHeight="1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30"/>
      <c r="O100" s="530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 ht="14.25" customHeight="1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30"/>
      <c r="O101" s="530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Normal="100" workbookViewId="0">
      <pane xSplit="13" ySplit="1" topLeftCell="N71" activePane="bottomRight" state="frozen"/>
      <selection pane="bottomRight" activeCell="AW87" sqref="AW87:AW88"/>
      <selection pane="bottomLeft" activeCell="L95" sqref="L95"/>
      <selection pane="topRight" activeCell="L95" sqref="L95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.6">
      <c r="A1" s="74"/>
      <c r="B1" s="371" t="s">
        <v>125</v>
      </c>
      <c r="C1" s="175">
        <f>AVERAGE(L27,L47,L67,L87)</f>
        <v>203.2437413385673</v>
      </c>
    </row>
    <row r="2" spans="1:50" ht="14.25" customHeight="1" collapsed="1">
      <c r="A2" s="447">
        <v>46024</v>
      </c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v>46053</v>
      </c>
      <c r="AK2" s="589"/>
      <c r="AL2" s="589"/>
      <c r="AM2" s="589"/>
      <c r="AN2" s="590"/>
      <c r="AO2" s="598">
        <f t="shared" ref="AO2" si="2">AJ2+1</f>
        <v>46054</v>
      </c>
      <c r="AP2" s="599"/>
      <c r="AQ2" s="599"/>
      <c r="AR2" s="599"/>
      <c r="AS2" s="599"/>
      <c r="AT2" s="588">
        <f t="shared" ref="AT2" si="3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4">Z2</f>
        <v>46051</v>
      </c>
      <c r="AA3" s="591"/>
      <c r="AB3" s="591"/>
      <c r="AC3" s="591"/>
      <c r="AD3" s="591"/>
      <c r="AE3" s="592">
        <f t="shared" ref="AE3" si="5">AE2</f>
        <v>46052</v>
      </c>
      <c r="AF3" s="592"/>
      <c r="AG3" s="592"/>
      <c r="AH3" s="592"/>
      <c r="AI3" s="592"/>
      <c r="AJ3" s="593">
        <f t="shared" ref="AJ3" si="6">AJ2</f>
        <v>46053</v>
      </c>
      <c r="AK3" s="594"/>
      <c r="AL3" s="594"/>
      <c r="AM3" s="594"/>
      <c r="AN3" s="595"/>
      <c r="AO3" s="592">
        <f t="shared" ref="AO3" si="7">AO2</f>
        <v>46054</v>
      </c>
      <c r="AP3" s="592"/>
      <c r="AQ3" s="592"/>
      <c r="AR3" s="592"/>
      <c r="AS3" s="592"/>
      <c r="AT3" s="593">
        <f t="shared" ref="AT3" si="8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 t="s">
        <v>137</v>
      </c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600" t="s">
        <v>189</v>
      </c>
      <c r="C7" s="180">
        <v>1</v>
      </c>
      <c r="D7" s="183" t="s">
        <v>190</v>
      </c>
      <c r="E7" s="180">
        <v>21</v>
      </c>
      <c r="F7" s="180">
        <v>2790</v>
      </c>
      <c r="G7" s="185">
        <f t="shared" ref="G7:G9" si="9">F7/E7</f>
        <v>132.85714285714286</v>
      </c>
      <c r="H7" s="558">
        <f>AVERAGE(G7:G21)</f>
        <v>288.57142857142861</v>
      </c>
      <c r="I7" s="186">
        <f>AVERAGE(P7,U7,Z7,AE7,AJ7,AO7,AT7)</f>
        <v>22.714285714285715</v>
      </c>
      <c r="J7" s="186">
        <f>AVERAGE(Q7,V7,AA7,AF7,AK7,AP7,AU7)</f>
        <v>2743.9601388674678</v>
      </c>
      <c r="K7" s="187">
        <f>AVERAGE(R7,W7,AB7,AG7,AL7,AQ7,AV7)</f>
        <v>120.77222739898691</v>
      </c>
      <c r="L7" s="559">
        <f>IFERROR(AVERAGE(K7:K21),"-")</f>
        <v>261.26620632289115</v>
      </c>
      <c r="M7" s="186">
        <f>RANK(K7, K$7:$K$21)</f>
        <v>2</v>
      </c>
      <c r="N7" s="530"/>
      <c r="O7" s="530"/>
      <c r="P7" s="188">
        <v>23</v>
      </c>
      <c r="Q7" s="188">
        <v>2787.6769358867596</v>
      </c>
      <c r="R7" s="185">
        <f>IFERROR(Q7/P7,"")</f>
        <v>121.20334503855476</v>
      </c>
      <c r="S7" s="182">
        <f>RANK(R7, R$7:R$21)</f>
        <v>2</v>
      </c>
      <c r="T7" s="558">
        <f>AVERAGE(R7:R21)</f>
        <v>261.70581460480304</v>
      </c>
      <c r="U7" s="188">
        <v>23</v>
      </c>
      <c r="V7" s="188">
        <v>2787.450502589094</v>
      </c>
      <c r="W7" s="185">
        <f t="shared" ref="W7:W9" si="10">IFERROR(V7/U7,"")</f>
        <v>121.1935001125693</v>
      </c>
      <c r="X7" s="182">
        <f>RANK(W7, W$7:W$21)</f>
        <v>3</v>
      </c>
      <c r="Y7" s="558">
        <f>AVERAGE(W7:W21)</f>
        <v>261.88173557238287</v>
      </c>
      <c r="Z7" s="188">
        <v>23</v>
      </c>
      <c r="AA7" s="188">
        <v>2787.6301285976724</v>
      </c>
      <c r="AB7" s="185">
        <f t="shared" ref="AB7:AB9" si="11">IFERROR(AA7/Z7,"")</f>
        <v>121.20130993902923</v>
      </c>
      <c r="AC7" s="182">
        <f>RANK(AB7, AB$7:AB$21)</f>
        <v>2</v>
      </c>
      <c r="AD7" s="558">
        <f>AVERAGE(AB7:AB21)</f>
        <v>261.7821969856862</v>
      </c>
      <c r="AE7" s="188">
        <v>23</v>
      </c>
      <c r="AF7" s="188">
        <v>2784.7360912981458</v>
      </c>
      <c r="AG7" s="185">
        <f>IFERROR(AF7/AE7,"")</f>
        <v>121.07548223035417</v>
      </c>
      <c r="AH7" s="182">
        <f>RANK(AG7, AG$7:AG$21)</f>
        <v>3</v>
      </c>
      <c r="AI7" s="558">
        <f>AVERAGE(AG7:AG21)</f>
        <v>261.51944567645563</v>
      </c>
      <c r="AJ7" s="188">
        <v>23</v>
      </c>
      <c r="AK7" s="188">
        <v>2787.8359264497931</v>
      </c>
      <c r="AL7" s="185">
        <f t="shared" ref="AL7:AL9" si="12">IFERROR(AK7/AJ7,"")</f>
        <v>121.21025767173013</v>
      </c>
      <c r="AM7" s="182">
        <f>RANK(AL7, AL$7:AL$21)</f>
        <v>2</v>
      </c>
      <c r="AN7" s="558">
        <f>AVERAGE(AL7:AL21)</f>
        <v>261.36755466770865</v>
      </c>
      <c r="AO7" s="188">
        <v>23</v>
      </c>
      <c r="AP7" s="188">
        <v>2788.0111760223526</v>
      </c>
      <c r="AQ7" s="185">
        <f t="shared" ref="AQ7:AQ9" si="13">IFERROR(AP7/AO7,"")</f>
        <v>121.21787721836316</v>
      </c>
      <c r="AR7" s="182">
        <f>RANK(AQ7, AQ$7:AQ$21)</f>
        <v>2</v>
      </c>
      <c r="AS7" s="558">
        <f>AVERAGE(AQ7:AQ21)</f>
        <v>261.29558470111124</v>
      </c>
      <c r="AT7" s="188">
        <v>21</v>
      </c>
      <c r="AU7" s="188">
        <v>2484.3802112284584</v>
      </c>
      <c r="AV7" s="185">
        <f t="shared" ref="AV7:AV9" si="14">IFERROR(AU7/AT7,"")</f>
        <v>118.30381958230754</v>
      </c>
      <c r="AW7" s="182">
        <f>RANK(AV7, AV$7:AV$21)</f>
        <v>2</v>
      </c>
      <c r="AX7" s="558">
        <f>AVERAGE(AV7:AV21)</f>
        <v>259.31111205209049</v>
      </c>
    </row>
    <row r="8" spans="1:50" ht="14.25" customHeight="1">
      <c r="B8" s="530"/>
      <c r="C8" s="180">
        <v>2</v>
      </c>
      <c r="D8" s="183" t="s">
        <v>191</v>
      </c>
      <c r="E8" s="180">
        <v>21</v>
      </c>
      <c r="F8" s="180">
        <v>2790</v>
      </c>
      <c r="G8" s="185">
        <f t="shared" si="9"/>
        <v>132.85714285714286</v>
      </c>
      <c r="H8" s="558"/>
      <c r="I8" s="186">
        <f t="shared" ref="I8:I9" si="15">AVERAGE(P8,U8,Z8,AE8,AJ8,AO8,AT8)</f>
        <v>22.714285714285715</v>
      </c>
      <c r="J8" s="186">
        <f t="shared" ref="J8:J9" si="16">AVERAGE(Q8,V8,AA8,AF8,AK8,AP8,AU8)</f>
        <v>2743.8302122315881</v>
      </c>
      <c r="K8" s="187">
        <f t="shared" ref="K8:K9" si="17">AVERAGE(R8,W8,AB8,AG8,AL8,AQ8,AV8)</f>
        <v>120.76632429240206</v>
      </c>
      <c r="L8" s="559"/>
      <c r="M8" s="186">
        <f>RANK(K8, K$7:$K$21)</f>
        <v>3</v>
      </c>
      <c r="N8" s="530"/>
      <c r="O8" s="530"/>
      <c r="P8" s="188">
        <v>23</v>
      </c>
      <c r="Q8" s="188">
        <v>2787.5000000000055</v>
      </c>
      <c r="R8" s="185">
        <f t="shared" ref="R8:R9" si="18">IFERROR(Q8/P8,"")</f>
        <v>121.19565217391327</v>
      </c>
      <c r="S8" s="182">
        <f t="shared" ref="S8:S9" si="19">RANK(R8, R$7:R$21)</f>
        <v>3</v>
      </c>
      <c r="T8" s="558"/>
      <c r="U8" s="188">
        <v>23</v>
      </c>
      <c r="V8" s="188">
        <v>2789.2913385826905</v>
      </c>
      <c r="W8" s="185">
        <f t="shared" si="10"/>
        <v>121.27353646011697</v>
      </c>
      <c r="X8" s="182">
        <f t="shared" ref="X8:X9" si="20">RANK(W8, W$7:W$21)</f>
        <v>2</v>
      </c>
      <c r="Y8" s="558"/>
      <c r="Z8" s="188">
        <v>23</v>
      </c>
      <c r="AA8" s="188">
        <v>2786.3414634146334</v>
      </c>
      <c r="AB8" s="185">
        <f t="shared" si="11"/>
        <v>121.14528101802753</v>
      </c>
      <c r="AC8" s="182">
        <f t="shared" ref="AC8:AC9" si="21">RANK(AB8, AB$7:AB$21)</f>
        <v>3</v>
      </c>
      <c r="AD8" s="558"/>
      <c r="AE8" s="188">
        <v>23</v>
      </c>
      <c r="AF8" s="188">
        <v>2784.9056603773311</v>
      </c>
      <c r="AG8" s="185">
        <f t="shared" ref="AG8:AG9" si="22">IFERROR(AF8/AE8,"")</f>
        <v>121.0828547990144</v>
      </c>
      <c r="AH8" s="182">
        <f t="shared" ref="AH8:AH9" si="23">RANK(AG8, AG$7:AG$21)</f>
        <v>2</v>
      </c>
      <c r="AI8" s="558"/>
      <c r="AJ8" s="188">
        <v>23</v>
      </c>
      <c r="AK8" s="188">
        <v>2787.0967741935438</v>
      </c>
      <c r="AL8" s="185">
        <f t="shared" si="12"/>
        <v>121.17812061711059</v>
      </c>
      <c r="AM8" s="182">
        <f t="shared" ref="AM8:AM9" si="24">RANK(AL8, AL$7:AL$21)</f>
        <v>3</v>
      </c>
      <c r="AN8" s="558"/>
      <c r="AO8" s="188">
        <v>23</v>
      </c>
      <c r="AP8" s="188">
        <v>2787.7256317689598</v>
      </c>
      <c r="AQ8" s="185">
        <f t="shared" si="13"/>
        <v>121.20546225082434</v>
      </c>
      <c r="AR8" s="182">
        <f t="shared" ref="AR8:AR9" si="25">RANK(AQ8, AQ$7:AQ$21)</f>
        <v>3</v>
      </c>
      <c r="AS8" s="558"/>
      <c r="AT8" s="188">
        <v>21</v>
      </c>
      <c r="AU8" s="188">
        <v>2483.9506172839547</v>
      </c>
      <c r="AV8" s="185">
        <f t="shared" si="14"/>
        <v>118.28336272780737</v>
      </c>
      <c r="AW8" s="182">
        <f t="shared" ref="AW8:AW9" si="26">RANK(AV8, AV$7:AV$21)</f>
        <v>3</v>
      </c>
      <c r="AX8" s="558"/>
    </row>
    <row r="9" spans="1:50" ht="14.25" customHeight="1">
      <c r="B9" s="530"/>
      <c r="C9" s="180">
        <v>3</v>
      </c>
      <c r="D9" s="183" t="s">
        <v>192</v>
      </c>
      <c r="E9" s="180">
        <v>6</v>
      </c>
      <c r="F9" s="180">
        <v>3600</v>
      </c>
      <c r="G9" s="185">
        <f t="shared" si="9"/>
        <v>600</v>
      </c>
      <c r="H9" s="558"/>
      <c r="I9" s="186">
        <f t="shared" si="15"/>
        <v>6</v>
      </c>
      <c r="J9" s="186">
        <f t="shared" si="16"/>
        <v>3253.5604036637073</v>
      </c>
      <c r="K9" s="187">
        <f t="shared" si="17"/>
        <v>542.26006727728452</v>
      </c>
      <c r="L9" s="559"/>
      <c r="M9" s="186">
        <f>RANK(K9, K$7:$K$21)</f>
        <v>1</v>
      </c>
      <c r="N9" s="530"/>
      <c r="O9" s="530"/>
      <c r="P9" s="188">
        <v>6</v>
      </c>
      <c r="Q9" s="188">
        <v>3256.3106796116467</v>
      </c>
      <c r="R9" s="185">
        <f t="shared" si="18"/>
        <v>542.71844660194108</v>
      </c>
      <c r="S9" s="182">
        <f t="shared" si="19"/>
        <v>1</v>
      </c>
      <c r="T9" s="558"/>
      <c r="U9" s="188">
        <v>6</v>
      </c>
      <c r="V9" s="188">
        <v>3259.0690208667743</v>
      </c>
      <c r="W9" s="185">
        <f t="shared" si="10"/>
        <v>543.17817014446234</v>
      </c>
      <c r="X9" s="182">
        <f t="shared" si="20"/>
        <v>1</v>
      </c>
      <c r="Y9" s="558"/>
      <c r="Z9" s="188">
        <v>6</v>
      </c>
      <c r="AA9" s="188">
        <v>3258.0000000000118</v>
      </c>
      <c r="AB9" s="185">
        <f t="shared" si="11"/>
        <v>543.00000000000193</v>
      </c>
      <c r="AC9" s="182">
        <f t="shared" si="21"/>
        <v>1</v>
      </c>
      <c r="AD9" s="558"/>
      <c r="AE9" s="188">
        <v>6</v>
      </c>
      <c r="AF9" s="188">
        <v>3254.3999999999905</v>
      </c>
      <c r="AG9" s="185">
        <f t="shared" si="22"/>
        <v>542.39999999999839</v>
      </c>
      <c r="AH9" s="182">
        <f t="shared" si="23"/>
        <v>1</v>
      </c>
      <c r="AI9" s="558"/>
      <c r="AJ9" s="188">
        <v>6</v>
      </c>
      <c r="AK9" s="188">
        <v>3250.285714285711</v>
      </c>
      <c r="AL9" s="185">
        <f t="shared" si="12"/>
        <v>541.71428571428521</v>
      </c>
      <c r="AM9" s="182">
        <f t="shared" si="24"/>
        <v>1</v>
      </c>
      <c r="AN9" s="558"/>
      <c r="AO9" s="188">
        <v>6</v>
      </c>
      <c r="AP9" s="188">
        <v>3248.7804878048769</v>
      </c>
      <c r="AQ9" s="185">
        <f t="shared" si="13"/>
        <v>541.46341463414615</v>
      </c>
      <c r="AR9" s="182">
        <f t="shared" si="25"/>
        <v>1</v>
      </c>
      <c r="AS9" s="558"/>
      <c r="AT9" s="188">
        <v>6</v>
      </c>
      <c r="AU9" s="188">
        <v>3248.0769230769392</v>
      </c>
      <c r="AV9" s="185">
        <f t="shared" si="14"/>
        <v>541.34615384615654</v>
      </c>
      <c r="AW9" s="182">
        <f t="shared" si="26"/>
        <v>1</v>
      </c>
      <c r="AX9" s="558"/>
    </row>
    <row r="10" spans="1:50" ht="14.25" customHeight="1">
      <c r="B10" s="530"/>
      <c r="C10" s="180">
        <v>4</v>
      </c>
      <c r="D10" s="183"/>
      <c r="E10" s="180"/>
      <c r="F10" s="180"/>
      <c r="G10" s="185"/>
      <c r="H10" s="558"/>
      <c r="I10" s="186"/>
      <c r="J10" s="186"/>
      <c r="K10" s="187"/>
      <c r="L10" s="559"/>
      <c r="M10" s="186"/>
      <c r="N10" s="530"/>
      <c r="O10" s="530"/>
      <c r="P10" s="188"/>
      <c r="Q10" s="188"/>
      <c r="R10" s="185"/>
      <c r="S10" s="182"/>
      <c r="T10" s="558"/>
      <c r="U10" s="188"/>
      <c r="V10" s="188"/>
      <c r="W10" s="185"/>
      <c r="X10" s="182"/>
      <c r="Y10" s="558"/>
      <c r="Z10" s="188"/>
      <c r="AA10" s="188"/>
      <c r="AB10" s="185"/>
      <c r="AC10" s="182"/>
      <c r="AD10" s="558"/>
      <c r="AE10" s="188"/>
      <c r="AF10" s="188"/>
      <c r="AG10" s="185"/>
      <c r="AH10" s="182"/>
      <c r="AI10" s="558"/>
      <c r="AJ10" s="188"/>
      <c r="AK10" s="188"/>
      <c r="AL10" s="185"/>
      <c r="AM10" s="182"/>
      <c r="AN10" s="558"/>
      <c r="AO10" s="188"/>
      <c r="AP10" s="188"/>
      <c r="AQ10" s="185"/>
      <c r="AR10" s="182"/>
      <c r="AS10" s="558"/>
      <c r="AT10" s="188"/>
      <c r="AU10" s="188"/>
      <c r="AV10" s="185"/>
      <c r="AW10" s="182"/>
      <c r="AX10" s="558"/>
    </row>
    <row r="11" spans="1:50" ht="14.25" customHeight="1">
      <c r="B11" s="530"/>
      <c r="C11" s="180">
        <v>5</v>
      </c>
      <c r="D11" s="183"/>
      <c r="E11" s="180"/>
      <c r="F11" s="180"/>
      <c r="G11" s="185"/>
      <c r="H11" s="558"/>
      <c r="I11" s="186"/>
      <c r="J11" s="186"/>
      <c r="K11" s="187"/>
      <c r="L11" s="559"/>
      <c r="M11" s="186"/>
      <c r="N11" s="530"/>
      <c r="O11" s="530"/>
      <c r="P11" s="188"/>
      <c r="Q11" s="188"/>
      <c r="R11" s="185"/>
      <c r="S11" s="182"/>
      <c r="T11" s="558"/>
      <c r="U11" s="188"/>
      <c r="V11" s="188"/>
      <c r="W11" s="185"/>
      <c r="X11" s="182"/>
      <c r="Y11" s="558"/>
      <c r="Z11" s="188"/>
      <c r="AA11" s="188"/>
      <c r="AB11" s="185"/>
      <c r="AC11" s="182"/>
      <c r="AD11" s="558"/>
      <c r="AE11" s="188"/>
      <c r="AF11" s="188"/>
      <c r="AG11" s="185"/>
      <c r="AH11" s="182"/>
      <c r="AI11" s="558"/>
      <c r="AJ11" s="188"/>
      <c r="AK11" s="188"/>
      <c r="AL11" s="185"/>
      <c r="AM11" s="182"/>
      <c r="AN11" s="558"/>
      <c r="AO11" s="188"/>
      <c r="AP11" s="188"/>
      <c r="AQ11" s="185"/>
      <c r="AR11" s="182"/>
      <c r="AS11" s="558"/>
      <c r="AT11" s="188"/>
      <c r="AU11" s="188"/>
      <c r="AV11" s="185"/>
      <c r="AW11" s="182"/>
      <c r="AX11" s="558"/>
    </row>
    <row r="12" spans="1:50" ht="14.25" customHeight="1">
      <c r="B12" s="530"/>
      <c r="C12" s="180">
        <v>6</v>
      </c>
      <c r="D12" s="183"/>
      <c r="E12" s="180"/>
      <c r="F12" s="180"/>
      <c r="G12" s="185"/>
      <c r="H12" s="558"/>
      <c r="I12" s="186"/>
      <c r="J12" s="186"/>
      <c r="K12" s="187"/>
      <c r="L12" s="559"/>
      <c r="M12" s="186"/>
      <c r="N12" s="530"/>
      <c r="O12" s="530"/>
      <c r="P12" s="188"/>
      <c r="Q12" s="188"/>
      <c r="R12" s="185"/>
      <c r="S12" s="182"/>
      <c r="T12" s="558"/>
      <c r="U12" s="188"/>
      <c r="V12" s="188"/>
      <c r="W12" s="185"/>
      <c r="X12" s="182"/>
      <c r="Y12" s="558"/>
      <c r="Z12" s="188"/>
      <c r="AA12" s="188"/>
      <c r="AB12" s="185"/>
      <c r="AC12" s="182"/>
      <c r="AD12" s="558"/>
      <c r="AE12" s="188"/>
      <c r="AF12" s="188"/>
      <c r="AG12" s="185"/>
      <c r="AH12" s="182"/>
      <c r="AI12" s="558"/>
      <c r="AJ12" s="188"/>
      <c r="AK12" s="188"/>
      <c r="AL12" s="185"/>
      <c r="AM12" s="182"/>
      <c r="AN12" s="558"/>
      <c r="AO12" s="188"/>
      <c r="AP12" s="188"/>
      <c r="AQ12" s="185"/>
      <c r="AR12" s="182"/>
      <c r="AS12" s="558"/>
      <c r="AT12" s="188"/>
      <c r="AU12" s="188"/>
      <c r="AV12" s="185"/>
      <c r="AW12" s="182"/>
      <c r="AX12" s="558"/>
    </row>
    <row r="13" spans="1:50" ht="14.25" customHeight="1">
      <c r="B13" s="530"/>
      <c r="C13" s="180">
        <v>7</v>
      </c>
      <c r="D13" s="183"/>
      <c r="E13" s="180"/>
      <c r="F13" s="180"/>
      <c r="G13" s="185"/>
      <c r="H13" s="558"/>
      <c r="I13" s="186"/>
      <c r="J13" s="186"/>
      <c r="K13" s="187"/>
      <c r="L13" s="559"/>
      <c r="M13" s="186"/>
      <c r="N13" s="530"/>
      <c r="O13" s="530"/>
      <c r="P13" s="188"/>
      <c r="Q13" s="188"/>
      <c r="R13" s="185"/>
      <c r="S13" s="182"/>
      <c r="T13" s="558"/>
      <c r="U13" s="188"/>
      <c r="V13" s="188"/>
      <c r="W13" s="185"/>
      <c r="X13" s="182"/>
      <c r="Y13" s="558"/>
      <c r="Z13" s="188"/>
      <c r="AA13" s="188"/>
      <c r="AB13" s="185"/>
      <c r="AC13" s="182"/>
      <c r="AD13" s="558"/>
      <c r="AE13" s="188"/>
      <c r="AF13" s="188"/>
      <c r="AG13" s="185"/>
      <c r="AH13" s="182"/>
      <c r="AI13" s="558"/>
      <c r="AJ13" s="188"/>
      <c r="AK13" s="188"/>
      <c r="AL13" s="185"/>
      <c r="AM13" s="182"/>
      <c r="AN13" s="558"/>
      <c r="AO13" s="188"/>
      <c r="AP13" s="188"/>
      <c r="AQ13" s="185"/>
      <c r="AR13" s="182"/>
      <c r="AS13" s="558"/>
      <c r="AT13" s="188"/>
      <c r="AU13" s="188"/>
      <c r="AV13" s="185"/>
      <c r="AW13" s="182"/>
      <c r="AX13" s="558"/>
    </row>
    <row r="14" spans="1:50" ht="14.25" customHeight="1">
      <c r="B14" s="530"/>
      <c r="C14" s="180">
        <v>8</v>
      </c>
      <c r="D14" s="183"/>
      <c r="E14" s="180"/>
      <c r="F14" s="180"/>
      <c r="G14" s="185"/>
      <c r="H14" s="558"/>
      <c r="I14" s="186"/>
      <c r="J14" s="186"/>
      <c r="K14" s="187"/>
      <c r="L14" s="559"/>
      <c r="M14" s="186"/>
      <c r="N14" s="530"/>
      <c r="O14" s="530"/>
      <c r="P14" s="188"/>
      <c r="Q14" s="188"/>
      <c r="R14" s="185"/>
      <c r="S14" s="182"/>
      <c r="T14" s="558"/>
      <c r="U14" s="188"/>
      <c r="V14" s="188"/>
      <c r="W14" s="185"/>
      <c r="X14" s="182"/>
      <c r="Y14" s="558"/>
      <c r="Z14" s="188"/>
      <c r="AA14" s="188"/>
      <c r="AB14" s="185"/>
      <c r="AC14" s="182"/>
      <c r="AD14" s="558"/>
      <c r="AE14" s="188"/>
      <c r="AF14" s="188"/>
      <c r="AG14" s="185"/>
      <c r="AH14" s="182"/>
      <c r="AI14" s="558"/>
      <c r="AJ14" s="188"/>
      <c r="AK14" s="188"/>
      <c r="AL14" s="185"/>
      <c r="AM14" s="182"/>
      <c r="AN14" s="558"/>
      <c r="AO14" s="188"/>
      <c r="AP14" s="188"/>
      <c r="AQ14" s="185"/>
      <c r="AR14" s="182"/>
      <c r="AS14" s="558"/>
      <c r="AT14" s="188"/>
      <c r="AU14" s="188"/>
      <c r="AV14" s="185"/>
      <c r="AW14" s="182"/>
      <c r="AX14" s="558"/>
    </row>
    <row r="15" spans="1:50" ht="14.25" customHeight="1">
      <c r="B15" s="530"/>
      <c r="C15" s="180">
        <v>9</v>
      </c>
      <c r="D15" s="183"/>
      <c r="E15" s="180"/>
      <c r="F15" s="180"/>
      <c r="G15" s="185"/>
      <c r="H15" s="558"/>
      <c r="I15" s="186"/>
      <c r="J15" s="186"/>
      <c r="K15" s="187"/>
      <c r="L15" s="559"/>
      <c r="M15" s="186"/>
      <c r="N15" s="530"/>
      <c r="O15" s="530"/>
      <c r="P15" s="188"/>
      <c r="Q15" s="188"/>
      <c r="R15" s="185"/>
      <c r="S15" s="182"/>
      <c r="T15" s="558"/>
      <c r="U15" s="188"/>
      <c r="V15" s="188"/>
      <c r="W15" s="185"/>
      <c r="X15" s="182"/>
      <c r="Y15" s="558"/>
      <c r="Z15" s="188"/>
      <c r="AA15" s="188"/>
      <c r="AB15" s="185"/>
      <c r="AC15" s="182"/>
      <c r="AD15" s="558"/>
      <c r="AE15" s="188"/>
      <c r="AF15" s="188"/>
      <c r="AG15" s="185"/>
      <c r="AH15" s="182"/>
      <c r="AI15" s="558"/>
      <c r="AJ15" s="188"/>
      <c r="AK15" s="188"/>
      <c r="AL15" s="185"/>
      <c r="AM15" s="182"/>
      <c r="AN15" s="558"/>
      <c r="AO15" s="188"/>
      <c r="AP15" s="188"/>
      <c r="AQ15" s="185"/>
      <c r="AR15" s="182"/>
      <c r="AS15" s="558"/>
      <c r="AT15" s="188"/>
      <c r="AU15" s="188"/>
      <c r="AV15" s="185"/>
      <c r="AW15" s="182"/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27">U22+1</f>
        <v>46058</v>
      </c>
      <c r="AA22" s="597"/>
      <c r="AB22" s="597"/>
      <c r="AC22" s="597"/>
      <c r="AD22" s="597"/>
      <c r="AE22" s="598">
        <f t="shared" ref="AE22" si="28">Z22+1</f>
        <v>46059</v>
      </c>
      <c r="AF22" s="599"/>
      <c r="AG22" s="599"/>
      <c r="AH22" s="599"/>
      <c r="AI22" s="599"/>
      <c r="AJ22" s="588">
        <f t="shared" ref="AJ22" si="29">AE22+1</f>
        <v>46060</v>
      </c>
      <c r="AK22" s="589"/>
      <c r="AL22" s="589"/>
      <c r="AM22" s="589"/>
      <c r="AN22" s="590"/>
      <c r="AO22" s="598">
        <f t="shared" ref="AO22" si="30">AJ22+1</f>
        <v>46061</v>
      </c>
      <c r="AP22" s="599"/>
      <c r="AQ22" s="599"/>
      <c r="AR22" s="599"/>
      <c r="AS22" s="599"/>
      <c r="AT22" s="588">
        <f t="shared" ref="AT22" si="31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32">Z22</f>
        <v>46058</v>
      </c>
      <c r="AA23" s="591"/>
      <c r="AB23" s="591"/>
      <c r="AC23" s="591"/>
      <c r="AD23" s="591"/>
      <c r="AE23" s="592">
        <f t="shared" ref="AE23" si="33">AE22</f>
        <v>46059</v>
      </c>
      <c r="AF23" s="592"/>
      <c r="AG23" s="592"/>
      <c r="AH23" s="592"/>
      <c r="AI23" s="592"/>
      <c r="AJ23" s="593">
        <f t="shared" ref="AJ23" si="34">AJ22</f>
        <v>46060</v>
      </c>
      <c r="AK23" s="594"/>
      <c r="AL23" s="594"/>
      <c r="AM23" s="594"/>
      <c r="AN23" s="595"/>
      <c r="AO23" s="592">
        <f t="shared" ref="AO23" si="35">AO22</f>
        <v>46061</v>
      </c>
      <c r="AP23" s="592"/>
      <c r="AQ23" s="592"/>
      <c r="AR23" s="592"/>
      <c r="AS23" s="592"/>
      <c r="AT23" s="593">
        <f t="shared" ref="AT23" si="36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600" t="s">
        <v>189</v>
      </c>
      <c r="C27" s="180">
        <v>1</v>
      </c>
      <c r="D27" s="183" t="s">
        <v>190</v>
      </c>
      <c r="E27" s="180">
        <v>21</v>
      </c>
      <c r="F27" s="180">
        <v>2790</v>
      </c>
      <c r="G27" s="185">
        <f t="shared" ref="G27:G29" si="37">F27/E27</f>
        <v>132.85714285714286</v>
      </c>
      <c r="H27" s="558">
        <f>AVERAGE(G27:G41)</f>
        <v>288.57142857142861</v>
      </c>
      <c r="I27" s="186">
        <f>AVERAGE(P27,U27,Z27,AE27,AJ27,AO27,AT27)</f>
        <v>21.285714285714285</v>
      </c>
      <c r="J27" s="186">
        <f>AVERAGE(Q27,V27,AA27,AF27,AK27,AP27,AU27)</f>
        <v>2491.1695707857966</v>
      </c>
      <c r="K27" s="187">
        <f>AVERAGE(R27,W27,AB27,AG27,AL27,AQ27,AV27)</f>
        <v>117.07519198333515</v>
      </c>
      <c r="L27" s="559">
        <f>IFERROR(AVERAGE(K27:K41),"-")</f>
        <v>258.45295510317538</v>
      </c>
      <c r="M27" s="186">
        <f>RANK(K27, K$27:$K$41)</f>
        <v>2</v>
      </c>
      <c r="N27" s="530"/>
      <c r="O27" s="530"/>
      <c r="P27" s="188">
        <v>21</v>
      </c>
      <c r="Q27" s="188">
        <v>2484.3054082714762</v>
      </c>
      <c r="R27" s="185">
        <f>IFERROR(Q27/P27,"")</f>
        <v>118.30025753673696</v>
      </c>
      <c r="S27" s="182">
        <f>RANK(R27, R$27:R$41)</f>
        <v>3</v>
      </c>
      <c r="T27" s="558">
        <f>AVERAGE(R27:R41)</f>
        <v>259.41117989727019</v>
      </c>
      <c r="U27" s="188">
        <v>21</v>
      </c>
      <c r="V27" s="188">
        <v>2484.2162752594213</v>
      </c>
      <c r="W27" s="185">
        <f t="shared" ref="W27:W29" si="38">IFERROR(V27/U27,"")</f>
        <v>118.29601310759149</v>
      </c>
      <c r="X27" s="182">
        <f>RANK(W27, W$27:W$41)</f>
        <v>3</v>
      </c>
      <c r="Y27" s="558">
        <f>AVERAGE(W27:W41)</f>
        <v>259.47287573899746</v>
      </c>
      <c r="Z27" s="188">
        <v>21</v>
      </c>
      <c r="AA27" s="188">
        <v>2485.099601593623</v>
      </c>
      <c r="AB27" s="185">
        <f t="shared" ref="AB27:AB28" si="39">IFERROR(AA27/Z27,"")</f>
        <v>118.338076266363</v>
      </c>
      <c r="AC27" s="182">
        <f>RANK(AB27, AB$27:AB$41)</f>
        <v>1</v>
      </c>
      <c r="AD27" s="558">
        <f>AVERAGE(AB27:AB41)</f>
        <v>118.33209729624097</v>
      </c>
      <c r="AE27" s="188">
        <v>22</v>
      </c>
      <c r="AF27" s="188">
        <v>2508.2767978290381</v>
      </c>
      <c r="AG27" s="185">
        <f>IFERROR(AF27/AE27,"")</f>
        <v>114.01258171950172</v>
      </c>
      <c r="AH27" s="182">
        <f>RANK(AG27, AG$27:AG$41)</f>
        <v>1</v>
      </c>
      <c r="AI27" s="558">
        <f>AVERAGE(AG27:AG41)</f>
        <v>113.98681034027038</v>
      </c>
      <c r="AJ27" s="188">
        <v>22</v>
      </c>
      <c r="AK27" s="188">
        <v>2510.6662290777817</v>
      </c>
      <c r="AL27" s="185">
        <f t="shared" ref="AL27:AL28" si="40">IFERROR(AK27/AJ27,"")</f>
        <v>114.12119223080826</v>
      </c>
      <c r="AM27" s="182">
        <f>RANK(AL27, AL$27:AL$41)</f>
        <v>2</v>
      </c>
      <c r="AN27" s="558">
        <f>AVERAGE(AL27:AL41)</f>
        <v>114.14639256851154</v>
      </c>
      <c r="AO27" s="188">
        <v>21</v>
      </c>
      <c r="AP27" s="188">
        <v>2482.8947368421032</v>
      </c>
      <c r="AQ27" s="185">
        <f t="shared" ref="AQ27" si="41">IFERROR(AP27/AO27,"")</f>
        <v>118.23308270676682</v>
      </c>
      <c r="AR27" s="182">
        <f>RANK(AQ27, AQ$27:AQ$41)</f>
        <v>1</v>
      </c>
      <c r="AS27" s="558">
        <f>AVERAGE(AQ27:AQ41)</f>
        <v>118.23308270676682</v>
      </c>
      <c r="AT27" s="188">
        <v>21</v>
      </c>
      <c r="AU27" s="188">
        <v>2482.7279466271316</v>
      </c>
      <c r="AV27" s="185">
        <f t="shared" ref="AV27" si="42">IFERROR(AU27/AT27,"")</f>
        <v>118.22514031557769</v>
      </c>
      <c r="AW27" s="182">
        <f>RANK(AV27, AV$27:AV$41)</f>
        <v>1</v>
      </c>
      <c r="AX27" s="558">
        <f>AVERAGE(AV27:AV41)</f>
        <v>118.22514031557769</v>
      </c>
    </row>
    <row r="28" spans="2:50" ht="14.25" customHeight="1">
      <c r="B28" s="530"/>
      <c r="C28" s="180">
        <v>2</v>
      </c>
      <c r="D28" s="183" t="s">
        <v>191</v>
      </c>
      <c r="E28" s="180">
        <v>21</v>
      </c>
      <c r="F28" s="180">
        <v>2790</v>
      </c>
      <c r="G28" s="185">
        <f t="shared" si="37"/>
        <v>132.85714285714286</v>
      </c>
      <c r="H28" s="558"/>
      <c r="I28" s="186">
        <f t="shared" ref="I28:K29" si="43">AVERAGE(P28,U28,Z28,AE28,AJ28,AO28,AT28)</f>
        <v>21.4</v>
      </c>
      <c r="J28" s="186">
        <f t="shared" si="43"/>
        <v>2495.2576250117054</v>
      </c>
      <c r="K28" s="187">
        <f t="shared" si="43"/>
        <v>116.64909993515498</v>
      </c>
      <c r="L28" s="559"/>
      <c r="M28" s="186">
        <f>RANK(K28, K$27:$K$41)</f>
        <v>3</v>
      </c>
      <c r="N28" s="530"/>
      <c r="O28" s="530"/>
      <c r="P28" s="188">
        <v>21</v>
      </c>
      <c r="Q28" s="188">
        <v>2485.5652173913168</v>
      </c>
      <c r="R28" s="185">
        <f t="shared" ref="R28:R29" si="44">IFERROR(Q28/P28,"")</f>
        <v>118.36024844720556</v>
      </c>
      <c r="S28" s="182">
        <f t="shared" ref="S28:S29" si="45">RANK(R28, R$27:R$41)</f>
        <v>2</v>
      </c>
      <c r="T28" s="558"/>
      <c r="U28" s="188">
        <v>21</v>
      </c>
      <c r="V28" s="188">
        <v>2486.9565217391259</v>
      </c>
      <c r="W28" s="185">
        <f t="shared" si="38"/>
        <v>118.42650103519648</v>
      </c>
      <c r="X28" s="182">
        <f t="shared" ref="X28:X29" si="46">RANK(W28, W$27:W$41)</f>
        <v>2</v>
      </c>
      <c r="Y28" s="558"/>
      <c r="Z28" s="188">
        <v>21</v>
      </c>
      <c r="AA28" s="188">
        <v>2484.8484848484977</v>
      </c>
      <c r="AB28" s="185">
        <f t="shared" si="39"/>
        <v>118.32611832611894</v>
      </c>
      <c r="AC28" s="182">
        <f t="shared" ref="AC28" si="47">RANK(AB28, AB$27:AB$41)</f>
        <v>2</v>
      </c>
      <c r="AD28" s="558"/>
      <c r="AE28" s="188">
        <v>22</v>
      </c>
      <c r="AF28" s="188">
        <v>2507.1428571428587</v>
      </c>
      <c r="AG28" s="185">
        <f t="shared" ref="AG28" si="48">IFERROR(AF28/AE28,"")</f>
        <v>113.96103896103904</v>
      </c>
      <c r="AH28" s="182">
        <f t="shared" ref="AH28" si="49">RANK(AG28, AG$27:AG$41)</f>
        <v>2</v>
      </c>
      <c r="AI28" s="558"/>
      <c r="AJ28" s="188">
        <v>22</v>
      </c>
      <c r="AK28" s="188">
        <v>2511.7750439367264</v>
      </c>
      <c r="AL28" s="185">
        <f t="shared" si="40"/>
        <v>114.17159290621484</v>
      </c>
      <c r="AM28" s="182">
        <f t="shared" ref="AM28" si="50">RANK(AL28, AL$27:AL$41)</f>
        <v>1</v>
      </c>
      <c r="AN28" s="558"/>
      <c r="AO28" s="188"/>
      <c r="AP28" s="188"/>
      <c r="AQ28" s="185"/>
      <c r="AR28" s="182"/>
      <c r="AS28" s="558"/>
      <c r="AT28" s="188"/>
      <c r="AU28" s="188"/>
      <c r="AV28" s="185"/>
      <c r="AW28" s="182"/>
      <c r="AX28" s="558"/>
    </row>
    <row r="29" spans="2:50" ht="14.25" customHeight="1">
      <c r="B29" s="530"/>
      <c r="C29" s="180">
        <v>3</v>
      </c>
      <c r="D29" s="183" t="s">
        <v>192</v>
      </c>
      <c r="E29" s="180">
        <v>6</v>
      </c>
      <c r="F29" s="180">
        <v>3600</v>
      </c>
      <c r="G29" s="185">
        <f t="shared" si="37"/>
        <v>600</v>
      </c>
      <c r="H29" s="558"/>
      <c r="I29" s="186">
        <f t="shared" si="43"/>
        <v>6</v>
      </c>
      <c r="J29" s="186">
        <f t="shared" si="43"/>
        <v>3249.8074403462174</v>
      </c>
      <c r="K29" s="187">
        <f t="shared" si="43"/>
        <v>541.63457339103616</v>
      </c>
      <c r="L29" s="559"/>
      <c r="M29" s="186">
        <f>RANK(K29, K$27:$K$41)</f>
        <v>1</v>
      </c>
      <c r="N29" s="530"/>
      <c r="O29" s="530"/>
      <c r="P29" s="188">
        <v>6</v>
      </c>
      <c r="Q29" s="188">
        <v>3249.4382022472082</v>
      </c>
      <c r="R29" s="185">
        <f t="shared" si="44"/>
        <v>541.57303370786803</v>
      </c>
      <c r="S29" s="182">
        <f t="shared" si="45"/>
        <v>1</v>
      </c>
      <c r="T29" s="558"/>
      <c r="U29" s="188">
        <v>6</v>
      </c>
      <c r="V29" s="188">
        <v>3250.1766784452266</v>
      </c>
      <c r="W29" s="185">
        <f t="shared" si="38"/>
        <v>541.69611307420439</v>
      </c>
      <c r="X29" s="182">
        <f t="shared" si="46"/>
        <v>1</v>
      </c>
      <c r="Y29" s="558"/>
      <c r="Z29" s="188"/>
      <c r="AA29" s="188"/>
      <c r="AB29" s="185"/>
      <c r="AC29" s="182"/>
      <c r="AD29" s="558"/>
      <c r="AE29" s="188"/>
      <c r="AF29" s="188"/>
      <c r="AG29" s="185"/>
      <c r="AH29" s="182"/>
      <c r="AI29" s="558"/>
      <c r="AJ29" s="188"/>
      <c r="AK29" s="188"/>
      <c r="AL29" s="185"/>
      <c r="AM29" s="182"/>
      <c r="AN29" s="558"/>
      <c r="AO29" s="188"/>
      <c r="AP29" s="188"/>
      <c r="AQ29" s="185"/>
      <c r="AR29" s="182"/>
      <c r="AS29" s="558"/>
      <c r="AT29" s="188"/>
      <c r="AU29" s="188"/>
      <c r="AV29" s="185"/>
      <c r="AW29" s="182"/>
      <c r="AX29" s="558"/>
    </row>
    <row r="30" spans="2:50" ht="14.25" customHeight="1">
      <c r="B30" s="530"/>
      <c r="C30" s="180">
        <v>4</v>
      </c>
      <c r="D30" s="183"/>
      <c r="E30" s="180"/>
      <c r="F30" s="180"/>
      <c r="G30" s="185"/>
      <c r="H30" s="558"/>
      <c r="I30" s="186"/>
      <c r="J30" s="186"/>
      <c r="K30" s="187"/>
      <c r="L30" s="559"/>
      <c r="M30" s="186"/>
      <c r="N30" s="530"/>
      <c r="O30" s="530"/>
      <c r="P30" s="188"/>
      <c r="Q30" s="188"/>
      <c r="R30" s="185"/>
      <c r="S30" s="182"/>
      <c r="T30" s="558"/>
      <c r="U30" s="188"/>
      <c r="V30" s="188"/>
      <c r="W30" s="185"/>
      <c r="X30" s="182"/>
      <c r="Y30" s="558"/>
      <c r="Z30" s="188"/>
      <c r="AA30" s="188"/>
      <c r="AB30" s="185"/>
      <c r="AC30" s="182"/>
      <c r="AD30" s="558"/>
      <c r="AE30" s="188"/>
      <c r="AF30" s="188"/>
      <c r="AG30" s="185"/>
      <c r="AH30" s="182"/>
      <c r="AI30" s="558"/>
      <c r="AJ30" s="188"/>
      <c r="AK30" s="188"/>
      <c r="AL30" s="185"/>
      <c r="AM30" s="182"/>
      <c r="AN30" s="558"/>
      <c r="AO30" s="188"/>
      <c r="AP30" s="188"/>
      <c r="AQ30" s="185"/>
      <c r="AR30" s="182"/>
      <c r="AS30" s="558"/>
      <c r="AT30" s="188"/>
      <c r="AU30" s="188"/>
      <c r="AV30" s="185"/>
      <c r="AW30" s="182"/>
      <c r="AX30" s="558"/>
    </row>
    <row r="31" spans="2:50" ht="14.25" customHeight="1">
      <c r="B31" s="530"/>
      <c r="C31" s="180">
        <v>5</v>
      </c>
      <c r="D31" s="183"/>
      <c r="E31" s="180"/>
      <c r="F31" s="180"/>
      <c r="G31" s="185"/>
      <c r="H31" s="558"/>
      <c r="I31" s="186"/>
      <c r="J31" s="186"/>
      <c r="K31" s="187"/>
      <c r="L31" s="559"/>
      <c r="M31" s="186"/>
      <c r="N31" s="530"/>
      <c r="O31" s="530"/>
      <c r="P31" s="188"/>
      <c r="Q31" s="188"/>
      <c r="R31" s="185"/>
      <c r="S31" s="182"/>
      <c r="T31" s="558"/>
      <c r="U31" s="188"/>
      <c r="V31" s="188"/>
      <c r="W31" s="185"/>
      <c r="X31" s="182"/>
      <c r="Y31" s="558"/>
      <c r="Z31" s="188"/>
      <c r="AA31" s="188"/>
      <c r="AB31" s="185"/>
      <c r="AC31" s="182"/>
      <c r="AD31" s="558"/>
      <c r="AE31" s="188"/>
      <c r="AF31" s="188"/>
      <c r="AG31" s="185"/>
      <c r="AH31" s="182"/>
      <c r="AI31" s="558"/>
      <c r="AJ31" s="188"/>
      <c r="AK31" s="188"/>
      <c r="AL31" s="185"/>
      <c r="AM31" s="182"/>
      <c r="AN31" s="558"/>
      <c r="AO31" s="188"/>
      <c r="AP31" s="188"/>
      <c r="AQ31" s="185"/>
      <c r="AR31" s="182"/>
      <c r="AS31" s="558"/>
      <c r="AT31" s="188"/>
      <c r="AU31" s="188"/>
      <c r="AV31" s="185"/>
      <c r="AW31" s="182"/>
      <c r="AX31" s="558"/>
    </row>
    <row r="32" spans="2:50" ht="14.25" customHeight="1">
      <c r="B32" s="530"/>
      <c r="C32" s="180">
        <v>6</v>
      </c>
      <c r="D32" s="183"/>
      <c r="E32" s="180"/>
      <c r="F32" s="180"/>
      <c r="G32" s="185"/>
      <c r="H32" s="558"/>
      <c r="I32" s="186"/>
      <c r="J32" s="186"/>
      <c r="K32" s="187"/>
      <c r="L32" s="559"/>
      <c r="M32" s="186"/>
      <c r="N32" s="530"/>
      <c r="O32" s="530"/>
      <c r="P32" s="188"/>
      <c r="Q32" s="188"/>
      <c r="R32" s="185"/>
      <c r="S32" s="182"/>
      <c r="T32" s="558"/>
      <c r="U32" s="188"/>
      <c r="V32" s="188"/>
      <c r="W32" s="185"/>
      <c r="X32" s="182"/>
      <c r="Y32" s="558"/>
      <c r="Z32" s="188"/>
      <c r="AA32" s="188"/>
      <c r="AB32" s="185"/>
      <c r="AC32" s="182"/>
      <c r="AD32" s="558"/>
      <c r="AE32" s="188"/>
      <c r="AF32" s="188"/>
      <c r="AG32" s="185"/>
      <c r="AH32" s="182"/>
      <c r="AI32" s="558"/>
      <c r="AJ32" s="188"/>
      <c r="AK32" s="188"/>
      <c r="AL32" s="185"/>
      <c r="AM32" s="182"/>
      <c r="AN32" s="558"/>
      <c r="AO32" s="188"/>
      <c r="AP32" s="188"/>
      <c r="AQ32" s="185"/>
      <c r="AR32" s="182"/>
      <c r="AS32" s="558"/>
      <c r="AT32" s="188"/>
      <c r="AU32" s="188"/>
      <c r="AV32" s="185"/>
      <c r="AW32" s="182"/>
      <c r="AX32" s="558"/>
    </row>
    <row r="33" spans="2:50" ht="14.25" customHeight="1">
      <c r="B33" s="530"/>
      <c r="C33" s="180">
        <v>7</v>
      </c>
      <c r="D33" s="183"/>
      <c r="E33" s="180"/>
      <c r="F33" s="180"/>
      <c r="G33" s="185"/>
      <c r="H33" s="558"/>
      <c r="I33" s="186"/>
      <c r="J33" s="186"/>
      <c r="K33" s="187"/>
      <c r="L33" s="559"/>
      <c r="M33" s="186"/>
      <c r="N33" s="530"/>
      <c r="O33" s="530"/>
      <c r="P33" s="188"/>
      <c r="Q33" s="188"/>
      <c r="R33" s="185"/>
      <c r="S33" s="182"/>
      <c r="T33" s="558"/>
      <c r="U33" s="188"/>
      <c r="V33" s="188"/>
      <c r="W33" s="185"/>
      <c r="X33" s="182"/>
      <c r="Y33" s="558"/>
      <c r="Z33" s="188"/>
      <c r="AA33" s="188"/>
      <c r="AB33" s="185"/>
      <c r="AC33" s="182"/>
      <c r="AD33" s="558"/>
      <c r="AE33" s="188"/>
      <c r="AF33" s="188"/>
      <c r="AG33" s="185"/>
      <c r="AH33" s="182"/>
      <c r="AI33" s="558"/>
      <c r="AJ33" s="188"/>
      <c r="AK33" s="188"/>
      <c r="AL33" s="185"/>
      <c r="AM33" s="182"/>
      <c r="AN33" s="558"/>
      <c r="AO33" s="188"/>
      <c r="AP33" s="188"/>
      <c r="AQ33" s="185"/>
      <c r="AR33" s="182"/>
      <c r="AS33" s="558"/>
      <c r="AT33" s="188"/>
      <c r="AU33" s="188"/>
      <c r="AV33" s="185"/>
      <c r="AW33" s="182"/>
      <c r="AX33" s="558"/>
    </row>
    <row r="34" spans="2:50" ht="14.25" customHeight="1">
      <c r="B34" s="530"/>
      <c r="C34" s="180">
        <v>8</v>
      </c>
      <c r="D34" s="183"/>
      <c r="E34" s="180"/>
      <c r="F34" s="180"/>
      <c r="G34" s="185"/>
      <c r="H34" s="558"/>
      <c r="I34" s="186"/>
      <c r="J34" s="186"/>
      <c r="K34" s="187"/>
      <c r="L34" s="559"/>
      <c r="M34" s="186"/>
      <c r="N34" s="530"/>
      <c r="O34" s="530"/>
      <c r="P34" s="188"/>
      <c r="Q34" s="188"/>
      <c r="R34" s="185"/>
      <c r="S34" s="182"/>
      <c r="T34" s="558"/>
      <c r="U34" s="188"/>
      <c r="V34" s="188"/>
      <c r="W34" s="185"/>
      <c r="X34" s="182"/>
      <c r="Y34" s="558"/>
      <c r="Z34" s="188"/>
      <c r="AA34" s="188"/>
      <c r="AB34" s="185"/>
      <c r="AC34" s="182"/>
      <c r="AD34" s="558"/>
      <c r="AE34" s="188"/>
      <c r="AF34" s="188"/>
      <c r="AG34" s="185"/>
      <c r="AH34" s="182"/>
      <c r="AI34" s="558"/>
      <c r="AJ34" s="188"/>
      <c r="AK34" s="188"/>
      <c r="AL34" s="185"/>
      <c r="AM34" s="182"/>
      <c r="AN34" s="558"/>
      <c r="AO34" s="188"/>
      <c r="AP34" s="188"/>
      <c r="AQ34" s="185"/>
      <c r="AR34" s="182"/>
      <c r="AS34" s="558"/>
      <c r="AT34" s="188"/>
      <c r="AU34" s="188"/>
      <c r="AV34" s="185"/>
      <c r="AW34" s="182"/>
      <c r="AX34" s="558"/>
    </row>
    <row r="35" spans="2:50" ht="14.25" customHeight="1">
      <c r="B35" s="530"/>
      <c r="C35" s="180">
        <v>9</v>
      </c>
      <c r="D35" s="183"/>
      <c r="E35" s="180"/>
      <c r="F35" s="180"/>
      <c r="G35" s="185"/>
      <c r="H35" s="558"/>
      <c r="I35" s="186"/>
      <c r="J35" s="186"/>
      <c r="K35" s="187"/>
      <c r="L35" s="559"/>
      <c r="M35" s="186"/>
      <c r="N35" s="530"/>
      <c r="O35" s="530"/>
      <c r="P35" s="188"/>
      <c r="Q35" s="188"/>
      <c r="R35" s="185"/>
      <c r="S35" s="182"/>
      <c r="T35" s="558"/>
      <c r="U35" s="188"/>
      <c r="V35" s="188"/>
      <c r="W35" s="185"/>
      <c r="X35" s="182"/>
      <c r="Y35" s="558"/>
      <c r="Z35" s="188"/>
      <c r="AA35" s="188"/>
      <c r="AB35" s="185"/>
      <c r="AC35" s="182"/>
      <c r="AD35" s="558"/>
      <c r="AE35" s="188"/>
      <c r="AF35" s="188"/>
      <c r="AG35" s="185"/>
      <c r="AH35" s="182"/>
      <c r="AI35" s="558"/>
      <c r="AJ35" s="188"/>
      <c r="AK35" s="188"/>
      <c r="AL35" s="185"/>
      <c r="AM35" s="182"/>
      <c r="AN35" s="558"/>
      <c r="AO35" s="188"/>
      <c r="AP35" s="188"/>
      <c r="AQ35" s="185"/>
      <c r="AR35" s="182"/>
      <c r="AS35" s="558"/>
      <c r="AT35" s="188"/>
      <c r="AU35" s="188"/>
      <c r="AV35" s="185"/>
      <c r="AW35" s="182"/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51">U42+1</f>
        <v>46065</v>
      </c>
      <c r="AA42" s="597"/>
      <c r="AB42" s="597"/>
      <c r="AC42" s="597"/>
      <c r="AD42" s="597"/>
      <c r="AE42" s="598">
        <f t="shared" ref="AE42" si="52">Z42+1</f>
        <v>46066</v>
      </c>
      <c r="AF42" s="599"/>
      <c r="AG42" s="599"/>
      <c r="AH42" s="599"/>
      <c r="AI42" s="599"/>
      <c r="AJ42" s="588">
        <f t="shared" ref="AJ42" si="53">AE42+1</f>
        <v>46067</v>
      </c>
      <c r="AK42" s="589"/>
      <c r="AL42" s="589"/>
      <c r="AM42" s="589"/>
      <c r="AN42" s="590"/>
      <c r="AO42" s="598">
        <f t="shared" ref="AO42" si="54">AJ42+1</f>
        <v>46068</v>
      </c>
      <c r="AP42" s="599"/>
      <c r="AQ42" s="599"/>
      <c r="AR42" s="599"/>
      <c r="AS42" s="599"/>
      <c r="AT42" s="588">
        <f t="shared" ref="AT42" si="55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56">Z42</f>
        <v>46065</v>
      </c>
      <c r="AA43" s="591"/>
      <c r="AB43" s="591"/>
      <c r="AC43" s="591"/>
      <c r="AD43" s="591"/>
      <c r="AE43" s="592">
        <f t="shared" ref="AE43" si="57">AE42</f>
        <v>46066</v>
      </c>
      <c r="AF43" s="592"/>
      <c r="AG43" s="592"/>
      <c r="AH43" s="592"/>
      <c r="AI43" s="592"/>
      <c r="AJ43" s="593">
        <f t="shared" ref="AJ43" si="58">AJ42</f>
        <v>46067</v>
      </c>
      <c r="AK43" s="594"/>
      <c r="AL43" s="594"/>
      <c r="AM43" s="594"/>
      <c r="AN43" s="595"/>
      <c r="AO43" s="592">
        <f t="shared" ref="AO43" si="59">AO42</f>
        <v>46068</v>
      </c>
      <c r="AP43" s="592"/>
      <c r="AQ43" s="592"/>
      <c r="AR43" s="592"/>
      <c r="AS43" s="592"/>
      <c r="AT43" s="593">
        <f t="shared" ref="AT43" si="60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600" t="s">
        <v>189</v>
      </c>
      <c r="C47" s="180">
        <v>1</v>
      </c>
      <c r="D47" s="183" t="s">
        <v>190</v>
      </c>
      <c r="E47" s="180">
        <v>21</v>
      </c>
      <c r="F47" s="180">
        <v>2790</v>
      </c>
      <c r="G47" s="185">
        <f t="shared" ref="G47" si="61">F47/E47</f>
        <v>132.85714285714286</v>
      </c>
      <c r="H47" s="558">
        <f>AVERAGE(G47:G61)</f>
        <v>132.85714285714286</v>
      </c>
      <c r="I47" s="186">
        <f>AVERAGE(P47,U47,Z47,AE47,AJ47,AO47,AT47)</f>
        <v>23.857142857142858</v>
      </c>
      <c r="J47" s="186">
        <f>AVERAGE(Q47,V47,AA47,AF47,AK47,AP47,AU47)</f>
        <v>2827.8917865643953</v>
      </c>
      <c r="K47" s="187">
        <f>AVERAGE(R47,W47,AB47,AG47,AL47,AQ47,AV47)</f>
        <v>118.52110520921693</v>
      </c>
      <c r="L47" s="559">
        <f>IFERROR(AVERAGE(K47:K61),"-")</f>
        <v>118.52110520921693</v>
      </c>
      <c r="M47" s="186">
        <f>RANK(K47, K$47:$K$61)</f>
        <v>1</v>
      </c>
      <c r="N47" s="530"/>
      <c r="O47" s="530"/>
      <c r="P47" s="188">
        <v>21</v>
      </c>
      <c r="Q47" s="188">
        <v>2483.083511777299</v>
      </c>
      <c r="R47" s="185">
        <f>IFERROR(Q47/P47,"")</f>
        <v>118.24207198939519</v>
      </c>
      <c r="S47" s="182">
        <f>RANK(R47, R$47:R$61)</f>
        <v>1</v>
      </c>
      <c r="T47" s="558">
        <f>AVERAGE(R47:R61)</f>
        <v>118.24207198939519</v>
      </c>
      <c r="U47" s="188">
        <v>21</v>
      </c>
      <c r="V47" s="188">
        <v>2483.1587429492333</v>
      </c>
      <c r="W47" s="185">
        <f t="shared" ref="W47" si="62">IFERROR(V47/U47,"")</f>
        <v>118.24565442615396</v>
      </c>
      <c r="X47" s="182">
        <f>RANK(W47, W$47:W$61)</f>
        <v>1</v>
      </c>
      <c r="Y47" s="558">
        <f>AVERAGE(W47:W61)</f>
        <v>118.24565442615396</v>
      </c>
      <c r="Z47" s="188">
        <v>25</v>
      </c>
      <c r="AA47" s="188">
        <v>2965.7404580152611</v>
      </c>
      <c r="AB47" s="185">
        <f t="shared" ref="AB47" si="63">IFERROR(AA47/Z47,"")</f>
        <v>118.62961832061045</v>
      </c>
      <c r="AC47" s="182">
        <f>RANK(AB47, AB$47:AB$61)</f>
        <v>1</v>
      </c>
      <c r="AD47" s="558">
        <f>AVERAGE(AB47:AB61)</f>
        <v>118.62961832061045</v>
      </c>
      <c r="AE47" s="188">
        <v>25</v>
      </c>
      <c r="AF47" s="188">
        <v>2965.9574468085179</v>
      </c>
      <c r="AG47" s="185">
        <f>IFERROR(AF47/AE47,"")</f>
        <v>118.63829787234071</v>
      </c>
      <c r="AH47" s="182">
        <f>RANK(AG47, AG$47:AG$61)</f>
        <v>1</v>
      </c>
      <c r="AI47" s="558">
        <f>AVERAGE(AG47:AG61)</f>
        <v>118.63829787234071</v>
      </c>
      <c r="AJ47" s="188">
        <v>25</v>
      </c>
      <c r="AK47" s="188">
        <v>2966.1399548532804</v>
      </c>
      <c r="AL47" s="185">
        <f t="shared" ref="AL47" si="64">IFERROR(AK47/AJ47,"")</f>
        <v>118.64559819413121</v>
      </c>
      <c r="AM47" s="182">
        <f>RANK(AL47, AL$47:AL$61)</f>
        <v>1</v>
      </c>
      <c r="AN47" s="558">
        <f>AVERAGE(AL47:AL61)</f>
        <v>118.64559819413121</v>
      </c>
      <c r="AO47" s="188">
        <v>25</v>
      </c>
      <c r="AP47" s="188">
        <v>2965.7084883327648</v>
      </c>
      <c r="AQ47" s="185">
        <f t="shared" ref="AQ47" si="65">IFERROR(AP47/AO47,"")</f>
        <v>118.62833953331059</v>
      </c>
      <c r="AR47" s="182">
        <f>RANK(AQ47, AQ$47:AQ$61)</f>
        <v>1</v>
      </c>
      <c r="AS47" s="558">
        <f>AVERAGE(AQ47:AQ61)</f>
        <v>118.62833953331059</v>
      </c>
      <c r="AT47" s="188">
        <v>25</v>
      </c>
      <c r="AU47" s="188">
        <v>2965.4539032144075</v>
      </c>
      <c r="AV47" s="185">
        <f t="shared" ref="AV47" si="66">IFERROR(AU47/AT47,"")</f>
        <v>118.6181561285763</v>
      </c>
      <c r="AW47" s="182">
        <f>RANK(AV47, AV$47:AV$61)</f>
        <v>1</v>
      </c>
      <c r="AX47" s="558">
        <f>AVERAGE(AV47:AV61)</f>
        <v>118.6181561285763</v>
      </c>
    </row>
    <row r="48" spans="2:50" ht="14.25" customHeight="1">
      <c r="B48" s="530"/>
      <c r="C48" s="180">
        <v>2</v>
      </c>
      <c r="D48" s="183"/>
      <c r="E48" s="180"/>
      <c r="F48" s="180"/>
      <c r="G48" s="185"/>
      <c r="H48" s="558"/>
      <c r="I48" s="186"/>
      <c r="J48" s="186"/>
      <c r="K48" s="187"/>
      <c r="L48" s="559"/>
      <c r="M48" s="186"/>
      <c r="N48" s="530"/>
      <c r="O48" s="530"/>
      <c r="P48" s="188"/>
      <c r="Q48" s="188"/>
      <c r="R48" s="185"/>
      <c r="S48" s="182"/>
      <c r="T48" s="558"/>
      <c r="U48" s="188"/>
      <c r="V48" s="188"/>
      <c r="W48" s="185"/>
      <c r="X48" s="182"/>
      <c r="Y48" s="558"/>
      <c r="Z48" s="188"/>
      <c r="AA48" s="188"/>
      <c r="AB48" s="185"/>
      <c r="AC48" s="182"/>
      <c r="AD48" s="558"/>
      <c r="AE48" s="188"/>
      <c r="AF48" s="188"/>
      <c r="AG48" s="185"/>
      <c r="AH48" s="182"/>
      <c r="AI48" s="558"/>
      <c r="AJ48" s="188"/>
      <c r="AK48" s="188"/>
      <c r="AL48" s="185"/>
      <c r="AM48" s="182"/>
      <c r="AN48" s="558"/>
      <c r="AO48" s="188"/>
      <c r="AP48" s="188"/>
      <c r="AQ48" s="185"/>
      <c r="AR48" s="182"/>
      <c r="AS48" s="558"/>
      <c r="AT48" s="188"/>
      <c r="AU48" s="188"/>
      <c r="AV48" s="185"/>
      <c r="AW48" s="182"/>
      <c r="AX48" s="558"/>
    </row>
    <row r="49" spans="2:50" ht="14.25" customHeight="1">
      <c r="B49" s="530"/>
      <c r="C49" s="180">
        <v>3</v>
      </c>
      <c r="D49" s="183"/>
      <c r="E49" s="180"/>
      <c r="F49" s="180"/>
      <c r="G49" s="185"/>
      <c r="H49" s="558"/>
      <c r="I49" s="186"/>
      <c r="J49" s="186"/>
      <c r="K49" s="187"/>
      <c r="L49" s="559"/>
      <c r="M49" s="186"/>
      <c r="N49" s="530"/>
      <c r="O49" s="530"/>
      <c r="P49" s="188"/>
      <c r="Q49" s="188"/>
      <c r="R49" s="185"/>
      <c r="S49" s="182"/>
      <c r="T49" s="558"/>
      <c r="U49" s="188"/>
      <c r="V49" s="188"/>
      <c r="W49" s="185"/>
      <c r="X49" s="182"/>
      <c r="Y49" s="558"/>
      <c r="Z49" s="188"/>
      <c r="AA49" s="188"/>
      <c r="AB49" s="185"/>
      <c r="AC49" s="182"/>
      <c r="AD49" s="558"/>
      <c r="AE49" s="188"/>
      <c r="AF49" s="188"/>
      <c r="AG49" s="185"/>
      <c r="AH49" s="182"/>
      <c r="AI49" s="558"/>
      <c r="AJ49" s="188"/>
      <c r="AK49" s="188"/>
      <c r="AL49" s="185"/>
      <c r="AM49" s="182"/>
      <c r="AN49" s="558"/>
      <c r="AO49" s="188"/>
      <c r="AP49" s="188"/>
      <c r="AQ49" s="185"/>
      <c r="AR49" s="182"/>
      <c r="AS49" s="558"/>
      <c r="AT49" s="188"/>
      <c r="AU49" s="188"/>
      <c r="AV49" s="185"/>
      <c r="AW49" s="182"/>
      <c r="AX49" s="558"/>
    </row>
    <row r="50" spans="2:50" ht="14.25" customHeight="1">
      <c r="B50" s="530"/>
      <c r="C50" s="180">
        <v>4</v>
      </c>
      <c r="D50" s="183"/>
      <c r="E50" s="180"/>
      <c r="F50" s="180"/>
      <c r="G50" s="185"/>
      <c r="H50" s="558"/>
      <c r="I50" s="186"/>
      <c r="J50" s="186"/>
      <c r="K50" s="187"/>
      <c r="L50" s="559"/>
      <c r="M50" s="186"/>
      <c r="N50" s="530"/>
      <c r="O50" s="530"/>
      <c r="P50" s="188"/>
      <c r="Q50" s="188"/>
      <c r="R50" s="185"/>
      <c r="S50" s="182"/>
      <c r="T50" s="558"/>
      <c r="U50" s="188"/>
      <c r="V50" s="188"/>
      <c r="W50" s="185"/>
      <c r="X50" s="182"/>
      <c r="Y50" s="558"/>
      <c r="Z50" s="188"/>
      <c r="AA50" s="188"/>
      <c r="AB50" s="185"/>
      <c r="AC50" s="182"/>
      <c r="AD50" s="558"/>
      <c r="AE50" s="188"/>
      <c r="AF50" s="188"/>
      <c r="AG50" s="185"/>
      <c r="AH50" s="182"/>
      <c r="AI50" s="558"/>
      <c r="AJ50" s="188"/>
      <c r="AK50" s="188"/>
      <c r="AL50" s="185"/>
      <c r="AM50" s="182"/>
      <c r="AN50" s="558"/>
      <c r="AO50" s="188"/>
      <c r="AP50" s="188"/>
      <c r="AQ50" s="185"/>
      <c r="AR50" s="182"/>
      <c r="AS50" s="558"/>
      <c r="AT50" s="188"/>
      <c r="AU50" s="188"/>
      <c r="AV50" s="185"/>
      <c r="AW50" s="182"/>
      <c r="AX50" s="558"/>
    </row>
    <row r="51" spans="2:50" ht="14.25" customHeight="1">
      <c r="B51" s="530"/>
      <c r="C51" s="180">
        <v>5</v>
      </c>
      <c r="D51" s="183"/>
      <c r="E51" s="180"/>
      <c r="F51" s="180"/>
      <c r="G51" s="185"/>
      <c r="H51" s="558"/>
      <c r="I51" s="186"/>
      <c r="J51" s="186"/>
      <c r="K51" s="187"/>
      <c r="L51" s="559"/>
      <c r="M51" s="186"/>
      <c r="N51" s="530"/>
      <c r="O51" s="530"/>
      <c r="P51" s="188"/>
      <c r="Q51" s="188"/>
      <c r="R51" s="185"/>
      <c r="S51" s="182"/>
      <c r="T51" s="558"/>
      <c r="U51" s="188"/>
      <c r="V51" s="188"/>
      <c r="W51" s="185"/>
      <c r="X51" s="182"/>
      <c r="Y51" s="558"/>
      <c r="Z51" s="188"/>
      <c r="AA51" s="188"/>
      <c r="AB51" s="185"/>
      <c r="AC51" s="182"/>
      <c r="AD51" s="558"/>
      <c r="AE51" s="188"/>
      <c r="AF51" s="188"/>
      <c r="AG51" s="185"/>
      <c r="AH51" s="182"/>
      <c r="AI51" s="558"/>
      <c r="AJ51" s="188"/>
      <c r="AK51" s="188"/>
      <c r="AL51" s="185"/>
      <c r="AM51" s="182"/>
      <c r="AN51" s="558"/>
      <c r="AO51" s="188"/>
      <c r="AP51" s="188"/>
      <c r="AQ51" s="185"/>
      <c r="AR51" s="182"/>
      <c r="AS51" s="558"/>
      <c r="AT51" s="188"/>
      <c r="AU51" s="188"/>
      <c r="AV51" s="185"/>
      <c r="AW51" s="182"/>
      <c r="AX51" s="558"/>
    </row>
    <row r="52" spans="2:50" ht="14.25" customHeight="1">
      <c r="B52" s="530"/>
      <c r="C52" s="180">
        <v>6</v>
      </c>
      <c r="D52" s="183"/>
      <c r="E52" s="180"/>
      <c r="F52" s="180"/>
      <c r="G52" s="185"/>
      <c r="H52" s="558"/>
      <c r="I52" s="186"/>
      <c r="J52" s="186"/>
      <c r="K52" s="187"/>
      <c r="L52" s="559"/>
      <c r="M52" s="186"/>
      <c r="N52" s="530"/>
      <c r="O52" s="530"/>
      <c r="P52" s="188"/>
      <c r="Q52" s="188"/>
      <c r="R52" s="185"/>
      <c r="S52" s="182"/>
      <c r="T52" s="558"/>
      <c r="U52" s="188"/>
      <c r="V52" s="188"/>
      <c r="W52" s="185"/>
      <c r="X52" s="182"/>
      <c r="Y52" s="558"/>
      <c r="Z52" s="188"/>
      <c r="AA52" s="188"/>
      <c r="AB52" s="185"/>
      <c r="AC52" s="182"/>
      <c r="AD52" s="558"/>
      <c r="AE52" s="188"/>
      <c r="AF52" s="188"/>
      <c r="AG52" s="185"/>
      <c r="AH52" s="182"/>
      <c r="AI52" s="558"/>
      <c r="AJ52" s="188"/>
      <c r="AK52" s="188"/>
      <c r="AL52" s="185"/>
      <c r="AM52" s="182"/>
      <c r="AN52" s="558"/>
      <c r="AO52" s="188"/>
      <c r="AP52" s="188"/>
      <c r="AQ52" s="185"/>
      <c r="AR52" s="182"/>
      <c r="AS52" s="558"/>
      <c r="AT52" s="188"/>
      <c r="AU52" s="188"/>
      <c r="AV52" s="185"/>
      <c r="AW52" s="182"/>
      <c r="AX52" s="558"/>
    </row>
    <row r="53" spans="2:50" ht="14.25" customHeight="1">
      <c r="B53" s="530"/>
      <c r="C53" s="180">
        <v>7</v>
      </c>
      <c r="D53" s="183"/>
      <c r="E53" s="180"/>
      <c r="F53" s="180"/>
      <c r="G53" s="185"/>
      <c r="H53" s="558"/>
      <c r="I53" s="186"/>
      <c r="J53" s="186"/>
      <c r="K53" s="187"/>
      <c r="L53" s="559"/>
      <c r="M53" s="186"/>
      <c r="N53" s="530"/>
      <c r="O53" s="530"/>
      <c r="P53" s="188"/>
      <c r="Q53" s="188"/>
      <c r="R53" s="185"/>
      <c r="S53" s="182"/>
      <c r="T53" s="558"/>
      <c r="U53" s="188"/>
      <c r="V53" s="188"/>
      <c r="W53" s="185"/>
      <c r="X53" s="182"/>
      <c r="Y53" s="558"/>
      <c r="Z53" s="188"/>
      <c r="AA53" s="188"/>
      <c r="AB53" s="185"/>
      <c r="AC53" s="182"/>
      <c r="AD53" s="558"/>
      <c r="AE53" s="188"/>
      <c r="AF53" s="188"/>
      <c r="AG53" s="185"/>
      <c r="AH53" s="182"/>
      <c r="AI53" s="558"/>
      <c r="AJ53" s="188"/>
      <c r="AK53" s="188"/>
      <c r="AL53" s="185"/>
      <c r="AM53" s="182"/>
      <c r="AN53" s="558"/>
      <c r="AO53" s="188"/>
      <c r="AP53" s="188"/>
      <c r="AQ53" s="185"/>
      <c r="AR53" s="182"/>
      <c r="AS53" s="558"/>
      <c r="AT53" s="188"/>
      <c r="AU53" s="188"/>
      <c r="AV53" s="185"/>
      <c r="AW53" s="182"/>
      <c r="AX53" s="558"/>
    </row>
    <row r="54" spans="2:50" ht="14.25" customHeight="1">
      <c r="B54" s="530"/>
      <c r="C54" s="180">
        <v>8</v>
      </c>
      <c r="D54" s="183"/>
      <c r="E54" s="180"/>
      <c r="F54" s="180"/>
      <c r="G54" s="185"/>
      <c r="H54" s="558"/>
      <c r="I54" s="186"/>
      <c r="J54" s="186"/>
      <c r="K54" s="187"/>
      <c r="L54" s="559"/>
      <c r="M54" s="186"/>
      <c r="N54" s="530"/>
      <c r="O54" s="530"/>
      <c r="P54" s="188"/>
      <c r="Q54" s="188"/>
      <c r="R54" s="185"/>
      <c r="S54" s="182"/>
      <c r="T54" s="558"/>
      <c r="U54" s="188"/>
      <c r="V54" s="188"/>
      <c r="W54" s="185"/>
      <c r="X54" s="182"/>
      <c r="Y54" s="558"/>
      <c r="Z54" s="188"/>
      <c r="AA54" s="188"/>
      <c r="AB54" s="185"/>
      <c r="AC54" s="182"/>
      <c r="AD54" s="558"/>
      <c r="AE54" s="188"/>
      <c r="AF54" s="188"/>
      <c r="AG54" s="185"/>
      <c r="AH54" s="182"/>
      <c r="AI54" s="558"/>
      <c r="AJ54" s="188"/>
      <c r="AK54" s="188"/>
      <c r="AL54" s="185"/>
      <c r="AM54" s="182"/>
      <c r="AN54" s="558"/>
      <c r="AO54" s="188"/>
      <c r="AP54" s="188"/>
      <c r="AQ54" s="185"/>
      <c r="AR54" s="182"/>
      <c r="AS54" s="558"/>
      <c r="AT54" s="188"/>
      <c r="AU54" s="188"/>
      <c r="AV54" s="185"/>
      <c r="AW54" s="182"/>
      <c r="AX54" s="558"/>
    </row>
    <row r="55" spans="2:50" ht="14.25" customHeight="1">
      <c r="B55" s="530"/>
      <c r="C55" s="180">
        <v>9</v>
      </c>
      <c r="D55" s="183"/>
      <c r="E55" s="180"/>
      <c r="F55" s="180"/>
      <c r="G55" s="185"/>
      <c r="H55" s="558"/>
      <c r="I55" s="186"/>
      <c r="J55" s="186"/>
      <c r="K55" s="187"/>
      <c r="L55" s="559"/>
      <c r="M55" s="186"/>
      <c r="N55" s="530"/>
      <c r="O55" s="530"/>
      <c r="P55" s="188"/>
      <c r="Q55" s="188"/>
      <c r="R55" s="185"/>
      <c r="S55" s="182"/>
      <c r="T55" s="558"/>
      <c r="U55" s="188"/>
      <c r="V55" s="188"/>
      <c r="W55" s="185"/>
      <c r="X55" s="182"/>
      <c r="Y55" s="558"/>
      <c r="Z55" s="188"/>
      <c r="AA55" s="188"/>
      <c r="AB55" s="185"/>
      <c r="AC55" s="182"/>
      <c r="AD55" s="558"/>
      <c r="AE55" s="188"/>
      <c r="AF55" s="188"/>
      <c r="AG55" s="185"/>
      <c r="AH55" s="182"/>
      <c r="AI55" s="558"/>
      <c r="AJ55" s="188"/>
      <c r="AK55" s="188"/>
      <c r="AL55" s="185"/>
      <c r="AM55" s="182"/>
      <c r="AN55" s="558"/>
      <c r="AO55" s="188"/>
      <c r="AP55" s="188"/>
      <c r="AQ55" s="185"/>
      <c r="AR55" s="182"/>
      <c r="AS55" s="558"/>
      <c r="AT55" s="188"/>
      <c r="AU55" s="188"/>
      <c r="AV55" s="185"/>
      <c r="AW55" s="182"/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67">U62+1</f>
        <v>46072</v>
      </c>
      <c r="AA62" s="597"/>
      <c r="AB62" s="597"/>
      <c r="AC62" s="597"/>
      <c r="AD62" s="597"/>
      <c r="AE62" s="598">
        <f t="shared" ref="AE62" si="68">Z62+1</f>
        <v>46073</v>
      </c>
      <c r="AF62" s="599"/>
      <c r="AG62" s="599"/>
      <c r="AH62" s="599"/>
      <c r="AI62" s="599"/>
      <c r="AJ62" s="588">
        <f t="shared" ref="AJ62" si="69">AE62+1</f>
        <v>46074</v>
      </c>
      <c r="AK62" s="589"/>
      <c r="AL62" s="589"/>
      <c r="AM62" s="589"/>
      <c r="AN62" s="590"/>
      <c r="AO62" s="598">
        <f t="shared" ref="AO62" si="70">AJ62+1</f>
        <v>46075</v>
      </c>
      <c r="AP62" s="599"/>
      <c r="AQ62" s="599"/>
      <c r="AR62" s="599"/>
      <c r="AS62" s="599"/>
      <c r="AT62" s="588">
        <f t="shared" ref="AT62" si="71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72">Z62</f>
        <v>46072</v>
      </c>
      <c r="AA63" s="591"/>
      <c r="AB63" s="591"/>
      <c r="AC63" s="591"/>
      <c r="AD63" s="591"/>
      <c r="AE63" s="592">
        <f t="shared" ref="AE63" si="73">AE62</f>
        <v>46073</v>
      </c>
      <c r="AF63" s="592"/>
      <c r="AG63" s="592"/>
      <c r="AH63" s="592"/>
      <c r="AI63" s="592"/>
      <c r="AJ63" s="593">
        <f t="shared" ref="AJ63" si="74">AJ62</f>
        <v>46074</v>
      </c>
      <c r="AK63" s="594"/>
      <c r="AL63" s="594"/>
      <c r="AM63" s="594"/>
      <c r="AN63" s="595"/>
      <c r="AO63" s="592">
        <f t="shared" ref="AO63" si="75">AO62</f>
        <v>46075</v>
      </c>
      <c r="AP63" s="592"/>
      <c r="AQ63" s="592"/>
      <c r="AR63" s="592"/>
      <c r="AS63" s="592"/>
      <c r="AT63" s="593">
        <f t="shared" ref="AT63" si="76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600" t="s">
        <v>189</v>
      </c>
      <c r="C67" s="180">
        <v>1</v>
      </c>
      <c r="D67" s="183" t="s">
        <v>190</v>
      </c>
      <c r="E67" s="180">
        <v>21</v>
      </c>
      <c r="F67" s="180">
        <v>2790</v>
      </c>
      <c r="G67" s="185">
        <f t="shared" ref="G67" si="77">F67/E67</f>
        <v>132.85714285714286</v>
      </c>
      <c r="H67" s="558">
        <f>AVERAGE(G67:G81)</f>
        <v>132.85714285714286</v>
      </c>
      <c r="I67" s="186">
        <f>AVERAGE(P67,U67,Z67,AE67,AJ67,AO67,AT67)</f>
        <v>23.857142857142858</v>
      </c>
      <c r="J67" s="186">
        <f>AVERAGE(Q67,V67,AA67,AF67,AK67,AP67,AU67)</f>
        <v>2828.3011332722735</v>
      </c>
      <c r="K67" s="187">
        <f>AVERAGE(R67,W67,AB67,AG67,AL67,AQ67,AV67)</f>
        <v>118.53830193798512</v>
      </c>
      <c r="L67" s="559">
        <f>IFERROR(AVERAGE(K67:K81),"-")</f>
        <v>118.53830193798512</v>
      </c>
      <c r="M67" s="186">
        <f>RANK(K67, K$67:$K$81)</f>
        <v>1</v>
      </c>
      <c r="N67" s="530"/>
      <c r="O67" s="530"/>
      <c r="P67" s="188">
        <v>25</v>
      </c>
      <c r="Q67" s="188">
        <v>2966.2921348314621</v>
      </c>
      <c r="R67" s="185">
        <f>IFERROR(Q67/P67,"")</f>
        <v>118.65168539325849</v>
      </c>
      <c r="S67" s="182">
        <f>RANK(R67, R$67:R$81)</f>
        <v>1</v>
      </c>
      <c r="T67" s="558">
        <f>AVERAGE(R67:R81)</f>
        <v>118.65168539325849</v>
      </c>
      <c r="U67" s="188">
        <v>25</v>
      </c>
      <c r="V67" s="188">
        <v>2966.2591687041531</v>
      </c>
      <c r="W67" s="185">
        <f t="shared" ref="W67" si="78">IFERROR(V67/U67,"")</f>
        <v>118.65036674816612</v>
      </c>
      <c r="X67" s="182">
        <f>RANK(W67, W$67:W$81)</f>
        <v>1</v>
      </c>
      <c r="Y67" s="558">
        <f>AVERAGE(W67:W81)</f>
        <v>118.65036674816612</v>
      </c>
      <c r="Z67" s="188">
        <v>25</v>
      </c>
      <c r="AA67" s="188">
        <v>2966.1372085163921</v>
      </c>
      <c r="AB67" s="185">
        <f t="shared" ref="AB67" si="79">IFERROR(AA67/Z67,"")</f>
        <v>118.64548834065569</v>
      </c>
      <c r="AC67" s="182">
        <f>RANK(AB67, AB$67:AB$81)</f>
        <v>1</v>
      </c>
      <c r="AD67" s="558">
        <f>AVERAGE(AB67:AB81)</f>
        <v>118.64548834065569</v>
      </c>
      <c r="AE67" s="188">
        <v>25</v>
      </c>
      <c r="AF67" s="188">
        <v>2965.7894736842145</v>
      </c>
      <c r="AG67" s="185">
        <f>IFERROR(AF67/AE67,"")</f>
        <v>118.63157894736858</v>
      </c>
      <c r="AH67" s="182">
        <f>RANK(AG67, AG$67:AG$81)</f>
        <v>1</v>
      </c>
      <c r="AI67" s="558">
        <f>AVERAGE(AG67:AG81)</f>
        <v>118.63157894736858</v>
      </c>
      <c r="AJ67" s="188">
        <v>25</v>
      </c>
      <c r="AK67" s="188">
        <v>2966.6316894018928</v>
      </c>
      <c r="AL67" s="185">
        <f t="shared" ref="AL67" si="80">IFERROR(AK67/AJ67,"")</f>
        <v>118.66526757607571</v>
      </c>
      <c r="AM67" s="182">
        <f>RANK(AL67, AL$67:AL$81)</f>
        <v>1</v>
      </c>
      <c r="AN67" s="558">
        <f>AVERAGE(AL67:AL81)</f>
        <v>118.66526757607571</v>
      </c>
      <c r="AO67" s="188">
        <v>21</v>
      </c>
      <c r="AP67" s="188">
        <v>2483.3374233128861</v>
      </c>
      <c r="AQ67" s="185">
        <f t="shared" ref="AQ67" si="81">IFERROR(AP67/AO67,"")</f>
        <v>118.25416301489933</v>
      </c>
      <c r="AR67" s="182">
        <f>RANK(AQ67, AQ$67:AQ$81)</f>
        <v>1</v>
      </c>
      <c r="AS67" s="601">
        <f>AVERAGE(AQ67:AQ81)</f>
        <v>118.25416301489933</v>
      </c>
      <c r="AT67" s="188">
        <v>21</v>
      </c>
      <c r="AU67" s="188">
        <v>2483.6608344549113</v>
      </c>
      <c r="AV67" s="185">
        <f t="shared" ref="AV67" si="82">IFERROR(AU67/AT67,"")</f>
        <v>118.26956354547197</v>
      </c>
      <c r="AW67" s="182">
        <f>RANK(AV67, AV$67:AV$81)</f>
        <v>1</v>
      </c>
      <c r="AX67" s="558">
        <f>AVERAGE(AV67:AV81)</f>
        <v>118.26956354547197</v>
      </c>
    </row>
    <row r="68" spans="2:50" ht="14.25" customHeight="1">
      <c r="B68" s="530"/>
      <c r="C68" s="180">
        <v>2</v>
      </c>
      <c r="D68" s="183"/>
      <c r="E68" s="180"/>
      <c r="F68" s="180"/>
      <c r="G68" s="185"/>
      <c r="H68" s="558"/>
      <c r="I68" s="186"/>
      <c r="J68" s="186"/>
      <c r="K68" s="187"/>
      <c r="L68" s="559"/>
      <c r="M68" s="186"/>
      <c r="N68" s="530"/>
      <c r="O68" s="530"/>
      <c r="P68" s="188"/>
      <c r="Q68" s="188"/>
      <c r="R68" s="185"/>
      <c r="S68" s="182"/>
      <c r="T68" s="558"/>
      <c r="U68" s="188"/>
      <c r="V68" s="188"/>
      <c r="W68" s="185"/>
      <c r="X68" s="182"/>
      <c r="Y68" s="558"/>
      <c r="Z68" s="188"/>
      <c r="AA68" s="188"/>
      <c r="AB68" s="185"/>
      <c r="AC68" s="182"/>
      <c r="AD68" s="558"/>
      <c r="AE68" s="188"/>
      <c r="AF68" s="188"/>
      <c r="AG68" s="185"/>
      <c r="AH68" s="182"/>
      <c r="AI68" s="558"/>
      <c r="AJ68" s="188"/>
      <c r="AK68" s="188"/>
      <c r="AL68" s="185"/>
      <c r="AM68" s="182"/>
      <c r="AN68" s="558"/>
      <c r="AO68" s="188"/>
      <c r="AP68" s="188"/>
      <c r="AQ68" s="185"/>
      <c r="AR68" s="182"/>
      <c r="AS68" s="602"/>
      <c r="AT68" s="188"/>
      <c r="AU68" s="188"/>
      <c r="AV68" s="185"/>
      <c r="AW68" s="182"/>
      <c r="AX68" s="558"/>
    </row>
    <row r="69" spans="2:50" ht="14.25" customHeight="1">
      <c r="B69" s="530"/>
      <c r="C69" s="180">
        <v>3</v>
      </c>
      <c r="D69" s="183"/>
      <c r="E69" s="180"/>
      <c r="F69" s="180"/>
      <c r="G69" s="185"/>
      <c r="H69" s="558"/>
      <c r="I69" s="186"/>
      <c r="J69" s="186"/>
      <c r="K69" s="187"/>
      <c r="L69" s="559"/>
      <c r="M69" s="186"/>
      <c r="N69" s="530"/>
      <c r="O69" s="530"/>
      <c r="P69" s="188"/>
      <c r="Q69" s="188"/>
      <c r="R69" s="185"/>
      <c r="S69" s="182"/>
      <c r="T69" s="558"/>
      <c r="U69" s="188"/>
      <c r="V69" s="188"/>
      <c r="W69" s="185"/>
      <c r="X69" s="182"/>
      <c r="Y69" s="558"/>
      <c r="Z69" s="188"/>
      <c r="AA69" s="188"/>
      <c r="AB69" s="185"/>
      <c r="AC69" s="182"/>
      <c r="AD69" s="558"/>
      <c r="AE69" s="188"/>
      <c r="AF69" s="188"/>
      <c r="AG69" s="185"/>
      <c r="AH69" s="182"/>
      <c r="AI69" s="558"/>
      <c r="AJ69" s="188"/>
      <c r="AK69" s="188"/>
      <c r="AL69" s="185"/>
      <c r="AM69" s="182"/>
      <c r="AN69" s="558"/>
      <c r="AO69" s="188"/>
      <c r="AP69" s="188"/>
      <c r="AQ69" s="185"/>
      <c r="AR69" s="182"/>
      <c r="AS69" s="602"/>
      <c r="AT69" s="188"/>
      <c r="AU69" s="188"/>
      <c r="AV69" s="185"/>
      <c r="AW69" s="182"/>
      <c r="AX69" s="558"/>
    </row>
    <row r="70" spans="2:50" ht="14.25" customHeight="1">
      <c r="B70" s="530"/>
      <c r="C70" s="180">
        <v>4</v>
      </c>
      <c r="D70" s="183"/>
      <c r="E70" s="180"/>
      <c r="F70" s="180"/>
      <c r="G70" s="185"/>
      <c r="H70" s="558"/>
      <c r="I70" s="186"/>
      <c r="J70" s="186"/>
      <c r="K70" s="187"/>
      <c r="L70" s="559"/>
      <c r="M70" s="186"/>
      <c r="N70" s="530"/>
      <c r="O70" s="530"/>
      <c r="P70" s="188"/>
      <c r="Q70" s="188"/>
      <c r="R70" s="185"/>
      <c r="S70" s="182"/>
      <c r="T70" s="558"/>
      <c r="U70" s="188"/>
      <c r="V70" s="188"/>
      <c r="W70" s="185"/>
      <c r="X70" s="182"/>
      <c r="Y70" s="558"/>
      <c r="Z70" s="188"/>
      <c r="AA70" s="188"/>
      <c r="AB70" s="185"/>
      <c r="AC70" s="182"/>
      <c r="AD70" s="558"/>
      <c r="AE70" s="188"/>
      <c r="AF70" s="188"/>
      <c r="AG70" s="185"/>
      <c r="AH70" s="182"/>
      <c r="AI70" s="558"/>
      <c r="AJ70" s="188"/>
      <c r="AK70" s="188"/>
      <c r="AL70" s="185"/>
      <c r="AM70" s="182"/>
      <c r="AN70" s="558"/>
      <c r="AO70" s="188"/>
      <c r="AP70" s="188"/>
      <c r="AQ70" s="185"/>
      <c r="AR70" s="182"/>
      <c r="AS70" s="602"/>
      <c r="AT70" s="188"/>
      <c r="AU70" s="188"/>
      <c r="AV70" s="185"/>
      <c r="AW70" s="182"/>
      <c r="AX70" s="558"/>
    </row>
    <row r="71" spans="2:50" ht="14.25" customHeight="1">
      <c r="B71" s="530"/>
      <c r="C71" s="180">
        <v>5</v>
      </c>
      <c r="D71" s="183"/>
      <c r="E71" s="180"/>
      <c r="F71" s="180"/>
      <c r="G71" s="185"/>
      <c r="H71" s="558"/>
      <c r="I71" s="186"/>
      <c r="J71" s="186"/>
      <c r="K71" s="187"/>
      <c r="L71" s="559"/>
      <c r="M71" s="186"/>
      <c r="N71" s="530"/>
      <c r="O71" s="530"/>
      <c r="P71" s="188"/>
      <c r="Q71" s="188"/>
      <c r="R71" s="185"/>
      <c r="S71" s="182"/>
      <c r="T71" s="558"/>
      <c r="U71" s="188"/>
      <c r="V71" s="188"/>
      <c r="W71" s="185"/>
      <c r="X71" s="182"/>
      <c r="Y71" s="558"/>
      <c r="Z71" s="188"/>
      <c r="AA71" s="188"/>
      <c r="AB71" s="185"/>
      <c r="AC71" s="182"/>
      <c r="AD71" s="558"/>
      <c r="AE71" s="188"/>
      <c r="AF71" s="188"/>
      <c r="AG71" s="185"/>
      <c r="AH71" s="182"/>
      <c r="AI71" s="558"/>
      <c r="AJ71" s="188"/>
      <c r="AK71" s="188"/>
      <c r="AL71" s="185"/>
      <c r="AM71" s="182"/>
      <c r="AN71" s="558"/>
      <c r="AO71" s="188"/>
      <c r="AP71" s="188"/>
      <c r="AQ71" s="185"/>
      <c r="AR71" s="182"/>
      <c r="AS71" s="602"/>
      <c r="AT71" s="188"/>
      <c r="AU71" s="188"/>
      <c r="AV71" s="185"/>
      <c r="AW71" s="182"/>
      <c r="AX71" s="558"/>
    </row>
    <row r="72" spans="2:50" ht="14.25" customHeight="1">
      <c r="B72" s="530"/>
      <c r="C72" s="180">
        <v>6</v>
      </c>
      <c r="D72" s="183"/>
      <c r="E72" s="180"/>
      <c r="F72" s="180"/>
      <c r="G72" s="185"/>
      <c r="H72" s="558"/>
      <c r="I72" s="186"/>
      <c r="J72" s="186"/>
      <c r="K72" s="187"/>
      <c r="L72" s="559"/>
      <c r="M72" s="186"/>
      <c r="N72" s="530"/>
      <c r="O72" s="530"/>
      <c r="P72" s="188"/>
      <c r="Q72" s="188"/>
      <c r="R72" s="185"/>
      <c r="S72" s="182"/>
      <c r="T72" s="558"/>
      <c r="U72" s="188"/>
      <c r="V72" s="188"/>
      <c r="W72" s="185"/>
      <c r="X72" s="182"/>
      <c r="Y72" s="558"/>
      <c r="Z72" s="188"/>
      <c r="AA72" s="188"/>
      <c r="AB72" s="185"/>
      <c r="AC72" s="182"/>
      <c r="AD72" s="558"/>
      <c r="AE72" s="188"/>
      <c r="AF72" s="188"/>
      <c r="AG72" s="185"/>
      <c r="AH72" s="182"/>
      <c r="AI72" s="558"/>
      <c r="AJ72" s="188"/>
      <c r="AK72" s="188"/>
      <c r="AL72" s="185"/>
      <c r="AM72" s="182"/>
      <c r="AN72" s="558"/>
      <c r="AO72" s="188"/>
      <c r="AP72" s="188"/>
      <c r="AQ72" s="185"/>
      <c r="AR72" s="182"/>
      <c r="AS72" s="602"/>
      <c r="AT72" s="188"/>
      <c r="AU72" s="188"/>
      <c r="AV72" s="185"/>
      <c r="AW72" s="182"/>
      <c r="AX72" s="558"/>
    </row>
    <row r="73" spans="2:50" ht="14.25" customHeight="1">
      <c r="B73" s="530"/>
      <c r="C73" s="180">
        <v>7</v>
      </c>
      <c r="D73" s="183"/>
      <c r="E73" s="180"/>
      <c r="F73" s="180"/>
      <c r="G73" s="185"/>
      <c r="H73" s="558"/>
      <c r="I73" s="186"/>
      <c r="J73" s="186"/>
      <c r="K73" s="187"/>
      <c r="L73" s="559"/>
      <c r="M73" s="186"/>
      <c r="N73" s="530"/>
      <c r="O73" s="530"/>
      <c r="P73" s="188"/>
      <c r="Q73" s="188"/>
      <c r="R73" s="185"/>
      <c r="S73" s="182"/>
      <c r="T73" s="558"/>
      <c r="U73" s="188"/>
      <c r="V73" s="188"/>
      <c r="W73" s="185"/>
      <c r="X73" s="182"/>
      <c r="Y73" s="558"/>
      <c r="Z73" s="188"/>
      <c r="AA73" s="188"/>
      <c r="AB73" s="185"/>
      <c r="AC73" s="182"/>
      <c r="AD73" s="558"/>
      <c r="AE73" s="188"/>
      <c r="AF73" s="188"/>
      <c r="AG73" s="185"/>
      <c r="AH73" s="182"/>
      <c r="AI73" s="558"/>
      <c r="AJ73" s="188"/>
      <c r="AK73" s="188"/>
      <c r="AL73" s="185"/>
      <c r="AM73" s="182"/>
      <c r="AN73" s="558"/>
      <c r="AO73" s="188"/>
      <c r="AP73" s="188"/>
      <c r="AQ73" s="185"/>
      <c r="AR73" s="182"/>
      <c r="AS73" s="602"/>
      <c r="AT73" s="188"/>
      <c r="AU73" s="188"/>
      <c r="AV73" s="185"/>
      <c r="AW73" s="182"/>
      <c r="AX73" s="558"/>
    </row>
    <row r="74" spans="2:50" ht="14.25" customHeight="1">
      <c r="B74" s="530"/>
      <c r="C74" s="180">
        <v>8</v>
      </c>
      <c r="D74" s="183"/>
      <c r="E74" s="180"/>
      <c r="F74" s="180"/>
      <c r="G74" s="185"/>
      <c r="H74" s="558"/>
      <c r="I74" s="186"/>
      <c r="J74" s="186"/>
      <c r="K74" s="187"/>
      <c r="L74" s="559"/>
      <c r="M74" s="186"/>
      <c r="N74" s="530"/>
      <c r="O74" s="530"/>
      <c r="P74" s="188"/>
      <c r="Q74" s="188"/>
      <c r="R74" s="185"/>
      <c r="S74" s="182"/>
      <c r="T74" s="558"/>
      <c r="U74" s="188"/>
      <c r="V74" s="188"/>
      <c r="W74" s="185"/>
      <c r="X74" s="182"/>
      <c r="Y74" s="558"/>
      <c r="Z74" s="188"/>
      <c r="AA74" s="188"/>
      <c r="AB74" s="185"/>
      <c r="AC74" s="182"/>
      <c r="AD74" s="558"/>
      <c r="AE74" s="188"/>
      <c r="AF74" s="188"/>
      <c r="AG74" s="185"/>
      <c r="AH74" s="182"/>
      <c r="AI74" s="558"/>
      <c r="AJ74" s="188"/>
      <c r="AK74" s="188"/>
      <c r="AL74" s="185"/>
      <c r="AM74" s="182"/>
      <c r="AN74" s="558"/>
      <c r="AO74" s="188"/>
      <c r="AP74" s="188"/>
      <c r="AQ74" s="185"/>
      <c r="AR74" s="182"/>
      <c r="AS74" s="602"/>
      <c r="AT74" s="188"/>
      <c r="AU74" s="188"/>
      <c r="AV74" s="185"/>
      <c r="AW74" s="182"/>
      <c r="AX74" s="558"/>
    </row>
    <row r="75" spans="2:50" ht="14.25" customHeight="1">
      <c r="B75" s="530"/>
      <c r="C75" s="180">
        <v>9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30"/>
      <c r="O75" s="530"/>
      <c r="P75" s="188"/>
      <c r="Q75" s="188"/>
      <c r="R75" s="185"/>
      <c r="S75" s="182"/>
      <c r="T75" s="558"/>
      <c r="U75" s="188"/>
      <c r="V75" s="188"/>
      <c r="W75" s="185"/>
      <c r="X75" s="182"/>
      <c r="Y75" s="558"/>
      <c r="Z75" s="188"/>
      <c r="AA75" s="188"/>
      <c r="AB75" s="185"/>
      <c r="AC75" s="182"/>
      <c r="AD75" s="558"/>
      <c r="AE75" s="188"/>
      <c r="AF75" s="188"/>
      <c r="AG75" s="185"/>
      <c r="AH75" s="182"/>
      <c r="AI75" s="558"/>
      <c r="AJ75" s="188"/>
      <c r="AK75" s="188"/>
      <c r="AL75" s="185"/>
      <c r="AM75" s="182"/>
      <c r="AN75" s="558"/>
      <c r="AO75" s="188"/>
      <c r="AP75" s="188"/>
      <c r="AQ75" s="185"/>
      <c r="AR75" s="182"/>
      <c r="AS75" s="602"/>
      <c r="AT75" s="188"/>
      <c r="AU75" s="188"/>
      <c r="AV75" s="185"/>
      <c r="AW75" s="182"/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602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602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602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602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602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603"/>
      <c r="AT81" s="188"/>
      <c r="AU81" s="188"/>
      <c r="AV81" s="185"/>
      <c r="AW81" s="182"/>
      <c r="AX81" s="558"/>
    </row>
    <row r="82" spans="2:50" ht="14.25" customHeight="1" collapsed="1">
      <c r="B82" s="544" t="s">
        <v>176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60" t="s">
        <v>127</v>
      </c>
      <c r="O82" s="560" t="s">
        <v>77</v>
      </c>
      <c r="P82" s="596">
        <f>AT62+1</f>
        <v>46077</v>
      </c>
      <c r="Q82" s="597"/>
      <c r="R82" s="597"/>
      <c r="S82" s="597"/>
      <c r="T82" s="597"/>
      <c r="U82" s="598">
        <f>P82+1</f>
        <v>46078</v>
      </c>
      <c r="V82" s="599"/>
      <c r="W82" s="599"/>
      <c r="X82" s="599"/>
      <c r="Y82" s="599"/>
      <c r="Z82" s="596">
        <f t="shared" ref="Z82" si="83">U82+1</f>
        <v>46079</v>
      </c>
      <c r="AA82" s="597"/>
      <c r="AB82" s="597"/>
      <c r="AC82" s="597"/>
      <c r="AD82" s="597"/>
      <c r="AE82" s="598">
        <f t="shared" ref="AE82" si="84">Z82+1</f>
        <v>46080</v>
      </c>
      <c r="AF82" s="599"/>
      <c r="AG82" s="599"/>
      <c r="AH82" s="599"/>
      <c r="AI82" s="599"/>
      <c r="AJ82" s="588">
        <f t="shared" ref="AJ82" si="85">AE82+1</f>
        <v>46081</v>
      </c>
      <c r="AK82" s="589"/>
      <c r="AL82" s="589"/>
      <c r="AM82" s="589"/>
      <c r="AN82" s="590"/>
      <c r="AO82" s="598">
        <f t="shared" ref="AO82" si="86">AJ82+1</f>
        <v>46082</v>
      </c>
      <c r="AP82" s="599"/>
      <c r="AQ82" s="599"/>
      <c r="AR82" s="599"/>
      <c r="AS82" s="599"/>
      <c r="AT82" s="588">
        <f t="shared" ref="AT82" si="87">AO82+1</f>
        <v>46083</v>
      </c>
      <c r="AU82" s="589"/>
      <c r="AV82" s="589"/>
      <c r="AW82" s="589"/>
      <c r="AX82" s="590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62"/>
      <c r="O83" s="562"/>
      <c r="P83" s="591">
        <f>P82</f>
        <v>46077</v>
      </c>
      <c r="Q83" s="591"/>
      <c r="R83" s="591"/>
      <c r="S83" s="591"/>
      <c r="T83" s="591"/>
      <c r="U83" s="592">
        <f>U82</f>
        <v>46078</v>
      </c>
      <c r="V83" s="592"/>
      <c r="W83" s="592"/>
      <c r="X83" s="592"/>
      <c r="Y83" s="592"/>
      <c r="Z83" s="591">
        <f t="shared" ref="Z83" si="88">Z82</f>
        <v>46079</v>
      </c>
      <c r="AA83" s="591"/>
      <c r="AB83" s="591"/>
      <c r="AC83" s="591"/>
      <c r="AD83" s="591"/>
      <c r="AE83" s="592">
        <f t="shared" ref="AE83" si="89">AE82</f>
        <v>46080</v>
      </c>
      <c r="AF83" s="592"/>
      <c r="AG83" s="592"/>
      <c r="AH83" s="592"/>
      <c r="AI83" s="592"/>
      <c r="AJ83" s="593">
        <f t="shared" ref="AJ83" si="90">AJ82</f>
        <v>46081</v>
      </c>
      <c r="AK83" s="594"/>
      <c r="AL83" s="594"/>
      <c r="AM83" s="594"/>
      <c r="AN83" s="595"/>
      <c r="AO83" s="592">
        <f t="shared" ref="AO83" si="91">AO82</f>
        <v>46082</v>
      </c>
      <c r="AP83" s="592"/>
      <c r="AQ83" s="592"/>
      <c r="AR83" s="592"/>
      <c r="AS83" s="592"/>
      <c r="AT83" s="593">
        <f t="shared" ref="AT83" si="92">AT82</f>
        <v>46083</v>
      </c>
      <c r="AU83" s="594"/>
      <c r="AV83" s="594"/>
      <c r="AW83" s="594"/>
      <c r="AX83" s="595"/>
    </row>
    <row r="84" spans="2:50" ht="14.25" customHeight="1">
      <c r="B84" s="530" t="s">
        <v>128</v>
      </c>
      <c r="C84" s="530" t="s">
        <v>129</v>
      </c>
      <c r="D84" s="530"/>
      <c r="E84" s="530" t="s">
        <v>130</v>
      </c>
      <c r="F84" s="530"/>
      <c r="G84" s="530"/>
      <c r="H84" s="530" t="s">
        <v>131</v>
      </c>
      <c r="I84" s="553" t="s">
        <v>132</v>
      </c>
      <c r="J84" s="553"/>
      <c r="K84" s="553"/>
      <c r="L84" s="553" t="s">
        <v>131</v>
      </c>
      <c r="M84" s="553" t="s">
        <v>133</v>
      </c>
      <c r="N84" s="530"/>
      <c r="O84" s="530" t="s">
        <v>134</v>
      </c>
      <c r="P84" s="530" t="s">
        <v>135</v>
      </c>
      <c r="Q84" s="530"/>
      <c r="R84" s="530"/>
      <c r="S84" s="530"/>
      <c r="T84" s="530" t="s">
        <v>131</v>
      </c>
      <c r="U84" s="530" t="s">
        <v>135</v>
      </c>
      <c r="V84" s="530"/>
      <c r="W84" s="530"/>
      <c r="X84" s="530"/>
      <c r="Y84" s="530" t="s">
        <v>131</v>
      </c>
      <c r="Z84" s="530" t="s">
        <v>135</v>
      </c>
      <c r="AA84" s="530"/>
      <c r="AB84" s="530"/>
      <c r="AC84" s="530"/>
      <c r="AD84" s="530" t="s">
        <v>131</v>
      </c>
      <c r="AE84" s="530" t="s">
        <v>135</v>
      </c>
      <c r="AF84" s="530"/>
      <c r="AG84" s="530"/>
      <c r="AH84" s="530"/>
      <c r="AI84" s="530" t="s">
        <v>131</v>
      </c>
      <c r="AJ84" s="530" t="s">
        <v>135</v>
      </c>
      <c r="AK84" s="530"/>
      <c r="AL84" s="530"/>
      <c r="AM84" s="530"/>
      <c r="AN84" s="530" t="s">
        <v>131</v>
      </c>
      <c r="AO84" s="530" t="s">
        <v>135</v>
      </c>
      <c r="AP84" s="530"/>
      <c r="AQ84" s="530"/>
      <c r="AR84" s="530"/>
      <c r="AS84" s="530" t="s">
        <v>131</v>
      </c>
      <c r="AT84" s="530" t="s">
        <v>135</v>
      </c>
      <c r="AU84" s="530"/>
      <c r="AV84" s="530"/>
      <c r="AW84" s="530"/>
      <c r="AX84" s="530" t="s">
        <v>131</v>
      </c>
    </row>
    <row r="85" spans="2:50" ht="14.25" customHeight="1">
      <c r="B85" s="530"/>
      <c r="C85" s="530"/>
      <c r="D85" s="530"/>
      <c r="E85" s="530" t="s">
        <v>136</v>
      </c>
      <c r="F85" s="530"/>
      <c r="G85" s="530"/>
      <c r="H85" s="530"/>
      <c r="I85" s="553" t="s">
        <v>136</v>
      </c>
      <c r="J85" s="553"/>
      <c r="K85" s="553"/>
      <c r="L85" s="553"/>
      <c r="M85" s="553"/>
      <c r="N85" s="530"/>
      <c r="O85" s="530"/>
      <c r="P85" s="530" t="s">
        <v>137</v>
      </c>
      <c r="Q85" s="530"/>
      <c r="R85" s="530"/>
      <c r="S85" s="530"/>
      <c r="T85" s="530"/>
      <c r="U85" s="530" t="s">
        <v>137</v>
      </c>
      <c r="V85" s="530"/>
      <c r="W85" s="530"/>
      <c r="X85" s="530"/>
      <c r="Y85" s="530"/>
      <c r="Z85" s="530" t="s">
        <v>137</v>
      </c>
      <c r="AA85" s="530"/>
      <c r="AB85" s="530"/>
      <c r="AC85" s="530"/>
      <c r="AD85" s="530"/>
      <c r="AE85" s="530" t="s">
        <v>137</v>
      </c>
      <c r="AF85" s="530"/>
      <c r="AG85" s="530"/>
      <c r="AH85" s="530"/>
      <c r="AI85" s="530"/>
      <c r="AJ85" s="530" t="s">
        <v>137</v>
      </c>
      <c r="AK85" s="530"/>
      <c r="AL85" s="530"/>
      <c r="AM85" s="530"/>
      <c r="AN85" s="530"/>
      <c r="AO85" s="530" t="s">
        <v>137</v>
      </c>
      <c r="AP85" s="530"/>
      <c r="AQ85" s="530"/>
      <c r="AR85" s="530"/>
      <c r="AS85" s="530"/>
      <c r="AT85" s="530" t="s">
        <v>137</v>
      </c>
      <c r="AU85" s="530"/>
      <c r="AV85" s="530"/>
      <c r="AW85" s="530"/>
      <c r="AX85" s="530"/>
    </row>
    <row r="86" spans="2:50" ht="14.25" customHeight="1">
      <c r="B86" s="530"/>
      <c r="C86" s="530"/>
      <c r="D86" s="530"/>
      <c r="E86" s="180" t="s">
        <v>138</v>
      </c>
      <c r="F86" s="180" t="s">
        <v>139</v>
      </c>
      <c r="G86" s="180" t="s">
        <v>140</v>
      </c>
      <c r="H86" s="530"/>
      <c r="I86" s="181" t="s">
        <v>138</v>
      </c>
      <c r="J86" s="181" t="s">
        <v>139</v>
      </c>
      <c r="K86" s="181" t="s">
        <v>140</v>
      </c>
      <c r="L86" s="553"/>
      <c r="M86" s="553"/>
      <c r="N86" s="530"/>
      <c r="O86" s="530"/>
      <c r="P86" s="180" t="s">
        <v>138</v>
      </c>
      <c r="Q86" s="180" t="s">
        <v>139</v>
      </c>
      <c r="R86" s="180" t="s">
        <v>140</v>
      </c>
      <c r="S86" s="182" t="s">
        <v>133</v>
      </c>
      <c r="T86" s="530"/>
      <c r="U86" s="180" t="s">
        <v>138</v>
      </c>
      <c r="V86" s="180" t="s">
        <v>139</v>
      </c>
      <c r="W86" s="180" t="s">
        <v>140</v>
      </c>
      <c r="X86" s="182" t="s">
        <v>133</v>
      </c>
      <c r="Y86" s="530"/>
      <c r="Z86" s="180" t="s">
        <v>138</v>
      </c>
      <c r="AA86" s="180" t="s">
        <v>139</v>
      </c>
      <c r="AB86" s="180" t="s">
        <v>140</v>
      </c>
      <c r="AC86" s="182" t="s">
        <v>133</v>
      </c>
      <c r="AD86" s="530"/>
      <c r="AE86" s="180" t="s">
        <v>138</v>
      </c>
      <c r="AF86" s="180" t="s">
        <v>139</v>
      </c>
      <c r="AG86" s="180" t="s">
        <v>140</v>
      </c>
      <c r="AH86" s="182" t="s">
        <v>133</v>
      </c>
      <c r="AI86" s="530"/>
      <c r="AJ86" s="180" t="s">
        <v>138</v>
      </c>
      <c r="AK86" s="180" t="s">
        <v>139</v>
      </c>
      <c r="AL86" s="180" t="s">
        <v>140</v>
      </c>
      <c r="AM86" s="182" t="s">
        <v>133</v>
      </c>
      <c r="AN86" s="530"/>
      <c r="AO86" s="180" t="s">
        <v>138</v>
      </c>
      <c r="AP86" s="180" t="s">
        <v>139</v>
      </c>
      <c r="AQ86" s="180" t="s">
        <v>140</v>
      </c>
      <c r="AR86" s="182" t="s">
        <v>133</v>
      </c>
      <c r="AS86" s="530"/>
      <c r="AT86" s="180" t="s">
        <v>138</v>
      </c>
      <c r="AU86" s="180" t="s">
        <v>139</v>
      </c>
      <c r="AV86" s="180" t="s">
        <v>140</v>
      </c>
      <c r="AW86" s="182" t="s">
        <v>133</v>
      </c>
      <c r="AX86" s="530"/>
    </row>
    <row r="87" spans="2:50" ht="14.25" customHeight="1">
      <c r="B87" s="600" t="s">
        <v>189</v>
      </c>
      <c r="C87" s="180">
        <v>1</v>
      </c>
      <c r="D87" s="183" t="s">
        <v>190</v>
      </c>
      <c r="E87" s="180">
        <v>21</v>
      </c>
      <c r="F87" s="180">
        <v>2790</v>
      </c>
      <c r="G87" s="185">
        <f t="shared" ref="G87:G88" si="93">F87/E87</f>
        <v>132.85714285714286</v>
      </c>
      <c r="H87" s="558">
        <f>AVERAGE(G87:G101)</f>
        <v>366.42857142857144</v>
      </c>
      <c r="I87" s="186">
        <f>AVERAGE(P87,U87,Z87,AE87,AJ87,AO87,AT87)</f>
        <v>21.571428571428573</v>
      </c>
      <c r="J87" s="186">
        <f>AVERAGE(Q87,V87,AA87,AF87,AK87,AP87,AU87)</f>
        <v>2565.6296690448612</v>
      </c>
      <c r="K87" s="187">
        <f>AVERAGE(R87,W87,AB87,AG87,AL87,AQ87,AV87)</f>
        <v>118.92391952790344</v>
      </c>
      <c r="L87" s="559">
        <f>IFERROR(AVERAGE(K87:K101),"-")</f>
        <v>317.46260310389169</v>
      </c>
      <c r="M87" s="186">
        <f>RANK(K87, K$87:$K$101)</f>
        <v>2</v>
      </c>
      <c r="N87" s="530"/>
      <c r="O87" s="530"/>
      <c r="P87" s="188">
        <v>21</v>
      </c>
      <c r="Q87" s="188">
        <v>2484.0307429547411</v>
      </c>
      <c r="R87" s="185">
        <f>IFERROR(Q87/P87,"")</f>
        <v>118.28717823594005</v>
      </c>
      <c r="S87" s="182">
        <f>RANK(R87, R$87:R$101)</f>
        <v>2</v>
      </c>
      <c r="T87" s="558">
        <f>AVERAGE(R87:R101)</f>
        <v>304.2810098367861</v>
      </c>
      <c r="U87" s="188">
        <v>21</v>
      </c>
      <c r="V87" s="188">
        <v>2484.4527696012829</v>
      </c>
      <c r="W87" s="185">
        <f t="shared" ref="W87:W88" si="94">IFERROR(V87/U87,"")</f>
        <v>118.30727474291822</v>
      </c>
      <c r="X87" s="182">
        <f>RANK(W87, W$87:W$101)</f>
        <v>2</v>
      </c>
      <c r="Y87" s="558">
        <f>AVERAGE(W87:W101)</f>
        <v>308.32234152793814</v>
      </c>
      <c r="Z87" s="188">
        <v>21</v>
      </c>
      <c r="AA87" s="188">
        <v>2483.9108910891136</v>
      </c>
      <c r="AB87" s="185">
        <f t="shared" ref="AB87:AB88" si="95">IFERROR(AA87/Z87,"")</f>
        <v>118.28147100424351</v>
      </c>
      <c r="AC87" s="182">
        <f>RANK(AB87, AB$87:AB$101)</f>
        <v>2</v>
      </c>
      <c r="AD87" s="558">
        <f>AVERAGE(AB87:AB101)</f>
        <v>312.29069113654936</v>
      </c>
      <c r="AE87" s="188">
        <v>22</v>
      </c>
      <c r="AF87" s="188">
        <v>2626.4323911382735</v>
      </c>
      <c r="AG87" s="185">
        <f>IFERROR(AF87/AE87,"")</f>
        <v>119.38329050628516</v>
      </c>
      <c r="AH87" s="182">
        <f>RANK(AG87, AG$87:AG$101)</f>
        <v>2</v>
      </c>
      <c r="AI87" s="558">
        <f>AVERAGE(AG87:AG101)</f>
        <v>317.37337413329965</v>
      </c>
      <c r="AJ87" s="188">
        <v>22</v>
      </c>
      <c r="AK87" s="188">
        <v>2626.8595041322242</v>
      </c>
      <c r="AL87" s="185">
        <f t="shared" ref="AL87:AL88" si="96">IFERROR(AK87/AJ87,"")</f>
        <v>119.40270473328292</v>
      </c>
      <c r="AM87" s="182">
        <f>RANK(AL87, AL$87:AL$101)</f>
        <v>2</v>
      </c>
      <c r="AN87" s="558">
        <f>AVERAGE(AL87:AL101)</f>
        <v>322.13445975158584</v>
      </c>
      <c r="AO87" s="188">
        <v>22</v>
      </c>
      <c r="AP87" s="188">
        <v>2626.7983074753156</v>
      </c>
      <c r="AQ87" s="185">
        <f t="shared" ref="AQ87:AQ88" si="97">IFERROR(AP87/AO87,"")</f>
        <v>119.3999230670598</v>
      </c>
      <c r="AR87" s="182">
        <f>RANK(AQ87, AQ$87:AQ$101)</f>
        <v>2</v>
      </c>
      <c r="AS87" s="558">
        <f>AVERAGE(AQ87:AQ101)</f>
        <v>327.38112095382013</v>
      </c>
      <c r="AT87" s="188">
        <v>22</v>
      </c>
      <c r="AU87" s="188">
        <v>2626.9230769230767</v>
      </c>
      <c r="AV87" s="185">
        <f t="shared" ref="AV87:AV88" si="98">IFERROR(AU87/AT87,"")</f>
        <v>119.4055944055944</v>
      </c>
      <c r="AW87" s="182">
        <f>RANK(AV87, AV$87:AV$101)</f>
        <v>2</v>
      </c>
      <c r="AX87" s="558">
        <f>AVERAGE(AV87:AV101)</f>
        <v>330.45522438726289</v>
      </c>
    </row>
    <row r="88" spans="2:50" ht="14.25" customHeight="1">
      <c r="B88" s="530"/>
      <c r="C88" s="180">
        <v>2</v>
      </c>
      <c r="D88" s="183" t="s">
        <v>193</v>
      </c>
      <c r="E88" s="180">
        <v>6</v>
      </c>
      <c r="F88" s="180">
        <v>3600</v>
      </c>
      <c r="G88" s="185">
        <f t="shared" si="93"/>
        <v>600</v>
      </c>
      <c r="H88" s="558"/>
      <c r="I88" s="186">
        <f t="shared" ref="I88:K88" si="99">AVERAGE(P88,U88,Z88,AE88,AJ88,AO88,AT88)</f>
        <v>6</v>
      </c>
      <c r="J88" s="186">
        <f t="shared" si="99"/>
        <v>3096.0077200792798</v>
      </c>
      <c r="K88" s="187">
        <f t="shared" si="99"/>
        <v>516.00128667987997</v>
      </c>
      <c r="L88" s="559"/>
      <c r="M88" s="186">
        <f>RANK(K88, K$87:$K$101)</f>
        <v>1</v>
      </c>
      <c r="N88" s="530"/>
      <c r="O88" s="530"/>
      <c r="P88" s="188">
        <v>6</v>
      </c>
      <c r="Q88" s="188">
        <v>2941.6490486257926</v>
      </c>
      <c r="R88" s="185">
        <f t="shared" ref="R88" si="100">IFERROR(Q88/P88,"")</f>
        <v>490.27484143763212</v>
      </c>
      <c r="S88" s="182">
        <f>RANK(R88, R$87:R$101)</f>
        <v>1</v>
      </c>
      <c r="T88" s="558"/>
      <c r="U88" s="188">
        <v>6</v>
      </c>
      <c r="V88" s="188">
        <v>2990.0244498777483</v>
      </c>
      <c r="W88" s="185">
        <f t="shared" si="94"/>
        <v>498.33740831295808</v>
      </c>
      <c r="X88" s="182">
        <f>RANK(W88, W$87:W$101)</f>
        <v>1</v>
      </c>
      <c r="Y88" s="558"/>
      <c r="Z88" s="188">
        <v>6</v>
      </c>
      <c r="AA88" s="188">
        <v>3037.7994676131311</v>
      </c>
      <c r="AB88" s="185">
        <f t="shared" si="95"/>
        <v>506.29991126885517</v>
      </c>
      <c r="AC88" s="182">
        <f>RANK(AB88, AB$87:AB$101)</f>
        <v>1</v>
      </c>
      <c r="AD88" s="558"/>
      <c r="AE88" s="188">
        <v>6</v>
      </c>
      <c r="AF88" s="188">
        <v>3092.1807465618845</v>
      </c>
      <c r="AG88" s="185">
        <f t="shared" ref="AG88" si="101">IFERROR(AF88/AE88,"")</f>
        <v>515.36345776031408</v>
      </c>
      <c r="AH88" s="182">
        <f>RANK(AG88, AG$87:AG$101)</f>
        <v>1</v>
      </c>
      <c r="AI88" s="558"/>
      <c r="AJ88" s="188">
        <v>6</v>
      </c>
      <c r="AK88" s="188">
        <v>3149.1972886193325</v>
      </c>
      <c r="AL88" s="185">
        <f t="shared" si="96"/>
        <v>524.86621476988876</v>
      </c>
      <c r="AM88" s="182">
        <f>RANK(AL88, AL$87:AL$101)</f>
        <v>1</v>
      </c>
      <c r="AN88" s="558"/>
      <c r="AO88" s="188">
        <v>6</v>
      </c>
      <c r="AP88" s="188">
        <v>3212.1739130434826</v>
      </c>
      <c r="AQ88" s="185">
        <f t="shared" si="97"/>
        <v>535.36231884058043</v>
      </c>
      <c r="AR88" s="182">
        <f>RANK(AQ88, AQ$87:AQ$101)</f>
        <v>1</v>
      </c>
      <c r="AS88" s="558"/>
      <c r="AT88" s="188">
        <v>6</v>
      </c>
      <c r="AU88" s="188">
        <v>3249.0291262135884</v>
      </c>
      <c r="AV88" s="185">
        <f t="shared" si="98"/>
        <v>541.50485436893143</v>
      </c>
      <c r="AW88" s="182">
        <f>RANK(AV88, AV$87:AV$101)</f>
        <v>1</v>
      </c>
      <c r="AX88" s="558"/>
    </row>
    <row r="89" spans="2:50" ht="14.25" customHeight="1">
      <c r="B89" s="530"/>
      <c r="C89" s="180">
        <v>3</v>
      </c>
      <c r="D89" s="183"/>
      <c r="E89" s="180"/>
      <c r="F89" s="180"/>
      <c r="G89" s="185"/>
      <c r="H89" s="558"/>
      <c r="I89" s="186"/>
      <c r="J89" s="186"/>
      <c r="K89" s="187"/>
      <c r="L89" s="559"/>
      <c r="M89" s="186"/>
      <c r="N89" s="530"/>
      <c r="O89" s="530"/>
      <c r="P89" s="188"/>
      <c r="Q89" s="188"/>
      <c r="R89" s="185"/>
      <c r="S89" s="182"/>
      <c r="T89" s="558"/>
      <c r="U89" s="188"/>
      <c r="V89" s="188"/>
      <c r="W89" s="185"/>
      <c r="X89" s="182"/>
      <c r="Y89" s="558"/>
      <c r="Z89" s="188"/>
      <c r="AA89" s="188"/>
      <c r="AB89" s="185"/>
      <c r="AC89" s="182"/>
      <c r="AD89" s="558"/>
      <c r="AE89" s="188"/>
      <c r="AF89" s="188"/>
      <c r="AG89" s="185"/>
      <c r="AH89" s="182"/>
      <c r="AI89" s="558"/>
      <c r="AJ89" s="188"/>
      <c r="AK89" s="188"/>
      <c r="AL89" s="185"/>
      <c r="AM89" s="182"/>
      <c r="AN89" s="558"/>
      <c r="AO89" s="188"/>
      <c r="AP89" s="188"/>
      <c r="AQ89" s="185"/>
      <c r="AR89" s="182"/>
      <c r="AS89" s="558"/>
      <c r="AT89" s="188"/>
      <c r="AU89" s="188"/>
      <c r="AV89" s="185"/>
      <c r="AW89" s="182"/>
      <c r="AX89" s="558"/>
    </row>
    <row r="90" spans="2:50" ht="14.25" customHeight="1">
      <c r="B90" s="530"/>
      <c r="C90" s="180">
        <v>4</v>
      </c>
      <c r="D90" s="183"/>
      <c r="E90" s="180"/>
      <c r="F90" s="180"/>
      <c r="G90" s="185"/>
      <c r="H90" s="558"/>
      <c r="I90" s="186"/>
      <c r="J90" s="186"/>
      <c r="K90" s="187"/>
      <c r="L90" s="559"/>
      <c r="M90" s="186"/>
      <c r="N90" s="530"/>
      <c r="O90" s="530"/>
      <c r="P90" s="188"/>
      <c r="Q90" s="188"/>
      <c r="R90" s="185"/>
      <c r="S90" s="182"/>
      <c r="T90" s="558"/>
      <c r="U90" s="188"/>
      <c r="V90" s="188"/>
      <c r="W90" s="185"/>
      <c r="X90" s="182"/>
      <c r="Y90" s="558"/>
      <c r="Z90" s="188"/>
      <c r="AA90" s="188"/>
      <c r="AB90" s="185"/>
      <c r="AC90" s="182"/>
      <c r="AD90" s="558"/>
      <c r="AE90" s="188"/>
      <c r="AF90" s="188"/>
      <c r="AG90" s="185"/>
      <c r="AH90" s="182"/>
      <c r="AI90" s="558"/>
      <c r="AJ90" s="188"/>
      <c r="AK90" s="188"/>
      <c r="AL90" s="185"/>
      <c r="AM90" s="182"/>
      <c r="AN90" s="558"/>
      <c r="AO90" s="188"/>
      <c r="AP90" s="188"/>
      <c r="AQ90" s="185"/>
      <c r="AR90" s="182"/>
      <c r="AS90" s="558"/>
      <c r="AT90" s="188"/>
      <c r="AU90" s="188"/>
      <c r="AV90" s="185"/>
      <c r="AW90" s="182"/>
      <c r="AX90" s="558"/>
    </row>
    <row r="91" spans="2:50" ht="14.25" customHeight="1">
      <c r="B91" s="530"/>
      <c r="C91" s="180">
        <v>5</v>
      </c>
      <c r="D91" s="183"/>
      <c r="E91" s="180"/>
      <c r="F91" s="180"/>
      <c r="G91" s="185"/>
      <c r="H91" s="558"/>
      <c r="I91" s="186"/>
      <c r="J91" s="186"/>
      <c r="K91" s="187"/>
      <c r="L91" s="559"/>
      <c r="M91" s="186"/>
      <c r="N91" s="530"/>
      <c r="O91" s="530"/>
      <c r="P91" s="188"/>
      <c r="Q91" s="188"/>
      <c r="R91" s="185"/>
      <c r="S91" s="182"/>
      <c r="T91" s="558"/>
      <c r="U91" s="188"/>
      <c r="V91" s="188"/>
      <c r="W91" s="185"/>
      <c r="X91" s="182"/>
      <c r="Y91" s="558"/>
      <c r="Z91" s="188"/>
      <c r="AA91" s="188"/>
      <c r="AB91" s="185"/>
      <c r="AC91" s="182"/>
      <c r="AD91" s="558"/>
      <c r="AE91" s="188"/>
      <c r="AF91" s="188"/>
      <c r="AG91" s="185"/>
      <c r="AH91" s="182"/>
      <c r="AI91" s="558"/>
      <c r="AJ91" s="188"/>
      <c r="AK91" s="188"/>
      <c r="AL91" s="185"/>
      <c r="AM91" s="182"/>
      <c r="AN91" s="558"/>
      <c r="AO91" s="188"/>
      <c r="AP91" s="188"/>
      <c r="AQ91" s="185"/>
      <c r="AR91" s="182"/>
      <c r="AS91" s="558"/>
      <c r="AT91" s="188"/>
      <c r="AU91" s="188"/>
      <c r="AV91" s="185"/>
      <c r="AW91" s="182"/>
      <c r="AX91" s="558"/>
    </row>
    <row r="92" spans="2:50" ht="14.25" customHeight="1">
      <c r="B92" s="530"/>
      <c r="C92" s="180">
        <v>6</v>
      </c>
      <c r="D92" s="183"/>
      <c r="E92" s="180"/>
      <c r="F92" s="180"/>
      <c r="G92" s="185"/>
      <c r="H92" s="558"/>
      <c r="I92" s="186"/>
      <c r="J92" s="186"/>
      <c r="K92" s="187"/>
      <c r="L92" s="559"/>
      <c r="M92" s="186"/>
      <c r="N92" s="530"/>
      <c r="O92" s="530"/>
      <c r="P92" s="188"/>
      <c r="Q92" s="188"/>
      <c r="R92" s="185"/>
      <c r="S92" s="182"/>
      <c r="T92" s="558"/>
      <c r="U92" s="188"/>
      <c r="V92" s="188"/>
      <c r="W92" s="185"/>
      <c r="X92" s="182"/>
      <c r="Y92" s="558"/>
      <c r="Z92" s="188"/>
      <c r="AA92" s="188"/>
      <c r="AB92" s="185"/>
      <c r="AC92" s="182"/>
      <c r="AD92" s="558"/>
      <c r="AE92" s="188"/>
      <c r="AF92" s="188"/>
      <c r="AG92" s="185"/>
      <c r="AH92" s="182"/>
      <c r="AI92" s="558"/>
      <c r="AJ92" s="188"/>
      <c r="AK92" s="188"/>
      <c r="AL92" s="185"/>
      <c r="AM92" s="182"/>
      <c r="AN92" s="558"/>
      <c r="AO92" s="188"/>
      <c r="AP92" s="188"/>
      <c r="AQ92" s="185"/>
      <c r="AR92" s="182"/>
      <c r="AS92" s="558"/>
      <c r="AT92" s="188"/>
      <c r="AU92" s="188"/>
      <c r="AV92" s="185"/>
      <c r="AW92" s="182"/>
      <c r="AX92" s="558"/>
    </row>
    <row r="93" spans="2:50" ht="14.25" customHeight="1">
      <c r="B93" s="530"/>
      <c r="C93" s="180">
        <v>7</v>
      </c>
      <c r="D93" s="183"/>
      <c r="E93" s="180"/>
      <c r="F93" s="180"/>
      <c r="G93" s="185"/>
      <c r="H93" s="558"/>
      <c r="I93" s="186"/>
      <c r="J93" s="186"/>
      <c r="K93" s="187"/>
      <c r="L93" s="559"/>
      <c r="M93" s="186"/>
      <c r="N93" s="530"/>
      <c r="O93" s="530"/>
      <c r="P93" s="188"/>
      <c r="Q93" s="188"/>
      <c r="R93" s="185"/>
      <c r="S93" s="182"/>
      <c r="T93" s="558"/>
      <c r="U93" s="188"/>
      <c r="V93" s="188"/>
      <c r="W93" s="185"/>
      <c r="X93" s="182"/>
      <c r="Y93" s="558"/>
      <c r="Z93" s="188"/>
      <c r="AA93" s="188"/>
      <c r="AB93" s="185"/>
      <c r="AC93" s="182"/>
      <c r="AD93" s="558"/>
      <c r="AE93" s="188"/>
      <c r="AF93" s="188"/>
      <c r="AG93" s="185"/>
      <c r="AH93" s="182"/>
      <c r="AI93" s="558"/>
      <c r="AJ93" s="188"/>
      <c r="AK93" s="188"/>
      <c r="AL93" s="185"/>
      <c r="AM93" s="182"/>
      <c r="AN93" s="558"/>
      <c r="AO93" s="188"/>
      <c r="AP93" s="188"/>
      <c r="AQ93" s="185"/>
      <c r="AR93" s="182"/>
      <c r="AS93" s="558"/>
      <c r="AT93" s="188"/>
      <c r="AU93" s="188"/>
      <c r="AV93" s="185"/>
      <c r="AW93" s="182"/>
      <c r="AX93" s="558"/>
    </row>
    <row r="94" spans="2:50" ht="14.25" customHeight="1">
      <c r="B94" s="530"/>
      <c r="C94" s="180">
        <v>8</v>
      </c>
      <c r="D94" s="183"/>
      <c r="E94" s="180"/>
      <c r="F94" s="180"/>
      <c r="G94" s="185"/>
      <c r="H94" s="558"/>
      <c r="I94" s="186"/>
      <c r="J94" s="186"/>
      <c r="K94" s="187"/>
      <c r="L94" s="559"/>
      <c r="M94" s="186"/>
      <c r="N94" s="530"/>
      <c r="O94" s="530"/>
      <c r="P94" s="188"/>
      <c r="Q94" s="188"/>
      <c r="R94" s="185"/>
      <c r="S94" s="182"/>
      <c r="T94" s="558"/>
      <c r="U94" s="188"/>
      <c r="V94" s="188"/>
      <c r="W94" s="185"/>
      <c r="X94" s="182"/>
      <c r="Y94" s="558"/>
      <c r="Z94" s="188"/>
      <c r="AA94" s="188"/>
      <c r="AB94" s="185"/>
      <c r="AC94" s="182"/>
      <c r="AD94" s="558"/>
      <c r="AE94" s="188"/>
      <c r="AF94" s="188"/>
      <c r="AG94" s="185"/>
      <c r="AH94" s="182"/>
      <c r="AI94" s="558"/>
      <c r="AJ94" s="188"/>
      <c r="AK94" s="188"/>
      <c r="AL94" s="185"/>
      <c r="AM94" s="182"/>
      <c r="AN94" s="558"/>
      <c r="AO94" s="188"/>
      <c r="AP94" s="188"/>
      <c r="AQ94" s="185"/>
      <c r="AR94" s="182"/>
      <c r="AS94" s="558"/>
      <c r="AT94" s="188"/>
      <c r="AU94" s="188"/>
      <c r="AV94" s="185"/>
      <c r="AW94" s="182"/>
      <c r="AX94" s="558"/>
    </row>
    <row r="95" spans="2:50" ht="14.25" customHeight="1">
      <c r="B95" s="530"/>
      <c r="C95" s="180">
        <v>9</v>
      </c>
      <c r="D95" s="183"/>
      <c r="E95" s="180"/>
      <c r="F95" s="180"/>
      <c r="G95" s="185"/>
      <c r="H95" s="558"/>
      <c r="I95" s="186"/>
      <c r="J95" s="186"/>
      <c r="K95" s="187"/>
      <c r="L95" s="559"/>
      <c r="M95" s="186"/>
      <c r="N95" s="530"/>
      <c r="O95" s="530"/>
      <c r="P95" s="188"/>
      <c r="Q95" s="188"/>
      <c r="R95" s="185"/>
      <c r="S95" s="182"/>
      <c r="T95" s="558"/>
      <c r="U95" s="188"/>
      <c r="V95" s="188"/>
      <c r="W95" s="185"/>
      <c r="X95" s="182"/>
      <c r="Y95" s="558"/>
      <c r="Z95" s="188"/>
      <c r="AA95" s="188"/>
      <c r="AB95" s="185"/>
      <c r="AC95" s="182"/>
      <c r="AD95" s="558"/>
      <c r="AE95" s="188"/>
      <c r="AF95" s="188"/>
      <c r="AG95" s="185"/>
      <c r="AH95" s="182"/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/>
      <c r="AU95" s="188"/>
      <c r="AV95" s="185"/>
      <c r="AW95" s="182"/>
      <c r="AX95" s="558"/>
    </row>
    <row r="96" spans="2:50" ht="14.25" customHeight="1">
      <c r="B96" s="530"/>
      <c r="C96" s="180">
        <v>10</v>
      </c>
      <c r="D96" s="183"/>
      <c r="E96" s="180"/>
      <c r="F96" s="180"/>
      <c r="G96" s="185"/>
      <c r="H96" s="558"/>
      <c r="I96" s="186"/>
      <c r="J96" s="186"/>
      <c r="K96" s="187"/>
      <c r="L96" s="559"/>
      <c r="M96" s="186"/>
      <c r="N96" s="530"/>
      <c r="O96" s="530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/>
      <c r="AU96" s="188"/>
      <c r="AV96" s="185"/>
      <c r="AW96" s="182"/>
      <c r="AX96" s="558"/>
    </row>
    <row r="97" spans="2:50" ht="14.25" customHeight="1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30"/>
      <c r="O97" s="530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 ht="14.25" customHeight="1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30"/>
      <c r="O98" s="530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 ht="14.25" customHeight="1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30"/>
      <c r="O99" s="530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 ht="14.25" customHeight="1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30"/>
      <c r="O100" s="530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 ht="14.25" customHeight="1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30"/>
      <c r="O101" s="530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zoomScaleNormal="100" workbookViewId="0">
      <pane xSplit="13" ySplit="1" topLeftCell="N71" activePane="bottomRight" state="frozen"/>
      <selection pane="bottomRight" activeCell="AW87" sqref="AW87:AW88"/>
      <selection pane="bottomLeft" activeCell="L95" sqref="L95"/>
      <selection pane="topRight" activeCell="L95" sqref="L95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.6">
      <c r="A1" s="74"/>
      <c r="B1" s="371" t="s">
        <v>125</v>
      </c>
      <c r="C1" s="175">
        <f>AVERAGE(L27,L47,L67,L87)</f>
        <v>490.19814173593841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f t="shared" ref="AJ2" si="2">AE2+1</f>
        <v>46053</v>
      </c>
      <c r="AK2" s="589"/>
      <c r="AL2" s="589"/>
      <c r="AM2" s="589"/>
      <c r="AN2" s="590"/>
      <c r="AO2" s="598">
        <f t="shared" ref="AO2" si="3">AJ2+1</f>
        <v>46054</v>
      </c>
      <c r="AP2" s="599"/>
      <c r="AQ2" s="599"/>
      <c r="AR2" s="599"/>
      <c r="AS2" s="599"/>
      <c r="AT2" s="588">
        <f t="shared" ref="AT2" si="4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5">Z2</f>
        <v>46051</v>
      </c>
      <c r="AA3" s="591"/>
      <c r="AB3" s="591"/>
      <c r="AC3" s="591"/>
      <c r="AD3" s="591"/>
      <c r="AE3" s="592">
        <f t="shared" ref="AE3" si="6">AE2</f>
        <v>46052</v>
      </c>
      <c r="AF3" s="592"/>
      <c r="AG3" s="592"/>
      <c r="AH3" s="592"/>
      <c r="AI3" s="592"/>
      <c r="AJ3" s="593">
        <f t="shared" ref="AJ3" si="7">AJ2</f>
        <v>46053</v>
      </c>
      <c r="AK3" s="594"/>
      <c r="AL3" s="594"/>
      <c r="AM3" s="594"/>
      <c r="AN3" s="595"/>
      <c r="AO3" s="592">
        <f t="shared" ref="AO3" si="8">AO2</f>
        <v>46054</v>
      </c>
      <c r="AP3" s="592"/>
      <c r="AQ3" s="592"/>
      <c r="AR3" s="592"/>
      <c r="AS3" s="592"/>
      <c r="AT3" s="593">
        <f t="shared" ref="AT3" si="9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 t="s">
        <v>137</v>
      </c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530" t="s">
        <v>194</v>
      </c>
      <c r="C7" s="180">
        <v>1</v>
      </c>
      <c r="D7" s="183" t="s">
        <v>195</v>
      </c>
      <c r="E7" s="180">
        <v>6</v>
      </c>
      <c r="F7" s="180">
        <v>3273</v>
      </c>
      <c r="G7" s="185">
        <f t="shared" ref="G7" si="10">F7/E7</f>
        <v>545.5</v>
      </c>
      <c r="H7" s="558">
        <f>AVERAGE(G7:G21)</f>
        <v>545.5</v>
      </c>
      <c r="I7" s="186">
        <f>AVERAGE(P7,U7,Z7,AE7,AJ7,AO7,AT7)</f>
        <v>6</v>
      </c>
      <c r="J7" s="186">
        <f>AVERAGE(Q7,V7,AA7,AF7,AK7,AP7,AU7)</f>
        <v>2952.1241315893299</v>
      </c>
      <c r="K7" s="187">
        <f>AVERAGE(R7,W7,AB7,AG7,AL7,AQ7,AV7)</f>
        <v>492.02068859822157</v>
      </c>
      <c r="L7" s="559">
        <f>IFERROR(AVERAGE(K7:K21),"-")</f>
        <v>492.02068859822157</v>
      </c>
      <c r="M7" s="186">
        <f>RANK(K7, K$7:$K$21)</f>
        <v>1</v>
      </c>
      <c r="N7" s="530"/>
      <c r="O7" s="530"/>
      <c r="P7" s="188">
        <v>6</v>
      </c>
      <c r="Q7" s="188">
        <v>2946.11748818366</v>
      </c>
      <c r="R7" s="185">
        <f>IFERROR(Q7/P7,"")</f>
        <v>491.01958136394336</v>
      </c>
      <c r="S7" s="182">
        <f>RANK(R7, R$7:R$21)</f>
        <v>1</v>
      </c>
      <c r="T7" s="558">
        <f>AVERAGE(R7:R21)</f>
        <v>491.01958136394336</v>
      </c>
      <c r="U7" s="188">
        <v>6</v>
      </c>
      <c r="V7" s="188">
        <v>2946.7181467181499</v>
      </c>
      <c r="W7" s="185">
        <f t="shared" ref="W7" si="11">IFERROR(V7/U7,"")</f>
        <v>491.11969111969165</v>
      </c>
      <c r="X7" s="182">
        <f>RANK(W7, W$7:W$21)</f>
        <v>1</v>
      </c>
      <c r="Y7" s="558">
        <f>AVERAGE(W7:W21)</f>
        <v>491.11969111969165</v>
      </c>
      <c r="Z7" s="188">
        <v>6</v>
      </c>
      <c r="AA7" s="188">
        <v>2950.7014028056037</v>
      </c>
      <c r="AB7" s="185">
        <f t="shared" ref="AB7" si="12">IFERROR(AA7/Z7,"")</f>
        <v>491.78356713426729</v>
      </c>
      <c r="AC7" s="182">
        <f>RANK(AB7, AB$7:AB$21)</f>
        <v>1</v>
      </c>
      <c r="AD7" s="558">
        <f>AVERAGE(AB7:AB21)</f>
        <v>491.78356713426729</v>
      </c>
      <c r="AE7" s="188">
        <v>6</v>
      </c>
      <c r="AF7" s="188">
        <v>2952.1850899742926</v>
      </c>
      <c r="AG7" s="185">
        <f>IFERROR(AF7/AE7,"")</f>
        <v>492.03084832904875</v>
      </c>
      <c r="AH7" s="182">
        <f>RANK(AG7, AG$7:AG$21)</f>
        <v>1</v>
      </c>
      <c r="AI7" s="558">
        <f>AVERAGE(AG7:AG21)</f>
        <v>492.03084832904875</v>
      </c>
      <c r="AJ7" s="188">
        <v>6</v>
      </c>
      <c r="AK7" s="188">
        <v>2955.8528428093564</v>
      </c>
      <c r="AL7" s="185">
        <f t="shared" ref="AL7" si="13">IFERROR(AK7/AJ7,"")</f>
        <v>492.64214046822605</v>
      </c>
      <c r="AM7" s="182">
        <f>RANK(AL7, AL$7:AL$21)</f>
        <v>1</v>
      </c>
      <c r="AN7" s="558">
        <f>AVERAGE(AL7:AL21)</f>
        <v>492.64214046822605</v>
      </c>
      <c r="AO7" s="188">
        <v>6</v>
      </c>
      <c r="AP7" s="188">
        <v>2956.3218390804595</v>
      </c>
      <c r="AQ7" s="185">
        <f t="shared" ref="AQ7" si="14">IFERROR(AP7/AO7,"")</f>
        <v>492.72030651340992</v>
      </c>
      <c r="AR7" s="182">
        <f>RANK(AQ7, AQ$7:AQ$21)</f>
        <v>1</v>
      </c>
      <c r="AS7" s="558">
        <f>AVERAGE(AQ7:AQ21)</f>
        <v>492.72030651340992</v>
      </c>
      <c r="AT7" s="188">
        <v>6</v>
      </c>
      <c r="AU7" s="188">
        <v>2956.9721115537836</v>
      </c>
      <c r="AV7" s="185">
        <f t="shared" ref="AV7" si="15">IFERROR(AU7/AT7,"")</f>
        <v>492.82868525896396</v>
      </c>
      <c r="AW7" s="182">
        <f>RANK(AV7, AV$7:AV$21)</f>
        <v>1</v>
      </c>
      <c r="AX7" s="558">
        <f>AVERAGE(AV7:AV21)</f>
        <v>492.82868525896396</v>
      </c>
    </row>
    <row r="8" spans="1:50" ht="14.25" customHeight="1">
      <c r="B8" s="530"/>
      <c r="C8" s="180">
        <v>2</v>
      </c>
      <c r="D8" s="183"/>
      <c r="E8" s="180"/>
      <c r="F8" s="180"/>
      <c r="G8" s="185"/>
      <c r="H8" s="558"/>
      <c r="I8" s="186"/>
      <c r="J8" s="186"/>
      <c r="K8" s="187"/>
      <c r="L8" s="559"/>
      <c r="M8" s="186"/>
      <c r="N8" s="530"/>
      <c r="O8" s="530"/>
      <c r="P8" s="188"/>
      <c r="Q8" s="188"/>
      <c r="R8" s="185"/>
      <c r="S8" s="182"/>
      <c r="T8" s="558"/>
      <c r="U8" s="188"/>
      <c r="V8" s="188"/>
      <c r="W8" s="185"/>
      <c r="X8" s="182"/>
      <c r="Y8" s="558"/>
      <c r="Z8" s="188"/>
      <c r="AA8" s="188"/>
      <c r="AB8" s="185"/>
      <c r="AC8" s="182"/>
      <c r="AD8" s="558"/>
      <c r="AE8" s="188"/>
      <c r="AF8" s="188"/>
      <c r="AG8" s="185"/>
      <c r="AH8" s="182"/>
      <c r="AI8" s="558"/>
      <c r="AJ8" s="188"/>
      <c r="AK8" s="188"/>
      <c r="AL8" s="185"/>
      <c r="AM8" s="182"/>
      <c r="AN8" s="558"/>
      <c r="AO8" s="188"/>
      <c r="AP8" s="188"/>
      <c r="AQ8" s="185"/>
      <c r="AR8" s="182"/>
      <c r="AS8" s="558"/>
      <c r="AT8" s="188"/>
      <c r="AU8" s="188"/>
      <c r="AV8" s="185"/>
      <c r="AW8" s="182"/>
      <c r="AX8" s="558"/>
    </row>
    <row r="9" spans="1:50" ht="14.25" customHeight="1">
      <c r="B9" s="530"/>
      <c r="C9" s="180">
        <v>3</v>
      </c>
      <c r="D9" s="183"/>
      <c r="E9" s="180"/>
      <c r="F9" s="180"/>
      <c r="G9" s="185"/>
      <c r="H9" s="558"/>
      <c r="I9" s="186"/>
      <c r="J9" s="186"/>
      <c r="K9" s="187"/>
      <c r="L9" s="559"/>
      <c r="M9" s="186"/>
      <c r="N9" s="530"/>
      <c r="O9" s="530"/>
      <c r="P9" s="188"/>
      <c r="Q9" s="188"/>
      <c r="R9" s="185"/>
      <c r="S9" s="182"/>
      <c r="T9" s="558"/>
      <c r="U9" s="188"/>
      <c r="V9" s="188"/>
      <c r="W9" s="185"/>
      <c r="X9" s="182"/>
      <c r="Y9" s="558"/>
      <c r="Z9" s="188"/>
      <c r="AA9" s="188"/>
      <c r="AB9" s="185"/>
      <c r="AC9" s="182"/>
      <c r="AD9" s="558"/>
      <c r="AE9" s="188"/>
      <c r="AF9" s="188"/>
      <c r="AG9" s="185"/>
      <c r="AH9" s="182"/>
      <c r="AI9" s="558"/>
      <c r="AJ9" s="188"/>
      <c r="AK9" s="188"/>
      <c r="AL9" s="185"/>
      <c r="AM9" s="182"/>
      <c r="AN9" s="558"/>
      <c r="AO9" s="188"/>
      <c r="AP9" s="188"/>
      <c r="AQ9" s="185"/>
      <c r="AR9" s="182"/>
      <c r="AS9" s="558"/>
      <c r="AT9" s="188"/>
      <c r="AU9" s="188"/>
      <c r="AV9" s="185"/>
      <c r="AW9" s="182"/>
      <c r="AX9" s="558"/>
    </row>
    <row r="10" spans="1:50" ht="14.25" customHeight="1">
      <c r="B10" s="530"/>
      <c r="C10" s="180">
        <v>4</v>
      </c>
      <c r="D10" s="183"/>
      <c r="E10" s="180"/>
      <c r="F10" s="180"/>
      <c r="G10" s="185"/>
      <c r="H10" s="558"/>
      <c r="I10" s="186"/>
      <c r="J10" s="186"/>
      <c r="K10" s="187"/>
      <c r="L10" s="559"/>
      <c r="M10" s="186"/>
      <c r="N10" s="530"/>
      <c r="O10" s="530"/>
      <c r="P10" s="188"/>
      <c r="Q10" s="188"/>
      <c r="R10" s="185"/>
      <c r="S10" s="182"/>
      <c r="T10" s="558"/>
      <c r="U10" s="188"/>
      <c r="V10" s="188"/>
      <c r="W10" s="185"/>
      <c r="X10" s="182"/>
      <c r="Y10" s="558"/>
      <c r="Z10" s="188"/>
      <c r="AA10" s="188"/>
      <c r="AB10" s="185"/>
      <c r="AC10" s="182"/>
      <c r="AD10" s="558"/>
      <c r="AE10" s="188"/>
      <c r="AF10" s="188"/>
      <c r="AG10" s="185"/>
      <c r="AH10" s="182"/>
      <c r="AI10" s="558"/>
      <c r="AJ10" s="188"/>
      <c r="AK10" s="188"/>
      <c r="AL10" s="185"/>
      <c r="AM10" s="182"/>
      <c r="AN10" s="558"/>
      <c r="AO10" s="188"/>
      <c r="AP10" s="188"/>
      <c r="AQ10" s="185"/>
      <c r="AR10" s="182"/>
      <c r="AS10" s="558"/>
      <c r="AT10" s="188"/>
      <c r="AU10" s="188"/>
      <c r="AV10" s="185"/>
      <c r="AW10" s="182"/>
      <c r="AX10" s="558"/>
    </row>
    <row r="11" spans="1:50" ht="14.25" customHeight="1">
      <c r="B11" s="530"/>
      <c r="C11" s="180">
        <v>5</v>
      </c>
      <c r="D11" s="183"/>
      <c r="E11" s="180"/>
      <c r="F11" s="180"/>
      <c r="G11" s="185"/>
      <c r="H11" s="558"/>
      <c r="I11" s="186"/>
      <c r="J11" s="186"/>
      <c r="K11" s="187"/>
      <c r="L11" s="559"/>
      <c r="M11" s="186"/>
      <c r="N11" s="530"/>
      <c r="O11" s="530"/>
      <c r="P11" s="188"/>
      <c r="Q11" s="188"/>
      <c r="R11" s="185"/>
      <c r="S11" s="182"/>
      <c r="T11" s="558"/>
      <c r="U11" s="188"/>
      <c r="V11" s="188"/>
      <c r="W11" s="185"/>
      <c r="X11" s="182"/>
      <c r="Y11" s="558"/>
      <c r="Z11" s="188"/>
      <c r="AA11" s="188"/>
      <c r="AB11" s="185"/>
      <c r="AC11" s="182"/>
      <c r="AD11" s="558"/>
      <c r="AE11" s="188"/>
      <c r="AF11" s="188"/>
      <c r="AG11" s="185"/>
      <c r="AH11" s="182"/>
      <c r="AI11" s="558"/>
      <c r="AJ11" s="188"/>
      <c r="AK11" s="188"/>
      <c r="AL11" s="185"/>
      <c r="AM11" s="182"/>
      <c r="AN11" s="558"/>
      <c r="AO11" s="188"/>
      <c r="AP11" s="188"/>
      <c r="AQ11" s="185"/>
      <c r="AR11" s="182"/>
      <c r="AS11" s="558"/>
      <c r="AT11" s="188"/>
      <c r="AU11" s="188"/>
      <c r="AV11" s="185"/>
      <c r="AW11" s="182"/>
      <c r="AX11" s="558"/>
    </row>
    <row r="12" spans="1:50" ht="14.25" customHeight="1">
      <c r="B12" s="530"/>
      <c r="C12" s="180">
        <v>6</v>
      </c>
      <c r="D12" s="183"/>
      <c r="E12" s="180"/>
      <c r="F12" s="180"/>
      <c r="G12" s="185"/>
      <c r="H12" s="558"/>
      <c r="I12" s="186"/>
      <c r="J12" s="186"/>
      <c r="K12" s="187"/>
      <c r="L12" s="559"/>
      <c r="M12" s="186"/>
      <c r="N12" s="530"/>
      <c r="O12" s="530"/>
      <c r="P12" s="188"/>
      <c r="Q12" s="188"/>
      <c r="R12" s="185"/>
      <c r="S12" s="182"/>
      <c r="T12" s="558"/>
      <c r="U12" s="188"/>
      <c r="V12" s="188"/>
      <c r="W12" s="185"/>
      <c r="X12" s="182"/>
      <c r="Y12" s="558"/>
      <c r="Z12" s="188"/>
      <c r="AA12" s="188"/>
      <c r="AB12" s="185"/>
      <c r="AC12" s="182"/>
      <c r="AD12" s="558"/>
      <c r="AE12" s="188"/>
      <c r="AF12" s="188"/>
      <c r="AG12" s="185"/>
      <c r="AH12" s="182"/>
      <c r="AI12" s="558"/>
      <c r="AJ12" s="188"/>
      <c r="AK12" s="188"/>
      <c r="AL12" s="185"/>
      <c r="AM12" s="182"/>
      <c r="AN12" s="558"/>
      <c r="AO12" s="188"/>
      <c r="AP12" s="188"/>
      <c r="AQ12" s="185"/>
      <c r="AR12" s="182"/>
      <c r="AS12" s="558"/>
      <c r="AT12" s="188"/>
      <c r="AU12" s="188"/>
      <c r="AV12" s="185"/>
      <c r="AW12" s="182"/>
      <c r="AX12" s="558"/>
    </row>
    <row r="13" spans="1:50" ht="14.25" customHeight="1">
      <c r="B13" s="530"/>
      <c r="C13" s="180">
        <v>7</v>
      </c>
      <c r="D13" s="183"/>
      <c r="E13" s="180"/>
      <c r="F13" s="180"/>
      <c r="G13" s="185"/>
      <c r="H13" s="558"/>
      <c r="I13" s="186"/>
      <c r="J13" s="186"/>
      <c r="K13" s="187"/>
      <c r="L13" s="559"/>
      <c r="M13" s="186"/>
      <c r="N13" s="530"/>
      <c r="O13" s="530"/>
      <c r="P13" s="188"/>
      <c r="Q13" s="188"/>
      <c r="R13" s="185"/>
      <c r="S13" s="182"/>
      <c r="T13" s="558"/>
      <c r="U13" s="188"/>
      <c r="V13" s="188"/>
      <c r="W13" s="185"/>
      <c r="X13" s="182"/>
      <c r="Y13" s="558"/>
      <c r="Z13" s="188"/>
      <c r="AA13" s="188"/>
      <c r="AB13" s="185"/>
      <c r="AC13" s="182"/>
      <c r="AD13" s="558"/>
      <c r="AE13" s="188"/>
      <c r="AF13" s="188"/>
      <c r="AG13" s="185"/>
      <c r="AH13" s="182"/>
      <c r="AI13" s="558"/>
      <c r="AJ13" s="188"/>
      <c r="AK13" s="188"/>
      <c r="AL13" s="185"/>
      <c r="AM13" s="182"/>
      <c r="AN13" s="558"/>
      <c r="AO13" s="188"/>
      <c r="AP13" s="188"/>
      <c r="AQ13" s="185"/>
      <c r="AR13" s="182"/>
      <c r="AS13" s="558"/>
      <c r="AT13" s="188"/>
      <c r="AU13" s="188"/>
      <c r="AV13" s="185"/>
      <c r="AW13" s="182"/>
      <c r="AX13" s="558"/>
    </row>
    <row r="14" spans="1:50" ht="14.25" customHeight="1">
      <c r="B14" s="530"/>
      <c r="C14" s="180">
        <v>8</v>
      </c>
      <c r="D14" s="183"/>
      <c r="E14" s="180"/>
      <c r="F14" s="180"/>
      <c r="G14" s="185"/>
      <c r="H14" s="558"/>
      <c r="I14" s="186"/>
      <c r="J14" s="186"/>
      <c r="K14" s="187"/>
      <c r="L14" s="559"/>
      <c r="M14" s="186"/>
      <c r="N14" s="530"/>
      <c r="O14" s="530"/>
      <c r="P14" s="188"/>
      <c r="Q14" s="188"/>
      <c r="R14" s="185"/>
      <c r="S14" s="182"/>
      <c r="T14" s="558"/>
      <c r="U14" s="188"/>
      <c r="V14" s="188"/>
      <c r="W14" s="185"/>
      <c r="X14" s="182"/>
      <c r="Y14" s="558"/>
      <c r="Z14" s="188"/>
      <c r="AA14" s="188"/>
      <c r="AB14" s="185"/>
      <c r="AC14" s="182"/>
      <c r="AD14" s="558"/>
      <c r="AE14" s="188"/>
      <c r="AF14" s="188"/>
      <c r="AG14" s="185"/>
      <c r="AH14" s="182"/>
      <c r="AI14" s="558"/>
      <c r="AJ14" s="188"/>
      <c r="AK14" s="188"/>
      <c r="AL14" s="185"/>
      <c r="AM14" s="182"/>
      <c r="AN14" s="558"/>
      <c r="AO14" s="188"/>
      <c r="AP14" s="188"/>
      <c r="AQ14" s="185"/>
      <c r="AR14" s="182"/>
      <c r="AS14" s="558"/>
      <c r="AT14" s="188"/>
      <c r="AU14" s="188"/>
      <c r="AV14" s="185"/>
      <c r="AW14" s="182"/>
      <c r="AX14" s="558"/>
    </row>
    <row r="15" spans="1:50" ht="14.25" customHeight="1">
      <c r="B15" s="530"/>
      <c r="C15" s="180">
        <v>9</v>
      </c>
      <c r="D15" s="183"/>
      <c r="E15" s="180"/>
      <c r="F15" s="180"/>
      <c r="G15" s="185"/>
      <c r="H15" s="558"/>
      <c r="I15" s="186"/>
      <c r="J15" s="186"/>
      <c r="K15" s="187"/>
      <c r="L15" s="559"/>
      <c r="M15" s="186"/>
      <c r="N15" s="530"/>
      <c r="O15" s="530"/>
      <c r="P15" s="188"/>
      <c r="Q15" s="188"/>
      <c r="R15" s="185"/>
      <c r="S15" s="182"/>
      <c r="T15" s="558"/>
      <c r="U15" s="188"/>
      <c r="V15" s="188"/>
      <c r="W15" s="185"/>
      <c r="X15" s="182"/>
      <c r="Y15" s="558"/>
      <c r="Z15" s="188"/>
      <c r="AA15" s="188"/>
      <c r="AB15" s="185"/>
      <c r="AC15" s="182"/>
      <c r="AD15" s="558"/>
      <c r="AE15" s="188"/>
      <c r="AF15" s="188"/>
      <c r="AG15" s="185"/>
      <c r="AH15" s="182"/>
      <c r="AI15" s="558"/>
      <c r="AJ15" s="188"/>
      <c r="AK15" s="188"/>
      <c r="AL15" s="185"/>
      <c r="AM15" s="182"/>
      <c r="AN15" s="558"/>
      <c r="AO15" s="188"/>
      <c r="AP15" s="188"/>
      <c r="AQ15" s="185"/>
      <c r="AR15" s="182"/>
      <c r="AS15" s="558"/>
      <c r="AT15" s="188"/>
      <c r="AU15" s="188"/>
      <c r="AV15" s="185"/>
      <c r="AW15" s="182"/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16">U22+1</f>
        <v>46058</v>
      </c>
      <c r="AA22" s="597"/>
      <c r="AB22" s="597"/>
      <c r="AC22" s="597"/>
      <c r="AD22" s="597"/>
      <c r="AE22" s="598">
        <f t="shared" ref="AE22" si="17">Z22+1</f>
        <v>46059</v>
      </c>
      <c r="AF22" s="599"/>
      <c r="AG22" s="599"/>
      <c r="AH22" s="599"/>
      <c r="AI22" s="599"/>
      <c r="AJ22" s="588">
        <f t="shared" ref="AJ22" si="18">AE22+1</f>
        <v>46060</v>
      </c>
      <c r="AK22" s="589"/>
      <c r="AL22" s="589"/>
      <c r="AM22" s="589"/>
      <c r="AN22" s="590"/>
      <c r="AO22" s="598">
        <f t="shared" ref="AO22" si="19">AJ22+1</f>
        <v>46061</v>
      </c>
      <c r="AP22" s="599"/>
      <c r="AQ22" s="599"/>
      <c r="AR22" s="599"/>
      <c r="AS22" s="599"/>
      <c r="AT22" s="588">
        <f t="shared" ref="AT22" si="20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21">Z22</f>
        <v>46058</v>
      </c>
      <c r="AA23" s="591"/>
      <c r="AB23" s="591"/>
      <c r="AC23" s="591"/>
      <c r="AD23" s="591"/>
      <c r="AE23" s="592">
        <f t="shared" ref="AE23" si="22">AE22</f>
        <v>46059</v>
      </c>
      <c r="AF23" s="592"/>
      <c r="AG23" s="592"/>
      <c r="AH23" s="592"/>
      <c r="AI23" s="592"/>
      <c r="AJ23" s="593">
        <f t="shared" ref="AJ23" si="23">AJ22</f>
        <v>46060</v>
      </c>
      <c r="AK23" s="594"/>
      <c r="AL23" s="594"/>
      <c r="AM23" s="594"/>
      <c r="AN23" s="595"/>
      <c r="AO23" s="592">
        <f t="shared" ref="AO23" si="24">AO22</f>
        <v>46061</v>
      </c>
      <c r="AP23" s="592"/>
      <c r="AQ23" s="592"/>
      <c r="AR23" s="592"/>
      <c r="AS23" s="592"/>
      <c r="AT23" s="593">
        <f t="shared" ref="AT23" si="25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530" t="s">
        <v>194</v>
      </c>
      <c r="C27" s="180">
        <v>1</v>
      </c>
      <c r="D27" s="183" t="s">
        <v>195</v>
      </c>
      <c r="E27" s="180">
        <v>6</v>
      </c>
      <c r="F27" s="180">
        <v>3273</v>
      </c>
      <c r="G27" s="185">
        <f t="shared" ref="G27" si="26">F27/E27</f>
        <v>545.5</v>
      </c>
      <c r="H27" s="558">
        <f>AVERAGE(G27:G41)</f>
        <v>545.5</v>
      </c>
      <c r="I27" s="186">
        <f>AVERAGE(P27,U27,Z27,AE27,AJ27,AO27,AT27)</f>
        <v>6</v>
      </c>
      <c r="J27" s="186">
        <f>AVERAGE(Q27,V27,AA27,AF27,AK27,AP27,AU27)</f>
        <v>2958.1004674890678</v>
      </c>
      <c r="K27" s="187">
        <f>AVERAGE(R27,W27,AB27,AG27,AL27,AQ27,AV27)</f>
        <v>493.01674458151126</v>
      </c>
      <c r="L27" s="559">
        <f>IFERROR(AVERAGE(K27:K41),"-")</f>
        <v>493.01674458151126</v>
      </c>
      <c r="M27" s="186">
        <f>RANK(K27, K$27:$K$41)</f>
        <v>1</v>
      </c>
      <c r="N27" s="530"/>
      <c r="O27" s="530"/>
      <c r="P27" s="188">
        <v>6</v>
      </c>
      <c r="Q27" s="188">
        <v>2957.3091849935254</v>
      </c>
      <c r="R27" s="185">
        <f>IFERROR(Q27/P27,"")</f>
        <v>492.88486416558754</v>
      </c>
      <c r="S27" s="182">
        <f>RANK(R27, R$27:R$41)</f>
        <v>1</v>
      </c>
      <c r="T27" s="558">
        <f>AVERAGE(R27:R41)</f>
        <v>492.88486416558754</v>
      </c>
      <c r="U27" s="188">
        <v>6</v>
      </c>
      <c r="V27" s="188">
        <v>2957.6564580559293</v>
      </c>
      <c r="W27" s="185">
        <f t="shared" ref="W27" si="27">IFERROR(V27/U27,"")</f>
        <v>492.94274300932153</v>
      </c>
      <c r="X27" s="182">
        <f>RANK(W27, W$27:W$41)</f>
        <v>1</v>
      </c>
      <c r="Y27" s="558">
        <f>AVERAGE(W27:W41)</f>
        <v>492.94274300932153</v>
      </c>
      <c r="Z27" s="188">
        <v>6</v>
      </c>
      <c r="AA27" s="188">
        <v>2957.2301425661913</v>
      </c>
      <c r="AB27" s="185">
        <f t="shared" ref="AB27" si="28">IFERROR(AA27/Z27,"")</f>
        <v>492.87169042769852</v>
      </c>
      <c r="AC27" s="182">
        <f>RANK(AB27, AB$27:AB$41)</f>
        <v>1</v>
      </c>
      <c r="AD27" s="558">
        <f>AVERAGE(AB27:AB41)</f>
        <v>492.87169042769852</v>
      </c>
      <c r="AE27" s="188">
        <v>6</v>
      </c>
      <c r="AF27" s="188">
        <v>2958.341968911915</v>
      </c>
      <c r="AG27" s="185">
        <f>IFERROR(AF27/AE27,"")</f>
        <v>493.05699481865253</v>
      </c>
      <c r="AH27" s="182">
        <f>RANK(AG27, AG$27:AG$41)</f>
        <v>1</v>
      </c>
      <c r="AI27" s="558">
        <f>AVERAGE(AG27:AG41)</f>
        <v>493.05699481865253</v>
      </c>
      <c r="AJ27" s="188">
        <v>6</v>
      </c>
      <c r="AK27" s="188">
        <v>2958.2278481012672</v>
      </c>
      <c r="AL27" s="185">
        <f t="shared" ref="AL27" si="29">IFERROR(AK27/AJ27,"")</f>
        <v>493.03797468354452</v>
      </c>
      <c r="AM27" s="182">
        <f>RANK(AL27, AL$27:AL$41)</f>
        <v>1</v>
      </c>
      <c r="AN27" s="558">
        <f>AVERAGE(AL27:AL41)</f>
        <v>493.03797468354452</v>
      </c>
      <c r="AO27" s="188">
        <v>6</v>
      </c>
      <c r="AP27" s="188">
        <v>2958.9503280224876</v>
      </c>
      <c r="AQ27" s="185">
        <f t="shared" ref="AQ27" si="30">IFERROR(AP27/AO27,"")</f>
        <v>493.15838800374792</v>
      </c>
      <c r="AR27" s="182">
        <f>RANK(AQ27, AQ$27:AQ$41)</f>
        <v>1</v>
      </c>
      <c r="AS27" s="558">
        <f>AVERAGE(AQ27:AQ41)</f>
        <v>493.15838800374792</v>
      </c>
      <c r="AT27" s="188">
        <v>6</v>
      </c>
      <c r="AU27" s="188">
        <v>2958.987341772156</v>
      </c>
      <c r="AV27" s="185">
        <f t="shared" ref="AV27" si="31">IFERROR(AU27/AT27,"")</f>
        <v>493.16455696202598</v>
      </c>
      <c r="AW27" s="182">
        <f>RANK(AV27, AV$27:AV$41)</f>
        <v>1</v>
      </c>
      <c r="AX27" s="558">
        <f>AVERAGE(AV27:AV41)</f>
        <v>493.16455696202598</v>
      </c>
    </row>
    <row r="28" spans="2:50" ht="14.25" customHeight="1">
      <c r="B28" s="530"/>
      <c r="C28" s="180">
        <v>2</v>
      </c>
      <c r="D28" s="183"/>
      <c r="E28" s="180"/>
      <c r="F28" s="180"/>
      <c r="G28" s="185"/>
      <c r="H28" s="558"/>
      <c r="I28" s="186"/>
      <c r="J28" s="186"/>
      <c r="K28" s="187"/>
      <c r="L28" s="559"/>
      <c r="M28" s="186"/>
      <c r="N28" s="530"/>
      <c r="O28" s="530"/>
      <c r="P28" s="188"/>
      <c r="Q28" s="188"/>
      <c r="R28" s="185"/>
      <c r="S28" s="182"/>
      <c r="T28" s="558"/>
      <c r="U28" s="188"/>
      <c r="V28" s="188"/>
      <c r="W28" s="185"/>
      <c r="X28" s="182"/>
      <c r="Y28" s="558"/>
      <c r="Z28" s="188"/>
      <c r="AA28" s="188"/>
      <c r="AB28" s="185"/>
      <c r="AC28" s="182"/>
      <c r="AD28" s="558"/>
      <c r="AE28" s="188"/>
      <c r="AF28" s="188"/>
      <c r="AG28" s="185"/>
      <c r="AH28" s="182"/>
      <c r="AI28" s="558"/>
      <c r="AJ28" s="188"/>
      <c r="AK28" s="188"/>
      <c r="AL28" s="185"/>
      <c r="AM28" s="182"/>
      <c r="AN28" s="558"/>
      <c r="AO28" s="188"/>
      <c r="AP28" s="188"/>
      <c r="AQ28" s="185"/>
      <c r="AR28" s="182"/>
      <c r="AS28" s="558"/>
      <c r="AT28" s="188"/>
      <c r="AU28" s="188"/>
      <c r="AV28" s="185"/>
      <c r="AW28" s="182"/>
      <c r="AX28" s="558"/>
    </row>
    <row r="29" spans="2:50" ht="14.25" customHeight="1">
      <c r="B29" s="530"/>
      <c r="C29" s="180">
        <v>3</v>
      </c>
      <c r="D29" s="183"/>
      <c r="E29" s="180"/>
      <c r="F29" s="180"/>
      <c r="G29" s="185"/>
      <c r="H29" s="558"/>
      <c r="I29" s="186"/>
      <c r="J29" s="186"/>
      <c r="K29" s="187"/>
      <c r="L29" s="559"/>
      <c r="M29" s="186"/>
      <c r="N29" s="530"/>
      <c r="O29" s="530"/>
      <c r="P29" s="188"/>
      <c r="Q29" s="188"/>
      <c r="R29" s="185"/>
      <c r="S29" s="182"/>
      <c r="T29" s="558"/>
      <c r="U29" s="188"/>
      <c r="V29" s="188"/>
      <c r="W29" s="185"/>
      <c r="X29" s="182"/>
      <c r="Y29" s="558"/>
      <c r="Z29" s="188"/>
      <c r="AA29" s="188"/>
      <c r="AB29" s="185"/>
      <c r="AC29" s="182"/>
      <c r="AD29" s="558"/>
      <c r="AE29" s="188"/>
      <c r="AF29" s="188"/>
      <c r="AG29" s="185"/>
      <c r="AH29" s="182"/>
      <c r="AI29" s="558"/>
      <c r="AJ29" s="188"/>
      <c r="AK29" s="188"/>
      <c r="AL29" s="185"/>
      <c r="AM29" s="182"/>
      <c r="AN29" s="558"/>
      <c r="AO29" s="188"/>
      <c r="AP29" s="188"/>
      <c r="AQ29" s="185"/>
      <c r="AR29" s="182"/>
      <c r="AS29" s="558"/>
      <c r="AT29" s="188"/>
      <c r="AU29" s="188"/>
      <c r="AV29" s="185"/>
      <c r="AW29" s="182"/>
      <c r="AX29" s="558"/>
    </row>
    <row r="30" spans="2:50" ht="14.25" customHeight="1">
      <c r="B30" s="530"/>
      <c r="C30" s="180">
        <v>4</v>
      </c>
      <c r="D30" s="183"/>
      <c r="E30" s="180"/>
      <c r="F30" s="180"/>
      <c r="G30" s="185"/>
      <c r="H30" s="558"/>
      <c r="I30" s="186"/>
      <c r="J30" s="186"/>
      <c r="K30" s="187"/>
      <c r="L30" s="559"/>
      <c r="M30" s="186"/>
      <c r="N30" s="530"/>
      <c r="O30" s="530"/>
      <c r="P30" s="188"/>
      <c r="Q30" s="188"/>
      <c r="R30" s="185"/>
      <c r="S30" s="182"/>
      <c r="T30" s="558"/>
      <c r="U30" s="188"/>
      <c r="V30" s="188"/>
      <c r="W30" s="185"/>
      <c r="X30" s="182"/>
      <c r="Y30" s="558"/>
      <c r="Z30" s="188"/>
      <c r="AA30" s="188"/>
      <c r="AB30" s="185"/>
      <c r="AC30" s="182"/>
      <c r="AD30" s="558"/>
      <c r="AE30" s="188"/>
      <c r="AF30" s="188"/>
      <c r="AG30" s="185"/>
      <c r="AH30" s="182"/>
      <c r="AI30" s="558"/>
      <c r="AJ30" s="188"/>
      <c r="AK30" s="188"/>
      <c r="AL30" s="185"/>
      <c r="AM30" s="182"/>
      <c r="AN30" s="558"/>
      <c r="AO30" s="188"/>
      <c r="AP30" s="188"/>
      <c r="AQ30" s="185"/>
      <c r="AR30" s="182"/>
      <c r="AS30" s="558"/>
      <c r="AT30" s="188"/>
      <c r="AU30" s="188"/>
      <c r="AV30" s="185"/>
      <c r="AW30" s="182"/>
      <c r="AX30" s="558"/>
    </row>
    <row r="31" spans="2:50" ht="14.25" customHeight="1">
      <c r="B31" s="530"/>
      <c r="C31" s="180">
        <v>5</v>
      </c>
      <c r="D31" s="183"/>
      <c r="E31" s="180"/>
      <c r="F31" s="180"/>
      <c r="G31" s="185"/>
      <c r="H31" s="558"/>
      <c r="I31" s="186"/>
      <c r="J31" s="186"/>
      <c r="K31" s="187"/>
      <c r="L31" s="559"/>
      <c r="M31" s="186"/>
      <c r="N31" s="530"/>
      <c r="O31" s="530"/>
      <c r="P31" s="188"/>
      <c r="Q31" s="188"/>
      <c r="R31" s="185"/>
      <c r="S31" s="182"/>
      <c r="T31" s="558"/>
      <c r="U31" s="188"/>
      <c r="V31" s="188"/>
      <c r="W31" s="185"/>
      <c r="X31" s="182"/>
      <c r="Y31" s="558"/>
      <c r="Z31" s="188"/>
      <c r="AA31" s="188"/>
      <c r="AB31" s="185"/>
      <c r="AC31" s="182"/>
      <c r="AD31" s="558"/>
      <c r="AE31" s="188"/>
      <c r="AF31" s="188"/>
      <c r="AG31" s="185"/>
      <c r="AH31" s="182"/>
      <c r="AI31" s="558"/>
      <c r="AJ31" s="188"/>
      <c r="AK31" s="188"/>
      <c r="AL31" s="185"/>
      <c r="AM31" s="182"/>
      <c r="AN31" s="558"/>
      <c r="AO31" s="188"/>
      <c r="AP31" s="188"/>
      <c r="AQ31" s="185"/>
      <c r="AR31" s="182"/>
      <c r="AS31" s="558"/>
      <c r="AT31" s="188"/>
      <c r="AU31" s="188"/>
      <c r="AV31" s="185"/>
      <c r="AW31" s="182"/>
      <c r="AX31" s="558"/>
    </row>
    <row r="32" spans="2:50" ht="14.25" customHeight="1">
      <c r="B32" s="530"/>
      <c r="C32" s="180">
        <v>6</v>
      </c>
      <c r="D32" s="183"/>
      <c r="E32" s="180"/>
      <c r="F32" s="180"/>
      <c r="G32" s="185"/>
      <c r="H32" s="558"/>
      <c r="I32" s="186"/>
      <c r="J32" s="186"/>
      <c r="K32" s="187"/>
      <c r="L32" s="559"/>
      <c r="M32" s="186"/>
      <c r="N32" s="530"/>
      <c r="O32" s="530"/>
      <c r="P32" s="188"/>
      <c r="Q32" s="188"/>
      <c r="R32" s="185"/>
      <c r="S32" s="182"/>
      <c r="T32" s="558"/>
      <c r="U32" s="188"/>
      <c r="V32" s="188"/>
      <c r="W32" s="185"/>
      <c r="X32" s="182"/>
      <c r="Y32" s="558"/>
      <c r="Z32" s="188"/>
      <c r="AA32" s="188"/>
      <c r="AB32" s="185"/>
      <c r="AC32" s="182"/>
      <c r="AD32" s="558"/>
      <c r="AE32" s="188"/>
      <c r="AF32" s="188"/>
      <c r="AG32" s="185"/>
      <c r="AH32" s="182"/>
      <c r="AI32" s="558"/>
      <c r="AJ32" s="188"/>
      <c r="AK32" s="188"/>
      <c r="AL32" s="185"/>
      <c r="AM32" s="182"/>
      <c r="AN32" s="558"/>
      <c r="AO32" s="188"/>
      <c r="AP32" s="188"/>
      <c r="AQ32" s="185"/>
      <c r="AR32" s="182"/>
      <c r="AS32" s="558"/>
      <c r="AT32" s="188"/>
      <c r="AU32" s="188"/>
      <c r="AV32" s="185"/>
      <c r="AW32" s="182"/>
      <c r="AX32" s="558"/>
    </row>
    <row r="33" spans="2:50" ht="14.25" customHeight="1">
      <c r="B33" s="530"/>
      <c r="C33" s="180">
        <v>7</v>
      </c>
      <c r="D33" s="183"/>
      <c r="E33" s="180"/>
      <c r="F33" s="180"/>
      <c r="G33" s="185"/>
      <c r="H33" s="558"/>
      <c r="I33" s="186"/>
      <c r="J33" s="186"/>
      <c r="K33" s="187"/>
      <c r="L33" s="559"/>
      <c r="M33" s="186"/>
      <c r="N33" s="530"/>
      <c r="O33" s="530"/>
      <c r="P33" s="188"/>
      <c r="Q33" s="188"/>
      <c r="R33" s="185"/>
      <c r="S33" s="182"/>
      <c r="T33" s="558"/>
      <c r="U33" s="188"/>
      <c r="V33" s="188"/>
      <c r="W33" s="185"/>
      <c r="X33" s="182"/>
      <c r="Y33" s="558"/>
      <c r="Z33" s="188"/>
      <c r="AA33" s="188"/>
      <c r="AB33" s="185"/>
      <c r="AC33" s="182"/>
      <c r="AD33" s="558"/>
      <c r="AE33" s="188"/>
      <c r="AF33" s="188"/>
      <c r="AG33" s="185"/>
      <c r="AH33" s="182"/>
      <c r="AI33" s="558"/>
      <c r="AJ33" s="188"/>
      <c r="AK33" s="188"/>
      <c r="AL33" s="185"/>
      <c r="AM33" s="182"/>
      <c r="AN33" s="558"/>
      <c r="AO33" s="188"/>
      <c r="AP33" s="188"/>
      <c r="AQ33" s="185"/>
      <c r="AR33" s="182"/>
      <c r="AS33" s="558"/>
      <c r="AT33" s="188"/>
      <c r="AU33" s="188"/>
      <c r="AV33" s="185"/>
      <c r="AW33" s="182"/>
      <c r="AX33" s="558"/>
    </row>
    <row r="34" spans="2:50" ht="14.25" customHeight="1">
      <c r="B34" s="530"/>
      <c r="C34" s="180">
        <v>8</v>
      </c>
      <c r="D34" s="183"/>
      <c r="E34" s="180"/>
      <c r="F34" s="180"/>
      <c r="G34" s="185"/>
      <c r="H34" s="558"/>
      <c r="I34" s="186"/>
      <c r="J34" s="186"/>
      <c r="K34" s="187"/>
      <c r="L34" s="559"/>
      <c r="M34" s="186"/>
      <c r="N34" s="530"/>
      <c r="O34" s="530"/>
      <c r="P34" s="188"/>
      <c r="Q34" s="188"/>
      <c r="R34" s="185"/>
      <c r="S34" s="182"/>
      <c r="T34" s="558"/>
      <c r="U34" s="188"/>
      <c r="V34" s="188"/>
      <c r="W34" s="185"/>
      <c r="X34" s="182"/>
      <c r="Y34" s="558"/>
      <c r="Z34" s="188"/>
      <c r="AA34" s="188"/>
      <c r="AB34" s="185"/>
      <c r="AC34" s="182"/>
      <c r="AD34" s="558"/>
      <c r="AE34" s="188"/>
      <c r="AF34" s="188"/>
      <c r="AG34" s="185"/>
      <c r="AH34" s="182"/>
      <c r="AI34" s="558"/>
      <c r="AJ34" s="188"/>
      <c r="AK34" s="188"/>
      <c r="AL34" s="185"/>
      <c r="AM34" s="182"/>
      <c r="AN34" s="558"/>
      <c r="AO34" s="188"/>
      <c r="AP34" s="188"/>
      <c r="AQ34" s="185"/>
      <c r="AR34" s="182"/>
      <c r="AS34" s="558"/>
      <c r="AT34" s="188"/>
      <c r="AU34" s="188"/>
      <c r="AV34" s="185"/>
      <c r="AW34" s="182"/>
      <c r="AX34" s="558"/>
    </row>
    <row r="35" spans="2:50" ht="14.25" customHeight="1">
      <c r="B35" s="530"/>
      <c r="C35" s="180">
        <v>9</v>
      </c>
      <c r="D35" s="183"/>
      <c r="E35" s="180"/>
      <c r="F35" s="180"/>
      <c r="G35" s="185"/>
      <c r="H35" s="558"/>
      <c r="I35" s="186"/>
      <c r="J35" s="186"/>
      <c r="K35" s="187"/>
      <c r="L35" s="559"/>
      <c r="M35" s="186"/>
      <c r="N35" s="530"/>
      <c r="O35" s="530"/>
      <c r="P35" s="188"/>
      <c r="Q35" s="188"/>
      <c r="R35" s="185"/>
      <c r="S35" s="182"/>
      <c r="T35" s="558"/>
      <c r="U35" s="188"/>
      <c r="V35" s="188"/>
      <c r="W35" s="185"/>
      <c r="X35" s="182"/>
      <c r="Y35" s="558"/>
      <c r="Z35" s="188"/>
      <c r="AA35" s="188"/>
      <c r="AB35" s="185"/>
      <c r="AC35" s="182"/>
      <c r="AD35" s="558"/>
      <c r="AE35" s="188"/>
      <c r="AF35" s="188"/>
      <c r="AG35" s="185"/>
      <c r="AH35" s="182"/>
      <c r="AI35" s="558"/>
      <c r="AJ35" s="188"/>
      <c r="AK35" s="188"/>
      <c r="AL35" s="185"/>
      <c r="AM35" s="182"/>
      <c r="AN35" s="558"/>
      <c r="AO35" s="188"/>
      <c r="AP35" s="188"/>
      <c r="AQ35" s="185"/>
      <c r="AR35" s="182"/>
      <c r="AS35" s="558"/>
      <c r="AT35" s="188"/>
      <c r="AU35" s="188"/>
      <c r="AV35" s="185"/>
      <c r="AW35" s="182"/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32">U42+1</f>
        <v>46065</v>
      </c>
      <c r="AA42" s="597"/>
      <c r="AB42" s="597"/>
      <c r="AC42" s="597"/>
      <c r="AD42" s="597"/>
      <c r="AE42" s="598">
        <f t="shared" ref="AE42" si="33">Z42+1</f>
        <v>46066</v>
      </c>
      <c r="AF42" s="599"/>
      <c r="AG42" s="599"/>
      <c r="AH42" s="599"/>
      <c r="AI42" s="599"/>
      <c r="AJ42" s="588">
        <f t="shared" ref="AJ42" si="34">AE42+1</f>
        <v>46067</v>
      </c>
      <c r="AK42" s="589"/>
      <c r="AL42" s="589"/>
      <c r="AM42" s="589"/>
      <c r="AN42" s="590"/>
      <c r="AO42" s="598">
        <f t="shared" ref="AO42" si="35">AJ42+1</f>
        <v>46068</v>
      </c>
      <c r="AP42" s="599"/>
      <c r="AQ42" s="599"/>
      <c r="AR42" s="599"/>
      <c r="AS42" s="599"/>
      <c r="AT42" s="588">
        <f t="shared" ref="AT42" si="36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37">Z42</f>
        <v>46065</v>
      </c>
      <c r="AA43" s="591"/>
      <c r="AB43" s="591"/>
      <c r="AC43" s="591"/>
      <c r="AD43" s="591"/>
      <c r="AE43" s="592">
        <f t="shared" ref="AE43" si="38">AE42</f>
        <v>46066</v>
      </c>
      <c r="AF43" s="592"/>
      <c r="AG43" s="592"/>
      <c r="AH43" s="592"/>
      <c r="AI43" s="592"/>
      <c r="AJ43" s="593">
        <f t="shared" ref="AJ43" si="39">AJ42</f>
        <v>46067</v>
      </c>
      <c r="AK43" s="594"/>
      <c r="AL43" s="594"/>
      <c r="AM43" s="594"/>
      <c r="AN43" s="595"/>
      <c r="AO43" s="592">
        <f t="shared" ref="AO43" si="40">AO42</f>
        <v>46068</v>
      </c>
      <c r="AP43" s="592"/>
      <c r="AQ43" s="592"/>
      <c r="AR43" s="592"/>
      <c r="AS43" s="592"/>
      <c r="AT43" s="593">
        <f t="shared" ref="AT43" si="41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530" t="s">
        <v>194</v>
      </c>
      <c r="C47" s="180">
        <v>1</v>
      </c>
      <c r="D47" s="183" t="s">
        <v>195</v>
      </c>
      <c r="E47" s="180">
        <v>6</v>
      </c>
      <c r="F47" s="180">
        <v>3273</v>
      </c>
      <c r="G47" s="185">
        <f t="shared" ref="G47" si="42">F47/E47</f>
        <v>545.5</v>
      </c>
      <c r="H47" s="558">
        <f>AVERAGE(G47:G61)</f>
        <v>545.5</v>
      </c>
      <c r="I47" s="186">
        <f>AVERAGE(P47,U47,Z47,AE47,AJ47,AO47,AT47)</f>
        <v>6</v>
      </c>
      <c r="J47" s="186">
        <f>AVERAGE(Q47,V47,AA47,AF47,AK47,AP47,AU47)</f>
        <v>2958.2768585033291</v>
      </c>
      <c r="K47" s="187">
        <f>AVERAGE(R47,W47,AB47,AG47,AL47,AQ47,AV47)</f>
        <v>493.04614308388813</v>
      </c>
      <c r="L47" s="559">
        <f>IFERROR(AVERAGE(K47:K61),"-")</f>
        <v>493.04614308388813</v>
      </c>
      <c r="M47" s="186" t="e">
        <f>RANK(K47, J$35:$J$49)</f>
        <v>#N/A</v>
      </c>
      <c r="N47" s="530"/>
      <c r="O47" s="530"/>
      <c r="P47" s="188">
        <v>6</v>
      </c>
      <c r="Q47" s="188">
        <v>2959.4525235243827</v>
      </c>
      <c r="R47" s="185">
        <f>IFERROR(Q47/P47,"")</f>
        <v>493.24208725406379</v>
      </c>
      <c r="S47" s="182" t="e">
        <f>RANK(R47, R$7:R$21)</f>
        <v>#N/A</v>
      </c>
      <c r="T47" s="558">
        <f>AVERAGE(R47:R61)</f>
        <v>493.24208725406379</v>
      </c>
      <c r="U47" s="188">
        <v>6</v>
      </c>
      <c r="V47" s="188">
        <v>2958.0936729663185</v>
      </c>
      <c r="W47" s="185">
        <f t="shared" ref="W47" si="43">IFERROR(V47/U47,"")</f>
        <v>493.01561216105307</v>
      </c>
      <c r="X47" s="182" t="e">
        <f>RANK(W47, W$7:W$21)</f>
        <v>#N/A</v>
      </c>
      <c r="Y47" s="558">
        <f>AVERAGE(W47:W61)</f>
        <v>493.01561216105307</v>
      </c>
      <c r="Z47" s="188">
        <v>6</v>
      </c>
      <c r="AA47" s="188">
        <v>2959.6972563860008</v>
      </c>
      <c r="AB47" s="185">
        <f t="shared" ref="AB47" si="44">IFERROR(AA47/Z47,"")</f>
        <v>493.28287606433349</v>
      </c>
      <c r="AC47" s="182" t="e">
        <f>RANK(AB47, AB$7:AB$21)</f>
        <v>#N/A</v>
      </c>
      <c r="AD47" s="558">
        <f>AVERAGE(AB47:AB61)</f>
        <v>493.28287606433349</v>
      </c>
      <c r="AE47" s="188">
        <v>6</v>
      </c>
      <c r="AF47" s="188">
        <v>2958.7044534412926</v>
      </c>
      <c r="AG47" s="185">
        <f>IFERROR(AF47/AE47,"")</f>
        <v>493.11740890688208</v>
      </c>
      <c r="AH47" s="182" t="e">
        <f>RANK(AG47, AG$7:AG$21)</f>
        <v>#N/A</v>
      </c>
      <c r="AI47" s="558">
        <f>AVERAGE(AG47:AG61)</f>
        <v>493.11740890688208</v>
      </c>
      <c r="AJ47" s="188">
        <v>6</v>
      </c>
      <c r="AK47" s="188">
        <v>2958.341968911915</v>
      </c>
      <c r="AL47" s="185">
        <f t="shared" ref="AL47" si="45">IFERROR(AK47/AJ47,"")</f>
        <v>493.05699481865253</v>
      </c>
      <c r="AM47" s="182" t="e">
        <f>RANK(AL47, AL$7:AL$21)</f>
        <v>#N/A</v>
      </c>
      <c r="AN47" s="558">
        <f>AVERAGE(AL47:AL61)</f>
        <v>493.05699481865253</v>
      </c>
      <c r="AO47" s="188">
        <v>6</v>
      </c>
      <c r="AP47" s="188">
        <v>2956.3501849568474</v>
      </c>
      <c r="AQ47" s="185">
        <f t="shared" ref="AQ47" si="46">IFERROR(AP47/AO47,"")</f>
        <v>492.72503082614122</v>
      </c>
      <c r="AR47" s="182" t="e">
        <f>RANK(AQ47, AQ$7:AQ$21)</f>
        <v>#N/A</v>
      </c>
      <c r="AS47" s="558">
        <f>AVERAGE(AQ47:AQ61)</f>
        <v>492.72503082614122</v>
      </c>
      <c r="AT47" s="188">
        <v>6</v>
      </c>
      <c r="AU47" s="188">
        <v>2957.2979493365442</v>
      </c>
      <c r="AV47" s="185">
        <f t="shared" ref="AV47" si="47">IFERROR(AU47/AT47,"")</f>
        <v>492.8829915560907</v>
      </c>
      <c r="AW47" s="182" t="e">
        <f>RANK(AV47, AV$7:AV$21)</f>
        <v>#N/A</v>
      </c>
      <c r="AX47" s="558">
        <f>AVERAGE(AV47:AV61)</f>
        <v>492.8829915560907</v>
      </c>
    </row>
    <row r="48" spans="2:50" ht="14.25" customHeight="1">
      <c r="B48" s="530"/>
      <c r="C48" s="180">
        <v>2</v>
      </c>
      <c r="D48" s="183"/>
      <c r="E48" s="180"/>
      <c r="F48" s="180"/>
      <c r="G48" s="185"/>
      <c r="H48" s="558"/>
      <c r="I48" s="186"/>
      <c r="J48" s="186"/>
      <c r="K48" s="187"/>
      <c r="L48" s="559"/>
      <c r="M48" s="186"/>
      <c r="N48" s="530"/>
      <c r="O48" s="530"/>
      <c r="P48" s="188"/>
      <c r="Q48" s="188"/>
      <c r="R48" s="185"/>
      <c r="S48" s="182"/>
      <c r="T48" s="558"/>
      <c r="U48" s="188"/>
      <c r="V48" s="188"/>
      <c r="W48" s="185"/>
      <c r="X48" s="182"/>
      <c r="Y48" s="558"/>
      <c r="Z48" s="188"/>
      <c r="AA48" s="188"/>
      <c r="AB48" s="185"/>
      <c r="AC48" s="182"/>
      <c r="AD48" s="558"/>
      <c r="AE48" s="188"/>
      <c r="AF48" s="188"/>
      <c r="AG48" s="185"/>
      <c r="AH48" s="182"/>
      <c r="AI48" s="558"/>
      <c r="AJ48" s="188"/>
      <c r="AK48" s="188"/>
      <c r="AL48" s="185"/>
      <c r="AM48" s="182"/>
      <c r="AN48" s="558"/>
      <c r="AO48" s="188"/>
      <c r="AP48" s="188"/>
      <c r="AQ48" s="185"/>
      <c r="AR48" s="182"/>
      <c r="AS48" s="558"/>
      <c r="AT48" s="188"/>
      <c r="AU48" s="188"/>
      <c r="AV48" s="185"/>
      <c r="AW48" s="182"/>
      <c r="AX48" s="558"/>
    </row>
    <row r="49" spans="2:50" ht="14.25" customHeight="1">
      <c r="B49" s="530"/>
      <c r="C49" s="180">
        <v>3</v>
      </c>
      <c r="D49" s="183"/>
      <c r="E49" s="180"/>
      <c r="F49" s="180"/>
      <c r="G49" s="185"/>
      <c r="H49" s="558"/>
      <c r="I49" s="186"/>
      <c r="J49" s="186"/>
      <c r="K49" s="187"/>
      <c r="L49" s="559"/>
      <c r="M49" s="186"/>
      <c r="N49" s="530"/>
      <c r="O49" s="530"/>
      <c r="P49" s="188"/>
      <c r="Q49" s="188"/>
      <c r="R49" s="185"/>
      <c r="S49" s="182"/>
      <c r="T49" s="558"/>
      <c r="U49" s="188"/>
      <c r="V49" s="188"/>
      <c r="W49" s="185"/>
      <c r="X49" s="182"/>
      <c r="Y49" s="558"/>
      <c r="Z49" s="188"/>
      <c r="AA49" s="188"/>
      <c r="AB49" s="185"/>
      <c r="AC49" s="182"/>
      <c r="AD49" s="558"/>
      <c r="AE49" s="188"/>
      <c r="AF49" s="188"/>
      <c r="AG49" s="185"/>
      <c r="AH49" s="182"/>
      <c r="AI49" s="558"/>
      <c r="AJ49" s="188"/>
      <c r="AK49" s="188"/>
      <c r="AL49" s="185"/>
      <c r="AM49" s="182"/>
      <c r="AN49" s="558"/>
      <c r="AO49" s="188"/>
      <c r="AP49" s="188"/>
      <c r="AQ49" s="185"/>
      <c r="AR49" s="182"/>
      <c r="AS49" s="558"/>
      <c r="AT49" s="188"/>
      <c r="AU49" s="188"/>
      <c r="AV49" s="185"/>
      <c r="AW49" s="182"/>
      <c r="AX49" s="558"/>
    </row>
    <row r="50" spans="2:50" ht="14.25" customHeight="1">
      <c r="B50" s="530"/>
      <c r="C50" s="180">
        <v>4</v>
      </c>
      <c r="D50" s="183"/>
      <c r="E50" s="180"/>
      <c r="F50" s="180"/>
      <c r="G50" s="185"/>
      <c r="H50" s="558"/>
      <c r="I50" s="186"/>
      <c r="J50" s="186"/>
      <c r="K50" s="187"/>
      <c r="L50" s="559"/>
      <c r="M50" s="186"/>
      <c r="N50" s="530"/>
      <c r="O50" s="530"/>
      <c r="P50" s="188"/>
      <c r="Q50" s="188"/>
      <c r="R50" s="185"/>
      <c r="S50" s="182"/>
      <c r="T50" s="558"/>
      <c r="U50" s="188"/>
      <c r="V50" s="188"/>
      <c r="W50" s="185"/>
      <c r="X50" s="182"/>
      <c r="Y50" s="558"/>
      <c r="Z50" s="188"/>
      <c r="AA50" s="188"/>
      <c r="AB50" s="185"/>
      <c r="AC50" s="182"/>
      <c r="AD50" s="558"/>
      <c r="AE50" s="188"/>
      <c r="AF50" s="188"/>
      <c r="AG50" s="185"/>
      <c r="AH50" s="182"/>
      <c r="AI50" s="558"/>
      <c r="AJ50" s="188"/>
      <c r="AK50" s="188"/>
      <c r="AL50" s="185"/>
      <c r="AM50" s="182"/>
      <c r="AN50" s="558"/>
      <c r="AO50" s="188"/>
      <c r="AP50" s="188"/>
      <c r="AQ50" s="185"/>
      <c r="AR50" s="182"/>
      <c r="AS50" s="558"/>
      <c r="AT50" s="188"/>
      <c r="AU50" s="188"/>
      <c r="AV50" s="185"/>
      <c r="AW50" s="182"/>
      <c r="AX50" s="558"/>
    </row>
    <row r="51" spans="2:50" ht="14.25" customHeight="1">
      <c r="B51" s="530"/>
      <c r="C51" s="180">
        <v>5</v>
      </c>
      <c r="D51" s="183"/>
      <c r="E51" s="180"/>
      <c r="F51" s="180"/>
      <c r="G51" s="185"/>
      <c r="H51" s="558"/>
      <c r="I51" s="186"/>
      <c r="J51" s="186"/>
      <c r="K51" s="187"/>
      <c r="L51" s="559"/>
      <c r="M51" s="186"/>
      <c r="N51" s="530"/>
      <c r="O51" s="530"/>
      <c r="P51" s="188"/>
      <c r="Q51" s="188"/>
      <c r="R51" s="185"/>
      <c r="S51" s="182"/>
      <c r="T51" s="558"/>
      <c r="U51" s="188"/>
      <c r="V51" s="188"/>
      <c r="W51" s="185"/>
      <c r="X51" s="182"/>
      <c r="Y51" s="558"/>
      <c r="Z51" s="188"/>
      <c r="AA51" s="188"/>
      <c r="AB51" s="185"/>
      <c r="AC51" s="182"/>
      <c r="AD51" s="558"/>
      <c r="AE51" s="188"/>
      <c r="AF51" s="188"/>
      <c r="AG51" s="185"/>
      <c r="AH51" s="182"/>
      <c r="AI51" s="558"/>
      <c r="AJ51" s="188"/>
      <c r="AK51" s="188"/>
      <c r="AL51" s="185"/>
      <c r="AM51" s="182"/>
      <c r="AN51" s="558"/>
      <c r="AO51" s="188"/>
      <c r="AP51" s="188"/>
      <c r="AQ51" s="185"/>
      <c r="AR51" s="182"/>
      <c r="AS51" s="558"/>
      <c r="AT51" s="188"/>
      <c r="AU51" s="188"/>
      <c r="AV51" s="185"/>
      <c r="AW51" s="182"/>
      <c r="AX51" s="558"/>
    </row>
    <row r="52" spans="2:50" ht="14.25" customHeight="1">
      <c r="B52" s="530"/>
      <c r="C52" s="180">
        <v>6</v>
      </c>
      <c r="D52" s="183"/>
      <c r="E52" s="180"/>
      <c r="F52" s="180"/>
      <c r="G52" s="185"/>
      <c r="H52" s="558"/>
      <c r="I52" s="186"/>
      <c r="J52" s="186"/>
      <c r="K52" s="187"/>
      <c r="L52" s="559"/>
      <c r="M52" s="186"/>
      <c r="N52" s="530"/>
      <c r="O52" s="530"/>
      <c r="P52" s="188"/>
      <c r="Q52" s="188"/>
      <c r="R52" s="185"/>
      <c r="S52" s="182"/>
      <c r="T52" s="558"/>
      <c r="U52" s="188"/>
      <c r="V52" s="188"/>
      <c r="W52" s="185"/>
      <c r="X52" s="182"/>
      <c r="Y52" s="558"/>
      <c r="Z52" s="188"/>
      <c r="AA52" s="188"/>
      <c r="AB52" s="185"/>
      <c r="AC52" s="182"/>
      <c r="AD52" s="558"/>
      <c r="AE52" s="188"/>
      <c r="AF52" s="188"/>
      <c r="AG52" s="185"/>
      <c r="AH52" s="182"/>
      <c r="AI52" s="558"/>
      <c r="AJ52" s="188"/>
      <c r="AK52" s="188"/>
      <c r="AL52" s="185"/>
      <c r="AM52" s="182"/>
      <c r="AN52" s="558"/>
      <c r="AO52" s="188"/>
      <c r="AP52" s="188"/>
      <c r="AQ52" s="185"/>
      <c r="AR52" s="182"/>
      <c r="AS52" s="558"/>
      <c r="AT52" s="188"/>
      <c r="AU52" s="188"/>
      <c r="AV52" s="185"/>
      <c r="AW52" s="182"/>
      <c r="AX52" s="558"/>
    </row>
    <row r="53" spans="2:50" ht="14.25" customHeight="1">
      <c r="B53" s="530"/>
      <c r="C53" s="180">
        <v>7</v>
      </c>
      <c r="D53" s="183"/>
      <c r="E53" s="180"/>
      <c r="F53" s="180"/>
      <c r="G53" s="185"/>
      <c r="H53" s="558"/>
      <c r="I53" s="186"/>
      <c r="J53" s="186"/>
      <c r="K53" s="187"/>
      <c r="L53" s="559"/>
      <c r="M53" s="186"/>
      <c r="N53" s="530"/>
      <c r="O53" s="530"/>
      <c r="P53" s="188"/>
      <c r="Q53" s="188"/>
      <c r="R53" s="185"/>
      <c r="S53" s="182"/>
      <c r="T53" s="558"/>
      <c r="U53" s="188"/>
      <c r="V53" s="188"/>
      <c r="W53" s="185"/>
      <c r="X53" s="182"/>
      <c r="Y53" s="558"/>
      <c r="Z53" s="188"/>
      <c r="AA53" s="188"/>
      <c r="AB53" s="185"/>
      <c r="AC53" s="182"/>
      <c r="AD53" s="558"/>
      <c r="AE53" s="188"/>
      <c r="AF53" s="188"/>
      <c r="AG53" s="185"/>
      <c r="AH53" s="182"/>
      <c r="AI53" s="558"/>
      <c r="AJ53" s="188"/>
      <c r="AK53" s="188"/>
      <c r="AL53" s="185"/>
      <c r="AM53" s="182"/>
      <c r="AN53" s="558"/>
      <c r="AO53" s="188"/>
      <c r="AP53" s="188"/>
      <c r="AQ53" s="185"/>
      <c r="AR53" s="182"/>
      <c r="AS53" s="558"/>
      <c r="AT53" s="188"/>
      <c r="AU53" s="188"/>
      <c r="AV53" s="185"/>
      <c r="AW53" s="182"/>
      <c r="AX53" s="558"/>
    </row>
    <row r="54" spans="2:50" ht="14.25" customHeight="1">
      <c r="B54" s="530"/>
      <c r="C54" s="180">
        <v>8</v>
      </c>
      <c r="D54" s="183"/>
      <c r="E54" s="180"/>
      <c r="F54" s="180"/>
      <c r="G54" s="185"/>
      <c r="H54" s="558"/>
      <c r="I54" s="186"/>
      <c r="J54" s="186"/>
      <c r="K54" s="187"/>
      <c r="L54" s="559"/>
      <c r="M54" s="186"/>
      <c r="N54" s="530"/>
      <c r="O54" s="530"/>
      <c r="P54" s="188"/>
      <c r="Q54" s="188"/>
      <c r="R54" s="185"/>
      <c r="S54" s="182"/>
      <c r="T54" s="558"/>
      <c r="U54" s="188"/>
      <c r="V54" s="188"/>
      <c r="W54" s="185"/>
      <c r="X54" s="182"/>
      <c r="Y54" s="558"/>
      <c r="Z54" s="188"/>
      <c r="AA54" s="188"/>
      <c r="AB54" s="185"/>
      <c r="AC54" s="182"/>
      <c r="AD54" s="558"/>
      <c r="AE54" s="188"/>
      <c r="AF54" s="188"/>
      <c r="AG54" s="185"/>
      <c r="AH54" s="182"/>
      <c r="AI54" s="558"/>
      <c r="AJ54" s="188"/>
      <c r="AK54" s="188"/>
      <c r="AL54" s="185"/>
      <c r="AM54" s="182"/>
      <c r="AN54" s="558"/>
      <c r="AO54" s="188"/>
      <c r="AP54" s="188"/>
      <c r="AQ54" s="185"/>
      <c r="AR54" s="182"/>
      <c r="AS54" s="558"/>
      <c r="AT54" s="188"/>
      <c r="AU54" s="188"/>
      <c r="AV54" s="185"/>
      <c r="AW54" s="182"/>
      <c r="AX54" s="558"/>
    </row>
    <row r="55" spans="2:50" ht="14.25" customHeight="1">
      <c r="B55" s="530"/>
      <c r="C55" s="180">
        <v>9</v>
      </c>
      <c r="D55" s="183"/>
      <c r="E55" s="180"/>
      <c r="F55" s="180"/>
      <c r="G55" s="185"/>
      <c r="H55" s="558"/>
      <c r="I55" s="186"/>
      <c r="J55" s="186"/>
      <c r="K55" s="187"/>
      <c r="L55" s="559"/>
      <c r="M55" s="186"/>
      <c r="N55" s="530"/>
      <c r="O55" s="530"/>
      <c r="P55" s="188"/>
      <c r="Q55" s="188"/>
      <c r="R55" s="185"/>
      <c r="S55" s="182"/>
      <c r="T55" s="558"/>
      <c r="U55" s="188"/>
      <c r="V55" s="188"/>
      <c r="W55" s="185"/>
      <c r="X55" s="182"/>
      <c r="Y55" s="558"/>
      <c r="Z55" s="188"/>
      <c r="AA55" s="188"/>
      <c r="AB55" s="185"/>
      <c r="AC55" s="182"/>
      <c r="AD55" s="558"/>
      <c r="AE55" s="188"/>
      <c r="AF55" s="188"/>
      <c r="AG55" s="185"/>
      <c r="AH55" s="182"/>
      <c r="AI55" s="558"/>
      <c r="AJ55" s="188"/>
      <c r="AK55" s="188"/>
      <c r="AL55" s="185"/>
      <c r="AM55" s="182"/>
      <c r="AN55" s="558"/>
      <c r="AO55" s="188"/>
      <c r="AP55" s="188"/>
      <c r="AQ55" s="185"/>
      <c r="AR55" s="182"/>
      <c r="AS55" s="558"/>
      <c r="AT55" s="188"/>
      <c r="AU55" s="188"/>
      <c r="AV55" s="185"/>
      <c r="AW55" s="182"/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48">U62+1</f>
        <v>46072</v>
      </c>
      <c r="AA62" s="597"/>
      <c r="AB62" s="597"/>
      <c r="AC62" s="597"/>
      <c r="AD62" s="597"/>
      <c r="AE62" s="598">
        <f t="shared" ref="AE62" si="49">Z62+1</f>
        <v>46073</v>
      </c>
      <c r="AF62" s="599"/>
      <c r="AG62" s="599"/>
      <c r="AH62" s="599"/>
      <c r="AI62" s="599"/>
      <c r="AJ62" s="588">
        <f t="shared" ref="AJ62" si="50">AE62+1</f>
        <v>46074</v>
      </c>
      <c r="AK62" s="589"/>
      <c r="AL62" s="589"/>
      <c r="AM62" s="589"/>
      <c r="AN62" s="590"/>
      <c r="AO62" s="598">
        <f t="shared" ref="AO62" si="51">AJ62+1</f>
        <v>46075</v>
      </c>
      <c r="AP62" s="599"/>
      <c r="AQ62" s="599"/>
      <c r="AR62" s="599"/>
      <c r="AS62" s="599"/>
      <c r="AT62" s="588">
        <f t="shared" ref="AT62" si="52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53">Z62</f>
        <v>46072</v>
      </c>
      <c r="AA63" s="591"/>
      <c r="AB63" s="591"/>
      <c r="AC63" s="591"/>
      <c r="AD63" s="591"/>
      <c r="AE63" s="592">
        <f t="shared" ref="AE63" si="54">AE62</f>
        <v>46073</v>
      </c>
      <c r="AF63" s="592"/>
      <c r="AG63" s="592"/>
      <c r="AH63" s="592"/>
      <c r="AI63" s="592"/>
      <c r="AJ63" s="593">
        <f t="shared" ref="AJ63" si="55">AJ62</f>
        <v>46074</v>
      </c>
      <c r="AK63" s="594"/>
      <c r="AL63" s="594"/>
      <c r="AM63" s="594"/>
      <c r="AN63" s="595"/>
      <c r="AO63" s="592">
        <f t="shared" ref="AO63" si="56">AO62</f>
        <v>46075</v>
      </c>
      <c r="AP63" s="592"/>
      <c r="AQ63" s="592"/>
      <c r="AR63" s="592"/>
      <c r="AS63" s="592"/>
      <c r="AT63" s="593">
        <f t="shared" ref="AT63" si="57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530" t="s">
        <v>194</v>
      </c>
      <c r="C67" s="180">
        <v>1</v>
      </c>
      <c r="D67" s="183" t="s">
        <v>195</v>
      </c>
      <c r="E67" s="180">
        <v>6</v>
      </c>
      <c r="F67" s="180">
        <v>3273</v>
      </c>
      <c r="G67" s="185">
        <f t="shared" ref="G67" si="58">F67/E67</f>
        <v>545.5</v>
      </c>
      <c r="H67" s="558">
        <f>AVERAGE(G67:G81)</f>
        <v>545.5</v>
      </c>
      <c r="I67" s="186">
        <f>AVERAGE(P67,U67,Z67,AE67,AJ67,AO67,AT67)</f>
        <v>6</v>
      </c>
      <c r="J67" s="186">
        <f>AVERAGE(Q67,V67,AA67,AF67,AK67,AP67,AU67)</f>
        <v>2961.1746692770562</v>
      </c>
      <c r="K67" s="187">
        <f>AVERAGE(R67,W67,AB67,AG67,AL67,AQ67,AV67)</f>
        <v>493.52911154617607</v>
      </c>
      <c r="L67" s="559">
        <f>IFERROR(AVERAGE(K67:K81),"-")</f>
        <v>493.52911154617607</v>
      </c>
      <c r="M67" s="186">
        <f>RANK(K67, K$67:$K$81)</f>
        <v>1</v>
      </c>
      <c r="N67" s="530"/>
      <c r="O67" s="530"/>
      <c r="P67" s="188">
        <v>6</v>
      </c>
      <c r="Q67" s="188">
        <v>2959.9093997734976</v>
      </c>
      <c r="R67" s="185">
        <f>IFERROR(Q67/P67,"")</f>
        <v>493.31823329558296</v>
      </c>
      <c r="S67" s="182">
        <f>RANK(R67, R$67:R$81)</f>
        <v>1</v>
      </c>
      <c r="T67" s="558">
        <f>AVERAGE(R67:R81)</f>
        <v>493.31823329558296</v>
      </c>
      <c r="U67" s="188">
        <v>6</v>
      </c>
      <c r="V67" s="188">
        <v>2960.4705882352932</v>
      </c>
      <c r="W67" s="185">
        <f t="shared" ref="W67" si="59">IFERROR(V67/U67,"")</f>
        <v>493.41176470588221</v>
      </c>
      <c r="X67" s="182">
        <f>RANK(W67, W$67:W$81)</f>
        <v>1</v>
      </c>
      <c r="Y67" s="558">
        <f>AVERAGE(W67:W81)</f>
        <v>493.41176470588221</v>
      </c>
      <c r="Z67" s="188">
        <v>6</v>
      </c>
      <c r="AA67" s="188">
        <v>2961.7612977983813</v>
      </c>
      <c r="AB67" s="185">
        <f t="shared" ref="AB67" si="60">IFERROR(AA67/Z67,"")</f>
        <v>493.62688296639686</v>
      </c>
      <c r="AC67" s="182">
        <f>RANK(AB67, AB$67:AB$81)</f>
        <v>1</v>
      </c>
      <c r="AD67" s="558">
        <f>AVERAGE(AB67:AB81)</f>
        <v>493.62688296639686</v>
      </c>
      <c r="AE67" s="188">
        <v>6</v>
      </c>
      <c r="AF67" s="188">
        <v>2960.5263157894906</v>
      </c>
      <c r="AG67" s="185">
        <f>IFERROR(AF67/AE67,"")</f>
        <v>493.42105263158174</v>
      </c>
      <c r="AH67" s="182">
        <f>RANK(AG67, AG$67:AG$81)</f>
        <v>1</v>
      </c>
      <c r="AI67" s="558">
        <f>AVERAGE(AG67:AG81)</f>
        <v>493.42105263158174</v>
      </c>
      <c r="AJ67" s="188">
        <v>6</v>
      </c>
      <c r="AK67" s="188">
        <v>2961.6777883698783</v>
      </c>
      <c r="AL67" s="185">
        <f t="shared" ref="AL67" si="61">IFERROR(AK67/AJ67,"")</f>
        <v>493.61296472831305</v>
      </c>
      <c r="AM67" s="182">
        <f>RANK(AL67, AL$67:AL$81)</f>
        <v>1</v>
      </c>
      <c r="AN67" s="558">
        <f>AVERAGE(AL67:AL81)</f>
        <v>493.61296472831305</v>
      </c>
      <c r="AO67" s="188">
        <v>6</v>
      </c>
      <c r="AP67" s="188">
        <v>2961.1829944547144</v>
      </c>
      <c r="AQ67" s="185">
        <f t="shared" ref="AQ67" si="62">IFERROR(AP67/AO67,"")</f>
        <v>493.53049907578571</v>
      </c>
      <c r="AR67" s="182">
        <f>RANK(AQ67, AQ$67:AQ$81)</f>
        <v>1</v>
      </c>
      <c r="AS67" s="558">
        <f>AVERAGE(AQ67:AQ81)</f>
        <v>493.53049907578571</v>
      </c>
      <c r="AT67" s="188">
        <v>6</v>
      </c>
      <c r="AU67" s="188">
        <v>2962.6943005181379</v>
      </c>
      <c r="AV67" s="185">
        <f t="shared" ref="AV67" si="63">IFERROR(AU67/AT67,"")</f>
        <v>493.78238341968967</v>
      </c>
      <c r="AW67" s="182">
        <f>RANK(AV67, AV$67:AV$81)</f>
        <v>1</v>
      </c>
      <c r="AX67" s="558">
        <f>AVERAGE(AV67:AV81)</f>
        <v>493.78238341968967</v>
      </c>
    </row>
    <row r="68" spans="2:50" ht="14.25" customHeight="1">
      <c r="B68" s="530"/>
      <c r="C68" s="180">
        <v>2</v>
      </c>
      <c r="D68" s="183"/>
      <c r="E68" s="180"/>
      <c r="F68" s="180"/>
      <c r="G68" s="185"/>
      <c r="H68" s="558"/>
      <c r="I68" s="186"/>
      <c r="J68" s="186"/>
      <c r="K68" s="187"/>
      <c r="L68" s="559"/>
      <c r="M68" s="186"/>
      <c r="N68" s="530"/>
      <c r="O68" s="530"/>
      <c r="P68" s="188"/>
      <c r="Q68" s="188"/>
      <c r="R68" s="185"/>
      <c r="S68" s="182"/>
      <c r="T68" s="558"/>
      <c r="U68" s="188"/>
      <c r="V68" s="188"/>
      <c r="W68" s="185"/>
      <c r="X68" s="182"/>
      <c r="Y68" s="558"/>
      <c r="Z68" s="188"/>
      <c r="AA68" s="188"/>
      <c r="AB68" s="185"/>
      <c r="AC68" s="182"/>
      <c r="AD68" s="558"/>
      <c r="AE68" s="188"/>
      <c r="AF68" s="188"/>
      <c r="AG68" s="185"/>
      <c r="AH68" s="182"/>
      <c r="AI68" s="558"/>
      <c r="AJ68" s="188"/>
      <c r="AK68" s="188"/>
      <c r="AL68" s="185"/>
      <c r="AM68" s="182"/>
      <c r="AN68" s="558"/>
      <c r="AO68" s="188"/>
      <c r="AP68" s="188"/>
      <c r="AQ68" s="185"/>
      <c r="AR68" s="182"/>
      <c r="AS68" s="558"/>
      <c r="AT68" s="188"/>
      <c r="AU68" s="188"/>
      <c r="AV68" s="185"/>
      <c r="AW68" s="182"/>
      <c r="AX68" s="558"/>
    </row>
    <row r="69" spans="2:50" ht="14.25" customHeight="1">
      <c r="B69" s="530"/>
      <c r="C69" s="180">
        <v>3</v>
      </c>
      <c r="D69" s="183"/>
      <c r="E69" s="180"/>
      <c r="F69" s="180"/>
      <c r="G69" s="185"/>
      <c r="H69" s="558"/>
      <c r="I69" s="186"/>
      <c r="J69" s="186"/>
      <c r="K69" s="187"/>
      <c r="L69" s="559"/>
      <c r="M69" s="186"/>
      <c r="N69" s="530"/>
      <c r="O69" s="530"/>
      <c r="P69" s="188"/>
      <c r="Q69" s="188"/>
      <c r="R69" s="185"/>
      <c r="S69" s="182"/>
      <c r="T69" s="558"/>
      <c r="U69" s="188"/>
      <c r="V69" s="188"/>
      <c r="W69" s="185"/>
      <c r="X69" s="182"/>
      <c r="Y69" s="558"/>
      <c r="Z69" s="188"/>
      <c r="AA69" s="188"/>
      <c r="AB69" s="185"/>
      <c r="AC69" s="182"/>
      <c r="AD69" s="558"/>
      <c r="AE69" s="188"/>
      <c r="AF69" s="188"/>
      <c r="AG69" s="185"/>
      <c r="AH69" s="182"/>
      <c r="AI69" s="558"/>
      <c r="AJ69" s="188"/>
      <c r="AK69" s="188"/>
      <c r="AL69" s="185"/>
      <c r="AM69" s="182"/>
      <c r="AN69" s="558"/>
      <c r="AO69" s="188"/>
      <c r="AP69" s="188"/>
      <c r="AQ69" s="185"/>
      <c r="AR69" s="182"/>
      <c r="AS69" s="558"/>
      <c r="AT69" s="188"/>
      <c r="AU69" s="188"/>
      <c r="AV69" s="185"/>
      <c r="AW69" s="182"/>
      <c r="AX69" s="558"/>
    </row>
    <row r="70" spans="2:50" ht="14.25" customHeight="1">
      <c r="B70" s="530"/>
      <c r="C70" s="180">
        <v>4</v>
      </c>
      <c r="D70" s="183"/>
      <c r="E70" s="180"/>
      <c r="F70" s="180"/>
      <c r="G70" s="185"/>
      <c r="H70" s="558"/>
      <c r="I70" s="186"/>
      <c r="J70" s="186"/>
      <c r="K70" s="187"/>
      <c r="L70" s="559"/>
      <c r="M70" s="186"/>
      <c r="N70" s="530"/>
      <c r="O70" s="530"/>
      <c r="P70" s="188"/>
      <c r="Q70" s="188"/>
      <c r="R70" s="185"/>
      <c r="S70" s="182"/>
      <c r="T70" s="558"/>
      <c r="U70" s="188"/>
      <c r="V70" s="188"/>
      <c r="W70" s="185"/>
      <c r="X70" s="182"/>
      <c r="Y70" s="558"/>
      <c r="Z70" s="188"/>
      <c r="AA70" s="188"/>
      <c r="AB70" s="185"/>
      <c r="AC70" s="182"/>
      <c r="AD70" s="558"/>
      <c r="AE70" s="188"/>
      <c r="AF70" s="188"/>
      <c r="AG70" s="185"/>
      <c r="AH70" s="182"/>
      <c r="AI70" s="558"/>
      <c r="AJ70" s="188"/>
      <c r="AK70" s="188"/>
      <c r="AL70" s="185"/>
      <c r="AM70" s="182"/>
      <c r="AN70" s="558"/>
      <c r="AO70" s="188"/>
      <c r="AP70" s="188"/>
      <c r="AQ70" s="185"/>
      <c r="AR70" s="182"/>
      <c r="AS70" s="558"/>
      <c r="AT70" s="188"/>
      <c r="AU70" s="188"/>
      <c r="AV70" s="185"/>
      <c r="AW70" s="182"/>
      <c r="AX70" s="558"/>
    </row>
    <row r="71" spans="2:50" ht="14.25" customHeight="1">
      <c r="B71" s="530"/>
      <c r="C71" s="180">
        <v>5</v>
      </c>
      <c r="D71" s="183"/>
      <c r="E71" s="180"/>
      <c r="F71" s="180"/>
      <c r="G71" s="185"/>
      <c r="H71" s="558"/>
      <c r="I71" s="186"/>
      <c r="J71" s="186"/>
      <c r="K71" s="187"/>
      <c r="L71" s="559"/>
      <c r="M71" s="186"/>
      <c r="N71" s="530"/>
      <c r="O71" s="530"/>
      <c r="P71" s="188"/>
      <c r="Q71" s="188"/>
      <c r="R71" s="185"/>
      <c r="S71" s="182"/>
      <c r="T71" s="558"/>
      <c r="U71" s="188"/>
      <c r="V71" s="188"/>
      <c r="W71" s="185"/>
      <c r="X71" s="182"/>
      <c r="Y71" s="558"/>
      <c r="Z71" s="188"/>
      <c r="AA71" s="188"/>
      <c r="AB71" s="185"/>
      <c r="AC71" s="182"/>
      <c r="AD71" s="558"/>
      <c r="AE71" s="188"/>
      <c r="AF71" s="188"/>
      <c r="AG71" s="185"/>
      <c r="AH71" s="182"/>
      <c r="AI71" s="558"/>
      <c r="AJ71" s="188"/>
      <c r="AK71" s="188"/>
      <c r="AL71" s="185"/>
      <c r="AM71" s="182"/>
      <c r="AN71" s="558"/>
      <c r="AO71" s="188"/>
      <c r="AP71" s="188"/>
      <c r="AQ71" s="185"/>
      <c r="AR71" s="182"/>
      <c r="AS71" s="558"/>
      <c r="AT71" s="188"/>
      <c r="AU71" s="188"/>
      <c r="AV71" s="185"/>
      <c r="AW71" s="182"/>
      <c r="AX71" s="558"/>
    </row>
    <row r="72" spans="2:50" ht="14.25" customHeight="1">
      <c r="B72" s="530"/>
      <c r="C72" s="180">
        <v>6</v>
      </c>
      <c r="D72" s="183"/>
      <c r="E72" s="180"/>
      <c r="F72" s="180"/>
      <c r="G72" s="185"/>
      <c r="H72" s="558"/>
      <c r="I72" s="186"/>
      <c r="J72" s="186"/>
      <c r="K72" s="187"/>
      <c r="L72" s="559"/>
      <c r="M72" s="186"/>
      <c r="N72" s="530"/>
      <c r="O72" s="530"/>
      <c r="P72" s="188"/>
      <c r="Q72" s="188"/>
      <c r="R72" s="185"/>
      <c r="S72" s="182"/>
      <c r="T72" s="558"/>
      <c r="U72" s="188"/>
      <c r="V72" s="188"/>
      <c r="W72" s="185"/>
      <c r="X72" s="182"/>
      <c r="Y72" s="558"/>
      <c r="Z72" s="188"/>
      <c r="AA72" s="188"/>
      <c r="AB72" s="185"/>
      <c r="AC72" s="182"/>
      <c r="AD72" s="558"/>
      <c r="AE72" s="188"/>
      <c r="AF72" s="188"/>
      <c r="AG72" s="185"/>
      <c r="AH72" s="182"/>
      <c r="AI72" s="558"/>
      <c r="AJ72" s="188"/>
      <c r="AK72" s="188"/>
      <c r="AL72" s="185"/>
      <c r="AM72" s="182"/>
      <c r="AN72" s="558"/>
      <c r="AO72" s="188"/>
      <c r="AP72" s="188"/>
      <c r="AQ72" s="185"/>
      <c r="AR72" s="182"/>
      <c r="AS72" s="558"/>
      <c r="AT72" s="188"/>
      <c r="AU72" s="188"/>
      <c r="AV72" s="185"/>
      <c r="AW72" s="182"/>
      <c r="AX72" s="558"/>
    </row>
    <row r="73" spans="2:50" ht="14.25" customHeight="1">
      <c r="B73" s="530"/>
      <c r="C73" s="180">
        <v>7</v>
      </c>
      <c r="D73" s="183"/>
      <c r="E73" s="180"/>
      <c r="F73" s="180"/>
      <c r="G73" s="185"/>
      <c r="H73" s="558"/>
      <c r="I73" s="186"/>
      <c r="J73" s="186"/>
      <c r="K73" s="187"/>
      <c r="L73" s="559"/>
      <c r="M73" s="186"/>
      <c r="N73" s="530"/>
      <c r="O73" s="530"/>
      <c r="P73" s="188"/>
      <c r="Q73" s="188"/>
      <c r="R73" s="185"/>
      <c r="S73" s="182"/>
      <c r="T73" s="558"/>
      <c r="U73" s="188"/>
      <c r="V73" s="188"/>
      <c r="W73" s="185"/>
      <c r="X73" s="182"/>
      <c r="Y73" s="558"/>
      <c r="Z73" s="188"/>
      <c r="AA73" s="188"/>
      <c r="AB73" s="185"/>
      <c r="AC73" s="182"/>
      <c r="AD73" s="558"/>
      <c r="AE73" s="188"/>
      <c r="AF73" s="188"/>
      <c r="AG73" s="185"/>
      <c r="AH73" s="182"/>
      <c r="AI73" s="558"/>
      <c r="AJ73" s="188"/>
      <c r="AK73" s="188"/>
      <c r="AL73" s="185"/>
      <c r="AM73" s="182"/>
      <c r="AN73" s="558"/>
      <c r="AO73" s="188"/>
      <c r="AP73" s="188"/>
      <c r="AQ73" s="185"/>
      <c r="AR73" s="182"/>
      <c r="AS73" s="558"/>
      <c r="AT73" s="188"/>
      <c r="AU73" s="188"/>
      <c r="AV73" s="185"/>
      <c r="AW73" s="182"/>
      <c r="AX73" s="558"/>
    </row>
    <row r="74" spans="2:50" ht="14.25" customHeight="1">
      <c r="B74" s="530"/>
      <c r="C74" s="180">
        <v>8</v>
      </c>
      <c r="D74" s="183"/>
      <c r="E74" s="180"/>
      <c r="F74" s="180"/>
      <c r="G74" s="185"/>
      <c r="H74" s="558"/>
      <c r="I74" s="186"/>
      <c r="J74" s="186"/>
      <c r="K74" s="187"/>
      <c r="L74" s="559"/>
      <c r="M74" s="186"/>
      <c r="N74" s="530"/>
      <c r="O74" s="530"/>
      <c r="P74" s="188"/>
      <c r="Q74" s="188"/>
      <c r="R74" s="185"/>
      <c r="S74" s="182"/>
      <c r="T74" s="558"/>
      <c r="U74" s="188"/>
      <c r="V74" s="188"/>
      <c r="W74" s="185"/>
      <c r="X74" s="182"/>
      <c r="Y74" s="558"/>
      <c r="Z74" s="188"/>
      <c r="AA74" s="188"/>
      <c r="AB74" s="185"/>
      <c r="AC74" s="182"/>
      <c r="AD74" s="558"/>
      <c r="AE74" s="188"/>
      <c r="AF74" s="188"/>
      <c r="AG74" s="185"/>
      <c r="AH74" s="182"/>
      <c r="AI74" s="558"/>
      <c r="AJ74" s="188"/>
      <c r="AK74" s="188"/>
      <c r="AL74" s="185"/>
      <c r="AM74" s="182"/>
      <c r="AN74" s="558"/>
      <c r="AO74" s="188"/>
      <c r="AP74" s="188"/>
      <c r="AQ74" s="185"/>
      <c r="AR74" s="182"/>
      <c r="AS74" s="558"/>
      <c r="AT74" s="188"/>
      <c r="AU74" s="188"/>
      <c r="AV74" s="185"/>
      <c r="AW74" s="182"/>
      <c r="AX74" s="558"/>
    </row>
    <row r="75" spans="2:50" ht="14.25" customHeight="1">
      <c r="B75" s="530"/>
      <c r="C75" s="180">
        <v>9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30"/>
      <c r="O75" s="530"/>
      <c r="P75" s="188"/>
      <c r="Q75" s="188"/>
      <c r="R75" s="185"/>
      <c r="S75" s="182"/>
      <c r="T75" s="558"/>
      <c r="U75" s="188"/>
      <c r="V75" s="188"/>
      <c r="W75" s="185"/>
      <c r="X75" s="182"/>
      <c r="Y75" s="558"/>
      <c r="Z75" s="188"/>
      <c r="AA75" s="188"/>
      <c r="AB75" s="185"/>
      <c r="AC75" s="182"/>
      <c r="AD75" s="558"/>
      <c r="AE75" s="188"/>
      <c r="AF75" s="188"/>
      <c r="AG75" s="185"/>
      <c r="AH75" s="182"/>
      <c r="AI75" s="558"/>
      <c r="AJ75" s="188"/>
      <c r="AK75" s="188"/>
      <c r="AL75" s="185"/>
      <c r="AM75" s="182"/>
      <c r="AN75" s="558"/>
      <c r="AO75" s="188"/>
      <c r="AP75" s="188"/>
      <c r="AQ75" s="185"/>
      <c r="AR75" s="182"/>
      <c r="AS75" s="558"/>
      <c r="AT75" s="188"/>
      <c r="AU75" s="188"/>
      <c r="AV75" s="185"/>
      <c r="AW75" s="182"/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558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558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558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558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558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558"/>
      <c r="AT81" s="188"/>
      <c r="AU81" s="188"/>
      <c r="AV81" s="185"/>
      <c r="AW81" s="182"/>
      <c r="AX81" s="558"/>
    </row>
    <row r="82" spans="2:50" ht="14.25" customHeight="1" collapsed="1">
      <c r="B82" s="544" t="s">
        <v>176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60" t="s">
        <v>127</v>
      </c>
      <c r="O82" s="560" t="s">
        <v>77</v>
      </c>
      <c r="P82" s="596">
        <f>AT62+1</f>
        <v>46077</v>
      </c>
      <c r="Q82" s="597"/>
      <c r="R82" s="597"/>
      <c r="S82" s="597"/>
      <c r="T82" s="597"/>
      <c r="U82" s="598">
        <f>P82+1</f>
        <v>46078</v>
      </c>
      <c r="V82" s="599"/>
      <c r="W82" s="599"/>
      <c r="X82" s="599"/>
      <c r="Y82" s="599"/>
      <c r="Z82" s="596">
        <f t="shared" ref="Z82" si="64">U82+1</f>
        <v>46079</v>
      </c>
      <c r="AA82" s="597"/>
      <c r="AB82" s="597"/>
      <c r="AC82" s="597"/>
      <c r="AD82" s="597"/>
      <c r="AE82" s="598">
        <f t="shared" ref="AE82" si="65">Z82+1</f>
        <v>46080</v>
      </c>
      <c r="AF82" s="599"/>
      <c r="AG82" s="599"/>
      <c r="AH82" s="599"/>
      <c r="AI82" s="599"/>
      <c r="AJ82" s="588">
        <f t="shared" ref="AJ82" si="66">AE82+1</f>
        <v>46081</v>
      </c>
      <c r="AK82" s="589"/>
      <c r="AL82" s="589"/>
      <c r="AM82" s="589"/>
      <c r="AN82" s="590"/>
      <c r="AO82" s="598">
        <f t="shared" ref="AO82" si="67">AJ82+1</f>
        <v>46082</v>
      </c>
      <c r="AP82" s="599"/>
      <c r="AQ82" s="599"/>
      <c r="AR82" s="599"/>
      <c r="AS82" s="599"/>
      <c r="AT82" s="588">
        <f t="shared" ref="AT82" si="68">AO82+1</f>
        <v>46083</v>
      </c>
      <c r="AU82" s="589"/>
      <c r="AV82" s="589"/>
      <c r="AW82" s="589"/>
      <c r="AX82" s="590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62"/>
      <c r="O83" s="562"/>
      <c r="P83" s="591">
        <f>P82</f>
        <v>46077</v>
      </c>
      <c r="Q83" s="591"/>
      <c r="R83" s="591"/>
      <c r="S83" s="591"/>
      <c r="T83" s="591"/>
      <c r="U83" s="592">
        <f>U82</f>
        <v>46078</v>
      </c>
      <c r="V83" s="592"/>
      <c r="W83" s="592"/>
      <c r="X83" s="592"/>
      <c r="Y83" s="592"/>
      <c r="Z83" s="591">
        <f t="shared" ref="Z83" si="69">Z82</f>
        <v>46079</v>
      </c>
      <c r="AA83" s="591"/>
      <c r="AB83" s="591"/>
      <c r="AC83" s="591"/>
      <c r="AD83" s="591"/>
      <c r="AE83" s="592">
        <f t="shared" ref="AE83" si="70">AE82</f>
        <v>46080</v>
      </c>
      <c r="AF83" s="592"/>
      <c r="AG83" s="592"/>
      <c r="AH83" s="592"/>
      <c r="AI83" s="592"/>
      <c r="AJ83" s="593">
        <f t="shared" ref="AJ83" si="71">AJ82</f>
        <v>46081</v>
      </c>
      <c r="AK83" s="594"/>
      <c r="AL83" s="594"/>
      <c r="AM83" s="594"/>
      <c r="AN83" s="595"/>
      <c r="AO83" s="592">
        <f t="shared" ref="AO83" si="72">AO82</f>
        <v>46082</v>
      </c>
      <c r="AP83" s="592"/>
      <c r="AQ83" s="592"/>
      <c r="AR83" s="592"/>
      <c r="AS83" s="592"/>
      <c r="AT83" s="593">
        <f t="shared" ref="AT83" si="73">AT82</f>
        <v>46083</v>
      </c>
      <c r="AU83" s="594"/>
      <c r="AV83" s="594"/>
      <c r="AW83" s="594"/>
      <c r="AX83" s="595"/>
    </row>
    <row r="84" spans="2:50" ht="14.25" customHeight="1">
      <c r="B84" s="530" t="s">
        <v>128</v>
      </c>
      <c r="C84" s="530" t="s">
        <v>129</v>
      </c>
      <c r="D84" s="530"/>
      <c r="E84" s="530" t="s">
        <v>130</v>
      </c>
      <c r="F84" s="530"/>
      <c r="G84" s="530"/>
      <c r="H84" s="530" t="s">
        <v>131</v>
      </c>
      <c r="I84" s="553" t="s">
        <v>132</v>
      </c>
      <c r="J84" s="553"/>
      <c r="K84" s="553"/>
      <c r="L84" s="553" t="s">
        <v>131</v>
      </c>
      <c r="M84" s="553" t="s">
        <v>133</v>
      </c>
      <c r="N84" s="530"/>
      <c r="O84" s="530" t="s">
        <v>134</v>
      </c>
      <c r="P84" s="530" t="s">
        <v>135</v>
      </c>
      <c r="Q84" s="530"/>
      <c r="R84" s="530"/>
      <c r="S84" s="530"/>
      <c r="T84" s="530" t="s">
        <v>131</v>
      </c>
      <c r="U84" s="530" t="s">
        <v>135</v>
      </c>
      <c r="V84" s="530"/>
      <c r="W84" s="530"/>
      <c r="X84" s="530"/>
      <c r="Y84" s="530" t="s">
        <v>131</v>
      </c>
      <c r="Z84" s="530" t="s">
        <v>135</v>
      </c>
      <c r="AA84" s="530"/>
      <c r="AB84" s="530"/>
      <c r="AC84" s="530"/>
      <c r="AD84" s="530" t="s">
        <v>131</v>
      </c>
      <c r="AE84" s="530" t="s">
        <v>135</v>
      </c>
      <c r="AF84" s="530"/>
      <c r="AG84" s="530"/>
      <c r="AH84" s="530"/>
      <c r="AI84" s="530" t="s">
        <v>131</v>
      </c>
      <c r="AJ84" s="530" t="s">
        <v>135</v>
      </c>
      <c r="AK84" s="530"/>
      <c r="AL84" s="530"/>
      <c r="AM84" s="530"/>
      <c r="AN84" s="530" t="s">
        <v>131</v>
      </c>
      <c r="AO84" s="530" t="s">
        <v>135</v>
      </c>
      <c r="AP84" s="530"/>
      <c r="AQ84" s="530"/>
      <c r="AR84" s="530"/>
      <c r="AS84" s="530" t="s">
        <v>131</v>
      </c>
      <c r="AT84" s="530" t="s">
        <v>135</v>
      </c>
      <c r="AU84" s="530"/>
      <c r="AV84" s="530"/>
      <c r="AW84" s="530"/>
      <c r="AX84" s="530" t="s">
        <v>131</v>
      </c>
    </row>
    <row r="85" spans="2:50" ht="14.25" customHeight="1">
      <c r="B85" s="530"/>
      <c r="C85" s="530"/>
      <c r="D85" s="530"/>
      <c r="E85" s="530" t="s">
        <v>136</v>
      </c>
      <c r="F85" s="530"/>
      <c r="G85" s="530"/>
      <c r="H85" s="530"/>
      <c r="I85" s="553" t="s">
        <v>136</v>
      </c>
      <c r="J85" s="553"/>
      <c r="K85" s="553"/>
      <c r="L85" s="553"/>
      <c r="M85" s="553"/>
      <c r="N85" s="530"/>
      <c r="O85" s="530"/>
      <c r="P85" s="530" t="s">
        <v>137</v>
      </c>
      <c r="Q85" s="530"/>
      <c r="R85" s="530"/>
      <c r="S85" s="530"/>
      <c r="T85" s="530"/>
      <c r="U85" s="530" t="s">
        <v>137</v>
      </c>
      <c r="V85" s="530"/>
      <c r="W85" s="530"/>
      <c r="X85" s="530"/>
      <c r="Y85" s="530"/>
      <c r="Z85" s="530" t="s">
        <v>137</v>
      </c>
      <c r="AA85" s="530"/>
      <c r="AB85" s="530"/>
      <c r="AC85" s="530"/>
      <c r="AD85" s="530"/>
      <c r="AE85" s="530" t="s">
        <v>137</v>
      </c>
      <c r="AF85" s="530"/>
      <c r="AG85" s="530"/>
      <c r="AH85" s="530"/>
      <c r="AI85" s="530"/>
      <c r="AJ85" s="530" t="s">
        <v>137</v>
      </c>
      <c r="AK85" s="530"/>
      <c r="AL85" s="530"/>
      <c r="AM85" s="530"/>
      <c r="AN85" s="530"/>
      <c r="AO85" s="530" t="s">
        <v>137</v>
      </c>
      <c r="AP85" s="530"/>
      <c r="AQ85" s="530"/>
      <c r="AR85" s="530"/>
      <c r="AS85" s="530"/>
      <c r="AT85" s="530" t="s">
        <v>137</v>
      </c>
      <c r="AU85" s="530"/>
      <c r="AV85" s="530"/>
      <c r="AW85" s="530"/>
      <c r="AX85" s="530"/>
    </row>
    <row r="86" spans="2:50" ht="14.25" customHeight="1">
      <c r="B86" s="530"/>
      <c r="C86" s="530"/>
      <c r="D86" s="530"/>
      <c r="E86" s="180" t="s">
        <v>138</v>
      </c>
      <c r="F86" s="180" t="s">
        <v>139</v>
      </c>
      <c r="G86" s="180" t="s">
        <v>140</v>
      </c>
      <c r="H86" s="530"/>
      <c r="I86" s="181" t="s">
        <v>138</v>
      </c>
      <c r="J86" s="181" t="s">
        <v>139</v>
      </c>
      <c r="K86" s="181" t="s">
        <v>140</v>
      </c>
      <c r="L86" s="553"/>
      <c r="M86" s="553"/>
      <c r="N86" s="530"/>
      <c r="O86" s="530"/>
      <c r="P86" s="180" t="s">
        <v>138</v>
      </c>
      <c r="Q86" s="180" t="s">
        <v>139</v>
      </c>
      <c r="R86" s="180" t="s">
        <v>140</v>
      </c>
      <c r="S86" s="182" t="s">
        <v>133</v>
      </c>
      <c r="T86" s="530"/>
      <c r="U86" s="180" t="s">
        <v>138</v>
      </c>
      <c r="V86" s="180" t="s">
        <v>139</v>
      </c>
      <c r="W86" s="180" t="s">
        <v>140</v>
      </c>
      <c r="X86" s="182" t="s">
        <v>133</v>
      </c>
      <c r="Y86" s="530"/>
      <c r="Z86" s="180" t="s">
        <v>138</v>
      </c>
      <c r="AA86" s="180" t="s">
        <v>139</v>
      </c>
      <c r="AB86" s="180" t="s">
        <v>140</v>
      </c>
      <c r="AC86" s="182" t="s">
        <v>133</v>
      </c>
      <c r="AD86" s="530"/>
      <c r="AE86" s="180" t="s">
        <v>138</v>
      </c>
      <c r="AF86" s="180" t="s">
        <v>139</v>
      </c>
      <c r="AG86" s="180" t="s">
        <v>140</v>
      </c>
      <c r="AH86" s="182" t="s">
        <v>133</v>
      </c>
      <c r="AI86" s="530"/>
      <c r="AJ86" s="180" t="s">
        <v>138</v>
      </c>
      <c r="AK86" s="180" t="s">
        <v>139</v>
      </c>
      <c r="AL86" s="180" t="s">
        <v>140</v>
      </c>
      <c r="AM86" s="182" t="s">
        <v>133</v>
      </c>
      <c r="AN86" s="530"/>
      <c r="AO86" s="180" t="s">
        <v>138</v>
      </c>
      <c r="AP86" s="180" t="s">
        <v>139</v>
      </c>
      <c r="AQ86" s="180" t="s">
        <v>140</v>
      </c>
      <c r="AR86" s="182" t="s">
        <v>133</v>
      </c>
      <c r="AS86" s="530"/>
      <c r="AT86" s="180" t="s">
        <v>138</v>
      </c>
      <c r="AU86" s="180" t="s">
        <v>139</v>
      </c>
      <c r="AV86" s="180" t="s">
        <v>140</v>
      </c>
      <c r="AW86" s="182" t="s">
        <v>133</v>
      </c>
      <c r="AX86" s="530"/>
    </row>
    <row r="87" spans="2:50" ht="14.25" customHeight="1">
      <c r="B87" s="530" t="s">
        <v>194</v>
      </c>
      <c r="C87" s="180">
        <v>1</v>
      </c>
      <c r="D87" s="183" t="s">
        <v>195</v>
      </c>
      <c r="E87" s="180">
        <v>6</v>
      </c>
      <c r="F87" s="180">
        <v>3273</v>
      </c>
      <c r="G87" s="185">
        <f t="shared" ref="G87:G88" si="74">F87/E87</f>
        <v>545.5</v>
      </c>
      <c r="H87" s="558">
        <f>AVERAGE(G87:G101)</f>
        <v>545.5</v>
      </c>
      <c r="I87" s="186">
        <f>AVERAGE(P87,U87,Z87,AE87,AJ87,AO87,AT87)</f>
        <v>6</v>
      </c>
      <c r="J87" s="186">
        <f>AVERAGE(Q87,V87,AA87,AF87,AK87,AP87,AU87)</f>
        <v>2961.6510978447559</v>
      </c>
      <c r="K87" s="187">
        <f>AVERAGE(R87,W87,AB87,AG87,AL87,AQ87,AV87)</f>
        <v>493.60851630745941</v>
      </c>
      <c r="L87" s="559">
        <f>IFERROR(AVERAGE(K87:K101),"-")</f>
        <v>481.20056773217823</v>
      </c>
      <c r="M87" s="186">
        <f>RANK(K87, K$87:$K$101)</f>
        <v>1</v>
      </c>
      <c r="N87" s="530"/>
      <c r="O87" s="530"/>
      <c r="P87" s="188">
        <v>6</v>
      </c>
      <c r="Q87" s="188">
        <v>2962.1878715814551</v>
      </c>
      <c r="R87" s="185">
        <f>IFERROR(Q87/P87,"")</f>
        <v>493.69797859690919</v>
      </c>
      <c r="S87" s="182">
        <f>RANK(R87, R$87:R$101)</f>
        <v>1</v>
      </c>
      <c r="T87" s="558">
        <f>AVERAGE(R87:R101)</f>
        <v>469.98040201317662</v>
      </c>
      <c r="U87" s="188">
        <v>6</v>
      </c>
      <c r="V87" s="188">
        <v>2960.3305785123448</v>
      </c>
      <c r="W87" s="185">
        <f t="shared" ref="W87:W88" si="75">IFERROR(V87/U87,"")</f>
        <v>493.38842975205745</v>
      </c>
      <c r="X87" s="182">
        <f>RANK(W87, W$87:W$101)</f>
        <v>1</v>
      </c>
      <c r="Y87" s="558">
        <f>AVERAGE(W87:W101)</f>
        <v>472.91793228561676</v>
      </c>
      <c r="Z87" s="188">
        <v>6</v>
      </c>
      <c r="AA87" s="188">
        <v>2961.9047619047496</v>
      </c>
      <c r="AB87" s="185">
        <f t="shared" ref="AB87:AB88" si="76">IFERROR(AA87/Z87,"")</f>
        <v>493.65079365079163</v>
      </c>
      <c r="AC87" s="182">
        <f>RANK(AB87, AB$87:AB$101)</f>
        <v>1</v>
      </c>
      <c r="AD87" s="558">
        <f>AVERAGE(AB87:AB101)</f>
        <v>476.61745731688927</v>
      </c>
      <c r="AE87" s="188">
        <v>6</v>
      </c>
      <c r="AF87" s="188">
        <v>2961.1829944547144</v>
      </c>
      <c r="AG87" s="185">
        <f>IFERROR(AF87/AE87,"")</f>
        <v>493.53049907578571</v>
      </c>
      <c r="AH87" s="182">
        <f>RANK(AG87, AG$87:AG$101)</f>
        <v>1</v>
      </c>
      <c r="AI87" s="558">
        <f>AVERAGE(AG87:AG101)</f>
        <v>480.70755723020045</v>
      </c>
      <c r="AJ87" s="188">
        <v>6</v>
      </c>
      <c r="AK87" s="188">
        <v>2962.4557260920906</v>
      </c>
      <c r="AL87" s="185">
        <f t="shared" ref="AL87:AL88" si="77">IFERROR(AK87/AJ87,"")</f>
        <v>493.74262101534845</v>
      </c>
      <c r="AM87" s="182">
        <f>RANK(AL87, AL$87:AL$101)</f>
        <v>1</v>
      </c>
      <c r="AN87" s="558">
        <f>AVERAGE(AL87:AL101)</f>
        <v>484.88455554078689</v>
      </c>
      <c r="AO87" s="188">
        <v>6</v>
      </c>
      <c r="AP87" s="188">
        <v>2962.679425837322</v>
      </c>
      <c r="AQ87" s="185">
        <f t="shared" ref="AQ87:AQ88" si="78">IFERROR(AP87/AO87,"")</f>
        <v>493.77990430622032</v>
      </c>
      <c r="AR87" s="182">
        <f>RANK(AQ87, AQ$87:AQ$101)</f>
        <v>1</v>
      </c>
      <c r="AS87" s="558">
        <f>AVERAGE(AQ87:AQ101)</f>
        <v>489.63505019232593</v>
      </c>
      <c r="AT87" s="188">
        <v>6</v>
      </c>
      <c r="AU87" s="188">
        <v>2960.816326530618</v>
      </c>
      <c r="AV87" s="185">
        <f t="shared" ref="AV87:AV88" si="79">IFERROR(AU87/AT87,"")</f>
        <v>493.46938775510301</v>
      </c>
      <c r="AW87" s="182">
        <f>RANK(AV87, AV$87:AV$101)</f>
        <v>2</v>
      </c>
      <c r="AX87" s="558">
        <f>AVERAGE(AV87:AV101)</f>
        <v>493.66101954625151</v>
      </c>
    </row>
    <row r="88" spans="2:50" ht="14.25" customHeight="1">
      <c r="B88" s="530"/>
      <c r="C88" s="180">
        <v>2</v>
      </c>
      <c r="D88" s="183" t="s">
        <v>196</v>
      </c>
      <c r="E88" s="180">
        <v>6</v>
      </c>
      <c r="F88" s="180">
        <v>3273</v>
      </c>
      <c r="G88" s="185">
        <f t="shared" si="74"/>
        <v>545.5</v>
      </c>
      <c r="H88" s="558"/>
      <c r="I88" s="186">
        <f t="shared" ref="I88:K88" si="80">AVERAGE(P88,U88,Z88,AE88,AJ88,AO88,AT88)</f>
        <v>6</v>
      </c>
      <c r="J88" s="186">
        <f t="shared" si="80"/>
        <v>2812.7557149413815</v>
      </c>
      <c r="K88" s="187">
        <f t="shared" si="80"/>
        <v>468.79261915689705</v>
      </c>
      <c r="L88" s="559"/>
      <c r="M88" s="186">
        <f>RANK(K88, K$87:$K$101)</f>
        <v>2</v>
      </c>
      <c r="N88" s="530"/>
      <c r="O88" s="530"/>
      <c r="P88" s="188">
        <v>6</v>
      </c>
      <c r="Q88" s="188">
        <v>2677.5769525766641</v>
      </c>
      <c r="R88" s="185">
        <f t="shared" ref="R88" si="81">IFERROR(Q88/P88,"")</f>
        <v>446.26282542944404</v>
      </c>
      <c r="S88" s="182">
        <f>RANK(R88, R$87:R$101)</f>
        <v>2</v>
      </c>
      <c r="T88" s="558"/>
      <c r="U88" s="188">
        <v>6</v>
      </c>
      <c r="V88" s="188">
        <v>2714.6846089150563</v>
      </c>
      <c r="W88" s="185">
        <f t="shared" si="75"/>
        <v>452.44743481917607</v>
      </c>
      <c r="X88" s="182">
        <f>RANK(W88, W$87:W$101)</f>
        <v>2</v>
      </c>
      <c r="Y88" s="558"/>
      <c r="Z88" s="188">
        <v>6</v>
      </c>
      <c r="AA88" s="188">
        <v>2757.5047258979212</v>
      </c>
      <c r="AB88" s="185">
        <f t="shared" si="76"/>
        <v>459.58412098298686</v>
      </c>
      <c r="AC88" s="182">
        <f>RANK(AB88, AB$87:AB$101)</f>
        <v>2</v>
      </c>
      <c r="AD88" s="558"/>
      <c r="AE88" s="188">
        <v>6</v>
      </c>
      <c r="AF88" s="188">
        <v>2807.3076923076915</v>
      </c>
      <c r="AG88" s="185">
        <f t="shared" ref="AG88" si="82">IFERROR(AF88/AE88,"")</f>
        <v>467.88461538461524</v>
      </c>
      <c r="AH88" s="182">
        <f>RANK(AG88, AG$87:AG$101)</f>
        <v>2</v>
      </c>
      <c r="AI88" s="558"/>
      <c r="AJ88" s="188">
        <v>6</v>
      </c>
      <c r="AK88" s="188">
        <v>2856.1589403973521</v>
      </c>
      <c r="AL88" s="185">
        <f t="shared" si="77"/>
        <v>476.02649006622534</v>
      </c>
      <c r="AM88" s="182">
        <f>RANK(AL88, AL$87:AL$101)</f>
        <v>2</v>
      </c>
      <c r="AN88" s="558"/>
      <c r="AO88" s="188">
        <v>6</v>
      </c>
      <c r="AP88" s="188">
        <v>2912.9411764705892</v>
      </c>
      <c r="AQ88" s="185">
        <f t="shared" si="78"/>
        <v>485.49019607843155</v>
      </c>
      <c r="AR88" s="182">
        <f>RANK(AQ88, AQ$87:AQ$101)</f>
        <v>2</v>
      </c>
      <c r="AS88" s="558"/>
      <c r="AT88" s="188">
        <v>6</v>
      </c>
      <c r="AU88" s="188">
        <v>2963.1159080244001</v>
      </c>
      <c r="AV88" s="185">
        <f t="shared" si="79"/>
        <v>493.8526513374</v>
      </c>
      <c r="AW88" s="182">
        <f>RANK(AV88, AV$87:AV$101)</f>
        <v>1</v>
      </c>
      <c r="AX88" s="558"/>
    </row>
    <row r="89" spans="2:50" ht="14.25" customHeight="1">
      <c r="B89" s="530"/>
      <c r="C89" s="180">
        <v>3</v>
      </c>
      <c r="D89" s="183"/>
      <c r="E89" s="180"/>
      <c r="F89" s="180"/>
      <c r="G89" s="185"/>
      <c r="H89" s="558"/>
      <c r="I89" s="186"/>
      <c r="J89" s="186"/>
      <c r="K89" s="187"/>
      <c r="L89" s="559"/>
      <c r="M89" s="186"/>
      <c r="N89" s="530"/>
      <c r="O89" s="530"/>
      <c r="P89" s="188"/>
      <c r="Q89" s="188"/>
      <c r="R89" s="185"/>
      <c r="S89" s="182"/>
      <c r="T89" s="558"/>
      <c r="U89" s="188"/>
      <c r="V89" s="188"/>
      <c r="W89" s="185"/>
      <c r="X89" s="182"/>
      <c r="Y89" s="558"/>
      <c r="Z89" s="188"/>
      <c r="AA89" s="188"/>
      <c r="AB89" s="185"/>
      <c r="AC89" s="182"/>
      <c r="AD89" s="558"/>
      <c r="AE89" s="188"/>
      <c r="AF89" s="188"/>
      <c r="AG89" s="185"/>
      <c r="AH89" s="182"/>
      <c r="AI89" s="558"/>
      <c r="AJ89" s="188"/>
      <c r="AK89" s="188"/>
      <c r="AL89" s="185"/>
      <c r="AM89" s="182"/>
      <c r="AN89" s="558"/>
      <c r="AO89" s="188"/>
      <c r="AP89" s="188"/>
      <c r="AQ89" s="185"/>
      <c r="AR89" s="182"/>
      <c r="AS89" s="558"/>
      <c r="AT89" s="188"/>
      <c r="AU89" s="188"/>
      <c r="AV89" s="185"/>
      <c r="AW89" s="182"/>
      <c r="AX89" s="558"/>
    </row>
    <row r="90" spans="2:50" ht="14.25" customHeight="1">
      <c r="B90" s="530"/>
      <c r="C90" s="180">
        <v>4</v>
      </c>
      <c r="D90" s="183"/>
      <c r="E90" s="180"/>
      <c r="F90" s="180"/>
      <c r="G90" s="185"/>
      <c r="H90" s="558"/>
      <c r="I90" s="186"/>
      <c r="J90" s="186"/>
      <c r="K90" s="187"/>
      <c r="L90" s="559"/>
      <c r="M90" s="186"/>
      <c r="N90" s="530"/>
      <c r="O90" s="530"/>
      <c r="P90" s="188"/>
      <c r="Q90" s="188"/>
      <c r="R90" s="185"/>
      <c r="S90" s="182"/>
      <c r="T90" s="558"/>
      <c r="U90" s="188"/>
      <c r="V90" s="188"/>
      <c r="W90" s="185"/>
      <c r="X90" s="182"/>
      <c r="Y90" s="558"/>
      <c r="Z90" s="188"/>
      <c r="AA90" s="188"/>
      <c r="AB90" s="185"/>
      <c r="AC90" s="182"/>
      <c r="AD90" s="558"/>
      <c r="AE90" s="188"/>
      <c r="AF90" s="188"/>
      <c r="AG90" s="185"/>
      <c r="AH90" s="182"/>
      <c r="AI90" s="558"/>
      <c r="AJ90" s="188"/>
      <c r="AK90" s="188"/>
      <c r="AL90" s="185"/>
      <c r="AM90" s="182"/>
      <c r="AN90" s="558"/>
      <c r="AO90" s="188"/>
      <c r="AP90" s="188"/>
      <c r="AQ90" s="185"/>
      <c r="AR90" s="182"/>
      <c r="AS90" s="558"/>
      <c r="AT90" s="188"/>
      <c r="AU90" s="188"/>
      <c r="AV90" s="185"/>
      <c r="AW90" s="182"/>
      <c r="AX90" s="558"/>
    </row>
    <row r="91" spans="2:50" ht="14.25" customHeight="1">
      <c r="B91" s="530"/>
      <c r="C91" s="180">
        <v>5</v>
      </c>
      <c r="D91" s="183"/>
      <c r="E91" s="180"/>
      <c r="F91" s="180"/>
      <c r="G91" s="185"/>
      <c r="H91" s="558"/>
      <c r="I91" s="186"/>
      <c r="J91" s="186"/>
      <c r="K91" s="187"/>
      <c r="L91" s="559"/>
      <c r="M91" s="186"/>
      <c r="N91" s="530"/>
      <c r="O91" s="530"/>
      <c r="P91" s="188"/>
      <c r="Q91" s="188"/>
      <c r="R91" s="185"/>
      <c r="S91" s="182"/>
      <c r="T91" s="558"/>
      <c r="U91" s="188"/>
      <c r="V91" s="188"/>
      <c r="W91" s="185"/>
      <c r="X91" s="182"/>
      <c r="Y91" s="558"/>
      <c r="Z91" s="188"/>
      <c r="AA91" s="188"/>
      <c r="AB91" s="185"/>
      <c r="AC91" s="182"/>
      <c r="AD91" s="558"/>
      <c r="AE91" s="188"/>
      <c r="AF91" s="188"/>
      <c r="AG91" s="185"/>
      <c r="AH91" s="182"/>
      <c r="AI91" s="558"/>
      <c r="AJ91" s="188"/>
      <c r="AK91" s="188"/>
      <c r="AL91" s="185"/>
      <c r="AM91" s="182"/>
      <c r="AN91" s="558"/>
      <c r="AO91" s="188"/>
      <c r="AP91" s="188"/>
      <c r="AQ91" s="185"/>
      <c r="AR91" s="182"/>
      <c r="AS91" s="558"/>
      <c r="AT91" s="188"/>
      <c r="AU91" s="188"/>
      <c r="AV91" s="185"/>
      <c r="AW91" s="182"/>
      <c r="AX91" s="558"/>
    </row>
    <row r="92" spans="2:50" ht="14.25" customHeight="1">
      <c r="B92" s="530"/>
      <c r="C92" s="180">
        <v>6</v>
      </c>
      <c r="D92" s="183"/>
      <c r="E92" s="180"/>
      <c r="F92" s="180"/>
      <c r="G92" s="185"/>
      <c r="H92" s="558"/>
      <c r="I92" s="186"/>
      <c r="J92" s="186"/>
      <c r="K92" s="187"/>
      <c r="L92" s="559"/>
      <c r="M92" s="186"/>
      <c r="N92" s="530"/>
      <c r="O92" s="530"/>
      <c r="P92" s="188"/>
      <c r="Q92" s="188"/>
      <c r="R92" s="185"/>
      <c r="S92" s="182"/>
      <c r="T92" s="558"/>
      <c r="U92" s="188"/>
      <c r="V92" s="188"/>
      <c r="W92" s="185"/>
      <c r="X92" s="182"/>
      <c r="Y92" s="558"/>
      <c r="Z92" s="188"/>
      <c r="AA92" s="188"/>
      <c r="AB92" s="185"/>
      <c r="AC92" s="182"/>
      <c r="AD92" s="558"/>
      <c r="AE92" s="188"/>
      <c r="AF92" s="188"/>
      <c r="AG92" s="185"/>
      <c r="AH92" s="182"/>
      <c r="AI92" s="558"/>
      <c r="AJ92" s="188"/>
      <c r="AK92" s="188"/>
      <c r="AL92" s="185"/>
      <c r="AM92" s="182"/>
      <c r="AN92" s="558"/>
      <c r="AO92" s="188"/>
      <c r="AP92" s="188"/>
      <c r="AQ92" s="185"/>
      <c r="AR92" s="182"/>
      <c r="AS92" s="558"/>
      <c r="AT92" s="188"/>
      <c r="AU92" s="188"/>
      <c r="AV92" s="185"/>
      <c r="AW92" s="182"/>
      <c r="AX92" s="558"/>
    </row>
    <row r="93" spans="2:50" ht="14.25" customHeight="1">
      <c r="B93" s="530"/>
      <c r="C93" s="180">
        <v>7</v>
      </c>
      <c r="D93" s="183"/>
      <c r="E93" s="180"/>
      <c r="F93" s="180"/>
      <c r="G93" s="185"/>
      <c r="H93" s="558"/>
      <c r="I93" s="186"/>
      <c r="J93" s="186"/>
      <c r="K93" s="187"/>
      <c r="L93" s="559"/>
      <c r="M93" s="186"/>
      <c r="N93" s="530"/>
      <c r="O93" s="530"/>
      <c r="P93" s="188"/>
      <c r="Q93" s="188"/>
      <c r="R93" s="185"/>
      <c r="S93" s="182"/>
      <c r="T93" s="558"/>
      <c r="U93" s="188"/>
      <c r="V93" s="188"/>
      <c r="W93" s="185"/>
      <c r="X93" s="182"/>
      <c r="Y93" s="558"/>
      <c r="Z93" s="188"/>
      <c r="AA93" s="188"/>
      <c r="AB93" s="185"/>
      <c r="AC93" s="182"/>
      <c r="AD93" s="558"/>
      <c r="AE93" s="188"/>
      <c r="AF93" s="188"/>
      <c r="AG93" s="185"/>
      <c r="AH93" s="182"/>
      <c r="AI93" s="558"/>
      <c r="AJ93" s="188"/>
      <c r="AK93" s="188"/>
      <c r="AL93" s="185"/>
      <c r="AM93" s="182"/>
      <c r="AN93" s="558"/>
      <c r="AO93" s="188"/>
      <c r="AP93" s="188"/>
      <c r="AQ93" s="185"/>
      <c r="AR93" s="182"/>
      <c r="AS93" s="558"/>
      <c r="AT93" s="188"/>
      <c r="AU93" s="188"/>
      <c r="AV93" s="185"/>
      <c r="AW93" s="182"/>
      <c r="AX93" s="558"/>
    </row>
    <row r="94" spans="2:50" ht="14.25" customHeight="1">
      <c r="B94" s="530"/>
      <c r="C94" s="180">
        <v>8</v>
      </c>
      <c r="D94" s="183"/>
      <c r="E94" s="180"/>
      <c r="F94" s="180"/>
      <c r="G94" s="185"/>
      <c r="H94" s="558"/>
      <c r="I94" s="186"/>
      <c r="J94" s="186"/>
      <c r="K94" s="187"/>
      <c r="L94" s="559"/>
      <c r="M94" s="186"/>
      <c r="N94" s="530"/>
      <c r="O94" s="530"/>
      <c r="P94" s="188"/>
      <c r="Q94" s="188"/>
      <c r="R94" s="185"/>
      <c r="S94" s="182"/>
      <c r="T94" s="558"/>
      <c r="U94" s="188"/>
      <c r="V94" s="188"/>
      <c r="W94" s="185"/>
      <c r="X94" s="182"/>
      <c r="Y94" s="558"/>
      <c r="Z94" s="188"/>
      <c r="AA94" s="188"/>
      <c r="AB94" s="185"/>
      <c r="AC94" s="182"/>
      <c r="AD94" s="558"/>
      <c r="AE94" s="188"/>
      <c r="AF94" s="188"/>
      <c r="AG94" s="185"/>
      <c r="AH94" s="182"/>
      <c r="AI94" s="558"/>
      <c r="AJ94" s="188"/>
      <c r="AK94" s="188"/>
      <c r="AL94" s="185"/>
      <c r="AM94" s="182"/>
      <c r="AN94" s="558"/>
      <c r="AO94" s="188"/>
      <c r="AP94" s="188"/>
      <c r="AQ94" s="185"/>
      <c r="AR94" s="182"/>
      <c r="AS94" s="558"/>
      <c r="AT94" s="188"/>
      <c r="AU94" s="188"/>
      <c r="AV94" s="185"/>
      <c r="AW94" s="182"/>
      <c r="AX94" s="558"/>
    </row>
    <row r="95" spans="2:50" ht="14.25" customHeight="1">
      <c r="B95" s="530"/>
      <c r="C95" s="180">
        <v>9</v>
      </c>
      <c r="D95" s="183"/>
      <c r="E95" s="180"/>
      <c r="F95" s="180"/>
      <c r="G95" s="185"/>
      <c r="H95" s="558"/>
      <c r="I95" s="186"/>
      <c r="J95" s="186"/>
      <c r="K95" s="187"/>
      <c r="L95" s="559"/>
      <c r="M95" s="186"/>
      <c r="N95" s="530"/>
      <c r="O95" s="530"/>
      <c r="P95" s="188"/>
      <c r="Q95" s="188"/>
      <c r="R95" s="185"/>
      <c r="S95" s="182"/>
      <c r="T95" s="558"/>
      <c r="U95" s="188"/>
      <c r="V95" s="188"/>
      <c r="W95" s="185"/>
      <c r="X95" s="182"/>
      <c r="Y95" s="558"/>
      <c r="Z95" s="188"/>
      <c r="AA95" s="188"/>
      <c r="AB95" s="185"/>
      <c r="AC95" s="182"/>
      <c r="AD95" s="558"/>
      <c r="AE95" s="188"/>
      <c r="AF95" s="188"/>
      <c r="AG95" s="185"/>
      <c r="AH95" s="182"/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/>
      <c r="AU95" s="188"/>
      <c r="AV95" s="185"/>
      <c r="AW95" s="182"/>
      <c r="AX95" s="558"/>
    </row>
    <row r="96" spans="2:50" ht="14.25" customHeight="1">
      <c r="B96" s="530"/>
      <c r="C96" s="180">
        <v>10</v>
      </c>
      <c r="D96" s="183"/>
      <c r="E96" s="180"/>
      <c r="F96" s="180"/>
      <c r="G96" s="185"/>
      <c r="H96" s="558"/>
      <c r="I96" s="186"/>
      <c r="J96" s="186"/>
      <c r="K96" s="187"/>
      <c r="L96" s="559"/>
      <c r="M96" s="186"/>
      <c r="N96" s="530"/>
      <c r="O96" s="530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/>
      <c r="AU96" s="188"/>
      <c r="AV96" s="185"/>
      <c r="AW96" s="182"/>
      <c r="AX96" s="558"/>
    </row>
    <row r="97" spans="2:50" ht="14.25" customHeight="1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30"/>
      <c r="O97" s="530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 ht="14.25" customHeight="1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30"/>
      <c r="O98" s="530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 ht="14.25" customHeight="1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30"/>
      <c r="O99" s="530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 ht="14.25" customHeight="1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30"/>
      <c r="O100" s="530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 ht="14.25" customHeight="1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30"/>
      <c r="O101" s="530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zoomScaleNormal="100" workbookViewId="0">
      <pane xSplit="13" ySplit="1" topLeftCell="N72" activePane="bottomRight" state="frozen"/>
      <selection pane="bottomRight" activeCell="AV101" sqref="AV101"/>
      <selection pane="bottomLeft" activeCell="L95" sqref="L95"/>
      <selection pane="topRight" activeCell="L95" sqref="L95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.6">
      <c r="A1" s="74"/>
      <c r="B1" s="371" t="s">
        <v>125</v>
      </c>
      <c r="C1" s="175">
        <f>AVERAGE(L27,L47,L67,L87)</f>
        <v>81.452411562244222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f t="shared" ref="AJ2" si="2">AE2+1</f>
        <v>46053</v>
      </c>
      <c r="AK2" s="589"/>
      <c r="AL2" s="589"/>
      <c r="AM2" s="589"/>
      <c r="AN2" s="590"/>
      <c r="AO2" s="598">
        <f t="shared" ref="AO2" si="3">AJ2+1</f>
        <v>46054</v>
      </c>
      <c r="AP2" s="599"/>
      <c r="AQ2" s="599"/>
      <c r="AR2" s="599"/>
      <c r="AS2" s="599"/>
      <c r="AT2" s="588">
        <f t="shared" ref="AT2" si="4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5">Z2</f>
        <v>46051</v>
      </c>
      <c r="AA3" s="591"/>
      <c r="AB3" s="591"/>
      <c r="AC3" s="591"/>
      <c r="AD3" s="591"/>
      <c r="AE3" s="592">
        <f t="shared" ref="AE3" si="6">AE2</f>
        <v>46052</v>
      </c>
      <c r="AF3" s="592"/>
      <c r="AG3" s="592"/>
      <c r="AH3" s="592"/>
      <c r="AI3" s="592"/>
      <c r="AJ3" s="593">
        <f t="shared" ref="AJ3" si="7">AJ2</f>
        <v>46053</v>
      </c>
      <c r="AK3" s="594"/>
      <c r="AL3" s="594"/>
      <c r="AM3" s="594"/>
      <c r="AN3" s="595"/>
      <c r="AO3" s="592">
        <f t="shared" ref="AO3" si="8">AO2</f>
        <v>46054</v>
      </c>
      <c r="AP3" s="592"/>
      <c r="AQ3" s="592"/>
      <c r="AR3" s="592"/>
      <c r="AS3" s="592"/>
      <c r="AT3" s="593">
        <f t="shared" ref="AT3" si="9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 t="s">
        <v>137</v>
      </c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530" t="s">
        <v>197</v>
      </c>
      <c r="C7" s="180">
        <v>1</v>
      </c>
      <c r="D7" s="183" t="s">
        <v>198</v>
      </c>
      <c r="E7" s="180">
        <v>25</v>
      </c>
      <c r="F7" s="180">
        <v>2000</v>
      </c>
      <c r="G7" s="185">
        <f t="shared" ref="G7:G14" si="10">F7/E7</f>
        <v>80</v>
      </c>
      <c r="H7" s="558">
        <f>AVERAGE(G7:G21)</f>
        <v>92.013457556935819</v>
      </c>
      <c r="I7" s="186">
        <f>AVERAGE(P7,U7,Z7,AE7,AJ7,AO7,AT7)</f>
        <v>25</v>
      </c>
      <c r="J7" s="186">
        <f>AVERAGE(Q7,V7,AA7,AF7,AK7,AP7,AU7)</f>
        <v>1777.516778384901</v>
      </c>
      <c r="K7" s="187">
        <f>AVERAGE(R7,W7,AB7,AG7,AL7,AQ7,AV7)</f>
        <v>71.100671135396041</v>
      </c>
      <c r="L7" s="559">
        <f>IFERROR(AVERAGE(K7:K21),"-")</f>
        <v>81.823352265283972</v>
      </c>
      <c r="M7" s="186">
        <f>RANK(K7, K$7:$K$21)</f>
        <v>8</v>
      </c>
      <c r="N7" s="530"/>
      <c r="O7" s="530"/>
      <c r="P7" s="188">
        <v>25</v>
      </c>
      <c r="Q7" s="188">
        <v>1777.0169776904729</v>
      </c>
      <c r="R7" s="185">
        <f>IFERROR(Q7/P7,"")</f>
        <v>71.08067910761892</v>
      </c>
      <c r="S7" s="182">
        <f>RANK(R7, R$7:R$21)</f>
        <v>8</v>
      </c>
      <c r="T7" s="558">
        <f>AVERAGE(R7:R21)</f>
        <v>81.781742218154392</v>
      </c>
      <c r="U7" s="188">
        <v>25</v>
      </c>
      <c r="V7" s="188">
        <v>1776.9739744155263</v>
      </c>
      <c r="W7" s="185">
        <f t="shared" ref="W7:W14" si="11">IFERROR(V7/U7,"")</f>
        <v>71.078958976621053</v>
      </c>
      <c r="X7" s="182">
        <f>RANK(W7, W$7:W$21)</f>
        <v>8</v>
      </c>
      <c r="Y7" s="558">
        <f>AVERAGE(W7:W21)</f>
        <v>81.794498133632359</v>
      </c>
      <c r="Z7" s="188">
        <v>25</v>
      </c>
      <c r="AA7" s="188">
        <v>1777.2507411452641</v>
      </c>
      <c r="AB7" s="185">
        <f t="shared" ref="AB7:AB14" si="12">IFERROR(AA7/Z7,"")</f>
        <v>71.09002964581056</v>
      </c>
      <c r="AC7" s="182">
        <v>8</v>
      </c>
      <c r="AD7" s="558">
        <f>AVERAGE(AB7:AB21)</f>
        <v>81.815710527504351</v>
      </c>
      <c r="AE7" s="188">
        <v>25</v>
      </c>
      <c r="AF7" s="188">
        <v>1777.6775648252535</v>
      </c>
      <c r="AG7" s="185">
        <f>IFERROR(AF7/AE7,"")</f>
        <v>71.10710259301014</v>
      </c>
      <c r="AH7" s="182">
        <f>RANK(AG7, AG$7:AG$21)</f>
        <v>8</v>
      </c>
      <c r="AI7" s="558">
        <f>AVERAGE(AG7:AG21)</f>
        <v>81.831107700667545</v>
      </c>
      <c r="AJ7" s="188">
        <v>25</v>
      </c>
      <c r="AK7" s="188">
        <v>1777.8613804080453</v>
      </c>
      <c r="AL7" s="185">
        <f t="shared" ref="AL7:AL14" si="13">IFERROR(AK7/AJ7,"")</f>
        <v>71.114455216321815</v>
      </c>
      <c r="AM7" s="182">
        <f>RANK(AL7, AL$7:AL$21)</f>
        <v>8</v>
      </c>
      <c r="AN7" s="558">
        <f>AVERAGE(AL7:AL21)</f>
        <v>81.837011705723427</v>
      </c>
      <c r="AO7" s="188">
        <v>25</v>
      </c>
      <c r="AP7" s="188">
        <v>1777.9591836734694</v>
      </c>
      <c r="AQ7" s="185">
        <f t="shared" ref="AQ7:AQ14" si="14">IFERROR(AP7/AO7,"")</f>
        <v>71.118367346938783</v>
      </c>
      <c r="AR7" s="182">
        <f>RANK(AQ7, AQ$7:AQ$21)</f>
        <v>8</v>
      </c>
      <c r="AS7" s="558">
        <f>AVERAGE(AQ7:AQ21)</f>
        <v>81.846394095026596</v>
      </c>
      <c r="AT7" s="188">
        <v>25</v>
      </c>
      <c r="AU7" s="188">
        <v>1777.877626536276</v>
      </c>
      <c r="AV7" s="185">
        <f t="shared" ref="AV7:AV14" si="15">IFERROR(AU7/AT7,"")</f>
        <v>71.115105061451047</v>
      </c>
      <c r="AW7" s="182">
        <f>RANK(AV7, AV$7:AV$21)</f>
        <v>8</v>
      </c>
      <c r="AX7" s="558">
        <f>AVERAGE(AV7:AV21)</f>
        <v>81.857001476279081</v>
      </c>
    </row>
    <row r="8" spans="1:50" ht="14.25" customHeight="1">
      <c r="B8" s="530"/>
      <c r="C8" s="180">
        <v>2</v>
      </c>
      <c r="D8" s="183" t="s">
        <v>199</v>
      </c>
      <c r="E8" s="180">
        <v>23</v>
      </c>
      <c r="F8" s="180">
        <v>2000</v>
      </c>
      <c r="G8" s="185">
        <f t="shared" si="10"/>
        <v>86.956521739130437</v>
      </c>
      <c r="H8" s="558"/>
      <c r="I8" s="186">
        <f t="shared" ref="I8:I14" si="16">AVERAGE(P8,U8,Z8,AE8,AJ8,AO8,AT8)</f>
        <v>23</v>
      </c>
      <c r="J8" s="186">
        <f t="shared" ref="J8:J14" si="17">AVERAGE(Q8,V8,AA8,AF8,AK8,AP8,AU8)</f>
        <v>1778.4179655591065</v>
      </c>
      <c r="K8" s="187">
        <f t="shared" ref="K8:K14" si="18">AVERAGE(R8,W8,AB8,AG8,AL8,AQ8,AV8)</f>
        <v>77.322520241700303</v>
      </c>
      <c r="L8" s="559"/>
      <c r="M8" s="186">
        <f>RANK(K8, K$7:$K$21)</f>
        <v>5</v>
      </c>
      <c r="N8" s="530"/>
      <c r="O8" s="530"/>
      <c r="P8" s="188">
        <v>23</v>
      </c>
      <c r="Q8" s="188">
        <v>1777.4999999999998</v>
      </c>
      <c r="R8" s="185">
        <f t="shared" ref="R8:R14" si="19">IFERROR(Q8/P8,"")</f>
        <v>77.282608695652158</v>
      </c>
      <c r="S8" s="182">
        <f t="shared" ref="S8:S14" si="20">RANK(R8, R$7:R$21)</f>
        <v>5</v>
      </c>
      <c r="T8" s="558"/>
      <c r="U8" s="188">
        <v>23</v>
      </c>
      <c r="V8" s="188">
        <v>1777.5800711743777</v>
      </c>
      <c r="W8" s="185">
        <f t="shared" si="11"/>
        <v>77.286090051059901</v>
      </c>
      <c r="X8" s="182">
        <f t="shared" ref="X8:X14" si="21">RANK(W8, W$7:W$21)</f>
        <v>5</v>
      </c>
      <c r="Y8" s="558"/>
      <c r="Z8" s="188">
        <v>23</v>
      </c>
      <c r="AA8" s="188">
        <v>1777.3853989813224</v>
      </c>
      <c r="AB8" s="185">
        <f t="shared" si="12"/>
        <v>77.277626042666185</v>
      </c>
      <c r="AC8" s="182">
        <v>6</v>
      </c>
      <c r="AD8" s="558"/>
      <c r="AE8" s="188">
        <v>23</v>
      </c>
      <c r="AF8" s="188">
        <v>1778.9086039504518</v>
      </c>
      <c r="AG8" s="185">
        <f t="shared" ref="AG8:AG14" si="22">IFERROR(AF8/AE8,"")</f>
        <v>77.34385234567182</v>
      </c>
      <c r="AH8" s="182">
        <f t="shared" ref="AH8:AH14" si="23">RANK(AG8, AG$7:AG$21)</f>
        <v>5</v>
      </c>
      <c r="AI8" s="558"/>
      <c r="AJ8" s="188">
        <v>23</v>
      </c>
      <c r="AK8" s="188">
        <v>1778.9378937893825</v>
      </c>
      <c r="AL8" s="185">
        <f t="shared" si="13"/>
        <v>77.345125816929681</v>
      </c>
      <c r="AM8" s="182">
        <f t="shared" ref="AM8:AM14" si="24">RANK(AL8, AL$7:AL$21)</f>
        <v>6</v>
      </c>
      <c r="AN8" s="558"/>
      <c r="AO8" s="188">
        <v>23</v>
      </c>
      <c r="AP8" s="188">
        <v>1779.1934240945254</v>
      </c>
      <c r="AQ8" s="185">
        <f t="shared" si="14"/>
        <v>77.356235830196752</v>
      </c>
      <c r="AR8" s="182">
        <f t="shared" ref="AR8:AR14" si="25">RANK(AQ8, AQ$7:AQ$21)</f>
        <v>6</v>
      </c>
      <c r="AS8" s="558"/>
      <c r="AT8" s="188">
        <v>23</v>
      </c>
      <c r="AU8" s="188">
        <v>1779.4203669236877</v>
      </c>
      <c r="AV8" s="185">
        <f t="shared" si="15"/>
        <v>77.366102909725555</v>
      </c>
      <c r="AW8" s="182">
        <f t="shared" ref="AW8:AW14" si="26">RANK(AV8, AV$7:AV$21)</f>
        <v>6</v>
      </c>
      <c r="AX8" s="558"/>
    </row>
    <row r="9" spans="1:50" ht="14.25" customHeight="1">
      <c r="B9" s="530"/>
      <c r="C9" s="180">
        <v>3</v>
      </c>
      <c r="D9" s="183" t="s">
        <v>200</v>
      </c>
      <c r="E9" s="180">
        <v>23</v>
      </c>
      <c r="F9" s="180">
        <v>2000</v>
      </c>
      <c r="G9" s="185">
        <f t="shared" si="10"/>
        <v>86.956521739130437</v>
      </c>
      <c r="H9" s="558"/>
      <c r="I9" s="186">
        <f t="shared" si="16"/>
        <v>23</v>
      </c>
      <c r="J9" s="186">
        <f t="shared" si="17"/>
        <v>1778.3306787978483</v>
      </c>
      <c r="K9" s="187">
        <f t="shared" si="18"/>
        <v>77.318725165123837</v>
      </c>
      <c r="L9" s="559"/>
      <c r="M9" s="186">
        <f>RANK(K9, K$7:$K$21)</f>
        <v>6</v>
      </c>
      <c r="N9" s="530"/>
      <c r="O9" s="530"/>
      <c r="P9" s="188">
        <v>23</v>
      </c>
      <c r="Q9" s="188">
        <v>1776.9751693002302</v>
      </c>
      <c r="R9" s="185">
        <f t="shared" si="19"/>
        <v>77.259789969575223</v>
      </c>
      <c r="S9" s="182">
        <f t="shared" si="20"/>
        <v>6</v>
      </c>
      <c r="T9" s="558"/>
      <c r="U9" s="188">
        <v>23</v>
      </c>
      <c r="V9" s="188">
        <v>1777.5085195001848</v>
      </c>
      <c r="W9" s="185">
        <f t="shared" si="11"/>
        <v>77.282979108703685</v>
      </c>
      <c r="X9" s="182">
        <f t="shared" si="21"/>
        <v>6</v>
      </c>
      <c r="Y9" s="558"/>
      <c r="Z9" s="188">
        <v>23</v>
      </c>
      <c r="AA9" s="188">
        <v>1777.5601068566345</v>
      </c>
      <c r="AB9" s="185">
        <f t="shared" si="12"/>
        <v>77.285222037244978</v>
      </c>
      <c r="AC9" s="182">
        <v>5</v>
      </c>
      <c r="AD9" s="558"/>
      <c r="AE9" s="188">
        <v>23</v>
      </c>
      <c r="AF9" s="188">
        <v>1777.7018368218653</v>
      </c>
      <c r="AG9" s="185">
        <f t="shared" si="22"/>
        <v>77.291384209646324</v>
      </c>
      <c r="AH9" s="182">
        <f t="shared" si="23"/>
        <v>6</v>
      </c>
      <c r="AI9" s="558"/>
      <c r="AJ9" s="188">
        <v>23</v>
      </c>
      <c r="AK9" s="188">
        <v>1779.6445880452343</v>
      </c>
      <c r="AL9" s="185">
        <f t="shared" si="13"/>
        <v>77.375851654140618</v>
      </c>
      <c r="AM9" s="182">
        <f t="shared" si="24"/>
        <v>5</v>
      </c>
      <c r="AN9" s="558"/>
      <c r="AO9" s="188">
        <v>23</v>
      </c>
      <c r="AP9" s="188">
        <v>1779.3645594497211</v>
      </c>
      <c r="AQ9" s="185">
        <f t="shared" si="14"/>
        <v>77.363676497813955</v>
      </c>
      <c r="AR9" s="182">
        <f t="shared" si="25"/>
        <v>5</v>
      </c>
      <c r="AS9" s="558"/>
      <c r="AT9" s="188">
        <v>23</v>
      </c>
      <c r="AU9" s="188">
        <v>1779.559971611068</v>
      </c>
      <c r="AV9" s="185">
        <f t="shared" si="15"/>
        <v>77.372172678742089</v>
      </c>
      <c r="AW9" s="182">
        <f t="shared" si="26"/>
        <v>5</v>
      </c>
      <c r="AX9" s="558"/>
    </row>
    <row r="10" spans="1:50" ht="14.25" customHeight="1">
      <c r="B10" s="530"/>
      <c r="C10" s="180">
        <v>4</v>
      </c>
      <c r="D10" s="183" t="s">
        <v>201</v>
      </c>
      <c r="E10" s="180">
        <v>23</v>
      </c>
      <c r="F10" s="180">
        <v>2000</v>
      </c>
      <c r="G10" s="185">
        <f t="shared" si="10"/>
        <v>86.956521739130437</v>
      </c>
      <c r="H10" s="558"/>
      <c r="I10" s="186">
        <f t="shared" si="16"/>
        <v>23</v>
      </c>
      <c r="J10" s="186">
        <f t="shared" si="17"/>
        <v>1777.1735461732044</v>
      </c>
      <c r="K10" s="187">
        <f t="shared" si="18"/>
        <v>77.268415051008887</v>
      </c>
      <c r="L10" s="559"/>
      <c r="M10" s="186">
        <f>RANK(K10, K$7:$K$21)</f>
        <v>7</v>
      </c>
      <c r="N10" s="530"/>
      <c r="O10" s="530"/>
      <c r="P10" s="188">
        <v>23</v>
      </c>
      <c r="Q10" s="188">
        <v>1776.330619912339</v>
      </c>
      <c r="R10" s="185">
        <f t="shared" si="19"/>
        <v>77.231766083145175</v>
      </c>
      <c r="S10" s="182">
        <f t="shared" si="20"/>
        <v>7</v>
      </c>
      <c r="T10" s="558"/>
      <c r="U10" s="188">
        <v>23</v>
      </c>
      <c r="V10" s="188">
        <v>1776.8240343347595</v>
      </c>
      <c r="W10" s="185">
        <f t="shared" si="11"/>
        <v>77.253218884119974</v>
      </c>
      <c r="X10" s="182">
        <f t="shared" si="21"/>
        <v>7</v>
      </c>
      <c r="Y10" s="558"/>
      <c r="Z10" s="188">
        <v>23</v>
      </c>
      <c r="AA10" s="188">
        <v>1777.2321428571443</v>
      </c>
      <c r="AB10" s="185">
        <f t="shared" si="12"/>
        <v>77.270962732919315</v>
      </c>
      <c r="AC10" s="182">
        <v>7</v>
      </c>
      <c r="AD10" s="558"/>
      <c r="AE10" s="188">
        <v>23</v>
      </c>
      <c r="AF10" s="188">
        <v>1777.1830985915458</v>
      </c>
      <c r="AG10" s="185">
        <f t="shared" si="22"/>
        <v>77.26883037354547</v>
      </c>
      <c r="AH10" s="182">
        <f t="shared" si="23"/>
        <v>7</v>
      </c>
      <c r="AI10" s="558"/>
      <c r="AJ10" s="188">
        <v>23</v>
      </c>
      <c r="AK10" s="188">
        <v>1777.3621412447549</v>
      </c>
      <c r="AL10" s="185">
        <f t="shared" si="13"/>
        <v>77.27661483672847</v>
      </c>
      <c r="AM10" s="182">
        <f t="shared" si="24"/>
        <v>7</v>
      </c>
      <c r="AN10" s="558"/>
      <c r="AO10" s="188">
        <v>23</v>
      </c>
      <c r="AP10" s="188">
        <v>1777.5187343880114</v>
      </c>
      <c r="AQ10" s="185">
        <f t="shared" si="14"/>
        <v>77.283423234261363</v>
      </c>
      <c r="AR10" s="182">
        <f t="shared" si="25"/>
        <v>7</v>
      </c>
      <c r="AS10" s="558"/>
      <c r="AT10" s="188">
        <v>23</v>
      </c>
      <c r="AU10" s="188">
        <v>1777.7640518838766</v>
      </c>
      <c r="AV10" s="185">
        <f t="shared" si="15"/>
        <v>77.294089212342456</v>
      </c>
      <c r="AW10" s="182">
        <f t="shared" si="26"/>
        <v>7</v>
      </c>
      <c r="AX10" s="558"/>
    </row>
    <row r="11" spans="1:50" ht="14.25" customHeight="1">
      <c r="B11" s="530"/>
      <c r="C11" s="180">
        <v>5</v>
      </c>
      <c r="D11" s="183" t="s">
        <v>202</v>
      </c>
      <c r="E11" s="180">
        <v>20</v>
      </c>
      <c r="F11" s="180">
        <v>2000</v>
      </c>
      <c r="G11" s="185">
        <f t="shared" si="10"/>
        <v>100</v>
      </c>
      <c r="H11" s="558"/>
      <c r="I11" s="186">
        <f t="shared" si="16"/>
        <v>20</v>
      </c>
      <c r="J11" s="186">
        <f t="shared" si="17"/>
        <v>1779.7850713702653</v>
      </c>
      <c r="K11" s="187">
        <f t="shared" si="18"/>
        <v>88.989253568513277</v>
      </c>
      <c r="L11" s="559"/>
      <c r="M11" s="186">
        <f>RANK(K11, K$7:$K$21)</f>
        <v>2</v>
      </c>
      <c r="N11" s="530"/>
      <c r="O11" s="530"/>
      <c r="P11" s="188">
        <v>20</v>
      </c>
      <c r="Q11" s="188">
        <v>1778.5288270377723</v>
      </c>
      <c r="R11" s="185">
        <f t="shared" si="19"/>
        <v>88.926441351888613</v>
      </c>
      <c r="S11" s="182">
        <f t="shared" si="20"/>
        <v>2</v>
      </c>
      <c r="T11" s="558"/>
      <c r="U11" s="188">
        <v>20</v>
      </c>
      <c r="V11" s="188">
        <v>1778.8617886178856</v>
      </c>
      <c r="W11" s="185">
        <f t="shared" si="11"/>
        <v>88.943089430894275</v>
      </c>
      <c r="X11" s="182">
        <f t="shared" si="21"/>
        <v>2</v>
      </c>
      <c r="Y11" s="558"/>
      <c r="Z11" s="188">
        <v>20</v>
      </c>
      <c r="AA11" s="188">
        <v>1780.2197802197729</v>
      </c>
      <c r="AB11" s="185">
        <f t="shared" si="12"/>
        <v>89.010989010988652</v>
      </c>
      <c r="AC11" s="182">
        <v>2</v>
      </c>
      <c r="AD11" s="558"/>
      <c r="AE11" s="188">
        <v>20</v>
      </c>
      <c r="AF11" s="188">
        <v>1780.434782608708</v>
      </c>
      <c r="AG11" s="185">
        <f t="shared" si="22"/>
        <v>89.021739130435407</v>
      </c>
      <c r="AH11" s="182">
        <f t="shared" si="23"/>
        <v>2</v>
      </c>
      <c r="AI11" s="558"/>
      <c r="AJ11" s="188">
        <v>20</v>
      </c>
      <c r="AK11" s="188">
        <v>1779.1666666666649</v>
      </c>
      <c r="AL11" s="185">
        <f t="shared" si="13"/>
        <v>88.958333333333243</v>
      </c>
      <c r="AM11" s="182">
        <f t="shared" si="24"/>
        <v>2</v>
      </c>
      <c r="AN11" s="558"/>
      <c r="AO11" s="188">
        <v>20</v>
      </c>
      <c r="AP11" s="188">
        <v>1780.4511278195557</v>
      </c>
      <c r="AQ11" s="185">
        <f t="shared" si="14"/>
        <v>89.022556390977783</v>
      </c>
      <c r="AR11" s="182">
        <f t="shared" si="25"/>
        <v>2</v>
      </c>
      <c r="AS11" s="558"/>
      <c r="AT11" s="188">
        <v>20</v>
      </c>
      <c r="AU11" s="188">
        <v>1780.832526621499</v>
      </c>
      <c r="AV11" s="185">
        <f t="shared" si="15"/>
        <v>89.041626331074951</v>
      </c>
      <c r="AW11" s="182">
        <f t="shared" si="26"/>
        <v>2</v>
      </c>
      <c r="AX11" s="558"/>
    </row>
    <row r="12" spans="1:50" ht="14.25" customHeight="1">
      <c r="B12" s="530"/>
      <c r="C12" s="180">
        <v>6</v>
      </c>
      <c r="D12" s="183" t="s">
        <v>203</v>
      </c>
      <c r="E12" s="180">
        <v>21</v>
      </c>
      <c r="F12" s="180">
        <v>2000</v>
      </c>
      <c r="G12" s="185">
        <f t="shared" si="10"/>
        <v>95.238095238095241</v>
      </c>
      <c r="H12" s="558"/>
      <c r="I12" s="186">
        <f t="shared" si="16"/>
        <v>21</v>
      </c>
      <c r="J12" s="186">
        <f t="shared" si="17"/>
        <v>1780.3519497654859</v>
      </c>
      <c r="K12" s="187">
        <f t="shared" si="18"/>
        <v>84.778664274546955</v>
      </c>
      <c r="L12" s="559"/>
      <c r="M12" s="186">
        <f>RANK(K12, K$7:$K$21)</f>
        <v>3</v>
      </c>
      <c r="N12" s="530"/>
      <c r="O12" s="530"/>
      <c r="P12" s="188">
        <v>21</v>
      </c>
      <c r="Q12" s="188">
        <v>1779.4453507340988</v>
      </c>
      <c r="R12" s="185">
        <f t="shared" si="19"/>
        <v>84.735492892099941</v>
      </c>
      <c r="S12" s="182">
        <f t="shared" si="20"/>
        <v>3</v>
      </c>
      <c r="T12" s="558"/>
      <c r="U12" s="188">
        <v>21</v>
      </c>
      <c r="V12" s="188">
        <v>1780</v>
      </c>
      <c r="W12" s="185">
        <f t="shared" si="11"/>
        <v>84.761904761904759</v>
      </c>
      <c r="X12" s="182">
        <f t="shared" si="21"/>
        <v>3</v>
      </c>
      <c r="Y12" s="558"/>
      <c r="Z12" s="188">
        <v>21</v>
      </c>
      <c r="AA12" s="188">
        <v>1780.3493449781736</v>
      </c>
      <c r="AB12" s="185">
        <f t="shared" si="12"/>
        <v>84.778540237055878</v>
      </c>
      <c r="AC12" s="182">
        <v>3</v>
      </c>
      <c r="AD12" s="558"/>
      <c r="AE12" s="188">
        <v>21</v>
      </c>
      <c r="AF12" s="188">
        <v>1780.6888763410548</v>
      </c>
      <c r="AG12" s="185">
        <f t="shared" si="22"/>
        <v>84.794708397193091</v>
      </c>
      <c r="AH12" s="182">
        <f t="shared" si="23"/>
        <v>3</v>
      </c>
      <c r="AI12" s="558"/>
      <c r="AJ12" s="188">
        <v>21</v>
      </c>
      <c r="AK12" s="188">
        <v>1780.6130903065477</v>
      </c>
      <c r="AL12" s="185">
        <f t="shared" si="13"/>
        <v>84.791099538407039</v>
      </c>
      <c r="AM12" s="182">
        <f t="shared" si="24"/>
        <v>3</v>
      </c>
      <c r="AN12" s="558"/>
      <c r="AO12" s="188">
        <v>21</v>
      </c>
      <c r="AP12" s="188">
        <v>1780.4347826086978</v>
      </c>
      <c r="AQ12" s="185">
        <f t="shared" si="14"/>
        <v>84.782608695652272</v>
      </c>
      <c r="AR12" s="182">
        <f t="shared" si="25"/>
        <v>3</v>
      </c>
      <c r="AS12" s="558"/>
      <c r="AT12" s="188">
        <v>21</v>
      </c>
      <c r="AU12" s="188">
        <v>1780.9322033898297</v>
      </c>
      <c r="AV12" s="185">
        <f t="shared" si="15"/>
        <v>84.806295399515705</v>
      </c>
      <c r="AW12" s="182">
        <f t="shared" si="26"/>
        <v>3</v>
      </c>
      <c r="AX12" s="558"/>
    </row>
    <row r="13" spans="1:50" ht="14.25" customHeight="1">
      <c r="B13" s="530"/>
      <c r="C13" s="180">
        <v>7</v>
      </c>
      <c r="D13" s="183" t="s">
        <v>204</v>
      </c>
      <c r="E13" s="180">
        <v>19</v>
      </c>
      <c r="F13" s="180">
        <v>1800</v>
      </c>
      <c r="G13" s="185">
        <f t="shared" si="10"/>
        <v>94.736842105263165</v>
      </c>
      <c r="H13" s="558"/>
      <c r="I13" s="186">
        <f t="shared" si="16"/>
        <v>19</v>
      </c>
      <c r="J13" s="186">
        <f t="shared" si="17"/>
        <v>1601.533383040078</v>
      </c>
      <c r="K13" s="187">
        <f t="shared" si="18"/>
        <v>84.291230686319906</v>
      </c>
      <c r="L13" s="559"/>
      <c r="M13" s="186">
        <f>RANK(K13, K$7:$K$21)</f>
        <v>4</v>
      </c>
      <c r="N13" s="530"/>
      <c r="O13" s="530"/>
      <c r="P13" s="188">
        <v>19</v>
      </c>
      <c r="Q13" s="188">
        <v>1601.2348610781289</v>
      </c>
      <c r="R13" s="185">
        <f t="shared" si="19"/>
        <v>84.275519004112041</v>
      </c>
      <c r="S13" s="182">
        <f t="shared" si="20"/>
        <v>4</v>
      </c>
      <c r="T13" s="558"/>
      <c r="U13" s="188">
        <v>19</v>
      </c>
      <c r="V13" s="188">
        <v>1601.3164556961999</v>
      </c>
      <c r="W13" s="185">
        <f t="shared" si="11"/>
        <v>84.279813457694729</v>
      </c>
      <c r="X13" s="182">
        <f t="shared" si="21"/>
        <v>4</v>
      </c>
      <c r="Y13" s="558"/>
      <c r="Z13" s="188">
        <v>19</v>
      </c>
      <c r="AA13" s="188">
        <v>1601.1876484560605</v>
      </c>
      <c r="AB13" s="185">
        <f t="shared" si="12"/>
        <v>84.27303412926635</v>
      </c>
      <c r="AC13" s="182">
        <v>4</v>
      </c>
      <c r="AD13" s="558"/>
      <c r="AE13" s="188">
        <v>19</v>
      </c>
      <c r="AF13" s="188">
        <v>1601.4340871483755</v>
      </c>
      <c r="AG13" s="185">
        <f t="shared" si="22"/>
        <v>84.286004586756604</v>
      </c>
      <c r="AH13" s="182">
        <f t="shared" si="23"/>
        <v>4</v>
      </c>
      <c r="AI13" s="558"/>
      <c r="AJ13" s="188">
        <v>19</v>
      </c>
      <c r="AK13" s="188">
        <v>1601.6687116564412</v>
      </c>
      <c r="AL13" s="185">
        <f t="shared" si="13"/>
        <v>84.298353245075859</v>
      </c>
      <c r="AM13" s="182">
        <f t="shared" si="24"/>
        <v>4</v>
      </c>
      <c r="AN13" s="558"/>
      <c r="AO13" s="188">
        <v>19</v>
      </c>
      <c r="AP13" s="188">
        <v>1601.8754186202277</v>
      </c>
      <c r="AQ13" s="185">
        <f t="shared" si="14"/>
        <v>84.309232558959351</v>
      </c>
      <c r="AR13" s="182">
        <f t="shared" si="25"/>
        <v>4</v>
      </c>
      <c r="AS13" s="558"/>
      <c r="AT13" s="188">
        <v>19</v>
      </c>
      <c r="AU13" s="188">
        <v>1602.0164986251129</v>
      </c>
      <c r="AV13" s="185">
        <f t="shared" si="15"/>
        <v>84.316657822374367</v>
      </c>
      <c r="AW13" s="182">
        <f t="shared" si="26"/>
        <v>4</v>
      </c>
      <c r="AX13" s="558"/>
    </row>
    <row r="14" spans="1:50" ht="14.25" customHeight="1">
      <c r="B14" s="530"/>
      <c r="C14" s="180">
        <v>8</v>
      </c>
      <c r="D14" s="183" t="s">
        <v>205</v>
      </c>
      <c r="E14" s="180">
        <v>19</v>
      </c>
      <c r="F14" s="180">
        <v>2000</v>
      </c>
      <c r="G14" s="185">
        <f t="shared" si="10"/>
        <v>105.26315789473684</v>
      </c>
      <c r="H14" s="558"/>
      <c r="I14" s="186">
        <f t="shared" si="16"/>
        <v>19</v>
      </c>
      <c r="J14" s="186">
        <f t="shared" si="17"/>
        <v>1776.8294219935883</v>
      </c>
      <c r="K14" s="187">
        <f t="shared" si="18"/>
        <v>93.51733799966253</v>
      </c>
      <c r="L14" s="559"/>
      <c r="M14" s="186">
        <f>RANK(K14, K$7:$K$21)</f>
        <v>1</v>
      </c>
      <c r="N14" s="530"/>
      <c r="O14" s="530"/>
      <c r="P14" s="188">
        <v>19</v>
      </c>
      <c r="Q14" s="188">
        <v>1775.7711721817188</v>
      </c>
      <c r="R14" s="185">
        <f t="shared" si="19"/>
        <v>93.461640641143092</v>
      </c>
      <c r="S14" s="182">
        <f t="shared" si="20"/>
        <v>1</v>
      </c>
      <c r="T14" s="558"/>
      <c r="U14" s="188">
        <v>19</v>
      </c>
      <c r="V14" s="188">
        <v>1775.9286775631492</v>
      </c>
      <c r="W14" s="185">
        <f t="shared" si="11"/>
        <v>93.469930398060484</v>
      </c>
      <c r="X14" s="182">
        <f t="shared" si="21"/>
        <v>1</v>
      </c>
      <c r="Y14" s="558"/>
      <c r="Z14" s="188">
        <v>19</v>
      </c>
      <c r="AA14" s="188">
        <v>1777.246327297574</v>
      </c>
      <c r="AB14" s="185">
        <f t="shared" si="12"/>
        <v>93.539280384082844</v>
      </c>
      <c r="AC14" s="182">
        <v>1</v>
      </c>
      <c r="AD14" s="558"/>
      <c r="AE14" s="188">
        <v>19</v>
      </c>
      <c r="AF14" s="188">
        <v>1777.1695594125492</v>
      </c>
      <c r="AG14" s="185">
        <f t="shared" si="22"/>
        <v>93.535239969081545</v>
      </c>
      <c r="AH14" s="182">
        <f t="shared" si="23"/>
        <v>1</v>
      </c>
      <c r="AI14" s="558"/>
      <c r="AJ14" s="188">
        <v>19</v>
      </c>
      <c r="AK14" s="188">
        <v>1777.1889400921648</v>
      </c>
      <c r="AL14" s="185">
        <f t="shared" si="13"/>
        <v>93.536260004850774</v>
      </c>
      <c r="AM14" s="182">
        <f t="shared" si="24"/>
        <v>1</v>
      </c>
      <c r="AN14" s="558"/>
      <c r="AO14" s="188">
        <v>19</v>
      </c>
      <c r="AP14" s="188">
        <v>1777.165991902837</v>
      </c>
      <c r="AQ14" s="185">
        <f t="shared" si="14"/>
        <v>93.53505220541247</v>
      </c>
      <c r="AR14" s="182">
        <f t="shared" si="25"/>
        <v>1</v>
      </c>
      <c r="AS14" s="558"/>
      <c r="AT14" s="188">
        <v>19</v>
      </c>
      <c r="AU14" s="188">
        <v>1777.335285505123</v>
      </c>
      <c r="AV14" s="185">
        <f t="shared" si="15"/>
        <v>93.543962395006474</v>
      </c>
      <c r="AW14" s="182">
        <f t="shared" si="26"/>
        <v>1</v>
      </c>
      <c r="AX14" s="558"/>
    </row>
    <row r="15" spans="1:50" ht="14.25" customHeight="1">
      <c r="B15" s="530"/>
      <c r="C15" s="180">
        <v>9</v>
      </c>
      <c r="D15" s="183"/>
      <c r="E15" s="180"/>
      <c r="F15" s="180"/>
      <c r="G15" s="185"/>
      <c r="H15" s="558"/>
      <c r="I15" s="186"/>
      <c r="J15" s="186"/>
      <c r="K15" s="187"/>
      <c r="L15" s="559"/>
      <c r="M15" s="186"/>
      <c r="N15" s="530"/>
      <c r="O15" s="530"/>
      <c r="P15" s="188"/>
      <c r="Q15" s="188"/>
      <c r="R15" s="185"/>
      <c r="S15" s="182"/>
      <c r="T15" s="558"/>
      <c r="U15" s="188"/>
      <c r="V15" s="188"/>
      <c r="W15" s="185"/>
      <c r="X15" s="182"/>
      <c r="Y15" s="558"/>
      <c r="Z15" s="188"/>
      <c r="AA15" s="188"/>
      <c r="AB15" s="185"/>
      <c r="AC15" s="182"/>
      <c r="AD15" s="558"/>
      <c r="AE15" s="188"/>
      <c r="AF15" s="188"/>
      <c r="AG15" s="185"/>
      <c r="AH15" s="182"/>
      <c r="AI15" s="558"/>
      <c r="AJ15" s="188"/>
      <c r="AK15" s="188"/>
      <c r="AL15" s="185"/>
      <c r="AM15" s="182"/>
      <c r="AN15" s="558"/>
      <c r="AO15" s="188"/>
      <c r="AP15" s="188"/>
      <c r="AQ15" s="185"/>
      <c r="AR15" s="182"/>
      <c r="AS15" s="558"/>
      <c r="AT15" s="188"/>
      <c r="AU15" s="188"/>
      <c r="AV15" s="185"/>
      <c r="AW15" s="182"/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27">U22+1</f>
        <v>46058</v>
      </c>
      <c r="AA22" s="597"/>
      <c r="AB22" s="597"/>
      <c r="AC22" s="597"/>
      <c r="AD22" s="597"/>
      <c r="AE22" s="598">
        <f t="shared" ref="AE22" si="28">Z22+1</f>
        <v>46059</v>
      </c>
      <c r="AF22" s="599"/>
      <c r="AG22" s="599"/>
      <c r="AH22" s="599"/>
      <c r="AI22" s="599"/>
      <c r="AJ22" s="588">
        <f t="shared" ref="AJ22" si="29">AE22+1</f>
        <v>46060</v>
      </c>
      <c r="AK22" s="589"/>
      <c r="AL22" s="589"/>
      <c r="AM22" s="589"/>
      <c r="AN22" s="590"/>
      <c r="AO22" s="598">
        <f t="shared" ref="AO22" si="30">AJ22+1</f>
        <v>46061</v>
      </c>
      <c r="AP22" s="599"/>
      <c r="AQ22" s="599"/>
      <c r="AR22" s="599"/>
      <c r="AS22" s="599"/>
      <c r="AT22" s="588">
        <f t="shared" ref="AT22" si="31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32">Z22</f>
        <v>46058</v>
      </c>
      <c r="AA23" s="591"/>
      <c r="AB23" s="591"/>
      <c r="AC23" s="591"/>
      <c r="AD23" s="591"/>
      <c r="AE23" s="592">
        <f t="shared" ref="AE23" si="33">AE22</f>
        <v>46059</v>
      </c>
      <c r="AF23" s="592"/>
      <c r="AG23" s="592"/>
      <c r="AH23" s="592"/>
      <c r="AI23" s="592"/>
      <c r="AJ23" s="593">
        <f t="shared" ref="AJ23" si="34">AJ22</f>
        <v>46060</v>
      </c>
      <c r="AK23" s="594"/>
      <c r="AL23" s="594"/>
      <c r="AM23" s="594"/>
      <c r="AN23" s="595"/>
      <c r="AO23" s="592">
        <f t="shared" ref="AO23" si="35">AO22</f>
        <v>46061</v>
      </c>
      <c r="AP23" s="592"/>
      <c r="AQ23" s="592"/>
      <c r="AR23" s="592"/>
      <c r="AS23" s="592"/>
      <c r="AT23" s="593">
        <f t="shared" ref="AT23" si="36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530" t="s">
        <v>197</v>
      </c>
      <c r="C27" s="180">
        <v>1</v>
      </c>
      <c r="D27" s="183" t="s">
        <v>198</v>
      </c>
      <c r="E27" s="180">
        <v>25</v>
      </c>
      <c r="F27" s="180">
        <v>2000</v>
      </c>
      <c r="G27" s="185">
        <f t="shared" ref="G27:G34" si="37">F27/E27</f>
        <v>80</v>
      </c>
      <c r="H27" s="558">
        <f>AVERAGE(G27:G41)</f>
        <v>92.013457556935819</v>
      </c>
      <c r="I27" s="186">
        <f>AVERAGE(P27,U27,Z27,AE27,AJ27,AO27,AT27)</f>
        <v>25</v>
      </c>
      <c r="J27" s="186">
        <f>AVERAGE(Q27,V27,AA27,AF27,AK27,AP27,AU27)</f>
        <v>1778.8991271652642</v>
      </c>
      <c r="K27" s="187">
        <f>AVERAGE(R27,W27,AB27,AG27,AL27,AQ27,AV27)</f>
        <v>71.155965086610564</v>
      </c>
      <c r="L27" s="559">
        <f>IFERROR(AVERAGE(K27:K41),"-")</f>
        <v>81.884984557586122</v>
      </c>
      <c r="M27" s="186">
        <f>RANK(K27, K$27:$K$41)</f>
        <v>8</v>
      </c>
      <c r="N27" s="530"/>
      <c r="O27" s="530"/>
      <c r="P27" s="188">
        <v>25</v>
      </c>
      <c r="Q27" s="188">
        <v>1777.9369232888032</v>
      </c>
      <c r="R27" s="185">
        <f>IFERROR(Q27/P27,"")</f>
        <v>71.117476931552133</v>
      </c>
      <c r="S27" s="182">
        <f>RANK(R27, R$27:R$41)</f>
        <v>8</v>
      </c>
      <c r="T27" s="558">
        <f>AVERAGE(R27:R41)</f>
        <v>81.861206895815172</v>
      </c>
      <c r="U27" s="188">
        <v>25</v>
      </c>
      <c r="V27" s="188">
        <v>1778.0176086339109</v>
      </c>
      <c r="W27" s="185">
        <f t="shared" ref="W27:W34" si="38">IFERROR(V27/U27,"")</f>
        <v>71.12070434535643</v>
      </c>
      <c r="X27" s="182">
        <f>RANK(W27, W$27:W$41)</f>
        <v>8</v>
      </c>
      <c r="Y27" s="558">
        <f>AVERAGE(W27:W41)</f>
        <v>81.862777281675676</v>
      </c>
      <c r="Z27" s="188">
        <v>25</v>
      </c>
      <c r="AA27" s="188">
        <v>1779.2160437556968</v>
      </c>
      <c r="AB27" s="185">
        <f t="shared" ref="AB27:AB34" si="39">IFERROR(AA27/Z27,"")</f>
        <v>71.168641750227877</v>
      </c>
      <c r="AC27" s="182">
        <f>RANK(AB27, AB$27:AB$41)</f>
        <v>8</v>
      </c>
      <c r="AD27" s="558">
        <f>AVERAGE(AB27:AB41)</f>
        <v>81.887322680451973</v>
      </c>
      <c r="AE27" s="188">
        <v>25</v>
      </c>
      <c r="AF27" s="188">
        <v>1779.3790469865517</v>
      </c>
      <c r="AG27" s="185">
        <f>IFERROR(AF27/AE27,"")</f>
        <v>71.175161879462067</v>
      </c>
      <c r="AH27" s="182">
        <f>RANK(AG27, AG$27:AG$41)</f>
        <v>8</v>
      </c>
      <c r="AI27" s="558">
        <f>AVERAGE(AG27:AG41)</f>
        <v>81.893524155648521</v>
      </c>
      <c r="AJ27" s="188">
        <v>25</v>
      </c>
      <c r="AK27" s="188">
        <v>1779.2801981640678</v>
      </c>
      <c r="AL27" s="185">
        <f t="shared" ref="AL27:AL34" si="40">IFERROR(AK27/AJ27,"")</f>
        <v>71.171207926562715</v>
      </c>
      <c r="AM27" s="182">
        <f>RANK(AL27, AL$27:AL$41)</f>
        <v>8</v>
      </c>
      <c r="AN27" s="558">
        <f>AVERAGE(AL27:AL41)</f>
        <v>81.900247695263644</v>
      </c>
      <c r="AO27" s="188">
        <v>25</v>
      </c>
      <c r="AP27" s="188">
        <v>1779.2460163233582</v>
      </c>
      <c r="AQ27" s="185">
        <f t="shared" ref="AQ27:AQ34" si="41">IFERROR(AP27/AO27,"")</f>
        <v>71.169840652934326</v>
      </c>
      <c r="AR27" s="182">
        <f>RANK(AQ27, AQ$27:AQ$41)</f>
        <v>8</v>
      </c>
      <c r="AS27" s="558">
        <f>AVERAGE(AQ27:AQ41)</f>
        <v>81.895037901113824</v>
      </c>
      <c r="AT27" s="188">
        <v>25</v>
      </c>
      <c r="AU27" s="188">
        <v>1779.2180530044607</v>
      </c>
      <c r="AV27" s="185">
        <f t="shared" ref="AV27:AV34" si="42">IFERROR(AU27/AT27,"")</f>
        <v>71.16872212017843</v>
      </c>
      <c r="AW27" s="182">
        <f>RANK(AV27, AV$27:AV$41)</f>
        <v>8</v>
      </c>
      <c r="AX27" s="558">
        <f>AVERAGE(AV27:AV41)</f>
        <v>81.894775293134003</v>
      </c>
    </row>
    <row r="28" spans="2:50" ht="14.25" customHeight="1">
      <c r="B28" s="530"/>
      <c r="C28" s="180">
        <v>2</v>
      </c>
      <c r="D28" s="183" t="s">
        <v>199</v>
      </c>
      <c r="E28" s="180">
        <v>23</v>
      </c>
      <c r="F28" s="180">
        <v>2000</v>
      </c>
      <c r="G28" s="185">
        <f t="shared" si="37"/>
        <v>86.956521739130437</v>
      </c>
      <c r="H28" s="558"/>
      <c r="I28" s="186">
        <f t="shared" ref="I28:K34" si="43">AVERAGE(P28,U28,Z28,AE28,AJ28,AO28,AT28)</f>
        <v>23</v>
      </c>
      <c r="J28" s="186">
        <f t="shared" si="43"/>
        <v>1779.4252478146789</v>
      </c>
      <c r="K28" s="187">
        <f t="shared" si="43"/>
        <v>77.366315122377358</v>
      </c>
      <c r="L28" s="559"/>
      <c r="M28" s="186">
        <f>RANK(K28, K$27:$K$41)</f>
        <v>6</v>
      </c>
      <c r="N28" s="530"/>
      <c r="O28" s="530"/>
      <c r="P28" s="188">
        <v>23</v>
      </c>
      <c r="Q28" s="188">
        <v>1779.3434747798235</v>
      </c>
      <c r="R28" s="185">
        <f t="shared" ref="R28:R34" si="44">IFERROR(Q28/P28,"")</f>
        <v>77.362759773035805</v>
      </c>
      <c r="S28" s="182">
        <f t="shared" ref="S28:S34" si="45">RANK(R28, R$27:R$41)</f>
        <v>6</v>
      </c>
      <c r="T28" s="558"/>
      <c r="U28" s="188">
        <v>23</v>
      </c>
      <c r="V28" s="188">
        <v>1779.1850220264291</v>
      </c>
      <c r="W28" s="185">
        <f t="shared" si="38"/>
        <v>77.355870522888225</v>
      </c>
      <c r="X28" s="182">
        <f t="shared" ref="X28:X34" si="46">RANK(W28, W$27:W$41)</f>
        <v>6</v>
      </c>
      <c r="Y28" s="558"/>
      <c r="Z28" s="188">
        <v>23</v>
      </c>
      <c r="AA28" s="188">
        <v>1779.0767186981047</v>
      </c>
      <c r="AB28" s="185">
        <f t="shared" si="39"/>
        <v>77.351161682526296</v>
      </c>
      <c r="AC28" s="182">
        <f t="shared" ref="AC28:AC34" si="47">RANK(AB28, AB$27:AB$41)</f>
        <v>7</v>
      </c>
      <c r="AD28" s="558"/>
      <c r="AE28" s="188">
        <v>23</v>
      </c>
      <c r="AF28" s="188">
        <v>1779.3499043977047</v>
      </c>
      <c r="AG28" s="185">
        <f t="shared" ref="AG28:AG34" si="48">IFERROR(AF28/AE28,"")</f>
        <v>77.363039321639334</v>
      </c>
      <c r="AH28" s="182">
        <f t="shared" ref="AH28:AH34" si="49">RANK(AG28, AG$27:AG$41)</f>
        <v>6</v>
      </c>
      <c r="AI28" s="558"/>
      <c r="AJ28" s="188">
        <v>23</v>
      </c>
      <c r="AK28" s="188">
        <v>1779.5752109397763</v>
      </c>
      <c r="AL28" s="185">
        <f t="shared" si="40"/>
        <v>77.372835258251143</v>
      </c>
      <c r="AM28" s="182">
        <f t="shared" ref="AM28:AM34" si="50">RANK(AL28, AL$27:AL$41)</f>
        <v>6</v>
      </c>
      <c r="AN28" s="558"/>
      <c r="AO28" s="188">
        <v>23</v>
      </c>
      <c r="AP28" s="188">
        <v>1779.7145003756571</v>
      </c>
      <c r="AQ28" s="185">
        <f t="shared" si="41"/>
        <v>77.378891320680736</v>
      </c>
      <c r="AR28" s="182">
        <f t="shared" ref="AR28:AR34" si="51">RANK(AQ28, AQ$27:AQ$41)</f>
        <v>5</v>
      </c>
      <c r="AS28" s="558"/>
      <c r="AT28" s="188">
        <v>23</v>
      </c>
      <c r="AU28" s="188">
        <v>1779.7319034852574</v>
      </c>
      <c r="AV28" s="185">
        <f t="shared" si="42"/>
        <v>77.379647977619882</v>
      </c>
      <c r="AW28" s="182">
        <f t="shared" ref="AW28:AW34" si="52">RANK(AV28, AV$27:AV$41)</f>
        <v>5</v>
      </c>
      <c r="AX28" s="558"/>
    </row>
    <row r="29" spans="2:50" ht="14.25" customHeight="1">
      <c r="B29" s="530"/>
      <c r="C29" s="180">
        <v>3</v>
      </c>
      <c r="D29" s="183" t="s">
        <v>200</v>
      </c>
      <c r="E29" s="180">
        <v>23</v>
      </c>
      <c r="F29" s="180">
        <v>2000</v>
      </c>
      <c r="G29" s="185">
        <f t="shared" si="37"/>
        <v>86.956521739130437</v>
      </c>
      <c r="H29" s="558"/>
      <c r="I29" s="186">
        <f t="shared" si="43"/>
        <v>23</v>
      </c>
      <c r="J29" s="186">
        <f t="shared" si="43"/>
        <v>1779.6727661997622</v>
      </c>
      <c r="K29" s="187">
        <f t="shared" si="43"/>
        <v>77.377076791294016</v>
      </c>
      <c r="L29" s="559"/>
      <c r="M29" s="186">
        <f>RANK(K29, K$27:$K$41)</f>
        <v>5</v>
      </c>
      <c r="N29" s="530"/>
      <c r="O29" s="530"/>
      <c r="P29" s="188">
        <v>23</v>
      </c>
      <c r="Q29" s="188">
        <v>1779.4818652849729</v>
      </c>
      <c r="R29" s="185">
        <f t="shared" si="44"/>
        <v>77.368776751520556</v>
      </c>
      <c r="S29" s="182">
        <f t="shared" si="45"/>
        <v>5</v>
      </c>
      <c r="T29" s="558"/>
      <c r="U29" s="188">
        <v>23</v>
      </c>
      <c r="V29" s="188">
        <v>1779.6033994334296</v>
      </c>
      <c r="W29" s="185">
        <f t="shared" si="38"/>
        <v>77.374060844931719</v>
      </c>
      <c r="X29" s="182">
        <f t="shared" si="46"/>
        <v>5</v>
      </c>
      <c r="Y29" s="558"/>
      <c r="Z29" s="188">
        <v>23</v>
      </c>
      <c r="AA29" s="188">
        <v>1779.9141630901263</v>
      </c>
      <c r="AB29" s="185">
        <f t="shared" si="39"/>
        <v>77.387572308266357</v>
      </c>
      <c r="AC29" s="182">
        <f t="shared" si="47"/>
        <v>5</v>
      </c>
      <c r="AD29" s="558"/>
      <c r="AE29" s="188">
        <v>23</v>
      </c>
      <c r="AF29" s="188">
        <v>1779.7101449275397</v>
      </c>
      <c r="AG29" s="185">
        <f t="shared" si="48"/>
        <v>77.378701953371291</v>
      </c>
      <c r="AH29" s="182">
        <f t="shared" si="49"/>
        <v>5</v>
      </c>
      <c r="AI29" s="558"/>
      <c r="AJ29" s="188">
        <v>23</v>
      </c>
      <c r="AK29" s="188">
        <v>1779.8065764023181</v>
      </c>
      <c r="AL29" s="185">
        <f t="shared" si="40"/>
        <v>77.382894626187749</v>
      </c>
      <c r="AM29" s="182">
        <f t="shared" si="50"/>
        <v>5</v>
      </c>
      <c r="AN29" s="558"/>
      <c r="AO29" s="188">
        <v>23</v>
      </c>
      <c r="AP29" s="188">
        <v>1779.6407185628746</v>
      </c>
      <c r="AQ29" s="185">
        <f t="shared" si="41"/>
        <v>77.375683415777161</v>
      </c>
      <c r="AR29" s="182">
        <f t="shared" si="51"/>
        <v>6</v>
      </c>
      <c r="AS29" s="558"/>
      <c r="AT29" s="188">
        <v>23</v>
      </c>
      <c r="AU29" s="188">
        <v>1779.5524956970739</v>
      </c>
      <c r="AV29" s="185">
        <f t="shared" si="42"/>
        <v>77.371847639003221</v>
      </c>
      <c r="AW29" s="182">
        <f t="shared" si="52"/>
        <v>6</v>
      </c>
      <c r="AX29" s="558"/>
    </row>
    <row r="30" spans="2:50" ht="14.25" customHeight="1">
      <c r="B30" s="530"/>
      <c r="C30" s="180">
        <v>4</v>
      </c>
      <c r="D30" s="183" t="s">
        <v>201</v>
      </c>
      <c r="E30" s="180">
        <v>23</v>
      </c>
      <c r="F30" s="180">
        <v>2000</v>
      </c>
      <c r="G30" s="185">
        <f t="shared" si="37"/>
        <v>86.956521739130437</v>
      </c>
      <c r="H30" s="558"/>
      <c r="I30" s="186">
        <f t="shared" si="43"/>
        <v>23</v>
      </c>
      <c r="J30" s="186">
        <f t="shared" si="43"/>
        <v>1778.8976564628385</v>
      </c>
      <c r="K30" s="187">
        <f t="shared" si="43"/>
        <v>77.343376367949503</v>
      </c>
      <c r="L30" s="559"/>
      <c r="M30" s="186">
        <f>RANK(K30, K$27:$K$41)</f>
        <v>7</v>
      </c>
      <c r="N30" s="530"/>
      <c r="O30" s="530"/>
      <c r="P30" s="188">
        <v>23</v>
      </c>
      <c r="Q30" s="188">
        <v>1777.984857309259</v>
      </c>
      <c r="R30" s="185">
        <f t="shared" si="44"/>
        <v>77.303689448228653</v>
      </c>
      <c r="S30" s="182">
        <f t="shared" si="45"/>
        <v>7</v>
      </c>
      <c r="T30" s="558"/>
      <c r="U30" s="188">
        <v>23</v>
      </c>
      <c r="V30" s="188">
        <v>1778.1123335263464</v>
      </c>
      <c r="W30" s="185">
        <f t="shared" si="38"/>
        <v>77.309231892449844</v>
      </c>
      <c r="X30" s="182">
        <f t="shared" si="46"/>
        <v>7</v>
      </c>
      <c r="Y30" s="558"/>
      <c r="Z30" s="188">
        <v>23</v>
      </c>
      <c r="AA30" s="188">
        <v>1779.1798107255549</v>
      </c>
      <c r="AB30" s="185">
        <f t="shared" si="39"/>
        <v>77.355643944589346</v>
      </c>
      <c r="AC30" s="182">
        <f t="shared" si="47"/>
        <v>6</v>
      </c>
      <c r="AD30" s="558"/>
      <c r="AE30" s="188">
        <v>23</v>
      </c>
      <c r="AF30" s="188">
        <v>1779.1268758526576</v>
      </c>
      <c r="AG30" s="185">
        <f t="shared" si="48"/>
        <v>77.353342428376422</v>
      </c>
      <c r="AH30" s="182">
        <f t="shared" si="49"/>
        <v>7</v>
      </c>
      <c r="AI30" s="558"/>
      <c r="AJ30" s="188">
        <v>23</v>
      </c>
      <c r="AK30" s="188">
        <v>1779.3499043977047</v>
      </c>
      <c r="AL30" s="185">
        <f t="shared" si="40"/>
        <v>77.363039321639334</v>
      </c>
      <c r="AM30" s="182">
        <f t="shared" si="50"/>
        <v>7</v>
      </c>
      <c r="AN30" s="558"/>
      <c r="AO30" s="188">
        <v>23</v>
      </c>
      <c r="AP30" s="188">
        <v>1779.3544945318779</v>
      </c>
      <c r="AQ30" s="185">
        <f t="shared" si="41"/>
        <v>77.363238892690347</v>
      </c>
      <c r="AR30" s="182">
        <f t="shared" si="51"/>
        <v>7</v>
      </c>
      <c r="AS30" s="558"/>
      <c r="AT30" s="188">
        <v>23</v>
      </c>
      <c r="AU30" s="188">
        <v>1779.1753188964685</v>
      </c>
      <c r="AV30" s="185">
        <f t="shared" si="42"/>
        <v>77.355448647672546</v>
      </c>
      <c r="AW30" s="182">
        <f t="shared" si="52"/>
        <v>7</v>
      </c>
      <c r="AX30" s="558"/>
    </row>
    <row r="31" spans="2:50" ht="14.25" customHeight="1">
      <c r="B31" s="530"/>
      <c r="C31" s="180">
        <v>5</v>
      </c>
      <c r="D31" s="183" t="s">
        <v>202</v>
      </c>
      <c r="E31" s="180">
        <v>20</v>
      </c>
      <c r="F31" s="180">
        <v>2000</v>
      </c>
      <c r="G31" s="185">
        <f t="shared" si="37"/>
        <v>100</v>
      </c>
      <c r="H31" s="558"/>
      <c r="I31" s="186">
        <f t="shared" si="43"/>
        <v>20</v>
      </c>
      <c r="J31" s="186">
        <f t="shared" si="43"/>
        <v>1780.8612041670024</v>
      </c>
      <c r="K31" s="187">
        <f t="shared" si="43"/>
        <v>89.043060208350113</v>
      </c>
      <c r="L31" s="559"/>
      <c r="M31" s="186">
        <f>RANK(K31, K$27:$K$41)</f>
        <v>2</v>
      </c>
      <c r="N31" s="530"/>
      <c r="O31" s="530"/>
      <c r="P31" s="188">
        <v>20</v>
      </c>
      <c r="Q31" s="188">
        <v>1781.5068493150729</v>
      </c>
      <c r="R31" s="185">
        <f t="shared" si="44"/>
        <v>89.07534246575365</v>
      </c>
      <c r="S31" s="182">
        <f t="shared" si="45"/>
        <v>2</v>
      </c>
      <c r="T31" s="558"/>
      <c r="U31" s="188">
        <v>20</v>
      </c>
      <c r="V31" s="188">
        <v>1781.1745776347557</v>
      </c>
      <c r="W31" s="185">
        <f t="shared" si="38"/>
        <v>89.058728881737778</v>
      </c>
      <c r="X31" s="182">
        <f t="shared" si="46"/>
        <v>2</v>
      </c>
      <c r="Y31" s="558"/>
      <c r="Z31" s="188">
        <v>20</v>
      </c>
      <c r="AA31" s="188">
        <v>1781.1846689895465</v>
      </c>
      <c r="AB31" s="185">
        <f t="shared" si="39"/>
        <v>89.059233449477318</v>
      </c>
      <c r="AC31" s="182">
        <f t="shared" si="47"/>
        <v>2</v>
      </c>
      <c r="AD31" s="558"/>
      <c r="AE31" s="188">
        <v>20</v>
      </c>
      <c r="AF31" s="188">
        <v>1780.795344325895</v>
      </c>
      <c r="AG31" s="185">
        <f t="shared" si="48"/>
        <v>89.039767216294749</v>
      </c>
      <c r="AH31" s="182">
        <f t="shared" si="49"/>
        <v>2</v>
      </c>
      <c r="AI31" s="558"/>
      <c r="AJ31" s="188">
        <v>20</v>
      </c>
      <c r="AK31" s="188">
        <v>1780.8102345415848</v>
      </c>
      <c r="AL31" s="185">
        <f t="shared" si="40"/>
        <v>89.040511727079235</v>
      </c>
      <c r="AM31" s="182">
        <f t="shared" si="50"/>
        <v>2</v>
      </c>
      <c r="AN31" s="558"/>
      <c r="AO31" s="188">
        <v>20</v>
      </c>
      <c r="AP31" s="188">
        <v>1780.1574803149692</v>
      </c>
      <c r="AQ31" s="185">
        <f t="shared" si="41"/>
        <v>89.007874015748456</v>
      </c>
      <c r="AR31" s="182">
        <f t="shared" si="51"/>
        <v>2</v>
      </c>
      <c r="AS31" s="558"/>
      <c r="AT31" s="188">
        <v>20</v>
      </c>
      <c r="AU31" s="188">
        <v>1780.3992740471926</v>
      </c>
      <c r="AV31" s="185">
        <f t="shared" si="42"/>
        <v>89.019963702359632</v>
      </c>
      <c r="AW31" s="182">
        <f t="shared" si="52"/>
        <v>2</v>
      </c>
      <c r="AX31" s="558"/>
    </row>
    <row r="32" spans="2:50" ht="14.25" customHeight="1">
      <c r="B32" s="530"/>
      <c r="C32" s="180">
        <v>6</v>
      </c>
      <c r="D32" s="183" t="s">
        <v>203</v>
      </c>
      <c r="E32" s="180">
        <v>21</v>
      </c>
      <c r="F32" s="180">
        <v>2000</v>
      </c>
      <c r="G32" s="185">
        <f t="shared" si="37"/>
        <v>95.238095238095241</v>
      </c>
      <c r="H32" s="558"/>
      <c r="I32" s="186">
        <f t="shared" si="43"/>
        <v>21</v>
      </c>
      <c r="J32" s="186">
        <f t="shared" si="43"/>
        <v>1781.4528719087041</v>
      </c>
      <c r="K32" s="187">
        <f t="shared" si="43"/>
        <v>84.831089138509711</v>
      </c>
      <c r="L32" s="559"/>
      <c r="M32" s="186">
        <f>RANK(K32, K$27:$K$41)</f>
        <v>3</v>
      </c>
      <c r="N32" s="530"/>
      <c r="O32" s="530"/>
      <c r="P32" s="188">
        <v>21</v>
      </c>
      <c r="Q32" s="188">
        <v>1780.754716981133</v>
      </c>
      <c r="R32" s="185">
        <f t="shared" si="44"/>
        <v>84.797843665768241</v>
      </c>
      <c r="S32" s="182">
        <f t="shared" si="45"/>
        <v>3</v>
      </c>
      <c r="T32" s="558"/>
      <c r="U32" s="188">
        <v>21</v>
      </c>
      <c r="V32" s="188">
        <v>1780.6748466257723</v>
      </c>
      <c r="W32" s="185">
        <f t="shared" si="38"/>
        <v>84.794040315512959</v>
      </c>
      <c r="X32" s="182">
        <f t="shared" si="46"/>
        <v>3</v>
      </c>
      <c r="Y32" s="558"/>
      <c r="Z32" s="188">
        <v>21</v>
      </c>
      <c r="AA32" s="188">
        <v>1781.3012575177679</v>
      </c>
      <c r="AB32" s="185">
        <f t="shared" si="39"/>
        <v>84.823869405607994</v>
      </c>
      <c r="AC32" s="182">
        <f t="shared" si="47"/>
        <v>3</v>
      </c>
      <c r="AD32" s="558"/>
      <c r="AE32" s="188">
        <v>21</v>
      </c>
      <c r="AF32" s="188">
        <v>1781.7977528089918</v>
      </c>
      <c r="AG32" s="185">
        <f t="shared" si="48"/>
        <v>84.847512038523419</v>
      </c>
      <c r="AH32" s="182">
        <f t="shared" si="49"/>
        <v>3</v>
      </c>
      <c r="AI32" s="558"/>
      <c r="AJ32" s="188">
        <v>21</v>
      </c>
      <c r="AK32" s="188">
        <v>1781.9921705089157</v>
      </c>
      <c r="AL32" s="185">
        <f t="shared" si="40"/>
        <v>84.856770024234081</v>
      </c>
      <c r="AM32" s="182">
        <f t="shared" si="50"/>
        <v>3</v>
      </c>
      <c r="AN32" s="558"/>
      <c r="AO32" s="188">
        <v>21</v>
      </c>
      <c r="AP32" s="188">
        <v>1781.8574514038921</v>
      </c>
      <c r="AQ32" s="185">
        <f t="shared" si="41"/>
        <v>84.850354828756764</v>
      </c>
      <c r="AR32" s="182">
        <f t="shared" si="51"/>
        <v>3</v>
      </c>
      <c r="AS32" s="558"/>
      <c r="AT32" s="188">
        <v>21</v>
      </c>
      <c r="AU32" s="188">
        <v>1781.7919075144546</v>
      </c>
      <c r="AV32" s="185">
        <f t="shared" si="42"/>
        <v>84.847233691164504</v>
      </c>
      <c r="AW32" s="182">
        <f t="shared" si="52"/>
        <v>3</v>
      </c>
      <c r="AX32" s="558"/>
    </row>
    <row r="33" spans="2:50" ht="14.25" customHeight="1">
      <c r="B33" s="530"/>
      <c r="C33" s="180">
        <v>7</v>
      </c>
      <c r="D33" s="183" t="s">
        <v>204</v>
      </c>
      <c r="E33" s="180">
        <v>19</v>
      </c>
      <c r="F33" s="180">
        <v>1800</v>
      </c>
      <c r="G33" s="185">
        <f t="shared" si="37"/>
        <v>94.736842105263165</v>
      </c>
      <c r="H33" s="558"/>
      <c r="I33" s="186">
        <f t="shared" si="43"/>
        <v>19</v>
      </c>
      <c r="J33" s="186">
        <f t="shared" si="43"/>
        <v>1602.3104037769008</v>
      </c>
      <c r="K33" s="187">
        <f t="shared" si="43"/>
        <v>84.332126514573716</v>
      </c>
      <c r="L33" s="559"/>
      <c r="M33" s="186">
        <f>RANK(K33, K$27:$K$41)</f>
        <v>4</v>
      </c>
      <c r="N33" s="530"/>
      <c r="O33" s="530"/>
      <c r="P33" s="188">
        <v>19</v>
      </c>
      <c r="Q33" s="188">
        <v>1601.917808219177</v>
      </c>
      <c r="R33" s="185">
        <f t="shared" si="44"/>
        <v>84.311463590483001</v>
      </c>
      <c r="S33" s="182">
        <f t="shared" si="45"/>
        <v>4</v>
      </c>
      <c r="T33" s="558"/>
      <c r="U33" s="188">
        <v>19</v>
      </c>
      <c r="V33" s="188">
        <v>1602.1242697822622</v>
      </c>
      <c r="W33" s="185">
        <f t="shared" si="38"/>
        <v>84.322329988540119</v>
      </c>
      <c r="X33" s="182">
        <f t="shared" si="46"/>
        <v>4</v>
      </c>
      <c r="Y33" s="558"/>
      <c r="Z33" s="188">
        <v>19</v>
      </c>
      <c r="AA33" s="188">
        <v>1602.0343293070587</v>
      </c>
      <c r="AB33" s="185">
        <f t="shared" si="39"/>
        <v>84.317596279318877</v>
      </c>
      <c r="AC33" s="182">
        <f t="shared" si="47"/>
        <v>4</v>
      </c>
      <c r="AD33" s="558"/>
      <c r="AE33" s="188">
        <v>19</v>
      </c>
      <c r="AF33" s="188">
        <v>1602.3550191345303</v>
      </c>
      <c r="AG33" s="185">
        <f t="shared" si="48"/>
        <v>84.334474691291064</v>
      </c>
      <c r="AH33" s="182">
        <f t="shared" si="49"/>
        <v>4</v>
      </c>
      <c r="AI33" s="558"/>
      <c r="AJ33" s="188">
        <v>19</v>
      </c>
      <c r="AK33" s="188">
        <v>1602.6483050847464</v>
      </c>
      <c r="AL33" s="185">
        <f t="shared" si="40"/>
        <v>84.349910793934029</v>
      </c>
      <c r="AM33" s="182">
        <f t="shared" si="50"/>
        <v>4</v>
      </c>
      <c r="AN33" s="558"/>
      <c r="AO33" s="188">
        <v>19</v>
      </c>
      <c r="AP33" s="188">
        <v>1602.6014801525027</v>
      </c>
      <c r="AQ33" s="185">
        <f t="shared" si="41"/>
        <v>84.34744632381593</v>
      </c>
      <c r="AR33" s="182">
        <f t="shared" si="51"/>
        <v>4</v>
      </c>
      <c r="AS33" s="558"/>
      <c r="AT33" s="188">
        <v>19</v>
      </c>
      <c r="AU33" s="188">
        <v>1602.491614758027</v>
      </c>
      <c r="AV33" s="185">
        <f t="shared" si="42"/>
        <v>84.341663934633004</v>
      </c>
      <c r="AW33" s="182">
        <f t="shared" si="52"/>
        <v>4</v>
      </c>
      <c r="AX33" s="558"/>
    </row>
    <row r="34" spans="2:50" ht="14.25" customHeight="1">
      <c r="B34" s="530"/>
      <c r="C34" s="180">
        <v>8</v>
      </c>
      <c r="D34" s="183" t="s">
        <v>205</v>
      </c>
      <c r="E34" s="180">
        <v>19</v>
      </c>
      <c r="F34" s="180">
        <v>2000</v>
      </c>
      <c r="G34" s="185">
        <f t="shared" si="37"/>
        <v>105.26315789473684</v>
      </c>
      <c r="H34" s="558"/>
      <c r="I34" s="186">
        <f t="shared" si="43"/>
        <v>19</v>
      </c>
      <c r="J34" s="186">
        <f t="shared" si="43"/>
        <v>1778.9864773894551</v>
      </c>
      <c r="K34" s="187">
        <f t="shared" si="43"/>
        <v>93.63086723102397</v>
      </c>
      <c r="L34" s="559"/>
      <c r="M34" s="186">
        <f>RANK(K34, K$27:$K$41)</f>
        <v>1</v>
      </c>
      <c r="N34" s="530"/>
      <c r="O34" s="530"/>
      <c r="P34" s="188">
        <v>19</v>
      </c>
      <c r="Q34" s="188">
        <v>1777.4937482634064</v>
      </c>
      <c r="R34" s="185">
        <f t="shared" si="44"/>
        <v>93.552302540179284</v>
      </c>
      <c r="S34" s="182">
        <f t="shared" si="45"/>
        <v>1</v>
      </c>
      <c r="T34" s="558"/>
      <c r="U34" s="188">
        <v>19</v>
      </c>
      <c r="V34" s="188">
        <v>1777.7777777777756</v>
      </c>
      <c r="W34" s="185">
        <f t="shared" si="38"/>
        <v>93.567251461988192</v>
      </c>
      <c r="X34" s="182">
        <f t="shared" si="46"/>
        <v>1</v>
      </c>
      <c r="Y34" s="558"/>
      <c r="Z34" s="188">
        <v>19</v>
      </c>
      <c r="AA34" s="188">
        <v>1779.0623898484341</v>
      </c>
      <c r="AB34" s="185">
        <f t="shared" si="39"/>
        <v>93.634862623601791</v>
      </c>
      <c r="AC34" s="182">
        <f t="shared" si="47"/>
        <v>1</v>
      </c>
      <c r="AD34" s="558"/>
      <c r="AE34" s="188">
        <v>19</v>
      </c>
      <c r="AF34" s="188">
        <v>1779.467680608366</v>
      </c>
      <c r="AG34" s="185">
        <f t="shared" si="48"/>
        <v>93.656193716229794</v>
      </c>
      <c r="AH34" s="182">
        <f t="shared" si="49"/>
        <v>1</v>
      </c>
      <c r="AI34" s="558"/>
      <c r="AJ34" s="188">
        <v>19</v>
      </c>
      <c r="AK34" s="188">
        <v>1779.6314258001971</v>
      </c>
      <c r="AL34" s="185">
        <f t="shared" si="40"/>
        <v>93.664811884220896</v>
      </c>
      <c r="AM34" s="182">
        <f t="shared" si="50"/>
        <v>1</v>
      </c>
      <c r="AN34" s="558"/>
      <c r="AO34" s="188">
        <v>19</v>
      </c>
      <c r="AP34" s="188">
        <v>1779.6725014116314</v>
      </c>
      <c r="AQ34" s="185">
        <f t="shared" si="41"/>
        <v>93.666973758506913</v>
      </c>
      <c r="AR34" s="182">
        <f t="shared" si="51"/>
        <v>1</v>
      </c>
      <c r="AS34" s="558"/>
      <c r="AT34" s="188">
        <v>19</v>
      </c>
      <c r="AU34" s="188">
        <v>1779.799818016375</v>
      </c>
      <c r="AV34" s="185">
        <f t="shared" si="42"/>
        <v>93.673674632440793</v>
      </c>
      <c r="AW34" s="182">
        <f t="shared" si="52"/>
        <v>1</v>
      </c>
      <c r="AX34" s="558"/>
    </row>
    <row r="35" spans="2:50" ht="14.25" customHeight="1">
      <c r="B35" s="530"/>
      <c r="C35" s="180">
        <v>9</v>
      </c>
      <c r="D35" s="183"/>
      <c r="E35" s="180"/>
      <c r="F35" s="180"/>
      <c r="G35" s="185"/>
      <c r="H35" s="558"/>
      <c r="I35" s="186"/>
      <c r="J35" s="186"/>
      <c r="K35" s="187"/>
      <c r="L35" s="559"/>
      <c r="M35" s="186"/>
      <c r="N35" s="530"/>
      <c r="O35" s="530"/>
      <c r="P35" s="188"/>
      <c r="Q35" s="188"/>
      <c r="R35" s="185"/>
      <c r="S35" s="182"/>
      <c r="T35" s="558"/>
      <c r="U35" s="188"/>
      <c r="V35" s="188"/>
      <c r="W35" s="185"/>
      <c r="X35" s="182"/>
      <c r="Y35" s="558"/>
      <c r="Z35" s="188"/>
      <c r="AA35" s="188"/>
      <c r="AB35" s="185"/>
      <c r="AC35" s="182"/>
      <c r="AD35" s="558"/>
      <c r="AE35" s="188"/>
      <c r="AF35" s="188"/>
      <c r="AG35" s="185"/>
      <c r="AH35" s="182"/>
      <c r="AI35" s="558"/>
      <c r="AJ35" s="188"/>
      <c r="AK35" s="188"/>
      <c r="AL35" s="185"/>
      <c r="AM35" s="182"/>
      <c r="AN35" s="558"/>
      <c r="AO35" s="188"/>
      <c r="AP35" s="188"/>
      <c r="AQ35" s="185"/>
      <c r="AR35" s="182"/>
      <c r="AS35" s="558"/>
      <c r="AT35" s="188"/>
      <c r="AU35" s="188"/>
      <c r="AV35" s="185"/>
      <c r="AW35" s="182"/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53">U42+1</f>
        <v>46065</v>
      </c>
      <c r="AA42" s="597"/>
      <c r="AB42" s="597"/>
      <c r="AC42" s="597"/>
      <c r="AD42" s="597"/>
      <c r="AE42" s="598">
        <f t="shared" ref="AE42" si="54">Z42+1</f>
        <v>46066</v>
      </c>
      <c r="AF42" s="599"/>
      <c r="AG42" s="599"/>
      <c r="AH42" s="599"/>
      <c r="AI42" s="599"/>
      <c r="AJ42" s="588">
        <f t="shared" ref="AJ42" si="55">AE42+1</f>
        <v>46067</v>
      </c>
      <c r="AK42" s="589"/>
      <c r="AL42" s="589"/>
      <c r="AM42" s="589"/>
      <c r="AN42" s="590"/>
      <c r="AO42" s="598">
        <f t="shared" ref="AO42" si="56">AJ42+1</f>
        <v>46068</v>
      </c>
      <c r="AP42" s="599"/>
      <c r="AQ42" s="599"/>
      <c r="AR42" s="599"/>
      <c r="AS42" s="599"/>
      <c r="AT42" s="588">
        <f t="shared" ref="AT42" si="57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58">Z42</f>
        <v>46065</v>
      </c>
      <c r="AA43" s="591"/>
      <c r="AB43" s="591"/>
      <c r="AC43" s="591"/>
      <c r="AD43" s="591"/>
      <c r="AE43" s="592">
        <f t="shared" ref="AE43" si="59">AE42</f>
        <v>46066</v>
      </c>
      <c r="AF43" s="592"/>
      <c r="AG43" s="592"/>
      <c r="AH43" s="592"/>
      <c r="AI43" s="592"/>
      <c r="AJ43" s="593">
        <f t="shared" ref="AJ43" si="60">AJ42</f>
        <v>46067</v>
      </c>
      <c r="AK43" s="594"/>
      <c r="AL43" s="594"/>
      <c r="AM43" s="594"/>
      <c r="AN43" s="595"/>
      <c r="AO43" s="592">
        <f t="shared" ref="AO43" si="61">AO42</f>
        <v>46068</v>
      </c>
      <c r="AP43" s="592"/>
      <c r="AQ43" s="592"/>
      <c r="AR43" s="592"/>
      <c r="AS43" s="592"/>
      <c r="AT43" s="593">
        <f t="shared" ref="AT43" si="62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530" t="s">
        <v>197</v>
      </c>
      <c r="C47" s="180">
        <v>1</v>
      </c>
      <c r="D47" s="183" t="s">
        <v>198</v>
      </c>
      <c r="E47" s="180">
        <v>25</v>
      </c>
      <c r="F47" s="180">
        <v>2000</v>
      </c>
      <c r="G47" s="185">
        <f t="shared" ref="G47:G54" si="63">F47/E47</f>
        <v>80</v>
      </c>
      <c r="H47" s="558">
        <f>AVERAGE(G47:G61)</f>
        <v>92.013457556935819</v>
      </c>
      <c r="I47" s="186">
        <f>AVERAGE(P47,U47,Z47,AE47,AJ47,AO47,AT47)</f>
        <v>25</v>
      </c>
      <c r="J47" s="186">
        <f>AVERAGE(Q47,V47,AA47,AF47,AK47,AP47,AU47)</f>
        <v>1779.5760030950296</v>
      </c>
      <c r="K47" s="187">
        <f>AVERAGE(R47,W47,AB47,AG47,AL47,AQ47,AV47)</f>
        <v>71.183040123801192</v>
      </c>
      <c r="L47" s="559">
        <f>IFERROR(AVERAGE(K47:K61),"-")</f>
        <v>81.947748092488837</v>
      </c>
      <c r="M47" s="186">
        <f>RANK(K47, K$47:$K$61)</f>
        <v>8</v>
      </c>
      <c r="N47" s="530"/>
      <c r="O47" s="530"/>
      <c r="P47" s="188">
        <v>25</v>
      </c>
      <c r="Q47" s="188">
        <v>1779.3442622950824</v>
      </c>
      <c r="R47" s="185">
        <f>IFERROR(Q47/P47,"")</f>
        <v>71.173770491803296</v>
      </c>
      <c r="S47" s="182" t="e">
        <f>RANK(R47, R$7:R$21)</f>
        <v>#N/A</v>
      </c>
      <c r="T47" s="558">
        <f>AVERAGE(R47:R61)</f>
        <v>81.912461003437954</v>
      </c>
      <c r="U47" s="188">
        <v>25</v>
      </c>
      <c r="V47" s="188">
        <v>1779.4503171247366</v>
      </c>
      <c r="W47" s="185">
        <f t="shared" ref="W47:W54" si="64">IFERROR(V47/U47,"")</f>
        <v>71.178012684989469</v>
      </c>
      <c r="X47" s="182">
        <f>RANK(W47, W$47:W$61)</f>
        <v>8</v>
      </c>
      <c r="Y47" s="558">
        <f>AVERAGE(W47:W61)</f>
        <v>81.936973546434061</v>
      </c>
      <c r="Z47" s="188">
        <v>25</v>
      </c>
      <c r="AA47" s="188">
        <v>1779.6048808832074</v>
      </c>
      <c r="AB47" s="185">
        <f t="shared" ref="AB47:AB54" si="65">IFERROR(AA47/Z47,"")</f>
        <v>71.184195235328303</v>
      </c>
      <c r="AC47" s="182">
        <f>RANK(AB47, AB$47:AB$61)</f>
        <v>8</v>
      </c>
      <c r="AD47" s="558">
        <f>AVERAGE(AB47:AB61)</f>
        <v>81.944662616233799</v>
      </c>
      <c r="AE47" s="188">
        <v>25</v>
      </c>
      <c r="AF47" s="188">
        <v>1779.569892473118</v>
      </c>
      <c r="AG47" s="185">
        <f>IFERROR(AF47/AE47,"")</f>
        <v>71.182795698924721</v>
      </c>
      <c r="AH47" s="182">
        <f>RANK(AG47, AG$47:AG$61)</f>
        <v>8</v>
      </c>
      <c r="AI47" s="558">
        <f>AVERAGE(AG47:AG61)</f>
        <v>81.951754185871394</v>
      </c>
      <c r="AJ47" s="188">
        <v>25</v>
      </c>
      <c r="AK47" s="188">
        <v>1779.4886047804332</v>
      </c>
      <c r="AL47" s="185">
        <f t="shared" ref="AL47:AL54" si="66">IFERROR(AK47/AJ47,"")</f>
        <v>71.179544191217332</v>
      </c>
      <c r="AM47" s="182">
        <f>RANK(AL47, AL$47:AL$61)</f>
        <v>8</v>
      </c>
      <c r="AN47" s="558">
        <f>AVERAGE(AL47:AL61)</f>
        <v>81.95843589534077</v>
      </c>
      <c r="AO47" s="188">
        <v>25</v>
      </c>
      <c r="AP47" s="188">
        <v>1779.7038445863338</v>
      </c>
      <c r="AQ47" s="185">
        <f t="shared" ref="AQ47:AQ54" si="67">IFERROR(AP47/AO47,"")</f>
        <v>71.188153783453359</v>
      </c>
      <c r="AR47" s="182">
        <f>RANK(AQ47, AQ$47:AQ$61)</f>
        <v>8</v>
      </c>
      <c r="AS47" s="558">
        <f>AVERAGE(AQ47:AQ61)</f>
        <v>81.960998194808369</v>
      </c>
      <c r="AT47" s="188">
        <v>25</v>
      </c>
      <c r="AU47" s="188">
        <v>1779.8702195222968</v>
      </c>
      <c r="AV47" s="185">
        <f t="shared" ref="AV47:AV54" si="68">IFERROR(AU47/AT47,"")</f>
        <v>71.194808780891876</v>
      </c>
      <c r="AW47" s="182">
        <f>RANK(AV47, AV$47:AV$61)</f>
        <v>8</v>
      </c>
      <c r="AX47" s="558">
        <f>AVERAGE(AV47:AV61)</f>
        <v>81.968951205295525</v>
      </c>
    </row>
    <row r="48" spans="2:50" ht="14.25" customHeight="1">
      <c r="B48" s="530"/>
      <c r="C48" s="180">
        <v>2</v>
      </c>
      <c r="D48" s="183" t="s">
        <v>199</v>
      </c>
      <c r="E48" s="180">
        <v>23</v>
      </c>
      <c r="F48" s="180">
        <v>2000</v>
      </c>
      <c r="G48" s="185">
        <f t="shared" si="63"/>
        <v>86.956521739130437</v>
      </c>
      <c r="H48" s="558"/>
      <c r="I48" s="186">
        <f t="shared" ref="I48:K54" si="69">AVERAGE(P48,U48,Z48,AE48,AJ48,AO48,AT48)</f>
        <v>23</v>
      </c>
      <c r="J48" s="186">
        <f t="shared" si="69"/>
        <v>1781.2603700239977</v>
      </c>
      <c r="K48" s="187">
        <f t="shared" si="69"/>
        <v>77.446103044521649</v>
      </c>
      <c r="L48" s="559"/>
      <c r="M48" s="186">
        <f>RANK(K48, K$47:$K$61)</f>
        <v>5</v>
      </c>
      <c r="N48" s="530"/>
      <c r="O48" s="530"/>
      <c r="P48" s="188">
        <v>23</v>
      </c>
      <c r="Q48" s="188">
        <v>1779.6445880452366</v>
      </c>
      <c r="R48" s="185">
        <f t="shared" ref="R48:R54" si="70">IFERROR(Q48/P48,"")</f>
        <v>77.375851654140718</v>
      </c>
      <c r="S48" s="182" t="e">
        <f t="shared" ref="S48:S54" si="71">RANK(R48, R$7:R$21)</f>
        <v>#N/A</v>
      </c>
      <c r="T48" s="558"/>
      <c r="U48" s="188">
        <v>23</v>
      </c>
      <c r="V48" s="188">
        <v>1781.2282734646601</v>
      </c>
      <c r="W48" s="185">
        <f t="shared" si="64"/>
        <v>77.444707541941739</v>
      </c>
      <c r="X48" s="182">
        <f t="shared" ref="X48:X54" si="72">RANK(W48, W$47:W$61)</f>
        <v>5</v>
      </c>
      <c r="Y48" s="558"/>
      <c r="Z48" s="188">
        <v>23</v>
      </c>
      <c r="AA48" s="188">
        <v>1781.3108371187548</v>
      </c>
      <c r="AB48" s="185">
        <f t="shared" si="65"/>
        <v>77.44829726603281</v>
      </c>
      <c r="AC48" s="182">
        <f t="shared" ref="AC48:AC54" si="73">RANK(AB48, AB$47:AB$61)</f>
        <v>5</v>
      </c>
      <c r="AD48" s="558"/>
      <c r="AE48" s="188">
        <v>23</v>
      </c>
      <c r="AF48" s="188">
        <v>1781.5773630343178</v>
      </c>
      <c r="AG48" s="185">
        <f t="shared" ref="AG48:AG54" si="74">IFERROR(AF48/AE48,"")</f>
        <v>77.459885349318171</v>
      </c>
      <c r="AH48" s="182">
        <f t="shared" ref="AH48:AH54" si="75">RANK(AG48, AG$47:AG$61)</f>
        <v>5</v>
      </c>
      <c r="AI48" s="558"/>
      <c r="AJ48" s="188">
        <v>23</v>
      </c>
      <c r="AK48" s="188">
        <v>1781.6610064834822</v>
      </c>
      <c r="AL48" s="185">
        <f t="shared" si="66"/>
        <v>77.463522021020964</v>
      </c>
      <c r="AM48" s="182">
        <f t="shared" ref="AM48:AM54" si="76">RANK(AL48, AL$47:AL$61)</f>
        <v>5</v>
      </c>
      <c r="AN48" s="558"/>
      <c r="AO48" s="188">
        <v>23</v>
      </c>
      <c r="AP48" s="188">
        <v>1781.7735501687644</v>
      </c>
      <c r="AQ48" s="185">
        <f t="shared" si="67"/>
        <v>77.468415224728886</v>
      </c>
      <c r="AR48" s="182">
        <f t="shared" ref="AR48:AR54" si="77">RANK(AQ48, AQ$47:AQ$61)</f>
        <v>5</v>
      </c>
      <c r="AS48" s="558"/>
      <c r="AT48" s="188">
        <v>23</v>
      </c>
      <c r="AU48" s="188">
        <v>1781.6269718527683</v>
      </c>
      <c r="AV48" s="185">
        <f t="shared" si="68"/>
        <v>77.462042254468187</v>
      </c>
      <c r="AW48" s="182">
        <f t="shared" ref="AW48:AW54" si="78">RANK(AV48, AV$47:AV$61)</f>
        <v>5</v>
      </c>
      <c r="AX48" s="558"/>
    </row>
    <row r="49" spans="2:50" ht="14.25" customHeight="1">
      <c r="B49" s="530"/>
      <c r="C49" s="180">
        <v>3</v>
      </c>
      <c r="D49" s="183" t="s">
        <v>200</v>
      </c>
      <c r="E49" s="180">
        <v>23</v>
      </c>
      <c r="F49" s="180">
        <v>2000</v>
      </c>
      <c r="G49" s="185">
        <f t="shared" si="63"/>
        <v>86.956521739130437</v>
      </c>
      <c r="H49" s="558"/>
      <c r="I49" s="186">
        <f t="shared" si="69"/>
        <v>23</v>
      </c>
      <c r="J49" s="186">
        <f t="shared" si="69"/>
        <v>1780.6372388113653</v>
      </c>
      <c r="K49" s="187">
        <f t="shared" si="69"/>
        <v>77.419010383102815</v>
      </c>
      <c r="L49" s="559"/>
      <c r="M49" s="186">
        <f>RANK(K49, K$47:$K$61)</f>
        <v>6</v>
      </c>
      <c r="N49" s="530"/>
      <c r="O49" s="530"/>
      <c r="P49" s="188">
        <v>23</v>
      </c>
      <c r="Q49" s="188">
        <v>1779.6610169491514</v>
      </c>
      <c r="R49" s="185">
        <f t="shared" si="70"/>
        <v>77.376565954310934</v>
      </c>
      <c r="S49" s="182" t="e">
        <f t="shared" si="71"/>
        <v>#N/A</v>
      </c>
      <c r="T49" s="558"/>
      <c r="U49" s="188">
        <v>23</v>
      </c>
      <c r="V49" s="188">
        <v>1779.9851742031155</v>
      </c>
      <c r="W49" s="185">
        <f t="shared" si="64"/>
        <v>77.39065974796155</v>
      </c>
      <c r="X49" s="182">
        <f t="shared" si="72"/>
        <v>6</v>
      </c>
      <c r="Y49" s="558"/>
      <c r="Z49" s="188">
        <v>23</v>
      </c>
      <c r="AA49" s="188">
        <v>1780.5950840879707</v>
      </c>
      <c r="AB49" s="185">
        <f t="shared" si="65"/>
        <v>77.417177569042209</v>
      </c>
      <c r="AC49" s="182">
        <f t="shared" si="73"/>
        <v>6</v>
      </c>
      <c r="AD49" s="558"/>
      <c r="AE49" s="188">
        <v>23</v>
      </c>
      <c r="AF49" s="188">
        <v>1780.5255023183959</v>
      </c>
      <c r="AG49" s="185">
        <f t="shared" si="74"/>
        <v>77.414152274712862</v>
      </c>
      <c r="AH49" s="182">
        <f t="shared" si="75"/>
        <v>6</v>
      </c>
      <c r="AI49" s="558"/>
      <c r="AJ49" s="188">
        <v>23</v>
      </c>
      <c r="AK49" s="188">
        <v>1781.0526315789484</v>
      </c>
      <c r="AL49" s="185">
        <f t="shared" si="66"/>
        <v>77.437070938215143</v>
      </c>
      <c r="AM49" s="182">
        <f t="shared" si="76"/>
        <v>6</v>
      </c>
      <c r="AN49" s="558"/>
      <c r="AO49" s="188">
        <v>23</v>
      </c>
      <c r="AP49" s="188">
        <v>1781.0230378758292</v>
      </c>
      <c r="AQ49" s="185">
        <f t="shared" si="67"/>
        <v>77.435784255470836</v>
      </c>
      <c r="AR49" s="182">
        <f t="shared" si="77"/>
        <v>6</v>
      </c>
      <c r="AS49" s="558"/>
      <c r="AT49" s="188">
        <v>23</v>
      </c>
      <c r="AU49" s="188">
        <v>1781.6182246661442</v>
      </c>
      <c r="AV49" s="185">
        <f t="shared" si="68"/>
        <v>77.461661942006273</v>
      </c>
      <c r="AW49" s="182">
        <f t="shared" si="78"/>
        <v>6</v>
      </c>
      <c r="AX49" s="558"/>
    </row>
    <row r="50" spans="2:50" ht="14.25" customHeight="1">
      <c r="B50" s="530"/>
      <c r="C50" s="180">
        <v>4</v>
      </c>
      <c r="D50" s="183" t="s">
        <v>201</v>
      </c>
      <c r="E50" s="180">
        <v>23</v>
      </c>
      <c r="F50" s="180">
        <v>2000</v>
      </c>
      <c r="G50" s="185">
        <f t="shared" si="63"/>
        <v>86.956521739130437</v>
      </c>
      <c r="H50" s="558"/>
      <c r="I50" s="186">
        <f t="shared" si="69"/>
        <v>23</v>
      </c>
      <c r="J50" s="186">
        <f t="shared" si="69"/>
        <v>1780.2732481945043</v>
      </c>
      <c r="K50" s="187">
        <f t="shared" si="69"/>
        <v>77.403184704108881</v>
      </c>
      <c r="L50" s="559"/>
      <c r="M50" s="186">
        <f>RANK(K50, K$47:$K$61)</f>
        <v>7</v>
      </c>
      <c r="N50" s="530"/>
      <c r="O50" s="530"/>
      <c r="P50" s="188">
        <v>23</v>
      </c>
      <c r="Q50" s="188">
        <v>1779.3851717902346</v>
      </c>
      <c r="R50" s="185">
        <f t="shared" si="70"/>
        <v>77.364572686531943</v>
      </c>
      <c r="S50" s="182" t="e">
        <f t="shared" si="71"/>
        <v>#N/A</v>
      </c>
      <c r="T50" s="558"/>
      <c r="U50" s="188">
        <v>23</v>
      </c>
      <c r="V50" s="188">
        <v>1779.8153034300808</v>
      </c>
      <c r="W50" s="185">
        <f t="shared" si="64"/>
        <v>77.383274062177421</v>
      </c>
      <c r="X50" s="182">
        <f t="shared" si="72"/>
        <v>7</v>
      </c>
      <c r="Y50" s="558"/>
      <c r="Z50" s="188">
        <v>23</v>
      </c>
      <c r="AA50" s="188">
        <v>1780.1616458486403</v>
      </c>
      <c r="AB50" s="185">
        <f t="shared" si="65"/>
        <v>77.398332428201755</v>
      </c>
      <c r="AC50" s="182">
        <f t="shared" si="73"/>
        <v>7</v>
      </c>
      <c r="AD50" s="558"/>
      <c r="AE50" s="188">
        <v>23</v>
      </c>
      <c r="AF50" s="188">
        <v>1780.4412248929857</v>
      </c>
      <c r="AG50" s="185">
        <f t="shared" si="74"/>
        <v>77.410488038825463</v>
      </c>
      <c r="AH50" s="182">
        <f t="shared" si="75"/>
        <v>7</v>
      </c>
      <c r="AI50" s="558"/>
      <c r="AJ50" s="188">
        <v>23</v>
      </c>
      <c r="AK50" s="188">
        <v>1780.6199021207162</v>
      </c>
      <c r="AL50" s="185">
        <f t="shared" si="66"/>
        <v>77.41825661394418</v>
      </c>
      <c r="AM50" s="182">
        <f t="shared" si="76"/>
        <v>7</v>
      </c>
      <c r="AN50" s="558"/>
      <c r="AO50" s="188">
        <v>23</v>
      </c>
      <c r="AP50" s="188">
        <v>1780.6581598388188</v>
      </c>
      <c r="AQ50" s="185">
        <f t="shared" si="67"/>
        <v>77.419919992992121</v>
      </c>
      <c r="AR50" s="182">
        <f t="shared" si="77"/>
        <v>7</v>
      </c>
      <c r="AS50" s="558"/>
      <c r="AT50" s="188">
        <v>23</v>
      </c>
      <c r="AU50" s="188">
        <v>1780.8313294400546</v>
      </c>
      <c r="AV50" s="185">
        <f t="shared" si="68"/>
        <v>77.427449106089327</v>
      </c>
      <c r="AW50" s="182">
        <f t="shared" si="78"/>
        <v>7</v>
      </c>
      <c r="AX50" s="558"/>
    </row>
    <row r="51" spans="2:50" ht="14.25" customHeight="1">
      <c r="B51" s="530"/>
      <c r="C51" s="180">
        <v>5</v>
      </c>
      <c r="D51" s="183" t="s">
        <v>202</v>
      </c>
      <c r="E51" s="180">
        <v>20</v>
      </c>
      <c r="F51" s="180">
        <v>2000</v>
      </c>
      <c r="G51" s="185">
        <f t="shared" si="63"/>
        <v>100</v>
      </c>
      <c r="H51" s="558"/>
      <c r="I51" s="186">
        <f t="shared" si="69"/>
        <v>20</v>
      </c>
      <c r="J51" s="186">
        <f t="shared" si="69"/>
        <v>1782.1906817176036</v>
      </c>
      <c r="K51" s="187">
        <f t="shared" si="69"/>
        <v>89.109534085880185</v>
      </c>
      <c r="L51" s="559"/>
      <c r="M51" s="186">
        <f>RANK(K51, K$47:$K$61)</f>
        <v>2</v>
      </c>
      <c r="N51" s="530"/>
      <c r="O51" s="530"/>
      <c r="P51" s="188">
        <v>20</v>
      </c>
      <c r="Q51" s="188">
        <v>1781.3383600377063</v>
      </c>
      <c r="R51" s="185">
        <f t="shared" si="70"/>
        <v>89.066918001885313</v>
      </c>
      <c r="S51" s="182" t="e">
        <f t="shared" si="71"/>
        <v>#N/A</v>
      </c>
      <c r="T51" s="558"/>
      <c r="U51" s="188">
        <v>20</v>
      </c>
      <c r="V51" s="188">
        <v>1782.4218749999941</v>
      </c>
      <c r="W51" s="185">
        <f t="shared" si="64"/>
        <v>89.121093749999702</v>
      </c>
      <c r="X51" s="182">
        <f t="shared" si="72"/>
        <v>2</v>
      </c>
      <c r="Y51" s="558"/>
      <c r="Z51" s="188">
        <v>20</v>
      </c>
      <c r="AA51" s="188">
        <v>1782.089552238825</v>
      </c>
      <c r="AB51" s="185">
        <f t="shared" si="65"/>
        <v>89.104477611941249</v>
      </c>
      <c r="AC51" s="182">
        <f t="shared" si="73"/>
        <v>2</v>
      </c>
      <c r="AD51" s="558"/>
      <c r="AE51" s="188">
        <v>20</v>
      </c>
      <c r="AF51" s="188">
        <v>1782.3182711198385</v>
      </c>
      <c r="AG51" s="185">
        <f t="shared" si="74"/>
        <v>89.115913555991924</v>
      </c>
      <c r="AH51" s="182">
        <f t="shared" si="75"/>
        <v>2</v>
      </c>
      <c r="AI51" s="558"/>
      <c r="AJ51" s="188">
        <v>20</v>
      </c>
      <c r="AK51" s="188">
        <v>1782.3874755381607</v>
      </c>
      <c r="AL51" s="185">
        <f t="shared" si="66"/>
        <v>89.119373776908034</v>
      </c>
      <c r="AM51" s="182">
        <f t="shared" si="76"/>
        <v>2</v>
      </c>
      <c r="AN51" s="558"/>
      <c r="AO51" s="188">
        <v>20</v>
      </c>
      <c r="AP51" s="188">
        <v>1782.2173435784819</v>
      </c>
      <c r="AQ51" s="185">
        <f t="shared" si="67"/>
        <v>89.110867178924096</v>
      </c>
      <c r="AR51" s="182">
        <f t="shared" si="77"/>
        <v>2</v>
      </c>
      <c r="AS51" s="558"/>
      <c r="AT51" s="188">
        <v>20</v>
      </c>
      <c r="AU51" s="188">
        <v>1782.5618945102174</v>
      </c>
      <c r="AV51" s="185">
        <f t="shared" si="68"/>
        <v>89.128094725510863</v>
      </c>
      <c r="AW51" s="182">
        <f t="shared" si="78"/>
        <v>2</v>
      </c>
      <c r="AX51" s="558"/>
    </row>
    <row r="52" spans="2:50" ht="14.25" customHeight="1">
      <c r="B52" s="530"/>
      <c r="C52" s="180">
        <v>6</v>
      </c>
      <c r="D52" s="183" t="s">
        <v>203</v>
      </c>
      <c r="E52" s="180">
        <v>21</v>
      </c>
      <c r="F52" s="180">
        <v>2000</v>
      </c>
      <c r="G52" s="185">
        <f t="shared" si="63"/>
        <v>95.238095238095241</v>
      </c>
      <c r="H52" s="558"/>
      <c r="I52" s="186">
        <f t="shared" si="69"/>
        <v>21</v>
      </c>
      <c r="J52" s="186">
        <f t="shared" si="69"/>
        <v>1782.3928939633254</v>
      </c>
      <c r="K52" s="187">
        <f t="shared" si="69"/>
        <v>84.875852093491673</v>
      </c>
      <c r="L52" s="559"/>
      <c r="M52" s="186">
        <f>RANK(K52, K$47:$K$61)</f>
        <v>3</v>
      </c>
      <c r="N52" s="530"/>
      <c r="O52" s="530"/>
      <c r="P52" s="188">
        <v>21</v>
      </c>
      <c r="Q52" s="188">
        <v>1781.7690749493586</v>
      </c>
      <c r="R52" s="185">
        <f t="shared" si="70"/>
        <v>84.846146426159933</v>
      </c>
      <c r="S52" s="182" t="e">
        <f t="shared" si="71"/>
        <v>#N/A</v>
      </c>
      <c r="T52" s="558"/>
      <c r="U52" s="188">
        <v>21</v>
      </c>
      <c r="V52" s="188">
        <v>1781.9241982507328</v>
      </c>
      <c r="W52" s="185">
        <f t="shared" si="64"/>
        <v>84.8535332500349</v>
      </c>
      <c r="X52" s="182">
        <f t="shared" si="72"/>
        <v>3</v>
      </c>
      <c r="Y52" s="558"/>
      <c r="Z52" s="188">
        <v>21</v>
      </c>
      <c r="AA52" s="188">
        <v>1782.1107430194029</v>
      </c>
      <c r="AB52" s="185">
        <f t="shared" si="65"/>
        <v>84.862416334257276</v>
      </c>
      <c r="AC52" s="182">
        <f t="shared" si="73"/>
        <v>3</v>
      </c>
      <c r="AD52" s="558"/>
      <c r="AE52" s="188">
        <v>21</v>
      </c>
      <c r="AF52" s="188">
        <v>1782.4675324675338</v>
      </c>
      <c r="AG52" s="185">
        <f t="shared" si="74"/>
        <v>84.879406307977803</v>
      </c>
      <c r="AH52" s="182">
        <f t="shared" si="75"/>
        <v>3</v>
      </c>
      <c r="AI52" s="558"/>
      <c r="AJ52" s="188">
        <v>21</v>
      </c>
      <c r="AK52" s="188">
        <v>1782.697674418602</v>
      </c>
      <c r="AL52" s="185">
        <f t="shared" si="66"/>
        <v>84.890365448504852</v>
      </c>
      <c r="AM52" s="182">
        <f t="shared" si="76"/>
        <v>3</v>
      </c>
      <c r="AN52" s="558"/>
      <c r="AO52" s="188">
        <v>21</v>
      </c>
      <c r="AP52" s="188">
        <v>1782.8059701492541</v>
      </c>
      <c r="AQ52" s="185">
        <f t="shared" si="67"/>
        <v>84.895522388059717</v>
      </c>
      <c r="AR52" s="182">
        <f t="shared" si="77"/>
        <v>3</v>
      </c>
      <c r="AS52" s="558"/>
      <c r="AT52" s="188">
        <v>21</v>
      </c>
      <c r="AU52" s="188">
        <v>1782.9750644883927</v>
      </c>
      <c r="AV52" s="185">
        <f t="shared" si="68"/>
        <v>84.903574499447274</v>
      </c>
      <c r="AW52" s="182">
        <f t="shared" si="78"/>
        <v>3</v>
      </c>
      <c r="AX52" s="558"/>
    </row>
    <row r="53" spans="2:50" ht="14.25" customHeight="1">
      <c r="B53" s="530"/>
      <c r="C53" s="180">
        <v>7</v>
      </c>
      <c r="D53" s="183" t="s">
        <v>204</v>
      </c>
      <c r="E53" s="180">
        <v>19</v>
      </c>
      <c r="F53" s="180">
        <v>1800</v>
      </c>
      <c r="G53" s="185">
        <f t="shared" si="63"/>
        <v>94.736842105263165</v>
      </c>
      <c r="H53" s="558"/>
      <c r="I53" s="186">
        <f t="shared" si="69"/>
        <v>19</v>
      </c>
      <c r="J53" s="186">
        <f t="shared" si="69"/>
        <v>1603.2424956479613</v>
      </c>
      <c r="K53" s="187">
        <f t="shared" si="69"/>
        <v>84.381183981471651</v>
      </c>
      <c r="L53" s="559"/>
      <c r="M53" s="186">
        <f>RANK(K53, K$47:$K$61)</f>
        <v>4</v>
      </c>
      <c r="N53" s="530"/>
      <c r="O53" s="530"/>
      <c r="P53" s="188">
        <v>19</v>
      </c>
      <c r="Q53" s="188">
        <v>1602.7459954233407</v>
      </c>
      <c r="R53" s="185">
        <f t="shared" si="70"/>
        <v>84.355052390702141</v>
      </c>
      <c r="S53" s="182" t="e">
        <f t="shared" si="71"/>
        <v>#N/A</v>
      </c>
      <c r="T53" s="558"/>
      <c r="U53" s="188">
        <v>19</v>
      </c>
      <c r="V53" s="188">
        <v>1603.0120481927713</v>
      </c>
      <c r="W53" s="185">
        <f t="shared" si="64"/>
        <v>84.369055168040589</v>
      </c>
      <c r="X53" s="182">
        <f t="shared" si="72"/>
        <v>4</v>
      </c>
      <c r="Y53" s="558"/>
      <c r="Z53" s="188">
        <v>19</v>
      </c>
      <c r="AA53" s="188">
        <v>1603.3066391113418</v>
      </c>
      <c r="AB53" s="185">
        <f t="shared" si="65"/>
        <v>84.384559953228518</v>
      </c>
      <c r="AC53" s="182">
        <f t="shared" si="73"/>
        <v>4</v>
      </c>
      <c r="AD53" s="558"/>
      <c r="AE53" s="188">
        <v>19</v>
      </c>
      <c r="AF53" s="188">
        <v>1603.2761709751717</v>
      </c>
      <c r="AG53" s="185">
        <f t="shared" si="74"/>
        <v>84.382956367114303</v>
      </c>
      <c r="AH53" s="182">
        <f t="shared" si="75"/>
        <v>4</v>
      </c>
      <c r="AI53" s="558"/>
      <c r="AJ53" s="188">
        <v>19</v>
      </c>
      <c r="AK53" s="188">
        <v>1603.4015413234122</v>
      </c>
      <c r="AL53" s="185">
        <f t="shared" si="66"/>
        <v>84.389554806495383</v>
      </c>
      <c r="AM53" s="182">
        <f t="shared" si="76"/>
        <v>4</v>
      </c>
      <c r="AN53" s="558"/>
      <c r="AO53" s="188">
        <v>19</v>
      </c>
      <c r="AP53" s="188">
        <v>1603.4535297105149</v>
      </c>
      <c r="AQ53" s="185">
        <f t="shared" si="67"/>
        <v>84.392291037395523</v>
      </c>
      <c r="AR53" s="182">
        <f t="shared" si="77"/>
        <v>4</v>
      </c>
      <c r="AS53" s="558"/>
      <c r="AT53" s="188">
        <v>19</v>
      </c>
      <c r="AU53" s="188">
        <v>1603.5015447991775</v>
      </c>
      <c r="AV53" s="185">
        <f t="shared" si="68"/>
        <v>84.394818147325125</v>
      </c>
      <c r="AW53" s="182">
        <f t="shared" si="78"/>
        <v>4</v>
      </c>
      <c r="AX53" s="558"/>
    </row>
    <row r="54" spans="2:50" ht="14.25" customHeight="1">
      <c r="B54" s="530"/>
      <c r="C54" s="180">
        <v>8</v>
      </c>
      <c r="D54" s="183" t="s">
        <v>205</v>
      </c>
      <c r="E54" s="180">
        <v>19</v>
      </c>
      <c r="F54" s="180">
        <v>2000</v>
      </c>
      <c r="G54" s="185">
        <f t="shared" si="63"/>
        <v>105.26315789473684</v>
      </c>
      <c r="H54" s="558"/>
      <c r="I54" s="186">
        <f t="shared" si="69"/>
        <v>19</v>
      </c>
      <c r="J54" s="186">
        <f t="shared" si="69"/>
        <v>1781.5174501471206</v>
      </c>
      <c r="K54" s="187">
        <f t="shared" si="69"/>
        <v>93.764076323532649</v>
      </c>
      <c r="L54" s="559"/>
      <c r="M54" s="186">
        <f>RANK(K54, K$47:$K$61)</f>
        <v>1</v>
      </c>
      <c r="N54" s="530"/>
      <c r="O54" s="530"/>
      <c r="P54" s="188">
        <v>19</v>
      </c>
      <c r="Q54" s="188">
        <v>1781.0753980174197</v>
      </c>
      <c r="R54" s="185">
        <f t="shared" si="70"/>
        <v>93.740810421969456</v>
      </c>
      <c r="S54" s="182" t="e">
        <f t="shared" si="71"/>
        <v>#N/A</v>
      </c>
      <c r="T54" s="558"/>
      <c r="U54" s="188">
        <v>19</v>
      </c>
      <c r="V54" s="188">
        <v>1781.3535911602157</v>
      </c>
      <c r="W54" s="185">
        <f t="shared" si="64"/>
        <v>93.755452166327146</v>
      </c>
      <c r="X54" s="182">
        <f t="shared" si="72"/>
        <v>1</v>
      </c>
      <c r="Y54" s="558"/>
      <c r="Z54" s="188">
        <v>19</v>
      </c>
      <c r="AA54" s="188">
        <v>1781.3990461049261</v>
      </c>
      <c r="AB54" s="185">
        <f t="shared" si="65"/>
        <v>93.757844531838217</v>
      </c>
      <c r="AC54" s="182">
        <f t="shared" si="73"/>
        <v>1</v>
      </c>
      <c r="AD54" s="558"/>
      <c r="AE54" s="188">
        <v>19</v>
      </c>
      <c r="AF54" s="188">
        <v>1781.6002819880121</v>
      </c>
      <c r="AG54" s="185">
        <f t="shared" si="74"/>
        <v>93.768435894105892</v>
      </c>
      <c r="AH54" s="182">
        <f t="shared" si="75"/>
        <v>1</v>
      </c>
      <c r="AI54" s="558"/>
      <c r="AJ54" s="188">
        <v>19</v>
      </c>
      <c r="AK54" s="188">
        <v>1781.6261879619833</v>
      </c>
      <c r="AL54" s="185">
        <f t="shared" si="66"/>
        <v>93.769799366420173</v>
      </c>
      <c r="AM54" s="182">
        <f t="shared" si="76"/>
        <v>1</v>
      </c>
      <c r="AN54" s="558"/>
      <c r="AO54" s="188">
        <v>19</v>
      </c>
      <c r="AP54" s="188">
        <v>1781.7636022514062</v>
      </c>
      <c r="AQ54" s="185">
        <f t="shared" si="67"/>
        <v>93.777031697442425</v>
      </c>
      <c r="AR54" s="182">
        <f t="shared" si="77"/>
        <v>1</v>
      </c>
      <c r="AS54" s="558"/>
      <c r="AT54" s="188">
        <v>19</v>
      </c>
      <c r="AU54" s="188">
        <v>1781.8040435458813</v>
      </c>
      <c r="AV54" s="185">
        <f t="shared" si="68"/>
        <v>93.779160186625333</v>
      </c>
      <c r="AW54" s="182">
        <f t="shared" si="78"/>
        <v>1</v>
      </c>
      <c r="AX54" s="558"/>
    </row>
    <row r="55" spans="2:50" ht="14.25" customHeight="1">
      <c r="B55" s="530"/>
      <c r="C55" s="180">
        <v>9</v>
      </c>
      <c r="D55" s="183"/>
      <c r="E55" s="180"/>
      <c r="F55" s="180"/>
      <c r="G55" s="185"/>
      <c r="H55" s="558"/>
      <c r="I55" s="186"/>
      <c r="J55" s="186"/>
      <c r="K55" s="187"/>
      <c r="L55" s="559"/>
      <c r="M55" s="186"/>
      <c r="N55" s="530"/>
      <c r="O55" s="530"/>
      <c r="P55" s="188"/>
      <c r="Q55" s="188"/>
      <c r="R55" s="185"/>
      <c r="S55" s="182"/>
      <c r="T55" s="558"/>
      <c r="U55" s="188"/>
      <c r="V55" s="188"/>
      <c r="W55" s="185"/>
      <c r="X55" s="182"/>
      <c r="Y55" s="558"/>
      <c r="Z55" s="188"/>
      <c r="AA55" s="188"/>
      <c r="AB55" s="185"/>
      <c r="AC55" s="182"/>
      <c r="AD55" s="558"/>
      <c r="AE55" s="188"/>
      <c r="AF55" s="188"/>
      <c r="AG55" s="185"/>
      <c r="AH55" s="182"/>
      <c r="AI55" s="558"/>
      <c r="AJ55" s="188"/>
      <c r="AK55" s="188"/>
      <c r="AL55" s="185"/>
      <c r="AM55" s="182"/>
      <c r="AN55" s="558"/>
      <c r="AO55" s="188"/>
      <c r="AP55" s="188"/>
      <c r="AQ55" s="185"/>
      <c r="AR55" s="182"/>
      <c r="AS55" s="558"/>
      <c r="AT55" s="188"/>
      <c r="AU55" s="188"/>
      <c r="AV55" s="185"/>
      <c r="AW55" s="182"/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79">U62+1</f>
        <v>46072</v>
      </c>
      <c r="AA62" s="597"/>
      <c r="AB62" s="597"/>
      <c r="AC62" s="597"/>
      <c r="AD62" s="597"/>
      <c r="AE62" s="598">
        <f t="shared" ref="AE62" si="80">Z62+1</f>
        <v>46073</v>
      </c>
      <c r="AF62" s="599"/>
      <c r="AG62" s="599"/>
      <c r="AH62" s="599"/>
      <c r="AI62" s="599"/>
      <c r="AJ62" s="588">
        <f t="shared" ref="AJ62" si="81">AE62+1</f>
        <v>46074</v>
      </c>
      <c r="AK62" s="589"/>
      <c r="AL62" s="589"/>
      <c r="AM62" s="589"/>
      <c r="AN62" s="590"/>
      <c r="AO62" s="598">
        <f t="shared" ref="AO62" si="82">AJ62+1</f>
        <v>46075</v>
      </c>
      <c r="AP62" s="599"/>
      <c r="AQ62" s="599"/>
      <c r="AR62" s="599"/>
      <c r="AS62" s="599"/>
      <c r="AT62" s="588">
        <f t="shared" ref="AT62" si="83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84">Z62</f>
        <v>46072</v>
      </c>
      <c r="AA63" s="591"/>
      <c r="AB63" s="591"/>
      <c r="AC63" s="591"/>
      <c r="AD63" s="591"/>
      <c r="AE63" s="592">
        <f t="shared" ref="AE63" si="85">AE62</f>
        <v>46073</v>
      </c>
      <c r="AF63" s="592"/>
      <c r="AG63" s="592"/>
      <c r="AH63" s="592"/>
      <c r="AI63" s="592"/>
      <c r="AJ63" s="593">
        <f t="shared" ref="AJ63" si="86">AJ62</f>
        <v>46074</v>
      </c>
      <c r="AK63" s="594"/>
      <c r="AL63" s="594"/>
      <c r="AM63" s="594"/>
      <c r="AN63" s="595"/>
      <c r="AO63" s="592">
        <f t="shared" ref="AO63" si="87">AO62</f>
        <v>46075</v>
      </c>
      <c r="AP63" s="592"/>
      <c r="AQ63" s="592"/>
      <c r="AR63" s="592"/>
      <c r="AS63" s="592"/>
      <c r="AT63" s="593">
        <f t="shared" ref="AT63" si="88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530" t="s">
        <v>197</v>
      </c>
      <c r="C67" s="180">
        <v>1</v>
      </c>
      <c r="D67" s="183" t="s">
        <v>198</v>
      </c>
      <c r="E67" s="180">
        <v>25</v>
      </c>
      <c r="F67" s="180">
        <v>2000</v>
      </c>
      <c r="G67" s="185">
        <f t="shared" ref="G67:G74" si="89">F67/E67</f>
        <v>80</v>
      </c>
      <c r="H67" s="558">
        <f>AVERAGE(G67:G81)</f>
        <v>92.013457556935819</v>
      </c>
      <c r="I67" s="186">
        <f>AVERAGE(P67,U67,Z67,AE67,AJ67,AO67,AT67)</f>
        <v>25</v>
      </c>
      <c r="J67" s="186">
        <f>AVERAGE(Q67,V67,AA67,AF67,AK67,AP67,AU67)</f>
        <v>1782.1890888082689</v>
      </c>
      <c r="K67" s="187">
        <f>AVERAGE(R67,W67,AB67,AG67,AL67,AQ67,AV67)</f>
        <v>71.287563552330766</v>
      </c>
      <c r="L67" s="559">
        <f>IFERROR(AVERAGE(K67:K81),"-")</f>
        <v>82.01344313752341</v>
      </c>
      <c r="M67" s="186">
        <f>RANK(K67, K$67:$K$81)</f>
        <v>8</v>
      </c>
      <c r="N67" s="530"/>
      <c r="O67" s="530"/>
      <c r="P67" s="188">
        <v>25</v>
      </c>
      <c r="Q67" s="188">
        <v>1781.2800000000007</v>
      </c>
      <c r="R67" s="185">
        <f>IFERROR(Q67/P67,"")</f>
        <v>71.251200000000026</v>
      </c>
      <c r="S67" s="182">
        <f>RANK(R67, R$67:R$81)</f>
        <v>8</v>
      </c>
      <c r="T67" s="558">
        <f>AVERAGE(R67:R81)</f>
        <v>81.981954094588957</v>
      </c>
      <c r="U67" s="188">
        <v>25</v>
      </c>
      <c r="V67" s="188">
        <v>1781.3248204309657</v>
      </c>
      <c r="W67" s="185">
        <f t="shared" ref="W67:W74" si="90">IFERROR(V67/U67,"")</f>
        <v>71.252992817238635</v>
      </c>
      <c r="X67" s="182">
        <f>RANK(W67, W$67:W$81)</f>
        <v>8</v>
      </c>
      <c r="Y67" s="558">
        <f>AVERAGE(W67:W81)</f>
        <v>81.994673768188733</v>
      </c>
      <c r="Z67" s="188">
        <v>25</v>
      </c>
      <c r="AA67" s="188">
        <v>1781.981032665964</v>
      </c>
      <c r="AB67" s="185">
        <f t="shared" ref="AB67:AB74" si="91">IFERROR(AA67/Z67,"")</f>
        <v>71.279241306638554</v>
      </c>
      <c r="AC67" s="182">
        <f>RANK(AB67, AB$67:AB$81)</f>
        <v>8</v>
      </c>
      <c r="AD67" s="558">
        <f>AVERAGE(AB67:AB81)</f>
        <v>82.013322785683499</v>
      </c>
      <c r="AE67" s="188">
        <v>25</v>
      </c>
      <c r="AF67" s="188">
        <v>1782.3506340698129</v>
      </c>
      <c r="AG67" s="185">
        <f>IFERROR(AF67/AE67,"")</f>
        <v>71.294025362792524</v>
      </c>
      <c r="AH67" s="182">
        <f>RANK(AG67, AG$67:AG$81)</f>
        <v>8</v>
      </c>
      <c r="AI67" s="558">
        <f>AVERAGE(AG67:AG81)</f>
        <v>82.019350416363935</v>
      </c>
      <c r="AJ67" s="188">
        <v>25</v>
      </c>
      <c r="AK67" s="188">
        <v>1782.7615468541646</v>
      </c>
      <c r="AL67" s="185">
        <f t="shared" ref="AL67:AL74" si="92">IFERROR(AK67/AJ67,"")</f>
        <v>71.310461874166592</v>
      </c>
      <c r="AM67" s="182">
        <f>RANK(AL67, AL$67:AL$81)</f>
        <v>8</v>
      </c>
      <c r="AN67" s="558">
        <f>AVERAGE(AL67:AL81)</f>
        <v>82.024983693103891</v>
      </c>
      <c r="AO67" s="188">
        <v>25</v>
      </c>
      <c r="AP67" s="188">
        <v>1782.8298887122421</v>
      </c>
      <c r="AQ67" s="185">
        <f t="shared" ref="AQ67:AQ74" si="93">IFERROR(AP67/AO67,"")</f>
        <v>71.313195548489688</v>
      </c>
      <c r="AR67" s="182">
        <f>RANK(AQ67, AQ$67:AQ$81)</f>
        <v>8</v>
      </c>
      <c r="AS67" s="558">
        <f>AVERAGE(AQ67:AQ81)</f>
        <v>82.025732830386232</v>
      </c>
      <c r="AT67" s="188">
        <v>25</v>
      </c>
      <c r="AU67" s="188">
        <v>1782.7956989247318</v>
      </c>
      <c r="AV67" s="185">
        <f t="shared" ref="AV67:AV74" si="94">IFERROR(AU67/AT67,"")</f>
        <v>71.311827956989276</v>
      </c>
      <c r="AW67" s="182">
        <f>RANK(AV67, AV$67:AV$81)</f>
        <v>8</v>
      </c>
      <c r="AX67" s="558">
        <f>AVERAGE(AV67:AV81)</f>
        <v>82.034084374348595</v>
      </c>
    </row>
    <row r="68" spans="2:50" ht="14.25" customHeight="1">
      <c r="B68" s="530"/>
      <c r="C68" s="180">
        <v>2</v>
      </c>
      <c r="D68" s="183" t="s">
        <v>199</v>
      </c>
      <c r="E68" s="180">
        <v>23</v>
      </c>
      <c r="F68" s="180">
        <v>2000</v>
      </c>
      <c r="G68" s="185">
        <f t="shared" si="89"/>
        <v>86.956521739130437</v>
      </c>
      <c r="H68" s="558"/>
      <c r="I68" s="186">
        <f t="shared" ref="I68:K74" si="95">AVERAGE(P68,U68,Z68,AE68,AJ68,AO68,AT68)</f>
        <v>23</v>
      </c>
      <c r="J68" s="186">
        <f t="shared" si="95"/>
        <v>1782.7352170148185</v>
      </c>
      <c r="K68" s="187">
        <f t="shared" si="95"/>
        <v>77.510226826731241</v>
      </c>
      <c r="L68" s="559"/>
      <c r="M68" s="186">
        <f>RANK(K68, K$67:$K$81)</f>
        <v>5</v>
      </c>
      <c r="N68" s="530"/>
      <c r="O68" s="530"/>
      <c r="P68" s="188">
        <v>23</v>
      </c>
      <c r="Q68" s="188">
        <v>1781.9787985865707</v>
      </c>
      <c r="R68" s="185">
        <f t="shared" ref="R68:R74" si="96">IFERROR(Q68/P68,"")</f>
        <v>77.477339068981337</v>
      </c>
      <c r="S68" s="182">
        <f t="shared" ref="S68:S74" si="97">RANK(R68, R$67:R$81)</f>
        <v>5</v>
      </c>
      <c r="T68" s="558"/>
      <c r="U68" s="188">
        <v>23</v>
      </c>
      <c r="V68" s="188">
        <v>1782.352941176468</v>
      </c>
      <c r="W68" s="185">
        <f t="shared" si="90"/>
        <v>77.49360613810731</v>
      </c>
      <c r="X68" s="182">
        <f t="shared" ref="X68:X74" si="98">RANK(W68, W$67:W$81)</f>
        <v>5</v>
      </c>
      <c r="Y68" s="558"/>
      <c r="Z68" s="188">
        <v>23</v>
      </c>
      <c r="AA68" s="188">
        <v>1782.5348696179483</v>
      </c>
      <c r="AB68" s="185">
        <f t="shared" si="91"/>
        <v>77.501516070345573</v>
      </c>
      <c r="AC68" s="182">
        <f t="shared" ref="AC68:AC74" si="99">RANK(AB68, AB$67:AB$81)</f>
        <v>6</v>
      </c>
      <c r="AD68" s="558"/>
      <c r="AE68" s="188">
        <v>23</v>
      </c>
      <c r="AF68" s="188">
        <v>1782.7821809237498</v>
      </c>
      <c r="AG68" s="185">
        <f t="shared" ref="AG68:AG74" si="100">IFERROR(AF68/AE68,"")</f>
        <v>77.512268735815212</v>
      </c>
      <c r="AH68" s="182">
        <f t="shared" ref="AH68:AH74" si="101">RANK(AG68, AG$67:AG$81)</f>
        <v>5</v>
      </c>
      <c r="AI68" s="558"/>
      <c r="AJ68" s="188">
        <v>23</v>
      </c>
      <c r="AK68" s="188">
        <v>1783.0268741159825</v>
      </c>
      <c r="AL68" s="185">
        <f t="shared" si="92"/>
        <v>77.522907570260116</v>
      </c>
      <c r="AM68" s="182">
        <f t="shared" ref="AM68:AM74" si="102">RANK(AL68, AL$67:AL$81)</f>
        <v>5</v>
      </c>
      <c r="AN68" s="558"/>
      <c r="AO68" s="188">
        <v>23</v>
      </c>
      <c r="AP68" s="188">
        <v>1783.0862392983931</v>
      </c>
      <c r="AQ68" s="185">
        <f t="shared" si="93"/>
        <v>77.525488665147535</v>
      </c>
      <c r="AR68" s="182">
        <f t="shared" ref="AR68:AR74" si="103">RANK(AQ68, AQ$67:AQ$81)</f>
        <v>5</v>
      </c>
      <c r="AS68" s="558"/>
      <c r="AT68" s="188">
        <v>23</v>
      </c>
      <c r="AU68" s="188">
        <v>1783.3846153846171</v>
      </c>
      <c r="AV68" s="185">
        <f t="shared" si="94"/>
        <v>77.538461538461618</v>
      </c>
      <c r="AW68" s="182">
        <f t="shared" ref="AW68:AW74" si="104">RANK(AV68, AV$67:AV$81)</f>
        <v>5</v>
      </c>
      <c r="AX68" s="558"/>
    </row>
    <row r="69" spans="2:50" ht="14.25" customHeight="1">
      <c r="B69" s="530"/>
      <c r="C69" s="180">
        <v>3</v>
      </c>
      <c r="D69" s="183" t="s">
        <v>200</v>
      </c>
      <c r="E69" s="180">
        <v>23</v>
      </c>
      <c r="F69" s="180">
        <v>2000</v>
      </c>
      <c r="G69" s="185">
        <f t="shared" si="89"/>
        <v>86.956521739130437</v>
      </c>
      <c r="H69" s="558"/>
      <c r="I69" s="186">
        <f t="shared" si="95"/>
        <v>23</v>
      </c>
      <c r="J69" s="186">
        <f t="shared" si="95"/>
        <v>1782.5233714300352</v>
      </c>
      <c r="K69" s="187">
        <f t="shared" si="95"/>
        <v>77.501016149131971</v>
      </c>
      <c r="L69" s="559"/>
      <c r="M69" s="186">
        <f>RANK(K69, K$67:$K$81)</f>
        <v>6</v>
      </c>
      <c r="N69" s="530"/>
      <c r="O69" s="530"/>
      <c r="P69" s="188">
        <v>23</v>
      </c>
      <c r="Q69" s="188">
        <v>1781.8443804034589</v>
      </c>
      <c r="R69" s="185">
        <f t="shared" si="96"/>
        <v>77.471494800150381</v>
      </c>
      <c r="S69" s="182">
        <f t="shared" si="97"/>
        <v>6</v>
      </c>
      <c r="T69" s="558"/>
      <c r="U69" s="188">
        <v>23</v>
      </c>
      <c r="V69" s="188">
        <v>1782.3405746320943</v>
      </c>
      <c r="W69" s="185">
        <f t="shared" si="90"/>
        <v>77.493068462264972</v>
      </c>
      <c r="X69" s="182">
        <f t="shared" si="98"/>
        <v>6</v>
      </c>
      <c r="Y69" s="558"/>
      <c r="Z69" s="188">
        <v>23</v>
      </c>
      <c r="AA69" s="188">
        <v>1782.8047382499024</v>
      </c>
      <c r="AB69" s="185">
        <f t="shared" si="91"/>
        <v>77.513249489126196</v>
      </c>
      <c r="AC69" s="182">
        <f t="shared" si="99"/>
        <v>5</v>
      </c>
      <c r="AD69" s="558"/>
      <c r="AE69" s="188">
        <v>23</v>
      </c>
      <c r="AF69" s="188">
        <v>1782.5476429287878</v>
      </c>
      <c r="AG69" s="185">
        <f t="shared" si="100"/>
        <v>77.502071431686431</v>
      </c>
      <c r="AH69" s="182">
        <f t="shared" si="101"/>
        <v>6</v>
      </c>
      <c r="AI69" s="558"/>
      <c r="AJ69" s="188">
        <v>23</v>
      </c>
      <c r="AK69" s="188">
        <v>1782.7648114901233</v>
      </c>
      <c r="AL69" s="185">
        <f t="shared" si="92"/>
        <v>77.511513543048835</v>
      </c>
      <c r="AM69" s="182">
        <f t="shared" si="102"/>
        <v>6</v>
      </c>
      <c r="AN69" s="558"/>
      <c r="AO69" s="188">
        <v>23</v>
      </c>
      <c r="AP69" s="188">
        <v>1782.7620967741937</v>
      </c>
      <c r="AQ69" s="185">
        <f t="shared" si="93"/>
        <v>77.511395511921464</v>
      </c>
      <c r="AR69" s="182">
        <f t="shared" si="103"/>
        <v>6</v>
      </c>
      <c r="AS69" s="558"/>
      <c r="AT69" s="188">
        <v>23</v>
      </c>
      <c r="AU69" s="188">
        <v>1782.5993555316848</v>
      </c>
      <c r="AV69" s="185">
        <f t="shared" si="94"/>
        <v>77.50431980572543</v>
      </c>
      <c r="AW69" s="182">
        <f t="shared" si="104"/>
        <v>6</v>
      </c>
      <c r="AX69" s="558"/>
    </row>
    <row r="70" spans="2:50" ht="14.25" customHeight="1">
      <c r="B70" s="530"/>
      <c r="C70" s="180">
        <v>4</v>
      </c>
      <c r="D70" s="183" t="s">
        <v>201</v>
      </c>
      <c r="E70" s="180">
        <v>23</v>
      </c>
      <c r="F70" s="180">
        <v>2000</v>
      </c>
      <c r="G70" s="185">
        <f t="shared" si="89"/>
        <v>86.956521739130437</v>
      </c>
      <c r="H70" s="558"/>
      <c r="I70" s="186">
        <f t="shared" si="95"/>
        <v>23</v>
      </c>
      <c r="J70" s="186">
        <f t="shared" si="95"/>
        <v>1781.3108484997756</v>
      </c>
      <c r="K70" s="187">
        <f t="shared" si="95"/>
        <v>77.448297760859802</v>
      </c>
      <c r="L70" s="559"/>
      <c r="M70" s="186">
        <f>RANK(K70, K$67:$K$81)</f>
        <v>7</v>
      </c>
      <c r="N70" s="530"/>
      <c r="O70" s="530"/>
      <c r="P70" s="188">
        <v>23</v>
      </c>
      <c r="Q70" s="188">
        <v>1780.9676385773762</v>
      </c>
      <c r="R70" s="185">
        <f t="shared" si="96"/>
        <v>77.433375590320708</v>
      </c>
      <c r="S70" s="182">
        <f t="shared" si="97"/>
        <v>7</v>
      </c>
      <c r="T70" s="558"/>
      <c r="U70" s="188">
        <v>23</v>
      </c>
      <c r="V70" s="188">
        <v>1781.3712807244517</v>
      </c>
      <c r="W70" s="185">
        <f t="shared" si="90"/>
        <v>77.450925248889206</v>
      </c>
      <c r="X70" s="182">
        <f t="shared" si="98"/>
        <v>7</v>
      </c>
      <c r="Y70" s="558"/>
      <c r="Z70" s="188">
        <v>23</v>
      </c>
      <c r="AA70" s="188">
        <v>1781.2630117973613</v>
      </c>
      <c r="AB70" s="185">
        <f t="shared" si="91"/>
        <v>77.446217904233094</v>
      </c>
      <c r="AC70" s="182">
        <f t="shared" si="99"/>
        <v>7</v>
      </c>
      <c r="AD70" s="558"/>
      <c r="AE70" s="188">
        <v>23</v>
      </c>
      <c r="AF70" s="188">
        <v>1781.111111111107</v>
      </c>
      <c r="AG70" s="185">
        <f t="shared" si="100"/>
        <v>77.439613526569872</v>
      </c>
      <c r="AH70" s="182">
        <f t="shared" si="101"/>
        <v>7</v>
      </c>
      <c r="AI70" s="558"/>
      <c r="AJ70" s="188">
        <v>23</v>
      </c>
      <c r="AK70" s="188">
        <v>1781.4138204924564</v>
      </c>
      <c r="AL70" s="185">
        <f t="shared" si="92"/>
        <v>77.452774804019839</v>
      </c>
      <c r="AM70" s="182">
        <f t="shared" si="102"/>
        <v>7</v>
      </c>
      <c r="AN70" s="558"/>
      <c r="AO70" s="188">
        <v>23</v>
      </c>
      <c r="AP70" s="188">
        <v>1781.4521926671459</v>
      </c>
      <c r="AQ70" s="185">
        <f t="shared" si="93"/>
        <v>77.454443159441126</v>
      </c>
      <c r="AR70" s="182">
        <f t="shared" si="103"/>
        <v>7</v>
      </c>
      <c r="AS70" s="558"/>
      <c r="AT70" s="188">
        <v>23</v>
      </c>
      <c r="AU70" s="188">
        <v>1781.5968841285312</v>
      </c>
      <c r="AV70" s="185">
        <f t="shared" si="94"/>
        <v>77.46073409254484</v>
      </c>
      <c r="AW70" s="182">
        <f t="shared" si="104"/>
        <v>7</v>
      </c>
      <c r="AX70" s="558"/>
    </row>
    <row r="71" spans="2:50" ht="14.25" customHeight="1">
      <c r="B71" s="530"/>
      <c r="C71" s="180">
        <v>5</v>
      </c>
      <c r="D71" s="183" t="s">
        <v>202</v>
      </c>
      <c r="E71" s="180">
        <v>20</v>
      </c>
      <c r="F71" s="180">
        <v>2000</v>
      </c>
      <c r="G71" s="185">
        <f t="shared" si="89"/>
        <v>100</v>
      </c>
      <c r="H71" s="558"/>
      <c r="I71" s="186">
        <f t="shared" si="95"/>
        <v>20</v>
      </c>
      <c r="J71" s="186">
        <f t="shared" si="95"/>
        <v>1783.7387603103857</v>
      </c>
      <c r="K71" s="187">
        <f t="shared" si="95"/>
        <v>89.186938015519289</v>
      </c>
      <c r="L71" s="559"/>
      <c r="M71" s="186">
        <f>RANK(K71, K$67:$K$81)</f>
        <v>2</v>
      </c>
      <c r="N71" s="530"/>
      <c r="O71" s="530"/>
      <c r="P71" s="188">
        <v>20</v>
      </c>
      <c r="Q71" s="188">
        <v>1782.4933687002588</v>
      </c>
      <c r="R71" s="185">
        <f t="shared" si="96"/>
        <v>89.124668435012936</v>
      </c>
      <c r="S71" s="182">
        <f t="shared" si="97"/>
        <v>2</v>
      </c>
      <c r="T71" s="558"/>
      <c r="U71" s="188">
        <v>20</v>
      </c>
      <c r="V71" s="188">
        <v>1783.1775700934616</v>
      </c>
      <c r="W71" s="185">
        <f t="shared" si="90"/>
        <v>89.158878504673083</v>
      </c>
      <c r="X71" s="182">
        <f t="shared" si="98"/>
        <v>2</v>
      </c>
      <c r="Y71" s="558"/>
      <c r="Z71" s="188">
        <v>20</v>
      </c>
      <c r="AA71" s="188">
        <v>1784.0000000000061</v>
      </c>
      <c r="AB71" s="185">
        <f t="shared" si="91"/>
        <v>89.200000000000301</v>
      </c>
      <c r="AC71" s="182">
        <f t="shared" si="99"/>
        <v>2</v>
      </c>
      <c r="AD71" s="558"/>
      <c r="AE71" s="188">
        <v>20</v>
      </c>
      <c r="AF71" s="188">
        <v>1784.210526315796</v>
      </c>
      <c r="AG71" s="185">
        <f t="shared" si="100"/>
        <v>89.210526315789792</v>
      </c>
      <c r="AH71" s="182">
        <f t="shared" si="101"/>
        <v>2</v>
      </c>
      <c r="AI71" s="558"/>
      <c r="AJ71" s="188">
        <v>20</v>
      </c>
      <c r="AK71" s="188">
        <v>1783.9935327405037</v>
      </c>
      <c r="AL71" s="185">
        <f t="shared" si="92"/>
        <v>89.199676637025192</v>
      </c>
      <c r="AM71" s="182">
        <f t="shared" si="102"/>
        <v>2</v>
      </c>
      <c r="AN71" s="558"/>
      <c r="AO71" s="188">
        <v>20</v>
      </c>
      <c r="AP71" s="188">
        <v>1783.9694656488591</v>
      </c>
      <c r="AQ71" s="185">
        <f t="shared" si="93"/>
        <v>89.198473282442961</v>
      </c>
      <c r="AR71" s="182">
        <f t="shared" si="103"/>
        <v>2</v>
      </c>
      <c r="AS71" s="558"/>
      <c r="AT71" s="188">
        <v>20</v>
      </c>
      <c r="AU71" s="188">
        <v>1784.326858673815</v>
      </c>
      <c r="AV71" s="185">
        <f t="shared" si="94"/>
        <v>89.216342933690754</v>
      </c>
      <c r="AW71" s="182">
        <f t="shared" si="104"/>
        <v>2</v>
      </c>
      <c r="AX71" s="558"/>
    </row>
    <row r="72" spans="2:50" ht="14.25" customHeight="1">
      <c r="B72" s="530"/>
      <c r="C72" s="180">
        <v>6</v>
      </c>
      <c r="D72" s="183" t="s">
        <v>203</v>
      </c>
      <c r="E72" s="180">
        <v>21</v>
      </c>
      <c r="F72" s="180">
        <v>2000</v>
      </c>
      <c r="G72" s="185">
        <f t="shared" si="89"/>
        <v>95.238095238095241</v>
      </c>
      <c r="H72" s="558"/>
      <c r="I72" s="186">
        <f t="shared" si="95"/>
        <v>21</v>
      </c>
      <c r="J72" s="186">
        <f t="shared" si="95"/>
        <v>1783.7309304091234</v>
      </c>
      <c r="K72" s="187">
        <f t="shared" si="95"/>
        <v>84.939568114720146</v>
      </c>
      <c r="L72" s="559"/>
      <c r="M72" s="186">
        <f>RANK(K72, K$67:$K$81)</f>
        <v>3</v>
      </c>
      <c r="N72" s="530"/>
      <c r="O72" s="530"/>
      <c r="P72" s="188">
        <v>21</v>
      </c>
      <c r="Q72" s="188">
        <v>1783.2345469940742</v>
      </c>
      <c r="R72" s="185">
        <f t="shared" si="96"/>
        <v>84.91593080924163</v>
      </c>
      <c r="S72" s="182">
        <f t="shared" si="97"/>
        <v>3</v>
      </c>
      <c r="T72" s="558"/>
      <c r="U72" s="188">
        <v>21</v>
      </c>
      <c r="V72" s="188">
        <v>1783.2246039142619</v>
      </c>
      <c r="W72" s="185">
        <f t="shared" si="90"/>
        <v>84.915457329250572</v>
      </c>
      <c r="X72" s="182">
        <f t="shared" si="98"/>
        <v>3</v>
      </c>
      <c r="Y72" s="558"/>
      <c r="Z72" s="188">
        <v>21</v>
      </c>
      <c r="AA72" s="188">
        <v>1783.5666463785747</v>
      </c>
      <c r="AB72" s="185">
        <f t="shared" si="91"/>
        <v>84.93174506564641</v>
      </c>
      <c r="AC72" s="182">
        <f t="shared" si="99"/>
        <v>3</v>
      </c>
      <c r="AD72" s="558"/>
      <c r="AE72" s="188">
        <v>21</v>
      </c>
      <c r="AF72" s="188">
        <v>1783.9210155148123</v>
      </c>
      <c r="AG72" s="185">
        <f t="shared" si="100"/>
        <v>84.948619786419641</v>
      </c>
      <c r="AH72" s="182">
        <f t="shared" si="101"/>
        <v>3</v>
      </c>
      <c r="AI72" s="558"/>
      <c r="AJ72" s="188">
        <v>21</v>
      </c>
      <c r="AK72" s="188">
        <v>1784.0157868771596</v>
      </c>
      <c r="AL72" s="185">
        <f t="shared" si="92"/>
        <v>84.953132708436172</v>
      </c>
      <c r="AM72" s="182">
        <f t="shared" si="102"/>
        <v>3</v>
      </c>
      <c r="AN72" s="558"/>
      <c r="AO72" s="188">
        <v>21</v>
      </c>
      <c r="AP72" s="188">
        <v>1783.9246922519933</v>
      </c>
      <c r="AQ72" s="185">
        <f t="shared" si="93"/>
        <v>84.948794869142532</v>
      </c>
      <c r="AR72" s="182">
        <f t="shared" si="103"/>
        <v>3</v>
      </c>
      <c r="AS72" s="558"/>
      <c r="AT72" s="188">
        <v>21</v>
      </c>
      <c r="AU72" s="188">
        <v>1784.2292209329855</v>
      </c>
      <c r="AV72" s="185">
        <f t="shared" si="94"/>
        <v>84.963296234904078</v>
      </c>
      <c r="AW72" s="182">
        <f t="shared" si="104"/>
        <v>3</v>
      </c>
      <c r="AX72" s="558"/>
    </row>
    <row r="73" spans="2:50" ht="14.25" customHeight="1">
      <c r="B73" s="530"/>
      <c r="C73" s="180">
        <v>7</v>
      </c>
      <c r="D73" s="183" t="s">
        <v>204</v>
      </c>
      <c r="E73" s="180">
        <v>19</v>
      </c>
      <c r="F73" s="180">
        <v>1800</v>
      </c>
      <c r="G73" s="185">
        <f t="shared" si="89"/>
        <v>94.736842105263165</v>
      </c>
      <c r="H73" s="558"/>
      <c r="I73" s="186">
        <f t="shared" si="95"/>
        <v>19</v>
      </c>
      <c r="J73" s="186">
        <f t="shared" si="95"/>
        <v>1603.8916383339899</v>
      </c>
      <c r="K73" s="187">
        <f t="shared" si="95"/>
        <v>84.415349385999477</v>
      </c>
      <c r="L73" s="559"/>
      <c r="M73" s="186">
        <f>RANK(K73, K$67:$K$81)</f>
        <v>4</v>
      </c>
      <c r="N73" s="530"/>
      <c r="O73" s="530"/>
      <c r="P73" s="188">
        <v>19</v>
      </c>
      <c r="Q73" s="188">
        <v>1603.5763411279227</v>
      </c>
      <c r="R73" s="185">
        <f t="shared" si="96"/>
        <v>84.398754796206461</v>
      </c>
      <c r="S73" s="182">
        <f t="shared" si="97"/>
        <v>4</v>
      </c>
      <c r="T73" s="558"/>
      <c r="U73" s="188">
        <v>19</v>
      </c>
      <c r="V73" s="188">
        <v>1603.6291214870535</v>
      </c>
      <c r="W73" s="185">
        <f t="shared" si="90"/>
        <v>84.401532709844915</v>
      </c>
      <c r="X73" s="182">
        <f t="shared" si="98"/>
        <v>4</v>
      </c>
      <c r="Y73" s="558"/>
      <c r="Z73" s="188">
        <v>19</v>
      </c>
      <c r="AA73" s="188">
        <v>1603.89105058366</v>
      </c>
      <c r="AB73" s="185">
        <f t="shared" si="91"/>
        <v>84.415318451771583</v>
      </c>
      <c r="AC73" s="182">
        <f t="shared" si="99"/>
        <v>4</v>
      </c>
      <c r="AD73" s="558"/>
      <c r="AE73" s="188">
        <v>19</v>
      </c>
      <c r="AF73" s="188">
        <v>1603.8972542072622</v>
      </c>
      <c r="AG73" s="185">
        <f t="shared" si="100"/>
        <v>84.415644958276957</v>
      </c>
      <c r="AH73" s="182">
        <f t="shared" si="101"/>
        <v>4</v>
      </c>
      <c r="AI73" s="558"/>
      <c r="AJ73" s="188">
        <v>19</v>
      </c>
      <c r="AK73" s="188">
        <v>1603.9690222652466</v>
      </c>
      <c r="AL73" s="185">
        <f t="shared" si="92"/>
        <v>84.419422224486667</v>
      </c>
      <c r="AM73" s="182">
        <f t="shared" si="102"/>
        <v>4</v>
      </c>
      <c r="AN73" s="558"/>
      <c r="AO73" s="188">
        <v>19</v>
      </c>
      <c r="AP73" s="188">
        <v>1604.021390374332</v>
      </c>
      <c r="AQ73" s="185">
        <f t="shared" si="93"/>
        <v>84.422178440754308</v>
      </c>
      <c r="AR73" s="182">
        <f t="shared" si="103"/>
        <v>4</v>
      </c>
      <c r="AS73" s="558"/>
      <c r="AT73" s="188">
        <v>19</v>
      </c>
      <c r="AU73" s="188">
        <v>1604.2572882924542</v>
      </c>
      <c r="AV73" s="185">
        <f t="shared" si="94"/>
        <v>84.43459412065549</v>
      </c>
      <c r="AW73" s="182">
        <f t="shared" si="104"/>
        <v>4</v>
      </c>
      <c r="AX73" s="558"/>
    </row>
    <row r="74" spans="2:50" ht="14.25" customHeight="1">
      <c r="B74" s="530"/>
      <c r="C74" s="180">
        <v>8</v>
      </c>
      <c r="D74" s="183" t="s">
        <v>205</v>
      </c>
      <c r="E74" s="180">
        <v>19</v>
      </c>
      <c r="F74" s="180">
        <v>2000</v>
      </c>
      <c r="G74" s="185">
        <f t="shared" si="89"/>
        <v>105.26315789473684</v>
      </c>
      <c r="H74" s="558"/>
      <c r="I74" s="186">
        <f t="shared" si="95"/>
        <v>19</v>
      </c>
      <c r="J74" s="186">
        <f t="shared" si="95"/>
        <v>1782.5531206029975</v>
      </c>
      <c r="K74" s="187">
        <f t="shared" si="95"/>
        <v>93.818585294894618</v>
      </c>
      <c r="L74" s="559"/>
      <c r="M74" s="186">
        <f>RANK(K74, K$67:$K$81)</f>
        <v>1</v>
      </c>
      <c r="N74" s="530"/>
      <c r="O74" s="530"/>
      <c r="P74" s="188">
        <v>19</v>
      </c>
      <c r="Q74" s="188">
        <v>1781.8745158791673</v>
      </c>
      <c r="R74" s="185">
        <f t="shared" si="96"/>
        <v>93.782869256798278</v>
      </c>
      <c r="S74" s="182">
        <f t="shared" si="97"/>
        <v>1</v>
      </c>
      <c r="T74" s="558"/>
      <c r="U74" s="188">
        <v>19</v>
      </c>
      <c r="V74" s="188">
        <v>1782.0276497695822</v>
      </c>
      <c r="W74" s="185">
        <f t="shared" si="90"/>
        <v>93.790928935241169</v>
      </c>
      <c r="X74" s="182">
        <f t="shared" si="98"/>
        <v>1</v>
      </c>
      <c r="Y74" s="558"/>
      <c r="Z74" s="188">
        <v>19</v>
      </c>
      <c r="AA74" s="188">
        <v>1782.5665859564208</v>
      </c>
      <c r="AB74" s="185">
        <f t="shared" si="91"/>
        <v>93.819293997706353</v>
      </c>
      <c r="AC74" s="182">
        <f t="shared" si="99"/>
        <v>1</v>
      </c>
      <c r="AD74" s="558"/>
      <c r="AE74" s="188">
        <v>19</v>
      </c>
      <c r="AF74" s="188">
        <v>1782.8086310576598</v>
      </c>
      <c r="AG74" s="185">
        <f t="shared" si="100"/>
        <v>93.832033213561047</v>
      </c>
      <c r="AH74" s="182">
        <f t="shared" si="101"/>
        <v>1</v>
      </c>
      <c r="AI74" s="558"/>
      <c r="AJ74" s="188">
        <v>19</v>
      </c>
      <c r="AK74" s="188">
        <v>1782.7696234843684</v>
      </c>
      <c r="AL74" s="185">
        <f t="shared" si="92"/>
        <v>93.829980183387804</v>
      </c>
      <c r="AM74" s="182">
        <f t="shared" si="102"/>
        <v>1</v>
      </c>
      <c r="AN74" s="558"/>
      <c r="AO74" s="188">
        <v>19</v>
      </c>
      <c r="AP74" s="188">
        <v>1782.8059701492541</v>
      </c>
      <c r="AQ74" s="185">
        <f t="shared" si="93"/>
        <v>93.831893165750216</v>
      </c>
      <c r="AR74" s="182">
        <f t="shared" si="103"/>
        <v>1</v>
      </c>
      <c r="AS74" s="558"/>
      <c r="AT74" s="188">
        <v>19</v>
      </c>
      <c r="AU74" s="188">
        <v>1783.0188679245293</v>
      </c>
      <c r="AV74" s="185">
        <f t="shared" si="94"/>
        <v>93.843098311817329</v>
      </c>
      <c r="AW74" s="182">
        <f t="shared" si="104"/>
        <v>1</v>
      </c>
      <c r="AX74" s="558"/>
    </row>
    <row r="75" spans="2:50" ht="14.25" customHeight="1">
      <c r="B75" s="530"/>
      <c r="C75" s="180">
        <v>9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30"/>
      <c r="O75" s="530"/>
      <c r="P75" s="188"/>
      <c r="Q75" s="188"/>
      <c r="R75" s="185"/>
      <c r="S75" s="182"/>
      <c r="T75" s="558"/>
      <c r="U75" s="188"/>
      <c r="V75" s="188"/>
      <c r="W75" s="185"/>
      <c r="X75" s="182"/>
      <c r="Y75" s="558"/>
      <c r="Z75" s="188"/>
      <c r="AA75" s="188"/>
      <c r="AB75" s="185"/>
      <c r="AC75" s="182"/>
      <c r="AD75" s="558"/>
      <c r="AE75" s="188"/>
      <c r="AF75" s="188"/>
      <c r="AG75" s="185"/>
      <c r="AH75" s="182"/>
      <c r="AI75" s="558"/>
      <c r="AJ75" s="188"/>
      <c r="AK75" s="188"/>
      <c r="AL75" s="185"/>
      <c r="AM75" s="182"/>
      <c r="AN75" s="558"/>
      <c r="AO75" s="188"/>
      <c r="AP75" s="188"/>
      <c r="AQ75" s="185"/>
      <c r="AR75" s="182"/>
      <c r="AS75" s="558"/>
      <c r="AT75" s="188"/>
      <c r="AU75" s="188"/>
      <c r="AV75" s="185"/>
      <c r="AW75" s="182"/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558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558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558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558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558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558"/>
      <c r="AT81" s="188"/>
      <c r="AU81" s="188"/>
      <c r="AV81" s="185"/>
      <c r="AW81" s="182"/>
      <c r="AX81" s="558"/>
    </row>
    <row r="82" spans="2:50" ht="14.25" customHeight="1" collapsed="1">
      <c r="B82" s="544" t="s">
        <v>176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60" t="s">
        <v>127</v>
      </c>
      <c r="O82" s="560" t="s">
        <v>77</v>
      </c>
      <c r="P82" s="596">
        <f>AT62+1</f>
        <v>46077</v>
      </c>
      <c r="Q82" s="597"/>
      <c r="R82" s="597"/>
      <c r="S82" s="597"/>
      <c r="T82" s="597"/>
      <c r="U82" s="598">
        <f>P82+1</f>
        <v>46078</v>
      </c>
      <c r="V82" s="599"/>
      <c r="W82" s="599"/>
      <c r="X82" s="599"/>
      <c r="Y82" s="599"/>
      <c r="Z82" s="596">
        <f t="shared" ref="Z82" si="105">U82+1</f>
        <v>46079</v>
      </c>
      <c r="AA82" s="597"/>
      <c r="AB82" s="597"/>
      <c r="AC82" s="597"/>
      <c r="AD82" s="597"/>
      <c r="AE82" s="598">
        <f t="shared" ref="AE82" si="106">Z82+1</f>
        <v>46080</v>
      </c>
      <c r="AF82" s="599"/>
      <c r="AG82" s="599"/>
      <c r="AH82" s="599"/>
      <c r="AI82" s="599"/>
      <c r="AJ82" s="588">
        <f t="shared" ref="AJ82" si="107">AE82+1</f>
        <v>46081</v>
      </c>
      <c r="AK82" s="589"/>
      <c r="AL82" s="589"/>
      <c r="AM82" s="589"/>
      <c r="AN82" s="590"/>
      <c r="AO82" s="598">
        <f t="shared" ref="AO82" si="108">AJ82+1</f>
        <v>46082</v>
      </c>
      <c r="AP82" s="599"/>
      <c r="AQ82" s="599"/>
      <c r="AR82" s="599"/>
      <c r="AS82" s="599"/>
      <c r="AT82" s="588">
        <f t="shared" ref="AT82" si="109">AO82+1</f>
        <v>46083</v>
      </c>
      <c r="AU82" s="589"/>
      <c r="AV82" s="589"/>
      <c r="AW82" s="589"/>
      <c r="AX82" s="590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62"/>
      <c r="O83" s="562"/>
      <c r="P83" s="591">
        <f>P82</f>
        <v>46077</v>
      </c>
      <c r="Q83" s="591"/>
      <c r="R83" s="591"/>
      <c r="S83" s="591"/>
      <c r="T83" s="591"/>
      <c r="U83" s="592">
        <f>U82</f>
        <v>46078</v>
      </c>
      <c r="V83" s="592"/>
      <c r="W83" s="592"/>
      <c r="X83" s="592"/>
      <c r="Y83" s="592"/>
      <c r="Z83" s="591">
        <f t="shared" ref="Z83" si="110">Z82</f>
        <v>46079</v>
      </c>
      <c r="AA83" s="591"/>
      <c r="AB83" s="591"/>
      <c r="AC83" s="591"/>
      <c r="AD83" s="591"/>
      <c r="AE83" s="592">
        <f t="shared" ref="AE83" si="111">AE82</f>
        <v>46080</v>
      </c>
      <c r="AF83" s="592"/>
      <c r="AG83" s="592"/>
      <c r="AH83" s="592"/>
      <c r="AI83" s="592"/>
      <c r="AJ83" s="593">
        <f t="shared" ref="AJ83" si="112">AJ82</f>
        <v>46081</v>
      </c>
      <c r="AK83" s="594"/>
      <c r="AL83" s="594"/>
      <c r="AM83" s="594"/>
      <c r="AN83" s="595"/>
      <c r="AO83" s="592">
        <f t="shared" ref="AO83" si="113">AO82</f>
        <v>46082</v>
      </c>
      <c r="AP83" s="592"/>
      <c r="AQ83" s="592"/>
      <c r="AR83" s="592"/>
      <c r="AS83" s="592"/>
      <c r="AT83" s="593">
        <f t="shared" ref="AT83" si="114">AT82</f>
        <v>46083</v>
      </c>
      <c r="AU83" s="594"/>
      <c r="AV83" s="594"/>
      <c r="AW83" s="594"/>
      <c r="AX83" s="595"/>
    </row>
    <row r="84" spans="2:50" ht="14.25" customHeight="1">
      <c r="B84" s="530" t="s">
        <v>128</v>
      </c>
      <c r="C84" s="530" t="s">
        <v>129</v>
      </c>
      <c r="D84" s="530"/>
      <c r="E84" s="530" t="s">
        <v>130</v>
      </c>
      <c r="F84" s="530"/>
      <c r="G84" s="530"/>
      <c r="H84" s="530" t="s">
        <v>131</v>
      </c>
      <c r="I84" s="553" t="s">
        <v>132</v>
      </c>
      <c r="J84" s="553"/>
      <c r="K84" s="553"/>
      <c r="L84" s="553" t="s">
        <v>131</v>
      </c>
      <c r="M84" s="553" t="s">
        <v>133</v>
      </c>
      <c r="N84" s="530"/>
      <c r="O84" s="530" t="s">
        <v>134</v>
      </c>
      <c r="P84" s="530" t="s">
        <v>135</v>
      </c>
      <c r="Q84" s="530"/>
      <c r="R84" s="530"/>
      <c r="S84" s="530"/>
      <c r="T84" s="530" t="s">
        <v>131</v>
      </c>
      <c r="U84" s="530" t="s">
        <v>135</v>
      </c>
      <c r="V84" s="530"/>
      <c r="W84" s="530"/>
      <c r="X84" s="530"/>
      <c r="Y84" s="530" t="s">
        <v>131</v>
      </c>
      <c r="Z84" s="530" t="s">
        <v>135</v>
      </c>
      <c r="AA84" s="530"/>
      <c r="AB84" s="530"/>
      <c r="AC84" s="530"/>
      <c r="AD84" s="530" t="s">
        <v>131</v>
      </c>
      <c r="AE84" s="530" t="s">
        <v>135</v>
      </c>
      <c r="AF84" s="530"/>
      <c r="AG84" s="530"/>
      <c r="AH84" s="530"/>
      <c r="AI84" s="530" t="s">
        <v>131</v>
      </c>
      <c r="AJ84" s="530" t="s">
        <v>135</v>
      </c>
      <c r="AK84" s="530"/>
      <c r="AL84" s="530"/>
      <c r="AM84" s="530"/>
      <c r="AN84" s="530" t="s">
        <v>131</v>
      </c>
      <c r="AO84" s="530" t="s">
        <v>135</v>
      </c>
      <c r="AP84" s="530"/>
      <c r="AQ84" s="530"/>
      <c r="AR84" s="530"/>
      <c r="AS84" s="530" t="s">
        <v>131</v>
      </c>
      <c r="AT84" s="530" t="s">
        <v>135</v>
      </c>
      <c r="AU84" s="530"/>
      <c r="AV84" s="530"/>
      <c r="AW84" s="530"/>
      <c r="AX84" s="530" t="s">
        <v>131</v>
      </c>
    </row>
    <row r="85" spans="2:50" ht="14.25" customHeight="1">
      <c r="B85" s="530"/>
      <c r="C85" s="530"/>
      <c r="D85" s="530"/>
      <c r="E85" s="530" t="s">
        <v>136</v>
      </c>
      <c r="F85" s="530"/>
      <c r="G85" s="530"/>
      <c r="H85" s="530"/>
      <c r="I85" s="553" t="s">
        <v>136</v>
      </c>
      <c r="J85" s="553"/>
      <c r="K85" s="553"/>
      <c r="L85" s="553"/>
      <c r="M85" s="553"/>
      <c r="N85" s="530"/>
      <c r="O85" s="530"/>
      <c r="P85" s="530" t="s">
        <v>137</v>
      </c>
      <c r="Q85" s="530"/>
      <c r="R85" s="530"/>
      <c r="S85" s="530"/>
      <c r="T85" s="530"/>
      <c r="U85" s="530" t="s">
        <v>137</v>
      </c>
      <c r="V85" s="530"/>
      <c r="W85" s="530"/>
      <c r="X85" s="530"/>
      <c r="Y85" s="530"/>
      <c r="Z85" s="530" t="s">
        <v>137</v>
      </c>
      <c r="AA85" s="530"/>
      <c r="AB85" s="530"/>
      <c r="AC85" s="530"/>
      <c r="AD85" s="530"/>
      <c r="AE85" s="530" t="s">
        <v>137</v>
      </c>
      <c r="AF85" s="530"/>
      <c r="AG85" s="530"/>
      <c r="AH85" s="530"/>
      <c r="AI85" s="530"/>
      <c r="AJ85" s="530" t="s">
        <v>137</v>
      </c>
      <c r="AK85" s="530"/>
      <c r="AL85" s="530"/>
      <c r="AM85" s="530"/>
      <c r="AN85" s="530"/>
      <c r="AO85" s="530" t="s">
        <v>137</v>
      </c>
      <c r="AP85" s="530"/>
      <c r="AQ85" s="530"/>
      <c r="AR85" s="530"/>
      <c r="AS85" s="530"/>
      <c r="AT85" s="530" t="s">
        <v>137</v>
      </c>
      <c r="AU85" s="530"/>
      <c r="AV85" s="530"/>
      <c r="AW85" s="530"/>
      <c r="AX85" s="530"/>
    </row>
    <row r="86" spans="2:50" ht="14.25" customHeight="1">
      <c r="B86" s="530"/>
      <c r="C86" s="530"/>
      <c r="D86" s="530"/>
      <c r="E86" s="180" t="s">
        <v>138</v>
      </c>
      <c r="F86" s="180" t="s">
        <v>139</v>
      </c>
      <c r="G86" s="180" t="s">
        <v>140</v>
      </c>
      <c r="H86" s="530"/>
      <c r="I86" s="181" t="s">
        <v>138</v>
      </c>
      <c r="J86" s="181" t="s">
        <v>139</v>
      </c>
      <c r="K86" s="181" t="s">
        <v>140</v>
      </c>
      <c r="L86" s="553"/>
      <c r="M86" s="553"/>
      <c r="N86" s="530"/>
      <c r="O86" s="530"/>
      <c r="P86" s="180" t="s">
        <v>138</v>
      </c>
      <c r="Q86" s="180" t="s">
        <v>139</v>
      </c>
      <c r="R86" s="180" t="s">
        <v>140</v>
      </c>
      <c r="S86" s="182" t="s">
        <v>133</v>
      </c>
      <c r="T86" s="530"/>
      <c r="U86" s="180" t="s">
        <v>138</v>
      </c>
      <c r="V86" s="180" t="s">
        <v>139</v>
      </c>
      <c r="W86" s="180" t="s">
        <v>140</v>
      </c>
      <c r="X86" s="182" t="s">
        <v>133</v>
      </c>
      <c r="Y86" s="530"/>
      <c r="Z86" s="180" t="s">
        <v>138</v>
      </c>
      <c r="AA86" s="180" t="s">
        <v>139</v>
      </c>
      <c r="AB86" s="180" t="s">
        <v>140</v>
      </c>
      <c r="AC86" s="182" t="s">
        <v>133</v>
      </c>
      <c r="AD86" s="530"/>
      <c r="AE86" s="180" t="s">
        <v>138</v>
      </c>
      <c r="AF86" s="180" t="s">
        <v>139</v>
      </c>
      <c r="AG86" s="180" t="s">
        <v>140</v>
      </c>
      <c r="AH86" s="182" t="s">
        <v>133</v>
      </c>
      <c r="AI86" s="530"/>
      <c r="AJ86" s="180" t="s">
        <v>138</v>
      </c>
      <c r="AK86" s="180" t="s">
        <v>139</v>
      </c>
      <c r="AL86" s="180" t="s">
        <v>140</v>
      </c>
      <c r="AM86" s="182" t="s">
        <v>133</v>
      </c>
      <c r="AN86" s="530"/>
      <c r="AO86" s="180" t="s">
        <v>138</v>
      </c>
      <c r="AP86" s="180" t="s">
        <v>139</v>
      </c>
      <c r="AQ86" s="180" t="s">
        <v>140</v>
      </c>
      <c r="AR86" s="182" t="s">
        <v>133</v>
      </c>
      <c r="AS86" s="530"/>
      <c r="AT86" s="180" t="s">
        <v>138</v>
      </c>
      <c r="AU86" s="180" t="s">
        <v>139</v>
      </c>
      <c r="AV86" s="180" t="s">
        <v>140</v>
      </c>
      <c r="AW86" s="182" t="s">
        <v>133</v>
      </c>
      <c r="AX86" s="530"/>
    </row>
    <row r="87" spans="2:50" ht="14.25" customHeight="1">
      <c r="B87" s="530" t="s">
        <v>197</v>
      </c>
      <c r="C87" s="180">
        <v>1</v>
      </c>
      <c r="D87" s="183" t="s">
        <v>198</v>
      </c>
      <c r="E87" s="180">
        <v>25</v>
      </c>
      <c r="F87" s="180">
        <v>2000</v>
      </c>
      <c r="G87" s="185">
        <f t="shared" ref="G87:G96" si="115">F87/E87</f>
        <v>80</v>
      </c>
      <c r="H87" s="558">
        <f>AVERAGE(G87:G101)</f>
        <v>91.706004140786746</v>
      </c>
      <c r="I87" s="186">
        <f>AVERAGE(P87,U87,Z87,AE87,AJ87,AO87,AT87)</f>
        <v>25</v>
      </c>
      <c r="J87" s="186">
        <f>AVERAGE(Q87,V87,AA87,AF87,AK87,AP87,AU87)</f>
        <v>1782.7376248896433</v>
      </c>
      <c r="K87" s="187">
        <f>AVERAGE(R87,W87,AB87,AG87,AL87,AQ87,AV87)</f>
        <v>71.309504995585712</v>
      </c>
      <c r="L87" s="559">
        <f>IFERROR(AVERAGE(K87:K101),"-")</f>
        <v>79.96347046137852</v>
      </c>
      <c r="M87" s="186">
        <f>RANK(K87, K$87:$K$101)</f>
        <v>9</v>
      </c>
      <c r="N87" s="530"/>
      <c r="O87" s="530"/>
      <c r="P87" s="188">
        <v>25</v>
      </c>
      <c r="Q87" s="188">
        <v>1782.813002896685</v>
      </c>
      <c r="R87" s="185">
        <f>IFERROR(Q87/P87,"")</f>
        <v>71.3125201158674</v>
      </c>
      <c r="S87" s="182">
        <f>RANK(R87, R$87:R$101)</f>
        <v>8</v>
      </c>
      <c r="T87" s="558">
        <f>AVERAGE(R87:R101)</f>
        <v>82.034058268429931</v>
      </c>
      <c r="U87" s="188">
        <v>25</v>
      </c>
      <c r="V87" s="188">
        <v>1782.7397260273976</v>
      </c>
      <c r="W87" s="185">
        <f t="shared" ref="W87:W94" si="116">IFERROR(V87/U87,"")</f>
        <v>71.309589041095904</v>
      </c>
      <c r="X87" s="182">
        <f>RANK(W87, W$87:W$101)</f>
        <v>8</v>
      </c>
      <c r="Y87" s="558">
        <f>AVERAGE(W87:W101)</f>
        <v>82.035390737517702</v>
      </c>
      <c r="Z87" s="188">
        <v>25</v>
      </c>
      <c r="AA87" s="188">
        <v>1782.6965738230217</v>
      </c>
      <c r="AB87" s="185">
        <f t="shared" ref="AB87:AB94" si="117">IFERROR(AA87/Z87,"")</f>
        <v>71.307862952920871</v>
      </c>
      <c r="AC87" s="182">
        <f>RANK(AB87, AB$87:AB$101)</f>
        <v>8</v>
      </c>
      <c r="AD87" s="558">
        <f>AVERAGE(AB87:AB101)</f>
        <v>82.041487516453543</v>
      </c>
      <c r="AE87" s="188">
        <v>25</v>
      </c>
      <c r="AF87" s="188">
        <v>1782.6780313445149</v>
      </c>
      <c r="AG87" s="185">
        <f>IFERROR(AF87/AE87,"")</f>
        <v>71.307121253780593</v>
      </c>
      <c r="AH87" s="182">
        <f>RANK(AG87, AG$87:AG$101)</f>
        <v>7</v>
      </c>
      <c r="AI87" s="558">
        <f>AVERAGE(AG87:AG101)</f>
        <v>81.014667568589743</v>
      </c>
      <c r="AJ87" s="188">
        <v>25</v>
      </c>
      <c r="AK87" s="188">
        <v>1782.6791592808308</v>
      </c>
      <c r="AL87" s="185">
        <f t="shared" ref="AL87:AL94" si="118">IFERROR(AK87/AJ87,"")</f>
        <v>71.307166371233237</v>
      </c>
      <c r="AM87" s="182">
        <f>RANK(AL87, AL$87:AL$101)</f>
        <v>7</v>
      </c>
      <c r="AN87" s="558">
        <f>AVERAGE(AL87:AL101)</f>
        <v>81.023618447988852</v>
      </c>
      <c r="AO87" s="188">
        <v>25</v>
      </c>
      <c r="AP87" s="188">
        <v>1782.7530594820232</v>
      </c>
      <c r="AQ87" s="185">
        <f t="shared" ref="AQ87:AQ94" si="119">IFERROR(AP87/AO87,"")</f>
        <v>71.310122379280926</v>
      </c>
      <c r="AR87" s="182" t="e">
        <f>RANK(AQ87, AQ$7:AQ$21)</f>
        <v>#N/A</v>
      </c>
      <c r="AS87" s="558">
        <f>AVERAGE(AQ87:AQ101)</f>
        <v>81.023294081340325</v>
      </c>
      <c r="AT87" s="188">
        <v>25</v>
      </c>
      <c r="AU87" s="188">
        <v>1782.8038213730283</v>
      </c>
      <c r="AV87" s="185">
        <f t="shared" ref="AV87:AV96" si="120">IFERROR(AU87/AT87,"")</f>
        <v>71.312152854921138</v>
      </c>
      <c r="AW87" s="182">
        <f>RANK(AV87, AV$87:AV$101)</f>
        <v>8</v>
      </c>
      <c r="AX87" s="558">
        <f>AVERAGE(AV87:AV101)</f>
        <v>76.801377319573447</v>
      </c>
    </row>
    <row r="88" spans="2:50" ht="14.25" customHeight="1">
      <c r="B88" s="530"/>
      <c r="C88" s="180">
        <v>2</v>
      </c>
      <c r="D88" s="183" t="s">
        <v>199</v>
      </c>
      <c r="E88" s="180">
        <v>23</v>
      </c>
      <c r="F88" s="180">
        <v>2000</v>
      </c>
      <c r="G88" s="185">
        <f t="shared" si="115"/>
        <v>86.956521739130437</v>
      </c>
      <c r="H88" s="558"/>
      <c r="I88" s="186">
        <f t="shared" ref="I88:K96" si="121">AVERAGE(P88,U88,Z88,AE88,AJ88,AO88,AT88)</f>
        <v>23.142857142857142</v>
      </c>
      <c r="J88" s="186">
        <f t="shared" si="121"/>
        <v>1783.5847059920795</v>
      </c>
      <c r="K88" s="187">
        <f t="shared" si="121"/>
        <v>77.085560479850727</v>
      </c>
      <c r="L88" s="559"/>
      <c r="M88" s="186">
        <f>RANK(K88, K$87:$K$101)</f>
        <v>6</v>
      </c>
      <c r="N88" s="530"/>
      <c r="O88" s="530"/>
      <c r="P88" s="188">
        <v>23</v>
      </c>
      <c r="Q88" s="188">
        <v>1783.4160170092132</v>
      </c>
      <c r="R88" s="185">
        <f t="shared" ref="R88:R94" si="122">IFERROR(Q88/P88,"")</f>
        <v>77.539826826487527</v>
      </c>
      <c r="S88" s="182">
        <f t="shared" ref="S88:S94" si="123">RANK(R88, R$87:R$101)</f>
        <v>5</v>
      </c>
      <c r="T88" s="558"/>
      <c r="U88" s="188">
        <v>23</v>
      </c>
      <c r="V88" s="188">
        <v>1783.6106750392505</v>
      </c>
      <c r="W88" s="185">
        <f t="shared" si="116"/>
        <v>77.548290219097851</v>
      </c>
      <c r="X88" s="182">
        <f t="shared" ref="X88:X94" si="124">RANK(W88, W$87:W$101)</f>
        <v>5</v>
      </c>
      <c r="Y88" s="558"/>
      <c r="Z88" s="188">
        <v>23</v>
      </c>
      <c r="AA88" s="188">
        <v>1783.6748404433984</v>
      </c>
      <c r="AB88" s="185">
        <f t="shared" si="117"/>
        <v>77.551080019278189</v>
      </c>
      <c r="AC88" s="182">
        <f t="shared" ref="AC88:AC94" si="125">RANK(AB88, AB$87:AB$101)</f>
        <v>5</v>
      </c>
      <c r="AD88" s="558"/>
      <c r="AE88" s="188">
        <v>23</v>
      </c>
      <c r="AF88" s="188">
        <v>1783.5164835164815</v>
      </c>
      <c r="AG88" s="185">
        <f t="shared" ref="AG88:AG94" si="126">IFERROR(AF88/AE88,"")</f>
        <v>77.544194935499192</v>
      </c>
      <c r="AH88" s="182">
        <f t="shared" ref="AH88:AH94" si="127">RANK(AG88, AG$87:AG$101)</f>
        <v>4</v>
      </c>
      <c r="AI88" s="558"/>
      <c r="AJ88" s="188">
        <v>23</v>
      </c>
      <c r="AK88" s="188">
        <v>1783.5783071464775</v>
      </c>
      <c r="AL88" s="185">
        <f t="shared" si="118"/>
        <v>77.54688291941207</v>
      </c>
      <c r="AM88" s="182">
        <f t="shared" ref="AM88:AM94" si="128">RANK(AL88, AL$87:AL$101)</f>
        <v>4</v>
      </c>
      <c r="AN88" s="558"/>
      <c r="AO88" s="188">
        <v>23</v>
      </c>
      <c r="AP88" s="188">
        <v>1783.6717062634984</v>
      </c>
      <c r="AQ88" s="185">
        <f t="shared" si="119"/>
        <v>77.550943750586882</v>
      </c>
      <c r="AR88" s="182" t="e">
        <f t="shared" ref="AR88:AR94" si="129">RANK(AQ88, AQ$7:AQ$21)</f>
        <v>#N/A</v>
      </c>
      <c r="AS88" s="558"/>
      <c r="AT88" s="188">
        <v>24</v>
      </c>
      <c r="AU88" s="188">
        <v>1783.6249125262389</v>
      </c>
      <c r="AV88" s="185">
        <f t="shared" si="120"/>
        <v>74.317704688593281</v>
      </c>
      <c r="AW88" s="182">
        <f t="shared" ref="AW88:AW96" si="130">RANK(AV88, AV$87:AV$101)</f>
        <v>5</v>
      </c>
      <c r="AX88" s="558"/>
    </row>
    <row r="89" spans="2:50" ht="14.25" customHeight="1">
      <c r="B89" s="530"/>
      <c r="C89" s="180">
        <v>3</v>
      </c>
      <c r="D89" s="183" t="s">
        <v>200</v>
      </c>
      <c r="E89" s="180">
        <v>23</v>
      </c>
      <c r="F89" s="180">
        <v>2000</v>
      </c>
      <c r="G89" s="185">
        <f t="shared" si="115"/>
        <v>86.956521739130437</v>
      </c>
      <c r="H89" s="558"/>
      <c r="I89" s="186">
        <f t="shared" si="121"/>
        <v>23.142857142857142</v>
      </c>
      <c r="J89" s="186">
        <f t="shared" si="121"/>
        <v>1782.6195886982309</v>
      </c>
      <c r="K89" s="187">
        <f t="shared" si="121"/>
        <v>77.043873083483774</v>
      </c>
      <c r="L89" s="559"/>
      <c r="M89" s="186">
        <f>RANK(K89, K$87:$K$101)</f>
        <v>7</v>
      </c>
      <c r="N89" s="530"/>
      <c r="O89" s="530"/>
      <c r="P89" s="188">
        <v>23</v>
      </c>
      <c r="Q89" s="188">
        <v>1782.6191913095936</v>
      </c>
      <c r="R89" s="185">
        <f t="shared" si="122"/>
        <v>77.505182230851901</v>
      </c>
      <c r="S89" s="182">
        <f t="shared" si="123"/>
        <v>6</v>
      </c>
      <c r="T89" s="558"/>
      <c r="U89" s="188">
        <v>23</v>
      </c>
      <c r="V89" s="188">
        <v>1782.738780207138</v>
      </c>
      <c r="W89" s="185">
        <f t="shared" si="116"/>
        <v>77.510381748136439</v>
      </c>
      <c r="X89" s="182">
        <f t="shared" si="124"/>
        <v>6</v>
      </c>
      <c r="Y89" s="558"/>
      <c r="Z89" s="188">
        <v>23</v>
      </c>
      <c r="AA89" s="188">
        <v>1782.6415094339634</v>
      </c>
      <c r="AB89" s="185">
        <f t="shared" si="117"/>
        <v>77.50615258408537</v>
      </c>
      <c r="AC89" s="182">
        <f t="shared" si="125"/>
        <v>6</v>
      </c>
      <c r="AD89" s="558"/>
      <c r="AE89" s="188">
        <v>23</v>
      </c>
      <c r="AF89" s="188">
        <v>1782.6366559485557</v>
      </c>
      <c r="AG89" s="185">
        <f t="shared" si="126"/>
        <v>77.505941562980681</v>
      </c>
      <c r="AH89" s="182">
        <f t="shared" si="127"/>
        <v>5</v>
      </c>
      <c r="AI89" s="558"/>
      <c r="AJ89" s="188">
        <v>23</v>
      </c>
      <c r="AK89" s="188">
        <v>1782.6114054222467</v>
      </c>
      <c r="AL89" s="185">
        <f t="shared" si="118"/>
        <v>77.504843714010718</v>
      </c>
      <c r="AM89" s="182">
        <f t="shared" si="128"/>
        <v>5</v>
      </c>
      <c r="AN89" s="558"/>
      <c r="AO89" s="188">
        <v>23</v>
      </c>
      <c r="AP89" s="188">
        <v>1782.5242718446611</v>
      </c>
      <c r="AQ89" s="185">
        <f t="shared" si="119"/>
        <v>77.501055297593965</v>
      </c>
      <c r="AR89" s="182" t="e">
        <f t="shared" si="129"/>
        <v>#N/A</v>
      </c>
      <c r="AS89" s="558"/>
      <c r="AT89" s="188">
        <v>24</v>
      </c>
      <c r="AU89" s="188">
        <v>1782.5653067214564</v>
      </c>
      <c r="AV89" s="185">
        <f t="shared" si="120"/>
        <v>74.273554446727346</v>
      </c>
      <c r="AW89" s="182">
        <f t="shared" si="130"/>
        <v>6</v>
      </c>
      <c r="AX89" s="558"/>
    </row>
    <row r="90" spans="2:50" ht="14.25" customHeight="1">
      <c r="B90" s="530"/>
      <c r="C90" s="180">
        <v>4</v>
      </c>
      <c r="D90" s="183" t="s">
        <v>201</v>
      </c>
      <c r="E90" s="180">
        <v>23</v>
      </c>
      <c r="F90" s="180">
        <v>2000</v>
      </c>
      <c r="G90" s="185">
        <f t="shared" si="115"/>
        <v>86.956521739130437</v>
      </c>
      <c r="H90" s="558"/>
      <c r="I90" s="186">
        <f t="shared" si="121"/>
        <v>23.142857142857142</v>
      </c>
      <c r="J90" s="186">
        <f t="shared" si="121"/>
        <v>1781.5903238994902</v>
      </c>
      <c r="K90" s="187">
        <f t="shared" si="121"/>
        <v>76.999289798463252</v>
      </c>
      <c r="L90" s="559"/>
      <c r="M90" s="186">
        <f>RANK(K90, K$87:$K$101)</f>
        <v>8</v>
      </c>
      <c r="N90" s="530"/>
      <c r="O90" s="530"/>
      <c r="P90" s="188">
        <v>23</v>
      </c>
      <c r="Q90" s="188">
        <v>1781.4334832055044</v>
      </c>
      <c r="R90" s="185">
        <f t="shared" si="122"/>
        <v>77.453629704587144</v>
      </c>
      <c r="S90" s="182">
        <f t="shared" si="123"/>
        <v>7</v>
      </c>
      <c r="T90" s="558"/>
      <c r="U90" s="188">
        <v>23</v>
      </c>
      <c r="V90" s="188">
        <v>1781.5170586286856</v>
      </c>
      <c r="W90" s="185">
        <f t="shared" si="116"/>
        <v>77.457263418638505</v>
      </c>
      <c r="X90" s="182">
        <f t="shared" si="124"/>
        <v>7</v>
      </c>
      <c r="Y90" s="558"/>
      <c r="Z90" s="188">
        <v>23</v>
      </c>
      <c r="AA90" s="188">
        <v>1781.3504823151152</v>
      </c>
      <c r="AB90" s="185">
        <f t="shared" si="117"/>
        <v>77.450020970222397</v>
      </c>
      <c r="AC90" s="182">
        <f t="shared" si="125"/>
        <v>7</v>
      </c>
      <c r="AD90" s="558"/>
      <c r="AE90" s="188">
        <v>23</v>
      </c>
      <c r="AF90" s="188">
        <v>1781.3229571984421</v>
      </c>
      <c r="AG90" s="185">
        <f t="shared" si="126"/>
        <v>77.448824226019227</v>
      </c>
      <c r="AH90" s="182">
        <f t="shared" si="127"/>
        <v>6</v>
      </c>
      <c r="AI90" s="558"/>
      <c r="AJ90" s="188">
        <v>23</v>
      </c>
      <c r="AK90" s="188">
        <v>1781.6949152542388</v>
      </c>
      <c r="AL90" s="185">
        <f t="shared" si="118"/>
        <v>77.464996315401692</v>
      </c>
      <c r="AM90" s="182">
        <f t="shared" si="128"/>
        <v>6</v>
      </c>
      <c r="AN90" s="558"/>
      <c r="AO90" s="188">
        <v>23</v>
      </c>
      <c r="AP90" s="188">
        <v>1781.8947368421068</v>
      </c>
      <c r="AQ90" s="185">
        <f t="shared" si="119"/>
        <v>77.473684210526386</v>
      </c>
      <c r="AR90" s="182" t="e">
        <f t="shared" si="129"/>
        <v>#N/A</v>
      </c>
      <c r="AS90" s="558"/>
      <c r="AT90" s="188">
        <v>24</v>
      </c>
      <c r="AU90" s="188">
        <v>1781.9186338523377</v>
      </c>
      <c r="AV90" s="185">
        <f t="shared" si="120"/>
        <v>74.246609743847401</v>
      </c>
      <c r="AW90" s="182">
        <f t="shared" si="130"/>
        <v>7</v>
      </c>
      <c r="AX90" s="558"/>
    </row>
    <row r="91" spans="2:50" ht="14.25" customHeight="1">
      <c r="B91" s="530"/>
      <c r="C91" s="180">
        <v>5</v>
      </c>
      <c r="D91" s="183" t="s">
        <v>202</v>
      </c>
      <c r="E91" s="180">
        <v>20</v>
      </c>
      <c r="F91" s="180">
        <v>2000</v>
      </c>
      <c r="G91" s="185">
        <f t="shared" si="115"/>
        <v>100</v>
      </c>
      <c r="H91" s="558"/>
      <c r="I91" s="186">
        <f t="shared" si="121"/>
        <v>20</v>
      </c>
      <c r="J91" s="186">
        <f t="shared" si="121"/>
        <v>1784.4743599668157</v>
      </c>
      <c r="K91" s="187">
        <f t="shared" si="121"/>
        <v>89.223717998340774</v>
      </c>
      <c r="L91" s="559"/>
      <c r="M91" s="186">
        <f>RANK(K91, K$87:$K$101)</f>
        <v>2</v>
      </c>
      <c r="N91" s="530"/>
      <c r="O91" s="530"/>
      <c r="P91" s="188">
        <v>20</v>
      </c>
      <c r="Q91" s="188">
        <v>1784.2565597667635</v>
      </c>
      <c r="R91" s="185">
        <f t="shared" si="122"/>
        <v>89.212827988338177</v>
      </c>
      <c r="S91" s="182">
        <f t="shared" si="123"/>
        <v>2</v>
      </c>
      <c r="T91" s="558"/>
      <c r="U91" s="188">
        <v>20</v>
      </c>
      <c r="V91" s="188">
        <v>1784.0425531914836</v>
      </c>
      <c r="W91" s="185">
        <f t="shared" si="116"/>
        <v>89.202127659574188</v>
      </c>
      <c r="X91" s="182">
        <f t="shared" si="124"/>
        <v>2</v>
      </c>
      <c r="Y91" s="558"/>
      <c r="Z91" s="188">
        <v>20</v>
      </c>
      <c r="AA91" s="188">
        <v>1785.1239669422</v>
      </c>
      <c r="AB91" s="185">
        <f t="shared" si="117"/>
        <v>89.256198347110001</v>
      </c>
      <c r="AC91" s="182">
        <f t="shared" si="125"/>
        <v>2</v>
      </c>
      <c r="AD91" s="558"/>
      <c r="AE91" s="188"/>
      <c r="AF91" s="188"/>
      <c r="AG91" s="185"/>
      <c r="AH91" s="182"/>
      <c r="AI91" s="558"/>
      <c r="AJ91" s="188"/>
      <c r="AK91" s="188"/>
      <c r="AL91" s="185"/>
      <c r="AM91" s="182"/>
      <c r="AN91" s="558"/>
      <c r="AO91" s="188"/>
      <c r="AP91" s="188"/>
      <c r="AQ91" s="185"/>
      <c r="AR91" s="182"/>
      <c r="AS91" s="558"/>
      <c r="AT91" s="188"/>
      <c r="AU91" s="188"/>
      <c r="AV91" s="185"/>
      <c r="AW91" s="182"/>
      <c r="AX91" s="558"/>
    </row>
    <row r="92" spans="2:50" ht="14.25" customHeight="1">
      <c r="B92" s="530"/>
      <c r="C92" s="180">
        <v>6</v>
      </c>
      <c r="D92" s="183" t="s">
        <v>203</v>
      </c>
      <c r="E92" s="180">
        <v>21</v>
      </c>
      <c r="F92" s="180">
        <v>2000</v>
      </c>
      <c r="G92" s="185">
        <f t="shared" si="115"/>
        <v>95.238095238095241</v>
      </c>
      <c r="H92" s="558"/>
      <c r="I92" s="186">
        <f t="shared" si="121"/>
        <v>21.142857142857142</v>
      </c>
      <c r="J92" s="186">
        <f t="shared" si="121"/>
        <v>1784.3491569571138</v>
      </c>
      <c r="K92" s="187">
        <f t="shared" si="121"/>
        <v>84.417141369531024</v>
      </c>
      <c r="L92" s="559"/>
      <c r="M92" s="186">
        <f>RANK(K92, K$87:$K$101)</f>
        <v>3</v>
      </c>
      <c r="N92" s="530"/>
      <c r="O92" s="530"/>
      <c r="P92" s="188">
        <v>21</v>
      </c>
      <c r="Q92" s="188">
        <v>1784.1971112999174</v>
      </c>
      <c r="R92" s="185">
        <f t="shared" si="122"/>
        <v>84.961767204757976</v>
      </c>
      <c r="S92" s="182">
        <f t="shared" si="123"/>
        <v>3</v>
      </c>
      <c r="T92" s="558"/>
      <c r="U92" s="188">
        <v>21</v>
      </c>
      <c r="V92" s="188">
        <v>1783.8180856689628</v>
      </c>
      <c r="W92" s="185">
        <f t="shared" si="116"/>
        <v>84.943718365188701</v>
      </c>
      <c r="X92" s="182">
        <f t="shared" si="124"/>
        <v>3</v>
      </c>
      <c r="Y92" s="558"/>
      <c r="Z92" s="188">
        <v>21</v>
      </c>
      <c r="AA92" s="188">
        <v>1783.9381320642469</v>
      </c>
      <c r="AB92" s="185">
        <f t="shared" si="117"/>
        <v>84.949434860202231</v>
      </c>
      <c r="AC92" s="182">
        <f t="shared" si="125"/>
        <v>3</v>
      </c>
      <c r="AD92" s="558"/>
      <c r="AE92" s="188">
        <v>21</v>
      </c>
      <c r="AF92" s="188">
        <v>1784.1549295774598</v>
      </c>
      <c r="AG92" s="185">
        <f t="shared" si="126"/>
        <v>84.959758551307615</v>
      </c>
      <c r="AH92" s="182">
        <f t="shared" si="127"/>
        <v>2</v>
      </c>
      <c r="AI92" s="558"/>
      <c r="AJ92" s="188">
        <v>21</v>
      </c>
      <c r="AK92" s="188">
        <v>1784.8550950451875</v>
      </c>
      <c r="AL92" s="185">
        <f t="shared" si="118"/>
        <v>84.993099764056552</v>
      </c>
      <c r="AM92" s="182">
        <f t="shared" si="128"/>
        <v>2</v>
      </c>
      <c r="AN92" s="558"/>
      <c r="AO92" s="188">
        <v>21</v>
      </c>
      <c r="AP92" s="188">
        <v>1784.7457627118633</v>
      </c>
      <c r="AQ92" s="185">
        <f t="shared" si="119"/>
        <v>84.987893462469685</v>
      </c>
      <c r="AR92" s="182" t="e">
        <f t="shared" si="129"/>
        <v>#N/A</v>
      </c>
      <c r="AS92" s="558"/>
      <c r="AT92" s="188">
        <v>22</v>
      </c>
      <c r="AU92" s="188">
        <v>1784.734982332157</v>
      </c>
      <c r="AV92" s="185">
        <f t="shared" si="120"/>
        <v>81.124317378734403</v>
      </c>
      <c r="AW92" s="182">
        <f t="shared" si="130"/>
        <v>2</v>
      </c>
      <c r="AX92" s="558"/>
    </row>
    <row r="93" spans="2:50" ht="14.25" customHeight="1">
      <c r="B93" s="530"/>
      <c r="C93" s="180">
        <v>7</v>
      </c>
      <c r="D93" s="183" t="s">
        <v>204</v>
      </c>
      <c r="E93" s="180">
        <v>19</v>
      </c>
      <c r="F93" s="180">
        <v>1800</v>
      </c>
      <c r="G93" s="185">
        <f t="shared" si="115"/>
        <v>94.736842105263165</v>
      </c>
      <c r="H93" s="558"/>
      <c r="I93" s="186">
        <f t="shared" si="121"/>
        <v>19.142857142857142</v>
      </c>
      <c r="J93" s="186">
        <f t="shared" si="121"/>
        <v>1604.4334908856597</v>
      </c>
      <c r="K93" s="187">
        <f t="shared" si="121"/>
        <v>83.84071128628544</v>
      </c>
      <c r="L93" s="559"/>
      <c r="M93" s="186">
        <f>RANK(K93, K$87:$K$101)</f>
        <v>4</v>
      </c>
      <c r="N93" s="530"/>
      <c r="O93" s="530"/>
      <c r="P93" s="188">
        <v>19</v>
      </c>
      <c r="Q93" s="188">
        <v>1604.2811967891039</v>
      </c>
      <c r="R93" s="185">
        <f t="shared" si="122"/>
        <v>84.435852462584421</v>
      </c>
      <c r="S93" s="182">
        <f t="shared" si="123"/>
        <v>4</v>
      </c>
      <c r="T93" s="558"/>
      <c r="U93" s="188">
        <v>19</v>
      </c>
      <c r="V93" s="188">
        <v>1604.5480386583299</v>
      </c>
      <c r="W93" s="185">
        <f t="shared" si="116"/>
        <v>84.449896771491055</v>
      </c>
      <c r="X93" s="182">
        <f t="shared" si="124"/>
        <v>4</v>
      </c>
      <c r="Y93" s="558"/>
      <c r="Z93" s="188">
        <v>19</v>
      </c>
      <c r="AA93" s="188">
        <v>1604.4711951848674</v>
      </c>
      <c r="AB93" s="185">
        <f t="shared" si="117"/>
        <v>84.445852378150917</v>
      </c>
      <c r="AC93" s="182">
        <f t="shared" si="125"/>
        <v>4</v>
      </c>
      <c r="AD93" s="558"/>
      <c r="AE93" s="188">
        <v>19</v>
      </c>
      <c r="AF93" s="188">
        <v>1604.423555432682</v>
      </c>
      <c r="AG93" s="185">
        <f t="shared" si="126"/>
        <v>84.443345022772732</v>
      </c>
      <c r="AH93" s="182">
        <f t="shared" si="127"/>
        <v>3</v>
      </c>
      <c r="AI93" s="558"/>
      <c r="AJ93" s="188">
        <v>19</v>
      </c>
      <c r="AK93" s="188">
        <v>1604.5929018789138</v>
      </c>
      <c r="AL93" s="185">
        <f t="shared" si="118"/>
        <v>84.452257993627043</v>
      </c>
      <c r="AM93" s="182">
        <f t="shared" si="128"/>
        <v>3</v>
      </c>
      <c r="AN93" s="558"/>
      <c r="AO93" s="188">
        <v>19</v>
      </c>
      <c r="AP93" s="188">
        <v>1604.3208457825765</v>
      </c>
      <c r="AQ93" s="185">
        <f t="shared" si="119"/>
        <v>84.437939251714553</v>
      </c>
      <c r="AR93" s="182" t="e">
        <f t="shared" si="129"/>
        <v>#N/A</v>
      </c>
      <c r="AS93" s="558"/>
      <c r="AT93" s="188">
        <v>20</v>
      </c>
      <c r="AU93" s="188">
        <v>1604.3967024731455</v>
      </c>
      <c r="AV93" s="185">
        <f t="shared" si="120"/>
        <v>80.219835123657276</v>
      </c>
      <c r="AW93" s="182">
        <f t="shared" si="130"/>
        <v>3</v>
      </c>
      <c r="AX93" s="558"/>
    </row>
    <row r="94" spans="2:50" ht="14.25" customHeight="1">
      <c r="B94" s="530"/>
      <c r="C94" s="180">
        <v>8</v>
      </c>
      <c r="D94" s="183" t="s">
        <v>205</v>
      </c>
      <c r="E94" s="180">
        <v>19</v>
      </c>
      <c r="F94" s="180">
        <v>2000</v>
      </c>
      <c r="G94" s="185">
        <f t="shared" si="115"/>
        <v>105.26315789473684</v>
      </c>
      <c r="H94" s="558"/>
      <c r="I94" s="186">
        <f t="shared" si="121"/>
        <v>19.142857142857142</v>
      </c>
      <c r="J94" s="186">
        <f t="shared" si="121"/>
        <v>1783.774072644688</v>
      </c>
      <c r="K94" s="187">
        <f t="shared" si="121"/>
        <v>93.212053675189409</v>
      </c>
      <c r="L94" s="559"/>
      <c r="M94" s="186">
        <f>RANK(K94, K$87:$K$101)</f>
        <v>1</v>
      </c>
      <c r="N94" s="530"/>
      <c r="O94" s="530"/>
      <c r="P94" s="188">
        <v>19</v>
      </c>
      <c r="Q94" s="188">
        <v>1783.166332665332</v>
      </c>
      <c r="R94" s="185">
        <f t="shared" si="122"/>
        <v>93.850859613964843</v>
      </c>
      <c r="S94" s="182">
        <f t="shared" si="123"/>
        <v>1</v>
      </c>
      <c r="T94" s="558"/>
      <c r="U94" s="188">
        <v>19</v>
      </c>
      <c r="V94" s="188">
        <v>1783.3753148614621</v>
      </c>
      <c r="W94" s="185">
        <f t="shared" si="116"/>
        <v>93.861858676919056</v>
      </c>
      <c r="X94" s="182">
        <f t="shared" si="124"/>
        <v>1</v>
      </c>
      <c r="Y94" s="558"/>
      <c r="Z94" s="188">
        <v>19</v>
      </c>
      <c r="AA94" s="188">
        <v>1783.4406623735072</v>
      </c>
      <c r="AB94" s="185">
        <f t="shared" si="117"/>
        <v>93.865298019658269</v>
      </c>
      <c r="AC94" s="182">
        <f t="shared" si="125"/>
        <v>1</v>
      </c>
      <c r="AD94" s="558"/>
      <c r="AE94" s="188">
        <v>19</v>
      </c>
      <c r="AF94" s="188">
        <v>1783.9762611275955</v>
      </c>
      <c r="AG94" s="185">
        <f t="shared" si="126"/>
        <v>93.893487427768193</v>
      </c>
      <c r="AH94" s="182">
        <f t="shared" si="127"/>
        <v>1</v>
      </c>
      <c r="AI94" s="558"/>
      <c r="AJ94" s="188">
        <v>19</v>
      </c>
      <c r="AK94" s="188">
        <v>1784.0255591054317</v>
      </c>
      <c r="AL94" s="185">
        <f t="shared" si="118"/>
        <v>93.896082058180625</v>
      </c>
      <c r="AM94" s="182">
        <f t="shared" si="128"/>
        <v>1</v>
      </c>
      <c r="AN94" s="558"/>
      <c r="AO94" s="188">
        <v>19</v>
      </c>
      <c r="AP94" s="188">
        <v>1784.1269841269871</v>
      </c>
      <c r="AQ94" s="185">
        <f t="shared" si="119"/>
        <v>93.901420217209846</v>
      </c>
      <c r="AR94" s="182" t="e">
        <f t="shared" si="129"/>
        <v>#N/A</v>
      </c>
      <c r="AS94" s="558"/>
      <c r="AT94" s="188">
        <v>20</v>
      </c>
      <c r="AU94" s="188">
        <v>1784.3073942525016</v>
      </c>
      <c r="AV94" s="185">
        <f t="shared" si="120"/>
        <v>89.215369712625076</v>
      </c>
      <c r="AW94" s="182">
        <f t="shared" si="130"/>
        <v>1</v>
      </c>
      <c r="AX94" s="558"/>
    </row>
    <row r="95" spans="2:50" ht="14.25" customHeight="1">
      <c r="B95" s="530"/>
      <c r="C95" s="180">
        <v>9</v>
      </c>
      <c r="D95" s="183" t="s">
        <v>206</v>
      </c>
      <c r="E95" s="180">
        <v>21</v>
      </c>
      <c r="F95" s="180">
        <v>1800</v>
      </c>
      <c r="G95" s="185">
        <f t="shared" si="115"/>
        <v>85.714285714285708</v>
      </c>
      <c r="H95" s="558"/>
      <c r="I95" s="186">
        <f t="shared" si="121"/>
        <v>21</v>
      </c>
      <c r="J95" s="186">
        <f t="shared" si="121"/>
        <v>1457.1676300578042</v>
      </c>
      <c r="K95" s="187">
        <f t="shared" si="121"/>
        <v>69.38893476465735</v>
      </c>
      <c r="L95" s="559"/>
      <c r="M95" s="186">
        <f>RANK(K95, K$87:$K$101)</f>
        <v>10</v>
      </c>
      <c r="N95" s="530"/>
      <c r="O95" s="530"/>
      <c r="P95" s="188"/>
      <c r="Q95" s="188"/>
      <c r="R95" s="185"/>
      <c r="S95" s="182"/>
      <c r="T95" s="558"/>
      <c r="U95" s="188"/>
      <c r="V95" s="188"/>
      <c r="W95" s="185"/>
      <c r="X95" s="182"/>
      <c r="Y95" s="558"/>
      <c r="Z95" s="188"/>
      <c r="AA95" s="188"/>
      <c r="AB95" s="185"/>
      <c r="AC95" s="182"/>
      <c r="AD95" s="558"/>
      <c r="AE95" s="188"/>
      <c r="AF95" s="188"/>
      <c r="AG95" s="185"/>
      <c r="AH95" s="182"/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>
        <v>21</v>
      </c>
      <c r="AU95" s="188">
        <v>1457.1676300578042</v>
      </c>
      <c r="AV95" s="185">
        <f t="shared" si="120"/>
        <v>69.38893476465735</v>
      </c>
      <c r="AW95" s="182">
        <f t="shared" si="130"/>
        <v>9</v>
      </c>
      <c r="AX95" s="558"/>
    </row>
    <row r="96" spans="2:50" ht="14.25" customHeight="1">
      <c r="B96" s="530"/>
      <c r="C96" s="180">
        <v>10</v>
      </c>
      <c r="D96" s="183" t="s">
        <v>207</v>
      </c>
      <c r="E96" s="180">
        <v>21</v>
      </c>
      <c r="F96" s="180">
        <v>2000</v>
      </c>
      <c r="G96" s="185">
        <f t="shared" si="115"/>
        <v>95.238095238095241</v>
      </c>
      <c r="H96" s="558"/>
      <c r="I96" s="186">
        <f t="shared" si="121"/>
        <v>21</v>
      </c>
      <c r="J96" s="186">
        <f t="shared" si="121"/>
        <v>1619.3922604103543</v>
      </c>
      <c r="K96" s="187">
        <f t="shared" si="121"/>
        <v>77.113917162397826</v>
      </c>
      <c r="L96" s="559"/>
      <c r="M96" s="186">
        <f>RANK(K96, K$87:$K$101)</f>
        <v>5</v>
      </c>
      <c r="N96" s="530"/>
      <c r="O96" s="530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>
        <v>21</v>
      </c>
      <c r="AU96" s="188">
        <v>1619.3922604103543</v>
      </c>
      <c r="AV96" s="185">
        <f t="shared" si="120"/>
        <v>77.113917162397826</v>
      </c>
      <c r="AW96" s="182">
        <f t="shared" si="130"/>
        <v>4</v>
      </c>
      <c r="AX96" s="558"/>
    </row>
    <row r="97" spans="2:50" ht="14.25" customHeight="1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30"/>
      <c r="O97" s="530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 ht="14.25" customHeight="1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30"/>
      <c r="O98" s="530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 ht="14.25" customHeight="1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30"/>
      <c r="O99" s="530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 ht="14.25" customHeight="1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30"/>
      <c r="O100" s="530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 ht="14.25" customHeight="1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30"/>
      <c r="O101" s="530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01"/>
  <sheetViews>
    <sheetView zoomScaleNormal="100" workbookViewId="0">
      <pane xSplit="13" ySplit="1" topLeftCell="N69" activePane="bottomRight" state="frozen"/>
      <selection pane="bottomRight" activeCell="AW94" sqref="AW94"/>
      <selection pane="bottomLeft" activeCell="L95" sqref="L95"/>
      <selection pane="topRight" activeCell="L95" sqref="L95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.6">
      <c r="A1" s="74"/>
      <c r="B1" s="371" t="s">
        <v>208</v>
      </c>
      <c r="C1" s="175">
        <f>AVERAGE(L27,L47,L67,L87)</f>
        <v>77.971322564328403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f>AE2+1</f>
        <v>46053</v>
      </c>
      <c r="AK2" s="589"/>
      <c r="AL2" s="589"/>
      <c r="AM2" s="589"/>
      <c r="AN2" s="590"/>
      <c r="AO2" s="598">
        <f t="shared" ref="AO2" si="2">AJ2+1</f>
        <v>46054</v>
      </c>
      <c r="AP2" s="599"/>
      <c r="AQ2" s="599"/>
      <c r="AR2" s="599"/>
      <c r="AS2" s="599"/>
      <c r="AT2" s="588">
        <f t="shared" ref="AT2" si="3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4">Z2</f>
        <v>46051</v>
      </c>
      <c r="AA3" s="591"/>
      <c r="AB3" s="591"/>
      <c r="AC3" s="591"/>
      <c r="AD3" s="591"/>
      <c r="AE3" s="592">
        <f t="shared" ref="AE3" si="5">AE2</f>
        <v>46052</v>
      </c>
      <c r="AF3" s="592"/>
      <c r="AG3" s="592"/>
      <c r="AH3" s="592"/>
      <c r="AI3" s="592"/>
      <c r="AJ3" s="593">
        <f t="shared" ref="AJ3" si="6">AJ2</f>
        <v>46053</v>
      </c>
      <c r="AK3" s="594"/>
      <c r="AL3" s="594"/>
      <c r="AM3" s="594"/>
      <c r="AN3" s="595"/>
      <c r="AO3" s="592">
        <f t="shared" ref="AO3" si="7">AO2</f>
        <v>46054</v>
      </c>
      <c r="AP3" s="592"/>
      <c r="AQ3" s="592"/>
      <c r="AR3" s="592"/>
      <c r="AS3" s="592"/>
      <c r="AT3" s="593">
        <f t="shared" ref="AT3" si="8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 t="s">
        <v>137</v>
      </c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530" t="s">
        <v>112</v>
      </c>
      <c r="C7" s="180">
        <v>1</v>
      </c>
      <c r="D7" s="183" t="s">
        <v>209</v>
      </c>
      <c r="E7" s="180">
        <v>21</v>
      </c>
      <c r="F7" s="180">
        <v>2000</v>
      </c>
      <c r="G7" s="185">
        <f t="shared" ref="G7:G15" si="9">F7/E7</f>
        <v>95.238095238095241</v>
      </c>
      <c r="H7" s="558">
        <f>AVERAGE(G7:G21)</f>
        <v>87.414099588012633</v>
      </c>
      <c r="I7" s="186">
        <f>AVERAGE(P7,U7,Z7,AE7,AJ7,AO7,AT7)</f>
        <v>21</v>
      </c>
      <c r="J7" s="186">
        <f>AVERAGE(Q7,V7,AA7,AF7,AK7,AP7,AU7)</f>
        <v>1777.3375261915148</v>
      </c>
      <c r="K7" s="187">
        <f>AVERAGE(R7,W7,AB7,AG7,AL7,AQ7,AV7)</f>
        <v>84.635120294834024</v>
      </c>
      <c r="L7" s="559">
        <f>IFERROR(AVERAGE(K7:K21),"-")</f>
        <v>77.741299801244622</v>
      </c>
      <c r="M7" s="186">
        <f>RANK(K7, K$7:$K$21)</f>
        <v>2</v>
      </c>
      <c r="N7" s="530"/>
      <c r="O7" s="530"/>
      <c r="P7" s="188">
        <v>21</v>
      </c>
      <c r="Q7" s="188">
        <v>1775.0182615047481</v>
      </c>
      <c r="R7" s="185">
        <f>IFERROR(Q7/P7,"")</f>
        <v>84.524679119273713</v>
      </c>
      <c r="S7" s="182">
        <f>RANK(R7, R$7:R$21)</f>
        <v>2</v>
      </c>
      <c r="T7" s="558">
        <f>AVERAGE(R7:R21)</f>
        <v>77.699950586189914</v>
      </c>
      <c r="U7" s="188">
        <v>21</v>
      </c>
      <c r="V7" s="188">
        <v>1775.3299492385793</v>
      </c>
      <c r="W7" s="185">
        <f t="shared" ref="W7:W15" si="10">IFERROR(V7/U7,"")</f>
        <v>84.539521392313304</v>
      </c>
      <c r="X7" s="182">
        <f>RANK(W7, W$7:W$21)</f>
        <v>2</v>
      </c>
      <c r="Y7" s="558">
        <f>AVERAGE(W7:W21)</f>
        <v>77.712497689858779</v>
      </c>
      <c r="Z7" s="188">
        <v>21</v>
      </c>
      <c r="AA7" s="188">
        <v>1777.651319192965</v>
      </c>
      <c r="AB7" s="185">
        <f t="shared" ref="AB7:AB15" si="11">IFERROR(AA7/Z7,"")</f>
        <v>84.650062818712627</v>
      </c>
      <c r="AC7" s="182">
        <f>RANK(AB7, AB$7:AB$21)</f>
        <v>2</v>
      </c>
      <c r="AD7" s="558">
        <f>AVERAGE(AB7:AB21)</f>
        <v>77.739041672533091</v>
      </c>
      <c r="AE7" s="188">
        <v>21</v>
      </c>
      <c r="AF7" s="188">
        <v>1777.6178010471199</v>
      </c>
      <c r="AG7" s="185">
        <f>IFERROR(AF7/AE7,"")</f>
        <v>84.648466716529512</v>
      </c>
      <c r="AH7" s="182">
        <f>RANK(AG7, AG$7:AG$21)</f>
        <v>2</v>
      </c>
      <c r="AI7" s="558">
        <f>AVERAGE(AG7:AG21)</f>
        <v>77.743005537229976</v>
      </c>
      <c r="AJ7" s="188">
        <v>21</v>
      </c>
      <c r="AK7" s="188">
        <v>1778.5598267460753</v>
      </c>
      <c r="AL7" s="185">
        <f t="shared" ref="AL7:AL15" si="12">IFERROR(AK7/AJ7,"")</f>
        <v>84.693325083146448</v>
      </c>
      <c r="AM7" s="182">
        <f>RANK(AL7, AL$7:AL$21)</f>
        <v>2</v>
      </c>
      <c r="AN7" s="558">
        <f>AVERAGE(AL7:AL21)</f>
        <v>77.764629797669713</v>
      </c>
      <c r="AO7" s="188">
        <v>21</v>
      </c>
      <c r="AP7" s="188">
        <v>1778.4601490178356</v>
      </c>
      <c r="AQ7" s="185">
        <f t="shared" ref="AQ7:AQ15" si="13">IFERROR(AP7/AO7,"")</f>
        <v>84.688578524658837</v>
      </c>
      <c r="AR7" s="182">
        <f>RANK(AQ7, AQ$7:AQ$21)</f>
        <v>2</v>
      </c>
      <c r="AS7" s="558">
        <f>AVERAGE(AQ7:AQ21)</f>
        <v>77.76278761045198</v>
      </c>
      <c r="AT7" s="188">
        <v>21</v>
      </c>
      <c r="AU7" s="188">
        <v>1778.7253765932794</v>
      </c>
      <c r="AV7" s="185">
        <f t="shared" ref="AV7:AV15" si="14">IFERROR(AU7/AT7,"")</f>
        <v>84.701208409203787</v>
      </c>
      <c r="AW7" s="182">
        <f>RANK(AV7, AV$7:AV$21)</f>
        <v>2</v>
      </c>
      <c r="AX7" s="558">
        <f>AVERAGE(AV7:AV21)</f>
        <v>77.767185714778861</v>
      </c>
    </row>
    <row r="8" spans="1:50" ht="14.25" customHeight="1">
      <c r="B8" s="530"/>
      <c r="C8" s="180">
        <v>2</v>
      </c>
      <c r="D8" s="183" t="s">
        <v>210</v>
      </c>
      <c r="E8" s="180">
        <v>25</v>
      </c>
      <c r="F8" s="180">
        <v>2000</v>
      </c>
      <c r="G8" s="185">
        <f t="shared" si="9"/>
        <v>80</v>
      </c>
      <c r="H8" s="558"/>
      <c r="I8" s="186">
        <f t="shared" ref="I8:I15" si="15">AVERAGE(P8,U8,Z8,AE8,AJ8,AO8,AT8)</f>
        <v>25</v>
      </c>
      <c r="J8" s="186">
        <f t="shared" ref="J8:J15" si="16">AVERAGE(Q8,V8,AA8,AF8,AK8,AP8,AU8)</f>
        <v>1782.0098782461807</v>
      </c>
      <c r="K8" s="187">
        <f t="shared" ref="K8:K15" si="17">AVERAGE(R8,W8,AB8,AG8,AL8,AQ8,AV8)</f>
        <v>71.280395129847221</v>
      </c>
      <c r="L8" s="559"/>
      <c r="M8" s="186">
        <f>RANK(K8, K$7:$K$21)</f>
        <v>8</v>
      </c>
      <c r="N8" s="530"/>
      <c r="O8" s="530"/>
      <c r="P8" s="188">
        <v>25</v>
      </c>
      <c r="Q8" s="188">
        <v>1781.8829943384355</v>
      </c>
      <c r="R8" s="185">
        <f t="shared" ref="R8:R15" si="18">IFERROR(Q8/P8,"")</f>
        <v>71.275319773537419</v>
      </c>
      <c r="S8" s="182">
        <f t="shared" ref="S8:S15" si="19">RANK(R8, R$7:R$21)</f>
        <v>8</v>
      </c>
      <c r="T8" s="558"/>
      <c r="U8" s="188">
        <v>25</v>
      </c>
      <c r="V8" s="188">
        <v>1781.8598259276212</v>
      </c>
      <c r="W8" s="185">
        <f t="shared" si="10"/>
        <v>71.274393037104844</v>
      </c>
      <c r="X8" s="182">
        <f t="shared" ref="X8:X15" si="20">RANK(W8, W$7:W$21)</f>
        <v>8</v>
      </c>
      <c r="Y8" s="558"/>
      <c r="Z8" s="188">
        <v>25</v>
      </c>
      <c r="AA8" s="188">
        <v>1781.8506700701976</v>
      </c>
      <c r="AB8" s="185">
        <f t="shared" si="11"/>
        <v>71.274026802807896</v>
      </c>
      <c r="AC8" s="182">
        <f t="shared" ref="AC8:AC15" si="21">RANK(AB8, AB$7:AB$21)</f>
        <v>8</v>
      </c>
      <c r="AD8" s="558"/>
      <c r="AE8" s="188">
        <v>25</v>
      </c>
      <c r="AF8" s="188">
        <v>1781.9726858877093</v>
      </c>
      <c r="AG8" s="185">
        <f t="shared" ref="AG8:AG15" si="22">IFERROR(AF8/AE8,"")</f>
        <v>71.278907435508373</v>
      </c>
      <c r="AH8" s="182">
        <f t="shared" ref="AH8:AH15" si="23">RANK(AG8, AG$7:AG$21)</f>
        <v>8</v>
      </c>
      <c r="AI8" s="558"/>
      <c r="AJ8" s="188">
        <v>25</v>
      </c>
      <c r="AK8" s="188">
        <v>1782.1261682242991</v>
      </c>
      <c r="AL8" s="185">
        <f t="shared" si="12"/>
        <v>71.285046728971963</v>
      </c>
      <c r="AM8" s="182">
        <f t="shared" ref="AM8:AM15" si="24">RANK(AL8, AL$7:AL$21)</f>
        <v>8</v>
      </c>
      <c r="AN8" s="558"/>
      <c r="AO8" s="188">
        <v>25</v>
      </c>
      <c r="AP8" s="188">
        <v>1782.1594596965172</v>
      </c>
      <c r="AQ8" s="185">
        <f t="shared" si="13"/>
        <v>71.28637838786068</v>
      </c>
      <c r="AR8" s="182">
        <f t="shared" ref="AR8:AR15" si="25">RANK(AQ8, AQ$7:AQ$21)</f>
        <v>8</v>
      </c>
      <c r="AS8" s="558"/>
      <c r="AT8" s="188">
        <v>25</v>
      </c>
      <c r="AU8" s="188">
        <v>1782.2173435784853</v>
      </c>
      <c r="AV8" s="185">
        <f t="shared" si="14"/>
        <v>71.288693743139405</v>
      </c>
      <c r="AW8" s="182">
        <f t="shared" ref="AW8:AW15" si="26">RANK(AV8, AV$7:AV$21)</f>
        <v>8</v>
      </c>
      <c r="AX8" s="558"/>
    </row>
    <row r="9" spans="1:50" ht="14.25" customHeight="1">
      <c r="B9" s="530"/>
      <c r="C9" s="180">
        <v>3</v>
      </c>
      <c r="D9" s="183" t="s">
        <v>211</v>
      </c>
      <c r="E9" s="180">
        <v>23</v>
      </c>
      <c r="F9" s="180">
        <v>2000</v>
      </c>
      <c r="G9" s="185">
        <f t="shared" si="9"/>
        <v>86.956521739130437</v>
      </c>
      <c r="H9" s="558"/>
      <c r="I9" s="186">
        <f t="shared" si="15"/>
        <v>23</v>
      </c>
      <c r="J9" s="186">
        <f t="shared" si="16"/>
        <v>1778.9306329269712</v>
      </c>
      <c r="K9" s="187">
        <f t="shared" si="17"/>
        <v>77.344810127259606</v>
      </c>
      <c r="L9" s="559"/>
      <c r="M9" s="186">
        <f>RANK(K9, K$7:$K$21)</f>
        <v>4</v>
      </c>
      <c r="N9" s="530"/>
      <c r="O9" s="530"/>
      <c r="P9" s="188">
        <v>23</v>
      </c>
      <c r="Q9" s="188">
        <v>1778.5316724092231</v>
      </c>
      <c r="R9" s="185">
        <f t="shared" si="18"/>
        <v>77.327464017792309</v>
      </c>
      <c r="S9" s="182">
        <f t="shared" si="19"/>
        <v>4</v>
      </c>
      <c r="T9" s="558"/>
      <c r="U9" s="188">
        <v>23</v>
      </c>
      <c r="V9" s="188">
        <v>1778.5589773387564</v>
      </c>
      <c r="W9" s="185">
        <f t="shared" si="10"/>
        <v>77.328651188641587</v>
      </c>
      <c r="X9" s="182">
        <f t="shared" si="20"/>
        <v>4</v>
      </c>
      <c r="Y9" s="558"/>
      <c r="Z9" s="188">
        <v>23</v>
      </c>
      <c r="AA9" s="188">
        <v>1779.2083782535037</v>
      </c>
      <c r="AB9" s="185">
        <f t="shared" si="11"/>
        <v>77.356886011021899</v>
      </c>
      <c r="AC9" s="182">
        <f t="shared" si="21"/>
        <v>4</v>
      </c>
      <c r="AD9" s="558"/>
      <c r="AE9" s="188">
        <v>23</v>
      </c>
      <c r="AF9" s="188">
        <v>1779.1143736680081</v>
      </c>
      <c r="AG9" s="185">
        <f t="shared" si="22"/>
        <v>77.352798855130786</v>
      </c>
      <c r="AH9" s="182">
        <f t="shared" si="23"/>
        <v>4</v>
      </c>
      <c r="AI9" s="558"/>
      <c r="AJ9" s="188">
        <v>23</v>
      </c>
      <c r="AK9" s="188">
        <v>1779.0408525754899</v>
      </c>
      <c r="AL9" s="185">
        <f t="shared" si="12"/>
        <v>77.349602285890867</v>
      </c>
      <c r="AM9" s="182">
        <f t="shared" si="24"/>
        <v>4</v>
      </c>
      <c r="AN9" s="558"/>
      <c r="AO9" s="188">
        <v>23</v>
      </c>
      <c r="AP9" s="188">
        <v>1779.0426908150071</v>
      </c>
      <c r="AQ9" s="185">
        <f t="shared" si="13"/>
        <v>77.349682209348131</v>
      </c>
      <c r="AR9" s="182">
        <f t="shared" si="25"/>
        <v>4</v>
      </c>
      <c r="AS9" s="558"/>
      <c r="AT9" s="188">
        <v>23</v>
      </c>
      <c r="AU9" s="188">
        <v>1779.0174854288093</v>
      </c>
      <c r="AV9" s="185">
        <f t="shared" si="14"/>
        <v>77.348586322991707</v>
      </c>
      <c r="AW9" s="182">
        <f t="shared" si="26"/>
        <v>5</v>
      </c>
      <c r="AX9" s="558"/>
    </row>
    <row r="10" spans="1:50" ht="14.25" customHeight="1">
      <c r="B10" s="530"/>
      <c r="C10" s="180">
        <v>4</v>
      </c>
      <c r="D10" s="183" t="s">
        <v>212</v>
      </c>
      <c r="E10" s="180">
        <v>24</v>
      </c>
      <c r="F10" s="180">
        <v>2000</v>
      </c>
      <c r="G10" s="185">
        <f t="shared" si="9"/>
        <v>83.333333333333329</v>
      </c>
      <c r="H10" s="558"/>
      <c r="I10" s="186">
        <f t="shared" si="15"/>
        <v>24</v>
      </c>
      <c r="J10" s="186">
        <f t="shared" si="16"/>
        <v>1778.0690597642508</v>
      </c>
      <c r="K10" s="187">
        <f t="shared" si="17"/>
        <v>74.086210823510456</v>
      </c>
      <c r="L10" s="559"/>
      <c r="M10" s="186">
        <f>RANK(K10, K$7:$K$21)</f>
        <v>7</v>
      </c>
      <c r="N10" s="530"/>
      <c r="O10" s="530"/>
      <c r="P10" s="188">
        <v>24</v>
      </c>
      <c r="Q10" s="188">
        <v>1776.6397755173616</v>
      </c>
      <c r="R10" s="185">
        <f t="shared" si="18"/>
        <v>74.026657313223396</v>
      </c>
      <c r="S10" s="182">
        <f t="shared" si="19"/>
        <v>7</v>
      </c>
      <c r="T10" s="558"/>
      <c r="U10" s="188">
        <v>24</v>
      </c>
      <c r="V10" s="188">
        <v>1776.7539267015725</v>
      </c>
      <c r="W10" s="185">
        <f t="shared" si="10"/>
        <v>74.031413612565515</v>
      </c>
      <c r="X10" s="182">
        <f t="shared" si="20"/>
        <v>7</v>
      </c>
      <c r="Y10" s="558"/>
      <c r="Z10" s="188">
        <v>24</v>
      </c>
      <c r="AA10" s="188">
        <v>1777.0212765957449</v>
      </c>
      <c r="AB10" s="185">
        <f t="shared" si="11"/>
        <v>74.042553191489375</v>
      </c>
      <c r="AC10" s="182">
        <f t="shared" si="21"/>
        <v>7</v>
      </c>
      <c r="AD10" s="558"/>
      <c r="AE10" s="188">
        <v>24</v>
      </c>
      <c r="AF10" s="188">
        <v>1777.6628748707358</v>
      </c>
      <c r="AG10" s="185">
        <f t="shared" si="22"/>
        <v>74.069286452947324</v>
      </c>
      <c r="AH10" s="182">
        <f t="shared" si="23"/>
        <v>7</v>
      </c>
      <c r="AI10" s="558"/>
      <c r="AJ10" s="188">
        <v>24</v>
      </c>
      <c r="AK10" s="188">
        <v>1779.3103448275874</v>
      </c>
      <c r="AL10" s="185">
        <f t="shared" si="12"/>
        <v>74.137931034482804</v>
      </c>
      <c r="AM10" s="182">
        <f t="shared" si="24"/>
        <v>7</v>
      </c>
      <c r="AN10" s="558"/>
      <c r="AO10" s="188">
        <v>24</v>
      </c>
      <c r="AP10" s="188">
        <v>1779.3832599118944</v>
      </c>
      <c r="AQ10" s="185">
        <f t="shared" si="13"/>
        <v>74.140969162995603</v>
      </c>
      <c r="AR10" s="182">
        <f t="shared" si="25"/>
        <v>7</v>
      </c>
      <c r="AS10" s="558"/>
      <c r="AT10" s="188">
        <v>24</v>
      </c>
      <c r="AU10" s="188">
        <v>1779.7119599248599</v>
      </c>
      <c r="AV10" s="185">
        <f t="shared" si="14"/>
        <v>74.154664996869158</v>
      </c>
      <c r="AW10" s="182">
        <f t="shared" si="26"/>
        <v>7</v>
      </c>
      <c r="AX10" s="558"/>
    </row>
    <row r="11" spans="1:50" ht="14.25" customHeight="1">
      <c r="B11" s="530"/>
      <c r="C11" s="180">
        <v>5</v>
      </c>
      <c r="D11" s="183" t="s">
        <v>213</v>
      </c>
      <c r="E11" s="180">
        <v>25</v>
      </c>
      <c r="F11" s="180">
        <v>2000</v>
      </c>
      <c r="G11" s="185">
        <f t="shared" si="9"/>
        <v>80</v>
      </c>
      <c r="H11" s="558"/>
      <c r="I11" s="186">
        <f t="shared" si="15"/>
        <v>25</v>
      </c>
      <c r="J11" s="186">
        <f t="shared" si="16"/>
        <v>1779.6844513454416</v>
      </c>
      <c r="K11" s="187">
        <f t="shared" si="17"/>
        <v>71.187378053817667</v>
      </c>
      <c r="L11" s="559"/>
      <c r="M11" s="186">
        <f>RANK(K11, K$7:$K$21)</f>
        <v>9</v>
      </c>
      <c r="N11" s="530"/>
      <c r="O11" s="530"/>
      <c r="P11" s="188">
        <v>25</v>
      </c>
      <c r="Q11" s="188">
        <v>1779.2407496395965</v>
      </c>
      <c r="R11" s="185">
        <f t="shared" si="18"/>
        <v>71.169629985583867</v>
      </c>
      <c r="S11" s="182">
        <f t="shared" si="19"/>
        <v>9</v>
      </c>
      <c r="T11" s="558"/>
      <c r="U11" s="188">
        <v>25</v>
      </c>
      <c r="V11" s="188">
        <v>1779.4110489170123</v>
      </c>
      <c r="W11" s="185">
        <f t="shared" si="10"/>
        <v>71.176441956680492</v>
      </c>
      <c r="X11" s="182">
        <f t="shared" si="20"/>
        <v>9</v>
      </c>
      <c r="Y11" s="558"/>
      <c r="Z11" s="188">
        <v>25</v>
      </c>
      <c r="AA11" s="188">
        <v>1779.7752808988757</v>
      </c>
      <c r="AB11" s="185">
        <f t="shared" si="11"/>
        <v>71.191011235955031</v>
      </c>
      <c r="AC11" s="182">
        <f t="shared" si="21"/>
        <v>9</v>
      </c>
      <c r="AD11" s="558"/>
      <c r="AE11" s="188">
        <v>25</v>
      </c>
      <c r="AF11" s="188">
        <v>1779.8177995795365</v>
      </c>
      <c r="AG11" s="185">
        <f t="shared" si="22"/>
        <v>71.192711983181468</v>
      </c>
      <c r="AH11" s="182">
        <f t="shared" si="23"/>
        <v>9</v>
      </c>
      <c r="AI11" s="558"/>
      <c r="AJ11" s="188">
        <v>25</v>
      </c>
      <c r="AK11" s="188">
        <v>1779.8632691112477</v>
      </c>
      <c r="AL11" s="185">
        <f t="shared" si="12"/>
        <v>71.194530764449908</v>
      </c>
      <c r="AM11" s="182">
        <f t="shared" si="24"/>
        <v>9</v>
      </c>
      <c r="AN11" s="558"/>
      <c r="AO11" s="188">
        <v>25</v>
      </c>
      <c r="AP11" s="188">
        <v>1779.8533384793511</v>
      </c>
      <c r="AQ11" s="185">
        <f t="shared" si="13"/>
        <v>71.194133539174047</v>
      </c>
      <c r="AR11" s="182">
        <f t="shared" si="25"/>
        <v>9</v>
      </c>
      <c r="AS11" s="558"/>
      <c r="AT11" s="188">
        <v>25</v>
      </c>
      <c r="AU11" s="188">
        <v>1779.8296727924703</v>
      </c>
      <c r="AV11" s="185">
        <f t="shared" si="14"/>
        <v>71.193186911698817</v>
      </c>
      <c r="AW11" s="182">
        <f t="shared" si="26"/>
        <v>9</v>
      </c>
      <c r="AX11" s="558"/>
    </row>
    <row r="12" spans="1:50" ht="14.25" customHeight="1">
      <c r="B12" s="530"/>
      <c r="C12" s="180">
        <v>6</v>
      </c>
      <c r="D12" s="183" t="s">
        <v>214</v>
      </c>
      <c r="E12" s="180">
        <v>23</v>
      </c>
      <c r="F12" s="180">
        <v>2000</v>
      </c>
      <c r="G12" s="185">
        <f t="shared" si="9"/>
        <v>86.956521739130437</v>
      </c>
      <c r="H12" s="558"/>
      <c r="I12" s="186">
        <f t="shared" si="15"/>
        <v>23</v>
      </c>
      <c r="J12" s="186">
        <f t="shared" si="16"/>
        <v>1778.6376212279943</v>
      </c>
      <c r="K12" s="187">
        <f t="shared" si="17"/>
        <v>77.33207048817367</v>
      </c>
      <c r="L12" s="559"/>
      <c r="M12" s="186">
        <f>RANK(K12, K$7:$K$21)</f>
        <v>5</v>
      </c>
      <c r="N12" s="530"/>
      <c r="O12" s="530"/>
      <c r="P12" s="188">
        <v>23</v>
      </c>
      <c r="Q12" s="188">
        <v>1778.0270537776307</v>
      </c>
      <c r="R12" s="185">
        <f t="shared" si="18"/>
        <v>77.305524077288297</v>
      </c>
      <c r="S12" s="182">
        <f t="shared" si="19"/>
        <v>5</v>
      </c>
      <c r="T12" s="558"/>
      <c r="U12" s="188">
        <v>23</v>
      </c>
      <c r="V12" s="188">
        <v>1778.3288409703498</v>
      </c>
      <c r="W12" s="185">
        <f t="shared" si="10"/>
        <v>77.318645259580421</v>
      </c>
      <c r="X12" s="182">
        <f t="shared" si="20"/>
        <v>5</v>
      </c>
      <c r="Y12" s="558"/>
      <c r="Z12" s="188">
        <v>23</v>
      </c>
      <c r="AA12" s="188">
        <v>1778.4914115011206</v>
      </c>
      <c r="AB12" s="185">
        <f t="shared" si="11"/>
        <v>77.325713543526987</v>
      </c>
      <c r="AC12" s="182">
        <f t="shared" si="21"/>
        <v>5</v>
      </c>
      <c r="AD12" s="558"/>
      <c r="AE12" s="188">
        <v>23</v>
      </c>
      <c r="AF12" s="188">
        <v>1778.7435049598482</v>
      </c>
      <c r="AG12" s="185">
        <f t="shared" si="22"/>
        <v>77.336674128689054</v>
      </c>
      <c r="AH12" s="182">
        <f t="shared" si="23"/>
        <v>5</v>
      </c>
      <c r="AI12" s="558"/>
      <c r="AJ12" s="188">
        <v>23</v>
      </c>
      <c r="AK12" s="188">
        <v>1778.9284106258453</v>
      </c>
      <c r="AL12" s="185">
        <f t="shared" si="12"/>
        <v>77.344713505471532</v>
      </c>
      <c r="AM12" s="182">
        <f t="shared" si="24"/>
        <v>5</v>
      </c>
      <c r="AN12" s="558"/>
      <c r="AO12" s="188">
        <v>23</v>
      </c>
      <c r="AP12" s="188">
        <v>1778.8977226788836</v>
      </c>
      <c r="AQ12" s="185">
        <f t="shared" si="13"/>
        <v>77.343379246907986</v>
      </c>
      <c r="AR12" s="182">
        <f t="shared" si="25"/>
        <v>5</v>
      </c>
      <c r="AS12" s="558"/>
      <c r="AT12" s="188">
        <v>23</v>
      </c>
      <c r="AU12" s="188">
        <v>1779.0464040822826</v>
      </c>
      <c r="AV12" s="185">
        <f t="shared" si="14"/>
        <v>77.349843655751414</v>
      </c>
      <c r="AW12" s="182">
        <f t="shared" si="26"/>
        <v>4</v>
      </c>
      <c r="AX12" s="558"/>
    </row>
    <row r="13" spans="1:50" ht="14.25" customHeight="1">
      <c r="B13" s="530"/>
      <c r="C13" s="180">
        <v>7</v>
      </c>
      <c r="D13" s="183" t="s">
        <v>215</v>
      </c>
      <c r="E13" s="180">
        <v>22</v>
      </c>
      <c r="F13" s="180">
        <v>2000</v>
      </c>
      <c r="G13" s="185">
        <f t="shared" si="9"/>
        <v>90.909090909090907</v>
      </c>
      <c r="H13" s="558"/>
      <c r="I13" s="186">
        <f t="shared" si="15"/>
        <v>22</v>
      </c>
      <c r="J13" s="186">
        <f t="shared" si="16"/>
        <v>1776.6778190766829</v>
      </c>
      <c r="K13" s="187">
        <f t="shared" si="17"/>
        <v>80.758082685303762</v>
      </c>
      <c r="L13" s="559"/>
      <c r="M13" s="186">
        <f>RANK(K13, K$7:$K$21)</f>
        <v>3</v>
      </c>
      <c r="N13" s="530"/>
      <c r="O13" s="530"/>
      <c r="P13" s="188">
        <v>22</v>
      </c>
      <c r="Q13" s="188">
        <v>1776.0348583878003</v>
      </c>
      <c r="R13" s="185">
        <f t="shared" si="18"/>
        <v>80.728857199445471</v>
      </c>
      <c r="S13" s="182">
        <f t="shared" si="19"/>
        <v>3</v>
      </c>
      <c r="T13" s="558"/>
      <c r="U13" s="188">
        <v>22</v>
      </c>
      <c r="V13" s="188">
        <v>1776.2981366459633</v>
      </c>
      <c r="W13" s="185">
        <f t="shared" si="10"/>
        <v>80.740824392998334</v>
      </c>
      <c r="X13" s="182">
        <f t="shared" si="20"/>
        <v>3</v>
      </c>
      <c r="Y13" s="558"/>
      <c r="Z13" s="188">
        <v>22</v>
      </c>
      <c r="AA13" s="188">
        <v>1776.2974438419826</v>
      </c>
      <c r="AB13" s="185">
        <f t="shared" si="11"/>
        <v>80.740792901908307</v>
      </c>
      <c r="AC13" s="182">
        <f t="shared" si="21"/>
        <v>3</v>
      </c>
      <c r="AD13" s="558"/>
      <c r="AE13" s="188">
        <v>22</v>
      </c>
      <c r="AF13" s="188">
        <v>1776.2917933130684</v>
      </c>
      <c r="AG13" s="185">
        <f t="shared" si="22"/>
        <v>80.740536059684928</v>
      </c>
      <c r="AH13" s="182">
        <f t="shared" si="23"/>
        <v>3</v>
      </c>
      <c r="AI13" s="558"/>
      <c r="AJ13" s="188">
        <v>22</v>
      </c>
      <c r="AK13" s="188">
        <v>1777.2713273791212</v>
      </c>
      <c r="AL13" s="185">
        <f t="shared" si="12"/>
        <v>80.785060335414599</v>
      </c>
      <c r="AM13" s="182">
        <f t="shared" si="24"/>
        <v>3</v>
      </c>
      <c r="AN13" s="558"/>
      <c r="AO13" s="188">
        <v>22</v>
      </c>
      <c r="AP13" s="188">
        <v>1777.2151898734173</v>
      </c>
      <c r="AQ13" s="185">
        <f t="shared" si="13"/>
        <v>80.782508630609883</v>
      </c>
      <c r="AR13" s="182">
        <f t="shared" si="25"/>
        <v>3</v>
      </c>
      <c r="AS13" s="558"/>
      <c r="AT13" s="188">
        <v>22</v>
      </c>
      <c r="AU13" s="188">
        <v>1777.3359840954265</v>
      </c>
      <c r="AV13" s="185">
        <f t="shared" si="14"/>
        <v>80.787999277064841</v>
      </c>
      <c r="AW13" s="182">
        <f t="shared" si="26"/>
        <v>3</v>
      </c>
      <c r="AX13" s="558"/>
    </row>
    <row r="14" spans="1:50" ht="14.25" customHeight="1">
      <c r="B14" s="530"/>
      <c r="C14" s="180">
        <v>8</v>
      </c>
      <c r="D14" s="183" t="s">
        <v>216</v>
      </c>
      <c r="E14" s="180">
        <v>20</v>
      </c>
      <c r="F14" s="180">
        <v>2000</v>
      </c>
      <c r="G14" s="185">
        <f t="shared" si="9"/>
        <v>100</v>
      </c>
      <c r="H14" s="558"/>
      <c r="I14" s="186">
        <f t="shared" si="15"/>
        <v>20</v>
      </c>
      <c r="J14" s="186">
        <f t="shared" si="16"/>
        <v>1777.7166669668727</v>
      </c>
      <c r="K14" s="187">
        <f t="shared" si="17"/>
        <v>88.885833348343652</v>
      </c>
      <c r="L14" s="559"/>
      <c r="M14" s="186">
        <f>RANK(K14, K$7:$K$21)</f>
        <v>1</v>
      </c>
      <c r="N14" s="530"/>
      <c r="O14" s="530"/>
      <c r="P14" s="188">
        <v>20</v>
      </c>
      <c r="Q14" s="188">
        <v>1777.188328912468</v>
      </c>
      <c r="R14" s="185">
        <f t="shared" si="18"/>
        <v>88.859416445623395</v>
      </c>
      <c r="S14" s="182">
        <f t="shared" si="19"/>
        <v>1</v>
      </c>
      <c r="T14" s="558"/>
      <c r="U14" s="188">
        <v>20</v>
      </c>
      <c r="V14" s="188">
        <v>1777.1249381085984</v>
      </c>
      <c r="W14" s="185">
        <f t="shared" si="10"/>
        <v>88.856246905429913</v>
      </c>
      <c r="X14" s="182">
        <f t="shared" si="20"/>
        <v>1</v>
      </c>
      <c r="Y14" s="558"/>
      <c r="Z14" s="188">
        <v>20</v>
      </c>
      <c r="AA14" s="188">
        <v>1777.9102384291737</v>
      </c>
      <c r="AB14" s="185">
        <f t="shared" si="11"/>
        <v>88.895511921458677</v>
      </c>
      <c r="AC14" s="182">
        <f t="shared" si="21"/>
        <v>1</v>
      </c>
      <c r="AD14" s="558"/>
      <c r="AE14" s="188">
        <v>20</v>
      </c>
      <c r="AF14" s="188">
        <v>1777.6830685780706</v>
      </c>
      <c r="AG14" s="185">
        <f t="shared" si="22"/>
        <v>88.884153428903531</v>
      </c>
      <c r="AH14" s="182">
        <f t="shared" si="23"/>
        <v>1</v>
      </c>
      <c r="AI14" s="558"/>
      <c r="AJ14" s="188">
        <v>20</v>
      </c>
      <c r="AK14" s="188">
        <v>1778.0746561886058</v>
      </c>
      <c r="AL14" s="185">
        <f t="shared" si="12"/>
        <v>88.903732809430295</v>
      </c>
      <c r="AM14" s="182">
        <f t="shared" si="24"/>
        <v>1</v>
      </c>
      <c r="AN14" s="558"/>
      <c r="AO14" s="188">
        <v>20</v>
      </c>
      <c r="AP14" s="188">
        <v>1778.0545984627624</v>
      </c>
      <c r="AQ14" s="185">
        <f t="shared" si="13"/>
        <v>88.902729923138125</v>
      </c>
      <c r="AR14" s="182">
        <f t="shared" si="25"/>
        <v>1</v>
      </c>
      <c r="AS14" s="558"/>
      <c r="AT14" s="188">
        <v>20</v>
      </c>
      <c r="AU14" s="188">
        <v>1777.9808400884306</v>
      </c>
      <c r="AV14" s="185">
        <f t="shared" si="14"/>
        <v>88.899042004421531</v>
      </c>
      <c r="AW14" s="182">
        <f t="shared" si="26"/>
        <v>1</v>
      </c>
      <c r="AX14" s="558"/>
    </row>
    <row r="15" spans="1:50" ht="14.25" customHeight="1">
      <c r="B15" s="530"/>
      <c r="C15" s="180">
        <v>9</v>
      </c>
      <c r="D15" s="183" t="s">
        <v>217</v>
      </c>
      <c r="E15" s="180">
        <v>24</v>
      </c>
      <c r="F15" s="180">
        <v>2000</v>
      </c>
      <c r="G15" s="185">
        <f t="shared" si="9"/>
        <v>83.333333333333329</v>
      </c>
      <c r="H15" s="558"/>
      <c r="I15" s="186">
        <f t="shared" si="15"/>
        <v>24</v>
      </c>
      <c r="J15" s="186">
        <f t="shared" si="16"/>
        <v>1779.8831342426745</v>
      </c>
      <c r="K15" s="187">
        <f t="shared" si="17"/>
        <v>74.161797260111442</v>
      </c>
      <c r="L15" s="559"/>
      <c r="M15" s="186">
        <f>RANK(K15, K$7:$K$21)</f>
        <v>6</v>
      </c>
      <c r="N15" s="530"/>
      <c r="O15" s="530"/>
      <c r="P15" s="188">
        <v>24</v>
      </c>
      <c r="Q15" s="188">
        <v>1777.9681762545904</v>
      </c>
      <c r="R15" s="185">
        <f t="shared" si="18"/>
        <v>74.082007343941271</v>
      </c>
      <c r="S15" s="182">
        <f t="shared" si="19"/>
        <v>6</v>
      </c>
      <c r="T15" s="558"/>
      <c r="U15" s="188">
        <v>24</v>
      </c>
      <c r="V15" s="188">
        <v>1779.5121951219508</v>
      </c>
      <c r="W15" s="185">
        <f t="shared" si="10"/>
        <v>74.146341463414615</v>
      </c>
      <c r="X15" s="182">
        <f t="shared" si="20"/>
        <v>6</v>
      </c>
      <c r="Y15" s="558"/>
      <c r="Z15" s="188">
        <v>24</v>
      </c>
      <c r="AA15" s="188">
        <v>1780.1955990220067</v>
      </c>
      <c r="AB15" s="185">
        <f t="shared" si="11"/>
        <v>74.174816625916947</v>
      </c>
      <c r="AC15" s="182">
        <f t="shared" si="21"/>
        <v>6</v>
      </c>
      <c r="AD15" s="558"/>
      <c r="AE15" s="188">
        <v>24</v>
      </c>
      <c r="AF15" s="188">
        <v>1780.4043545878721</v>
      </c>
      <c r="AG15" s="185">
        <f t="shared" si="22"/>
        <v>74.183514774494668</v>
      </c>
      <c r="AH15" s="182">
        <f t="shared" si="23"/>
        <v>6</v>
      </c>
      <c r="AI15" s="558"/>
      <c r="AJ15" s="188">
        <v>24</v>
      </c>
      <c r="AK15" s="188">
        <v>1780.5054151624561</v>
      </c>
      <c r="AL15" s="185">
        <f t="shared" si="12"/>
        <v>74.187725631768998</v>
      </c>
      <c r="AM15" s="182">
        <f t="shared" si="24"/>
        <v>6</v>
      </c>
      <c r="AN15" s="558"/>
      <c r="AO15" s="188">
        <v>24</v>
      </c>
      <c r="AP15" s="188">
        <v>1780.2414928649848</v>
      </c>
      <c r="AQ15" s="185">
        <f t="shared" si="13"/>
        <v>74.176728869374372</v>
      </c>
      <c r="AR15" s="182">
        <f t="shared" si="25"/>
        <v>6</v>
      </c>
      <c r="AS15" s="558"/>
      <c r="AT15" s="188">
        <v>24</v>
      </c>
      <c r="AU15" s="188">
        <v>1780.35470668486</v>
      </c>
      <c r="AV15" s="185">
        <f t="shared" si="14"/>
        <v>74.181446111869164</v>
      </c>
      <c r="AW15" s="182">
        <f t="shared" si="26"/>
        <v>6</v>
      </c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27">U22+1</f>
        <v>46058</v>
      </c>
      <c r="AA22" s="597"/>
      <c r="AB22" s="597"/>
      <c r="AC22" s="597"/>
      <c r="AD22" s="597"/>
      <c r="AE22" s="598">
        <f t="shared" ref="AE22" si="28">Z22+1</f>
        <v>46059</v>
      </c>
      <c r="AF22" s="599"/>
      <c r="AG22" s="599"/>
      <c r="AH22" s="599"/>
      <c r="AI22" s="599"/>
      <c r="AJ22" s="588">
        <f t="shared" ref="AJ22" si="29">AE22+1</f>
        <v>46060</v>
      </c>
      <c r="AK22" s="589"/>
      <c r="AL22" s="589"/>
      <c r="AM22" s="589"/>
      <c r="AN22" s="590"/>
      <c r="AO22" s="598">
        <f t="shared" ref="AO22" si="30">AJ22+1</f>
        <v>46061</v>
      </c>
      <c r="AP22" s="599"/>
      <c r="AQ22" s="599"/>
      <c r="AR22" s="599"/>
      <c r="AS22" s="599"/>
      <c r="AT22" s="588">
        <f t="shared" ref="AT22" si="31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32">Z22</f>
        <v>46058</v>
      </c>
      <c r="AA23" s="591"/>
      <c r="AB23" s="591"/>
      <c r="AC23" s="591"/>
      <c r="AD23" s="591"/>
      <c r="AE23" s="592">
        <f t="shared" ref="AE23" si="33">AE22</f>
        <v>46059</v>
      </c>
      <c r="AF23" s="592"/>
      <c r="AG23" s="592"/>
      <c r="AH23" s="592"/>
      <c r="AI23" s="592"/>
      <c r="AJ23" s="593">
        <f t="shared" ref="AJ23" si="34">AJ22</f>
        <v>46060</v>
      </c>
      <c r="AK23" s="594"/>
      <c r="AL23" s="594"/>
      <c r="AM23" s="594"/>
      <c r="AN23" s="595"/>
      <c r="AO23" s="592">
        <f t="shared" ref="AO23" si="35">AO22</f>
        <v>46061</v>
      </c>
      <c r="AP23" s="592"/>
      <c r="AQ23" s="592"/>
      <c r="AR23" s="592"/>
      <c r="AS23" s="592"/>
      <c r="AT23" s="593">
        <f t="shared" ref="AT23" si="36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530" t="s">
        <v>112</v>
      </c>
      <c r="C27" s="180">
        <v>1</v>
      </c>
      <c r="D27" s="183" t="s">
        <v>209</v>
      </c>
      <c r="E27" s="180">
        <v>21</v>
      </c>
      <c r="F27" s="180">
        <v>2000</v>
      </c>
      <c r="G27" s="185">
        <f t="shared" ref="G27:G35" si="37">F27/E27</f>
        <v>95.238095238095241</v>
      </c>
      <c r="H27" s="558">
        <f>AVERAGE(G27:G41)</f>
        <v>87.414099588012633</v>
      </c>
      <c r="I27" s="186">
        <f>AVERAGE(P27,U27,Z27,AE27,AJ27,AO27,AT27)</f>
        <v>21</v>
      </c>
      <c r="J27" s="186">
        <f>AVERAGE(Q27,V27,AA27,AF27,AK27,AP27,AU27)</f>
        <v>1779.651861752847</v>
      </c>
      <c r="K27" s="187">
        <f>AVERAGE(R27,W27,AB27,AG27,AL27,AQ27,AV27)</f>
        <v>84.745326750135561</v>
      </c>
      <c r="L27" s="559">
        <f>IFERROR(AVERAGE(K27:K41),"-")</f>
        <v>77.805879687323809</v>
      </c>
      <c r="M27" s="186">
        <f>RANK(K27, K$27:$K$41)</f>
        <v>2</v>
      </c>
      <c r="N27" s="530"/>
      <c r="O27" s="530"/>
      <c r="P27" s="188">
        <v>21</v>
      </c>
      <c r="Q27" s="188">
        <v>1778.6729857819903</v>
      </c>
      <c r="R27" s="185">
        <f>IFERROR(Q27/P27,"")</f>
        <v>84.69871360866621</v>
      </c>
      <c r="S27" s="182">
        <f>RANK(R27, R$27:R$41)</f>
        <v>2</v>
      </c>
      <c r="T27" s="558">
        <f>AVERAGE(R27:R41)</f>
        <v>77.775309117774469</v>
      </c>
      <c r="U27" s="188">
        <v>21</v>
      </c>
      <c r="V27" s="188">
        <v>1778.7383764765018</v>
      </c>
      <c r="W27" s="185">
        <f t="shared" ref="W27:W35" si="38">IFERROR(V27/U27,"")</f>
        <v>84.701827451261991</v>
      </c>
      <c r="X27" s="182">
        <f>RANK(W27, W$27:W$41)</f>
        <v>2</v>
      </c>
      <c r="Y27" s="558">
        <f>AVERAGE(W27:W41)</f>
        <v>77.779336713663653</v>
      </c>
      <c r="Z27" s="188">
        <v>21</v>
      </c>
      <c r="AA27" s="188">
        <v>1779.7435226380524</v>
      </c>
      <c r="AB27" s="185">
        <f t="shared" ref="AB27:AB35" si="39">IFERROR(AA27/Z27,"")</f>
        <v>84.749691554192964</v>
      </c>
      <c r="AC27" s="182">
        <f>RANK(AB27, AB$27:AB$41)</f>
        <v>2</v>
      </c>
      <c r="AD27" s="558">
        <f>AVERAGE(AB27:AB41)</f>
        <v>77.808449993288491</v>
      </c>
      <c r="AE27" s="188">
        <v>21</v>
      </c>
      <c r="AF27" s="188">
        <v>1779.9392097264424</v>
      </c>
      <c r="AG27" s="185">
        <f>IFERROR(AF27/AE27,"")</f>
        <v>84.759009986973453</v>
      </c>
      <c r="AH27" s="182">
        <f>RANK(AG27, AG$27:AG$41)</f>
        <v>2</v>
      </c>
      <c r="AI27" s="558">
        <f>AVERAGE(AG27:AG41)</f>
        <v>77.816471823857157</v>
      </c>
      <c r="AJ27" s="188">
        <v>21</v>
      </c>
      <c r="AK27" s="188">
        <v>1780.0284495021331</v>
      </c>
      <c r="AL27" s="185">
        <f t="shared" ref="AL27:AL35" si="40">IFERROR(AK27/AJ27,"")</f>
        <v>84.763259500101569</v>
      </c>
      <c r="AM27" s="182">
        <f>RANK(AL27, AL$27:AL$41)</f>
        <v>2</v>
      </c>
      <c r="AN27" s="558">
        <f>AVERAGE(AL27:AL41)</f>
        <v>77.820362333127989</v>
      </c>
      <c r="AO27" s="188">
        <v>21</v>
      </c>
      <c r="AP27" s="188">
        <v>1780.2775748721699</v>
      </c>
      <c r="AQ27" s="185">
        <f t="shared" ref="AQ27:AQ35" si="41">IFERROR(AP27/AO27,"")</f>
        <v>84.775122612960473</v>
      </c>
      <c r="AR27" s="182">
        <f>RANK(AQ27, AQ$27:AQ$41)</f>
        <v>2</v>
      </c>
      <c r="AS27" s="558">
        <f>AVERAGE(AQ27:AQ41)</f>
        <v>77.820508797093311</v>
      </c>
      <c r="AT27" s="188">
        <v>21</v>
      </c>
      <c r="AU27" s="188">
        <v>1780.1629132726396</v>
      </c>
      <c r="AV27" s="185">
        <f t="shared" ref="AV27:AV35" si="42">IFERROR(AU27/AT27,"")</f>
        <v>84.769662536792367</v>
      </c>
      <c r="AW27" s="182">
        <f>RANK(AV27, AV$27:AV$41)</f>
        <v>2</v>
      </c>
      <c r="AX27" s="558">
        <f>AVERAGE(AV27:AV41)</f>
        <v>77.820719032461582</v>
      </c>
    </row>
    <row r="28" spans="2:50" ht="14.25" customHeight="1">
      <c r="B28" s="530"/>
      <c r="C28" s="180">
        <v>2</v>
      </c>
      <c r="D28" s="183" t="s">
        <v>210</v>
      </c>
      <c r="E28" s="180">
        <v>25</v>
      </c>
      <c r="F28" s="180">
        <v>2000</v>
      </c>
      <c r="G28" s="185">
        <f t="shared" si="37"/>
        <v>80</v>
      </c>
      <c r="H28" s="558"/>
      <c r="I28" s="186">
        <f t="shared" ref="I28:K35" si="43">AVERAGE(P28,U28,Z28,AE28,AJ28,AO28,AT28)</f>
        <v>25</v>
      </c>
      <c r="J28" s="186">
        <f t="shared" si="43"/>
        <v>1782.3812081119684</v>
      </c>
      <c r="K28" s="187">
        <f t="shared" si="43"/>
        <v>71.29524832447872</v>
      </c>
      <c r="L28" s="559"/>
      <c r="M28" s="186">
        <f>RANK(K28, K$27:$K$41)</f>
        <v>8</v>
      </c>
      <c r="N28" s="530"/>
      <c r="O28" s="530"/>
      <c r="P28" s="188">
        <v>25</v>
      </c>
      <c r="Q28" s="188">
        <v>1782.1708625670651</v>
      </c>
      <c r="R28" s="185">
        <f t="shared" ref="R28:R35" si="44">IFERROR(Q28/P28,"")</f>
        <v>71.286834502682609</v>
      </c>
      <c r="S28" s="182">
        <f t="shared" ref="S28:S35" si="45">RANK(R28, R$27:R$41)</f>
        <v>8</v>
      </c>
      <c r="T28" s="558"/>
      <c r="U28" s="188">
        <v>25</v>
      </c>
      <c r="V28" s="188">
        <v>1782.0733363512891</v>
      </c>
      <c r="W28" s="185">
        <f t="shared" si="38"/>
        <v>71.282933454051559</v>
      </c>
      <c r="X28" s="182">
        <f t="shared" ref="X28:X35" si="46">RANK(W28, W$27:W$41)</f>
        <v>8</v>
      </c>
      <c r="Y28" s="558"/>
      <c r="Z28" s="188">
        <v>25</v>
      </c>
      <c r="AA28" s="188">
        <v>1782.2143400050666</v>
      </c>
      <c r="AB28" s="185">
        <f t="shared" si="39"/>
        <v>71.288573600202668</v>
      </c>
      <c r="AC28" s="182">
        <f t="shared" ref="AC28:AC35" si="47">RANK(AB28, AB$27:AB$41)</f>
        <v>8</v>
      </c>
      <c r="AD28" s="558"/>
      <c r="AE28" s="188">
        <v>25</v>
      </c>
      <c r="AF28" s="188">
        <v>1782.256297918949</v>
      </c>
      <c r="AG28" s="185">
        <f t="shared" ref="AG28:AG35" si="48">IFERROR(AF28/AE28,"")</f>
        <v>71.290251916757967</v>
      </c>
      <c r="AH28" s="182">
        <f t="shared" ref="AH28:AH35" si="49">RANK(AG28, AG$27:AG$41)</f>
        <v>8</v>
      </c>
      <c r="AI28" s="558"/>
      <c r="AJ28" s="188">
        <v>25</v>
      </c>
      <c r="AK28" s="188">
        <v>1782.6640983849479</v>
      </c>
      <c r="AL28" s="185">
        <f t="shared" si="40"/>
        <v>71.306563935397918</v>
      </c>
      <c r="AM28" s="182">
        <f t="shared" ref="AM28:AM35" si="50">RANK(AL28, AL$27:AL$41)</f>
        <v>8</v>
      </c>
      <c r="AN28" s="558"/>
      <c r="AO28" s="188">
        <v>25</v>
      </c>
      <c r="AP28" s="188">
        <v>1782.6540535761642</v>
      </c>
      <c r="AQ28" s="185">
        <f t="shared" si="41"/>
        <v>71.306162143046564</v>
      </c>
      <c r="AR28" s="182">
        <f t="shared" ref="AR28:AR35" si="51">RANK(AQ28, AQ$27:AQ$41)</f>
        <v>8</v>
      </c>
      <c r="AS28" s="558"/>
      <c r="AT28" s="188">
        <v>25</v>
      </c>
      <c r="AU28" s="188">
        <v>1782.6354679802957</v>
      </c>
      <c r="AV28" s="185">
        <f t="shared" si="42"/>
        <v>71.305418719211829</v>
      </c>
      <c r="AW28" s="182">
        <f t="shared" ref="AW28:AW35" si="52">RANK(AV28, AV$27:AV$41)</f>
        <v>8</v>
      </c>
      <c r="AX28" s="558"/>
    </row>
    <row r="29" spans="2:50" ht="14.25" customHeight="1">
      <c r="B29" s="530"/>
      <c r="C29" s="180">
        <v>3</v>
      </c>
      <c r="D29" s="183" t="s">
        <v>211</v>
      </c>
      <c r="E29" s="180">
        <v>23</v>
      </c>
      <c r="F29" s="180">
        <v>2000</v>
      </c>
      <c r="G29" s="185">
        <f t="shared" si="37"/>
        <v>86.956521739130437</v>
      </c>
      <c r="H29" s="558"/>
      <c r="I29" s="186">
        <f t="shared" si="43"/>
        <v>23</v>
      </c>
      <c r="J29" s="186">
        <f t="shared" si="43"/>
        <v>1779.3250609946622</v>
      </c>
      <c r="K29" s="187">
        <f t="shared" si="43"/>
        <v>77.361959173680944</v>
      </c>
      <c r="L29" s="559"/>
      <c r="M29" s="186">
        <f>RANK(K29, K$27:$K$41)</f>
        <v>5</v>
      </c>
      <c r="N29" s="530"/>
      <c r="O29" s="530"/>
      <c r="P29" s="188">
        <v>23</v>
      </c>
      <c r="Q29" s="188">
        <v>1779.016206994598</v>
      </c>
      <c r="R29" s="185">
        <f t="shared" si="44"/>
        <v>77.348530738895562</v>
      </c>
      <c r="S29" s="182">
        <f t="shared" si="45"/>
        <v>5</v>
      </c>
      <c r="T29" s="558"/>
      <c r="U29" s="188">
        <v>23</v>
      </c>
      <c r="V29" s="188">
        <v>1779.0397192534695</v>
      </c>
      <c r="W29" s="185">
        <f t="shared" si="38"/>
        <v>77.349553011020404</v>
      </c>
      <c r="X29" s="182">
        <f t="shared" si="46"/>
        <v>5</v>
      </c>
      <c r="Y29" s="558"/>
      <c r="Z29" s="188">
        <v>23</v>
      </c>
      <c r="AA29" s="188">
        <v>1779.0635252013126</v>
      </c>
      <c r="AB29" s="185">
        <f t="shared" si="39"/>
        <v>77.350588052230975</v>
      </c>
      <c r="AC29" s="182">
        <f t="shared" si="47"/>
        <v>5</v>
      </c>
      <c r="AD29" s="558"/>
      <c r="AE29" s="188">
        <v>23</v>
      </c>
      <c r="AF29" s="188">
        <v>1779.3181390092284</v>
      </c>
      <c r="AG29" s="185">
        <f t="shared" si="48"/>
        <v>77.361658217792538</v>
      </c>
      <c r="AH29" s="182">
        <f t="shared" si="49"/>
        <v>4</v>
      </c>
      <c r="AI29" s="558"/>
      <c r="AJ29" s="188">
        <v>23</v>
      </c>
      <c r="AK29" s="188">
        <v>1779.615315477261</v>
      </c>
      <c r="AL29" s="185">
        <f t="shared" si="40"/>
        <v>77.374578933793956</v>
      </c>
      <c r="AM29" s="182">
        <f t="shared" si="50"/>
        <v>4</v>
      </c>
      <c r="AN29" s="558"/>
      <c r="AO29" s="188">
        <v>23</v>
      </c>
      <c r="AP29" s="188">
        <v>1779.5385481148001</v>
      </c>
      <c r="AQ29" s="185">
        <f t="shared" si="41"/>
        <v>77.371241222382608</v>
      </c>
      <c r="AR29" s="182">
        <f t="shared" si="51"/>
        <v>5</v>
      </c>
      <c r="AS29" s="558"/>
      <c r="AT29" s="188">
        <v>23</v>
      </c>
      <c r="AU29" s="188">
        <v>1779.683972911964</v>
      </c>
      <c r="AV29" s="185">
        <f t="shared" si="42"/>
        <v>77.377564039650608</v>
      </c>
      <c r="AW29" s="182">
        <f t="shared" si="52"/>
        <v>4</v>
      </c>
      <c r="AX29" s="558"/>
    </row>
    <row r="30" spans="2:50" ht="14.25" customHeight="1">
      <c r="B30" s="530"/>
      <c r="C30" s="180">
        <v>4</v>
      </c>
      <c r="D30" s="183" t="s">
        <v>212</v>
      </c>
      <c r="E30" s="180">
        <v>24</v>
      </c>
      <c r="F30" s="180">
        <v>2000</v>
      </c>
      <c r="G30" s="185">
        <f t="shared" si="37"/>
        <v>83.333333333333329</v>
      </c>
      <c r="H30" s="558"/>
      <c r="I30" s="186">
        <f t="shared" si="43"/>
        <v>24</v>
      </c>
      <c r="J30" s="186">
        <f t="shared" si="43"/>
        <v>1780.7080738013608</v>
      </c>
      <c r="K30" s="187">
        <f t="shared" si="43"/>
        <v>74.196169741723367</v>
      </c>
      <c r="L30" s="559"/>
      <c r="M30" s="186">
        <f>RANK(K30, K$27:$K$41)</f>
        <v>7</v>
      </c>
      <c r="N30" s="530"/>
      <c r="O30" s="530"/>
      <c r="P30" s="188">
        <v>24</v>
      </c>
      <c r="Q30" s="188">
        <v>1779.8742138364769</v>
      </c>
      <c r="R30" s="185">
        <f t="shared" si="44"/>
        <v>74.161425576519875</v>
      </c>
      <c r="S30" s="182">
        <f t="shared" si="45"/>
        <v>7</v>
      </c>
      <c r="T30" s="558"/>
      <c r="U30" s="188">
        <v>24</v>
      </c>
      <c r="V30" s="188">
        <v>1779.8918918918935</v>
      </c>
      <c r="W30" s="185">
        <f t="shared" si="38"/>
        <v>74.162162162162232</v>
      </c>
      <c r="X30" s="182">
        <f t="shared" si="46"/>
        <v>7</v>
      </c>
      <c r="Y30" s="558"/>
      <c r="Z30" s="188">
        <v>24</v>
      </c>
      <c r="AA30" s="188">
        <v>1781.4705882352962</v>
      </c>
      <c r="AB30" s="185">
        <f t="shared" si="39"/>
        <v>74.227941176470679</v>
      </c>
      <c r="AC30" s="182">
        <f t="shared" si="47"/>
        <v>7</v>
      </c>
      <c r="AD30" s="558"/>
      <c r="AE30" s="188">
        <v>24</v>
      </c>
      <c r="AF30" s="188">
        <v>1781.7405232247713</v>
      </c>
      <c r="AG30" s="185">
        <f t="shared" si="48"/>
        <v>74.23918846769881</v>
      </c>
      <c r="AH30" s="182">
        <f t="shared" si="49"/>
        <v>7</v>
      </c>
      <c r="AI30" s="558"/>
      <c r="AJ30" s="188">
        <v>24</v>
      </c>
      <c r="AK30" s="188">
        <v>1781.4751286449386</v>
      </c>
      <c r="AL30" s="185">
        <f t="shared" si="40"/>
        <v>74.228130360205782</v>
      </c>
      <c r="AM30" s="182">
        <f t="shared" si="50"/>
        <v>7</v>
      </c>
      <c r="AN30" s="558"/>
      <c r="AO30" s="188">
        <v>24</v>
      </c>
      <c r="AP30" s="188">
        <v>1780.1226993865032</v>
      </c>
      <c r="AQ30" s="185">
        <f t="shared" si="41"/>
        <v>74.171779141104295</v>
      </c>
      <c r="AR30" s="182">
        <f t="shared" si="51"/>
        <v>7</v>
      </c>
      <c r="AS30" s="558"/>
      <c r="AT30" s="188">
        <v>24</v>
      </c>
      <c r="AU30" s="188">
        <v>1780.3814713896447</v>
      </c>
      <c r="AV30" s="185">
        <f t="shared" si="42"/>
        <v>74.182561307901864</v>
      </c>
      <c r="AW30" s="182">
        <f t="shared" si="52"/>
        <v>7</v>
      </c>
      <c r="AX30" s="558"/>
    </row>
    <row r="31" spans="2:50" ht="14.25" customHeight="1">
      <c r="B31" s="530"/>
      <c r="C31" s="180">
        <v>5</v>
      </c>
      <c r="D31" s="183" t="s">
        <v>213</v>
      </c>
      <c r="E31" s="180">
        <v>25</v>
      </c>
      <c r="F31" s="180">
        <v>2000</v>
      </c>
      <c r="G31" s="185">
        <f t="shared" si="37"/>
        <v>80</v>
      </c>
      <c r="H31" s="558"/>
      <c r="I31" s="186">
        <f t="shared" si="43"/>
        <v>25</v>
      </c>
      <c r="J31" s="186">
        <f t="shared" si="43"/>
        <v>1780.4935447430485</v>
      </c>
      <c r="K31" s="187">
        <f t="shared" si="43"/>
        <v>71.219741789721937</v>
      </c>
      <c r="L31" s="559"/>
      <c r="M31" s="186">
        <f>RANK(K31, K$27:$K$41)</f>
        <v>9</v>
      </c>
      <c r="N31" s="530"/>
      <c r="O31" s="530"/>
      <c r="P31" s="188">
        <v>25</v>
      </c>
      <c r="Q31" s="188">
        <v>1780.0769971126085</v>
      </c>
      <c r="R31" s="185">
        <f t="shared" si="44"/>
        <v>71.203079884504348</v>
      </c>
      <c r="S31" s="182">
        <f t="shared" si="45"/>
        <v>9</v>
      </c>
      <c r="T31" s="558"/>
      <c r="U31" s="188">
        <v>25</v>
      </c>
      <c r="V31" s="188">
        <v>1780.070457976849</v>
      </c>
      <c r="W31" s="185">
        <f t="shared" si="38"/>
        <v>71.202818319073955</v>
      </c>
      <c r="X31" s="182">
        <f t="shared" si="46"/>
        <v>9</v>
      </c>
      <c r="Y31" s="558"/>
      <c r="Z31" s="188">
        <v>25</v>
      </c>
      <c r="AA31" s="188">
        <v>1780.3965372800883</v>
      </c>
      <c r="AB31" s="185">
        <f t="shared" si="39"/>
        <v>71.215861491203526</v>
      </c>
      <c r="AC31" s="182">
        <f t="shared" si="47"/>
        <v>9</v>
      </c>
      <c r="AD31" s="558"/>
      <c r="AE31" s="188">
        <v>25</v>
      </c>
      <c r="AF31" s="188">
        <v>1780.4963299545584</v>
      </c>
      <c r="AG31" s="185">
        <f t="shared" si="48"/>
        <v>71.219853198182335</v>
      </c>
      <c r="AH31" s="182">
        <f t="shared" si="49"/>
        <v>9</v>
      </c>
      <c r="AI31" s="558"/>
      <c r="AJ31" s="188">
        <v>25</v>
      </c>
      <c r="AK31" s="188">
        <v>1780.7044410413484</v>
      </c>
      <c r="AL31" s="185">
        <f t="shared" si="40"/>
        <v>71.228177641653943</v>
      </c>
      <c r="AM31" s="182">
        <f t="shared" si="50"/>
        <v>9</v>
      </c>
      <c r="AN31" s="558"/>
      <c r="AO31" s="188">
        <v>25</v>
      </c>
      <c r="AP31" s="188">
        <v>1780.8855940693259</v>
      </c>
      <c r="AQ31" s="185">
        <f t="shared" si="41"/>
        <v>71.235423762773038</v>
      </c>
      <c r="AR31" s="182">
        <f t="shared" si="51"/>
        <v>9</v>
      </c>
      <c r="AS31" s="558"/>
      <c r="AT31" s="188">
        <v>25</v>
      </c>
      <c r="AU31" s="188">
        <v>1780.8244557665585</v>
      </c>
      <c r="AV31" s="185">
        <f t="shared" si="42"/>
        <v>71.23297823066234</v>
      </c>
      <c r="AW31" s="182">
        <f t="shared" si="52"/>
        <v>9</v>
      </c>
      <c r="AX31" s="558"/>
    </row>
    <row r="32" spans="2:50" ht="14.25" customHeight="1">
      <c r="B32" s="530"/>
      <c r="C32" s="180">
        <v>6</v>
      </c>
      <c r="D32" s="183" t="s">
        <v>214</v>
      </c>
      <c r="E32" s="180">
        <v>23</v>
      </c>
      <c r="F32" s="180">
        <v>2000</v>
      </c>
      <c r="G32" s="185">
        <f t="shared" si="37"/>
        <v>86.956521739130437</v>
      </c>
      <c r="H32" s="558"/>
      <c r="I32" s="186">
        <f t="shared" si="43"/>
        <v>23</v>
      </c>
      <c r="J32" s="186">
        <f t="shared" si="43"/>
        <v>1779.444608126799</v>
      </c>
      <c r="K32" s="187">
        <f t="shared" si="43"/>
        <v>77.367156875078209</v>
      </c>
      <c r="L32" s="559"/>
      <c r="M32" s="186">
        <f>RANK(K32, K$27:$K$41)</f>
        <v>4</v>
      </c>
      <c r="N32" s="530"/>
      <c r="O32" s="530"/>
      <c r="P32" s="188">
        <v>23</v>
      </c>
      <c r="Q32" s="188">
        <v>1779.323734023621</v>
      </c>
      <c r="R32" s="185">
        <f t="shared" si="44"/>
        <v>77.361901479287866</v>
      </c>
      <c r="S32" s="182">
        <f t="shared" si="45"/>
        <v>4</v>
      </c>
      <c r="T32" s="558"/>
      <c r="U32" s="188">
        <v>23</v>
      </c>
      <c r="V32" s="188">
        <v>1779.3880232776417</v>
      </c>
      <c r="W32" s="185">
        <f t="shared" si="38"/>
        <v>77.364696664245287</v>
      </c>
      <c r="X32" s="182">
        <f t="shared" si="46"/>
        <v>4</v>
      </c>
      <c r="Y32" s="558"/>
      <c r="Z32" s="188">
        <v>23</v>
      </c>
      <c r="AA32" s="188">
        <v>1779.4477890803412</v>
      </c>
      <c r="AB32" s="185">
        <f t="shared" si="39"/>
        <v>77.367295177406135</v>
      </c>
      <c r="AC32" s="182">
        <f t="shared" si="47"/>
        <v>4</v>
      </c>
      <c r="AD32" s="558"/>
      <c r="AE32" s="188">
        <v>23</v>
      </c>
      <c r="AF32" s="188">
        <v>1779.2030181560956</v>
      </c>
      <c r="AG32" s="185">
        <f t="shared" si="48"/>
        <v>77.356652963308505</v>
      </c>
      <c r="AH32" s="182">
        <f t="shared" si="49"/>
        <v>5</v>
      </c>
      <c r="AI32" s="558"/>
      <c r="AJ32" s="188">
        <v>23</v>
      </c>
      <c r="AK32" s="188">
        <v>1779.452054794521</v>
      </c>
      <c r="AL32" s="185">
        <f t="shared" si="40"/>
        <v>77.367480643240043</v>
      </c>
      <c r="AM32" s="182">
        <f t="shared" si="50"/>
        <v>5</v>
      </c>
      <c r="AN32" s="558"/>
      <c r="AO32" s="188">
        <v>23</v>
      </c>
      <c r="AP32" s="188">
        <v>1779.6933757593288</v>
      </c>
      <c r="AQ32" s="185">
        <f t="shared" si="41"/>
        <v>77.377972859101249</v>
      </c>
      <c r="AR32" s="182">
        <f t="shared" si="51"/>
        <v>4</v>
      </c>
      <c r="AS32" s="558"/>
      <c r="AT32" s="188">
        <v>23</v>
      </c>
      <c r="AU32" s="188">
        <v>1779.6042617960429</v>
      </c>
      <c r="AV32" s="185">
        <f t="shared" si="42"/>
        <v>77.37409833895839</v>
      </c>
      <c r="AW32" s="182">
        <f t="shared" si="52"/>
        <v>5</v>
      </c>
      <c r="AX32" s="558"/>
    </row>
    <row r="33" spans="2:50" ht="14.25" customHeight="1">
      <c r="B33" s="530"/>
      <c r="C33" s="180">
        <v>7</v>
      </c>
      <c r="D33" s="183" t="s">
        <v>215</v>
      </c>
      <c r="E33" s="180">
        <v>22</v>
      </c>
      <c r="F33" s="180">
        <v>2000</v>
      </c>
      <c r="G33" s="185">
        <f t="shared" si="37"/>
        <v>90.909090909090907</v>
      </c>
      <c r="H33" s="558"/>
      <c r="I33" s="186">
        <f t="shared" si="43"/>
        <v>22</v>
      </c>
      <c r="J33" s="186">
        <f t="shared" si="43"/>
        <v>1778.9487589120006</v>
      </c>
      <c r="K33" s="187">
        <f t="shared" si="43"/>
        <v>80.86130722327276</v>
      </c>
      <c r="L33" s="559"/>
      <c r="M33" s="186">
        <f>RANK(K33, K$27:$K$41)</f>
        <v>3</v>
      </c>
      <c r="N33" s="530"/>
      <c r="O33" s="530"/>
      <c r="P33" s="188">
        <v>22</v>
      </c>
      <c r="Q33" s="188">
        <v>1777.5108121095607</v>
      </c>
      <c r="R33" s="185">
        <f t="shared" si="44"/>
        <v>80.795946004980024</v>
      </c>
      <c r="S33" s="182">
        <f t="shared" si="45"/>
        <v>3</v>
      </c>
      <c r="T33" s="558"/>
      <c r="U33" s="188">
        <v>22</v>
      </c>
      <c r="V33" s="188">
        <v>1777.445783132529</v>
      </c>
      <c r="W33" s="185">
        <f t="shared" si="38"/>
        <v>80.79299014238768</v>
      </c>
      <c r="X33" s="182">
        <f t="shared" si="46"/>
        <v>3</v>
      </c>
      <c r="Y33" s="558"/>
      <c r="Z33" s="188">
        <v>22</v>
      </c>
      <c r="AA33" s="188">
        <v>1779.3211488250643</v>
      </c>
      <c r="AB33" s="185">
        <f t="shared" si="39"/>
        <v>80.878234037502921</v>
      </c>
      <c r="AC33" s="182">
        <f t="shared" si="47"/>
        <v>3</v>
      </c>
      <c r="AD33" s="558"/>
      <c r="AE33" s="188">
        <v>22</v>
      </c>
      <c r="AF33" s="188">
        <v>1779.3103448275845</v>
      </c>
      <c r="AG33" s="185">
        <f t="shared" si="48"/>
        <v>80.877742946708381</v>
      </c>
      <c r="AH33" s="182">
        <f t="shared" si="49"/>
        <v>3</v>
      </c>
      <c r="AI33" s="558"/>
      <c r="AJ33" s="188">
        <v>22</v>
      </c>
      <c r="AK33" s="188">
        <v>1779.6354494028906</v>
      </c>
      <c r="AL33" s="185">
        <f t="shared" si="40"/>
        <v>80.892520427404122</v>
      </c>
      <c r="AM33" s="182">
        <f t="shared" si="50"/>
        <v>3</v>
      </c>
      <c r="AN33" s="558"/>
      <c r="AO33" s="188">
        <v>22</v>
      </c>
      <c r="AP33" s="188">
        <v>1779.7499999999995</v>
      </c>
      <c r="AQ33" s="185">
        <f t="shared" si="41"/>
        <v>80.897727272727252</v>
      </c>
      <c r="AR33" s="182">
        <f t="shared" si="51"/>
        <v>3</v>
      </c>
      <c r="AS33" s="558"/>
      <c r="AT33" s="188">
        <v>22</v>
      </c>
      <c r="AU33" s="188">
        <v>1779.6677740863768</v>
      </c>
      <c r="AV33" s="185">
        <f t="shared" si="42"/>
        <v>80.893989731198943</v>
      </c>
      <c r="AW33" s="182">
        <f t="shared" si="52"/>
        <v>3</v>
      </c>
      <c r="AX33" s="558"/>
    </row>
    <row r="34" spans="2:50" ht="14.25" customHeight="1">
      <c r="B34" s="530"/>
      <c r="C34" s="180">
        <v>8</v>
      </c>
      <c r="D34" s="183" t="s">
        <v>216</v>
      </c>
      <c r="E34" s="180">
        <v>20</v>
      </c>
      <c r="F34" s="180">
        <v>2000</v>
      </c>
      <c r="G34" s="185">
        <f t="shared" si="37"/>
        <v>100</v>
      </c>
      <c r="H34" s="558"/>
      <c r="I34" s="186">
        <f t="shared" si="43"/>
        <v>20</v>
      </c>
      <c r="J34" s="186">
        <f t="shared" si="43"/>
        <v>1778.9095555260535</v>
      </c>
      <c r="K34" s="187">
        <f t="shared" si="43"/>
        <v>88.945477776302681</v>
      </c>
      <c r="L34" s="559"/>
      <c r="M34" s="186">
        <f>RANK(K34, K$27:$K$41)</f>
        <v>1</v>
      </c>
      <c r="N34" s="530"/>
      <c r="O34" s="530"/>
      <c r="P34" s="188">
        <v>20</v>
      </c>
      <c r="Q34" s="188">
        <v>1778.0520052886736</v>
      </c>
      <c r="R34" s="185">
        <f t="shared" si="44"/>
        <v>88.902600264433687</v>
      </c>
      <c r="S34" s="182">
        <f t="shared" si="45"/>
        <v>1</v>
      </c>
      <c r="T34" s="558"/>
      <c r="U34" s="188">
        <v>20</v>
      </c>
      <c r="V34" s="188">
        <v>1778.1259993604099</v>
      </c>
      <c r="W34" s="185">
        <f t="shared" si="38"/>
        <v>88.906299968020491</v>
      </c>
      <c r="X34" s="182">
        <f t="shared" si="46"/>
        <v>1</v>
      </c>
      <c r="Y34" s="558"/>
      <c r="Z34" s="188">
        <v>20</v>
      </c>
      <c r="AA34" s="188">
        <v>1779.041095890411</v>
      </c>
      <c r="AB34" s="185">
        <f t="shared" si="39"/>
        <v>88.952054794520549</v>
      </c>
      <c r="AC34" s="182">
        <f t="shared" si="47"/>
        <v>1</v>
      </c>
      <c r="AD34" s="558"/>
      <c r="AE34" s="188">
        <v>20</v>
      </c>
      <c r="AF34" s="188">
        <v>1779.1907514450875</v>
      </c>
      <c r="AG34" s="185">
        <f t="shared" si="48"/>
        <v>88.959537572254376</v>
      </c>
      <c r="AH34" s="182">
        <f t="shared" si="49"/>
        <v>1</v>
      </c>
      <c r="AI34" s="558"/>
      <c r="AJ34" s="188">
        <v>20</v>
      </c>
      <c r="AK34" s="188">
        <v>1779.1699920191541</v>
      </c>
      <c r="AL34" s="185">
        <f t="shared" si="40"/>
        <v>88.958499600957708</v>
      </c>
      <c r="AM34" s="182">
        <f t="shared" si="50"/>
        <v>1</v>
      </c>
      <c r="AN34" s="558"/>
      <c r="AO34" s="188">
        <v>20</v>
      </c>
      <c r="AP34" s="188">
        <v>1779.3599999999994</v>
      </c>
      <c r="AQ34" s="185">
        <f t="shared" si="41"/>
        <v>88.967999999999975</v>
      </c>
      <c r="AR34" s="182">
        <f t="shared" si="51"/>
        <v>1</v>
      </c>
      <c r="AS34" s="558"/>
      <c r="AT34" s="188">
        <v>20</v>
      </c>
      <c r="AU34" s="188">
        <v>1779.42704467864</v>
      </c>
      <c r="AV34" s="185">
        <f t="shared" si="42"/>
        <v>88.971352233931995</v>
      </c>
      <c r="AW34" s="182">
        <f t="shared" si="52"/>
        <v>1</v>
      </c>
      <c r="AX34" s="558"/>
    </row>
    <row r="35" spans="2:50" ht="14.25" customHeight="1">
      <c r="B35" s="530"/>
      <c r="C35" s="180">
        <v>9</v>
      </c>
      <c r="D35" s="183" t="s">
        <v>217</v>
      </c>
      <c r="E35" s="180">
        <v>24</v>
      </c>
      <c r="F35" s="180">
        <v>2000</v>
      </c>
      <c r="G35" s="185">
        <f t="shared" si="37"/>
        <v>83.333333333333329</v>
      </c>
      <c r="H35" s="558"/>
      <c r="I35" s="186">
        <f t="shared" si="43"/>
        <v>24</v>
      </c>
      <c r="J35" s="186">
        <f t="shared" si="43"/>
        <v>1782.252708756482</v>
      </c>
      <c r="K35" s="187">
        <f t="shared" si="43"/>
        <v>74.260529531520078</v>
      </c>
      <c r="L35" s="559"/>
      <c r="M35" s="186">
        <f>RANK(K35, K$27:$K$41)</f>
        <v>6</v>
      </c>
      <c r="N35" s="530"/>
      <c r="O35" s="530"/>
      <c r="P35" s="188">
        <v>24</v>
      </c>
      <c r="Q35" s="188">
        <v>1781.2500000000034</v>
      </c>
      <c r="R35" s="185">
        <f t="shared" si="44"/>
        <v>74.218750000000142</v>
      </c>
      <c r="S35" s="182">
        <f t="shared" si="45"/>
        <v>6</v>
      </c>
      <c r="T35" s="558"/>
      <c r="U35" s="188">
        <v>24</v>
      </c>
      <c r="V35" s="188">
        <v>1782.0179820179837</v>
      </c>
      <c r="W35" s="185">
        <f t="shared" si="38"/>
        <v>74.250749250749323</v>
      </c>
      <c r="X35" s="182">
        <f t="shared" si="46"/>
        <v>6</v>
      </c>
      <c r="Y35" s="558"/>
      <c r="Z35" s="188">
        <v>24</v>
      </c>
      <c r="AA35" s="188">
        <v>1781.899441340782</v>
      </c>
      <c r="AB35" s="185">
        <f t="shared" si="39"/>
        <v>74.245810055865917</v>
      </c>
      <c r="AC35" s="182">
        <f t="shared" si="47"/>
        <v>6</v>
      </c>
      <c r="AD35" s="558"/>
      <c r="AE35" s="188">
        <v>24</v>
      </c>
      <c r="AF35" s="188">
        <v>1782.8244274809122</v>
      </c>
      <c r="AG35" s="185">
        <f t="shared" si="48"/>
        <v>74.284351145038002</v>
      </c>
      <c r="AH35" s="182">
        <f t="shared" si="49"/>
        <v>6</v>
      </c>
      <c r="AI35" s="558"/>
      <c r="AJ35" s="188">
        <v>24</v>
      </c>
      <c r="AK35" s="188">
        <v>1782.3371989295256</v>
      </c>
      <c r="AL35" s="185">
        <f t="shared" si="40"/>
        <v>74.264049955396899</v>
      </c>
      <c r="AM35" s="182">
        <f t="shared" si="50"/>
        <v>6</v>
      </c>
      <c r="AN35" s="558"/>
      <c r="AO35" s="188">
        <v>24</v>
      </c>
      <c r="AP35" s="188">
        <v>1782.7476038338648</v>
      </c>
      <c r="AQ35" s="185">
        <f t="shared" si="41"/>
        <v>74.281150159744371</v>
      </c>
      <c r="AR35" s="182">
        <f t="shared" si="51"/>
        <v>6</v>
      </c>
      <c r="AS35" s="558"/>
      <c r="AT35" s="188">
        <v>24</v>
      </c>
      <c r="AU35" s="188">
        <v>1782.6923076923031</v>
      </c>
      <c r="AV35" s="185">
        <f t="shared" si="42"/>
        <v>74.278846153845961</v>
      </c>
      <c r="AW35" s="182">
        <f t="shared" si="52"/>
        <v>6</v>
      </c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53">U42+1</f>
        <v>46065</v>
      </c>
      <c r="AA42" s="597"/>
      <c r="AB42" s="597"/>
      <c r="AC42" s="597"/>
      <c r="AD42" s="597"/>
      <c r="AE42" s="598">
        <f t="shared" ref="AE42" si="54">Z42+1</f>
        <v>46066</v>
      </c>
      <c r="AF42" s="599"/>
      <c r="AG42" s="599"/>
      <c r="AH42" s="599"/>
      <c r="AI42" s="599"/>
      <c r="AJ42" s="588">
        <f t="shared" ref="AJ42" si="55">AE42+1</f>
        <v>46067</v>
      </c>
      <c r="AK42" s="589"/>
      <c r="AL42" s="589"/>
      <c r="AM42" s="589"/>
      <c r="AN42" s="590"/>
      <c r="AO42" s="598">
        <f t="shared" ref="AO42" si="56">AJ42+1</f>
        <v>46068</v>
      </c>
      <c r="AP42" s="599"/>
      <c r="AQ42" s="599"/>
      <c r="AR42" s="599"/>
      <c r="AS42" s="599"/>
      <c r="AT42" s="588">
        <f t="shared" ref="AT42" si="57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58">Z42</f>
        <v>46065</v>
      </c>
      <c r="AA43" s="591"/>
      <c r="AB43" s="591"/>
      <c r="AC43" s="591"/>
      <c r="AD43" s="591"/>
      <c r="AE43" s="592">
        <f t="shared" ref="AE43" si="59">AE42</f>
        <v>46066</v>
      </c>
      <c r="AF43" s="592"/>
      <c r="AG43" s="592"/>
      <c r="AH43" s="592"/>
      <c r="AI43" s="592"/>
      <c r="AJ43" s="593">
        <f t="shared" ref="AJ43" si="60">AJ42</f>
        <v>46067</v>
      </c>
      <c r="AK43" s="594"/>
      <c r="AL43" s="594"/>
      <c r="AM43" s="594"/>
      <c r="AN43" s="595"/>
      <c r="AO43" s="592">
        <f t="shared" ref="AO43" si="61">AO42</f>
        <v>46068</v>
      </c>
      <c r="AP43" s="592"/>
      <c r="AQ43" s="592"/>
      <c r="AR43" s="592"/>
      <c r="AS43" s="592"/>
      <c r="AT43" s="593">
        <f t="shared" ref="AT43" si="62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530" t="s">
        <v>112</v>
      </c>
      <c r="C47" s="180">
        <v>1</v>
      </c>
      <c r="D47" s="183" t="s">
        <v>209</v>
      </c>
      <c r="E47" s="180">
        <v>21</v>
      </c>
      <c r="F47" s="180">
        <v>2000</v>
      </c>
      <c r="G47" s="185">
        <f t="shared" ref="G47:G55" si="63">F47/E47</f>
        <v>95.238095238095241</v>
      </c>
      <c r="H47" s="558">
        <f>AVERAGE(G47:G61)</f>
        <v>87.414099588012633</v>
      </c>
      <c r="I47" s="186">
        <f>AVERAGE(P47,U47,Z47,AE47,AJ47,AO47,AT47)</f>
        <v>21</v>
      </c>
      <c r="J47" s="186">
        <f>AVERAGE(Q47,V47,AA47,AF47,AK47,AP47,AU47)</f>
        <v>1780.6460596192026</v>
      </c>
      <c r="K47" s="187">
        <f>AVERAGE(R47,W47,AB47,AG47,AL47,AQ47,AV47)</f>
        <v>84.792669505676301</v>
      </c>
      <c r="L47" s="559">
        <f>IFERROR(AVERAGE(K47:K61),"-")</f>
        <v>77.867757470599599</v>
      </c>
      <c r="M47" s="186">
        <f>RANK(K47, K$47:$K$61)</f>
        <v>2</v>
      </c>
      <c r="N47" s="530"/>
      <c r="O47" s="530"/>
      <c r="P47" s="188">
        <v>21</v>
      </c>
      <c r="Q47" s="188">
        <v>1780.1999999999985</v>
      </c>
      <c r="R47" s="185">
        <f>IFERROR(Q47/P47,"")</f>
        <v>84.771428571428501</v>
      </c>
      <c r="S47" s="182">
        <f>RANK(R47, R$47:R$61)</f>
        <v>2</v>
      </c>
      <c r="T47" s="558">
        <f>AVERAGE(R47:R61)</f>
        <v>77.831995079984281</v>
      </c>
      <c r="U47" s="188">
        <v>21</v>
      </c>
      <c r="V47" s="188">
        <v>1780.3921568627459</v>
      </c>
      <c r="W47" s="185">
        <f t="shared" ref="W47:W55" si="64">IFERROR(V47/U47,"")</f>
        <v>84.780578898225997</v>
      </c>
      <c r="X47" s="182">
        <f>RANK(W47, W$47:W$61)</f>
        <v>2</v>
      </c>
      <c r="Y47" s="558">
        <f>AVERAGE(W47:W61)</f>
        <v>77.852371883243009</v>
      </c>
      <c r="Z47" s="188">
        <v>21</v>
      </c>
      <c r="AA47" s="188">
        <v>1780.3186504217424</v>
      </c>
      <c r="AB47" s="185">
        <f t="shared" ref="AB47:AB55" si="65">IFERROR(AA47/Z47,"")</f>
        <v>84.77707859151154</v>
      </c>
      <c r="AC47" s="182">
        <f>RANK(AB47, AB$47:AB$61)</f>
        <v>2</v>
      </c>
      <c r="AD47" s="558">
        <f>AVERAGE(AB47:AB61)</f>
        <v>77.865204869461365</v>
      </c>
      <c r="AE47" s="188">
        <v>21</v>
      </c>
      <c r="AF47" s="188">
        <v>1780.8102345415789</v>
      </c>
      <c r="AG47" s="185">
        <f>IFERROR(AF47/AE47,"")</f>
        <v>84.800487359122798</v>
      </c>
      <c r="AH47" s="182">
        <f>RANK(AG47, AG$47:AG$61)</f>
        <v>2</v>
      </c>
      <c r="AI47" s="558">
        <f>AVERAGE(AG47:AG61)</f>
        <v>77.870456424633176</v>
      </c>
      <c r="AJ47" s="188">
        <v>21</v>
      </c>
      <c r="AK47" s="188">
        <v>1780.7985370313913</v>
      </c>
      <c r="AL47" s="185">
        <f t="shared" ref="AL47:AL55" si="66">IFERROR(AK47/AJ47,"")</f>
        <v>84.799930334828161</v>
      </c>
      <c r="AM47" s="182">
        <f>RANK(AL47, AL$47:AL$61)</f>
        <v>2</v>
      </c>
      <c r="AN47" s="558">
        <f>AVERAGE(AL47:AL61)</f>
        <v>77.882203093171299</v>
      </c>
      <c r="AO47" s="188">
        <v>21</v>
      </c>
      <c r="AP47" s="188">
        <v>1780.8988764044934</v>
      </c>
      <c r="AQ47" s="185">
        <f t="shared" ref="AQ47:AQ55" si="67">IFERROR(AP47/AO47,"")</f>
        <v>84.804708400213968</v>
      </c>
      <c r="AR47" s="182">
        <f>RANK(AQ47, AQ$47:AQ$61)</f>
        <v>2</v>
      </c>
      <c r="AS47" s="558">
        <f>AVERAGE(AQ47:AQ61)</f>
        <v>77.883583305968216</v>
      </c>
      <c r="AT47" s="188">
        <v>21</v>
      </c>
      <c r="AU47" s="188">
        <v>1781.1039620724671</v>
      </c>
      <c r="AV47" s="185">
        <f t="shared" ref="AV47:AV55" si="68">IFERROR(AU47/AT47,"")</f>
        <v>84.814474384403198</v>
      </c>
      <c r="AW47" s="182">
        <f>RANK(AV47, AV$47:AV$61)</f>
        <v>2</v>
      </c>
      <c r="AX47" s="558">
        <f>AVERAGE(AV47:AV61)</f>
        <v>77.888487637735864</v>
      </c>
    </row>
    <row r="48" spans="2:50" ht="14.25" customHeight="1">
      <c r="B48" s="530"/>
      <c r="C48" s="180">
        <v>2</v>
      </c>
      <c r="D48" s="183" t="s">
        <v>210</v>
      </c>
      <c r="E48" s="180">
        <v>25</v>
      </c>
      <c r="F48" s="180">
        <v>2000</v>
      </c>
      <c r="G48" s="185">
        <f t="shared" si="63"/>
        <v>80</v>
      </c>
      <c r="H48" s="558"/>
      <c r="I48" s="186">
        <f t="shared" ref="I48:K55" si="69">AVERAGE(P48,U48,Z48,AE48,AJ48,AO48,AT48)</f>
        <v>25</v>
      </c>
      <c r="J48" s="186">
        <f t="shared" si="69"/>
        <v>1782.7921428517318</v>
      </c>
      <c r="K48" s="187">
        <f t="shared" si="69"/>
        <v>71.311685714069284</v>
      </c>
      <c r="L48" s="559"/>
      <c r="M48" s="186">
        <f>RANK(K48, K$47:$K$61)</f>
        <v>8</v>
      </c>
      <c r="N48" s="530"/>
      <c r="O48" s="530"/>
      <c r="P48" s="188">
        <v>25</v>
      </c>
      <c r="Q48" s="188">
        <v>1782.5506247307203</v>
      </c>
      <c r="R48" s="185">
        <f t="shared" ref="R48:R55" si="70">IFERROR(Q48/P48,"")</f>
        <v>71.302024989228812</v>
      </c>
      <c r="S48" s="182">
        <f t="shared" ref="S48:S55" si="71">RANK(R48, R$47:R$61)</f>
        <v>8</v>
      </c>
      <c r="T48" s="558"/>
      <c r="U48" s="188">
        <v>25</v>
      </c>
      <c r="V48" s="188">
        <v>1782.7657253666209</v>
      </c>
      <c r="W48" s="185">
        <f t="shared" si="64"/>
        <v>71.31062901466484</v>
      </c>
      <c r="X48" s="182">
        <f t="shared" ref="X48:X55" si="72">RANK(W48, W$47:W$61)</f>
        <v>8</v>
      </c>
      <c r="Y48" s="558"/>
      <c r="Z48" s="188">
        <v>25</v>
      </c>
      <c r="AA48" s="188">
        <v>1782.9044117647061</v>
      </c>
      <c r="AB48" s="185">
        <f t="shared" si="65"/>
        <v>71.316176470588246</v>
      </c>
      <c r="AC48" s="182">
        <f t="shared" ref="AC48:AC55" si="73">RANK(AB48, AB$47:AB$61)</f>
        <v>8</v>
      </c>
      <c r="AD48" s="558"/>
      <c r="AE48" s="188">
        <v>25</v>
      </c>
      <c r="AF48" s="188">
        <v>1782.8114590273155</v>
      </c>
      <c r="AG48" s="185">
        <f t="shared" ref="AG48:AG55" si="74">IFERROR(AF48/AE48,"")</f>
        <v>71.312458361092624</v>
      </c>
      <c r="AH48" s="182">
        <f t="shared" ref="AH48:AH55" si="75">RANK(AG48, AG$47:AG$61)</f>
        <v>8</v>
      </c>
      <c r="AI48" s="558"/>
      <c r="AJ48" s="188">
        <v>25</v>
      </c>
      <c r="AK48" s="188">
        <v>1782.8779599271402</v>
      </c>
      <c r="AL48" s="185">
        <f t="shared" si="66"/>
        <v>71.315118397085612</v>
      </c>
      <c r="AM48" s="182">
        <f t="shared" ref="AM48:AM55" si="76">RANK(AL48, AL$47:AL$61)</f>
        <v>8</v>
      </c>
      <c r="AN48" s="558"/>
      <c r="AO48" s="188">
        <v>25</v>
      </c>
      <c r="AP48" s="188">
        <v>1782.7928772258665</v>
      </c>
      <c r="AQ48" s="185">
        <f t="shared" si="67"/>
        <v>71.311715089034664</v>
      </c>
      <c r="AR48" s="182">
        <f t="shared" ref="AR48:AR55" si="77">RANK(AQ48, AQ$47:AQ$61)</f>
        <v>8</v>
      </c>
      <c r="AS48" s="558"/>
      <c r="AT48" s="188">
        <v>25</v>
      </c>
      <c r="AU48" s="188">
        <v>1782.8419419197523</v>
      </c>
      <c r="AV48" s="185">
        <f t="shared" si="68"/>
        <v>71.313677676790093</v>
      </c>
      <c r="AW48" s="182">
        <f t="shared" ref="AW48:AW55" si="78">RANK(AV48, AV$47:AV$61)</f>
        <v>8</v>
      </c>
      <c r="AX48" s="558"/>
    </row>
    <row r="49" spans="2:50" ht="14.25" customHeight="1">
      <c r="B49" s="530"/>
      <c r="C49" s="180">
        <v>3</v>
      </c>
      <c r="D49" s="183" t="s">
        <v>211</v>
      </c>
      <c r="E49" s="180">
        <v>23</v>
      </c>
      <c r="F49" s="180">
        <v>2000</v>
      </c>
      <c r="G49" s="185">
        <f t="shared" si="63"/>
        <v>86.956521739130437</v>
      </c>
      <c r="H49" s="558"/>
      <c r="I49" s="186">
        <f t="shared" si="69"/>
        <v>23</v>
      </c>
      <c r="J49" s="186">
        <f t="shared" si="69"/>
        <v>1780.3399728706192</v>
      </c>
      <c r="K49" s="187">
        <f t="shared" si="69"/>
        <v>77.40608577698346</v>
      </c>
      <c r="L49" s="559"/>
      <c r="M49" s="186">
        <f>RANK(K49, K$47:$K$61)</f>
        <v>4</v>
      </c>
      <c r="N49" s="530"/>
      <c r="O49" s="530"/>
      <c r="P49" s="188">
        <v>23</v>
      </c>
      <c r="Q49" s="188">
        <v>1779.8516520566416</v>
      </c>
      <c r="R49" s="185">
        <f t="shared" si="70"/>
        <v>77.384854437245281</v>
      </c>
      <c r="S49" s="182">
        <f t="shared" si="71"/>
        <v>4</v>
      </c>
      <c r="T49" s="558"/>
      <c r="U49" s="188">
        <v>23</v>
      </c>
      <c r="V49" s="188">
        <v>1779.9256505576202</v>
      </c>
      <c r="W49" s="185">
        <f t="shared" si="64"/>
        <v>77.388071763374796</v>
      </c>
      <c r="X49" s="182">
        <f t="shared" si="72"/>
        <v>5</v>
      </c>
      <c r="Y49" s="558"/>
      <c r="Z49" s="188">
        <v>23</v>
      </c>
      <c r="AA49" s="188">
        <v>1780.1983769161388</v>
      </c>
      <c r="AB49" s="185">
        <f t="shared" si="65"/>
        <v>77.399929431136471</v>
      </c>
      <c r="AC49" s="182">
        <f t="shared" si="73"/>
        <v>4</v>
      </c>
      <c r="AD49" s="558"/>
      <c r="AE49" s="188">
        <v>23</v>
      </c>
      <c r="AF49" s="188">
        <v>1780.5288461538466</v>
      </c>
      <c r="AG49" s="185">
        <f t="shared" si="74"/>
        <v>77.414297658862893</v>
      </c>
      <c r="AH49" s="182">
        <f t="shared" si="75"/>
        <v>4</v>
      </c>
      <c r="AI49" s="558"/>
      <c r="AJ49" s="188">
        <v>23</v>
      </c>
      <c r="AK49" s="188">
        <v>1780.4852865255559</v>
      </c>
      <c r="AL49" s="185">
        <f t="shared" si="66"/>
        <v>77.412403761980698</v>
      </c>
      <c r="AM49" s="182">
        <f t="shared" si="76"/>
        <v>4</v>
      </c>
      <c r="AN49" s="558"/>
      <c r="AO49" s="188">
        <v>23</v>
      </c>
      <c r="AP49" s="188">
        <v>1780.6722689075634</v>
      </c>
      <c r="AQ49" s="185">
        <f t="shared" si="67"/>
        <v>77.420533430763626</v>
      </c>
      <c r="AR49" s="182">
        <f t="shared" si="77"/>
        <v>5</v>
      </c>
      <c r="AS49" s="558"/>
      <c r="AT49" s="188">
        <v>23</v>
      </c>
      <c r="AU49" s="188">
        <v>1780.71772897697</v>
      </c>
      <c r="AV49" s="185">
        <f t="shared" si="68"/>
        <v>77.422509955520439</v>
      </c>
      <c r="AW49" s="182">
        <f t="shared" si="78"/>
        <v>5</v>
      </c>
      <c r="AX49" s="558"/>
    </row>
    <row r="50" spans="2:50" ht="14.25" customHeight="1">
      <c r="B50" s="530"/>
      <c r="C50" s="180">
        <v>4</v>
      </c>
      <c r="D50" s="183" t="s">
        <v>212</v>
      </c>
      <c r="E50" s="180">
        <v>24</v>
      </c>
      <c r="F50" s="180">
        <v>2000</v>
      </c>
      <c r="G50" s="185">
        <f t="shared" si="63"/>
        <v>83.333333333333329</v>
      </c>
      <c r="H50" s="558"/>
      <c r="I50" s="186">
        <f t="shared" si="69"/>
        <v>24</v>
      </c>
      <c r="J50" s="186">
        <f t="shared" si="69"/>
        <v>1781.366476683585</v>
      </c>
      <c r="K50" s="187">
        <f t="shared" si="69"/>
        <v>74.22360319514938</v>
      </c>
      <c r="L50" s="559"/>
      <c r="M50" s="186">
        <f>RANK(K50, K$47:$K$61)</f>
        <v>7</v>
      </c>
      <c r="N50" s="530"/>
      <c r="O50" s="530"/>
      <c r="P50" s="188">
        <v>24</v>
      </c>
      <c r="Q50" s="188">
        <v>1780.5005603287277</v>
      </c>
      <c r="R50" s="185">
        <f t="shared" si="70"/>
        <v>74.187523347030321</v>
      </c>
      <c r="S50" s="182">
        <f t="shared" si="71"/>
        <v>7</v>
      </c>
      <c r="T50" s="558"/>
      <c r="U50" s="188">
        <v>24</v>
      </c>
      <c r="V50" s="188">
        <v>1781.4580031695734</v>
      </c>
      <c r="W50" s="185">
        <f t="shared" si="64"/>
        <v>74.227416798732222</v>
      </c>
      <c r="X50" s="182">
        <f t="shared" si="72"/>
        <v>7</v>
      </c>
      <c r="Y50" s="558"/>
      <c r="Z50" s="188">
        <v>24</v>
      </c>
      <c r="AA50" s="188">
        <v>1781.3857290589467</v>
      </c>
      <c r="AB50" s="185">
        <f t="shared" si="65"/>
        <v>74.224405377456108</v>
      </c>
      <c r="AC50" s="182">
        <f t="shared" si="73"/>
        <v>7</v>
      </c>
      <c r="AD50" s="558"/>
      <c r="AE50" s="188">
        <v>24</v>
      </c>
      <c r="AF50" s="188">
        <v>1781.2844036697286</v>
      </c>
      <c r="AG50" s="185">
        <f t="shared" si="74"/>
        <v>74.220183486238696</v>
      </c>
      <c r="AH50" s="182">
        <f t="shared" si="75"/>
        <v>7</v>
      </c>
      <c r="AI50" s="558"/>
      <c r="AJ50" s="188">
        <v>24</v>
      </c>
      <c r="AK50" s="188">
        <v>1781.9196428571443</v>
      </c>
      <c r="AL50" s="185">
        <f t="shared" si="66"/>
        <v>74.246651785714349</v>
      </c>
      <c r="AM50" s="182">
        <f t="shared" si="76"/>
        <v>7</v>
      </c>
      <c r="AN50" s="558"/>
      <c r="AO50" s="188">
        <v>24</v>
      </c>
      <c r="AP50" s="188">
        <v>1781.6560509554165</v>
      </c>
      <c r="AQ50" s="185">
        <f t="shared" si="67"/>
        <v>74.235668789809026</v>
      </c>
      <c r="AR50" s="182">
        <f t="shared" si="77"/>
        <v>7</v>
      </c>
      <c r="AS50" s="558"/>
      <c r="AT50" s="188">
        <v>24</v>
      </c>
      <c r="AU50" s="188">
        <v>1781.3609467455576</v>
      </c>
      <c r="AV50" s="185">
        <f t="shared" si="68"/>
        <v>74.223372781064896</v>
      </c>
      <c r="AW50" s="182">
        <f t="shared" si="78"/>
        <v>7</v>
      </c>
      <c r="AX50" s="558"/>
    </row>
    <row r="51" spans="2:50" ht="14.25" customHeight="1">
      <c r="B51" s="530"/>
      <c r="C51" s="180">
        <v>5</v>
      </c>
      <c r="D51" s="183" t="s">
        <v>213</v>
      </c>
      <c r="E51" s="180">
        <v>25</v>
      </c>
      <c r="F51" s="180">
        <v>2000</v>
      </c>
      <c r="G51" s="185">
        <f t="shared" si="63"/>
        <v>80</v>
      </c>
      <c r="H51" s="558"/>
      <c r="I51" s="186">
        <f t="shared" si="69"/>
        <v>25</v>
      </c>
      <c r="J51" s="186">
        <f t="shared" si="69"/>
        <v>1781.7690782400148</v>
      </c>
      <c r="K51" s="187">
        <f t="shared" si="69"/>
        <v>71.27076312960061</v>
      </c>
      <c r="L51" s="559"/>
      <c r="M51" s="186">
        <f>RANK(K51, K$47:$K$61)</f>
        <v>9</v>
      </c>
      <c r="N51" s="530"/>
      <c r="O51" s="530"/>
      <c r="P51" s="188">
        <v>25</v>
      </c>
      <c r="Q51" s="188">
        <v>1780.8368408021788</v>
      </c>
      <c r="R51" s="185">
        <f t="shared" si="70"/>
        <v>71.233473632087154</v>
      </c>
      <c r="S51" s="182">
        <f t="shared" si="71"/>
        <v>9</v>
      </c>
      <c r="T51" s="558"/>
      <c r="U51" s="188">
        <v>25</v>
      </c>
      <c r="V51" s="188">
        <v>1781.2778603268937</v>
      </c>
      <c r="W51" s="185">
        <f t="shared" si="64"/>
        <v>71.251114413075754</v>
      </c>
      <c r="X51" s="182">
        <f t="shared" si="72"/>
        <v>9</v>
      </c>
      <c r="Y51" s="558"/>
      <c r="Z51" s="188">
        <v>25</v>
      </c>
      <c r="AA51" s="188">
        <v>1781.6993464052296</v>
      </c>
      <c r="AB51" s="185">
        <f t="shared" si="65"/>
        <v>71.267973856209181</v>
      </c>
      <c r="AC51" s="182">
        <f t="shared" si="73"/>
        <v>9</v>
      </c>
      <c r="AD51" s="558"/>
      <c r="AE51" s="188">
        <v>25</v>
      </c>
      <c r="AF51" s="188">
        <v>1781.6081741448218</v>
      </c>
      <c r="AG51" s="185">
        <f t="shared" si="74"/>
        <v>71.264326965792876</v>
      </c>
      <c r="AH51" s="182">
        <f t="shared" si="75"/>
        <v>9</v>
      </c>
      <c r="AI51" s="558"/>
      <c r="AJ51" s="188">
        <v>25</v>
      </c>
      <c r="AK51" s="188">
        <v>1782.044887780547</v>
      </c>
      <c r="AL51" s="185">
        <f t="shared" si="66"/>
        <v>71.281795511221887</v>
      </c>
      <c r="AM51" s="182">
        <f t="shared" si="76"/>
        <v>9</v>
      </c>
      <c r="AN51" s="558"/>
      <c r="AO51" s="188">
        <v>25</v>
      </c>
      <c r="AP51" s="188">
        <v>1782.2241305281266</v>
      </c>
      <c r="AQ51" s="185">
        <f t="shared" si="67"/>
        <v>71.288965221125068</v>
      </c>
      <c r="AR51" s="182">
        <f t="shared" si="77"/>
        <v>9</v>
      </c>
      <c r="AS51" s="558"/>
      <c r="AT51" s="188">
        <v>25</v>
      </c>
      <c r="AU51" s="188">
        <v>1782.6923076923076</v>
      </c>
      <c r="AV51" s="185">
        <f t="shared" si="68"/>
        <v>71.307692307692307</v>
      </c>
      <c r="AW51" s="182">
        <f t="shared" si="78"/>
        <v>9</v>
      </c>
      <c r="AX51" s="558"/>
    </row>
    <row r="52" spans="2:50" ht="14.25" customHeight="1">
      <c r="B52" s="530"/>
      <c r="C52" s="180">
        <v>6</v>
      </c>
      <c r="D52" s="183" t="s">
        <v>214</v>
      </c>
      <c r="E52" s="180">
        <v>23</v>
      </c>
      <c r="F52" s="180">
        <v>2000</v>
      </c>
      <c r="G52" s="185">
        <f t="shared" si="63"/>
        <v>86.956521739130437</v>
      </c>
      <c r="H52" s="558"/>
      <c r="I52" s="186">
        <f t="shared" si="69"/>
        <v>23</v>
      </c>
      <c r="J52" s="186">
        <f t="shared" si="69"/>
        <v>1780.3131144818326</v>
      </c>
      <c r="K52" s="187">
        <f t="shared" si="69"/>
        <v>77.404918020949239</v>
      </c>
      <c r="L52" s="559"/>
      <c r="M52" s="186">
        <f>RANK(K52, K$47:$K$61)</f>
        <v>5</v>
      </c>
      <c r="N52" s="530"/>
      <c r="O52" s="530"/>
      <c r="P52" s="188">
        <v>23</v>
      </c>
      <c r="Q52" s="188">
        <v>1779.830220713071</v>
      </c>
      <c r="R52" s="185">
        <f t="shared" si="70"/>
        <v>77.383922639698739</v>
      </c>
      <c r="S52" s="182">
        <f t="shared" si="71"/>
        <v>5</v>
      </c>
      <c r="T52" s="558"/>
      <c r="U52" s="188">
        <v>23</v>
      </c>
      <c r="V52" s="188">
        <v>1780.0121138703826</v>
      </c>
      <c r="W52" s="185">
        <f t="shared" si="64"/>
        <v>77.391831037842721</v>
      </c>
      <c r="X52" s="182">
        <f t="shared" si="72"/>
        <v>4</v>
      </c>
      <c r="Y52" s="558"/>
      <c r="Z52" s="188">
        <v>23</v>
      </c>
      <c r="AA52" s="188">
        <v>1779.9907364520611</v>
      </c>
      <c r="AB52" s="185">
        <f t="shared" si="65"/>
        <v>77.390901584872225</v>
      </c>
      <c r="AC52" s="182">
        <f t="shared" si="73"/>
        <v>5</v>
      </c>
      <c r="AD52" s="558"/>
      <c r="AE52" s="188">
        <v>23</v>
      </c>
      <c r="AF52" s="188">
        <v>1780.1592161665669</v>
      </c>
      <c r="AG52" s="185">
        <f t="shared" si="74"/>
        <v>77.398226789850739</v>
      </c>
      <c r="AH52" s="182">
        <f t="shared" si="75"/>
        <v>5</v>
      </c>
      <c r="AI52" s="558"/>
      <c r="AJ52" s="188">
        <v>23</v>
      </c>
      <c r="AK52" s="188">
        <v>1780.4583835946939</v>
      </c>
      <c r="AL52" s="185">
        <f t="shared" si="66"/>
        <v>77.411234069334526</v>
      </c>
      <c r="AM52" s="182">
        <f t="shared" si="76"/>
        <v>5</v>
      </c>
      <c r="AN52" s="558"/>
      <c r="AO52" s="188">
        <v>23</v>
      </c>
      <c r="AP52" s="188">
        <v>1780.7860262008724</v>
      </c>
      <c r="AQ52" s="185">
        <f t="shared" si="67"/>
        <v>77.425479400037929</v>
      </c>
      <c r="AR52" s="182">
        <f t="shared" si="77"/>
        <v>4</v>
      </c>
      <c r="AS52" s="558"/>
      <c r="AT52" s="188">
        <v>23</v>
      </c>
      <c r="AU52" s="188">
        <v>1780.9551043751796</v>
      </c>
      <c r="AV52" s="185">
        <f t="shared" si="68"/>
        <v>77.43283062500781</v>
      </c>
      <c r="AW52" s="182">
        <f t="shared" si="78"/>
        <v>4</v>
      </c>
      <c r="AX52" s="558"/>
    </row>
    <row r="53" spans="2:50" ht="14.25" customHeight="1">
      <c r="B53" s="530"/>
      <c r="C53" s="180">
        <v>7</v>
      </c>
      <c r="D53" s="183" t="s">
        <v>215</v>
      </c>
      <c r="E53" s="180">
        <v>22</v>
      </c>
      <c r="F53" s="180">
        <v>2000</v>
      </c>
      <c r="G53" s="185">
        <f t="shared" si="63"/>
        <v>90.909090909090907</v>
      </c>
      <c r="H53" s="558"/>
      <c r="I53" s="186">
        <f t="shared" si="69"/>
        <v>22</v>
      </c>
      <c r="J53" s="186">
        <f t="shared" si="69"/>
        <v>1781.0448671693416</v>
      </c>
      <c r="K53" s="187">
        <f t="shared" si="69"/>
        <v>80.956584871333718</v>
      </c>
      <c r="L53" s="559"/>
      <c r="M53" s="186">
        <f>RANK(K53, K$47:$K$61)</f>
        <v>3</v>
      </c>
      <c r="N53" s="530"/>
      <c r="O53" s="530"/>
      <c r="P53" s="188">
        <v>22</v>
      </c>
      <c r="Q53" s="188">
        <v>1779.7314854915551</v>
      </c>
      <c r="R53" s="185">
        <f t="shared" si="70"/>
        <v>80.896885704161591</v>
      </c>
      <c r="S53" s="182">
        <f t="shared" si="71"/>
        <v>3</v>
      </c>
      <c r="T53" s="558"/>
      <c r="U53" s="188">
        <v>22</v>
      </c>
      <c r="V53" s="188">
        <v>1780.5213969503218</v>
      </c>
      <c r="W53" s="185">
        <f t="shared" si="64"/>
        <v>80.932790770469168</v>
      </c>
      <c r="X53" s="182">
        <f t="shared" si="72"/>
        <v>3</v>
      </c>
      <c r="Y53" s="558"/>
      <c r="Z53" s="188">
        <v>22</v>
      </c>
      <c r="AA53" s="188">
        <v>1780.9825673534042</v>
      </c>
      <c r="AB53" s="185">
        <f t="shared" si="65"/>
        <v>80.95375306151837</v>
      </c>
      <c r="AC53" s="182">
        <f t="shared" si="73"/>
        <v>3</v>
      </c>
      <c r="AD53" s="558"/>
      <c r="AE53" s="188">
        <v>22</v>
      </c>
      <c r="AF53" s="188">
        <v>1781.3632441760167</v>
      </c>
      <c r="AG53" s="185">
        <f t="shared" si="74"/>
        <v>80.971056553455298</v>
      </c>
      <c r="AH53" s="182">
        <f t="shared" si="75"/>
        <v>3</v>
      </c>
      <c r="AI53" s="558"/>
      <c r="AJ53" s="188">
        <v>22</v>
      </c>
      <c r="AK53" s="188">
        <v>1781.5950920245411</v>
      </c>
      <c r="AL53" s="185">
        <f t="shared" si="66"/>
        <v>80.981595092024591</v>
      </c>
      <c r="AM53" s="182">
        <f t="shared" si="76"/>
        <v>3</v>
      </c>
      <c r="AN53" s="558"/>
      <c r="AO53" s="188">
        <v>22</v>
      </c>
      <c r="AP53" s="188">
        <v>1781.5665651812897</v>
      </c>
      <c r="AQ53" s="185">
        <f t="shared" si="67"/>
        <v>80.980298417331355</v>
      </c>
      <c r="AR53" s="182">
        <f t="shared" si="77"/>
        <v>3</v>
      </c>
      <c r="AS53" s="558"/>
      <c r="AT53" s="188">
        <v>22</v>
      </c>
      <c r="AU53" s="188">
        <v>1781.5537190082648</v>
      </c>
      <c r="AV53" s="185">
        <f t="shared" si="68"/>
        <v>80.979714500375678</v>
      </c>
      <c r="AW53" s="182">
        <f t="shared" si="78"/>
        <v>3</v>
      </c>
      <c r="AX53" s="558"/>
    </row>
    <row r="54" spans="2:50" ht="14.25" customHeight="1">
      <c r="B54" s="530"/>
      <c r="C54" s="180">
        <v>8</v>
      </c>
      <c r="D54" s="183" t="s">
        <v>216</v>
      </c>
      <c r="E54" s="180">
        <v>20</v>
      </c>
      <c r="F54" s="180">
        <v>2000</v>
      </c>
      <c r="G54" s="185">
        <f t="shared" si="63"/>
        <v>100</v>
      </c>
      <c r="H54" s="558"/>
      <c r="I54" s="186">
        <f t="shared" si="69"/>
        <v>20</v>
      </c>
      <c r="J54" s="186">
        <f t="shared" si="69"/>
        <v>1781.6138830478665</v>
      </c>
      <c r="K54" s="187">
        <f t="shared" si="69"/>
        <v>89.08069415239332</v>
      </c>
      <c r="L54" s="559"/>
      <c r="M54" s="186">
        <f>RANK(K54, K$47:$K$61)</f>
        <v>1</v>
      </c>
      <c r="N54" s="530"/>
      <c r="O54" s="530"/>
      <c r="P54" s="188">
        <v>20</v>
      </c>
      <c r="Q54" s="188">
        <v>1780.5755395683448</v>
      </c>
      <c r="R54" s="185">
        <f t="shared" si="70"/>
        <v>89.028776978417241</v>
      </c>
      <c r="S54" s="182">
        <f t="shared" si="71"/>
        <v>1</v>
      </c>
      <c r="T54" s="558"/>
      <c r="U54" s="188">
        <v>20</v>
      </c>
      <c r="V54" s="188">
        <v>1781.0722289260477</v>
      </c>
      <c r="W54" s="185">
        <f t="shared" si="64"/>
        <v>89.053611446302384</v>
      </c>
      <c r="X54" s="182">
        <f t="shared" si="72"/>
        <v>1</v>
      </c>
      <c r="Y54" s="558"/>
      <c r="Z54" s="188">
        <v>20</v>
      </c>
      <c r="AA54" s="188">
        <v>1781.3056379821965</v>
      </c>
      <c r="AB54" s="185">
        <f t="shared" si="65"/>
        <v>89.06528189910982</v>
      </c>
      <c r="AC54" s="182">
        <f t="shared" si="73"/>
        <v>1</v>
      </c>
      <c r="AD54" s="558"/>
      <c r="AE54" s="188">
        <v>20</v>
      </c>
      <c r="AF54" s="188">
        <v>1781.7732773524333</v>
      </c>
      <c r="AG54" s="185">
        <f t="shared" si="74"/>
        <v>89.088663867621662</v>
      </c>
      <c r="AH54" s="182">
        <f t="shared" si="75"/>
        <v>1</v>
      </c>
      <c r="AI54" s="558"/>
      <c r="AJ54" s="188">
        <v>20</v>
      </c>
      <c r="AK54" s="188">
        <v>1781.9454163750881</v>
      </c>
      <c r="AL54" s="185">
        <f t="shared" si="66"/>
        <v>89.09727081875441</v>
      </c>
      <c r="AM54" s="182">
        <f t="shared" si="76"/>
        <v>1</v>
      </c>
      <c r="AN54" s="558"/>
      <c r="AO54" s="188">
        <v>20</v>
      </c>
      <c r="AP54" s="188">
        <v>1782.1860567407102</v>
      </c>
      <c r="AQ54" s="185">
        <f t="shared" si="67"/>
        <v>89.109302837035514</v>
      </c>
      <c r="AR54" s="182">
        <f t="shared" si="77"/>
        <v>1</v>
      </c>
      <c r="AS54" s="558"/>
      <c r="AT54" s="188">
        <v>20</v>
      </c>
      <c r="AU54" s="188">
        <v>1782.4390243902433</v>
      </c>
      <c r="AV54" s="185">
        <f t="shared" si="68"/>
        <v>89.121951219512169</v>
      </c>
      <c r="AW54" s="182">
        <f t="shared" si="78"/>
        <v>1</v>
      </c>
      <c r="AX54" s="558"/>
    </row>
    <row r="55" spans="2:50" ht="14.25" customHeight="1">
      <c r="B55" s="530"/>
      <c r="C55" s="180">
        <v>9</v>
      </c>
      <c r="D55" s="183" t="s">
        <v>217</v>
      </c>
      <c r="E55" s="180">
        <v>24</v>
      </c>
      <c r="F55" s="180">
        <v>2000</v>
      </c>
      <c r="G55" s="185">
        <f t="shared" si="63"/>
        <v>83.333333333333329</v>
      </c>
      <c r="H55" s="558"/>
      <c r="I55" s="186">
        <f t="shared" si="69"/>
        <v>24</v>
      </c>
      <c r="J55" s="186">
        <f t="shared" si="69"/>
        <v>1784.7075088617858</v>
      </c>
      <c r="K55" s="187">
        <f t="shared" si="69"/>
        <v>74.362812869241083</v>
      </c>
      <c r="L55" s="559"/>
      <c r="M55" s="186">
        <f>RANK(K55, K$47:$K$61)</f>
        <v>6</v>
      </c>
      <c r="N55" s="530"/>
      <c r="O55" s="530"/>
      <c r="P55" s="188">
        <v>24</v>
      </c>
      <c r="Q55" s="188">
        <v>1783.1775700934597</v>
      </c>
      <c r="R55" s="185">
        <f t="shared" si="70"/>
        <v>74.299065420560822</v>
      </c>
      <c r="S55" s="182">
        <f t="shared" si="71"/>
        <v>6</v>
      </c>
      <c r="T55" s="558"/>
      <c r="U55" s="188">
        <v>24</v>
      </c>
      <c r="V55" s="188">
        <v>1784.0472673559791</v>
      </c>
      <c r="W55" s="185">
        <f t="shared" si="64"/>
        <v>74.335302806499129</v>
      </c>
      <c r="X55" s="182">
        <f t="shared" si="72"/>
        <v>6</v>
      </c>
      <c r="Y55" s="558"/>
      <c r="Z55" s="188">
        <v>24</v>
      </c>
      <c r="AA55" s="188">
        <v>1785.3922452660067</v>
      </c>
      <c r="AB55" s="185">
        <f t="shared" si="65"/>
        <v>74.391343552750286</v>
      </c>
      <c r="AC55" s="182">
        <f t="shared" si="73"/>
        <v>6</v>
      </c>
      <c r="AD55" s="558"/>
      <c r="AE55" s="188">
        <v>24</v>
      </c>
      <c r="AF55" s="188">
        <v>1784.7457627118633</v>
      </c>
      <c r="AG55" s="185">
        <f t="shared" si="74"/>
        <v>74.364406779660968</v>
      </c>
      <c r="AH55" s="182">
        <f t="shared" si="75"/>
        <v>6</v>
      </c>
      <c r="AI55" s="558"/>
      <c r="AJ55" s="188">
        <v>24</v>
      </c>
      <c r="AK55" s="188">
        <v>1785.4518736223361</v>
      </c>
      <c r="AL55" s="185">
        <f t="shared" si="66"/>
        <v>74.39382806759734</v>
      </c>
      <c r="AM55" s="182">
        <f t="shared" si="76"/>
        <v>6</v>
      </c>
      <c r="AN55" s="558"/>
      <c r="AO55" s="188">
        <v>24</v>
      </c>
      <c r="AP55" s="188">
        <v>1785.0138760407067</v>
      </c>
      <c r="AQ55" s="185">
        <f t="shared" si="67"/>
        <v>74.375578168362779</v>
      </c>
      <c r="AR55" s="182">
        <f t="shared" si="77"/>
        <v>6</v>
      </c>
      <c r="AS55" s="558"/>
      <c r="AT55" s="188">
        <v>24</v>
      </c>
      <c r="AU55" s="188">
        <v>1785.1239669421493</v>
      </c>
      <c r="AV55" s="185">
        <f t="shared" si="68"/>
        <v>74.380165289256226</v>
      </c>
      <c r="AW55" s="182">
        <f t="shared" si="78"/>
        <v>6</v>
      </c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79">U62+1</f>
        <v>46072</v>
      </c>
      <c r="AA62" s="597"/>
      <c r="AB62" s="597"/>
      <c r="AC62" s="597"/>
      <c r="AD62" s="597"/>
      <c r="AE62" s="598">
        <f t="shared" ref="AE62" si="80">Z62+1</f>
        <v>46073</v>
      </c>
      <c r="AF62" s="599"/>
      <c r="AG62" s="599"/>
      <c r="AH62" s="599"/>
      <c r="AI62" s="599"/>
      <c r="AJ62" s="588">
        <f t="shared" ref="AJ62" si="81">AE62+1</f>
        <v>46074</v>
      </c>
      <c r="AK62" s="589"/>
      <c r="AL62" s="589"/>
      <c r="AM62" s="589"/>
      <c r="AN62" s="590"/>
      <c r="AO62" s="598">
        <f t="shared" ref="AO62" si="82">AJ62+1</f>
        <v>46075</v>
      </c>
      <c r="AP62" s="599"/>
      <c r="AQ62" s="599"/>
      <c r="AR62" s="599"/>
      <c r="AS62" s="599"/>
      <c r="AT62" s="588">
        <f t="shared" ref="AT62" si="83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84">Z62</f>
        <v>46072</v>
      </c>
      <c r="AA63" s="591"/>
      <c r="AB63" s="591"/>
      <c r="AC63" s="591"/>
      <c r="AD63" s="591"/>
      <c r="AE63" s="592">
        <f t="shared" ref="AE63" si="85">AE62</f>
        <v>46073</v>
      </c>
      <c r="AF63" s="592"/>
      <c r="AG63" s="592"/>
      <c r="AH63" s="592"/>
      <c r="AI63" s="592"/>
      <c r="AJ63" s="593">
        <f t="shared" ref="AJ63" si="86">AJ62</f>
        <v>46074</v>
      </c>
      <c r="AK63" s="594"/>
      <c r="AL63" s="594"/>
      <c r="AM63" s="594"/>
      <c r="AN63" s="595"/>
      <c r="AO63" s="592">
        <f t="shared" ref="AO63" si="87">AO62</f>
        <v>46075</v>
      </c>
      <c r="AP63" s="592"/>
      <c r="AQ63" s="592"/>
      <c r="AR63" s="592"/>
      <c r="AS63" s="592"/>
      <c r="AT63" s="593">
        <f t="shared" ref="AT63" si="88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530" t="s">
        <v>112</v>
      </c>
      <c r="C67" s="180">
        <v>1</v>
      </c>
      <c r="D67" s="183" t="s">
        <v>209</v>
      </c>
      <c r="E67" s="180">
        <v>21</v>
      </c>
      <c r="F67" s="180">
        <v>2000</v>
      </c>
      <c r="G67" s="185">
        <f t="shared" ref="G67:G75" si="89">F67/E67</f>
        <v>95.238095238095241</v>
      </c>
      <c r="H67" s="558">
        <f>AVERAGE(G67:G81)</f>
        <v>87.414099588012633</v>
      </c>
      <c r="I67" s="186">
        <f>AVERAGE(P67,U67,Z67,AE67,AJ67,AO67,AT67)</f>
        <v>21</v>
      </c>
      <c r="J67" s="186">
        <f>AVERAGE(Q67,V67,AA67,AF67,AK67,AP67,AU67)</f>
        <v>1781.5914220091424</v>
      </c>
      <c r="K67" s="187">
        <f>AVERAGE(R67,W67,AB67,AG67,AL67,AQ67,AV67)</f>
        <v>84.837686762340127</v>
      </c>
      <c r="L67" s="559">
        <f>IFERROR(AVERAGE(K67:K81),"-")</f>
        <v>77.927859212594768</v>
      </c>
      <c r="M67" s="186">
        <f>RANK(K67, K$67:$K$81)</f>
        <v>2</v>
      </c>
      <c r="N67" s="530"/>
      <c r="O67" s="530"/>
      <c r="P67" s="188">
        <v>21</v>
      </c>
      <c r="Q67" s="188">
        <v>1781.2220566318936</v>
      </c>
      <c r="R67" s="185">
        <f>IFERROR(Q67/P67,"")</f>
        <v>84.820097934852072</v>
      </c>
      <c r="S67" s="182">
        <f>RANK(R67, R$67:R$81)</f>
        <v>2</v>
      </c>
      <c r="T67" s="558">
        <f>AVERAGE(R67:R81)</f>
        <v>77.91205277827811</v>
      </c>
      <c r="U67" s="188">
        <v>21</v>
      </c>
      <c r="V67" s="188">
        <v>1781.1546515106186</v>
      </c>
      <c r="W67" s="185">
        <f t="shared" ref="W67:W75" si="90">IFERROR(V67/U67,"")</f>
        <v>84.816888167172308</v>
      </c>
      <c r="X67" s="182">
        <f>RANK(W67, W$67:W$81)</f>
        <v>2</v>
      </c>
      <c r="Y67" s="558">
        <f>AVERAGE(W67:W81)</f>
        <v>77.916130338818022</v>
      </c>
      <c r="Z67" s="188">
        <v>21</v>
      </c>
      <c r="AA67" s="188">
        <v>1781.3641900121811</v>
      </c>
      <c r="AB67" s="185">
        <f t="shared" ref="AB67:AB75" si="91">IFERROR(AA67/Z67,"")</f>
        <v>84.82686619105624</v>
      </c>
      <c r="AC67" s="182">
        <f>RANK(AB67, AB$67:AB$81)</f>
        <v>2</v>
      </c>
      <c r="AD67" s="558">
        <f>AVERAGE(AB67:AB81)</f>
        <v>77.926744731373745</v>
      </c>
      <c r="AE67" s="188">
        <v>21</v>
      </c>
      <c r="AF67" s="188">
        <v>1781.6793893129786</v>
      </c>
      <c r="AG67" s="185">
        <f>IFERROR(AF67/AE67,"")</f>
        <v>84.841875681570414</v>
      </c>
      <c r="AH67" s="182">
        <f>RANK(AG67, AG$67:AG$81)</f>
        <v>2</v>
      </c>
      <c r="AI67" s="558">
        <f>AVERAGE(AG67:AG81)</f>
        <v>77.918778486980003</v>
      </c>
      <c r="AJ67" s="188">
        <v>21</v>
      </c>
      <c r="AK67" s="188">
        <v>1781.933904528762</v>
      </c>
      <c r="AL67" s="185">
        <f t="shared" ref="AL67:AL75" si="92">IFERROR(AK67/AJ67,"")</f>
        <v>84.853995453750571</v>
      </c>
      <c r="AM67" s="182">
        <f>RANK(AL67, AL$67:AL$81)</f>
        <v>2</v>
      </c>
      <c r="AN67" s="558">
        <f>AVERAGE(AL67:AL81)</f>
        <v>77.93850575858265</v>
      </c>
      <c r="AO67" s="188">
        <v>21</v>
      </c>
      <c r="AP67" s="188">
        <v>1781.8959982880394</v>
      </c>
      <c r="AQ67" s="185">
        <f t="shared" ref="AQ67:AQ75" si="93">IFERROR(AP67/AO67,"")</f>
        <v>84.85219039466854</v>
      </c>
      <c r="AR67" s="182">
        <f>RANK(AQ67, AQ$67:AQ$81)</f>
        <v>2</v>
      </c>
      <c r="AS67" s="558">
        <f>AVERAGE(AQ67:AQ81)</f>
        <v>77.938280525710169</v>
      </c>
      <c r="AT67" s="188">
        <v>21</v>
      </c>
      <c r="AU67" s="188">
        <v>1781.889763779526</v>
      </c>
      <c r="AV67" s="185">
        <f t="shared" ref="AV67:AV75" si="94">IFERROR(AU67/AT67,"")</f>
        <v>84.851893513310756</v>
      </c>
      <c r="AW67" s="182">
        <f>RANK(AV67, AV$67:AV$81)</f>
        <v>2</v>
      </c>
      <c r="AX67" s="558">
        <f>AVERAGE(AV67:AV81)</f>
        <v>77.944521868420708</v>
      </c>
    </row>
    <row r="68" spans="2:50" ht="14.25" customHeight="1">
      <c r="B68" s="530"/>
      <c r="C68" s="180">
        <v>2</v>
      </c>
      <c r="D68" s="183" t="s">
        <v>210</v>
      </c>
      <c r="E68" s="180">
        <v>25</v>
      </c>
      <c r="F68" s="180">
        <v>2000</v>
      </c>
      <c r="G68" s="185">
        <f t="shared" si="89"/>
        <v>80</v>
      </c>
      <c r="H68" s="558"/>
      <c r="I68" s="186">
        <f t="shared" ref="I68:K75" si="95">AVERAGE(P68,U68,Z68,AE68,AJ68,AO68,AT68)</f>
        <v>25</v>
      </c>
      <c r="J68" s="186">
        <f t="shared" si="95"/>
        <v>1783.152475728813</v>
      </c>
      <c r="K68" s="187">
        <f t="shared" si="95"/>
        <v>71.326099029152516</v>
      </c>
      <c r="L68" s="559"/>
      <c r="M68" s="186">
        <f>RANK(K68, K$67:$K$81)</f>
        <v>9</v>
      </c>
      <c r="N68" s="530"/>
      <c r="O68" s="530"/>
      <c r="P68" s="188">
        <v>25</v>
      </c>
      <c r="Q68" s="188">
        <v>1782.9607250755291</v>
      </c>
      <c r="R68" s="185">
        <f t="shared" ref="R68:R75" si="96">IFERROR(Q68/P68,"")</f>
        <v>71.318429003021166</v>
      </c>
      <c r="S68" s="182">
        <f t="shared" ref="S68:S75" si="97">RANK(R68, R$67:R$81)</f>
        <v>9</v>
      </c>
      <c r="T68" s="558"/>
      <c r="U68" s="188">
        <v>25</v>
      </c>
      <c r="V68" s="188">
        <v>1783.0508474576257</v>
      </c>
      <c r="W68" s="185">
        <f t="shared" si="90"/>
        <v>71.322033898305023</v>
      </c>
      <c r="X68" s="182">
        <f t="shared" ref="X68:X75" si="98">RANK(W68, W$67:W$81)</f>
        <v>9</v>
      </c>
      <c r="Y68" s="558"/>
      <c r="Z68" s="188">
        <v>25</v>
      </c>
      <c r="AA68" s="188">
        <v>1783.0426939266376</v>
      </c>
      <c r="AB68" s="185">
        <f t="shared" si="91"/>
        <v>71.321707757065511</v>
      </c>
      <c r="AC68" s="182">
        <f t="shared" ref="AC68:AC75" si="99">RANK(AB68, AB$67:AB$81)</f>
        <v>9</v>
      </c>
      <c r="AD68" s="558"/>
      <c r="AE68" s="188">
        <v>25</v>
      </c>
      <c r="AF68" s="188">
        <v>1783.0339676329368</v>
      </c>
      <c r="AG68" s="185">
        <f t="shared" ref="AG68:AG75" si="100">IFERROR(AF68/AE68,"")</f>
        <v>71.321358705317465</v>
      </c>
      <c r="AH68" s="182">
        <f t="shared" ref="AH68:AH75" si="101">RANK(AG68, AG$67:AG$81)</f>
        <v>9</v>
      </c>
      <c r="AI68" s="558"/>
      <c r="AJ68" s="188">
        <v>25</v>
      </c>
      <c r="AK68" s="188">
        <v>1783.2653726961337</v>
      </c>
      <c r="AL68" s="185">
        <f t="shared" si="92"/>
        <v>71.330614907845344</v>
      </c>
      <c r="AM68" s="182">
        <f t="shared" ref="AM68:AM75" si="102">RANK(AL68, AL$67:AL$81)</f>
        <v>9</v>
      </c>
      <c r="AN68" s="558"/>
      <c r="AO68" s="188">
        <v>25</v>
      </c>
      <c r="AP68" s="188">
        <v>1783.3209785025936</v>
      </c>
      <c r="AQ68" s="185">
        <f t="shared" si="93"/>
        <v>71.332839140103744</v>
      </c>
      <c r="AR68" s="182">
        <f t="shared" ref="AR68:AR75" si="103">RANK(AQ68, AQ$67:AQ$81)</f>
        <v>9</v>
      </c>
      <c r="AS68" s="558"/>
      <c r="AT68" s="188">
        <v>25</v>
      </c>
      <c r="AU68" s="188">
        <v>1783.3927448102334</v>
      </c>
      <c r="AV68" s="185">
        <f t="shared" si="94"/>
        <v>71.335709792409332</v>
      </c>
      <c r="AW68" s="182">
        <f t="shared" ref="AW68:AW75" si="104">RANK(AV68, AV$67:AV$81)</f>
        <v>9</v>
      </c>
      <c r="AX68" s="558"/>
    </row>
    <row r="69" spans="2:50" ht="14.25" customHeight="1">
      <c r="B69" s="530"/>
      <c r="C69" s="180">
        <v>3</v>
      </c>
      <c r="D69" s="183" t="s">
        <v>211</v>
      </c>
      <c r="E69" s="180">
        <v>23</v>
      </c>
      <c r="F69" s="180">
        <v>2000</v>
      </c>
      <c r="G69" s="185">
        <f t="shared" si="89"/>
        <v>86.956521739130437</v>
      </c>
      <c r="H69" s="558"/>
      <c r="I69" s="186">
        <f t="shared" si="95"/>
        <v>23</v>
      </c>
      <c r="J69" s="186">
        <f t="shared" si="95"/>
        <v>1781.5041965522439</v>
      </c>
      <c r="K69" s="187">
        <f t="shared" si="95"/>
        <v>77.456704197923656</v>
      </c>
      <c r="L69" s="559"/>
      <c r="M69" s="186">
        <f>RANK(K69, K$67:$K$81)</f>
        <v>5</v>
      </c>
      <c r="N69" s="530"/>
      <c r="O69" s="530"/>
      <c r="P69" s="188">
        <v>23</v>
      </c>
      <c r="Q69" s="188">
        <v>1781.3400758533496</v>
      </c>
      <c r="R69" s="185">
        <f t="shared" si="96"/>
        <v>77.449568515363026</v>
      </c>
      <c r="S69" s="182">
        <f t="shared" si="97"/>
        <v>4</v>
      </c>
      <c r="T69" s="558"/>
      <c r="U69" s="188">
        <v>23</v>
      </c>
      <c r="V69" s="188">
        <v>1781.2832868374339</v>
      </c>
      <c r="W69" s="185">
        <f t="shared" si="90"/>
        <v>77.447099427714519</v>
      </c>
      <c r="X69" s="182">
        <f t="shared" si="98"/>
        <v>5</v>
      </c>
      <c r="Y69" s="558"/>
      <c r="Z69" s="188">
        <v>23</v>
      </c>
      <c r="AA69" s="188">
        <v>1781.5100154083207</v>
      </c>
      <c r="AB69" s="185">
        <f t="shared" si="91"/>
        <v>77.45695719166612</v>
      </c>
      <c r="AC69" s="182">
        <f t="shared" si="99"/>
        <v>4</v>
      </c>
      <c r="AD69" s="558"/>
      <c r="AE69" s="188">
        <v>23</v>
      </c>
      <c r="AF69" s="188">
        <v>1781.5556590591516</v>
      </c>
      <c r="AG69" s="185">
        <f t="shared" si="100"/>
        <v>77.458941698223981</v>
      </c>
      <c r="AH69" s="182">
        <f t="shared" si="101"/>
        <v>4</v>
      </c>
      <c r="AI69" s="558"/>
      <c r="AJ69" s="188">
        <v>23</v>
      </c>
      <c r="AK69" s="188">
        <v>1781.6101348590114</v>
      </c>
      <c r="AL69" s="185">
        <f t="shared" si="92"/>
        <v>77.461310211261363</v>
      </c>
      <c r="AM69" s="182">
        <f t="shared" si="102"/>
        <v>5</v>
      </c>
      <c r="AN69" s="558"/>
      <c r="AO69" s="188">
        <v>23</v>
      </c>
      <c r="AP69" s="188">
        <v>1781.6619614582053</v>
      </c>
      <c r="AQ69" s="185">
        <f t="shared" si="93"/>
        <v>77.463563541661102</v>
      </c>
      <c r="AR69" s="182">
        <f t="shared" si="103"/>
        <v>5</v>
      </c>
      <c r="AS69" s="558"/>
      <c r="AT69" s="188">
        <v>23</v>
      </c>
      <c r="AU69" s="188">
        <v>1781.5682423902363</v>
      </c>
      <c r="AV69" s="185">
        <f t="shared" si="94"/>
        <v>77.459488799575496</v>
      </c>
      <c r="AW69" s="182">
        <f t="shared" si="104"/>
        <v>5</v>
      </c>
      <c r="AX69" s="558"/>
    </row>
    <row r="70" spans="2:50" ht="14.25" customHeight="1">
      <c r="B70" s="530"/>
      <c r="C70" s="180">
        <v>4</v>
      </c>
      <c r="D70" s="183" t="s">
        <v>212</v>
      </c>
      <c r="E70" s="180">
        <v>24</v>
      </c>
      <c r="F70" s="180">
        <v>2000</v>
      </c>
      <c r="G70" s="185">
        <f t="shared" si="89"/>
        <v>83.333333333333329</v>
      </c>
      <c r="H70" s="558"/>
      <c r="I70" s="186">
        <f t="shared" si="95"/>
        <v>24</v>
      </c>
      <c r="J70" s="186">
        <f t="shared" si="95"/>
        <v>1783.7435853645536</v>
      </c>
      <c r="K70" s="187">
        <f t="shared" si="95"/>
        <v>74.322649390189753</v>
      </c>
      <c r="L70" s="559"/>
      <c r="M70" s="186">
        <f>RANK(K70, K$67:$K$81)</f>
        <v>7</v>
      </c>
      <c r="N70" s="530"/>
      <c r="O70" s="530"/>
      <c r="P70" s="188">
        <v>24</v>
      </c>
      <c r="Q70" s="188">
        <v>1783.2000000000005</v>
      </c>
      <c r="R70" s="185">
        <f t="shared" si="96"/>
        <v>74.300000000000026</v>
      </c>
      <c r="S70" s="182">
        <f t="shared" si="97"/>
        <v>7</v>
      </c>
      <c r="T70" s="558"/>
      <c r="U70" s="188">
        <v>24</v>
      </c>
      <c r="V70" s="188">
        <v>1782.9818181818173</v>
      </c>
      <c r="W70" s="185">
        <f t="shared" si="90"/>
        <v>74.290909090909054</v>
      </c>
      <c r="X70" s="182">
        <f t="shared" si="98"/>
        <v>7</v>
      </c>
      <c r="Y70" s="558"/>
      <c r="Z70" s="188">
        <v>24</v>
      </c>
      <c r="AA70" s="188">
        <v>1783.5078534031463</v>
      </c>
      <c r="AB70" s="185">
        <f t="shared" si="91"/>
        <v>74.312827225131102</v>
      </c>
      <c r="AC70" s="182">
        <f t="shared" si="99"/>
        <v>7</v>
      </c>
      <c r="AD70" s="558"/>
      <c r="AE70" s="188">
        <v>24</v>
      </c>
      <c r="AF70" s="188">
        <v>1783.5466179159025</v>
      </c>
      <c r="AG70" s="185">
        <f t="shared" si="100"/>
        <v>74.31444241316261</v>
      </c>
      <c r="AH70" s="182">
        <f t="shared" si="101"/>
        <v>7</v>
      </c>
      <c r="AI70" s="558"/>
      <c r="AJ70" s="188">
        <v>24</v>
      </c>
      <c r="AK70" s="188">
        <v>1784.2323651452293</v>
      </c>
      <c r="AL70" s="185">
        <f t="shared" si="92"/>
        <v>74.34301521438455</v>
      </c>
      <c r="AM70" s="182">
        <f t="shared" si="102"/>
        <v>7</v>
      </c>
      <c r="AN70" s="558"/>
      <c r="AO70" s="188">
        <v>24</v>
      </c>
      <c r="AP70" s="188">
        <v>1784.3283582089557</v>
      </c>
      <c r="AQ70" s="185">
        <f t="shared" si="93"/>
        <v>74.347014925373159</v>
      </c>
      <c r="AR70" s="182">
        <f t="shared" si="103"/>
        <v>6</v>
      </c>
      <c r="AS70" s="558"/>
      <c r="AT70" s="188">
        <v>24</v>
      </c>
      <c r="AU70" s="188">
        <v>1784.408084696825</v>
      </c>
      <c r="AV70" s="185">
        <f t="shared" si="94"/>
        <v>74.350336862367712</v>
      </c>
      <c r="AW70" s="182">
        <f t="shared" si="104"/>
        <v>7</v>
      </c>
      <c r="AX70" s="558"/>
    </row>
    <row r="71" spans="2:50" ht="14.25" customHeight="1">
      <c r="B71" s="530"/>
      <c r="C71" s="180">
        <v>5</v>
      </c>
      <c r="D71" s="183" t="s">
        <v>213</v>
      </c>
      <c r="E71" s="180">
        <v>25</v>
      </c>
      <c r="F71" s="180">
        <v>2000</v>
      </c>
      <c r="G71" s="185">
        <f t="shared" si="89"/>
        <v>80</v>
      </c>
      <c r="H71" s="558"/>
      <c r="I71" s="186">
        <f t="shared" si="95"/>
        <v>25</v>
      </c>
      <c r="J71" s="186">
        <f t="shared" si="95"/>
        <v>1783.8272060453328</v>
      </c>
      <c r="K71" s="187">
        <f t="shared" si="95"/>
        <v>71.35308824181331</v>
      </c>
      <c r="L71" s="559"/>
      <c r="M71" s="186">
        <f>RANK(K71, K$67:$K$81)</f>
        <v>8</v>
      </c>
      <c r="N71" s="530"/>
      <c r="O71" s="530"/>
      <c r="P71" s="188">
        <v>25</v>
      </c>
      <c r="Q71" s="188">
        <v>1783.011235955059</v>
      </c>
      <c r="R71" s="185">
        <f t="shared" si="96"/>
        <v>71.32044943820236</v>
      </c>
      <c r="S71" s="182">
        <f t="shared" si="97"/>
        <v>8</v>
      </c>
      <c r="T71" s="558"/>
      <c r="U71" s="188">
        <v>25</v>
      </c>
      <c r="V71" s="188">
        <v>1783.2435080842731</v>
      </c>
      <c r="W71" s="185">
        <f t="shared" si="90"/>
        <v>71.329740323370928</v>
      </c>
      <c r="X71" s="182">
        <f t="shared" si="98"/>
        <v>8</v>
      </c>
      <c r="Y71" s="558"/>
      <c r="Z71" s="188">
        <v>25</v>
      </c>
      <c r="AA71" s="188">
        <v>1783.394833948342</v>
      </c>
      <c r="AB71" s="185">
        <f t="shared" si="91"/>
        <v>71.335793357933682</v>
      </c>
      <c r="AC71" s="182">
        <f t="shared" si="99"/>
        <v>8</v>
      </c>
      <c r="AD71" s="558"/>
      <c r="AE71" s="188">
        <v>25</v>
      </c>
      <c r="AF71" s="188">
        <v>1783.7559088955718</v>
      </c>
      <c r="AG71" s="185">
        <f t="shared" si="100"/>
        <v>71.350236355822872</v>
      </c>
      <c r="AH71" s="182">
        <f t="shared" si="101"/>
        <v>8</v>
      </c>
      <c r="AI71" s="558"/>
      <c r="AJ71" s="188">
        <v>25</v>
      </c>
      <c r="AK71" s="188">
        <v>1784.5201238390071</v>
      </c>
      <c r="AL71" s="185">
        <f t="shared" si="92"/>
        <v>71.380804953560286</v>
      </c>
      <c r="AM71" s="182">
        <f t="shared" si="102"/>
        <v>8</v>
      </c>
      <c r="AN71" s="558"/>
      <c r="AO71" s="188">
        <v>25</v>
      </c>
      <c r="AP71" s="188">
        <v>1784.4242289771462</v>
      </c>
      <c r="AQ71" s="185">
        <f t="shared" si="93"/>
        <v>71.376969159085846</v>
      </c>
      <c r="AR71" s="182">
        <f t="shared" si="103"/>
        <v>8</v>
      </c>
      <c r="AS71" s="558"/>
      <c r="AT71" s="188">
        <v>25</v>
      </c>
      <c r="AU71" s="188">
        <v>1784.4406026179292</v>
      </c>
      <c r="AV71" s="185">
        <f t="shared" si="94"/>
        <v>71.377624104717171</v>
      </c>
      <c r="AW71" s="182">
        <f t="shared" si="104"/>
        <v>8</v>
      </c>
      <c r="AX71" s="558"/>
    </row>
    <row r="72" spans="2:50" ht="14.25" customHeight="1">
      <c r="B72" s="530"/>
      <c r="C72" s="180">
        <v>6</v>
      </c>
      <c r="D72" s="183" t="s">
        <v>214</v>
      </c>
      <c r="E72" s="180">
        <v>23</v>
      </c>
      <c r="F72" s="180">
        <v>2000</v>
      </c>
      <c r="G72" s="185">
        <f t="shared" si="89"/>
        <v>86.956521739130437</v>
      </c>
      <c r="H72" s="558"/>
      <c r="I72" s="186">
        <f t="shared" si="95"/>
        <v>23</v>
      </c>
      <c r="J72" s="186">
        <f t="shared" si="95"/>
        <v>1781.5303565628731</v>
      </c>
      <c r="K72" s="187">
        <f t="shared" si="95"/>
        <v>77.457841589690133</v>
      </c>
      <c r="L72" s="559"/>
      <c r="M72" s="186">
        <f>RANK(K72, K$67:$K$81)</f>
        <v>4</v>
      </c>
      <c r="N72" s="530"/>
      <c r="O72" s="530"/>
      <c r="P72" s="188">
        <v>23</v>
      </c>
      <c r="Q72" s="188">
        <v>1780.9422975119101</v>
      </c>
      <c r="R72" s="185">
        <f t="shared" si="96"/>
        <v>77.432273804865659</v>
      </c>
      <c r="S72" s="182">
        <f t="shared" si="97"/>
        <v>5</v>
      </c>
      <c r="T72" s="558"/>
      <c r="U72" s="188">
        <v>23</v>
      </c>
      <c r="V72" s="188">
        <v>1781.3407049067034</v>
      </c>
      <c r="W72" s="185">
        <f t="shared" si="90"/>
        <v>77.44959586550884</v>
      </c>
      <c r="X72" s="182">
        <f t="shared" si="98"/>
        <v>4</v>
      </c>
      <c r="Y72" s="558"/>
      <c r="Z72" s="188">
        <v>23</v>
      </c>
      <c r="AA72" s="188">
        <v>1781.350078492937</v>
      </c>
      <c r="AB72" s="185">
        <f t="shared" si="91"/>
        <v>77.450003412736393</v>
      </c>
      <c r="AC72" s="182">
        <f t="shared" si="99"/>
        <v>5</v>
      </c>
      <c r="AD72" s="558"/>
      <c r="AE72" s="188">
        <v>23</v>
      </c>
      <c r="AF72" s="188">
        <v>1781.464530892448</v>
      </c>
      <c r="AG72" s="185">
        <f t="shared" si="100"/>
        <v>77.454979604019485</v>
      </c>
      <c r="AH72" s="182">
        <f t="shared" si="101"/>
        <v>5</v>
      </c>
      <c r="AI72" s="558"/>
      <c r="AJ72" s="188">
        <v>23</v>
      </c>
      <c r="AK72" s="188">
        <v>1781.7919075144523</v>
      </c>
      <c r="AL72" s="185">
        <f t="shared" si="92"/>
        <v>77.469213370193572</v>
      </c>
      <c r="AM72" s="182">
        <f t="shared" si="102"/>
        <v>4</v>
      </c>
      <c r="AN72" s="558"/>
      <c r="AO72" s="188">
        <v>23</v>
      </c>
      <c r="AP72" s="188">
        <v>1781.8289786223281</v>
      </c>
      <c r="AQ72" s="185">
        <f t="shared" si="93"/>
        <v>77.470825157492527</v>
      </c>
      <c r="AR72" s="182">
        <f t="shared" si="103"/>
        <v>4</v>
      </c>
      <c r="AS72" s="558"/>
      <c r="AT72" s="188">
        <v>23</v>
      </c>
      <c r="AU72" s="188">
        <v>1781.9939979993333</v>
      </c>
      <c r="AV72" s="185">
        <f t="shared" si="94"/>
        <v>77.477999913014486</v>
      </c>
      <c r="AW72" s="182">
        <f t="shared" si="104"/>
        <v>4</v>
      </c>
      <c r="AX72" s="558"/>
    </row>
    <row r="73" spans="2:50" ht="14.25" customHeight="1">
      <c r="B73" s="530"/>
      <c r="C73" s="180">
        <v>7</v>
      </c>
      <c r="D73" s="183" t="s">
        <v>215</v>
      </c>
      <c r="E73" s="180">
        <v>22</v>
      </c>
      <c r="F73" s="180">
        <v>2000</v>
      </c>
      <c r="G73" s="185">
        <f t="shared" si="89"/>
        <v>90.909090909090907</v>
      </c>
      <c r="H73" s="558"/>
      <c r="I73" s="186">
        <f t="shared" si="95"/>
        <v>22</v>
      </c>
      <c r="J73" s="186">
        <f t="shared" si="95"/>
        <v>1782.9358713452839</v>
      </c>
      <c r="K73" s="187">
        <f t="shared" si="95"/>
        <v>81.04253960660381</v>
      </c>
      <c r="L73" s="559"/>
      <c r="M73" s="186">
        <f>RANK(K73, K$67:$K$81)</f>
        <v>3</v>
      </c>
      <c r="N73" s="530"/>
      <c r="O73" s="530"/>
      <c r="P73" s="188">
        <v>22</v>
      </c>
      <c r="Q73" s="188">
        <v>1781.8391467281629</v>
      </c>
      <c r="R73" s="185">
        <f t="shared" si="96"/>
        <v>80.992688487643761</v>
      </c>
      <c r="S73" s="182">
        <f t="shared" si="97"/>
        <v>3</v>
      </c>
      <c r="T73" s="558"/>
      <c r="U73" s="188">
        <v>22</v>
      </c>
      <c r="V73" s="188">
        <v>1782.4203821656024</v>
      </c>
      <c r="W73" s="185">
        <f t="shared" si="90"/>
        <v>81.019108280254656</v>
      </c>
      <c r="X73" s="182">
        <f t="shared" si="98"/>
        <v>3</v>
      </c>
      <c r="Y73" s="558"/>
      <c r="Z73" s="188">
        <v>22</v>
      </c>
      <c r="AA73" s="188">
        <v>1782.6187717265375</v>
      </c>
      <c r="AB73" s="185">
        <f t="shared" si="91"/>
        <v>81.028125987569879</v>
      </c>
      <c r="AC73" s="182">
        <f t="shared" si="99"/>
        <v>3</v>
      </c>
      <c r="AD73" s="558"/>
      <c r="AE73" s="188">
        <v>22</v>
      </c>
      <c r="AF73" s="188">
        <v>1782.8812962310676</v>
      </c>
      <c r="AG73" s="185">
        <f t="shared" si="100"/>
        <v>81.040058919593989</v>
      </c>
      <c r="AH73" s="182">
        <f t="shared" si="101"/>
        <v>3</v>
      </c>
      <c r="AI73" s="558"/>
      <c r="AJ73" s="188">
        <v>22</v>
      </c>
      <c r="AK73" s="188">
        <v>1783.3140208574735</v>
      </c>
      <c r="AL73" s="185">
        <f t="shared" si="92"/>
        <v>81.059728220794241</v>
      </c>
      <c r="AM73" s="182">
        <f t="shared" si="102"/>
        <v>3</v>
      </c>
      <c r="AN73" s="558"/>
      <c r="AO73" s="188">
        <v>22</v>
      </c>
      <c r="AP73" s="188">
        <v>1783.6078279403225</v>
      </c>
      <c r="AQ73" s="185">
        <f t="shared" si="93"/>
        <v>81.073083088196483</v>
      </c>
      <c r="AR73" s="182">
        <f t="shared" si="103"/>
        <v>3</v>
      </c>
      <c r="AS73" s="558"/>
      <c r="AT73" s="188">
        <v>22</v>
      </c>
      <c r="AU73" s="188">
        <v>1783.8696537678213</v>
      </c>
      <c r="AV73" s="185">
        <f t="shared" si="94"/>
        <v>81.084984262173691</v>
      </c>
      <c r="AW73" s="182">
        <f t="shared" si="104"/>
        <v>3</v>
      </c>
      <c r="AX73" s="558"/>
    </row>
    <row r="74" spans="2:50" ht="14.25" customHeight="1">
      <c r="B74" s="530"/>
      <c r="C74" s="180">
        <v>8</v>
      </c>
      <c r="D74" s="183" t="s">
        <v>216</v>
      </c>
      <c r="E74" s="180">
        <v>20</v>
      </c>
      <c r="F74" s="180">
        <v>2000</v>
      </c>
      <c r="G74" s="185">
        <f t="shared" si="89"/>
        <v>100</v>
      </c>
      <c r="H74" s="558"/>
      <c r="I74" s="186">
        <f t="shared" si="95"/>
        <v>20</v>
      </c>
      <c r="J74" s="186">
        <f t="shared" si="95"/>
        <v>1783.1793274896652</v>
      </c>
      <c r="K74" s="187">
        <f t="shared" si="95"/>
        <v>89.158966374483271</v>
      </c>
      <c r="L74" s="559"/>
      <c r="M74" s="186">
        <f>RANK(K74, K$67:$K$81)</f>
        <v>1</v>
      </c>
      <c r="N74" s="530"/>
      <c r="O74" s="530"/>
      <c r="P74" s="188">
        <v>20</v>
      </c>
      <c r="Q74" s="188">
        <v>1782.6576986002544</v>
      </c>
      <c r="R74" s="185">
        <f t="shared" si="96"/>
        <v>89.132884930012722</v>
      </c>
      <c r="S74" s="182">
        <f t="shared" si="97"/>
        <v>1</v>
      </c>
      <c r="T74" s="558"/>
      <c r="U74" s="188">
        <v>20</v>
      </c>
      <c r="V74" s="188">
        <v>1782.7228207639553</v>
      </c>
      <c r="W74" s="185">
        <f t="shared" si="90"/>
        <v>89.136141038197763</v>
      </c>
      <c r="X74" s="182">
        <f t="shared" si="98"/>
        <v>1</v>
      </c>
      <c r="Y74" s="558"/>
      <c r="Z74" s="188">
        <v>20</v>
      </c>
      <c r="AA74" s="188">
        <v>1782.8827148983755</v>
      </c>
      <c r="AB74" s="185">
        <f t="shared" si="91"/>
        <v>89.144135744918771</v>
      </c>
      <c r="AC74" s="182">
        <f t="shared" si="99"/>
        <v>1</v>
      </c>
      <c r="AD74" s="558"/>
      <c r="AE74" s="188">
        <v>20</v>
      </c>
      <c r="AF74" s="188">
        <v>1782.8771112405361</v>
      </c>
      <c r="AG74" s="185">
        <f t="shared" si="100"/>
        <v>89.1438555620268</v>
      </c>
      <c r="AH74" s="182">
        <f t="shared" si="101"/>
        <v>1</v>
      </c>
      <c r="AI74" s="558"/>
      <c r="AJ74" s="188">
        <v>20</v>
      </c>
      <c r="AK74" s="188">
        <v>1783.6334462471036</v>
      </c>
      <c r="AL74" s="185">
        <f t="shared" si="92"/>
        <v>89.181672312355175</v>
      </c>
      <c r="AM74" s="182">
        <f t="shared" si="102"/>
        <v>1</v>
      </c>
      <c r="AN74" s="558"/>
      <c r="AO74" s="188">
        <v>20</v>
      </c>
      <c r="AP74" s="188">
        <v>1783.7022132796774</v>
      </c>
      <c r="AQ74" s="185">
        <f t="shared" si="93"/>
        <v>89.185110663983863</v>
      </c>
      <c r="AR74" s="182">
        <f t="shared" si="103"/>
        <v>1</v>
      </c>
      <c r="AS74" s="558"/>
      <c r="AT74" s="188">
        <v>20</v>
      </c>
      <c r="AU74" s="188">
        <v>1783.7792873977546</v>
      </c>
      <c r="AV74" s="185">
        <f t="shared" si="94"/>
        <v>89.188964369887728</v>
      </c>
      <c r="AW74" s="182">
        <f t="shared" si="104"/>
        <v>1</v>
      </c>
      <c r="AX74" s="558"/>
    </row>
    <row r="75" spans="2:50" ht="14.25" customHeight="1">
      <c r="B75" s="530"/>
      <c r="C75" s="180">
        <v>9</v>
      </c>
      <c r="D75" s="183" t="s">
        <v>217</v>
      </c>
      <c r="E75" s="180">
        <v>24</v>
      </c>
      <c r="F75" s="180">
        <v>2000</v>
      </c>
      <c r="G75" s="185">
        <f t="shared" si="89"/>
        <v>83.333333333333329</v>
      </c>
      <c r="H75" s="558"/>
      <c r="I75" s="186">
        <f t="shared" si="95"/>
        <v>24</v>
      </c>
      <c r="J75" s="186">
        <f t="shared" si="95"/>
        <v>1785.4837853077531</v>
      </c>
      <c r="K75" s="187">
        <f t="shared" si="95"/>
        <v>74.39515772115638</v>
      </c>
      <c r="L75" s="559"/>
      <c r="M75" s="186">
        <f>RANK(K75, K$67:$K$81)</f>
        <v>6</v>
      </c>
      <c r="N75" s="530"/>
      <c r="O75" s="530"/>
      <c r="P75" s="188">
        <v>24</v>
      </c>
      <c r="Q75" s="188">
        <v>1786.6099893730136</v>
      </c>
      <c r="R75" s="185">
        <f t="shared" si="96"/>
        <v>74.442082890542238</v>
      </c>
      <c r="S75" s="182">
        <f t="shared" si="97"/>
        <v>6</v>
      </c>
      <c r="T75" s="558"/>
      <c r="U75" s="188">
        <v>24</v>
      </c>
      <c r="V75" s="188">
        <v>1786.4077669902986</v>
      </c>
      <c r="W75" s="185">
        <f t="shared" si="90"/>
        <v>74.433656957929102</v>
      </c>
      <c r="X75" s="182">
        <f t="shared" si="98"/>
        <v>6</v>
      </c>
      <c r="Y75" s="558"/>
      <c r="Z75" s="188">
        <v>24</v>
      </c>
      <c r="AA75" s="188">
        <v>1787.1428571428635</v>
      </c>
      <c r="AB75" s="185">
        <f t="shared" si="91"/>
        <v>74.464285714285978</v>
      </c>
      <c r="AC75" s="182">
        <f t="shared" si="99"/>
        <v>6</v>
      </c>
      <c r="AD75" s="558"/>
      <c r="AE75" s="188">
        <v>24</v>
      </c>
      <c r="AF75" s="188">
        <v>1784.2381786339763</v>
      </c>
      <c r="AG75" s="185">
        <f t="shared" si="100"/>
        <v>74.343257443082351</v>
      </c>
      <c r="AH75" s="182">
        <f t="shared" si="101"/>
        <v>6</v>
      </c>
      <c r="AI75" s="558"/>
      <c r="AJ75" s="188">
        <v>24</v>
      </c>
      <c r="AK75" s="188">
        <v>1784.7887323943683</v>
      </c>
      <c r="AL75" s="185">
        <f t="shared" si="92"/>
        <v>74.366197183098677</v>
      </c>
      <c r="AM75" s="182">
        <f t="shared" si="102"/>
        <v>6</v>
      </c>
      <c r="AN75" s="558"/>
      <c r="AO75" s="188">
        <v>24</v>
      </c>
      <c r="AP75" s="188">
        <v>1784.2302878598316</v>
      </c>
      <c r="AQ75" s="185">
        <f t="shared" si="93"/>
        <v>74.342928660826317</v>
      </c>
      <c r="AR75" s="182">
        <f t="shared" si="103"/>
        <v>7</v>
      </c>
      <c r="AS75" s="558"/>
      <c r="AT75" s="188">
        <v>24</v>
      </c>
      <c r="AU75" s="188">
        <v>1784.9686847599205</v>
      </c>
      <c r="AV75" s="185">
        <f t="shared" si="94"/>
        <v>74.373695198330026</v>
      </c>
      <c r="AW75" s="182">
        <f t="shared" si="104"/>
        <v>6</v>
      </c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558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558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558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558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558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558"/>
      <c r="AT81" s="188"/>
      <c r="AU81" s="188"/>
      <c r="AV81" s="185"/>
      <c r="AW81" s="182"/>
      <c r="AX81" s="558"/>
    </row>
    <row r="82" spans="2:50" ht="14.25" customHeight="1" collapsed="1">
      <c r="B82" s="544" t="s">
        <v>176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60" t="s">
        <v>127</v>
      </c>
      <c r="O82" s="560" t="s">
        <v>77</v>
      </c>
      <c r="P82" s="596">
        <f>AT62+1</f>
        <v>46077</v>
      </c>
      <c r="Q82" s="597"/>
      <c r="R82" s="597"/>
      <c r="S82" s="597"/>
      <c r="T82" s="597"/>
      <c r="U82" s="598">
        <f>P82+1</f>
        <v>46078</v>
      </c>
      <c r="V82" s="599"/>
      <c r="W82" s="599"/>
      <c r="X82" s="599"/>
      <c r="Y82" s="599"/>
      <c r="Z82" s="596">
        <f t="shared" ref="Z82" si="105">U82+1</f>
        <v>46079</v>
      </c>
      <c r="AA82" s="597"/>
      <c r="AB82" s="597"/>
      <c r="AC82" s="597"/>
      <c r="AD82" s="597"/>
      <c r="AE82" s="598">
        <f t="shared" ref="AE82" si="106">Z82+1</f>
        <v>46080</v>
      </c>
      <c r="AF82" s="599"/>
      <c r="AG82" s="599"/>
      <c r="AH82" s="599"/>
      <c r="AI82" s="599"/>
      <c r="AJ82" s="588">
        <f t="shared" ref="AJ82" si="107">AE82+1</f>
        <v>46081</v>
      </c>
      <c r="AK82" s="589"/>
      <c r="AL82" s="589"/>
      <c r="AM82" s="589"/>
      <c r="AN82" s="590"/>
      <c r="AO82" s="598">
        <f t="shared" ref="AO82" si="108">AJ82+1</f>
        <v>46082</v>
      </c>
      <c r="AP82" s="599"/>
      <c r="AQ82" s="599"/>
      <c r="AR82" s="599"/>
      <c r="AS82" s="599"/>
      <c r="AT82" s="588">
        <f t="shared" ref="AT82" si="109">AO82+1</f>
        <v>46083</v>
      </c>
      <c r="AU82" s="589"/>
      <c r="AV82" s="589"/>
      <c r="AW82" s="589"/>
      <c r="AX82" s="590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62"/>
      <c r="O83" s="562"/>
      <c r="P83" s="591">
        <f>P82</f>
        <v>46077</v>
      </c>
      <c r="Q83" s="591"/>
      <c r="R83" s="591"/>
      <c r="S83" s="591"/>
      <c r="T83" s="591"/>
      <c r="U83" s="592">
        <f>U82</f>
        <v>46078</v>
      </c>
      <c r="V83" s="592"/>
      <c r="W83" s="592"/>
      <c r="X83" s="592"/>
      <c r="Y83" s="592"/>
      <c r="Z83" s="591">
        <f t="shared" ref="Z83" si="110">Z82</f>
        <v>46079</v>
      </c>
      <c r="AA83" s="591"/>
      <c r="AB83" s="591"/>
      <c r="AC83" s="591"/>
      <c r="AD83" s="591"/>
      <c r="AE83" s="592">
        <f t="shared" ref="AE83" si="111">AE82</f>
        <v>46080</v>
      </c>
      <c r="AF83" s="592"/>
      <c r="AG83" s="592"/>
      <c r="AH83" s="592"/>
      <c r="AI83" s="592"/>
      <c r="AJ83" s="593">
        <f t="shared" ref="AJ83" si="112">AJ82</f>
        <v>46081</v>
      </c>
      <c r="AK83" s="594"/>
      <c r="AL83" s="594"/>
      <c r="AM83" s="594"/>
      <c r="AN83" s="595"/>
      <c r="AO83" s="592">
        <f t="shared" ref="AO83" si="113">AO82</f>
        <v>46082</v>
      </c>
      <c r="AP83" s="592"/>
      <c r="AQ83" s="592"/>
      <c r="AR83" s="592"/>
      <c r="AS83" s="592"/>
      <c r="AT83" s="593">
        <f t="shared" ref="AT83" si="114">AT82</f>
        <v>46083</v>
      </c>
      <c r="AU83" s="594"/>
      <c r="AV83" s="594"/>
      <c r="AW83" s="594"/>
      <c r="AX83" s="595"/>
    </row>
    <row r="84" spans="2:50" ht="14.25" customHeight="1">
      <c r="B84" s="530" t="s">
        <v>128</v>
      </c>
      <c r="C84" s="530" t="s">
        <v>129</v>
      </c>
      <c r="D84" s="530"/>
      <c r="E84" s="530" t="s">
        <v>130</v>
      </c>
      <c r="F84" s="530"/>
      <c r="G84" s="530"/>
      <c r="H84" s="530" t="s">
        <v>131</v>
      </c>
      <c r="I84" s="553" t="s">
        <v>132</v>
      </c>
      <c r="J84" s="553"/>
      <c r="K84" s="553"/>
      <c r="L84" s="553" t="s">
        <v>131</v>
      </c>
      <c r="M84" s="553" t="s">
        <v>133</v>
      </c>
      <c r="N84" s="530"/>
      <c r="O84" s="530" t="s">
        <v>134</v>
      </c>
      <c r="P84" s="530" t="s">
        <v>135</v>
      </c>
      <c r="Q84" s="530"/>
      <c r="R84" s="530"/>
      <c r="S84" s="530"/>
      <c r="T84" s="530" t="s">
        <v>131</v>
      </c>
      <c r="U84" s="530" t="s">
        <v>135</v>
      </c>
      <c r="V84" s="530"/>
      <c r="W84" s="530"/>
      <c r="X84" s="530"/>
      <c r="Y84" s="530" t="s">
        <v>131</v>
      </c>
      <c r="Z84" s="530" t="s">
        <v>135</v>
      </c>
      <c r="AA84" s="530"/>
      <c r="AB84" s="530"/>
      <c r="AC84" s="530"/>
      <c r="AD84" s="530" t="s">
        <v>131</v>
      </c>
      <c r="AE84" s="530" t="s">
        <v>135</v>
      </c>
      <c r="AF84" s="530"/>
      <c r="AG84" s="530"/>
      <c r="AH84" s="530"/>
      <c r="AI84" s="530" t="s">
        <v>131</v>
      </c>
      <c r="AJ84" s="530" t="s">
        <v>135</v>
      </c>
      <c r="AK84" s="530"/>
      <c r="AL84" s="530"/>
      <c r="AM84" s="530"/>
      <c r="AN84" s="530" t="s">
        <v>131</v>
      </c>
      <c r="AO84" s="530" t="s">
        <v>135</v>
      </c>
      <c r="AP84" s="530"/>
      <c r="AQ84" s="530"/>
      <c r="AR84" s="530"/>
      <c r="AS84" s="530" t="s">
        <v>131</v>
      </c>
      <c r="AT84" s="530" t="s">
        <v>135</v>
      </c>
      <c r="AU84" s="530"/>
      <c r="AV84" s="530"/>
      <c r="AW84" s="530"/>
      <c r="AX84" s="530" t="s">
        <v>131</v>
      </c>
    </row>
    <row r="85" spans="2:50" ht="14.25" customHeight="1">
      <c r="B85" s="530"/>
      <c r="C85" s="530"/>
      <c r="D85" s="530"/>
      <c r="E85" s="530" t="s">
        <v>136</v>
      </c>
      <c r="F85" s="530"/>
      <c r="G85" s="530"/>
      <c r="H85" s="530"/>
      <c r="I85" s="553" t="s">
        <v>136</v>
      </c>
      <c r="J85" s="553"/>
      <c r="K85" s="553"/>
      <c r="L85" s="553"/>
      <c r="M85" s="553"/>
      <c r="N85" s="530"/>
      <c r="O85" s="530"/>
      <c r="P85" s="530" t="s">
        <v>137</v>
      </c>
      <c r="Q85" s="530"/>
      <c r="R85" s="530"/>
      <c r="S85" s="530"/>
      <c r="T85" s="530"/>
      <c r="U85" s="530" t="s">
        <v>137</v>
      </c>
      <c r="V85" s="530"/>
      <c r="W85" s="530"/>
      <c r="X85" s="530"/>
      <c r="Y85" s="530"/>
      <c r="Z85" s="530" t="s">
        <v>137</v>
      </c>
      <c r="AA85" s="530"/>
      <c r="AB85" s="530"/>
      <c r="AC85" s="530"/>
      <c r="AD85" s="530"/>
      <c r="AE85" s="530" t="s">
        <v>137</v>
      </c>
      <c r="AF85" s="530"/>
      <c r="AG85" s="530"/>
      <c r="AH85" s="530"/>
      <c r="AI85" s="530"/>
      <c r="AJ85" s="530" t="s">
        <v>137</v>
      </c>
      <c r="AK85" s="530"/>
      <c r="AL85" s="530"/>
      <c r="AM85" s="530"/>
      <c r="AN85" s="530"/>
      <c r="AO85" s="530" t="s">
        <v>137</v>
      </c>
      <c r="AP85" s="530"/>
      <c r="AQ85" s="530"/>
      <c r="AR85" s="530"/>
      <c r="AS85" s="530"/>
      <c r="AT85" s="530" t="s">
        <v>137</v>
      </c>
      <c r="AU85" s="530"/>
      <c r="AV85" s="530"/>
      <c r="AW85" s="530"/>
      <c r="AX85" s="530"/>
    </row>
    <row r="86" spans="2:50" ht="14.25" customHeight="1">
      <c r="B86" s="530"/>
      <c r="C86" s="530"/>
      <c r="D86" s="530"/>
      <c r="E86" s="180" t="s">
        <v>138</v>
      </c>
      <c r="F86" s="180" t="s">
        <v>139</v>
      </c>
      <c r="G86" s="180" t="s">
        <v>140</v>
      </c>
      <c r="H86" s="530"/>
      <c r="I86" s="181" t="s">
        <v>138</v>
      </c>
      <c r="J86" s="181" t="s">
        <v>139</v>
      </c>
      <c r="K86" s="181" t="s">
        <v>140</v>
      </c>
      <c r="L86" s="553"/>
      <c r="M86" s="553"/>
      <c r="N86" s="530"/>
      <c r="O86" s="530"/>
      <c r="P86" s="180" t="s">
        <v>138</v>
      </c>
      <c r="Q86" s="180" t="s">
        <v>139</v>
      </c>
      <c r="R86" s="180" t="s">
        <v>140</v>
      </c>
      <c r="S86" s="182" t="s">
        <v>133</v>
      </c>
      <c r="T86" s="530"/>
      <c r="U86" s="180" t="s">
        <v>138</v>
      </c>
      <c r="V86" s="180" t="s">
        <v>139</v>
      </c>
      <c r="W86" s="180" t="s">
        <v>140</v>
      </c>
      <c r="X86" s="182" t="s">
        <v>133</v>
      </c>
      <c r="Y86" s="530"/>
      <c r="Z86" s="180" t="s">
        <v>138</v>
      </c>
      <c r="AA86" s="180" t="s">
        <v>139</v>
      </c>
      <c r="AB86" s="180" t="s">
        <v>140</v>
      </c>
      <c r="AC86" s="182" t="s">
        <v>133</v>
      </c>
      <c r="AD86" s="530"/>
      <c r="AE86" s="180" t="s">
        <v>138</v>
      </c>
      <c r="AF86" s="180" t="s">
        <v>139</v>
      </c>
      <c r="AG86" s="180" t="s">
        <v>140</v>
      </c>
      <c r="AH86" s="182" t="s">
        <v>133</v>
      </c>
      <c r="AI86" s="530"/>
      <c r="AJ86" s="180" t="s">
        <v>138</v>
      </c>
      <c r="AK86" s="180" t="s">
        <v>139</v>
      </c>
      <c r="AL86" s="180" t="s">
        <v>140</v>
      </c>
      <c r="AM86" s="182" t="s">
        <v>133</v>
      </c>
      <c r="AN86" s="530"/>
      <c r="AO86" s="180" t="s">
        <v>138</v>
      </c>
      <c r="AP86" s="180" t="s">
        <v>139</v>
      </c>
      <c r="AQ86" s="180" t="s">
        <v>140</v>
      </c>
      <c r="AR86" s="182" t="s">
        <v>133</v>
      </c>
      <c r="AS86" s="530"/>
      <c r="AT86" s="180" t="s">
        <v>138</v>
      </c>
      <c r="AU86" s="180" t="s">
        <v>139</v>
      </c>
      <c r="AV86" s="180" t="s">
        <v>140</v>
      </c>
      <c r="AW86" s="182" t="s">
        <v>133</v>
      </c>
      <c r="AX86" s="530"/>
    </row>
    <row r="87" spans="2:50" ht="14.25" customHeight="1">
      <c r="B87" s="530" t="s">
        <v>112</v>
      </c>
      <c r="C87" s="180">
        <v>1</v>
      </c>
      <c r="D87" s="183" t="s">
        <v>209</v>
      </c>
      <c r="E87" s="180">
        <v>21</v>
      </c>
      <c r="F87" s="180">
        <v>2000</v>
      </c>
      <c r="G87" s="185">
        <f t="shared" ref="G87:G95" si="115">F87/E87</f>
        <v>95.238095238095241</v>
      </c>
      <c r="H87" s="558">
        <f>AVERAGE(G87:G101)</f>
        <v>87.784469958382999</v>
      </c>
      <c r="I87" s="186">
        <f>AVERAGE(P87,U87,Z87,AE87,AJ87,AO87,AT87)</f>
        <v>21</v>
      </c>
      <c r="J87" s="186">
        <f>AVERAGE(Q87,V87,AA87,AF87,AK87,AP87,AU87)</f>
        <v>1782.2501293544603</v>
      </c>
      <c r="K87" s="187">
        <f>AVERAGE(R87,W87,AB87,AG87,AL87,AQ87,AV87)</f>
        <v>84.869053778783822</v>
      </c>
      <c r="L87" s="559">
        <f>IFERROR(AVERAGE(K87:K101),"-")</f>
        <v>78.283793886795436</v>
      </c>
      <c r="M87" s="186">
        <f>RANK(K87, K$87:$K$101)</f>
        <v>2</v>
      </c>
      <c r="N87" s="530"/>
      <c r="O87" s="530"/>
      <c r="P87" s="188">
        <v>21</v>
      </c>
      <c r="Q87" s="188">
        <v>1782.1370874682657</v>
      </c>
      <c r="R87" s="185">
        <f>IFERROR(Q87/P87,"")</f>
        <v>84.863670831822176</v>
      </c>
      <c r="S87" s="182">
        <f>RANK(R87, R$87:R$101)</f>
        <v>2</v>
      </c>
      <c r="T87" s="558">
        <f>AVERAGE(R87:R101)</f>
        <v>78.277597482272441</v>
      </c>
      <c r="U87" s="188">
        <v>21</v>
      </c>
      <c r="V87" s="188">
        <v>1782.0848611838658</v>
      </c>
      <c r="W87" s="185">
        <f t="shared" ref="W87:W95" si="116">IFERROR(V87/U87,"")</f>
        <v>84.861183865898369</v>
      </c>
      <c r="X87" s="182">
        <f>RANK(W87, W$87:W$101)</f>
        <v>2</v>
      </c>
      <c r="Y87" s="558">
        <f>AVERAGE(W87:W101)</f>
        <v>78.28152448562733</v>
      </c>
      <c r="Z87" s="188">
        <v>21</v>
      </c>
      <c r="AA87" s="188">
        <v>1781.9787985865735</v>
      </c>
      <c r="AB87" s="185">
        <f t="shared" ref="AB87:AB95" si="117">IFERROR(AA87/Z87,"")</f>
        <v>84.856133266027314</v>
      </c>
      <c r="AC87" s="182">
        <f>RANK(AB87, AB$87:AB$101)</f>
        <v>2</v>
      </c>
      <c r="AD87" s="558">
        <f>AVERAGE(AB87:AB101)</f>
        <v>78.279949926178929</v>
      </c>
      <c r="AE87" s="188">
        <v>21</v>
      </c>
      <c r="AF87" s="188">
        <v>1782.4183226675634</v>
      </c>
      <c r="AG87" s="185">
        <f>IFERROR(AF87/AE87,"")</f>
        <v>84.877062984169683</v>
      </c>
      <c r="AH87" s="182">
        <f>RANK(AG87, AG$87:AG$101)</f>
        <v>2</v>
      </c>
      <c r="AI87" s="558">
        <f>AVERAGE(AG87:AG101)</f>
        <v>78.283937916750489</v>
      </c>
      <c r="AJ87" s="188">
        <v>21</v>
      </c>
      <c r="AK87" s="188">
        <v>1782.3218332913623</v>
      </c>
      <c r="AL87" s="185">
        <f t="shared" ref="AL87:AL94" si="118">IFERROR(AK87/AJ87,"")</f>
        <v>84.872468251969636</v>
      </c>
      <c r="AM87" s="182">
        <f>RANK(AL87, AL$87:AL$101)</f>
        <v>2</v>
      </c>
      <c r="AN87" s="558">
        <f>AVERAGE(AL87:AL101)</f>
        <v>78.77921006425197</v>
      </c>
      <c r="AO87" s="188">
        <v>21</v>
      </c>
      <c r="AP87" s="188">
        <v>1782.4449988659553</v>
      </c>
      <c r="AQ87" s="185">
        <f t="shared" ref="AQ87:AQ94" si="119">IFERROR(AP87/AO87,"")</f>
        <v>84.878333279331201</v>
      </c>
      <c r="AR87" s="182">
        <f>RANK(AQ87, AQ$87:AQ$101)</f>
        <v>2</v>
      </c>
      <c r="AS87" s="558">
        <f>AVERAGE(AQ87:AQ101)</f>
        <v>78.778387013941952</v>
      </c>
      <c r="AT87" s="188">
        <v>21</v>
      </c>
      <c r="AU87" s="188">
        <v>1782.3650034176349</v>
      </c>
      <c r="AV87" s="185">
        <f t="shared" ref="AV87:AV94" si="120">IFERROR(AU87/AT87,"")</f>
        <v>84.874523972268321</v>
      </c>
      <c r="AW87" s="182">
        <f>RANK(AV87, AV$87:AV$101)</f>
        <v>2</v>
      </c>
      <c r="AX87" s="558">
        <f>AVERAGE(AV87:AV101)</f>
        <v>78.783091305553896</v>
      </c>
    </row>
    <row r="88" spans="2:50" ht="14.25" customHeight="1">
      <c r="B88" s="530"/>
      <c r="C88" s="180">
        <v>2</v>
      </c>
      <c r="D88" s="183" t="s">
        <v>210</v>
      </c>
      <c r="E88" s="180">
        <v>25</v>
      </c>
      <c r="F88" s="180">
        <v>2000</v>
      </c>
      <c r="G88" s="185">
        <f t="shared" si="115"/>
        <v>80</v>
      </c>
      <c r="H88" s="558"/>
      <c r="I88" s="186">
        <f t="shared" ref="I88:K95" si="121">AVERAGE(P88,U88,Z88,AE88,AJ88,AO88,AT88)</f>
        <v>25</v>
      </c>
      <c r="J88" s="186">
        <f t="shared" si="121"/>
        <v>1783.4880597698866</v>
      </c>
      <c r="K88" s="187">
        <f t="shared" si="121"/>
        <v>71.339522390795452</v>
      </c>
      <c r="L88" s="559"/>
      <c r="M88" s="186">
        <f>RANK(K88, K$87:$K$101)</f>
        <v>9</v>
      </c>
      <c r="N88" s="530"/>
      <c r="O88" s="530"/>
      <c r="P88" s="188">
        <v>25</v>
      </c>
      <c r="Q88" s="188">
        <v>1783.4730538922161</v>
      </c>
      <c r="R88" s="185">
        <f t="shared" ref="R88:R95" si="122">IFERROR(Q88/P88,"")</f>
        <v>71.338922155688635</v>
      </c>
      <c r="S88" s="182">
        <f t="shared" ref="S88:S95" si="123">RANK(R88, R$87:R$101)</f>
        <v>9</v>
      </c>
      <c r="T88" s="558"/>
      <c r="U88" s="188">
        <v>25</v>
      </c>
      <c r="V88" s="188">
        <v>1783.4555406382328</v>
      </c>
      <c r="W88" s="185">
        <f t="shared" si="116"/>
        <v>71.338221625529314</v>
      </c>
      <c r="X88" s="182">
        <f t="shared" ref="X88:X95" si="124">RANK(W88, W$87:W$101)</f>
        <v>9</v>
      </c>
      <c r="Y88" s="558"/>
      <c r="Z88" s="188">
        <v>25</v>
      </c>
      <c r="AA88" s="188">
        <v>1783.5091615769015</v>
      </c>
      <c r="AB88" s="185">
        <f t="shared" si="117"/>
        <v>71.340366463076066</v>
      </c>
      <c r="AC88" s="182">
        <f t="shared" ref="AC88:AC95" si="125">RANK(AB88, AB$87:AB$101)</f>
        <v>9</v>
      </c>
      <c r="AD88" s="558"/>
      <c r="AE88" s="188">
        <v>25</v>
      </c>
      <c r="AF88" s="188">
        <v>1783.3516225113649</v>
      </c>
      <c r="AG88" s="185">
        <f t="shared" ref="AG88:AG95" si="126">IFERROR(AF88/AE88,"")</f>
        <v>71.334064900454592</v>
      </c>
      <c r="AH88" s="182">
        <f t="shared" ref="AH88:AH95" si="127">RANK(AG88, AG$87:AG$101)</f>
        <v>9</v>
      </c>
      <c r="AI88" s="558"/>
      <c r="AJ88" s="188">
        <v>25</v>
      </c>
      <c r="AK88" s="188">
        <v>1783.5106382978718</v>
      </c>
      <c r="AL88" s="185">
        <f t="shared" si="118"/>
        <v>71.340425531914875</v>
      </c>
      <c r="AM88" s="182">
        <f t="shared" ref="AM88:AM94" si="128">RANK(AL88, AL$87:AL$101)</f>
        <v>8</v>
      </c>
      <c r="AN88" s="558"/>
      <c r="AO88" s="188">
        <v>25</v>
      </c>
      <c r="AP88" s="188">
        <v>1783.4862385321101</v>
      </c>
      <c r="AQ88" s="185">
        <f t="shared" si="119"/>
        <v>71.339449541284409</v>
      </c>
      <c r="AR88" s="182">
        <f t="shared" ref="AR88:AR94" si="129">RANK(AQ88, AQ$87:AQ$101)</f>
        <v>8</v>
      </c>
      <c r="AS88" s="558"/>
      <c r="AT88" s="188">
        <v>25</v>
      </c>
      <c r="AU88" s="188">
        <v>1783.630162940507</v>
      </c>
      <c r="AV88" s="185">
        <f t="shared" si="120"/>
        <v>71.345206517620284</v>
      </c>
      <c r="AW88" s="182">
        <f t="shared" ref="AW88:AW94" si="130">RANK(AV88, AV$87:AV$101)</f>
        <v>8</v>
      </c>
      <c r="AX88" s="558"/>
    </row>
    <row r="89" spans="2:50" ht="14.25" customHeight="1">
      <c r="B89" s="530"/>
      <c r="C89" s="180">
        <v>3</v>
      </c>
      <c r="D89" s="183" t="s">
        <v>211</v>
      </c>
      <c r="E89" s="180">
        <v>23</v>
      </c>
      <c r="F89" s="180">
        <v>2000</v>
      </c>
      <c r="G89" s="185">
        <f t="shared" si="115"/>
        <v>86.956521739130437</v>
      </c>
      <c r="H89" s="558"/>
      <c r="I89" s="186">
        <f t="shared" si="121"/>
        <v>23</v>
      </c>
      <c r="J89" s="186">
        <f t="shared" si="121"/>
        <v>1781.7736633537672</v>
      </c>
      <c r="K89" s="187">
        <f t="shared" si="121"/>
        <v>77.468420145815955</v>
      </c>
      <c r="L89" s="559"/>
      <c r="M89" s="186">
        <f>RANK(K89, K$87:$K$101)</f>
        <v>5</v>
      </c>
      <c r="N89" s="530"/>
      <c r="O89" s="530"/>
      <c r="P89" s="188">
        <v>23</v>
      </c>
      <c r="Q89" s="188">
        <v>1781.5731501878972</v>
      </c>
      <c r="R89" s="185">
        <f t="shared" si="122"/>
        <v>77.459702182082495</v>
      </c>
      <c r="S89" s="182">
        <f t="shared" si="123"/>
        <v>5</v>
      </c>
      <c r="T89" s="558"/>
      <c r="U89" s="188">
        <v>23</v>
      </c>
      <c r="V89" s="188">
        <v>1781.6274454210375</v>
      </c>
      <c r="W89" s="185">
        <f t="shared" si="116"/>
        <v>77.462062844392932</v>
      </c>
      <c r="X89" s="182">
        <f t="shared" si="124"/>
        <v>5</v>
      </c>
      <c r="Y89" s="558"/>
      <c r="Z89" s="188">
        <v>23</v>
      </c>
      <c r="AA89" s="188">
        <v>1781.818181818182</v>
      </c>
      <c r="AB89" s="185">
        <f t="shared" si="117"/>
        <v>77.470355731225297</v>
      </c>
      <c r="AC89" s="182">
        <f t="shared" si="125"/>
        <v>5</v>
      </c>
      <c r="AD89" s="558"/>
      <c r="AE89" s="188">
        <v>23</v>
      </c>
      <c r="AF89" s="188">
        <v>1781.7820996229395</v>
      </c>
      <c r="AG89" s="185">
        <f t="shared" si="126"/>
        <v>77.468786940127799</v>
      </c>
      <c r="AH89" s="182">
        <f t="shared" si="127"/>
        <v>5</v>
      </c>
      <c r="AI89" s="558"/>
      <c r="AJ89" s="188">
        <v>23</v>
      </c>
      <c r="AK89" s="188">
        <v>1781.8181818181822</v>
      </c>
      <c r="AL89" s="185">
        <f t="shared" si="118"/>
        <v>77.470355731225311</v>
      </c>
      <c r="AM89" s="182">
        <f t="shared" si="128"/>
        <v>5</v>
      </c>
      <c r="AN89" s="558"/>
      <c r="AO89" s="188">
        <v>23</v>
      </c>
      <c r="AP89" s="188">
        <v>1781.7802358342901</v>
      </c>
      <c r="AQ89" s="185">
        <f t="shared" si="119"/>
        <v>77.468705905838704</v>
      </c>
      <c r="AR89" s="182">
        <f t="shared" si="129"/>
        <v>5</v>
      </c>
      <c r="AS89" s="558"/>
      <c r="AT89" s="188">
        <v>23</v>
      </c>
      <c r="AU89" s="188">
        <v>1782.0163487738405</v>
      </c>
      <c r="AV89" s="185">
        <f t="shared" si="120"/>
        <v>77.478971685819147</v>
      </c>
      <c r="AW89" s="182">
        <f t="shared" si="130"/>
        <v>5</v>
      </c>
      <c r="AX89" s="558"/>
    </row>
    <row r="90" spans="2:50" ht="14.25" customHeight="1">
      <c r="B90" s="530"/>
      <c r="C90" s="180">
        <v>4</v>
      </c>
      <c r="D90" s="183" t="s">
        <v>212</v>
      </c>
      <c r="E90" s="180">
        <v>24</v>
      </c>
      <c r="F90" s="180">
        <v>2000</v>
      </c>
      <c r="G90" s="185">
        <f t="shared" si="115"/>
        <v>83.333333333333329</v>
      </c>
      <c r="H90" s="558"/>
      <c r="I90" s="186">
        <f t="shared" si="121"/>
        <v>24</v>
      </c>
      <c r="J90" s="186">
        <f t="shared" si="121"/>
        <v>1784.9125193253587</v>
      </c>
      <c r="K90" s="187">
        <f t="shared" si="121"/>
        <v>74.371354971889943</v>
      </c>
      <c r="L90" s="559"/>
      <c r="M90" s="186">
        <f>RANK(K90, K$87:$K$101)</f>
        <v>6</v>
      </c>
      <c r="N90" s="530"/>
      <c r="O90" s="530"/>
      <c r="P90" s="188">
        <v>24</v>
      </c>
      <c r="Q90" s="188">
        <v>1784.5370664969744</v>
      </c>
      <c r="R90" s="185">
        <f t="shared" si="122"/>
        <v>74.355711104040594</v>
      </c>
      <c r="S90" s="182">
        <f t="shared" si="123"/>
        <v>8</v>
      </c>
      <c r="T90" s="558"/>
      <c r="U90" s="188">
        <v>24</v>
      </c>
      <c r="V90" s="188">
        <v>1784.9145155883323</v>
      </c>
      <c r="W90" s="185">
        <f t="shared" si="116"/>
        <v>74.37143814951385</v>
      </c>
      <c r="X90" s="182">
        <f t="shared" si="124"/>
        <v>7</v>
      </c>
      <c r="Y90" s="558"/>
      <c r="Z90" s="188">
        <v>24</v>
      </c>
      <c r="AA90" s="188">
        <v>1785.1239669421477</v>
      </c>
      <c r="AB90" s="185">
        <f t="shared" si="117"/>
        <v>74.380165289256155</v>
      </c>
      <c r="AC90" s="182">
        <f t="shared" si="125"/>
        <v>6</v>
      </c>
      <c r="AD90" s="558"/>
      <c r="AE90" s="188">
        <v>24</v>
      </c>
      <c r="AF90" s="188">
        <v>1785.1393188854527</v>
      </c>
      <c r="AG90" s="185">
        <f t="shared" si="126"/>
        <v>74.380804953560528</v>
      </c>
      <c r="AH90" s="182">
        <f t="shared" si="127"/>
        <v>6</v>
      </c>
      <c r="AI90" s="558"/>
      <c r="AJ90" s="188">
        <v>24</v>
      </c>
      <c r="AK90" s="188">
        <v>1784.8873177198441</v>
      </c>
      <c r="AL90" s="185">
        <f t="shared" si="118"/>
        <v>74.370304904993503</v>
      </c>
      <c r="AM90" s="182">
        <f t="shared" si="128"/>
        <v>6</v>
      </c>
      <c r="AN90" s="558"/>
      <c r="AO90" s="188">
        <v>24</v>
      </c>
      <c r="AP90" s="188">
        <v>1784.7715736040598</v>
      </c>
      <c r="AQ90" s="185">
        <f t="shared" si="119"/>
        <v>74.36548223350249</v>
      </c>
      <c r="AR90" s="182">
        <f t="shared" si="129"/>
        <v>6</v>
      </c>
      <c r="AS90" s="558"/>
      <c r="AT90" s="188">
        <v>24</v>
      </c>
      <c r="AU90" s="188">
        <v>1785.0138760407012</v>
      </c>
      <c r="AV90" s="185">
        <f t="shared" si="120"/>
        <v>74.375578168362551</v>
      </c>
      <c r="AW90" s="182">
        <f t="shared" si="130"/>
        <v>6</v>
      </c>
      <c r="AX90" s="558"/>
    </row>
    <row r="91" spans="2:50" ht="14.25" customHeight="1">
      <c r="B91" s="530"/>
      <c r="C91" s="180">
        <v>5</v>
      </c>
      <c r="D91" s="183" t="s">
        <v>213</v>
      </c>
      <c r="E91" s="180">
        <v>24</v>
      </c>
      <c r="F91" s="180">
        <v>2000</v>
      </c>
      <c r="G91" s="185">
        <f t="shared" si="115"/>
        <v>83.333333333333329</v>
      </c>
      <c r="H91" s="558"/>
      <c r="I91" s="186">
        <f t="shared" si="121"/>
        <v>24</v>
      </c>
      <c r="J91" s="186">
        <f t="shared" si="121"/>
        <v>1784.6338514438482</v>
      </c>
      <c r="K91" s="187">
        <f t="shared" si="121"/>
        <v>74.359743810160339</v>
      </c>
      <c r="L91" s="559"/>
      <c r="M91" s="186">
        <f>RANK(K91, K$87:$K$101)</f>
        <v>7</v>
      </c>
      <c r="N91" s="530"/>
      <c r="O91" s="530"/>
      <c r="P91" s="188">
        <v>24</v>
      </c>
      <c r="Q91" s="188">
        <v>1784.5640781324437</v>
      </c>
      <c r="R91" s="185">
        <f t="shared" si="122"/>
        <v>74.35683658885182</v>
      </c>
      <c r="S91" s="182">
        <f t="shared" si="123"/>
        <v>7</v>
      </c>
      <c r="T91" s="558"/>
      <c r="U91" s="188">
        <v>24</v>
      </c>
      <c r="V91" s="188">
        <v>1784.6385542168657</v>
      </c>
      <c r="W91" s="185">
        <f t="shared" si="116"/>
        <v>74.359939759036067</v>
      </c>
      <c r="X91" s="182">
        <f t="shared" si="124"/>
        <v>8</v>
      </c>
      <c r="Y91" s="558"/>
      <c r="Z91" s="188">
        <v>24</v>
      </c>
      <c r="AA91" s="188">
        <v>1784.7557003257291</v>
      </c>
      <c r="AB91" s="185">
        <f t="shared" si="117"/>
        <v>74.364820846905374</v>
      </c>
      <c r="AC91" s="182">
        <f t="shared" si="125"/>
        <v>7</v>
      </c>
      <c r="AD91" s="558"/>
      <c r="AE91" s="188">
        <v>24</v>
      </c>
      <c r="AF91" s="188">
        <v>1784.4452125820956</v>
      </c>
      <c r="AG91" s="185">
        <f t="shared" si="126"/>
        <v>74.35188385758731</v>
      </c>
      <c r="AH91" s="182">
        <f t="shared" si="127"/>
        <v>7</v>
      </c>
      <c r="AI91" s="558"/>
      <c r="AJ91" s="188">
        <v>24</v>
      </c>
      <c r="AK91" s="188">
        <v>1784.6251186333448</v>
      </c>
      <c r="AL91" s="185">
        <f t="shared" si="118"/>
        <v>74.359379943056027</v>
      </c>
      <c r="AM91" s="182">
        <f t="shared" si="128"/>
        <v>7</v>
      </c>
      <c r="AN91" s="558"/>
      <c r="AO91" s="188">
        <v>24</v>
      </c>
      <c r="AP91" s="188">
        <v>1784.6153846153843</v>
      </c>
      <c r="AQ91" s="185">
        <f t="shared" si="119"/>
        <v>74.358974358974351</v>
      </c>
      <c r="AR91" s="182">
        <f t="shared" si="129"/>
        <v>7</v>
      </c>
      <c r="AS91" s="558"/>
      <c r="AT91" s="188">
        <v>24</v>
      </c>
      <c r="AU91" s="188">
        <v>1784.7929116010737</v>
      </c>
      <c r="AV91" s="185">
        <f t="shared" si="120"/>
        <v>74.366371316711408</v>
      </c>
      <c r="AW91" s="182">
        <f t="shared" si="130"/>
        <v>7</v>
      </c>
      <c r="AX91" s="558"/>
    </row>
    <row r="92" spans="2:50" ht="14.25" customHeight="1">
      <c r="B92" s="530"/>
      <c r="C92" s="180">
        <v>6</v>
      </c>
      <c r="D92" s="183" t="s">
        <v>214</v>
      </c>
      <c r="E92" s="180">
        <v>23</v>
      </c>
      <c r="F92" s="180">
        <v>2000</v>
      </c>
      <c r="G92" s="185">
        <f t="shared" si="115"/>
        <v>86.956521739130437</v>
      </c>
      <c r="H92" s="558"/>
      <c r="I92" s="186">
        <f t="shared" si="121"/>
        <v>23</v>
      </c>
      <c r="J92" s="186">
        <f t="shared" si="121"/>
        <v>1782.2096298160304</v>
      </c>
      <c r="K92" s="187">
        <f t="shared" si="121"/>
        <v>77.487375209392638</v>
      </c>
      <c r="L92" s="559"/>
      <c r="M92" s="186">
        <f>RANK(K92, K$87:$K$101)</f>
        <v>4</v>
      </c>
      <c r="N92" s="530"/>
      <c r="O92" s="530"/>
      <c r="P92" s="188">
        <v>23</v>
      </c>
      <c r="Q92" s="188">
        <v>1781.9799777530595</v>
      </c>
      <c r="R92" s="185">
        <f t="shared" si="122"/>
        <v>77.477390337089545</v>
      </c>
      <c r="S92" s="182">
        <f t="shared" si="123"/>
        <v>4</v>
      </c>
      <c r="T92" s="558"/>
      <c r="U92" s="188">
        <v>23</v>
      </c>
      <c r="V92" s="188">
        <v>1782.0895522388053</v>
      </c>
      <c r="W92" s="185">
        <f t="shared" si="116"/>
        <v>77.482154445165449</v>
      </c>
      <c r="X92" s="182">
        <f t="shared" si="124"/>
        <v>4</v>
      </c>
      <c r="Y92" s="558"/>
      <c r="Z92" s="188">
        <v>23</v>
      </c>
      <c r="AA92" s="188">
        <v>1782.1646341463409</v>
      </c>
      <c r="AB92" s="185">
        <f t="shared" si="117"/>
        <v>77.485418875927863</v>
      </c>
      <c r="AC92" s="182">
        <f t="shared" si="125"/>
        <v>4</v>
      </c>
      <c r="AD92" s="558"/>
      <c r="AE92" s="188">
        <v>23</v>
      </c>
      <c r="AF92" s="188">
        <v>1782.3199251637029</v>
      </c>
      <c r="AG92" s="185">
        <f t="shared" si="126"/>
        <v>77.492170659291432</v>
      </c>
      <c r="AH92" s="182">
        <f t="shared" si="127"/>
        <v>4</v>
      </c>
      <c r="AI92" s="558"/>
      <c r="AJ92" s="188">
        <v>23</v>
      </c>
      <c r="AK92" s="188">
        <v>1782.2580645161281</v>
      </c>
      <c r="AL92" s="185">
        <f t="shared" si="118"/>
        <v>77.489481065918611</v>
      </c>
      <c r="AM92" s="182">
        <f t="shared" si="128"/>
        <v>4</v>
      </c>
      <c r="AN92" s="558"/>
      <c r="AO92" s="188">
        <v>23</v>
      </c>
      <c r="AP92" s="188">
        <v>1782.2562979189488</v>
      </c>
      <c r="AQ92" s="185">
        <f t="shared" si="119"/>
        <v>77.489404257345598</v>
      </c>
      <c r="AR92" s="182">
        <f t="shared" si="129"/>
        <v>4</v>
      </c>
      <c r="AS92" s="558"/>
      <c r="AT92" s="188">
        <v>23</v>
      </c>
      <c r="AU92" s="188">
        <v>1782.3989569752277</v>
      </c>
      <c r="AV92" s="185">
        <f t="shared" si="120"/>
        <v>77.495606825009901</v>
      </c>
      <c r="AW92" s="182">
        <f t="shared" si="130"/>
        <v>4</v>
      </c>
      <c r="AX92" s="558"/>
    </row>
    <row r="93" spans="2:50" ht="14.25" customHeight="1">
      <c r="B93" s="530"/>
      <c r="C93" s="180">
        <v>7</v>
      </c>
      <c r="D93" s="183" t="s">
        <v>215</v>
      </c>
      <c r="E93" s="180">
        <v>22</v>
      </c>
      <c r="F93" s="180">
        <v>2000</v>
      </c>
      <c r="G93" s="185">
        <f t="shared" si="115"/>
        <v>90.909090909090907</v>
      </c>
      <c r="H93" s="558"/>
      <c r="I93" s="186">
        <f t="shared" si="121"/>
        <v>22</v>
      </c>
      <c r="J93" s="186">
        <f t="shared" si="121"/>
        <v>1784.1206429340968</v>
      </c>
      <c r="K93" s="187">
        <f t="shared" si="121"/>
        <v>81.096392860640748</v>
      </c>
      <c r="L93" s="559"/>
      <c r="M93" s="186">
        <f>RANK(K93, K$87:$K$101)</f>
        <v>3</v>
      </c>
      <c r="N93" s="530"/>
      <c r="O93" s="530"/>
      <c r="P93" s="188">
        <v>22</v>
      </c>
      <c r="Q93" s="188">
        <v>1784.0836012861739</v>
      </c>
      <c r="R93" s="185">
        <f t="shared" si="122"/>
        <v>81.094709149371539</v>
      </c>
      <c r="S93" s="182">
        <f t="shared" si="123"/>
        <v>3</v>
      </c>
      <c r="T93" s="558"/>
      <c r="U93" s="188">
        <v>22</v>
      </c>
      <c r="V93" s="188">
        <v>1784.0166257320993</v>
      </c>
      <c r="W93" s="185">
        <f t="shared" si="116"/>
        <v>81.091664806004516</v>
      </c>
      <c r="X93" s="182">
        <f t="shared" si="124"/>
        <v>3</v>
      </c>
      <c r="Y93" s="558"/>
      <c r="Z93" s="188">
        <v>22</v>
      </c>
      <c r="AA93" s="188">
        <v>1784.0919133893078</v>
      </c>
      <c r="AB93" s="185">
        <f t="shared" si="117"/>
        <v>81.095086972241262</v>
      </c>
      <c r="AC93" s="182">
        <f t="shared" si="125"/>
        <v>3</v>
      </c>
      <c r="AD93" s="558"/>
      <c r="AE93" s="188">
        <v>22</v>
      </c>
      <c r="AF93" s="188">
        <v>1784.0251932436295</v>
      </c>
      <c r="AG93" s="185">
        <f t="shared" si="126"/>
        <v>81.09205423834679</v>
      </c>
      <c r="AH93" s="182">
        <f t="shared" si="127"/>
        <v>3</v>
      </c>
      <c r="AI93" s="558"/>
      <c r="AJ93" s="188">
        <v>22</v>
      </c>
      <c r="AK93" s="188">
        <v>1784.2649006622507</v>
      </c>
      <c r="AL93" s="185">
        <f t="shared" si="118"/>
        <v>81.102950030102306</v>
      </c>
      <c r="AM93" s="182">
        <f t="shared" si="128"/>
        <v>3</v>
      </c>
      <c r="AN93" s="558"/>
      <c r="AO93" s="188">
        <v>22</v>
      </c>
      <c r="AP93" s="188">
        <v>1784.1240875912404</v>
      </c>
      <c r="AQ93" s="185">
        <f t="shared" si="119"/>
        <v>81.096549435965471</v>
      </c>
      <c r="AR93" s="182">
        <f t="shared" si="129"/>
        <v>3</v>
      </c>
      <c r="AS93" s="558"/>
      <c r="AT93" s="188">
        <v>22</v>
      </c>
      <c r="AU93" s="188">
        <v>1784.2381786339747</v>
      </c>
      <c r="AV93" s="185">
        <f t="shared" si="120"/>
        <v>81.101735392453392</v>
      </c>
      <c r="AW93" s="182">
        <f t="shared" si="130"/>
        <v>3</v>
      </c>
      <c r="AX93" s="558"/>
    </row>
    <row r="94" spans="2:50" ht="14.25" customHeight="1">
      <c r="B94" s="530"/>
      <c r="C94" s="180">
        <v>8</v>
      </c>
      <c r="D94" s="183" t="s">
        <v>216</v>
      </c>
      <c r="E94" s="180">
        <v>20</v>
      </c>
      <c r="F94" s="180">
        <v>2000</v>
      </c>
      <c r="G94" s="185">
        <f t="shared" si="115"/>
        <v>100</v>
      </c>
      <c r="H94" s="558"/>
      <c r="I94" s="186">
        <f t="shared" si="121"/>
        <v>20</v>
      </c>
      <c r="J94" s="186">
        <f t="shared" si="121"/>
        <v>1784.2695062691528</v>
      </c>
      <c r="K94" s="187">
        <f t="shared" si="121"/>
        <v>89.213475313457636</v>
      </c>
      <c r="L94" s="559"/>
      <c r="M94" s="186">
        <f>RANK(K94, K$87:$K$101)</f>
        <v>1</v>
      </c>
      <c r="N94" s="530"/>
      <c r="O94" s="530"/>
      <c r="P94" s="188">
        <v>20</v>
      </c>
      <c r="Q94" s="188">
        <v>1783.8805970149256</v>
      </c>
      <c r="R94" s="185">
        <f t="shared" si="122"/>
        <v>89.194029850746276</v>
      </c>
      <c r="S94" s="182">
        <f t="shared" si="123"/>
        <v>1</v>
      </c>
      <c r="T94" s="558"/>
      <c r="U94" s="188">
        <v>20</v>
      </c>
      <c r="V94" s="188">
        <v>1783.9109299043446</v>
      </c>
      <c r="W94" s="185">
        <f t="shared" si="116"/>
        <v>89.195546495217229</v>
      </c>
      <c r="X94" s="182">
        <f t="shared" si="124"/>
        <v>1</v>
      </c>
      <c r="Y94" s="558"/>
      <c r="Z94" s="188">
        <v>20</v>
      </c>
      <c r="AA94" s="188">
        <v>1784.0982546864893</v>
      </c>
      <c r="AB94" s="185">
        <f t="shared" si="117"/>
        <v>89.204912734324466</v>
      </c>
      <c r="AC94" s="182">
        <f t="shared" si="125"/>
        <v>1</v>
      </c>
      <c r="AD94" s="558"/>
      <c r="AE94" s="188">
        <v>20</v>
      </c>
      <c r="AF94" s="188">
        <v>1784.2917878720084</v>
      </c>
      <c r="AG94" s="185">
        <f t="shared" si="126"/>
        <v>89.21458939360042</v>
      </c>
      <c r="AH94" s="182">
        <f t="shared" si="127"/>
        <v>1</v>
      </c>
      <c r="AI94" s="558"/>
      <c r="AJ94" s="188">
        <v>20</v>
      </c>
      <c r="AK94" s="188">
        <v>1784.5663010967114</v>
      </c>
      <c r="AL94" s="185">
        <f t="shared" si="118"/>
        <v>89.228315054835576</v>
      </c>
      <c r="AM94" s="182">
        <f t="shared" si="128"/>
        <v>1</v>
      </c>
      <c r="AN94" s="558"/>
      <c r="AO94" s="188">
        <v>20</v>
      </c>
      <c r="AP94" s="188">
        <v>1784.6039419858685</v>
      </c>
      <c r="AQ94" s="185">
        <f t="shared" si="119"/>
        <v>89.23019709929342</v>
      </c>
      <c r="AR94" s="182">
        <f t="shared" si="129"/>
        <v>1</v>
      </c>
      <c r="AS94" s="558"/>
      <c r="AT94" s="188">
        <v>20</v>
      </c>
      <c r="AU94" s="188">
        <v>1784.5347313237223</v>
      </c>
      <c r="AV94" s="185">
        <f t="shared" si="120"/>
        <v>89.226736566186119</v>
      </c>
      <c r="AW94" s="182">
        <f t="shared" si="130"/>
        <v>1</v>
      </c>
      <c r="AX94" s="558"/>
    </row>
    <row r="95" spans="2:50" ht="14.25" customHeight="1">
      <c r="B95" s="530"/>
      <c r="C95" s="180">
        <v>9</v>
      </c>
      <c r="D95" s="183" t="s">
        <v>217</v>
      </c>
      <c r="E95" s="180">
        <v>24</v>
      </c>
      <c r="F95" s="180">
        <v>2000</v>
      </c>
      <c r="G95" s="185">
        <f t="shared" si="115"/>
        <v>83.333333333333329</v>
      </c>
      <c r="H95" s="558"/>
      <c r="I95" s="186">
        <f t="shared" si="121"/>
        <v>24</v>
      </c>
      <c r="J95" s="186">
        <f t="shared" si="121"/>
        <v>1784.3713560053361</v>
      </c>
      <c r="K95" s="187">
        <f t="shared" si="121"/>
        <v>74.348806500222338</v>
      </c>
      <c r="L95" s="559"/>
      <c r="M95" s="186">
        <f>RANK(K95, K$87:$K$101)</f>
        <v>8</v>
      </c>
      <c r="N95" s="530"/>
      <c r="O95" s="530"/>
      <c r="P95" s="188">
        <v>24</v>
      </c>
      <c r="Q95" s="188">
        <v>1784.5777233782135</v>
      </c>
      <c r="R95" s="185">
        <f t="shared" si="122"/>
        <v>74.3574051407589</v>
      </c>
      <c r="S95" s="182">
        <f t="shared" si="123"/>
        <v>6</v>
      </c>
      <c r="T95" s="558"/>
      <c r="U95" s="188">
        <v>24</v>
      </c>
      <c r="V95" s="188">
        <v>1784.9162011173185</v>
      </c>
      <c r="W95" s="185">
        <f t="shared" si="116"/>
        <v>74.371508379888269</v>
      </c>
      <c r="X95" s="182">
        <f t="shared" si="124"/>
        <v>6</v>
      </c>
      <c r="Y95" s="558"/>
      <c r="Z95" s="188">
        <v>24</v>
      </c>
      <c r="AA95" s="188">
        <v>1783.7349397590365</v>
      </c>
      <c r="AB95" s="185">
        <f t="shared" si="117"/>
        <v>74.322289156626525</v>
      </c>
      <c r="AC95" s="182">
        <f t="shared" si="125"/>
        <v>8</v>
      </c>
      <c r="AD95" s="558"/>
      <c r="AE95" s="188">
        <v>24</v>
      </c>
      <c r="AF95" s="188">
        <v>1784.256559766776</v>
      </c>
      <c r="AG95" s="185">
        <f t="shared" si="126"/>
        <v>74.344023323615673</v>
      </c>
      <c r="AH95" s="182">
        <f t="shared" si="127"/>
        <v>8</v>
      </c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/>
      <c r="AU95" s="188"/>
      <c r="AV95" s="185"/>
      <c r="AW95" s="182"/>
      <c r="AX95" s="558"/>
    </row>
    <row r="96" spans="2:50" ht="14.25" customHeight="1">
      <c r="B96" s="530"/>
      <c r="C96" s="180">
        <v>10</v>
      </c>
      <c r="D96" s="183"/>
      <c r="E96" s="180"/>
      <c r="F96" s="180"/>
      <c r="G96" s="185"/>
      <c r="H96" s="558"/>
      <c r="I96" s="186"/>
      <c r="J96" s="186"/>
      <c r="K96" s="187"/>
      <c r="L96" s="559"/>
      <c r="M96" s="186"/>
      <c r="N96" s="530"/>
      <c r="O96" s="530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/>
      <c r="AU96" s="188"/>
      <c r="AV96" s="185"/>
      <c r="AW96" s="182"/>
      <c r="AX96" s="558"/>
    </row>
    <row r="97" spans="2:50" ht="14.25" customHeight="1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30"/>
      <c r="O97" s="530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 ht="14.25" customHeight="1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30"/>
      <c r="O98" s="530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 ht="14.25" customHeight="1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30"/>
      <c r="O99" s="530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 ht="14.25" customHeight="1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30"/>
      <c r="O100" s="530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 ht="14.25" customHeight="1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30"/>
      <c r="O101" s="530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zoomScaleNormal="100" workbookViewId="0">
      <pane xSplit="13" ySplit="1" topLeftCell="N66" activePane="bottomRight" state="frozen"/>
      <selection pane="bottomRight" activeCell="R99" sqref="R99"/>
      <selection pane="bottomLeft" activeCell="L95" sqref="L95"/>
      <selection pane="topRight" activeCell="L95" sqref="L95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.6">
      <c r="A1" s="74"/>
      <c r="B1" s="371" t="s">
        <v>208</v>
      </c>
      <c r="C1" s="175">
        <f>AVERAGE(L27,L47,L67,L87)</f>
        <v>72.949975663847383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f>AE2+1</f>
        <v>46053</v>
      </c>
      <c r="AK2" s="589"/>
      <c r="AL2" s="589"/>
      <c r="AM2" s="589"/>
      <c r="AN2" s="590"/>
      <c r="AO2" s="598">
        <f t="shared" ref="AO2" si="2">AJ2+1</f>
        <v>46054</v>
      </c>
      <c r="AP2" s="599"/>
      <c r="AQ2" s="599"/>
      <c r="AR2" s="599"/>
      <c r="AS2" s="599"/>
      <c r="AT2" s="588">
        <f t="shared" ref="AT2" si="3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4">Z2</f>
        <v>46051</v>
      </c>
      <c r="AA3" s="591"/>
      <c r="AB3" s="591"/>
      <c r="AC3" s="591"/>
      <c r="AD3" s="591"/>
      <c r="AE3" s="592">
        <f t="shared" ref="AE3" si="5">AE2</f>
        <v>46052</v>
      </c>
      <c r="AF3" s="592"/>
      <c r="AG3" s="592"/>
      <c r="AH3" s="592"/>
      <c r="AI3" s="592"/>
      <c r="AJ3" s="593">
        <f t="shared" ref="AJ3" si="6">AJ2</f>
        <v>46053</v>
      </c>
      <c r="AK3" s="594"/>
      <c r="AL3" s="594"/>
      <c r="AM3" s="594"/>
      <c r="AN3" s="595"/>
      <c r="AO3" s="592">
        <f t="shared" ref="AO3" si="7">AO2</f>
        <v>46054</v>
      </c>
      <c r="AP3" s="592"/>
      <c r="AQ3" s="592"/>
      <c r="AR3" s="592"/>
      <c r="AS3" s="592"/>
      <c r="AT3" s="593">
        <f t="shared" ref="AT3" si="8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 t="s">
        <v>137</v>
      </c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530" t="s">
        <v>218</v>
      </c>
      <c r="C7" s="180">
        <v>1</v>
      </c>
      <c r="D7" s="183" t="s">
        <v>219</v>
      </c>
      <c r="E7" s="180">
        <v>22</v>
      </c>
      <c r="F7" s="180">
        <v>1800</v>
      </c>
      <c r="G7" s="185">
        <f t="shared" ref="G7" si="9">F7/E7</f>
        <v>81.818181818181813</v>
      </c>
      <c r="H7" s="558">
        <f>AVERAGE(G7:G21)</f>
        <v>81.818181818181813</v>
      </c>
      <c r="I7" s="186">
        <f>AVERAGE(P7,U7,Z7,AE7,AJ7,AO7,AT7)</f>
        <v>22</v>
      </c>
      <c r="J7" s="186">
        <f>AVERAGE(Q7,V7,AA7,AF7,AK7,AP7,AU7)</f>
        <v>1604.0565389421931</v>
      </c>
      <c r="K7" s="187">
        <f>AVERAGE(R7,W7,AB7,AG7,AL7,AQ7,AV7)</f>
        <v>72.911660861008784</v>
      </c>
      <c r="L7" s="559">
        <f>IFERROR(AVERAGE(K7:K21),"-")</f>
        <v>72.911660861008784</v>
      </c>
      <c r="M7" s="186">
        <f>RANK(K7, K$7:$K$21)</f>
        <v>1</v>
      </c>
      <c r="N7" s="530"/>
      <c r="O7" s="530"/>
      <c r="P7" s="188">
        <v>22</v>
      </c>
      <c r="Q7" s="188">
        <v>1603.683453237411</v>
      </c>
      <c r="R7" s="185">
        <f>IFERROR(Q7/P7,"")</f>
        <v>72.894702419882321</v>
      </c>
      <c r="S7" s="182">
        <f>RANK(R7, R$7:R$21)</f>
        <v>1</v>
      </c>
      <c r="T7" s="558">
        <f>AVERAGE(R7:R21)</f>
        <v>72.894702419882321</v>
      </c>
      <c r="U7" s="188">
        <v>22</v>
      </c>
      <c r="V7" s="188">
        <v>1604.0404040404037</v>
      </c>
      <c r="W7" s="185">
        <f t="shared" ref="W7" si="10">IFERROR(V7/U7,"")</f>
        <v>72.910927456381984</v>
      </c>
      <c r="X7" s="182">
        <f>RANK(W7, W$7:W$21)</f>
        <v>1</v>
      </c>
      <c r="Y7" s="558">
        <f>AVERAGE(W7:W21)</f>
        <v>72.910927456381984</v>
      </c>
      <c r="Z7" s="188">
        <v>22</v>
      </c>
      <c r="AA7" s="188">
        <v>1604.1450777202076</v>
      </c>
      <c r="AB7" s="185">
        <f t="shared" ref="AB7" si="11">IFERROR(AA7/Z7,"")</f>
        <v>72.915685350918523</v>
      </c>
      <c r="AC7" s="182">
        <f>RANK(AB7, AB$7:AB$21)</f>
        <v>1</v>
      </c>
      <c r="AD7" s="558">
        <f>AVERAGE(AB7:AB21)</f>
        <v>72.915685350918523</v>
      </c>
      <c r="AE7" s="188">
        <v>22</v>
      </c>
      <c r="AF7" s="188">
        <v>1604.2238648363266</v>
      </c>
      <c r="AG7" s="185">
        <f>IFERROR(AF7/AE7,"")</f>
        <v>72.919266583469394</v>
      </c>
      <c r="AH7" s="182">
        <f>RANK(AG7, AG$7:AG$21)</f>
        <v>1</v>
      </c>
      <c r="AI7" s="558">
        <f>AVERAGE(AG7:AG21)</f>
        <v>72.919266583469394</v>
      </c>
      <c r="AJ7" s="188">
        <v>22</v>
      </c>
      <c r="AK7" s="188">
        <v>1604.1067761806994</v>
      </c>
      <c r="AL7" s="185">
        <f t="shared" ref="AL7" si="12">IFERROR(AK7/AJ7,"")</f>
        <v>72.913944371849979</v>
      </c>
      <c r="AM7" s="182">
        <f>RANK(AL7, AL$7:AL$21)</f>
        <v>1</v>
      </c>
      <c r="AN7" s="558">
        <f>AVERAGE(AL7:AL21)</f>
        <v>72.913944371849979</v>
      </c>
      <c r="AO7" s="188">
        <v>22</v>
      </c>
      <c r="AP7" s="188">
        <v>1604.0560691917688</v>
      </c>
      <c r="AQ7" s="185">
        <f t="shared" ref="AQ7" si="13">IFERROR(AP7/AO7,"")</f>
        <v>72.91163950871676</v>
      </c>
      <c r="AR7" s="182">
        <f>RANK(AQ7, AQ$7:AQ$21)</f>
        <v>1</v>
      </c>
      <c r="AS7" s="558">
        <f>AVERAGE(AQ7:AQ21)</f>
        <v>72.91163950871676</v>
      </c>
      <c r="AT7" s="188">
        <v>22</v>
      </c>
      <c r="AU7" s="188">
        <v>1604.1401273885353</v>
      </c>
      <c r="AV7" s="185">
        <f t="shared" ref="AV7" si="14">IFERROR(AU7/AT7,"")</f>
        <v>72.915460335842511</v>
      </c>
      <c r="AW7" s="182" t="e">
        <f>RANK(AV7, AV$87:AV$101)</f>
        <v>#N/A</v>
      </c>
      <c r="AX7" s="558">
        <f>AVERAGE(AV7:AV21)</f>
        <v>72.915460335842511</v>
      </c>
    </row>
    <row r="8" spans="1:50" ht="14.25" customHeight="1">
      <c r="B8" s="530"/>
      <c r="C8" s="180">
        <v>2</v>
      </c>
      <c r="D8" s="183"/>
      <c r="E8" s="180"/>
      <c r="F8" s="180"/>
      <c r="G8" s="185"/>
      <c r="H8" s="558"/>
      <c r="I8" s="186"/>
      <c r="J8" s="186"/>
      <c r="K8" s="187"/>
      <c r="L8" s="559"/>
      <c r="M8" s="186"/>
      <c r="N8" s="530"/>
      <c r="O8" s="530"/>
      <c r="P8" s="188"/>
      <c r="Q8" s="188"/>
      <c r="R8" s="185"/>
      <c r="S8" s="182"/>
      <c r="T8" s="558"/>
      <c r="U8" s="188"/>
      <c r="V8" s="188"/>
      <c r="W8" s="185"/>
      <c r="X8" s="182"/>
      <c r="Y8" s="558"/>
      <c r="Z8" s="188"/>
      <c r="AA8" s="188"/>
      <c r="AB8" s="185"/>
      <c r="AC8" s="182"/>
      <c r="AD8" s="558"/>
      <c r="AE8" s="188"/>
      <c r="AF8" s="188"/>
      <c r="AG8" s="185"/>
      <c r="AH8" s="182"/>
      <c r="AI8" s="558"/>
      <c r="AJ8" s="188"/>
      <c r="AK8" s="188"/>
      <c r="AL8" s="185"/>
      <c r="AM8" s="182"/>
      <c r="AN8" s="558"/>
      <c r="AO8" s="188"/>
      <c r="AP8" s="188"/>
      <c r="AQ8" s="185"/>
      <c r="AR8" s="182"/>
      <c r="AS8" s="558"/>
      <c r="AT8" s="188"/>
      <c r="AU8" s="188"/>
      <c r="AV8" s="185"/>
      <c r="AW8" s="182"/>
      <c r="AX8" s="558"/>
    </row>
    <row r="9" spans="1:50" ht="14.25" customHeight="1">
      <c r="B9" s="530"/>
      <c r="C9" s="180">
        <v>3</v>
      </c>
      <c r="D9" s="183"/>
      <c r="E9" s="180"/>
      <c r="F9" s="180"/>
      <c r="G9" s="185"/>
      <c r="H9" s="558"/>
      <c r="I9" s="186"/>
      <c r="J9" s="186"/>
      <c r="K9" s="187"/>
      <c r="L9" s="559"/>
      <c r="M9" s="186"/>
      <c r="N9" s="530"/>
      <c r="O9" s="530"/>
      <c r="P9" s="188"/>
      <c r="Q9" s="188"/>
      <c r="R9" s="185"/>
      <c r="S9" s="182"/>
      <c r="T9" s="558"/>
      <c r="U9" s="188"/>
      <c r="V9" s="188"/>
      <c r="W9" s="185"/>
      <c r="X9" s="182"/>
      <c r="Y9" s="558"/>
      <c r="Z9" s="188"/>
      <c r="AA9" s="188"/>
      <c r="AB9" s="185"/>
      <c r="AC9" s="182"/>
      <c r="AD9" s="558"/>
      <c r="AE9" s="188"/>
      <c r="AF9" s="188"/>
      <c r="AG9" s="185"/>
      <c r="AH9" s="182"/>
      <c r="AI9" s="558"/>
      <c r="AJ9" s="188"/>
      <c r="AK9" s="188"/>
      <c r="AL9" s="185"/>
      <c r="AM9" s="182"/>
      <c r="AN9" s="558"/>
      <c r="AO9" s="188"/>
      <c r="AP9" s="188"/>
      <c r="AQ9" s="185"/>
      <c r="AR9" s="182"/>
      <c r="AS9" s="558"/>
      <c r="AT9" s="188"/>
      <c r="AU9" s="188"/>
      <c r="AV9" s="185"/>
      <c r="AW9" s="182"/>
      <c r="AX9" s="558"/>
    </row>
    <row r="10" spans="1:50" ht="14.25" customHeight="1">
      <c r="B10" s="530"/>
      <c r="C10" s="180">
        <v>4</v>
      </c>
      <c r="D10" s="183"/>
      <c r="E10" s="180"/>
      <c r="F10" s="180"/>
      <c r="G10" s="185"/>
      <c r="H10" s="558"/>
      <c r="I10" s="186"/>
      <c r="J10" s="186"/>
      <c r="K10" s="187"/>
      <c r="L10" s="559"/>
      <c r="M10" s="186"/>
      <c r="N10" s="530"/>
      <c r="O10" s="530"/>
      <c r="P10" s="188"/>
      <c r="Q10" s="188"/>
      <c r="R10" s="185"/>
      <c r="S10" s="182"/>
      <c r="T10" s="558"/>
      <c r="U10" s="188"/>
      <c r="V10" s="188"/>
      <c r="W10" s="185"/>
      <c r="X10" s="182"/>
      <c r="Y10" s="558"/>
      <c r="Z10" s="188"/>
      <c r="AA10" s="188"/>
      <c r="AB10" s="185"/>
      <c r="AC10" s="182"/>
      <c r="AD10" s="558"/>
      <c r="AE10" s="188"/>
      <c r="AF10" s="188"/>
      <c r="AG10" s="185"/>
      <c r="AH10" s="182"/>
      <c r="AI10" s="558"/>
      <c r="AJ10" s="188"/>
      <c r="AK10" s="188"/>
      <c r="AL10" s="185"/>
      <c r="AM10" s="182"/>
      <c r="AN10" s="558"/>
      <c r="AO10" s="188"/>
      <c r="AP10" s="188"/>
      <c r="AQ10" s="185"/>
      <c r="AR10" s="182"/>
      <c r="AS10" s="558"/>
      <c r="AT10" s="188"/>
      <c r="AU10" s="188"/>
      <c r="AV10" s="185"/>
      <c r="AW10" s="182"/>
      <c r="AX10" s="558"/>
    </row>
    <row r="11" spans="1:50" ht="14.25" customHeight="1">
      <c r="B11" s="530"/>
      <c r="C11" s="180">
        <v>5</v>
      </c>
      <c r="D11" s="183"/>
      <c r="E11" s="180"/>
      <c r="F11" s="180"/>
      <c r="G11" s="185"/>
      <c r="H11" s="558"/>
      <c r="I11" s="186"/>
      <c r="J11" s="186"/>
      <c r="K11" s="187"/>
      <c r="L11" s="559"/>
      <c r="M11" s="186"/>
      <c r="N11" s="530"/>
      <c r="O11" s="530"/>
      <c r="P11" s="188"/>
      <c r="Q11" s="188"/>
      <c r="R11" s="185"/>
      <c r="S11" s="182"/>
      <c r="T11" s="558"/>
      <c r="U11" s="188"/>
      <c r="V11" s="188"/>
      <c r="W11" s="185"/>
      <c r="X11" s="182"/>
      <c r="Y11" s="558"/>
      <c r="Z11" s="188"/>
      <c r="AA11" s="188"/>
      <c r="AB11" s="185"/>
      <c r="AC11" s="182"/>
      <c r="AD11" s="558"/>
      <c r="AE11" s="188"/>
      <c r="AF11" s="188"/>
      <c r="AG11" s="185"/>
      <c r="AH11" s="182"/>
      <c r="AI11" s="558"/>
      <c r="AJ11" s="188"/>
      <c r="AK11" s="188"/>
      <c r="AL11" s="185"/>
      <c r="AM11" s="182"/>
      <c r="AN11" s="558"/>
      <c r="AO11" s="188"/>
      <c r="AP11" s="188"/>
      <c r="AQ11" s="185"/>
      <c r="AR11" s="182"/>
      <c r="AS11" s="558"/>
      <c r="AT11" s="188"/>
      <c r="AU11" s="188"/>
      <c r="AV11" s="185"/>
      <c r="AW11" s="182"/>
      <c r="AX11" s="558"/>
    </row>
    <row r="12" spans="1:50" ht="14.25" customHeight="1">
      <c r="B12" s="530"/>
      <c r="C12" s="180">
        <v>6</v>
      </c>
      <c r="D12" s="183"/>
      <c r="E12" s="180"/>
      <c r="F12" s="180"/>
      <c r="G12" s="185"/>
      <c r="H12" s="558"/>
      <c r="I12" s="186"/>
      <c r="J12" s="186"/>
      <c r="K12" s="187"/>
      <c r="L12" s="559"/>
      <c r="M12" s="186"/>
      <c r="N12" s="530"/>
      <c r="O12" s="530"/>
      <c r="P12" s="188"/>
      <c r="Q12" s="188"/>
      <c r="R12" s="185"/>
      <c r="S12" s="182"/>
      <c r="T12" s="558"/>
      <c r="U12" s="188"/>
      <c r="V12" s="188"/>
      <c r="W12" s="185"/>
      <c r="X12" s="182"/>
      <c r="Y12" s="558"/>
      <c r="Z12" s="188"/>
      <c r="AA12" s="188"/>
      <c r="AB12" s="185"/>
      <c r="AC12" s="182"/>
      <c r="AD12" s="558"/>
      <c r="AE12" s="188"/>
      <c r="AF12" s="188"/>
      <c r="AG12" s="185"/>
      <c r="AH12" s="182"/>
      <c r="AI12" s="558"/>
      <c r="AJ12" s="188"/>
      <c r="AK12" s="188"/>
      <c r="AL12" s="185"/>
      <c r="AM12" s="182"/>
      <c r="AN12" s="558"/>
      <c r="AO12" s="188"/>
      <c r="AP12" s="188"/>
      <c r="AQ12" s="185"/>
      <c r="AR12" s="182"/>
      <c r="AS12" s="558"/>
      <c r="AT12" s="188"/>
      <c r="AU12" s="188"/>
      <c r="AV12" s="185"/>
      <c r="AW12" s="182"/>
      <c r="AX12" s="558"/>
    </row>
    <row r="13" spans="1:50" ht="14.25" customHeight="1">
      <c r="B13" s="530"/>
      <c r="C13" s="180">
        <v>7</v>
      </c>
      <c r="D13" s="183"/>
      <c r="E13" s="180"/>
      <c r="F13" s="180"/>
      <c r="G13" s="185"/>
      <c r="H13" s="558"/>
      <c r="I13" s="186"/>
      <c r="J13" s="186"/>
      <c r="K13" s="187"/>
      <c r="L13" s="559"/>
      <c r="M13" s="186"/>
      <c r="N13" s="530"/>
      <c r="O13" s="530"/>
      <c r="P13" s="188"/>
      <c r="Q13" s="188"/>
      <c r="R13" s="185"/>
      <c r="S13" s="182"/>
      <c r="T13" s="558"/>
      <c r="U13" s="188"/>
      <c r="V13" s="188"/>
      <c r="W13" s="185"/>
      <c r="X13" s="182"/>
      <c r="Y13" s="558"/>
      <c r="Z13" s="188"/>
      <c r="AA13" s="188"/>
      <c r="AB13" s="185"/>
      <c r="AC13" s="182"/>
      <c r="AD13" s="558"/>
      <c r="AE13" s="188"/>
      <c r="AF13" s="188"/>
      <c r="AG13" s="185"/>
      <c r="AH13" s="182"/>
      <c r="AI13" s="558"/>
      <c r="AJ13" s="188"/>
      <c r="AK13" s="188"/>
      <c r="AL13" s="185"/>
      <c r="AM13" s="182"/>
      <c r="AN13" s="558"/>
      <c r="AO13" s="188"/>
      <c r="AP13" s="188"/>
      <c r="AQ13" s="185"/>
      <c r="AR13" s="182"/>
      <c r="AS13" s="558"/>
      <c r="AT13" s="188"/>
      <c r="AU13" s="188"/>
      <c r="AV13" s="185"/>
      <c r="AW13" s="182"/>
      <c r="AX13" s="558"/>
    </row>
    <row r="14" spans="1:50" ht="14.25" customHeight="1">
      <c r="B14" s="530"/>
      <c r="C14" s="180">
        <v>8</v>
      </c>
      <c r="D14" s="183"/>
      <c r="E14" s="180"/>
      <c r="F14" s="180"/>
      <c r="G14" s="185"/>
      <c r="H14" s="558"/>
      <c r="I14" s="186"/>
      <c r="J14" s="186"/>
      <c r="K14" s="187"/>
      <c r="L14" s="559"/>
      <c r="M14" s="186"/>
      <c r="N14" s="530"/>
      <c r="O14" s="530"/>
      <c r="P14" s="188"/>
      <c r="Q14" s="188"/>
      <c r="R14" s="185"/>
      <c r="S14" s="182"/>
      <c r="T14" s="558"/>
      <c r="U14" s="188"/>
      <c r="V14" s="188"/>
      <c r="W14" s="185"/>
      <c r="X14" s="182"/>
      <c r="Y14" s="558"/>
      <c r="Z14" s="188"/>
      <c r="AA14" s="188"/>
      <c r="AB14" s="185"/>
      <c r="AC14" s="182"/>
      <c r="AD14" s="558"/>
      <c r="AE14" s="188"/>
      <c r="AF14" s="188"/>
      <c r="AG14" s="185"/>
      <c r="AH14" s="182"/>
      <c r="AI14" s="558"/>
      <c r="AJ14" s="188"/>
      <c r="AK14" s="188"/>
      <c r="AL14" s="185"/>
      <c r="AM14" s="182"/>
      <c r="AN14" s="558"/>
      <c r="AO14" s="188"/>
      <c r="AP14" s="188"/>
      <c r="AQ14" s="185"/>
      <c r="AR14" s="182"/>
      <c r="AS14" s="558"/>
      <c r="AT14" s="188"/>
      <c r="AU14" s="188"/>
      <c r="AV14" s="185"/>
      <c r="AW14" s="182"/>
      <c r="AX14" s="558"/>
    </row>
    <row r="15" spans="1:50" ht="14.25" customHeight="1">
      <c r="B15" s="530"/>
      <c r="C15" s="180">
        <v>9</v>
      </c>
      <c r="D15" s="183"/>
      <c r="E15" s="180"/>
      <c r="F15" s="180"/>
      <c r="G15" s="185"/>
      <c r="H15" s="558"/>
      <c r="I15" s="186"/>
      <c r="J15" s="186"/>
      <c r="K15" s="187"/>
      <c r="L15" s="559"/>
      <c r="M15" s="186"/>
      <c r="N15" s="530"/>
      <c r="O15" s="530"/>
      <c r="P15" s="188"/>
      <c r="Q15" s="188"/>
      <c r="R15" s="185"/>
      <c r="S15" s="182"/>
      <c r="T15" s="558"/>
      <c r="U15" s="188"/>
      <c r="V15" s="188"/>
      <c r="W15" s="185"/>
      <c r="X15" s="182"/>
      <c r="Y15" s="558"/>
      <c r="Z15" s="188"/>
      <c r="AA15" s="188"/>
      <c r="AB15" s="185"/>
      <c r="AC15" s="182"/>
      <c r="AD15" s="558"/>
      <c r="AE15" s="188"/>
      <c r="AF15" s="188"/>
      <c r="AG15" s="185"/>
      <c r="AH15" s="182"/>
      <c r="AI15" s="558"/>
      <c r="AJ15" s="188"/>
      <c r="AK15" s="188"/>
      <c r="AL15" s="185"/>
      <c r="AM15" s="182"/>
      <c r="AN15" s="558"/>
      <c r="AO15" s="188"/>
      <c r="AP15" s="188"/>
      <c r="AQ15" s="185"/>
      <c r="AR15" s="182"/>
      <c r="AS15" s="558"/>
      <c r="AT15" s="188"/>
      <c r="AU15" s="188"/>
      <c r="AV15" s="185"/>
      <c r="AW15" s="182"/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15">U22+1</f>
        <v>46058</v>
      </c>
      <c r="AA22" s="597"/>
      <c r="AB22" s="597"/>
      <c r="AC22" s="597"/>
      <c r="AD22" s="597"/>
      <c r="AE22" s="598">
        <f t="shared" ref="AE22" si="16">Z22+1</f>
        <v>46059</v>
      </c>
      <c r="AF22" s="599"/>
      <c r="AG22" s="599"/>
      <c r="AH22" s="599"/>
      <c r="AI22" s="599"/>
      <c r="AJ22" s="588">
        <f t="shared" ref="AJ22" si="17">AE22+1</f>
        <v>46060</v>
      </c>
      <c r="AK22" s="589"/>
      <c r="AL22" s="589"/>
      <c r="AM22" s="589"/>
      <c r="AN22" s="590"/>
      <c r="AO22" s="598">
        <f t="shared" ref="AO22" si="18">AJ22+1</f>
        <v>46061</v>
      </c>
      <c r="AP22" s="599"/>
      <c r="AQ22" s="599"/>
      <c r="AR22" s="599"/>
      <c r="AS22" s="599"/>
      <c r="AT22" s="588">
        <f t="shared" ref="AT22" si="19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20">Z22</f>
        <v>46058</v>
      </c>
      <c r="AA23" s="591"/>
      <c r="AB23" s="591"/>
      <c r="AC23" s="591"/>
      <c r="AD23" s="591"/>
      <c r="AE23" s="592">
        <f t="shared" ref="AE23" si="21">AE22</f>
        <v>46059</v>
      </c>
      <c r="AF23" s="592"/>
      <c r="AG23" s="592"/>
      <c r="AH23" s="592"/>
      <c r="AI23" s="592"/>
      <c r="AJ23" s="593">
        <f t="shared" ref="AJ23" si="22">AJ22</f>
        <v>46060</v>
      </c>
      <c r="AK23" s="594"/>
      <c r="AL23" s="594"/>
      <c r="AM23" s="594"/>
      <c r="AN23" s="595"/>
      <c r="AO23" s="592">
        <f t="shared" ref="AO23" si="23">AO22</f>
        <v>46061</v>
      </c>
      <c r="AP23" s="592"/>
      <c r="AQ23" s="592"/>
      <c r="AR23" s="592"/>
      <c r="AS23" s="592"/>
      <c r="AT23" s="593">
        <f t="shared" ref="AT23" si="24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530" t="s">
        <v>218</v>
      </c>
      <c r="C27" s="180">
        <v>1</v>
      </c>
      <c r="D27" s="183" t="s">
        <v>219</v>
      </c>
      <c r="E27" s="180">
        <v>22</v>
      </c>
      <c r="F27" s="180">
        <v>1800</v>
      </c>
      <c r="G27" s="185">
        <f t="shared" ref="G27" si="25">F27/E27</f>
        <v>81.818181818181813</v>
      </c>
      <c r="H27" s="558">
        <f>AVERAGE(G27:G41)</f>
        <v>81.818181818181813</v>
      </c>
      <c r="I27" s="186">
        <f>AVERAGE(P27,U27,Z27,AE27,AJ27,AO27,AT27)</f>
        <v>22</v>
      </c>
      <c r="J27" s="186">
        <f>AVERAGE(Q27,V27,AA27,AF27,AK27,AP27,AU27)</f>
        <v>1604.433913674126</v>
      </c>
      <c r="K27" s="187">
        <f>AVERAGE(R27,W27,AB27,AG27,AL27,AQ27,AV27)</f>
        <v>72.928814257914809</v>
      </c>
      <c r="L27" s="559">
        <f>IFERROR(AVERAGE(K27:K41),"-")</f>
        <v>72.928814257914809</v>
      </c>
      <c r="M27" s="186">
        <f>RANK(K27, K$27:$K$41)</f>
        <v>1</v>
      </c>
      <c r="N27" s="530"/>
      <c r="O27" s="530"/>
      <c r="P27" s="188">
        <v>22</v>
      </c>
      <c r="Q27" s="188">
        <v>1604.2067307692312</v>
      </c>
      <c r="R27" s="185">
        <f>IFERROR(Q27/P27,"")</f>
        <v>72.918487762237774</v>
      </c>
      <c r="S27" s="182">
        <f>RANK(R27, R$27:R$41)</f>
        <v>1</v>
      </c>
      <c r="T27" s="558">
        <f>AVERAGE(R27:R41)</f>
        <v>72.918487762237774</v>
      </c>
      <c r="U27" s="188">
        <v>22</v>
      </c>
      <c r="V27" s="188">
        <v>1604.3236565781326</v>
      </c>
      <c r="W27" s="185">
        <f t="shared" ref="W27" si="26">IFERROR(V27/U27,"")</f>
        <v>72.923802571733304</v>
      </c>
      <c r="X27" s="182">
        <f>RANK(W27, W$27:W$41)</f>
        <v>1</v>
      </c>
      <c r="Y27" s="558">
        <f>AVERAGE(W27:W41)</f>
        <v>72.923802571733304</v>
      </c>
      <c r="Z27" s="188">
        <v>22</v>
      </c>
      <c r="AA27" s="188">
        <v>1604.31266846361</v>
      </c>
      <c r="AB27" s="185">
        <f t="shared" ref="AB27" si="27">IFERROR(AA27/Z27,"")</f>
        <v>72.923303111982264</v>
      </c>
      <c r="AC27" s="182">
        <f>RANK(AB27, AB$27:AB$41)</f>
        <v>1</v>
      </c>
      <c r="AD27" s="558">
        <f>AVERAGE(AB27:AB41)</f>
        <v>72.923303111982264</v>
      </c>
      <c r="AE27" s="188">
        <v>22</v>
      </c>
      <c r="AF27" s="188">
        <v>1604.2207792207771</v>
      </c>
      <c r="AG27" s="185">
        <f>IFERROR(AF27/AE27,"")</f>
        <v>72.919126328217146</v>
      </c>
      <c r="AH27" s="182">
        <f>RANK(AG27, AG$27:AG$41)</f>
        <v>1</v>
      </c>
      <c r="AI27" s="558">
        <f>AVERAGE(AG27:AG41)</f>
        <v>72.919126328217146</v>
      </c>
      <c r="AJ27" s="188">
        <v>22</v>
      </c>
      <c r="AK27" s="188">
        <v>1604.4472681067346</v>
      </c>
      <c r="AL27" s="185">
        <f t="shared" ref="AL27" si="28">IFERROR(AK27/AJ27,"")</f>
        <v>72.92942127757884</v>
      </c>
      <c r="AM27" s="182">
        <f>RANK(AL27, AL$27:AL$41)</f>
        <v>1</v>
      </c>
      <c r="AN27" s="558">
        <f>AVERAGE(AL27:AL41)</f>
        <v>72.92942127757884</v>
      </c>
      <c r="AO27" s="188">
        <v>22</v>
      </c>
      <c r="AP27" s="188">
        <v>1604.5977011494253</v>
      </c>
      <c r="AQ27" s="185">
        <f t="shared" ref="AQ27" si="29">IFERROR(AP27/AO27,"")</f>
        <v>72.936259143155695</v>
      </c>
      <c r="AR27" s="182">
        <f>RANK(AQ27, AQ$27:AQ$41)</f>
        <v>1</v>
      </c>
      <c r="AS27" s="558">
        <f>AVERAGE(AQ27:AQ41)</f>
        <v>72.936259143155695</v>
      </c>
      <c r="AT27" s="188">
        <v>22</v>
      </c>
      <c r="AU27" s="188">
        <v>1604.9285914309703</v>
      </c>
      <c r="AV27" s="185">
        <f t="shared" ref="AV27" si="30">IFERROR(AU27/AT27,"")</f>
        <v>72.951299610498651</v>
      </c>
      <c r="AW27" s="182">
        <f>RANK(AV27, AV$27:AV$41)</f>
        <v>1</v>
      </c>
      <c r="AX27" s="558">
        <f>AVERAGE(AV27:AV41)</f>
        <v>72.951299610498651</v>
      </c>
    </row>
    <row r="28" spans="2:50" ht="14.25" customHeight="1">
      <c r="B28" s="530"/>
      <c r="C28" s="180">
        <v>2</v>
      </c>
      <c r="D28" s="183"/>
      <c r="E28" s="180"/>
      <c r="F28" s="180"/>
      <c r="G28" s="185"/>
      <c r="H28" s="558"/>
      <c r="I28" s="186"/>
      <c r="J28" s="186"/>
      <c r="K28" s="187"/>
      <c r="L28" s="559"/>
      <c r="M28" s="186"/>
      <c r="N28" s="530"/>
      <c r="O28" s="530"/>
      <c r="P28" s="188"/>
      <c r="Q28" s="188"/>
      <c r="R28" s="185"/>
      <c r="S28" s="182"/>
      <c r="T28" s="558"/>
      <c r="U28" s="188"/>
      <c r="V28" s="188"/>
      <c r="W28" s="185"/>
      <c r="X28" s="182"/>
      <c r="Y28" s="558"/>
      <c r="Z28" s="188"/>
      <c r="AA28" s="188"/>
      <c r="AB28" s="185"/>
      <c r="AC28" s="182"/>
      <c r="AD28" s="558"/>
      <c r="AE28" s="188"/>
      <c r="AF28" s="188"/>
      <c r="AG28" s="185"/>
      <c r="AH28" s="182"/>
      <c r="AI28" s="558"/>
      <c r="AJ28" s="188"/>
      <c r="AK28" s="188"/>
      <c r="AL28" s="185"/>
      <c r="AM28" s="182"/>
      <c r="AN28" s="558"/>
      <c r="AO28" s="188"/>
      <c r="AP28" s="188"/>
      <c r="AQ28" s="185"/>
      <c r="AR28" s="182"/>
      <c r="AS28" s="558"/>
      <c r="AT28" s="188"/>
      <c r="AU28" s="188"/>
      <c r="AV28" s="185"/>
      <c r="AW28" s="182"/>
      <c r="AX28" s="558"/>
    </row>
    <row r="29" spans="2:50" ht="14.25" customHeight="1">
      <c r="B29" s="530"/>
      <c r="C29" s="180">
        <v>3</v>
      </c>
      <c r="D29" s="183"/>
      <c r="E29" s="180"/>
      <c r="F29" s="180"/>
      <c r="G29" s="185"/>
      <c r="H29" s="558"/>
      <c r="I29" s="186"/>
      <c r="J29" s="186"/>
      <c r="K29" s="187"/>
      <c r="L29" s="559"/>
      <c r="M29" s="186"/>
      <c r="N29" s="530"/>
      <c r="O29" s="530"/>
      <c r="P29" s="188"/>
      <c r="Q29" s="188"/>
      <c r="R29" s="185"/>
      <c r="S29" s="182"/>
      <c r="T29" s="558"/>
      <c r="U29" s="188"/>
      <c r="V29" s="188"/>
      <c r="W29" s="185"/>
      <c r="X29" s="182"/>
      <c r="Y29" s="558"/>
      <c r="Z29" s="188"/>
      <c r="AA29" s="188"/>
      <c r="AB29" s="185"/>
      <c r="AC29" s="182"/>
      <c r="AD29" s="558"/>
      <c r="AE29" s="188"/>
      <c r="AF29" s="188"/>
      <c r="AG29" s="185"/>
      <c r="AH29" s="182"/>
      <c r="AI29" s="558"/>
      <c r="AJ29" s="188"/>
      <c r="AK29" s="188"/>
      <c r="AL29" s="185"/>
      <c r="AM29" s="182"/>
      <c r="AN29" s="558"/>
      <c r="AO29" s="188"/>
      <c r="AP29" s="188"/>
      <c r="AQ29" s="185"/>
      <c r="AR29" s="182"/>
      <c r="AS29" s="558"/>
      <c r="AT29" s="188"/>
      <c r="AU29" s="188"/>
      <c r="AV29" s="185"/>
      <c r="AW29" s="182"/>
      <c r="AX29" s="558"/>
    </row>
    <row r="30" spans="2:50" ht="14.25" customHeight="1">
      <c r="B30" s="530"/>
      <c r="C30" s="180">
        <v>4</v>
      </c>
      <c r="D30" s="183"/>
      <c r="E30" s="180"/>
      <c r="F30" s="180"/>
      <c r="G30" s="185"/>
      <c r="H30" s="558"/>
      <c r="I30" s="186"/>
      <c r="J30" s="186"/>
      <c r="K30" s="187"/>
      <c r="L30" s="559"/>
      <c r="M30" s="186"/>
      <c r="N30" s="530"/>
      <c r="O30" s="530"/>
      <c r="P30" s="188"/>
      <c r="Q30" s="188"/>
      <c r="R30" s="185"/>
      <c r="S30" s="182"/>
      <c r="T30" s="558"/>
      <c r="U30" s="188"/>
      <c r="V30" s="188"/>
      <c r="W30" s="185"/>
      <c r="X30" s="182"/>
      <c r="Y30" s="558"/>
      <c r="Z30" s="188"/>
      <c r="AA30" s="188"/>
      <c r="AB30" s="185"/>
      <c r="AC30" s="182"/>
      <c r="AD30" s="558"/>
      <c r="AE30" s="188"/>
      <c r="AF30" s="188"/>
      <c r="AG30" s="185"/>
      <c r="AH30" s="182"/>
      <c r="AI30" s="558"/>
      <c r="AJ30" s="188"/>
      <c r="AK30" s="188"/>
      <c r="AL30" s="185"/>
      <c r="AM30" s="182"/>
      <c r="AN30" s="558"/>
      <c r="AO30" s="188"/>
      <c r="AP30" s="188"/>
      <c r="AQ30" s="185"/>
      <c r="AR30" s="182"/>
      <c r="AS30" s="558"/>
      <c r="AT30" s="188"/>
      <c r="AU30" s="188"/>
      <c r="AV30" s="185"/>
      <c r="AW30" s="182"/>
      <c r="AX30" s="558"/>
    </row>
    <row r="31" spans="2:50" ht="14.25" customHeight="1">
      <c r="B31" s="530"/>
      <c r="C31" s="180">
        <v>5</v>
      </c>
      <c r="D31" s="183"/>
      <c r="E31" s="180"/>
      <c r="F31" s="180"/>
      <c r="G31" s="185"/>
      <c r="H31" s="558"/>
      <c r="I31" s="186"/>
      <c r="J31" s="186"/>
      <c r="K31" s="187"/>
      <c r="L31" s="559"/>
      <c r="M31" s="186"/>
      <c r="N31" s="530"/>
      <c r="O31" s="530"/>
      <c r="P31" s="188"/>
      <c r="Q31" s="188"/>
      <c r="R31" s="185"/>
      <c r="S31" s="182"/>
      <c r="T31" s="558"/>
      <c r="U31" s="188"/>
      <c r="V31" s="188"/>
      <c r="W31" s="185"/>
      <c r="X31" s="182"/>
      <c r="Y31" s="558"/>
      <c r="Z31" s="188"/>
      <c r="AA31" s="188"/>
      <c r="AB31" s="185"/>
      <c r="AC31" s="182"/>
      <c r="AD31" s="558"/>
      <c r="AE31" s="188"/>
      <c r="AF31" s="188"/>
      <c r="AG31" s="185"/>
      <c r="AH31" s="182"/>
      <c r="AI31" s="558"/>
      <c r="AJ31" s="188"/>
      <c r="AK31" s="188"/>
      <c r="AL31" s="185"/>
      <c r="AM31" s="182"/>
      <c r="AN31" s="558"/>
      <c r="AO31" s="188"/>
      <c r="AP31" s="188"/>
      <c r="AQ31" s="185"/>
      <c r="AR31" s="182"/>
      <c r="AS31" s="558"/>
      <c r="AT31" s="188"/>
      <c r="AU31" s="188"/>
      <c r="AV31" s="185"/>
      <c r="AW31" s="182"/>
      <c r="AX31" s="558"/>
    </row>
    <row r="32" spans="2:50" ht="14.25" customHeight="1">
      <c r="B32" s="530"/>
      <c r="C32" s="180">
        <v>6</v>
      </c>
      <c r="D32" s="183"/>
      <c r="E32" s="180"/>
      <c r="F32" s="180"/>
      <c r="G32" s="185"/>
      <c r="H32" s="558"/>
      <c r="I32" s="186"/>
      <c r="J32" s="186"/>
      <c r="K32" s="187"/>
      <c r="L32" s="559"/>
      <c r="M32" s="186"/>
      <c r="N32" s="530"/>
      <c r="O32" s="530"/>
      <c r="P32" s="188"/>
      <c r="Q32" s="188"/>
      <c r="R32" s="185"/>
      <c r="S32" s="182"/>
      <c r="T32" s="558"/>
      <c r="U32" s="188"/>
      <c r="V32" s="188"/>
      <c r="W32" s="185"/>
      <c r="X32" s="182"/>
      <c r="Y32" s="558"/>
      <c r="Z32" s="188"/>
      <c r="AA32" s="188"/>
      <c r="AB32" s="185"/>
      <c r="AC32" s="182"/>
      <c r="AD32" s="558"/>
      <c r="AE32" s="188"/>
      <c r="AF32" s="188"/>
      <c r="AG32" s="185"/>
      <c r="AH32" s="182"/>
      <c r="AI32" s="558"/>
      <c r="AJ32" s="188"/>
      <c r="AK32" s="188"/>
      <c r="AL32" s="185"/>
      <c r="AM32" s="182"/>
      <c r="AN32" s="558"/>
      <c r="AO32" s="188"/>
      <c r="AP32" s="188"/>
      <c r="AQ32" s="185"/>
      <c r="AR32" s="182"/>
      <c r="AS32" s="558"/>
      <c r="AT32" s="188"/>
      <c r="AU32" s="188"/>
      <c r="AV32" s="185"/>
      <c r="AW32" s="182"/>
      <c r="AX32" s="558"/>
    </row>
    <row r="33" spans="2:50" ht="14.25" customHeight="1">
      <c r="B33" s="530"/>
      <c r="C33" s="180">
        <v>7</v>
      </c>
      <c r="D33" s="183"/>
      <c r="E33" s="180"/>
      <c r="F33" s="180"/>
      <c r="G33" s="185"/>
      <c r="H33" s="558"/>
      <c r="I33" s="186"/>
      <c r="J33" s="186"/>
      <c r="K33" s="187"/>
      <c r="L33" s="559"/>
      <c r="M33" s="186"/>
      <c r="N33" s="530"/>
      <c r="O33" s="530"/>
      <c r="P33" s="188"/>
      <c r="Q33" s="188"/>
      <c r="R33" s="185"/>
      <c r="S33" s="182"/>
      <c r="T33" s="558"/>
      <c r="U33" s="188"/>
      <c r="V33" s="188"/>
      <c r="W33" s="185"/>
      <c r="X33" s="182"/>
      <c r="Y33" s="558"/>
      <c r="Z33" s="188"/>
      <c r="AA33" s="188"/>
      <c r="AB33" s="185"/>
      <c r="AC33" s="182"/>
      <c r="AD33" s="558"/>
      <c r="AE33" s="188"/>
      <c r="AF33" s="188"/>
      <c r="AG33" s="185"/>
      <c r="AH33" s="182"/>
      <c r="AI33" s="558"/>
      <c r="AJ33" s="188"/>
      <c r="AK33" s="188"/>
      <c r="AL33" s="185"/>
      <c r="AM33" s="182"/>
      <c r="AN33" s="558"/>
      <c r="AO33" s="188"/>
      <c r="AP33" s="188"/>
      <c r="AQ33" s="185"/>
      <c r="AR33" s="182"/>
      <c r="AS33" s="558"/>
      <c r="AT33" s="188"/>
      <c r="AU33" s="188"/>
      <c r="AV33" s="185"/>
      <c r="AW33" s="182"/>
      <c r="AX33" s="558"/>
    </row>
    <row r="34" spans="2:50" ht="14.25" customHeight="1">
      <c r="B34" s="530"/>
      <c r="C34" s="180">
        <v>8</v>
      </c>
      <c r="D34" s="183"/>
      <c r="E34" s="180"/>
      <c r="F34" s="180"/>
      <c r="G34" s="185"/>
      <c r="H34" s="558"/>
      <c r="I34" s="186"/>
      <c r="J34" s="186"/>
      <c r="K34" s="187"/>
      <c r="L34" s="559"/>
      <c r="M34" s="186"/>
      <c r="N34" s="530"/>
      <c r="O34" s="530"/>
      <c r="P34" s="188"/>
      <c r="Q34" s="188"/>
      <c r="R34" s="185"/>
      <c r="S34" s="182"/>
      <c r="T34" s="558"/>
      <c r="U34" s="188"/>
      <c r="V34" s="188"/>
      <c r="W34" s="185"/>
      <c r="X34" s="182"/>
      <c r="Y34" s="558"/>
      <c r="Z34" s="188"/>
      <c r="AA34" s="188"/>
      <c r="AB34" s="185"/>
      <c r="AC34" s="182"/>
      <c r="AD34" s="558"/>
      <c r="AE34" s="188"/>
      <c r="AF34" s="188"/>
      <c r="AG34" s="185"/>
      <c r="AH34" s="182"/>
      <c r="AI34" s="558"/>
      <c r="AJ34" s="188"/>
      <c r="AK34" s="188"/>
      <c r="AL34" s="185"/>
      <c r="AM34" s="182"/>
      <c r="AN34" s="558"/>
      <c r="AO34" s="188"/>
      <c r="AP34" s="188"/>
      <c r="AQ34" s="185"/>
      <c r="AR34" s="182"/>
      <c r="AS34" s="558"/>
      <c r="AT34" s="188"/>
      <c r="AU34" s="188"/>
      <c r="AV34" s="185"/>
      <c r="AW34" s="182"/>
      <c r="AX34" s="558"/>
    </row>
    <row r="35" spans="2:50" ht="14.25" customHeight="1">
      <c r="B35" s="530"/>
      <c r="C35" s="180">
        <v>9</v>
      </c>
      <c r="D35" s="183"/>
      <c r="E35" s="180"/>
      <c r="F35" s="180"/>
      <c r="G35" s="185"/>
      <c r="H35" s="558"/>
      <c r="I35" s="186"/>
      <c r="J35" s="186"/>
      <c r="K35" s="187"/>
      <c r="L35" s="559"/>
      <c r="M35" s="186"/>
      <c r="N35" s="530"/>
      <c r="O35" s="530"/>
      <c r="P35" s="188"/>
      <c r="Q35" s="188"/>
      <c r="R35" s="185"/>
      <c r="S35" s="182"/>
      <c r="T35" s="558"/>
      <c r="U35" s="188"/>
      <c r="V35" s="188"/>
      <c r="W35" s="185"/>
      <c r="X35" s="182"/>
      <c r="Y35" s="558"/>
      <c r="Z35" s="188"/>
      <c r="AA35" s="188"/>
      <c r="AB35" s="185"/>
      <c r="AC35" s="182"/>
      <c r="AD35" s="558"/>
      <c r="AE35" s="188"/>
      <c r="AF35" s="188"/>
      <c r="AG35" s="185"/>
      <c r="AH35" s="182"/>
      <c r="AI35" s="558"/>
      <c r="AJ35" s="188"/>
      <c r="AK35" s="188"/>
      <c r="AL35" s="185"/>
      <c r="AM35" s="182"/>
      <c r="AN35" s="558"/>
      <c r="AO35" s="188"/>
      <c r="AP35" s="188"/>
      <c r="AQ35" s="185"/>
      <c r="AR35" s="182"/>
      <c r="AS35" s="558"/>
      <c r="AT35" s="188"/>
      <c r="AU35" s="188"/>
      <c r="AV35" s="185"/>
      <c r="AW35" s="182"/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31">U42+1</f>
        <v>46065</v>
      </c>
      <c r="AA42" s="597"/>
      <c r="AB42" s="597"/>
      <c r="AC42" s="597"/>
      <c r="AD42" s="597"/>
      <c r="AE42" s="598">
        <f t="shared" ref="AE42" si="32">Z42+1</f>
        <v>46066</v>
      </c>
      <c r="AF42" s="599"/>
      <c r="AG42" s="599"/>
      <c r="AH42" s="599"/>
      <c r="AI42" s="599"/>
      <c r="AJ42" s="588">
        <f t="shared" ref="AJ42" si="33">AE42+1</f>
        <v>46067</v>
      </c>
      <c r="AK42" s="589"/>
      <c r="AL42" s="589"/>
      <c r="AM42" s="589"/>
      <c r="AN42" s="590"/>
      <c r="AO42" s="598">
        <f t="shared" ref="AO42" si="34">AJ42+1</f>
        <v>46068</v>
      </c>
      <c r="AP42" s="599"/>
      <c r="AQ42" s="599"/>
      <c r="AR42" s="599"/>
      <c r="AS42" s="599"/>
      <c r="AT42" s="588">
        <f t="shared" ref="AT42" si="35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36">Z42</f>
        <v>46065</v>
      </c>
      <c r="AA43" s="591"/>
      <c r="AB43" s="591"/>
      <c r="AC43" s="591"/>
      <c r="AD43" s="591"/>
      <c r="AE43" s="592">
        <f t="shared" ref="AE43" si="37">AE42</f>
        <v>46066</v>
      </c>
      <c r="AF43" s="592"/>
      <c r="AG43" s="592"/>
      <c r="AH43" s="592"/>
      <c r="AI43" s="592"/>
      <c r="AJ43" s="593">
        <f t="shared" ref="AJ43" si="38">AJ42</f>
        <v>46067</v>
      </c>
      <c r="AK43" s="594"/>
      <c r="AL43" s="594"/>
      <c r="AM43" s="594"/>
      <c r="AN43" s="595"/>
      <c r="AO43" s="592">
        <f t="shared" ref="AO43" si="39">AO42</f>
        <v>46068</v>
      </c>
      <c r="AP43" s="592"/>
      <c r="AQ43" s="592"/>
      <c r="AR43" s="592"/>
      <c r="AS43" s="592"/>
      <c r="AT43" s="593">
        <f t="shared" ref="AT43" si="40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530" t="s">
        <v>218</v>
      </c>
      <c r="C47" s="180">
        <v>1</v>
      </c>
      <c r="D47" s="183" t="s">
        <v>219</v>
      </c>
      <c r="E47" s="180">
        <v>22</v>
      </c>
      <c r="F47" s="180">
        <v>1800</v>
      </c>
      <c r="G47" s="185">
        <f t="shared" ref="G47" si="41">F47/E47</f>
        <v>81.818181818181813</v>
      </c>
      <c r="H47" s="558">
        <f>AVERAGE(G47:G61)</f>
        <v>81.818181818181813</v>
      </c>
      <c r="I47" s="186">
        <f>AVERAGE(P47,U47,Z47,AE47,AJ47,AO47,AT47)</f>
        <v>22</v>
      </c>
      <c r="J47" s="186">
        <f>AVERAGE(Q47,V47,AA47,AF47,AK47,AP47,AU47)</f>
        <v>1605.3650155351588</v>
      </c>
      <c r="K47" s="187">
        <f>AVERAGE(R47,W47,AB47,AG47,AL47,AQ47,AV47)</f>
        <v>72.971137069779957</v>
      </c>
      <c r="L47" s="559">
        <f>IFERROR(AVERAGE(K47:K61),"-")</f>
        <v>72.971137069779957</v>
      </c>
      <c r="M47" s="186">
        <f>RANK(K47, K$47:$K$61)</f>
        <v>1</v>
      </c>
      <c r="N47" s="530"/>
      <c r="O47" s="530"/>
      <c r="P47" s="188">
        <v>22</v>
      </c>
      <c r="Q47" s="188">
        <v>1605.2151238591928</v>
      </c>
      <c r="R47" s="185">
        <f>IFERROR(Q47/P47,"")</f>
        <v>72.964323811781483</v>
      </c>
      <c r="S47" s="182">
        <f>RANK(R47, R$47:R$61)</f>
        <v>1</v>
      </c>
      <c r="T47" s="558">
        <f>AVERAGE(R47:R61)</f>
        <v>72.964323811781483</v>
      </c>
      <c r="U47" s="188">
        <v>22</v>
      </c>
      <c r="V47" s="188">
        <v>1605.273833671401</v>
      </c>
      <c r="W47" s="185">
        <f t="shared" ref="W47" si="42">IFERROR(V47/U47,"")</f>
        <v>72.966992439609143</v>
      </c>
      <c r="X47" s="182">
        <f>RANK(W47, W$47:W$61)</f>
        <v>1</v>
      </c>
      <c r="Y47" s="558">
        <f>AVERAGE(W47:W61)</f>
        <v>72.966992439609143</v>
      </c>
      <c r="Z47" s="188">
        <v>22</v>
      </c>
      <c r="AA47" s="188">
        <v>1605.467260012714</v>
      </c>
      <c r="AB47" s="185">
        <f t="shared" ref="AB47" si="43">IFERROR(AA47/Z47,"")</f>
        <v>72.975784546032457</v>
      </c>
      <c r="AC47" s="182">
        <f>RANK(AB47, AB$47:AB$61)</f>
        <v>1</v>
      </c>
      <c r="AD47" s="558">
        <f>AVERAGE(AB47:AB61)</f>
        <v>72.975784546032457</v>
      </c>
      <c r="AE47" s="188">
        <v>22</v>
      </c>
      <c r="AF47" s="188">
        <v>1605.5038445973282</v>
      </c>
      <c r="AG47" s="185">
        <f>IFERROR(AF47/AE47,"")</f>
        <v>72.977447481696743</v>
      </c>
      <c r="AH47" s="182">
        <f>RANK(AG47, AG$47:AG$61)</f>
        <v>1</v>
      </c>
      <c r="AI47" s="558">
        <f>AVERAGE(AG47:AG61)</f>
        <v>72.977447481696743</v>
      </c>
      <c r="AJ47" s="188"/>
      <c r="AK47" s="188"/>
      <c r="AL47" s="185"/>
      <c r="AM47" s="182"/>
      <c r="AN47" s="558"/>
      <c r="AO47" s="188"/>
      <c r="AP47" s="188"/>
      <c r="AQ47" s="185"/>
      <c r="AR47" s="182"/>
      <c r="AS47" s="558"/>
      <c r="AT47" s="188"/>
      <c r="AU47" s="188"/>
      <c r="AV47" s="185"/>
      <c r="AW47" s="182"/>
      <c r="AX47" s="558"/>
    </row>
    <row r="48" spans="2:50" ht="14.25" customHeight="1">
      <c r="B48" s="530"/>
      <c r="C48" s="180">
        <v>2</v>
      </c>
      <c r="D48" s="183"/>
      <c r="E48" s="180"/>
      <c r="F48" s="180"/>
      <c r="G48" s="185"/>
      <c r="H48" s="558"/>
      <c r="I48" s="186"/>
      <c r="J48" s="186"/>
      <c r="K48" s="187"/>
      <c r="L48" s="559"/>
      <c r="M48" s="186"/>
      <c r="N48" s="530"/>
      <c r="O48" s="530"/>
      <c r="P48" s="188"/>
      <c r="Q48" s="188"/>
      <c r="R48" s="185"/>
      <c r="S48" s="182"/>
      <c r="T48" s="558"/>
      <c r="U48" s="188"/>
      <c r="V48" s="188"/>
      <c r="W48" s="185"/>
      <c r="X48" s="182"/>
      <c r="Y48" s="558"/>
      <c r="Z48" s="188"/>
      <c r="AA48" s="188"/>
      <c r="AB48" s="185"/>
      <c r="AC48" s="182"/>
      <c r="AD48" s="558"/>
      <c r="AE48" s="188"/>
      <c r="AF48" s="188"/>
      <c r="AG48" s="185"/>
      <c r="AH48" s="182"/>
      <c r="AI48" s="558"/>
      <c r="AJ48" s="188"/>
      <c r="AK48" s="188"/>
      <c r="AL48" s="185"/>
      <c r="AM48" s="182"/>
      <c r="AN48" s="558"/>
      <c r="AO48" s="188"/>
      <c r="AP48" s="188"/>
      <c r="AQ48" s="185"/>
      <c r="AR48" s="182"/>
      <c r="AS48" s="558"/>
      <c r="AT48" s="188"/>
      <c r="AU48" s="188"/>
      <c r="AV48" s="185"/>
      <c r="AW48" s="182"/>
      <c r="AX48" s="558"/>
    </row>
    <row r="49" spans="2:50" ht="14.25" customHeight="1">
      <c r="B49" s="530"/>
      <c r="C49" s="180">
        <v>3</v>
      </c>
      <c r="D49" s="183"/>
      <c r="E49" s="180"/>
      <c r="F49" s="180"/>
      <c r="G49" s="185"/>
      <c r="H49" s="558"/>
      <c r="I49" s="186"/>
      <c r="J49" s="186"/>
      <c r="K49" s="187"/>
      <c r="L49" s="559"/>
      <c r="M49" s="186"/>
      <c r="N49" s="530"/>
      <c r="O49" s="530"/>
      <c r="P49" s="188"/>
      <c r="Q49" s="188"/>
      <c r="R49" s="185"/>
      <c r="S49" s="182"/>
      <c r="T49" s="558"/>
      <c r="U49" s="188"/>
      <c r="V49" s="188"/>
      <c r="W49" s="185"/>
      <c r="X49" s="182"/>
      <c r="Y49" s="558"/>
      <c r="Z49" s="188"/>
      <c r="AA49" s="188"/>
      <c r="AB49" s="185"/>
      <c r="AC49" s="182"/>
      <c r="AD49" s="558"/>
      <c r="AE49" s="188"/>
      <c r="AF49" s="188"/>
      <c r="AG49" s="185"/>
      <c r="AH49" s="182"/>
      <c r="AI49" s="558"/>
      <c r="AJ49" s="188"/>
      <c r="AK49" s="188"/>
      <c r="AL49" s="185"/>
      <c r="AM49" s="182"/>
      <c r="AN49" s="558"/>
      <c r="AO49" s="188"/>
      <c r="AP49" s="188"/>
      <c r="AQ49" s="185"/>
      <c r="AR49" s="182"/>
      <c r="AS49" s="558"/>
      <c r="AT49" s="188"/>
      <c r="AU49" s="188"/>
      <c r="AV49" s="185"/>
      <c r="AW49" s="182"/>
      <c r="AX49" s="558"/>
    </row>
    <row r="50" spans="2:50" ht="14.25" customHeight="1">
      <c r="B50" s="530"/>
      <c r="C50" s="180">
        <v>4</v>
      </c>
      <c r="D50" s="183"/>
      <c r="E50" s="180"/>
      <c r="F50" s="180"/>
      <c r="G50" s="185"/>
      <c r="H50" s="558"/>
      <c r="I50" s="186"/>
      <c r="J50" s="186"/>
      <c r="K50" s="187"/>
      <c r="L50" s="559"/>
      <c r="M50" s="186"/>
      <c r="N50" s="530"/>
      <c r="O50" s="530"/>
      <c r="P50" s="188"/>
      <c r="Q50" s="188"/>
      <c r="R50" s="185"/>
      <c r="S50" s="182"/>
      <c r="T50" s="558"/>
      <c r="U50" s="188"/>
      <c r="V50" s="188"/>
      <c r="W50" s="185"/>
      <c r="X50" s="182"/>
      <c r="Y50" s="558"/>
      <c r="Z50" s="188"/>
      <c r="AA50" s="188"/>
      <c r="AB50" s="185"/>
      <c r="AC50" s="182"/>
      <c r="AD50" s="558"/>
      <c r="AE50" s="188"/>
      <c r="AF50" s="188"/>
      <c r="AG50" s="185"/>
      <c r="AH50" s="182"/>
      <c r="AI50" s="558"/>
      <c r="AJ50" s="188"/>
      <c r="AK50" s="188"/>
      <c r="AL50" s="185"/>
      <c r="AM50" s="182"/>
      <c r="AN50" s="558"/>
      <c r="AO50" s="188"/>
      <c r="AP50" s="188"/>
      <c r="AQ50" s="185"/>
      <c r="AR50" s="182"/>
      <c r="AS50" s="558"/>
      <c r="AT50" s="188"/>
      <c r="AU50" s="188"/>
      <c r="AV50" s="185"/>
      <c r="AW50" s="182"/>
      <c r="AX50" s="558"/>
    </row>
    <row r="51" spans="2:50" ht="14.25" customHeight="1">
      <c r="B51" s="530"/>
      <c r="C51" s="180">
        <v>5</v>
      </c>
      <c r="D51" s="183"/>
      <c r="E51" s="180"/>
      <c r="F51" s="180"/>
      <c r="G51" s="185"/>
      <c r="H51" s="558"/>
      <c r="I51" s="186"/>
      <c r="J51" s="186"/>
      <c r="K51" s="187"/>
      <c r="L51" s="559"/>
      <c r="M51" s="186"/>
      <c r="N51" s="530"/>
      <c r="O51" s="530"/>
      <c r="P51" s="188"/>
      <c r="Q51" s="188"/>
      <c r="R51" s="185"/>
      <c r="S51" s="182"/>
      <c r="T51" s="558"/>
      <c r="U51" s="188"/>
      <c r="V51" s="188"/>
      <c r="W51" s="185"/>
      <c r="X51" s="182"/>
      <c r="Y51" s="558"/>
      <c r="Z51" s="188"/>
      <c r="AA51" s="188"/>
      <c r="AB51" s="185"/>
      <c r="AC51" s="182"/>
      <c r="AD51" s="558"/>
      <c r="AE51" s="188"/>
      <c r="AF51" s="188"/>
      <c r="AG51" s="185"/>
      <c r="AH51" s="182"/>
      <c r="AI51" s="558"/>
      <c r="AJ51" s="188"/>
      <c r="AK51" s="188"/>
      <c r="AL51" s="185"/>
      <c r="AM51" s="182"/>
      <c r="AN51" s="558"/>
      <c r="AO51" s="188"/>
      <c r="AP51" s="188"/>
      <c r="AQ51" s="185"/>
      <c r="AR51" s="182"/>
      <c r="AS51" s="558"/>
      <c r="AT51" s="188"/>
      <c r="AU51" s="188"/>
      <c r="AV51" s="185"/>
      <c r="AW51" s="182"/>
      <c r="AX51" s="558"/>
    </row>
    <row r="52" spans="2:50" ht="14.25" customHeight="1">
      <c r="B52" s="530"/>
      <c r="C52" s="180">
        <v>6</v>
      </c>
      <c r="D52" s="183"/>
      <c r="E52" s="180"/>
      <c r="F52" s="180"/>
      <c r="G52" s="185"/>
      <c r="H52" s="558"/>
      <c r="I52" s="186"/>
      <c r="J52" s="186"/>
      <c r="K52" s="187"/>
      <c r="L52" s="559"/>
      <c r="M52" s="186"/>
      <c r="N52" s="530"/>
      <c r="O52" s="530"/>
      <c r="P52" s="188"/>
      <c r="Q52" s="188"/>
      <c r="R52" s="185"/>
      <c r="S52" s="182"/>
      <c r="T52" s="558"/>
      <c r="U52" s="188"/>
      <c r="V52" s="188"/>
      <c r="W52" s="185"/>
      <c r="X52" s="182"/>
      <c r="Y52" s="558"/>
      <c r="Z52" s="188"/>
      <c r="AA52" s="188"/>
      <c r="AB52" s="185"/>
      <c r="AC52" s="182"/>
      <c r="AD52" s="558"/>
      <c r="AE52" s="188"/>
      <c r="AF52" s="188"/>
      <c r="AG52" s="185"/>
      <c r="AH52" s="182"/>
      <c r="AI52" s="558"/>
      <c r="AJ52" s="188"/>
      <c r="AK52" s="188"/>
      <c r="AL52" s="185"/>
      <c r="AM52" s="182"/>
      <c r="AN52" s="558"/>
      <c r="AO52" s="188"/>
      <c r="AP52" s="188"/>
      <c r="AQ52" s="185"/>
      <c r="AR52" s="182"/>
      <c r="AS52" s="558"/>
      <c r="AT52" s="188"/>
      <c r="AU52" s="188"/>
      <c r="AV52" s="185"/>
      <c r="AW52" s="182"/>
      <c r="AX52" s="558"/>
    </row>
    <row r="53" spans="2:50" ht="14.25" customHeight="1">
      <c r="B53" s="530"/>
      <c r="C53" s="180">
        <v>7</v>
      </c>
      <c r="D53" s="183"/>
      <c r="E53" s="180"/>
      <c r="F53" s="180"/>
      <c r="G53" s="185"/>
      <c r="H53" s="558"/>
      <c r="I53" s="186"/>
      <c r="J53" s="186"/>
      <c r="K53" s="187"/>
      <c r="L53" s="559"/>
      <c r="M53" s="186"/>
      <c r="N53" s="530"/>
      <c r="O53" s="530"/>
      <c r="P53" s="188"/>
      <c r="Q53" s="188"/>
      <c r="R53" s="185"/>
      <c r="S53" s="182"/>
      <c r="T53" s="558"/>
      <c r="U53" s="188"/>
      <c r="V53" s="188"/>
      <c r="W53" s="185"/>
      <c r="X53" s="182"/>
      <c r="Y53" s="558"/>
      <c r="Z53" s="188"/>
      <c r="AA53" s="188"/>
      <c r="AB53" s="185"/>
      <c r="AC53" s="182"/>
      <c r="AD53" s="558"/>
      <c r="AE53" s="188"/>
      <c r="AF53" s="188"/>
      <c r="AG53" s="185"/>
      <c r="AH53" s="182"/>
      <c r="AI53" s="558"/>
      <c r="AJ53" s="188"/>
      <c r="AK53" s="188"/>
      <c r="AL53" s="185"/>
      <c r="AM53" s="182"/>
      <c r="AN53" s="558"/>
      <c r="AO53" s="188"/>
      <c r="AP53" s="188"/>
      <c r="AQ53" s="185"/>
      <c r="AR53" s="182"/>
      <c r="AS53" s="558"/>
      <c r="AT53" s="188"/>
      <c r="AU53" s="188"/>
      <c r="AV53" s="185"/>
      <c r="AW53" s="182"/>
      <c r="AX53" s="558"/>
    </row>
    <row r="54" spans="2:50" ht="14.25" customHeight="1">
      <c r="B54" s="530"/>
      <c r="C54" s="180">
        <v>8</v>
      </c>
      <c r="D54" s="183"/>
      <c r="E54" s="180"/>
      <c r="F54" s="180"/>
      <c r="G54" s="185"/>
      <c r="H54" s="558"/>
      <c r="I54" s="186"/>
      <c r="J54" s="186"/>
      <c r="K54" s="187"/>
      <c r="L54" s="559"/>
      <c r="M54" s="186"/>
      <c r="N54" s="530"/>
      <c r="O54" s="530"/>
      <c r="P54" s="188"/>
      <c r="Q54" s="188"/>
      <c r="R54" s="185"/>
      <c r="S54" s="182"/>
      <c r="T54" s="558"/>
      <c r="U54" s="188"/>
      <c r="V54" s="188"/>
      <c r="W54" s="185"/>
      <c r="X54" s="182"/>
      <c r="Y54" s="558"/>
      <c r="Z54" s="188"/>
      <c r="AA54" s="188"/>
      <c r="AB54" s="185"/>
      <c r="AC54" s="182"/>
      <c r="AD54" s="558"/>
      <c r="AE54" s="188"/>
      <c r="AF54" s="188"/>
      <c r="AG54" s="185"/>
      <c r="AH54" s="182"/>
      <c r="AI54" s="558"/>
      <c r="AJ54" s="188"/>
      <c r="AK54" s="188"/>
      <c r="AL54" s="185"/>
      <c r="AM54" s="182"/>
      <c r="AN54" s="558"/>
      <c r="AO54" s="188"/>
      <c r="AP54" s="188"/>
      <c r="AQ54" s="185"/>
      <c r="AR54" s="182"/>
      <c r="AS54" s="558"/>
      <c r="AT54" s="188"/>
      <c r="AU54" s="188"/>
      <c r="AV54" s="185"/>
      <c r="AW54" s="182"/>
      <c r="AX54" s="558"/>
    </row>
    <row r="55" spans="2:50" ht="14.25" customHeight="1">
      <c r="B55" s="530"/>
      <c r="C55" s="180">
        <v>9</v>
      </c>
      <c r="D55" s="183"/>
      <c r="E55" s="180"/>
      <c r="F55" s="180"/>
      <c r="G55" s="185"/>
      <c r="H55" s="558"/>
      <c r="I55" s="186"/>
      <c r="J55" s="186"/>
      <c r="K55" s="187"/>
      <c r="L55" s="559"/>
      <c r="M55" s="186"/>
      <c r="N55" s="530"/>
      <c r="O55" s="530"/>
      <c r="P55" s="188"/>
      <c r="Q55" s="188"/>
      <c r="R55" s="185"/>
      <c r="S55" s="182"/>
      <c r="T55" s="558"/>
      <c r="U55" s="188"/>
      <c r="V55" s="188"/>
      <c r="W55" s="185"/>
      <c r="X55" s="182"/>
      <c r="Y55" s="558"/>
      <c r="Z55" s="188"/>
      <c r="AA55" s="188"/>
      <c r="AB55" s="185"/>
      <c r="AC55" s="182"/>
      <c r="AD55" s="558"/>
      <c r="AE55" s="188"/>
      <c r="AF55" s="188"/>
      <c r="AG55" s="185"/>
      <c r="AH55" s="182"/>
      <c r="AI55" s="558"/>
      <c r="AJ55" s="188"/>
      <c r="AK55" s="188"/>
      <c r="AL55" s="185"/>
      <c r="AM55" s="182"/>
      <c r="AN55" s="558"/>
      <c r="AO55" s="188"/>
      <c r="AP55" s="188"/>
      <c r="AQ55" s="185"/>
      <c r="AR55" s="182"/>
      <c r="AS55" s="558"/>
      <c r="AT55" s="188"/>
      <c r="AU55" s="188"/>
      <c r="AV55" s="185"/>
      <c r="AW55" s="182"/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44">U62+1</f>
        <v>46072</v>
      </c>
      <c r="AA62" s="597"/>
      <c r="AB62" s="597"/>
      <c r="AC62" s="597"/>
      <c r="AD62" s="597"/>
      <c r="AE62" s="598">
        <f t="shared" ref="AE62" si="45">Z62+1</f>
        <v>46073</v>
      </c>
      <c r="AF62" s="599"/>
      <c r="AG62" s="599"/>
      <c r="AH62" s="599"/>
      <c r="AI62" s="599"/>
      <c r="AJ62" s="588">
        <f t="shared" ref="AJ62" si="46">AE62+1</f>
        <v>46074</v>
      </c>
      <c r="AK62" s="589"/>
      <c r="AL62" s="589"/>
      <c r="AM62" s="589"/>
      <c r="AN62" s="590"/>
      <c r="AO62" s="598">
        <f t="shared" ref="AO62" si="47">AJ62+1</f>
        <v>46075</v>
      </c>
      <c r="AP62" s="599"/>
      <c r="AQ62" s="599"/>
      <c r="AR62" s="599"/>
      <c r="AS62" s="599"/>
      <c r="AT62" s="588">
        <f t="shared" ref="AT62" si="48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49">Z62</f>
        <v>46072</v>
      </c>
      <c r="AA63" s="591"/>
      <c r="AB63" s="591"/>
      <c r="AC63" s="591"/>
      <c r="AD63" s="591"/>
      <c r="AE63" s="592">
        <f t="shared" ref="AE63" si="50">AE62</f>
        <v>46073</v>
      </c>
      <c r="AF63" s="592"/>
      <c r="AG63" s="592"/>
      <c r="AH63" s="592"/>
      <c r="AI63" s="592"/>
      <c r="AJ63" s="593">
        <f t="shared" ref="AJ63" si="51">AJ62</f>
        <v>46074</v>
      </c>
      <c r="AK63" s="594"/>
      <c r="AL63" s="594"/>
      <c r="AM63" s="594"/>
      <c r="AN63" s="595"/>
      <c r="AO63" s="592">
        <f t="shared" ref="AO63" si="52">AO62</f>
        <v>46075</v>
      </c>
      <c r="AP63" s="592"/>
      <c r="AQ63" s="592"/>
      <c r="AR63" s="592"/>
      <c r="AS63" s="592"/>
      <c r="AT63" s="593">
        <f t="shared" ref="AT63" si="53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530" t="s">
        <v>218</v>
      </c>
      <c r="C67" s="180">
        <v>1</v>
      </c>
      <c r="D67" s="183"/>
      <c r="E67" s="180"/>
      <c r="F67" s="180"/>
      <c r="G67" s="185"/>
      <c r="H67" s="558"/>
      <c r="I67" s="186"/>
      <c r="J67" s="186"/>
      <c r="K67" s="187"/>
      <c r="L67" s="559"/>
      <c r="M67" s="186"/>
      <c r="N67" s="530"/>
      <c r="O67" s="530"/>
      <c r="P67" s="188"/>
      <c r="Q67" s="188"/>
      <c r="R67" s="185"/>
      <c r="S67" s="182"/>
      <c r="T67" s="558"/>
      <c r="U67" s="188"/>
      <c r="V67" s="188"/>
      <c r="W67" s="185"/>
      <c r="X67" s="182"/>
      <c r="Y67" s="558"/>
      <c r="Z67" s="188"/>
      <c r="AA67" s="188"/>
      <c r="AB67" s="185"/>
      <c r="AC67" s="182"/>
      <c r="AD67" s="558"/>
      <c r="AE67" s="188"/>
      <c r="AF67" s="188"/>
      <c r="AG67" s="185"/>
      <c r="AH67" s="182"/>
      <c r="AI67" s="558"/>
      <c r="AJ67" s="188"/>
      <c r="AK67" s="188"/>
      <c r="AL67" s="185"/>
      <c r="AM67" s="182"/>
      <c r="AN67" s="558"/>
      <c r="AO67" s="188"/>
      <c r="AP67" s="188"/>
      <c r="AQ67" s="185"/>
      <c r="AR67" s="182"/>
      <c r="AS67" s="558"/>
      <c r="AT67" s="188"/>
      <c r="AU67" s="188"/>
      <c r="AV67" s="185"/>
      <c r="AW67" s="182"/>
      <c r="AX67" s="558"/>
    </row>
    <row r="68" spans="2:50" ht="14.25" customHeight="1">
      <c r="B68" s="530"/>
      <c r="C68" s="180">
        <v>2</v>
      </c>
      <c r="D68" s="183"/>
      <c r="E68" s="180"/>
      <c r="F68" s="180"/>
      <c r="G68" s="185"/>
      <c r="H68" s="558"/>
      <c r="I68" s="186"/>
      <c r="J68" s="186"/>
      <c r="K68" s="187"/>
      <c r="L68" s="559"/>
      <c r="M68" s="186"/>
      <c r="N68" s="530"/>
      <c r="O68" s="530"/>
      <c r="P68" s="188"/>
      <c r="Q68" s="188"/>
      <c r="R68" s="185"/>
      <c r="S68" s="182"/>
      <c r="T68" s="558"/>
      <c r="U68" s="188"/>
      <c r="V68" s="188"/>
      <c r="W68" s="185"/>
      <c r="X68" s="182"/>
      <c r="Y68" s="558"/>
      <c r="Z68" s="188"/>
      <c r="AA68" s="188"/>
      <c r="AB68" s="185"/>
      <c r="AC68" s="182"/>
      <c r="AD68" s="558"/>
      <c r="AE68" s="188"/>
      <c r="AF68" s="188"/>
      <c r="AG68" s="185"/>
      <c r="AH68" s="182"/>
      <c r="AI68" s="558"/>
      <c r="AJ68" s="188"/>
      <c r="AK68" s="188"/>
      <c r="AL68" s="185"/>
      <c r="AM68" s="182"/>
      <c r="AN68" s="558"/>
      <c r="AO68" s="188"/>
      <c r="AP68" s="188"/>
      <c r="AQ68" s="185"/>
      <c r="AR68" s="182"/>
      <c r="AS68" s="558"/>
      <c r="AT68" s="188"/>
      <c r="AU68" s="188"/>
      <c r="AV68" s="185"/>
      <c r="AW68" s="182"/>
      <c r="AX68" s="558"/>
    </row>
    <row r="69" spans="2:50" ht="14.25" customHeight="1">
      <c r="B69" s="530"/>
      <c r="C69" s="180">
        <v>3</v>
      </c>
      <c r="D69" s="183"/>
      <c r="E69" s="180"/>
      <c r="F69" s="180"/>
      <c r="G69" s="185"/>
      <c r="H69" s="558"/>
      <c r="I69" s="186"/>
      <c r="J69" s="186"/>
      <c r="K69" s="187"/>
      <c r="L69" s="559"/>
      <c r="M69" s="186"/>
      <c r="N69" s="530"/>
      <c r="O69" s="530"/>
      <c r="P69" s="188"/>
      <c r="Q69" s="188"/>
      <c r="R69" s="185"/>
      <c r="S69" s="182"/>
      <c r="T69" s="558"/>
      <c r="U69" s="188"/>
      <c r="V69" s="188"/>
      <c r="W69" s="185"/>
      <c r="X69" s="182"/>
      <c r="Y69" s="558"/>
      <c r="Z69" s="188"/>
      <c r="AA69" s="188"/>
      <c r="AB69" s="185"/>
      <c r="AC69" s="182"/>
      <c r="AD69" s="558"/>
      <c r="AE69" s="188"/>
      <c r="AF69" s="188"/>
      <c r="AG69" s="185"/>
      <c r="AH69" s="182"/>
      <c r="AI69" s="558"/>
      <c r="AJ69" s="188"/>
      <c r="AK69" s="188"/>
      <c r="AL69" s="185"/>
      <c r="AM69" s="182"/>
      <c r="AN69" s="558"/>
      <c r="AO69" s="188"/>
      <c r="AP69" s="188"/>
      <c r="AQ69" s="185"/>
      <c r="AR69" s="182"/>
      <c r="AS69" s="558"/>
      <c r="AT69" s="188"/>
      <c r="AU69" s="188"/>
      <c r="AV69" s="185"/>
      <c r="AW69" s="182"/>
      <c r="AX69" s="558"/>
    </row>
    <row r="70" spans="2:50" ht="14.25" customHeight="1">
      <c r="B70" s="530"/>
      <c r="C70" s="180">
        <v>4</v>
      </c>
      <c r="D70" s="183"/>
      <c r="E70" s="180"/>
      <c r="F70" s="180"/>
      <c r="G70" s="185"/>
      <c r="H70" s="558"/>
      <c r="I70" s="186"/>
      <c r="J70" s="186"/>
      <c r="K70" s="187"/>
      <c r="L70" s="559"/>
      <c r="M70" s="186"/>
      <c r="N70" s="530"/>
      <c r="O70" s="530"/>
      <c r="P70" s="188"/>
      <c r="Q70" s="188"/>
      <c r="R70" s="185"/>
      <c r="S70" s="182"/>
      <c r="T70" s="558"/>
      <c r="U70" s="188"/>
      <c r="V70" s="188"/>
      <c r="W70" s="185"/>
      <c r="X70" s="182"/>
      <c r="Y70" s="558"/>
      <c r="Z70" s="188"/>
      <c r="AA70" s="188"/>
      <c r="AB70" s="185"/>
      <c r="AC70" s="182"/>
      <c r="AD70" s="558"/>
      <c r="AE70" s="188"/>
      <c r="AF70" s="188"/>
      <c r="AG70" s="185"/>
      <c r="AH70" s="182"/>
      <c r="AI70" s="558"/>
      <c r="AJ70" s="188"/>
      <c r="AK70" s="188"/>
      <c r="AL70" s="185"/>
      <c r="AM70" s="182"/>
      <c r="AN70" s="558"/>
      <c r="AO70" s="188"/>
      <c r="AP70" s="188"/>
      <c r="AQ70" s="185"/>
      <c r="AR70" s="182"/>
      <c r="AS70" s="558"/>
      <c r="AT70" s="188"/>
      <c r="AU70" s="188"/>
      <c r="AV70" s="185"/>
      <c r="AW70" s="182"/>
      <c r="AX70" s="558"/>
    </row>
    <row r="71" spans="2:50" ht="14.25" customHeight="1">
      <c r="B71" s="530"/>
      <c r="C71" s="180">
        <v>5</v>
      </c>
      <c r="D71" s="183"/>
      <c r="E71" s="180"/>
      <c r="F71" s="180"/>
      <c r="G71" s="185"/>
      <c r="H71" s="558"/>
      <c r="I71" s="186"/>
      <c r="J71" s="186"/>
      <c r="K71" s="187"/>
      <c r="L71" s="559"/>
      <c r="M71" s="186"/>
      <c r="N71" s="530"/>
      <c r="O71" s="530"/>
      <c r="P71" s="188"/>
      <c r="Q71" s="188"/>
      <c r="R71" s="185"/>
      <c r="S71" s="182"/>
      <c r="T71" s="558"/>
      <c r="U71" s="188"/>
      <c r="V71" s="188"/>
      <c r="W71" s="185"/>
      <c r="X71" s="182"/>
      <c r="Y71" s="558"/>
      <c r="Z71" s="188"/>
      <c r="AA71" s="188"/>
      <c r="AB71" s="185"/>
      <c r="AC71" s="182"/>
      <c r="AD71" s="558"/>
      <c r="AE71" s="188"/>
      <c r="AF71" s="188"/>
      <c r="AG71" s="185"/>
      <c r="AH71" s="182"/>
      <c r="AI71" s="558"/>
      <c r="AJ71" s="188"/>
      <c r="AK71" s="188"/>
      <c r="AL71" s="185"/>
      <c r="AM71" s="182"/>
      <c r="AN71" s="558"/>
      <c r="AO71" s="188"/>
      <c r="AP71" s="188"/>
      <c r="AQ71" s="185"/>
      <c r="AR71" s="182"/>
      <c r="AS71" s="558"/>
      <c r="AT71" s="188"/>
      <c r="AU71" s="188"/>
      <c r="AV71" s="185"/>
      <c r="AW71" s="182"/>
      <c r="AX71" s="558"/>
    </row>
    <row r="72" spans="2:50" ht="14.25" customHeight="1">
      <c r="B72" s="530"/>
      <c r="C72" s="180">
        <v>6</v>
      </c>
      <c r="D72" s="183"/>
      <c r="E72" s="180"/>
      <c r="F72" s="180"/>
      <c r="G72" s="185"/>
      <c r="H72" s="558"/>
      <c r="I72" s="186"/>
      <c r="J72" s="186"/>
      <c r="K72" s="187"/>
      <c r="L72" s="559"/>
      <c r="M72" s="186"/>
      <c r="N72" s="530"/>
      <c r="O72" s="530"/>
      <c r="P72" s="188"/>
      <c r="Q72" s="188"/>
      <c r="R72" s="185"/>
      <c r="S72" s="182"/>
      <c r="T72" s="558"/>
      <c r="U72" s="188"/>
      <c r="V72" s="188"/>
      <c r="W72" s="185"/>
      <c r="X72" s="182"/>
      <c r="Y72" s="558"/>
      <c r="Z72" s="188"/>
      <c r="AA72" s="188"/>
      <c r="AB72" s="185"/>
      <c r="AC72" s="182"/>
      <c r="AD72" s="558"/>
      <c r="AE72" s="188"/>
      <c r="AF72" s="188"/>
      <c r="AG72" s="185"/>
      <c r="AH72" s="182"/>
      <c r="AI72" s="558"/>
      <c r="AJ72" s="188"/>
      <c r="AK72" s="188"/>
      <c r="AL72" s="185"/>
      <c r="AM72" s="182"/>
      <c r="AN72" s="558"/>
      <c r="AO72" s="188"/>
      <c r="AP72" s="188"/>
      <c r="AQ72" s="185"/>
      <c r="AR72" s="182"/>
      <c r="AS72" s="558"/>
      <c r="AT72" s="188"/>
      <c r="AU72" s="188"/>
      <c r="AV72" s="185"/>
      <c r="AW72" s="182"/>
      <c r="AX72" s="558"/>
    </row>
    <row r="73" spans="2:50" ht="14.25" customHeight="1">
      <c r="B73" s="530"/>
      <c r="C73" s="180">
        <v>7</v>
      </c>
      <c r="D73" s="183"/>
      <c r="E73" s="180"/>
      <c r="F73" s="180"/>
      <c r="G73" s="185"/>
      <c r="H73" s="558"/>
      <c r="I73" s="186"/>
      <c r="J73" s="186"/>
      <c r="K73" s="187"/>
      <c r="L73" s="559"/>
      <c r="M73" s="186"/>
      <c r="N73" s="530"/>
      <c r="O73" s="530"/>
      <c r="P73" s="188"/>
      <c r="Q73" s="188"/>
      <c r="R73" s="185"/>
      <c r="S73" s="182"/>
      <c r="T73" s="558"/>
      <c r="U73" s="188"/>
      <c r="V73" s="188"/>
      <c r="W73" s="185"/>
      <c r="X73" s="182"/>
      <c r="Y73" s="558"/>
      <c r="Z73" s="188"/>
      <c r="AA73" s="188"/>
      <c r="AB73" s="185"/>
      <c r="AC73" s="182"/>
      <c r="AD73" s="558"/>
      <c r="AE73" s="188"/>
      <c r="AF73" s="188"/>
      <c r="AG73" s="185"/>
      <c r="AH73" s="182"/>
      <c r="AI73" s="558"/>
      <c r="AJ73" s="188"/>
      <c r="AK73" s="188"/>
      <c r="AL73" s="185"/>
      <c r="AM73" s="182"/>
      <c r="AN73" s="558"/>
      <c r="AO73" s="188"/>
      <c r="AP73" s="188"/>
      <c r="AQ73" s="185"/>
      <c r="AR73" s="182"/>
      <c r="AS73" s="558"/>
      <c r="AT73" s="188"/>
      <c r="AU73" s="188"/>
      <c r="AV73" s="185"/>
      <c r="AW73" s="182"/>
      <c r="AX73" s="558"/>
    </row>
    <row r="74" spans="2:50" ht="14.25" customHeight="1">
      <c r="B74" s="530"/>
      <c r="C74" s="180">
        <v>8</v>
      </c>
      <c r="D74" s="183"/>
      <c r="E74" s="180"/>
      <c r="F74" s="180"/>
      <c r="G74" s="185"/>
      <c r="H74" s="558"/>
      <c r="I74" s="186"/>
      <c r="J74" s="186"/>
      <c r="K74" s="187"/>
      <c r="L74" s="559"/>
      <c r="M74" s="186"/>
      <c r="N74" s="530"/>
      <c r="O74" s="530"/>
      <c r="P74" s="188"/>
      <c r="Q74" s="188"/>
      <c r="R74" s="185"/>
      <c r="S74" s="182"/>
      <c r="T74" s="558"/>
      <c r="U74" s="188"/>
      <c r="V74" s="188"/>
      <c r="W74" s="185"/>
      <c r="X74" s="182"/>
      <c r="Y74" s="558"/>
      <c r="Z74" s="188"/>
      <c r="AA74" s="188"/>
      <c r="AB74" s="185"/>
      <c r="AC74" s="182"/>
      <c r="AD74" s="558"/>
      <c r="AE74" s="188"/>
      <c r="AF74" s="188"/>
      <c r="AG74" s="185"/>
      <c r="AH74" s="182"/>
      <c r="AI74" s="558"/>
      <c r="AJ74" s="188"/>
      <c r="AK74" s="188"/>
      <c r="AL74" s="185"/>
      <c r="AM74" s="182"/>
      <c r="AN74" s="558"/>
      <c r="AO74" s="188"/>
      <c r="AP74" s="188"/>
      <c r="AQ74" s="185"/>
      <c r="AR74" s="182"/>
      <c r="AS74" s="558"/>
      <c r="AT74" s="188"/>
      <c r="AU74" s="188"/>
      <c r="AV74" s="185"/>
      <c r="AW74" s="182"/>
      <c r="AX74" s="558"/>
    </row>
    <row r="75" spans="2:50" ht="14.25" customHeight="1">
      <c r="B75" s="530"/>
      <c r="C75" s="180">
        <v>9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30"/>
      <c r="O75" s="530"/>
      <c r="P75" s="188"/>
      <c r="Q75" s="188"/>
      <c r="R75" s="185"/>
      <c r="S75" s="182"/>
      <c r="T75" s="558"/>
      <c r="U75" s="188"/>
      <c r="V75" s="188"/>
      <c r="W75" s="185"/>
      <c r="X75" s="182"/>
      <c r="Y75" s="558"/>
      <c r="Z75" s="188"/>
      <c r="AA75" s="188"/>
      <c r="AB75" s="185"/>
      <c r="AC75" s="182"/>
      <c r="AD75" s="558"/>
      <c r="AE75" s="188"/>
      <c r="AF75" s="188"/>
      <c r="AG75" s="185"/>
      <c r="AH75" s="182"/>
      <c r="AI75" s="558"/>
      <c r="AJ75" s="188"/>
      <c r="AK75" s="188"/>
      <c r="AL75" s="185"/>
      <c r="AM75" s="182"/>
      <c r="AN75" s="558"/>
      <c r="AO75" s="188"/>
      <c r="AP75" s="188"/>
      <c r="AQ75" s="185"/>
      <c r="AR75" s="182"/>
      <c r="AS75" s="558"/>
      <c r="AT75" s="188"/>
      <c r="AU75" s="188"/>
      <c r="AV75" s="185"/>
      <c r="AW75" s="182"/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558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558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558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558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558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558"/>
      <c r="AT81" s="188"/>
      <c r="AU81" s="188"/>
      <c r="AV81" s="185"/>
      <c r="AW81" s="182"/>
      <c r="AX81" s="558"/>
    </row>
    <row r="82" spans="2:50" ht="14.25" customHeight="1" collapsed="1">
      <c r="B82" s="544" t="s">
        <v>176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60" t="s">
        <v>127</v>
      </c>
      <c r="O82" s="560" t="s">
        <v>77</v>
      </c>
      <c r="P82" s="596">
        <f>AT62+1</f>
        <v>46077</v>
      </c>
      <c r="Q82" s="597"/>
      <c r="R82" s="597"/>
      <c r="S82" s="597"/>
      <c r="T82" s="597"/>
      <c r="U82" s="598">
        <f>P82+1</f>
        <v>46078</v>
      </c>
      <c r="V82" s="599"/>
      <c r="W82" s="599"/>
      <c r="X82" s="599"/>
      <c r="Y82" s="599"/>
      <c r="Z82" s="596">
        <f t="shared" ref="Z82" si="54">U82+1</f>
        <v>46079</v>
      </c>
      <c r="AA82" s="597"/>
      <c r="AB82" s="597"/>
      <c r="AC82" s="597"/>
      <c r="AD82" s="597"/>
      <c r="AE82" s="598">
        <f t="shared" ref="AE82" si="55">Z82+1</f>
        <v>46080</v>
      </c>
      <c r="AF82" s="599"/>
      <c r="AG82" s="599"/>
      <c r="AH82" s="599"/>
      <c r="AI82" s="599"/>
      <c r="AJ82" s="588">
        <f t="shared" ref="AJ82" si="56">AE82+1</f>
        <v>46081</v>
      </c>
      <c r="AK82" s="589"/>
      <c r="AL82" s="589"/>
      <c r="AM82" s="589"/>
      <c r="AN82" s="590"/>
      <c r="AO82" s="598">
        <f t="shared" ref="AO82" si="57">AJ82+1</f>
        <v>46082</v>
      </c>
      <c r="AP82" s="599"/>
      <c r="AQ82" s="599"/>
      <c r="AR82" s="599"/>
      <c r="AS82" s="599"/>
      <c r="AT82" s="588">
        <f t="shared" ref="AT82" si="58">AO82+1</f>
        <v>46083</v>
      </c>
      <c r="AU82" s="589"/>
      <c r="AV82" s="589"/>
      <c r="AW82" s="589"/>
      <c r="AX82" s="590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62"/>
      <c r="O83" s="562"/>
      <c r="P83" s="591">
        <f>P82</f>
        <v>46077</v>
      </c>
      <c r="Q83" s="591"/>
      <c r="R83" s="591"/>
      <c r="S83" s="591"/>
      <c r="T83" s="591"/>
      <c r="U83" s="592">
        <f>U82</f>
        <v>46078</v>
      </c>
      <c r="V83" s="592"/>
      <c r="W83" s="592"/>
      <c r="X83" s="592"/>
      <c r="Y83" s="592"/>
      <c r="Z83" s="591">
        <f t="shared" ref="Z83" si="59">Z82</f>
        <v>46079</v>
      </c>
      <c r="AA83" s="591"/>
      <c r="AB83" s="591"/>
      <c r="AC83" s="591"/>
      <c r="AD83" s="591"/>
      <c r="AE83" s="592">
        <f t="shared" ref="AE83" si="60">AE82</f>
        <v>46080</v>
      </c>
      <c r="AF83" s="592"/>
      <c r="AG83" s="592"/>
      <c r="AH83" s="592"/>
      <c r="AI83" s="592"/>
      <c r="AJ83" s="593">
        <f t="shared" ref="AJ83" si="61">AJ82</f>
        <v>46081</v>
      </c>
      <c r="AK83" s="594"/>
      <c r="AL83" s="594"/>
      <c r="AM83" s="594"/>
      <c r="AN83" s="595"/>
      <c r="AO83" s="592">
        <f t="shared" ref="AO83" si="62">AO82</f>
        <v>46082</v>
      </c>
      <c r="AP83" s="592"/>
      <c r="AQ83" s="592"/>
      <c r="AR83" s="592"/>
      <c r="AS83" s="592"/>
      <c r="AT83" s="593">
        <f t="shared" ref="AT83" si="63">AT82</f>
        <v>46083</v>
      </c>
      <c r="AU83" s="594"/>
      <c r="AV83" s="594"/>
      <c r="AW83" s="594"/>
      <c r="AX83" s="595"/>
    </row>
    <row r="84" spans="2:50" ht="14.25" customHeight="1">
      <c r="B84" s="530" t="s">
        <v>128</v>
      </c>
      <c r="C84" s="530" t="s">
        <v>129</v>
      </c>
      <c r="D84" s="530"/>
      <c r="E84" s="530" t="s">
        <v>130</v>
      </c>
      <c r="F84" s="530"/>
      <c r="G84" s="530"/>
      <c r="H84" s="530" t="s">
        <v>131</v>
      </c>
      <c r="I84" s="553" t="s">
        <v>132</v>
      </c>
      <c r="J84" s="553"/>
      <c r="K84" s="553"/>
      <c r="L84" s="553" t="s">
        <v>131</v>
      </c>
      <c r="M84" s="553" t="s">
        <v>133</v>
      </c>
      <c r="N84" s="530"/>
      <c r="O84" s="530" t="s">
        <v>134</v>
      </c>
      <c r="P84" s="530" t="s">
        <v>135</v>
      </c>
      <c r="Q84" s="530"/>
      <c r="R84" s="530"/>
      <c r="S84" s="530"/>
      <c r="T84" s="530" t="s">
        <v>131</v>
      </c>
      <c r="U84" s="530" t="s">
        <v>135</v>
      </c>
      <c r="V84" s="530"/>
      <c r="W84" s="530"/>
      <c r="X84" s="530"/>
      <c r="Y84" s="530" t="s">
        <v>131</v>
      </c>
      <c r="Z84" s="530" t="s">
        <v>135</v>
      </c>
      <c r="AA84" s="530"/>
      <c r="AB84" s="530"/>
      <c r="AC84" s="530"/>
      <c r="AD84" s="530" t="s">
        <v>131</v>
      </c>
      <c r="AE84" s="530" t="s">
        <v>135</v>
      </c>
      <c r="AF84" s="530"/>
      <c r="AG84" s="530"/>
      <c r="AH84" s="530"/>
      <c r="AI84" s="530" t="s">
        <v>131</v>
      </c>
      <c r="AJ84" s="530" t="s">
        <v>135</v>
      </c>
      <c r="AK84" s="530"/>
      <c r="AL84" s="530"/>
      <c r="AM84" s="530"/>
      <c r="AN84" s="530" t="s">
        <v>131</v>
      </c>
      <c r="AO84" s="530" t="s">
        <v>135</v>
      </c>
      <c r="AP84" s="530"/>
      <c r="AQ84" s="530"/>
      <c r="AR84" s="530"/>
      <c r="AS84" s="530" t="s">
        <v>131</v>
      </c>
      <c r="AT84" s="530" t="s">
        <v>135</v>
      </c>
      <c r="AU84" s="530"/>
      <c r="AV84" s="530"/>
      <c r="AW84" s="530"/>
      <c r="AX84" s="530" t="s">
        <v>131</v>
      </c>
    </row>
    <row r="85" spans="2:50" ht="14.25" customHeight="1">
      <c r="B85" s="530"/>
      <c r="C85" s="530"/>
      <c r="D85" s="530"/>
      <c r="E85" s="530" t="s">
        <v>136</v>
      </c>
      <c r="F85" s="530"/>
      <c r="G85" s="530"/>
      <c r="H85" s="530"/>
      <c r="I85" s="553" t="s">
        <v>136</v>
      </c>
      <c r="J85" s="553"/>
      <c r="K85" s="553"/>
      <c r="L85" s="553"/>
      <c r="M85" s="553"/>
      <c r="N85" s="530"/>
      <c r="O85" s="530"/>
      <c r="P85" s="530" t="s">
        <v>137</v>
      </c>
      <c r="Q85" s="530"/>
      <c r="R85" s="530"/>
      <c r="S85" s="530"/>
      <c r="T85" s="530"/>
      <c r="U85" s="530" t="s">
        <v>137</v>
      </c>
      <c r="V85" s="530"/>
      <c r="W85" s="530"/>
      <c r="X85" s="530"/>
      <c r="Y85" s="530"/>
      <c r="Z85" s="530" t="s">
        <v>137</v>
      </c>
      <c r="AA85" s="530"/>
      <c r="AB85" s="530"/>
      <c r="AC85" s="530"/>
      <c r="AD85" s="530"/>
      <c r="AE85" s="530" t="s">
        <v>137</v>
      </c>
      <c r="AF85" s="530"/>
      <c r="AG85" s="530"/>
      <c r="AH85" s="530"/>
      <c r="AI85" s="530"/>
      <c r="AJ85" s="530" t="s">
        <v>137</v>
      </c>
      <c r="AK85" s="530"/>
      <c r="AL85" s="530"/>
      <c r="AM85" s="530"/>
      <c r="AN85" s="530"/>
      <c r="AO85" s="530" t="s">
        <v>137</v>
      </c>
      <c r="AP85" s="530"/>
      <c r="AQ85" s="530"/>
      <c r="AR85" s="530"/>
      <c r="AS85" s="530"/>
      <c r="AT85" s="530" t="s">
        <v>137</v>
      </c>
      <c r="AU85" s="530"/>
      <c r="AV85" s="530"/>
      <c r="AW85" s="530"/>
      <c r="AX85" s="530"/>
    </row>
    <row r="86" spans="2:50" ht="14.25" customHeight="1">
      <c r="B86" s="530"/>
      <c r="C86" s="530"/>
      <c r="D86" s="530"/>
      <c r="E86" s="180" t="s">
        <v>138</v>
      </c>
      <c r="F86" s="180" t="s">
        <v>139</v>
      </c>
      <c r="G86" s="180" t="s">
        <v>140</v>
      </c>
      <c r="H86" s="530"/>
      <c r="I86" s="181" t="s">
        <v>138</v>
      </c>
      <c r="J86" s="181" t="s">
        <v>139</v>
      </c>
      <c r="K86" s="181" t="s">
        <v>140</v>
      </c>
      <c r="L86" s="553"/>
      <c r="M86" s="553"/>
      <c r="N86" s="530"/>
      <c r="O86" s="530"/>
      <c r="P86" s="180" t="s">
        <v>138</v>
      </c>
      <c r="Q86" s="180" t="s">
        <v>139</v>
      </c>
      <c r="R86" s="180" t="s">
        <v>140</v>
      </c>
      <c r="S86" s="182" t="s">
        <v>133</v>
      </c>
      <c r="T86" s="530"/>
      <c r="U86" s="180" t="s">
        <v>138</v>
      </c>
      <c r="V86" s="180" t="s">
        <v>139</v>
      </c>
      <c r="W86" s="180" t="s">
        <v>140</v>
      </c>
      <c r="X86" s="182" t="s">
        <v>133</v>
      </c>
      <c r="Y86" s="530"/>
      <c r="Z86" s="180" t="s">
        <v>138</v>
      </c>
      <c r="AA86" s="180" t="s">
        <v>139</v>
      </c>
      <c r="AB86" s="180" t="s">
        <v>140</v>
      </c>
      <c r="AC86" s="182" t="s">
        <v>133</v>
      </c>
      <c r="AD86" s="530"/>
      <c r="AE86" s="180" t="s">
        <v>138</v>
      </c>
      <c r="AF86" s="180" t="s">
        <v>139</v>
      </c>
      <c r="AG86" s="180" t="s">
        <v>140</v>
      </c>
      <c r="AH86" s="182" t="s">
        <v>133</v>
      </c>
      <c r="AI86" s="530"/>
      <c r="AJ86" s="180" t="s">
        <v>138</v>
      </c>
      <c r="AK86" s="180" t="s">
        <v>139</v>
      </c>
      <c r="AL86" s="180" t="s">
        <v>140</v>
      </c>
      <c r="AM86" s="182" t="s">
        <v>133</v>
      </c>
      <c r="AN86" s="530"/>
      <c r="AO86" s="180" t="s">
        <v>138</v>
      </c>
      <c r="AP86" s="180" t="s">
        <v>139</v>
      </c>
      <c r="AQ86" s="180" t="s">
        <v>140</v>
      </c>
      <c r="AR86" s="182" t="s">
        <v>133</v>
      </c>
      <c r="AS86" s="530"/>
      <c r="AT86" s="180" t="s">
        <v>138</v>
      </c>
      <c r="AU86" s="180" t="s">
        <v>139</v>
      </c>
      <c r="AV86" s="180" t="s">
        <v>140</v>
      </c>
      <c r="AW86" s="182" t="s">
        <v>133</v>
      </c>
      <c r="AX86" s="530"/>
    </row>
    <row r="87" spans="2:50" ht="14.25" customHeight="1">
      <c r="B87" s="530" t="s">
        <v>218</v>
      </c>
      <c r="C87" s="180">
        <v>1</v>
      </c>
      <c r="D87" s="183"/>
      <c r="E87" s="180"/>
      <c r="F87" s="180"/>
      <c r="G87" s="185"/>
      <c r="H87" s="558"/>
      <c r="I87" s="186"/>
      <c r="J87" s="186"/>
      <c r="K87" s="187"/>
      <c r="L87" s="559" t="str">
        <f>IFERROR(AVERAGE(K87:K101),"-")</f>
        <v>-</v>
      </c>
      <c r="M87" s="186"/>
      <c r="N87" s="530"/>
      <c r="O87" s="530"/>
      <c r="P87" s="188"/>
      <c r="Q87" s="188"/>
      <c r="R87" s="185"/>
      <c r="S87" s="182"/>
      <c r="T87" s="558"/>
      <c r="U87" s="188"/>
      <c r="V87" s="188"/>
      <c r="W87" s="185"/>
      <c r="X87" s="182"/>
      <c r="Y87" s="558"/>
      <c r="Z87" s="188"/>
      <c r="AA87" s="188"/>
      <c r="AB87" s="185"/>
      <c r="AC87" s="182"/>
      <c r="AD87" s="558"/>
      <c r="AE87" s="188"/>
      <c r="AF87" s="188"/>
      <c r="AG87" s="185"/>
      <c r="AH87" s="182"/>
      <c r="AI87" s="558"/>
      <c r="AJ87" s="188"/>
      <c r="AK87" s="188"/>
      <c r="AL87" s="185"/>
      <c r="AM87" s="182"/>
      <c r="AN87" s="558"/>
      <c r="AO87" s="188"/>
      <c r="AP87" s="188"/>
      <c r="AQ87" s="185"/>
      <c r="AR87" s="182"/>
      <c r="AS87" s="558"/>
      <c r="AT87" s="188"/>
      <c r="AU87" s="188"/>
      <c r="AV87" s="185"/>
      <c r="AW87" s="182"/>
      <c r="AX87" s="558"/>
    </row>
    <row r="88" spans="2:50" ht="14.25" customHeight="1">
      <c r="B88" s="530"/>
      <c r="C88" s="180">
        <v>2</v>
      </c>
      <c r="D88" s="183"/>
      <c r="E88" s="180"/>
      <c r="F88" s="180"/>
      <c r="G88" s="185"/>
      <c r="H88" s="558"/>
      <c r="I88" s="186"/>
      <c r="J88" s="186"/>
      <c r="K88" s="187"/>
      <c r="L88" s="559"/>
      <c r="M88" s="186"/>
      <c r="N88" s="530"/>
      <c r="O88" s="530"/>
      <c r="P88" s="188"/>
      <c r="Q88" s="188"/>
      <c r="R88" s="185"/>
      <c r="S88" s="182"/>
      <c r="T88" s="558"/>
      <c r="U88" s="188"/>
      <c r="V88" s="188"/>
      <c r="W88" s="185"/>
      <c r="X88" s="182"/>
      <c r="Y88" s="558"/>
      <c r="Z88" s="188"/>
      <c r="AA88" s="188"/>
      <c r="AB88" s="185"/>
      <c r="AC88" s="182"/>
      <c r="AD88" s="558"/>
      <c r="AE88" s="188"/>
      <c r="AF88" s="188"/>
      <c r="AG88" s="185"/>
      <c r="AH88" s="182"/>
      <c r="AI88" s="558"/>
      <c r="AJ88" s="188"/>
      <c r="AK88" s="188"/>
      <c r="AL88" s="185"/>
      <c r="AM88" s="182"/>
      <c r="AN88" s="558"/>
      <c r="AO88" s="188"/>
      <c r="AP88" s="188"/>
      <c r="AQ88" s="185"/>
      <c r="AR88" s="182"/>
      <c r="AS88" s="558"/>
      <c r="AT88" s="188"/>
      <c r="AU88" s="188"/>
      <c r="AV88" s="185"/>
      <c r="AW88" s="182"/>
      <c r="AX88" s="558"/>
    </row>
    <row r="89" spans="2:50" ht="14.25" customHeight="1">
      <c r="B89" s="530"/>
      <c r="C89" s="180">
        <v>3</v>
      </c>
      <c r="D89" s="183"/>
      <c r="E89" s="180"/>
      <c r="F89" s="180"/>
      <c r="G89" s="185"/>
      <c r="H89" s="558"/>
      <c r="I89" s="186"/>
      <c r="J89" s="186"/>
      <c r="K89" s="187"/>
      <c r="L89" s="559"/>
      <c r="M89" s="186"/>
      <c r="N89" s="530"/>
      <c r="O89" s="530"/>
      <c r="P89" s="188"/>
      <c r="Q89" s="188"/>
      <c r="R89" s="185"/>
      <c r="S89" s="182"/>
      <c r="T89" s="558"/>
      <c r="U89" s="188"/>
      <c r="V89" s="188"/>
      <c r="W89" s="185"/>
      <c r="X89" s="182"/>
      <c r="Y89" s="558"/>
      <c r="Z89" s="188"/>
      <c r="AA89" s="188"/>
      <c r="AB89" s="185"/>
      <c r="AC89" s="182"/>
      <c r="AD89" s="558"/>
      <c r="AE89" s="188"/>
      <c r="AF89" s="188"/>
      <c r="AG89" s="185"/>
      <c r="AH89" s="182"/>
      <c r="AI89" s="558"/>
      <c r="AJ89" s="188"/>
      <c r="AK89" s="188"/>
      <c r="AL89" s="185"/>
      <c r="AM89" s="182"/>
      <c r="AN89" s="558"/>
      <c r="AO89" s="188"/>
      <c r="AP89" s="188"/>
      <c r="AQ89" s="185"/>
      <c r="AR89" s="182"/>
      <c r="AS89" s="558"/>
      <c r="AT89" s="188"/>
      <c r="AU89" s="188"/>
      <c r="AV89" s="185"/>
      <c r="AW89" s="182"/>
      <c r="AX89" s="558"/>
    </row>
    <row r="90" spans="2:50" ht="14.25" customHeight="1">
      <c r="B90" s="530"/>
      <c r="C90" s="180">
        <v>4</v>
      </c>
      <c r="D90" s="183"/>
      <c r="E90" s="180"/>
      <c r="F90" s="180"/>
      <c r="G90" s="185"/>
      <c r="H90" s="558"/>
      <c r="I90" s="186"/>
      <c r="J90" s="186"/>
      <c r="K90" s="187"/>
      <c r="L90" s="559"/>
      <c r="M90" s="186"/>
      <c r="N90" s="530"/>
      <c r="O90" s="530"/>
      <c r="P90" s="188"/>
      <c r="Q90" s="188"/>
      <c r="R90" s="185"/>
      <c r="S90" s="182"/>
      <c r="T90" s="558"/>
      <c r="U90" s="188"/>
      <c r="V90" s="188"/>
      <c r="W90" s="185"/>
      <c r="X90" s="182"/>
      <c r="Y90" s="558"/>
      <c r="Z90" s="188"/>
      <c r="AA90" s="188"/>
      <c r="AB90" s="185"/>
      <c r="AC90" s="182"/>
      <c r="AD90" s="558"/>
      <c r="AE90" s="188"/>
      <c r="AF90" s="188"/>
      <c r="AG90" s="185"/>
      <c r="AH90" s="182"/>
      <c r="AI90" s="558"/>
      <c r="AJ90" s="188"/>
      <c r="AK90" s="188"/>
      <c r="AL90" s="185"/>
      <c r="AM90" s="182"/>
      <c r="AN90" s="558"/>
      <c r="AO90" s="188"/>
      <c r="AP90" s="188"/>
      <c r="AQ90" s="185"/>
      <c r="AR90" s="182"/>
      <c r="AS90" s="558"/>
      <c r="AT90" s="188"/>
      <c r="AU90" s="188"/>
      <c r="AV90" s="185"/>
      <c r="AW90" s="182"/>
      <c r="AX90" s="558"/>
    </row>
    <row r="91" spans="2:50" ht="14.25" customHeight="1">
      <c r="B91" s="530"/>
      <c r="C91" s="180">
        <v>5</v>
      </c>
      <c r="D91" s="183"/>
      <c r="E91" s="180"/>
      <c r="F91" s="180"/>
      <c r="G91" s="185"/>
      <c r="H91" s="558"/>
      <c r="I91" s="186"/>
      <c r="J91" s="186"/>
      <c r="K91" s="187"/>
      <c r="L91" s="559"/>
      <c r="M91" s="186"/>
      <c r="N91" s="530"/>
      <c r="O91" s="530"/>
      <c r="P91" s="188"/>
      <c r="Q91" s="188"/>
      <c r="R91" s="185"/>
      <c r="S91" s="182"/>
      <c r="T91" s="558"/>
      <c r="U91" s="188"/>
      <c r="V91" s="188"/>
      <c r="W91" s="185"/>
      <c r="X91" s="182"/>
      <c r="Y91" s="558"/>
      <c r="Z91" s="188"/>
      <c r="AA91" s="188"/>
      <c r="AB91" s="185"/>
      <c r="AC91" s="182"/>
      <c r="AD91" s="558"/>
      <c r="AE91" s="188"/>
      <c r="AF91" s="188"/>
      <c r="AG91" s="185"/>
      <c r="AH91" s="182"/>
      <c r="AI91" s="558"/>
      <c r="AJ91" s="188"/>
      <c r="AK91" s="188"/>
      <c r="AL91" s="185"/>
      <c r="AM91" s="182"/>
      <c r="AN91" s="558"/>
      <c r="AO91" s="188"/>
      <c r="AP91" s="188"/>
      <c r="AQ91" s="185"/>
      <c r="AR91" s="182"/>
      <c r="AS91" s="558"/>
      <c r="AT91" s="188"/>
      <c r="AU91" s="188"/>
      <c r="AV91" s="185"/>
      <c r="AW91" s="182"/>
      <c r="AX91" s="558"/>
    </row>
    <row r="92" spans="2:50" ht="14.25" customHeight="1">
      <c r="B92" s="530"/>
      <c r="C92" s="180">
        <v>6</v>
      </c>
      <c r="D92" s="183"/>
      <c r="E92" s="180"/>
      <c r="F92" s="180"/>
      <c r="G92" s="185"/>
      <c r="H92" s="558"/>
      <c r="I92" s="186"/>
      <c r="J92" s="186"/>
      <c r="K92" s="187"/>
      <c r="L92" s="559"/>
      <c r="M92" s="186"/>
      <c r="N92" s="530"/>
      <c r="O92" s="530"/>
      <c r="P92" s="188"/>
      <c r="Q92" s="188"/>
      <c r="R92" s="185"/>
      <c r="S92" s="182"/>
      <c r="T92" s="558"/>
      <c r="U92" s="188"/>
      <c r="V92" s="188"/>
      <c r="W92" s="185"/>
      <c r="X92" s="182"/>
      <c r="Y92" s="558"/>
      <c r="Z92" s="188"/>
      <c r="AA92" s="188"/>
      <c r="AB92" s="185"/>
      <c r="AC92" s="182"/>
      <c r="AD92" s="558"/>
      <c r="AE92" s="188"/>
      <c r="AF92" s="188"/>
      <c r="AG92" s="185"/>
      <c r="AH92" s="182"/>
      <c r="AI92" s="558"/>
      <c r="AJ92" s="188"/>
      <c r="AK92" s="188"/>
      <c r="AL92" s="185"/>
      <c r="AM92" s="182"/>
      <c r="AN92" s="558"/>
      <c r="AO92" s="188"/>
      <c r="AP92" s="188"/>
      <c r="AQ92" s="185"/>
      <c r="AR92" s="182"/>
      <c r="AS92" s="558"/>
      <c r="AT92" s="188"/>
      <c r="AU92" s="188"/>
      <c r="AV92" s="185"/>
      <c r="AW92" s="182"/>
      <c r="AX92" s="558"/>
    </row>
    <row r="93" spans="2:50" ht="14.25" customHeight="1">
      <c r="B93" s="530"/>
      <c r="C93" s="180">
        <v>7</v>
      </c>
      <c r="D93" s="183"/>
      <c r="E93" s="180"/>
      <c r="F93" s="180"/>
      <c r="G93" s="185"/>
      <c r="H93" s="558"/>
      <c r="I93" s="186"/>
      <c r="J93" s="186"/>
      <c r="K93" s="187"/>
      <c r="L93" s="559"/>
      <c r="M93" s="186"/>
      <c r="N93" s="530"/>
      <c r="O93" s="530"/>
      <c r="P93" s="188"/>
      <c r="Q93" s="188"/>
      <c r="R93" s="185"/>
      <c r="S93" s="182"/>
      <c r="T93" s="558"/>
      <c r="U93" s="188"/>
      <c r="V93" s="188"/>
      <c r="W93" s="185"/>
      <c r="X93" s="182"/>
      <c r="Y93" s="558"/>
      <c r="Z93" s="188"/>
      <c r="AA93" s="188"/>
      <c r="AB93" s="185"/>
      <c r="AC93" s="182"/>
      <c r="AD93" s="558"/>
      <c r="AE93" s="188"/>
      <c r="AF93" s="188"/>
      <c r="AG93" s="185"/>
      <c r="AH93" s="182"/>
      <c r="AI93" s="558"/>
      <c r="AJ93" s="188"/>
      <c r="AK93" s="188"/>
      <c r="AL93" s="185"/>
      <c r="AM93" s="182"/>
      <c r="AN93" s="558"/>
      <c r="AO93" s="188"/>
      <c r="AP93" s="188"/>
      <c r="AQ93" s="185"/>
      <c r="AR93" s="182"/>
      <c r="AS93" s="558"/>
      <c r="AT93" s="188"/>
      <c r="AU93" s="188"/>
      <c r="AV93" s="185"/>
      <c r="AW93" s="182"/>
      <c r="AX93" s="558"/>
    </row>
    <row r="94" spans="2:50" ht="14.25" customHeight="1">
      <c r="B94" s="530"/>
      <c r="C94" s="180">
        <v>8</v>
      </c>
      <c r="D94" s="183"/>
      <c r="E94" s="180"/>
      <c r="F94" s="180"/>
      <c r="G94" s="185"/>
      <c r="H94" s="558"/>
      <c r="I94" s="186"/>
      <c r="J94" s="186"/>
      <c r="K94" s="187"/>
      <c r="L94" s="559"/>
      <c r="M94" s="186"/>
      <c r="N94" s="530"/>
      <c r="O94" s="530"/>
      <c r="P94" s="188"/>
      <c r="Q94" s="188"/>
      <c r="R94" s="185"/>
      <c r="S94" s="182"/>
      <c r="T94" s="558"/>
      <c r="U94" s="188"/>
      <c r="V94" s="188"/>
      <c r="W94" s="185"/>
      <c r="X94" s="182"/>
      <c r="Y94" s="558"/>
      <c r="Z94" s="188"/>
      <c r="AA94" s="188"/>
      <c r="AB94" s="185"/>
      <c r="AC94" s="182"/>
      <c r="AD94" s="558"/>
      <c r="AE94" s="188"/>
      <c r="AF94" s="188"/>
      <c r="AG94" s="185"/>
      <c r="AH94" s="182"/>
      <c r="AI94" s="558"/>
      <c r="AJ94" s="188"/>
      <c r="AK94" s="188"/>
      <c r="AL94" s="185"/>
      <c r="AM94" s="182"/>
      <c r="AN94" s="558"/>
      <c r="AO94" s="188"/>
      <c r="AP94" s="188"/>
      <c r="AQ94" s="185"/>
      <c r="AR94" s="182"/>
      <c r="AS94" s="558"/>
      <c r="AT94" s="188"/>
      <c r="AU94" s="188"/>
      <c r="AV94" s="185"/>
      <c r="AW94" s="182"/>
      <c r="AX94" s="558"/>
    </row>
    <row r="95" spans="2:50" ht="14.25" customHeight="1">
      <c r="B95" s="530"/>
      <c r="C95" s="180">
        <v>9</v>
      </c>
      <c r="D95" s="183"/>
      <c r="E95" s="180"/>
      <c r="F95" s="180"/>
      <c r="G95" s="185"/>
      <c r="H95" s="558"/>
      <c r="I95" s="186"/>
      <c r="J95" s="186"/>
      <c r="K95" s="187"/>
      <c r="L95" s="559"/>
      <c r="M95" s="186"/>
      <c r="N95" s="530"/>
      <c r="O95" s="530"/>
      <c r="P95" s="188"/>
      <c r="Q95" s="188"/>
      <c r="R95" s="185"/>
      <c r="S95" s="182"/>
      <c r="T95" s="558"/>
      <c r="U95" s="188"/>
      <c r="V95" s="188"/>
      <c r="W95" s="185"/>
      <c r="X95" s="182"/>
      <c r="Y95" s="558"/>
      <c r="Z95" s="188"/>
      <c r="AA95" s="188"/>
      <c r="AB95" s="185"/>
      <c r="AC95" s="182"/>
      <c r="AD95" s="558"/>
      <c r="AE95" s="188"/>
      <c r="AF95" s="188"/>
      <c r="AG95" s="185"/>
      <c r="AH95" s="182"/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/>
      <c r="AU95" s="188"/>
      <c r="AV95" s="185"/>
      <c r="AW95" s="182"/>
      <c r="AX95" s="558"/>
    </row>
    <row r="96" spans="2:50" ht="14.25" customHeight="1">
      <c r="B96" s="530"/>
      <c r="C96" s="180">
        <v>10</v>
      </c>
      <c r="D96" s="183"/>
      <c r="E96" s="180"/>
      <c r="F96" s="180"/>
      <c r="G96" s="185"/>
      <c r="H96" s="558"/>
      <c r="I96" s="186"/>
      <c r="J96" s="186"/>
      <c r="K96" s="187"/>
      <c r="L96" s="559"/>
      <c r="M96" s="186"/>
      <c r="N96" s="530"/>
      <c r="O96" s="530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/>
      <c r="AU96" s="188"/>
      <c r="AV96" s="185"/>
      <c r="AW96" s="182"/>
      <c r="AX96" s="558"/>
    </row>
    <row r="97" spans="2:50" ht="14.25" customHeight="1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30"/>
      <c r="O97" s="530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 ht="14.25" customHeight="1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30"/>
      <c r="O98" s="530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 ht="14.25" customHeight="1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30"/>
      <c r="O99" s="530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 ht="14.25" customHeight="1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30"/>
      <c r="O100" s="530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 ht="14.25" customHeight="1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30"/>
      <c r="O101" s="530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zoomScaleNormal="100" workbookViewId="0">
      <pane xSplit="13" ySplit="1" topLeftCell="AI69" activePane="bottomRight" state="frozen"/>
      <selection pane="bottomRight" activeCell="AW87" sqref="AW87"/>
      <selection pane="bottomLeft" activeCell="L95" sqref="L95"/>
      <selection pane="topRight" activeCell="L95" sqref="L95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.6">
      <c r="A1" s="74"/>
      <c r="B1" s="371" t="s">
        <v>208</v>
      </c>
      <c r="C1" s="175">
        <f>AVERAGE(L27,L47,L67,L87)</f>
        <v>97.15750138812345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f t="shared" ref="AJ2" si="2">AE2+1</f>
        <v>46053</v>
      </c>
      <c r="AK2" s="589"/>
      <c r="AL2" s="589"/>
      <c r="AM2" s="589"/>
      <c r="AN2" s="590"/>
      <c r="AO2" s="598">
        <f t="shared" ref="AO2" si="3">AJ2+1</f>
        <v>46054</v>
      </c>
      <c r="AP2" s="599"/>
      <c r="AQ2" s="599"/>
      <c r="AR2" s="599"/>
      <c r="AS2" s="599"/>
      <c r="AT2" s="588">
        <f t="shared" ref="AT2" si="4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5">Z2</f>
        <v>46051</v>
      </c>
      <c r="AA3" s="591"/>
      <c r="AB3" s="591"/>
      <c r="AC3" s="591"/>
      <c r="AD3" s="591"/>
      <c r="AE3" s="592">
        <f t="shared" ref="AE3" si="6">AE2</f>
        <v>46052</v>
      </c>
      <c r="AF3" s="592"/>
      <c r="AG3" s="592"/>
      <c r="AH3" s="592"/>
      <c r="AI3" s="592"/>
      <c r="AJ3" s="593">
        <f t="shared" ref="AJ3" si="7">AJ2</f>
        <v>46053</v>
      </c>
      <c r="AK3" s="594"/>
      <c r="AL3" s="594"/>
      <c r="AM3" s="594"/>
      <c r="AN3" s="595"/>
      <c r="AO3" s="592">
        <f t="shared" ref="AO3" si="8">AO2</f>
        <v>46054</v>
      </c>
      <c r="AP3" s="592"/>
      <c r="AQ3" s="592"/>
      <c r="AR3" s="592"/>
      <c r="AS3" s="592"/>
      <c r="AT3" s="593">
        <f t="shared" ref="AT3" si="9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 t="s">
        <v>137</v>
      </c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530" t="s">
        <v>220</v>
      </c>
      <c r="C7" s="180">
        <v>1</v>
      </c>
      <c r="D7" s="183" t="s">
        <v>221</v>
      </c>
      <c r="E7" s="180">
        <v>19</v>
      </c>
      <c r="F7" s="180">
        <v>1800</v>
      </c>
      <c r="G7" s="185">
        <f t="shared" ref="G7:G10" si="10">F7/E7</f>
        <v>94.736842105263165</v>
      </c>
      <c r="H7" s="558">
        <f>AVERAGE(G7:G21)</f>
        <v>119.73684210526316</v>
      </c>
      <c r="I7" s="186">
        <f>AVERAGE(P7,U7,Z7,AE7,AJ7,AO7,AT7)</f>
        <v>19</v>
      </c>
      <c r="J7" s="186">
        <f>AVERAGE(Q7,V7,AA7,AF7,AK7,AP7,AU7)</f>
        <v>1606.0612311917703</v>
      </c>
      <c r="K7" s="187">
        <f>AVERAGE(R7,W7,AB7,AG7,AL7,AQ7,AV7)</f>
        <v>84.529538483777401</v>
      </c>
      <c r="L7" s="559">
        <f>IFERROR(AVERAGE(K7:K21),"-")</f>
        <v>106.72236935052067</v>
      </c>
      <c r="M7" s="186">
        <f>RANK(K7, K$7:$K$21)</f>
        <v>3</v>
      </c>
      <c r="N7" s="530"/>
      <c r="O7" s="530"/>
      <c r="P7" s="188">
        <v>19</v>
      </c>
      <c r="Q7" s="188">
        <v>1605.8972198820534</v>
      </c>
      <c r="R7" s="185">
        <f>IFERROR(Q7/P7,"")</f>
        <v>84.520906309581761</v>
      </c>
      <c r="S7" s="182">
        <f>RANK(R7, R$7:R$21)</f>
        <v>3</v>
      </c>
      <c r="T7" s="558">
        <f>AVERAGE(R7:R21)</f>
        <v>106.6551970288738</v>
      </c>
      <c r="U7" s="188">
        <v>19</v>
      </c>
      <c r="V7" s="188">
        <v>1605.9528130671504</v>
      </c>
      <c r="W7" s="185">
        <f t="shared" ref="W7:W10" si="11">IFERROR(V7/U7,"")</f>
        <v>84.523832266692125</v>
      </c>
      <c r="X7" s="182">
        <f>RANK(W7, W$7:W$21)</f>
        <v>3</v>
      </c>
      <c r="Y7" s="558">
        <f>AVERAGE(W7:W21)</f>
        <v>106.67641100135985</v>
      </c>
      <c r="Z7" s="188">
        <v>19</v>
      </c>
      <c r="AA7" s="188">
        <v>1606.174698795181</v>
      </c>
      <c r="AB7" s="185">
        <f t="shared" ref="AB7:AB10" si="12">IFERROR(AA7/Z7,"")</f>
        <v>84.53551046290427</v>
      </c>
      <c r="AC7" s="182">
        <f>RANK(AB7, AB$7:AB$21)</f>
        <v>3</v>
      </c>
      <c r="AD7" s="558">
        <f>AVERAGE(AB7:AB21)</f>
        <v>106.74788420347036</v>
      </c>
      <c r="AE7" s="188">
        <v>19</v>
      </c>
      <c r="AF7" s="188">
        <v>1606.3460585027265</v>
      </c>
      <c r="AG7" s="185">
        <f>IFERROR(AF7/AE7,"")</f>
        <v>84.544529394880342</v>
      </c>
      <c r="AH7" s="182">
        <f>RANK(AG7, AG$7:AG$21)</f>
        <v>3</v>
      </c>
      <c r="AI7" s="558">
        <f>AVERAGE(AG7:AG21)</f>
        <v>106.73080219796876</v>
      </c>
      <c r="AJ7" s="188">
        <v>19</v>
      </c>
      <c r="AK7" s="188">
        <v>1606.1288868859847</v>
      </c>
      <c r="AL7" s="185">
        <f t="shared" ref="AL7:AL10" si="13">IFERROR(AK7/AJ7,"")</f>
        <v>84.533099309788668</v>
      </c>
      <c r="AM7" s="182">
        <f>RANK(AL7, AL$7:AL$21)</f>
        <v>3</v>
      </c>
      <c r="AN7" s="558">
        <f>AVERAGE(AL7:AL21)</f>
        <v>106.7268053541591</v>
      </c>
      <c r="AO7" s="188">
        <v>19</v>
      </c>
      <c r="AP7" s="188">
        <v>1605.9003051881978</v>
      </c>
      <c r="AQ7" s="185">
        <f t="shared" ref="AQ7:AQ10" si="14">IFERROR(AP7/AO7,"")</f>
        <v>84.521068694115669</v>
      </c>
      <c r="AR7" s="182">
        <f>RANK(AQ7, AQ$7:AQ$21)</f>
        <v>3</v>
      </c>
      <c r="AS7" s="558">
        <f>AVERAGE(AQ7:AQ21)</f>
        <v>106.75204617103068</v>
      </c>
      <c r="AT7" s="188">
        <v>19</v>
      </c>
      <c r="AU7" s="188">
        <v>1606.0286360210996</v>
      </c>
      <c r="AV7" s="185">
        <f t="shared" ref="AV7:AV10" si="15">IFERROR(AU7/AT7,"")</f>
        <v>84.527822948478928</v>
      </c>
      <c r="AW7" s="182">
        <f>RANK(AV7, AV$7:AV$21)</f>
        <v>3</v>
      </c>
      <c r="AX7" s="558">
        <f>AVERAGE(AV7:AV21)</f>
        <v>106.76743949678213</v>
      </c>
    </row>
    <row r="8" spans="1:50" ht="14.25" customHeight="1">
      <c r="B8" s="530"/>
      <c r="C8" s="180">
        <v>2</v>
      </c>
      <c r="D8" s="183" t="s">
        <v>222</v>
      </c>
      <c r="E8" s="180">
        <v>18</v>
      </c>
      <c r="F8" s="180">
        <v>1800</v>
      </c>
      <c r="G8" s="185">
        <f t="shared" si="10"/>
        <v>100</v>
      </c>
      <c r="H8" s="558"/>
      <c r="I8" s="186">
        <f t="shared" ref="I8:I10" si="16">AVERAGE(P8,U8,Z8,AE8,AJ8,AO8,AT8)</f>
        <v>18</v>
      </c>
      <c r="J8" s="186">
        <f t="shared" ref="J8:J10" si="17">AVERAGE(Q8,V8,AA8,AF8,AK8,AP8,AU8)</f>
        <v>1605.2765123130234</v>
      </c>
      <c r="K8" s="187">
        <f t="shared" ref="K8:K10" si="18">AVERAGE(R8,W8,AB8,AG8,AL8,AQ8,AV8)</f>
        <v>89.182028461834634</v>
      </c>
      <c r="L8" s="559"/>
      <c r="M8" s="186">
        <f>RANK(K8, K$7:$K$21)</f>
        <v>2</v>
      </c>
      <c r="N8" s="530"/>
      <c r="O8" s="530"/>
      <c r="P8" s="188">
        <v>18</v>
      </c>
      <c r="Q8" s="188">
        <v>1604.9999999999993</v>
      </c>
      <c r="R8" s="185">
        <f t="shared" ref="R8:R10" si="19">IFERROR(Q8/P8,"")</f>
        <v>89.166666666666629</v>
      </c>
      <c r="S8" s="182">
        <f t="shared" ref="S8:S10" si="20">RANK(R8, R$7:R$21)</f>
        <v>2</v>
      </c>
      <c r="T8" s="558"/>
      <c r="U8" s="188">
        <v>18</v>
      </c>
      <c r="V8" s="188">
        <v>1605.5841293166786</v>
      </c>
      <c r="W8" s="185">
        <f t="shared" si="11"/>
        <v>89.199118295371036</v>
      </c>
      <c r="X8" s="182">
        <f t="shared" ref="X8:X10" si="21">RANK(W8, W$7:W$21)</f>
        <v>2</v>
      </c>
      <c r="Y8" s="558"/>
      <c r="Z8" s="188">
        <v>18</v>
      </c>
      <c r="AA8" s="188">
        <v>1605.0955414012737</v>
      </c>
      <c r="AB8" s="185">
        <f t="shared" si="12"/>
        <v>89.171974522292984</v>
      </c>
      <c r="AC8" s="182">
        <f t="shared" ref="AC8:AC10" si="22">RANK(AB8, AB$7:AB$21)</f>
        <v>2</v>
      </c>
      <c r="AD8" s="558"/>
      <c r="AE8" s="188">
        <v>18</v>
      </c>
      <c r="AF8" s="188">
        <v>1605.1222351571655</v>
      </c>
      <c r="AG8" s="185">
        <f t="shared" ref="AG8:AG10" si="23">IFERROR(AF8/AE8,"")</f>
        <v>89.173457508731417</v>
      </c>
      <c r="AH8" s="182">
        <f t="shared" ref="AH8:AH10" si="24">RANK(AG8, AG$7:AG$21)</f>
        <v>2</v>
      </c>
      <c r="AI8" s="558"/>
      <c r="AJ8" s="188">
        <v>18</v>
      </c>
      <c r="AK8" s="188">
        <v>1605.9259259259284</v>
      </c>
      <c r="AL8" s="185">
        <f t="shared" si="13"/>
        <v>89.218106995884909</v>
      </c>
      <c r="AM8" s="182">
        <f t="shared" ref="AM8:AM10" si="25">RANK(AL8, AL$7:AL$21)</f>
        <v>2</v>
      </c>
      <c r="AN8" s="558"/>
      <c r="AO8" s="188">
        <v>18</v>
      </c>
      <c r="AP8" s="188">
        <v>1605.2884615384667</v>
      </c>
      <c r="AQ8" s="185">
        <f t="shared" si="14"/>
        <v>89.182692307692591</v>
      </c>
      <c r="AR8" s="182">
        <f t="shared" ref="AR8:AR10" si="26">RANK(AQ8, AQ$7:AQ$21)</f>
        <v>2</v>
      </c>
      <c r="AS8" s="558"/>
      <c r="AT8" s="188">
        <v>18</v>
      </c>
      <c r="AU8" s="188">
        <v>1604.9192928516522</v>
      </c>
      <c r="AV8" s="185">
        <f t="shared" si="15"/>
        <v>89.162182936202896</v>
      </c>
      <c r="AW8" s="182">
        <f t="shared" ref="AW8:AW10" si="27">RANK(AV8, AV$7:AV$21)</f>
        <v>2</v>
      </c>
      <c r="AX8" s="558"/>
    </row>
    <row r="9" spans="1:50" ht="14.25" customHeight="1">
      <c r="B9" s="530"/>
      <c r="C9" s="180">
        <v>3</v>
      </c>
      <c r="D9" s="183" t="s">
        <v>223</v>
      </c>
      <c r="E9" s="180">
        <v>19</v>
      </c>
      <c r="F9" s="180">
        <v>3600</v>
      </c>
      <c r="G9" s="185">
        <f t="shared" si="10"/>
        <v>189.47368421052633</v>
      </c>
      <c r="H9" s="558"/>
      <c r="I9" s="186">
        <f t="shared" si="16"/>
        <v>19</v>
      </c>
      <c r="J9" s="186">
        <f t="shared" si="17"/>
        <v>3206.5855184275833</v>
      </c>
      <c r="K9" s="187">
        <f t="shared" si="18"/>
        <v>168.76765886460967</v>
      </c>
      <c r="L9" s="559"/>
      <c r="M9" s="186">
        <f>RANK(K9, K$7:$K$21)</f>
        <v>1</v>
      </c>
      <c r="N9" s="530"/>
      <c r="O9" s="530"/>
      <c r="P9" s="188">
        <v>19</v>
      </c>
      <c r="Q9" s="188">
        <v>3202.2417934347473</v>
      </c>
      <c r="R9" s="185">
        <f t="shared" si="19"/>
        <v>168.53904175972355</v>
      </c>
      <c r="S9" s="182">
        <f t="shared" si="20"/>
        <v>1</v>
      </c>
      <c r="T9" s="558"/>
      <c r="U9" s="188">
        <v>19</v>
      </c>
      <c r="V9" s="188">
        <v>3203.1007751938005</v>
      </c>
      <c r="W9" s="185">
        <f t="shared" si="11"/>
        <v>168.5842513259895</v>
      </c>
      <c r="X9" s="182">
        <f t="shared" si="21"/>
        <v>1</v>
      </c>
      <c r="Y9" s="558"/>
      <c r="Z9" s="188">
        <v>19</v>
      </c>
      <c r="AA9" s="188">
        <v>3208.4961767204795</v>
      </c>
      <c r="AB9" s="185">
        <f t="shared" si="12"/>
        <v>168.86821982739366</v>
      </c>
      <c r="AC9" s="182">
        <f t="shared" si="22"/>
        <v>1</v>
      </c>
      <c r="AD9" s="558"/>
      <c r="AE9" s="188">
        <v>19</v>
      </c>
      <c r="AF9" s="188">
        <v>3207.0562293274547</v>
      </c>
      <c r="AG9" s="185">
        <f t="shared" si="23"/>
        <v>168.79243312249761</v>
      </c>
      <c r="AH9" s="182">
        <f t="shared" si="24"/>
        <v>1</v>
      </c>
      <c r="AI9" s="558"/>
      <c r="AJ9" s="188">
        <v>19</v>
      </c>
      <c r="AK9" s="188">
        <v>3206.198723792168</v>
      </c>
      <c r="AL9" s="185">
        <f t="shared" si="13"/>
        <v>168.74730125221936</v>
      </c>
      <c r="AM9" s="182">
        <f t="shared" si="25"/>
        <v>1</v>
      </c>
      <c r="AN9" s="558"/>
      <c r="AO9" s="188">
        <v>19</v>
      </c>
      <c r="AP9" s="188">
        <v>3208.6956521739185</v>
      </c>
      <c r="AQ9" s="185">
        <f t="shared" si="14"/>
        <v>168.8787185354694</v>
      </c>
      <c r="AR9" s="182">
        <f t="shared" si="26"/>
        <v>1</v>
      </c>
      <c r="AS9" s="558"/>
      <c r="AT9" s="188">
        <v>19</v>
      </c>
      <c r="AU9" s="188">
        <v>3210.3092783505163</v>
      </c>
      <c r="AV9" s="185">
        <f t="shared" si="15"/>
        <v>168.96364622897454</v>
      </c>
      <c r="AW9" s="182">
        <f t="shared" si="27"/>
        <v>1</v>
      </c>
      <c r="AX9" s="558"/>
    </row>
    <row r="10" spans="1:50" ht="14.25" customHeight="1">
      <c r="B10" s="530"/>
      <c r="C10" s="180">
        <v>4</v>
      </c>
      <c r="D10" s="183" t="s">
        <v>224</v>
      </c>
      <c r="E10" s="180">
        <v>19</v>
      </c>
      <c r="F10" s="180">
        <v>1800</v>
      </c>
      <c r="G10" s="185">
        <f t="shared" si="10"/>
        <v>94.736842105263165</v>
      </c>
      <c r="H10" s="558"/>
      <c r="I10" s="186">
        <f t="shared" si="16"/>
        <v>19</v>
      </c>
      <c r="J10" s="186">
        <f t="shared" si="17"/>
        <v>1603.7947802453587</v>
      </c>
      <c r="K10" s="187">
        <f t="shared" si="18"/>
        <v>84.410251591860998</v>
      </c>
      <c r="L10" s="559"/>
      <c r="M10" s="186">
        <f>RANK(K10, K$7:$K$21)</f>
        <v>4</v>
      </c>
      <c r="N10" s="530"/>
      <c r="O10" s="530"/>
      <c r="P10" s="188">
        <v>19</v>
      </c>
      <c r="Q10" s="188">
        <v>1603.4892942109432</v>
      </c>
      <c r="R10" s="185">
        <f t="shared" si="19"/>
        <v>84.394173379523323</v>
      </c>
      <c r="S10" s="182">
        <f t="shared" si="20"/>
        <v>4</v>
      </c>
      <c r="T10" s="558"/>
      <c r="U10" s="188">
        <v>19</v>
      </c>
      <c r="V10" s="188">
        <v>1603.5704002303485</v>
      </c>
      <c r="W10" s="185">
        <f t="shared" si="11"/>
        <v>84.398442117386764</v>
      </c>
      <c r="X10" s="182">
        <f t="shared" si="21"/>
        <v>4</v>
      </c>
      <c r="Y10" s="558"/>
      <c r="Z10" s="188">
        <v>19</v>
      </c>
      <c r="AA10" s="188">
        <v>1603.9008080245208</v>
      </c>
      <c r="AB10" s="185">
        <f t="shared" si="12"/>
        <v>84.415832001290568</v>
      </c>
      <c r="AC10" s="182">
        <f t="shared" si="22"/>
        <v>4</v>
      </c>
      <c r="AD10" s="558"/>
      <c r="AE10" s="188">
        <v>19</v>
      </c>
      <c r="AF10" s="188">
        <v>1603.842986549547</v>
      </c>
      <c r="AG10" s="185">
        <f t="shared" si="23"/>
        <v>84.41278876576564</v>
      </c>
      <c r="AH10" s="182">
        <f t="shared" si="24"/>
        <v>4</v>
      </c>
      <c r="AI10" s="558"/>
      <c r="AJ10" s="188">
        <v>19</v>
      </c>
      <c r="AK10" s="188">
        <v>1603.7655633161253</v>
      </c>
      <c r="AL10" s="185">
        <f t="shared" si="13"/>
        <v>84.40871385874344</v>
      </c>
      <c r="AM10" s="182">
        <f t="shared" si="25"/>
        <v>4</v>
      </c>
      <c r="AN10" s="558"/>
      <c r="AO10" s="188">
        <v>19</v>
      </c>
      <c r="AP10" s="188">
        <v>1604.088397790056</v>
      </c>
      <c r="AQ10" s="185">
        <f t="shared" si="14"/>
        <v>84.425705146845047</v>
      </c>
      <c r="AR10" s="182">
        <f t="shared" si="26"/>
        <v>4</v>
      </c>
      <c r="AS10" s="558"/>
      <c r="AT10" s="188">
        <v>19</v>
      </c>
      <c r="AU10" s="188">
        <v>1603.9060115959717</v>
      </c>
      <c r="AV10" s="185">
        <f t="shared" si="15"/>
        <v>84.416105873472191</v>
      </c>
      <c r="AW10" s="182">
        <f t="shared" si="27"/>
        <v>4</v>
      </c>
      <c r="AX10" s="558"/>
    </row>
    <row r="11" spans="1:50" ht="14.25" customHeight="1">
      <c r="B11" s="530"/>
      <c r="C11" s="180">
        <v>5</v>
      </c>
      <c r="D11" s="183"/>
      <c r="E11" s="180"/>
      <c r="F11" s="180"/>
      <c r="G11" s="185"/>
      <c r="H11" s="558"/>
      <c r="I11" s="186"/>
      <c r="J11" s="186"/>
      <c r="K11" s="187"/>
      <c r="L11" s="559"/>
      <c r="M11" s="186"/>
      <c r="N11" s="530"/>
      <c r="O11" s="530"/>
      <c r="P11" s="188"/>
      <c r="Q11" s="188"/>
      <c r="R11" s="185"/>
      <c r="S11" s="182"/>
      <c r="T11" s="558"/>
      <c r="U11" s="188"/>
      <c r="V11" s="188"/>
      <c r="W11" s="185"/>
      <c r="X11" s="182"/>
      <c r="Y11" s="558"/>
      <c r="Z11" s="188"/>
      <c r="AA11" s="188"/>
      <c r="AB11" s="185"/>
      <c r="AC11" s="182"/>
      <c r="AD11" s="558"/>
      <c r="AE11" s="188"/>
      <c r="AF11" s="188"/>
      <c r="AG11" s="185"/>
      <c r="AH11" s="182"/>
      <c r="AI11" s="558"/>
      <c r="AJ11" s="188"/>
      <c r="AK11" s="188"/>
      <c r="AL11" s="185"/>
      <c r="AM11" s="182"/>
      <c r="AN11" s="558"/>
      <c r="AO11" s="188"/>
      <c r="AP11" s="188"/>
      <c r="AQ11" s="185"/>
      <c r="AR11" s="182"/>
      <c r="AS11" s="558"/>
      <c r="AT11" s="188"/>
      <c r="AU11" s="188"/>
      <c r="AV11" s="185"/>
      <c r="AW11" s="182"/>
      <c r="AX11" s="558"/>
    </row>
    <row r="12" spans="1:50" ht="14.25" customHeight="1">
      <c r="B12" s="530"/>
      <c r="C12" s="180">
        <v>6</v>
      </c>
      <c r="D12" s="183"/>
      <c r="E12" s="180"/>
      <c r="F12" s="180"/>
      <c r="G12" s="185"/>
      <c r="H12" s="558"/>
      <c r="I12" s="186"/>
      <c r="J12" s="186"/>
      <c r="K12" s="187"/>
      <c r="L12" s="559"/>
      <c r="M12" s="186"/>
      <c r="N12" s="530"/>
      <c r="O12" s="530"/>
      <c r="P12" s="188"/>
      <c r="Q12" s="188"/>
      <c r="R12" s="185"/>
      <c r="S12" s="182"/>
      <c r="T12" s="558"/>
      <c r="U12" s="188"/>
      <c r="V12" s="188"/>
      <c r="W12" s="185"/>
      <c r="X12" s="182"/>
      <c r="Y12" s="558"/>
      <c r="Z12" s="188"/>
      <c r="AA12" s="188"/>
      <c r="AB12" s="185"/>
      <c r="AC12" s="182"/>
      <c r="AD12" s="558"/>
      <c r="AE12" s="188"/>
      <c r="AF12" s="188"/>
      <c r="AG12" s="185"/>
      <c r="AH12" s="182"/>
      <c r="AI12" s="558"/>
      <c r="AJ12" s="188"/>
      <c r="AK12" s="188"/>
      <c r="AL12" s="185"/>
      <c r="AM12" s="182"/>
      <c r="AN12" s="558"/>
      <c r="AO12" s="188"/>
      <c r="AP12" s="188"/>
      <c r="AQ12" s="185"/>
      <c r="AR12" s="182"/>
      <c r="AS12" s="558"/>
      <c r="AT12" s="188"/>
      <c r="AU12" s="188"/>
      <c r="AV12" s="185"/>
      <c r="AW12" s="182"/>
      <c r="AX12" s="558"/>
    </row>
    <row r="13" spans="1:50" ht="14.25" customHeight="1">
      <c r="B13" s="530"/>
      <c r="C13" s="180">
        <v>7</v>
      </c>
      <c r="D13" s="183"/>
      <c r="E13" s="180"/>
      <c r="F13" s="180"/>
      <c r="G13" s="185"/>
      <c r="H13" s="558"/>
      <c r="I13" s="186"/>
      <c r="J13" s="186"/>
      <c r="K13" s="187"/>
      <c r="L13" s="559"/>
      <c r="M13" s="186"/>
      <c r="N13" s="530"/>
      <c r="O13" s="530"/>
      <c r="P13" s="188"/>
      <c r="Q13" s="188"/>
      <c r="R13" s="185"/>
      <c r="S13" s="182"/>
      <c r="T13" s="558"/>
      <c r="U13" s="188"/>
      <c r="V13" s="188"/>
      <c r="W13" s="185"/>
      <c r="X13" s="182"/>
      <c r="Y13" s="558"/>
      <c r="Z13" s="188"/>
      <c r="AA13" s="188"/>
      <c r="AB13" s="185"/>
      <c r="AC13" s="182"/>
      <c r="AD13" s="558"/>
      <c r="AE13" s="188"/>
      <c r="AF13" s="188"/>
      <c r="AG13" s="185"/>
      <c r="AH13" s="182"/>
      <c r="AI13" s="558"/>
      <c r="AJ13" s="188"/>
      <c r="AK13" s="188"/>
      <c r="AL13" s="185"/>
      <c r="AM13" s="182"/>
      <c r="AN13" s="558"/>
      <c r="AO13" s="188"/>
      <c r="AP13" s="188"/>
      <c r="AQ13" s="185"/>
      <c r="AR13" s="182"/>
      <c r="AS13" s="558"/>
      <c r="AT13" s="188"/>
      <c r="AU13" s="188"/>
      <c r="AV13" s="185"/>
      <c r="AW13" s="182"/>
      <c r="AX13" s="558"/>
    </row>
    <row r="14" spans="1:50" ht="14.25" customHeight="1">
      <c r="B14" s="530"/>
      <c r="C14" s="180">
        <v>8</v>
      </c>
      <c r="D14" s="183"/>
      <c r="E14" s="180"/>
      <c r="F14" s="180"/>
      <c r="G14" s="185"/>
      <c r="H14" s="558"/>
      <c r="I14" s="186"/>
      <c r="J14" s="186"/>
      <c r="K14" s="187"/>
      <c r="L14" s="559"/>
      <c r="M14" s="186"/>
      <c r="N14" s="530"/>
      <c r="O14" s="530"/>
      <c r="P14" s="188"/>
      <c r="Q14" s="188"/>
      <c r="R14" s="185"/>
      <c r="S14" s="182"/>
      <c r="T14" s="558"/>
      <c r="U14" s="188"/>
      <c r="V14" s="188"/>
      <c r="W14" s="185"/>
      <c r="X14" s="182"/>
      <c r="Y14" s="558"/>
      <c r="Z14" s="188"/>
      <c r="AA14" s="188"/>
      <c r="AB14" s="185"/>
      <c r="AC14" s="182"/>
      <c r="AD14" s="558"/>
      <c r="AE14" s="188"/>
      <c r="AF14" s="188"/>
      <c r="AG14" s="185"/>
      <c r="AH14" s="182"/>
      <c r="AI14" s="558"/>
      <c r="AJ14" s="188"/>
      <c r="AK14" s="188"/>
      <c r="AL14" s="185"/>
      <c r="AM14" s="182"/>
      <c r="AN14" s="558"/>
      <c r="AO14" s="188"/>
      <c r="AP14" s="188"/>
      <c r="AQ14" s="185"/>
      <c r="AR14" s="182"/>
      <c r="AS14" s="558"/>
      <c r="AT14" s="188"/>
      <c r="AU14" s="188"/>
      <c r="AV14" s="185"/>
      <c r="AW14" s="182"/>
      <c r="AX14" s="558"/>
    </row>
    <row r="15" spans="1:50" ht="14.25" customHeight="1">
      <c r="B15" s="530"/>
      <c r="C15" s="180">
        <v>9</v>
      </c>
      <c r="D15" s="183"/>
      <c r="E15" s="180"/>
      <c r="F15" s="180"/>
      <c r="G15" s="185"/>
      <c r="H15" s="558"/>
      <c r="I15" s="186"/>
      <c r="J15" s="186"/>
      <c r="K15" s="187"/>
      <c r="L15" s="559"/>
      <c r="M15" s="186"/>
      <c r="N15" s="530"/>
      <c r="O15" s="530"/>
      <c r="P15" s="188"/>
      <c r="Q15" s="188"/>
      <c r="R15" s="185"/>
      <c r="S15" s="182"/>
      <c r="T15" s="558"/>
      <c r="U15" s="188"/>
      <c r="V15" s="188"/>
      <c r="W15" s="185"/>
      <c r="X15" s="182"/>
      <c r="Y15" s="558"/>
      <c r="Z15" s="188"/>
      <c r="AA15" s="188"/>
      <c r="AB15" s="185"/>
      <c r="AC15" s="182"/>
      <c r="AD15" s="558"/>
      <c r="AE15" s="188"/>
      <c r="AF15" s="188"/>
      <c r="AG15" s="185"/>
      <c r="AH15" s="182"/>
      <c r="AI15" s="558"/>
      <c r="AJ15" s="188"/>
      <c r="AK15" s="188"/>
      <c r="AL15" s="185"/>
      <c r="AM15" s="182"/>
      <c r="AN15" s="558"/>
      <c r="AO15" s="188"/>
      <c r="AP15" s="188"/>
      <c r="AQ15" s="185"/>
      <c r="AR15" s="182"/>
      <c r="AS15" s="558"/>
      <c r="AT15" s="188"/>
      <c r="AU15" s="188"/>
      <c r="AV15" s="185"/>
      <c r="AW15" s="182"/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28">U22+1</f>
        <v>46058</v>
      </c>
      <c r="AA22" s="597"/>
      <c r="AB22" s="597"/>
      <c r="AC22" s="597"/>
      <c r="AD22" s="597"/>
      <c r="AE22" s="598">
        <f t="shared" ref="AE22" si="29">Z22+1</f>
        <v>46059</v>
      </c>
      <c r="AF22" s="599"/>
      <c r="AG22" s="599"/>
      <c r="AH22" s="599"/>
      <c r="AI22" s="599"/>
      <c r="AJ22" s="588">
        <f t="shared" ref="AJ22" si="30">AE22+1</f>
        <v>46060</v>
      </c>
      <c r="AK22" s="589"/>
      <c r="AL22" s="589"/>
      <c r="AM22" s="589"/>
      <c r="AN22" s="590"/>
      <c r="AO22" s="598">
        <f t="shared" ref="AO22" si="31">AJ22+1</f>
        <v>46061</v>
      </c>
      <c r="AP22" s="599"/>
      <c r="AQ22" s="599"/>
      <c r="AR22" s="599"/>
      <c r="AS22" s="599"/>
      <c r="AT22" s="588">
        <f t="shared" ref="AT22" si="32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33">Z22</f>
        <v>46058</v>
      </c>
      <c r="AA23" s="591"/>
      <c r="AB23" s="591"/>
      <c r="AC23" s="591"/>
      <c r="AD23" s="591"/>
      <c r="AE23" s="592">
        <f t="shared" ref="AE23" si="34">AE22</f>
        <v>46059</v>
      </c>
      <c r="AF23" s="592"/>
      <c r="AG23" s="592"/>
      <c r="AH23" s="592"/>
      <c r="AI23" s="592"/>
      <c r="AJ23" s="593">
        <f t="shared" ref="AJ23" si="35">AJ22</f>
        <v>46060</v>
      </c>
      <c r="AK23" s="594"/>
      <c r="AL23" s="594"/>
      <c r="AM23" s="594"/>
      <c r="AN23" s="595"/>
      <c r="AO23" s="592">
        <f t="shared" ref="AO23" si="36">AO22</f>
        <v>46061</v>
      </c>
      <c r="AP23" s="592"/>
      <c r="AQ23" s="592"/>
      <c r="AR23" s="592"/>
      <c r="AS23" s="592"/>
      <c r="AT23" s="593">
        <f t="shared" ref="AT23" si="37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530" t="s">
        <v>220</v>
      </c>
      <c r="C27" s="180">
        <v>1</v>
      </c>
      <c r="D27" s="183" t="s">
        <v>221</v>
      </c>
      <c r="E27" s="180">
        <v>19</v>
      </c>
      <c r="F27" s="180">
        <v>1800</v>
      </c>
      <c r="G27" s="185">
        <f t="shared" ref="G27:G30" si="38">F27/E27</f>
        <v>94.736842105263165</v>
      </c>
      <c r="H27" s="558">
        <f>AVERAGE(G27:G41)</f>
        <v>119.73684210526316</v>
      </c>
      <c r="I27" s="186">
        <f>AVERAGE(P27,U27,Z27,AE27,AJ27,AO27,AT27)</f>
        <v>19</v>
      </c>
      <c r="J27" s="186">
        <f>AVERAGE(Q27,V27,AA27,AF27,AK27,AP27,AU27)</f>
        <v>1605.8817231871387</v>
      </c>
      <c r="K27" s="187">
        <f>AVERAGE(R27,W27,AB27,AG27,AL27,AQ27,AV27)</f>
        <v>84.520090694059945</v>
      </c>
      <c r="L27" s="559">
        <f>IFERROR(AVERAGE(K27:K41),"-")</f>
        <v>106.79855426542795</v>
      </c>
      <c r="M27" s="186">
        <f>RANK(K27, K$27:$K$41)</f>
        <v>3</v>
      </c>
      <c r="N27" s="530"/>
      <c r="O27" s="530"/>
      <c r="P27" s="188">
        <v>19</v>
      </c>
      <c r="Q27" s="188">
        <v>1606.1302681992352</v>
      </c>
      <c r="R27" s="185">
        <f>IFERROR(Q27/P27,"")</f>
        <v>84.533172010486055</v>
      </c>
      <c r="S27" s="182">
        <f>RANK(R27, R$27:R$41)</f>
        <v>3</v>
      </c>
      <c r="T27" s="558">
        <f>AVERAGE(R27:R41)</f>
        <v>106.79307269526242</v>
      </c>
      <c r="U27" s="188">
        <v>19</v>
      </c>
      <c r="V27" s="188">
        <v>1606.2622309197654</v>
      </c>
      <c r="W27" s="185">
        <f t="shared" ref="W27:W30" si="39">IFERROR(V27/U27,"")</f>
        <v>84.540117416829759</v>
      </c>
      <c r="X27" s="182">
        <f>RANK(W27, W$27:W$41)</f>
        <v>3</v>
      </c>
      <c r="Y27" s="558">
        <f>AVERAGE(W27:W41)</f>
        <v>106.81838633797513</v>
      </c>
      <c r="Z27" s="188">
        <v>19</v>
      </c>
      <c r="AA27" s="188">
        <v>1606.1081304168397</v>
      </c>
      <c r="AB27" s="185">
        <f t="shared" ref="AB27:AB30" si="40">IFERROR(AA27/Z27,"")</f>
        <v>84.532006864044192</v>
      </c>
      <c r="AC27" s="182">
        <f>RANK(AB27, AB$27:AB$41)</f>
        <v>3</v>
      </c>
      <c r="AD27" s="558">
        <f>AVERAGE(AB27:AB41)</f>
        <v>106.80069267818489</v>
      </c>
      <c r="AE27" s="188">
        <v>19</v>
      </c>
      <c r="AF27" s="188">
        <v>1605.7716436637425</v>
      </c>
      <c r="AG27" s="185">
        <f>IFERROR(AF27/AE27,"")</f>
        <v>84.514297034933819</v>
      </c>
      <c r="AH27" s="182">
        <f>RANK(AG27, AG$27:AG$41)</f>
        <v>3</v>
      </c>
      <c r="AI27" s="558">
        <f>AVERAGE(AG27:AG41)</f>
        <v>106.76556173825041</v>
      </c>
      <c r="AJ27" s="188">
        <v>19</v>
      </c>
      <c r="AK27" s="188">
        <v>1605.8500914076794</v>
      </c>
      <c r="AL27" s="185">
        <f t="shared" ref="AL27:AL30" si="41">IFERROR(AK27/AJ27,"")</f>
        <v>84.518425863562072</v>
      </c>
      <c r="AM27" s="182">
        <f>RANK(AL27, AL$27:AL$41)</f>
        <v>2</v>
      </c>
      <c r="AN27" s="558">
        <f>AVERAGE(AL27:AL41)</f>
        <v>112.67509678122595</v>
      </c>
      <c r="AO27" s="188">
        <v>19</v>
      </c>
      <c r="AP27" s="188">
        <v>1605.6242969628811</v>
      </c>
      <c r="AQ27" s="185">
        <f t="shared" ref="AQ27:AQ30" si="42">IFERROR(AP27/AO27,"")</f>
        <v>84.506541945414796</v>
      </c>
      <c r="AR27" s="182">
        <f>RANK(AQ27, AQ$27:AQ$41)</f>
        <v>2</v>
      </c>
      <c r="AS27" s="558">
        <f>AVERAGE(AQ27:AQ41)</f>
        <v>112.6696950607314</v>
      </c>
      <c r="AT27" s="188">
        <v>19</v>
      </c>
      <c r="AU27" s="188">
        <v>1605.4254007398299</v>
      </c>
      <c r="AV27" s="185">
        <f t="shared" ref="AV27:AV30" si="43">IFERROR(AU27/AT27,"")</f>
        <v>84.496073723148939</v>
      </c>
      <c r="AW27" s="182" t="e">
        <f>RANK(AV27, AV$7:AV$21)</f>
        <v>#N/A</v>
      </c>
      <c r="AX27" s="558">
        <f>AVERAGE(AV27:AV41)</f>
        <v>112.69594071133194</v>
      </c>
    </row>
    <row r="28" spans="2:50" ht="14.25" customHeight="1">
      <c r="B28" s="530"/>
      <c r="C28" s="180">
        <v>2</v>
      </c>
      <c r="D28" s="183" t="s">
        <v>222</v>
      </c>
      <c r="E28" s="180">
        <v>18</v>
      </c>
      <c r="F28" s="180">
        <v>1800</v>
      </c>
      <c r="G28" s="185">
        <f t="shared" si="38"/>
        <v>100</v>
      </c>
      <c r="H28" s="558"/>
      <c r="I28" s="186">
        <f t="shared" ref="I28:K30" si="44">AVERAGE(P28,U28,Z28,AE28,AJ28,AO28,AT28)</f>
        <v>18</v>
      </c>
      <c r="J28" s="186">
        <f t="shared" si="44"/>
        <v>1605.1588078405396</v>
      </c>
      <c r="K28" s="187">
        <f t="shared" si="44"/>
        <v>89.175489324474412</v>
      </c>
      <c r="L28" s="559"/>
      <c r="M28" s="186">
        <f>RANK(K28, K$27:$K$41)</f>
        <v>2</v>
      </c>
      <c r="N28" s="530"/>
      <c r="O28" s="530"/>
      <c r="P28" s="188">
        <v>18</v>
      </c>
      <c r="Q28" s="188">
        <v>1604.8951048951076</v>
      </c>
      <c r="R28" s="185">
        <f t="shared" ref="R28:R30" si="45">IFERROR(Q28/P28,"")</f>
        <v>89.160839160839316</v>
      </c>
      <c r="S28" s="182">
        <f t="shared" ref="S28:S30" si="46">RANK(R28, R$27:R$41)</f>
        <v>2</v>
      </c>
      <c r="T28" s="558"/>
      <c r="U28" s="188">
        <v>18</v>
      </c>
      <c r="V28" s="188">
        <v>1606.1041292639093</v>
      </c>
      <c r="W28" s="185">
        <f t="shared" si="39"/>
        <v>89.228007181328294</v>
      </c>
      <c r="X28" s="182">
        <f t="shared" ref="X28:X30" si="47">RANK(W28, W$27:W$41)</f>
        <v>2</v>
      </c>
      <c r="Y28" s="558"/>
      <c r="Z28" s="188">
        <v>18</v>
      </c>
      <c r="AA28" s="188">
        <v>1605.733558178752</v>
      </c>
      <c r="AB28" s="185">
        <f t="shared" si="40"/>
        <v>89.207419898819552</v>
      </c>
      <c r="AC28" s="182">
        <f t="shared" ref="AC28:AC30" si="48">RANK(AB28, AB$27:AB$41)</f>
        <v>2</v>
      </c>
      <c r="AD28" s="558"/>
      <c r="AE28" s="188">
        <v>18</v>
      </c>
      <c r="AF28" s="188">
        <v>1603.9024390243897</v>
      </c>
      <c r="AG28" s="185">
        <f t="shared" ref="AG28:AG30" si="49">IFERROR(AF28/AE28,"")</f>
        <v>89.10569105691053</v>
      </c>
      <c r="AH28" s="182">
        <f t="shared" ref="AH28:AH30" si="50">RANK(AG28, AG$27:AG$41)</f>
        <v>2</v>
      </c>
      <c r="AI28" s="558"/>
      <c r="AJ28" s="188"/>
      <c r="AK28" s="188"/>
      <c r="AL28" s="185"/>
      <c r="AM28" s="182"/>
      <c r="AN28" s="558"/>
      <c r="AO28" s="188"/>
      <c r="AP28" s="188"/>
      <c r="AQ28" s="185"/>
      <c r="AR28" s="182"/>
      <c r="AS28" s="558"/>
      <c r="AT28" s="188"/>
      <c r="AU28" s="188"/>
      <c r="AV28" s="185"/>
      <c r="AW28" s="182"/>
      <c r="AX28" s="558"/>
    </row>
    <row r="29" spans="2:50" ht="14.25" customHeight="1">
      <c r="B29" s="530"/>
      <c r="C29" s="180">
        <v>3</v>
      </c>
      <c r="D29" s="183" t="s">
        <v>223</v>
      </c>
      <c r="E29" s="180">
        <v>19</v>
      </c>
      <c r="F29" s="180">
        <v>3600</v>
      </c>
      <c r="G29" s="185">
        <f t="shared" si="38"/>
        <v>189.47368421052633</v>
      </c>
      <c r="H29" s="558"/>
      <c r="I29" s="186">
        <f t="shared" si="44"/>
        <v>19</v>
      </c>
      <c r="J29" s="186">
        <f t="shared" si="44"/>
        <v>3211.5888442200444</v>
      </c>
      <c r="K29" s="187">
        <f t="shared" si="44"/>
        <v>169.03099180105497</v>
      </c>
      <c r="L29" s="559"/>
      <c r="M29" s="186">
        <f>RANK(K29, K$27:$K$41)</f>
        <v>1</v>
      </c>
      <c r="N29" s="530"/>
      <c r="O29" s="530"/>
      <c r="P29" s="188">
        <v>19</v>
      </c>
      <c r="Q29" s="188">
        <v>3211.9193689745898</v>
      </c>
      <c r="R29" s="185">
        <f t="shared" si="45"/>
        <v>169.04838784076787</v>
      </c>
      <c r="S29" s="182">
        <f t="shared" si="46"/>
        <v>1</v>
      </c>
      <c r="T29" s="558"/>
      <c r="U29" s="188">
        <v>19</v>
      </c>
      <c r="V29" s="188">
        <v>3212.3076923076842</v>
      </c>
      <c r="W29" s="185">
        <f t="shared" si="39"/>
        <v>169.06882591093074</v>
      </c>
      <c r="X29" s="182">
        <f t="shared" si="47"/>
        <v>1</v>
      </c>
      <c r="Y29" s="558"/>
      <c r="Z29" s="188">
        <v>19</v>
      </c>
      <c r="AA29" s="188">
        <v>3210.8804581245618</v>
      </c>
      <c r="AB29" s="185">
        <f t="shared" si="40"/>
        <v>168.99370832234536</v>
      </c>
      <c r="AC29" s="182">
        <f t="shared" si="48"/>
        <v>1</v>
      </c>
      <c r="AD29" s="558"/>
      <c r="AE29" s="188">
        <v>19</v>
      </c>
      <c r="AF29" s="188">
        <v>3210.6044538706246</v>
      </c>
      <c r="AG29" s="185">
        <f t="shared" si="49"/>
        <v>168.97918178266445</v>
      </c>
      <c r="AH29" s="182">
        <f t="shared" si="50"/>
        <v>1</v>
      </c>
      <c r="AI29" s="558"/>
      <c r="AJ29" s="188">
        <v>19</v>
      </c>
      <c r="AK29" s="188">
        <v>3211.5348837209249</v>
      </c>
      <c r="AL29" s="185">
        <f t="shared" si="41"/>
        <v>169.02815177478553</v>
      </c>
      <c r="AM29" s="182">
        <f t="shared" ref="AM29:AM30" si="51">RANK(AL29, AL$27:AL$41)</f>
        <v>1</v>
      </c>
      <c r="AN29" s="558"/>
      <c r="AO29" s="188">
        <v>19</v>
      </c>
      <c r="AP29" s="188">
        <v>3211.1611161116039</v>
      </c>
      <c r="AQ29" s="185">
        <f t="shared" si="42"/>
        <v>169.00847979534757</v>
      </c>
      <c r="AR29" s="182">
        <f t="shared" ref="AR29:AR30" si="52">RANK(AQ29, AQ$27:AQ$41)</f>
        <v>1</v>
      </c>
      <c r="AS29" s="558"/>
      <c r="AT29" s="188">
        <v>19</v>
      </c>
      <c r="AU29" s="188">
        <v>3212.713936430318</v>
      </c>
      <c r="AV29" s="185">
        <f t="shared" si="43"/>
        <v>169.09020718054305</v>
      </c>
      <c r="AW29" s="182" t="e">
        <f t="shared" ref="AW29:AW30" si="53">RANK(AV29, AV$7:AV$21)</f>
        <v>#N/A</v>
      </c>
      <c r="AX29" s="558"/>
    </row>
    <row r="30" spans="2:50" ht="14.25" customHeight="1">
      <c r="B30" s="530"/>
      <c r="C30" s="180">
        <v>4</v>
      </c>
      <c r="D30" s="183" t="s">
        <v>224</v>
      </c>
      <c r="E30" s="180">
        <v>19</v>
      </c>
      <c r="F30" s="180">
        <v>1800</v>
      </c>
      <c r="G30" s="185">
        <f t="shared" si="38"/>
        <v>94.736842105263165</v>
      </c>
      <c r="H30" s="558"/>
      <c r="I30" s="186">
        <f t="shared" si="44"/>
        <v>19</v>
      </c>
      <c r="J30" s="186">
        <f t="shared" si="44"/>
        <v>1604.8852596003271</v>
      </c>
      <c r="K30" s="187">
        <f t="shared" si="44"/>
        <v>84.467645242122472</v>
      </c>
      <c r="L30" s="559"/>
      <c r="M30" s="186">
        <f>RANK(K30, K$27:$K$41)</f>
        <v>4</v>
      </c>
      <c r="N30" s="530"/>
      <c r="O30" s="530"/>
      <c r="P30" s="188">
        <v>19</v>
      </c>
      <c r="Q30" s="188">
        <v>1604.1679436101724</v>
      </c>
      <c r="R30" s="185">
        <f t="shared" si="45"/>
        <v>84.429891768956438</v>
      </c>
      <c r="S30" s="182">
        <f t="shared" si="46"/>
        <v>4</v>
      </c>
      <c r="T30" s="558"/>
      <c r="U30" s="188">
        <v>19</v>
      </c>
      <c r="V30" s="188">
        <v>1604.2953020134225</v>
      </c>
      <c r="W30" s="185">
        <f t="shared" si="39"/>
        <v>84.436594842811715</v>
      </c>
      <c r="X30" s="182">
        <f t="shared" si="47"/>
        <v>4</v>
      </c>
      <c r="Y30" s="558"/>
      <c r="Z30" s="188">
        <v>19</v>
      </c>
      <c r="AA30" s="188">
        <v>1604.923076923079</v>
      </c>
      <c r="AB30" s="185">
        <f t="shared" si="40"/>
        <v>84.469635627530465</v>
      </c>
      <c r="AC30" s="182">
        <f t="shared" si="48"/>
        <v>4</v>
      </c>
      <c r="AD30" s="558"/>
      <c r="AE30" s="188">
        <v>19</v>
      </c>
      <c r="AF30" s="188">
        <v>1604.7984644913643</v>
      </c>
      <c r="AG30" s="185">
        <f t="shared" si="49"/>
        <v>84.463077078492859</v>
      </c>
      <c r="AH30" s="182">
        <f t="shared" si="50"/>
        <v>4</v>
      </c>
      <c r="AI30" s="558"/>
      <c r="AJ30" s="188">
        <v>19</v>
      </c>
      <c r="AK30" s="188">
        <v>1605.0955414012747</v>
      </c>
      <c r="AL30" s="185">
        <f t="shared" si="41"/>
        <v>84.478712705330238</v>
      </c>
      <c r="AM30" s="182">
        <f t="shared" si="51"/>
        <v>3</v>
      </c>
      <c r="AN30" s="558"/>
      <c r="AO30" s="188">
        <v>19</v>
      </c>
      <c r="AP30" s="188">
        <v>1605.3872053872049</v>
      </c>
      <c r="AQ30" s="185">
        <f t="shared" si="42"/>
        <v>84.494063441431834</v>
      </c>
      <c r="AR30" s="182">
        <f t="shared" si="52"/>
        <v>3</v>
      </c>
      <c r="AS30" s="558"/>
      <c r="AT30" s="188">
        <v>19</v>
      </c>
      <c r="AU30" s="188">
        <v>1605.529283375773</v>
      </c>
      <c r="AV30" s="185">
        <f t="shared" si="43"/>
        <v>84.501541230303843</v>
      </c>
      <c r="AW30" s="182" t="e">
        <f t="shared" si="53"/>
        <v>#N/A</v>
      </c>
      <c r="AX30" s="558"/>
    </row>
    <row r="31" spans="2:50" ht="14.25" customHeight="1">
      <c r="B31" s="530"/>
      <c r="C31" s="180">
        <v>5</v>
      </c>
      <c r="D31" s="183"/>
      <c r="E31" s="180"/>
      <c r="F31" s="180"/>
      <c r="G31" s="185"/>
      <c r="H31" s="558"/>
      <c r="I31" s="186"/>
      <c r="J31" s="186"/>
      <c r="K31" s="187"/>
      <c r="L31" s="559"/>
      <c r="M31" s="186"/>
      <c r="N31" s="530"/>
      <c r="O31" s="530"/>
      <c r="P31" s="188"/>
      <c r="Q31" s="188"/>
      <c r="R31" s="185"/>
      <c r="S31" s="182"/>
      <c r="T31" s="558"/>
      <c r="U31" s="188"/>
      <c r="V31" s="188"/>
      <c r="W31" s="185"/>
      <c r="X31" s="182"/>
      <c r="Y31" s="558"/>
      <c r="Z31" s="188"/>
      <c r="AA31" s="188"/>
      <c r="AB31" s="185"/>
      <c r="AC31" s="182"/>
      <c r="AD31" s="558"/>
      <c r="AE31" s="188"/>
      <c r="AF31" s="188"/>
      <c r="AG31" s="185"/>
      <c r="AH31" s="182"/>
      <c r="AI31" s="558"/>
      <c r="AJ31" s="188"/>
      <c r="AK31" s="188"/>
      <c r="AL31" s="185"/>
      <c r="AM31" s="182"/>
      <c r="AN31" s="558"/>
      <c r="AO31" s="188"/>
      <c r="AP31" s="188"/>
      <c r="AQ31" s="185"/>
      <c r="AR31" s="182"/>
      <c r="AS31" s="558"/>
      <c r="AT31" s="188"/>
      <c r="AU31" s="188"/>
      <c r="AV31" s="185"/>
      <c r="AW31" s="182"/>
      <c r="AX31" s="558"/>
    </row>
    <row r="32" spans="2:50" ht="14.25" customHeight="1">
      <c r="B32" s="530"/>
      <c r="C32" s="180">
        <v>6</v>
      </c>
      <c r="D32" s="183"/>
      <c r="E32" s="180"/>
      <c r="F32" s="180"/>
      <c r="G32" s="185"/>
      <c r="H32" s="558"/>
      <c r="I32" s="186"/>
      <c r="J32" s="186"/>
      <c r="K32" s="187"/>
      <c r="L32" s="559"/>
      <c r="M32" s="186"/>
      <c r="N32" s="530"/>
      <c r="O32" s="530"/>
      <c r="P32" s="188"/>
      <c r="Q32" s="188"/>
      <c r="R32" s="185"/>
      <c r="S32" s="182"/>
      <c r="T32" s="558"/>
      <c r="U32" s="188"/>
      <c r="V32" s="188"/>
      <c r="W32" s="185"/>
      <c r="X32" s="182"/>
      <c r="Y32" s="558"/>
      <c r="Z32" s="188"/>
      <c r="AA32" s="188"/>
      <c r="AB32" s="185"/>
      <c r="AC32" s="182"/>
      <c r="AD32" s="558"/>
      <c r="AE32" s="188"/>
      <c r="AF32" s="188"/>
      <c r="AG32" s="185"/>
      <c r="AH32" s="182"/>
      <c r="AI32" s="558"/>
      <c r="AJ32" s="188"/>
      <c r="AK32" s="188"/>
      <c r="AL32" s="185"/>
      <c r="AM32" s="182"/>
      <c r="AN32" s="558"/>
      <c r="AO32" s="188"/>
      <c r="AP32" s="188"/>
      <c r="AQ32" s="185"/>
      <c r="AR32" s="182"/>
      <c r="AS32" s="558"/>
      <c r="AT32" s="188"/>
      <c r="AU32" s="188"/>
      <c r="AV32" s="185"/>
      <c r="AW32" s="182"/>
      <c r="AX32" s="558"/>
    </row>
    <row r="33" spans="2:50" ht="14.25" customHeight="1">
      <c r="B33" s="530"/>
      <c r="C33" s="180">
        <v>7</v>
      </c>
      <c r="D33" s="183"/>
      <c r="E33" s="180"/>
      <c r="F33" s="180"/>
      <c r="G33" s="185"/>
      <c r="H33" s="558"/>
      <c r="I33" s="186"/>
      <c r="J33" s="186"/>
      <c r="K33" s="187"/>
      <c r="L33" s="559"/>
      <c r="M33" s="186"/>
      <c r="N33" s="530"/>
      <c r="O33" s="530"/>
      <c r="P33" s="188"/>
      <c r="Q33" s="188"/>
      <c r="R33" s="185"/>
      <c r="S33" s="182"/>
      <c r="T33" s="558"/>
      <c r="U33" s="188"/>
      <c r="V33" s="188"/>
      <c r="W33" s="185"/>
      <c r="X33" s="182"/>
      <c r="Y33" s="558"/>
      <c r="Z33" s="188"/>
      <c r="AA33" s="188"/>
      <c r="AB33" s="185"/>
      <c r="AC33" s="182"/>
      <c r="AD33" s="558"/>
      <c r="AE33" s="188"/>
      <c r="AF33" s="188"/>
      <c r="AG33" s="185"/>
      <c r="AH33" s="182"/>
      <c r="AI33" s="558"/>
      <c r="AJ33" s="188"/>
      <c r="AK33" s="188"/>
      <c r="AL33" s="185"/>
      <c r="AM33" s="182"/>
      <c r="AN33" s="558"/>
      <c r="AO33" s="188"/>
      <c r="AP33" s="188"/>
      <c r="AQ33" s="185"/>
      <c r="AR33" s="182"/>
      <c r="AS33" s="558"/>
      <c r="AT33" s="188"/>
      <c r="AU33" s="188"/>
      <c r="AV33" s="185"/>
      <c r="AW33" s="182"/>
      <c r="AX33" s="558"/>
    </row>
    <row r="34" spans="2:50" ht="14.25" customHeight="1">
      <c r="B34" s="530"/>
      <c r="C34" s="180">
        <v>8</v>
      </c>
      <c r="D34" s="183"/>
      <c r="E34" s="180"/>
      <c r="F34" s="180"/>
      <c r="G34" s="185"/>
      <c r="H34" s="558"/>
      <c r="I34" s="186"/>
      <c r="J34" s="186"/>
      <c r="K34" s="187"/>
      <c r="L34" s="559"/>
      <c r="M34" s="186"/>
      <c r="N34" s="530"/>
      <c r="O34" s="530"/>
      <c r="P34" s="188"/>
      <c r="Q34" s="188"/>
      <c r="R34" s="185"/>
      <c r="S34" s="182"/>
      <c r="T34" s="558"/>
      <c r="U34" s="188"/>
      <c r="V34" s="188"/>
      <c r="W34" s="185"/>
      <c r="X34" s="182"/>
      <c r="Y34" s="558"/>
      <c r="Z34" s="188"/>
      <c r="AA34" s="188"/>
      <c r="AB34" s="185"/>
      <c r="AC34" s="182"/>
      <c r="AD34" s="558"/>
      <c r="AE34" s="188"/>
      <c r="AF34" s="188"/>
      <c r="AG34" s="185"/>
      <c r="AH34" s="182"/>
      <c r="AI34" s="558"/>
      <c r="AJ34" s="188"/>
      <c r="AK34" s="188"/>
      <c r="AL34" s="185"/>
      <c r="AM34" s="182"/>
      <c r="AN34" s="558"/>
      <c r="AO34" s="188"/>
      <c r="AP34" s="188"/>
      <c r="AQ34" s="185"/>
      <c r="AR34" s="182"/>
      <c r="AS34" s="558"/>
      <c r="AT34" s="188"/>
      <c r="AU34" s="188"/>
      <c r="AV34" s="185"/>
      <c r="AW34" s="182"/>
      <c r="AX34" s="558"/>
    </row>
    <row r="35" spans="2:50" ht="14.25" customHeight="1">
      <c r="B35" s="530"/>
      <c r="C35" s="180">
        <v>9</v>
      </c>
      <c r="D35" s="183"/>
      <c r="E35" s="180"/>
      <c r="F35" s="180"/>
      <c r="G35" s="185"/>
      <c r="H35" s="558"/>
      <c r="I35" s="186"/>
      <c r="J35" s="186"/>
      <c r="K35" s="187"/>
      <c r="L35" s="559"/>
      <c r="M35" s="186"/>
      <c r="N35" s="530"/>
      <c r="O35" s="530"/>
      <c r="P35" s="188"/>
      <c r="Q35" s="188"/>
      <c r="R35" s="185"/>
      <c r="S35" s="182"/>
      <c r="T35" s="558"/>
      <c r="U35" s="188"/>
      <c r="V35" s="188"/>
      <c r="W35" s="185"/>
      <c r="X35" s="182"/>
      <c r="Y35" s="558"/>
      <c r="Z35" s="188"/>
      <c r="AA35" s="188"/>
      <c r="AB35" s="185"/>
      <c r="AC35" s="182"/>
      <c r="AD35" s="558"/>
      <c r="AE35" s="188"/>
      <c r="AF35" s="188"/>
      <c r="AG35" s="185"/>
      <c r="AH35" s="182"/>
      <c r="AI35" s="558"/>
      <c r="AJ35" s="188"/>
      <c r="AK35" s="188"/>
      <c r="AL35" s="185"/>
      <c r="AM35" s="182"/>
      <c r="AN35" s="558"/>
      <c r="AO35" s="188"/>
      <c r="AP35" s="188"/>
      <c r="AQ35" s="185"/>
      <c r="AR35" s="182"/>
      <c r="AS35" s="558"/>
      <c r="AT35" s="188"/>
      <c r="AU35" s="188"/>
      <c r="AV35" s="185"/>
      <c r="AW35" s="182"/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54">U42+1</f>
        <v>46065</v>
      </c>
      <c r="AA42" s="597"/>
      <c r="AB42" s="597"/>
      <c r="AC42" s="597"/>
      <c r="AD42" s="597"/>
      <c r="AE42" s="598">
        <f t="shared" ref="AE42" si="55">Z42+1</f>
        <v>46066</v>
      </c>
      <c r="AF42" s="599"/>
      <c r="AG42" s="599"/>
      <c r="AH42" s="599"/>
      <c r="AI42" s="599"/>
      <c r="AJ42" s="588">
        <f t="shared" ref="AJ42" si="56">AE42+1</f>
        <v>46067</v>
      </c>
      <c r="AK42" s="589"/>
      <c r="AL42" s="589"/>
      <c r="AM42" s="589"/>
      <c r="AN42" s="590"/>
      <c r="AO42" s="598">
        <f t="shared" ref="AO42" si="57">AJ42+1</f>
        <v>46068</v>
      </c>
      <c r="AP42" s="599"/>
      <c r="AQ42" s="599"/>
      <c r="AR42" s="599"/>
      <c r="AS42" s="599"/>
      <c r="AT42" s="588">
        <f t="shared" ref="AT42" si="58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59">Z42</f>
        <v>46065</v>
      </c>
      <c r="AA43" s="591"/>
      <c r="AB43" s="591"/>
      <c r="AC43" s="591"/>
      <c r="AD43" s="591"/>
      <c r="AE43" s="592">
        <f t="shared" ref="AE43" si="60">AE42</f>
        <v>46066</v>
      </c>
      <c r="AF43" s="592"/>
      <c r="AG43" s="592"/>
      <c r="AH43" s="592"/>
      <c r="AI43" s="592"/>
      <c r="AJ43" s="593">
        <f t="shared" ref="AJ43" si="61">AJ42</f>
        <v>46067</v>
      </c>
      <c r="AK43" s="594"/>
      <c r="AL43" s="594"/>
      <c r="AM43" s="594"/>
      <c r="AN43" s="595"/>
      <c r="AO43" s="592">
        <f t="shared" ref="AO43" si="62">AO42</f>
        <v>46068</v>
      </c>
      <c r="AP43" s="592"/>
      <c r="AQ43" s="592"/>
      <c r="AR43" s="592"/>
      <c r="AS43" s="592"/>
      <c r="AT43" s="593">
        <f t="shared" ref="AT43" si="63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530" t="s">
        <v>220</v>
      </c>
      <c r="C47" s="180">
        <v>1</v>
      </c>
      <c r="D47" s="183" t="s">
        <v>221</v>
      </c>
      <c r="E47" s="180">
        <v>19</v>
      </c>
      <c r="F47" s="180">
        <v>1800</v>
      </c>
      <c r="G47" s="185">
        <f t="shared" ref="G47:G49" si="64">F47/E47</f>
        <v>94.736842105263165</v>
      </c>
      <c r="H47" s="558">
        <f>AVERAGE(G47:G61)</f>
        <v>126.31578947368422</v>
      </c>
      <c r="I47" s="186">
        <f>AVERAGE(P47,U47,Z47,AE47,AJ47,AO47,AT47)</f>
        <v>19</v>
      </c>
      <c r="J47" s="186">
        <f>AVERAGE(Q47,V47,AA47,AF47,AK47,AP47,AU47)</f>
        <v>1606.1434240755257</v>
      </c>
      <c r="K47" s="187">
        <f>AVERAGE(R47,W47,AB47,AG47,AL47,AQ47,AV47)</f>
        <v>84.533864425027673</v>
      </c>
      <c r="L47" s="559">
        <f>IFERROR(AVERAGE(K47:K61),"-")</f>
        <v>112.705088750968</v>
      </c>
      <c r="M47" s="186">
        <f>RANK(K47, K$47:$K$61)</f>
        <v>2</v>
      </c>
      <c r="N47" s="530"/>
      <c r="O47" s="530"/>
      <c r="P47" s="188">
        <v>19</v>
      </c>
      <c r="Q47" s="188">
        <v>1605.6261343012723</v>
      </c>
      <c r="R47" s="185">
        <f>IFERROR(Q47/P47,"")</f>
        <v>84.506638647435381</v>
      </c>
      <c r="S47" s="182">
        <f>RANK(R47, R$47:R$61)</f>
        <v>3</v>
      </c>
      <c r="T47" s="558">
        <f>AVERAGE(R47:R61)</f>
        <v>112.69324263374914</v>
      </c>
      <c r="U47" s="188">
        <v>19</v>
      </c>
      <c r="V47" s="188">
        <v>1605.7091882248014</v>
      </c>
      <c r="W47" s="185">
        <f t="shared" ref="W47:W49" si="65">IFERROR(V47/U47,"")</f>
        <v>84.511009906568503</v>
      </c>
      <c r="X47" s="182">
        <f>RANK(W47, W$47:W$61)</f>
        <v>3</v>
      </c>
      <c r="Y47" s="558">
        <f>AVERAGE(W47:W61)</f>
        <v>112.70509464041423</v>
      </c>
      <c r="Z47" s="188">
        <v>19</v>
      </c>
      <c r="AA47" s="188">
        <v>1605.5239642567024</v>
      </c>
      <c r="AB47" s="185">
        <f t="shared" ref="AB47:AB49" si="66">IFERROR(AA47/Z47,"")</f>
        <v>84.501261276668544</v>
      </c>
      <c r="AC47" s="182">
        <f>RANK(AB47, AB$47:AB$61)</f>
        <v>2</v>
      </c>
      <c r="AD47" s="558">
        <f>AVERAGE(AB47:AB61)</f>
        <v>84.507617085753935</v>
      </c>
      <c r="AE47" s="188">
        <v>19</v>
      </c>
      <c r="AF47" s="188">
        <v>1606.1246040126714</v>
      </c>
      <c r="AG47" s="185">
        <f>IFERROR(AF47/AE47,"")</f>
        <v>84.532873895403753</v>
      </c>
      <c r="AH47" s="182">
        <f>RANK(AG47, AG$47:AG$61)</f>
        <v>1</v>
      </c>
      <c r="AI47" s="558">
        <f>AVERAGE(AG47:AG61)</f>
        <v>84.52258321556377</v>
      </c>
      <c r="AJ47" s="188">
        <v>19</v>
      </c>
      <c r="AK47" s="188">
        <v>1606.635071090049</v>
      </c>
      <c r="AL47" s="185">
        <f t="shared" ref="AL47:AL49" si="67">IFERROR(AK47/AJ47,"")</f>
        <v>84.559740583686789</v>
      </c>
      <c r="AM47" s="182">
        <f>RANK(AL47, AL$47:AL$61)</f>
        <v>1</v>
      </c>
      <c r="AN47" s="558">
        <f>AVERAGE(AL47:AL61)</f>
        <v>84.533817345256182</v>
      </c>
      <c r="AO47" s="188">
        <v>19</v>
      </c>
      <c r="AP47" s="188">
        <v>1606.5040650406497</v>
      </c>
      <c r="AQ47" s="185">
        <f t="shared" ref="AQ47:AQ49" si="68">IFERROR(AP47/AO47,"")</f>
        <v>84.552845528455251</v>
      </c>
      <c r="AR47" s="182">
        <f>RANK(AQ47, AQ$47:AQ$61)</f>
        <v>1</v>
      </c>
      <c r="AS47" s="558">
        <f>AVERAGE(AQ47:AQ61)</f>
        <v>84.535130758703602</v>
      </c>
      <c r="AT47" s="188">
        <v>19</v>
      </c>
      <c r="AU47" s="188">
        <v>1606.880941602534</v>
      </c>
      <c r="AV47" s="185">
        <f t="shared" ref="AV47:AV49" si="69">IFERROR(AU47/AT47,"")</f>
        <v>84.572681136975476</v>
      </c>
      <c r="AW47" s="182">
        <f>RANK(AV47, AV$47:AV$61)</f>
        <v>1</v>
      </c>
      <c r="AX47" s="558">
        <f>AVERAGE(AV47:AV61)</f>
        <v>84.546533933303692</v>
      </c>
    </row>
    <row r="48" spans="2:50" ht="14.25" customHeight="1">
      <c r="B48" s="530"/>
      <c r="C48" s="180">
        <v>2</v>
      </c>
      <c r="D48" s="183" t="s">
        <v>223</v>
      </c>
      <c r="E48" s="180">
        <v>19</v>
      </c>
      <c r="F48" s="180">
        <v>3600</v>
      </c>
      <c r="G48" s="185">
        <f t="shared" si="64"/>
        <v>189.47368421052633</v>
      </c>
      <c r="H48" s="558"/>
      <c r="I48" s="186">
        <f t="shared" ref="I48:K49" si="70">AVERAGE(P48,U48,Z48,AE48,AJ48,AO48,AT48)</f>
        <v>19</v>
      </c>
      <c r="J48" s="186">
        <f t="shared" si="70"/>
        <v>3212.2178516285662</v>
      </c>
      <c r="K48" s="187">
        <f t="shared" si="70"/>
        <v>169.06409745413507</v>
      </c>
      <c r="L48" s="559"/>
      <c r="M48" s="186">
        <f>RANK(K48, K$47:$K$61)</f>
        <v>1</v>
      </c>
      <c r="N48" s="530"/>
      <c r="O48" s="530"/>
      <c r="P48" s="188">
        <v>19</v>
      </c>
      <c r="Q48" s="188">
        <v>3212.0689655172482</v>
      </c>
      <c r="R48" s="185">
        <f t="shared" ref="R48:R49" si="71">IFERROR(Q48/P48,"")</f>
        <v>169.05626134301306</v>
      </c>
      <c r="S48" s="182">
        <f t="shared" ref="S48:S49" si="72">RANK(R48, R$47:R$61)</f>
        <v>1</v>
      </c>
      <c r="T48" s="558"/>
      <c r="U48" s="188">
        <v>19</v>
      </c>
      <c r="V48" s="188">
        <v>3212.3667377398842</v>
      </c>
      <c r="W48" s="185">
        <f t="shared" si="65"/>
        <v>169.07193356525707</v>
      </c>
      <c r="X48" s="182">
        <f t="shared" ref="X48:X49" si="73">RANK(W48, W$47:W$61)</f>
        <v>1</v>
      </c>
      <c r="Y48" s="558"/>
      <c r="Z48" s="188"/>
      <c r="AA48" s="188"/>
      <c r="AB48" s="185"/>
      <c r="AC48" s="182"/>
      <c r="AD48" s="558"/>
      <c r="AE48" s="188"/>
      <c r="AF48" s="188"/>
      <c r="AG48" s="185"/>
      <c r="AH48" s="182"/>
      <c r="AI48" s="558"/>
      <c r="AJ48" s="188"/>
      <c r="AK48" s="188"/>
      <c r="AL48" s="185"/>
      <c r="AM48" s="182"/>
      <c r="AN48" s="558"/>
      <c r="AO48" s="188"/>
      <c r="AP48" s="188"/>
      <c r="AQ48" s="185"/>
      <c r="AR48" s="182"/>
      <c r="AS48" s="558"/>
      <c r="AT48" s="188"/>
      <c r="AU48" s="188"/>
      <c r="AV48" s="185"/>
      <c r="AW48" s="182"/>
      <c r="AX48" s="558"/>
    </row>
    <row r="49" spans="2:50" ht="14.25" customHeight="1">
      <c r="B49" s="530"/>
      <c r="C49" s="180">
        <v>3</v>
      </c>
      <c r="D49" s="183" t="s">
        <v>224</v>
      </c>
      <c r="E49" s="180">
        <v>19</v>
      </c>
      <c r="F49" s="180">
        <v>1800</v>
      </c>
      <c r="G49" s="185">
        <f t="shared" si="64"/>
        <v>94.736842105263165</v>
      </c>
      <c r="H49" s="558"/>
      <c r="I49" s="186">
        <f t="shared" si="70"/>
        <v>19</v>
      </c>
      <c r="J49" s="186">
        <f t="shared" si="70"/>
        <v>1605.8287831010834</v>
      </c>
      <c r="K49" s="187">
        <f t="shared" si="70"/>
        <v>84.51730437374124</v>
      </c>
      <c r="L49" s="559"/>
      <c r="M49" s="186">
        <f>RANK(K49, K$47:$K$61)</f>
        <v>3</v>
      </c>
      <c r="N49" s="530"/>
      <c r="O49" s="530"/>
      <c r="P49" s="188">
        <v>19</v>
      </c>
      <c r="Q49" s="188">
        <v>1605.8197303051804</v>
      </c>
      <c r="R49" s="185">
        <f t="shared" si="71"/>
        <v>84.516827910798966</v>
      </c>
      <c r="S49" s="182">
        <f t="shared" si="72"/>
        <v>2</v>
      </c>
      <c r="T49" s="558"/>
      <c r="U49" s="188">
        <v>19</v>
      </c>
      <c r="V49" s="188">
        <v>1606.1144685389256</v>
      </c>
      <c r="W49" s="185">
        <f t="shared" si="65"/>
        <v>84.532340449417134</v>
      </c>
      <c r="X49" s="182">
        <f t="shared" si="73"/>
        <v>2</v>
      </c>
      <c r="Y49" s="558"/>
      <c r="Z49" s="188">
        <v>19</v>
      </c>
      <c r="AA49" s="188">
        <v>1605.7654850019469</v>
      </c>
      <c r="AB49" s="185">
        <f t="shared" si="66"/>
        <v>84.513972894839313</v>
      </c>
      <c r="AC49" s="182">
        <f t="shared" ref="AC49" si="74">RANK(AB49, AB$47:AB$61)</f>
        <v>1</v>
      </c>
      <c r="AD49" s="558"/>
      <c r="AE49" s="188">
        <v>19</v>
      </c>
      <c r="AF49" s="188">
        <v>1605.733558178752</v>
      </c>
      <c r="AG49" s="185">
        <f t="shared" ref="AG49" si="75">IFERROR(AF49/AE49,"")</f>
        <v>84.512292535723788</v>
      </c>
      <c r="AH49" s="182">
        <f t="shared" ref="AH49" si="76">RANK(AG49, AG$47:AG$61)</f>
        <v>2</v>
      </c>
      <c r="AI49" s="558"/>
      <c r="AJ49" s="188">
        <v>19</v>
      </c>
      <c r="AK49" s="188">
        <v>1605.6499880296856</v>
      </c>
      <c r="AL49" s="185">
        <f t="shared" si="67"/>
        <v>84.50789410682556</v>
      </c>
      <c r="AM49" s="182">
        <f t="shared" ref="AM49" si="77">RANK(AL49, AL$47:AL$61)</f>
        <v>2</v>
      </c>
      <c r="AN49" s="558"/>
      <c r="AO49" s="188">
        <v>19</v>
      </c>
      <c r="AP49" s="188">
        <v>1605.8309037900872</v>
      </c>
      <c r="AQ49" s="185">
        <f t="shared" si="68"/>
        <v>84.517415988951953</v>
      </c>
      <c r="AR49" s="182">
        <f t="shared" ref="AR49" si="78">RANK(AQ49, AQ$47:AQ$61)</f>
        <v>2</v>
      </c>
      <c r="AS49" s="558"/>
      <c r="AT49" s="188">
        <v>19</v>
      </c>
      <c r="AU49" s="188">
        <v>1605.8873478630062</v>
      </c>
      <c r="AV49" s="185">
        <f t="shared" si="69"/>
        <v>84.520386729631909</v>
      </c>
      <c r="AW49" s="182">
        <f t="shared" ref="AW49" si="79">RANK(AV49, AV$47:AV$61)</f>
        <v>2</v>
      </c>
      <c r="AX49" s="558"/>
    </row>
    <row r="50" spans="2:50" ht="14.25" customHeight="1">
      <c r="B50" s="530"/>
      <c r="C50" s="180">
        <v>4</v>
      </c>
      <c r="D50" s="183"/>
      <c r="E50" s="180"/>
      <c r="F50" s="180"/>
      <c r="G50" s="185"/>
      <c r="H50" s="558"/>
      <c r="I50" s="186"/>
      <c r="J50" s="186"/>
      <c r="K50" s="187"/>
      <c r="L50" s="559"/>
      <c r="M50" s="186"/>
      <c r="N50" s="530"/>
      <c r="O50" s="530"/>
      <c r="P50" s="188"/>
      <c r="Q50" s="188"/>
      <c r="R50" s="185"/>
      <c r="S50" s="182"/>
      <c r="T50" s="558"/>
      <c r="U50" s="188"/>
      <c r="V50" s="188"/>
      <c r="W50" s="185"/>
      <c r="X50" s="182"/>
      <c r="Y50" s="558"/>
      <c r="Z50" s="188"/>
      <c r="AA50" s="188"/>
      <c r="AB50" s="185"/>
      <c r="AC50" s="182"/>
      <c r="AD50" s="558"/>
      <c r="AE50" s="188"/>
      <c r="AF50" s="188"/>
      <c r="AG50" s="185"/>
      <c r="AH50" s="182"/>
      <c r="AI50" s="558"/>
      <c r="AJ50" s="188"/>
      <c r="AK50" s="188"/>
      <c r="AL50" s="185"/>
      <c r="AM50" s="182"/>
      <c r="AN50" s="558"/>
      <c r="AO50" s="188"/>
      <c r="AP50" s="188"/>
      <c r="AQ50" s="185"/>
      <c r="AR50" s="182"/>
      <c r="AS50" s="558"/>
      <c r="AT50" s="188"/>
      <c r="AU50" s="188"/>
      <c r="AV50" s="185"/>
      <c r="AW50" s="182"/>
      <c r="AX50" s="558"/>
    </row>
    <row r="51" spans="2:50" ht="14.25" customHeight="1">
      <c r="B51" s="530"/>
      <c r="C51" s="180">
        <v>5</v>
      </c>
      <c r="D51" s="183"/>
      <c r="E51" s="180"/>
      <c r="F51" s="180"/>
      <c r="G51" s="185"/>
      <c r="H51" s="558"/>
      <c r="I51" s="186"/>
      <c r="J51" s="186"/>
      <c r="K51" s="187"/>
      <c r="L51" s="559"/>
      <c r="M51" s="186"/>
      <c r="N51" s="530"/>
      <c r="O51" s="530"/>
      <c r="P51" s="188"/>
      <c r="Q51" s="188"/>
      <c r="R51" s="185"/>
      <c r="S51" s="182"/>
      <c r="T51" s="558"/>
      <c r="U51" s="188"/>
      <c r="V51" s="188"/>
      <c r="W51" s="185"/>
      <c r="X51" s="182"/>
      <c r="Y51" s="558"/>
      <c r="Z51" s="188"/>
      <c r="AA51" s="188"/>
      <c r="AB51" s="185"/>
      <c r="AC51" s="182"/>
      <c r="AD51" s="558"/>
      <c r="AE51" s="188"/>
      <c r="AF51" s="188"/>
      <c r="AG51" s="185"/>
      <c r="AH51" s="182"/>
      <c r="AI51" s="558"/>
      <c r="AJ51" s="188"/>
      <c r="AK51" s="188"/>
      <c r="AL51" s="185"/>
      <c r="AM51" s="182"/>
      <c r="AN51" s="558"/>
      <c r="AO51" s="188"/>
      <c r="AP51" s="188"/>
      <c r="AQ51" s="185"/>
      <c r="AR51" s="182"/>
      <c r="AS51" s="558"/>
      <c r="AT51" s="188"/>
      <c r="AU51" s="188"/>
      <c r="AV51" s="185"/>
      <c r="AW51" s="182"/>
      <c r="AX51" s="558"/>
    </row>
    <row r="52" spans="2:50" ht="14.25" customHeight="1">
      <c r="B52" s="530"/>
      <c r="C52" s="180">
        <v>6</v>
      </c>
      <c r="D52" s="183"/>
      <c r="E52" s="180"/>
      <c r="F52" s="180"/>
      <c r="G52" s="185"/>
      <c r="H52" s="558"/>
      <c r="I52" s="186"/>
      <c r="J52" s="186"/>
      <c r="K52" s="187"/>
      <c r="L52" s="559"/>
      <c r="M52" s="186"/>
      <c r="N52" s="530"/>
      <c r="O52" s="530"/>
      <c r="P52" s="188"/>
      <c r="Q52" s="188"/>
      <c r="R52" s="185"/>
      <c r="S52" s="182"/>
      <c r="T52" s="558"/>
      <c r="U52" s="188"/>
      <c r="V52" s="188"/>
      <c r="W52" s="185"/>
      <c r="X52" s="182"/>
      <c r="Y52" s="558"/>
      <c r="Z52" s="188"/>
      <c r="AA52" s="188"/>
      <c r="AB52" s="185"/>
      <c r="AC52" s="182"/>
      <c r="AD52" s="558"/>
      <c r="AE52" s="188"/>
      <c r="AF52" s="188"/>
      <c r="AG52" s="185"/>
      <c r="AH52" s="182"/>
      <c r="AI52" s="558"/>
      <c r="AJ52" s="188"/>
      <c r="AK52" s="188"/>
      <c r="AL52" s="185"/>
      <c r="AM52" s="182"/>
      <c r="AN52" s="558"/>
      <c r="AO52" s="188"/>
      <c r="AP52" s="188"/>
      <c r="AQ52" s="185"/>
      <c r="AR52" s="182"/>
      <c r="AS52" s="558"/>
      <c r="AT52" s="188"/>
      <c r="AU52" s="188"/>
      <c r="AV52" s="185"/>
      <c r="AW52" s="182"/>
      <c r="AX52" s="558"/>
    </row>
    <row r="53" spans="2:50" ht="14.25" customHeight="1">
      <c r="B53" s="530"/>
      <c r="C53" s="180">
        <v>7</v>
      </c>
      <c r="D53" s="183"/>
      <c r="E53" s="180"/>
      <c r="F53" s="180"/>
      <c r="G53" s="185"/>
      <c r="H53" s="558"/>
      <c r="I53" s="186"/>
      <c r="J53" s="186"/>
      <c r="K53" s="187"/>
      <c r="L53" s="559"/>
      <c r="M53" s="186"/>
      <c r="N53" s="530"/>
      <c r="O53" s="530"/>
      <c r="P53" s="188"/>
      <c r="Q53" s="188"/>
      <c r="R53" s="185"/>
      <c r="S53" s="182"/>
      <c r="T53" s="558"/>
      <c r="U53" s="188"/>
      <c r="V53" s="188"/>
      <c r="W53" s="185"/>
      <c r="X53" s="182"/>
      <c r="Y53" s="558"/>
      <c r="Z53" s="188"/>
      <c r="AA53" s="188"/>
      <c r="AB53" s="185"/>
      <c r="AC53" s="182"/>
      <c r="AD53" s="558"/>
      <c r="AE53" s="188"/>
      <c r="AF53" s="188"/>
      <c r="AG53" s="185"/>
      <c r="AH53" s="182"/>
      <c r="AI53" s="558"/>
      <c r="AJ53" s="188"/>
      <c r="AK53" s="188"/>
      <c r="AL53" s="185"/>
      <c r="AM53" s="182"/>
      <c r="AN53" s="558"/>
      <c r="AO53" s="188"/>
      <c r="AP53" s="188"/>
      <c r="AQ53" s="185"/>
      <c r="AR53" s="182"/>
      <c r="AS53" s="558"/>
      <c r="AT53" s="188"/>
      <c r="AU53" s="188"/>
      <c r="AV53" s="185"/>
      <c r="AW53" s="182"/>
      <c r="AX53" s="558"/>
    </row>
    <row r="54" spans="2:50" ht="14.25" customHeight="1">
      <c r="B54" s="530"/>
      <c r="C54" s="180">
        <v>8</v>
      </c>
      <c r="D54" s="183"/>
      <c r="E54" s="180"/>
      <c r="F54" s="180"/>
      <c r="G54" s="185"/>
      <c r="H54" s="558"/>
      <c r="I54" s="186"/>
      <c r="J54" s="186"/>
      <c r="K54" s="187"/>
      <c r="L54" s="559"/>
      <c r="M54" s="186"/>
      <c r="N54" s="530"/>
      <c r="O54" s="530"/>
      <c r="P54" s="188"/>
      <c r="Q54" s="188"/>
      <c r="R54" s="185"/>
      <c r="S54" s="182"/>
      <c r="T54" s="558"/>
      <c r="U54" s="188"/>
      <c r="V54" s="188"/>
      <c r="W54" s="185"/>
      <c r="X54" s="182"/>
      <c r="Y54" s="558"/>
      <c r="Z54" s="188"/>
      <c r="AA54" s="188"/>
      <c r="AB54" s="185"/>
      <c r="AC54" s="182"/>
      <c r="AD54" s="558"/>
      <c r="AE54" s="188"/>
      <c r="AF54" s="188"/>
      <c r="AG54" s="185"/>
      <c r="AH54" s="182"/>
      <c r="AI54" s="558"/>
      <c r="AJ54" s="188"/>
      <c r="AK54" s="188"/>
      <c r="AL54" s="185"/>
      <c r="AM54" s="182"/>
      <c r="AN54" s="558"/>
      <c r="AO54" s="188"/>
      <c r="AP54" s="188"/>
      <c r="AQ54" s="185"/>
      <c r="AR54" s="182"/>
      <c r="AS54" s="558"/>
      <c r="AT54" s="188"/>
      <c r="AU54" s="188"/>
      <c r="AV54" s="185"/>
      <c r="AW54" s="182"/>
      <c r="AX54" s="558"/>
    </row>
    <row r="55" spans="2:50" ht="14.25" customHeight="1">
      <c r="B55" s="530"/>
      <c r="C55" s="180">
        <v>9</v>
      </c>
      <c r="D55" s="183"/>
      <c r="E55" s="180"/>
      <c r="F55" s="180"/>
      <c r="G55" s="185"/>
      <c r="H55" s="558"/>
      <c r="I55" s="186"/>
      <c r="J55" s="186"/>
      <c r="K55" s="187"/>
      <c r="L55" s="559"/>
      <c r="M55" s="186"/>
      <c r="N55" s="530"/>
      <c r="O55" s="530"/>
      <c r="P55" s="188"/>
      <c r="Q55" s="188"/>
      <c r="R55" s="185"/>
      <c r="S55" s="182"/>
      <c r="T55" s="558"/>
      <c r="U55" s="188"/>
      <c r="V55" s="188"/>
      <c r="W55" s="185"/>
      <c r="X55" s="182"/>
      <c r="Y55" s="558"/>
      <c r="Z55" s="188"/>
      <c r="AA55" s="188"/>
      <c r="AB55" s="185"/>
      <c r="AC55" s="182"/>
      <c r="AD55" s="558"/>
      <c r="AE55" s="188"/>
      <c r="AF55" s="188"/>
      <c r="AG55" s="185"/>
      <c r="AH55" s="182"/>
      <c r="AI55" s="558"/>
      <c r="AJ55" s="188"/>
      <c r="AK55" s="188"/>
      <c r="AL55" s="185"/>
      <c r="AM55" s="182"/>
      <c r="AN55" s="558"/>
      <c r="AO55" s="188"/>
      <c r="AP55" s="188"/>
      <c r="AQ55" s="185"/>
      <c r="AR55" s="182"/>
      <c r="AS55" s="558"/>
      <c r="AT55" s="188"/>
      <c r="AU55" s="188"/>
      <c r="AV55" s="185"/>
      <c r="AW55" s="182"/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80">U62+1</f>
        <v>46072</v>
      </c>
      <c r="AA62" s="597"/>
      <c r="AB62" s="597"/>
      <c r="AC62" s="597"/>
      <c r="AD62" s="597"/>
      <c r="AE62" s="598">
        <f t="shared" ref="AE62" si="81">Z62+1</f>
        <v>46073</v>
      </c>
      <c r="AF62" s="599"/>
      <c r="AG62" s="599"/>
      <c r="AH62" s="599"/>
      <c r="AI62" s="599"/>
      <c r="AJ62" s="588">
        <f t="shared" ref="AJ62" si="82">AE62+1</f>
        <v>46074</v>
      </c>
      <c r="AK62" s="589"/>
      <c r="AL62" s="589"/>
      <c r="AM62" s="589"/>
      <c r="AN62" s="590"/>
      <c r="AO62" s="598">
        <f t="shared" ref="AO62" si="83">AJ62+1</f>
        <v>46075</v>
      </c>
      <c r="AP62" s="599"/>
      <c r="AQ62" s="599"/>
      <c r="AR62" s="599"/>
      <c r="AS62" s="599"/>
      <c r="AT62" s="588">
        <f t="shared" ref="AT62" si="84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85">Z62</f>
        <v>46072</v>
      </c>
      <c r="AA63" s="591"/>
      <c r="AB63" s="591"/>
      <c r="AC63" s="591"/>
      <c r="AD63" s="591"/>
      <c r="AE63" s="592">
        <f t="shared" ref="AE63" si="86">AE62</f>
        <v>46073</v>
      </c>
      <c r="AF63" s="592"/>
      <c r="AG63" s="592"/>
      <c r="AH63" s="592"/>
      <c r="AI63" s="592"/>
      <c r="AJ63" s="593">
        <f t="shared" ref="AJ63" si="87">AJ62</f>
        <v>46074</v>
      </c>
      <c r="AK63" s="594"/>
      <c r="AL63" s="594"/>
      <c r="AM63" s="594"/>
      <c r="AN63" s="595"/>
      <c r="AO63" s="592">
        <f t="shared" ref="AO63" si="88">AO62</f>
        <v>46075</v>
      </c>
      <c r="AP63" s="592"/>
      <c r="AQ63" s="592"/>
      <c r="AR63" s="592"/>
      <c r="AS63" s="592"/>
      <c r="AT63" s="593">
        <f t="shared" ref="AT63" si="89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530" t="s">
        <v>220</v>
      </c>
      <c r="C67" s="180">
        <v>1</v>
      </c>
      <c r="D67" s="183" t="s">
        <v>221</v>
      </c>
      <c r="E67" s="180">
        <v>19</v>
      </c>
      <c r="F67" s="180">
        <v>1800</v>
      </c>
      <c r="G67" s="185">
        <f t="shared" ref="G67:G68" si="90">F67/E67</f>
        <v>94.736842105263165</v>
      </c>
      <c r="H67" s="558">
        <f>AVERAGE(G67:G81)</f>
        <v>94.736842105263165</v>
      </c>
      <c r="I67" s="186">
        <f>AVERAGE(P67,U67,Z67,AE67,AJ67,AO67,AT67)</f>
        <v>19</v>
      </c>
      <c r="J67" s="186">
        <f>AVERAGE(Q67,V67,AA67,AF67,AK67,AP67,AU67)</f>
        <v>1606.8324887866613</v>
      </c>
      <c r="K67" s="187">
        <f>AVERAGE(R67,W67,AB67,AG67,AL67,AQ67,AV67)</f>
        <v>84.570130988771638</v>
      </c>
      <c r="L67" s="559">
        <f>IFERROR(AVERAGE(K67:K81),"-")</f>
        <v>84.549903451788339</v>
      </c>
      <c r="M67" s="186">
        <f>RANK(K67, K$67:$K$81)</f>
        <v>1</v>
      </c>
      <c r="N67" s="530"/>
      <c r="O67" s="530"/>
      <c r="P67" s="188">
        <v>19</v>
      </c>
      <c r="Q67" s="188">
        <v>1606.9204152249135</v>
      </c>
      <c r="R67" s="185">
        <f>IFERROR(Q67/P67,"")</f>
        <v>84.574758696048079</v>
      </c>
      <c r="S67" s="182">
        <f>RANK(R67, R$67:R$81)</f>
        <v>1</v>
      </c>
      <c r="T67" s="558">
        <f>AVERAGE(R67:R81)</f>
        <v>84.545458362811189</v>
      </c>
      <c r="U67" s="188">
        <v>19</v>
      </c>
      <c r="V67" s="188">
        <v>1607.2595281306697</v>
      </c>
      <c r="W67" s="185">
        <f t="shared" ref="W67:W68" si="91">IFERROR(V67/U67,"")</f>
        <v>84.592606743719458</v>
      </c>
      <c r="X67" s="182">
        <f>RANK(W67, W$67:W$81)</f>
        <v>1</v>
      </c>
      <c r="Y67" s="558">
        <f>AVERAGE(W67:W81)</f>
        <v>84.562651997986592</v>
      </c>
      <c r="Z67" s="188">
        <v>19</v>
      </c>
      <c r="AA67" s="188">
        <v>1607.3107049608359</v>
      </c>
      <c r="AB67" s="185">
        <f t="shared" ref="AB67:AB68" si="92">IFERROR(AA67/Z67,"")</f>
        <v>84.595300261096625</v>
      </c>
      <c r="AC67" s="182">
        <f>RANK(AB67, AB$67:AB$81)</f>
        <v>1</v>
      </c>
      <c r="AD67" s="558">
        <f>AVERAGE(AB67:AB81)</f>
        <v>84.559842308240292</v>
      </c>
      <c r="AE67" s="188">
        <v>19</v>
      </c>
      <c r="AF67" s="188">
        <v>1607.4108383510884</v>
      </c>
      <c r="AG67" s="185">
        <f>IFERROR(AF67/AE67,"")</f>
        <v>84.600570439530969</v>
      </c>
      <c r="AH67" s="182">
        <f>RANK(AG67, AG$67:AG$81)</f>
        <v>1</v>
      </c>
      <c r="AI67" s="558">
        <f>AVERAGE(AG67:AG81)</f>
        <v>84.569305623918353</v>
      </c>
      <c r="AJ67" s="188">
        <v>19</v>
      </c>
      <c r="AK67" s="188">
        <v>1606.2522202486678</v>
      </c>
      <c r="AL67" s="185">
        <f t="shared" ref="AL67:AL68" si="93">IFERROR(AK67/AJ67,"")</f>
        <v>84.539590539403562</v>
      </c>
      <c r="AM67" s="182">
        <f>RANK(AL67, AL$67:AL$81)</f>
        <v>1</v>
      </c>
      <c r="AN67" s="558">
        <f>AVERAGE(AL67:AL81)</f>
        <v>84.532335291046479</v>
      </c>
      <c r="AO67" s="188">
        <v>19</v>
      </c>
      <c r="AP67" s="188">
        <v>1606.2992125984235</v>
      </c>
      <c r="AQ67" s="185">
        <f t="shared" ref="AQ67:AQ68" si="94">IFERROR(AP67/AO67,"")</f>
        <v>84.542063820969659</v>
      </c>
      <c r="AR67" s="182">
        <f>RANK(AQ67, AQ$67:AQ$81)</f>
        <v>1</v>
      </c>
      <c r="AS67" s="558">
        <f>AVERAGE(AQ67:AQ81)</f>
        <v>84.534983246110343</v>
      </c>
      <c r="AT67" s="188">
        <v>19</v>
      </c>
      <c r="AU67" s="188">
        <v>1606.3745019920304</v>
      </c>
      <c r="AV67" s="185">
        <f t="shared" ref="AV67:AV68" si="95">IFERROR(AU67/AT67,"")</f>
        <v>84.546026420633183</v>
      </c>
      <c r="AW67" s="182">
        <f>RANK(AV67, AV$67:AV$81)</f>
        <v>1</v>
      </c>
      <c r="AX67" s="558">
        <f>AVERAGE(AV67:AV81)</f>
        <v>84.544747332405223</v>
      </c>
    </row>
    <row r="68" spans="2:50" ht="14.25" customHeight="1">
      <c r="B68" s="530"/>
      <c r="C68" s="180">
        <v>2</v>
      </c>
      <c r="D68" s="183" t="s">
        <v>224</v>
      </c>
      <c r="E68" s="180">
        <v>19</v>
      </c>
      <c r="F68" s="180">
        <v>1800</v>
      </c>
      <c r="G68" s="185">
        <f t="shared" si="90"/>
        <v>94.736842105263165</v>
      </c>
      <c r="H68" s="558"/>
      <c r="I68" s="186">
        <f t="shared" ref="I68:K68" si="96">AVERAGE(P68,U68,Z68,AE68,AJ68,AO68,AT68)</f>
        <v>19</v>
      </c>
      <c r="J68" s="186">
        <f t="shared" si="96"/>
        <v>1606.0638423812959</v>
      </c>
      <c r="K68" s="187">
        <f t="shared" si="96"/>
        <v>84.529675914805054</v>
      </c>
      <c r="L68" s="559"/>
      <c r="M68" s="186">
        <f>RANK(K68, K$67:$K$81)</f>
        <v>2</v>
      </c>
      <c r="N68" s="530"/>
      <c r="O68" s="530"/>
      <c r="P68" s="188">
        <v>19</v>
      </c>
      <c r="Q68" s="188">
        <v>1605.8070025619118</v>
      </c>
      <c r="R68" s="185">
        <f t="shared" ref="R68" si="97">IFERROR(Q68/P68,"")</f>
        <v>84.516158029574299</v>
      </c>
      <c r="S68" s="182">
        <f>RANK(R68, R$67:R$81)</f>
        <v>2</v>
      </c>
      <c r="T68" s="558"/>
      <c r="U68" s="188">
        <v>19</v>
      </c>
      <c r="V68" s="188">
        <v>1606.1212477928207</v>
      </c>
      <c r="W68" s="185">
        <f t="shared" si="91"/>
        <v>84.532697252253726</v>
      </c>
      <c r="X68" s="182">
        <f>RANK(W68, W$67:W$81)</f>
        <v>2</v>
      </c>
      <c r="Y68" s="558"/>
      <c r="Z68" s="188">
        <v>19</v>
      </c>
      <c r="AA68" s="188">
        <v>1605.963302752295</v>
      </c>
      <c r="AB68" s="185">
        <f t="shared" si="92"/>
        <v>84.524384355383944</v>
      </c>
      <c r="AC68" s="182">
        <f>RANK(AB68, AB$67:AB$81)</f>
        <v>2</v>
      </c>
      <c r="AD68" s="558"/>
      <c r="AE68" s="188">
        <v>19</v>
      </c>
      <c r="AF68" s="188">
        <v>1606.2227753578093</v>
      </c>
      <c r="AG68" s="185">
        <f t="shared" ref="AG68" si="98">IFERROR(AF68/AE68,"")</f>
        <v>84.538040808305752</v>
      </c>
      <c r="AH68" s="182">
        <f>RANK(AG68, AG$67:AG$81)</f>
        <v>2</v>
      </c>
      <c r="AI68" s="558"/>
      <c r="AJ68" s="188">
        <v>19</v>
      </c>
      <c r="AK68" s="188">
        <v>1605.9765208110985</v>
      </c>
      <c r="AL68" s="185">
        <f t="shared" si="93"/>
        <v>84.525080042689396</v>
      </c>
      <c r="AM68" s="182">
        <f>RANK(AL68, AL$67:AL$81)</f>
        <v>2</v>
      </c>
      <c r="AN68" s="558"/>
      <c r="AO68" s="188">
        <v>19</v>
      </c>
      <c r="AP68" s="188">
        <v>1606.0301507537695</v>
      </c>
      <c r="AQ68" s="185">
        <f t="shared" si="94"/>
        <v>84.527902671251027</v>
      </c>
      <c r="AR68" s="182">
        <f>RANK(AQ68, AQ$67:AQ$81)</f>
        <v>2</v>
      </c>
      <c r="AS68" s="558"/>
      <c r="AT68" s="188">
        <v>19</v>
      </c>
      <c r="AU68" s="188">
        <v>1606.325896639368</v>
      </c>
      <c r="AV68" s="185">
        <f t="shared" si="95"/>
        <v>84.543468244177262</v>
      </c>
      <c r="AW68" s="182">
        <f>RANK(AV68, AV$67:AV$81)</f>
        <v>2</v>
      </c>
      <c r="AX68" s="558"/>
    </row>
    <row r="69" spans="2:50" ht="14.25" customHeight="1">
      <c r="B69" s="530"/>
      <c r="C69" s="180">
        <v>3</v>
      </c>
      <c r="D69" s="183"/>
      <c r="E69" s="180"/>
      <c r="F69" s="180"/>
      <c r="G69" s="185"/>
      <c r="H69" s="558"/>
      <c r="I69" s="186"/>
      <c r="J69" s="186"/>
      <c r="K69" s="187"/>
      <c r="L69" s="559"/>
      <c r="M69" s="186"/>
      <c r="N69" s="530"/>
      <c r="O69" s="530"/>
      <c r="P69" s="188"/>
      <c r="Q69" s="188"/>
      <c r="R69" s="185"/>
      <c r="S69" s="182"/>
      <c r="T69" s="558"/>
      <c r="U69" s="188"/>
      <c r="V69" s="188"/>
      <c r="W69" s="185"/>
      <c r="X69" s="182"/>
      <c r="Y69" s="558"/>
      <c r="Z69" s="188"/>
      <c r="AA69" s="188"/>
      <c r="AB69" s="185"/>
      <c r="AC69" s="182"/>
      <c r="AD69" s="558"/>
      <c r="AE69" s="188"/>
      <c r="AF69" s="188"/>
      <c r="AG69" s="185"/>
      <c r="AH69" s="182"/>
      <c r="AI69" s="558"/>
      <c r="AJ69" s="188"/>
      <c r="AK69" s="188"/>
      <c r="AL69" s="185"/>
      <c r="AM69" s="182"/>
      <c r="AN69" s="558"/>
      <c r="AO69" s="188"/>
      <c r="AP69" s="188"/>
      <c r="AQ69" s="185"/>
      <c r="AR69" s="182"/>
      <c r="AS69" s="558"/>
      <c r="AT69" s="188"/>
      <c r="AU69" s="188"/>
      <c r="AV69" s="185"/>
      <c r="AW69" s="182"/>
      <c r="AX69" s="558"/>
    </row>
    <row r="70" spans="2:50" ht="14.25" customHeight="1">
      <c r="B70" s="530"/>
      <c r="C70" s="180">
        <v>4</v>
      </c>
      <c r="D70" s="183"/>
      <c r="E70" s="180"/>
      <c r="F70" s="180"/>
      <c r="G70" s="185"/>
      <c r="H70" s="558"/>
      <c r="I70" s="186"/>
      <c r="J70" s="186"/>
      <c r="K70" s="187"/>
      <c r="L70" s="559"/>
      <c r="M70" s="186"/>
      <c r="N70" s="530"/>
      <c r="O70" s="530"/>
      <c r="P70" s="188"/>
      <c r="Q70" s="188"/>
      <c r="R70" s="185"/>
      <c r="S70" s="182"/>
      <c r="T70" s="558"/>
      <c r="U70" s="188"/>
      <c r="V70" s="188"/>
      <c r="W70" s="185"/>
      <c r="X70" s="182"/>
      <c r="Y70" s="558"/>
      <c r="Z70" s="188"/>
      <c r="AA70" s="188"/>
      <c r="AB70" s="185"/>
      <c r="AC70" s="182"/>
      <c r="AD70" s="558"/>
      <c r="AE70" s="188"/>
      <c r="AF70" s="188"/>
      <c r="AG70" s="185"/>
      <c r="AH70" s="182"/>
      <c r="AI70" s="558"/>
      <c r="AJ70" s="188"/>
      <c r="AK70" s="188"/>
      <c r="AL70" s="185"/>
      <c r="AM70" s="182"/>
      <c r="AN70" s="558"/>
      <c r="AO70" s="188"/>
      <c r="AP70" s="188"/>
      <c r="AQ70" s="185"/>
      <c r="AR70" s="182"/>
      <c r="AS70" s="558"/>
      <c r="AT70" s="188"/>
      <c r="AU70" s="188"/>
      <c r="AV70" s="185"/>
      <c r="AW70" s="182"/>
      <c r="AX70" s="558"/>
    </row>
    <row r="71" spans="2:50" ht="14.25" customHeight="1">
      <c r="B71" s="530"/>
      <c r="C71" s="180">
        <v>5</v>
      </c>
      <c r="D71" s="183"/>
      <c r="E71" s="180"/>
      <c r="F71" s="180"/>
      <c r="G71" s="185"/>
      <c r="H71" s="558"/>
      <c r="I71" s="186"/>
      <c r="J71" s="186"/>
      <c r="K71" s="187"/>
      <c r="L71" s="559"/>
      <c r="M71" s="186"/>
      <c r="N71" s="530"/>
      <c r="O71" s="530"/>
      <c r="P71" s="188"/>
      <c r="Q71" s="188"/>
      <c r="R71" s="185"/>
      <c r="S71" s="182"/>
      <c r="T71" s="558"/>
      <c r="U71" s="188"/>
      <c r="V71" s="188"/>
      <c r="W71" s="185"/>
      <c r="X71" s="182"/>
      <c r="Y71" s="558"/>
      <c r="Z71" s="188"/>
      <c r="AA71" s="188"/>
      <c r="AB71" s="185"/>
      <c r="AC71" s="182"/>
      <c r="AD71" s="558"/>
      <c r="AE71" s="188"/>
      <c r="AF71" s="188"/>
      <c r="AG71" s="185"/>
      <c r="AH71" s="182"/>
      <c r="AI71" s="558"/>
      <c r="AJ71" s="188"/>
      <c r="AK71" s="188"/>
      <c r="AL71" s="185"/>
      <c r="AM71" s="182"/>
      <c r="AN71" s="558"/>
      <c r="AO71" s="188"/>
      <c r="AP71" s="188"/>
      <c r="AQ71" s="185"/>
      <c r="AR71" s="182"/>
      <c r="AS71" s="558"/>
      <c r="AT71" s="188"/>
      <c r="AU71" s="188"/>
      <c r="AV71" s="185"/>
      <c r="AW71" s="182"/>
      <c r="AX71" s="558"/>
    </row>
    <row r="72" spans="2:50" ht="14.25" customHeight="1">
      <c r="B72" s="530"/>
      <c r="C72" s="180">
        <v>6</v>
      </c>
      <c r="D72" s="183"/>
      <c r="E72" s="180"/>
      <c r="F72" s="180"/>
      <c r="G72" s="185"/>
      <c r="H72" s="558"/>
      <c r="I72" s="186"/>
      <c r="J72" s="186"/>
      <c r="K72" s="187"/>
      <c r="L72" s="559"/>
      <c r="M72" s="186"/>
      <c r="N72" s="530"/>
      <c r="O72" s="530"/>
      <c r="P72" s="188"/>
      <c r="Q72" s="188"/>
      <c r="R72" s="185"/>
      <c r="S72" s="182"/>
      <c r="T72" s="558"/>
      <c r="U72" s="188"/>
      <c r="V72" s="188"/>
      <c r="W72" s="185"/>
      <c r="X72" s="182"/>
      <c r="Y72" s="558"/>
      <c r="Z72" s="188"/>
      <c r="AA72" s="188"/>
      <c r="AB72" s="185"/>
      <c r="AC72" s="182"/>
      <c r="AD72" s="558"/>
      <c r="AE72" s="188"/>
      <c r="AF72" s="188"/>
      <c r="AG72" s="185"/>
      <c r="AH72" s="182"/>
      <c r="AI72" s="558"/>
      <c r="AJ72" s="188"/>
      <c r="AK72" s="188"/>
      <c r="AL72" s="185"/>
      <c r="AM72" s="182"/>
      <c r="AN72" s="558"/>
      <c r="AO72" s="188"/>
      <c r="AP72" s="188"/>
      <c r="AQ72" s="185"/>
      <c r="AR72" s="182"/>
      <c r="AS72" s="558"/>
      <c r="AT72" s="188"/>
      <c r="AU72" s="188"/>
      <c r="AV72" s="185"/>
      <c r="AW72" s="182"/>
      <c r="AX72" s="558"/>
    </row>
    <row r="73" spans="2:50" ht="14.25" customHeight="1">
      <c r="B73" s="530"/>
      <c r="C73" s="180">
        <v>7</v>
      </c>
      <c r="D73" s="183"/>
      <c r="E73" s="180"/>
      <c r="F73" s="180"/>
      <c r="G73" s="185"/>
      <c r="H73" s="558"/>
      <c r="I73" s="186"/>
      <c r="J73" s="186"/>
      <c r="K73" s="187"/>
      <c r="L73" s="559"/>
      <c r="M73" s="186"/>
      <c r="N73" s="530"/>
      <c r="O73" s="530"/>
      <c r="P73" s="188"/>
      <c r="Q73" s="188"/>
      <c r="R73" s="185"/>
      <c r="S73" s="182"/>
      <c r="T73" s="558"/>
      <c r="U73" s="188"/>
      <c r="V73" s="188"/>
      <c r="W73" s="185"/>
      <c r="X73" s="182"/>
      <c r="Y73" s="558"/>
      <c r="Z73" s="188"/>
      <c r="AA73" s="188"/>
      <c r="AB73" s="185"/>
      <c r="AC73" s="182"/>
      <c r="AD73" s="558"/>
      <c r="AE73" s="188"/>
      <c r="AF73" s="188"/>
      <c r="AG73" s="185"/>
      <c r="AH73" s="182"/>
      <c r="AI73" s="558"/>
      <c r="AJ73" s="188"/>
      <c r="AK73" s="188"/>
      <c r="AL73" s="185"/>
      <c r="AM73" s="182"/>
      <c r="AN73" s="558"/>
      <c r="AO73" s="188"/>
      <c r="AP73" s="188"/>
      <c r="AQ73" s="185"/>
      <c r="AR73" s="182"/>
      <c r="AS73" s="558"/>
      <c r="AT73" s="188"/>
      <c r="AU73" s="188"/>
      <c r="AV73" s="185"/>
      <c r="AW73" s="182"/>
      <c r="AX73" s="558"/>
    </row>
    <row r="74" spans="2:50" ht="14.25" customHeight="1">
      <c r="B74" s="530"/>
      <c r="C74" s="180">
        <v>8</v>
      </c>
      <c r="D74" s="183"/>
      <c r="E74" s="180"/>
      <c r="F74" s="180"/>
      <c r="G74" s="185"/>
      <c r="H74" s="558"/>
      <c r="I74" s="186"/>
      <c r="J74" s="186"/>
      <c r="K74" s="187"/>
      <c r="L74" s="559"/>
      <c r="M74" s="186"/>
      <c r="N74" s="530"/>
      <c r="O74" s="530"/>
      <c r="P74" s="188"/>
      <c r="Q74" s="188"/>
      <c r="R74" s="185"/>
      <c r="S74" s="182"/>
      <c r="T74" s="558"/>
      <c r="U74" s="188"/>
      <c r="V74" s="188"/>
      <c r="W74" s="185"/>
      <c r="X74" s="182"/>
      <c r="Y74" s="558"/>
      <c r="Z74" s="188"/>
      <c r="AA74" s="188"/>
      <c r="AB74" s="185"/>
      <c r="AC74" s="182"/>
      <c r="AD74" s="558"/>
      <c r="AE74" s="188"/>
      <c r="AF74" s="188"/>
      <c r="AG74" s="185"/>
      <c r="AH74" s="182"/>
      <c r="AI74" s="558"/>
      <c r="AJ74" s="188"/>
      <c r="AK74" s="188"/>
      <c r="AL74" s="185"/>
      <c r="AM74" s="182"/>
      <c r="AN74" s="558"/>
      <c r="AO74" s="188"/>
      <c r="AP74" s="188"/>
      <c r="AQ74" s="185"/>
      <c r="AR74" s="182"/>
      <c r="AS74" s="558"/>
      <c r="AT74" s="188"/>
      <c r="AU74" s="188"/>
      <c r="AV74" s="185"/>
      <c r="AW74" s="182"/>
      <c r="AX74" s="558"/>
    </row>
    <row r="75" spans="2:50" ht="14.25" customHeight="1">
      <c r="B75" s="530"/>
      <c r="C75" s="180">
        <v>9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30"/>
      <c r="O75" s="530"/>
      <c r="P75" s="188"/>
      <c r="Q75" s="188"/>
      <c r="R75" s="185"/>
      <c r="S75" s="182"/>
      <c r="T75" s="558"/>
      <c r="U75" s="188"/>
      <c r="V75" s="188"/>
      <c r="W75" s="185"/>
      <c r="X75" s="182"/>
      <c r="Y75" s="558"/>
      <c r="Z75" s="188"/>
      <c r="AA75" s="188"/>
      <c r="AB75" s="185"/>
      <c r="AC75" s="182"/>
      <c r="AD75" s="558"/>
      <c r="AE75" s="188"/>
      <c r="AF75" s="188"/>
      <c r="AG75" s="185"/>
      <c r="AH75" s="182"/>
      <c r="AI75" s="558"/>
      <c r="AJ75" s="188"/>
      <c r="AK75" s="188"/>
      <c r="AL75" s="185"/>
      <c r="AM75" s="182"/>
      <c r="AN75" s="558"/>
      <c r="AO75" s="188"/>
      <c r="AP75" s="188"/>
      <c r="AQ75" s="185"/>
      <c r="AR75" s="182"/>
      <c r="AS75" s="558"/>
      <c r="AT75" s="188"/>
      <c r="AU75" s="188"/>
      <c r="AV75" s="185"/>
      <c r="AW75" s="182"/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558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558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558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558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558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558"/>
      <c r="AT81" s="188"/>
      <c r="AU81" s="188"/>
      <c r="AV81" s="185"/>
      <c r="AW81" s="182"/>
      <c r="AX81" s="558"/>
    </row>
    <row r="82" spans="2:50" ht="14.25" customHeight="1" collapsed="1">
      <c r="B82" s="544" t="s">
        <v>176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60" t="s">
        <v>127</v>
      </c>
      <c r="O82" s="560" t="s">
        <v>77</v>
      </c>
      <c r="P82" s="596">
        <f>AT62+1</f>
        <v>46077</v>
      </c>
      <c r="Q82" s="597"/>
      <c r="R82" s="597"/>
      <c r="S82" s="597"/>
      <c r="T82" s="597"/>
      <c r="U82" s="598">
        <f>P82+1</f>
        <v>46078</v>
      </c>
      <c r="V82" s="599"/>
      <c r="W82" s="599"/>
      <c r="X82" s="599"/>
      <c r="Y82" s="599"/>
      <c r="Z82" s="596">
        <f t="shared" ref="Z82" si="99">U82+1</f>
        <v>46079</v>
      </c>
      <c r="AA82" s="597"/>
      <c r="AB82" s="597"/>
      <c r="AC82" s="597"/>
      <c r="AD82" s="597"/>
      <c r="AE82" s="598">
        <f t="shared" ref="AE82" si="100">Z82+1</f>
        <v>46080</v>
      </c>
      <c r="AF82" s="599"/>
      <c r="AG82" s="599"/>
      <c r="AH82" s="599"/>
      <c r="AI82" s="599"/>
      <c r="AJ82" s="588">
        <f t="shared" ref="AJ82" si="101">AE82+1</f>
        <v>46081</v>
      </c>
      <c r="AK82" s="589"/>
      <c r="AL82" s="589"/>
      <c r="AM82" s="589"/>
      <c r="AN82" s="590"/>
      <c r="AO82" s="598">
        <f t="shared" ref="AO82" si="102">AJ82+1</f>
        <v>46082</v>
      </c>
      <c r="AP82" s="599"/>
      <c r="AQ82" s="599"/>
      <c r="AR82" s="599"/>
      <c r="AS82" s="599"/>
      <c r="AT82" s="588">
        <f t="shared" ref="AT82" si="103">AO82+1</f>
        <v>46083</v>
      </c>
      <c r="AU82" s="589"/>
      <c r="AV82" s="589"/>
      <c r="AW82" s="589"/>
      <c r="AX82" s="590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62"/>
      <c r="O83" s="562"/>
      <c r="P83" s="591">
        <f>P82</f>
        <v>46077</v>
      </c>
      <c r="Q83" s="591"/>
      <c r="R83" s="591"/>
      <c r="S83" s="591"/>
      <c r="T83" s="591"/>
      <c r="U83" s="592">
        <f>U82</f>
        <v>46078</v>
      </c>
      <c r="V83" s="592"/>
      <c r="W83" s="592"/>
      <c r="X83" s="592"/>
      <c r="Y83" s="592"/>
      <c r="Z83" s="591">
        <f t="shared" ref="Z83" si="104">Z82</f>
        <v>46079</v>
      </c>
      <c r="AA83" s="591"/>
      <c r="AB83" s="591"/>
      <c r="AC83" s="591"/>
      <c r="AD83" s="591"/>
      <c r="AE83" s="592">
        <f t="shared" ref="AE83" si="105">AE82</f>
        <v>46080</v>
      </c>
      <c r="AF83" s="592"/>
      <c r="AG83" s="592"/>
      <c r="AH83" s="592"/>
      <c r="AI83" s="592"/>
      <c r="AJ83" s="593">
        <f t="shared" ref="AJ83" si="106">AJ82</f>
        <v>46081</v>
      </c>
      <c r="AK83" s="594"/>
      <c r="AL83" s="594"/>
      <c r="AM83" s="594"/>
      <c r="AN83" s="595"/>
      <c r="AO83" s="592">
        <f t="shared" ref="AO83" si="107">AO82</f>
        <v>46082</v>
      </c>
      <c r="AP83" s="592"/>
      <c r="AQ83" s="592"/>
      <c r="AR83" s="592"/>
      <c r="AS83" s="592"/>
      <c r="AT83" s="593">
        <f t="shared" ref="AT83" si="108">AT82</f>
        <v>46083</v>
      </c>
      <c r="AU83" s="594"/>
      <c r="AV83" s="594"/>
      <c r="AW83" s="594"/>
      <c r="AX83" s="595"/>
    </row>
    <row r="84" spans="2:50" ht="14.25" customHeight="1">
      <c r="B84" s="530" t="s">
        <v>128</v>
      </c>
      <c r="C84" s="530" t="s">
        <v>129</v>
      </c>
      <c r="D84" s="530"/>
      <c r="E84" s="530" t="s">
        <v>130</v>
      </c>
      <c r="F84" s="530"/>
      <c r="G84" s="530"/>
      <c r="H84" s="530" t="s">
        <v>131</v>
      </c>
      <c r="I84" s="553" t="s">
        <v>132</v>
      </c>
      <c r="J84" s="553"/>
      <c r="K84" s="553"/>
      <c r="L84" s="553" t="s">
        <v>131</v>
      </c>
      <c r="M84" s="553" t="s">
        <v>133</v>
      </c>
      <c r="N84" s="530"/>
      <c r="O84" s="530" t="s">
        <v>134</v>
      </c>
      <c r="P84" s="530" t="s">
        <v>135</v>
      </c>
      <c r="Q84" s="530"/>
      <c r="R84" s="530"/>
      <c r="S84" s="530"/>
      <c r="T84" s="530" t="s">
        <v>131</v>
      </c>
      <c r="U84" s="530" t="s">
        <v>135</v>
      </c>
      <c r="V84" s="530"/>
      <c r="W84" s="530"/>
      <c r="X84" s="530"/>
      <c r="Y84" s="530" t="s">
        <v>131</v>
      </c>
      <c r="Z84" s="530" t="s">
        <v>135</v>
      </c>
      <c r="AA84" s="530"/>
      <c r="AB84" s="530"/>
      <c r="AC84" s="530"/>
      <c r="AD84" s="530" t="s">
        <v>131</v>
      </c>
      <c r="AE84" s="530" t="s">
        <v>135</v>
      </c>
      <c r="AF84" s="530"/>
      <c r="AG84" s="530"/>
      <c r="AH84" s="530"/>
      <c r="AI84" s="530" t="s">
        <v>131</v>
      </c>
      <c r="AJ84" s="530" t="s">
        <v>135</v>
      </c>
      <c r="AK84" s="530"/>
      <c r="AL84" s="530"/>
      <c r="AM84" s="530"/>
      <c r="AN84" s="530" t="s">
        <v>131</v>
      </c>
      <c r="AO84" s="530" t="s">
        <v>135</v>
      </c>
      <c r="AP84" s="530"/>
      <c r="AQ84" s="530"/>
      <c r="AR84" s="530"/>
      <c r="AS84" s="530" t="s">
        <v>131</v>
      </c>
      <c r="AT84" s="530" t="s">
        <v>135</v>
      </c>
      <c r="AU84" s="530"/>
      <c r="AV84" s="530"/>
      <c r="AW84" s="530"/>
      <c r="AX84" s="530" t="s">
        <v>131</v>
      </c>
    </row>
    <row r="85" spans="2:50" ht="14.25" customHeight="1">
      <c r="B85" s="530"/>
      <c r="C85" s="530"/>
      <c r="D85" s="530"/>
      <c r="E85" s="530" t="s">
        <v>136</v>
      </c>
      <c r="F85" s="530"/>
      <c r="G85" s="530"/>
      <c r="H85" s="530"/>
      <c r="I85" s="553" t="s">
        <v>136</v>
      </c>
      <c r="J85" s="553"/>
      <c r="K85" s="553"/>
      <c r="L85" s="553"/>
      <c r="M85" s="553"/>
      <c r="N85" s="530"/>
      <c r="O85" s="530"/>
      <c r="P85" s="530" t="s">
        <v>137</v>
      </c>
      <c r="Q85" s="530"/>
      <c r="R85" s="530"/>
      <c r="S85" s="530"/>
      <c r="T85" s="530"/>
      <c r="U85" s="530" t="s">
        <v>137</v>
      </c>
      <c r="V85" s="530"/>
      <c r="W85" s="530"/>
      <c r="X85" s="530"/>
      <c r="Y85" s="530"/>
      <c r="Z85" s="530" t="s">
        <v>137</v>
      </c>
      <c r="AA85" s="530"/>
      <c r="AB85" s="530"/>
      <c r="AC85" s="530"/>
      <c r="AD85" s="530"/>
      <c r="AE85" s="530" t="s">
        <v>137</v>
      </c>
      <c r="AF85" s="530"/>
      <c r="AG85" s="530"/>
      <c r="AH85" s="530"/>
      <c r="AI85" s="530"/>
      <c r="AJ85" s="530" t="s">
        <v>137</v>
      </c>
      <c r="AK85" s="530"/>
      <c r="AL85" s="530"/>
      <c r="AM85" s="530"/>
      <c r="AN85" s="530"/>
      <c r="AO85" s="530" t="s">
        <v>137</v>
      </c>
      <c r="AP85" s="530"/>
      <c r="AQ85" s="530"/>
      <c r="AR85" s="530"/>
      <c r="AS85" s="530"/>
      <c r="AT85" s="530" t="s">
        <v>137</v>
      </c>
      <c r="AU85" s="530"/>
      <c r="AV85" s="530"/>
      <c r="AW85" s="530"/>
      <c r="AX85" s="530"/>
    </row>
    <row r="86" spans="2:50" ht="14.25" customHeight="1">
      <c r="B86" s="530"/>
      <c r="C86" s="530"/>
      <c r="D86" s="530"/>
      <c r="E86" s="180" t="s">
        <v>138</v>
      </c>
      <c r="F86" s="180" t="s">
        <v>139</v>
      </c>
      <c r="G86" s="180" t="s">
        <v>140</v>
      </c>
      <c r="H86" s="530"/>
      <c r="I86" s="181" t="s">
        <v>138</v>
      </c>
      <c r="J86" s="181" t="s">
        <v>139</v>
      </c>
      <c r="K86" s="181" t="s">
        <v>140</v>
      </c>
      <c r="L86" s="553"/>
      <c r="M86" s="553"/>
      <c r="N86" s="530"/>
      <c r="O86" s="530"/>
      <c r="P86" s="180" t="s">
        <v>138</v>
      </c>
      <c r="Q86" s="180" t="s">
        <v>139</v>
      </c>
      <c r="R86" s="180" t="s">
        <v>140</v>
      </c>
      <c r="S86" s="182" t="s">
        <v>133</v>
      </c>
      <c r="T86" s="530"/>
      <c r="U86" s="180" t="s">
        <v>138</v>
      </c>
      <c r="V86" s="180" t="s">
        <v>139</v>
      </c>
      <c r="W86" s="180" t="s">
        <v>140</v>
      </c>
      <c r="X86" s="182" t="s">
        <v>133</v>
      </c>
      <c r="Y86" s="530"/>
      <c r="Z86" s="180" t="s">
        <v>138</v>
      </c>
      <c r="AA86" s="180" t="s">
        <v>139</v>
      </c>
      <c r="AB86" s="180" t="s">
        <v>140</v>
      </c>
      <c r="AC86" s="182" t="s">
        <v>133</v>
      </c>
      <c r="AD86" s="530"/>
      <c r="AE86" s="180" t="s">
        <v>138</v>
      </c>
      <c r="AF86" s="180" t="s">
        <v>139</v>
      </c>
      <c r="AG86" s="180" t="s">
        <v>140</v>
      </c>
      <c r="AH86" s="182" t="s">
        <v>133</v>
      </c>
      <c r="AI86" s="530"/>
      <c r="AJ86" s="180" t="s">
        <v>138</v>
      </c>
      <c r="AK86" s="180" t="s">
        <v>139</v>
      </c>
      <c r="AL86" s="180" t="s">
        <v>140</v>
      </c>
      <c r="AM86" s="182" t="s">
        <v>133</v>
      </c>
      <c r="AN86" s="530"/>
      <c r="AO86" s="180" t="s">
        <v>138</v>
      </c>
      <c r="AP86" s="180" t="s">
        <v>139</v>
      </c>
      <c r="AQ86" s="180" t="s">
        <v>140</v>
      </c>
      <c r="AR86" s="182" t="s">
        <v>133</v>
      </c>
      <c r="AS86" s="530"/>
      <c r="AT86" s="180" t="s">
        <v>138</v>
      </c>
      <c r="AU86" s="180" t="s">
        <v>139</v>
      </c>
      <c r="AV86" s="180" t="s">
        <v>140</v>
      </c>
      <c r="AW86" s="182" t="s">
        <v>133</v>
      </c>
      <c r="AX86" s="530"/>
    </row>
    <row r="87" spans="2:50" ht="14.25" customHeight="1">
      <c r="B87" s="530" t="s">
        <v>220</v>
      </c>
      <c r="C87" s="180">
        <v>1</v>
      </c>
      <c r="D87" s="183" t="s">
        <v>221</v>
      </c>
      <c r="E87" s="180">
        <v>19</v>
      </c>
      <c r="F87" s="180">
        <v>1800</v>
      </c>
      <c r="G87" s="185">
        <f t="shared" ref="G87:G88" si="109">F87/E87</f>
        <v>94.736842105263165</v>
      </c>
      <c r="H87" s="558">
        <f>AVERAGE(G87:G101)</f>
        <v>94.736842105263165</v>
      </c>
      <c r="I87" s="186">
        <f>AVERAGE(P87,U87,Z87,AE87,AJ87,AO87,AT87)</f>
        <v>19</v>
      </c>
      <c r="J87" s="186">
        <f>AVERAGE(Q87,V87,AA87,AF87,AK87,AP87,AU87)</f>
        <v>1607.1357434748982</v>
      </c>
      <c r="K87" s="187">
        <f>AVERAGE(R87,W87,AB87,AG87,AL87,AQ87,AV87)</f>
        <v>84.586091761836741</v>
      </c>
      <c r="L87" s="559">
        <f>IFERROR(AVERAGE(K87:K101),"-")</f>
        <v>84.576459084309448</v>
      </c>
      <c r="M87" s="186">
        <f>RANK(K87, K$87:$K$101)</f>
        <v>1</v>
      </c>
      <c r="N87" s="530"/>
      <c r="O87" s="530"/>
      <c r="P87" s="188">
        <v>19</v>
      </c>
      <c r="Q87" s="188">
        <v>1606.7610781178621</v>
      </c>
      <c r="R87" s="185">
        <f>IFERROR(Q87/P87,"")</f>
        <v>84.566372532519054</v>
      </c>
      <c r="S87" s="182">
        <f>RANK(R87, R$87:R$101)</f>
        <v>1</v>
      </c>
      <c r="T87" s="558">
        <f>AVERAGE(R87:R101)</f>
        <v>84.559887792061048</v>
      </c>
      <c r="U87" s="188">
        <v>19</v>
      </c>
      <c r="V87" s="188">
        <v>1607.0103092783509</v>
      </c>
      <c r="W87" s="185">
        <f t="shared" ref="W87:W88" si="110">IFERROR(V87/U87,"")</f>
        <v>84.579489962018471</v>
      </c>
      <c r="X87" s="182">
        <f>RANK(W87, W$87:W$101)</f>
        <v>1</v>
      </c>
      <c r="Y87" s="558">
        <f>AVERAGE(W87:W101)</f>
        <v>84.573420270928921</v>
      </c>
      <c r="Z87" s="188">
        <v>19</v>
      </c>
      <c r="AA87" s="188">
        <v>1607.2110286320249</v>
      </c>
      <c r="AB87" s="185">
        <f t="shared" ref="AB87:AB88" si="111">IFERROR(AA87/Z87,"")</f>
        <v>84.59005413852762</v>
      </c>
      <c r="AC87" s="182">
        <f>RANK(AB87, AB$87:AB$101)</f>
        <v>1</v>
      </c>
      <c r="AD87" s="558">
        <f>AVERAGE(AB87:AB101)</f>
        <v>84.584400693438283</v>
      </c>
      <c r="AE87" s="188">
        <v>19</v>
      </c>
      <c r="AF87" s="188">
        <v>1607.3513513513517</v>
      </c>
      <c r="AG87" s="185">
        <f>IFERROR(AF87/AE87,"")</f>
        <v>84.597439544807983</v>
      </c>
      <c r="AH87" s="182">
        <f>RANK(AG87, AG$87:AG$101)</f>
        <v>1</v>
      </c>
      <c r="AI87" s="558">
        <f>AVERAGE(AG87:AG101)</f>
        <v>84.582622146072623</v>
      </c>
      <c r="AJ87" s="188">
        <v>19</v>
      </c>
      <c r="AK87" s="188">
        <v>1607.2892938496577</v>
      </c>
      <c r="AL87" s="185">
        <f t="shared" ref="AL87" si="112">IFERROR(AK87/AJ87,"")</f>
        <v>84.594173360508307</v>
      </c>
      <c r="AM87" s="182">
        <f>RANK(AL87, AL$87:AL$101)</f>
        <v>1</v>
      </c>
      <c r="AN87" s="558">
        <f>AVERAGE(AL87:AL101)</f>
        <v>84.594173360508307</v>
      </c>
      <c r="AO87" s="188">
        <v>19</v>
      </c>
      <c r="AP87" s="188">
        <v>1607.1174377224218</v>
      </c>
      <c r="AQ87" s="185">
        <f t="shared" ref="AQ87" si="113">IFERROR(AP87/AO87,"")</f>
        <v>84.585128301180092</v>
      </c>
      <c r="AR87" s="182">
        <f>RANK(AQ87, AQ$87:AQ$101)</f>
        <v>1</v>
      </c>
      <c r="AS87" s="558">
        <f>AVERAGE(AQ87:AQ101)</f>
        <v>84.585128301180092</v>
      </c>
      <c r="AT87" s="188">
        <v>19</v>
      </c>
      <c r="AU87" s="188">
        <v>1607.2097053726179</v>
      </c>
      <c r="AV87" s="185">
        <f t="shared" ref="AV87" si="114">IFERROR(AU87/AT87,"")</f>
        <v>84.589984493295674</v>
      </c>
      <c r="AW87" s="182">
        <f>RANK(AV87, AV$87:AV$101)</f>
        <v>1</v>
      </c>
      <c r="AX87" s="558">
        <f>AVERAGE(AV87:AV101)</f>
        <v>84.589984493295674</v>
      </c>
    </row>
    <row r="88" spans="2:50" ht="14.25" customHeight="1">
      <c r="B88" s="530"/>
      <c r="C88" s="180">
        <v>2</v>
      </c>
      <c r="D88" s="183" t="s">
        <v>224</v>
      </c>
      <c r="E88" s="180">
        <v>19</v>
      </c>
      <c r="F88" s="180">
        <v>1800</v>
      </c>
      <c r="G88" s="185">
        <f t="shared" si="109"/>
        <v>94.736842105263165</v>
      </c>
      <c r="H88" s="558"/>
      <c r="I88" s="186">
        <f t="shared" ref="I88:K88" si="115">AVERAGE(P88,U88,Z88,AE88,AJ88,AO88,AT88)</f>
        <v>19</v>
      </c>
      <c r="J88" s="186">
        <f t="shared" si="115"/>
        <v>1606.769701728861</v>
      </c>
      <c r="K88" s="187">
        <f t="shared" si="115"/>
        <v>84.566826406782155</v>
      </c>
      <c r="L88" s="559"/>
      <c r="M88" s="186">
        <f>RANK(K88, K$87:$K$101)</f>
        <v>2</v>
      </c>
      <c r="N88" s="530"/>
      <c r="O88" s="530"/>
      <c r="P88" s="188">
        <v>19</v>
      </c>
      <c r="Q88" s="188">
        <v>1606.5146579804577</v>
      </c>
      <c r="R88" s="185">
        <f t="shared" ref="R88" si="116">IFERROR(Q88/P88,"")</f>
        <v>84.553403051603041</v>
      </c>
      <c r="S88" s="182">
        <f>RANK(R88, R$87:R$101)</f>
        <v>2</v>
      </c>
      <c r="T88" s="558"/>
      <c r="U88" s="188">
        <v>19</v>
      </c>
      <c r="V88" s="188">
        <v>1606.7796610169482</v>
      </c>
      <c r="W88" s="185">
        <f t="shared" si="110"/>
        <v>84.567350579839385</v>
      </c>
      <c r="X88" s="182">
        <f>RANK(W88, W$87:W$101)</f>
        <v>2</v>
      </c>
      <c r="Y88" s="558"/>
      <c r="Z88" s="188">
        <v>19</v>
      </c>
      <c r="AA88" s="188">
        <v>1606.9961977186301</v>
      </c>
      <c r="AB88" s="185">
        <f t="shared" si="111"/>
        <v>84.578747248348961</v>
      </c>
      <c r="AC88" s="182">
        <f>RANK(AB88, AB$87:AB$101)</f>
        <v>2</v>
      </c>
      <c r="AD88" s="558"/>
      <c r="AE88" s="188">
        <v>19</v>
      </c>
      <c r="AF88" s="188">
        <v>1606.7882901994078</v>
      </c>
      <c r="AG88" s="185">
        <f t="shared" ref="AG88" si="117">IFERROR(AF88/AE88,"")</f>
        <v>84.567804747337249</v>
      </c>
      <c r="AH88" s="182">
        <f>RANK(AG88, AG$87:AG$101)</f>
        <v>2</v>
      </c>
      <c r="AI88" s="558"/>
      <c r="AJ88" s="188"/>
      <c r="AK88" s="188"/>
      <c r="AL88" s="185"/>
      <c r="AM88" s="182"/>
      <c r="AN88" s="558"/>
      <c r="AO88" s="188"/>
      <c r="AP88" s="188"/>
      <c r="AQ88" s="185"/>
      <c r="AR88" s="182"/>
      <c r="AS88" s="558"/>
      <c r="AT88" s="188"/>
      <c r="AU88" s="188"/>
      <c r="AV88" s="185"/>
      <c r="AW88" s="182"/>
      <c r="AX88" s="558"/>
    </row>
    <row r="89" spans="2:50" ht="14.25" customHeight="1">
      <c r="B89" s="530"/>
      <c r="C89" s="180">
        <v>3</v>
      </c>
      <c r="D89" s="183"/>
      <c r="E89" s="180"/>
      <c r="F89" s="180"/>
      <c r="G89" s="185"/>
      <c r="H89" s="558"/>
      <c r="I89" s="186"/>
      <c r="J89" s="186"/>
      <c r="K89" s="187"/>
      <c r="L89" s="559"/>
      <c r="M89" s="186"/>
      <c r="N89" s="530"/>
      <c r="O89" s="530"/>
      <c r="P89" s="188"/>
      <c r="Q89" s="188"/>
      <c r="R89" s="185"/>
      <c r="S89" s="182"/>
      <c r="T89" s="558"/>
      <c r="U89" s="188"/>
      <c r="V89" s="188"/>
      <c r="W89" s="185"/>
      <c r="X89" s="182"/>
      <c r="Y89" s="558"/>
      <c r="Z89" s="188"/>
      <c r="AA89" s="188"/>
      <c r="AB89" s="185"/>
      <c r="AC89" s="182"/>
      <c r="AD89" s="558"/>
      <c r="AE89" s="188"/>
      <c r="AF89" s="188"/>
      <c r="AG89" s="185"/>
      <c r="AH89" s="182"/>
      <c r="AI89" s="558"/>
      <c r="AJ89" s="188"/>
      <c r="AK89" s="188"/>
      <c r="AL89" s="185"/>
      <c r="AM89" s="182"/>
      <c r="AN89" s="558"/>
      <c r="AO89" s="188"/>
      <c r="AP89" s="188"/>
      <c r="AQ89" s="185"/>
      <c r="AR89" s="182"/>
      <c r="AS89" s="558"/>
      <c r="AT89" s="188"/>
      <c r="AU89" s="188"/>
      <c r="AV89" s="185"/>
      <c r="AW89" s="182"/>
      <c r="AX89" s="558"/>
    </row>
    <row r="90" spans="2:50" ht="14.25" customHeight="1">
      <c r="B90" s="530"/>
      <c r="C90" s="180">
        <v>4</v>
      </c>
      <c r="D90" s="183"/>
      <c r="E90" s="180"/>
      <c r="F90" s="180"/>
      <c r="G90" s="185"/>
      <c r="H90" s="558"/>
      <c r="I90" s="186"/>
      <c r="J90" s="186"/>
      <c r="K90" s="187"/>
      <c r="L90" s="559"/>
      <c r="M90" s="186"/>
      <c r="N90" s="530"/>
      <c r="O90" s="530"/>
      <c r="P90" s="188"/>
      <c r="Q90" s="188"/>
      <c r="R90" s="185"/>
      <c r="S90" s="182"/>
      <c r="T90" s="558"/>
      <c r="U90" s="188"/>
      <c r="V90" s="188"/>
      <c r="W90" s="185"/>
      <c r="X90" s="182"/>
      <c r="Y90" s="558"/>
      <c r="Z90" s="188"/>
      <c r="AA90" s="188"/>
      <c r="AB90" s="185"/>
      <c r="AC90" s="182"/>
      <c r="AD90" s="558"/>
      <c r="AE90" s="188"/>
      <c r="AF90" s="188"/>
      <c r="AG90" s="185"/>
      <c r="AH90" s="182"/>
      <c r="AI90" s="558"/>
      <c r="AJ90" s="188"/>
      <c r="AK90" s="188"/>
      <c r="AL90" s="185"/>
      <c r="AM90" s="182"/>
      <c r="AN90" s="558"/>
      <c r="AO90" s="188"/>
      <c r="AP90" s="188"/>
      <c r="AQ90" s="185"/>
      <c r="AR90" s="182"/>
      <c r="AS90" s="558"/>
      <c r="AT90" s="188"/>
      <c r="AU90" s="188"/>
      <c r="AV90" s="185"/>
      <c r="AW90" s="182"/>
      <c r="AX90" s="558"/>
    </row>
    <row r="91" spans="2:50" ht="14.25" customHeight="1">
      <c r="B91" s="530"/>
      <c r="C91" s="180">
        <v>5</v>
      </c>
      <c r="D91" s="183"/>
      <c r="E91" s="180"/>
      <c r="F91" s="180"/>
      <c r="G91" s="185"/>
      <c r="H91" s="558"/>
      <c r="I91" s="186"/>
      <c r="J91" s="186"/>
      <c r="K91" s="187"/>
      <c r="L91" s="559"/>
      <c r="M91" s="186"/>
      <c r="N91" s="530"/>
      <c r="O91" s="530"/>
      <c r="P91" s="188"/>
      <c r="Q91" s="188"/>
      <c r="R91" s="185"/>
      <c r="S91" s="182"/>
      <c r="T91" s="558"/>
      <c r="U91" s="188"/>
      <c r="V91" s="188"/>
      <c r="W91" s="185"/>
      <c r="X91" s="182"/>
      <c r="Y91" s="558"/>
      <c r="Z91" s="188"/>
      <c r="AA91" s="188"/>
      <c r="AB91" s="185"/>
      <c r="AC91" s="182"/>
      <c r="AD91" s="558"/>
      <c r="AE91" s="188"/>
      <c r="AF91" s="188"/>
      <c r="AG91" s="185"/>
      <c r="AH91" s="182"/>
      <c r="AI91" s="558"/>
      <c r="AJ91" s="188"/>
      <c r="AK91" s="188"/>
      <c r="AL91" s="185"/>
      <c r="AM91" s="182"/>
      <c r="AN91" s="558"/>
      <c r="AO91" s="188"/>
      <c r="AP91" s="188"/>
      <c r="AQ91" s="185"/>
      <c r="AR91" s="182"/>
      <c r="AS91" s="558"/>
      <c r="AT91" s="188"/>
      <c r="AU91" s="188"/>
      <c r="AV91" s="185"/>
      <c r="AW91" s="182"/>
      <c r="AX91" s="558"/>
    </row>
    <row r="92" spans="2:50" ht="14.25" customHeight="1">
      <c r="B92" s="530"/>
      <c r="C92" s="180">
        <v>6</v>
      </c>
      <c r="D92" s="183"/>
      <c r="E92" s="180"/>
      <c r="F92" s="180"/>
      <c r="G92" s="185"/>
      <c r="H92" s="558"/>
      <c r="I92" s="186"/>
      <c r="J92" s="186"/>
      <c r="K92" s="187"/>
      <c r="L92" s="559"/>
      <c r="M92" s="186"/>
      <c r="N92" s="530"/>
      <c r="O92" s="530"/>
      <c r="P92" s="188"/>
      <c r="Q92" s="188"/>
      <c r="R92" s="185"/>
      <c r="S92" s="182"/>
      <c r="T92" s="558"/>
      <c r="U92" s="188"/>
      <c r="V92" s="188"/>
      <c r="W92" s="185"/>
      <c r="X92" s="182"/>
      <c r="Y92" s="558"/>
      <c r="Z92" s="188"/>
      <c r="AA92" s="188"/>
      <c r="AB92" s="185"/>
      <c r="AC92" s="182"/>
      <c r="AD92" s="558"/>
      <c r="AE92" s="188"/>
      <c r="AF92" s="188"/>
      <c r="AG92" s="185"/>
      <c r="AH92" s="182"/>
      <c r="AI92" s="558"/>
      <c r="AJ92" s="188"/>
      <c r="AK92" s="188"/>
      <c r="AL92" s="185"/>
      <c r="AM92" s="182"/>
      <c r="AN92" s="558"/>
      <c r="AO92" s="188"/>
      <c r="AP92" s="188"/>
      <c r="AQ92" s="185"/>
      <c r="AR92" s="182"/>
      <c r="AS92" s="558"/>
      <c r="AT92" s="188"/>
      <c r="AU92" s="188"/>
      <c r="AV92" s="185"/>
      <c r="AW92" s="182"/>
      <c r="AX92" s="558"/>
    </row>
    <row r="93" spans="2:50" ht="14.25" customHeight="1">
      <c r="B93" s="530"/>
      <c r="C93" s="180">
        <v>7</v>
      </c>
      <c r="D93" s="183"/>
      <c r="E93" s="180"/>
      <c r="F93" s="180"/>
      <c r="G93" s="185"/>
      <c r="H93" s="558"/>
      <c r="I93" s="186"/>
      <c r="J93" s="186"/>
      <c r="K93" s="187"/>
      <c r="L93" s="559"/>
      <c r="M93" s="186"/>
      <c r="N93" s="530"/>
      <c r="O93" s="530"/>
      <c r="P93" s="188"/>
      <c r="Q93" s="188"/>
      <c r="R93" s="185"/>
      <c r="S93" s="182"/>
      <c r="T93" s="558"/>
      <c r="U93" s="188"/>
      <c r="V93" s="188"/>
      <c r="W93" s="185"/>
      <c r="X93" s="182"/>
      <c r="Y93" s="558"/>
      <c r="Z93" s="188"/>
      <c r="AA93" s="188"/>
      <c r="AB93" s="185"/>
      <c r="AC93" s="182"/>
      <c r="AD93" s="558"/>
      <c r="AE93" s="188"/>
      <c r="AF93" s="188"/>
      <c r="AG93" s="185"/>
      <c r="AH93" s="182"/>
      <c r="AI93" s="558"/>
      <c r="AJ93" s="188"/>
      <c r="AK93" s="188"/>
      <c r="AL93" s="185"/>
      <c r="AM93" s="182"/>
      <c r="AN93" s="558"/>
      <c r="AO93" s="188"/>
      <c r="AP93" s="188"/>
      <c r="AQ93" s="185"/>
      <c r="AR93" s="182"/>
      <c r="AS93" s="558"/>
      <c r="AT93" s="188"/>
      <c r="AU93" s="188"/>
      <c r="AV93" s="185"/>
      <c r="AW93" s="182"/>
      <c r="AX93" s="558"/>
    </row>
    <row r="94" spans="2:50" ht="14.25" customHeight="1">
      <c r="B94" s="530"/>
      <c r="C94" s="180">
        <v>8</v>
      </c>
      <c r="D94" s="183"/>
      <c r="E94" s="180"/>
      <c r="F94" s="180"/>
      <c r="G94" s="185"/>
      <c r="H94" s="558"/>
      <c r="I94" s="186"/>
      <c r="J94" s="186"/>
      <c r="K94" s="187"/>
      <c r="L94" s="559"/>
      <c r="M94" s="186"/>
      <c r="N94" s="530"/>
      <c r="O94" s="530"/>
      <c r="P94" s="188"/>
      <c r="Q94" s="188"/>
      <c r="R94" s="185"/>
      <c r="S94" s="182"/>
      <c r="T94" s="558"/>
      <c r="U94" s="188"/>
      <c r="V94" s="188"/>
      <c r="W94" s="185"/>
      <c r="X94" s="182"/>
      <c r="Y94" s="558"/>
      <c r="Z94" s="188"/>
      <c r="AA94" s="188"/>
      <c r="AB94" s="185"/>
      <c r="AC94" s="182"/>
      <c r="AD94" s="558"/>
      <c r="AE94" s="188"/>
      <c r="AF94" s="188"/>
      <c r="AG94" s="185"/>
      <c r="AH94" s="182"/>
      <c r="AI94" s="558"/>
      <c r="AJ94" s="188"/>
      <c r="AK94" s="188"/>
      <c r="AL94" s="185"/>
      <c r="AM94" s="182"/>
      <c r="AN94" s="558"/>
      <c r="AO94" s="188"/>
      <c r="AP94" s="188"/>
      <c r="AQ94" s="185"/>
      <c r="AR94" s="182"/>
      <c r="AS94" s="558"/>
      <c r="AT94" s="188"/>
      <c r="AU94" s="188"/>
      <c r="AV94" s="185"/>
      <c r="AW94" s="182"/>
      <c r="AX94" s="558"/>
    </row>
    <row r="95" spans="2:50" ht="14.25" customHeight="1">
      <c r="B95" s="530"/>
      <c r="C95" s="180">
        <v>9</v>
      </c>
      <c r="D95" s="183"/>
      <c r="E95" s="180"/>
      <c r="F95" s="180"/>
      <c r="G95" s="185"/>
      <c r="H95" s="558"/>
      <c r="I95" s="186"/>
      <c r="J95" s="186"/>
      <c r="K95" s="187"/>
      <c r="L95" s="559"/>
      <c r="M95" s="186"/>
      <c r="N95" s="530"/>
      <c r="O95" s="530"/>
      <c r="P95" s="188"/>
      <c r="Q95" s="188"/>
      <c r="R95" s="185"/>
      <c r="S95" s="182"/>
      <c r="T95" s="558"/>
      <c r="U95" s="188"/>
      <c r="V95" s="188"/>
      <c r="W95" s="185"/>
      <c r="X95" s="182"/>
      <c r="Y95" s="558"/>
      <c r="Z95" s="188"/>
      <c r="AA95" s="188"/>
      <c r="AB95" s="185"/>
      <c r="AC95" s="182"/>
      <c r="AD95" s="558"/>
      <c r="AE95" s="188"/>
      <c r="AF95" s="188"/>
      <c r="AG95" s="185"/>
      <c r="AH95" s="182"/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/>
      <c r="AU95" s="188"/>
      <c r="AV95" s="185"/>
      <c r="AW95" s="182"/>
      <c r="AX95" s="558"/>
    </row>
    <row r="96" spans="2:50" ht="14.25" customHeight="1">
      <c r="B96" s="530"/>
      <c r="C96" s="180">
        <v>10</v>
      </c>
      <c r="D96" s="183"/>
      <c r="E96" s="180"/>
      <c r="F96" s="180"/>
      <c r="G96" s="185"/>
      <c r="H96" s="558"/>
      <c r="I96" s="186"/>
      <c r="J96" s="186"/>
      <c r="K96" s="187"/>
      <c r="L96" s="559"/>
      <c r="M96" s="186"/>
      <c r="N96" s="530"/>
      <c r="O96" s="530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/>
      <c r="AU96" s="188"/>
      <c r="AV96" s="185"/>
      <c r="AW96" s="182"/>
      <c r="AX96" s="558"/>
    </row>
    <row r="97" spans="2:50" ht="14.25" customHeight="1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30"/>
      <c r="O97" s="530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 ht="14.25" customHeight="1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30"/>
      <c r="O98" s="530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 ht="14.25" customHeight="1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30"/>
      <c r="O99" s="530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 ht="14.25" customHeight="1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30"/>
      <c r="O100" s="530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 ht="14.25" customHeight="1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30"/>
      <c r="O101" s="530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zoomScaleNormal="100" workbookViewId="0">
      <pane xSplit="13" ySplit="1" topLeftCell="AJ71" activePane="bottomRight" state="frozen"/>
      <selection pane="bottomRight" activeCell="AR88" sqref="AR88"/>
      <selection pane="bottomLeft" activeCell="L95" sqref="L95"/>
      <selection pane="topRight" activeCell="L95" sqref="L95"/>
    </sheetView>
  </sheetViews>
  <sheetFormatPr defaultColWidth="8.85546875" defaultRowHeight="13.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.6">
      <c r="A1" s="74"/>
      <c r="B1" s="371" t="s">
        <v>208</v>
      </c>
      <c r="C1" s="175">
        <f>AVERAGE(L27,L47,L67,L87)</f>
        <v>77.592138128204311</v>
      </c>
    </row>
    <row r="2" spans="1:50" ht="14.25" customHeight="1" collapsed="1">
      <c r="B2" s="544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60" t="s">
        <v>127</v>
      </c>
      <c r="O2" s="560" t="s">
        <v>77</v>
      </c>
      <c r="P2" s="596">
        <v>46049</v>
      </c>
      <c r="Q2" s="597"/>
      <c r="R2" s="597"/>
      <c r="S2" s="597"/>
      <c r="T2" s="597"/>
      <c r="U2" s="598">
        <f>P2+1</f>
        <v>46050</v>
      </c>
      <c r="V2" s="599"/>
      <c r="W2" s="599"/>
      <c r="X2" s="599"/>
      <c r="Y2" s="599"/>
      <c r="Z2" s="596">
        <f t="shared" ref="Z2" si="0">U2+1</f>
        <v>46051</v>
      </c>
      <c r="AA2" s="597"/>
      <c r="AB2" s="597"/>
      <c r="AC2" s="597"/>
      <c r="AD2" s="597"/>
      <c r="AE2" s="598">
        <f t="shared" ref="AE2" si="1">Z2+1</f>
        <v>46052</v>
      </c>
      <c r="AF2" s="599"/>
      <c r="AG2" s="599"/>
      <c r="AH2" s="599"/>
      <c r="AI2" s="599"/>
      <c r="AJ2" s="588">
        <f t="shared" ref="AJ2" si="2">AE2+1</f>
        <v>46053</v>
      </c>
      <c r="AK2" s="589"/>
      <c r="AL2" s="589"/>
      <c r="AM2" s="589"/>
      <c r="AN2" s="590"/>
      <c r="AO2" s="598">
        <f t="shared" ref="AO2" si="3">AJ2+1</f>
        <v>46054</v>
      </c>
      <c r="AP2" s="599"/>
      <c r="AQ2" s="599"/>
      <c r="AR2" s="599"/>
      <c r="AS2" s="599"/>
      <c r="AT2" s="588">
        <f t="shared" ref="AT2" si="4">AO2+1</f>
        <v>46055</v>
      </c>
      <c r="AU2" s="589"/>
      <c r="AV2" s="589"/>
      <c r="AW2" s="589"/>
      <c r="AX2" s="590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62"/>
      <c r="O3" s="562"/>
      <c r="P3" s="591">
        <f>P2</f>
        <v>46049</v>
      </c>
      <c r="Q3" s="591"/>
      <c r="R3" s="591"/>
      <c r="S3" s="591"/>
      <c r="T3" s="591"/>
      <c r="U3" s="592">
        <f>U2</f>
        <v>46050</v>
      </c>
      <c r="V3" s="592"/>
      <c r="W3" s="592"/>
      <c r="X3" s="592"/>
      <c r="Y3" s="592"/>
      <c r="Z3" s="591">
        <f t="shared" ref="Z3" si="5">Z2</f>
        <v>46051</v>
      </c>
      <c r="AA3" s="591"/>
      <c r="AB3" s="591"/>
      <c r="AC3" s="591"/>
      <c r="AD3" s="591"/>
      <c r="AE3" s="592">
        <f t="shared" ref="AE3" si="6">AE2</f>
        <v>46052</v>
      </c>
      <c r="AF3" s="592"/>
      <c r="AG3" s="592"/>
      <c r="AH3" s="592"/>
      <c r="AI3" s="592"/>
      <c r="AJ3" s="593">
        <f t="shared" ref="AJ3" si="7">AJ2</f>
        <v>46053</v>
      </c>
      <c r="AK3" s="594"/>
      <c r="AL3" s="594"/>
      <c r="AM3" s="594"/>
      <c r="AN3" s="595"/>
      <c r="AO3" s="592">
        <f t="shared" ref="AO3" si="8">AO2</f>
        <v>46054</v>
      </c>
      <c r="AP3" s="592"/>
      <c r="AQ3" s="592"/>
      <c r="AR3" s="592"/>
      <c r="AS3" s="592"/>
      <c r="AT3" s="593">
        <f t="shared" ref="AT3" si="9">AT2</f>
        <v>46055</v>
      </c>
      <c r="AU3" s="594"/>
      <c r="AV3" s="594"/>
      <c r="AW3" s="594"/>
      <c r="AX3" s="595"/>
    </row>
    <row r="4" spans="1:50" ht="14.25" customHeight="1">
      <c r="B4" s="530" t="s">
        <v>128</v>
      </c>
      <c r="C4" s="530" t="s">
        <v>129</v>
      </c>
      <c r="D4" s="530"/>
      <c r="E4" s="530" t="s">
        <v>130</v>
      </c>
      <c r="F4" s="530"/>
      <c r="G4" s="530"/>
      <c r="H4" s="530" t="s">
        <v>131</v>
      </c>
      <c r="I4" s="553" t="s">
        <v>132</v>
      </c>
      <c r="J4" s="553"/>
      <c r="K4" s="553"/>
      <c r="L4" s="553" t="s">
        <v>131</v>
      </c>
      <c r="M4" s="553" t="s">
        <v>133</v>
      </c>
      <c r="N4" s="530"/>
      <c r="O4" s="530" t="s">
        <v>134</v>
      </c>
      <c r="P4" s="530" t="s">
        <v>135</v>
      </c>
      <c r="Q4" s="530"/>
      <c r="R4" s="530"/>
      <c r="S4" s="530"/>
      <c r="T4" s="530" t="s">
        <v>131</v>
      </c>
      <c r="U4" s="530" t="s">
        <v>135</v>
      </c>
      <c r="V4" s="530"/>
      <c r="W4" s="530"/>
      <c r="X4" s="530"/>
      <c r="Y4" s="530" t="s">
        <v>131</v>
      </c>
      <c r="Z4" s="530" t="s">
        <v>135</v>
      </c>
      <c r="AA4" s="530"/>
      <c r="AB4" s="530"/>
      <c r="AC4" s="530"/>
      <c r="AD4" s="530" t="s">
        <v>131</v>
      </c>
      <c r="AE4" s="530" t="s">
        <v>135</v>
      </c>
      <c r="AF4" s="530"/>
      <c r="AG4" s="530"/>
      <c r="AH4" s="530"/>
      <c r="AI4" s="530" t="s">
        <v>131</v>
      </c>
      <c r="AJ4" s="530" t="s">
        <v>135</v>
      </c>
      <c r="AK4" s="530"/>
      <c r="AL4" s="530"/>
      <c r="AM4" s="530"/>
      <c r="AN4" s="530" t="s">
        <v>131</v>
      </c>
      <c r="AO4" s="530" t="s">
        <v>135</v>
      </c>
      <c r="AP4" s="530"/>
      <c r="AQ4" s="530"/>
      <c r="AR4" s="530"/>
      <c r="AS4" s="530" t="s">
        <v>131</v>
      </c>
      <c r="AT4" s="530" t="s">
        <v>135</v>
      </c>
      <c r="AU4" s="530"/>
      <c r="AV4" s="530"/>
      <c r="AW4" s="530"/>
      <c r="AX4" s="530" t="s">
        <v>131</v>
      </c>
    </row>
    <row r="5" spans="1:50" ht="14.25" customHeight="1">
      <c r="B5" s="530"/>
      <c r="C5" s="530"/>
      <c r="D5" s="530"/>
      <c r="E5" s="530" t="s">
        <v>136</v>
      </c>
      <c r="F5" s="530"/>
      <c r="G5" s="530"/>
      <c r="H5" s="530"/>
      <c r="I5" s="553" t="s">
        <v>136</v>
      </c>
      <c r="J5" s="553"/>
      <c r="K5" s="553"/>
      <c r="L5" s="553"/>
      <c r="M5" s="553"/>
      <c r="N5" s="530"/>
      <c r="O5" s="530"/>
      <c r="P5" s="530" t="s">
        <v>137</v>
      </c>
      <c r="Q5" s="530"/>
      <c r="R5" s="530"/>
      <c r="S5" s="530"/>
      <c r="T5" s="530"/>
      <c r="U5" s="530" t="s">
        <v>137</v>
      </c>
      <c r="V5" s="530"/>
      <c r="W5" s="530"/>
      <c r="X5" s="530"/>
      <c r="Y5" s="530"/>
      <c r="Z5" s="530"/>
      <c r="AA5" s="530"/>
      <c r="AB5" s="530"/>
      <c r="AC5" s="530"/>
      <c r="AD5" s="530"/>
      <c r="AE5" s="530" t="s">
        <v>137</v>
      </c>
      <c r="AF5" s="530"/>
      <c r="AG5" s="530"/>
      <c r="AH5" s="530"/>
      <c r="AI5" s="530"/>
      <c r="AJ5" s="530" t="s">
        <v>137</v>
      </c>
      <c r="AK5" s="530"/>
      <c r="AL5" s="530"/>
      <c r="AM5" s="530"/>
      <c r="AN5" s="530"/>
      <c r="AO5" s="530" t="s">
        <v>137</v>
      </c>
      <c r="AP5" s="530"/>
      <c r="AQ5" s="530"/>
      <c r="AR5" s="530"/>
      <c r="AS5" s="530"/>
      <c r="AT5" s="530" t="s">
        <v>137</v>
      </c>
      <c r="AU5" s="530"/>
      <c r="AV5" s="530"/>
      <c r="AW5" s="530"/>
      <c r="AX5" s="530"/>
    </row>
    <row r="6" spans="1:50" ht="14.25" customHeight="1">
      <c r="B6" s="530"/>
      <c r="C6" s="530"/>
      <c r="D6" s="530"/>
      <c r="E6" s="180" t="s">
        <v>138</v>
      </c>
      <c r="F6" s="180" t="s">
        <v>139</v>
      </c>
      <c r="G6" s="180" t="s">
        <v>140</v>
      </c>
      <c r="H6" s="530"/>
      <c r="I6" s="181" t="s">
        <v>138</v>
      </c>
      <c r="J6" s="181" t="s">
        <v>139</v>
      </c>
      <c r="K6" s="181" t="s">
        <v>140</v>
      </c>
      <c r="L6" s="553"/>
      <c r="M6" s="553"/>
      <c r="N6" s="530"/>
      <c r="O6" s="530"/>
      <c r="P6" s="180" t="s">
        <v>138</v>
      </c>
      <c r="Q6" s="180" t="s">
        <v>139</v>
      </c>
      <c r="R6" s="180" t="s">
        <v>140</v>
      </c>
      <c r="S6" s="182" t="s">
        <v>133</v>
      </c>
      <c r="T6" s="530"/>
      <c r="U6" s="180" t="s">
        <v>138</v>
      </c>
      <c r="V6" s="180" t="s">
        <v>139</v>
      </c>
      <c r="W6" s="180" t="s">
        <v>140</v>
      </c>
      <c r="X6" s="182" t="s">
        <v>133</v>
      </c>
      <c r="Y6" s="530"/>
      <c r="Z6" s="180" t="s">
        <v>138</v>
      </c>
      <c r="AA6" s="180" t="s">
        <v>139</v>
      </c>
      <c r="AB6" s="180" t="s">
        <v>140</v>
      </c>
      <c r="AC6" s="182" t="s">
        <v>133</v>
      </c>
      <c r="AD6" s="530"/>
      <c r="AE6" s="180" t="s">
        <v>138</v>
      </c>
      <c r="AF6" s="180" t="s">
        <v>139</v>
      </c>
      <c r="AG6" s="180" t="s">
        <v>140</v>
      </c>
      <c r="AH6" s="182" t="s">
        <v>133</v>
      </c>
      <c r="AI6" s="530"/>
      <c r="AJ6" s="180" t="s">
        <v>138</v>
      </c>
      <c r="AK6" s="180" t="s">
        <v>139</v>
      </c>
      <c r="AL6" s="180" t="s">
        <v>140</v>
      </c>
      <c r="AM6" s="182" t="s">
        <v>133</v>
      </c>
      <c r="AN6" s="530"/>
      <c r="AO6" s="180" t="s">
        <v>138</v>
      </c>
      <c r="AP6" s="180" t="s">
        <v>139</v>
      </c>
      <c r="AQ6" s="180" t="s">
        <v>140</v>
      </c>
      <c r="AR6" s="182" t="s">
        <v>133</v>
      </c>
      <c r="AS6" s="530"/>
      <c r="AT6" s="180" t="s">
        <v>138</v>
      </c>
      <c r="AU6" s="180" t="s">
        <v>139</v>
      </c>
      <c r="AV6" s="180" t="s">
        <v>140</v>
      </c>
      <c r="AW6" s="182" t="s">
        <v>133</v>
      </c>
      <c r="AX6" s="530"/>
    </row>
    <row r="7" spans="1:50" ht="14.25" customHeight="1">
      <c r="B7" s="530" t="s">
        <v>115</v>
      </c>
      <c r="C7" s="180">
        <v>1</v>
      </c>
      <c r="D7" s="183" t="s">
        <v>225</v>
      </c>
      <c r="E7" s="180">
        <v>13</v>
      </c>
      <c r="F7" s="180">
        <v>1200</v>
      </c>
      <c r="G7" s="185">
        <f t="shared" ref="G7:G9" si="10">F7/E7</f>
        <v>92.307692307692307</v>
      </c>
      <c r="H7" s="558">
        <f>AVERAGE(G7:G21)</f>
        <v>85.31468531468532</v>
      </c>
      <c r="I7" s="186">
        <f>AVERAGE(P7,U7,Z7,AE7,AJ7,AO7,AT7)</f>
        <v>13</v>
      </c>
      <c r="J7" s="186">
        <f>AVERAGE(Q7,V7,AA7,AF7,AK7,AP7,AU7)</f>
        <v>1078.2884287817258</v>
      </c>
      <c r="K7" s="187">
        <f>AVERAGE(R7,W7,AB7,AG7,AL7,AQ7,AV7)</f>
        <v>82.945263752440454</v>
      </c>
      <c r="L7" s="559">
        <f>IFERROR(AVERAGE(K7:K21),"-")</f>
        <v>76.251802848127099</v>
      </c>
      <c r="M7" s="186">
        <f>RANK(K7, K$7:$K$21)</f>
        <v>1</v>
      </c>
      <c r="N7" s="530"/>
      <c r="O7" s="530"/>
      <c r="P7" s="188">
        <v>13</v>
      </c>
      <c r="Q7" s="188">
        <v>1078.2442383092664</v>
      </c>
      <c r="R7" s="185">
        <f>IFERROR(Q7/P7,"")</f>
        <v>82.941864485328182</v>
      </c>
      <c r="S7" s="182">
        <f>RANK(R7, R$7:R$21)</f>
        <v>1</v>
      </c>
      <c r="T7" s="558">
        <f>AVERAGE(R7:R21)</f>
        <v>76.230756268665061</v>
      </c>
      <c r="U7" s="188">
        <v>13</v>
      </c>
      <c r="V7" s="188">
        <v>1078.2549536525214</v>
      </c>
      <c r="W7" s="185">
        <f t="shared" ref="W7:W9" si="11">IFERROR(V7/U7,"")</f>
        <v>82.942688742501645</v>
      </c>
      <c r="X7" s="182">
        <f>RANK(W7, W$7:W$21)</f>
        <v>1</v>
      </c>
      <c r="Y7" s="558">
        <f>AVERAGE(W7:W21)</f>
        <v>76.2374513689265</v>
      </c>
      <c r="Z7" s="188">
        <v>13</v>
      </c>
      <c r="AA7" s="188">
        <v>1078.2670707791049</v>
      </c>
      <c r="AB7" s="185">
        <f t="shared" ref="AB7:AB9" si="12">IFERROR(AA7/Z7,"")</f>
        <v>82.943620829161915</v>
      </c>
      <c r="AC7" s="182">
        <f>RANK(AB7, AB$7:AB$21)</f>
        <v>1</v>
      </c>
      <c r="AD7" s="558">
        <f>AVERAGE(AB7:AB21)</f>
        <v>76.260270266337329</v>
      </c>
      <c r="AE7" s="188">
        <v>13</v>
      </c>
      <c r="AF7" s="188">
        <v>1078.2947896349961</v>
      </c>
      <c r="AG7" s="185">
        <f>IFERROR(AF7/AE7,"")</f>
        <v>82.945753048845845</v>
      </c>
      <c r="AH7" s="182" t="e">
        <f>RANK(AG7, AG$87:AG$101)</f>
        <v>#N/A</v>
      </c>
      <c r="AI7" s="558">
        <f>AVERAGE(AG7:AG21)</f>
        <v>76.252894529875434</v>
      </c>
      <c r="AJ7" s="188">
        <v>13</v>
      </c>
      <c r="AK7" s="188">
        <v>1078.30267172044</v>
      </c>
      <c r="AL7" s="185">
        <f t="shared" ref="AL7:AL9" si="13">IFERROR(AK7/AJ7,"")</f>
        <v>82.946359363110773</v>
      </c>
      <c r="AM7" s="182">
        <f>RANK(AL7, AL$7:AL$21)</f>
        <v>1</v>
      </c>
      <c r="AN7" s="558">
        <f>AVERAGE(AL7:AL21)</f>
        <v>76.25821212651168</v>
      </c>
      <c r="AO7" s="188">
        <v>13</v>
      </c>
      <c r="AP7" s="188">
        <v>1078.323306811566</v>
      </c>
      <c r="AQ7" s="185">
        <f t="shared" ref="AQ7:AQ9" si="14">IFERROR(AP7/AO7,"")</f>
        <v>82.947946677812766</v>
      </c>
      <c r="AR7" s="182">
        <f>RANK(AQ7, AQ$7:AQ$21)</f>
        <v>1</v>
      </c>
      <c r="AS7" s="558">
        <f>AVERAGE(AQ7:AQ21)</f>
        <v>76.25478936330326</v>
      </c>
      <c r="AT7" s="188">
        <v>13</v>
      </c>
      <c r="AU7" s="188">
        <v>1078.3319705641863</v>
      </c>
      <c r="AV7" s="185">
        <f t="shared" ref="AV7:AV9" si="15">IFERROR(AU7/AT7,"")</f>
        <v>82.948613120322022</v>
      </c>
      <c r="AW7" s="182">
        <f>RANK(AV7, AV$7:AV$21)</f>
        <v>1</v>
      </c>
      <c r="AX7" s="558">
        <f>AVERAGE(AV7:AV21)</f>
        <v>76.268246013270314</v>
      </c>
    </row>
    <row r="8" spans="1:50" ht="14.25" customHeight="1">
      <c r="B8" s="530"/>
      <c r="C8" s="180">
        <v>2</v>
      </c>
      <c r="D8" s="183" t="s">
        <v>226</v>
      </c>
      <c r="E8" s="180">
        <v>22</v>
      </c>
      <c r="F8" s="180">
        <v>1800</v>
      </c>
      <c r="G8" s="185">
        <f t="shared" si="10"/>
        <v>81.818181818181813</v>
      </c>
      <c r="H8" s="558"/>
      <c r="I8" s="186">
        <f t="shared" ref="I8:I9" si="16">AVERAGE(P8,U8,Z8,AE8,AJ8,AO8,AT8)</f>
        <v>22</v>
      </c>
      <c r="J8" s="186">
        <f t="shared" ref="J8:J9" si="17">AVERAGE(Q8,V8,AA8,AF8,AK8,AP8,AU8)</f>
        <v>1603.4723481732792</v>
      </c>
      <c r="K8" s="187">
        <f t="shared" ref="K8:K9" si="18">AVERAGE(R8,W8,AB8,AG8,AL8,AQ8,AV8)</f>
        <v>72.885106735149051</v>
      </c>
      <c r="L8" s="559"/>
      <c r="M8" s="186">
        <f>RANK(K8, K$7:$K$21)</f>
        <v>3</v>
      </c>
      <c r="N8" s="530"/>
      <c r="O8" s="530"/>
      <c r="P8" s="188">
        <v>22</v>
      </c>
      <c r="Q8" s="188">
        <v>1603.6363636363626</v>
      </c>
      <c r="R8" s="185">
        <f t="shared" ref="R8:R9" si="19">IFERROR(Q8/P8,"")</f>
        <v>72.892561983471026</v>
      </c>
      <c r="S8" s="182">
        <f t="shared" ref="S8:S9" si="20">RANK(R8, R$7:R$21)</f>
        <v>2</v>
      </c>
      <c r="T8" s="558"/>
      <c r="U8" s="188">
        <v>22</v>
      </c>
      <c r="V8" s="188">
        <v>1603.6539494895217</v>
      </c>
      <c r="W8" s="185">
        <f t="shared" si="11"/>
        <v>72.893361340432804</v>
      </c>
      <c r="X8" s="182">
        <f t="shared" ref="X8:X9" si="21">RANK(W8, W$7:W$21)</f>
        <v>2</v>
      </c>
      <c r="Y8" s="558"/>
      <c r="Z8" s="188">
        <v>22</v>
      </c>
      <c r="AA8" s="188">
        <v>1603.7122969837594</v>
      </c>
      <c r="AB8" s="185">
        <f t="shared" si="12"/>
        <v>72.896013499261798</v>
      </c>
      <c r="AC8" s="182">
        <f t="shared" ref="AC8:AC9" si="22">RANK(AB8, AB$7:AB$21)</f>
        <v>3</v>
      </c>
      <c r="AD8" s="558"/>
      <c r="AE8" s="188">
        <v>22</v>
      </c>
      <c r="AF8" s="188">
        <v>1603.2867707477444</v>
      </c>
      <c r="AG8" s="185">
        <f t="shared" ref="AG8:AG9" si="23">IFERROR(AF8/AE8,"")</f>
        <v>72.876671397624747</v>
      </c>
      <c r="AH8" s="182" t="e">
        <f t="shared" ref="AH8:AH9" si="24">RANK(AG8, AG$87:AG$101)</f>
        <v>#N/A</v>
      </c>
      <c r="AI8" s="558"/>
      <c r="AJ8" s="188">
        <v>22</v>
      </c>
      <c r="AK8" s="188">
        <v>1603.2220943613349</v>
      </c>
      <c r="AL8" s="185">
        <f t="shared" si="13"/>
        <v>72.873731561878856</v>
      </c>
      <c r="AM8" s="182">
        <f t="shared" ref="AM8:AM9" si="25">RANK(AL8, AL$7:AL$21)</f>
        <v>3</v>
      </c>
      <c r="AN8" s="558"/>
      <c r="AO8" s="188">
        <v>22</v>
      </c>
      <c r="AP8" s="188">
        <v>1603.1419939577011</v>
      </c>
      <c r="AQ8" s="185">
        <f t="shared" si="14"/>
        <v>72.870090634440956</v>
      </c>
      <c r="AR8" s="182">
        <f t="shared" ref="AR8:AR9" si="26">RANK(AQ8, AQ$7:AQ$21)</f>
        <v>3</v>
      </c>
      <c r="AS8" s="558"/>
      <c r="AT8" s="188">
        <v>22</v>
      </c>
      <c r="AU8" s="188">
        <v>1603.6529680365286</v>
      </c>
      <c r="AV8" s="185">
        <f t="shared" si="15"/>
        <v>72.893316728933115</v>
      </c>
      <c r="AW8" s="182">
        <f t="shared" ref="AW8:AW9" si="27">RANK(AV8, AV$7:AV$21)</f>
        <v>3</v>
      </c>
      <c r="AX8" s="558"/>
    </row>
    <row r="9" spans="1:50" ht="14.25" customHeight="1">
      <c r="B9" s="530"/>
      <c r="C9" s="180">
        <v>3</v>
      </c>
      <c r="D9" s="183" t="s">
        <v>227</v>
      </c>
      <c r="E9" s="180">
        <v>22</v>
      </c>
      <c r="F9" s="180">
        <v>1800</v>
      </c>
      <c r="G9" s="185">
        <f t="shared" si="10"/>
        <v>81.818181818181813</v>
      </c>
      <c r="H9" s="558"/>
      <c r="I9" s="186">
        <f t="shared" si="16"/>
        <v>22</v>
      </c>
      <c r="J9" s="186">
        <f t="shared" si="17"/>
        <v>1604.3508372494184</v>
      </c>
      <c r="K9" s="187">
        <f t="shared" si="18"/>
        <v>72.925038056791763</v>
      </c>
      <c r="L9" s="559"/>
      <c r="M9" s="186">
        <f>RANK(K9, K$7:$K$21)</f>
        <v>2</v>
      </c>
      <c r="N9" s="530"/>
      <c r="O9" s="530"/>
      <c r="P9" s="188">
        <v>22</v>
      </c>
      <c r="Q9" s="188">
        <v>1602.8725314183116</v>
      </c>
      <c r="R9" s="185">
        <f t="shared" si="19"/>
        <v>72.857842337195976</v>
      </c>
      <c r="S9" s="182">
        <f t="shared" si="20"/>
        <v>3</v>
      </c>
      <c r="T9" s="558"/>
      <c r="U9" s="188">
        <v>22</v>
      </c>
      <c r="V9" s="188">
        <v>1603.2786885245919</v>
      </c>
      <c r="W9" s="185">
        <f t="shared" si="11"/>
        <v>72.87630402384508</v>
      </c>
      <c r="X9" s="182">
        <f t="shared" si="21"/>
        <v>3</v>
      </c>
      <c r="Y9" s="558"/>
      <c r="Z9" s="188">
        <v>22</v>
      </c>
      <c r="AA9" s="188">
        <v>1604.7058823529419</v>
      </c>
      <c r="AB9" s="185">
        <f t="shared" si="12"/>
        <v>72.941176470588275</v>
      </c>
      <c r="AC9" s="182">
        <f t="shared" si="22"/>
        <v>2</v>
      </c>
      <c r="AD9" s="558"/>
      <c r="AE9" s="188">
        <v>22</v>
      </c>
      <c r="AF9" s="188">
        <v>1604.5977011494253</v>
      </c>
      <c r="AG9" s="185">
        <f t="shared" si="23"/>
        <v>72.936259143155695</v>
      </c>
      <c r="AH9" s="182" t="e">
        <f t="shared" si="24"/>
        <v>#N/A</v>
      </c>
      <c r="AI9" s="558"/>
      <c r="AJ9" s="188">
        <v>22</v>
      </c>
      <c r="AK9" s="188">
        <v>1604.9999999999986</v>
      </c>
      <c r="AL9" s="185">
        <f t="shared" si="13"/>
        <v>72.954545454545396</v>
      </c>
      <c r="AM9" s="182">
        <f t="shared" si="25"/>
        <v>2</v>
      </c>
      <c r="AN9" s="558"/>
      <c r="AO9" s="188">
        <v>22</v>
      </c>
      <c r="AP9" s="188">
        <v>1604.819277108433</v>
      </c>
      <c r="AQ9" s="185">
        <f t="shared" si="14"/>
        <v>72.946330777656044</v>
      </c>
      <c r="AR9" s="182">
        <f t="shared" si="26"/>
        <v>2</v>
      </c>
      <c r="AS9" s="558"/>
      <c r="AT9" s="188">
        <v>22</v>
      </c>
      <c r="AU9" s="188">
        <v>1605.1817801922284</v>
      </c>
      <c r="AV9" s="185">
        <f t="shared" si="15"/>
        <v>72.962808190555833</v>
      </c>
      <c r="AW9" s="182">
        <f t="shared" si="27"/>
        <v>2</v>
      </c>
      <c r="AX9" s="558"/>
    </row>
    <row r="10" spans="1:50" ht="14.25" customHeight="1">
      <c r="B10" s="530"/>
      <c r="C10" s="180">
        <v>4</v>
      </c>
      <c r="D10" s="183"/>
      <c r="E10" s="180"/>
      <c r="F10" s="180"/>
      <c r="G10" s="185"/>
      <c r="H10" s="558"/>
      <c r="I10" s="186"/>
      <c r="J10" s="186"/>
      <c r="K10" s="187"/>
      <c r="L10" s="559"/>
      <c r="M10" s="186"/>
      <c r="N10" s="530"/>
      <c r="O10" s="530"/>
      <c r="P10" s="188"/>
      <c r="Q10" s="188"/>
      <c r="R10" s="185"/>
      <c r="S10" s="182"/>
      <c r="T10" s="558"/>
      <c r="U10" s="188"/>
      <c r="V10" s="188"/>
      <c r="W10" s="185"/>
      <c r="X10" s="182"/>
      <c r="Y10" s="558"/>
      <c r="Z10" s="188"/>
      <c r="AA10" s="188"/>
      <c r="AB10" s="185"/>
      <c r="AC10" s="182"/>
      <c r="AD10" s="558"/>
      <c r="AE10" s="188"/>
      <c r="AF10" s="188"/>
      <c r="AG10" s="185"/>
      <c r="AH10" s="182"/>
      <c r="AI10" s="558"/>
      <c r="AJ10" s="188"/>
      <c r="AK10" s="188"/>
      <c r="AL10" s="185"/>
      <c r="AM10" s="182"/>
      <c r="AN10" s="558"/>
      <c r="AO10" s="188"/>
      <c r="AP10" s="188"/>
      <c r="AQ10" s="185"/>
      <c r="AR10" s="182"/>
      <c r="AS10" s="558"/>
      <c r="AT10" s="188"/>
      <c r="AU10" s="188"/>
      <c r="AV10" s="185"/>
      <c r="AW10" s="182"/>
      <c r="AX10" s="558"/>
    </row>
    <row r="11" spans="1:50" ht="14.25" customHeight="1">
      <c r="B11" s="530"/>
      <c r="C11" s="180">
        <v>5</v>
      </c>
      <c r="D11" s="183"/>
      <c r="E11" s="180"/>
      <c r="F11" s="180"/>
      <c r="G11" s="185"/>
      <c r="H11" s="558"/>
      <c r="I11" s="186"/>
      <c r="J11" s="186"/>
      <c r="K11" s="187"/>
      <c r="L11" s="559"/>
      <c r="M11" s="186"/>
      <c r="N11" s="530"/>
      <c r="O11" s="530"/>
      <c r="P11" s="188"/>
      <c r="Q11" s="188"/>
      <c r="R11" s="185"/>
      <c r="S11" s="182"/>
      <c r="T11" s="558"/>
      <c r="U11" s="188"/>
      <c r="V11" s="188"/>
      <c r="W11" s="185"/>
      <c r="X11" s="182"/>
      <c r="Y11" s="558"/>
      <c r="Z11" s="188"/>
      <c r="AA11" s="188"/>
      <c r="AB11" s="185"/>
      <c r="AC11" s="182"/>
      <c r="AD11" s="558"/>
      <c r="AE11" s="188"/>
      <c r="AF11" s="188"/>
      <c r="AG11" s="185"/>
      <c r="AH11" s="182"/>
      <c r="AI11" s="558"/>
      <c r="AJ11" s="188"/>
      <c r="AK11" s="188"/>
      <c r="AL11" s="185"/>
      <c r="AM11" s="182"/>
      <c r="AN11" s="558"/>
      <c r="AO11" s="188"/>
      <c r="AP11" s="188"/>
      <c r="AQ11" s="185"/>
      <c r="AR11" s="182"/>
      <c r="AS11" s="558"/>
      <c r="AT11" s="188"/>
      <c r="AU11" s="188"/>
      <c r="AV11" s="185"/>
      <c r="AW11" s="182"/>
      <c r="AX11" s="558"/>
    </row>
    <row r="12" spans="1:50" ht="14.25" customHeight="1">
      <c r="B12" s="530"/>
      <c r="C12" s="180">
        <v>6</v>
      </c>
      <c r="D12" s="183"/>
      <c r="E12" s="180"/>
      <c r="F12" s="180"/>
      <c r="G12" s="185"/>
      <c r="H12" s="558"/>
      <c r="I12" s="186"/>
      <c r="J12" s="186"/>
      <c r="K12" s="187"/>
      <c r="L12" s="559"/>
      <c r="M12" s="186"/>
      <c r="N12" s="530"/>
      <c r="O12" s="530"/>
      <c r="P12" s="188"/>
      <c r="Q12" s="188"/>
      <c r="R12" s="185"/>
      <c r="S12" s="182"/>
      <c r="T12" s="558"/>
      <c r="U12" s="188"/>
      <c r="V12" s="188"/>
      <c r="W12" s="185"/>
      <c r="X12" s="182"/>
      <c r="Y12" s="558"/>
      <c r="Z12" s="188"/>
      <c r="AA12" s="188"/>
      <c r="AB12" s="185"/>
      <c r="AC12" s="182"/>
      <c r="AD12" s="558"/>
      <c r="AE12" s="188"/>
      <c r="AF12" s="188"/>
      <c r="AG12" s="185"/>
      <c r="AH12" s="182"/>
      <c r="AI12" s="558"/>
      <c r="AJ12" s="188"/>
      <c r="AK12" s="188"/>
      <c r="AL12" s="185"/>
      <c r="AM12" s="182"/>
      <c r="AN12" s="558"/>
      <c r="AO12" s="188"/>
      <c r="AP12" s="188"/>
      <c r="AQ12" s="185"/>
      <c r="AR12" s="182"/>
      <c r="AS12" s="558"/>
      <c r="AT12" s="188"/>
      <c r="AU12" s="188"/>
      <c r="AV12" s="185"/>
      <c r="AW12" s="182"/>
      <c r="AX12" s="558"/>
    </row>
    <row r="13" spans="1:50" ht="14.25" customHeight="1">
      <c r="B13" s="530"/>
      <c r="C13" s="180">
        <v>7</v>
      </c>
      <c r="D13" s="183"/>
      <c r="E13" s="180"/>
      <c r="F13" s="180"/>
      <c r="G13" s="185"/>
      <c r="H13" s="558"/>
      <c r="I13" s="186"/>
      <c r="J13" s="186"/>
      <c r="K13" s="187"/>
      <c r="L13" s="559"/>
      <c r="M13" s="186"/>
      <c r="N13" s="530"/>
      <c r="O13" s="530"/>
      <c r="P13" s="188"/>
      <c r="Q13" s="188"/>
      <c r="R13" s="185"/>
      <c r="S13" s="182"/>
      <c r="T13" s="558"/>
      <c r="U13" s="188"/>
      <c r="V13" s="188"/>
      <c r="W13" s="185"/>
      <c r="X13" s="182"/>
      <c r="Y13" s="558"/>
      <c r="Z13" s="188"/>
      <c r="AA13" s="188"/>
      <c r="AB13" s="185"/>
      <c r="AC13" s="182"/>
      <c r="AD13" s="558"/>
      <c r="AE13" s="188"/>
      <c r="AF13" s="188"/>
      <c r="AG13" s="185"/>
      <c r="AH13" s="182"/>
      <c r="AI13" s="558"/>
      <c r="AJ13" s="188"/>
      <c r="AK13" s="188"/>
      <c r="AL13" s="185"/>
      <c r="AM13" s="182"/>
      <c r="AN13" s="558"/>
      <c r="AO13" s="188"/>
      <c r="AP13" s="188"/>
      <c r="AQ13" s="185"/>
      <c r="AR13" s="182"/>
      <c r="AS13" s="558"/>
      <c r="AT13" s="188"/>
      <c r="AU13" s="188"/>
      <c r="AV13" s="185"/>
      <c r="AW13" s="182"/>
      <c r="AX13" s="558"/>
    </row>
    <row r="14" spans="1:50" ht="14.25" customHeight="1">
      <c r="B14" s="530"/>
      <c r="C14" s="180">
        <v>8</v>
      </c>
      <c r="D14" s="183"/>
      <c r="E14" s="180"/>
      <c r="F14" s="180"/>
      <c r="G14" s="185"/>
      <c r="H14" s="558"/>
      <c r="I14" s="186"/>
      <c r="J14" s="186"/>
      <c r="K14" s="187"/>
      <c r="L14" s="559"/>
      <c r="M14" s="186"/>
      <c r="N14" s="530"/>
      <c r="O14" s="530"/>
      <c r="P14" s="188"/>
      <c r="Q14" s="188"/>
      <c r="R14" s="185"/>
      <c r="S14" s="182"/>
      <c r="T14" s="558"/>
      <c r="U14" s="188"/>
      <c r="V14" s="188"/>
      <c r="W14" s="185"/>
      <c r="X14" s="182"/>
      <c r="Y14" s="558"/>
      <c r="Z14" s="188"/>
      <c r="AA14" s="188"/>
      <c r="AB14" s="185"/>
      <c r="AC14" s="182"/>
      <c r="AD14" s="558"/>
      <c r="AE14" s="188"/>
      <c r="AF14" s="188"/>
      <c r="AG14" s="185"/>
      <c r="AH14" s="182"/>
      <c r="AI14" s="558"/>
      <c r="AJ14" s="188"/>
      <c r="AK14" s="188"/>
      <c r="AL14" s="185"/>
      <c r="AM14" s="182"/>
      <c r="AN14" s="558"/>
      <c r="AO14" s="188"/>
      <c r="AP14" s="188"/>
      <c r="AQ14" s="185"/>
      <c r="AR14" s="182"/>
      <c r="AS14" s="558"/>
      <c r="AT14" s="188"/>
      <c r="AU14" s="188"/>
      <c r="AV14" s="185"/>
      <c r="AW14" s="182"/>
      <c r="AX14" s="558"/>
    </row>
    <row r="15" spans="1:50" ht="14.25" customHeight="1">
      <c r="B15" s="530"/>
      <c r="C15" s="180">
        <v>9</v>
      </c>
      <c r="D15" s="183"/>
      <c r="E15" s="180"/>
      <c r="F15" s="180"/>
      <c r="G15" s="185"/>
      <c r="H15" s="558"/>
      <c r="I15" s="186"/>
      <c r="J15" s="186"/>
      <c r="K15" s="187"/>
      <c r="L15" s="559"/>
      <c r="M15" s="186"/>
      <c r="N15" s="530"/>
      <c r="O15" s="530"/>
      <c r="P15" s="188"/>
      <c r="Q15" s="188"/>
      <c r="R15" s="185"/>
      <c r="S15" s="182"/>
      <c r="T15" s="558"/>
      <c r="U15" s="188"/>
      <c r="V15" s="188"/>
      <c r="W15" s="185"/>
      <c r="X15" s="182"/>
      <c r="Y15" s="558"/>
      <c r="Z15" s="188"/>
      <c r="AA15" s="188"/>
      <c r="AB15" s="185"/>
      <c r="AC15" s="182"/>
      <c r="AD15" s="558"/>
      <c r="AE15" s="188"/>
      <c r="AF15" s="188"/>
      <c r="AG15" s="185"/>
      <c r="AH15" s="182"/>
      <c r="AI15" s="558"/>
      <c r="AJ15" s="188"/>
      <c r="AK15" s="188"/>
      <c r="AL15" s="185"/>
      <c r="AM15" s="182"/>
      <c r="AN15" s="558"/>
      <c r="AO15" s="188"/>
      <c r="AP15" s="188"/>
      <c r="AQ15" s="185"/>
      <c r="AR15" s="182"/>
      <c r="AS15" s="558"/>
      <c r="AT15" s="188"/>
      <c r="AU15" s="188"/>
      <c r="AV15" s="185"/>
      <c r="AW15" s="182"/>
      <c r="AX15" s="558"/>
    </row>
    <row r="16" spans="1:50" ht="14.25" customHeight="1">
      <c r="B16" s="530"/>
      <c r="C16" s="180">
        <v>10</v>
      </c>
      <c r="D16" s="183"/>
      <c r="E16" s="180"/>
      <c r="F16" s="180"/>
      <c r="G16" s="185"/>
      <c r="H16" s="558"/>
      <c r="I16" s="186"/>
      <c r="J16" s="186"/>
      <c r="K16" s="187"/>
      <c r="L16" s="559"/>
      <c r="M16" s="186"/>
      <c r="N16" s="530"/>
      <c r="O16" s="530"/>
      <c r="P16" s="188"/>
      <c r="Q16" s="188"/>
      <c r="R16" s="185"/>
      <c r="S16" s="182"/>
      <c r="T16" s="558"/>
      <c r="U16" s="188"/>
      <c r="V16" s="188"/>
      <c r="W16" s="185"/>
      <c r="X16" s="182"/>
      <c r="Y16" s="558"/>
      <c r="Z16" s="188"/>
      <c r="AA16" s="188"/>
      <c r="AB16" s="185"/>
      <c r="AC16" s="182"/>
      <c r="AD16" s="558"/>
      <c r="AE16" s="188"/>
      <c r="AF16" s="188"/>
      <c r="AG16" s="185"/>
      <c r="AH16" s="182"/>
      <c r="AI16" s="558"/>
      <c r="AJ16" s="188"/>
      <c r="AK16" s="188"/>
      <c r="AL16" s="185"/>
      <c r="AM16" s="182"/>
      <c r="AN16" s="558"/>
      <c r="AO16" s="188"/>
      <c r="AP16" s="188"/>
      <c r="AQ16" s="185"/>
      <c r="AR16" s="182"/>
      <c r="AS16" s="558"/>
      <c r="AT16" s="188"/>
      <c r="AU16" s="188"/>
      <c r="AV16" s="185"/>
      <c r="AW16" s="182"/>
      <c r="AX16" s="558"/>
    </row>
    <row r="17" spans="2:50" ht="14.25" customHeight="1">
      <c r="B17" s="530"/>
      <c r="C17" s="180">
        <v>11</v>
      </c>
      <c r="D17" s="183"/>
      <c r="E17" s="180"/>
      <c r="F17" s="180"/>
      <c r="G17" s="185"/>
      <c r="H17" s="558"/>
      <c r="I17" s="186"/>
      <c r="J17" s="186"/>
      <c r="K17" s="187"/>
      <c r="L17" s="559"/>
      <c r="M17" s="186"/>
      <c r="N17" s="530"/>
      <c r="O17" s="530"/>
      <c r="P17" s="188"/>
      <c r="Q17" s="188"/>
      <c r="R17" s="185"/>
      <c r="S17" s="182"/>
      <c r="T17" s="558"/>
      <c r="U17" s="188"/>
      <c r="V17" s="188"/>
      <c r="W17" s="185"/>
      <c r="X17" s="182"/>
      <c r="Y17" s="558"/>
      <c r="Z17" s="188"/>
      <c r="AA17" s="188"/>
      <c r="AB17" s="185"/>
      <c r="AC17" s="182"/>
      <c r="AD17" s="558"/>
      <c r="AE17" s="188"/>
      <c r="AF17" s="188"/>
      <c r="AG17" s="185"/>
      <c r="AH17" s="182"/>
      <c r="AI17" s="558"/>
      <c r="AJ17" s="188"/>
      <c r="AK17" s="188"/>
      <c r="AL17" s="185"/>
      <c r="AM17" s="182"/>
      <c r="AN17" s="558"/>
      <c r="AO17" s="188"/>
      <c r="AP17" s="188"/>
      <c r="AQ17" s="185"/>
      <c r="AR17" s="182"/>
      <c r="AS17" s="558"/>
      <c r="AT17" s="188"/>
      <c r="AU17" s="188"/>
      <c r="AV17" s="185"/>
      <c r="AW17" s="182"/>
      <c r="AX17" s="558"/>
    </row>
    <row r="18" spans="2:50" ht="14.25" customHeight="1">
      <c r="B18" s="530"/>
      <c r="C18" s="180">
        <v>12</v>
      </c>
      <c r="D18" s="183"/>
      <c r="E18" s="180"/>
      <c r="F18" s="180"/>
      <c r="G18" s="185"/>
      <c r="H18" s="558"/>
      <c r="I18" s="186"/>
      <c r="J18" s="186"/>
      <c r="K18" s="187"/>
      <c r="L18" s="559"/>
      <c r="M18" s="186"/>
      <c r="N18" s="530"/>
      <c r="O18" s="530"/>
      <c r="P18" s="188"/>
      <c r="Q18" s="188"/>
      <c r="R18" s="185"/>
      <c r="S18" s="182"/>
      <c r="T18" s="558"/>
      <c r="U18" s="188"/>
      <c r="V18" s="188"/>
      <c r="W18" s="185"/>
      <c r="X18" s="182"/>
      <c r="Y18" s="558"/>
      <c r="Z18" s="188"/>
      <c r="AA18" s="188"/>
      <c r="AB18" s="185"/>
      <c r="AC18" s="182"/>
      <c r="AD18" s="558"/>
      <c r="AE18" s="188"/>
      <c r="AF18" s="188"/>
      <c r="AG18" s="185"/>
      <c r="AH18" s="182"/>
      <c r="AI18" s="558"/>
      <c r="AJ18" s="188"/>
      <c r="AK18" s="188"/>
      <c r="AL18" s="185"/>
      <c r="AM18" s="182"/>
      <c r="AN18" s="558"/>
      <c r="AO18" s="188"/>
      <c r="AP18" s="188"/>
      <c r="AQ18" s="185"/>
      <c r="AR18" s="182"/>
      <c r="AS18" s="558"/>
      <c r="AT18" s="188"/>
      <c r="AU18" s="188"/>
      <c r="AV18" s="185"/>
      <c r="AW18" s="182"/>
      <c r="AX18" s="558"/>
    </row>
    <row r="19" spans="2:50" ht="14.25" customHeight="1">
      <c r="B19" s="530"/>
      <c r="C19" s="180">
        <v>13</v>
      </c>
      <c r="D19" s="183"/>
      <c r="E19" s="180"/>
      <c r="F19" s="180"/>
      <c r="G19" s="185"/>
      <c r="H19" s="558"/>
      <c r="I19" s="186"/>
      <c r="J19" s="186"/>
      <c r="K19" s="187"/>
      <c r="L19" s="559"/>
      <c r="M19" s="186"/>
      <c r="N19" s="530"/>
      <c r="O19" s="530"/>
      <c r="P19" s="188"/>
      <c r="Q19" s="188"/>
      <c r="R19" s="185"/>
      <c r="S19" s="182"/>
      <c r="T19" s="558"/>
      <c r="U19" s="188"/>
      <c r="V19" s="188"/>
      <c r="W19" s="185"/>
      <c r="X19" s="182"/>
      <c r="Y19" s="558"/>
      <c r="Z19" s="188"/>
      <c r="AA19" s="188"/>
      <c r="AB19" s="185"/>
      <c r="AC19" s="182"/>
      <c r="AD19" s="558"/>
      <c r="AE19" s="188"/>
      <c r="AF19" s="188"/>
      <c r="AG19" s="185"/>
      <c r="AH19" s="182"/>
      <c r="AI19" s="558"/>
      <c r="AJ19" s="188"/>
      <c r="AK19" s="188"/>
      <c r="AL19" s="185"/>
      <c r="AM19" s="182"/>
      <c r="AN19" s="558"/>
      <c r="AO19" s="188"/>
      <c r="AP19" s="188"/>
      <c r="AQ19" s="185"/>
      <c r="AR19" s="182"/>
      <c r="AS19" s="558"/>
      <c r="AT19" s="188"/>
      <c r="AU19" s="188"/>
      <c r="AV19" s="185"/>
      <c r="AW19" s="182"/>
      <c r="AX19" s="558"/>
    </row>
    <row r="20" spans="2:50" ht="14.25" customHeight="1">
      <c r="B20" s="530"/>
      <c r="C20" s="180">
        <v>14</v>
      </c>
      <c r="D20" s="183"/>
      <c r="E20" s="180"/>
      <c r="F20" s="180"/>
      <c r="G20" s="185"/>
      <c r="H20" s="558"/>
      <c r="I20" s="186"/>
      <c r="J20" s="186"/>
      <c r="K20" s="187"/>
      <c r="L20" s="559"/>
      <c r="M20" s="186"/>
      <c r="N20" s="530"/>
      <c r="O20" s="530"/>
      <c r="P20" s="188"/>
      <c r="Q20" s="188"/>
      <c r="R20" s="185"/>
      <c r="S20" s="182"/>
      <c r="T20" s="558"/>
      <c r="U20" s="188"/>
      <c r="V20" s="188"/>
      <c r="W20" s="185"/>
      <c r="X20" s="182"/>
      <c r="Y20" s="558"/>
      <c r="Z20" s="188"/>
      <c r="AA20" s="188"/>
      <c r="AB20" s="185"/>
      <c r="AC20" s="182"/>
      <c r="AD20" s="558"/>
      <c r="AE20" s="188"/>
      <c r="AF20" s="188"/>
      <c r="AG20" s="185"/>
      <c r="AH20" s="182"/>
      <c r="AI20" s="558"/>
      <c r="AJ20" s="188"/>
      <c r="AK20" s="188"/>
      <c r="AL20" s="185"/>
      <c r="AM20" s="182"/>
      <c r="AN20" s="558"/>
      <c r="AO20" s="188"/>
      <c r="AP20" s="188"/>
      <c r="AQ20" s="185"/>
      <c r="AR20" s="182"/>
      <c r="AS20" s="558"/>
      <c r="AT20" s="188"/>
      <c r="AU20" s="188"/>
      <c r="AV20" s="185"/>
      <c r="AW20" s="182"/>
      <c r="AX20" s="558"/>
    </row>
    <row r="21" spans="2:50" ht="14.25" customHeight="1">
      <c r="B21" s="530"/>
      <c r="C21" s="180">
        <v>15</v>
      </c>
      <c r="D21" s="183"/>
      <c r="E21" s="180"/>
      <c r="F21" s="180"/>
      <c r="G21" s="185"/>
      <c r="H21" s="558"/>
      <c r="I21" s="186"/>
      <c r="J21" s="186"/>
      <c r="K21" s="187"/>
      <c r="L21" s="559"/>
      <c r="M21" s="186"/>
      <c r="N21" s="530"/>
      <c r="O21" s="530"/>
      <c r="P21" s="188"/>
      <c r="Q21" s="188"/>
      <c r="R21" s="185"/>
      <c r="S21" s="182"/>
      <c r="T21" s="558"/>
      <c r="U21" s="188"/>
      <c r="V21" s="188"/>
      <c r="W21" s="185"/>
      <c r="X21" s="182"/>
      <c r="Y21" s="558"/>
      <c r="Z21" s="188"/>
      <c r="AA21" s="188"/>
      <c r="AB21" s="185"/>
      <c r="AC21" s="182"/>
      <c r="AD21" s="558"/>
      <c r="AE21" s="188"/>
      <c r="AF21" s="188"/>
      <c r="AG21" s="185"/>
      <c r="AH21" s="182"/>
      <c r="AI21" s="558"/>
      <c r="AJ21" s="188"/>
      <c r="AK21" s="188"/>
      <c r="AL21" s="185"/>
      <c r="AM21" s="182"/>
      <c r="AN21" s="558"/>
      <c r="AO21" s="188"/>
      <c r="AP21" s="188"/>
      <c r="AQ21" s="185"/>
      <c r="AR21" s="182"/>
      <c r="AS21" s="558"/>
      <c r="AT21" s="188"/>
      <c r="AU21" s="188"/>
      <c r="AV21" s="185"/>
      <c r="AW21" s="182"/>
      <c r="AX21" s="558"/>
    </row>
    <row r="22" spans="2:50" ht="14.25" customHeight="1" collapsed="1">
      <c r="B22" s="544" t="s">
        <v>173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60" t="s">
        <v>127</v>
      </c>
      <c r="O22" s="560" t="s">
        <v>77</v>
      </c>
      <c r="P22" s="596">
        <v>46056</v>
      </c>
      <c r="Q22" s="597"/>
      <c r="R22" s="597"/>
      <c r="S22" s="597"/>
      <c r="T22" s="597"/>
      <c r="U22" s="598">
        <f>P22+1</f>
        <v>46057</v>
      </c>
      <c r="V22" s="599"/>
      <c r="W22" s="599"/>
      <c r="X22" s="599"/>
      <c r="Y22" s="599"/>
      <c r="Z22" s="596">
        <f t="shared" ref="Z22" si="28">U22+1</f>
        <v>46058</v>
      </c>
      <c r="AA22" s="597"/>
      <c r="AB22" s="597"/>
      <c r="AC22" s="597"/>
      <c r="AD22" s="597"/>
      <c r="AE22" s="598">
        <f t="shared" ref="AE22" si="29">Z22+1</f>
        <v>46059</v>
      </c>
      <c r="AF22" s="599"/>
      <c r="AG22" s="599"/>
      <c r="AH22" s="599"/>
      <c r="AI22" s="599"/>
      <c r="AJ22" s="588">
        <f t="shared" ref="AJ22" si="30">AE22+1</f>
        <v>46060</v>
      </c>
      <c r="AK22" s="589"/>
      <c r="AL22" s="589"/>
      <c r="AM22" s="589"/>
      <c r="AN22" s="590"/>
      <c r="AO22" s="598">
        <f t="shared" ref="AO22" si="31">AJ22+1</f>
        <v>46061</v>
      </c>
      <c r="AP22" s="599"/>
      <c r="AQ22" s="599"/>
      <c r="AR22" s="599"/>
      <c r="AS22" s="599"/>
      <c r="AT22" s="588">
        <f t="shared" ref="AT22" si="32">AO22+1</f>
        <v>46062</v>
      </c>
      <c r="AU22" s="589"/>
      <c r="AV22" s="589"/>
      <c r="AW22" s="589"/>
      <c r="AX22" s="590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62"/>
      <c r="O23" s="562"/>
      <c r="P23" s="591">
        <f>P22</f>
        <v>46056</v>
      </c>
      <c r="Q23" s="591"/>
      <c r="R23" s="591"/>
      <c r="S23" s="591"/>
      <c r="T23" s="591"/>
      <c r="U23" s="592">
        <f>U22</f>
        <v>46057</v>
      </c>
      <c r="V23" s="592"/>
      <c r="W23" s="592"/>
      <c r="X23" s="592"/>
      <c r="Y23" s="592"/>
      <c r="Z23" s="591">
        <f t="shared" ref="Z23" si="33">Z22</f>
        <v>46058</v>
      </c>
      <c r="AA23" s="591"/>
      <c r="AB23" s="591"/>
      <c r="AC23" s="591"/>
      <c r="AD23" s="591"/>
      <c r="AE23" s="592">
        <f t="shared" ref="AE23" si="34">AE22</f>
        <v>46059</v>
      </c>
      <c r="AF23" s="592"/>
      <c r="AG23" s="592"/>
      <c r="AH23" s="592"/>
      <c r="AI23" s="592"/>
      <c r="AJ23" s="593">
        <f t="shared" ref="AJ23" si="35">AJ22</f>
        <v>46060</v>
      </c>
      <c r="AK23" s="594"/>
      <c r="AL23" s="594"/>
      <c r="AM23" s="594"/>
      <c r="AN23" s="595"/>
      <c r="AO23" s="592">
        <f t="shared" ref="AO23" si="36">AO22</f>
        <v>46061</v>
      </c>
      <c r="AP23" s="592"/>
      <c r="AQ23" s="592"/>
      <c r="AR23" s="592"/>
      <c r="AS23" s="592"/>
      <c r="AT23" s="593">
        <f t="shared" ref="AT23" si="37">AT22</f>
        <v>46062</v>
      </c>
      <c r="AU23" s="594"/>
      <c r="AV23" s="594"/>
      <c r="AW23" s="594"/>
      <c r="AX23" s="595"/>
    </row>
    <row r="24" spans="2:50" ht="14.25" customHeight="1">
      <c r="B24" s="530" t="s">
        <v>128</v>
      </c>
      <c r="C24" s="530" t="s">
        <v>129</v>
      </c>
      <c r="D24" s="530"/>
      <c r="E24" s="530" t="s">
        <v>130</v>
      </c>
      <c r="F24" s="530"/>
      <c r="G24" s="530"/>
      <c r="H24" s="530" t="s">
        <v>131</v>
      </c>
      <c r="I24" s="553" t="s">
        <v>132</v>
      </c>
      <c r="J24" s="553"/>
      <c r="K24" s="553"/>
      <c r="L24" s="553" t="s">
        <v>131</v>
      </c>
      <c r="M24" s="553" t="s">
        <v>133</v>
      </c>
      <c r="N24" s="530"/>
      <c r="O24" s="530" t="s">
        <v>134</v>
      </c>
      <c r="P24" s="530" t="s">
        <v>135</v>
      </c>
      <c r="Q24" s="530"/>
      <c r="R24" s="530"/>
      <c r="S24" s="530"/>
      <c r="T24" s="530" t="s">
        <v>131</v>
      </c>
      <c r="U24" s="530" t="s">
        <v>135</v>
      </c>
      <c r="V24" s="530"/>
      <c r="W24" s="530"/>
      <c r="X24" s="530"/>
      <c r="Y24" s="530" t="s">
        <v>131</v>
      </c>
      <c r="Z24" s="530" t="s">
        <v>135</v>
      </c>
      <c r="AA24" s="530"/>
      <c r="AB24" s="530"/>
      <c r="AC24" s="530"/>
      <c r="AD24" s="530" t="s">
        <v>131</v>
      </c>
      <c r="AE24" s="530" t="s">
        <v>135</v>
      </c>
      <c r="AF24" s="530"/>
      <c r="AG24" s="530"/>
      <c r="AH24" s="530"/>
      <c r="AI24" s="530" t="s">
        <v>131</v>
      </c>
      <c r="AJ24" s="530" t="s">
        <v>135</v>
      </c>
      <c r="AK24" s="530"/>
      <c r="AL24" s="530"/>
      <c r="AM24" s="530"/>
      <c r="AN24" s="530" t="s">
        <v>131</v>
      </c>
      <c r="AO24" s="530" t="s">
        <v>135</v>
      </c>
      <c r="AP24" s="530"/>
      <c r="AQ24" s="530"/>
      <c r="AR24" s="530"/>
      <c r="AS24" s="530" t="s">
        <v>131</v>
      </c>
      <c r="AT24" s="530" t="s">
        <v>135</v>
      </c>
      <c r="AU24" s="530"/>
      <c r="AV24" s="530"/>
      <c r="AW24" s="530"/>
      <c r="AX24" s="530" t="s">
        <v>131</v>
      </c>
    </row>
    <row r="25" spans="2:50" ht="14.25" customHeight="1">
      <c r="B25" s="530"/>
      <c r="C25" s="530"/>
      <c r="D25" s="530"/>
      <c r="E25" s="530" t="s">
        <v>136</v>
      </c>
      <c r="F25" s="530"/>
      <c r="G25" s="530"/>
      <c r="H25" s="530"/>
      <c r="I25" s="553" t="s">
        <v>136</v>
      </c>
      <c r="J25" s="553"/>
      <c r="K25" s="553"/>
      <c r="L25" s="553"/>
      <c r="M25" s="553"/>
      <c r="N25" s="530"/>
      <c r="O25" s="530"/>
      <c r="P25" s="530" t="s">
        <v>137</v>
      </c>
      <c r="Q25" s="530"/>
      <c r="R25" s="530"/>
      <c r="S25" s="530"/>
      <c r="T25" s="530"/>
      <c r="U25" s="530" t="s">
        <v>137</v>
      </c>
      <c r="V25" s="530"/>
      <c r="W25" s="530"/>
      <c r="X25" s="530"/>
      <c r="Y25" s="530"/>
      <c r="Z25" s="530" t="s">
        <v>137</v>
      </c>
      <c r="AA25" s="530"/>
      <c r="AB25" s="530"/>
      <c r="AC25" s="530"/>
      <c r="AD25" s="530"/>
      <c r="AE25" s="530" t="s">
        <v>137</v>
      </c>
      <c r="AF25" s="530"/>
      <c r="AG25" s="530"/>
      <c r="AH25" s="530"/>
      <c r="AI25" s="530"/>
      <c r="AJ25" s="530" t="s">
        <v>137</v>
      </c>
      <c r="AK25" s="530"/>
      <c r="AL25" s="530"/>
      <c r="AM25" s="530"/>
      <c r="AN25" s="530"/>
      <c r="AO25" s="530" t="s">
        <v>137</v>
      </c>
      <c r="AP25" s="530"/>
      <c r="AQ25" s="530"/>
      <c r="AR25" s="530"/>
      <c r="AS25" s="530"/>
      <c r="AT25" s="530" t="s">
        <v>137</v>
      </c>
      <c r="AU25" s="530"/>
      <c r="AV25" s="530"/>
      <c r="AW25" s="530"/>
      <c r="AX25" s="530"/>
    </row>
    <row r="26" spans="2:50" ht="14.25" customHeight="1">
      <c r="B26" s="530"/>
      <c r="C26" s="530"/>
      <c r="D26" s="530"/>
      <c r="E26" s="180" t="s">
        <v>138</v>
      </c>
      <c r="F26" s="180" t="s">
        <v>139</v>
      </c>
      <c r="G26" s="180" t="s">
        <v>140</v>
      </c>
      <c r="H26" s="530"/>
      <c r="I26" s="181" t="s">
        <v>138</v>
      </c>
      <c r="J26" s="181" t="s">
        <v>139</v>
      </c>
      <c r="K26" s="181" t="s">
        <v>140</v>
      </c>
      <c r="L26" s="553"/>
      <c r="M26" s="553"/>
      <c r="N26" s="530"/>
      <c r="O26" s="530"/>
      <c r="P26" s="180" t="s">
        <v>138</v>
      </c>
      <c r="Q26" s="180" t="s">
        <v>139</v>
      </c>
      <c r="R26" s="180" t="s">
        <v>140</v>
      </c>
      <c r="S26" s="182" t="s">
        <v>133</v>
      </c>
      <c r="T26" s="530"/>
      <c r="U26" s="180" t="s">
        <v>138</v>
      </c>
      <c r="V26" s="180" t="s">
        <v>139</v>
      </c>
      <c r="W26" s="180" t="s">
        <v>140</v>
      </c>
      <c r="X26" s="182" t="s">
        <v>133</v>
      </c>
      <c r="Y26" s="530"/>
      <c r="Z26" s="180" t="s">
        <v>138</v>
      </c>
      <c r="AA26" s="180" t="s">
        <v>139</v>
      </c>
      <c r="AB26" s="180" t="s">
        <v>140</v>
      </c>
      <c r="AC26" s="182" t="s">
        <v>133</v>
      </c>
      <c r="AD26" s="530"/>
      <c r="AE26" s="180" t="s">
        <v>138</v>
      </c>
      <c r="AF26" s="180" t="s">
        <v>139</v>
      </c>
      <c r="AG26" s="180" t="s">
        <v>140</v>
      </c>
      <c r="AH26" s="182" t="s">
        <v>133</v>
      </c>
      <c r="AI26" s="530"/>
      <c r="AJ26" s="180" t="s">
        <v>138</v>
      </c>
      <c r="AK26" s="180" t="s">
        <v>139</v>
      </c>
      <c r="AL26" s="180" t="s">
        <v>140</v>
      </c>
      <c r="AM26" s="182" t="s">
        <v>133</v>
      </c>
      <c r="AN26" s="530"/>
      <c r="AO26" s="180" t="s">
        <v>138</v>
      </c>
      <c r="AP26" s="180" t="s">
        <v>139</v>
      </c>
      <c r="AQ26" s="180" t="s">
        <v>140</v>
      </c>
      <c r="AR26" s="182" t="s">
        <v>133</v>
      </c>
      <c r="AS26" s="530"/>
      <c r="AT26" s="180" t="s">
        <v>138</v>
      </c>
      <c r="AU26" s="180" t="s">
        <v>139</v>
      </c>
      <c r="AV26" s="180" t="s">
        <v>140</v>
      </c>
      <c r="AW26" s="182" t="s">
        <v>133</v>
      </c>
      <c r="AX26" s="530"/>
    </row>
    <row r="27" spans="2:50" ht="14.25" customHeight="1">
      <c r="B27" s="530" t="s">
        <v>115</v>
      </c>
      <c r="C27" s="180">
        <v>1</v>
      </c>
      <c r="D27" s="183" t="s">
        <v>225</v>
      </c>
      <c r="E27" s="180">
        <v>13</v>
      </c>
      <c r="F27" s="180">
        <v>1200</v>
      </c>
      <c r="G27" s="185">
        <f t="shared" ref="G27:G29" si="38">F27/E27</f>
        <v>92.307692307692307</v>
      </c>
      <c r="H27" s="558">
        <f>AVERAGE(G27:G41)</f>
        <v>85.31468531468532</v>
      </c>
      <c r="I27" s="186">
        <f>AVERAGE(P27,U27,Z27,AE27,AJ27,AO27,AT27)</f>
        <v>13</v>
      </c>
      <c r="J27" s="186">
        <f>AVERAGE(Q27,V27,AA27,AF27,AK27,AP27,AU27)</f>
        <v>1079.3570191367746</v>
      </c>
      <c r="K27" s="187">
        <f>AVERAGE(R27,W27,AB27,AG27,AL27,AQ27,AV27)</f>
        <v>83.027463010521132</v>
      </c>
      <c r="L27" s="559">
        <f>IFERROR(AVERAGE(K27:K41),"-")</f>
        <v>76.295229740251486</v>
      </c>
      <c r="M27" s="186">
        <f>RANK(K27, K$27:$K$41)</f>
        <v>1</v>
      </c>
      <c r="N27" s="530"/>
      <c r="O27" s="530"/>
      <c r="P27" s="188">
        <v>13</v>
      </c>
      <c r="Q27" s="188">
        <v>1078.3819511765225</v>
      </c>
      <c r="R27" s="185">
        <f>IFERROR(Q27/P27,"")</f>
        <v>82.952457782809432</v>
      </c>
      <c r="S27" s="182">
        <f>RANK(R27, R$27:R$41)</f>
        <v>1</v>
      </c>
      <c r="T27" s="558">
        <f>AVERAGE(R27:R41)</f>
        <v>76.264708677692667</v>
      </c>
      <c r="U27" s="188">
        <v>13</v>
      </c>
      <c r="V27" s="188">
        <v>1079.5075239398088</v>
      </c>
      <c r="W27" s="185">
        <f t="shared" ref="W27:W29" si="39">IFERROR(V27/U27,"")</f>
        <v>83.039040303062222</v>
      </c>
      <c r="X27" s="182">
        <f>RANK(W27, W$27:W$41)</f>
        <v>1</v>
      </c>
      <c r="Y27" s="558">
        <f>AVERAGE(W27:W41)</f>
        <v>76.291951696741776</v>
      </c>
      <c r="Z27" s="188">
        <v>13</v>
      </c>
      <c r="AA27" s="188">
        <v>1079.5269382391593</v>
      </c>
      <c r="AB27" s="185">
        <f t="shared" ref="AB27:AB29" si="40">IFERROR(AA27/Z27,"")</f>
        <v>83.040533710704565</v>
      </c>
      <c r="AC27" s="182">
        <f>RANK(AB27, AB$27:AB$41)</f>
        <v>1</v>
      </c>
      <c r="AD27" s="558">
        <f>AVERAGE(AB27:AB41)</f>
        <v>76.293224534375682</v>
      </c>
      <c r="AE27" s="188">
        <v>13</v>
      </c>
      <c r="AF27" s="188">
        <v>1079.4849785407725</v>
      </c>
      <c r="AG27" s="185">
        <f>IFERROR(AF27/AE27,"")</f>
        <v>83.037306041597887</v>
      </c>
      <c r="AH27" s="182">
        <f>RANK(AG27, AG$27:AG$41)</f>
        <v>1</v>
      </c>
      <c r="AI27" s="558">
        <f>AVERAGE(AG27:AG41)</f>
        <v>76.300911205776117</v>
      </c>
      <c r="AJ27" s="188">
        <v>13</v>
      </c>
      <c r="AK27" s="188">
        <v>1079.5240193918028</v>
      </c>
      <c r="AL27" s="185">
        <f t="shared" ref="AL27:AL29" si="41">IFERROR(AK27/AJ27,"")</f>
        <v>83.040309183984832</v>
      </c>
      <c r="AM27" s="182">
        <f>RANK(AL27, AL$27:AL$41)</f>
        <v>1</v>
      </c>
      <c r="AN27" s="558">
        <f>AVERAGE(AL27:AL41)</f>
        <v>76.302538663733046</v>
      </c>
      <c r="AO27" s="188">
        <v>13</v>
      </c>
      <c r="AP27" s="188">
        <v>1079.5543635238289</v>
      </c>
      <c r="AQ27" s="185">
        <f t="shared" ref="AQ27:AQ29" si="42">IFERROR(AP27/AO27,"")</f>
        <v>83.042643347986839</v>
      </c>
      <c r="AR27" s="182">
        <f>RANK(AQ27, AQ$27:AQ$41)</f>
        <v>1</v>
      </c>
      <c r="AS27" s="558">
        <f>AVERAGE(AQ27:AQ41)</f>
        <v>76.306296877884236</v>
      </c>
      <c r="AT27" s="188">
        <v>13</v>
      </c>
      <c r="AU27" s="188">
        <v>1079.5193591455277</v>
      </c>
      <c r="AV27" s="185">
        <f t="shared" ref="AV27:AV28" si="43">IFERROR(AU27/AT27,"")</f>
        <v>83.039950703502129</v>
      </c>
      <c r="AW27" s="182">
        <f>RANK(AV27, AV$27:AV$41)</f>
        <v>1</v>
      </c>
      <c r="AX27" s="558">
        <f>AVERAGE(AV27:AV41)</f>
        <v>77.984397847215661</v>
      </c>
    </row>
    <row r="28" spans="2:50" ht="14.25" customHeight="1">
      <c r="B28" s="530"/>
      <c r="C28" s="180">
        <v>2</v>
      </c>
      <c r="D28" s="183" t="s">
        <v>226</v>
      </c>
      <c r="E28" s="180">
        <v>22</v>
      </c>
      <c r="F28" s="180">
        <v>1800</v>
      </c>
      <c r="G28" s="185">
        <f t="shared" si="38"/>
        <v>81.818181818181813</v>
      </c>
      <c r="H28" s="558"/>
      <c r="I28" s="186">
        <f t="shared" ref="I28:K29" si="44">AVERAGE(P28,U28,Z28,AE28,AJ28,AO28,AT28)</f>
        <v>22</v>
      </c>
      <c r="J28" s="186">
        <f t="shared" si="44"/>
        <v>1603.9340312158724</v>
      </c>
      <c r="K28" s="187">
        <f t="shared" si="44"/>
        <v>72.906092327994202</v>
      </c>
      <c r="L28" s="559"/>
      <c r="M28" s="186">
        <f>RANK(K28, K$27:$K$41)</f>
        <v>3</v>
      </c>
      <c r="N28" s="530"/>
      <c r="O28" s="530"/>
      <c r="P28" s="188">
        <v>22</v>
      </c>
      <c r="Q28" s="188">
        <v>1603.6363636363626</v>
      </c>
      <c r="R28" s="185">
        <f t="shared" ref="R28:R29" si="45">IFERROR(Q28/P28,"")</f>
        <v>72.892561983471026</v>
      </c>
      <c r="S28" s="182">
        <f t="shared" ref="S28:S29" si="46">RANK(R28, R$27:R$41)</f>
        <v>3</v>
      </c>
      <c r="T28" s="558"/>
      <c r="U28" s="188">
        <v>22</v>
      </c>
      <c r="V28" s="188">
        <v>1603.6697247706425</v>
      </c>
      <c r="W28" s="185">
        <f t="shared" si="39"/>
        <v>72.89407839866557</v>
      </c>
      <c r="X28" s="182">
        <f t="shared" ref="X28:X29" si="47">RANK(W28, W$27:W$41)</f>
        <v>3</v>
      </c>
      <c r="Y28" s="558"/>
      <c r="Z28" s="188">
        <v>22</v>
      </c>
      <c r="AA28" s="188">
        <v>1603.7037037037037</v>
      </c>
      <c r="AB28" s="185">
        <f t="shared" si="40"/>
        <v>72.895622895622893</v>
      </c>
      <c r="AC28" s="182">
        <f t="shared" ref="AC28:AC29" si="48">RANK(AB28, AB$27:AB$41)</f>
        <v>3</v>
      </c>
      <c r="AD28" s="558"/>
      <c r="AE28" s="188">
        <v>22</v>
      </c>
      <c r="AF28" s="188">
        <v>1603.8781163434919</v>
      </c>
      <c r="AG28" s="185">
        <f t="shared" ref="AG28:AG29" si="49">IFERROR(AF28/AE28,"")</f>
        <v>72.903550742885997</v>
      </c>
      <c r="AH28" s="182">
        <f t="shared" ref="AH28:AH29" si="50">RANK(AG28, AG$27:AG$41)</f>
        <v>3</v>
      </c>
      <c r="AI28" s="558"/>
      <c r="AJ28" s="188">
        <v>22</v>
      </c>
      <c r="AK28" s="188">
        <v>1603.9960039960042</v>
      </c>
      <c r="AL28" s="185">
        <f t="shared" si="41"/>
        <v>72.908909272545642</v>
      </c>
      <c r="AM28" s="182">
        <f t="shared" ref="AM28:AM29" si="51">RANK(AL28, AL$27:AL$41)</f>
        <v>3</v>
      </c>
      <c r="AN28" s="558"/>
      <c r="AO28" s="188">
        <v>22</v>
      </c>
      <c r="AP28" s="188">
        <v>1604.2197162604584</v>
      </c>
      <c r="AQ28" s="185">
        <f t="shared" si="42"/>
        <v>72.919078011839019</v>
      </c>
      <c r="AR28" s="182">
        <f t="shared" ref="AR28:AR29" si="52">RANK(AQ28, AQ$27:AQ$41)</f>
        <v>3</v>
      </c>
      <c r="AS28" s="558"/>
      <c r="AT28" s="188">
        <v>22</v>
      </c>
      <c r="AU28" s="188">
        <v>1604.4345898004426</v>
      </c>
      <c r="AV28" s="185">
        <f t="shared" si="43"/>
        <v>72.928844990929207</v>
      </c>
      <c r="AW28" s="182">
        <f t="shared" ref="AW28" si="53">RANK(AV28, AV$27:AV$41)</f>
        <v>2</v>
      </c>
      <c r="AX28" s="558"/>
    </row>
    <row r="29" spans="2:50" ht="14.25" customHeight="1">
      <c r="B29" s="530"/>
      <c r="C29" s="180">
        <v>3</v>
      </c>
      <c r="D29" s="183" t="s">
        <v>227</v>
      </c>
      <c r="E29" s="180">
        <v>22</v>
      </c>
      <c r="F29" s="180">
        <v>1800</v>
      </c>
      <c r="G29" s="185">
        <f t="shared" si="38"/>
        <v>81.818181818181813</v>
      </c>
      <c r="H29" s="558"/>
      <c r="I29" s="186">
        <f t="shared" si="44"/>
        <v>22</v>
      </c>
      <c r="J29" s="186">
        <f t="shared" si="44"/>
        <v>1604.9469454092605</v>
      </c>
      <c r="K29" s="187">
        <f t="shared" si="44"/>
        <v>72.952133882239096</v>
      </c>
      <c r="L29" s="559"/>
      <c r="M29" s="186">
        <f>RANK(K29, K$27:$K$41)</f>
        <v>2</v>
      </c>
      <c r="N29" s="530"/>
      <c r="O29" s="530"/>
      <c r="P29" s="188">
        <v>22</v>
      </c>
      <c r="Q29" s="188">
        <v>1604.8803378695454</v>
      </c>
      <c r="R29" s="185">
        <f t="shared" si="45"/>
        <v>72.949106266797514</v>
      </c>
      <c r="S29" s="182">
        <f t="shared" si="46"/>
        <v>2</v>
      </c>
      <c r="T29" s="558"/>
      <c r="U29" s="188">
        <v>22</v>
      </c>
      <c r="V29" s="188">
        <v>1604.7402005469467</v>
      </c>
      <c r="W29" s="185">
        <f t="shared" si="39"/>
        <v>72.942736388497579</v>
      </c>
      <c r="X29" s="182">
        <f t="shared" si="47"/>
        <v>2</v>
      </c>
      <c r="Y29" s="558"/>
      <c r="Z29" s="188">
        <v>22</v>
      </c>
      <c r="AA29" s="188">
        <v>1604.7573739295904</v>
      </c>
      <c r="AB29" s="185">
        <f t="shared" si="40"/>
        <v>72.943516996799559</v>
      </c>
      <c r="AC29" s="182">
        <f t="shared" si="48"/>
        <v>2</v>
      </c>
      <c r="AD29" s="558"/>
      <c r="AE29" s="188">
        <v>22</v>
      </c>
      <c r="AF29" s="188">
        <v>1605.1612903225782</v>
      </c>
      <c r="AG29" s="185">
        <f t="shared" si="49"/>
        <v>72.961876832844467</v>
      </c>
      <c r="AH29" s="182">
        <f t="shared" si="50"/>
        <v>2</v>
      </c>
      <c r="AI29" s="558"/>
      <c r="AJ29" s="188">
        <v>22</v>
      </c>
      <c r="AK29" s="188">
        <v>1605.084745762711</v>
      </c>
      <c r="AL29" s="185">
        <f t="shared" si="41"/>
        <v>72.958397534668677</v>
      </c>
      <c r="AM29" s="182">
        <f t="shared" si="51"/>
        <v>2</v>
      </c>
      <c r="AN29" s="558"/>
      <c r="AO29" s="188">
        <v>22</v>
      </c>
      <c r="AP29" s="188">
        <v>1605.0577240241907</v>
      </c>
      <c r="AQ29" s="185">
        <f t="shared" si="42"/>
        <v>72.95716927382685</v>
      </c>
      <c r="AR29" s="182">
        <f t="shared" si="52"/>
        <v>2</v>
      </c>
      <c r="AS29" s="558"/>
      <c r="AT29" s="188"/>
      <c r="AU29" s="188"/>
      <c r="AV29" s="185"/>
      <c r="AW29" s="182"/>
      <c r="AX29" s="558"/>
    </row>
    <row r="30" spans="2:50" ht="14.25" customHeight="1">
      <c r="B30" s="530"/>
      <c r="C30" s="180">
        <v>4</v>
      </c>
      <c r="D30" s="183"/>
      <c r="E30" s="180"/>
      <c r="F30" s="180"/>
      <c r="G30" s="185"/>
      <c r="H30" s="558"/>
      <c r="I30" s="186"/>
      <c r="J30" s="186"/>
      <c r="K30" s="187"/>
      <c r="L30" s="559"/>
      <c r="M30" s="186"/>
      <c r="N30" s="530"/>
      <c r="O30" s="530"/>
      <c r="P30" s="188"/>
      <c r="Q30" s="188"/>
      <c r="R30" s="185"/>
      <c r="S30" s="182"/>
      <c r="T30" s="558"/>
      <c r="U30" s="188"/>
      <c r="V30" s="188"/>
      <c r="W30" s="185"/>
      <c r="X30" s="182"/>
      <c r="Y30" s="558"/>
      <c r="Z30" s="188"/>
      <c r="AA30" s="188"/>
      <c r="AB30" s="185"/>
      <c r="AC30" s="182"/>
      <c r="AD30" s="558"/>
      <c r="AE30" s="188"/>
      <c r="AF30" s="188"/>
      <c r="AG30" s="185"/>
      <c r="AH30" s="182"/>
      <c r="AI30" s="558"/>
      <c r="AJ30" s="188"/>
      <c r="AK30" s="188"/>
      <c r="AL30" s="185"/>
      <c r="AM30" s="182"/>
      <c r="AN30" s="558"/>
      <c r="AO30" s="188"/>
      <c r="AP30" s="188"/>
      <c r="AQ30" s="185"/>
      <c r="AR30" s="182"/>
      <c r="AS30" s="558"/>
      <c r="AT30" s="188"/>
      <c r="AU30" s="188"/>
      <c r="AV30" s="185"/>
      <c r="AW30" s="182"/>
      <c r="AX30" s="558"/>
    </row>
    <row r="31" spans="2:50" ht="14.25" customHeight="1">
      <c r="B31" s="530"/>
      <c r="C31" s="180">
        <v>5</v>
      </c>
      <c r="D31" s="183"/>
      <c r="E31" s="180"/>
      <c r="F31" s="180"/>
      <c r="G31" s="185"/>
      <c r="H31" s="558"/>
      <c r="I31" s="186"/>
      <c r="J31" s="186"/>
      <c r="K31" s="187"/>
      <c r="L31" s="559"/>
      <c r="M31" s="186"/>
      <c r="N31" s="530"/>
      <c r="O31" s="530"/>
      <c r="P31" s="188"/>
      <c r="Q31" s="188"/>
      <c r="R31" s="185"/>
      <c r="S31" s="182"/>
      <c r="T31" s="558"/>
      <c r="U31" s="188"/>
      <c r="V31" s="188"/>
      <c r="W31" s="185"/>
      <c r="X31" s="182"/>
      <c r="Y31" s="558"/>
      <c r="Z31" s="188"/>
      <c r="AA31" s="188"/>
      <c r="AB31" s="185"/>
      <c r="AC31" s="182"/>
      <c r="AD31" s="558"/>
      <c r="AE31" s="188"/>
      <c r="AF31" s="188"/>
      <c r="AG31" s="185"/>
      <c r="AH31" s="182"/>
      <c r="AI31" s="558"/>
      <c r="AJ31" s="188"/>
      <c r="AK31" s="188"/>
      <c r="AL31" s="185"/>
      <c r="AM31" s="182"/>
      <c r="AN31" s="558"/>
      <c r="AO31" s="188"/>
      <c r="AP31" s="188"/>
      <c r="AQ31" s="185"/>
      <c r="AR31" s="182"/>
      <c r="AS31" s="558"/>
      <c r="AT31" s="188"/>
      <c r="AU31" s="188"/>
      <c r="AV31" s="185"/>
      <c r="AW31" s="182"/>
      <c r="AX31" s="558"/>
    </row>
    <row r="32" spans="2:50" ht="14.25" customHeight="1">
      <c r="B32" s="530"/>
      <c r="C32" s="180">
        <v>6</v>
      </c>
      <c r="D32" s="183"/>
      <c r="E32" s="180"/>
      <c r="F32" s="180"/>
      <c r="G32" s="185"/>
      <c r="H32" s="558"/>
      <c r="I32" s="186"/>
      <c r="J32" s="186"/>
      <c r="K32" s="187"/>
      <c r="L32" s="559"/>
      <c r="M32" s="186"/>
      <c r="N32" s="530"/>
      <c r="O32" s="530"/>
      <c r="P32" s="188"/>
      <c r="Q32" s="188"/>
      <c r="R32" s="185"/>
      <c r="S32" s="182"/>
      <c r="T32" s="558"/>
      <c r="U32" s="188"/>
      <c r="V32" s="188"/>
      <c r="W32" s="185"/>
      <c r="X32" s="182"/>
      <c r="Y32" s="558"/>
      <c r="Z32" s="188"/>
      <c r="AA32" s="188"/>
      <c r="AB32" s="185"/>
      <c r="AC32" s="182"/>
      <c r="AD32" s="558"/>
      <c r="AE32" s="188"/>
      <c r="AF32" s="188"/>
      <c r="AG32" s="185"/>
      <c r="AH32" s="182"/>
      <c r="AI32" s="558"/>
      <c r="AJ32" s="188"/>
      <c r="AK32" s="188"/>
      <c r="AL32" s="185"/>
      <c r="AM32" s="182"/>
      <c r="AN32" s="558"/>
      <c r="AO32" s="188"/>
      <c r="AP32" s="188"/>
      <c r="AQ32" s="185"/>
      <c r="AR32" s="182"/>
      <c r="AS32" s="558"/>
      <c r="AT32" s="188"/>
      <c r="AU32" s="188"/>
      <c r="AV32" s="185"/>
      <c r="AW32" s="182"/>
      <c r="AX32" s="558"/>
    </row>
    <row r="33" spans="2:50" ht="14.25" customHeight="1">
      <c r="B33" s="530"/>
      <c r="C33" s="180">
        <v>7</v>
      </c>
      <c r="D33" s="183"/>
      <c r="E33" s="180"/>
      <c r="F33" s="180"/>
      <c r="G33" s="185"/>
      <c r="H33" s="558"/>
      <c r="I33" s="186"/>
      <c r="J33" s="186"/>
      <c r="K33" s="187"/>
      <c r="L33" s="559"/>
      <c r="M33" s="186"/>
      <c r="N33" s="530"/>
      <c r="O33" s="530"/>
      <c r="P33" s="188"/>
      <c r="Q33" s="188"/>
      <c r="R33" s="185"/>
      <c r="S33" s="182"/>
      <c r="T33" s="558"/>
      <c r="U33" s="188"/>
      <c r="V33" s="188"/>
      <c r="W33" s="185"/>
      <c r="X33" s="182"/>
      <c r="Y33" s="558"/>
      <c r="Z33" s="188"/>
      <c r="AA33" s="188"/>
      <c r="AB33" s="185"/>
      <c r="AC33" s="182"/>
      <c r="AD33" s="558"/>
      <c r="AE33" s="188"/>
      <c r="AF33" s="188"/>
      <c r="AG33" s="185"/>
      <c r="AH33" s="182"/>
      <c r="AI33" s="558"/>
      <c r="AJ33" s="188"/>
      <c r="AK33" s="188"/>
      <c r="AL33" s="185"/>
      <c r="AM33" s="182"/>
      <c r="AN33" s="558"/>
      <c r="AO33" s="188"/>
      <c r="AP33" s="188"/>
      <c r="AQ33" s="185"/>
      <c r="AR33" s="182"/>
      <c r="AS33" s="558"/>
      <c r="AT33" s="188"/>
      <c r="AU33" s="188"/>
      <c r="AV33" s="185"/>
      <c r="AW33" s="182"/>
      <c r="AX33" s="558"/>
    </row>
    <row r="34" spans="2:50" ht="14.25" customHeight="1">
      <c r="B34" s="530"/>
      <c r="C34" s="180">
        <v>8</v>
      </c>
      <c r="D34" s="183"/>
      <c r="E34" s="180"/>
      <c r="F34" s="180"/>
      <c r="G34" s="185"/>
      <c r="H34" s="558"/>
      <c r="I34" s="186"/>
      <c r="J34" s="186"/>
      <c r="K34" s="187"/>
      <c r="L34" s="559"/>
      <c r="M34" s="186"/>
      <c r="N34" s="530"/>
      <c r="O34" s="530"/>
      <c r="P34" s="188"/>
      <c r="Q34" s="188"/>
      <c r="R34" s="185"/>
      <c r="S34" s="182"/>
      <c r="T34" s="558"/>
      <c r="U34" s="188"/>
      <c r="V34" s="188"/>
      <c r="W34" s="185"/>
      <c r="X34" s="182"/>
      <c r="Y34" s="558"/>
      <c r="Z34" s="188"/>
      <c r="AA34" s="188"/>
      <c r="AB34" s="185"/>
      <c r="AC34" s="182"/>
      <c r="AD34" s="558"/>
      <c r="AE34" s="188"/>
      <c r="AF34" s="188"/>
      <c r="AG34" s="185"/>
      <c r="AH34" s="182"/>
      <c r="AI34" s="558"/>
      <c r="AJ34" s="188"/>
      <c r="AK34" s="188"/>
      <c r="AL34" s="185"/>
      <c r="AM34" s="182"/>
      <c r="AN34" s="558"/>
      <c r="AO34" s="188"/>
      <c r="AP34" s="188"/>
      <c r="AQ34" s="185"/>
      <c r="AR34" s="182"/>
      <c r="AS34" s="558"/>
      <c r="AT34" s="188"/>
      <c r="AU34" s="188"/>
      <c r="AV34" s="185"/>
      <c r="AW34" s="182"/>
      <c r="AX34" s="558"/>
    </row>
    <row r="35" spans="2:50" ht="14.25" customHeight="1">
      <c r="B35" s="530"/>
      <c r="C35" s="180">
        <v>9</v>
      </c>
      <c r="D35" s="183"/>
      <c r="E35" s="180"/>
      <c r="F35" s="180"/>
      <c r="G35" s="185"/>
      <c r="H35" s="558"/>
      <c r="I35" s="186"/>
      <c r="J35" s="186"/>
      <c r="K35" s="187"/>
      <c r="L35" s="559"/>
      <c r="M35" s="186"/>
      <c r="N35" s="530"/>
      <c r="O35" s="530"/>
      <c r="P35" s="188"/>
      <c r="Q35" s="188"/>
      <c r="R35" s="185"/>
      <c r="S35" s="182"/>
      <c r="T35" s="558"/>
      <c r="U35" s="188"/>
      <c r="V35" s="188"/>
      <c r="W35" s="185"/>
      <c r="X35" s="182"/>
      <c r="Y35" s="558"/>
      <c r="Z35" s="188"/>
      <c r="AA35" s="188"/>
      <c r="AB35" s="185"/>
      <c r="AC35" s="182"/>
      <c r="AD35" s="558"/>
      <c r="AE35" s="188"/>
      <c r="AF35" s="188"/>
      <c r="AG35" s="185"/>
      <c r="AH35" s="182"/>
      <c r="AI35" s="558"/>
      <c r="AJ35" s="188"/>
      <c r="AK35" s="188"/>
      <c r="AL35" s="185"/>
      <c r="AM35" s="182"/>
      <c r="AN35" s="558"/>
      <c r="AO35" s="188"/>
      <c r="AP35" s="188"/>
      <c r="AQ35" s="185"/>
      <c r="AR35" s="182"/>
      <c r="AS35" s="558"/>
      <c r="AT35" s="188"/>
      <c r="AU35" s="188"/>
      <c r="AV35" s="185"/>
      <c r="AW35" s="182"/>
      <c r="AX35" s="558"/>
    </row>
    <row r="36" spans="2:50" ht="14.25" customHeight="1">
      <c r="B36" s="530"/>
      <c r="C36" s="180">
        <v>10</v>
      </c>
      <c r="D36" s="183"/>
      <c r="E36" s="180"/>
      <c r="F36" s="180"/>
      <c r="G36" s="185"/>
      <c r="H36" s="558"/>
      <c r="I36" s="186"/>
      <c r="J36" s="186"/>
      <c r="K36" s="187"/>
      <c r="L36" s="559"/>
      <c r="M36" s="186"/>
      <c r="N36" s="530"/>
      <c r="O36" s="530"/>
      <c r="P36" s="188"/>
      <c r="Q36" s="188"/>
      <c r="R36" s="185"/>
      <c r="S36" s="182"/>
      <c r="T36" s="558"/>
      <c r="U36" s="188"/>
      <c r="V36" s="188"/>
      <c r="W36" s="185"/>
      <c r="X36" s="182"/>
      <c r="Y36" s="558"/>
      <c r="Z36" s="188"/>
      <c r="AA36" s="188"/>
      <c r="AB36" s="185"/>
      <c r="AC36" s="182"/>
      <c r="AD36" s="558"/>
      <c r="AE36" s="188"/>
      <c r="AF36" s="188"/>
      <c r="AG36" s="185"/>
      <c r="AH36" s="182"/>
      <c r="AI36" s="558"/>
      <c r="AJ36" s="188"/>
      <c r="AK36" s="188"/>
      <c r="AL36" s="185"/>
      <c r="AM36" s="182"/>
      <c r="AN36" s="558"/>
      <c r="AO36" s="188"/>
      <c r="AP36" s="188"/>
      <c r="AQ36" s="185"/>
      <c r="AR36" s="182"/>
      <c r="AS36" s="558"/>
      <c r="AT36" s="188"/>
      <c r="AU36" s="188"/>
      <c r="AV36" s="185"/>
      <c r="AW36" s="182"/>
      <c r="AX36" s="558"/>
    </row>
    <row r="37" spans="2:50" ht="14.25" customHeight="1">
      <c r="B37" s="530"/>
      <c r="C37" s="180">
        <v>11</v>
      </c>
      <c r="D37" s="183"/>
      <c r="E37" s="180"/>
      <c r="F37" s="180"/>
      <c r="G37" s="185"/>
      <c r="H37" s="558"/>
      <c r="I37" s="186"/>
      <c r="J37" s="186"/>
      <c r="K37" s="187"/>
      <c r="L37" s="559"/>
      <c r="M37" s="186"/>
      <c r="N37" s="530"/>
      <c r="O37" s="530"/>
      <c r="P37" s="188"/>
      <c r="Q37" s="188"/>
      <c r="R37" s="185"/>
      <c r="S37" s="182"/>
      <c r="T37" s="558"/>
      <c r="U37" s="188"/>
      <c r="V37" s="188"/>
      <c r="W37" s="185"/>
      <c r="X37" s="182"/>
      <c r="Y37" s="558"/>
      <c r="Z37" s="188"/>
      <c r="AA37" s="188"/>
      <c r="AB37" s="185"/>
      <c r="AC37" s="182"/>
      <c r="AD37" s="558"/>
      <c r="AE37" s="188"/>
      <c r="AF37" s="188"/>
      <c r="AG37" s="185"/>
      <c r="AH37" s="182"/>
      <c r="AI37" s="558"/>
      <c r="AJ37" s="188"/>
      <c r="AK37" s="188"/>
      <c r="AL37" s="185"/>
      <c r="AM37" s="182"/>
      <c r="AN37" s="558"/>
      <c r="AO37" s="188"/>
      <c r="AP37" s="188"/>
      <c r="AQ37" s="185"/>
      <c r="AR37" s="182"/>
      <c r="AS37" s="558"/>
      <c r="AT37" s="188"/>
      <c r="AU37" s="188"/>
      <c r="AV37" s="185"/>
      <c r="AW37" s="182"/>
      <c r="AX37" s="558"/>
    </row>
    <row r="38" spans="2:50" ht="14.25" customHeight="1">
      <c r="B38" s="530"/>
      <c r="C38" s="180">
        <v>12</v>
      </c>
      <c r="D38" s="183"/>
      <c r="E38" s="180"/>
      <c r="F38" s="180"/>
      <c r="G38" s="185"/>
      <c r="H38" s="558"/>
      <c r="I38" s="186"/>
      <c r="J38" s="186"/>
      <c r="K38" s="187"/>
      <c r="L38" s="559"/>
      <c r="M38" s="186"/>
      <c r="N38" s="530"/>
      <c r="O38" s="530"/>
      <c r="P38" s="188"/>
      <c r="Q38" s="188"/>
      <c r="R38" s="185"/>
      <c r="S38" s="182"/>
      <c r="T38" s="558"/>
      <c r="U38" s="188"/>
      <c r="V38" s="188"/>
      <c r="W38" s="185"/>
      <c r="X38" s="182"/>
      <c r="Y38" s="558"/>
      <c r="Z38" s="188"/>
      <c r="AA38" s="188"/>
      <c r="AB38" s="185"/>
      <c r="AC38" s="182"/>
      <c r="AD38" s="558"/>
      <c r="AE38" s="188"/>
      <c r="AF38" s="188"/>
      <c r="AG38" s="185"/>
      <c r="AH38" s="182"/>
      <c r="AI38" s="558"/>
      <c r="AJ38" s="188"/>
      <c r="AK38" s="188"/>
      <c r="AL38" s="185"/>
      <c r="AM38" s="182"/>
      <c r="AN38" s="558"/>
      <c r="AO38" s="188"/>
      <c r="AP38" s="188"/>
      <c r="AQ38" s="185"/>
      <c r="AR38" s="182"/>
      <c r="AS38" s="558"/>
      <c r="AT38" s="188"/>
      <c r="AU38" s="188"/>
      <c r="AV38" s="185"/>
      <c r="AW38" s="182"/>
      <c r="AX38" s="558"/>
    </row>
    <row r="39" spans="2:50" ht="14.25" customHeight="1">
      <c r="B39" s="530"/>
      <c r="C39" s="180">
        <v>13</v>
      </c>
      <c r="D39" s="183"/>
      <c r="E39" s="180"/>
      <c r="F39" s="180"/>
      <c r="G39" s="185"/>
      <c r="H39" s="558"/>
      <c r="I39" s="186"/>
      <c r="J39" s="186"/>
      <c r="K39" s="187"/>
      <c r="L39" s="559"/>
      <c r="M39" s="186"/>
      <c r="N39" s="530"/>
      <c r="O39" s="530"/>
      <c r="P39" s="188"/>
      <c r="Q39" s="188"/>
      <c r="R39" s="185"/>
      <c r="S39" s="182"/>
      <c r="T39" s="558"/>
      <c r="U39" s="188"/>
      <c r="V39" s="188"/>
      <c r="W39" s="185"/>
      <c r="X39" s="182"/>
      <c r="Y39" s="558"/>
      <c r="Z39" s="188"/>
      <c r="AA39" s="188"/>
      <c r="AB39" s="185"/>
      <c r="AC39" s="182"/>
      <c r="AD39" s="558"/>
      <c r="AE39" s="188"/>
      <c r="AF39" s="188"/>
      <c r="AG39" s="185"/>
      <c r="AH39" s="182"/>
      <c r="AI39" s="558"/>
      <c r="AJ39" s="188"/>
      <c r="AK39" s="188"/>
      <c r="AL39" s="185"/>
      <c r="AM39" s="182"/>
      <c r="AN39" s="558"/>
      <c r="AO39" s="188"/>
      <c r="AP39" s="188"/>
      <c r="AQ39" s="185"/>
      <c r="AR39" s="182"/>
      <c r="AS39" s="558"/>
      <c r="AT39" s="188"/>
      <c r="AU39" s="188"/>
      <c r="AV39" s="185"/>
      <c r="AW39" s="182"/>
      <c r="AX39" s="558"/>
    </row>
    <row r="40" spans="2:50" ht="14.25" customHeight="1">
      <c r="B40" s="530"/>
      <c r="C40" s="180">
        <v>14</v>
      </c>
      <c r="D40" s="183"/>
      <c r="E40" s="180"/>
      <c r="F40" s="180"/>
      <c r="G40" s="185"/>
      <c r="H40" s="558"/>
      <c r="I40" s="186"/>
      <c r="J40" s="186"/>
      <c r="K40" s="187"/>
      <c r="L40" s="559"/>
      <c r="M40" s="186"/>
      <c r="N40" s="530"/>
      <c r="O40" s="530"/>
      <c r="P40" s="188"/>
      <c r="Q40" s="188"/>
      <c r="R40" s="185"/>
      <c r="S40" s="182"/>
      <c r="T40" s="558"/>
      <c r="U40" s="188"/>
      <c r="V40" s="188"/>
      <c r="W40" s="185"/>
      <c r="X40" s="182"/>
      <c r="Y40" s="558"/>
      <c r="Z40" s="188"/>
      <c r="AA40" s="188"/>
      <c r="AB40" s="185"/>
      <c r="AC40" s="182"/>
      <c r="AD40" s="558"/>
      <c r="AE40" s="188"/>
      <c r="AF40" s="188"/>
      <c r="AG40" s="185"/>
      <c r="AH40" s="182"/>
      <c r="AI40" s="558"/>
      <c r="AJ40" s="188"/>
      <c r="AK40" s="188"/>
      <c r="AL40" s="185"/>
      <c r="AM40" s="182"/>
      <c r="AN40" s="558"/>
      <c r="AO40" s="188"/>
      <c r="AP40" s="188"/>
      <c r="AQ40" s="185"/>
      <c r="AR40" s="182"/>
      <c r="AS40" s="558"/>
      <c r="AT40" s="188"/>
      <c r="AU40" s="188"/>
      <c r="AV40" s="185"/>
      <c r="AW40" s="182"/>
      <c r="AX40" s="558"/>
    </row>
    <row r="41" spans="2:50" ht="14.25" customHeight="1">
      <c r="B41" s="530"/>
      <c r="C41" s="180">
        <v>15</v>
      </c>
      <c r="D41" s="183"/>
      <c r="E41" s="180"/>
      <c r="F41" s="180"/>
      <c r="G41" s="185"/>
      <c r="H41" s="558"/>
      <c r="I41" s="186"/>
      <c r="J41" s="186"/>
      <c r="K41" s="187"/>
      <c r="L41" s="559"/>
      <c r="M41" s="186"/>
      <c r="N41" s="530"/>
      <c r="O41" s="530"/>
      <c r="P41" s="188"/>
      <c r="Q41" s="188"/>
      <c r="R41" s="185"/>
      <c r="S41" s="182"/>
      <c r="T41" s="558"/>
      <c r="U41" s="188"/>
      <c r="V41" s="188"/>
      <c r="W41" s="185"/>
      <c r="X41" s="182"/>
      <c r="Y41" s="558"/>
      <c r="Z41" s="188"/>
      <c r="AA41" s="188"/>
      <c r="AB41" s="185"/>
      <c r="AC41" s="182"/>
      <c r="AD41" s="558"/>
      <c r="AE41" s="188"/>
      <c r="AF41" s="188"/>
      <c r="AG41" s="185"/>
      <c r="AH41" s="182"/>
      <c r="AI41" s="558"/>
      <c r="AJ41" s="188"/>
      <c r="AK41" s="188"/>
      <c r="AL41" s="185"/>
      <c r="AM41" s="182"/>
      <c r="AN41" s="558"/>
      <c r="AO41" s="188"/>
      <c r="AP41" s="188"/>
      <c r="AQ41" s="185"/>
      <c r="AR41" s="182"/>
      <c r="AS41" s="558"/>
      <c r="AT41" s="188"/>
      <c r="AU41" s="188"/>
      <c r="AV41" s="185"/>
      <c r="AW41" s="182"/>
      <c r="AX41" s="558"/>
    </row>
    <row r="42" spans="2:50" ht="14.25" customHeight="1" collapsed="1">
      <c r="B42" s="544" t="s">
        <v>174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60" t="s">
        <v>127</v>
      </c>
      <c r="O42" s="560" t="s">
        <v>77</v>
      </c>
      <c r="P42" s="596">
        <f>AT22+1</f>
        <v>46063</v>
      </c>
      <c r="Q42" s="597"/>
      <c r="R42" s="597"/>
      <c r="S42" s="597"/>
      <c r="T42" s="597"/>
      <c r="U42" s="598">
        <f>P42+1</f>
        <v>46064</v>
      </c>
      <c r="V42" s="599"/>
      <c r="W42" s="599"/>
      <c r="X42" s="599"/>
      <c r="Y42" s="599"/>
      <c r="Z42" s="596">
        <f t="shared" ref="Z42" si="54">U42+1</f>
        <v>46065</v>
      </c>
      <c r="AA42" s="597"/>
      <c r="AB42" s="597"/>
      <c r="AC42" s="597"/>
      <c r="AD42" s="597"/>
      <c r="AE42" s="598">
        <f t="shared" ref="AE42" si="55">Z42+1</f>
        <v>46066</v>
      </c>
      <c r="AF42" s="599"/>
      <c r="AG42" s="599"/>
      <c r="AH42" s="599"/>
      <c r="AI42" s="599"/>
      <c r="AJ42" s="588">
        <f t="shared" ref="AJ42" si="56">AE42+1</f>
        <v>46067</v>
      </c>
      <c r="AK42" s="589"/>
      <c r="AL42" s="589"/>
      <c r="AM42" s="589"/>
      <c r="AN42" s="590"/>
      <c r="AO42" s="598">
        <f t="shared" ref="AO42" si="57">AJ42+1</f>
        <v>46068</v>
      </c>
      <c r="AP42" s="599"/>
      <c r="AQ42" s="599"/>
      <c r="AR42" s="599"/>
      <c r="AS42" s="599"/>
      <c r="AT42" s="588">
        <f t="shared" ref="AT42" si="58">AO42+1</f>
        <v>46069</v>
      </c>
      <c r="AU42" s="589"/>
      <c r="AV42" s="589"/>
      <c r="AW42" s="589"/>
      <c r="AX42" s="590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62"/>
      <c r="O43" s="562"/>
      <c r="P43" s="591">
        <f>P42</f>
        <v>46063</v>
      </c>
      <c r="Q43" s="591"/>
      <c r="R43" s="591"/>
      <c r="S43" s="591"/>
      <c r="T43" s="591"/>
      <c r="U43" s="592">
        <f>U42</f>
        <v>46064</v>
      </c>
      <c r="V43" s="592"/>
      <c r="W43" s="592"/>
      <c r="X43" s="592"/>
      <c r="Y43" s="592"/>
      <c r="Z43" s="591">
        <f t="shared" ref="Z43" si="59">Z42</f>
        <v>46065</v>
      </c>
      <c r="AA43" s="591"/>
      <c r="AB43" s="591"/>
      <c r="AC43" s="591"/>
      <c r="AD43" s="591"/>
      <c r="AE43" s="592">
        <f t="shared" ref="AE43" si="60">AE42</f>
        <v>46066</v>
      </c>
      <c r="AF43" s="592"/>
      <c r="AG43" s="592"/>
      <c r="AH43" s="592"/>
      <c r="AI43" s="592"/>
      <c r="AJ43" s="593">
        <f t="shared" ref="AJ43" si="61">AJ42</f>
        <v>46067</v>
      </c>
      <c r="AK43" s="594"/>
      <c r="AL43" s="594"/>
      <c r="AM43" s="594"/>
      <c r="AN43" s="595"/>
      <c r="AO43" s="592">
        <f t="shared" ref="AO43" si="62">AO42</f>
        <v>46068</v>
      </c>
      <c r="AP43" s="592"/>
      <c r="AQ43" s="592"/>
      <c r="AR43" s="592"/>
      <c r="AS43" s="592"/>
      <c r="AT43" s="593">
        <f t="shared" ref="AT43" si="63">AT42</f>
        <v>46069</v>
      </c>
      <c r="AU43" s="594"/>
      <c r="AV43" s="594"/>
      <c r="AW43" s="594"/>
      <c r="AX43" s="595"/>
    </row>
    <row r="44" spans="2:50" ht="14.25" customHeight="1">
      <c r="B44" s="530" t="s">
        <v>128</v>
      </c>
      <c r="C44" s="530" t="s">
        <v>129</v>
      </c>
      <c r="D44" s="530"/>
      <c r="E44" s="530" t="s">
        <v>130</v>
      </c>
      <c r="F44" s="530"/>
      <c r="G44" s="530"/>
      <c r="H44" s="530" t="s">
        <v>131</v>
      </c>
      <c r="I44" s="553" t="s">
        <v>132</v>
      </c>
      <c r="J44" s="553"/>
      <c r="K44" s="553"/>
      <c r="L44" s="553" t="s">
        <v>131</v>
      </c>
      <c r="M44" s="553" t="s">
        <v>133</v>
      </c>
      <c r="N44" s="530"/>
      <c r="O44" s="530" t="s">
        <v>134</v>
      </c>
      <c r="P44" s="530" t="s">
        <v>135</v>
      </c>
      <c r="Q44" s="530"/>
      <c r="R44" s="530"/>
      <c r="S44" s="530"/>
      <c r="T44" s="530" t="s">
        <v>131</v>
      </c>
      <c r="U44" s="530" t="s">
        <v>135</v>
      </c>
      <c r="V44" s="530"/>
      <c r="W44" s="530"/>
      <c r="X44" s="530"/>
      <c r="Y44" s="530" t="s">
        <v>131</v>
      </c>
      <c r="Z44" s="530" t="s">
        <v>135</v>
      </c>
      <c r="AA44" s="530"/>
      <c r="AB44" s="530"/>
      <c r="AC44" s="530"/>
      <c r="AD44" s="530" t="s">
        <v>131</v>
      </c>
      <c r="AE44" s="530" t="s">
        <v>135</v>
      </c>
      <c r="AF44" s="530"/>
      <c r="AG44" s="530"/>
      <c r="AH44" s="530"/>
      <c r="AI44" s="530" t="s">
        <v>131</v>
      </c>
      <c r="AJ44" s="530" t="s">
        <v>135</v>
      </c>
      <c r="AK44" s="530"/>
      <c r="AL44" s="530"/>
      <c r="AM44" s="530"/>
      <c r="AN44" s="530" t="s">
        <v>131</v>
      </c>
      <c r="AO44" s="530" t="s">
        <v>135</v>
      </c>
      <c r="AP44" s="530"/>
      <c r="AQ44" s="530"/>
      <c r="AR44" s="530"/>
      <c r="AS44" s="530" t="s">
        <v>131</v>
      </c>
      <c r="AT44" s="530" t="s">
        <v>135</v>
      </c>
      <c r="AU44" s="530"/>
      <c r="AV44" s="530"/>
      <c r="AW44" s="530"/>
      <c r="AX44" s="530" t="s">
        <v>131</v>
      </c>
    </row>
    <row r="45" spans="2:50" ht="14.25" customHeight="1">
      <c r="B45" s="530"/>
      <c r="C45" s="530"/>
      <c r="D45" s="530"/>
      <c r="E45" s="530" t="s">
        <v>136</v>
      </c>
      <c r="F45" s="530"/>
      <c r="G45" s="530"/>
      <c r="H45" s="530"/>
      <c r="I45" s="553" t="s">
        <v>136</v>
      </c>
      <c r="J45" s="553"/>
      <c r="K45" s="553"/>
      <c r="L45" s="553"/>
      <c r="M45" s="553"/>
      <c r="N45" s="530"/>
      <c r="O45" s="530"/>
      <c r="P45" s="530" t="s">
        <v>137</v>
      </c>
      <c r="Q45" s="530"/>
      <c r="R45" s="530"/>
      <c r="S45" s="530"/>
      <c r="T45" s="530"/>
      <c r="U45" s="530" t="s">
        <v>137</v>
      </c>
      <c r="V45" s="530"/>
      <c r="W45" s="530"/>
      <c r="X45" s="530"/>
      <c r="Y45" s="530"/>
      <c r="Z45" s="530" t="s">
        <v>137</v>
      </c>
      <c r="AA45" s="530"/>
      <c r="AB45" s="530"/>
      <c r="AC45" s="530"/>
      <c r="AD45" s="530"/>
      <c r="AE45" s="530" t="s">
        <v>137</v>
      </c>
      <c r="AF45" s="530"/>
      <c r="AG45" s="530"/>
      <c r="AH45" s="530"/>
      <c r="AI45" s="530"/>
      <c r="AJ45" s="530" t="s">
        <v>137</v>
      </c>
      <c r="AK45" s="530"/>
      <c r="AL45" s="530"/>
      <c r="AM45" s="530"/>
      <c r="AN45" s="530"/>
      <c r="AO45" s="530" t="s">
        <v>137</v>
      </c>
      <c r="AP45" s="530"/>
      <c r="AQ45" s="530"/>
      <c r="AR45" s="530"/>
      <c r="AS45" s="530"/>
      <c r="AT45" s="530" t="s">
        <v>137</v>
      </c>
      <c r="AU45" s="530"/>
      <c r="AV45" s="530"/>
      <c r="AW45" s="530"/>
      <c r="AX45" s="530"/>
    </row>
    <row r="46" spans="2:50" ht="14.25" customHeight="1">
      <c r="B46" s="530"/>
      <c r="C46" s="530"/>
      <c r="D46" s="530"/>
      <c r="E46" s="180" t="s">
        <v>138</v>
      </c>
      <c r="F46" s="180" t="s">
        <v>139</v>
      </c>
      <c r="G46" s="180" t="s">
        <v>140</v>
      </c>
      <c r="H46" s="530"/>
      <c r="I46" s="181" t="s">
        <v>138</v>
      </c>
      <c r="J46" s="181" t="s">
        <v>139</v>
      </c>
      <c r="K46" s="181" t="s">
        <v>140</v>
      </c>
      <c r="L46" s="553"/>
      <c r="M46" s="553"/>
      <c r="N46" s="530"/>
      <c r="O46" s="530"/>
      <c r="P46" s="180" t="s">
        <v>138</v>
      </c>
      <c r="Q46" s="180" t="s">
        <v>139</v>
      </c>
      <c r="R46" s="180" t="s">
        <v>140</v>
      </c>
      <c r="S46" s="182" t="s">
        <v>133</v>
      </c>
      <c r="T46" s="530"/>
      <c r="U46" s="180" t="s">
        <v>138</v>
      </c>
      <c r="V46" s="180" t="s">
        <v>139</v>
      </c>
      <c r="W46" s="180" t="s">
        <v>140</v>
      </c>
      <c r="X46" s="182" t="s">
        <v>133</v>
      </c>
      <c r="Y46" s="530"/>
      <c r="Z46" s="180" t="s">
        <v>138</v>
      </c>
      <c r="AA46" s="180" t="s">
        <v>139</v>
      </c>
      <c r="AB46" s="180" t="s">
        <v>140</v>
      </c>
      <c r="AC46" s="182" t="s">
        <v>133</v>
      </c>
      <c r="AD46" s="530"/>
      <c r="AE46" s="180" t="s">
        <v>138</v>
      </c>
      <c r="AF46" s="180" t="s">
        <v>139</v>
      </c>
      <c r="AG46" s="180" t="s">
        <v>140</v>
      </c>
      <c r="AH46" s="182" t="s">
        <v>133</v>
      </c>
      <c r="AI46" s="530"/>
      <c r="AJ46" s="180" t="s">
        <v>138</v>
      </c>
      <c r="AK46" s="180" t="s">
        <v>139</v>
      </c>
      <c r="AL46" s="180" t="s">
        <v>140</v>
      </c>
      <c r="AM46" s="182" t="s">
        <v>133</v>
      </c>
      <c r="AN46" s="530"/>
      <c r="AO46" s="180" t="s">
        <v>138</v>
      </c>
      <c r="AP46" s="180" t="s">
        <v>139</v>
      </c>
      <c r="AQ46" s="180" t="s">
        <v>140</v>
      </c>
      <c r="AR46" s="182" t="s">
        <v>133</v>
      </c>
      <c r="AS46" s="530"/>
      <c r="AT46" s="180" t="s">
        <v>138</v>
      </c>
      <c r="AU46" s="180" t="s">
        <v>139</v>
      </c>
      <c r="AV46" s="180" t="s">
        <v>140</v>
      </c>
      <c r="AW46" s="182" t="s">
        <v>133</v>
      </c>
      <c r="AX46" s="530"/>
    </row>
    <row r="47" spans="2:50" ht="14.25" customHeight="1">
      <c r="B47" s="530" t="s">
        <v>115</v>
      </c>
      <c r="C47" s="180">
        <v>1</v>
      </c>
      <c r="D47" s="183" t="s">
        <v>225</v>
      </c>
      <c r="E47" s="180">
        <v>13</v>
      </c>
      <c r="F47" s="180">
        <v>1200</v>
      </c>
      <c r="G47" s="185">
        <f t="shared" ref="G47:G48" si="64">F47/E47</f>
        <v>92.307692307692307</v>
      </c>
      <c r="H47" s="558">
        <f>AVERAGE(G47:G61)</f>
        <v>87.062937062937067</v>
      </c>
      <c r="I47" s="186">
        <f>AVERAGE(P47,U47,Z47,AE47,AJ47,AO47,AT47)</f>
        <v>13</v>
      </c>
      <c r="J47" s="186">
        <f>AVERAGE(Q47,V47,AA47,AF47,AK47,AP47,AU47)</f>
        <v>1079.5109064071016</v>
      </c>
      <c r="K47" s="187">
        <f>AVERAGE(R47,W47,AB47,AG47,AL47,AQ47,AV47)</f>
        <v>83.039300492853954</v>
      </c>
      <c r="L47" s="559">
        <f>IFERROR(AVERAGE(K47:K61),"-")</f>
        <v>78.003062221832749</v>
      </c>
      <c r="M47" s="186">
        <f>RANK(K47, K$47:$K$61)</f>
        <v>1</v>
      </c>
      <c r="N47" s="530"/>
      <c r="O47" s="530"/>
      <c r="P47" s="188">
        <v>13</v>
      </c>
      <c r="Q47" s="188">
        <v>1079.5102040816323</v>
      </c>
      <c r="R47" s="185">
        <f>IFERROR(Q47/P47,"")</f>
        <v>83.039246467817875</v>
      </c>
      <c r="S47" s="182">
        <f>RANK(R47, R$47:R$61)</f>
        <v>1</v>
      </c>
      <c r="T47" s="558">
        <f>AVERAGE(R47:R61)</f>
        <v>77.991519538441224</v>
      </c>
      <c r="U47" s="188">
        <v>13</v>
      </c>
      <c r="V47" s="188">
        <v>1079.5248570171577</v>
      </c>
      <c r="W47" s="185">
        <f t="shared" ref="W47:W48" si="65">IFERROR(V47/U47,"")</f>
        <v>83.040373616704443</v>
      </c>
      <c r="X47" s="182">
        <f>RANK(W47, W$47:W$61)</f>
        <v>1</v>
      </c>
      <c r="Y47" s="558">
        <f>AVERAGE(W47:W61)</f>
        <v>77.996239229734925</v>
      </c>
      <c r="Z47" s="188">
        <v>13</v>
      </c>
      <c r="AA47" s="188">
        <v>1079.525274725275</v>
      </c>
      <c r="AB47" s="185">
        <f t="shared" ref="AB47:AB48" si="66">IFERROR(AA47/Z47,"")</f>
        <v>83.040405748098081</v>
      </c>
      <c r="AC47" s="182">
        <f>RANK(AB47, AB$47:AB$61)</f>
        <v>1</v>
      </c>
      <c r="AD47" s="558">
        <f>AVERAGE(AB47:AB61)</f>
        <v>78.00179854172552</v>
      </c>
      <c r="AE47" s="188">
        <v>13</v>
      </c>
      <c r="AF47" s="188">
        <v>1079.532669839896</v>
      </c>
      <c r="AG47" s="185">
        <f>IFERROR(AF47/AE47,"")</f>
        <v>83.040974603068918</v>
      </c>
      <c r="AH47" s="182">
        <f>RANK(AG47, AG$47:AG$61)</f>
        <v>1</v>
      </c>
      <c r="AI47" s="558">
        <f>AVERAGE(AG47:AG61)</f>
        <v>78.001346110184215</v>
      </c>
      <c r="AJ47" s="188">
        <v>13</v>
      </c>
      <c r="AK47" s="188">
        <v>1079.4729136163983</v>
      </c>
      <c r="AL47" s="185">
        <f t="shared" ref="AL47:AL48" si="67">IFERROR(AK47/AJ47,"")</f>
        <v>83.036377970492168</v>
      </c>
      <c r="AM47" s="182">
        <f>RANK(AL47, AL$47:AL$61)</f>
        <v>1</v>
      </c>
      <c r="AN47" s="558">
        <f>AVERAGE(AL47:AL61)</f>
        <v>78.003106281971498</v>
      </c>
      <c r="AO47" s="188">
        <v>13</v>
      </c>
      <c r="AP47" s="188">
        <v>1079.4772507260407</v>
      </c>
      <c r="AQ47" s="185">
        <f t="shared" ref="AQ47:AQ48" si="68">IFERROR(AP47/AO47,"")</f>
        <v>83.036711594310816</v>
      </c>
      <c r="AR47" s="182">
        <f>RANK(AQ47, AQ$47:AQ$61)</f>
        <v>1</v>
      </c>
      <c r="AS47" s="558">
        <f>AVERAGE(AQ47:AQ61)</f>
        <v>78.007905029086913</v>
      </c>
      <c r="AT47" s="188">
        <v>13</v>
      </c>
      <c r="AU47" s="188">
        <v>1079.5331748433109</v>
      </c>
      <c r="AV47" s="185">
        <f t="shared" ref="AV47:AV48" si="69">IFERROR(AU47/AT47,"")</f>
        <v>83.041013449485462</v>
      </c>
      <c r="AW47" s="182">
        <f>RANK(AV47, AV$47:AV$61)</f>
        <v>1</v>
      </c>
      <c r="AX47" s="558">
        <f>AVERAGE(AV47:AV61)</f>
        <v>78.019520821684935</v>
      </c>
    </row>
    <row r="48" spans="2:50" ht="14.25" customHeight="1">
      <c r="B48" s="530"/>
      <c r="C48" s="180">
        <v>2</v>
      </c>
      <c r="D48" s="183" t="s">
        <v>226</v>
      </c>
      <c r="E48" s="180">
        <v>22</v>
      </c>
      <c r="F48" s="180">
        <v>1800</v>
      </c>
      <c r="G48" s="185">
        <f t="shared" si="64"/>
        <v>81.818181818181813</v>
      </c>
      <c r="H48" s="558"/>
      <c r="I48" s="186">
        <f t="shared" ref="I48:K48" si="70">AVERAGE(P48,U48,Z48,AE48,AJ48,AO48,AT48)</f>
        <v>22</v>
      </c>
      <c r="J48" s="186">
        <f t="shared" si="70"/>
        <v>1605.2701269178538</v>
      </c>
      <c r="K48" s="187">
        <f t="shared" si="70"/>
        <v>72.966823950811531</v>
      </c>
      <c r="L48" s="559"/>
      <c r="M48" s="186">
        <f>RANK(K48, K$47:$K$61)</f>
        <v>2</v>
      </c>
      <c r="N48" s="530"/>
      <c r="O48" s="530"/>
      <c r="P48" s="188">
        <v>22</v>
      </c>
      <c r="Q48" s="188">
        <v>1604.7634373994208</v>
      </c>
      <c r="R48" s="185">
        <f t="shared" ref="R48" si="71">IFERROR(Q48/P48,"")</f>
        <v>72.943792609064587</v>
      </c>
      <c r="S48" s="182">
        <f>RANK(R48, R$47:R$61)</f>
        <v>2</v>
      </c>
      <c r="T48" s="558"/>
      <c r="U48" s="188">
        <v>22</v>
      </c>
      <c r="V48" s="188">
        <v>1604.9463065408386</v>
      </c>
      <c r="W48" s="185">
        <f t="shared" si="65"/>
        <v>72.952104842765394</v>
      </c>
      <c r="X48" s="182">
        <f>RANK(W48, W$47:W$61)</f>
        <v>2</v>
      </c>
      <c r="Y48" s="558"/>
      <c r="Z48" s="188">
        <v>22</v>
      </c>
      <c r="AA48" s="188">
        <v>1605.1902093777651</v>
      </c>
      <c r="AB48" s="185">
        <f t="shared" si="66"/>
        <v>72.96319133535296</v>
      </c>
      <c r="AC48" s="182">
        <f>RANK(AB48, AB$47:AB$61)</f>
        <v>2</v>
      </c>
      <c r="AD48" s="558"/>
      <c r="AE48" s="188">
        <v>22</v>
      </c>
      <c r="AF48" s="188">
        <v>1605.1577875805895</v>
      </c>
      <c r="AG48" s="185">
        <f t="shared" ref="AG48" si="72">IFERROR(AF48/AE48,"")</f>
        <v>72.961717617299527</v>
      </c>
      <c r="AH48" s="182">
        <f>RANK(AG48, AG$47:AG$61)</f>
        <v>2</v>
      </c>
      <c r="AI48" s="558"/>
      <c r="AJ48" s="188">
        <v>22</v>
      </c>
      <c r="AK48" s="188">
        <v>1605.3363610559179</v>
      </c>
      <c r="AL48" s="185">
        <f t="shared" si="67"/>
        <v>72.969834593450813</v>
      </c>
      <c r="AM48" s="182">
        <f>RANK(AL48, AL$47:AL$61)</f>
        <v>2</v>
      </c>
      <c r="AN48" s="558"/>
      <c r="AO48" s="188">
        <v>22</v>
      </c>
      <c r="AP48" s="188">
        <v>1605.5401662049865</v>
      </c>
      <c r="AQ48" s="185">
        <f t="shared" si="68"/>
        <v>72.979098463863025</v>
      </c>
      <c r="AR48" s="182">
        <f>RANK(AQ48, AQ$47:AQ$61)</f>
        <v>2</v>
      </c>
      <c r="AS48" s="558"/>
      <c r="AT48" s="188">
        <v>22</v>
      </c>
      <c r="AU48" s="188">
        <v>1605.9566202654571</v>
      </c>
      <c r="AV48" s="185">
        <f t="shared" si="69"/>
        <v>72.998028193884409</v>
      </c>
      <c r="AW48" s="182">
        <f>RANK(AV48, AV$47:AV$61)</f>
        <v>2</v>
      </c>
      <c r="AX48" s="558"/>
    </row>
    <row r="49" spans="2:50" ht="14.25" customHeight="1">
      <c r="B49" s="530"/>
      <c r="C49" s="180">
        <v>3</v>
      </c>
      <c r="D49" s="183"/>
      <c r="E49" s="180"/>
      <c r="F49" s="180"/>
      <c r="G49" s="185"/>
      <c r="H49" s="558"/>
      <c r="I49" s="186"/>
      <c r="J49" s="186"/>
      <c r="K49" s="187"/>
      <c r="L49" s="559"/>
      <c r="M49" s="186"/>
      <c r="N49" s="530"/>
      <c r="O49" s="530"/>
      <c r="P49" s="188"/>
      <c r="Q49" s="188"/>
      <c r="R49" s="185"/>
      <c r="S49" s="182"/>
      <c r="T49" s="558"/>
      <c r="U49" s="188"/>
      <c r="V49" s="188"/>
      <c r="W49" s="185"/>
      <c r="X49" s="182"/>
      <c r="Y49" s="558"/>
      <c r="Z49" s="188"/>
      <c r="AA49" s="188"/>
      <c r="AB49" s="185"/>
      <c r="AC49" s="182"/>
      <c r="AD49" s="558"/>
      <c r="AE49" s="188"/>
      <c r="AF49" s="188"/>
      <c r="AG49" s="185"/>
      <c r="AH49" s="182"/>
      <c r="AI49" s="558"/>
      <c r="AJ49" s="188"/>
      <c r="AK49" s="188"/>
      <c r="AL49" s="185"/>
      <c r="AM49" s="182"/>
      <c r="AN49" s="558"/>
      <c r="AO49" s="188"/>
      <c r="AP49" s="188"/>
      <c r="AQ49" s="185"/>
      <c r="AR49" s="182"/>
      <c r="AS49" s="558"/>
      <c r="AT49" s="188"/>
      <c r="AU49" s="188"/>
      <c r="AV49" s="185"/>
      <c r="AW49" s="182"/>
      <c r="AX49" s="558"/>
    </row>
    <row r="50" spans="2:50" ht="14.25" customHeight="1">
      <c r="B50" s="530"/>
      <c r="C50" s="180">
        <v>4</v>
      </c>
      <c r="D50" s="183"/>
      <c r="E50" s="180"/>
      <c r="F50" s="180"/>
      <c r="G50" s="185"/>
      <c r="H50" s="558"/>
      <c r="I50" s="186"/>
      <c r="J50" s="186"/>
      <c r="K50" s="187"/>
      <c r="L50" s="559"/>
      <c r="M50" s="186"/>
      <c r="N50" s="530"/>
      <c r="O50" s="530"/>
      <c r="P50" s="188"/>
      <c r="Q50" s="188"/>
      <c r="R50" s="185"/>
      <c r="S50" s="182"/>
      <c r="T50" s="558"/>
      <c r="U50" s="188"/>
      <c r="V50" s="188"/>
      <c r="W50" s="185"/>
      <c r="X50" s="182"/>
      <c r="Y50" s="558"/>
      <c r="Z50" s="188"/>
      <c r="AA50" s="188"/>
      <c r="AB50" s="185"/>
      <c r="AC50" s="182"/>
      <c r="AD50" s="558"/>
      <c r="AE50" s="188"/>
      <c r="AF50" s="188"/>
      <c r="AG50" s="185"/>
      <c r="AH50" s="182"/>
      <c r="AI50" s="558"/>
      <c r="AJ50" s="188"/>
      <c r="AK50" s="188"/>
      <c r="AL50" s="185"/>
      <c r="AM50" s="182"/>
      <c r="AN50" s="558"/>
      <c r="AO50" s="188"/>
      <c r="AP50" s="188"/>
      <c r="AQ50" s="185"/>
      <c r="AR50" s="182"/>
      <c r="AS50" s="558"/>
      <c r="AT50" s="188"/>
      <c r="AU50" s="188"/>
      <c r="AV50" s="185"/>
      <c r="AW50" s="182"/>
      <c r="AX50" s="558"/>
    </row>
    <row r="51" spans="2:50" ht="14.25" customHeight="1">
      <c r="B51" s="530"/>
      <c r="C51" s="180">
        <v>5</v>
      </c>
      <c r="D51" s="183"/>
      <c r="E51" s="180"/>
      <c r="F51" s="180"/>
      <c r="G51" s="185"/>
      <c r="H51" s="558"/>
      <c r="I51" s="186"/>
      <c r="J51" s="186"/>
      <c r="K51" s="187"/>
      <c r="L51" s="559"/>
      <c r="M51" s="186"/>
      <c r="N51" s="530"/>
      <c r="O51" s="530"/>
      <c r="P51" s="188"/>
      <c r="Q51" s="188"/>
      <c r="R51" s="185"/>
      <c r="S51" s="182"/>
      <c r="T51" s="558"/>
      <c r="U51" s="188"/>
      <c r="V51" s="188"/>
      <c r="W51" s="185"/>
      <c r="X51" s="182"/>
      <c r="Y51" s="558"/>
      <c r="Z51" s="188"/>
      <c r="AA51" s="188"/>
      <c r="AB51" s="185"/>
      <c r="AC51" s="182"/>
      <c r="AD51" s="558"/>
      <c r="AE51" s="188"/>
      <c r="AF51" s="188"/>
      <c r="AG51" s="185"/>
      <c r="AH51" s="182"/>
      <c r="AI51" s="558"/>
      <c r="AJ51" s="188"/>
      <c r="AK51" s="188"/>
      <c r="AL51" s="185"/>
      <c r="AM51" s="182"/>
      <c r="AN51" s="558"/>
      <c r="AO51" s="188"/>
      <c r="AP51" s="188"/>
      <c r="AQ51" s="185"/>
      <c r="AR51" s="182"/>
      <c r="AS51" s="558"/>
      <c r="AT51" s="188"/>
      <c r="AU51" s="188"/>
      <c r="AV51" s="185"/>
      <c r="AW51" s="182"/>
      <c r="AX51" s="558"/>
    </row>
    <row r="52" spans="2:50" ht="14.25" customHeight="1">
      <c r="B52" s="530"/>
      <c r="C52" s="180">
        <v>6</v>
      </c>
      <c r="D52" s="183"/>
      <c r="E52" s="180"/>
      <c r="F52" s="180"/>
      <c r="G52" s="185"/>
      <c r="H52" s="558"/>
      <c r="I52" s="186"/>
      <c r="J52" s="186"/>
      <c r="K52" s="187"/>
      <c r="L52" s="559"/>
      <c r="M52" s="186"/>
      <c r="N52" s="530"/>
      <c r="O52" s="530"/>
      <c r="P52" s="188"/>
      <c r="Q52" s="188"/>
      <c r="R52" s="185"/>
      <c r="S52" s="182"/>
      <c r="T52" s="558"/>
      <c r="U52" s="188"/>
      <c r="V52" s="188"/>
      <c r="W52" s="185"/>
      <c r="X52" s="182"/>
      <c r="Y52" s="558"/>
      <c r="Z52" s="188"/>
      <c r="AA52" s="188"/>
      <c r="AB52" s="185"/>
      <c r="AC52" s="182"/>
      <c r="AD52" s="558"/>
      <c r="AE52" s="188"/>
      <c r="AF52" s="188"/>
      <c r="AG52" s="185"/>
      <c r="AH52" s="182"/>
      <c r="AI52" s="558"/>
      <c r="AJ52" s="188"/>
      <c r="AK52" s="188"/>
      <c r="AL52" s="185"/>
      <c r="AM52" s="182"/>
      <c r="AN52" s="558"/>
      <c r="AO52" s="188"/>
      <c r="AP52" s="188"/>
      <c r="AQ52" s="185"/>
      <c r="AR52" s="182"/>
      <c r="AS52" s="558"/>
      <c r="AT52" s="188"/>
      <c r="AU52" s="188"/>
      <c r="AV52" s="185"/>
      <c r="AW52" s="182"/>
      <c r="AX52" s="558"/>
    </row>
    <row r="53" spans="2:50" ht="14.25" customHeight="1">
      <c r="B53" s="530"/>
      <c r="C53" s="180">
        <v>7</v>
      </c>
      <c r="D53" s="183"/>
      <c r="E53" s="180"/>
      <c r="F53" s="180"/>
      <c r="G53" s="185"/>
      <c r="H53" s="558"/>
      <c r="I53" s="186"/>
      <c r="J53" s="186"/>
      <c r="K53" s="187"/>
      <c r="L53" s="559"/>
      <c r="M53" s="186"/>
      <c r="N53" s="530"/>
      <c r="O53" s="530"/>
      <c r="P53" s="188"/>
      <c r="Q53" s="188"/>
      <c r="R53" s="185"/>
      <c r="S53" s="182"/>
      <c r="T53" s="558"/>
      <c r="U53" s="188"/>
      <c r="V53" s="188"/>
      <c r="W53" s="185"/>
      <c r="X53" s="182"/>
      <c r="Y53" s="558"/>
      <c r="Z53" s="188"/>
      <c r="AA53" s="188"/>
      <c r="AB53" s="185"/>
      <c r="AC53" s="182"/>
      <c r="AD53" s="558"/>
      <c r="AE53" s="188"/>
      <c r="AF53" s="188"/>
      <c r="AG53" s="185"/>
      <c r="AH53" s="182"/>
      <c r="AI53" s="558"/>
      <c r="AJ53" s="188"/>
      <c r="AK53" s="188"/>
      <c r="AL53" s="185"/>
      <c r="AM53" s="182"/>
      <c r="AN53" s="558"/>
      <c r="AO53" s="188"/>
      <c r="AP53" s="188"/>
      <c r="AQ53" s="185"/>
      <c r="AR53" s="182"/>
      <c r="AS53" s="558"/>
      <c r="AT53" s="188"/>
      <c r="AU53" s="188"/>
      <c r="AV53" s="185"/>
      <c r="AW53" s="182"/>
      <c r="AX53" s="558"/>
    </row>
    <row r="54" spans="2:50" ht="14.25" customHeight="1">
      <c r="B54" s="530"/>
      <c r="C54" s="180">
        <v>8</v>
      </c>
      <c r="D54" s="183"/>
      <c r="E54" s="180"/>
      <c r="F54" s="180"/>
      <c r="G54" s="185"/>
      <c r="H54" s="558"/>
      <c r="I54" s="186"/>
      <c r="J54" s="186"/>
      <c r="K54" s="187"/>
      <c r="L54" s="559"/>
      <c r="M54" s="186"/>
      <c r="N54" s="530"/>
      <c r="O54" s="530"/>
      <c r="P54" s="188"/>
      <c r="Q54" s="188"/>
      <c r="R54" s="185"/>
      <c r="S54" s="182"/>
      <c r="T54" s="558"/>
      <c r="U54" s="188"/>
      <c r="V54" s="188"/>
      <c r="W54" s="185"/>
      <c r="X54" s="182"/>
      <c r="Y54" s="558"/>
      <c r="Z54" s="188"/>
      <c r="AA54" s="188"/>
      <c r="AB54" s="185"/>
      <c r="AC54" s="182"/>
      <c r="AD54" s="558"/>
      <c r="AE54" s="188"/>
      <c r="AF54" s="188"/>
      <c r="AG54" s="185"/>
      <c r="AH54" s="182"/>
      <c r="AI54" s="558"/>
      <c r="AJ54" s="188"/>
      <c r="AK54" s="188"/>
      <c r="AL54" s="185"/>
      <c r="AM54" s="182"/>
      <c r="AN54" s="558"/>
      <c r="AO54" s="188"/>
      <c r="AP54" s="188"/>
      <c r="AQ54" s="185"/>
      <c r="AR54" s="182"/>
      <c r="AS54" s="558"/>
      <c r="AT54" s="188"/>
      <c r="AU54" s="188"/>
      <c r="AV54" s="185"/>
      <c r="AW54" s="182"/>
      <c r="AX54" s="558"/>
    </row>
    <row r="55" spans="2:50" ht="14.25" customHeight="1">
      <c r="B55" s="530"/>
      <c r="C55" s="180">
        <v>9</v>
      </c>
      <c r="D55" s="183"/>
      <c r="E55" s="180"/>
      <c r="F55" s="180"/>
      <c r="G55" s="185"/>
      <c r="H55" s="558"/>
      <c r="I55" s="186"/>
      <c r="J55" s="186"/>
      <c r="K55" s="187"/>
      <c r="L55" s="559"/>
      <c r="M55" s="186"/>
      <c r="N55" s="530"/>
      <c r="O55" s="530"/>
      <c r="P55" s="188"/>
      <c r="Q55" s="188"/>
      <c r="R55" s="185"/>
      <c r="S55" s="182"/>
      <c r="T55" s="558"/>
      <c r="U55" s="188"/>
      <c r="V55" s="188"/>
      <c r="W55" s="185"/>
      <c r="X55" s="182"/>
      <c r="Y55" s="558"/>
      <c r="Z55" s="188"/>
      <c r="AA55" s="188"/>
      <c r="AB55" s="185"/>
      <c r="AC55" s="182"/>
      <c r="AD55" s="558"/>
      <c r="AE55" s="188"/>
      <c r="AF55" s="188"/>
      <c r="AG55" s="185"/>
      <c r="AH55" s="182"/>
      <c r="AI55" s="558"/>
      <c r="AJ55" s="188"/>
      <c r="AK55" s="188"/>
      <c r="AL55" s="185"/>
      <c r="AM55" s="182"/>
      <c r="AN55" s="558"/>
      <c r="AO55" s="188"/>
      <c r="AP55" s="188"/>
      <c r="AQ55" s="185"/>
      <c r="AR55" s="182"/>
      <c r="AS55" s="558"/>
      <c r="AT55" s="188"/>
      <c r="AU55" s="188"/>
      <c r="AV55" s="185"/>
      <c r="AW55" s="182"/>
      <c r="AX55" s="558"/>
    </row>
    <row r="56" spans="2:50" ht="14.25" customHeight="1">
      <c r="B56" s="530"/>
      <c r="C56" s="180">
        <v>10</v>
      </c>
      <c r="D56" s="183"/>
      <c r="E56" s="180"/>
      <c r="F56" s="180"/>
      <c r="G56" s="185"/>
      <c r="H56" s="558"/>
      <c r="I56" s="186"/>
      <c r="J56" s="186"/>
      <c r="K56" s="187"/>
      <c r="L56" s="559"/>
      <c r="M56" s="186"/>
      <c r="N56" s="530"/>
      <c r="O56" s="530"/>
      <c r="P56" s="188"/>
      <c r="Q56" s="188"/>
      <c r="R56" s="185"/>
      <c r="S56" s="182"/>
      <c r="T56" s="558"/>
      <c r="U56" s="188"/>
      <c r="V56" s="188"/>
      <c r="W56" s="185"/>
      <c r="X56" s="182"/>
      <c r="Y56" s="558"/>
      <c r="Z56" s="188"/>
      <c r="AA56" s="188"/>
      <c r="AB56" s="185"/>
      <c r="AC56" s="182"/>
      <c r="AD56" s="558"/>
      <c r="AE56" s="188"/>
      <c r="AF56" s="188"/>
      <c r="AG56" s="185"/>
      <c r="AH56" s="182"/>
      <c r="AI56" s="558"/>
      <c r="AJ56" s="188"/>
      <c r="AK56" s="188"/>
      <c r="AL56" s="185"/>
      <c r="AM56" s="182"/>
      <c r="AN56" s="558"/>
      <c r="AO56" s="188"/>
      <c r="AP56" s="188"/>
      <c r="AQ56" s="185"/>
      <c r="AR56" s="182"/>
      <c r="AS56" s="558"/>
      <c r="AT56" s="188"/>
      <c r="AU56" s="188"/>
      <c r="AV56" s="185"/>
      <c r="AW56" s="182"/>
      <c r="AX56" s="558"/>
    </row>
    <row r="57" spans="2:50" ht="14.25" customHeight="1">
      <c r="B57" s="530"/>
      <c r="C57" s="180">
        <v>11</v>
      </c>
      <c r="D57" s="183"/>
      <c r="E57" s="180"/>
      <c r="F57" s="180"/>
      <c r="G57" s="185"/>
      <c r="H57" s="558"/>
      <c r="I57" s="186"/>
      <c r="J57" s="186"/>
      <c r="K57" s="187"/>
      <c r="L57" s="559"/>
      <c r="M57" s="186"/>
      <c r="N57" s="530"/>
      <c r="O57" s="530"/>
      <c r="P57" s="188"/>
      <c r="Q57" s="188"/>
      <c r="R57" s="185"/>
      <c r="S57" s="182"/>
      <c r="T57" s="558"/>
      <c r="U57" s="188"/>
      <c r="V57" s="188"/>
      <c r="W57" s="185"/>
      <c r="X57" s="182"/>
      <c r="Y57" s="558"/>
      <c r="Z57" s="188"/>
      <c r="AA57" s="188"/>
      <c r="AB57" s="185"/>
      <c r="AC57" s="182"/>
      <c r="AD57" s="558"/>
      <c r="AE57" s="188"/>
      <c r="AF57" s="188"/>
      <c r="AG57" s="185"/>
      <c r="AH57" s="182"/>
      <c r="AI57" s="558"/>
      <c r="AJ57" s="188"/>
      <c r="AK57" s="188"/>
      <c r="AL57" s="185"/>
      <c r="AM57" s="182"/>
      <c r="AN57" s="558"/>
      <c r="AO57" s="188"/>
      <c r="AP57" s="188"/>
      <c r="AQ57" s="185"/>
      <c r="AR57" s="182"/>
      <c r="AS57" s="558"/>
      <c r="AT57" s="188"/>
      <c r="AU57" s="188"/>
      <c r="AV57" s="185"/>
      <c r="AW57" s="182"/>
      <c r="AX57" s="558"/>
    </row>
    <row r="58" spans="2:50" ht="14.25" customHeight="1">
      <c r="B58" s="530"/>
      <c r="C58" s="180">
        <v>12</v>
      </c>
      <c r="D58" s="183"/>
      <c r="E58" s="180"/>
      <c r="F58" s="180"/>
      <c r="G58" s="185"/>
      <c r="H58" s="558"/>
      <c r="I58" s="186"/>
      <c r="J58" s="186"/>
      <c r="K58" s="187"/>
      <c r="L58" s="559"/>
      <c r="M58" s="186"/>
      <c r="N58" s="530"/>
      <c r="O58" s="530"/>
      <c r="P58" s="188"/>
      <c r="Q58" s="188"/>
      <c r="R58" s="185"/>
      <c r="S58" s="182"/>
      <c r="T58" s="558"/>
      <c r="U58" s="188"/>
      <c r="V58" s="188"/>
      <c r="W58" s="185"/>
      <c r="X58" s="182"/>
      <c r="Y58" s="558"/>
      <c r="Z58" s="188"/>
      <c r="AA58" s="188"/>
      <c r="AB58" s="185"/>
      <c r="AC58" s="182"/>
      <c r="AD58" s="558"/>
      <c r="AE58" s="188"/>
      <c r="AF58" s="188"/>
      <c r="AG58" s="185"/>
      <c r="AH58" s="182"/>
      <c r="AI58" s="558"/>
      <c r="AJ58" s="188"/>
      <c r="AK58" s="188"/>
      <c r="AL58" s="185"/>
      <c r="AM58" s="182"/>
      <c r="AN58" s="558"/>
      <c r="AO58" s="188"/>
      <c r="AP58" s="188"/>
      <c r="AQ58" s="185"/>
      <c r="AR58" s="182"/>
      <c r="AS58" s="558"/>
      <c r="AT58" s="188"/>
      <c r="AU58" s="188"/>
      <c r="AV58" s="185"/>
      <c r="AW58" s="182"/>
      <c r="AX58" s="558"/>
    </row>
    <row r="59" spans="2:50" ht="14.25" customHeight="1">
      <c r="B59" s="530"/>
      <c r="C59" s="180">
        <v>13</v>
      </c>
      <c r="D59" s="183"/>
      <c r="E59" s="180"/>
      <c r="F59" s="180"/>
      <c r="G59" s="185"/>
      <c r="H59" s="558"/>
      <c r="I59" s="186"/>
      <c r="J59" s="186"/>
      <c r="K59" s="187"/>
      <c r="L59" s="559"/>
      <c r="M59" s="186"/>
      <c r="N59" s="530"/>
      <c r="O59" s="530"/>
      <c r="P59" s="188"/>
      <c r="Q59" s="188"/>
      <c r="R59" s="185"/>
      <c r="S59" s="182"/>
      <c r="T59" s="558"/>
      <c r="U59" s="188"/>
      <c r="V59" s="188"/>
      <c r="W59" s="185"/>
      <c r="X59" s="182"/>
      <c r="Y59" s="558"/>
      <c r="Z59" s="188"/>
      <c r="AA59" s="188"/>
      <c r="AB59" s="185"/>
      <c r="AC59" s="182"/>
      <c r="AD59" s="558"/>
      <c r="AE59" s="188"/>
      <c r="AF59" s="188"/>
      <c r="AG59" s="185"/>
      <c r="AH59" s="182"/>
      <c r="AI59" s="558"/>
      <c r="AJ59" s="188"/>
      <c r="AK59" s="188"/>
      <c r="AL59" s="185"/>
      <c r="AM59" s="182"/>
      <c r="AN59" s="558"/>
      <c r="AO59" s="188"/>
      <c r="AP59" s="188"/>
      <c r="AQ59" s="185"/>
      <c r="AR59" s="182"/>
      <c r="AS59" s="558"/>
      <c r="AT59" s="188"/>
      <c r="AU59" s="188"/>
      <c r="AV59" s="185"/>
      <c r="AW59" s="182"/>
      <c r="AX59" s="558"/>
    </row>
    <row r="60" spans="2:50" ht="14.25" customHeight="1">
      <c r="B60" s="530"/>
      <c r="C60" s="180">
        <v>14</v>
      </c>
      <c r="D60" s="183"/>
      <c r="E60" s="180"/>
      <c r="F60" s="180"/>
      <c r="G60" s="185"/>
      <c r="H60" s="558"/>
      <c r="I60" s="186"/>
      <c r="J60" s="186"/>
      <c r="K60" s="187"/>
      <c r="L60" s="559"/>
      <c r="M60" s="186"/>
      <c r="N60" s="530"/>
      <c r="O60" s="530"/>
      <c r="P60" s="188"/>
      <c r="Q60" s="188"/>
      <c r="R60" s="185"/>
      <c r="S60" s="182"/>
      <c r="T60" s="558"/>
      <c r="U60" s="188"/>
      <c r="V60" s="188"/>
      <c r="W60" s="185"/>
      <c r="X60" s="182"/>
      <c r="Y60" s="558"/>
      <c r="Z60" s="188"/>
      <c r="AA60" s="188"/>
      <c r="AB60" s="185"/>
      <c r="AC60" s="182"/>
      <c r="AD60" s="558"/>
      <c r="AE60" s="188"/>
      <c r="AF60" s="188"/>
      <c r="AG60" s="185"/>
      <c r="AH60" s="182"/>
      <c r="AI60" s="558"/>
      <c r="AJ60" s="188"/>
      <c r="AK60" s="188"/>
      <c r="AL60" s="185"/>
      <c r="AM60" s="182"/>
      <c r="AN60" s="558"/>
      <c r="AO60" s="188"/>
      <c r="AP60" s="188"/>
      <c r="AQ60" s="185"/>
      <c r="AR60" s="182"/>
      <c r="AS60" s="558"/>
      <c r="AT60" s="188"/>
      <c r="AU60" s="188"/>
      <c r="AV60" s="185"/>
      <c r="AW60" s="182"/>
      <c r="AX60" s="558"/>
    </row>
    <row r="61" spans="2:50" ht="14.25" customHeight="1">
      <c r="B61" s="530"/>
      <c r="C61" s="180">
        <v>15</v>
      </c>
      <c r="D61" s="183"/>
      <c r="E61" s="180"/>
      <c r="F61" s="180"/>
      <c r="G61" s="185"/>
      <c r="H61" s="558"/>
      <c r="I61" s="186"/>
      <c r="J61" s="186"/>
      <c r="K61" s="187"/>
      <c r="L61" s="559"/>
      <c r="M61" s="186"/>
      <c r="N61" s="530"/>
      <c r="O61" s="530"/>
      <c r="P61" s="188"/>
      <c r="Q61" s="188"/>
      <c r="R61" s="185"/>
      <c r="S61" s="182"/>
      <c r="T61" s="558"/>
      <c r="U61" s="188"/>
      <c r="V61" s="188"/>
      <c r="W61" s="185"/>
      <c r="X61" s="182"/>
      <c r="Y61" s="558"/>
      <c r="Z61" s="188"/>
      <c r="AA61" s="188"/>
      <c r="AB61" s="185"/>
      <c r="AC61" s="182"/>
      <c r="AD61" s="558"/>
      <c r="AE61" s="188"/>
      <c r="AF61" s="188"/>
      <c r="AG61" s="185"/>
      <c r="AH61" s="182"/>
      <c r="AI61" s="558"/>
      <c r="AJ61" s="188"/>
      <c r="AK61" s="188"/>
      <c r="AL61" s="185"/>
      <c r="AM61" s="182"/>
      <c r="AN61" s="558"/>
      <c r="AO61" s="188"/>
      <c r="AP61" s="188"/>
      <c r="AQ61" s="185"/>
      <c r="AR61" s="182"/>
      <c r="AS61" s="558"/>
      <c r="AT61" s="188"/>
      <c r="AU61" s="188"/>
      <c r="AV61" s="185"/>
      <c r="AW61" s="182"/>
      <c r="AX61" s="558"/>
    </row>
    <row r="62" spans="2:50" ht="14.25" customHeight="1" collapsed="1">
      <c r="B62" s="544" t="s">
        <v>175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60" t="s">
        <v>127</v>
      </c>
      <c r="O62" s="560" t="s">
        <v>77</v>
      </c>
      <c r="P62" s="596">
        <f>AT42+1</f>
        <v>46070</v>
      </c>
      <c r="Q62" s="597"/>
      <c r="R62" s="597"/>
      <c r="S62" s="597"/>
      <c r="T62" s="597"/>
      <c r="U62" s="598">
        <f>P62+1</f>
        <v>46071</v>
      </c>
      <c r="V62" s="599"/>
      <c r="W62" s="599"/>
      <c r="X62" s="599"/>
      <c r="Y62" s="599"/>
      <c r="Z62" s="596">
        <f t="shared" ref="Z62" si="73">U62+1</f>
        <v>46072</v>
      </c>
      <c r="AA62" s="597"/>
      <c r="AB62" s="597"/>
      <c r="AC62" s="597"/>
      <c r="AD62" s="597"/>
      <c r="AE62" s="598">
        <f t="shared" ref="AE62" si="74">Z62+1</f>
        <v>46073</v>
      </c>
      <c r="AF62" s="599"/>
      <c r="AG62" s="599"/>
      <c r="AH62" s="599"/>
      <c r="AI62" s="599"/>
      <c r="AJ62" s="588">
        <f t="shared" ref="AJ62" si="75">AE62+1</f>
        <v>46074</v>
      </c>
      <c r="AK62" s="589"/>
      <c r="AL62" s="589"/>
      <c r="AM62" s="589"/>
      <c r="AN62" s="590"/>
      <c r="AO62" s="598">
        <f t="shared" ref="AO62" si="76">AJ62+1</f>
        <v>46075</v>
      </c>
      <c r="AP62" s="599"/>
      <c r="AQ62" s="599"/>
      <c r="AR62" s="599"/>
      <c r="AS62" s="599"/>
      <c r="AT62" s="588">
        <f t="shared" ref="AT62" si="77">AO62+1</f>
        <v>46076</v>
      </c>
      <c r="AU62" s="589"/>
      <c r="AV62" s="589"/>
      <c r="AW62" s="589"/>
      <c r="AX62" s="590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62"/>
      <c r="O63" s="562"/>
      <c r="P63" s="591">
        <f>P62</f>
        <v>46070</v>
      </c>
      <c r="Q63" s="591"/>
      <c r="R63" s="591"/>
      <c r="S63" s="591"/>
      <c r="T63" s="591"/>
      <c r="U63" s="592">
        <f>U62</f>
        <v>46071</v>
      </c>
      <c r="V63" s="592"/>
      <c r="W63" s="592"/>
      <c r="X63" s="592"/>
      <c r="Y63" s="592"/>
      <c r="Z63" s="591">
        <f t="shared" ref="Z63" si="78">Z62</f>
        <v>46072</v>
      </c>
      <c r="AA63" s="591"/>
      <c r="AB63" s="591"/>
      <c r="AC63" s="591"/>
      <c r="AD63" s="591"/>
      <c r="AE63" s="592">
        <f t="shared" ref="AE63" si="79">AE62</f>
        <v>46073</v>
      </c>
      <c r="AF63" s="592"/>
      <c r="AG63" s="592"/>
      <c r="AH63" s="592"/>
      <c r="AI63" s="592"/>
      <c r="AJ63" s="593">
        <f t="shared" ref="AJ63" si="80">AJ62</f>
        <v>46074</v>
      </c>
      <c r="AK63" s="594"/>
      <c r="AL63" s="594"/>
      <c r="AM63" s="594"/>
      <c r="AN63" s="595"/>
      <c r="AO63" s="592">
        <f t="shared" ref="AO63" si="81">AO62</f>
        <v>46075</v>
      </c>
      <c r="AP63" s="592"/>
      <c r="AQ63" s="592"/>
      <c r="AR63" s="592"/>
      <c r="AS63" s="592"/>
      <c r="AT63" s="593">
        <f t="shared" ref="AT63" si="82">AT62</f>
        <v>46076</v>
      </c>
      <c r="AU63" s="594"/>
      <c r="AV63" s="594"/>
      <c r="AW63" s="594"/>
      <c r="AX63" s="595"/>
    </row>
    <row r="64" spans="2:50" ht="14.25" customHeight="1">
      <c r="B64" s="530" t="s">
        <v>128</v>
      </c>
      <c r="C64" s="530" t="s">
        <v>129</v>
      </c>
      <c r="D64" s="530"/>
      <c r="E64" s="530" t="s">
        <v>130</v>
      </c>
      <c r="F64" s="530"/>
      <c r="G64" s="530"/>
      <c r="H64" s="530" t="s">
        <v>131</v>
      </c>
      <c r="I64" s="553" t="s">
        <v>132</v>
      </c>
      <c r="J64" s="553"/>
      <c r="K64" s="553"/>
      <c r="L64" s="553" t="s">
        <v>131</v>
      </c>
      <c r="M64" s="553" t="s">
        <v>133</v>
      </c>
      <c r="N64" s="530"/>
      <c r="O64" s="530" t="s">
        <v>134</v>
      </c>
      <c r="P64" s="530" t="s">
        <v>135</v>
      </c>
      <c r="Q64" s="530"/>
      <c r="R64" s="530"/>
      <c r="S64" s="530"/>
      <c r="T64" s="530" t="s">
        <v>131</v>
      </c>
      <c r="U64" s="530" t="s">
        <v>135</v>
      </c>
      <c r="V64" s="530"/>
      <c r="W64" s="530"/>
      <c r="X64" s="530"/>
      <c r="Y64" s="530" t="s">
        <v>131</v>
      </c>
      <c r="Z64" s="530" t="s">
        <v>135</v>
      </c>
      <c r="AA64" s="530"/>
      <c r="AB64" s="530"/>
      <c r="AC64" s="530"/>
      <c r="AD64" s="530" t="s">
        <v>131</v>
      </c>
      <c r="AE64" s="530" t="s">
        <v>135</v>
      </c>
      <c r="AF64" s="530"/>
      <c r="AG64" s="530"/>
      <c r="AH64" s="530"/>
      <c r="AI64" s="530" t="s">
        <v>131</v>
      </c>
      <c r="AJ64" s="530" t="s">
        <v>135</v>
      </c>
      <c r="AK64" s="530"/>
      <c r="AL64" s="530"/>
      <c r="AM64" s="530"/>
      <c r="AN64" s="530" t="s">
        <v>131</v>
      </c>
      <c r="AO64" s="530" t="s">
        <v>135</v>
      </c>
      <c r="AP64" s="530"/>
      <c r="AQ64" s="530"/>
      <c r="AR64" s="530"/>
      <c r="AS64" s="530" t="s">
        <v>131</v>
      </c>
      <c r="AT64" s="530" t="s">
        <v>135</v>
      </c>
      <c r="AU64" s="530"/>
      <c r="AV64" s="530"/>
      <c r="AW64" s="530"/>
      <c r="AX64" s="530" t="s">
        <v>131</v>
      </c>
    </row>
    <row r="65" spans="2:50" ht="14.25" customHeight="1">
      <c r="B65" s="530"/>
      <c r="C65" s="530"/>
      <c r="D65" s="530"/>
      <c r="E65" s="530" t="s">
        <v>136</v>
      </c>
      <c r="F65" s="530"/>
      <c r="G65" s="530"/>
      <c r="H65" s="530"/>
      <c r="I65" s="553" t="s">
        <v>136</v>
      </c>
      <c r="J65" s="553"/>
      <c r="K65" s="553"/>
      <c r="L65" s="553"/>
      <c r="M65" s="553"/>
      <c r="N65" s="530"/>
      <c r="O65" s="530"/>
      <c r="P65" s="530" t="s">
        <v>137</v>
      </c>
      <c r="Q65" s="530"/>
      <c r="R65" s="530"/>
      <c r="S65" s="530"/>
      <c r="T65" s="530"/>
      <c r="U65" s="530" t="s">
        <v>137</v>
      </c>
      <c r="V65" s="530"/>
      <c r="W65" s="530"/>
      <c r="X65" s="530"/>
      <c r="Y65" s="530"/>
      <c r="Z65" s="530" t="s">
        <v>137</v>
      </c>
      <c r="AA65" s="530"/>
      <c r="AB65" s="530"/>
      <c r="AC65" s="530"/>
      <c r="AD65" s="530"/>
      <c r="AE65" s="530" t="s">
        <v>137</v>
      </c>
      <c r="AF65" s="530"/>
      <c r="AG65" s="530"/>
      <c r="AH65" s="530"/>
      <c r="AI65" s="530"/>
      <c r="AJ65" s="530" t="s">
        <v>137</v>
      </c>
      <c r="AK65" s="530"/>
      <c r="AL65" s="530"/>
      <c r="AM65" s="530"/>
      <c r="AN65" s="530"/>
      <c r="AO65" s="530" t="s">
        <v>137</v>
      </c>
      <c r="AP65" s="530"/>
      <c r="AQ65" s="530"/>
      <c r="AR65" s="530"/>
      <c r="AS65" s="530"/>
      <c r="AT65" s="530" t="s">
        <v>137</v>
      </c>
      <c r="AU65" s="530"/>
      <c r="AV65" s="530"/>
      <c r="AW65" s="530"/>
      <c r="AX65" s="530"/>
    </row>
    <row r="66" spans="2:50" ht="14.25" customHeight="1">
      <c r="B66" s="530"/>
      <c r="C66" s="530"/>
      <c r="D66" s="530"/>
      <c r="E66" s="180" t="s">
        <v>138</v>
      </c>
      <c r="F66" s="180" t="s">
        <v>139</v>
      </c>
      <c r="G66" s="180" t="s">
        <v>140</v>
      </c>
      <c r="H66" s="530"/>
      <c r="I66" s="181" t="s">
        <v>138</v>
      </c>
      <c r="J66" s="181" t="s">
        <v>139</v>
      </c>
      <c r="K66" s="181" t="s">
        <v>140</v>
      </c>
      <c r="L66" s="553"/>
      <c r="M66" s="553"/>
      <c r="N66" s="530"/>
      <c r="O66" s="530"/>
      <c r="P66" s="180" t="s">
        <v>138</v>
      </c>
      <c r="Q66" s="180" t="s">
        <v>139</v>
      </c>
      <c r="R66" s="180" t="s">
        <v>140</v>
      </c>
      <c r="S66" s="182" t="s">
        <v>133</v>
      </c>
      <c r="T66" s="530"/>
      <c r="U66" s="180" t="s">
        <v>138</v>
      </c>
      <c r="V66" s="180" t="s">
        <v>139</v>
      </c>
      <c r="W66" s="180" t="s">
        <v>140</v>
      </c>
      <c r="X66" s="182" t="s">
        <v>133</v>
      </c>
      <c r="Y66" s="530"/>
      <c r="Z66" s="180" t="s">
        <v>138</v>
      </c>
      <c r="AA66" s="180" t="s">
        <v>139</v>
      </c>
      <c r="AB66" s="180" t="s">
        <v>140</v>
      </c>
      <c r="AC66" s="182" t="s">
        <v>133</v>
      </c>
      <c r="AD66" s="530"/>
      <c r="AE66" s="180" t="s">
        <v>138</v>
      </c>
      <c r="AF66" s="180" t="s">
        <v>139</v>
      </c>
      <c r="AG66" s="180" t="s">
        <v>140</v>
      </c>
      <c r="AH66" s="182" t="s">
        <v>133</v>
      </c>
      <c r="AI66" s="530"/>
      <c r="AJ66" s="180" t="s">
        <v>138</v>
      </c>
      <c r="AK66" s="180" t="s">
        <v>139</v>
      </c>
      <c r="AL66" s="180" t="s">
        <v>140</v>
      </c>
      <c r="AM66" s="182" t="s">
        <v>133</v>
      </c>
      <c r="AN66" s="530"/>
      <c r="AO66" s="180" t="s">
        <v>138</v>
      </c>
      <c r="AP66" s="180" t="s">
        <v>139</v>
      </c>
      <c r="AQ66" s="180" t="s">
        <v>140</v>
      </c>
      <c r="AR66" s="182" t="s">
        <v>133</v>
      </c>
      <c r="AS66" s="530"/>
      <c r="AT66" s="180" t="s">
        <v>138</v>
      </c>
      <c r="AU66" s="180" t="s">
        <v>139</v>
      </c>
      <c r="AV66" s="180" t="s">
        <v>140</v>
      </c>
      <c r="AW66" s="182" t="s">
        <v>133</v>
      </c>
      <c r="AX66" s="530"/>
    </row>
    <row r="67" spans="2:50" ht="14.25" customHeight="1">
      <c r="B67" s="530" t="s">
        <v>115</v>
      </c>
      <c r="C67" s="180">
        <v>1</v>
      </c>
      <c r="D67" s="183" t="s">
        <v>225</v>
      </c>
      <c r="E67" s="180">
        <v>13</v>
      </c>
      <c r="F67" s="180">
        <v>1200</v>
      </c>
      <c r="G67" s="185">
        <f t="shared" ref="G67:G68" si="83">F67/E67</f>
        <v>92.307692307692307</v>
      </c>
      <c r="H67" s="558">
        <f>AVERAGE(G67:G81)</f>
        <v>87.062937062937067</v>
      </c>
      <c r="I67" s="186">
        <f>AVERAGE(P67,U67,Z67,AE67,AJ67,AO67,AT67)</f>
        <v>13</v>
      </c>
      <c r="J67" s="186">
        <f>AVERAGE(Q67,V67,AA67,AF67,AK67,AP67,AU67)</f>
        <v>1079.5839379648244</v>
      </c>
      <c r="K67" s="187">
        <f>AVERAGE(R67,W67,AB67,AG67,AL67,AQ67,AV67)</f>
        <v>83.044918304986481</v>
      </c>
      <c r="L67" s="559">
        <f>IFERROR(AVERAGE(K67:K81),"-")</f>
        <v>78.027614170265934</v>
      </c>
      <c r="M67" s="186">
        <f>RANK(K67, K$67:$K$81)</f>
        <v>1</v>
      </c>
      <c r="N67" s="530"/>
      <c r="O67" s="530"/>
      <c r="P67" s="188">
        <v>13</v>
      </c>
      <c r="Q67" s="188">
        <v>1079.4937895476917</v>
      </c>
      <c r="R67" s="185">
        <f>IFERROR(Q67/P67,"")</f>
        <v>83.037983811360903</v>
      </c>
      <c r="S67" s="182">
        <f>RANK(R67, R$67:R$81)</f>
        <v>1</v>
      </c>
      <c r="T67" s="558">
        <f>AVERAGE(R67:R81)</f>
        <v>78.019775604740033</v>
      </c>
      <c r="U67" s="188">
        <v>13</v>
      </c>
      <c r="V67" s="188">
        <v>1079.6040571917388</v>
      </c>
      <c r="W67" s="185">
        <f t="shared" ref="W67:W68" si="84">IFERROR(V67/U67,"")</f>
        <v>83.046465937826056</v>
      </c>
      <c r="X67" s="182">
        <f>RANK(W67, W$67:W$81)</f>
        <v>1</v>
      </c>
      <c r="Y67" s="558">
        <f>AVERAGE(W67:W81)</f>
        <v>78.029000202280969</v>
      </c>
      <c r="Z67" s="188">
        <v>13</v>
      </c>
      <c r="AA67" s="188">
        <v>1079.6444639525948</v>
      </c>
      <c r="AB67" s="185">
        <f t="shared" ref="AB67:AB68" si="85">IFERROR(AA67/Z67,"")</f>
        <v>83.049574150199604</v>
      </c>
      <c r="AC67" s="182">
        <f>RANK(AB67, AB$67:AB$81)</f>
        <v>1</v>
      </c>
      <c r="AD67" s="558">
        <f>AVERAGE(AB67:AB81)</f>
        <v>78.031269030736794</v>
      </c>
      <c r="AE67" s="188">
        <v>13</v>
      </c>
      <c r="AF67" s="188">
        <v>1079.6348472895295</v>
      </c>
      <c r="AG67" s="185">
        <f>IFERROR(AF67/AE67,"")</f>
        <v>83.048834406886883</v>
      </c>
      <c r="AH67" s="182">
        <f>RANK(AG67, AG$67:AG$81)</f>
        <v>1</v>
      </c>
      <c r="AI67" s="558">
        <f>AVERAGE(AG67:AG81)</f>
        <v>78.029390669402574</v>
      </c>
      <c r="AJ67" s="188">
        <v>13</v>
      </c>
      <c r="AK67" s="188">
        <v>1079.5883361921096</v>
      </c>
      <c r="AL67" s="185">
        <f t="shared" ref="AL67:AL68" si="86">IFERROR(AK67/AJ67,"")</f>
        <v>83.045256630162285</v>
      </c>
      <c r="AM67" s="182">
        <f>RANK(AL67, AL$67:AL$81)</f>
        <v>1</v>
      </c>
      <c r="AN67" s="558">
        <f>AVERAGE(AL67:AL81)</f>
        <v>78.028800856332083</v>
      </c>
      <c r="AO67" s="188">
        <v>13</v>
      </c>
      <c r="AP67" s="188">
        <v>1079.5441114394257</v>
      </c>
      <c r="AQ67" s="185">
        <f t="shared" ref="AQ67:AQ68" si="87">IFERROR(AP67/AO67,"")</f>
        <v>83.041854726109676</v>
      </c>
      <c r="AR67" s="182">
        <f>RANK(AQ67, AQ$67:AQ$81)</f>
        <v>1</v>
      </c>
      <c r="AS67" s="558">
        <f>AVERAGE(AQ67:AQ81)</f>
        <v>78.026514798874814</v>
      </c>
      <c r="AT67" s="188">
        <v>13</v>
      </c>
      <c r="AU67" s="188">
        <v>1079.5779601406803</v>
      </c>
      <c r="AV67" s="185">
        <f t="shared" ref="AV67:AV68" si="88">IFERROR(AU67/AT67,"")</f>
        <v>83.04445847236002</v>
      </c>
      <c r="AW67" s="182">
        <f>RANK(AV67, AV$67:AV$81)</f>
        <v>1</v>
      </c>
      <c r="AX67" s="558">
        <f>AVERAGE(AV67:AV81)</f>
        <v>78.028548029494289</v>
      </c>
    </row>
    <row r="68" spans="2:50" ht="14.25" customHeight="1">
      <c r="B68" s="530"/>
      <c r="C68" s="180">
        <v>2</v>
      </c>
      <c r="D68" s="183" t="s">
        <v>226</v>
      </c>
      <c r="E68" s="180">
        <v>22</v>
      </c>
      <c r="F68" s="180">
        <v>1800</v>
      </c>
      <c r="G68" s="185">
        <f t="shared" si="83"/>
        <v>81.818181818181813</v>
      </c>
      <c r="H68" s="558"/>
      <c r="I68" s="186">
        <f t="shared" ref="I68:K68" si="89">AVERAGE(P68,U68,Z68,AE68,AJ68,AO68,AT68)</f>
        <v>22</v>
      </c>
      <c r="J68" s="186">
        <f t="shared" si="89"/>
        <v>1606.2268207819984</v>
      </c>
      <c r="K68" s="187">
        <f t="shared" si="89"/>
        <v>73.010310035545373</v>
      </c>
      <c r="L68" s="559"/>
      <c r="M68" s="186">
        <f>RANK(K68, K$67:$K$81)</f>
        <v>2</v>
      </c>
      <c r="N68" s="530"/>
      <c r="O68" s="530"/>
      <c r="P68" s="188">
        <v>22</v>
      </c>
      <c r="Q68" s="188">
        <v>1606.0344827586218</v>
      </c>
      <c r="R68" s="185">
        <f t="shared" ref="R68" si="90">IFERROR(Q68/P68,"")</f>
        <v>73.001567398119178</v>
      </c>
      <c r="S68" s="182">
        <f>RANK(R68, R$67:R$81)</f>
        <v>2</v>
      </c>
      <c r="T68" s="558"/>
      <c r="U68" s="188">
        <v>22</v>
      </c>
      <c r="V68" s="188">
        <v>1606.2537582681898</v>
      </c>
      <c r="W68" s="185">
        <f t="shared" si="84"/>
        <v>73.011534466735895</v>
      </c>
      <c r="X68" s="182">
        <f>RANK(W68, W$67:W$81)</f>
        <v>2</v>
      </c>
      <c r="Y68" s="558"/>
      <c r="Z68" s="188">
        <v>22</v>
      </c>
      <c r="AA68" s="188">
        <v>1606.2852060480277</v>
      </c>
      <c r="AB68" s="185">
        <f t="shared" si="85"/>
        <v>73.012963911273985</v>
      </c>
      <c r="AC68" s="182">
        <f>RANK(AB68, AB$67:AB$81)</f>
        <v>2</v>
      </c>
      <c r="AD68" s="558"/>
      <c r="AE68" s="188">
        <v>22</v>
      </c>
      <c r="AF68" s="188">
        <v>1606.2188325022014</v>
      </c>
      <c r="AG68" s="185">
        <f t="shared" ref="AG68" si="91">IFERROR(AF68/AE68,"")</f>
        <v>73.00994693191825</v>
      </c>
      <c r="AH68" s="182">
        <f>RANK(AG68, AG$67:AG$81)</f>
        <v>2</v>
      </c>
      <c r="AI68" s="558"/>
      <c r="AJ68" s="188">
        <v>22</v>
      </c>
      <c r="AK68" s="188">
        <v>1606.2715918150411</v>
      </c>
      <c r="AL68" s="185">
        <f t="shared" si="86"/>
        <v>73.012345082501867</v>
      </c>
      <c r="AM68" s="182">
        <f>RANK(AL68, AL$67:AL$81)</f>
        <v>2</v>
      </c>
      <c r="AN68" s="558"/>
      <c r="AO68" s="188">
        <v>22</v>
      </c>
      <c r="AP68" s="188">
        <v>1606.2458471760785</v>
      </c>
      <c r="AQ68" s="185">
        <f t="shared" si="87"/>
        <v>73.011174871639938</v>
      </c>
      <c r="AR68" s="182">
        <f>RANK(AQ68, AQ$67:AQ$81)</f>
        <v>2</v>
      </c>
      <c r="AS68" s="558"/>
      <c r="AT68" s="188">
        <v>22</v>
      </c>
      <c r="AU68" s="188">
        <v>1606.2780269058287</v>
      </c>
      <c r="AV68" s="185">
        <f t="shared" si="88"/>
        <v>73.012637586628571</v>
      </c>
      <c r="AW68" s="182">
        <f>RANK(AV68, AV$67:AV$81)</f>
        <v>2</v>
      </c>
      <c r="AX68" s="558"/>
    </row>
    <row r="69" spans="2:50" ht="14.25" customHeight="1">
      <c r="B69" s="530"/>
      <c r="C69" s="180">
        <v>3</v>
      </c>
      <c r="D69" s="183"/>
      <c r="E69" s="180"/>
      <c r="F69" s="180"/>
      <c r="G69" s="185"/>
      <c r="H69" s="558"/>
      <c r="I69" s="186"/>
      <c r="J69" s="186"/>
      <c r="K69" s="187"/>
      <c r="L69" s="559"/>
      <c r="M69" s="186"/>
      <c r="N69" s="530"/>
      <c r="O69" s="530"/>
      <c r="P69" s="188"/>
      <c r="Q69" s="188"/>
      <c r="R69" s="185"/>
      <c r="S69" s="182"/>
      <c r="T69" s="558"/>
      <c r="U69" s="188"/>
      <c r="V69" s="188"/>
      <c r="W69" s="185"/>
      <c r="X69" s="182"/>
      <c r="Y69" s="558"/>
      <c r="Z69" s="188"/>
      <c r="AA69" s="188"/>
      <c r="AB69" s="185"/>
      <c r="AC69" s="182"/>
      <c r="AD69" s="558"/>
      <c r="AE69" s="188"/>
      <c r="AF69" s="188"/>
      <c r="AG69" s="185"/>
      <c r="AH69" s="182"/>
      <c r="AI69" s="558"/>
      <c r="AJ69" s="188"/>
      <c r="AK69" s="188"/>
      <c r="AL69" s="185"/>
      <c r="AM69" s="182"/>
      <c r="AN69" s="558"/>
      <c r="AO69" s="188"/>
      <c r="AP69" s="188"/>
      <c r="AQ69" s="185"/>
      <c r="AR69" s="182"/>
      <c r="AS69" s="558"/>
      <c r="AT69" s="188"/>
      <c r="AU69" s="188"/>
      <c r="AV69" s="185"/>
      <c r="AW69" s="182"/>
      <c r="AX69" s="558"/>
    </row>
    <row r="70" spans="2:50" ht="14.25" customHeight="1">
      <c r="B70" s="530"/>
      <c r="C70" s="180">
        <v>4</v>
      </c>
      <c r="D70" s="183"/>
      <c r="E70" s="180"/>
      <c r="F70" s="180"/>
      <c r="G70" s="185"/>
      <c r="H70" s="558"/>
      <c r="I70" s="186"/>
      <c r="J70" s="186"/>
      <c r="K70" s="187"/>
      <c r="L70" s="559"/>
      <c r="M70" s="186"/>
      <c r="N70" s="530"/>
      <c r="O70" s="530"/>
      <c r="P70" s="188"/>
      <c r="Q70" s="188"/>
      <c r="R70" s="185"/>
      <c r="S70" s="182"/>
      <c r="T70" s="558"/>
      <c r="U70" s="188"/>
      <c r="V70" s="188"/>
      <c r="W70" s="185"/>
      <c r="X70" s="182"/>
      <c r="Y70" s="558"/>
      <c r="Z70" s="188"/>
      <c r="AA70" s="188"/>
      <c r="AB70" s="185"/>
      <c r="AC70" s="182"/>
      <c r="AD70" s="558"/>
      <c r="AE70" s="188"/>
      <c r="AF70" s="188"/>
      <c r="AG70" s="185"/>
      <c r="AH70" s="182"/>
      <c r="AI70" s="558"/>
      <c r="AJ70" s="188"/>
      <c r="AK70" s="188"/>
      <c r="AL70" s="185"/>
      <c r="AM70" s="182"/>
      <c r="AN70" s="558"/>
      <c r="AO70" s="188"/>
      <c r="AP70" s="188"/>
      <c r="AQ70" s="185"/>
      <c r="AR70" s="182"/>
      <c r="AS70" s="558"/>
      <c r="AT70" s="188"/>
      <c r="AU70" s="188"/>
      <c r="AV70" s="185"/>
      <c r="AW70" s="182"/>
      <c r="AX70" s="558"/>
    </row>
    <row r="71" spans="2:50" ht="14.25" customHeight="1">
      <c r="B71" s="530"/>
      <c r="C71" s="180">
        <v>5</v>
      </c>
      <c r="D71" s="183"/>
      <c r="E71" s="180"/>
      <c r="F71" s="180"/>
      <c r="G71" s="185"/>
      <c r="H71" s="558"/>
      <c r="I71" s="186"/>
      <c r="J71" s="186"/>
      <c r="K71" s="187"/>
      <c r="L71" s="559"/>
      <c r="M71" s="186"/>
      <c r="N71" s="530"/>
      <c r="O71" s="530"/>
      <c r="P71" s="188"/>
      <c r="Q71" s="188"/>
      <c r="R71" s="185"/>
      <c r="S71" s="182"/>
      <c r="T71" s="558"/>
      <c r="U71" s="188"/>
      <c r="V71" s="188"/>
      <c r="W71" s="185"/>
      <c r="X71" s="182"/>
      <c r="Y71" s="558"/>
      <c r="Z71" s="188"/>
      <c r="AA71" s="188"/>
      <c r="AB71" s="185"/>
      <c r="AC71" s="182"/>
      <c r="AD71" s="558"/>
      <c r="AE71" s="188"/>
      <c r="AF71" s="188"/>
      <c r="AG71" s="185"/>
      <c r="AH71" s="182"/>
      <c r="AI71" s="558"/>
      <c r="AJ71" s="188"/>
      <c r="AK71" s="188"/>
      <c r="AL71" s="185"/>
      <c r="AM71" s="182"/>
      <c r="AN71" s="558"/>
      <c r="AO71" s="188"/>
      <c r="AP71" s="188"/>
      <c r="AQ71" s="185"/>
      <c r="AR71" s="182"/>
      <c r="AS71" s="558"/>
      <c r="AT71" s="188"/>
      <c r="AU71" s="188"/>
      <c r="AV71" s="185"/>
      <c r="AW71" s="182"/>
      <c r="AX71" s="558"/>
    </row>
    <row r="72" spans="2:50" ht="14.25" customHeight="1">
      <c r="B72" s="530"/>
      <c r="C72" s="180">
        <v>6</v>
      </c>
      <c r="D72" s="183"/>
      <c r="E72" s="180"/>
      <c r="F72" s="180"/>
      <c r="G72" s="185"/>
      <c r="H72" s="558"/>
      <c r="I72" s="186"/>
      <c r="J72" s="186"/>
      <c r="K72" s="187"/>
      <c r="L72" s="559"/>
      <c r="M72" s="186"/>
      <c r="N72" s="530"/>
      <c r="O72" s="530"/>
      <c r="P72" s="188"/>
      <c r="Q72" s="188"/>
      <c r="R72" s="185"/>
      <c r="S72" s="182"/>
      <c r="T72" s="558"/>
      <c r="U72" s="188"/>
      <c r="V72" s="188"/>
      <c r="W72" s="185"/>
      <c r="X72" s="182"/>
      <c r="Y72" s="558"/>
      <c r="Z72" s="188"/>
      <c r="AA72" s="188"/>
      <c r="AB72" s="185"/>
      <c r="AC72" s="182"/>
      <c r="AD72" s="558"/>
      <c r="AE72" s="188"/>
      <c r="AF72" s="188"/>
      <c r="AG72" s="185"/>
      <c r="AH72" s="182"/>
      <c r="AI72" s="558"/>
      <c r="AJ72" s="188"/>
      <c r="AK72" s="188"/>
      <c r="AL72" s="185"/>
      <c r="AM72" s="182"/>
      <c r="AN72" s="558"/>
      <c r="AO72" s="188"/>
      <c r="AP72" s="188"/>
      <c r="AQ72" s="185"/>
      <c r="AR72" s="182"/>
      <c r="AS72" s="558"/>
      <c r="AT72" s="188"/>
      <c r="AU72" s="188"/>
      <c r="AV72" s="185"/>
      <c r="AW72" s="182"/>
      <c r="AX72" s="558"/>
    </row>
    <row r="73" spans="2:50" ht="14.25" customHeight="1">
      <c r="B73" s="530"/>
      <c r="C73" s="180">
        <v>7</v>
      </c>
      <c r="D73" s="183"/>
      <c r="E73" s="180"/>
      <c r="F73" s="180"/>
      <c r="G73" s="185"/>
      <c r="H73" s="558"/>
      <c r="I73" s="186"/>
      <c r="J73" s="186"/>
      <c r="K73" s="187"/>
      <c r="L73" s="559"/>
      <c r="M73" s="186"/>
      <c r="N73" s="530"/>
      <c r="O73" s="530"/>
      <c r="P73" s="188"/>
      <c r="Q73" s="188"/>
      <c r="R73" s="185"/>
      <c r="S73" s="182"/>
      <c r="T73" s="558"/>
      <c r="U73" s="188"/>
      <c r="V73" s="188"/>
      <c r="W73" s="185"/>
      <c r="X73" s="182"/>
      <c r="Y73" s="558"/>
      <c r="Z73" s="188"/>
      <c r="AA73" s="188"/>
      <c r="AB73" s="185"/>
      <c r="AC73" s="182"/>
      <c r="AD73" s="558"/>
      <c r="AE73" s="188"/>
      <c r="AF73" s="188"/>
      <c r="AG73" s="185"/>
      <c r="AH73" s="182"/>
      <c r="AI73" s="558"/>
      <c r="AJ73" s="188"/>
      <c r="AK73" s="188"/>
      <c r="AL73" s="185"/>
      <c r="AM73" s="182"/>
      <c r="AN73" s="558"/>
      <c r="AO73" s="188"/>
      <c r="AP73" s="188"/>
      <c r="AQ73" s="185"/>
      <c r="AR73" s="182"/>
      <c r="AS73" s="558"/>
      <c r="AT73" s="188"/>
      <c r="AU73" s="188"/>
      <c r="AV73" s="185"/>
      <c r="AW73" s="182"/>
      <c r="AX73" s="558"/>
    </row>
    <row r="74" spans="2:50" ht="14.25" customHeight="1">
      <c r="B74" s="530"/>
      <c r="C74" s="180">
        <v>8</v>
      </c>
      <c r="D74" s="183"/>
      <c r="E74" s="180"/>
      <c r="F74" s="180"/>
      <c r="G74" s="185"/>
      <c r="H74" s="558"/>
      <c r="I74" s="186"/>
      <c r="J74" s="186"/>
      <c r="K74" s="187"/>
      <c r="L74" s="559"/>
      <c r="M74" s="186"/>
      <c r="N74" s="530"/>
      <c r="O74" s="530"/>
      <c r="P74" s="188"/>
      <c r="Q74" s="188"/>
      <c r="R74" s="185"/>
      <c r="S74" s="182"/>
      <c r="T74" s="558"/>
      <c r="U74" s="188"/>
      <c r="V74" s="188"/>
      <c r="W74" s="185"/>
      <c r="X74" s="182"/>
      <c r="Y74" s="558"/>
      <c r="Z74" s="188"/>
      <c r="AA74" s="188"/>
      <c r="AB74" s="185"/>
      <c r="AC74" s="182"/>
      <c r="AD74" s="558"/>
      <c r="AE74" s="188"/>
      <c r="AF74" s="188"/>
      <c r="AG74" s="185"/>
      <c r="AH74" s="182"/>
      <c r="AI74" s="558"/>
      <c r="AJ74" s="188"/>
      <c r="AK74" s="188"/>
      <c r="AL74" s="185"/>
      <c r="AM74" s="182"/>
      <c r="AN74" s="558"/>
      <c r="AO74" s="188"/>
      <c r="AP74" s="188"/>
      <c r="AQ74" s="185"/>
      <c r="AR74" s="182"/>
      <c r="AS74" s="558"/>
      <c r="AT74" s="188"/>
      <c r="AU74" s="188"/>
      <c r="AV74" s="185"/>
      <c r="AW74" s="182"/>
      <c r="AX74" s="558"/>
    </row>
    <row r="75" spans="2:50" ht="14.25" customHeight="1">
      <c r="B75" s="530"/>
      <c r="C75" s="180">
        <v>9</v>
      </c>
      <c r="D75" s="183"/>
      <c r="E75" s="180"/>
      <c r="F75" s="180"/>
      <c r="G75" s="185"/>
      <c r="H75" s="558"/>
      <c r="I75" s="186"/>
      <c r="J75" s="186"/>
      <c r="K75" s="187"/>
      <c r="L75" s="559"/>
      <c r="M75" s="186"/>
      <c r="N75" s="530"/>
      <c r="O75" s="530"/>
      <c r="P75" s="188"/>
      <c r="Q75" s="188"/>
      <c r="R75" s="185"/>
      <c r="S75" s="182"/>
      <c r="T75" s="558"/>
      <c r="U75" s="188"/>
      <c r="V75" s="188"/>
      <c r="W75" s="185"/>
      <c r="X75" s="182"/>
      <c r="Y75" s="558"/>
      <c r="Z75" s="188"/>
      <c r="AA75" s="188"/>
      <c r="AB75" s="185"/>
      <c r="AC75" s="182"/>
      <c r="AD75" s="558"/>
      <c r="AE75" s="188"/>
      <c r="AF75" s="188"/>
      <c r="AG75" s="185"/>
      <c r="AH75" s="182"/>
      <c r="AI75" s="558"/>
      <c r="AJ75" s="188"/>
      <c r="AK75" s="188"/>
      <c r="AL75" s="185"/>
      <c r="AM75" s="182"/>
      <c r="AN75" s="558"/>
      <c r="AO75" s="188"/>
      <c r="AP75" s="188"/>
      <c r="AQ75" s="185"/>
      <c r="AR75" s="182"/>
      <c r="AS75" s="558"/>
      <c r="AT75" s="188"/>
      <c r="AU75" s="188"/>
      <c r="AV75" s="185"/>
      <c r="AW75" s="182"/>
      <c r="AX75" s="558"/>
    </row>
    <row r="76" spans="2:50" ht="14.25" customHeight="1">
      <c r="B76" s="530"/>
      <c r="C76" s="180">
        <v>10</v>
      </c>
      <c r="D76" s="183"/>
      <c r="E76" s="180"/>
      <c r="F76" s="180"/>
      <c r="G76" s="185"/>
      <c r="H76" s="558"/>
      <c r="I76" s="186"/>
      <c r="J76" s="186"/>
      <c r="K76" s="187"/>
      <c r="L76" s="559"/>
      <c r="M76" s="186"/>
      <c r="N76" s="530"/>
      <c r="O76" s="530"/>
      <c r="P76" s="188"/>
      <c r="Q76" s="188"/>
      <c r="R76" s="185"/>
      <c r="S76" s="182"/>
      <c r="T76" s="558"/>
      <c r="U76" s="188"/>
      <c r="V76" s="188"/>
      <c r="W76" s="185"/>
      <c r="X76" s="182"/>
      <c r="Y76" s="558"/>
      <c r="Z76" s="188"/>
      <c r="AA76" s="188"/>
      <c r="AB76" s="185"/>
      <c r="AC76" s="182"/>
      <c r="AD76" s="558"/>
      <c r="AE76" s="188"/>
      <c r="AF76" s="188"/>
      <c r="AG76" s="185"/>
      <c r="AH76" s="182"/>
      <c r="AI76" s="558"/>
      <c r="AJ76" s="188"/>
      <c r="AK76" s="188"/>
      <c r="AL76" s="185"/>
      <c r="AM76" s="182"/>
      <c r="AN76" s="558"/>
      <c r="AO76" s="188"/>
      <c r="AP76" s="188"/>
      <c r="AQ76" s="185"/>
      <c r="AR76" s="182"/>
      <c r="AS76" s="558"/>
      <c r="AT76" s="188"/>
      <c r="AU76" s="188"/>
      <c r="AV76" s="185"/>
      <c r="AW76" s="182"/>
      <c r="AX76" s="558"/>
    </row>
    <row r="77" spans="2:50" ht="14.25" customHeight="1">
      <c r="B77" s="530"/>
      <c r="C77" s="180">
        <v>11</v>
      </c>
      <c r="D77" s="183"/>
      <c r="E77" s="180"/>
      <c r="F77" s="180"/>
      <c r="G77" s="185"/>
      <c r="H77" s="558"/>
      <c r="I77" s="186"/>
      <c r="J77" s="186"/>
      <c r="K77" s="187"/>
      <c r="L77" s="559"/>
      <c r="M77" s="186"/>
      <c r="N77" s="530"/>
      <c r="O77" s="530"/>
      <c r="P77" s="188"/>
      <c r="Q77" s="188"/>
      <c r="R77" s="185"/>
      <c r="S77" s="182"/>
      <c r="T77" s="558"/>
      <c r="U77" s="188"/>
      <c r="V77" s="188"/>
      <c r="W77" s="185"/>
      <c r="X77" s="182"/>
      <c r="Y77" s="558"/>
      <c r="Z77" s="188"/>
      <c r="AA77" s="188"/>
      <c r="AB77" s="185"/>
      <c r="AC77" s="182"/>
      <c r="AD77" s="558"/>
      <c r="AE77" s="188"/>
      <c r="AF77" s="188"/>
      <c r="AG77" s="185"/>
      <c r="AH77" s="182"/>
      <c r="AI77" s="558"/>
      <c r="AJ77" s="188"/>
      <c r="AK77" s="188"/>
      <c r="AL77" s="185"/>
      <c r="AM77" s="182"/>
      <c r="AN77" s="558"/>
      <c r="AO77" s="188"/>
      <c r="AP77" s="188"/>
      <c r="AQ77" s="185"/>
      <c r="AR77" s="182"/>
      <c r="AS77" s="558"/>
      <c r="AT77" s="188"/>
      <c r="AU77" s="188"/>
      <c r="AV77" s="185"/>
      <c r="AW77" s="182"/>
      <c r="AX77" s="558"/>
    </row>
    <row r="78" spans="2:50" ht="14.25" customHeight="1">
      <c r="B78" s="530"/>
      <c r="C78" s="180">
        <v>12</v>
      </c>
      <c r="D78" s="183"/>
      <c r="E78" s="180"/>
      <c r="F78" s="180"/>
      <c r="G78" s="185"/>
      <c r="H78" s="558"/>
      <c r="I78" s="186"/>
      <c r="J78" s="186"/>
      <c r="K78" s="187"/>
      <c r="L78" s="559"/>
      <c r="M78" s="186"/>
      <c r="N78" s="530"/>
      <c r="O78" s="530"/>
      <c r="P78" s="188"/>
      <c r="Q78" s="188"/>
      <c r="R78" s="185"/>
      <c r="S78" s="182"/>
      <c r="T78" s="558"/>
      <c r="U78" s="188"/>
      <c r="V78" s="188"/>
      <c r="W78" s="185"/>
      <c r="X78" s="182"/>
      <c r="Y78" s="558"/>
      <c r="Z78" s="188"/>
      <c r="AA78" s="188"/>
      <c r="AB78" s="185"/>
      <c r="AC78" s="182"/>
      <c r="AD78" s="558"/>
      <c r="AE78" s="188"/>
      <c r="AF78" s="188"/>
      <c r="AG78" s="185"/>
      <c r="AH78" s="182"/>
      <c r="AI78" s="558"/>
      <c r="AJ78" s="188"/>
      <c r="AK78" s="188"/>
      <c r="AL78" s="185"/>
      <c r="AM78" s="182"/>
      <c r="AN78" s="558"/>
      <c r="AO78" s="188"/>
      <c r="AP78" s="188"/>
      <c r="AQ78" s="185"/>
      <c r="AR78" s="182"/>
      <c r="AS78" s="558"/>
      <c r="AT78" s="188"/>
      <c r="AU78" s="188"/>
      <c r="AV78" s="185"/>
      <c r="AW78" s="182"/>
      <c r="AX78" s="558"/>
    </row>
    <row r="79" spans="2:50" ht="14.25" customHeight="1">
      <c r="B79" s="530"/>
      <c r="C79" s="180">
        <v>13</v>
      </c>
      <c r="D79" s="183"/>
      <c r="E79" s="180"/>
      <c r="F79" s="180"/>
      <c r="G79" s="185"/>
      <c r="H79" s="558"/>
      <c r="I79" s="186"/>
      <c r="J79" s="186"/>
      <c r="K79" s="187"/>
      <c r="L79" s="559"/>
      <c r="M79" s="186"/>
      <c r="N79" s="530"/>
      <c r="O79" s="530"/>
      <c r="P79" s="188"/>
      <c r="Q79" s="188"/>
      <c r="R79" s="185"/>
      <c r="S79" s="182"/>
      <c r="T79" s="558"/>
      <c r="U79" s="188"/>
      <c r="V79" s="188"/>
      <c r="W79" s="185"/>
      <c r="X79" s="182"/>
      <c r="Y79" s="558"/>
      <c r="Z79" s="188"/>
      <c r="AA79" s="188"/>
      <c r="AB79" s="185"/>
      <c r="AC79" s="182"/>
      <c r="AD79" s="558"/>
      <c r="AE79" s="188"/>
      <c r="AF79" s="188"/>
      <c r="AG79" s="185"/>
      <c r="AH79" s="182"/>
      <c r="AI79" s="558"/>
      <c r="AJ79" s="188"/>
      <c r="AK79" s="188"/>
      <c r="AL79" s="185"/>
      <c r="AM79" s="182"/>
      <c r="AN79" s="558"/>
      <c r="AO79" s="188"/>
      <c r="AP79" s="188"/>
      <c r="AQ79" s="185"/>
      <c r="AR79" s="182"/>
      <c r="AS79" s="558"/>
      <c r="AT79" s="188"/>
      <c r="AU79" s="188"/>
      <c r="AV79" s="185"/>
      <c r="AW79" s="182"/>
      <c r="AX79" s="558"/>
    </row>
    <row r="80" spans="2:50" ht="14.25" customHeight="1">
      <c r="B80" s="530"/>
      <c r="C80" s="180">
        <v>14</v>
      </c>
      <c r="D80" s="183"/>
      <c r="E80" s="180"/>
      <c r="F80" s="180"/>
      <c r="G80" s="185"/>
      <c r="H80" s="558"/>
      <c r="I80" s="186"/>
      <c r="J80" s="186"/>
      <c r="K80" s="187"/>
      <c r="L80" s="559"/>
      <c r="M80" s="186"/>
      <c r="N80" s="530"/>
      <c r="O80" s="530"/>
      <c r="P80" s="188"/>
      <c r="Q80" s="188"/>
      <c r="R80" s="185"/>
      <c r="S80" s="182"/>
      <c r="T80" s="558"/>
      <c r="U80" s="188"/>
      <c r="V80" s="188"/>
      <c r="W80" s="185"/>
      <c r="X80" s="182"/>
      <c r="Y80" s="558"/>
      <c r="Z80" s="188"/>
      <c r="AA80" s="188"/>
      <c r="AB80" s="185"/>
      <c r="AC80" s="182"/>
      <c r="AD80" s="558"/>
      <c r="AE80" s="188"/>
      <c r="AF80" s="188"/>
      <c r="AG80" s="185"/>
      <c r="AH80" s="182"/>
      <c r="AI80" s="558"/>
      <c r="AJ80" s="188"/>
      <c r="AK80" s="188"/>
      <c r="AL80" s="185"/>
      <c r="AM80" s="182"/>
      <c r="AN80" s="558"/>
      <c r="AO80" s="188"/>
      <c r="AP80" s="188"/>
      <c r="AQ80" s="185"/>
      <c r="AR80" s="182"/>
      <c r="AS80" s="558"/>
      <c r="AT80" s="188"/>
      <c r="AU80" s="188"/>
      <c r="AV80" s="185"/>
      <c r="AW80" s="182"/>
      <c r="AX80" s="558"/>
    </row>
    <row r="81" spans="2:50" ht="14.25" customHeight="1">
      <c r="B81" s="530"/>
      <c r="C81" s="180">
        <v>15</v>
      </c>
      <c r="D81" s="183"/>
      <c r="E81" s="180"/>
      <c r="F81" s="180"/>
      <c r="G81" s="185"/>
      <c r="H81" s="558"/>
      <c r="I81" s="186"/>
      <c r="J81" s="186"/>
      <c r="K81" s="187"/>
      <c r="L81" s="559"/>
      <c r="M81" s="186"/>
      <c r="N81" s="530"/>
      <c r="O81" s="530"/>
      <c r="P81" s="188"/>
      <c r="Q81" s="188"/>
      <c r="R81" s="185"/>
      <c r="S81" s="182"/>
      <c r="T81" s="558"/>
      <c r="U81" s="188"/>
      <c r="V81" s="188"/>
      <c r="W81" s="185"/>
      <c r="X81" s="182"/>
      <c r="Y81" s="558"/>
      <c r="Z81" s="188"/>
      <c r="AA81" s="188"/>
      <c r="AB81" s="185"/>
      <c r="AC81" s="182"/>
      <c r="AD81" s="558"/>
      <c r="AE81" s="188"/>
      <c r="AF81" s="188"/>
      <c r="AG81" s="185"/>
      <c r="AH81" s="182"/>
      <c r="AI81" s="558"/>
      <c r="AJ81" s="188"/>
      <c r="AK81" s="188"/>
      <c r="AL81" s="185"/>
      <c r="AM81" s="182"/>
      <c r="AN81" s="558"/>
      <c r="AO81" s="188"/>
      <c r="AP81" s="188"/>
      <c r="AQ81" s="185"/>
      <c r="AR81" s="182"/>
      <c r="AS81" s="558"/>
      <c r="AT81" s="188"/>
      <c r="AU81" s="188"/>
      <c r="AV81" s="185"/>
      <c r="AW81" s="182"/>
      <c r="AX81" s="558"/>
    </row>
    <row r="82" spans="2:50" collapsed="1">
      <c r="B82" s="544" t="s">
        <v>176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85"/>
      <c r="N82" s="560" t="s">
        <v>127</v>
      </c>
      <c r="O82" s="560" t="s">
        <v>77</v>
      </c>
      <c r="P82" s="588">
        <f>AT62+1</f>
        <v>46077</v>
      </c>
      <c r="Q82" s="589"/>
      <c r="R82" s="589"/>
      <c r="S82" s="589"/>
      <c r="T82" s="590"/>
      <c r="U82" s="604">
        <f>P82+1</f>
        <v>46078</v>
      </c>
      <c r="V82" s="605"/>
      <c r="W82" s="605"/>
      <c r="X82" s="605"/>
      <c r="Y82" s="606"/>
      <c r="Z82" s="588">
        <f t="shared" ref="Z82" si="92">U82+1</f>
        <v>46079</v>
      </c>
      <c r="AA82" s="589"/>
      <c r="AB82" s="589"/>
      <c r="AC82" s="589"/>
      <c r="AD82" s="590"/>
      <c r="AE82" s="604">
        <f t="shared" ref="AE82" si="93">Z82+1</f>
        <v>46080</v>
      </c>
      <c r="AF82" s="605"/>
      <c r="AG82" s="605"/>
      <c r="AH82" s="605"/>
      <c r="AI82" s="606"/>
      <c r="AJ82" s="588">
        <f t="shared" ref="AJ82" si="94">AE82+1</f>
        <v>46081</v>
      </c>
      <c r="AK82" s="589"/>
      <c r="AL82" s="589"/>
      <c r="AM82" s="589"/>
      <c r="AN82" s="590"/>
      <c r="AO82" s="604">
        <f t="shared" ref="AO82" si="95">AJ82+1</f>
        <v>46082</v>
      </c>
      <c r="AP82" s="605"/>
      <c r="AQ82" s="605"/>
      <c r="AR82" s="605"/>
      <c r="AS82" s="606"/>
      <c r="AT82" s="588">
        <f t="shared" ref="AT82" si="96">AO82+1</f>
        <v>46083</v>
      </c>
      <c r="AU82" s="589"/>
      <c r="AV82" s="589"/>
      <c r="AW82" s="589"/>
      <c r="AX82" s="590"/>
    </row>
    <row r="83" spans="2:50" ht="14.25" customHeight="1">
      <c r="B83" s="586"/>
      <c r="C83" s="586"/>
      <c r="D83" s="586"/>
      <c r="E83" s="586"/>
      <c r="F83" s="586"/>
      <c r="G83" s="586"/>
      <c r="H83" s="586"/>
      <c r="I83" s="586"/>
      <c r="J83" s="586"/>
      <c r="K83" s="586"/>
      <c r="L83" s="586"/>
      <c r="M83" s="587"/>
      <c r="N83" s="562"/>
      <c r="O83" s="562"/>
      <c r="P83" s="593">
        <f>P82</f>
        <v>46077</v>
      </c>
      <c r="Q83" s="594"/>
      <c r="R83" s="594"/>
      <c r="S83" s="594"/>
      <c r="T83" s="595"/>
      <c r="U83" s="607">
        <f>U82</f>
        <v>46078</v>
      </c>
      <c r="V83" s="608"/>
      <c r="W83" s="608"/>
      <c r="X83" s="608"/>
      <c r="Y83" s="609"/>
      <c r="Z83" s="593">
        <f t="shared" ref="Z83" si="97">Z82</f>
        <v>46079</v>
      </c>
      <c r="AA83" s="594"/>
      <c r="AB83" s="594"/>
      <c r="AC83" s="594"/>
      <c r="AD83" s="595"/>
      <c r="AE83" s="607">
        <f t="shared" ref="AE83" si="98">AE82</f>
        <v>46080</v>
      </c>
      <c r="AF83" s="608"/>
      <c r="AG83" s="608"/>
      <c r="AH83" s="608"/>
      <c r="AI83" s="609"/>
      <c r="AJ83" s="593">
        <f t="shared" ref="AJ83" si="99">AJ82</f>
        <v>46081</v>
      </c>
      <c r="AK83" s="594"/>
      <c r="AL83" s="594"/>
      <c r="AM83" s="594"/>
      <c r="AN83" s="595"/>
      <c r="AO83" s="607">
        <f t="shared" ref="AO83" si="100">AO82</f>
        <v>46082</v>
      </c>
      <c r="AP83" s="608"/>
      <c r="AQ83" s="608"/>
      <c r="AR83" s="608"/>
      <c r="AS83" s="609"/>
      <c r="AT83" s="593">
        <f t="shared" ref="AT83" si="101">AT82</f>
        <v>46083</v>
      </c>
      <c r="AU83" s="594"/>
      <c r="AV83" s="594"/>
      <c r="AW83" s="594"/>
      <c r="AX83" s="595"/>
    </row>
    <row r="84" spans="2:50" ht="14.25" customHeight="1">
      <c r="B84" s="560" t="s">
        <v>128</v>
      </c>
      <c r="C84" s="563" t="s">
        <v>129</v>
      </c>
      <c r="D84" s="564"/>
      <c r="E84" s="569" t="s">
        <v>130</v>
      </c>
      <c r="F84" s="570"/>
      <c r="G84" s="571"/>
      <c r="H84" s="560" t="s">
        <v>131</v>
      </c>
      <c r="I84" s="572" t="s">
        <v>132</v>
      </c>
      <c r="J84" s="573"/>
      <c r="K84" s="574"/>
      <c r="L84" s="575" t="s">
        <v>131</v>
      </c>
      <c r="M84" s="575" t="s">
        <v>133</v>
      </c>
      <c r="N84" s="560"/>
      <c r="O84" s="560" t="s">
        <v>134</v>
      </c>
      <c r="P84" s="569" t="s">
        <v>135</v>
      </c>
      <c r="Q84" s="570"/>
      <c r="R84" s="570"/>
      <c r="S84" s="571"/>
      <c r="T84" s="560" t="s">
        <v>131</v>
      </c>
      <c r="U84" s="569" t="s">
        <v>135</v>
      </c>
      <c r="V84" s="570"/>
      <c r="W84" s="570"/>
      <c r="X84" s="571"/>
      <c r="Y84" s="560" t="s">
        <v>131</v>
      </c>
      <c r="Z84" s="569" t="s">
        <v>135</v>
      </c>
      <c r="AA84" s="570"/>
      <c r="AB84" s="570"/>
      <c r="AC84" s="571"/>
      <c r="AD84" s="560" t="s">
        <v>131</v>
      </c>
      <c r="AE84" s="569" t="s">
        <v>135</v>
      </c>
      <c r="AF84" s="570"/>
      <c r="AG84" s="570"/>
      <c r="AH84" s="571"/>
      <c r="AI84" s="560" t="s">
        <v>131</v>
      </c>
      <c r="AJ84" s="569" t="s">
        <v>135</v>
      </c>
      <c r="AK84" s="570"/>
      <c r="AL84" s="570"/>
      <c r="AM84" s="571"/>
      <c r="AN84" s="560" t="s">
        <v>131</v>
      </c>
      <c r="AO84" s="569" t="s">
        <v>135</v>
      </c>
      <c r="AP84" s="570"/>
      <c r="AQ84" s="570"/>
      <c r="AR84" s="571"/>
      <c r="AS84" s="560" t="s">
        <v>131</v>
      </c>
      <c r="AT84" s="569" t="s">
        <v>135</v>
      </c>
      <c r="AU84" s="570"/>
      <c r="AV84" s="570"/>
      <c r="AW84" s="571"/>
      <c r="AX84" s="560" t="s">
        <v>131</v>
      </c>
    </row>
    <row r="85" spans="2:50" ht="14.25" customHeight="1">
      <c r="B85" s="561"/>
      <c r="C85" s="565"/>
      <c r="D85" s="566"/>
      <c r="E85" s="569" t="s">
        <v>136</v>
      </c>
      <c r="F85" s="570"/>
      <c r="G85" s="571"/>
      <c r="H85" s="561"/>
      <c r="I85" s="572" t="s">
        <v>136</v>
      </c>
      <c r="J85" s="573"/>
      <c r="K85" s="574"/>
      <c r="L85" s="576"/>
      <c r="M85" s="576"/>
      <c r="N85" s="561"/>
      <c r="O85" s="561"/>
      <c r="P85" s="569" t="s">
        <v>137</v>
      </c>
      <c r="Q85" s="570"/>
      <c r="R85" s="570"/>
      <c r="S85" s="571"/>
      <c r="T85" s="561"/>
      <c r="U85" s="569" t="s">
        <v>137</v>
      </c>
      <c r="V85" s="570"/>
      <c r="W85" s="570"/>
      <c r="X85" s="571"/>
      <c r="Y85" s="561"/>
      <c r="Z85" s="569" t="s">
        <v>137</v>
      </c>
      <c r="AA85" s="570"/>
      <c r="AB85" s="570"/>
      <c r="AC85" s="571"/>
      <c r="AD85" s="561"/>
      <c r="AE85" s="569" t="s">
        <v>137</v>
      </c>
      <c r="AF85" s="570"/>
      <c r="AG85" s="570"/>
      <c r="AH85" s="571"/>
      <c r="AI85" s="561"/>
      <c r="AJ85" s="569" t="s">
        <v>137</v>
      </c>
      <c r="AK85" s="570"/>
      <c r="AL85" s="570"/>
      <c r="AM85" s="571"/>
      <c r="AN85" s="561"/>
      <c r="AO85" s="569" t="s">
        <v>137</v>
      </c>
      <c r="AP85" s="570"/>
      <c r="AQ85" s="570"/>
      <c r="AR85" s="571"/>
      <c r="AS85" s="561"/>
      <c r="AT85" s="569" t="s">
        <v>137</v>
      </c>
      <c r="AU85" s="570"/>
      <c r="AV85" s="570"/>
      <c r="AW85" s="571"/>
      <c r="AX85" s="561"/>
    </row>
    <row r="86" spans="2:50" ht="14.25" customHeight="1">
      <c r="B86" s="562"/>
      <c r="C86" s="567"/>
      <c r="D86" s="568"/>
      <c r="E86" s="180" t="s">
        <v>138</v>
      </c>
      <c r="F86" s="180" t="s">
        <v>139</v>
      </c>
      <c r="G86" s="180" t="s">
        <v>140</v>
      </c>
      <c r="H86" s="562"/>
      <c r="I86" s="181" t="s">
        <v>138</v>
      </c>
      <c r="J86" s="181" t="s">
        <v>139</v>
      </c>
      <c r="K86" s="181" t="s">
        <v>140</v>
      </c>
      <c r="L86" s="577"/>
      <c r="M86" s="577"/>
      <c r="N86" s="561"/>
      <c r="O86" s="561"/>
      <c r="P86" s="180" t="s">
        <v>138</v>
      </c>
      <c r="Q86" s="180" t="s">
        <v>139</v>
      </c>
      <c r="R86" s="180" t="s">
        <v>140</v>
      </c>
      <c r="S86" s="182" t="s">
        <v>133</v>
      </c>
      <c r="T86" s="562"/>
      <c r="U86" s="180" t="s">
        <v>138</v>
      </c>
      <c r="V86" s="180" t="s">
        <v>139</v>
      </c>
      <c r="W86" s="180" t="s">
        <v>140</v>
      </c>
      <c r="X86" s="182" t="s">
        <v>133</v>
      </c>
      <c r="Y86" s="562"/>
      <c r="Z86" s="180" t="s">
        <v>138</v>
      </c>
      <c r="AA86" s="180" t="s">
        <v>139</v>
      </c>
      <c r="AB86" s="180" t="s">
        <v>140</v>
      </c>
      <c r="AC86" s="182" t="s">
        <v>133</v>
      </c>
      <c r="AD86" s="562"/>
      <c r="AE86" s="180" t="s">
        <v>138</v>
      </c>
      <c r="AF86" s="180" t="s">
        <v>139</v>
      </c>
      <c r="AG86" s="180" t="s">
        <v>140</v>
      </c>
      <c r="AH86" s="182" t="s">
        <v>133</v>
      </c>
      <c r="AI86" s="562"/>
      <c r="AJ86" s="180" t="s">
        <v>138</v>
      </c>
      <c r="AK86" s="180" t="s">
        <v>139</v>
      </c>
      <c r="AL86" s="180" t="s">
        <v>140</v>
      </c>
      <c r="AM86" s="182" t="s">
        <v>133</v>
      </c>
      <c r="AN86" s="562"/>
      <c r="AO86" s="180" t="s">
        <v>138</v>
      </c>
      <c r="AP86" s="180" t="s">
        <v>139</v>
      </c>
      <c r="AQ86" s="180" t="s">
        <v>140</v>
      </c>
      <c r="AR86" s="182" t="s">
        <v>133</v>
      </c>
      <c r="AS86" s="562"/>
      <c r="AT86" s="180" t="s">
        <v>138</v>
      </c>
      <c r="AU86" s="180" t="s">
        <v>139</v>
      </c>
      <c r="AV86" s="180" t="s">
        <v>140</v>
      </c>
      <c r="AW86" s="182" t="s">
        <v>133</v>
      </c>
      <c r="AX86" s="562"/>
    </row>
    <row r="87" spans="2:50">
      <c r="B87" s="530" t="s">
        <v>115</v>
      </c>
      <c r="C87" s="180">
        <v>1</v>
      </c>
      <c r="D87" s="183" t="s">
        <v>225</v>
      </c>
      <c r="E87" s="180">
        <v>13</v>
      </c>
      <c r="F87" s="180">
        <v>1200</v>
      </c>
      <c r="G87" s="185">
        <f t="shared" ref="G87:G88" si="102">F87/E87</f>
        <v>92.307692307692307</v>
      </c>
      <c r="H87" s="558">
        <f>AVERAGE(G87:G101)</f>
        <v>87.062937062937067</v>
      </c>
      <c r="I87" s="186">
        <f>AVERAGE(P87,U87,Z87,AE87,AJ87,AO87,AT87)</f>
        <v>13</v>
      </c>
      <c r="J87" s="186">
        <f>AVERAGE(Q87,V87,AA87,AF87,AK87,AP87,AU87)</f>
        <v>1079.6038104741228</v>
      </c>
      <c r="K87" s="187">
        <f>AVERAGE(R87,W87,AB87,AG87,AL87,AQ87,AV87)</f>
        <v>83.046446959547907</v>
      </c>
      <c r="L87" s="559">
        <f>IFERROR(AVERAGE(K87:K101),"-")</f>
        <v>78.042646380467062</v>
      </c>
      <c r="M87" s="186">
        <f>RANK(K87, K$87:$K$101)</f>
        <v>1</v>
      </c>
      <c r="N87" s="561"/>
      <c r="O87" s="561"/>
      <c r="P87" s="188">
        <v>13</v>
      </c>
      <c r="Q87" s="188">
        <v>1079.5746356833397</v>
      </c>
      <c r="R87" s="185">
        <f>IFERROR(Q87/P87,"")</f>
        <v>83.04420274487228</v>
      </c>
      <c r="S87" s="182">
        <f>RANK(R87, R$87:R$101)</f>
        <v>1</v>
      </c>
      <c r="T87" s="558">
        <f>AVERAGE(R87:R101)</f>
        <v>78.034160741638317</v>
      </c>
      <c r="U87" s="188">
        <v>13</v>
      </c>
      <c r="V87" s="188">
        <v>1079.5629299878592</v>
      </c>
      <c r="W87" s="185">
        <f t="shared" ref="W87:W88" si="103">IFERROR(V87/U87,"")</f>
        <v>83.043302306758406</v>
      </c>
      <c r="X87" s="182">
        <f>RANK(W87, W$87:W$101)</f>
        <v>1</v>
      </c>
      <c r="Y87" s="558">
        <f>AVERAGE(W87:W101)</f>
        <v>78.035550477195869</v>
      </c>
      <c r="Z87" s="188">
        <v>13</v>
      </c>
      <c r="AA87" s="188">
        <v>1079.596412556054</v>
      </c>
      <c r="AB87" s="185">
        <f t="shared" ref="AB87:AB88" si="104">IFERROR(AA87/Z87,"")</f>
        <v>83.045877888927237</v>
      </c>
      <c r="AC87" s="182">
        <f>RANK(AB87, AB$87:AB$101)</f>
        <v>1</v>
      </c>
      <c r="AD87" s="558">
        <f>AVERAGE(AB87:AB101)</f>
        <v>78.042514259659384</v>
      </c>
      <c r="AE87" s="188">
        <v>13</v>
      </c>
      <c r="AF87" s="188">
        <v>1079.5906765207505</v>
      </c>
      <c r="AG87" s="185">
        <f>IFERROR(AF87/AE87,"")</f>
        <v>83.045436655442344</v>
      </c>
      <c r="AH87" s="182">
        <f>RANK(AG87, AG$87:AG$101)</f>
        <v>1</v>
      </c>
      <c r="AI87" s="558">
        <f>AVERAGE(AG87:AG101)</f>
        <v>78.046805519049002</v>
      </c>
      <c r="AJ87" s="188">
        <v>13</v>
      </c>
      <c r="AK87" s="188">
        <v>1079.6195173507135</v>
      </c>
      <c r="AL87" s="185">
        <f t="shared" ref="AL87:AL88" si="105">IFERROR(AK87/AJ87,"")</f>
        <v>83.047655180824123</v>
      </c>
      <c r="AM87" s="182">
        <f>RANK(AL87, AL$87:AL$101)</f>
        <v>1</v>
      </c>
      <c r="AN87" s="558">
        <f>AVERAGE(AL87:AL101)</f>
        <v>78.051320894335134</v>
      </c>
      <c r="AO87" s="188">
        <v>13</v>
      </c>
      <c r="AP87" s="188">
        <v>1079.6277145811794</v>
      </c>
      <c r="AQ87" s="185">
        <f t="shared" ref="AQ87" si="106">IFERROR(AP87/AO87,"")</f>
        <v>83.048285737013799</v>
      </c>
      <c r="AR87" s="182">
        <f>RANK(AQ87, AQ$87:AQ$101)</f>
        <v>1</v>
      </c>
      <c r="AS87" s="558">
        <f>AVERAGE(AQ87:AQ101)</f>
        <v>83.048285737013799</v>
      </c>
      <c r="AT87" s="188">
        <v>13</v>
      </c>
      <c r="AU87" s="188">
        <v>1079.6547866389644</v>
      </c>
      <c r="AV87" s="185">
        <f t="shared" ref="AV87" si="107">IFERROR(AU87/AT87,"")</f>
        <v>83.050368202997262</v>
      </c>
      <c r="AW87" s="182">
        <f>RANK(AV87, AV$87:AV$101)</f>
        <v>1</v>
      </c>
      <c r="AX87" s="558">
        <f>AVERAGE(AV87:AV101)</f>
        <v>83.050368202997262</v>
      </c>
    </row>
    <row r="88" spans="2:50">
      <c r="B88" s="530"/>
      <c r="C88" s="180">
        <v>2</v>
      </c>
      <c r="D88" s="183" t="s">
        <v>226</v>
      </c>
      <c r="E88" s="180">
        <v>22</v>
      </c>
      <c r="F88" s="180">
        <v>1800</v>
      </c>
      <c r="G88" s="185">
        <f t="shared" si="102"/>
        <v>81.818181818181813</v>
      </c>
      <c r="H88" s="558"/>
      <c r="I88" s="186">
        <f t="shared" ref="I88:K88" si="108">AVERAGE(P88,U88,Z88,AE88,AJ88,AO88,AT88)</f>
        <v>22</v>
      </c>
      <c r="J88" s="186">
        <f t="shared" si="108"/>
        <v>1606.8546076304967</v>
      </c>
      <c r="K88" s="187">
        <f t="shared" si="108"/>
        <v>73.038845801386202</v>
      </c>
      <c r="L88" s="559"/>
      <c r="M88" s="186">
        <f>RANK(K88, K$87:$K$101)</f>
        <v>2</v>
      </c>
      <c r="N88" s="561"/>
      <c r="O88" s="561"/>
      <c r="P88" s="188">
        <v>22</v>
      </c>
      <c r="Q88" s="188">
        <v>1606.530612244896</v>
      </c>
      <c r="R88" s="185">
        <f t="shared" ref="R88" si="109">IFERROR(Q88/P88,"")</f>
        <v>73.024118738404368</v>
      </c>
      <c r="S88" s="182">
        <f>RANK(R88, R$87:R$101)</f>
        <v>2</v>
      </c>
      <c r="T88" s="558"/>
      <c r="U88" s="188">
        <v>22</v>
      </c>
      <c r="V88" s="188">
        <v>1606.6115702479335</v>
      </c>
      <c r="W88" s="185">
        <f t="shared" si="103"/>
        <v>73.027798647633347</v>
      </c>
      <c r="X88" s="182">
        <f>RANK(W88, W$87:W$101)</f>
        <v>2</v>
      </c>
      <c r="Y88" s="558"/>
      <c r="Z88" s="188">
        <v>22</v>
      </c>
      <c r="AA88" s="188">
        <v>1606.8613138686142</v>
      </c>
      <c r="AB88" s="185">
        <f t="shared" si="104"/>
        <v>73.039150630391546</v>
      </c>
      <c r="AC88" s="182">
        <f>RANK(AB88, AB$87:AB$101)</f>
        <v>2</v>
      </c>
      <c r="AD88" s="558"/>
      <c r="AE88" s="188">
        <v>22</v>
      </c>
      <c r="AF88" s="188">
        <v>1607.0598364184243</v>
      </c>
      <c r="AG88" s="185">
        <f t="shared" ref="AG88" si="110">IFERROR(AF88/AE88,"")</f>
        <v>73.048174382655645</v>
      </c>
      <c r="AH88" s="182">
        <f>RANK(AG88, AG$87:AG$101)</f>
        <v>2</v>
      </c>
      <c r="AI88" s="558"/>
      <c r="AJ88" s="188">
        <v>22</v>
      </c>
      <c r="AK88" s="188">
        <v>1607.2097053726152</v>
      </c>
      <c r="AL88" s="185">
        <f t="shared" si="105"/>
        <v>73.054986607846146</v>
      </c>
      <c r="AM88" s="182">
        <f>RANK(AL88, AL$87:AL$101)</f>
        <v>2</v>
      </c>
      <c r="AN88" s="558"/>
      <c r="AO88" s="188"/>
      <c r="AP88" s="188"/>
      <c r="AQ88" s="185"/>
      <c r="AR88" s="182"/>
      <c r="AS88" s="558"/>
      <c r="AT88" s="188"/>
      <c r="AU88" s="188"/>
      <c r="AV88" s="185"/>
      <c r="AW88" s="182"/>
      <c r="AX88" s="558"/>
    </row>
    <row r="89" spans="2:50">
      <c r="B89" s="530"/>
      <c r="C89" s="180">
        <v>3</v>
      </c>
      <c r="D89" s="183"/>
      <c r="E89" s="180"/>
      <c r="F89" s="180"/>
      <c r="G89" s="185"/>
      <c r="H89" s="558"/>
      <c r="I89" s="186"/>
      <c r="J89" s="186"/>
      <c r="K89" s="187"/>
      <c r="L89" s="559"/>
      <c r="M89" s="186"/>
      <c r="N89" s="561"/>
      <c r="O89" s="561"/>
      <c r="P89" s="188"/>
      <c r="Q89" s="188"/>
      <c r="R89" s="185"/>
      <c r="S89" s="182"/>
      <c r="T89" s="558"/>
      <c r="U89" s="188"/>
      <c r="V89" s="188"/>
      <c r="W89" s="185"/>
      <c r="X89" s="182"/>
      <c r="Y89" s="558"/>
      <c r="Z89" s="188"/>
      <c r="AA89" s="188"/>
      <c r="AB89" s="185"/>
      <c r="AC89" s="182"/>
      <c r="AD89" s="558"/>
      <c r="AE89" s="188"/>
      <c r="AF89" s="188"/>
      <c r="AG89" s="185"/>
      <c r="AH89" s="182"/>
      <c r="AI89" s="558"/>
      <c r="AJ89" s="188"/>
      <c r="AK89" s="188"/>
      <c r="AL89" s="185"/>
      <c r="AM89" s="182"/>
      <c r="AN89" s="558"/>
      <c r="AO89" s="188"/>
      <c r="AP89" s="188"/>
      <c r="AQ89" s="185"/>
      <c r="AR89" s="182"/>
      <c r="AS89" s="558"/>
      <c r="AT89" s="188"/>
      <c r="AU89" s="188"/>
      <c r="AV89" s="185"/>
      <c r="AW89" s="182"/>
      <c r="AX89" s="558"/>
    </row>
    <row r="90" spans="2:50">
      <c r="B90" s="530"/>
      <c r="C90" s="180">
        <v>4</v>
      </c>
      <c r="D90" s="183"/>
      <c r="E90" s="180"/>
      <c r="F90" s="180"/>
      <c r="G90" s="185"/>
      <c r="H90" s="558"/>
      <c r="I90" s="186"/>
      <c r="J90" s="186"/>
      <c r="K90" s="187"/>
      <c r="L90" s="559"/>
      <c r="M90" s="186"/>
      <c r="N90" s="561"/>
      <c r="O90" s="561"/>
      <c r="P90" s="188"/>
      <c r="Q90" s="188"/>
      <c r="R90" s="185"/>
      <c r="S90" s="182"/>
      <c r="T90" s="558"/>
      <c r="U90" s="188"/>
      <c r="V90" s="188"/>
      <c r="W90" s="185"/>
      <c r="X90" s="182"/>
      <c r="Y90" s="558"/>
      <c r="Z90" s="188"/>
      <c r="AA90" s="188"/>
      <c r="AB90" s="185"/>
      <c r="AC90" s="182"/>
      <c r="AD90" s="558"/>
      <c r="AE90" s="188"/>
      <c r="AF90" s="188"/>
      <c r="AG90" s="185"/>
      <c r="AH90" s="182"/>
      <c r="AI90" s="558"/>
      <c r="AJ90" s="188"/>
      <c r="AK90" s="188"/>
      <c r="AL90" s="185"/>
      <c r="AM90" s="182"/>
      <c r="AN90" s="558"/>
      <c r="AO90" s="188"/>
      <c r="AP90" s="188"/>
      <c r="AQ90" s="185"/>
      <c r="AR90" s="182"/>
      <c r="AS90" s="558"/>
      <c r="AT90" s="188"/>
      <c r="AU90" s="188"/>
      <c r="AV90" s="185"/>
      <c r="AW90" s="182"/>
      <c r="AX90" s="558"/>
    </row>
    <row r="91" spans="2:50">
      <c r="B91" s="530"/>
      <c r="C91" s="180">
        <v>5</v>
      </c>
      <c r="D91" s="183"/>
      <c r="E91" s="180"/>
      <c r="F91" s="180"/>
      <c r="G91" s="185"/>
      <c r="H91" s="558"/>
      <c r="I91" s="186"/>
      <c r="J91" s="186"/>
      <c r="K91" s="187"/>
      <c r="L91" s="559"/>
      <c r="M91" s="186"/>
      <c r="N91" s="561"/>
      <c r="O91" s="561"/>
      <c r="P91" s="188"/>
      <c r="Q91" s="188"/>
      <c r="R91" s="185"/>
      <c r="S91" s="182"/>
      <c r="T91" s="558"/>
      <c r="U91" s="188"/>
      <c r="V91" s="188"/>
      <c r="W91" s="185"/>
      <c r="X91" s="182"/>
      <c r="Y91" s="558"/>
      <c r="Z91" s="188"/>
      <c r="AA91" s="188"/>
      <c r="AB91" s="185"/>
      <c r="AC91" s="182"/>
      <c r="AD91" s="558"/>
      <c r="AE91" s="188"/>
      <c r="AF91" s="188"/>
      <c r="AG91" s="185"/>
      <c r="AH91" s="182"/>
      <c r="AI91" s="558"/>
      <c r="AJ91" s="188"/>
      <c r="AK91" s="188"/>
      <c r="AL91" s="185"/>
      <c r="AM91" s="182"/>
      <c r="AN91" s="558"/>
      <c r="AO91" s="188"/>
      <c r="AP91" s="188"/>
      <c r="AQ91" s="185"/>
      <c r="AR91" s="182"/>
      <c r="AS91" s="558"/>
      <c r="AT91" s="188"/>
      <c r="AU91" s="188"/>
      <c r="AV91" s="185"/>
      <c r="AW91" s="182"/>
      <c r="AX91" s="558"/>
    </row>
    <row r="92" spans="2:50">
      <c r="B92" s="530"/>
      <c r="C92" s="180">
        <v>6</v>
      </c>
      <c r="D92" s="183"/>
      <c r="E92" s="180"/>
      <c r="F92" s="180"/>
      <c r="G92" s="185"/>
      <c r="H92" s="558"/>
      <c r="I92" s="186"/>
      <c r="J92" s="186"/>
      <c r="K92" s="187"/>
      <c r="L92" s="559"/>
      <c r="M92" s="186"/>
      <c r="N92" s="561"/>
      <c r="O92" s="561"/>
      <c r="P92" s="188"/>
      <c r="Q92" s="188"/>
      <c r="R92" s="185"/>
      <c r="S92" s="182"/>
      <c r="T92" s="558"/>
      <c r="U92" s="188"/>
      <c r="V92" s="188"/>
      <c r="W92" s="185"/>
      <c r="X92" s="182"/>
      <c r="Y92" s="558"/>
      <c r="Z92" s="188"/>
      <c r="AA92" s="188"/>
      <c r="AB92" s="185"/>
      <c r="AC92" s="182"/>
      <c r="AD92" s="558"/>
      <c r="AE92" s="188"/>
      <c r="AF92" s="188"/>
      <c r="AG92" s="185"/>
      <c r="AH92" s="182"/>
      <c r="AI92" s="558"/>
      <c r="AJ92" s="188"/>
      <c r="AK92" s="188"/>
      <c r="AL92" s="185"/>
      <c r="AM92" s="182"/>
      <c r="AN92" s="558"/>
      <c r="AO92" s="188"/>
      <c r="AP92" s="188"/>
      <c r="AQ92" s="185"/>
      <c r="AR92" s="182"/>
      <c r="AS92" s="558"/>
      <c r="AT92" s="188"/>
      <c r="AU92" s="188"/>
      <c r="AV92" s="185"/>
      <c r="AW92" s="182"/>
      <c r="AX92" s="558"/>
    </row>
    <row r="93" spans="2:50">
      <c r="B93" s="530"/>
      <c r="C93" s="180">
        <v>7</v>
      </c>
      <c r="D93" s="183"/>
      <c r="E93" s="180"/>
      <c r="F93" s="180"/>
      <c r="G93" s="185"/>
      <c r="H93" s="558"/>
      <c r="I93" s="186"/>
      <c r="J93" s="186"/>
      <c r="K93" s="187"/>
      <c r="L93" s="559"/>
      <c r="M93" s="186"/>
      <c r="N93" s="561"/>
      <c r="O93" s="561"/>
      <c r="P93" s="188"/>
      <c r="Q93" s="188"/>
      <c r="R93" s="185"/>
      <c r="S93" s="182"/>
      <c r="T93" s="558"/>
      <c r="U93" s="188"/>
      <c r="V93" s="188"/>
      <c r="W93" s="185"/>
      <c r="X93" s="182"/>
      <c r="Y93" s="558"/>
      <c r="Z93" s="188"/>
      <c r="AA93" s="188"/>
      <c r="AB93" s="185"/>
      <c r="AC93" s="182"/>
      <c r="AD93" s="558"/>
      <c r="AE93" s="188"/>
      <c r="AF93" s="188"/>
      <c r="AG93" s="185"/>
      <c r="AH93" s="182"/>
      <c r="AI93" s="558"/>
      <c r="AJ93" s="188"/>
      <c r="AK93" s="188"/>
      <c r="AL93" s="185"/>
      <c r="AM93" s="182"/>
      <c r="AN93" s="558"/>
      <c r="AO93" s="188"/>
      <c r="AP93" s="188"/>
      <c r="AQ93" s="185"/>
      <c r="AR93" s="182"/>
      <c r="AS93" s="558"/>
      <c r="AT93" s="188"/>
      <c r="AU93" s="188"/>
      <c r="AV93" s="185"/>
      <c r="AW93" s="182"/>
      <c r="AX93" s="558"/>
    </row>
    <row r="94" spans="2:50">
      <c r="B94" s="530"/>
      <c r="C94" s="180">
        <v>8</v>
      </c>
      <c r="D94" s="183"/>
      <c r="E94" s="180"/>
      <c r="F94" s="180"/>
      <c r="G94" s="185"/>
      <c r="H94" s="558"/>
      <c r="I94" s="186"/>
      <c r="J94" s="186"/>
      <c r="K94" s="187"/>
      <c r="L94" s="559"/>
      <c r="M94" s="186"/>
      <c r="N94" s="561"/>
      <c r="O94" s="561"/>
      <c r="P94" s="188"/>
      <c r="Q94" s="188"/>
      <c r="R94" s="185"/>
      <c r="S94" s="182"/>
      <c r="T94" s="558"/>
      <c r="U94" s="188"/>
      <c r="V94" s="188"/>
      <c r="W94" s="185"/>
      <c r="X94" s="182"/>
      <c r="Y94" s="558"/>
      <c r="Z94" s="188"/>
      <c r="AA94" s="188"/>
      <c r="AB94" s="185"/>
      <c r="AC94" s="182"/>
      <c r="AD94" s="558"/>
      <c r="AE94" s="188"/>
      <c r="AF94" s="188"/>
      <c r="AG94" s="185"/>
      <c r="AH94" s="182"/>
      <c r="AI94" s="558"/>
      <c r="AJ94" s="188"/>
      <c r="AK94" s="188"/>
      <c r="AL94" s="185"/>
      <c r="AM94" s="182"/>
      <c r="AN94" s="558"/>
      <c r="AO94" s="188"/>
      <c r="AP94" s="188"/>
      <c r="AQ94" s="185"/>
      <c r="AR94" s="182"/>
      <c r="AS94" s="558"/>
      <c r="AT94" s="188"/>
      <c r="AU94" s="188"/>
      <c r="AV94" s="185"/>
      <c r="AW94" s="182"/>
      <c r="AX94" s="558"/>
    </row>
    <row r="95" spans="2:50">
      <c r="B95" s="530"/>
      <c r="C95" s="180">
        <v>9</v>
      </c>
      <c r="D95" s="183"/>
      <c r="E95" s="180"/>
      <c r="F95" s="180"/>
      <c r="G95" s="185"/>
      <c r="H95" s="558"/>
      <c r="I95" s="186"/>
      <c r="J95" s="186"/>
      <c r="K95" s="187"/>
      <c r="L95" s="559"/>
      <c r="M95" s="186"/>
      <c r="N95" s="561"/>
      <c r="O95" s="561"/>
      <c r="P95" s="188"/>
      <c r="Q95" s="188"/>
      <c r="R95" s="185"/>
      <c r="S95" s="182"/>
      <c r="T95" s="558"/>
      <c r="U95" s="188"/>
      <c r="V95" s="188"/>
      <c r="W95" s="185"/>
      <c r="X95" s="182"/>
      <c r="Y95" s="558"/>
      <c r="Z95" s="188"/>
      <c r="AA95" s="188"/>
      <c r="AB95" s="185"/>
      <c r="AC95" s="182"/>
      <c r="AD95" s="558"/>
      <c r="AE95" s="188"/>
      <c r="AF95" s="188"/>
      <c r="AG95" s="185"/>
      <c r="AH95" s="182"/>
      <c r="AI95" s="558"/>
      <c r="AJ95" s="188"/>
      <c r="AK95" s="188"/>
      <c r="AL95" s="185"/>
      <c r="AM95" s="182"/>
      <c r="AN95" s="558"/>
      <c r="AO95" s="188"/>
      <c r="AP95" s="188"/>
      <c r="AQ95" s="185"/>
      <c r="AR95" s="182"/>
      <c r="AS95" s="558"/>
      <c r="AT95" s="188"/>
      <c r="AU95" s="188"/>
      <c r="AV95" s="185"/>
      <c r="AW95" s="182"/>
      <c r="AX95" s="558"/>
    </row>
    <row r="96" spans="2:50">
      <c r="B96" s="530"/>
      <c r="C96" s="180">
        <v>10</v>
      </c>
      <c r="D96" s="183"/>
      <c r="E96" s="180"/>
      <c r="F96" s="180"/>
      <c r="G96" s="185"/>
      <c r="H96" s="558"/>
      <c r="I96" s="186"/>
      <c r="J96" s="186"/>
      <c r="K96" s="187"/>
      <c r="L96" s="559"/>
      <c r="M96" s="186"/>
      <c r="N96" s="561"/>
      <c r="O96" s="561"/>
      <c r="P96" s="188"/>
      <c r="Q96" s="188"/>
      <c r="R96" s="185"/>
      <c r="S96" s="182"/>
      <c r="T96" s="558"/>
      <c r="U96" s="188"/>
      <c r="V96" s="188"/>
      <c r="W96" s="185"/>
      <c r="X96" s="182"/>
      <c r="Y96" s="558"/>
      <c r="Z96" s="188"/>
      <c r="AA96" s="188"/>
      <c r="AB96" s="185"/>
      <c r="AC96" s="182"/>
      <c r="AD96" s="558"/>
      <c r="AE96" s="188"/>
      <c r="AF96" s="188"/>
      <c r="AG96" s="185"/>
      <c r="AH96" s="182"/>
      <c r="AI96" s="558"/>
      <c r="AJ96" s="188"/>
      <c r="AK96" s="188"/>
      <c r="AL96" s="185"/>
      <c r="AM96" s="182"/>
      <c r="AN96" s="558"/>
      <c r="AO96" s="188"/>
      <c r="AP96" s="188"/>
      <c r="AQ96" s="185"/>
      <c r="AR96" s="182"/>
      <c r="AS96" s="558"/>
      <c r="AT96" s="188"/>
      <c r="AU96" s="188"/>
      <c r="AV96" s="185"/>
      <c r="AW96" s="182"/>
      <c r="AX96" s="558"/>
    </row>
    <row r="97" spans="2:50">
      <c r="B97" s="530"/>
      <c r="C97" s="180">
        <v>11</v>
      </c>
      <c r="D97" s="183"/>
      <c r="E97" s="180"/>
      <c r="F97" s="180"/>
      <c r="G97" s="185"/>
      <c r="H97" s="558"/>
      <c r="I97" s="186"/>
      <c r="J97" s="186"/>
      <c r="K97" s="187"/>
      <c r="L97" s="559"/>
      <c r="M97" s="186"/>
      <c r="N97" s="561"/>
      <c r="O97" s="561"/>
      <c r="P97" s="188"/>
      <c r="Q97" s="188"/>
      <c r="R97" s="185"/>
      <c r="S97" s="182"/>
      <c r="T97" s="558"/>
      <c r="U97" s="188"/>
      <c r="V97" s="188"/>
      <c r="W97" s="185"/>
      <c r="X97" s="182"/>
      <c r="Y97" s="558"/>
      <c r="Z97" s="188"/>
      <c r="AA97" s="188"/>
      <c r="AB97" s="185"/>
      <c r="AC97" s="182"/>
      <c r="AD97" s="558"/>
      <c r="AE97" s="188"/>
      <c r="AF97" s="188"/>
      <c r="AG97" s="185"/>
      <c r="AH97" s="182"/>
      <c r="AI97" s="558"/>
      <c r="AJ97" s="188"/>
      <c r="AK97" s="188"/>
      <c r="AL97" s="185"/>
      <c r="AM97" s="182"/>
      <c r="AN97" s="558"/>
      <c r="AO97" s="188"/>
      <c r="AP97" s="188"/>
      <c r="AQ97" s="185"/>
      <c r="AR97" s="182"/>
      <c r="AS97" s="558"/>
      <c r="AT97" s="188"/>
      <c r="AU97" s="188"/>
      <c r="AV97" s="185"/>
      <c r="AW97" s="182"/>
      <c r="AX97" s="558"/>
    </row>
    <row r="98" spans="2:50">
      <c r="B98" s="530"/>
      <c r="C98" s="180">
        <v>12</v>
      </c>
      <c r="D98" s="183"/>
      <c r="E98" s="180"/>
      <c r="F98" s="180"/>
      <c r="G98" s="185"/>
      <c r="H98" s="558"/>
      <c r="I98" s="186"/>
      <c r="J98" s="186"/>
      <c r="K98" s="187"/>
      <c r="L98" s="559"/>
      <c r="M98" s="186"/>
      <c r="N98" s="561"/>
      <c r="O98" s="561"/>
      <c r="P98" s="188"/>
      <c r="Q98" s="188"/>
      <c r="R98" s="185"/>
      <c r="S98" s="182"/>
      <c r="T98" s="558"/>
      <c r="U98" s="188"/>
      <c r="V98" s="188"/>
      <c r="W98" s="185"/>
      <c r="X98" s="182"/>
      <c r="Y98" s="558"/>
      <c r="Z98" s="188"/>
      <c r="AA98" s="188"/>
      <c r="AB98" s="185"/>
      <c r="AC98" s="182"/>
      <c r="AD98" s="558"/>
      <c r="AE98" s="188"/>
      <c r="AF98" s="188"/>
      <c r="AG98" s="185"/>
      <c r="AH98" s="182"/>
      <c r="AI98" s="558"/>
      <c r="AJ98" s="188"/>
      <c r="AK98" s="188"/>
      <c r="AL98" s="185"/>
      <c r="AM98" s="182"/>
      <c r="AN98" s="558"/>
      <c r="AO98" s="188"/>
      <c r="AP98" s="188"/>
      <c r="AQ98" s="185"/>
      <c r="AR98" s="182"/>
      <c r="AS98" s="558"/>
      <c r="AT98" s="188"/>
      <c r="AU98" s="188"/>
      <c r="AV98" s="185"/>
      <c r="AW98" s="182"/>
      <c r="AX98" s="558"/>
    </row>
    <row r="99" spans="2:50">
      <c r="B99" s="530"/>
      <c r="C99" s="180">
        <v>13</v>
      </c>
      <c r="D99" s="183"/>
      <c r="E99" s="180"/>
      <c r="F99" s="180"/>
      <c r="G99" s="185"/>
      <c r="H99" s="558"/>
      <c r="I99" s="186"/>
      <c r="J99" s="186"/>
      <c r="K99" s="187"/>
      <c r="L99" s="559"/>
      <c r="M99" s="186"/>
      <c r="N99" s="561"/>
      <c r="O99" s="561"/>
      <c r="P99" s="188"/>
      <c r="Q99" s="188"/>
      <c r="R99" s="185"/>
      <c r="S99" s="182"/>
      <c r="T99" s="558"/>
      <c r="U99" s="188"/>
      <c r="V99" s="188"/>
      <c r="W99" s="185"/>
      <c r="X99" s="182"/>
      <c r="Y99" s="558"/>
      <c r="Z99" s="188"/>
      <c r="AA99" s="188"/>
      <c r="AB99" s="185"/>
      <c r="AC99" s="182"/>
      <c r="AD99" s="558"/>
      <c r="AE99" s="188"/>
      <c r="AF99" s="188"/>
      <c r="AG99" s="185"/>
      <c r="AH99" s="182"/>
      <c r="AI99" s="558"/>
      <c r="AJ99" s="188"/>
      <c r="AK99" s="188"/>
      <c r="AL99" s="185"/>
      <c r="AM99" s="182"/>
      <c r="AN99" s="558"/>
      <c r="AO99" s="188"/>
      <c r="AP99" s="188"/>
      <c r="AQ99" s="185"/>
      <c r="AR99" s="182"/>
      <c r="AS99" s="558"/>
      <c r="AT99" s="188"/>
      <c r="AU99" s="188"/>
      <c r="AV99" s="185"/>
      <c r="AW99" s="182"/>
      <c r="AX99" s="558"/>
    </row>
    <row r="100" spans="2:50">
      <c r="B100" s="530"/>
      <c r="C100" s="180">
        <v>14</v>
      </c>
      <c r="D100" s="183"/>
      <c r="E100" s="180"/>
      <c r="F100" s="180"/>
      <c r="G100" s="185"/>
      <c r="H100" s="558"/>
      <c r="I100" s="186"/>
      <c r="J100" s="186"/>
      <c r="K100" s="187"/>
      <c r="L100" s="559"/>
      <c r="M100" s="186"/>
      <c r="N100" s="561"/>
      <c r="O100" s="561"/>
      <c r="P100" s="188"/>
      <c r="Q100" s="188"/>
      <c r="R100" s="185"/>
      <c r="S100" s="182"/>
      <c r="T100" s="558"/>
      <c r="U100" s="188"/>
      <c r="V100" s="188"/>
      <c r="W100" s="185"/>
      <c r="X100" s="182"/>
      <c r="Y100" s="558"/>
      <c r="Z100" s="188"/>
      <c r="AA100" s="188"/>
      <c r="AB100" s="185"/>
      <c r="AC100" s="182"/>
      <c r="AD100" s="558"/>
      <c r="AE100" s="188"/>
      <c r="AF100" s="188"/>
      <c r="AG100" s="185"/>
      <c r="AH100" s="182"/>
      <c r="AI100" s="558"/>
      <c r="AJ100" s="188"/>
      <c r="AK100" s="188"/>
      <c r="AL100" s="185"/>
      <c r="AM100" s="182"/>
      <c r="AN100" s="558"/>
      <c r="AO100" s="188"/>
      <c r="AP100" s="188"/>
      <c r="AQ100" s="185"/>
      <c r="AR100" s="182"/>
      <c r="AS100" s="558"/>
      <c r="AT100" s="188"/>
      <c r="AU100" s="188"/>
      <c r="AV100" s="185"/>
      <c r="AW100" s="182"/>
      <c r="AX100" s="558"/>
    </row>
    <row r="101" spans="2:50">
      <c r="B101" s="530"/>
      <c r="C101" s="180">
        <v>15</v>
      </c>
      <c r="D101" s="183"/>
      <c r="E101" s="180"/>
      <c r="F101" s="180"/>
      <c r="G101" s="185"/>
      <c r="H101" s="558"/>
      <c r="I101" s="186"/>
      <c r="J101" s="186"/>
      <c r="K101" s="187"/>
      <c r="L101" s="559"/>
      <c r="M101" s="186"/>
      <c r="N101" s="562"/>
      <c r="O101" s="562"/>
      <c r="P101" s="188"/>
      <c r="Q101" s="188"/>
      <c r="R101" s="185"/>
      <c r="S101" s="182"/>
      <c r="T101" s="558"/>
      <c r="U101" s="188"/>
      <c r="V101" s="188"/>
      <c r="W101" s="185"/>
      <c r="X101" s="182"/>
      <c r="Y101" s="558"/>
      <c r="Z101" s="188"/>
      <c r="AA101" s="188"/>
      <c r="AB101" s="185"/>
      <c r="AC101" s="182"/>
      <c r="AD101" s="558"/>
      <c r="AE101" s="188"/>
      <c r="AF101" s="188"/>
      <c r="AG101" s="185"/>
      <c r="AH101" s="182"/>
      <c r="AI101" s="558"/>
      <c r="AJ101" s="188"/>
      <c r="AK101" s="188"/>
      <c r="AL101" s="185"/>
      <c r="AM101" s="182"/>
      <c r="AN101" s="558"/>
      <c r="AO101" s="188"/>
      <c r="AP101" s="188"/>
      <c r="AQ101" s="185"/>
      <c r="AR101" s="182"/>
      <c r="AS101" s="558"/>
      <c r="AT101" s="188"/>
      <c r="AU101" s="188"/>
      <c r="AV101" s="185"/>
      <c r="AW101" s="182"/>
      <c r="AX101" s="558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outlinePr summaryBelow="0" summaryRight="0"/>
  </sheetPr>
  <dimension ref="A1:R132"/>
  <sheetViews>
    <sheetView view="pageBreakPreview" topLeftCell="A109" zoomScale="115" zoomScaleNormal="60" zoomScaleSheetLayoutView="115" workbookViewId="0">
      <selection activeCell="K112" sqref="K112:L130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466" t="s">
        <v>228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189"/>
    </row>
    <row r="2" spans="1:18" s="19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</row>
    <row r="3" spans="1:18" ht="15.75" customHeight="1">
      <c r="A3" s="618" t="s">
        <v>229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189"/>
    </row>
    <row r="4" spans="1:18" s="190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8" s="178" customFormat="1" ht="15.75" customHeight="1">
      <c r="A5" s="615" t="s">
        <v>128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15"/>
      <c r="B6" s="194" t="s">
        <v>230</v>
      </c>
      <c r="C6" s="194" t="s">
        <v>231</v>
      </c>
      <c r="D6" s="195" t="s">
        <v>232</v>
      </c>
      <c r="E6" s="195" t="s">
        <v>233</v>
      </c>
      <c r="F6" s="195" t="s">
        <v>197</v>
      </c>
      <c r="G6" s="196" t="s">
        <v>234</v>
      </c>
      <c r="H6" s="197" t="s">
        <v>235</v>
      </c>
      <c r="I6" s="196" t="s">
        <v>236</v>
      </c>
      <c r="J6" s="196" t="s">
        <v>237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16" t="s">
        <v>56</v>
      </c>
      <c r="B7" s="616"/>
      <c r="C7" s="160" t="s">
        <v>238</v>
      </c>
      <c r="D7" s="616" t="s">
        <v>239</v>
      </c>
      <c r="E7" s="619"/>
      <c r="F7" s="619"/>
      <c r="G7" s="160" t="s">
        <v>240</v>
      </c>
      <c r="H7" s="160" t="s">
        <v>241</v>
      </c>
      <c r="I7" s="160" t="s">
        <v>242</v>
      </c>
      <c r="J7" s="160" t="s">
        <v>243</v>
      </c>
      <c r="K7" s="616" t="s">
        <v>244</v>
      </c>
      <c r="L7" s="619"/>
      <c r="M7" s="193"/>
      <c r="P7" s="439"/>
      <c r="Q7" s="439"/>
    </row>
    <row r="8" spans="1:18" ht="15.75" customHeight="1">
      <c r="A8" s="615">
        <v>1</v>
      </c>
      <c r="B8" s="616" t="s">
        <v>245</v>
      </c>
      <c r="C8" s="200">
        <v>1</v>
      </c>
      <c r="D8" s="617" t="s">
        <v>148</v>
      </c>
      <c r="E8" s="610"/>
      <c r="F8" s="610"/>
      <c r="G8" s="200">
        <v>3</v>
      </c>
      <c r="H8" s="202">
        <v>3132.7671500557772</v>
      </c>
      <c r="I8" s="203">
        <v>1044.2557166852589</v>
      </c>
      <c r="J8" s="221">
        <v>2.1948461017952923</v>
      </c>
      <c r="K8" s="611" t="s">
        <v>246</v>
      </c>
      <c r="L8" s="612"/>
      <c r="N8" s="178"/>
      <c r="O8" s="178"/>
      <c r="P8" s="439"/>
      <c r="Q8" s="439"/>
      <c r="R8" s="178"/>
    </row>
    <row r="9" spans="1:18" ht="15.75" customHeight="1">
      <c r="A9" s="615"/>
      <c r="B9" s="616"/>
      <c r="C9" s="200">
        <v>2</v>
      </c>
      <c r="D9" s="617" t="s">
        <v>162</v>
      </c>
      <c r="E9" s="610"/>
      <c r="F9" s="610"/>
      <c r="G9" s="200">
        <v>3</v>
      </c>
      <c r="H9" s="202">
        <v>3131.8723752370311</v>
      </c>
      <c r="I9" s="203">
        <v>1043.9574584123436</v>
      </c>
      <c r="J9" s="221">
        <v>1.4679308930578827</v>
      </c>
      <c r="K9" s="611" t="s">
        <v>246</v>
      </c>
      <c r="L9" s="612"/>
      <c r="N9" s="178"/>
      <c r="O9" s="178"/>
      <c r="P9" s="439"/>
      <c r="Q9" s="439"/>
      <c r="R9" s="178"/>
    </row>
    <row r="10" spans="1:18" ht="15.75" customHeight="1">
      <c r="A10" s="615"/>
      <c r="B10" s="616"/>
      <c r="C10" s="200">
        <v>3</v>
      </c>
      <c r="D10" s="617" t="s">
        <v>158</v>
      </c>
      <c r="E10" s="610"/>
      <c r="F10" s="610"/>
      <c r="G10" s="200">
        <v>3</v>
      </c>
      <c r="H10" s="202">
        <v>3128.4251328296677</v>
      </c>
      <c r="I10" s="203">
        <v>1042.8083776098892</v>
      </c>
      <c r="J10" s="221">
        <v>2.5635010879725542</v>
      </c>
      <c r="K10" s="611" t="s">
        <v>246</v>
      </c>
      <c r="L10" s="612"/>
      <c r="N10" s="178"/>
      <c r="O10" s="178"/>
      <c r="P10" s="439"/>
      <c r="Q10" s="439"/>
      <c r="R10" s="178"/>
    </row>
    <row r="11" spans="1:18" ht="15.75" customHeight="1">
      <c r="A11" s="615"/>
      <c r="B11" s="616"/>
      <c r="C11" s="200">
        <v>4</v>
      </c>
      <c r="D11" s="617" t="s">
        <v>146</v>
      </c>
      <c r="E11" s="610"/>
      <c r="F11" s="610"/>
      <c r="G11" s="200">
        <v>3</v>
      </c>
      <c r="H11" s="202">
        <v>3128.185443379693</v>
      </c>
      <c r="I11" s="203">
        <v>1042.728481126564</v>
      </c>
      <c r="J11" s="221"/>
      <c r="K11" s="611" t="s">
        <v>246</v>
      </c>
      <c r="L11" s="612"/>
      <c r="N11" s="178"/>
      <c r="O11" s="178"/>
      <c r="P11" s="439"/>
      <c r="Q11" s="439"/>
      <c r="R11" s="178"/>
    </row>
    <row r="12" spans="1:18" ht="15.75" customHeight="1">
      <c r="A12" s="615"/>
      <c r="B12" s="616"/>
      <c r="C12" s="200">
        <v>5</v>
      </c>
      <c r="D12" s="617" t="s">
        <v>161</v>
      </c>
      <c r="E12" s="610"/>
      <c r="F12" s="610"/>
      <c r="G12" s="200">
        <v>3</v>
      </c>
      <c r="H12" s="202">
        <v>3126.518450865578</v>
      </c>
      <c r="I12" s="203">
        <v>1042.172816955193</v>
      </c>
      <c r="J12" s="221">
        <v>1.4473365368621671</v>
      </c>
      <c r="K12" s="611" t="s">
        <v>246</v>
      </c>
      <c r="L12" s="612"/>
      <c r="N12" s="178"/>
      <c r="O12" s="178"/>
      <c r="P12" s="439"/>
      <c r="Q12" s="439"/>
      <c r="R12" s="178"/>
    </row>
    <row r="13" spans="1:18" ht="15.75" customHeight="1">
      <c r="A13" s="615"/>
      <c r="B13" s="616"/>
      <c r="C13" s="204" t="s">
        <v>247</v>
      </c>
      <c r="D13" s="610" t="s">
        <v>153</v>
      </c>
      <c r="E13" s="610"/>
      <c r="F13" s="610"/>
      <c r="G13" s="201">
        <v>12</v>
      </c>
      <c r="H13" s="205">
        <v>3123.1075362016422</v>
      </c>
      <c r="I13" s="206">
        <v>260.25896135013687</v>
      </c>
      <c r="J13" s="221">
        <v>0.34940505162899171</v>
      </c>
      <c r="K13" s="611" t="s">
        <v>246</v>
      </c>
      <c r="L13" s="612"/>
      <c r="N13" s="178"/>
      <c r="O13" s="178"/>
      <c r="P13" s="439"/>
      <c r="Q13" s="439"/>
      <c r="R13" s="178"/>
    </row>
    <row r="14" spans="1:18" ht="15.75" customHeight="1">
      <c r="A14" s="615"/>
      <c r="B14" s="616"/>
      <c r="C14" s="204" t="s">
        <v>248</v>
      </c>
      <c r="D14" s="610" t="s">
        <v>171</v>
      </c>
      <c r="E14" s="610"/>
      <c r="F14" s="610"/>
      <c r="G14" s="201">
        <v>12</v>
      </c>
      <c r="H14" s="205">
        <v>3123.5270669334591</v>
      </c>
      <c r="I14" s="206">
        <v>260.2939222444549</v>
      </c>
      <c r="J14" s="221">
        <v>0.39192349894670997</v>
      </c>
      <c r="K14" s="611" t="s">
        <v>246</v>
      </c>
      <c r="L14" s="612"/>
      <c r="N14" s="178"/>
      <c r="O14" s="178"/>
      <c r="P14" s="439"/>
      <c r="Q14" s="439"/>
      <c r="R14" s="178"/>
    </row>
    <row r="15" spans="1:18" ht="15.75" customHeight="1">
      <c r="A15" s="615"/>
      <c r="B15" s="616"/>
      <c r="C15" s="204" t="s">
        <v>249</v>
      </c>
      <c r="D15" s="610" t="s">
        <v>169</v>
      </c>
      <c r="E15" s="610"/>
      <c r="F15" s="610"/>
      <c r="G15" s="201">
        <v>5</v>
      </c>
      <c r="H15" s="205">
        <v>2663.1570810760809</v>
      </c>
      <c r="I15" s="206">
        <v>532.63141621521618</v>
      </c>
      <c r="J15" s="221">
        <v>0.23507216033817713</v>
      </c>
      <c r="K15" s="611" t="s">
        <v>246</v>
      </c>
      <c r="L15" s="612"/>
      <c r="O15" s="178"/>
      <c r="P15" s="439"/>
      <c r="Q15" s="439"/>
      <c r="R15" s="178"/>
    </row>
    <row r="16" spans="1:18" ht="15.75" customHeight="1">
      <c r="A16" s="615"/>
      <c r="B16" s="616"/>
      <c r="C16" s="204" t="s">
        <v>250</v>
      </c>
      <c r="D16" s="610" t="s">
        <v>160</v>
      </c>
      <c r="E16" s="610"/>
      <c r="F16" s="610"/>
      <c r="G16" s="201">
        <v>5</v>
      </c>
      <c r="H16" s="205">
        <v>2954.2612360267531</v>
      </c>
      <c r="I16" s="206">
        <v>590.85224720535075</v>
      </c>
      <c r="J16" s="221"/>
      <c r="K16" s="611" t="s">
        <v>246</v>
      </c>
      <c r="L16" s="612"/>
      <c r="M16" s="189"/>
      <c r="N16" s="178"/>
      <c r="O16" s="178"/>
      <c r="P16" s="439"/>
      <c r="Q16" s="439"/>
      <c r="R16" s="178"/>
    </row>
    <row r="17" spans="1:18" ht="15.75" customHeight="1">
      <c r="A17" s="615"/>
      <c r="B17" s="616"/>
      <c r="C17" s="204" t="s">
        <v>251</v>
      </c>
      <c r="D17" s="610" t="s">
        <v>156</v>
      </c>
      <c r="E17" s="610"/>
      <c r="F17" s="610"/>
      <c r="G17" s="201">
        <v>5</v>
      </c>
      <c r="H17" s="205">
        <v>2954.8940701060151</v>
      </c>
      <c r="I17" s="206">
        <v>590.97881402120299</v>
      </c>
      <c r="J17" s="221">
        <v>25.068832644040072</v>
      </c>
      <c r="K17" s="620" t="s">
        <v>252</v>
      </c>
      <c r="L17" s="610"/>
      <c r="M17" s="189"/>
      <c r="N17" s="178"/>
      <c r="O17" s="178"/>
      <c r="P17" s="439"/>
      <c r="Q17" s="439"/>
      <c r="R17" s="178"/>
    </row>
    <row r="18" spans="1:18" s="199" customFormat="1" ht="15.75" customHeight="1">
      <c r="A18" s="613" t="s">
        <v>56</v>
      </c>
      <c r="B18" s="613"/>
      <c r="C18" s="207" t="s">
        <v>238</v>
      </c>
      <c r="D18" s="613" t="s">
        <v>239</v>
      </c>
      <c r="E18" s="614"/>
      <c r="F18" s="614"/>
      <c r="G18" s="207" t="s">
        <v>240</v>
      </c>
      <c r="H18" s="207" t="s">
        <v>241</v>
      </c>
      <c r="I18" s="207" t="s">
        <v>242</v>
      </c>
      <c r="J18" s="160" t="s">
        <v>253</v>
      </c>
      <c r="K18" s="613" t="s">
        <v>244</v>
      </c>
      <c r="L18" s="614"/>
      <c r="M18" s="208"/>
      <c r="N18" s="178"/>
      <c r="O18" s="178"/>
      <c r="P18" s="439"/>
      <c r="Q18" s="439"/>
      <c r="R18" s="178"/>
    </row>
    <row r="19" spans="1:18" ht="15.75" customHeight="1">
      <c r="A19" s="615">
        <v>2</v>
      </c>
      <c r="B19" s="616" t="s">
        <v>231</v>
      </c>
      <c r="C19" s="200">
        <v>1</v>
      </c>
      <c r="D19" s="617" t="s">
        <v>183</v>
      </c>
      <c r="E19" s="610"/>
      <c r="F19" s="610"/>
      <c r="G19" s="200">
        <v>6</v>
      </c>
      <c r="H19" s="202">
        <v>2319.6039674427343</v>
      </c>
      <c r="I19" s="203">
        <v>386.60066124045579</v>
      </c>
      <c r="J19" s="221">
        <v>0.46461235509877952</v>
      </c>
      <c r="K19" s="611" t="s">
        <v>246</v>
      </c>
      <c r="L19" s="612"/>
      <c r="M19" s="189"/>
      <c r="N19" s="178"/>
      <c r="O19" s="178"/>
      <c r="P19" s="439"/>
      <c r="Q19" s="439"/>
      <c r="R19" s="178"/>
    </row>
    <row r="20" spans="1:18" ht="15.75" customHeight="1">
      <c r="A20" s="615"/>
      <c r="B20" s="616"/>
      <c r="C20" s="200">
        <v>2</v>
      </c>
      <c r="D20" s="617" t="s">
        <v>185</v>
      </c>
      <c r="E20" s="610"/>
      <c r="F20" s="610"/>
      <c r="G20" s="200">
        <v>6</v>
      </c>
      <c r="H20" s="202">
        <v>2319.2605995557547</v>
      </c>
      <c r="I20" s="203">
        <v>386.5434332592925</v>
      </c>
      <c r="J20" s="221">
        <v>0.46689421260873587</v>
      </c>
      <c r="K20" s="611" t="s">
        <v>246</v>
      </c>
      <c r="L20" s="612"/>
      <c r="M20" s="189"/>
      <c r="N20" s="178"/>
      <c r="O20" s="178"/>
      <c r="P20" s="439"/>
      <c r="Q20" s="439"/>
      <c r="R20" s="178"/>
    </row>
    <row r="21" spans="1:18" ht="15.75" customHeight="1">
      <c r="A21" s="615"/>
      <c r="B21" s="616"/>
      <c r="C21" s="200">
        <v>3</v>
      </c>
      <c r="D21" s="617" t="s">
        <v>184</v>
      </c>
      <c r="E21" s="610"/>
      <c r="F21" s="610"/>
      <c r="G21" s="200">
        <v>6</v>
      </c>
      <c r="H21" s="202">
        <v>2258.3818479964661</v>
      </c>
      <c r="I21" s="203">
        <v>376.39697466607765</v>
      </c>
      <c r="J21" s="221">
        <v>0.29065714245007257</v>
      </c>
      <c r="K21" s="611" t="s">
        <v>246</v>
      </c>
      <c r="L21" s="612"/>
      <c r="M21" s="189"/>
      <c r="N21" s="178"/>
      <c r="O21" s="178"/>
      <c r="P21" s="439"/>
      <c r="Q21" s="439"/>
      <c r="R21" s="178"/>
    </row>
    <row r="22" spans="1:18" ht="15.75" customHeight="1">
      <c r="A22" s="615"/>
      <c r="B22" s="616"/>
      <c r="C22" s="200">
        <v>4</v>
      </c>
      <c r="D22" s="617" t="s">
        <v>182</v>
      </c>
      <c r="E22" s="610"/>
      <c r="F22" s="610"/>
      <c r="G22" s="200">
        <v>11</v>
      </c>
      <c r="H22" s="202">
        <v>3171.00351288926</v>
      </c>
      <c r="I22" s="203">
        <v>288.27304662629638</v>
      </c>
      <c r="J22" s="221">
        <v>1.0982445995149419</v>
      </c>
      <c r="K22" s="611" t="s">
        <v>246</v>
      </c>
      <c r="L22" s="612"/>
      <c r="M22" s="189"/>
      <c r="N22" s="178"/>
      <c r="O22" s="178"/>
      <c r="P22" s="439"/>
      <c r="Q22" s="439"/>
      <c r="R22" s="178"/>
    </row>
    <row r="23" spans="1:18" ht="15.75" customHeight="1">
      <c r="A23" s="615"/>
      <c r="B23" s="616"/>
      <c r="C23" s="200">
        <v>5</v>
      </c>
      <c r="D23" s="617" t="s">
        <v>188</v>
      </c>
      <c r="E23" s="610"/>
      <c r="F23" s="610"/>
      <c r="G23" s="200">
        <v>11</v>
      </c>
      <c r="H23" s="202">
        <v>3169.5739929455344</v>
      </c>
      <c r="I23" s="203">
        <v>288.14309026777585</v>
      </c>
      <c r="J23" s="221">
        <v>0.96698399360258236</v>
      </c>
      <c r="K23" s="611" t="s">
        <v>246</v>
      </c>
      <c r="L23" s="612"/>
      <c r="M23" s="189"/>
      <c r="N23" s="178"/>
      <c r="O23" s="178"/>
      <c r="P23" s="439"/>
      <c r="Q23" s="439"/>
      <c r="R23" s="178"/>
    </row>
    <row r="24" spans="1:18" ht="15.75" customHeight="1">
      <c r="A24" s="615"/>
      <c r="B24" s="616"/>
      <c r="C24" s="204" t="s">
        <v>247</v>
      </c>
      <c r="D24" s="617" t="s">
        <v>181</v>
      </c>
      <c r="E24" s="610"/>
      <c r="F24" s="610"/>
      <c r="G24" s="200">
        <v>12</v>
      </c>
      <c r="H24" s="202">
        <v>3134.8143445815936</v>
      </c>
      <c r="I24" s="203">
        <v>261.2345287151328</v>
      </c>
      <c r="J24" s="221">
        <v>0.65987629591955965</v>
      </c>
      <c r="K24" s="611" t="s">
        <v>246</v>
      </c>
      <c r="L24" s="612"/>
      <c r="M24" s="189"/>
      <c r="N24" s="178"/>
      <c r="O24" s="178"/>
      <c r="P24" s="439"/>
      <c r="Q24" s="439"/>
      <c r="R24" s="178"/>
    </row>
    <row r="25" spans="1:18" ht="15.75" customHeight="1">
      <c r="A25" s="615"/>
      <c r="B25" s="616"/>
      <c r="C25" s="204" t="s">
        <v>248</v>
      </c>
      <c r="D25" s="617" t="s">
        <v>187</v>
      </c>
      <c r="E25" s="610"/>
      <c r="F25" s="610"/>
      <c r="G25" s="200">
        <v>12</v>
      </c>
      <c r="H25" s="202">
        <v>3134.8512845685168</v>
      </c>
      <c r="I25" s="203">
        <v>261.23760704737634</v>
      </c>
      <c r="J25" s="221">
        <v>0.83537959309177268</v>
      </c>
      <c r="K25" s="611" t="s">
        <v>246</v>
      </c>
      <c r="L25" s="612"/>
      <c r="M25" s="189"/>
      <c r="N25" s="178"/>
      <c r="O25" s="178"/>
      <c r="P25" s="439"/>
      <c r="Q25" s="439"/>
      <c r="R25" s="178"/>
    </row>
    <row r="26" spans="1:18" ht="15.75" customHeight="1">
      <c r="A26" s="615"/>
      <c r="B26" s="616"/>
      <c r="C26" s="204" t="s">
        <v>249</v>
      </c>
      <c r="D26" s="617" t="s">
        <v>186</v>
      </c>
      <c r="E26" s="610"/>
      <c r="F26" s="610"/>
      <c r="G26" s="200">
        <v>12</v>
      </c>
      <c r="H26" s="202">
        <v>3134.9190788818037</v>
      </c>
      <c r="I26" s="203">
        <v>261.24325657348356</v>
      </c>
      <c r="J26" s="221">
        <v>0.87995415214913919</v>
      </c>
      <c r="K26" s="611" t="s">
        <v>246</v>
      </c>
      <c r="L26" s="612"/>
      <c r="M26" s="189"/>
      <c r="N26" s="178"/>
      <c r="O26" s="178"/>
      <c r="P26" s="439"/>
      <c r="Q26" s="439"/>
      <c r="R26" s="178"/>
    </row>
    <row r="27" spans="1:18" ht="15.75" customHeight="1">
      <c r="A27" s="615"/>
      <c r="B27" s="616"/>
      <c r="C27" s="204" t="s">
        <v>250</v>
      </c>
      <c r="D27" s="617" t="s">
        <v>180</v>
      </c>
      <c r="E27" s="610"/>
      <c r="F27" s="610"/>
      <c r="G27" s="200">
        <v>12</v>
      </c>
      <c r="H27" s="202">
        <v>3135.5174846663926</v>
      </c>
      <c r="I27" s="203">
        <v>261.29312372219943</v>
      </c>
      <c r="J27" s="221">
        <v>0.91064319956979034</v>
      </c>
      <c r="K27" s="611" t="s">
        <v>246</v>
      </c>
      <c r="L27" s="612"/>
      <c r="M27" s="189"/>
      <c r="N27" s="178"/>
      <c r="O27" s="178"/>
      <c r="P27" s="439"/>
      <c r="Q27" s="439"/>
      <c r="R27" s="178"/>
    </row>
    <row r="28" spans="1:18" ht="15.75" customHeight="1">
      <c r="A28" s="615"/>
      <c r="B28" s="616"/>
      <c r="C28" s="204" t="s">
        <v>251</v>
      </c>
      <c r="D28" s="617"/>
      <c r="E28" s="610"/>
      <c r="F28" s="610"/>
      <c r="G28" s="200"/>
      <c r="H28" s="202"/>
      <c r="I28" s="203"/>
      <c r="J28" s="221"/>
      <c r="K28" s="617"/>
      <c r="L28" s="610"/>
      <c r="M28" s="189"/>
      <c r="O28" s="178"/>
      <c r="P28" s="439"/>
      <c r="Q28" s="439"/>
      <c r="R28" s="178"/>
    </row>
    <row r="29" spans="1:18" ht="15.75" customHeight="1">
      <c r="A29" s="618" t="s">
        <v>254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189"/>
    </row>
    <row r="30" spans="1:18" s="190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8" s="178" customFormat="1" ht="15.75" customHeight="1">
      <c r="A31" s="615" t="s">
        <v>128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15"/>
      <c r="B32" s="194" t="s">
        <v>230</v>
      </c>
      <c r="C32" s="194" t="s">
        <v>231</v>
      </c>
      <c r="D32" s="195" t="s">
        <v>232</v>
      </c>
      <c r="E32" s="195" t="s">
        <v>233</v>
      </c>
      <c r="F32" s="195" t="s">
        <v>197</v>
      </c>
      <c r="G32" s="196" t="s">
        <v>234</v>
      </c>
      <c r="H32" s="197" t="s">
        <v>235</v>
      </c>
      <c r="I32" s="196" t="s">
        <v>236</v>
      </c>
      <c r="J32" s="196" t="s">
        <v>237</v>
      </c>
      <c r="K32" s="198"/>
      <c r="L32" s="198"/>
    </row>
    <row r="33" spans="1:13" s="178" customFormat="1" ht="15.75" customHeight="1">
      <c r="A33" s="616" t="s">
        <v>56</v>
      </c>
      <c r="B33" s="616"/>
      <c r="C33" s="160" t="s">
        <v>238</v>
      </c>
      <c r="D33" s="616" t="s">
        <v>239</v>
      </c>
      <c r="E33" s="619"/>
      <c r="F33" s="619"/>
      <c r="G33" s="160" t="s">
        <v>240</v>
      </c>
      <c r="H33" s="160" t="s">
        <v>241</v>
      </c>
      <c r="I33" s="160" t="s">
        <v>242</v>
      </c>
      <c r="J33" s="160" t="s">
        <v>243</v>
      </c>
      <c r="K33" s="616" t="s">
        <v>244</v>
      </c>
      <c r="L33" s="619"/>
      <c r="M33" s="193"/>
    </row>
    <row r="34" spans="1:13" ht="15.75" customHeight="1">
      <c r="A34" s="615">
        <v>1</v>
      </c>
      <c r="B34" s="616" t="s">
        <v>245</v>
      </c>
      <c r="C34" s="200">
        <v>1</v>
      </c>
      <c r="D34" s="617" t="s">
        <v>148</v>
      </c>
      <c r="E34" s="610"/>
      <c r="F34" s="610"/>
      <c r="G34" s="200">
        <v>3</v>
      </c>
      <c r="H34" s="202">
        <v>3136.7304194586654</v>
      </c>
      <c r="I34" s="203">
        <v>1045.5768064862218</v>
      </c>
      <c r="J34" s="221">
        <f>I34-I8</f>
        <v>1.3210898009629091</v>
      </c>
      <c r="K34" s="611" t="s">
        <v>246</v>
      </c>
      <c r="L34" s="612"/>
    </row>
    <row r="35" spans="1:13" ht="15.75" customHeight="1">
      <c r="A35" s="615"/>
      <c r="B35" s="616"/>
      <c r="C35" s="200">
        <v>2</v>
      </c>
      <c r="D35" s="617" t="s">
        <v>162</v>
      </c>
      <c r="E35" s="610"/>
      <c r="F35" s="610"/>
      <c r="G35" s="200">
        <v>3</v>
      </c>
      <c r="H35" s="202">
        <v>3136.3145953318713</v>
      </c>
      <c r="I35" s="203">
        <v>1045.4381984439572</v>
      </c>
      <c r="J35" s="221">
        <f>I35-I9</f>
        <v>1.4807400316135499</v>
      </c>
      <c r="K35" s="611" t="s">
        <v>246</v>
      </c>
      <c r="L35" s="612"/>
    </row>
    <row r="36" spans="1:13" ht="15.75" customHeight="1">
      <c r="A36" s="615"/>
      <c r="B36" s="616"/>
      <c r="C36" s="200">
        <v>3</v>
      </c>
      <c r="D36" s="617" t="s">
        <v>161</v>
      </c>
      <c r="E36" s="610"/>
      <c r="F36" s="610"/>
      <c r="G36" s="200">
        <v>3</v>
      </c>
      <c r="H36" s="202">
        <v>3131.228734006344</v>
      </c>
      <c r="I36" s="203">
        <v>1043.7429113354481</v>
      </c>
      <c r="J36" s="221">
        <f>I36-I12</f>
        <v>1.5700943802551137</v>
      </c>
      <c r="K36" s="611" t="s">
        <v>246</v>
      </c>
      <c r="L36" s="612"/>
    </row>
    <row r="37" spans="1:13" ht="15.75" customHeight="1">
      <c r="A37" s="615"/>
      <c r="B37" s="616"/>
      <c r="C37" s="200">
        <v>4</v>
      </c>
      <c r="D37" s="617" t="s">
        <v>146</v>
      </c>
      <c r="E37" s="610"/>
      <c r="F37" s="610"/>
      <c r="G37" s="200">
        <v>3</v>
      </c>
      <c r="H37" s="202">
        <v>3130.9454853595535</v>
      </c>
      <c r="I37" s="203">
        <v>1043.6484951198511</v>
      </c>
      <c r="J37" s="221">
        <f>I37-I11</f>
        <v>0.92001399328705702</v>
      </c>
      <c r="K37" s="611" t="s">
        <v>246</v>
      </c>
      <c r="L37" s="612"/>
    </row>
    <row r="38" spans="1:13" ht="15.75" customHeight="1">
      <c r="A38" s="615"/>
      <c r="B38" s="616"/>
      <c r="C38" s="200">
        <v>5</v>
      </c>
      <c r="D38" s="617" t="s">
        <v>143</v>
      </c>
      <c r="E38" s="610"/>
      <c r="F38" s="610"/>
      <c r="G38" s="200">
        <v>3</v>
      </c>
      <c r="H38" s="202">
        <v>3130.3104415519556</v>
      </c>
      <c r="I38" s="203">
        <v>1043.4368138506518</v>
      </c>
      <c r="J38" s="221"/>
      <c r="K38" s="611" t="s">
        <v>246</v>
      </c>
      <c r="L38" s="612"/>
    </row>
    <row r="39" spans="1:13" ht="15.75" customHeight="1">
      <c r="A39" s="615"/>
      <c r="B39" s="616"/>
      <c r="C39" s="204" t="s">
        <v>247</v>
      </c>
      <c r="D39" s="610" t="s">
        <v>153</v>
      </c>
      <c r="E39" s="610"/>
      <c r="F39" s="610"/>
      <c r="G39" s="201">
        <v>12</v>
      </c>
      <c r="H39" s="205">
        <v>3125.3695994828263</v>
      </c>
      <c r="I39" s="206">
        <v>260.44746662356886</v>
      </c>
      <c r="J39" s="221">
        <f>I39-I13</f>
        <v>0.18850527343198564</v>
      </c>
      <c r="K39" s="611" t="s">
        <v>246</v>
      </c>
      <c r="L39" s="612"/>
    </row>
    <row r="40" spans="1:13" ht="15.75" customHeight="1">
      <c r="A40" s="615"/>
      <c r="B40" s="616"/>
      <c r="C40" s="204" t="s">
        <v>248</v>
      </c>
      <c r="D40" s="610" t="s">
        <v>171</v>
      </c>
      <c r="E40" s="610"/>
      <c r="F40" s="610"/>
      <c r="G40" s="201">
        <v>12</v>
      </c>
      <c r="H40" s="205">
        <v>3125.4329316798535</v>
      </c>
      <c r="I40" s="206">
        <v>260.45274430665444</v>
      </c>
      <c r="J40" s="221">
        <f>I40-I14</f>
        <v>0.15882206219953332</v>
      </c>
      <c r="K40" s="611" t="s">
        <v>246</v>
      </c>
      <c r="L40" s="612"/>
    </row>
    <row r="41" spans="1:13" ht="15.75" customHeight="1">
      <c r="A41" s="615"/>
      <c r="B41" s="616"/>
      <c r="C41" s="204" t="s">
        <v>249</v>
      </c>
      <c r="D41" s="610" t="s">
        <v>169</v>
      </c>
      <c r="E41" s="610"/>
      <c r="F41" s="610"/>
      <c r="G41" s="201">
        <v>5</v>
      </c>
      <c r="H41" s="205">
        <v>2665.0578901669119</v>
      </c>
      <c r="I41" s="206">
        <v>533.01157803338242</v>
      </c>
      <c r="J41" s="221">
        <f>I41-I15</f>
        <v>0.38016181816624339</v>
      </c>
      <c r="K41" s="611" t="s">
        <v>246</v>
      </c>
      <c r="L41" s="612"/>
    </row>
    <row r="42" spans="1:13" ht="15.75" customHeight="1">
      <c r="A42" s="615"/>
      <c r="B42" s="616"/>
      <c r="C42" s="204" t="s">
        <v>250</v>
      </c>
      <c r="D42" s="610" t="s">
        <v>160</v>
      </c>
      <c r="E42" s="610"/>
      <c r="F42" s="610"/>
      <c r="G42" s="201">
        <v>5</v>
      </c>
      <c r="H42" s="205">
        <v>2955.2883229916633</v>
      </c>
      <c r="I42" s="206">
        <v>591.05766459833274</v>
      </c>
      <c r="J42" s="221">
        <f>I42-I16</f>
        <v>0.20541739298198536</v>
      </c>
      <c r="K42" s="611" t="s">
        <v>246</v>
      </c>
      <c r="L42" s="612"/>
      <c r="M42" s="189"/>
    </row>
    <row r="43" spans="1:13" ht="15.75" customHeight="1">
      <c r="A43" s="615"/>
      <c r="B43" s="616"/>
      <c r="C43" s="204" t="s">
        <v>251</v>
      </c>
      <c r="D43" s="610" t="s">
        <v>145</v>
      </c>
      <c r="E43" s="610"/>
      <c r="F43" s="610"/>
      <c r="G43" s="201">
        <v>5</v>
      </c>
      <c r="H43" s="205">
        <v>2956.5203446313317</v>
      </c>
      <c r="I43" s="206">
        <v>591.30406892626627</v>
      </c>
      <c r="J43" s="221"/>
      <c r="K43" s="611" t="s">
        <v>246</v>
      </c>
      <c r="L43" s="612"/>
      <c r="M43" s="189"/>
    </row>
    <row r="44" spans="1:13" s="199" customFormat="1" ht="15.75" customHeight="1">
      <c r="A44" s="613" t="s">
        <v>56</v>
      </c>
      <c r="B44" s="613"/>
      <c r="C44" s="207" t="s">
        <v>238</v>
      </c>
      <c r="D44" s="613" t="s">
        <v>239</v>
      </c>
      <c r="E44" s="614"/>
      <c r="F44" s="614"/>
      <c r="G44" s="207" t="s">
        <v>240</v>
      </c>
      <c r="H44" s="207" t="s">
        <v>241</v>
      </c>
      <c r="I44" s="207" t="s">
        <v>242</v>
      </c>
      <c r="J44" s="160" t="s">
        <v>243</v>
      </c>
      <c r="K44" s="613" t="s">
        <v>244</v>
      </c>
      <c r="L44" s="614"/>
      <c r="M44" s="208"/>
    </row>
    <row r="45" spans="1:13" ht="15.75" customHeight="1">
      <c r="A45" s="615">
        <v>2</v>
      </c>
      <c r="B45" s="616" t="s">
        <v>231</v>
      </c>
      <c r="C45" s="200">
        <v>1</v>
      </c>
      <c r="D45" s="617" t="s">
        <v>183</v>
      </c>
      <c r="E45" s="610"/>
      <c r="F45" s="610"/>
      <c r="G45" s="200">
        <v>6</v>
      </c>
      <c r="H45" s="202">
        <v>2322.9124764783364</v>
      </c>
      <c r="I45" s="203">
        <v>387.15207941305601</v>
      </c>
      <c r="J45" s="221">
        <f>I45-I19</f>
        <v>0.55141817260022208</v>
      </c>
      <c r="K45" s="611" t="s">
        <v>246</v>
      </c>
      <c r="L45" s="612"/>
      <c r="M45" s="189"/>
    </row>
    <row r="46" spans="1:13" ht="15.75" customHeight="1">
      <c r="A46" s="615"/>
      <c r="B46" s="616"/>
      <c r="C46" s="200">
        <v>2</v>
      </c>
      <c r="D46" s="617" t="s">
        <v>185</v>
      </c>
      <c r="E46" s="610"/>
      <c r="F46" s="610"/>
      <c r="G46" s="200">
        <v>6</v>
      </c>
      <c r="H46" s="202">
        <v>2322.7348147065181</v>
      </c>
      <c r="I46" s="203">
        <v>387.1224691177531</v>
      </c>
      <c r="J46" s="221">
        <f>I46-I20</f>
        <v>0.57903585846059968</v>
      </c>
      <c r="K46" s="611" t="s">
        <v>246</v>
      </c>
      <c r="L46" s="612"/>
      <c r="M46" s="189"/>
    </row>
    <row r="47" spans="1:13" ht="15.75" customHeight="1">
      <c r="A47" s="615"/>
      <c r="B47" s="616"/>
      <c r="C47" s="200">
        <v>3</v>
      </c>
      <c r="D47" s="617" t="s">
        <v>184</v>
      </c>
      <c r="E47" s="610"/>
      <c r="F47" s="610"/>
      <c r="G47" s="200">
        <v>6</v>
      </c>
      <c r="H47" s="202">
        <v>2263.8111645202716</v>
      </c>
      <c r="I47" s="203">
        <v>377.30186075337861</v>
      </c>
      <c r="J47" s="221">
        <f>I47-I21</f>
        <v>0.90488608730095166</v>
      </c>
      <c r="K47" s="611" t="s">
        <v>246</v>
      </c>
      <c r="L47" s="612"/>
      <c r="M47" s="189"/>
    </row>
    <row r="48" spans="1:13" ht="15.75" customHeight="1">
      <c r="A48" s="615"/>
      <c r="B48" s="616"/>
      <c r="C48" s="200">
        <v>4</v>
      </c>
      <c r="D48" s="617" t="s">
        <v>182</v>
      </c>
      <c r="E48" s="610"/>
      <c r="F48" s="610"/>
      <c r="G48" s="200">
        <v>11</v>
      </c>
      <c r="H48" s="202">
        <v>3172.1920902997326</v>
      </c>
      <c r="I48" s="203">
        <v>288.38109911815752</v>
      </c>
      <c r="J48" s="221">
        <f>I48-I22</f>
        <v>0.10805249186114452</v>
      </c>
      <c r="K48" s="611" t="s">
        <v>246</v>
      </c>
      <c r="L48" s="612"/>
      <c r="M48" s="189"/>
    </row>
    <row r="49" spans="1:18" ht="15.75" customHeight="1">
      <c r="A49" s="615"/>
      <c r="B49" s="616"/>
      <c r="C49" s="200">
        <v>5</v>
      </c>
      <c r="D49" s="617" t="s">
        <v>188</v>
      </c>
      <c r="E49" s="610"/>
      <c r="F49" s="610"/>
      <c r="G49" s="200">
        <v>11</v>
      </c>
      <c r="H49" s="202">
        <v>3171.4237873088382</v>
      </c>
      <c r="I49" s="203">
        <v>288.31125339171257</v>
      </c>
      <c r="J49" s="221">
        <f>I49-I23</f>
        <v>0.16816312393672206</v>
      </c>
      <c r="K49" s="611" t="s">
        <v>246</v>
      </c>
      <c r="L49" s="612"/>
      <c r="M49" s="189"/>
    </row>
    <row r="50" spans="1:18" ht="15.75" customHeight="1">
      <c r="A50" s="615"/>
      <c r="B50" s="616"/>
      <c r="C50" s="204" t="s">
        <v>247</v>
      </c>
      <c r="D50" s="617" t="s">
        <v>187</v>
      </c>
      <c r="E50" s="610"/>
      <c r="F50" s="610"/>
      <c r="G50" s="200">
        <v>12</v>
      </c>
      <c r="H50" s="202">
        <v>3138.2059360020403</v>
      </c>
      <c r="I50" s="203">
        <v>261.51716133350334</v>
      </c>
      <c r="J50" s="221">
        <f>I50-I25</f>
        <v>0.27955428612699507</v>
      </c>
      <c r="K50" s="611" t="s">
        <v>246</v>
      </c>
      <c r="L50" s="612"/>
      <c r="M50" s="189"/>
    </row>
    <row r="51" spans="1:18" ht="15.75" customHeight="1">
      <c r="A51" s="615"/>
      <c r="B51" s="616"/>
      <c r="C51" s="204" t="s">
        <v>248</v>
      </c>
      <c r="D51" s="617" t="s">
        <v>181</v>
      </c>
      <c r="E51" s="610"/>
      <c r="F51" s="610"/>
      <c r="G51" s="200">
        <v>12</v>
      </c>
      <c r="H51" s="202">
        <v>3138.614644804506</v>
      </c>
      <c r="I51" s="203">
        <v>261.55122040037548</v>
      </c>
      <c r="J51" s="221">
        <f>I51-I24</f>
        <v>0.31669168524268798</v>
      </c>
      <c r="K51" s="611" t="s">
        <v>246</v>
      </c>
      <c r="L51" s="612"/>
      <c r="M51" s="189"/>
    </row>
    <row r="52" spans="1:18" ht="15.75" customHeight="1">
      <c r="A52" s="615"/>
      <c r="B52" s="616"/>
      <c r="C52" s="204" t="s">
        <v>249</v>
      </c>
      <c r="D52" s="617" t="s">
        <v>186</v>
      </c>
      <c r="E52" s="610"/>
      <c r="F52" s="610"/>
      <c r="G52" s="200">
        <v>12</v>
      </c>
      <c r="H52" s="202">
        <v>3139.2834714278238</v>
      </c>
      <c r="I52" s="203">
        <v>261.60695595231869</v>
      </c>
      <c r="J52" s="221">
        <f>I52-I26</f>
        <v>0.36369937883512193</v>
      </c>
      <c r="K52" s="611" t="s">
        <v>246</v>
      </c>
      <c r="L52" s="612"/>
      <c r="M52" s="189"/>
    </row>
    <row r="53" spans="1:18" ht="15.75" customHeight="1">
      <c r="A53" s="615"/>
      <c r="B53" s="616"/>
      <c r="C53" s="204" t="s">
        <v>250</v>
      </c>
      <c r="D53" s="617" t="s">
        <v>180</v>
      </c>
      <c r="E53" s="610"/>
      <c r="F53" s="610"/>
      <c r="G53" s="200">
        <v>12</v>
      </c>
      <c r="H53" s="202">
        <v>3139.3058684648645</v>
      </c>
      <c r="I53" s="203">
        <v>261.60882237207204</v>
      </c>
      <c r="J53" s="221">
        <f>I53-I27</f>
        <v>0.31569864987261553</v>
      </c>
      <c r="K53" s="611" t="s">
        <v>246</v>
      </c>
      <c r="L53" s="612"/>
      <c r="M53" s="189"/>
    </row>
    <row r="54" spans="1:18" ht="15.75" customHeight="1">
      <c r="A54" s="615"/>
      <c r="B54" s="616"/>
      <c r="C54" s="204" t="s">
        <v>251</v>
      </c>
      <c r="D54" s="617"/>
      <c r="E54" s="610"/>
      <c r="F54" s="610"/>
      <c r="G54" s="200"/>
      <c r="H54" s="202"/>
      <c r="I54" s="203"/>
      <c r="J54" s="221"/>
      <c r="K54" s="611"/>
      <c r="L54" s="612"/>
      <c r="M54" s="189"/>
    </row>
    <row r="55" spans="1:18" ht="15.75" customHeight="1">
      <c r="A55" s="618" t="s">
        <v>255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189"/>
    </row>
    <row r="56" spans="1:18" s="190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</row>
    <row r="57" spans="1:18" s="178" customFormat="1" ht="15.75" customHeight="1">
      <c r="A57" s="615" t="s">
        <v>128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15"/>
      <c r="B58" s="194" t="s">
        <v>230</v>
      </c>
      <c r="C58" s="194" t="s">
        <v>231</v>
      </c>
      <c r="D58" s="195" t="s">
        <v>232</v>
      </c>
      <c r="E58" s="195" t="s">
        <v>233</v>
      </c>
      <c r="F58" s="195" t="s">
        <v>197</v>
      </c>
      <c r="G58" s="196" t="s">
        <v>234</v>
      </c>
      <c r="H58" s="197" t="s">
        <v>235</v>
      </c>
      <c r="I58" s="196" t="s">
        <v>236</v>
      </c>
      <c r="J58" s="196" t="s">
        <v>237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16" t="s">
        <v>56</v>
      </c>
      <c r="B59" s="616"/>
      <c r="C59" s="160" t="s">
        <v>238</v>
      </c>
      <c r="D59" s="616" t="s">
        <v>239</v>
      </c>
      <c r="E59" s="619"/>
      <c r="F59" s="619"/>
      <c r="G59" s="160" t="s">
        <v>240</v>
      </c>
      <c r="H59" s="160" t="s">
        <v>241</v>
      </c>
      <c r="I59" s="160" t="s">
        <v>242</v>
      </c>
      <c r="J59" s="160" t="s">
        <v>243</v>
      </c>
      <c r="K59" s="616" t="s">
        <v>244</v>
      </c>
      <c r="L59" s="619"/>
      <c r="M59" s="193"/>
      <c r="P59" s="439"/>
      <c r="Q59" s="439"/>
    </row>
    <row r="60" spans="1:18" ht="15.75" customHeight="1">
      <c r="A60" s="615">
        <v>1</v>
      </c>
      <c r="B60" s="616" t="s">
        <v>245</v>
      </c>
      <c r="C60" s="200">
        <v>1</v>
      </c>
      <c r="D60" s="617" t="s">
        <v>148</v>
      </c>
      <c r="E60" s="610"/>
      <c r="F60" s="610"/>
      <c r="G60" s="200">
        <v>3</v>
      </c>
      <c r="H60" s="202">
        <v>3143.2205035965808</v>
      </c>
      <c r="I60" s="203">
        <v>1047.7401678655269</v>
      </c>
      <c r="J60" s="221">
        <f>I60-I34</f>
        <v>2.1633613793051154</v>
      </c>
      <c r="K60" s="611" t="s">
        <v>246</v>
      </c>
      <c r="L60" s="612"/>
      <c r="N60" s="178"/>
      <c r="O60" s="178"/>
      <c r="P60" s="439"/>
      <c r="Q60" s="439"/>
      <c r="R60" s="178"/>
    </row>
    <row r="61" spans="1:18" ht="15.75" customHeight="1">
      <c r="A61" s="615"/>
      <c r="B61" s="616"/>
      <c r="C61" s="200">
        <v>2</v>
      </c>
      <c r="D61" s="617" t="s">
        <v>162</v>
      </c>
      <c r="E61" s="610"/>
      <c r="F61" s="610"/>
      <c r="G61" s="200">
        <v>3</v>
      </c>
      <c r="H61" s="202">
        <v>3141.9112234629888</v>
      </c>
      <c r="I61" s="203">
        <v>1047.3037411543294</v>
      </c>
      <c r="J61" s="221">
        <f>I61-I35</f>
        <v>1.8655427103722104</v>
      </c>
      <c r="K61" s="611" t="s">
        <v>246</v>
      </c>
      <c r="L61" s="612"/>
      <c r="N61" s="178"/>
      <c r="O61" s="178"/>
      <c r="P61" s="439"/>
      <c r="Q61" s="439"/>
      <c r="R61" s="178"/>
    </row>
    <row r="62" spans="1:18" ht="15.75" customHeight="1">
      <c r="A62" s="615"/>
      <c r="B62" s="616"/>
      <c r="C62" s="200">
        <v>3</v>
      </c>
      <c r="D62" s="617" t="s">
        <v>161</v>
      </c>
      <c r="E62" s="610"/>
      <c r="F62" s="610"/>
      <c r="G62" s="200">
        <v>3</v>
      </c>
      <c r="H62" s="202">
        <v>3139.1871290628474</v>
      </c>
      <c r="I62" s="203">
        <v>1046.3957096876159</v>
      </c>
      <c r="J62" s="221">
        <f>I62-I36</f>
        <v>2.6527983521677925</v>
      </c>
      <c r="K62" s="611" t="s">
        <v>246</v>
      </c>
      <c r="L62" s="612"/>
      <c r="N62" s="178"/>
      <c r="O62" s="178"/>
      <c r="P62" s="439"/>
      <c r="Q62" s="439"/>
      <c r="R62" s="178"/>
    </row>
    <row r="63" spans="1:18" ht="15.75" customHeight="1">
      <c r="A63" s="615"/>
      <c r="B63" s="616"/>
      <c r="C63" s="200">
        <v>4</v>
      </c>
      <c r="D63" s="617" t="s">
        <v>146</v>
      </c>
      <c r="E63" s="610"/>
      <c r="F63" s="610"/>
      <c r="G63" s="200">
        <v>3</v>
      </c>
      <c r="H63" s="202">
        <v>3138.6435840621807</v>
      </c>
      <c r="I63" s="203">
        <v>1046.2145280207267</v>
      </c>
      <c r="J63" s="221">
        <f>I63-I37</f>
        <v>2.566032900875598</v>
      </c>
      <c r="K63" s="611" t="s">
        <v>246</v>
      </c>
      <c r="L63" s="612"/>
      <c r="N63" s="178"/>
      <c r="O63" s="178"/>
      <c r="P63" s="439"/>
      <c r="Q63" s="439"/>
      <c r="R63" s="178"/>
    </row>
    <row r="64" spans="1:18" ht="15.75" customHeight="1">
      <c r="A64" s="615"/>
      <c r="B64" s="616"/>
      <c r="C64" s="200">
        <v>5</v>
      </c>
      <c r="D64" s="617" t="s">
        <v>158</v>
      </c>
      <c r="E64" s="610"/>
      <c r="F64" s="610"/>
      <c r="G64" s="200">
        <v>3</v>
      </c>
      <c r="H64" s="202">
        <v>3137.8604447623379</v>
      </c>
      <c r="I64" s="203">
        <v>1045.953481587446</v>
      </c>
      <c r="J64" s="221"/>
      <c r="K64" s="611" t="s">
        <v>246</v>
      </c>
      <c r="L64" s="612"/>
      <c r="N64" s="178"/>
      <c r="O64" s="178"/>
      <c r="P64" s="439"/>
      <c r="Q64" s="439"/>
      <c r="R64" s="178"/>
    </row>
    <row r="65" spans="1:18" ht="15.75" customHeight="1">
      <c r="A65" s="615"/>
      <c r="B65" s="616"/>
      <c r="C65" s="204" t="s">
        <v>247</v>
      </c>
      <c r="D65" s="610" t="s">
        <v>153</v>
      </c>
      <c r="E65" s="610"/>
      <c r="F65" s="610"/>
      <c r="G65" s="201">
        <v>12</v>
      </c>
      <c r="H65" s="205">
        <v>3126.3834186986596</v>
      </c>
      <c r="I65" s="206">
        <v>260.53195155822164</v>
      </c>
      <c r="J65" s="221">
        <f>I65-I39</f>
        <v>8.4484934652778065E-2</v>
      </c>
      <c r="K65" s="611" t="s">
        <v>246</v>
      </c>
      <c r="L65" s="612"/>
      <c r="N65" s="178"/>
      <c r="O65" s="178"/>
      <c r="P65" s="439"/>
      <c r="Q65" s="439"/>
      <c r="R65" s="178"/>
    </row>
    <row r="66" spans="1:18" ht="15.75" customHeight="1">
      <c r="A66" s="615"/>
      <c r="B66" s="616"/>
      <c r="C66" s="204" t="s">
        <v>248</v>
      </c>
      <c r="D66" s="610" t="s">
        <v>171</v>
      </c>
      <c r="E66" s="610"/>
      <c r="F66" s="610"/>
      <c r="G66" s="201">
        <v>12</v>
      </c>
      <c r="H66" s="205">
        <v>3126.5609028055228</v>
      </c>
      <c r="I66" s="206">
        <v>260.54674190046023</v>
      </c>
      <c r="J66" s="221">
        <f>I66-I40</f>
        <v>9.3997593805795532E-2</v>
      </c>
      <c r="K66" s="611" t="s">
        <v>246</v>
      </c>
      <c r="L66" s="612"/>
      <c r="N66" s="178"/>
      <c r="O66" s="178"/>
      <c r="P66" s="439"/>
      <c r="Q66" s="439"/>
      <c r="R66" s="178"/>
    </row>
    <row r="67" spans="1:18" ht="15.75" customHeight="1">
      <c r="A67" s="615"/>
      <c r="B67" s="616"/>
      <c r="C67" s="204" t="s">
        <v>249</v>
      </c>
      <c r="D67" s="610" t="s">
        <v>169</v>
      </c>
      <c r="E67" s="610"/>
      <c r="F67" s="610"/>
      <c r="G67" s="201">
        <v>5</v>
      </c>
      <c r="H67" s="205">
        <v>2668.6289829309535</v>
      </c>
      <c r="I67" s="206">
        <v>533.72579658619065</v>
      </c>
      <c r="J67" s="221">
        <f>I67-I41</f>
        <v>0.71421855280823365</v>
      </c>
      <c r="K67" s="611" t="s">
        <v>246</v>
      </c>
      <c r="L67" s="612"/>
      <c r="O67" s="178"/>
      <c r="P67" s="439"/>
      <c r="Q67" s="439"/>
      <c r="R67" s="178"/>
    </row>
    <row r="68" spans="1:18" ht="15.75" customHeight="1">
      <c r="A68" s="615"/>
      <c r="B68" s="616"/>
      <c r="C68" s="204" t="s">
        <v>250</v>
      </c>
      <c r="D68" s="610" t="s">
        <v>145</v>
      </c>
      <c r="E68" s="610"/>
      <c r="F68" s="610"/>
      <c r="G68" s="201">
        <v>5</v>
      </c>
      <c r="H68" s="205">
        <v>2958.654235967414</v>
      </c>
      <c r="I68" s="206">
        <v>591.73084719348287</v>
      </c>
      <c r="J68" s="221">
        <f>I68-I43</f>
        <v>0.42677826721660495</v>
      </c>
      <c r="K68" s="611" t="s">
        <v>246</v>
      </c>
      <c r="L68" s="612"/>
      <c r="M68" s="189"/>
      <c r="N68" s="178"/>
      <c r="O68" s="178"/>
      <c r="P68" s="439"/>
      <c r="Q68" s="439"/>
      <c r="R68" s="178"/>
    </row>
    <row r="69" spans="1:18" ht="15.75" customHeight="1">
      <c r="A69" s="615"/>
      <c r="B69" s="616"/>
      <c r="C69" s="204" t="s">
        <v>251</v>
      </c>
      <c r="D69" s="610" t="s">
        <v>156</v>
      </c>
      <c r="E69" s="610"/>
      <c r="F69" s="610"/>
      <c r="G69" s="201">
        <v>5</v>
      </c>
      <c r="H69" s="205">
        <v>2958.7707215325167</v>
      </c>
      <c r="I69" s="206">
        <v>591.75414430650324</v>
      </c>
      <c r="J69" s="221"/>
      <c r="K69" s="611" t="s">
        <v>246</v>
      </c>
      <c r="L69" s="612"/>
      <c r="M69" s="189"/>
      <c r="N69" s="178"/>
      <c r="O69" s="178"/>
      <c r="P69" s="439"/>
      <c r="Q69" s="439"/>
      <c r="R69" s="178"/>
    </row>
    <row r="70" spans="1:18" s="199" customFormat="1" ht="15.75" customHeight="1">
      <c r="A70" s="613" t="s">
        <v>56</v>
      </c>
      <c r="B70" s="613"/>
      <c r="C70" s="207" t="s">
        <v>238</v>
      </c>
      <c r="D70" s="613" t="s">
        <v>239</v>
      </c>
      <c r="E70" s="614"/>
      <c r="F70" s="614"/>
      <c r="G70" s="207" t="s">
        <v>240</v>
      </c>
      <c r="H70" s="207" t="s">
        <v>241</v>
      </c>
      <c r="I70" s="207" t="s">
        <v>242</v>
      </c>
      <c r="J70" s="160" t="s">
        <v>243</v>
      </c>
      <c r="K70" s="613" t="s">
        <v>244</v>
      </c>
      <c r="L70" s="614"/>
      <c r="M70" s="208"/>
      <c r="N70" s="178"/>
      <c r="O70" s="178"/>
      <c r="P70" s="439"/>
      <c r="Q70" s="439"/>
      <c r="R70" s="178"/>
    </row>
    <row r="71" spans="1:18" ht="15.75" customHeight="1">
      <c r="A71" s="615">
        <v>2</v>
      </c>
      <c r="B71" s="616" t="s">
        <v>231</v>
      </c>
      <c r="C71" s="200">
        <v>1</v>
      </c>
      <c r="D71" s="617" t="s">
        <v>183</v>
      </c>
      <c r="E71" s="610"/>
      <c r="F71" s="610"/>
      <c r="G71" s="200">
        <v>6</v>
      </c>
      <c r="H71" s="202">
        <v>2329.6280179805935</v>
      </c>
      <c r="I71" s="203">
        <v>388.27133633009896</v>
      </c>
      <c r="J71" s="221">
        <f>I71-I45</f>
        <v>1.1192569170429465</v>
      </c>
      <c r="K71" s="611" t="s">
        <v>246</v>
      </c>
      <c r="L71" s="612"/>
      <c r="M71" s="189"/>
      <c r="N71" s="178"/>
      <c r="O71" s="178"/>
      <c r="P71" s="439"/>
      <c r="Q71" s="439"/>
      <c r="R71" s="178"/>
    </row>
    <row r="72" spans="1:18" ht="15.75" customHeight="1">
      <c r="A72" s="615"/>
      <c r="B72" s="616"/>
      <c r="C72" s="200">
        <v>2</v>
      </c>
      <c r="D72" s="617" t="s">
        <v>185</v>
      </c>
      <c r="E72" s="610"/>
      <c r="F72" s="610"/>
      <c r="G72" s="200">
        <v>6</v>
      </c>
      <c r="H72" s="202">
        <v>2329.0347124822392</v>
      </c>
      <c r="I72" s="203">
        <v>388.1724520803732</v>
      </c>
      <c r="J72" s="221">
        <f>I72-I46</f>
        <v>1.0499829626201063</v>
      </c>
      <c r="K72" s="611" t="s">
        <v>246</v>
      </c>
      <c r="L72" s="612"/>
      <c r="M72" s="189"/>
      <c r="N72" s="178"/>
      <c r="O72" s="178"/>
      <c r="P72" s="439"/>
      <c r="Q72" s="439"/>
      <c r="R72" s="178"/>
    </row>
    <row r="73" spans="1:18" ht="15.75" customHeight="1">
      <c r="A73" s="615"/>
      <c r="B73" s="616"/>
      <c r="C73" s="200">
        <v>3</v>
      </c>
      <c r="D73" s="617" t="s">
        <v>184</v>
      </c>
      <c r="E73" s="610"/>
      <c r="F73" s="610"/>
      <c r="G73" s="200">
        <v>6</v>
      </c>
      <c r="H73" s="202">
        <v>2262.3848913847578</v>
      </c>
      <c r="I73" s="203">
        <v>377.0641485641263</v>
      </c>
      <c r="J73" s="221">
        <f>I73-I47</f>
        <v>-0.23771218925230642</v>
      </c>
      <c r="K73" s="611" t="s">
        <v>246</v>
      </c>
      <c r="L73" s="612"/>
      <c r="M73" s="189"/>
      <c r="N73" s="178"/>
      <c r="O73" s="178"/>
      <c r="P73" s="439"/>
      <c r="Q73" s="439"/>
      <c r="R73" s="178"/>
    </row>
    <row r="74" spans="1:18" ht="15.75" customHeight="1">
      <c r="A74" s="615"/>
      <c r="B74" s="616"/>
      <c r="C74" s="200">
        <v>4</v>
      </c>
      <c r="D74" s="617" t="s">
        <v>188</v>
      </c>
      <c r="E74" s="610"/>
      <c r="F74" s="610"/>
      <c r="G74" s="200">
        <v>11</v>
      </c>
      <c r="H74" s="202">
        <v>3172.3419905355195</v>
      </c>
      <c r="I74" s="203">
        <v>288.39472641231998</v>
      </c>
      <c r="J74" s="221">
        <f>I74-I49</f>
        <v>8.3473020607414128E-2</v>
      </c>
      <c r="K74" s="611" t="s">
        <v>246</v>
      </c>
      <c r="L74" s="612"/>
      <c r="M74" s="189"/>
      <c r="N74" s="178"/>
      <c r="O74" s="178"/>
      <c r="P74" s="439"/>
      <c r="Q74" s="439"/>
      <c r="R74" s="178"/>
    </row>
    <row r="75" spans="1:18" ht="15.75" customHeight="1">
      <c r="A75" s="615"/>
      <c r="B75" s="616"/>
      <c r="C75" s="200">
        <v>5</v>
      </c>
      <c r="D75" s="617" t="s">
        <v>182</v>
      </c>
      <c r="E75" s="610"/>
      <c r="F75" s="610"/>
      <c r="G75" s="200">
        <v>11</v>
      </c>
      <c r="H75" s="202">
        <v>3171.1239283609725</v>
      </c>
      <c r="I75" s="203">
        <v>288.28399348736116</v>
      </c>
      <c r="J75" s="221">
        <f>I75-I48</f>
        <v>-9.7105630796363585E-2</v>
      </c>
      <c r="K75" s="611" t="s">
        <v>246</v>
      </c>
      <c r="L75" s="612"/>
      <c r="M75" s="189"/>
      <c r="N75" s="178"/>
      <c r="O75" s="178"/>
      <c r="P75" s="439"/>
      <c r="Q75" s="439"/>
      <c r="R75" s="178"/>
    </row>
    <row r="76" spans="1:18" ht="15.75" customHeight="1">
      <c r="A76" s="615"/>
      <c r="B76" s="616"/>
      <c r="C76" s="204" t="s">
        <v>247</v>
      </c>
      <c r="D76" s="617" t="s">
        <v>187</v>
      </c>
      <c r="E76" s="610"/>
      <c r="F76" s="610"/>
      <c r="G76" s="200">
        <v>12</v>
      </c>
      <c r="H76" s="202">
        <v>3139.6801431425069</v>
      </c>
      <c r="I76" s="203">
        <v>261.64001192854221</v>
      </c>
      <c r="J76" s="221">
        <f>I76-I50</f>
        <v>0.12285059503886941</v>
      </c>
      <c r="K76" s="611" t="s">
        <v>246</v>
      </c>
      <c r="L76" s="612"/>
      <c r="M76" s="189"/>
      <c r="N76" s="178"/>
      <c r="O76" s="178"/>
      <c r="P76" s="439"/>
      <c r="Q76" s="439"/>
      <c r="R76" s="178"/>
    </row>
    <row r="77" spans="1:18" ht="15.75" customHeight="1">
      <c r="A77" s="615"/>
      <c r="B77" s="616"/>
      <c r="C77" s="204" t="s">
        <v>248</v>
      </c>
      <c r="D77" s="617" t="s">
        <v>181</v>
      </c>
      <c r="E77" s="610"/>
      <c r="F77" s="610"/>
      <c r="G77" s="200">
        <v>12</v>
      </c>
      <c r="H77" s="202">
        <v>3139.7477718352261</v>
      </c>
      <c r="I77" s="203">
        <v>261.64564765293545</v>
      </c>
      <c r="J77" s="221">
        <f>I77-I51</f>
        <v>9.4427252559967201E-2</v>
      </c>
      <c r="K77" s="611" t="s">
        <v>246</v>
      </c>
      <c r="L77" s="612"/>
      <c r="M77" s="189"/>
      <c r="O77" s="178"/>
      <c r="P77" s="439"/>
      <c r="Q77" s="439"/>
      <c r="R77" s="178"/>
    </row>
    <row r="78" spans="1:18" ht="15.75" customHeight="1">
      <c r="A78" s="615"/>
      <c r="B78" s="616"/>
      <c r="C78" s="204" t="s">
        <v>249</v>
      </c>
      <c r="D78" s="617" t="s">
        <v>186</v>
      </c>
      <c r="E78" s="610"/>
      <c r="F78" s="610"/>
      <c r="G78" s="200">
        <v>12</v>
      </c>
      <c r="H78" s="202">
        <v>3139.9972512733648</v>
      </c>
      <c r="I78" s="203">
        <v>261.66643760611367</v>
      </c>
      <c r="J78" s="221">
        <f>I78-I52</f>
        <v>5.9481653794989597E-2</v>
      </c>
      <c r="K78" s="611" t="s">
        <v>246</v>
      </c>
      <c r="L78" s="612"/>
      <c r="M78" s="189"/>
      <c r="N78" s="178"/>
      <c r="O78" s="178"/>
      <c r="P78" s="439"/>
      <c r="Q78" s="439"/>
      <c r="R78" s="178"/>
    </row>
    <row r="79" spans="1:18" ht="15.75" customHeight="1">
      <c r="A79" s="615"/>
      <c r="B79" s="616"/>
      <c r="C79" s="204" t="s">
        <v>250</v>
      </c>
      <c r="D79" s="617" t="s">
        <v>180</v>
      </c>
      <c r="E79" s="610"/>
      <c r="F79" s="610"/>
      <c r="G79" s="200">
        <v>12</v>
      </c>
      <c r="H79" s="202">
        <v>3140.1033443064734</v>
      </c>
      <c r="I79" s="203">
        <v>261.67527869220612</v>
      </c>
      <c r="J79" s="221">
        <f>I79-I53</f>
        <v>6.645632013407976E-2</v>
      </c>
      <c r="K79" s="611" t="s">
        <v>246</v>
      </c>
      <c r="L79" s="612"/>
      <c r="M79" s="189"/>
      <c r="N79" s="178"/>
      <c r="O79" s="178"/>
      <c r="P79" s="439"/>
      <c r="Q79" s="439"/>
      <c r="R79" s="178"/>
    </row>
    <row r="80" spans="1:18" ht="15.75" customHeight="1">
      <c r="A80" s="615"/>
      <c r="B80" s="616"/>
      <c r="C80" s="204" t="s">
        <v>251</v>
      </c>
      <c r="D80" s="617"/>
      <c r="E80" s="610"/>
      <c r="F80" s="610"/>
      <c r="G80" s="200"/>
      <c r="H80" s="202"/>
      <c r="I80" s="203"/>
      <c r="J80" s="221"/>
      <c r="K80" s="611"/>
      <c r="L80" s="612"/>
      <c r="M80" s="189"/>
      <c r="N80" s="178"/>
      <c r="O80" s="178"/>
      <c r="P80" s="439"/>
      <c r="Q80" s="439"/>
      <c r="R80" s="178"/>
    </row>
    <row r="81" spans="1:18" ht="15.75" customHeight="1">
      <c r="A81" s="618" t="s">
        <v>256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189"/>
    </row>
    <row r="82" spans="1:18" s="190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8" s="178" customFormat="1" ht="15.75" customHeight="1">
      <c r="A83" s="615" t="s">
        <v>128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15"/>
      <c r="B84" s="194" t="s">
        <v>230</v>
      </c>
      <c r="C84" s="194" t="s">
        <v>231</v>
      </c>
      <c r="D84" s="195" t="s">
        <v>232</v>
      </c>
      <c r="E84" s="195" t="s">
        <v>233</v>
      </c>
      <c r="F84" s="195" t="s">
        <v>197</v>
      </c>
      <c r="G84" s="196" t="s">
        <v>234</v>
      </c>
      <c r="H84" s="197" t="s">
        <v>235</v>
      </c>
      <c r="I84" s="196" t="s">
        <v>236</v>
      </c>
      <c r="J84" s="196" t="s">
        <v>237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16" t="s">
        <v>56</v>
      </c>
      <c r="B85" s="616"/>
      <c r="C85" s="160" t="s">
        <v>238</v>
      </c>
      <c r="D85" s="616" t="s">
        <v>239</v>
      </c>
      <c r="E85" s="619"/>
      <c r="F85" s="619"/>
      <c r="G85" s="160" t="s">
        <v>240</v>
      </c>
      <c r="H85" s="160" t="s">
        <v>241</v>
      </c>
      <c r="I85" s="160" t="s">
        <v>242</v>
      </c>
      <c r="J85" s="160" t="s">
        <v>243</v>
      </c>
      <c r="K85" s="616" t="s">
        <v>244</v>
      </c>
      <c r="L85" s="619"/>
      <c r="M85" s="193"/>
      <c r="P85" s="439"/>
      <c r="Q85" s="439"/>
    </row>
    <row r="86" spans="1:18" ht="15.75" customHeight="1">
      <c r="A86" s="615">
        <v>1</v>
      </c>
      <c r="B86" s="616" t="s">
        <v>245</v>
      </c>
      <c r="C86" s="200">
        <v>1</v>
      </c>
      <c r="D86" s="617" t="s">
        <v>162</v>
      </c>
      <c r="E86" s="610"/>
      <c r="F86" s="610"/>
      <c r="G86" s="200">
        <v>3</v>
      </c>
      <c r="H86" s="202">
        <v>3148.5085847644477</v>
      </c>
      <c r="I86" s="203">
        <v>1049.5028615881492</v>
      </c>
      <c r="J86" s="221">
        <f>I86-I60</f>
        <v>1.7626937226223163</v>
      </c>
      <c r="K86" s="611" t="s">
        <v>246</v>
      </c>
      <c r="L86" s="612"/>
      <c r="N86" s="178"/>
      <c r="O86" s="178"/>
      <c r="P86" s="439"/>
      <c r="Q86" s="439"/>
      <c r="R86" s="178"/>
    </row>
    <row r="87" spans="1:18" ht="15.75" customHeight="1">
      <c r="A87" s="615"/>
      <c r="B87" s="616"/>
      <c r="C87" s="200">
        <v>2</v>
      </c>
      <c r="D87" s="617" t="s">
        <v>148</v>
      </c>
      <c r="E87" s="610"/>
      <c r="F87" s="610"/>
      <c r="G87" s="200">
        <v>3</v>
      </c>
      <c r="H87" s="202">
        <v>3143.9343410581728</v>
      </c>
      <c r="I87" s="203">
        <v>1047.9781136860577</v>
      </c>
      <c r="J87" s="221">
        <f>I87-I61</f>
        <v>0.67437253172829514</v>
      </c>
      <c r="K87" s="611" t="s">
        <v>246</v>
      </c>
      <c r="L87" s="612"/>
      <c r="N87" s="178"/>
      <c r="O87" s="178"/>
      <c r="P87" s="439"/>
      <c r="Q87" s="439"/>
      <c r="R87" s="178"/>
    </row>
    <row r="88" spans="1:18" ht="15.75" customHeight="1">
      <c r="A88" s="615"/>
      <c r="B88" s="616"/>
      <c r="C88" s="200">
        <v>3</v>
      </c>
      <c r="D88" s="617" t="s">
        <v>161</v>
      </c>
      <c r="E88" s="610"/>
      <c r="F88" s="610"/>
      <c r="G88" s="200">
        <v>3</v>
      </c>
      <c r="H88" s="202">
        <v>3141.9035478284923</v>
      </c>
      <c r="I88" s="203">
        <v>1047.3011826094973</v>
      </c>
      <c r="J88" s="221">
        <f>I88-I62</f>
        <v>0.90547292188148276</v>
      </c>
      <c r="K88" s="611" t="s">
        <v>246</v>
      </c>
      <c r="L88" s="612"/>
      <c r="N88" s="178"/>
      <c r="O88" s="178"/>
      <c r="P88" s="439"/>
      <c r="Q88" s="439"/>
      <c r="R88" s="178"/>
    </row>
    <row r="89" spans="1:18" ht="15.75" customHeight="1">
      <c r="A89" s="615"/>
      <c r="B89" s="616"/>
      <c r="C89" s="200">
        <v>4</v>
      </c>
      <c r="D89" s="617" t="s">
        <v>146</v>
      </c>
      <c r="E89" s="610"/>
      <c r="F89" s="610"/>
      <c r="G89" s="200">
        <v>3</v>
      </c>
      <c r="H89" s="202">
        <v>3141.3733552517624</v>
      </c>
      <c r="I89" s="203">
        <v>1047.1244517505877</v>
      </c>
      <c r="J89" s="221">
        <f>I89-I63</f>
        <v>0.90992372986102055</v>
      </c>
      <c r="K89" s="611" t="s">
        <v>246</v>
      </c>
      <c r="L89" s="612"/>
      <c r="N89" s="178"/>
      <c r="O89" s="178"/>
      <c r="P89" s="439"/>
      <c r="Q89" s="439"/>
      <c r="R89" s="178"/>
    </row>
    <row r="90" spans="1:18" ht="15.75" customHeight="1">
      <c r="A90" s="615"/>
      <c r="B90" s="616"/>
      <c r="C90" s="200">
        <v>5</v>
      </c>
      <c r="D90" s="617" t="s">
        <v>158</v>
      </c>
      <c r="E90" s="610"/>
      <c r="F90" s="610"/>
      <c r="G90" s="200">
        <v>3</v>
      </c>
      <c r="H90" s="202">
        <v>3140.0499663295027</v>
      </c>
      <c r="I90" s="203">
        <v>1046.6833221098343</v>
      </c>
      <c r="J90" s="221">
        <f>I90-I64</f>
        <v>0.72984052238825825</v>
      </c>
      <c r="K90" s="611" t="s">
        <v>246</v>
      </c>
      <c r="L90" s="612"/>
      <c r="N90" s="178"/>
      <c r="O90" s="178"/>
      <c r="P90" s="439"/>
      <c r="Q90" s="439"/>
      <c r="R90" s="178"/>
    </row>
    <row r="91" spans="1:18" ht="15.75" customHeight="1">
      <c r="A91" s="615"/>
      <c r="B91" s="616"/>
      <c r="C91" s="204" t="s">
        <v>247</v>
      </c>
      <c r="D91" s="610" t="s">
        <v>171</v>
      </c>
      <c r="E91" s="610"/>
      <c r="F91" s="610"/>
      <c r="G91" s="201">
        <v>12</v>
      </c>
      <c r="H91" s="205">
        <v>3124.5994381717805</v>
      </c>
      <c r="I91" s="206">
        <v>260.38328651431505</v>
      </c>
      <c r="J91" s="221">
        <f>I91-I66</f>
        <v>-0.16345538614518773</v>
      </c>
      <c r="K91" s="611" t="s">
        <v>246</v>
      </c>
      <c r="L91" s="612"/>
      <c r="N91" s="178"/>
      <c r="O91" s="178"/>
      <c r="P91" s="439"/>
      <c r="Q91" s="439"/>
      <c r="R91" s="178"/>
    </row>
    <row r="92" spans="1:18" ht="15.75" customHeight="1">
      <c r="A92" s="615"/>
      <c r="B92" s="616"/>
      <c r="C92" s="204" t="s">
        <v>248</v>
      </c>
      <c r="D92" s="610" t="s">
        <v>153</v>
      </c>
      <c r="E92" s="610"/>
      <c r="F92" s="610"/>
      <c r="G92" s="201">
        <v>12</v>
      </c>
      <c r="H92" s="205">
        <v>3124.6931384002878</v>
      </c>
      <c r="I92" s="206">
        <v>260.39109486669065</v>
      </c>
      <c r="J92" s="221">
        <f>I92-I65</f>
        <v>-0.14085669153098479</v>
      </c>
      <c r="K92" s="611" t="s">
        <v>246</v>
      </c>
      <c r="L92" s="612"/>
      <c r="N92" s="178"/>
      <c r="O92" s="178"/>
      <c r="P92" s="439"/>
      <c r="Q92" s="439"/>
      <c r="R92" s="178"/>
    </row>
    <row r="93" spans="1:18" ht="15.75" customHeight="1">
      <c r="A93" s="615"/>
      <c r="B93" s="616"/>
      <c r="C93" s="204" t="s">
        <v>249</v>
      </c>
      <c r="D93" s="610" t="s">
        <v>169</v>
      </c>
      <c r="E93" s="610"/>
      <c r="F93" s="610"/>
      <c r="G93" s="201">
        <v>5</v>
      </c>
      <c r="H93" s="205">
        <v>2670.9594388878045</v>
      </c>
      <c r="I93" s="206">
        <v>534.19188777756096</v>
      </c>
      <c r="J93" s="221">
        <f>I93-I67</f>
        <v>0.4660911913703103</v>
      </c>
      <c r="K93" s="611" t="s">
        <v>246</v>
      </c>
      <c r="L93" s="612"/>
      <c r="N93" s="178"/>
      <c r="O93" s="178"/>
      <c r="P93" s="439"/>
      <c r="Q93" s="439"/>
      <c r="R93" s="178"/>
    </row>
    <row r="94" spans="1:18" ht="15.75" customHeight="1">
      <c r="A94" s="615"/>
      <c r="B94" s="616"/>
      <c r="C94" s="204" t="s">
        <v>250</v>
      </c>
      <c r="D94" s="610" t="s">
        <v>156</v>
      </c>
      <c r="E94" s="610"/>
      <c r="F94" s="610"/>
      <c r="G94" s="201">
        <v>5</v>
      </c>
      <c r="H94" s="205">
        <v>2960.3895109549694</v>
      </c>
      <c r="I94" s="206">
        <v>592.07790219099388</v>
      </c>
      <c r="J94" s="221">
        <f>I94-I69</f>
        <v>0.32375788449064657</v>
      </c>
      <c r="K94" s="611" t="s">
        <v>246</v>
      </c>
      <c r="L94" s="612"/>
      <c r="M94" s="189"/>
      <c r="N94" s="178"/>
      <c r="O94" s="178"/>
      <c r="P94" s="439"/>
      <c r="Q94" s="439"/>
      <c r="R94" s="178"/>
    </row>
    <row r="95" spans="1:18" ht="15.75" customHeight="1">
      <c r="A95" s="615"/>
      <c r="B95" s="616"/>
      <c r="C95" s="204" t="s">
        <v>251</v>
      </c>
      <c r="D95" s="610" t="s">
        <v>160</v>
      </c>
      <c r="E95" s="610"/>
      <c r="F95" s="610"/>
      <c r="G95" s="201">
        <v>5</v>
      </c>
      <c r="H95" s="205">
        <v>2963.8113518637097</v>
      </c>
      <c r="I95" s="206">
        <v>592.76227037274191</v>
      </c>
      <c r="J95" s="221"/>
      <c r="K95" s="611" t="s">
        <v>246</v>
      </c>
      <c r="L95" s="612"/>
      <c r="M95" s="189"/>
      <c r="N95" s="178"/>
      <c r="O95" s="178"/>
      <c r="P95" s="439"/>
      <c r="Q95" s="439"/>
      <c r="R95" s="178"/>
    </row>
    <row r="96" spans="1:18" s="199" customFormat="1" ht="15.75" customHeight="1">
      <c r="A96" s="613" t="s">
        <v>56</v>
      </c>
      <c r="B96" s="613"/>
      <c r="C96" s="207" t="s">
        <v>238</v>
      </c>
      <c r="D96" s="613" t="s">
        <v>239</v>
      </c>
      <c r="E96" s="614"/>
      <c r="F96" s="614"/>
      <c r="G96" s="207" t="s">
        <v>240</v>
      </c>
      <c r="H96" s="207" t="s">
        <v>241</v>
      </c>
      <c r="I96" s="207" t="s">
        <v>242</v>
      </c>
      <c r="J96" s="160" t="s">
        <v>243</v>
      </c>
      <c r="K96" s="613" t="s">
        <v>244</v>
      </c>
      <c r="L96" s="614"/>
      <c r="M96" s="208"/>
      <c r="N96" s="178"/>
      <c r="O96" s="178"/>
      <c r="P96" s="439"/>
      <c r="Q96" s="439"/>
      <c r="R96" s="178"/>
    </row>
    <row r="97" spans="1:18" ht="15.75" customHeight="1">
      <c r="A97" s="615">
        <v>2</v>
      </c>
      <c r="B97" s="616" t="s">
        <v>231</v>
      </c>
      <c r="C97" s="200">
        <v>1</v>
      </c>
      <c r="D97" s="617" t="s">
        <v>183</v>
      </c>
      <c r="E97" s="610"/>
      <c r="F97" s="610"/>
      <c r="G97" s="200">
        <v>6</v>
      </c>
      <c r="H97" s="202">
        <v>2340.4484467499451</v>
      </c>
      <c r="I97" s="203">
        <v>390.07474112499079</v>
      </c>
      <c r="J97" s="221">
        <f>I97-I71</f>
        <v>1.8034047948918328</v>
      </c>
      <c r="K97" s="611" t="s">
        <v>246</v>
      </c>
      <c r="L97" s="612"/>
      <c r="M97" s="189"/>
      <c r="N97" s="178"/>
      <c r="O97" s="178"/>
      <c r="P97" s="439"/>
      <c r="Q97" s="439"/>
      <c r="R97" s="178"/>
    </row>
    <row r="98" spans="1:18" ht="15.75" customHeight="1">
      <c r="A98" s="615"/>
      <c r="B98" s="616"/>
      <c r="C98" s="200">
        <v>2</v>
      </c>
      <c r="D98" s="617" t="s">
        <v>185</v>
      </c>
      <c r="E98" s="610"/>
      <c r="F98" s="610"/>
      <c r="G98" s="200">
        <v>6</v>
      </c>
      <c r="H98" s="202">
        <v>2340.261257140945</v>
      </c>
      <c r="I98" s="203">
        <v>390.04354285682405</v>
      </c>
      <c r="J98" s="221">
        <f>I98-I72</f>
        <v>1.871090776450842</v>
      </c>
      <c r="K98" s="611" t="s">
        <v>246</v>
      </c>
      <c r="L98" s="612"/>
      <c r="M98" s="189"/>
      <c r="N98" s="178"/>
      <c r="O98" s="178"/>
      <c r="P98" s="439"/>
      <c r="Q98" s="439"/>
      <c r="R98" s="178"/>
    </row>
    <row r="99" spans="1:18" ht="15.75" customHeight="1">
      <c r="A99" s="615"/>
      <c r="B99" s="616"/>
      <c r="C99" s="200">
        <v>3</v>
      </c>
      <c r="D99" s="617" t="s">
        <v>182</v>
      </c>
      <c r="E99" s="610"/>
      <c r="F99" s="610"/>
      <c r="G99" s="200">
        <v>11</v>
      </c>
      <c r="H99" s="202">
        <v>3174.0724951952047</v>
      </c>
      <c r="I99" s="203">
        <v>288.55204501774591</v>
      </c>
      <c r="J99" s="221">
        <f>I99-I75</f>
        <v>0.26805153038475282</v>
      </c>
      <c r="K99" s="611" t="s">
        <v>246</v>
      </c>
      <c r="L99" s="612"/>
      <c r="M99" s="189"/>
      <c r="N99" s="178"/>
      <c r="O99" s="178"/>
      <c r="P99" s="439"/>
      <c r="Q99" s="439"/>
      <c r="R99" s="178"/>
    </row>
    <row r="100" spans="1:18" ht="15.75" customHeight="1">
      <c r="A100" s="615"/>
      <c r="B100" s="616"/>
      <c r="C100" s="200">
        <v>4</v>
      </c>
      <c r="D100" s="617" t="s">
        <v>188</v>
      </c>
      <c r="E100" s="610"/>
      <c r="F100" s="610"/>
      <c r="G100" s="200">
        <v>11</v>
      </c>
      <c r="H100" s="202">
        <v>3173.4451173448438</v>
      </c>
      <c r="I100" s="203">
        <v>288.49501066771307</v>
      </c>
      <c r="J100" s="221">
        <f>I100-I74</f>
        <v>0.10028425539309183</v>
      </c>
      <c r="K100" s="611" t="s">
        <v>246</v>
      </c>
      <c r="L100" s="612"/>
      <c r="M100" s="189"/>
      <c r="N100" s="178"/>
      <c r="O100" s="178"/>
      <c r="P100" s="439"/>
      <c r="Q100" s="439"/>
      <c r="R100" s="178"/>
    </row>
    <row r="101" spans="1:18" ht="15.75" customHeight="1">
      <c r="A101" s="615"/>
      <c r="B101" s="616"/>
      <c r="C101" s="200">
        <v>5</v>
      </c>
      <c r="D101" s="617" t="s">
        <v>180</v>
      </c>
      <c r="E101" s="610"/>
      <c r="F101" s="610"/>
      <c r="G101" s="200">
        <v>12</v>
      </c>
      <c r="H101" s="202">
        <v>3140.526995413175</v>
      </c>
      <c r="I101" s="203">
        <v>261.71058295109793</v>
      </c>
      <c r="J101" s="221">
        <f>I101-I79</f>
        <v>3.5304258891812879E-2</v>
      </c>
      <c r="K101" s="611" t="s">
        <v>246</v>
      </c>
      <c r="L101" s="612"/>
      <c r="M101" s="189"/>
      <c r="N101" s="178"/>
      <c r="O101" s="178"/>
      <c r="P101" s="439"/>
      <c r="Q101" s="439"/>
      <c r="R101" s="178"/>
    </row>
    <row r="102" spans="1:18" ht="15.75" customHeight="1">
      <c r="A102" s="615"/>
      <c r="B102" s="616"/>
      <c r="C102" s="204" t="s">
        <v>247</v>
      </c>
      <c r="D102" s="617" t="s">
        <v>181</v>
      </c>
      <c r="E102" s="610"/>
      <c r="F102" s="610"/>
      <c r="G102" s="200">
        <v>12</v>
      </c>
      <c r="H102" s="202">
        <v>3139.696882329195</v>
      </c>
      <c r="I102" s="203">
        <v>261.64140686076627</v>
      </c>
      <c r="J102" s="221">
        <f>I102-I77</f>
        <v>-4.240792169184715E-3</v>
      </c>
      <c r="K102" s="611" t="s">
        <v>246</v>
      </c>
      <c r="L102" s="612"/>
      <c r="M102" s="189"/>
      <c r="N102" s="178"/>
      <c r="O102" s="178"/>
      <c r="P102" s="439"/>
      <c r="Q102" s="439"/>
      <c r="R102" s="178"/>
    </row>
    <row r="103" spans="1:18" ht="15.75" customHeight="1">
      <c r="A103" s="615"/>
      <c r="B103" s="616"/>
      <c r="C103" s="204" t="s">
        <v>248</v>
      </c>
      <c r="D103" s="617" t="s">
        <v>187</v>
      </c>
      <c r="E103" s="610"/>
      <c r="F103" s="610"/>
      <c r="G103" s="200">
        <v>12</v>
      </c>
      <c r="H103" s="202">
        <v>3139.7172713563878</v>
      </c>
      <c r="I103" s="203">
        <v>261.64310594636567</v>
      </c>
      <c r="J103" s="221">
        <f>I103-I76</f>
        <v>3.0940178234573068E-3</v>
      </c>
      <c r="K103" s="611" t="s">
        <v>246</v>
      </c>
      <c r="L103" s="612"/>
      <c r="M103" s="189"/>
      <c r="N103" s="178"/>
      <c r="O103" s="178"/>
      <c r="P103" s="439"/>
      <c r="Q103" s="439"/>
      <c r="R103" s="178"/>
    </row>
    <row r="104" spans="1:18" ht="15.75" customHeight="1">
      <c r="A104" s="615"/>
      <c r="B104" s="616"/>
      <c r="C104" s="204" t="s">
        <v>249</v>
      </c>
      <c r="D104" s="617" t="s">
        <v>186</v>
      </c>
      <c r="E104" s="610"/>
      <c r="F104" s="610"/>
      <c r="G104" s="200">
        <v>12</v>
      </c>
      <c r="H104" s="202">
        <v>3140.2800943132193</v>
      </c>
      <c r="I104" s="203">
        <v>261.69000785943496</v>
      </c>
      <c r="J104" s="221">
        <f>I104-I78</f>
        <v>2.3570253321281598E-2</v>
      </c>
      <c r="K104" s="611" t="s">
        <v>246</v>
      </c>
      <c r="L104" s="612"/>
      <c r="M104" s="189"/>
      <c r="O104" s="178"/>
      <c r="P104" s="439"/>
      <c r="Q104" s="439"/>
      <c r="R104" s="178"/>
    </row>
    <row r="105" spans="1:18" ht="15.75" customHeight="1">
      <c r="A105" s="615"/>
      <c r="B105" s="616"/>
      <c r="C105" s="204" t="s">
        <v>250</v>
      </c>
      <c r="D105" s="617"/>
      <c r="E105" s="610"/>
      <c r="F105" s="610"/>
      <c r="G105" s="200"/>
      <c r="H105" s="202"/>
      <c r="I105" s="203"/>
      <c r="J105" s="221"/>
      <c r="K105" s="611"/>
      <c r="L105" s="612"/>
      <c r="M105" s="189"/>
      <c r="O105" s="178"/>
      <c r="P105" s="439"/>
      <c r="Q105" s="439"/>
      <c r="R105" s="178"/>
    </row>
    <row r="106" spans="1:18" ht="15.75" customHeight="1">
      <c r="A106" s="615"/>
      <c r="B106" s="616"/>
      <c r="C106" s="204" t="s">
        <v>251</v>
      </c>
      <c r="D106" s="617"/>
      <c r="E106" s="610"/>
      <c r="F106" s="610"/>
      <c r="G106" s="200"/>
      <c r="H106" s="202"/>
      <c r="I106" s="203"/>
      <c r="J106" s="221"/>
      <c r="K106" s="611"/>
      <c r="L106" s="612"/>
      <c r="M106" s="189"/>
      <c r="N106" s="178"/>
      <c r="O106" s="178"/>
      <c r="P106" s="439"/>
      <c r="Q106" s="439"/>
      <c r="R106" s="178"/>
    </row>
    <row r="107" spans="1:18" ht="15.75" customHeight="1">
      <c r="A107" s="618" t="s">
        <v>257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  <c r="M107" s="189"/>
    </row>
    <row r="108" spans="1:18" s="190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8" s="178" customFormat="1" ht="15.75" customHeight="1">
      <c r="A109" s="615" t="s">
        <v>128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50000000000001" customHeight="1">
      <c r="A110" s="615"/>
      <c r="B110" s="194" t="s">
        <v>230</v>
      </c>
      <c r="C110" s="194" t="s">
        <v>231</v>
      </c>
      <c r="D110" s="195" t="s">
        <v>232</v>
      </c>
      <c r="E110" s="195" t="s">
        <v>233</v>
      </c>
      <c r="F110" s="195" t="s">
        <v>197</v>
      </c>
      <c r="G110" s="196" t="s">
        <v>234</v>
      </c>
      <c r="H110" s="197" t="s">
        <v>235</v>
      </c>
      <c r="I110" s="196" t="s">
        <v>236</v>
      </c>
      <c r="J110" s="196" t="s">
        <v>237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16" t="s">
        <v>56</v>
      </c>
      <c r="B111" s="616"/>
      <c r="C111" s="160" t="s">
        <v>238</v>
      </c>
      <c r="D111" s="616" t="s">
        <v>239</v>
      </c>
      <c r="E111" s="619"/>
      <c r="F111" s="619"/>
      <c r="G111" s="160" t="s">
        <v>240</v>
      </c>
      <c r="H111" s="160" t="s">
        <v>241</v>
      </c>
      <c r="I111" s="160" t="s">
        <v>242</v>
      </c>
      <c r="J111" s="160" t="s">
        <v>243</v>
      </c>
      <c r="K111" s="616" t="s">
        <v>244</v>
      </c>
      <c r="L111" s="619"/>
      <c r="M111" s="193"/>
      <c r="P111" s="439"/>
      <c r="Q111" s="439"/>
    </row>
    <row r="112" spans="1:18" ht="15.75" customHeight="1">
      <c r="A112" s="615">
        <v>1</v>
      </c>
      <c r="B112" s="616" t="s">
        <v>245</v>
      </c>
      <c r="C112" s="200">
        <v>1</v>
      </c>
      <c r="D112" s="617" t="s">
        <v>162</v>
      </c>
      <c r="E112" s="610"/>
      <c r="F112" s="610"/>
      <c r="G112" s="200">
        <v>3</v>
      </c>
      <c r="H112" s="202">
        <v>3151.5025959857621</v>
      </c>
      <c r="I112" s="203">
        <v>1050.5008653285875</v>
      </c>
      <c r="J112" s="221">
        <f>I112-I86</f>
        <v>0.99800374043820739</v>
      </c>
      <c r="K112" s="611" t="s">
        <v>246</v>
      </c>
      <c r="L112" s="612"/>
      <c r="N112" s="178"/>
      <c r="O112" s="178"/>
      <c r="P112" s="439"/>
      <c r="Q112" s="439"/>
      <c r="R112" s="178"/>
    </row>
    <row r="113" spans="1:18" ht="15.75" customHeight="1">
      <c r="A113" s="615"/>
      <c r="B113" s="616"/>
      <c r="C113" s="200">
        <v>2</v>
      </c>
      <c r="D113" s="617" t="s">
        <v>158</v>
      </c>
      <c r="E113" s="610"/>
      <c r="F113" s="610"/>
      <c r="G113" s="200">
        <v>3</v>
      </c>
      <c r="H113" s="202">
        <v>3145.717812662132</v>
      </c>
      <c r="I113" s="203">
        <v>1048.5726042207104</v>
      </c>
      <c r="J113" s="221">
        <f>I113-I90</f>
        <v>1.8892821108761382</v>
      </c>
      <c r="K113" s="611" t="s">
        <v>246</v>
      </c>
      <c r="L113" s="612"/>
      <c r="N113" s="178"/>
      <c r="O113" s="178"/>
      <c r="P113" s="439"/>
      <c r="Q113" s="439"/>
      <c r="R113" s="178"/>
    </row>
    <row r="114" spans="1:18" ht="15.75" customHeight="1">
      <c r="A114" s="615"/>
      <c r="B114" s="616"/>
      <c r="C114" s="200">
        <v>3</v>
      </c>
      <c r="D114" s="617" t="s">
        <v>161</v>
      </c>
      <c r="E114" s="610"/>
      <c r="F114" s="610"/>
      <c r="G114" s="200">
        <v>3</v>
      </c>
      <c r="H114" s="202">
        <v>3145.4611046663422</v>
      </c>
      <c r="I114" s="203">
        <v>1048.487034888781</v>
      </c>
      <c r="J114" s="221">
        <f>I114-I88</f>
        <v>1.1858522792836084</v>
      </c>
      <c r="K114" s="611" t="s">
        <v>246</v>
      </c>
      <c r="L114" s="612"/>
      <c r="N114" s="178"/>
      <c r="O114" s="178"/>
      <c r="P114" s="439"/>
      <c r="Q114" s="439"/>
      <c r="R114" s="178"/>
    </row>
    <row r="115" spans="1:18" ht="15.75" customHeight="1">
      <c r="A115" s="615"/>
      <c r="B115" s="616"/>
      <c r="C115" s="200">
        <v>4</v>
      </c>
      <c r="D115" s="617" t="s">
        <v>148</v>
      </c>
      <c r="E115" s="610"/>
      <c r="F115" s="610"/>
      <c r="G115" s="200">
        <v>3</v>
      </c>
      <c r="H115" s="202">
        <v>3144.8670983138668</v>
      </c>
      <c r="I115" s="203">
        <v>1048.2890327712892</v>
      </c>
      <c r="J115" s="221">
        <f>I115-I87</f>
        <v>0.31091908523148959</v>
      </c>
      <c r="K115" s="611" t="s">
        <v>246</v>
      </c>
      <c r="L115" s="612"/>
      <c r="N115" s="178"/>
      <c r="O115" s="178"/>
      <c r="P115" s="439"/>
      <c r="Q115" s="439"/>
      <c r="R115" s="178"/>
    </row>
    <row r="116" spans="1:18" ht="15.75" customHeight="1">
      <c r="A116" s="615"/>
      <c r="B116" s="616"/>
      <c r="C116" s="200">
        <v>5</v>
      </c>
      <c r="D116" s="617" t="s">
        <v>146</v>
      </c>
      <c r="E116" s="610"/>
      <c r="F116" s="610"/>
      <c r="G116" s="200">
        <v>3</v>
      </c>
      <c r="H116" s="202">
        <v>3144.8244057808597</v>
      </c>
      <c r="I116" s="203">
        <v>1048.2748019269532</v>
      </c>
      <c r="J116" s="221">
        <f>I116-I89</f>
        <v>1.150350176365464</v>
      </c>
      <c r="K116" s="611" t="s">
        <v>246</v>
      </c>
      <c r="L116" s="612"/>
      <c r="N116" s="178"/>
      <c r="O116" s="178"/>
      <c r="P116" s="439"/>
      <c r="Q116" s="439"/>
      <c r="R116" s="178"/>
    </row>
    <row r="117" spans="1:18" ht="15.75" customHeight="1">
      <c r="A117" s="615"/>
      <c r="B117" s="616"/>
      <c r="C117" s="204" t="s">
        <v>247</v>
      </c>
      <c r="D117" s="610" t="s">
        <v>171</v>
      </c>
      <c r="E117" s="610"/>
      <c r="F117" s="610"/>
      <c r="G117" s="201">
        <v>12</v>
      </c>
      <c r="H117" s="205">
        <v>3124.7330231823698</v>
      </c>
      <c r="I117" s="206">
        <v>260.39441859853076</v>
      </c>
      <c r="J117" s="221">
        <f>I117-I91</f>
        <v>1.1132084215716986E-2</v>
      </c>
      <c r="K117" s="611" t="s">
        <v>246</v>
      </c>
      <c r="L117" s="612"/>
      <c r="N117" s="178"/>
      <c r="O117" s="178"/>
      <c r="P117" s="439"/>
      <c r="Q117" s="439"/>
      <c r="R117" s="178"/>
    </row>
    <row r="118" spans="1:18" ht="15.75" customHeight="1">
      <c r="A118" s="615"/>
      <c r="B118" s="616"/>
      <c r="C118" s="204" t="s">
        <v>248</v>
      </c>
      <c r="D118" s="610" t="s">
        <v>153</v>
      </c>
      <c r="E118" s="610"/>
      <c r="F118" s="610"/>
      <c r="G118" s="201">
        <v>12</v>
      </c>
      <c r="H118" s="205">
        <v>3126.1142403960889</v>
      </c>
      <c r="I118" s="206">
        <v>260.50952003300745</v>
      </c>
      <c r="J118" s="221">
        <f>I118-I92</f>
        <v>0.118425166316797</v>
      </c>
      <c r="K118" s="611" t="s">
        <v>246</v>
      </c>
      <c r="L118" s="612"/>
      <c r="N118" s="178"/>
      <c r="O118" s="178"/>
      <c r="P118" s="439"/>
      <c r="Q118" s="439"/>
      <c r="R118" s="178"/>
    </row>
    <row r="119" spans="1:18" ht="15.75" customHeight="1">
      <c r="A119" s="615"/>
      <c r="B119" s="616"/>
      <c r="C119" s="204" t="s">
        <v>249</v>
      </c>
      <c r="D119" s="610" t="s">
        <v>169</v>
      </c>
      <c r="E119" s="610"/>
      <c r="F119" s="610"/>
      <c r="G119" s="201">
        <v>5</v>
      </c>
      <c r="H119" s="205">
        <v>2672.8639634656934</v>
      </c>
      <c r="I119" s="206">
        <v>534.57279269313858</v>
      </c>
      <c r="J119" s="221">
        <f>I119-I93</f>
        <v>0.38090491557761652</v>
      </c>
      <c r="K119" s="611" t="s">
        <v>246</v>
      </c>
      <c r="L119" s="612"/>
      <c r="N119" s="178"/>
      <c r="O119" s="178"/>
      <c r="P119" s="439"/>
      <c r="Q119" s="439"/>
      <c r="R119" s="178"/>
    </row>
    <row r="120" spans="1:18" ht="15.75" customHeight="1">
      <c r="A120" s="615"/>
      <c r="B120" s="616"/>
      <c r="C120" s="204" t="s">
        <v>250</v>
      </c>
      <c r="D120" s="610" t="s">
        <v>156</v>
      </c>
      <c r="E120" s="610"/>
      <c r="F120" s="610"/>
      <c r="G120" s="201">
        <v>5</v>
      </c>
      <c r="H120" s="205">
        <v>2961.9073064467134</v>
      </c>
      <c r="I120" s="206">
        <v>592.38146128934284</v>
      </c>
      <c r="J120" s="221">
        <f>I120-I94</f>
        <v>0.30355909834895556</v>
      </c>
      <c r="K120" s="611" t="s">
        <v>246</v>
      </c>
      <c r="L120" s="612"/>
      <c r="M120" s="189"/>
      <c r="N120" s="178"/>
      <c r="O120" s="178"/>
      <c r="P120" s="439"/>
      <c r="Q120" s="439"/>
      <c r="R120" s="178"/>
    </row>
    <row r="121" spans="1:18" ht="15.75" customHeight="1">
      <c r="A121" s="615"/>
      <c r="B121" s="616"/>
      <c r="C121" s="204" t="s">
        <v>251</v>
      </c>
      <c r="D121" s="610" t="s">
        <v>160</v>
      </c>
      <c r="E121" s="610"/>
      <c r="F121" s="610"/>
      <c r="G121" s="201">
        <v>5</v>
      </c>
      <c r="H121" s="205">
        <v>2966.8362262437013</v>
      </c>
      <c r="I121" s="206">
        <v>593.36724524874023</v>
      </c>
      <c r="J121" s="221"/>
      <c r="K121" s="611" t="s">
        <v>246</v>
      </c>
      <c r="L121" s="612"/>
      <c r="M121" s="189"/>
      <c r="N121" s="178"/>
      <c r="O121" s="178"/>
      <c r="P121" s="439"/>
      <c r="Q121" s="439"/>
      <c r="R121" s="178"/>
    </row>
    <row r="122" spans="1:18" s="199" customFormat="1" ht="15.75" customHeight="1">
      <c r="A122" s="613" t="s">
        <v>56</v>
      </c>
      <c r="B122" s="613"/>
      <c r="C122" s="207" t="s">
        <v>238</v>
      </c>
      <c r="D122" s="613" t="s">
        <v>239</v>
      </c>
      <c r="E122" s="614"/>
      <c r="F122" s="614"/>
      <c r="G122" s="207" t="s">
        <v>240</v>
      </c>
      <c r="H122" s="207" t="s">
        <v>241</v>
      </c>
      <c r="I122" s="207" t="s">
        <v>242</v>
      </c>
      <c r="J122" s="160" t="s">
        <v>243</v>
      </c>
      <c r="K122" s="613" t="s">
        <v>244</v>
      </c>
      <c r="L122" s="614"/>
      <c r="M122" s="208"/>
      <c r="N122" s="178"/>
      <c r="O122" s="178"/>
      <c r="P122" s="439"/>
      <c r="Q122" s="439"/>
      <c r="R122" s="178"/>
    </row>
    <row r="123" spans="1:18" ht="15.75" customHeight="1">
      <c r="A123" s="615">
        <v>2</v>
      </c>
      <c r="B123" s="616" t="s">
        <v>231</v>
      </c>
      <c r="C123" s="200">
        <v>1</v>
      </c>
      <c r="D123" s="617" t="s">
        <v>183</v>
      </c>
      <c r="E123" s="610"/>
      <c r="F123" s="610"/>
      <c r="G123" s="200">
        <v>6</v>
      </c>
      <c r="H123" s="202">
        <v>2340.7791755617664</v>
      </c>
      <c r="I123" s="203">
        <v>390.12986259362782</v>
      </c>
      <c r="J123" s="221">
        <f>I123-I97</f>
        <v>5.5121468637025828E-2</v>
      </c>
      <c r="K123" s="611" t="s">
        <v>246</v>
      </c>
      <c r="L123" s="612"/>
      <c r="M123" s="189"/>
      <c r="N123" s="178"/>
      <c r="O123" s="178"/>
      <c r="P123" s="439"/>
      <c r="Q123" s="439"/>
      <c r="R123" s="178"/>
    </row>
    <row r="124" spans="1:18" ht="15.75" customHeight="1">
      <c r="A124" s="615"/>
      <c r="B124" s="616"/>
      <c r="C124" s="200">
        <v>2</v>
      </c>
      <c r="D124" s="617" t="s">
        <v>185</v>
      </c>
      <c r="E124" s="610"/>
      <c r="F124" s="610"/>
      <c r="G124" s="200">
        <v>6</v>
      </c>
      <c r="H124" s="202">
        <v>2340.4750418364006</v>
      </c>
      <c r="I124" s="203">
        <v>390.07917363940015</v>
      </c>
      <c r="J124" s="221">
        <f>I124-I98</f>
        <v>3.5630782576106412E-2</v>
      </c>
      <c r="K124" s="611" t="s">
        <v>246</v>
      </c>
      <c r="L124" s="612"/>
      <c r="M124" s="189"/>
      <c r="N124" s="178"/>
      <c r="O124" s="178"/>
      <c r="P124" s="439"/>
      <c r="Q124" s="439"/>
      <c r="R124" s="178"/>
    </row>
    <row r="125" spans="1:18" ht="15.75" customHeight="1">
      <c r="A125" s="615"/>
      <c r="B125" s="616"/>
      <c r="C125" s="200">
        <v>3</v>
      </c>
      <c r="D125" s="617" t="s">
        <v>182</v>
      </c>
      <c r="E125" s="610"/>
      <c r="F125" s="610"/>
      <c r="G125" s="200">
        <v>11</v>
      </c>
      <c r="H125" s="202">
        <v>3176.7163075012372</v>
      </c>
      <c r="I125" s="203">
        <v>288.79239159102161</v>
      </c>
      <c r="J125" s="221">
        <f>I125-I99</f>
        <v>0.2403465732757013</v>
      </c>
      <c r="K125" s="611" t="s">
        <v>246</v>
      </c>
      <c r="L125" s="612"/>
      <c r="M125" s="189"/>
      <c r="N125" s="178"/>
      <c r="O125" s="178"/>
      <c r="P125" s="439"/>
      <c r="Q125" s="439"/>
      <c r="R125" s="178"/>
    </row>
    <row r="126" spans="1:18" ht="15.75" customHeight="1">
      <c r="A126" s="615"/>
      <c r="B126" s="616"/>
      <c r="C126" s="200">
        <v>4</v>
      </c>
      <c r="D126" s="617" t="s">
        <v>188</v>
      </c>
      <c r="E126" s="610"/>
      <c r="F126" s="610"/>
      <c r="G126" s="200">
        <v>11</v>
      </c>
      <c r="H126" s="202">
        <v>3175.7552502853882</v>
      </c>
      <c r="I126" s="203">
        <v>288.70502275321712</v>
      </c>
      <c r="J126" s="221">
        <f>I126-I100</f>
        <v>0.21001208550404726</v>
      </c>
      <c r="K126" s="611" t="s">
        <v>246</v>
      </c>
      <c r="L126" s="612"/>
      <c r="M126" s="189"/>
      <c r="N126" s="178"/>
      <c r="O126" s="178"/>
      <c r="P126" s="439"/>
      <c r="Q126" s="439"/>
      <c r="R126" s="178"/>
    </row>
    <row r="127" spans="1:18" ht="15.75" customHeight="1">
      <c r="A127" s="615"/>
      <c r="B127" s="616"/>
      <c r="C127" s="200">
        <v>5</v>
      </c>
      <c r="D127" s="617" t="s">
        <v>186</v>
      </c>
      <c r="E127" s="610"/>
      <c r="F127" s="610"/>
      <c r="G127" s="200">
        <v>12</v>
      </c>
      <c r="H127" s="202">
        <v>3140.4784835398241</v>
      </c>
      <c r="I127" s="203">
        <v>261.70654029498536</v>
      </c>
      <c r="J127" s="221">
        <f>I127-I104</f>
        <v>1.6532435550402624E-2</v>
      </c>
      <c r="K127" s="611" t="s">
        <v>246</v>
      </c>
      <c r="L127" s="612"/>
      <c r="M127" s="189"/>
      <c r="N127" s="178"/>
      <c r="O127" s="178"/>
      <c r="P127" s="439"/>
      <c r="Q127" s="439"/>
      <c r="R127" s="178"/>
    </row>
    <row r="128" spans="1:18" ht="15.75" customHeight="1">
      <c r="A128" s="615"/>
      <c r="B128" s="616"/>
      <c r="C128" s="204" t="s">
        <v>247</v>
      </c>
      <c r="D128" s="617" t="s">
        <v>187</v>
      </c>
      <c r="E128" s="610"/>
      <c r="F128" s="610"/>
      <c r="G128" s="200">
        <v>12</v>
      </c>
      <c r="H128" s="202">
        <v>3140.1752295223955</v>
      </c>
      <c r="I128" s="203">
        <v>261.68126912686631</v>
      </c>
      <c r="J128" s="221">
        <f>I128-I103</f>
        <v>3.8163180500646376E-2</v>
      </c>
      <c r="K128" s="611" t="s">
        <v>246</v>
      </c>
      <c r="L128" s="612"/>
      <c r="M128" s="189"/>
      <c r="N128" s="178"/>
      <c r="O128" s="178"/>
      <c r="P128" s="439"/>
      <c r="Q128" s="439"/>
      <c r="R128" s="178"/>
    </row>
    <row r="129" spans="1:18" ht="15.75" customHeight="1">
      <c r="A129" s="615"/>
      <c r="B129" s="616"/>
      <c r="C129" s="204" t="s">
        <v>248</v>
      </c>
      <c r="D129" s="617" t="s">
        <v>181</v>
      </c>
      <c r="E129" s="610"/>
      <c r="F129" s="610"/>
      <c r="G129" s="200">
        <v>12</v>
      </c>
      <c r="H129" s="202">
        <v>3140.2425559193284</v>
      </c>
      <c r="I129" s="203">
        <v>261.68687965994411</v>
      </c>
      <c r="J129" s="221">
        <f>I129-I102</f>
        <v>4.5472799177844081E-2</v>
      </c>
      <c r="K129" s="611" t="s">
        <v>246</v>
      </c>
      <c r="L129" s="612"/>
      <c r="M129" s="189"/>
      <c r="N129" s="178"/>
      <c r="O129" s="178"/>
      <c r="P129" s="439"/>
      <c r="Q129" s="439"/>
      <c r="R129" s="178"/>
    </row>
    <row r="130" spans="1:18" ht="15.75" customHeight="1">
      <c r="A130" s="615"/>
      <c r="B130" s="616"/>
      <c r="C130" s="204" t="s">
        <v>249</v>
      </c>
      <c r="D130" s="617" t="s">
        <v>180</v>
      </c>
      <c r="E130" s="610"/>
      <c r="F130" s="610"/>
      <c r="G130" s="200">
        <v>12</v>
      </c>
      <c r="H130" s="202">
        <v>3140.3171460477215</v>
      </c>
      <c r="I130" s="203">
        <v>261.69309550397674</v>
      </c>
      <c r="J130" s="221">
        <f>I130-I101</f>
        <v>-1.7487447121197874E-2</v>
      </c>
      <c r="K130" s="611" t="s">
        <v>246</v>
      </c>
      <c r="L130" s="612"/>
      <c r="M130" s="189"/>
      <c r="O130" s="178"/>
      <c r="P130" s="439"/>
      <c r="Q130" s="439"/>
      <c r="R130" s="178"/>
    </row>
    <row r="131" spans="1:18" ht="15.75" customHeight="1">
      <c r="A131" s="615"/>
      <c r="B131" s="616"/>
      <c r="C131" s="204" t="s">
        <v>250</v>
      </c>
      <c r="D131" s="617"/>
      <c r="E131" s="610"/>
      <c r="F131" s="610"/>
      <c r="G131" s="200"/>
      <c r="H131" s="202"/>
      <c r="I131" s="203"/>
      <c r="J131" s="221"/>
      <c r="K131" s="611"/>
      <c r="L131" s="612"/>
      <c r="M131" s="189"/>
      <c r="N131" s="178"/>
      <c r="O131" s="178"/>
      <c r="P131" s="439"/>
      <c r="Q131" s="439"/>
      <c r="R131" s="178"/>
    </row>
    <row r="132" spans="1:18" ht="15.75" customHeight="1">
      <c r="A132" s="615"/>
      <c r="B132" s="616"/>
      <c r="C132" s="204" t="s">
        <v>251</v>
      </c>
      <c r="D132" s="617"/>
      <c r="E132" s="610"/>
      <c r="F132" s="610"/>
      <c r="G132" s="200"/>
      <c r="H132" s="202"/>
      <c r="I132" s="203"/>
      <c r="J132" s="221"/>
      <c r="K132" s="611"/>
      <c r="L132" s="612"/>
      <c r="M132" s="189"/>
      <c r="N132" s="178"/>
      <c r="O132" s="178"/>
      <c r="P132" s="439"/>
      <c r="Q132" s="439"/>
      <c r="R132" s="178"/>
    </row>
  </sheetData>
  <mergeCells count="261"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132"/>
  <sheetViews>
    <sheetView view="pageBreakPreview" topLeftCell="A103" zoomScale="115" zoomScaleNormal="60" zoomScaleSheetLayoutView="115" workbookViewId="0">
      <selection activeCell="K112" sqref="K112:L124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66" t="s">
        <v>228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8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0"/>
      <c r="O2" s="190"/>
      <c r="P2" s="190"/>
      <c r="Q2" s="190"/>
      <c r="R2" s="190"/>
    </row>
    <row r="3" spans="1:18" s="189" customFormat="1" ht="15.75" customHeight="1">
      <c r="A3" s="618" t="s">
        <v>229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</row>
    <row r="4" spans="1:18" s="190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8" s="178" customFormat="1" ht="16.350000000000001" customHeight="1">
      <c r="A5" s="615" t="s">
        <v>128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15"/>
      <c r="B6" s="195" t="s">
        <v>230</v>
      </c>
      <c r="C6" s="195" t="s">
        <v>231</v>
      </c>
      <c r="D6" s="194" t="s">
        <v>232</v>
      </c>
      <c r="E6" s="194" t="s">
        <v>233</v>
      </c>
      <c r="F6" s="195" t="s">
        <v>197</v>
      </c>
      <c r="G6" s="196" t="s">
        <v>234</v>
      </c>
      <c r="H6" s="197" t="s">
        <v>235</v>
      </c>
      <c r="I6" s="196" t="s">
        <v>236</v>
      </c>
      <c r="J6" s="196" t="s">
        <v>237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16" t="s">
        <v>56</v>
      </c>
      <c r="B7" s="616"/>
      <c r="C7" s="160" t="s">
        <v>238</v>
      </c>
      <c r="D7" s="616" t="s">
        <v>239</v>
      </c>
      <c r="E7" s="619"/>
      <c r="F7" s="619"/>
      <c r="G7" s="160" t="s">
        <v>240</v>
      </c>
      <c r="H7" s="160" t="s">
        <v>241</v>
      </c>
      <c r="I7" s="160" t="s">
        <v>242</v>
      </c>
      <c r="J7" s="160" t="s">
        <v>243</v>
      </c>
      <c r="K7" s="616" t="s">
        <v>244</v>
      </c>
      <c r="L7" s="619"/>
      <c r="M7" s="193"/>
      <c r="N7" s="189"/>
      <c r="O7" s="199"/>
      <c r="P7" s="440"/>
      <c r="Q7" s="440"/>
      <c r="R7" s="199"/>
    </row>
    <row r="8" spans="1:18" s="189" customFormat="1" ht="15.75" customHeight="1">
      <c r="A8" s="615">
        <v>3</v>
      </c>
      <c r="B8" s="616" t="s">
        <v>258</v>
      </c>
      <c r="C8" s="200">
        <v>1</v>
      </c>
      <c r="D8" s="617" t="s">
        <v>192</v>
      </c>
      <c r="E8" s="610"/>
      <c r="F8" s="610"/>
      <c r="G8" s="200">
        <v>6</v>
      </c>
      <c r="H8" s="202">
        <v>3253.5604036637073</v>
      </c>
      <c r="I8" s="203">
        <v>542.26006727728452</v>
      </c>
      <c r="J8" s="221">
        <v>0.14252275893636579</v>
      </c>
      <c r="K8" s="611" t="s">
        <v>246</v>
      </c>
      <c r="L8" s="612"/>
      <c r="M8" s="190"/>
      <c r="O8" s="199"/>
      <c r="P8" s="440"/>
      <c r="Q8" s="440"/>
      <c r="R8" s="199"/>
    </row>
    <row r="9" spans="1:18" s="189" customFormat="1" ht="15.75" customHeight="1">
      <c r="A9" s="615"/>
      <c r="B9" s="616"/>
      <c r="C9" s="200">
        <v>2</v>
      </c>
      <c r="D9" s="617" t="s">
        <v>190</v>
      </c>
      <c r="E9" s="610"/>
      <c r="F9" s="610"/>
      <c r="G9" s="200">
        <v>22.714285714285715</v>
      </c>
      <c r="H9" s="202">
        <v>2743.9601388674678</v>
      </c>
      <c r="I9" s="203">
        <v>120.77222739898691</v>
      </c>
      <c r="J9" s="221">
        <v>5.1421598218981188</v>
      </c>
      <c r="K9" s="611" t="s">
        <v>246</v>
      </c>
      <c r="L9" s="612"/>
      <c r="M9" s="190"/>
      <c r="O9" s="199"/>
      <c r="P9" s="440"/>
      <c r="Q9" s="440"/>
      <c r="R9" s="199"/>
    </row>
    <row r="10" spans="1:18" s="189" customFormat="1" ht="15.75" customHeight="1">
      <c r="A10" s="615"/>
      <c r="B10" s="616"/>
      <c r="C10" s="200">
        <v>3</v>
      </c>
      <c r="D10" s="617" t="s">
        <v>191</v>
      </c>
      <c r="E10" s="610"/>
      <c r="F10" s="610"/>
      <c r="G10" s="200">
        <v>22.714285714285715</v>
      </c>
      <c r="H10" s="202">
        <v>2743.8302122315881</v>
      </c>
      <c r="I10" s="203">
        <v>120.76632429240206</v>
      </c>
      <c r="J10" s="221">
        <v>5.1158049135757864</v>
      </c>
      <c r="K10" s="611" t="s">
        <v>246</v>
      </c>
      <c r="L10" s="612"/>
      <c r="M10" s="190"/>
      <c r="O10" s="199"/>
      <c r="P10" s="440"/>
      <c r="Q10" s="440"/>
      <c r="R10" s="199"/>
    </row>
    <row r="11" spans="1:18" s="189" customFormat="1" ht="15.75" customHeight="1">
      <c r="A11" s="615"/>
      <c r="B11" s="616"/>
      <c r="C11" s="200">
        <v>4</v>
      </c>
      <c r="D11" s="617"/>
      <c r="E11" s="610"/>
      <c r="F11" s="610"/>
      <c r="G11" s="200"/>
      <c r="H11" s="202"/>
      <c r="I11" s="203"/>
      <c r="J11" s="200"/>
      <c r="K11" s="617"/>
      <c r="L11" s="610"/>
      <c r="M11" s="190"/>
      <c r="O11" s="199"/>
      <c r="P11" s="440"/>
      <c r="Q11" s="440"/>
      <c r="R11" s="199"/>
    </row>
    <row r="12" spans="1:18" s="189" customFormat="1" ht="15.75" customHeight="1">
      <c r="A12" s="615"/>
      <c r="B12" s="616"/>
      <c r="C12" s="200">
        <v>5</v>
      </c>
      <c r="D12" s="617"/>
      <c r="E12" s="610"/>
      <c r="F12" s="610"/>
      <c r="G12" s="200"/>
      <c r="H12" s="202"/>
      <c r="I12" s="203"/>
      <c r="J12" s="200"/>
      <c r="K12" s="617"/>
      <c r="L12" s="610"/>
      <c r="M12" s="190"/>
      <c r="O12" s="199"/>
      <c r="P12" s="440"/>
      <c r="Q12" s="440"/>
      <c r="R12" s="199"/>
    </row>
    <row r="13" spans="1:18" s="189" customFormat="1" ht="15.75" customHeight="1">
      <c r="A13" s="615"/>
      <c r="B13" s="616"/>
      <c r="C13" s="204" t="s">
        <v>247</v>
      </c>
      <c r="D13" s="617"/>
      <c r="E13" s="610"/>
      <c r="F13" s="610"/>
      <c r="G13" s="200"/>
      <c r="H13" s="202"/>
      <c r="I13" s="203"/>
      <c r="J13" s="200"/>
      <c r="K13" s="617"/>
      <c r="L13" s="610"/>
      <c r="M13" s="190"/>
      <c r="O13" s="199"/>
      <c r="P13" s="440"/>
      <c r="Q13" s="440"/>
      <c r="R13" s="199"/>
    </row>
    <row r="14" spans="1:18" s="189" customFormat="1" ht="15.75" customHeight="1">
      <c r="A14" s="615"/>
      <c r="B14" s="616"/>
      <c r="C14" s="204" t="s">
        <v>248</v>
      </c>
      <c r="D14" s="617"/>
      <c r="E14" s="610"/>
      <c r="F14" s="610"/>
      <c r="G14" s="200"/>
      <c r="H14" s="202"/>
      <c r="I14" s="203"/>
      <c r="J14" s="200"/>
      <c r="K14" s="617"/>
      <c r="L14" s="610"/>
      <c r="M14" s="190"/>
      <c r="N14" s="178"/>
      <c r="O14" s="178"/>
      <c r="P14" s="439"/>
      <c r="Q14" s="439"/>
      <c r="R14" s="178"/>
    </row>
    <row r="15" spans="1:18" s="189" customFormat="1" ht="15.75" customHeight="1">
      <c r="A15" s="615"/>
      <c r="B15" s="616"/>
      <c r="C15" s="204" t="s">
        <v>249</v>
      </c>
      <c r="D15" s="617"/>
      <c r="E15" s="610"/>
      <c r="F15" s="610"/>
      <c r="G15" s="202"/>
      <c r="H15" s="202"/>
      <c r="I15" s="203"/>
      <c r="J15" s="200"/>
      <c r="K15" s="617"/>
      <c r="L15" s="610"/>
      <c r="M15" s="190"/>
      <c r="O15" s="199"/>
      <c r="P15" s="440"/>
      <c r="Q15" s="440"/>
      <c r="R15" s="199"/>
    </row>
    <row r="16" spans="1:18" s="189" customFormat="1" ht="15.75" customHeight="1">
      <c r="A16" s="615"/>
      <c r="B16" s="616"/>
      <c r="C16" s="204" t="s">
        <v>250</v>
      </c>
      <c r="D16" s="617"/>
      <c r="E16" s="610"/>
      <c r="F16" s="610"/>
      <c r="G16" s="200"/>
      <c r="H16" s="202"/>
      <c r="I16" s="203"/>
      <c r="J16" s="200"/>
      <c r="K16" s="617"/>
      <c r="L16" s="610"/>
      <c r="O16" s="199"/>
      <c r="P16" s="440"/>
      <c r="Q16" s="440"/>
      <c r="R16" s="199"/>
    </row>
    <row r="17" spans="1:18" s="189" customFormat="1" ht="15.75" customHeight="1">
      <c r="A17" s="615"/>
      <c r="B17" s="616"/>
      <c r="C17" s="204" t="s">
        <v>251</v>
      </c>
      <c r="D17" s="617"/>
      <c r="E17" s="610"/>
      <c r="F17" s="610"/>
      <c r="G17" s="200"/>
      <c r="H17" s="202"/>
      <c r="I17" s="203"/>
      <c r="J17" s="200"/>
      <c r="K17" s="617"/>
      <c r="L17" s="610"/>
      <c r="O17" s="199"/>
      <c r="P17" s="440"/>
      <c r="Q17" s="440"/>
      <c r="R17" s="199"/>
    </row>
    <row r="18" spans="1:18" s="199" customFormat="1" ht="15.75" customHeight="1">
      <c r="A18" s="613" t="s">
        <v>56</v>
      </c>
      <c r="B18" s="613"/>
      <c r="C18" s="207" t="s">
        <v>238</v>
      </c>
      <c r="D18" s="613" t="s">
        <v>239</v>
      </c>
      <c r="E18" s="614"/>
      <c r="F18" s="614"/>
      <c r="G18" s="207" t="s">
        <v>240</v>
      </c>
      <c r="H18" s="207" t="s">
        <v>241</v>
      </c>
      <c r="I18" s="207" t="s">
        <v>242</v>
      </c>
      <c r="J18" s="160" t="s">
        <v>253</v>
      </c>
      <c r="K18" s="613" t="s">
        <v>244</v>
      </c>
      <c r="L18" s="614"/>
      <c r="M18" s="208"/>
      <c r="N18" s="189"/>
      <c r="P18" s="440"/>
      <c r="Q18" s="440"/>
    </row>
    <row r="19" spans="1:18" s="189" customFormat="1" ht="15.75" customHeight="1">
      <c r="A19" s="615">
        <v>4</v>
      </c>
      <c r="B19" s="616" t="s">
        <v>233</v>
      </c>
      <c r="C19" s="200">
        <v>1</v>
      </c>
      <c r="D19" s="617" t="s">
        <v>195</v>
      </c>
      <c r="E19" s="610"/>
      <c r="F19" s="610"/>
      <c r="G19" s="200">
        <v>6</v>
      </c>
      <c r="H19" s="202">
        <v>2952.1241315893299</v>
      </c>
      <c r="I19" s="203">
        <v>492.02068859822157</v>
      </c>
      <c r="J19" s="221">
        <v>0.94103708337286207</v>
      </c>
      <c r="K19" s="611" t="s">
        <v>246</v>
      </c>
      <c r="L19" s="612"/>
      <c r="N19" s="199"/>
      <c r="O19" s="199"/>
      <c r="P19" s="440"/>
      <c r="Q19" s="440"/>
      <c r="R19" s="199"/>
    </row>
    <row r="20" spans="1:18" s="189" customFormat="1" ht="15.75" customHeight="1">
      <c r="A20" s="615"/>
      <c r="B20" s="616"/>
      <c r="C20" s="200">
        <v>2</v>
      </c>
      <c r="D20" s="617"/>
      <c r="E20" s="610"/>
      <c r="F20" s="610"/>
      <c r="G20" s="200"/>
      <c r="H20" s="202"/>
      <c r="I20" s="203"/>
      <c r="J20" s="200"/>
      <c r="K20" s="617"/>
      <c r="L20" s="610"/>
      <c r="O20" s="199"/>
      <c r="P20" s="440"/>
      <c r="Q20" s="440"/>
      <c r="R20" s="199"/>
    </row>
    <row r="21" spans="1:18" s="189" customFormat="1" ht="15.75" customHeight="1">
      <c r="A21" s="615"/>
      <c r="B21" s="616"/>
      <c r="C21" s="200">
        <v>3</v>
      </c>
      <c r="D21" s="617"/>
      <c r="E21" s="610"/>
      <c r="F21" s="610"/>
      <c r="G21" s="200"/>
      <c r="H21" s="202"/>
      <c r="I21" s="203"/>
      <c r="J21" s="200"/>
      <c r="K21" s="617"/>
      <c r="L21" s="610"/>
      <c r="O21" s="199"/>
      <c r="P21" s="440"/>
      <c r="Q21" s="440"/>
      <c r="R21" s="199"/>
    </row>
    <row r="22" spans="1:18" s="189" customFormat="1" ht="15.75" customHeight="1">
      <c r="A22" s="615"/>
      <c r="B22" s="616"/>
      <c r="C22" s="200">
        <v>4</v>
      </c>
      <c r="D22" s="617"/>
      <c r="E22" s="610"/>
      <c r="F22" s="610"/>
      <c r="G22" s="200"/>
      <c r="H22" s="202"/>
      <c r="I22" s="203"/>
      <c r="J22" s="200"/>
      <c r="K22" s="617"/>
      <c r="L22" s="610"/>
      <c r="O22" s="199"/>
      <c r="P22" s="440"/>
      <c r="Q22" s="440"/>
      <c r="R22" s="199"/>
    </row>
    <row r="23" spans="1:18" s="189" customFormat="1" ht="15.75" customHeight="1">
      <c r="A23" s="615"/>
      <c r="B23" s="616"/>
      <c r="C23" s="200">
        <v>5</v>
      </c>
      <c r="D23" s="617"/>
      <c r="E23" s="610"/>
      <c r="F23" s="610"/>
      <c r="G23" s="200"/>
      <c r="H23" s="202"/>
      <c r="I23" s="203"/>
      <c r="J23" s="200"/>
      <c r="K23" s="617"/>
      <c r="L23" s="610"/>
      <c r="O23" s="199"/>
      <c r="P23" s="440"/>
      <c r="Q23" s="440"/>
      <c r="R23" s="199"/>
    </row>
    <row r="24" spans="1:18" s="189" customFormat="1" ht="15.75" customHeight="1">
      <c r="A24" s="615"/>
      <c r="B24" s="616"/>
      <c r="C24" s="204" t="s">
        <v>247</v>
      </c>
      <c r="D24" s="617"/>
      <c r="E24" s="610"/>
      <c r="F24" s="610"/>
      <c r="G24" s="200"/>
      <c r="H24" s="202"/>
      <c r="I24" s="203"/>
      <c r="J24" s="200"/>
      <c r="K24" s="617"/>
      <c r="L24" s="610"/>
      <c r="O24" s="199"/>
      <c r="P24" s="440"/>
      <c r="Q24" s="440"/>
      <c r="R24" s="199"/>
    </row>
    <row r="25" spans="1:18" s="189" customFormat="1" ht="15.75" customHeight="1">
      <c r="A25" s="615"/>
      <c r="B25" s="616"/>
      <c r="C25" s="204" t="s">
        <v>248</v>
      </c>
      <c r="D25" s="617"/>
      <c r="E25" s="610"/>
      <c r="F25" s="610"/>
      <c r="G25" s="200"/>
      <c r="H25" s="202"/>
      <c r="I25" s="203"/>
      <c r="J25" s="200"/>
      <c r="K25" s="617"/>
      <c r="L25" s="610"/>
      <c r="O25" s="199"/>
      <c r="P25" s="440"/>
      <c r="Q25" s="440"/>
      <c r="R25" s="199"/>
    </row>
    <row r="26" spans="1:18" s="189" customFormat="1" ht="15.75" customHeight="1">
      <c r="A26" s="615"/>
      <c r="B26" s="616"/>
      <c r="C26" s="204" t="s">
        <v>249</v>
      </c>
      <c r="D26" s="617"/>
      <c r="E26" s="610"/>
      <c r="F26" s="610"/>
      <c r="G26" s="200"/>
      <c r="H26" s="202"/>
      <c r="I26" s="203"/>
      <c r="J26" s="200"/>
      <c r="K26" s="617"/>
      <c r="L26" s="610"/>
      <c r="O26" s="199"/>
      <c r="P26" s="440"/>
      <c r="Q26" s="440"/>
      <c r="R26" s="199"/>
    </row>
    <row r="27" spans="1:18" s="189" customFormat="1" ht="15.75" customHeight="1">
      <c r="A27" s="615"/>
      <c r="B27" s="616"/>
      <c r="C27" s="204" t="s">
        <v>250</v>
      </c>
      <c r="D27" s="617"/>
      <c r="E27" s="610"/>
      <c r="F27" s="610"/>
      <c r="G27" s="200"/>
      <c r="H27" s="202"/>
      <c r="I27" s="203"/>
      <c r="J27" s="200"/>
      <c r="K27" s="617"/>
      <c r="L27" s="610"/>
      <c r="O27" s="199"/>
      <c r="P27" s="440"/>
      <c r="Q27" s="440"/>
      <c r="R27" s="199"/>
    </row>
    <row r="28" spans="1:18" s="189" customFormat="1" ht="15.75" customHeight="1">
      <c r="A28" s="615"/>
      <c r="B28" s="616"/>
      <c r="C28" s="204" t="s">
        <v>251</v>
      </c>
      <c r="D28" s="617"/>
      <c r="E28" s="610"/>
      <c r="F28" s="610"/>
      <c r="G28" s="200"/>
      <c r="H28" s="202"/>
      <c r="I28" s="203"/>
      <c r="J28" s="200"/>
      <c r="K28" s="617"/>
      <c r="L28" s="610"/>
      <c r="O28" s="199"/>
      <c r="P28" s="440"/>
      <c r="Q28" s="440"/>
      <c r="R28" s="199"/>
    </row>
    <row r="29" spans="1:18" s="189" customFormat="1" ht="15.75" customHeight="1">
      <c r="A29" s="618" t="s">
        <v>254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</row>
    <row r="30" spans="1:18" s="190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8" s="178" customFormat="1" ht="16.350000000000001" customHeight="1">
      <c r="A31" s="615" t="s">
        <v>128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15"/>
      <c r="B32" s="195" t="s">
        <v>230</v>
      </c>
      <c r="C32" s="195" t="s">
        <v>231</v>
      </c>
      <c r="D32" s="194" t="s">
        <v>232</v>
      </c>
      <c r="E32" s="194" t="s">
        <v>233</v>
      </c>
      <c r="F32" s="195" t="s">
        <v>197</v>
      </c>
      <c r="G32" s="196" t="s">
        <v>234</v>
      </c>
      <c r="H32" s="197" t="s">
        <v>235</v>
      </c>
      <c r="I32" s="196" t="s">
        <v>236</v>
      </c>
      <c r="J32" s="196" t="s">
        <v>237</v>
      </c>
      <c r="K32" s="198"/>
      <c r="L32" s="198"/>
      <c r="M32" s="190"/>
    </row>
    <row r="33" spans="1:15" s="178" customFormat="1" ht="15.75" customHeight="1">
      <c r="A33" s="616" t="s">
        <v>56</v>
      </c>
      <c r="B33" s="616"/>
      <c r="C33" s="160" t="s">
        <v>238</v>
      </c>
      <c r="D33" s="616" t="s">
        <v>239</v>
      </c>
      <c r="E33" s="619"/>
      <c r="F33" s="619"/>
      <c r="G33" s="160" t="s">
        <v>240</v>
      </c>
      <c r="H33" s="160" t="s">
        <v>241</v>
      </c>
      <c r="I33" s="160" t="s">
        <v>242</v>
      </c>
      <c r="J33" s="160" t="s">
        <v>243</v>
      </c>
      <c r="K33" s="616" t="s">
        <v>244</v>
      </c>
      <c r="L33" s="619"/>
      <c r="M33" s="193"/>
    </row>
    <row r="34" spans="1:15" s="189" customFormat="1" ht="15.75" customHeight="1">
      <c r="A34" s="615">
        <v>3</v>
      </c>
      <c r="B34" s="616" t="s">
        <v>258</v>
      </c>
      <c r="C34" s="200">
        <v>1</v>
      </c>
      <c r="D34" s="617" t="s">
        <v>192</v>
      </c>
      <c r="E34" s="610"/>
      <c r="F34" s="610"/>
      <c r="G34" s="200">
        <v>6</v>
      </c>
      <c r="H34" s="202">
        <v>3249.8074403462174</v>
      </c>
      <c r="I34" s="203">
        <v>541.63457339103616</v>
      </c>
      <c r="J34" s="221">
        <f>I34-I8</f>
        <v>-0.62549388624836411</v>
      </c>
      <c r="K34" s="611" t="s">
        <v>246</v>
      </c>
      <c r="L34" s="612"/>
      <c r="M34" s="190"/>
    </row>
    <row r="35" spans="1:15" s="189" customFormat="1" ht="15.75" customHeight="1">
      <c r="A35" s="615"/>
      <c r="B35" s="616"/>
      <c r="C35" s="200">
        <v>2</v>
      </c>
      <c r="D35" s="617" t="s">
        <v>190</v>
      </c>
      <c r="E35" s="610"/>
      <c r="F35" s="610"/>
      <c r="G35" s="200">
        <v>21.285714285714285</v>
      </c>
      <c r="H35" s="202">
        <v>2491.1695707857966</v>
      </c>
      <c r="I35" s="203">
        <v>117.07519198333515</v>
      </c>
      <c r="J35" s="221">
        <f>I35-I9</f>
        <v>-3.6970354156517686</v>
      </c>
      <c r="K35" s="622" t="s">
        <v>259</v>
      </c>
      <c r="L35" s="612"/>
      <c r="M35" s="190"/>
    </row>
    <row r="36" spans="1:15" s="189" customFormat="1" ht="15.75" customHeight="1">
      <c r="A36" s="615"/>
      <c r="B36" s="616"/>
      <c r="C36" s="200">
        <v>3</v>
      </c>
      <c r="D36" s="617" t="s">
        <v>191</v>
      </c>
      <c r="E36" s="610"/>
      <c r="F36" s="610"/>
      <c r="G36" s="200">
        <v>21.4</v>
      </c>
      <c r="H36" s="202">
        <v>2495.2576250117054</v>
      </c>
      <c r="I36" s="203">
        <v>116.64909993515498</v>
      </c>
      <c r="J36" s="221">
        <f>I36-I10</f>
        <v>-4.1172243572470819</v>
      </c>
      <c r="K36" s="622" t="s">
        <v>259</v>
      </c>
      <c r="L36" s="612"/>
      <c r="M36" s="190"/>
    </row>
    <row r="37" spans="1:15" s="189" customFormat="1" ht="15.75" customHeight="1">
      <c r="A37" s="615"/>
      <c r="B37" s="616"/>
      <c r="C37" s="200">
        <v>4</v>
      </c>
      <c r="D37" s="617"/>
      <c r="E37" s="610"/>
      <c r="F37" s="610"/>
      <c r="G37" s="200"/>
      <c r="H37" s="202"/>
      <c r="I37" s="203"/>
      <c r="J37" s="200"/>
      <c r="K37" s="617"/>
      <c r="L37" s="610"/>
      <c r="M37" s="190"/>
    </row>
    <row r="38" spans="1:15" s="189" customFormat="1" ht="15.75" customHeight="1">
      <c r="A38" s="615"/>
      <c r="B38" s="616"/>
      <c r="C38" s="200">
        <v>5</v>
      </c>
      <c r="D38" s="617"/>
      <c r="E38" s="610"/>
      <c r="F38" s="610"/>
      <c r="G38" s="200"/>
      <c r="H38" s="202"/>
      <c r="I38" s="203"/>
      <c r="J38" s="200"/>
      <c r="K38" s="617"/>
      <c r="L38" s="610"/>
      <c r="M38" s="190"/>
    </row>
    <row r="39" spans="1:15" s="189" customFormat="1" ht="15.75" customHeight="1">
      <c r="A39" s="615"/>
      <c r="B39" s="616"/>
      <c r="C39" s="204" t="s">
        <v>247</v>
      </c>
      <c r="D39" s="617"/>
      <c r="E39" s="610"/>
      <c r="F39" s="610"/>
      <c r="G39" s="200"/>
      <c r="H39" s="202"/>
      <c r="I39" s="203"/>
      <c r="J39" s="200"/>
      <c r="K39" s="617"/>
      <c r="L39" s="610"/>
      <c r="M39" s="190"/>
    </row>
    <row r="40" spans="1:15" s="189" customFormat="1" ht="15.75" customHeight="1">
      <c r="A40" s="615"/>
      <c r="B40" s="616"/>
      <c r="C40" s="204" t="s">
        <v>248</v>
      </c>
      <c r="D40" s="617"/>
      <c r="E40" s="610"/>
      <c r="F40" s="610"/>
      <c r="G40" s="200"/>
      <c r="H40" s="202"/>
      <c r="I40" s="203"/>
      <c r="J40" s="200"/>
      <c r="K40" s="617"/>
      <c r="L40" s="610"/>
      <c r="M40" s="190"/>
    </row>
    <row r="41" spans="1:15" s="189" customFormat="1" ht="15.75" customHeight="1">
      <c r="A41" s="615"/>
      <c r="B41" s="616"/>
      <c r="C41" s="204" t="s">
        <v>249</v>
      </c>
      <c r="D41" s="617"/>
      <c r="E41" s="610"/>
      <c r="F41" s="610"/>
      <c r="G41" s="202"/>
      <c r="H41" s="202"/>
      <c r="I41" s="203"/>
      <c r="J41" s="200"/>
      <c r="K41" s="617"/>
      <c r="L41" s="610"/>
      <c r="M41" s="190"/>
    </row>
    <row r="42" spans="1:15" s="189" customFormat="1" ht="15.75" customHeight="1">
      <c r="A42" s="615"/>
      <c r="B42" s="616"/>
      <c r="C42" s="204" t="s">
        <v>250</v>
      </c>
      <c r="D42" s="617"/>
      <c r="E42" s="610"/>
      <c r="F42" s="610"/>
      <c r="G42" s="200"/>
      <c r="H42" s="202"/>
      <c r="I42" s="203"/>
      <c r="J42" s="200"/>
      <c r="K42" s="617"/>
      <c r="L42" s="610"/>
    </row>
    <row r="43" spans="1:15" s="189" customFormat="1" ht="15.75" customHeight="1">
      <c r="A43" s="615"/>
      <c r="B43" s="616"/>
      <c r="C43" s="204" t="s">
        <v>251</v>
      </c>
      <c r="D43" s="617"/>
      <c r="E43" s="610"/>
      <c r="F43" s="610"/>
      <c r="G43" s="200"/>
      <c r="H43" s="202"/>
      <c r="I43" s="203"/>
      <c r="J43" s="200"/>
      <c r="K43" s="617"/>
      <c r="L43" s="610"/>
    </row>
    <row r="44" spans="1:15" s="199" customFormat="1" ht="15.75" customHeight="1">
      <c r="A44" s="613" t="s">
        <v>56</v>
      </c>
      <c r="B44" s="613"/>
      <c r="C44" s="207" t="s">
        <v>238</v>
      </c>
      <c r="D44" s="613" t="s">
        <v>239</v>
      </c>
      <c r="E44" s="614"/>
      <c r="F44" s="614"/>
      <c r="G44" s="207" t="s">
        <v>240</v>
      </c>
      <c r="H44" s="207" t="s">
        <v>241</v>
      </c>
      <c r="I44" s="207" t="s">
        <v>242</v>
      </c>
      <c r="J44" s="160" t="s">
        <v>243</v>
      </c>
      <c r="K44" s="613" t="s">
        <v>244</v>
      </c>
      <c r="L44" s="614"/>
      <c r="M44" s="208"/>
      <c r="O44" s="430"/>
    </row>
    <row r="45" spans="1:15" s="189" customFormat="1" ht="15.75" customHeight="1">
      <c r="A45" s="615">
        <v>4</v>
      </c>
      <c r="B45" s="616" t="s">
        <v>233</v>
      </c>
      <c r="C45" s="200">
        <v>1</v>
      </c>
      <c r="D45" s="617" t="s">
        <v>195</v>
      </c>
      <c r="E45" s="610"/>
      <c r="F45" s="610"/>
      <c r="G45" s="200">
        <v>6</v>
      </c>
      <c r="H45" s="202">
        <v>2958.1004674890678</v>
      </c>
      <c r="I45" s="203">
        <v>493.01674458151126</v>
      </c>
      <c r="J45" s="221">
        <f>I45-I19</f>
        <v>0.99605598328969336</v>
      </c>
      <c r="K45" s="611" t="s">
        <v>246</v>
      </c>
      <c r="L45" s="612"/>
    </row>
    <row r="46" spans="1:15" s="189" customFormat="1" ht="15.75" customHeight="1">
      <c r="A46" s="615"/>
      <c r="B46" s="616"/>
      <c r="C46" s="200">
        <v>2</v>
      </c>
      <c r="D46" s="617"/>
      <c r="E46" s="610"/>
      <c r="F46" s="610"/>
      <c r="G46" s="200"/>
      <c r="H46" s="202"/>
      <c r="I46" s="203"/>
      <c r="J46" s="200"/>
      <c r="K46" s="617"/>
      <c r="L46" s="610"/>
      <c r="O46" s="431"/>
    </row>
    <row r="47" spans="1:15" s="189" customFormat="1" ht="15.75" customHeight="1">
      <c r="A47" s="615"/>
      <c r="B47" s="616"/>
      <c r="C47" s="200">
        <v>3</v>
      </c>
      <c r="D47" s="617"/>
      <c r="E47" s="610"/>
      <c r="F47" s="610"/>
      <c r="G47" s="200"/>
      <c r="H47" s="202"/>
      <c r="I47" s="203"/>
      <c r="J47" s="200"/>
      <c r="K47" s="617"/>
      <c r="L47" s="610"/>
    </row>
    <row r="48" spans="1:15" s="189" customFormat="1" ht="15.75" customHeight="1">
      <c r="A48" s="615"/>
      <c r="B48" s="616"/>
      <c r="C48" s="200">
        <v>4</v>
      </c>
      <c r="D48" s="617"/>
      <c r="E48" s="610"/>
      <c r="F48" s="610"/>
      <c r="G48" s="200"/>
      <c r="H48" s="202"/>
      <c r="I48" s="203"/>
      <c r="J48" s="200"/>
      <c r="K48" s="617"/>
      <c r="L48" s="610"/>
    </row>
    <row r="49" spans="1:18" s="189" customFormat="1" ht="15.75" customHeight="1">
      <c r="A49" s="615"/>
      <c r="B49" s="616"/>
      <c r="C49" s="200">
        <v>5</v>
      </c>
      <c r="D49" s="617"/>
      <c r="E49" s="610"/>
      <c r="F49" s="610"/>
      <c r="G49" s="200"/>
      <c r="H49" s="202"/>
      <c r="I49" s="203"/>
      <c r="J49" s="200"/>
      <c r="K49" s="617"/>
      <c r="L49" s="610"/>
    </row>
    <row r="50" spans="1:18" s="189" customFormat="1" ht="15.75" customHeight="1">
      <c r="A50" s="615"/>
      <c r="B50" s="616"/>
      <c r="C50" s="204" t="s">
        <v>247</v>
      </c>
      <c r="D50" s="617"/>
      <c r="E50" s="610"/>
      <c r="F50" s="610"/>
      <c r="G50" s="200"/>
      <c r="H50" s="202"/>
      <c r="I50" s="203"/>
      <c r="J50" s="200"/>
      <c r="K50" s="617"/>
      <c r="L50" s="610"/>
    </row>
    <row r="51" spans="1:18" s="189" customFormat="1" ht="15.75" customHeight="1">
      <c r="A51" s="615"/>
      <c r="B51" s="616"/>
      <c r="C51" s="204" t="s">
        <v>248</v>
      </c>
      <c r="D51" s="617"/>
      <c r="E51" s="610"/>
      <c r="F51" s="610"/>
      <c r="G51" s="200"/>
      <c r="H51" s="202"/>
      <c r="I51" s="203"/>
      <c r="J51" s="200"/>
      <c r="K51" s="617"/>
      <c r="L51" s="610"/>
    </row>
    <row r="52" spans="1:18" s="189" customFormat="1" ht="15.75" customHeight="1">
      <c r="A52" s="615"/>
      <c r="B52" s="616"/>
      <c r="C52" s="204" t="s">
        <v>249</v>
      </c>
      <c r="D52" s="617"/>
      <c r="E52" s="610"/>
      <c r="F52" s="610"/>
      <c r="G52" s="200"/>
      <c r="H52" s="202"/>
      <c r="I52" s="203"/>
      <c r="J52" s="200"/>
      <c r="K52" s="617"/>
      <c r="L52" s="610"/>
    </row>
    <row r="53" spans="1:18" s="189" customFormat="1" ht="15.75" customHeight="1">
      <c r="A53" s="615"/>
      <c r="B53" s="616"/>
      <c r="C53" s="204" t="s">
        <v>250</v>
      </c>
      <c r="D53" s="617"/>
      <c r="E53" s="610"/>
      <c r="F53" s="610"/>
      <c r="G53" s="200"/>
      <c r="H53" s="202"/>
      <c r="I53" s="203"/>
      <c r="J53" s="200"/>
      <c r="K53" s="617"/>
      <c r="L53" s="610"/>
    </row>
    <row r="54" spans="1:18" s="189" customFormat="1" ht="15.75" customHeight="1">
      <c r="A54" s="615"/>
      <c r="B54" s="616"/>
      <c r="C54" s="204" t="s">
        <v>251</v>
      </c>
      <c r="D54" s="617"/>
      <c r="E54" s="610"/>
      <c r="F54" s="610"/>
      <c r="G54" s="200"/>
      <c r="H54" s="202"/>
      <c r="I54" s="203"/>
      <c r="J54" s="200"/>
      <c r="K54" s="617"/>
      <c r="L54" s="610"/>
    </row>
    <row r="55" spans="1:18" s="189" customFormat="1" ht="15.75" customHeight="1">
      <c r="A55" s="618" t="s">
        <v>255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</row>
    <row r="56" spans="1:18" s="190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</row>
    <row r="57" spans="1:18" s="178" customFormat="1" ht="16.350000000000001" customHeight="1">
      <c r="A57" s="615" t="s">
        <v>128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15"/>
      <c r="B58" s="195" t="s">
        <v>230</v>
      </c>
      <c r="C58" s="195" t="s">
        <v>231</v>
      </c>
      <c r="D58" s="194" t="s">
        <v>232</v>
      </c>
      <c r="E58" s="194" t="s">
        <v>233</v>
      </c>
      <c r="F58" s="195" t="s">
        <v>197</v>
      </c>
      <c r="G58" s="196" t="s">
        <v>234</v>
      </c>
      <c r="H58" s="197" t="s">
        <v>235</v>
      </c>
      <c r="I58" s="196" t="s">
        <v>236</v>
      </c>
      <c r="J58" s="196" t="s">
        <v>237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16" t="s">
        <v>56</v>
      </c>
      <c r="B59" s="616"/>
      <c r="C59" s="160" t="s">
        <v>238</v>
      </c>
      <c r="D59" s="616" t="s">
        <v>239</v>
      </c>
      <c r="E59" s="619"/>
      <c r="F59" s="619"/>
      <c r="G59" s="160" t="s">
        <v>240</v>
      </c>
      <c r="H59" s="160" t="s">
        <v>241</v>
      </c>
      <c r="I59" s="160" t="s">
        <v>242</v>
      </c>
      <c r="J59" s="160" t="s">
        <v>243</v>
      </c>
      <c r="K59" s="616" t="s">
        <v>244</v>
      </c>
      <c r="L59" s="619"/>
      <c r="M59" s="193"/>
      <c r="N59" s="189"/>
      <c r="O59" s="199"/>
      <c r="P59" s="440"/>
      <c r="Q59" s="440"/>
      <c r="R59" s="199"/>
    </row>
    <row r="60" spans="1:18" s="189" customFormat="1" ht="15.75" customHeight="1">
      <c r="A60" s="615">
        <v>3</v>
      </c>
      <c r="B60" s="616" t="s">
        <v>258</v>
      </c>
      <c r="C60" s="200">
        <v>1</v>
      </c>
      <c r="D60" s="617" t="s">
        <v>190</v>
      </c>
      <c r="E60" s="610"/>
      <c r="F60" s="610"/>
      <c r="G60" s="200">
        <v>23.857142857142858</v>
      </c>
      <c r="H60" s="202">
        <v>2827.8917865643953</v>
      </c>
      <c r="I60" s="203">
        <v>118.52110520921693</v>
      </c>
      <c r="J60" s="221">
        <f>I60-I35</f>
        <v>1.4459132258817817</v>
      </c>
      <c r="K60" s="611" t="s">
        <v>246</v>
      </c>
      <c r="L60" s="612"/>
      <c r="M60" s="190"/>
      <c r="O60" s="199"/>
      <c r="P60" s="440"/>
      <c r="Q60" s="440"/>
      <c r="R60" s="199"/>
    </row>
    <row r="61" spans="1:18" s="189" customFormat="1" ht="15.75" customHeight="1">
      <c r="A61" s="615"/>
      <c r="B61" s="616"/>
      <c r="C61" s="200">
        <v>2</v>
      </c>
      <c r="D61" s="617"/>
      <c r="E61" s="610"/>
      <c r="F61" s="610"/>
      <c r="G61" s="200"/>
      <c r="H61" s="202"/>
      <c r="I61" s="203"/>
      <c r="J61" s="221"/>
      <c r="K61" s="617"/>
      <c r="L61" s="610"/>
      <c r="M61" s="190"/>
      <c r="O61" s="199"/>
      <c r="P61" s="440"/>
      <c r="Q61" s="440"/>
      <c r="R61" s="199"/>
    </row>
    <row r="62" spans="1:18" s="189" customFormat="1" ht="15.75" customHeight="1">
      <c r="A62" s="615"/>
      <c r="B62" s="616"/>
      <c r="C62" s="200">
        <v>3</v>
      </c>
      <c r="D62" s="617"/>
      <c r="E62" s="610"/>
      <c r="F62" s="610"/>
      <c r="G62" s="200"/>
      <c r="H62" s="202"/>
      <c r="I62" s="203"/>
      <c r="J62" s="221"/>
      <c r="K62" s="617"/>
      <c r="L62" s="610"/>
      <c r="M62" s="190"/>
      <c r="O62" s="199"/>
      <c r="P62" s="440"/>
      <c r="Q62" s="440"/>
      <c r="R62" s="199"/>
    </row>
    <row r="63" spans="1:18" s="189" customFormat="1" ht="15.75" customHeight="1">
      <c r="A63" s="615"/>
      <c r="B63" s="616"/>
      <c r="C63" s="200">
        <v>4</v>
      </c>
      <c r="D63" s="617"/>
      <c r="E63" s="610"/>
      <c r="F63" s="610"/>
      <c r="G63" s="200"/>
      <c r="H63" s="202"/>
      <c r="I63" s="203"/>
      <c r="J63" s="200"/>
      <c r="K63" s="617"/>
      <c r="L63" s="610"/>
      <c r="M63" s="190"/>
      <c r="O63" s="199"/>
      <c r="P63" s="440"/>
      <c r="Q63" s="440"/>
      <c r="R63" s="199"/>
    </row>
    <row r="64" spans="1:18" s="189" customFormat="1" ht="15.75" customHeight="1">
      <c r="A64" s="615"/>
      <c r="B64" s="616"/>
      <c r="C64" s="200">
        <v>5</v>
      </c>
      <c r="D64" s="617"/>
      <c r="E64" s="610"/>
      <c r="F64" s="610"/>
      <c r="G64" s="200"/>
      <c r="H64" s="202"/>
      <c r="I64" s="203"/>
      <c r="J64" s="200"/>
      <c r="K64" s="617"/>
      <c r="L64" s="610"/>
      <c r="M64" s="190"/>
      <c r="O64" s="199"/>
      <c r="P64" s="440"/>
      <c r="Q64" s="440"/>
      <c r="R64" s="199"/>
    </row>
    <row r="65" spans="1:18" s="189" customFormat="1" ht="15.75" customHeight="1">
      <c r="A65" s="615"/>
      <c r="B65" s="616"/>
      <c r="C65" s="204" t="s">
        <v>247</v>
      </c>
      <c r="D65" s="617"/>
      <c r="E65" s="610"/>
      <c r="F65" s="610"/>
      <c r="G65" s="200"/>
      <c r="H65" s="202"/>
      <c r="I65" s="203"/>
      <c r="J65" s="200"/>
      <c r="K65" s="617"/>
      <c r="L65" s="610"/>
      <c r="M65" s="190"/>
      <c r="O65" s="199"/>
      <c r="P65" s="440"/>
      <c r="Q65" s="440"/>
      <c r="R65" s="199"/>
    </row>
    <row r="66" spans="1:18" s="189" customFormat="1" ht="15.75" customHeight="1">
      <c r="A66" s="615"/>
      <c r="B66" s="616"/>
      <c r="C66" s="204" t="s">
        <v>248</v>
      </c>
      <c r="D66" s="617"/>
      <c r="E66" s="610"/>
      <c r="F66" s="610"/>
      <c r="G66" s="200"/>
      <c r="H66" s="202"/>
      <c r="I66" s="203"/>
      <c r="J66" s="200"/>
      <c r="K66" s="617"/>
      <c r="L66" s="610"/>
      <c r="M66" s="190"/>
      <c r="N66" s="178"/>
      <c r="O66" s="178"/>
      <c r="P66" s="439"/>
      <c r="Q66" s="439"/>
      <c r="R66" s="178"/>
    </row>
    <row r="67" spans="1:18" s="189" customFormat="1" ht="15.75" customHeight="1">
      <c r="A67" s="615"/>
      <c r="B67" s="616"/>
      <c r="C67" s="204" t="s">
        <v>249</v>
      </c>
      <c r="D67" s="617"/>
      <c r="E67" s="610"/>
      <c r="F67" s="610"/>
      <c r="G67" s="202"/>
      <c r="H67" s="202"/>
      <c r="I67" s="203"/>
      <c r="J67" s="200"/>
      <c r="K67" s="617"/>
      <c r="L67" s="610"/>
      <c r="M67" s="190"/>
      <c r="O67" s="199"/>
      <c r="P67" s="440"/>
      <c r="Q67" s="440"/>
      <c r="R67" s="199"/>
    </row>
    <row r="68" spans="1:18" s="189" customFormat="1" ht="15.75" customHeight="1">
      <c r="A68" s="615"/>
      <c r="B68" s="616"/>
      <c r="C68" s="204" t="s">
        <v>250</v>
      </c>
      <c r="D68" s="617"/>
      <c r="E68" s="610"/>
      <c r="F68" s="610"/>
      <c r="G68" s="200"/>
      <c r="H68" s="202"/>
      <c r="I68" s="203"/>
      <c r="J68" s="200"/>
      <c r="K68" s="617"/>
      <c r="L68" s="610"/>
      <c r="O68" s="199"/>
      <c r="P68" s="440"/>
      <c r="Q68" s="440"/>
      <c r="R68" s="199"/>
    </row>
    <row r="69" spans="1:18" s="189" customFormat="1" ht="15.75" customHeight="1">
      <c r="A69" s="615"/>
      <c r="B69" s="616"/>
      <c r="C69" s="204" t="s">
        <v>251</v>
      </c>
      <c r="D69" s="617"/>
      <c r="E69" s="610"/>
      <c r="F69" s="610"/>
      <c r="G69" s="200"/>
      <c r="H69" s="202"/>
      <c r="I69" s="203"/>
      <c r="J69" s="200"/>
      <c r="K69" s="617"/>
      <c r="L69" s="610"/>
      <c r="O69" s="199"/>
      <c r="P69" s="440"/>
      <c r="Q69" s="440"/>
      <c r="R69" s="199"/>
    </row>
    <row r="70" spans="1:18" s="199" customFormat="1" ht="15.75" customHeight="1">
      <c r="A70" s="613" t="s">
        <v>56</v>
      </c>
      <c r="B70" s="613"/>
      <c r="C70" s="207" t="s">
        <v>238</v>
      </c>
      <c r="D70" s="613" t="s">
        <v>239</v>
      </c>
      <c r="E70" s="614"/>
      <c r="F70" s="614"/>
      <c r="G70" s="207" t="s">
        <v>240</v>
      </c>
      <c r="H70" s="207" t="s">
        <v>241</v>
      </c>
      <c r="I70" s="207" t="s">
        <v>242</v>
      </c>
      <c r="J70" s="160" t="s">
        <v>243</v>
      </c>
      <c r="K70" s="613" t="s">
        <v>244</v>
      </c>
      <c r="L70" s="614"/>
      <c r="M70" s="208"/>
      <c r="N70" s="189"/>
      <c r="P70" s="440"/>
      <c r="Q70" s="440"/>
    </row>
    <row r="71" spans="1:18" s="189" customFormat="1" ht="15.75" customHeight="1">
      <c r="A71" s="615">
        <v>4</v>
      </c>
      <c r="B71" s="616" t="s">
        <v>233</v>
      </c>
      <c r="C71" s="200">
        <v>1</v>
      </c>
      <c r="D71" s="617" t="s">
        <v>195</v>
      </c>
      <c r="E71" s="610"/>
      <c r="F71" s="610"/>
      <c r="G71" s="200">
        <v>6</v>
      </c>
      <c r="H71" s="202">
        <v>2958.2768585033291</v>
      </c>
      <c r="I71" s="203">
        <v>493.04614308388813</v>
      </c>
      <c r="J71" s="221">
        <f>I71-I45</f>
        <v>2.9398502376864144E-2</v>
      </c>
      <c r="K71" s="611" t="s">
        <v>246</v>
      </c>
      <c r="L71" s="612"/>
      <c r="N71" s="199"/>
      <c r="O71" s="199"/>
      <c r="P71" s="440"/>
      <c r="Q71" s="440"/>
      <c r="R71" s="199"/>
    </row>
    <row r="72" spans="1:18" s="189" customFormat="1" ht="15.75" customHeight="1">
      <c r="A72" s="615"/>
      <c r="B72" s="616"/>
      <c r="C72" s="200">
        <v>2</v>
      </c>
      <c r="D72" s="617"/>
      <c r="E72" s="610"/>
      <c r="F72" s="610"/>
      <c r="G72" s="200"/>
      <c r="H72" s="202"/>
      <c r="I72" s="203"/>
      <c r="J72" s="200"/>
      <c r="K72" s="617"/>
      <c r="L72" s="610"/>
      <c r="O72" s="199"/>
      <c r="P72" s="440"/>
      <c r="Q72" s="440"/>
      <c r="R72" s="199"/>
    </row>
    <row r="73" spans="1:18" s="189" customFormat="1" ht="15.75" customHeight="1">
      <c r="A73" s="615"/>
      <c r="B73" s="616"/>
      <c r="C73" s="200">
        <v>3</v>
      </c>
      <c r="D73" s="617"/>
      <c r="E73" s="610"/>
      <c r="F73" s="610"/>
      <c r="G73" s="200"/>
      <c r="H73" s="202"/>
      <c r="I73" s="203"/>
      <c r="J73" s="200"/>
      <c r="K73" s="617"/>
      <c r="L73" s="610"/>
      <c r="O73" s="199"/>
      <c r="P73" s="440"/>
      <c r="Q73" s="440"/>
      <c r="R73" s="199"/>
    </row>
    <row r="74" spans="1:18" s="189" customFormat="1" ht="15.75" customHeight="1">
      <c r="A74" s="615"/>
      <c r="B74" s="616"/>
      <c r="C74" s="200">
        <v>4</v>
      </c>
      <c r="D74" s="617"/>
      <c r="E74" s="610"/>
      <c r="F74" s="610"/>
      <c r="G74" s="200"/>
      <c r="H74" s="202"/>
      <c r="I74" s="203"/>
      <c r="J74" s="200"/>
      <c r="K74" s="617"/>
      <c r="L74" s="610"/>
      <c r="O74" s="199"/>
      <c r="P74" s="440"/>
      <c r="Q74" s="440"/>
      <c r="R74" s="199"/>
    </row>
    <row r="75" spans="1:18" s="189" customFormat="1" ht="15.75" customHeight="1">
      <c r="A75" s="615"/>
      <c r="B75" s="616"/>
      <c r="C75" s="200">
        <v>5</v>
      </c>
      <c r="D75" s="617"/>
      <c r="E75" s="610"/>
      <c r="F75" s="610"/>
      <c r="G75" s="200"/>
      <c r="H75" s="202"/>
      <c r="I75" s="203"/>
      <c r="J75" s="200"/>
      <c r="K75" s="617"/>
      <c r="L75" s="610"/>
      <c r="O75" s="199"/>
      <c r="P75" s="440"/>
      <c r="Q75" s="440"/>
      <c r="R75" s="199"/>
    </row>
    <row r="76" spans="1:18" s="189" customFormat="1" ht="15.75" customHeight="1">
      <c r="A76" s="615"/>
      <c r="B76" s="616"/>
      <c r="C76" s="204" t="s">
        <v>247</v>
      </c>
      <c r="D76" s="617"/>
      <c r="E76" s="610"/>
      <c r="F76" s="610"/>
      <c r="G76" s="200"/>
      <c r="H76" s="202"/>
      <c r="I76" s="203"/>
      <c r="J76" s="200"/>
      <c r="K76" s="617"/>
      <c r="L76" s="610"/>
      <c r="O76" s="199"/>
      <c r="P76" s="440"/>
      <c r="Q76" s="440"/>
      <c r="R76" s="199"/>
    </row>
    <row r="77" spans="1:18" s="189" customFormat="1" ht="15.75" customHeight="1">
      <c r="A77" s="615"/>
      <c r="B77" s="616"/>
      <c r="C77" s="204" t="s">
        <v>248</v>
      </c>
      <c r="D77" s="617"/>
      <c r="E77" s="610"/>
      <c r="F77" s="610"/>
      <c r="G77" s="200"/>
      <c r="H77" s="202"/>
      <c r="I77" s="203"/>
      <c r="J77" s="200"/>
      <c r="K77" s="617"/>
      <c r="L77" s="610"/>
      <c r="O77" s="199"/>
      <c r="P77" s="440"/>
      <c r="Q77" s="440"/>
      <c r="R77" s="199"/>
    </row>
    <row r="78" spans="1:18" s="189" customFormat="1" ht="15.75" customHeight="1">
      <c r="A78" s="615"/>
      <c r="B78" s="616"/>
      <c r="C78" s="204" t="s">
        <v>249</v>
      </c>
      <c r="D78" s="617"/>
      <c r="E78" s="610"/>
      <c r="F78" s="610"/>
      <c r="G78" s="200"/>
      <c r="H78" s="202"/>
      <c r="I78" s="203"/>
      <c r="J78" s="200"/>
      <c r="K78" s="617"/>
      <c r="L78" s="610"/>
      <c r="O78" s="199"/>
      <c r="P78" s="440"/>
      <c r="Q78" s="440"/>
      <c r="R78" s="199"/>
    </row>
    <row r="79" spans="1:18" s="189" customFormat="1" ht="15.75" customHeight="1">
      <c r="A79" s="615"/>
      <c r="B79" s="616"/>
      <c r="C79" s="204" t="s">
        <v>250</v>
      </c>
      <c r="D79" s="617"/>
      <c r="E79" s="610"/>
      <c r="F79" s="610"/>
      <c r="G79" s="200"/>
      <c r="H79" s="202"/>
      <c r="I79" s="203"/>
      <c r="J79" s="200"/>
      <c r="K79" s="617"/>
      <c r="L79" s="610"/>
      <c r="O79" s="199"/>
      <c r="P79" s="440"/>
      <c r="Q79" s="440"/>
      <c r="R79" s="199"/>
    </row>
    <row r="80" spans="1:18" s="189" customFormat="1" ht="15.75" customHeight="1">
      <c r="A80" s="615"/>
      <c r="B80" s="616"/>
      <c r="C80" s="204" t="s">
        <v>251</v>
      </c>
      <c r="D80" s="617"/>
      <c r="E80" s="610"/>
      <c r="F80" s="610"/>
      <c r="G80" s="200"/>
      <c r="H80" s="202"/>
      <c r="I80" s="203"/>
      <c r="J80" s="200"/>
      <c r="K80" s="617"/>
      <c r="L80" s="610"/>
      <c r="O80" s="199"/>
      <c r="P80" s="440"/>
      <c r="Q80" s="440"/>
      <c r="R80" s="199"/>
    </row>
    <row r="81" spans="1:18" s="189" customFormat="1" ht="15.75" customHeight="1">
      <c r="A81" s="618" t="s">
        <v>256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</row>
    <row r="82" spans="1:18" s="190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8" s="178" customFormat="1" ht="16.350000000000001" customHeight="1">
      <c r="A83" s="615" t="s">
        <v>128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15"/>
      <c r="B84" s="195" t="s">
        <v>230</v>
      </c>
      <c r="C84" s="195" t="s">
        <v>231</v>
      </c>
      <c r="D84" s="194" t="s">
        <v>232</v>
      </c>
      <c r="E84" s="194" t="s">
        <v>233</v>
      </c>
      <c r="F84" s="195" t="s">
        <v>197</v>
      </c>
      <c r="G84" s="196" t="s">
        <v>234</v>
      </c>
      <c r="H84" s="197" t="s">
        <v>235</v>
      </c>
      <c r="I84" s="196" t="s">
        <v>236</v>
      </c>
      <c r="J84" s="196" t="s">
        <v>237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16" t="s">
        <v>56</v>
      </c>
      <c r="B85" s="616"/>
      <c r="C85" s="160" t="s">
        <v>238</v>
      </c>
      <c r="D85" s="616" t="s">
        <v>239</v>
      </c>
      <c r="E85" s="619"/>
      <c r="F85" s="619"/>
      <c r="G85" s="160" t="s">
        <v>240</v>
      </c>
      <c r="H85" s="160" t="s">
        <v>241</v>
      </c>
      <c r="I85" s="160" t="s">
        <v>242</v>
      </c>
      <c r="J85" s="160" t="s">
        <v>243</v>
      </c>
      <c r="K85" s="616" t="s">
        <v>244</v>
      </c>
      <c r="L85" s="619"/>
      <c r="M85" s="193"/>
      <c r="N85" s="189"/>
      <c r="O85" s="199"/>
      <c r="P85" s="440"/>
      <c r="Q85" s="440"/>
      <c r="R85" s="199"/>
    </row>
    <row r="86" spans="1:18" s="189" customFormat="1" ht="15.75" customHeight="1">
      <c r="A86" s="615">
        <v>3</v>
      </c>
      <c r="B86" s="616" t="s">
        <v>258</v>
      </c>
      <c r="C86" s="200">
        <v>1</v>
      </c>
      <c r="D86" s="617" t="s">
        <v>190</v>
      </c>
      <c r="E86" s="610"/>
      <c r="F86" s="610"/>
      <c r="G86" s="200">
        <v>23.857142857142858</v>
      </c>
      <c r="H86" s="202">
        <v>2828.3011332722735</v>
      </c>
      <c r="I86" s="203">
        <v>118.53830193798512</v>
      </c>
      <c r="J86" s="221">
        <f>I86-I60</f>
        <v>1.7196728768198E-2</v>
      </c>
      <c r="K86" s="611" t="s">
        <v>246</v>
      </c>
      <c r="L86" s="612"/>
      <c r="M86" s="190"/>
      <c r="O86" s="199"/>
      <c r="P86" s="440"/>
      <c r="Q86" s="440"/>
      <c r="R86" s="199"/>
    </row>
    <row r="87" spans="1:18" s="189" customFormat="1" ht="15.75" customHeight="1">
      <c r="A87" s="615"/>
      <c r="B87" s="616"/>
      <c r="C87" s="200">
        <v>2</v>
      </c>
      <c r="D87" s="617"/>
      <c r="E87" s="610"/>
      <c r="F87" s="610"/>
      <c r="G87" s="200"/>
      <c r="H87" s="202"/>
      <c r="I87" s="203"/>
      <c r="J87" s="221"/>
      <c r="K87" s="617"/>
      <c r="L87" s="610"/>
      <c r="M87" s="190"/>
      <c r="O87" s="199"/>
      <c r="P87" s="440"/>
      <c r="Q87" s="440"/>
      <c r="R87" s="199"/>
    </row>
    <row r="88" spans="1:18" s="189" customFormat="1" ht="15.75" customHeight="1">
      <c r="A88" s="615"/>
      <c r="B88" s="616"/>
      <c r="C88" s="200">
        <v>3</v>
      </c>
      <c r="D88" s="617"/>
      <c r="E88" s="610"/>
      <c r="F88" s="610"/>
      <c r="G88" s="200"/>
      <c r="H88" s="202"/>
      <c r="I88" s="203"/>
      <c r="J88" s="221"/>
      <c r="K88" s="617"/>
      <c r="L88" s="610"/>
      <c r="M88" s="190"/>
      <c r="O88" s="199"/>
      <c r="P88" s="440"/>
      <c r="Q88" s="440"/>
      <c r="R88" s="199"/>
    </row>
    <row r="89" spans="1:18" s="189" customFormat="1" ht="15.75" customHeight="1">
      <c r="A89" s="615"/>
      <c r="B89" s="616"/>
      <c r="C89" s="200">
        <v>4</v>
      </c>
      <c r="D89" s="617"/>
      <c r="E89" s="610"/>
      <c r="F89" s="610"/>
      <c r="G89" s="200"/>
      <c r="H89" s="202"/>
      <c r="I89" s="203"/>
      <c r="J89" s="200"/>
      <c r="K89" s="617"/>
      <c r="L89" s="610"/>
      <c r="M89" s="190"/>
      <c r="O89" s="199"/>
      <c r="P89" s="440"/>
      <c r="Q89" s="440"/>
      <c r="R89" s="199"/>
    </row>
    <row r="90" spans="1:18" s="189" customFormat="1" ht="15.75" customHeight="1">
      <c r="A90" s="615"/>
      <c r="B90" s="616"/>
      <c r="C90" s="200">
        <v>5</v>
      </c>
      <c r="D90" s="617"/>
      <c r="E90" s="610"/>
      <c r="F90" s="610"/>
      <c r="G90" s="200"/>
      <c r="H90" s="202"/>
      <c r="I90" s="203"/>
      <c r="J90" s="200"/>
      <c r="K90" s="617"/>
      <c r="L90" s="610"/>
      <c r="M90" s="190"/>
      <c r="O90" s="199"/>
      <c r="P90" s="440"/>
      <c r="Q90" s="440"/>
      <c r="R90" s="199"/>
    </row>
    <row r="91" spans="1:18" s="189" customFormat="1" ht="15.75" customHeight="1">
      <c r="A91" s="615"/>
      <c r="B91" s="616"/>
      <c r="C91" s="204" t="s">
        <v>247</v>
      </c>
      <c r="D91" s="617"/>
      <c r="E91" s="610"/>
      <c r="F91" s="610"/>
      <c r="G91" s="200"/>
      <c r="H91" s="202"/>
      <c r="I91" s="203"/>
      <c r="J91" s="200"/>
      <c r="K91" s="617"/>
      <c r="L91" s="610"/>
      <c r="M91" s="190"/>
      <c r="O91" s="199"/>
      <c r="P91" s="440"/>
      <c r="Q91" s="440"/>
      <c r="R91" s="199"/>
    </row>
    <row r="92" spans="1:18" s="189" customFormat="1" ht="15.75" customHeight="1">
      <c r="A92" s="615"/>
      <c r="B92" s="616"/>
      <c r="C92" s="204" t="s">
        <v>248</v>
      </c>
      <c r="D92" s="617"/>
      <c r="E92" s="610"/>
      <c r="F92" s="610"/>
      <c r="G92" s="200"/>
      <c r="H92" s="202"/>
      <c r="I92" s="203"/>
      <c r="J92" s="200"/>
      <c r="K92" s="617"/>
      <c r="L92" s="610"/>
      <c r="M92" s="190"/>
      <c r="N92" s="178"/>
      <c r="O92" s="178"/>
      <c r="P92" s="439"/>
      <c r="Q92" s="439"/>
      <c r="R92" s="178"/>
    </row>
    <row r="93" spans="1:18" s="189" customFormat="1" ht="15.75" customHeight="1">
      <c r="A93" s="615"/>
      <c r="B93" s="616"/>
      <c r="C93" s="204" t="s">
        <v>249</v>
      </c>
      <c r="D93" s="617"/>
      <c r="E93" s="610"/>
      <c r="F93" s="610"/>
      <c r="G93" s="202"/>
      <c r="H93" s="202"/>
      <c r="I93" s="203"/>
      <c r="J93" s="200"/>
      <c r="K93" s="617"/>
      <c r="L93" s="610"/>
      <c r="M93" s="190"/>
      <c r="O93" s="199"/>
      <c r="P93" s="440"/>
      <c r="Q93" s="440"/>
      <c r="R93" s="199"/>
    </row>
    <row r="94" spans="1:18" s="189" customFormat="1" ht="15.75" customHeight="1">
      <c r="A94" s="615"/>
      <c r="B94" s="616"/>
      <c r="C94" s="204" t="s">
        <v>250</v>
      </c>
      <c r="D94" s="617"/>
      <c r="E94" s="610"/>
      <c r="F94" s="610"/>
      <c r="G94" s="200"/>
      <c r="H94" s="202"/>
      <c r="I94" s="203"/>
      <c r="J94" s="200"/>
      <c r="K94" s="617"/>
      <c r="L94" s="610"/>
      <c r="O94" s="199"/>
      <c r="P94" s="440"/>
      <c r="Q94" s="440"/>
      <c r="R94" s="199"/>
    </row>
    <row r="95" spans="1:18" s="189" customFormat="1" ht="15.75" customHeight="1">
      <c r="A95" s="615"/>
      <c r="B95" s="616"/>
      <c r="C95" s="204" t="s">
        <v>251</v>
      </c>
      <c r="D95" s="617"/>
      <c r="E95" s="610"/>
      <c r="F95" s="610"/>
      <c r="G95" s="200"/>
      <c r="H95" s="202"/>
      <c r="I95" s="203"/>
      <c r="J95" s="200"/>
      <c r="K95" s="617"/>
      <c r="L95" s="610"/>
      <c r="O95" s="199"/>
      <c r="P95" s="440"/>
      <c r="Q95" s="440"/>
      <c r="R95" s="199"/>
    </row>
    <row r="96" spans="1:18" s="199" customFormat="1" ht="15.75" customHeight="1">
      <c r="A96" s="613" t="s">
        <v>56</v>
      </c>
      <c r="B96" s="613"/>
      <c r="C96" s="207" t="s">
        <v>238</v>
      </c>
      <c r="D96" s="613" t="s">
        <v>239</v>
      </c>
      <c r="E96" s="614"/>
      <c r="F96" s="614"/>
      <c r="G96" s="207" t="s">
        <v>240</v>
      </c>
      <c r="H96" s="207" t="s">
        <v>241</v>
      </c>
      <c r="I96" s="207" t="s">
        <v>242</v>
      </c>
      <c r="J96" s="160" t="s">
        <v>243</v>
      </c>
      <c r="K96" s="613" t="s">
        <v>244</v>
      </c>
      <c r="L96" s="614"/>
      <c r="M96" s="208"/>
      <c r="N96" s="189"/>
      <c r="P96" s="440"/>
      <c r="Q96" s="440"/>
    </row>
    <row r="97" spans="1:18" s="189" customFormat="1" ht="15.75" customHeight="1">
      <c r="A97" s="615">
        <v>4</v>
      </c>
      <c r="B97" s="616" t="s">
        <v>233</v>
      </c>
      <c r="C97" s="200">
        <v>1</v>
      </c>
      <c r="D97" s="617" t="s">
        <v>195</v>
      </c>
      <c r="E97" s="610"/>
      <c r="F97" s="610"/>
      <c r="G97" s="200">
        <v>6</v>
      </c>
      <c r="H97" s="202">
        <v>2961.1746692770562</v>
      </c>
      <c r="I97" s="203">
        <v>493.52911154617607</v>
      </c>
      <c r="J97" s="221">
        <f>I97-I71</f>
        <v>0.48296846228794266</v>
      </c>
      <c r="K97" s="611" t="s">
        <v>246</v>
      </c>
      <c r="L97" s="612"/>
      <c r="N97" s="199"/>
      <c r="O97" s="199"/>
      <c r="P97" s="440"/>
      <c r="Q97" s="440"/>
      <c r="R97" s="199"/>
    </row>
    <row r="98" spans="1:18" s="189" customFormat="1" ht="15.75" customHeight="1">
      <c r="A98" s="615"/>
      <c r="B98" s="616"/>
      <c r="C98" s="200">
        <v>2</v>
      </c>
      <c r="D98" s="617"/>
      <c r="E98" s="610"/>
      <c r="F98" s="610"/>
      <c r="G98" s="200"/>
      <c r="H98" s="202"/>
      <c r="I98" s="203"/>
      <c r="J98" s="200"/>
      <c r="K98" s="617"/>
      <c r="L98" s="610"/>
      <c r="O98" s="199"/>
      <c r="P98" s="440"/>
      <c r="Q98" s="440"/>
      <c r="R98" s="199"/>
    </row>
    <row r="99" spans="1:18" s="189" customFormat="1" ht="15.75" customHeight="1">
      <c r="A99" s="615"/>
      <c r="B99" s="616"/>
      <c r="C99" s="200">
        <v>3</v>
      </c>
      <c r="D99" s="617"/>
      <c r="E99" s="610"/>
      <c r="F99" s="610"/>
      <c r="G99" s="200"/>
      <c r="H99" s="202"/>
      <c r="I99" s="203"/>
      <c r="J99" s="200"/>
      <c r="K99" s="617"/>
      <c r="L99" s="610"/>
      <c r="O99" s="199"/>
      <c r="P99" s="440"/>
      <c r="Q99" s="440"/>
      <c r="R99" s="199"/>
    </row>
    <row r="100" spans="1:18" s="189" customFormat="1" ht="15.75" customHeight="1">
      <c r="A100" s="615"/>
      <c r="B100" s="616"/>
      <c r="C100" s="200">
        <v>4</v>
      </c>
      <c r="D100" s="617"/>
      <c r="E100" s="610"/>
      <c r="F100" s="610"/>
      <c r="G100" s="200"/>
      <c r="H100" s="202"/>
      <c r="I100" s="203"/>
      <c r="J100" s="200"/>
      <c r="K100" s="617"/>
      <c r="L100" s="610"/>
      <c r="O100" s="199"/>
      <c r="P100" s="440"/>
      <c r="Q100" s="440"/>
      <c r="R100" s="199"/>
    </row>
    <row r="101" spans="1:18" s="189" customFormat="1" ht="15.75" customHeight="1">
      <c r="A101" s="615"/>
      <c r="B101" s="616"/>
      <c r="C101" s="200">
        <v>5</v>
      </c>
      <c r="D101" s="617"/>
      <c r="E101" s="610"/>
      <c r="F101" s="610"/>
      <c r="G101" s="200"/>
      <c r="H101" s="202"/>
      <c r="I101" s="203"/>
      <c r="J101" s="200"/>
      <c r="K101" s="617"/>
      <c r="L101" s="610"/>
      <c r="O101" s="199"/>
      <c r="P101" s="440"/>
      <c r="Q101" s="440"/>
      <c r="R101" s="199"/>
    </row>
    <row r="102" spans="1:18" s="189" customFormat="1" ht="15.75" customHeight="1">
      <c r="A102" s="615"/>
      <c r="B102" s="616"/>
      <c r="C102" s="204" t="s">
        <v>247</v>
      </c>
      <c r="D102" s="617"/>
      <c r="E102" s="610"/>
      <c r="F102" s="610"/>
      <c r="G102" s="200"/>
      <c r="H102" s="202"/>
      <c r="I102" s="203"/>
      <c r="J102" s="200"/>
      <c r="K102" s="617"/>
      <c r="L102" s="610"/>
      <c r="O102" s="199"/>
      <c r="P102" s="440"/>
      <c r="Q102" s="440"/>
      <c r="R102" s="199"/>
    </row>
    <row r="103" spans="1:18" s="189" customFormat="1" ht="15.75" customHeight="1">
      <c r="A103" s="615"/>
      <c r="B103" s="616"/>
      <c r="C103" s="204" t="s">
        <v>248</v>
      </c>
      <c r="D103" s="617"/>
      <c r="E103" s="610"/>
      <c r="F103" s="610"/>
      <c r="G103" s="200"/>
      <c r="H103" s="202"/>
      <c r="I103" s="203"/>
      <c r="J103" s="200"/>
      <c r="K103" s="617"/>
      <c r="L103" s="610"/>
      <c r="O103" s="199"/>
      <c r="P103" s="440"/>
      <c r="Q103" s="440"/>
      <c r="R103" s="199"/>
    </row>
    <row r="104" spans="1:18" s="189" customFormat="1" ht="15.75" customHeight="1">
      <c r="A104" s="615"/>
      <c r="B104" s="616"/>
      <c r="C104" s="204" t="s">
        <v>249</v>
      </c>
      <c r="D104" s="617"/>
      <c r="E104" s="610"/>
      <c r="F104" s="610"/>
      <c r="G104" s="200"/>
      <c r="H104" s="202"/>
      <c r="I104" s="203"/>
      <c r="J104" s="200"/>
      <c r="K104" s="617"/>
      <c r="L104" s="610"/>
      <c r="O104" s="199"/>
      <c r="P104" s="440"/>
      <c r="Q104" s="440"/>
      <c r="R104" s="199"/>
    </row>
    <row r="105" spans="1:18" s="189" customFormat="1" ht="15.75" customHeight="1">
      <c r="A105" s="615"/>
      <c r="B105" s="616"/>
      <c r="C105" s="204" t="s">
        <v>250</v>
      </c>
      <c r="D105" s="617"/>
      <c r="E105" s="610"/>
      <c r="F105" s="610"/>
      <c r="G105" s="200"/>
      <c r="H105" s="202"/>
      <c r="I105" s="203"/>
      <c r="J105" s="200"/>
      <c r="K105" s="617"/>
      <c r="L105" s="610"/>
      <c r="O105" s="199"/>
      <c r="P105" s="440"/>
      <c r="Q105" s="440"/>
      <c r="R105" s="199"/>
    </row>
    <row r="106" spans="1:18" s="189" customFormat="1" ht="15.75" customHeight="1">
      <c r="A106" s="615"/>
      <c r="B106" s="616"/>
      <c r="C106" s="204" t="s">
        <v>251</v>
      </c>
      <c r="D106" s="617"/>
      <c r="E106" s="610"/>
      <c r="F106" s="610"/>
      <c r="G106" s="200"/>
      <c r="H106" s="202"/>
      <c r="I106" s="203"/>
      <c r="J106" s="200"/>
      <c r="K106" s="617"/>
      <c r="L106" s="610"/>
      <c r="O106" s="199"/>
      <c r="P106" s="440"/>
      <c r="Q106" s="440"/>
      <c r="R106" s="199"/>
    </row>
    <row r="107" spans="1:18" s="189" customFormat="1" ht="15.75" customHeight="1">
      <c r="A107" s="618" t="s">
        <v>257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</row>
    <row r="108" spans="1:18" s="190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8" s="178" customFormat="1" ht="16.350000000000001" customHeight="1">
      <c r="A109" s="615" t="s">
        <v>128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50000000000001" customHeight="1">
      <c r="A110" s="615"/>
      <c r="B110" s="195" t="s">
        <v>230</v>
      </c>
      <c r="C110" s="195" t="s">
        <v>231</v>
      </c>
      <c r="D110" s="194" t="s">
        <v>232</v>
      </c>
      <c r="E110" s="194" t="s">
        <v>233</v>
      </c>
      <c r="F110" s="195" t="s">
        <v>197</v>
      </c>
      <c r="G110" s="196" t="s">
        <v>234</v>
      </c>
      <c r="H110" s="197" t="s">
        <v>235</v>
      </c>
      <c r="I110" s="196" t="s">
        <v>236</v>
      </c>
      <c r="J110" s="196" t="s">
        <v>237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16" t="s">
        <v>56</v>
      </c>
      <c r="B111" s="616"/>
      <c r="C111" s="160" t="s">
        <v>238</v>
      </c>
      <c r="D111" s="616" t="s">
        <v>239</v>
      </c>
      <c r="E111" s="619"/>
      <c r="F111" s="619"/>
      <c r="G111" s="160" t="s">
        <v>240</v>
      </c>
      <c r="H111" s="160" t="s">
        <v>241</v>
      </c>
      <c r="I111" s="160" t="s">
        <v>242</v>
      </c>
      <c r="J111" s="160" t="s">
        <v>243</v>
      </c>
      <c r="K111" s="616" t="s">
        <v>244</v>
      </c>
      <c r="L111" s="619"/>
      <c r="M111" s="193"/>
      <c r="N111" s="189"/>
      <c r="O111" s="199"/>
      <c r="P111" s="440"/>
      <c r="Q111" s="440"/>
      <c r="R111" s="199"/>
    </row>
    <row r="112" spans="1:18" s="189" customFormat="1" ht="15.75" customHeight="1">
      <c r="A112" s="615">
        <v>3</v>
      </c>
      <c r="B112" s="616" t="s">
        <v>258</v>
      </c>
      <c r="C112" s="200">
        <v>1</v>
      </c>
      <c r="D112" s="617" t="s">
        <v>193</v>
      </c>
      <c r="E112" s="610"/>
      <c r="F112" s="610"/>
      <c r="G112" s="200">
        <v>6</v>
      </c>
      <c r="H112" s="202">
        <v>3096.0077200792798</v>
      </c>
      <c r="I112" s="203">
        <v>516.00128667987997</v>
      </c>
      <c r="J112" s="221"/>
      <c r="K112" s="622" t="s">
        <v>260</v>
      </c>
      <c r="L112" s="612"/>
      <c r="M112" s="190"/>
      <c r="O112" s="199"/>
      <c r="P112" s="440"/>
      <c r="Q112" s="440"/>
      <c r="R112" s="199"/>
    </row>
    <row r="113" spans="1:18" s="189" customFormat="1" ht="15.75" customHeight="1">
      <c r="A113" s="615"/>
      <c r="B113" s="616"/>
      <c r="C113" s="200">
        <v>2</v>
      </c>
      <c r="D113" s="617" t="s">
        <v>190</v>
      </c>
      <c r="E113" s="610"/>
      <c r="F113" s="610"/>
      <c r="G113" s="200">
        <v>21.571428571428573</v>
      </c>
      <c r="H113" s="202">
        <v>2565.6296690448612</v>
      </c>
      <c r="I113" s="203">
        <v>118.92391952790344</v>
      </c>
      <c r="J113" s="221">
        <f>I113-I86</f>
        <v>0.38561758991831141</v>
      </c>
      <c r="K113" s="611" t="s">
        <v>246</v>
      </c>
      <c r="L113" s="612"/>
      <c r="M113" s="190"/>
      <c r="O113" s="199"/>
      <c r="P113" s="440"/>
      <c r="Q113" s="440"/>
      <c r="R113" s="199"/>
    </row>
    <row r="114" spans="1:18" s="189" customFormat="1" ht="15.75" customHeight="1">
      <c r="A114" s="615"/>
      <c r="B114" s="616"/>
      <c r="C114" s="200">
        <v>3</v>
      </c>
      <c r="D114" s="617"/>
      <c r="E114" s="610"/>
      <c r="F114" s="610"/>
      <c r="G114" s="200"/>
      <c r="H114" s="202"/>
      <c r="I114" s="203"/>
      <c r="J114" s="221"/>
      <c r="K114" s="611"/>
      <c r="L114" s="612"/>
      <c r="M114" s="190"/>
      <c r="O114" s="199"/>
      <c r="P114" s="440"/>
      <c r="Q114" s="440"/>
      <c r="R114" s="199"/>
    </row>
    <row r="115" spans="1:18" s="189" customFormat="1" ht="15.75" customHeight="1">
      <c r="A115" s="615"/>
      <c r="B115" s="616"/>
      <c r="C115" s="200">
        <v>4</v>
      </c>
      <c r="D115" s="617"/>
      <c r="E115" s="610"/>
      <c r="F115" s="610"/>
      <c r="G115" s="200"/>
      <c r="H115" s="202"/>
      <c r="I115" s="203"/>
      <c r="J115" s="200"/>
      <c r="K115" s="617"/>
      <c r="L115" s="610"/>
      <c r="M115" s="190"/>
      <c r="O115" s="199"/>
      <c r="P115" s="440"/>
      <c r="Q115" s="440"/>
      <c r="R115" s="199"/>
    </row>
    <row r="116" spans="1:18" s="189" customFormat="1" ht="15.75" customHeight="1">
      <c r="A116" s="615"/>
      <c r="B116" s="616"/>
      <c r="C116" s="200">
        <v>5</v>
      </c>
      <c r="D116" s="617"/>
      <c r="E116" s="610"/>
      <c r="F116" s="610"/>
      <c r="G116" s="200"/>
      <c r="H116" s="202"/>
      <c r="I116" s="203"/>
      <c r="J116" s="200"/>
      <c r="K116" s="617"/>
      <c r="L116" s="610"/>
      <c r="M116" s="190"/>
      <c r="O116" s="199"/>
      <c r="P116" s="440"/>
      <c r="Q116" s="440"/>
      <c r="R116" s="199"/>
    </row>
    <row r="117" spans="1:18" s="189" customFormat="1" ht="15.75" customHeight="1">
      <c r="A117" s="615"/>
      <c r="B117" s="616"/>
      <c r="C117" s="204" t="s">
        <v>247</v>
      </c>
      <c r="D117" s="617"/>
      <c r="E117" s="610"/>
      <c r="F117" s="610"/>
      <c r="G117" s="200"/>
      <c r="H117" s="202"/>
      <c r="I117" s="203"/>
      <c r="J117" s="200"/>
      <c r="K117" s="617"/>
      <c r="L117" s="610"/>
      <c r="M117" s="190"/>
      <c r="O117" s="199"/>
      <c r="P117" s="440"/>
      <c r="Q117" s="440"/>
      <c r="R117" s="199"/>
    </row>
    <row r="118" spans="1:18" s="189" customFormat="1" ht="15.75" customHeight="1">
      <c r="A118" s="615"/>
      <c r="B118" s="616"/>
      <c r="C118" s="204" t="s">
        <v>248</v>
      </c>
      <c r="D118" s="617"/>
      <c r="E118" s="610"/>
      <c r="F118" s="610"/>
      <c r="G118" s="200"/>
      <c r="H118" s="202"/>
      <c r="I118" s="203"/>
      <c r="J118" s="200"/>
      <c r="K118" s="617"/>
      <c r="L118" s="610"/>
      <c r="M118" s="190"/>
      <c r="N118" s="178"/>
      <c r="O118" s="178"/>
      <c r="P118" s="439"/>
      <c r="Q118" s="439"/>
      <c r="R118" s="178"/>
    </row>
    <row r="119" spans="1:18" s="189" customFormat="1" ht="15.75" customHeight="1">
      <c r="A119" s="615"/>
      <c r="B119" s="616"/>
      <c r="C119" s="204" t="s">
        <v>249</v>
      </c>
      <c r="D119" s="617"/>
      <c r="E119" s="610"/>
      <c r="F119" s="610"/>
      <c r="G119" s="202"/>
      <c r="H119" s="202"/>
      <c r="I119" s="203"/>
      <c r="J119" s="200"/>
      <c r="K119" s="617"/>
      <c r="L119" s="610"/>
      <c r="M119" s="190"/>
      <c r="O119" s="199"/>
      <c r="P119" s="440"/>
      <c r="Q119" s="440"/>
      <c r="R119" s="199"/>
    </row>
    <row r="120" spans="1:18" s="189" customFormat="1" ht="15.75" customHeight="1">
      <c r="A120" s="615"/>
      <c r="B120" s="616"/>
      <c r="C120" s="204" t="s">
        <v>250</v>
      </c>
      <c r="D120" s="617"/>
      <c r="E120" s="610"/>
      <c r="F120" s="610"/>
      <c r="G120" s="200"/>
      <c r="H120" s="202"/>
      <c r="I120" s="203"/>
      <c r="J120" s="200"/>
      <c r="K120" s="617"/>
      <c r="L120" s="610"/>
      <c r="O120" s="199"/>
      <c r="P120" s="440"/>
      <c r="Q120" s="440"/>
      <c r="R120" s="199"/>
    </row>
    <row r="121" spans="1:18" s="189" customFormat="1" ht="15.75" customHeight="1">
      <c r="A121" s="615"/>
      <c r="B121" s="616"/>
      <c r="C121" s="204" t="s">
        <v>251</v>
      </c>
      <c r="D121" s="617"/>
      <c r="E121" s="610"/>
      <c r="F121" s="610"/>
      <c r="G121" s="200"/>
      <c r="H121" s="202"/>
      <c r="I121" s="203"/>
      <c r="J121" s="200"/>
      <c r="K121" s="617"/>
      <c r="L121" s="610"/>
      <c r="O121" s="199"/>
      <c r="P121" s="440"/>
      <c r="Q121" s="440"/>
      <c r="R121" s="199"/>
    </row>
    <row r="122" spans="1:18" s="199" customFormat="1" ht="15.75" customHeight="1">
      <c r="A122" s="613" t="s">
        <v>56</v>
      </c>
      <c r="B122" s="613"/>
      <c r="C122" s="207" t="s">
        <v>238</v>
      </c>
      <c r="D122" s="613" t="s">
        <v>239</v>
      </c>
      <c r="E122" s="614"/>
      <c r="F122" s="614"/>
      <c r="G122" s="207" t="s">
        <v>240</v>
      </c>
      <c r="H122" s="207" t="s">
        <v>241</v>
      </c>
      <c r="I122" s="207" t="s">
        <v>242</v>
      </c>
      <c r="J122" s="160" t="s">
        <v>243</v>
      </c>
      <c r="K122" s="613" t="s">
        <v>244</v>
      </c>
      <c r="L122" s="614"/>
      <c r="M122" s="208"/>
      <c r="N122" s="189"/>
      <c r="P122" s="440"/>
      <c r="Q122" s="440"/>
    </row>
    <row r="123" spans="1:18" s="189" customFormat="1" ht="15.75" customHeight="1">
      <c r="A123" s="615">
        <v>4</v>
      </c>
      <c r="B123" s="616" t="s">
        <v>233</v>
      </c>
      <c r="C123" s="200">
        <v>1</v>
      </c>
      <c r="D123" s="617" t="s">
        <v>195</v>
      </c>
      <c r="E123" s="610"/>
      <c r="F123" s="610"/>
      <c r="G123" s="200">
        <v>6</v>
      </c>
      <c r="H123" s="202">
        <v>2961.6510978447559</v>
      </c>
      <c r="I123" s="203">
        <v>493.60851630745941</v>
      </c>
      <c r="J123" s="221">
        <f>I123-I97</f>
        <v>7.9404761283342395E-2</v>
      </c>
      <c r="K123" s="611" t="s">
        <v>246</v>
      </c>
      <c r="L123" s="612"/>
      <c r="N123" s="199"/>
      <c r="O123" s="199"/>
      <c r="P123" s="440"/>
      <c r="Q123" s="440"/>
      <c r="R123" s="199"/>
    </row>
    <row r="124" spans="1:18" s="189" customFormat="1" ht="15.75" customHeight="1">
      <c r="A124" s="615"/>
      <c r="B124" s="616"/>
      <c r="C124" s="200">
        <v>2</v>
      </c>
      <c r="D124" s="617" t="s">
        <v>196</v>
      </c>
      <c r="E124" s="610"/>
      <c r="F124" s="610"/>
      <c r="G124" s="200">
        <v>6</v>
      </c>
      <c r="H124" s="202">
        <v>2812.7557149413815</v>
      </c>
      <c r="I124" s="203">
        <v>468.79261915689705</v>
      </c>
      <c r="J124" s="200"/>
      <c r="K124" s="621" t="s">
        <v>261</v>
      </c>
      <c r="L124" s="610"/>
      <c r="O124" s="199"/>
      <c r="P124" s="440"/>
      <c r="Q124" s="440"/>
      <c r="R124" s="199"/>
    </row>
    <row r="125" spans="1:18" s="189" customFormat="1" ht="15.75" customHeight="1">
      <c r="A125" s="615"/>
      <c r="B125" s="616"/>
      <c r="C125" s="200">
        <v>3</v>
      </c>
      <c r="D125" s="617"/>
      <c r="E125" s="610"/>
      <c r="F125" s="610"/>
      <c r="G125" s="200"/>
      <c r="H125" s="202"/>
      <c r="I125" s="203"/>
      <c r="J125" s="200"/>
      <c r="K125" s="617"/>
      <c r="L125" s="610"/>
      <c r="O125" s="199"/>
      <c r="P125" s="440"/>
      <c r="Q125" s="440"/>
      <c r="R125" s="199"/>
    </row>
    <row r="126" spans="1:18" s="189" customFormat="1" ht="15.75" customHeight="1">
      <c r="A126" s="615"/>
      <c r="B126" s="616"/>
      <c r="C126" s="200">
        <v>4</v>
      </c>
      <c r="D126" s="617"/>
      <c r="E126" s="610"/>
      <c r="F126" s="610"/>
      <c r="G126" s="200"/>
      <c r="H126" s="202"/>
      <c r="I126" s="203"/>
      <c r="J126" s="200"/>
      <c r="K126" s="617"/>
      <c r="L126" s="610"/>
      <c r="O126" s="199"/>
      <c r="P126" s="440"/>
      <c r="Q126" s="440"/>
      <c r="R126" s="199"/>
    </row>
    <row r="127" spans="1:18" s="189" customFormat="1" ht="15.75" customHeight="1">
      <c r="A127" s="615"/>
      <c r="B127" s="616"/>
      <c r="C127" s="200">
        <v>5</v>
      </c>
      <c r="D127" s="617"/>
      <c r="E127" s="610"/>
      <c r="F127" s="610"/>
      <c r="G127" s="200"/>
      <c r="H127" s="202"/>
      <c r="I127" s="203"/>
      <c r="J127" s="200"/>
      <c r="K127" s="617"/>
      <c r="L127" s="610"/>
      <c r="O127" s="199"/>
      <c r="P127" s="440"/>
      <c r="Q127" s="440"/>
      <c r="R127" s="199"/>
    </row>
    <row r="128" spans="1:18" s="189" customFormat="1" ht="15.75" customHeight="1">
      <c r="A128" s="615"/>
      <c r="B128" s="616"/>
      <c r="C128" s="204" t="s">
        <v>247</v>
      </c>
      <c r="D128" s="617"/>
      <c r="E128" s="610"/>
      <c r="F128" s="610"/>
      <c r="G128" s="200"/>
      <c r="H128" s="202"/>
      <c r="I128" s="203"/>
      <c r="J128" s="200"/>
      <c r="K128" s="617"/>
      <c r="L128" s="610"/>
      <c r="O128" s="199"/>
      <c r="P128" s="440"/>
      <c r="Q128" s="440"/>
      <c r="R128" s="199"/>
    </row>
    <row r="129" spans="1:18" s="189" customFormat="1" ht="15.75" customHeight="1">
      <c r="A129" s="615"/>
      <c r="B129" s="616"/>
      <c r="C129" s="204" t="s">
        <v>248</v>
      </c>
      <c r="D129" s="617"/>
      <c r="E129" s="610"/>
      <c r="F129" s="610"/>
      <c r="G129" s="200"/>
      <c r="H129" s="202"/>
      <c r="I129" s="203"/>
      <c r="J129" s="200"/>
      <c r="K129" s="617"/>
      <c r="L129" s="610"/>
      <c r="O129" s="199"/>
      <c r="P129" s="440"/>
      <c r="Q129" s="440"/>
      <c r="R129" s="199"/>
    </row>
    <row r="130" spans="1:18" s="189" customFormat="1" ht="15.75" customHeight="1">
      <c r="A130" s="615"/>
      <c r="B130" s="616"/>
      <c r="C130" s="204" t="s">
        <v>249</v>
      </c>
      <c r="D130" s="617"/>
      <c r="E130" s="610"/>
      <c r="F130" s="610"/>
      <c r="G130" s="200"/>
      <c r="H130" s="202"/>
      <c r="I130" s="203"/>
      <c r="J130" s="200"/>
      <c r="K130" s="617"/>
      <c r="L130" s="610"/>
      <c r="O130" s="199"/>
      <c r="P130" s="440"/>
      <c r="Q130" s="440"/>
      <c r="R130" s="199"/>
    </row>
    <row r="131" spans="1:18" s="189" customFormat="1" ht="15.75" customHeight="1">
      <c r="A131" s="615"/>
      <c r="B131" s="616"/>
      <c r="C131" s="204" t="s">
        <v>250</v>
      </c>
      <c r="D131" s="617"/>
      <c r="E131" s="610"/>
      <c r="F131" s="610"/>
      <c r="G131" s="200"/>
      <c r="H131" s="202"/>
      <c r="I131" s="203"/>
      <c r="J131" s="200"/>
      <c r="K131" s="617"/>
      <c r="L131" s="610"/>
      <c r="O131" s="199"/>
      <c r="P131" s="440"/>
      <c r="Q131" s="440"/>
      <c r="R131" s="199"/>
    </row>
    <row r="132" spans="1:18" s="189" customFormat="1" ht="15.75" customHeight="1">
      <c r="A132" s="615"/>
      <c r="B132" s="616"/>
      <c r="C132" s="204" t="s">
        <v>251</v>
      </c>
      <c r="D132" s="617"/>
      <c r="E132" s="610"/>
      <c r="F132" s="610"/>
      <c r="G132" s="200"/>
      <c r="H132" s="202"/>
      <c r="I132" s="203"/>
      <c r="J132" s="200"/>
      <c r="K132" s="617"/>
      <c r="L132" s="610"/>
      <c r="O132" s="199"/>
      <c r="P132" s="440"/>
      <c r="Q132" s="440"/>
      <c r="R132" s="199"/>
    </row>
  </sheetData>
  <mergeCells count="261"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108" zoomScale="115" zoomScaleNormal="60" zoomScaleSheetLayoutView="115" workbookViewId="0">
      <selection activeCell="K112" sqref="K112:L13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66" t="s">
        <v>228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8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0"/>
      <c r="O2" s="190"/>
      <c r="P2" s="190"/>
      <c r="Q2" s="190"/>
      <c r="R2" s="190"/>
    </row>
    <row r="3" spans="1:18" s="189" customFormat="1" ht="15.75" customHeight="1">
      <c r="A3" s="618" t="s">
        <v>229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</row>
    <row r="4" spans="1:18" s="190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8" s="106" customFormat="1" ht="16.350000000000001" customHeight="1">
      <c r="A5" s="615" t="s">
        <v>128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15"/>
      <c r="B6" s="195" t="s">
        <v>230</v>
      </c>
      <c r="C6" s="195" t="s">
        <v>231</v>
      </c>
      <c r="D6" s="195" t="s">
        <v>232</v>
      </c>
      <c r="E6" s="195" t="s">
        <v>233</v>
      </c>
      <c r="F6" s="194" t="s">
        <v>197</v>
      </c>
      <c r="G6" s="209" t="s">
        <v>234</v>
      </c>
      <c r="H6" s="197" t="s">
        <v>235</v>
      </c>
      <c r="I6" s="196" t="s">
        <v>236</v>
      </c>
      <c r="J6" s="196" t="s">
        <v>237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16" t="s">
        <v>56</v>
      </c>
      <c r="B7" s="616"/>
      <c r="C7" s="160" t="s">
        <v>238</v>
      </c>
      <c r="D7" s="616" t="s">
        <v>239</v>
      </c>
      <c r="E7" s="619"/>
      <c r="F7" s="619"/>
      <c r="G7" s="160" t="s">
        <v>240</v>
      </c>
      <c r="H7" s="160" t="s">
        <v>241</v>
      </c>
      <c r="I7" s="160" t="s">
        <v>242</v>
      </c>
      <c r="J7" s="160" t="s">
        <v>243</v>
      </c>
      <c r="K7" s="616" t="s">
        <v>244</v>
      </c>
      <c r="L7" s="619"/>
      <c r="M7" s="127"/>
      <c r="N7" s="189"/>
      <c r="O7" s="441"/>
      <c r="P7" s="440"/>
      <c r="Q7" s="440"/>
      <c r="R7" s="199"/>
    </row>
    <row r="8" spans="1:18" ht="15.75" customHeight="1">
      <c r="A8" s="615">
        <v>5</v>
      </c>
      <c r="B8" s="616" t="s">
        <v>197</v>
      </c>
      <c r="C8" s="200">
        <v>1</v>
      </c>
      <c r="D8" s="617" t="s">
        <v>205</v>
      </c>
      <c r="E8" s="610"/>
      <c r="F8" s="610"/>
      <c r="G8" s="202">
        <v>19</v>
      </c>
      <c r="H8" s="202">
        <v>1776.8294219935883</v>
      </c>
      <c r="I8" s="203">
        <v>93.51733799966253</v>
      </c>
      <c r="J8" s="381">
        <v>9.4438464109430242E-2</v>
      </c>
      <c r="K8" s="611" t="s">
        <v>246</v>
      </c>
      <c r="L8" s="612"/>
      <c r="O8" s="441"/>
      <c r="P8" s="440"/>
      <c r="Q8" s="440"/>
      <c r="R8" s="199"/>
    </row>
    <row r="9" spans="1:18" ht="15.75" customHeight="1">
      <c r="A9" s="615"/>
      <c r="B9" s="616"/>
      <c r="C9" s="200">
        <v>2</v>
      </c>
      <c r="D9" s="617" t="s">
        <v>202</v>
      </c>
      <c r="E9" s="610"/>
      <c r="F9" s="610"/>
      <c r="G9" s="202">
        <v>20</v>
      </c>
      <c r="H9" s="202">
        <v>1779.7850713702653</v>
      </c>
      <c r="I9" s="203">
        <v>88.989253568513277</v>
      </c>
      <c r="J9" s="381">
        <v>0.11479261363037097</v>
      </c>
      <c r="K9" s="611" t="s">
        <v>246</v>
      </c>
      <c r="L9" s="612"/>
      <c r="O9" s="441"/>
      <c r="P9" s="440"/>
      <c r="Q9" s="440"/>
      <c r="R9" s="199"/>
    </row>
    <row r="10" spans="1:18" ht="15.75" customHeight="1">
      <c r="A10" s="615"/>
      <c r="B10" s="616"/>
      <c r="C10" s="200">
        <v>3</v>
      </c>
      <c r="D10" s="617" t="s">
        <v>203</v>
      </c>
      <c r="E10" s="610"/>
      <c r="F10" s="610"/>
      <c r="G10" s="202">
        <v>21</v>
      </c>
      <c r="H10" s="202">
        <v>1780.3519497654859</v>
      </c>
      <c r="I10" s="203">
        <v>84.778664274546955</v>
      </c>
      <c r="J10" s="381">
        <v>0.20737379317201032</v>
      </c>
      <c r="K10" s="611" t="s">
        <v>246</v>
      </c>
      <c r="L10" s="612"/>
      <c r="O10" s="199"/>
      <c r="P10" s="440"/>
      <c r="Q10" s="440"/>
      <c r="R10" s="199"/>
    </row>
    <row r="11" spans="1:18" ht="15.75" customHeight="1">
      <c r="A11" s="615"/>
      <c r="B11" s="616"/>
      <c r="C11" s="200">
        <v>4</v>
      </c>
      <c r="D11" s="617" t="s">
        <v>204</v>
      </c>
      <c r="E11" s="610"/>
      <c r="F11" s="610"/>
      <c r="G11" s="202">
        <v>19</v>
      </c>
      <c r="H11" s="202">
        <v>1601.533383040078</v>
      </c>
      <c r="I11" s="203">
        <v>84.291230686319906</v>
      </c>
      <c r="J11" s="381">
        <v>0.11888880370617017</v>
      </c>
      <c r="K11" s="611" t="s">
        <v>246</v>
      </c>
      <c r="L11" s="612"/>
      <c r="O11" s="441"/>
      <c r="P11" s="440"/>
      <c r="Q11" s="440"/>
      <c r="R11" s="199"/>
    </row>
    <row r="12" spans="1:18" ht="15.75" customHeight="1">
      <c r="A12" s="615"/>
      <c r="B12" s="616"/>
      <c r="C12" s="200">
        <v>5</v>
      </c>
      <c r="D12" s="617" t="s">
        <v>199</v>
      </c>
      <c r="E12" s="610"/>
      <c r="F12" s="610"/>
      <c r="G12" s="202">
        <v>23</v>
      </c>
      <c r="H12" s="202">
        <v>1778.4179655591065</v>
      </c>
      <c r="I12" s="203">
        <v>77.322520241700303</v>
      </c>
      <c r="J12" s="381">
        <v>0.1930913239250458</v>
      </c>
      <c r="K12" s="611" t="s">
        <v>246</v>
      </c>
      <c r="L12" s="612"/>
      <c r="O12" s="441"/>
      <c r="P12" s="440"/>
      <c r="Q12" s="440"/>
      <c r="R12" s="199"/>
    </row>
    <row r="13" spans="1:18" ht="15.75" customHeight="1">
      <c r="A13" s="615"/>
      <c r="B13" s="616"/>
      <c r="C13" s="204" t="s">
        <v>247</v>
      </c>
      <c r="D13" s="617" t="s">
        <v>198</v>
      </c>
      <c r="E13" s="610"/>
      <c r="F13" s="610"/>
      <c r="G13" s="202">
        <v>25</v>
      </c>
      <c r="H13" s="202">
        <v>1777.516778384901</v>
      </c>
      <c r="I13" s="203">
        <v>71.100671135396041</v>
      </c>
      <c r="J13" s="381">
        <v>2.6500515007995773E-2</v>
      </c>
      <c r="K13" s="611" t="s">
        <v>246</v>
      </c>
      <c r="L13" s="612"/>
      <c r="N13" s="178"/>
      <c r="O13" s="442"/>
      <c r="P13" s="439"/>
      <c r="Q13" s="439"/>
      <c r="R13" s="178"/>
    </row>
    <row r="14" spans="1:18" ht="15.75" customHeight="1">
      <c r="A14" s="615"/>
      <c r="B14" s="616"/>
      <c r="C14" s="204" t="s">
        <v>248</v>
      </c>
      <c r="D14" s="617" t="s">
        <v>201</v>
      </c>
      <c r="E14" s="610"/>
      <c r="F14" s="610"/>
      <c r="G14" s="202">
        <v>23</v>
      </c>
      <c r="H14" s="202">
        <v>1777.1735461732044</v>
      </c>
      <c r="I14" s="203">
        <v>77.268415051008887</v>
      </c>
      <c r="J14" s="381">
        <v>8.9869432924032822E-2</v>
      </c>
      <c r="K14" s="611" t="s">
        <v>246</v>
      </c>
      <c r="L14" s="612"/>
      <c r="O14" s="441"/>
      <c r="P14" s="440"/>
      <c r="Q14" s="440"/>
      <c r="R14" s="199"/>
    </row>
    <row r="15" spans="1:18" ht="15.75" customHeight="1">
      <c r="A15" s="615"/>
      <c r="B15" s="616"/>
      <c r="C15" s="204" t="s">
        <v>249</v>
      </c>
      <c r="D15" s="617" t="s">
        <v>200</v>
      </c>
      <c r="E15" s="610"/>
      <c r="F15" s="610"/>
      <c r="G15" s="202">
        <v>23</v>
      </c>
      <c r="H15" s="202">
        <v>1778.3306787978483</v>
      </c>
      <c r="I15" s="203">
        <v>77.318725165123837</v>
      </c>
      <c r="J15" s="381">
        <v>0.20081796897846971</v>
      </c>
      <c r="K15" s="611" t="s">
        <v>246</v>
      </c>
      <c r="L15" s="612"/>
      <c r="O15" s="441"/>
      <c r="P15" s="440"/>
      <c r="Q15" s="440"/>
      <c r="R15" s="199"/>
    </row>
    <row r="16" spans="1:18" ht="15.75" customHeight="1">
      <c r="A16" s="615"/>
      <c r="B16" s="616"/>
      <c r="C16" s="204" t="s">
        <v>250</v>
      </c>
      <c r="D16" s="617"/>
      <c r="E16" s="610"/>
      <c r="F16" s="610"/>
      <c r="G16" s="202"/>
      <c r="H16" s="202"/>
      <c r="I16" s="203"/>
      <c r="J16" s="200"/>
      <c r="K16" s="617"/>
      <c r="L16" s="610"/>
      <c r="M16" s="99"/>
      <c r="O16" s="441"/>
      <c r="P16" s="440"/>
      <c r="Q16" s="440"/>
      <c r="R16" s="199"/>
    </row>
    <row r="17" spans="1:18" ht="15.75" customHeight="1">
      <c r="A17" s="615"/>
      <c r="B17" s="616"/>
      <c r="C17" s="204" t="s">
        <v>251</v>
      </c>
      <c r="D17" s="617"/>
      <c r="E17" s="610"/>
      <c r="F17" s="610"/>
      <c r="G17" s="202"/>
      <c r="H17" s="202"/>
      <c r="I17" s="203"/>
      <c r="J17" s="200"/>
      <c r="K17" s="617"/>
      <c r="L17" s="610"/>
      <c r="M17" s="99"/>
      <c r="O17" s="441"/>
      <c r="P17" s="440"/>
      <c r="Q17" s="440"/>
      <c r="R17" s="199"/>
    </row>
    <row r="18" spans="1:18" s="104" customFormat="1" ht="15.75" customHeight="1">
      <c r="A18" s="613" t="s">
        <v>56</v>
      </c>
      <c r="B18" s="613"/>
      <c r="C18" s="207" t="s">
        <v>238</v>
      </c>
      <c r="D18" s="613" t="s">
        <v>239</v>
      </c>
      <c r="E18" s="614"/>
      <c r="F18" s="614"/>
      <c r="G18" s="207" t="s">
        <v>240</v>
      </c>
      <c r="H18" s="207" t="s">
        <v>241</v>
      </c>
      <c r="I18" s="207" t="s">
        <v>242</v>
      </c>
      <c r="J18" s="160" t="s">
        <v>253</v>
      </c>
      <c r="K18" s="613" t="s">
        <v>244</v>
      </c>
      <c r="L18" s="614"/>
      <c r="M18" s="128"/>
      <c r="N18" s="189"/>
      <c r="O18" s="441"/>
      <c r="P18" s="440"/>
      <c r="Q18" s="440"/>
      <c r="R18" s="199"/>
    </row>
    <row r="19" spans="1:18" ht="15.75" customHeight="1">
      <c r="A19" s="615">
        <v>6</v>
      </c>
      <c r="B19" s="616" t="s">
        <v>234</v>
      </c>
      <c r="C19" s="200">
        <v>1</v>
      </c>
      <c r="D19" s="617" t="s">
        <v>216</v>
      </c>
      <c r="E19" s="610"/>
      <c r="F19" s="610"/>
      <c r="G19" s="200">
        <v>20</v>
      </c>
      <c r="H19" s="202">
        <v>1777.7166669668727</v>
      </c>
      <c r="I19" s="203">
        <v>88.885833348343652</v>
      </c>
      <c r="J19" s="381">
        <v>8.5125272349358738E-2</v>
      </c>
      <c r="K19" s="611" t="s">
        <v>246</v>
      </c>
      <c r="L19" s="612"/>
      <c r="M19" s="99"/>
      <c r="N19" s="199"/>
      <c r="O19" s="199"/>
      <c r="P19" s="440"/>
      <c r="Q19" s="440"/>
      <c r="R19" s="199"/>
    </row>
    <row r="20" spans="1:18" ht="15.75" customHeight="1">
      <c r="A20" s="615"/>
      <c r="B20" s="616"/>
      <c r="C20" s="200">
        <v>2</v>
      </c>
      <c r="D20" s="617" t="s">
        <v>209</v>
      </c>
      <c r="E20" s="610"/>
      <c r="F20" s="610"/>
      <c r="G20" s="202">
        <v>21</v>
      </c>
      <c r="H20" s="202">
        <v>1777.3375261915148</v>
      </c>
      <c r="I20" s="203">
        <v>84.635120294834024</v>
      </c>
      <c r="J20" s="381">
        <v>0.14242149608104171</v>
      </c>
      <c r="K20" s="611" t="s">
        <v>246</v>
      </c>
      <c r="L20" s="612"/>
      <c r="M20" s="99"/>
      <c r="O20" s="199"/>
      <c r="P20" s="440"/>
      <c r="Q20" s="440"/>
      <c r="R20" s="199"/>
    </row>
    <row r="21" spans="1:18" ht="15.75" customHeight="1">
      <c r="A21" s="615"/>
      <c r="B21" s="616"/>
      <c r="C21" s="200">
        <v>3</v>
      </c>
      <c r="D21" s="617" t="s">
        <v>215</v>
      </c>
      <c r="E21" s="610"/>
      <c r="F21" s="610"/>
      <c r="G21" s="202">
        <v>22</v>
      </c>
      <c r="H21" s="202">
        <v>1776.6778190766829</v>
      </c>
      <c r="I21" s="203">
        <v>80.758082685303762</v>
      </c>
      <c r="J21" s="381">
        <v>5.4244226867950829E-2</v>
      </c>
      <c r="K21" s="611" t="s">
        <v>246</v>
      </c>
      <c r="L21" s="612"/>
      <c r="M21" s="99"/>
      <c r="O21" s="199"/>
      <c r="P21" s="440"/>
      <c r="Q21" s="440"/>
      <c r="R21" s="199"/>
    </row>
    <row r="22" spans="1:18" ht="15.75" customHeight="1">
      <c r="A22" s="615"/>
      <c r="B22" s="616"/>
      <c r="C22" s="200">
        <v>4</v>
      </c>
      <c r="D22" s="617" t="s">
        <v>211</v>
      </c>
      <c r="E22" s="610"/>
      <c r="F22" s="610"/>
      <c r="G22" s="200">
        <v>23</v>
      </c>
      <c r="H22" s="202">
        <v>1778.9306329269712</v>
      </c>
      <c r="I22" s="203">
        <v>77.344810127259606</v>
      </c>
      <c r="J22" s="381">
        <v>5.1200654103837451E-2</v>
      </c>
      <c r="K22" s="611" t="s">
        <v>246</v>
      </c>
      <c r="L22" s="612"/>
      <c r="M22" s="99"/>
      <c r="O22" s="199"/>
      <c r="P22" s="440"/>
      <c r="Q22" s="440"/>
      <c r="R22" s="199"/>
    </row>
    <row r="23" spans="1:18" ht="15.75" customHeight="1">
      <c r="A23" s="615"/>
      <c r="B23" s="616"/>
      <c r="C23" s="200">
        <v>5</v>
      </c>
      <c r="D23" s="617" t="s">
        <v>214</v>
      </c>
      <c r="E23" s="610"/>
      <c r="F23" s="610"/>
      <c r="G23" s="202">
        <v>23</v>
      </c>
      <c r="H23" s="202">
        <v>1778.6376212279943</v>
      </c>
      <c r="I23" s="203">
        <v>77.33207048817367</v>
      </c>
      <c r="J23" s="381">
        <v>0.16624169911403897</v>
      </c>
      <c r="K23" s="611" t="s">
        <v>246</v>
      </c>
      <c r="L23" s="612"/>
      <c r="M23" s="99"/>
      <c r="O23" s="199"/>
      <c r="P23" s="440"/>
      <c r="Q23" s="440"/>
      <c r="R23" s="199"/>
    </row>
    <row r="24" spans="1:18" ht="15.75" customHeight="1">
      <c r="A24" s="615"/>
      <c r="B24" s="616"/>
      <c r="C24" s="204" t="s">
        <v>247</v>
      </c>
      <c r="D24" s="617" t="s">
        <v>213</v>
      </c>
      <c r="E24" s="610"/>
      <c r="F24" s="610"/>
      <c r="G24" s="200">
        <v>25</v>
      </c>
      <c r="H24" s="202">
        <v>1779.6844513454416</v>
      </c>
      <c r="I24" s="203">
        <v>71.187378053817667</v>
      </c>
      <c r="J24" s="381">
        <v>3.5664336173226729E-2</v>
      </c>
      <c r="K24" s="611" t="s">
        <v>246</v>
      </c>
      <c r="L24" s="612"/>
      <c r="M24" s="99"/>
      <c r="O24" s="199"/>
      <c r="P24" s="440"/>
      <c r="Q24" s="440"/>
      <c r="R24" s="199"/>
    </row>
    <row r="25" spans="1:18" ht="15.75" customHeight="1">
      <c r="A25" s="615"/>
      <c r="B25" s="616"/>
      <c r="C25" s="204" t="s">
        <v>248</v>
      </c>
      <c r="D25" s="617" t="s">
        <v>210</v>
      </c>
      <c r="E25" s="610"/>
      <c r="F25" s="610"/>
      <c r="G25" s="200">
        <v>25</v>
      </c>
      <c r="H25" s="202">
        <v>1782.0098782461807</v>
      </c>
      <c r="I25" s="203">
        <v>71.280395129847221</v>
      </c>
      <c r="J25" s="381">
        <v>1.7277555059536098E-3</v>
      </c>
      <c r="K25" s="611" t="s">
        <v>246</v>
      </c>
      <c r="L25" s="612"/>
      <c r="M25" s="99"/>
      <c r="O25" s="199"/>
      <c r="P25" s="440"/>
      <c r="Q25" s="440"/>
      <c r="R25" s="199"/>
    </row>
    <row r="26" spans="1:18" ht="15.75" customHeight="1">
      <c r="A26" s="615"/>
      <c r="B26" s="616"/>
      <c r="C26" s="204" t="s">
        <v>249</v>
      </c>
      <c r="D26" s="617" t="s">
        <v>212</v>
      </c>
      <c r="E26" s="610"/>
      <c r="F26" s="610"/>
      <c r="G26" s="200">
        <v>24</v>
      </c>
      <c r="H26" s="202">
        <v>1778.0690597642508</v>
      </c>
      <c r="I26" s="203">
        <v>74.086210823510456</v>
      </c>
      <c r="J26" s="381">
        <v>7.0727412800607681E-2</v>
      </c>
      <c r="K26" s="611" t="s">
        <v>246</v>
      </c>
      <c r="L26" s="612"/>
      <c r="M26" s="99"/>
      <c r="O26" s="199"/>
      <c r="P26" s="440"/>
      <c r="Q26" s="440"/>
      <c r="R26" s="199"/>
    </row>
    <row r="27" spans="1:18" ht="15.75" customHeight="1">
      <c r="A27" s="615"/>
      <c r="B27" s="616"/>
      <c r="C27" s="204" t="s">
        <v>250</v>
      </c>
      <c r="D27" s="617" t="s">
        <v>217</v>
      </c>
      <c r="E27" s="610"/>
      <c r="F27" s="610"/>
      <c r="G27" s="200">
        <v>24</v>
      </c>
      <c r="H27" s="202">
        <v>1779.8831342426745</v>
      </c>
      <c r="I27" s="203">
        <v>74.161797260111442</v>
      </c>
      <c r="J27" s="381">
        <v>3.067829981725211</v>
      </c>
      <c r="K27" s="611" t="s">
        <v>246</v>
      </c>
      <c r="L27" s="612"/>
      <c r="M27" s="99"/>
      <c r="O27" s="199"/>
      <c r="P27" s="440"/>
      <c r="Q27" s="440"/>
      <c r="R27" s="199"/>
    </row>
    <row r="28" spans="1:18" ht="15.75" customHeight="1">
      <c r="A28" s="615"/>
      <c r="B28" s="616"/>
      <c r="C28" s="204" t="s">
        <v>251</v>
      </c>
      <c r="D28" s="617"/>
      <c r="E28" s="610"/>
      <c r="F28" s="610"/>
      <c r="G28" s="200"/>
      <c r="H28" s="202"/>
      <c r="I28" s="203"/>
      <c r="J28" s="200"/>
      <c r="K28" s="617"/>
      <c r="L28" s="610"/>
      <c r="M28" s="99"/>
      <c r="O28" s="199"/>
      <c r="P28" s="440"/>
      <c r="Q28" s="440"/>
      <c r="R28" s="199"/>
    </row>
    <row r="29" spans="1:18" s="189" customFormat="1" ht="15.75" customHeight="1">
      <c r="A29" s="618" t="s">
        <v>254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</row>
    <row r="30" spans="1:18" s="190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8" s="106" customFormat="1" ht="16.350000000000001" customHeight="1">
      <c r="A31" s="615" t="s">
        <v>128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</row>
    <row r="32" spans="1:18" ht="16.350000000000001" customHeight="1">
      <c r="A32" s="615"/>
      <c r="B32" s="195" t="s">
        <v>230</v>
      </c>
      <c r="C32" s="195" t="s">
        <v>231</v>
      </c>
      <c r="D32" s="195" t="s">
        <v>232</v>
      </c>
      <c r="E32" s="195" t="s">
        <v>233</v>
      </c>
      <c r="F32" s="194" t="s">
        <v>197</v>
      </c>
      <c r="G32" s="209" t="s">
        <v>234</v>
      </c>
      <c r="H32" s="197" t="s">
        <v>235</v>
      </c>
      <c r="I32" s="196" t="s">
        <v>236</v>
      </c>
      <c r="J32" s="196" t="s">
        <v>237</v>
      </c>
      <c r="K32" s="198"/>
      <c r="L32" s="198"/>
      <c r="N32" s="99"/>
      <c r="O32" s="99"/>
      <c r="P32" s="99"/>
      <c r="Q32" s="99"/>
      <c r="R32" s="99"/>
    </row>
    <row r="33" spans="1:18" s="106" customFormat="1" ht="15.75" customHeight="1">
      <c r="A33" s="616" t="s">
        <v>56</v>
      </c>
      <c r="B33" s="616"/>
      <c r="C33" s="160" t="s">
        <v>238</v>
      </c>
      <c r="D33" s="616" t="s">
        <v>239</v>
      </c>
      <c r="E33" s="619"/>
      <c r="F33" s="619"/>
      <c r="G33" s="160" t="s">
        <v>240</v>
      </c>
      <c r="H33" s="160" t="s">
        <v>241</v>
      </c>
      <c r="I33" s="160" t="s">
        <v>242</v>
      </c>
      <c r="J33" s="160" t="s">
        <v>243</v>
      </c>
      <c r="K33" s="616" t="s">
        <v>244</v>
      </c>
      <c r="L33" s="619"/>
      <c r="M33" s="127"/>
    </row>
    <row r="34" spans="1:18" ht="15.75" customHeight="1">
      <c r="A34" s="615">
        <v>5</v>
      </c>
      <c r="B34" s="616" t="s">
        <v>197</v>
      </c>
      <c r="C34" s="200">
        <v>1</v>
      </c>
      <c r="D34" s="617" t="s">
        <v>205</v>
      </c>
      <c r="E34" s="610"/>
      <c r="F34" s="610"/>
      <c r="G34" s="202">
        <v>19</v>
      </c>
      <c r="H34" s="202">
        <v>1778.9864773894551</v>
      </c>
      <c r="I34" s="203">
        <v>93.63086723102397</v>
      </c>
      <c r="J34" s="381">
        <f>I34-I8</f>
        <v>0.11352923136144</v>
      </c>
      <c r="K34" s="611" t="s">
        <v>246</v>
      </c>
      <c r="L34" s="612"/>
      <c r="N34" s="99"/>
      <c r="O34" s="99"/>
      <c r="P34" s="99"/>
      <c r="Q34" s="99"/>
      <c r="R34" s="99"/>
    </row>
    <row r="35" spans="1:18" ht="15.75" customHeight="1">
      <c r="A35" s="615"/>
      <c r="B35" s="616"/>
      <c r="C35" s="200">
        <v>2</v>
      </c>
      <c r="D35" s="617" t="s">
        <v>202</v>
      </c>
      <c r="E35" s="610"/>
      <c r="F35" s="610"/>
      <c r="G35" s="202">
        <v>20</v>
      </c>
      <c r="H35" s="202">
        <v>1780.8612041670024</v>
      </c>
      <c r="I35" s="203">
        <v>89.043060208350113</v>
      </c>
      <c r="J35" s="381">
        <f>I35-I9</f>
        <v>5.3806639836835757E-2</v>
      </c>
      <c r="K35" s="611" t="s">
        <v>246</v>
      </c>
      <c r="L35" s="612"/>
      <c r="N35" s="99"/>
      <c r="O35" s="99"/>
      <c r="P35" s="99"/>
      <c r="Q35" s="99"/>
      <c r="R35" s="99"/>
    </row>
    <row r="36" spans="1:18" ht="15.75" customHeight="1">
      <c r="A36" s="615"/>
      <c r="B36" s="616"/>
      <c r="C36" s="200">
        <v>3</v>
      </c>
      <c r="D36" s="617" t="s">
        <v>203</v>
      </c>
      <c r="E36" s="610"/>
      <c r="F36" s="610"/>
      <c r="G36" s="202">
        <v>21</v>
      </c>
      <c r="H36" s="202">
        <v>1781.4528719087041</v>
      </c>
      <c r="I36" s="203">
        <v>84.831089138509711</v>
      </c>
      <c r="J36" s="381">
        <f>I36-I10</f>
        <v>5.2424863962755808E-2</v>
      </c>
      <c r="K36" s="611" t="s">
        <v>246</v>
      </c>
      <c r="L36" s="612"/>
      <c r="N36" s="99"/>
      <c r="O36" s="99"/>
      <c r="P36" s="99"/>
      <c r="Q36" s="99"/>
      <c r="R36" s="99"/>
    </row>
    <row r="37" spans="1:18" ht="15.75" customHeight="1">
      <c r="A37" s="615"/>
      <c r="B37" s="616"/>
      <c r="C37" s="200">
        <v>4</v>
      </c>
      <c r="D37" s="617" t="s">
        <v>204</v>
      </c>
      <c r="E37" s="610"/>
      <c r="F37" s="610"/>
      <c r="G37" s="202">
        <v>19</v>
      </c>
      <c r="H37" s="202">
        <v>1602.3104037769008</v>
      </c>
      <c r="I37" s="203">
        <v>84.332126514573716</v>
      </c>
      <c r="J37" s="381">
        <f>I37-I11</f>
        <v>4.0895828253809441E-2</v>
      </c>
      <c r="K37" s="611" t="s">
        <v>246</v>
      </c>
      <c r="L37" s="612"/>
      <c r="N37" s="99"/>
      <c r="O37" s="99"/>
      <c r="P37" s="99"/>
      <c r="Q37" s="99"/>
      <c r="R37" s="99"/>
    </row>
    <row r="38" spans="1:18" ht="15.75" customHeight="1">
      <c r="A38" s="615"/>
      <c r="B38" s="616"/>
      <c r="C38" s="200">
        <v>5</v>
      </c>
      <c r="D38" s="617" t="s">
        <v>200</v>
      </c>
      <c r="E38" s="610"/>
      <c r="F38" s="610"/>
      <c r="G38" s="202">
        <v>23</v>
      </c>
      <c r="H38" s="202">
        <v>1779.6727661997622</v>
      </c>
      <c r="I38" s="203">
        <v>77.377076791294016</v>
      </c>
      <c r="J38" s="381">
        <f>I38-I15</f>
        <v>5.8351626170178861E-2</v>
      </c>
      <c r="K38" s="611" t="s">
        <v>246</v>
      </c>
      <c r="L38" s="612"/>
      <c r="N38" s="99"/>
      <c r="O38" s="99"/>
      <c r="P38" s="99"/>
      <c r="Q38" s="99"/>
      <c r="R38" s="99"/>
    </row>
    <row r="39" spans="1:18" ht="15.75" customHeight="1">
      <c r="A39" s="615"/>
      <c r="B39" s="616"/>
      <c r="C39" s="204" t="s">
        <v>247</v>
      </c>
      <c r="D39" s="617" t="s">
        <v>198</v>
      </c>
      <c r="E39" s="610"/>
      <c r="F39" s="610"/>
      <c r="G39" s="202">
        <v>25</v>
      </c>
      <c r="H39" s="202">
        <v>1778.8991271652642</v>
      </c>
      <c r="I39" s="203">
        <v>71.155965086610564</v>
      </c>
      <c r="J39" s="381">
        <f>I39-I13</f>
        <v>5.5293951214522963E-2</v>
      </c>
      <c r="K39" s="611" t="s">
        <v>246</v>
      </c>
      <c r="L39" s="612"/>
      <c r="N39" s="99"/>
      <c r="O39" s="99"/>
      <c r="P39" s="99"/>
      <c r="Q39" s="99"/>
      <c r="R39" s="99"/>
    </row>
    <row r="40" spans="1:18" ht="15.75" customHeight="1">
      <c r="A40" s="615"/>
      <c r="B40" s="616"/>
      <c r="C40" s="204" t="s">
        <v>248</v>
      </c>
      <c r="D40" s="617" t="s">
        <v>201</v>
      </c>
      <c r="E40" s="610"/>
      <c r="F40" s="610"/>
      <c r="G40" s="202">
        <v>23</v>
      </c>
      <c r="H40" s="202">
        <v>1778.8976564628385</v>
      </c>
      <c r="I40" s="203">
        <v>77.343376367949503</v>
      </c>
      <c r="J40" s="381">
        <f>I40-I14</f>
        <v>7.496131694061603E-2</v>
      </c>
      <c r="K40" s="611" t="s">
        <v>246</v>
      </c>
      <c r="L40" s="612"/>
      <c r="N40" s="99"/>
      <c r="O40" s="99"/>
      <c r="P40" s="99"/>
      <c r="Q40" s="99"/>
      <c r="R40" s="99"/>
    </row>
    <row r="41" spans="1:18" ht="15.75" customHeight="1">
      <c r="A41" s="615"/>
      <c r="B41" s="616"/>
      <c r="C41" s="204" t="s">
        <v>249</v>
      </c>
      <c r="D41" s="617" t="s">
        <v>199</v>
      </c>
      <c r="E41" s="610"/>
      <c r="F41" s="610"/>
      <c r="G41" s="202">
        <v>23</v>
      </c>
      <c r="H41" s="202">
        <v>1779.4252478146789</v>
      </c>
      <c r="I41" s="203">
        <v>77.366315122377358</v>
      </c>
      <c r="J41" s="381">
        <f>I41-I12</f>
        <v>4.3794880677054948E-2</v>
      </c>
      <c r="K41" s="611" t="s">
        <v>246</v>
      </c>
      <c r="L41" s="612"/>
      <c r="N41" s="99"/>
      <c r="O41" s="99"/>
      <c r="P41" s="99"/>
      <c r="Q41" s="99"/>
      <c r="R41" s="99"/>
    </row>
    <row r="42" spans="1:18" ht="15.75" customHeight="1">
      <c r="A42" s="615"/>
      <c r="B42" s="616"/>
      <c r="C42" s="204" t="s">
        <v>250</v>
      </c>
      <c r="D42" s="617"/>
      <c r="E42" s="610"/>
      <c r="F42" s="610"/>
      <c r="G42" s="202"/>
      <c r="H42" s="202"/>
      <c r="I42" s="203"/>
      <c r="J42" s="381"/>
      <c r="K42" s="617"/>
      <c r="L42" s="610"/>
      <c r="M42" s="99"/>
      <c r="N42" s="99"/>
      <c r="O42" s="99"/>
      <c r="P42" s="99"/>
      <c r="Q42" s="99"/>
      <c r="R42" s="99"/>
    </row>
    <row r="43" spans="1:18" ht="15.75" customHeight="1">
      <c r="A43" s="615"/>
      <c r="B43" s="616"/>
      <c r="C43" s="204" t="s">
        <v>251</v>
      </c>
      <c r="D43" s="617"/>
      <c r="E43" s="610"/>
      <c r="F43" s="610"/>
      <c r="G43" s="202"/>
      <c r="H43" s="202"/>
      <c r="I43" s="203"/>
      <c r="J43" s="200"/>
      <c r="K43" s="617"/>
      <c r="L43" s="610"/>
      <c r="M43" s="99"/>
      <c r="N43" s="99"/>
      <c r="O43" s="99"/>
      <c r="P43" s="99"/>
      <c r="Q43" s="99"/>
      <c r="R43" s="99"/>
    </row>
    <row r="44" spans="1:18" s="104" customFormat="1" ht="15.75" customHeight="1">
      <c r="A44" s="613" t="s">
        <v>56</v>
      </c>
      <c r="B44" s="613"/>
      <c r="C44" s="207" t="s">
        <v>238</v>
      </c>
      <c r="D44" s="613" t="s">
        <v>239</v>
      </c>
      <c r="E44" s="614"/>
      <c r="F44" s="614"/>
      <c r="G44" s="207" t="s">
        <v>240</v>
      </c>
      <c r="H44" s="207" t="s">
        <v>241</v>
      </c>
      <c r="I44" s="207" t="s">
        <v>242</v>
      </c>
      <c r="J44" s="160" t="s">
        <v>243</v>
      </c>
      <c r="K44" s="613"/>
      <c r="L44" s="614"/>
      <c r="M44" s="128"/>
    </row>
    <row r="45" spans="1:18" ht="15.75" customHeight="1">
      <c r="A45" s="615">
        <v>6</v>
      </c>
      <c r="B45" s="616" t="s">
        <v>234</v>
      </c>
      <c r="C45" s="200">
        <v>1</v>
      </c>
      <c r="D45" s="617" t="s">
        <v>216</v>
      </c>
      <c r="E45" s="610"/>
      <c r="F45" s="610"/>
      <c r="G45" s="200">
        <v>20</v>
      </c>
      <c r="H45" s="202">
        <v>1778.9095555260535</v>
      </c>
      <c r="I45" s="203">
        <v>88.945477776302681</v>
      </c>
      <c r="J45" s="381">
        <f>I45-I19</f>
        <v>5.964442795902869E-2</v>
      </c>
      <c r="K45" s="611" t="s">
        <v>246</v>
      </c>
      <c r="L45" s="612"/>
      <c r="M45" s="99"/>
      <c r="N45" s="99"/>
      <c r="O45" s="99"/>
      <c r="P45" s="99"/>
      <c r="Q45" s="99"/>
      <c r="R45" s="99"/>
    </row>
    <row r="46" spans="1:18" ht="15.75" customHeight="1">
      <c r="A46" s="615"/>
      <c r="B46" s="616"/>
      <c r="C46" s="200">
        <v>2</v>
      </c>
      <c r="D46" s="617" t="s">
        <v>209</v>
      </c>
      <c r="E46" s="610"/>
      <c r="F46" s="610"/>
      <c r="G46" s="202">
        <v>21</v>
      </c>
      <c r="H46" s="202">
        <v>1779.651861752847</v>
      </c>
      <c r="I46" s="203">
        <v>84.745326750135561</v>
      </c>
      <c r="J46" s="381">
        <f>I46-I20</f>
        <v>0.11020645530153672</v>
      </c>
      <c r="K46" s="611" t="s">
        <v>246</v>
      </c>
      <c r="L46" s="612"/>
      <c r="M46" s="99"/>
      <c r="N46" s="99"/>
      <c r="O46" s="99"/>
      <c r="P46" s="99"/>
      <c r="Q46" s="99"/>
      <c r="R46" s="99"/>
    </row>
    <row r="47" spans="1:18" ht="15.75" customHeight="1">
      <c r="A47" s="615"/>
      <c r="B47" s="616"/>
      <c r="C47" s="200">
        <v>3</v>
      </c>
      <c r="D47" s="617" t="s">
        <v>215</v>
      </c>
      <c r="E47" s="610"/>
      <c r="F47" s="610"/>
      <c r="G47" s="202">
        <v>22</v>
      </c>
      <c r="H47" s="202">
        <v>1778.9487589120006</v>
      </c>
      <c r="I47" s="203">
        <v>80.86130722327276</v>
      </c>
      <c r="J47" s="381">
        <f>I47-I21</f>
        <v>0.10322453796899822</v>
      </c>
      <c r="K47" s="611" t="s">
        <v>246</v>
      </c>
      <c r="L47" s="612"/>
      <c r="M47" s="99"/>
      <c r="N47" s="99"/>
      <c r="O47" s="99"/>
      <c r="P47" s="99"/>
      <c r="Q47" s="99"/>
      <c r="R47" s="99"/>
    </row>
    <row r="48" spans="1:18" ht="15.75" customHeight="1">
      <c r="A48" s="615"/>
      <c r="B48" s="616"/>
      <c r="C48" s="200">
        <v>4</v>
      </c>
      <c r="D48" s="617" t="s">
        <v>214</v>
      </c>
      <c r="E48" s="610"/>
      <c r="F48" s="610"/>
      <c r="G48" s="200">
        <v>23</v>
      </c>
      <c r="H48" s="202">
        <v>1779.444608126799</v>
      </c>
      <c r="I48" s="203">
        <v>77.367156875078209</v>
      </c>
      <c r="J48" s="381">
        <f>I48-I23</f>
        <v>3.5086386904538358E-2</v>
      </c>
      <c r="K48" s="611" t="s">
        <v>246</v>
      </c>
      <c r="L48" s="612"/>
      <c r="M48" s="99"/>
      <c r="N48" s="99"/>
      <c r="O48" s="99"/>
      <c r="P48" s="99"/>
      <c r="Q48" s="99"/>
      <c r="R48" s="99"/>
    </row>
    <row r="49" spans="1:18" ht="15.75" customHeight="1">
      <c r="A49" s="615"/>
      <c r="B49" s="616"/>
      <c r="C49" s="200">
        <v>5</v>
      </c>
      <c r="D49" s="617" t="s">
        <v>211</v>
      </c>
      <c r="E49" s="610"/>
      <c r="F49" s="610"/>
      <c r="G49" s="202">
        <v>23</v>
      </c>
      <c r="H49" s="202">
        <v>1779.3250609946622</v>
      </c>
      <c r="I49" s="203">
        <v>77.361959173680901</v>
      </c>
      <c r="J49" s="381">
        <f>I49-I22</f>
        <v>1.7149046421295111E-2</v>
      </c>
      <c r="K49" s="611" t="s">
        <v>246</v>
      </c>
      <c r="L49" s="612"/>
      <c r="M49" s="99"/>
      <c r="N49" s="99"/>
      <c r="O49" s="99"/>
      <c r="P49" s="99"/>
      <c r="Q49" s="99"/>
      <c r="R49" s="99"/>
    </row>
    <row r="50" spans="1:18" ht="15.75" customHeight="1">
      <c r="A50" s="615"/>
      <c r="B50" s="616"/>
      <c r="C50" s="204" t="s">
        <v>247</v>
      </c>
      <c r="D50" s="617" t="s">
        <v>213</v>
      </c>
      <c r="E50" s="610"/>
      <c r="F50" s="610"/>
      <c r="G50" s="200">
        <v>25</v>
      </c>
      <c r="H50" s="202">
        <v>1780.4935447430485</v>
      </c>
      <c r="I50" s="203">
        <v>71.219741789721937</v>
      </c>
      <c r="J50" s="381">
        <f>I50-I24</f>
        <v>3.236373590426922E-2</v>
      </c>
      <c r="K50" s="611" t="s">
        <v>246</v>
      </c>
      <c r="L50" s="612"/>
      <c r="M50" s="99"/>
      <c r="N50" s="99"/>
      <c r="O50" s="99"/>
      <c r="P50" s="99"/>
      <c r="Q50" s="99"/>
      <c r="R50" s="99"/>
    </row>
    <row r="51" spans="1:18" ht="15.75" customHeight="1">
      <c r="A51" s="615"/>
      <c r="B51" s="616"/>
      <c r="C51" s="204" t="s">
        <v>248</v>
      </c>
      <c r="D51" s="617" t="s">
        <v>210</v>
      </c>
      <c r="E51" s="610"/>
      <c r="F51" s="610"/>
      <c r="G51" s="200">
        <v>25</v>
      </c>
      <c r="H51" s="202">
        <v>1782.3812081119684</v>
      </c>
      <c r="I51" s="203">
        <v>71.29524832447872</v>
      </c>
      <c r="J51" s="381">
        <f>I51-I25</f>
        <v>1.4853194631498923E-2</v>
      </c>
      <c r="K51" s="611" t="s">
        <v>246</v>
      </c>
      <c r="L51" s="612"/>
      <c r="M51" s="99"/>
      <c r="N51" s="99"/>
      <c r="O51" s="99"/>
      <c r="P51" s="99"/>
      <c r="Q51" s="99"/>
      <c r="R51" s="99"/>
    </row>
    <row r="52" spans="1:18" ht="15.75" customHeight="1">
      <c r="A52" s="615"/>
      <c r="B52" s="616"/>
      <c r="C52" s="204" t="s">
        <v>249</v>
      </c>
      <c r="D52" s="617" t="s">
        <v>212</v>
      </c>
      <c r="E52" s="610"/>
      <c r="F52" s="610"/>
      <c r="G52" s="200">
        <v>24</v>
      </c>
      <c r="H52" s="202">
        <v>1780.7080738013608</v>
      </c>
      <c r="I52" s="203">
        <v>74.196169741723367</v>
      </c>
      <c r="J52" s="381">
        <f>I52-I26</f>
        <v>0.10995891821291082</v>
      </c>
      <c r="K52" s="611" t="s">
        <v>246</v>
      </c>
      <c r="L52" s="612"/>
      <c r="M52" s="99"/>
      <c r="N52" s="99"/>
      <c r="O52" s="99"/>
      <c r="P52" s="99"/>
      <c r="Q52" s="99"/>
      <c r="R52" s="99"/>
    </row>
    <row r="53" spans="1:18" ht="15.75" customHeight="1">
      <c r="A53" s="615"/>
      <c r="B53" s="616"/>
      <c r="C53" s="204" t="s">
        <v>250</v>
      </c>
      <c r="D53" s="617" t="s">
        <v>217</v>
      </c>
      <c r="E53" s="610"/>
      <c r="F53" s="610"/>
      <c r="G53" s="200">
        <v>24</v>
      </c>
      <c r="H53" s="202">
        <v>1782.252708756482</v>
      </c>
      <c r="I53" s="203">
        <v>74.260529531520078</v>
      </c>
      <c r="J53" s="381">
        <f>I53-I27</f>
        <v>9.8732271408636052E-2</v>
      </c>
      <c r="K53" s="611" t="s">
        <v>246</v>
      </c>
      <c r="L53" s="612"/>
      <c r="M53" s="99"/>
      <c r="N53" s="99"/>
      <c r="O53" s="99"/>
      <c r="P53" s="99"/>
      <c r="Q53" s="99"/>
      <c r="R53" s="99"/>
    </row>
    <row r="54" spans="1:18" ht="15.75" customHeight="1">
      <c r="A54" s="615"/>
      <c r="B54" s="616"/>
      <c r="C54" s="204" t="s">
        <v>251</v>
      </c>
      <c r="D54" s="617"/>
      <c r="E54" s="610"/>
      <c r="F54" s="610"/>
      <c r="G54" s="200"/>
      <c r="H54" s="202"/>
      <c r="I54" s="203"/>
      <c r="J54" s="200"/>
      <c r="K54" s="617"/>
      <c r="L54" s="610"/>
      <c r="M54" s="99"/>
      <c r="N54" s="99"/>
      <c r="O54" s="99"/>
      <c r="P54" s="99"/>
      <c r="Q54" s="99"/>
      <c r="R54" s="99"/>
    </row>
    <row r="55" spans="1:18" ht="15.75" customHeight="1">
      <c r="A55" s="618" t="s">
        <v>255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99"/>
    </row>
    <row r="56" spans="1:18" s="100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  <c r="N56" s="190"/>
      <c r="O56" s="190"/>
      <c r="P56" s="190"/>
      <c r="Q56" s="190"/>
      <c r="R56" s="190"/>
    </row>
    <row r="57" spans="1:18" s="106" customFormat="1" ht="16.350000000000001" customHeight="1">
      <c r="A57" s="615" t="s">
        <v>128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15"/>
      <c r="B58" s="195" t="s">
        <v>230</v>
      </c>
      <c r="C58" s="195" t="s">
        <v>231</v>
      </c>
      <c r="D58" s="195" t="s">
        <v>232</v>
      </c>
      <c r="E58" s="195" t="s">
        <v>233</v>
      </c>
      <c r="F58" s="194" t="s">
        <v>197</v>
      </c>
      <c r="G58" s="209" t="s">
        <v>234</v>
      </c>
      <c r="H58" s="197" t="s">
        <v>235</v>
      </c>
      <c r="I58" s="196" t="s">
        <v>236</v>
      </c>
      <c r="J58" s="196" t="s">
        <v>237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16" t="s">
        <v>56</v>
      </c>
      <c r="B59" s="616"/>
      <c r="C59" s="160" t="s">
        <v>238</v>
      </c>
      <c r="D59" s="616" t="s">
        <v>239</v>
      </c>
      <c r="E59" s="619"/>
      <c r="F59" s="619"/>
      <c r="G59" s="160" t="s">
        <v>240</v>
      </c>
      <c r="H59" s="160" t="s">
        <v>241</v>
      </c>
      <c r="I59" s="160" t="s">
        <v>242</v>
      </c>
      <c r="J59" s="160" t="s">
        <v>243</v>
      </c>
      <c r="K59" s="616" t="s">
        <v>244</v>
      </c>
      <c r="L59" s="619"/>
      <c r="M59" s="127"/>
      <c r="N59" s="189"/>
      <c r="O59" s="441"/>
      <c r="P59" s="440"/>
      <c r="Q59" s="440"/>
      <c r="R59" s="199"/>
    </row>
    <row r="60" spans="1:18" ht="15.75" customHeight="1">
      <c r="A60" s="615">
        <v>5</v>
      </c>
      <c r="B60" s="616" t="s">
        <v>197</v>
      </c>
      <c r="C60" s="200">
        <v>1</v>
      </c>
      <c r="D60" s="617" t="s">
        <v>205</v>
      </c>
      <c r="E60" s="610"/>
      <c r="F60" s="610"/>
      <c r="G60" s="202">
        <v>19</v>
      </c>
      <c r="H60" s="202">
        <v>1781.5174501471206</v>
      </c>
      <c r="I60" s="203">
        <v>93.764076323532649</v>
      </c>
      <c r="J60" s="381">
        <f>I60-I34</f>
        <v>0.13320909250867885</v>
      </c>
      <c r="K60" s="611" t="s">
        <v>246</v>
      </c>
      <c r="L60" s="612"/>
      <c r="O60" s="441"/>
      <c r="P60" s="440"/>
      <c r="Q60" s="440"/>
      <c r="R60" s="199"/>
    </row>
    <row r="61" spans="1:18" ht="15.75" customHeight="1">
      <c r="A61" s="615"/>
      <c r="B61" s="616"/>
      <c r="C61" s="200">
        <v>2</v>
      </c>
      <c r="D61" s="617" t="s">
        <v>202</v>
      </c>
      <c r="E61" s="610"/>
      <c r="F61" s="610"/>
      <c r="G61" s="202">
        <v>20</v>
      </c>
      <c r="H61" s="202">
        <v>1782.1906817176036</v>
      </c>
      <c r="I61" s="203">
        <v>89.109534085880185</v>
      </c>
      <c r="J61" s="381">
        <f>I61-I35</f>
        <v>6.6473877530071945E-2</v>
      </c>
      <c r="K61" s="611" t="s">
        <v>246</v>
      </c>
      <c r="L61" s="612"/>
      <c r="O61" s="441"/>
      <c r="P61" s="440"/>
      <c r="Q61" s="440"/>
      <c r="R61" s="199"/>
    </row>
    <row r="62" spans="1:18" ht="15.75" customHeight="1">
      <c r="A62" s="615"/>
      <c r="B62" s="616"/>
      <c r="C62" s="200">
        <v>3</v>
      </c>
      <c r="D62" s="617" t="s">
        <v>203</v>
      </c>
      <c r="E62" s="610"/>
      <c r="F62" s="610"/>
      <c r="G62" s="202">
        <v>21</v>
      </c>
      <c r="H62" s="202">
        <v>1782.3928939633254</v>
      </c>
      <c r="I62" s="203">
        <v>84.875852093491673</v>
      </c>
      <c r="J62" s="381">
        <f>I62-I36</f>
        <v>4.4762954981962366E-2</v>
      </c>
      <c r="K62" s="611" t="s">
        <v>246</v>
      </c>
      <c r="L62" s="612"/>
      <c r="O62" s="199"/>
      <c r="P62" s="440"/>
      <c r="Q62" s="440"/>
      <c r="R62" s="199"/>
    </row>
    <row r="63" spans="1:18" ht="15.75" customHeight="1">
      <c r="A63" s="615"/>
      <c r="B63" s="616"/>
      <c r="C63" s="200">
        <v>4</v>
      </c>
      <c r="D63" s="617" t="s">
        <v>204</v>
      </c>
      <c r="E63" s="610"/>
      <c r="F63" s="610"/>
      <c r="G63" s="202">
        <v>19</v>
      </c>
      <c r="H63" s="202">
        <v>1603.2424956479613</v>
      </c>
      <c r="I63" s="203">
        <v>84.381183981471651</v>
      </c>
      <c r="J63" s="381">
        <f>I63-I37</f>
        <v>4.9057466897934887E-2</v>
      </c>
      <c r="K63" s="611" t="s">
        <v>246</v>
      </c>
      <c r="L63" s="612"/>
      <c r="O63" s="441"/>
      <c r="P63" s="440"/>
      <c r="Q63" s="440"/>
      <c r="R63" s="199"/>
    </row>
    <row r="64" spans="1:18" ht="15.75" customHeight="1">
      <c r="A64" s="615"/>
      <c r="B64" s="616"/>
      <c r="C64" s="200">
        <v>5</v>
      </c>
      <c r="D64" s="617" t="s">
        <v>199</v>
      </c>
      <c r="E64" s="610"/>
      <c r="F64" s="610"/>
      <c r="G64" s="202">
        <v>23</v>
      </c>
      <c r="H64" s="202">
        <v>1781.2603700239977</v>
      </c>
      <c r="I64" s="203">
        <v>77.446103044521649</v>
      </c>
      <c r="J64" s="381">
        <f>I64-I41</f>
        <v>7.9787922144291201E-2</v>
      </c>
      <c r="K64" s="611" t="s">
        <v>246</v>
      </c>
      <c r="L64" s="612"/>
      <c r="O64" s="441"/>
      <c r="P64" s="440"/>
      <c r="Q64" s="440"/>
      <c r="R64" s="199"/>
    </row>
    <row r="65" spans="1:18" ht="15.75" customHeight="1">
      <c r="A65" s="615"/>
      <c r="B65" s="616"/>
      <c r="C65" s="204" t="s">
        <v>247</v>
      </c>
      <c r="D65" s="617" t="s">
        <v>198</v>
      </c>
      <c r="E65" s="610"/>
      <c r="F65" s="610"/>
      <c r="G65" s="202">
        <v>25</v>
      </c>
      <c r="H65" s="202">
        <v>1779.5760030950296</v>
      </c>
      <c r="I65" s="203">
        <v>71.183040123801192</v>
      </c>
      <c r="J65" s="381">
        <f>I65-I39</f>
        <v>2.7075037190627427E-2</v>
      </c>
      <c r="K65" s="611" t="s">
        <v>246</v>
      </c>
      <c r="L65" s="612"/>
      <c r="N65" s="178"/>
      <c r="O65" s="442"/>
      <c r="P65" s="439"/>
      <c r="Q65" s="439"/>
      <c r="R65" s="178"/>
    </row>
    <row r="66" spans="1:18" ht="15.75" customHeight="1">
      <c r="A66" s="615"/>
      <c r="B66" s="616"/>
      <c r="C66" s="204" t="s">
        <v>248</v>
      </c>
      <c r="D66" s="617" t="s">
        <v>201</v>
      </c>
      <c r="E66" s="610"/>
      <c r="F66" s="610"/>
      <c r="G66" s="202">
        <v>23</v>
      </c>
      <c r="H66" s="202">
        <v>1780.2732481945043</v>
      </c>
      <c r="I66" s="203">
        <v>77.403184704108881</v>
      </c>
      <c r="J66" s="381">
        <f>I66-I40</f>
        <v>5.9808336159377973E-2</v>
      </c>
      <c r="K66" s="611" t="s">
        <v>246</v>
      </c>
      <c r="L66" s="612"/>
      <c r="O66" s="441"/>
      <c r="P66" s="440"/>
      <c r="Q66" s="440"/>
      <c r="R66" s="199"/>
    </row>
    <row r="67" spans="1:18" ht="15.75" customHeight="1">
      <c r="A67" s="615"/>
      <c r="B67" s="616"/>
      <c r="C67" s="204" t="s">
        <v>249</v>
      </c>
      <c r="D67" s="617" t="s">
        <v>200</v>
      </c>
      <c r="E67" s="610"/>
      <c r="F67" s="610"/>
      <c r="G67" s="202">
        <v>23</v>
      </c>
      <c r="H67" s="202">
        <v>1780.6372388113653</v>
      </c>
      <c r="I67" s="203">
        <v>77.419010383102815</v>
      </c>
      <c r="J67" s="381">
        <f>I67-I38</f>
        <v>4.193359180879952E-2</v>
      </c>
      <c r="K67" s="611" t="s">
        <v>246</v>
      </c>
      <c r="L67" s="612"/>
      <c r="O67" s="441"/>
      <c r="P67" s="440"/>
      <c r="Q67" s="440"/>
      <c r="R67" s="199"/>
    </row>
    <row r="68" spans="1:18" ht="15.75" customHeight="1">
      <c r="A68" s="615"/>
      <c r="B68" s="616"/>
      <c r="C68" s="204" t="s">
        <v>250</v>
      </c>
      <c r="D68" s="617"/>
      <c r="E68" s="610"/>
      <c r="F68" s="610"/>
      <c r="G68" s="202"/>
      <c r="H68" s="202"/>
      <c r="I68" s="203"/>
      <c r="J68" s="200"/>
      <c r="K68" s="617"/>
      <c r="L68" s="610"/>
      <c r="M68" s="99"/>
      <c r="O68" s="441"/>
      <c r="P68" s="440"/>
      <c r="Q68" s="440"/>
      <c r="R68" s="199"/>
    </row>
    <row r="69" spans="1:18" ht="15.75" customHeight="1">
      <c r="A69" s="615"/>
      <c r="B69" s="616"/>
      <c r="C69" s="204" t="s">
        <v>251</v>
      </c>
      <c r="D69" s="617"/>
      <c r="E69" s="610"/>
      <c r="F69" s="610"/>
      <c r="G69" s="202"/>
      <c r="H69" s="202"/>
      <c r="I69" s="203"/>
      <c r="J69" s="200"/>
      <c r="K69" s="617"/>
      <c r="L69" s="610"/>
      <c r="M69" s="99"/>
      <c r="O69" s="441"/>
      <c r="P69" s="440"/>
      <c r="Q69" s="440"/>
      <c r="R69" s="199"/>
    </row>
    <row r="70" spans="1:18" s="104" customFormat="1" ht="15.75" customHeight="1">
      <c r="A70" s="613" t="s">
        <v>56</v>
      </c>
      <c r="B70" s="613"/>
      <c r="C70" s="207" t="s">
        <v>238</v>
      </c>
      <c r="D70" s="613" t="s">
        <v>239</v>
      </c>
      <c r="E70" s="614"/>
      <c r="F70" s="614"/>
      <c r="G70" s="207" t="s">
        <v>240</v>
      </c>
      <c r="H70" s="207" t="s">
        <v>241</v>
      </c>
      <c r="I70" s="207" t="s">
        <v>242</v>
      </c>
      <c r="J70" s="160" t="s">
        <v>243</v>
      </c>
      <c r="K70" s="613" t="s">
        <v>244</v>
      </c>
      <c r="L70" s="614"/>
      <c r="M70" s="128"/>
      <c r="N70" s="189"/>
      <c r="O70" s="441"/>
      <c r="P70" s="440"/>
      <c r="Q70" s="440"/>
      <c r="R70" s="199"/>
    </row>
    <row r="71" spans="1:18" ht="15.75" customHeight="1">
      <c r="A71" s="615">
        <v>6</v>
      </c>
      <c r="B71" s="616" t="s">
        <v>234</v>
      </c>
      <c r="C71" s="200">
        <v>1</v>
      </c>
      <c r="D71" s="617" t="s">
        <v>216</v>
      </c>
      <c r="E71" s="610"/>
      <c r="F71" s="610"/>
      <c r="G71" s="200">
        <v>20</v>
      </c>
      <c r="H71" s="202">
        <v>1781.6138830478665</v>
      </c>
      <c r="I71" s="203">
        <v>89.08069415239332</v>
      </c>
      <c r="J71" s="381">
        <f>I71-I45</f>
        <v>0.1352163760906393</v>
      </c>
      <c r="K71" s="611" t="s">
        <v>246</v>
      </c>
      <c r="L71" s="612"/>
      <c r="M71" s="99"/>
      <c r="N71" s="199"/>
      <c r="O71" s="199"/>
      <c r="P71" s="440"/>
      <c r="Q71" s="440"/>
      <c r="R71" s="199"/>
    </row>
    <row r="72" spans="1:18" ht="15.75" customHeight="1">
      <c r="A72" s="615"/>
      <c r="B72" s="616"/>
      <c r="C72" s="200">
        <v>2</v>
      </c>
      <c r="D72" s="617" t="s">
        <v>209</v>
      </c>
      <c r="E72" s="610"/>
      <c r="F72" s="610"/>
      <c r="G72" s="202">
        <v>21</v>
      </c>
      <c r="H72" s="202">
        <v>1780.6460596192026</v>
      </c>
      <c r="I72" s="203">
        <v>84.792669505676301</v>
      </c>
      <c r="J72" s="381">
        <f>I72-I46</f>
        <v>4.7342755540739745E-2</v>
      </c>
      <c r="K72" s="611" t="s">
        <v>246</v>
      </c>
      <c r="L72" s="612"/>
      <c r="M72" s="99"/>
      <c r="O72" s="199"/>
      <c r="P72" s="440"/>
      <c r="Q72" s="440"/>
      <c r="R72" s="199"/>
    </row>
    <row r="73" spans="1:18" ht="15.75" customHeight="1">
      <c r="A73" s="615"/>
      <c r="B73" s="616"/>
      <c r="C73" s="200">
        <v>3</v>
      </c>
      <c r="D73" s="617" t="s">
        <v>215</v>
      </c>
      <c r="E73" s="610"/>
      <c r="F73" s="610"/>
      <c r="G73" s="202">
        <v>22</v>
      </c>
      <c r="H73" s="202">
        <v>1781.0448671693416</v>
      </c>
      <c r="I73" s="203">
        <v>80.956584871333718</v>
      </c>
      <c r="J73" s="381">
        <f>I73-I47</f>
        <v>9.5277648060957176E-2</v>
      </c>
      <c r="K73" s="611" t="s">
        <v>246</v>
      </c>
      <c r="L73" s="612"/>
      <c r="M73" s="99"/>
      <c r="O73" s="199"/>
      <c r="P73" s="440"/>
      <c r="Q73" s="440"/>
      <c r="R73" s="199"/>
    </row>
    <row r="74" spans="1:18" ht="15.75" customHeight="1">
      <c r="A74" s="615"/>
      <c r="B74" s="616"/>
      <c r="C74" s="200">
        <v>4</v>
      </c>
      <c r="D74" s="617" t="s">
        <v>211</v>
      </c>
      <c r="E74" s="610"/>
      <c r="F74" s="610"/>
      <c r="G74" s="200">
        <v>23</v>
      </c>
      <c r="H74" s="202">
        <v>1780.3399728706192</v>
      </c>
      <c r="I74" s="203">
        <v>77.40608577698346</v>
      </c>
      <c r="J74" s="381">
        <f>I74-I49</f>
        <v>4.4126603302558465E-2</v>
      </c>
      <c r="K74" s="611" t="s">
        <v>246</v>
      </c>
      <c r="L74" s="612"/>
      <c r="M74" s="99"/>
      <c r="O74" s="199"/>
      <c r="P74" s="440"/>
      <c r="Q74" s="440"/>
      <c r="R74" s="199"/>
    </row>
    <row r="75" spans="1:18" ht="15.75" customHeight="1">
      <c r="A75" s="615"/>
      <c r="B75" s="616"/>
      <c r="C75" s="200">
        <v>5</v>
      </c>
      <c r="D75" s="617" t="s">
        <v>214</v>
      </c>
      <c r="E75" s="610"/>
      <c r="F75" s="610"/>
      <c r="G75" s="202">
        <v>23</v>
      </c>
      <c r="H75" s="202">
        <v>1780.3131144818326</v>
      </c>
      <c r="I75" s="203">
        <v>77.404918020949239</v>
      </c>
      <c r="J75" s="381">
        <f>I75-I48</f>
        <v>3.7761145871030521E-2</v>
      </c>
      <c r="K75" s="611" t="s">
        <v>246</v>
      </c>
      <c r="L75" s="612"/>
      <c r="M75" s="99"/>
      <c r="O75" s="199"/>
      <c r="P75" s="440"/>
      <c r="Q75" s="440"/>
      <c r="R75" s="199"/>
    </row>
    <row r="76" spans="1:18" ht="15.75" customHeight="1">
      <c r="A76" s="615"/>
      <c r="B76" s="616"/>
      <c r="C76" s="204" t="s">
        <v>247</v>
      </c>
      <c r="D76" s="617" t="s">
        <v>213</v>
      </c>
      <c r="E76" s="610"/>
      <c r="F76" s="610"/>
      <c r="G76" s="200">
        <v>25</v>
      </c>
      <c r="H76" s="202">
        <v>1781.7690782400148</v>
      </c>
      <c r="I76" s="203">
        <v>71.27076312960061</v>
      </c>
      <c r="J76" s="381">
        <f>I76-I50</f>
        <v>5.1021339878673189E-2</v>
      </c>
      <c r="K76" s="611" t="s">
        <v>246</v>
      </c>
      <c r="L76" s="612"/>
      <c r="M76" s="99"/>
      <c r="O76" s="199"/>
      <c r="P76" s="440"/>
      <c r="Q76" s="440"/>
      <c r="R76" s="199"/>
    </row>
    <row r="77" spans="1:18" ht="15.75" customHeight="1">
      <c r="A77" s="615"/>
      <c r="B77" s="616"/>
      <c r="C77" s="204" t="s">
        <v>248</v>
      </c>
      <c r="D77" s="617" t="s">
        <v>210</v>
      </c>
      <c r="E77" s="610"/>
      <c r="F77" s="610"/>
      <c r="G77" s="200">
        <v>25</v>
      </c>
      <c r="H77" s="202">
        <v>1782.7921428517318</v>
      </c>
      <c r="I77" s="203">
        <v>71.311685714069284</v>
      </c>
      <c r="J77" s="381">
        <f>I77-I51</f>
        <v>1.6437389590564067E-2</v>
      </c>
      <c r="K77" s="611" t="s">
        <v>246</v>
      </c>
      <c r="L77" s="612"/>
      <c r="M77" s="99"/>
      <c r="O77" s="199"/>
      <c r="P77" s="440"/>
      <c r="Q77" s="440"/>
      <c r="R77" s="199"/>
    </row>
    <row r="78" spans="1:18" ht="15.75" customHeight="1">
      <c r="A78" s="615"/>
      <c r="B78" s="616"/>
      <c r="C78" s="204" t="s">
        <v>249</v>
      </c>
      <c r="D78" s="617" t="s">
        <v>212</v>
      </c>
      <c r="E78" s="610"/>
      <c r="F78" s="610"/>
      <c r="G78" s="200">
        <v>24</v>
      </c>
      <c r="H78" s="202">
        <v>1781.366476683585</v>
      </c>
      <c r="I78" s="203">
        <v>74.22360319514938</v>
      </c>
      <c r="J78" s="381">
        <f>I78-I52</f>
        <v>2.7433453426013443E-2</v>
      </c>
      <c r="K78" s="611" t="s">
        <v>246</v>
      </c>
      <c r="L78" s="612"/>
      <c r="M78" s="99"/>
      <c r="O78" s="199"/>
      <c r="P78" s="440"/>
      <c r="Q78" s="440"/>
      <c r="R78" s="199"/>
    </row>
    <row r="79" spans="1:18" ht="15.75" customHeight="1">
      <c r="A79" s="615"/>
      <c r="B79" s="616"/>
      <c r="C79" s="204" t="s">
        <v>250</v>
      </c>
      <c r="D79" s="617" t="s">
        <v>217</v>
      </c>
      <c r="E79" s="610"/>
      <c r="F79" s="610"/>
      <c r="G79" s="200">
        <v>24</v>
      </c>
      <c r="H79" s="202">
        <v>1784.7075088617858</v>
      </c>
      <c r="I79" s="203">
        <v>74.362812869241083</v>
      </c>
      <c r="J79" s="381">
        <f>I79-I53</f>
        <v>0.10228333772100484</v>
      </c>
      <c r="K79" s="611" t="s">
        <v>246</v>
      </c>
      <c r="L79" s="612"/>
      <c r="M79" s="99"/>
      <c r="O79" s="199"/>
      <c r="P79" s="440"/>
      <c r="Q79" s="440"/>
      <c r="R79" s="199"/>
    </row>
    <row r="80" spans="1:18" ht="15.75" customHeight="1">
      <c r="A80" s="615"/>
      <c r="B80" s="616"/>
      <c r="C80" s="204" t="s">
        <v>251</v>
      </c>
      <c r="D80" s="617"/>
      <c r="E80" s="610"/>
      <c r="F80" s="610"/>
      <c r="G80" s="200"/>
      <c r="H80" s="202"/>
      <c r="I80" s="203"/>
      <c r="J80" s="200"/>
      <c r="K80" s="617"/>
      <c r="L80" s="610"/>
      <c r="M80" s="99"/>
      <c r="O80" s="199"/>
      <c r="P80" s="440"/>
      <c r="Q80" s="440"/>
      <c r="R80" s="199"/>
    </row>
    <row r="81" spans="1:18" s="189" customFormat="1" ht="15.75" customHeight="1">
      <c r="A81" s="618" t="s">
        <v>256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</row>
    <row r="82" spans="1:18" s="190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8" s="106" customFormat="1" ht="16.350000000000001" customHeight="1">
      <c r="A83" s="615" t="s">
        <v>128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15"/>
      <c r="B84" s="195" t="s">
        <v>230</v>
      </c>
      <c r="C84" s="195" t="s">
        <v>231</v>
      </c>
      <c r="D84" s="195" t="s">
        <v>232</v>
      </c>
      <c r="E84" s="195" t="s">
        <v>233</v>
      </c>
      <c r="F84" s="194" t="s">
        <v>197</v>
      </c>
      <c r="G84" s="209" t="s">
        <v>234</v>
      </c>
      <c r="H84" s="197" t="s">
        <v>235</v>
      </c>
      <c r="I84" s="196" t="s">
        <v>236</v>
      </c>
      <c r="J84" s="196" t="s">
        <v>237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16" t="s">
        <v>56</v>
      </c>
      <c r="B85" s="616"/>
      <c r="C85" s="160" t="s">
        <v>238</v>
      </c>
      <c r="D85" s="616" t="s">
        <v>239</v>
      </c>
      <c r="E85" s="619"/>
      <c r="F85" s="619"/>
      <c r="G85" s="160" t="s">
        <v>240</v>
      </c>
      <c r="H85" s="160" t="s">
        <v>241</v>
      </c>
      <c r="I85" s="160" t="s">
        <v>242</v>
      </c>
      <c r="J85" s="160" t="s">
        <v>243</v>
      </c>
      <c r="K85" s="616" t="s">
        <v>244</v>
      </c>
      <c r="L85" s="619"/>
      <c r="M85" s="127"/>
      <c r="N85" s="199"/>
      <c r="O85" s="199"/>
      <c r="P85" s="199"/>
      <c r="Q85" s="199"/>
      <c r="R85" s="199"/>
    </row>
    <row r="86" spans="1:18" ht="15.75" customHeight="1">
      <c r="A86" s="615">
        <v>5</v>
      </c>
      <c r="B86" s="616" t="s">
        <v>197</v>
      </c>
      <c r="C86" s="200">
        <v>1</v>
      </c>
      <c r="D86" s="617" t="s">
        <v>205</v>
      </c>
      <c r="E86" s="610"/>
      <c r="F86" s="610"/>
      <c r="G86" s="202">
        <v>19</v>
      </c>
      <c r="H86" s="202">
        <v>1782.5531206029975</v>
      </c>
      <c r="I86" s="203">
        <v>93.818585294894618</v>
      </c>
      <c r="J86" s="381">
        <f t="shared" ref="J86:J93" si="0">I86-I60</f>
        <v>5.4508971361968861E-2</v>
      </c>
      <c r="K86" s="611" t="s">
        <v>246</v>
      </c>
      <c r="L86" s="612"/>
      <c r="O86" s="441"/>
      <c r="P86" s="440"/>
      <c r="Q86" s="440"/>
      <c r="R86" s="199"/>
    </row>
    <row r="87" spans="1:18" ht="15.75" customHeight="1">
      <c r="A87" s="615"/>
      <c r="B87" s="616"/>
      <c r="C87" s="200">
        <v>2</v>
      </c>
      <c r="D87" s="617" t="s">
        <v>202</v>
      </c>
      <c r="E87" s="610"/>
      <c r="F87" s="610"/>
      <c r="G87" s="202">
        <v>20</v>
      </c>
      <c r="H87" s="202">
        <v>1783.7387603103857</v>
      </c>
      <c r="I87" s="203">
        <v>89.186938015519289</v>
      </c>
      <c r="J87" s="381">
        <f t="shared" si="0"/>
        <v>7.7403929639103808E-2</v>
      </c>
      <c r="K87" s="611" t="s">
        <v>246</v>
      </c>
      <c r="L87" s="612"/>
      <c r="O87" s="441"/>
      <c r="P87" s="440"/>
      <c r="Q87" s="440"/>
      <c r="R87" s="199"/>
    </row>
    <row r="88" spans="1:18" ht="15.75" customHeight="1">
      <c r="A88" s="615"/>
      <c r="B88" s="616"/>
      <c r="C88" s="200">
        <v>3</v>
      </c>
      <c r="D88" s="617" t="s">
        <v>203</v>
      </c>
      <c r="E88" s="610"/>
      <c r="F88" s="610"/>
      <c r="G88" s="202">
        <v>21</v>
      </c>
      <c r="H88" s="202">
        <v>1783.7309304091234</v>
      </c>
      <c r="I88" s="203">
        <v>84.939568114720146</v>
      </c>
      <c r="J88" s="381">
        <f t="shared" si="0"/>
        <v>6.3716021228472641E-2</v>
      </c>
      <c r="K88" s="611" t="s">
        <v>246</v>
      </c>
      <c r="L88" s="612"/>
      <c r="O88" s="441"/>
      <c r="P88" s="440"/>
      <c r="Q88" s="440"/>
      <c r="R88" s="199"/>
    </row>
    <row r="89" spans="1:18" ht="15.75" customHeight="1">
      <c r="A89" s="615"/>
      <c r="B89" s="616"/>
      <c r="C89" s="200">
        <v>4</v>
      </c>
      <c r="D89" s="617" t="s">
        <v>204</v>
      </c>
      <c r="E89" s="610"/>
      <c r="F89" s="610"/>
      <c r="G89" s="202">
        <v>19</v>
      </c>
      <c r="H89" s="202">
        <v>1603.8916383339899</v>
      </c>
      <c r="I89" s="203">
        <v>84.415349385999477</v>
      </c>
      <c r="J89" s="381">
        <f t="shared" si="0"/>
        <v>3.4165404527826126E-2</v>
      </c>
      <c r="K89" s="611" t="s">
        <v>246</v>
      </c>
      <c r="L89" s="612"/>
      <c r="O89" s="441"/>
      <c r="P89" s="440"/>
      <c r="Q89" s="440"/>
      <c r="R89" s="199"/>
    </row>
    <row r="90" spans="1:18" ht="15.75" customHeight="1">
      <c r="A90" s="615"/>
      <c r="B90" s="616"/>
      <c r="C90" s="200">
        <v>5</v>
      </c>
      <c r="D90" s="617" t="s">
        <v>199</v>
      </c>
      <c r="E90" s="610"/>
      <c r="F90" s="610"/>
      <c r="G90" s="202">
        <v>23</v>
      </c>
      <c r="H90" s="202">
        <v>1782.7352170148185</v>
      </c>
      <c r="I90" s="203">
        <v>77.510226826731241</v>
      </c>
      <c r="J90" s="381">
        <f t="shared" si="0"/>
        <v>6.4123782209591695E-2</v>
      </c>
      <c r="K90" s="611" t="s">
        <v>246</v>
      </c>
      <c r="L90" s="612"/>
      <c r="O90" s="441"/>
      <c r="P90" s="440"/>
      <c r="Q90" s="440"/>
      <c r="R90" s="199"/>
    </row>
    <row r="91" spans="1:18" ht="15.75" customHeight="1">
      <c r="A91" s="615"/>
      <c r="B91" s="616"/>
      <c r="C91" s="204" t="s">
        <v>247</v>
      </c>
      <c r="D91" s="617" t="s">
        <v>198</v>
      </c>
      <c r="E91" s="610"/>
      <c r="F91" s="610"/>
      <c r="G91" s="202">
        <v>25</v>
      </c>
      <c r="H91" s="202">
        <v>1782.1890888082689</v>
      </c>
      <c r="I91" s="203">
        <v>71.287563552330766</v>
      </c>
      <c r="J91" s="381">
        <f t="shared" si="0"/>
        <v>0.10452342852957486</v>
      </c>
      <c r="K91" s="611" t="s">
        <v>246</v>
      </c>
      <c r="L91" s="612"/>
      <c r="N91" s="178"/>
      <c r="O91" s="442"/>
      <c r="P91" s="439"/>
      <c r="Q91" s="439"/>
      <c r="R91" s="178"/>
    </row>
    <row r="92" spans="1:18" ht="15.75" customHeight="1">
      <c r="A92" s="615"/>
      <c r="B92" s="616"/>
      <c r="C92" s="204" t="s">
        <v>248</v>
      </c>
      <c r="D92" s="617" t="s">
        <v>201</v>
      </c>
      <c r="E92" s="610"/>
      <c r="F92" s="610"/>
      <c r="G92" s="202">
        <v>23</v>
      </c>
      <c r="H92" s="202">
        <v>1781.3108484997756</v>
      </c>
      <c r="I92" s="203">
        <v>77.448297760859802</v>
      </c>
      <c r="J92" s="381">
        <f t="shared" si="0"/>
        <v>4.5113056750921032E-2</v>
      </c>
      <c r="K92" s="611" t="s">
        <v>246</v>
      </c>
      <c r="L92" s="612"/>
      <c r="O92" s="441"/>
      <c r="P92" s="440"/>
      <c r="Q92" s="440"/>
      <c r="R92" s="199"/>
    </row>
    <row r="93" spans="1:18" ht="15.75" customHeight="1">
      <c r="A93" s="615"/>
      <c r="B93" s="616"/>
      <c r="C93" s="204" t="s">
        <v>249</v>
      </c>
      <c r="D93" s="617" t="s">
        <v>200</v>
      </c>
      <c r="E93" s="610"/>
      <c r="F93" s="610"/>
      <c r="G93" s="202">
        <v>23</v>
      </c>
      <c r="H93" s="202">
        <v>1782.5233714300352</v>
      </c>
      <c r="I93" s="203">
        <v>77.501016149131971</v>
      </c>
      <c r="J93" s="381">
        <f t="shared" si="0"/>
        <v>8.2005766029155325E-2</v>
      </c>
      <c r="K93" s="611" t="s">
        <v>246</v>
      </c>
      <c r="L93" s="612"/>
      <c r="O93" s="441"/>
      <c r="P93" s="440"/>
      <c r="Q93" s="440"/>
      <c r="R93" s="199"/>
    </row>
    <row r="94" spans="1:18" ht="15.75" customHeight="1">
      <c r="A94" s="615"/>
      <c r="B94" s="616"/>
      <c r="C94" s="204" t="s">
        <v>250</v>
      </c>
      <c r="D94" s="617"/>
      <c r="E94" s="610"/>
      <c r="F94" s="610"/>
      <c r="G94" s="202"/>
      <c r="H94" s="202"/>
      <c r="I94" s="203"/>
      <c r="J94" s="200"/>
      <c r="K94" s="617"/>
      <c r="L94" s="610"/>
      <c r="M94" s="99"/>
      <c r="O94" s="199"/>
      <c r="P94" s="440"/>
      <c r="Q94" s="440"/>
      <c r="R94" s="199"/>
    </row>
    <row r="95" spans="1:18" ht="15.75" customHeight="1">
      <c r="A95" s="615"/>
      <c r="B95" s="616"/>
      <c r="C95" s="204" t="s">
        <v>251</v>
      </c>
      <c r="D95" s="617"/>
      <c r="E95" s="610"/>
      <c r="F95" s="610"/>
      <c r="G95" s="202"/>
      <c r="H95" s="202"/>
      <c r="I95" s="203"/>
      <c r="J95" s="200"/>
      <c r="K95" s="617"/>
      <c r="L95" s="610"/>
      <c r="M95" s="99"/>
      <c r="O95" s="441"/>
      <c r="P95" s="440"/>
      <c r="Q95" s="440"/>
      <c r="R95" s="199"/>
    </row>
    <row r="96" spans="1:18" s="104" customFormat="1" ht="15.75" customHeight="1">
      <c r="A96" s="613" t="s">
        <v>56</v>
      </c>
      <c r="B96" s="613"/>
      <c r="C96" s="207" t="s">
        <v>238</v>
      </c>
      <c r="D96" s="613" t="s">
        <v>239</v>
      </c>
      <c r="E96" s="614"/>
      <c r="F96" s="614"/>
      <c r="G96" s="207" t="s">
        <v>240</v>
      </c>
      <c r="H96" s="207" t="s">
        <v>241</v>
      </c>
      <c r="I96" s="207" t="s">
        <v>242</v>
      </c>
      <c r="J96" s="160" t="s">
        <v>243</v>
      </c>
      <c r="K96" s="613" t="s">
        <v>244</v>
      </c>
      <c r="L96" s="614"/>
      <c r="M96" s="128"/>
      <c r="N96" s="189"/>
      <c r="O96" s="441"/>
      <c r="P96" s="440"/>
      <c r="Q96" s="440"/>
      <c r="R96" s="199"/>
    </row>
    <row r="97" spans="1:18" ht="15.75" customHeight="1">
      <c r="A97" s="615">
        <v>6</v>
      </c>
      <c r="B97" s="616" t="s">
        <v>234</v>
      </c>
      <c r="C97" s="200">
        <v>1</v>
      </c>
      <c r="D97" s="617" t="s">
        <v>216</v>
      </c>
      <c r="E97" s="610"/>
      <c r="F97" s="610"/>
      <c r="G97" s="200">
        <v>20</v>
      </c>
      <c r="H97" s="202">
        <v>1783.1793274896652</v>
      </c>
      <c r="I97" s="203">
        <v>89.158966374483271</v>
      </c>
      <c r="J97" s="381">
        <f>I97-I71</f>
        <v>7.8272222089950105E-2</v>
      </c>
      <c r="K97" s="611" t="s">
        <v>246</v>
      </c>
      <c r="L97" s="612"/>
      <c r="M97" s="99"/>
      <c r="N97" s="199"/>
      <c r="O97" s="199"/>
      <c r="P97" s="440"/>
      <c r="Q97" s="440"/>
      <c r="R97" s="199"/>
    </row>
    <row r="98" spans="1:18" ht="15.75" customHeight="1">
      <c r="A98" s="615"/>
      <c r="B98" s="616"/>
      <c r="C98" s="200">
        <v>2</v>
      </c>
      <c r="D98" s="617" t="s">
        <v>209</v>
      </c>
      <c r="E98" s="610"/>
      <c r="F98" s="610"/>
      <c r="G98" s="202">
        <v>21</v>
      </c>
      <c r="H98" s="202">
        <v>1781.5914220091424</v>
      </c>
      <c r="I98" s="203">
        <v>84.837686762340127</v>
      </c>
      <c r="J98" s="381">
        <f>I98-I72</f>
        <v>4.5017256663825833E-2</v>
      </c>
      <c r="K98" s="611" t="s">
        <v>246</v>
      </c>
      <c r="L98" s="612"/>
      <c r="M98" s="99"/>
      <c r="O98" s="199"/>
      <c r="P98" s="440"/>
      <c r="Q98" s="440"/>
      <c r="R98" s="199"/>
    </row>
    <row r="99" spans="1:18" ht="15.75" customHeight="1">
      <c r="A99" s="615"/>
      <c r="B99" s="616"/>
      <c r="C99" s="200">
        <v>3</v>
      </c>
      <c r="D99" s="617" t="s">
        <v>215</v>
      </c>
      <c r="E99" s="610"/>
      <c r="F99" s="610"/>
      <c r="G99" s="202">
        <v>22</v>
      </c>
      <c r="H99" s="202">
        <v>1782.9358713452839</v>
      </c>
      <c r="I99" s="203">
        <v>81.04253960660381</v>
      </c>
      <c r="J99" s="381">
        <f>I99-I73</f>
        <v>8.5954735270092897E-2</v>
      </c>
      <c r="K99" s="611" t="s">
        <v>246</v>
      </c>
      <c r="L99" s="612"/>
      <c r="M99" s="99"/>
      <c r="O99" s="199"/>
      <c r="P99" s="440"/>
      <c r="Q99" s="440"/>
      <c r="R99" s="199"/>
    </row>
    <row r="100" spans="1:18" ht="15.75" customHeight="1">
      <c r="A100" s="615"/>
      <c r="B100" s="616"/>
      <c r="C100" s="200">
        <v>4</v>
      </c>
      <c r="D100" s="617" t="s">
        <v>214</v>
      </c>
      <c r="E100" s="610"/>
      <c r="F100" s="610"/>
      <c r="G100" s="200">
        <v>23</v>
      </c>
      <c r="H100" s="202">
        <v>1781.5303565628731</v>
      </c>
      <c r="I100" s="203">
        <v>77.457841589690133</v>
      </c>
      <c r="J100" s="381">
        <f>I100-I75</f>
        <v>5.2923568740894211E-2</v>
      </c>
      <c r="K100" s="611" t="s">
        <v>246</v>
      </c>
      <c r="L100" s="612"/>
      <c r="M100" s="99"/>
      <c r="O100" s="199"/>
      <c r="P100" s="440"/>
      <c r="Q100" s="440"/>
      <c r="R100" s="199"/>
    </row>
    <row r="101" spans="1:18" ht="15.75" customHeight="1">
      <c r="A101" s="615"/>
      <c r="B101" s="616"/>
      <c r="C101" s="200">
        <v>5</v>
      </c>
      <c r="D101" s="617" t="s">
        <v>211</v>
      </c>
      <c r="E101" s="610"/>
      <c r="F101" s="610"/>
      <c r="G101" s="202">
        <v>23</v>
      </c>
      <c r="H101" s="202">
        <v>1781.5041965522439</v>
      </c>
      <c r="I101" s="203">
        <v>77.456704197923656</v>
      </c>
      <c r="J101" s="381">
        <f>I101-I74</f>
        <v>5.0618420940196529E-2</v>
      </c>
      <c r="K101" s="611" t="s">
        <v>246</v>
      </c>
      <c r="L101" s="612"/>
      <c r="M101" s="99"/>
      <c r="O101" s="199"/>
      <c r="P101" s="440"/>
      <c r="Q101" s="440"/>
      <c r="R101" s="199"/>
    </row>
    <row r="102" spans="1:18" ht="15.75" customHeight="1">
      <c r="A102" s="615"/>
      <c r="B102" s="616"/>
      <c r="C102" s="204" t="s">
        <v>247</v>
      </c>
      <c r="D102" s="617" t="s">
        <v>210</v>
      </c>
      <c r="E102" s="610"/>
      <c r="F102" s="610"/>
      <c r="G102" s="200">
        <v>25</v>
      </c>
      <c r="H102" s="202">
        <v>1783.152475728813</v>
      </c>
      <c r="I102" s="203">
        <v>71.326099029152516</v>
      </c>
      <c r="J102" s="381">
        <f>I102-I77</f>
        <v>1.4413315083231737E-2</v>
      </c>
      <c r="K102" s="611" t="s">
        <v>246</v>
      </c>
      <c r="L102" s="612"/>
      <c r="M102" s="99"/>
      <c r="O102" s="199"/>
      <c r="P102" s="440"/>
      <c r="Q102" s="440"/>
      <c r="R102" s="199"/>
    </row>
    <row r="103" spans="1:18" ht="15.75" customHeight="1">
      <c r="A103" s="615"/>
      <c r="B103" s="616"/>
      <c r="C103" s="204" t="s">
        <v>248</v>
      </c>
      <c r="D103" s="617" t="s">
        <v>213</v>
      </c>
      <c r="E103" s="610"/>
      <c r="F103" s="610"/>
      <c r="G103" s="200">
        <v>25</v>
      </c>
      <c r="H103" s="202">
        <v>1783.8272060453328</v>
      </c>
      <c r="I103" s="203">
        <v>71.35308824181331</v>
      </c>
      <c r="J103" s="381">
        <f>I103-I76</f>
        <v>8.2325112212700446E-2</v>
      </c>
      <c r="K103" s="611" t="s">
        <v>246</v>
      </c>
      <c r="L103" s="612"/>
      <c r="M103" s="99"/>
      <c r="O103" s="199"/>
      <c r="P103" s="440"/>
      <c r="Q103" s="440"/>
      <c r="R103" s="199"/>
    </row>
    <row r="104" spans="1:18" ht="15.75" customHeight="1">
      <c r="A104" s="615"/>
      <c r="B104" s="616"/>
      <c r="C104" s="204" t="s">
        <v>249</v>
      </c>
      <c r="D104" s="617" t="s">
        <v>212</v>
      </c>
      <c r="E104" s="610"/>
      <c r="F104" s="610"/>
      <c r="G104" s="200">
        <v>24</v>
      </c>
      <c r="H104" s="202">
        <v>1783.7435853645536</v>
      </c>
      <c r="I104" s="203">
        <v>74.322649390189753</v>
      </c>
      <c r="J104" s="381">
        <f>I104-I78</f>
        <v>9.9046195040372709E-2</v>
      </c>
      <c r="K104" s="611" t="s">
        <v>246</v>
      </c>
      <c r="L104" s="612"/>
      <c r="M104" s="99"/>
      <c r="O104" s="199"/>
      <c r="P104" s="440"/>
      <c r="Q104" s="440"/>
      <c r="R104" s="199"/>
    </row>
    <row r="105" spans="1:18" ht="15.75" customHeight="1">
      <c r="A105" s="615"/>
      <c r="B105" s="616"/>
      <c r="C105" s="204" t="s">
        <v>250</v>
      </c>
      <c r="D105" s="617" t="s">
        <v>217</v>
      </c>
      <c r="E105" s="610"/>
      <c r="F105" s="610"/>
      <c r="G105" s="200">
        <v>24</v>
      </c>
      <c r="H105" s="202">
        <v>1785.4837853077531</v>
      </c>
      <c r="I105" s="203">
        <v>74.39515772115638</v>
      </c>
      <c r="J105" s="381">
        <f>I105-I79</f>
        <v>3.2344851915297568E-2</v>
      </c>
      <c r="K105" s="611" t="s">
        <v>246</v>
      </c>
      <c r="L105" s="612"/>
      <c r="M105" s="99"/>
      <c r="O105" s="199"/>
      <c r="P105" s="440"/>
      <c r="Q105" s="440"/>
      <c r="R105" s="199"/>
    </row>
    <row r="106" spans="1:18" ht="15.75" customHeight="1">
      <c r="A106" s="615"/>
      <c r="B106" s="616"/>
      <c r="C106" s="204" t="s">
        <v>251</v>
      </c>
      <c r="D106" s="617"/>
      <c r="E106" s="610"/>
      <c r="F106" s="610"/>
      <c r="G106" s="200"/>
      <c r="H106" s="202"/>
      <c r="I106" s="203"/>
      <c r="J106" s="200"/>
      <c r="K106" s="617"/>
      <c r="L106" s="610"/>
      <c r="M106" s="99"/>
      <c r="O106" s="199"/>
      <c r="P106" s="440"/>
      <c r="Q106" s="440"/>
      <c r="R106" s="199"/>
    </row>
    <row r="107" spans="1:18" s="189" customFormat="1" ht="15.75" customHeight="1">
      <c r="A107" s="618" t="s">
        <v>257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</row>
    <row r="108" spans="1:18" s="190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8" s="106" customFormat="1" ht="16.350000000000001" customHeight="1">
      <c r="A109" s="615" t="s">
        <v>128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15"/>
      <c r="B110" s="195" t="s">
        <v>230</v>
      </c>
      <c r="C110" s="195" t="s">
        <v>231</v>
      </c>
      <c r="D110" s="195" t="s">
        <v>232</v>
      </c>
      <c r="E110" s="195" t="s">
        <v>233</v>
      </c>
      <c r="F110" s="194" t="s">
        <v>197</v>
      </c>
      <c r="G110" s="209" t="s">
        <v>234</v>
      </c>
      <c r="H110" s="197" t="s">
        <v>235</v>
      </c>
      <c r="I110" s="196" t="s">
        <v>236</v>
      </c>
      <c r="J110" s="196" t="s">
        <v>237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16" t="s">
        <v>56</v>
      </c>
      <c r="B111" s="616"/>
      <c r="C111" s="160" t="s">
        <v>238</v>
      </c>
      <c r="D111" s="616" t="s">
        <v>239</v>
      </c>
      <c r="E111" s="619"/>
      <c r="F111" s="619"/>
      <c r="G111" s="160" t="s">
        <v>240</v>
      </c>
      <c r="H111" s="160" t="s">
        <v>241</v>
      </c>
      <c r="I111" s="160" t="s">
        <v>242</v>
      </c>
      <c r="J111" s="160" t="s">
        <v>243</v>
      </c>
      <c r="K111" s="616" t="s">
        <v>244</v>
      </c>
      <c r="L111" s="619"/>
      <c r="M111" s="127"/>
      <c r="N111" s="189"/>
      <c r="O111" s="441"/>
      <c r="P111" s="440"/>
      <c r="Q111" s="440"/>
      <c r="R111" s="199"/>
    </row>
    <row r="112" spans="1:18" ht="15.75" customHeight="1">
      <c r="A112" s="615">
        <v>5</v>
      </c>
      <c r="B112" s="616" t="s">
        <v>197</v>
      </c>
      <c r="C112" s="200">
        <v>1</v>
      </c>
      <c r="D112" s="617" t="s">
        <v>205</v>
      </c>
      <c r="E112" s="610"/>
      <c r="F112" s="610"/>
      <c r="G112" s="202">
        <v>19.142857142857142</v>
      </c>
      <c r="H112" s="202">
        <v>1783.774072644688</v>
      </c>
      <c r="I112" s="203">
        <v>93.212053675189409</v>
      </c>
      <c r="J112" s="381">
        <f>I112-I86</f>
        <v>-0.60653161970520841</v>
      </c>
      <c r="K112" s="623" t="s">
        <v>262</v>
      </c>
      <c r="L112" s="612"/>
      <c r="N112" s="178"/>
      <c r="O112" s="442"/>
      <c r="P112" s="439"/>
      <c r="Q112" s="439"/>
      <c r="R112" s="178"/>
    </row>
    <row r="113" spans="1:18" ht="15.75" customHeight="1">
      <c r="A113" s="615"/>
      <c r="B113" s="616"/>
      <c r="C113" s="200">
        <v>2</v>
      </c>
      <c r="D113" s="617" t="s">
        <v>202</v>
      </c>
      <c r="E113" s="610"/>
      <c r="F113" s="610"/>
      <c r="G113" s="202">
        <v>20</v>
      </c>
      <c r="H113" s="202">
        <v>1784.4743599668157</v>
      </c>
      <c r="I113" s="203">
        <v>89.223717998340774</v>
      </c>
      <c r="J113" s="381">
        <f>I113-I87</f>
        <v>3.6779982821485646E-2</v>
      </c>
      <c r="K113" s="611" t="s">
        <v>246</v>
      </c>
      <c r="L113" s="612"/>
      <c r="O113" s="441"/>
      <c r="P113" s="440"/>
      <c r="Q113" s="440"/>
      <c r="R113" s="199"/>
    </row>
    <row r="114" spans="1:18" ht="15.75" customHeight="1">
      <c r="A114" s="615"/>
      <c r="B114" s="616"/>
      <c r="C114" s="200">
        <v>3</v>
      </c>
      <c r="D114" s="617" t="s">
        <v>203</v>
      </c>
      <c r="E114" s="610"/>
      <c r="F114" s="610"/>
      <c r="G114" s="202">
        <v>21.142857142857142</v>
      </c>
      <c r="H114" s="202">
        <v>1784.3491569571138</v>
      </c>
      <c r="I114" s="203">
        <v>84.417141369531024</v>
      </c>
      <c r="J114" s="381">
        <f>I114-I88</f>
        <v>-0.52242674518912224</v>
      </c>
      <c r="K114" s="623" t="s">
        <v>262</v>
      </c>
      <c r="L114" s="612"/>
      <c r="O114" s="441"/>
      <c r="P114" s="440"/>
      <c r="Q114" s="440"/>
      <c r="R114" s="199"/>
    </row>
    <row r="115" spans="1:18" ht="15.75" customHeight="1">
      <c r="A115" s="615"/>
      <c r="B115" s="616"/>
      <c r="C115" s="200">
        <v>4</v>
      </c>
      <c r="D115" s="617" t="s">
        <v>204</v>
      </c>
      <c r="E115" s="610"/>
      <c r="F115" s="610"/>
      <c r="G115" s="202">
        <v>19.142857142857142</v>
      </c>
      <c r="H115" s="202">
        <v>1604.4334908856597</v>
      </c>
      <c r="I115" s="203">
        <v>83.84071128628544</v>
      </c>
      <c r="J115" s="381">
        <f t="shared" ref="J115" si="1">I115-I89</f>
        <v>-0.57463809971403634</v>
      </c>
      <c r="K115" s="623" t="s">
        <v>262</v>
      </c>
      <c r="L115" s="612"/>
      <c r="O115" s="441"/>
      <c r="P115" s="440"/>
      <c r="Q115" s="440"/>
      <c r="R115" s="199"/>
    </row>
    <row r="116" spans="1:18" ht="15.75" customHeight="1">
      <c r="A116" s="615"/>
      <c r="B116" s="616"/>
      <c r="C116" s="200">
        <v>5</v>
      </c>
      <c r="D116" s="617" t="s">
        <v>207</v>
      </c>
      <c r="E116" s="610"/>
      <c r="F116" s="610"/>
      <c r="G116" s="202">
        <v>21</v>
      </c>
      <c r="H116" s="202">
        <v>1619.3922604103543</v>
      </c>
      <c r="I116" s="203">
        <v>77.113917162397826</v>
      </c>
      <c r="J116" s="381"/>
      <c r="K116" s="622" t="s">
        <v>263</v>
      </c>
      <c r="L116" s="612"/>
      <c r="O116" s="441"/>
      <c r="P116" s="440"/>
      <c r="Q116" s="440"/>
      <c r="R116" s="199"/>
    </row>
    <row r="117" spans="1:18" ht="15.75" customHeight="1">
      <c r="A117" s="615"/>
      <c r="B117" s="616"/>
      <c r="C117" s="204" t="s">
        <v>247</v>
      </c>
      <c r="D117" s="617" t="s">
        <v>206</v>
      </c>
      <c r="E117" s="610"/>
      <c r="F117" s="610"/>
      <c r="G117" s="202">
        <v>21</v>
      </c>
      <c r="H117" s="202">
        <v>1457.1676300578042</v>
      </c>
      <c r="I117" s="203">
        <v>69.38893476465735</v>
      </c>
      <c r="J117" s="381"/>
      <c r="K117" s="622" t="s">
        <v>263</v>
      </c>
      <c r="L117" s="612"/>
      <c r="O117" s="441"/>
      <c r="P117" s="440"/>
      <c r="Q117" s="440"/>
      <c r="R117" s="199"/>
    </row>
    <row r="118" spans="1:18" ht="15.75" customHeight="1">
      <c r="A118" s="615"/>
      <c r="B118" s="616"/>
      <c r="C118" s="204" t="s">
        <v>248</v>
      </c>
      <c r="D118" s="617" t="s">
        <v>198</v>
      </c>
      <c r="E118" s="610"/>
      <c r="F118" s="610"/>
      <c r="G118" s="202">
        <v>25</v>
      </c>
      <c r="H118" s="202">
        <v>1782.7376248896433</v>
      </c>
      <c r="I118" s="203">
        <v>71.309504995585712</v>
      </c>
      <c r="J118" s="381">
        <f>I118-I91</f>
        <v>2.1941443254945625E-2</v>
      </c>
      <c r="K118" s="611" t="s">
        <v>246</v>
      </c>
      <c r="L118" s="612"/>
      <c r="O118" s="199"/>
      <c r="P118" s="440"/>
      <c r="Q118" s="440"/>
      <c r="R118" s="199"/>
    </row>
    <row r="119" spans="1:18" ht="15.75" customHeight="1">
      <c r="A119" s="615"/>
      <c r="B119" s="616"/>
      <c r="C119" s="204" t="s">
        <v>249</v>
      </c>
      <c r="D119" s="617" t="s">
        <v>201</v>
      </c>
      <c r="E119" s="610"/>
      <c r="F119" s="610"/>
      <c r="G119" s="202">
        <v>23.142857142857142</v>
      </c>
      <c r="H119" s="202">
        <v>1781.5903238994902</v>
      </c>
      <c r="I119" s="203">
        <v>76.999289798463252</v>
      </c>
      <c r="J119" s="381">
        <f>I119-I92</f>
        <v>-0.44900796239654994</v>
      </c>
      <c r="K119" s="623" t="s">
        <v>262</v>
      </c>
      <c r="L119" s="612"/>
      <c r="O119" s="441"/>
      <c r="P119" s="440"/>
      <c r="Q119" s="440"/>
      <c r="R119" s="199"/>
    </row>
    <row r="120" spans="1:18" ht="15.75" customHeight="1">
      <c r="A120" s="615"/>
      <c r="B120" s="616"/>
      <c r="C120" s="204" t="s">
        <v>250</v>
      </c>
      <c r="D120" s="617" t="s">
        <v>200</v>
      </c>
      <c r="E120" s="610"/>
      <c r="F120" s="610"/>
      <c r="G120" s="202">
        <v>23.142857142857142</v>
      </c>
      <c r="H120" s="202">
        <v>1782.6195886982309</v>
      </c>
      <c r="I120" s="203">
        <v>77.043873083483774</v>
      </c>
      <c r="J120" s="381">
        <f>I120-I93</f>
        <v>-0.45714306564819651</v>
      </c>
      <c r="K120" s="623" t="s">
        <v>262</v>
      </c>
      <c r="L120" s="612"/>
      <c r="M120" s="99"/>
      <c r="O120" s="441"/>
      <c r="P120" s="440"/>
      <c r="Q120" s="440"/>
      <c r="R120" s="199"/>
    </row>
    <row r="121" spans="1:18" ht="15.75" customHeight="1">
      <c r="A121" s="615"/>
      <c r="B121" s="616"/>
      <c r="C121" s="204" t="s">
        <v>251</v>
      </c>
      <c r="D121" s="617" t="s">
        <v>199</v>
      </c>
      <c r="E121" s="610"/>
      <c r="F121" s="610"/>
      <c r="G121" s="202">
        <v>23.142857142857142</v>
      </c>
      <c r="H121" s="202">
        <v>1783.5847059920795</v>
      </c>
      <c r="I121" s="203">
        <v>77.085560479850727</v>
      </c>
      <c r="J121" s="381">
        <f>I121-I90</f>
        <v>-0.42466634688051386</v>
      </c>
      <c r="K121" s="623" t="s">
        <v>262</v>
      </c>
      <c r="L121" s="612"/>
      <c r="M121" s="99"/>
      <c r="O121" s="441"/>
      <c r="P121" s="440"/>
      <c r="Q121" s="440"/>
      <c r="R121" s="199"/>
    </row>
    <row r="122" spans="1:18" s="104" customFormat="1" ht="15.75" customHeight="1">
      <c r="A122" s="613" t="s">
        <v>56</v>
      </c>
      <c r="B122" s="613"/>
      <c r="C122" s="207" t="s">
        <v>238</v>
      </c>
      <c r="D122" s="613" t="s">
        <v>239</v>
      </c>
      <c r="E122" s="614"/>
      <c r="F122" s="614"/>
      <c r="G122" s="207" t="s">
        <v>240</v>
      </c>
      <c r="H122" s="207" t="s">
        <v>241</v>
      </c>
      <c r="I122" s="207" t="s">
        <v>242</v>
      </c>
      <c r="J122" s="160" t="s">
        <v>243</v>
      </c>
      <c r="K122" s="613" t="s">
        <v>244</v>
      </c>
      <c r="L122" s="614"/>
      <c r="M122" s="128"/>
      <c r="N122" s="189"/>
      <c r="O122" s="441"/>
      <c r="P122" s="440"/>
      <c r="Q122" s="440"/>
      <c r="R122" s="199"/>
    </row>
    <row r="123" spans="1:18" ht="15.75" customHeight="1">
      <c r="A123" s="615">
        <v>6</v>
      </c>
      <c r="B123" s="616" t="s">
        <v>234</v>
      </c>
      <c r="C123" s="200">
        <v>1</v>
      </c>
      <c r="D123" s="617" t="s">
        <v>216</v>
      </c>
      <c r="E123" s="610"/>
      <c r="F123" s="610"/>
      <c r="G123" s="200">
        <v>20</v>
      </c>
      <c r="H123" s="202">
        <v>1784.2695062691528</v>
      </c>
      <c r="I123" s="203">
        <v>89.213475313457636</v>
      </c>
      <c r="J123" s="381">
        <f t="shared" ref="J123:J128" si="2">I123-I97</f>
        <v>5.4508938974365151E-2</v>
      </c>
      <c r="K123" s="611" t="s">
        <v>246</v>
      </c>
      <c r="L123" s="612"/>
      <c r="M123" s="99"/>
      <c r="N123" s="199"/>
      <c r="O123" s="199"/>
      <c r="P123" s="440"/>
      <c r="Q123" s="440"/>
      <c r="R123" s="199"/>
    </row>
    <row r="124" spans="1:18" ht="15.75" customHeight="1">
      <c r="A124" s="615"/>
      <c r="B124" s="616"/>
      <c r="C124" s="200">
        <v>2</v>
      </c>
      <c r="D124" s="617" t="s">
        <v>209</v>
      </c>
      <c r="E124" s="610"/>
      <c r="F124" s="610"/>
      <c r="G124" s="202">
        <v>21</v>
      </c>
      <c r="H124" s="202">
        <v>1782.2501293544603</v>
      </c>
      <c r="I124" s="203">
        <v>84.869053778783822</v>
      </c>
      <c r="J124" s="381">
        <f t="shared" si="2"/>
        <v>3.1367016443695661E-2</v>
      </c>
      <c r="K124" s="611" t="s">
        <v>246</v>
      </c>
      <c r="L124" s="612"/>
      <c r="M124" s="99"/>
      <c r="O124" s="199"/>
      <c r="P124" s="440"/>
      <c r="Q124" s="440"/>
      <c r="R124" s="199"/>
    </row>
    <row r="125" spans="1:18" ht="15.75" customHeight="1">
      <c r="A125" s="615"/>
      <c r="B125" s="616"/>
      <c r="C125" s="200">
        <v>3</v>
      </c>
      <c r="D125" s="617" t="s">
        <v>215</v>
      </c>
      <c r="E125" s="610"/>
      <c r="F125" s="610"/>
      <c r="G125" s="202">
        <v>22</v>
      </c>
      <c r="H125" s="202">
        <v>1784.1206429340968</v>
      </c>
      <c r="I125" s="203">
        <v>81.096392860640748</v>
      </c>
      <c r="J125" s="381">
        <f t="shared" si="2"/>
        <v>5.3853254036937415E-2</v>
      </c>
      <c r="K125" s="611" t="s">
        <v>246</v>
      </c>
      <c r="L125" s="612"/>
      <c r="M125" s="99"/>
      <c r="O125" s="199"/>
      <c r="P125" s="440"/>
      <c r="Q125" s="440"/>
      <c r="R125" s="199"/>
    </row>
    <row r="126" spans="1:18" ht="15.75" customHeight="1">
      <c r="A126" s="615"/>
      <c r="B126" s="616"/>
      <c r="C126" s="200">
        <v>4</v>
      </c>
      <c r="D126" s="617" t="s">
        <v>214</v>
      </c>
      <c r="E126" s="610"/>
      <c r="F126" s="610"/>
      <c r="G126" s="200">
        <v>23</v>
      </c>
      <c r="H126" s="202">
        <v>1782.2096298160304</v>
      </c>
      <c r="I126" s="203">
        <v>77.487375209392638</v>
      </c>
      <c r="J126" s="381">
        <f t="shared" si="2"/>
        <v>2.9533619702505121E-2</v>
      </c>
      <c r="K126" s="611" t="s">
        <v>246</v>
      </c>
      <c r="L126" s="612"/>
      <c r="M126" s="99"/>
      <c r="O126" s="199"/>
      <c r="P126" s="440"/>
      <c r="Q126" s="440"/>
      <c r="R126" s="199"/>
    </row>
    <row r="127" spans="1:18" ht="15.75" customHeight="1">
      <c r="A127" s="615"/>
      <c r="B127" s="616"/>
      <c r="C127" s="200">
        <v>5</v>
      </c>
      <c r="D127" s="617" t="s">
        <v>211</v>
      </c>
      <c r="E127" s="610"/>
      <c r="F127" s="610"/>
      <c r="G127" s="202">
        <v>23</v>
      </c>
      <c r="H127" s="202">
        <v>1781.7736633537672</v>
      </c>
      <c r="I127" s="203">
        <v>77.468420145815955</v>
      </c>
      <c r="J127" s="381">
        <f t="shared" si="2"/>
        <v>1.1715947892298573E-2</v>
      </c>
      <c r="K127" s="611" t="s">
        <v>246</v>
      </c>
      <c r="L127" s="612"/>
      <c r="M127" s="99"/>
      <c r="O127" s="199"/>
      <c r="P127" s="440"/>
      <c r="Q127" s="440"/>
      <c r="R127" s="199"/>
    </row>
    <row r="128" spans="1:18" ht="15.75" customHeight="1">
      <c r="A128" s="615"/>
      <c r="B128" s="616"/>
      <c r="C128" s="204" t="s">
        <v>247</v>
      </c>
      <c r="D128" s="617" t="s">
        <v>210</v>
      </c>
      <c r="E128" s="610"/>
      <c r="F128" s="610"/>
      <c r="G128" s="200">
        <v>25</v>
      </c>
      <c r="H128" s="202">
        <v>1783.4880597698866</v>
      </c>
      <c r="I128" s="203">
        <v>71.339522390795452</v>
      </c>
      <c r="J128" s="381">
        <f t="shared" si="2"/>
        <v>1.3423361642935561E-2</v>
      </c>
      <c r="K128" s="611" t="s">
        <v>246</v>
      </c>
      <c r="L128" s="612"/>
      <c r="M128" s="99"/>
      <c r="O128" s="199"/>
      <c r="P128" s="440"/>
      <c r="Q128" s="440"/>
      <c r="R128" s="199"/>
    </row>
    <row r="129" spans="1:18" ht="15.75" customHeight="1">
      <c r="A129" s="615"/>
      <c r="B129" s="616"/>
      <c r="C129" s="204" t="s">
        <v>248</v>
      </c>
      <c r="D129" s="617" t="s">
        <v>217</v>
      </c>
      <c r="E129" s="610"/>
      <c r="F129" s="610"/>
      <c r="G129" s="200">
        <v>24</v>
      </c>
      <c r="H129" s="202">
        <v>1784.3713560053361</v>
      </c>
      <c r="I129" s="203">
        <v>74.348806500222338</v>
      </c>
      <c r="J129" s="381">
        <f>I129-I105</f>
        <v>-4.6351220934042203E-2</v>
      </c>
      <c r="K129" s="611" t="s">
        <v>246</v>
      </c>
      <c r="L129" s="612"/>
      <c r="M129" s="99"/>
      <c r="O129" s="199"/>
      <c r="P129" s="440"/>
      <c r="Q129" s="440"/>
      <c r="R129" s="199"/>
    </row>
    <row r="130" spans="1:18" ht="15.75" customHeight="1">
      <c r="A130" s="615"/>
      <c r="B130" s="616"/>
      <c r="C130" s="204" t="s">
        <v>249</v>
      </c>
      <c r="D130" s="617" t="s">
        <v>213</v>
      </c>
      <c r="E130" s="610"/>
      <c r="F130" s="610"/>
      <c r="G130" s="200">
        <v>24</v>
      </c>
      <c r="H130" s="202">
        <v>1784.6338514438482</v>
      </c>
      <c r="I130" s="203">
        <v>74.359743810160339</v>
      </c>
      <c r="J130" s="381">
        <f>I130-I103</f>
        <v>3.0066555683470284</v>
      </c>
      <c r="K130" s="623" t="s">
        <v>264</v>
      </c>
      <c r="L130" s="612"/>
      <c r="M130" s="99"/>
      <c r="O130" s="199"/>
      <c r="P130" s="440"/>
      <c r="Q130" s="440"/>
      <c r="R130" s="199"/>
    </row>
    <row r="131" spans="1:18" ht="15.75" customHeight="1">
      <c r="A131" s="615"/>
      <c r="B131" s="616"/>
      <c r="C131" s="204" t="s">
        <v>250</v>
      </c>
      <c r="D131" s="617" t="s">
        <v>212</v>
      </c>
      <c r="E131" s="610"/>
      <c r="F131" s="610"/>
      <c r="G131" s="200">
        <v>24</v>
      </c>
      <c r="H131" s="202">
        <v>1784.9125193253587</v>
      </c>
      <c r="I131" s="203">
        <v>74.371354971889943</v>
      </c>
      <c r="J131" s="381">
        <f>I131-I104</f>
        <v>4.8705581700190237E-2</v>
      </c>
      <c r="K131" s="611" t="s">
        <v>246</v>
      </c>
      <c r="L131" s="612"/>
      <c r="M131" s="99"/>
      <c r="O131" s="199"/>
      <c r="P131" s="440"/>
      <c r="Q131" s="440"/>
      <c r="R131" s="199"/>
    </row>
    <row r="132" spans="1:18" ht="15.75" customHeight="1">
      <c r="A132" s="615"/>
      <c r="B132" s="616"/>
      <c r="C132" s="204" t="s">
        <v>251</v>
      </c>
      <c r="D132" s="617"/>
      <c r="E132" s="610"/>
      <c r="F132" s="610"/>
      <c r="G132" s="200"/>
      <c r="H132" s="202"/>
      <c r="I132" s="203"/>
      <c r="J132" s="200"/>
      <c r="K132" s="617"/>
      <c r="L132" s="610"/>
      <c r="M132" s="99"/>
      <c r="O132" s="199"/>
      <c r="P132" s="440"/>
      <c r="Q132" s="440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102" zoomScale="115" zoomScaleNormal="60" zoomScaleSheetLayoutView="115" workbookViewId="0">
      <selection activeCell="K112" sqref="K112:L124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66" t="s">
        <v>228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8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0"/>
      <c r="O2" s="190"/>
      <c r="P2" s="190"/>
      <c r="Q2" s="190"/>
      <c r="R2" s="190"/>
    </row>
    <row r="3" spans="1:18" s="189" customFormat="1" ht="15.75" customHeight="1">
      <c r="A3" s="618" t="s">
        <v>229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</row>
    <row r="4" spans="1:18" s="190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8" s="106" customFormat="1" ht="16.350000000000001" customHeight="1">
      <c r="A5" s="628" t="s">
        <v>128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30"/>
      <c r="B6" s="195" t="s">
        <v>230</v>
      </c>
      <c r="C6" s="195" t="s">
        <v>231</v>
      </c>
      <c r="D6" s="195" t="s">
        <v>232</v>
      </c>
      <c r="E6" s="195" t="s">
        <v>233</v>
      </c>
      <c r="F6" s="195" t="s">
        <v>265</v>
      </c>
      <c r="G6" s="196" t="s">
        <v>234</v>
      </c>
      <c r="H6" s="194" t="s">
        <v>235</v>
      </c>
      <c r="I6" s="209" t="s">
        <v>236</v>
      </c>
      <c r="J6" s="196" t="s">
        <v>237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34" t="s">
        <v>56</v>
      </c>
      <c r="B7" s="635"/>
      <c r="C7" s="160" t="s">
        <v>238</v>
      </c>
      <c r="D7" s="634" t="s">
        <v>239</v>
      </c>
      <c r="E7" s="636"/>
      <c r="F7" s="635"/>
      <c r="G7" s="160" t="s">
        <v>240</v>
      </c>
      <c r="H7" s="160" t="s">
        <v>241</v>
      </c>
      <c r="I7" s="160" t="s">
        <v>242</v>
      </c>
      <c r="J7" s="160" t="s">
        <v>243</v>
      </c>
      <c r="K7" s="634" t="s">
        <v>244</v>
      </c>
      <c r="L7" s="635"/>
      <c r="M7" s="127"/>
      <c r="N7" s="189"/>
      <c r="O7" s="199"/>
      <c r="P7" s="440"/>
      <c r="Q7" s="440"/>
      <c r="R7" s="199"/>
    </row>
    <row r="8" spans="1:18" ht="15.75" customHeight="1">
      <c r="A8" s="628">
        <v>7</v>
      </c>
      <c r="B8" s="631" t="s">
        <v>266</v>
      </c>
      <c r="C8" s="200">
        <v>1</v>
      </c>
      <c r="D8" s="637" t="s">
        <v>219</v>
      </c>
      <c r="E8" s="610"/>
      <c r="F8" s="610"/>
      <c r="G8" s="200">
        <v>22</v>
      </c>
      <c r="H8" s="202">
        <v>1604.0565389421931</v>
      </c>
      <c r="I8" s="203">
        <v>72.911660861008784</v>
      </c>
      <c r="J8" s="381">
        <v>0.18700559839756181</v>
      </c>
      <c r="K8" s="617" t="s">
        <v>246</v>
      </c>
      <c r="L8" s="610"/>
      <c r="O8" s="199"/>
      <c r="P8" s="440"/>
      <c r="Q8" s="440"/>
      <c r="R8" s="199"/>
    </row>
    <row r="9" spans="1:18" ht="15.75" customHeight="1">
      <c r="A9" s="629"/>
      <c r="B9" s="632"/>
      <c r="C9" s="200">
        <v>2</v>
      </c>
      <c r="D9" s="637"/>
      <c r="E9" s="610"/>
      <c r="F9" s="610"/>
      <c r="G9" s="200"/>
      <c r="H9" s="202"/>
      <c r="I9" s="203"/>
      <c r="J9" s="200"/>
      <c r="K9" s="611"/>
      <c r="L9" s="612"/>
      <c r="O9" s="199"/>
      <c r="P9" s="440"/>
      <c r="Q9" s="440"/>
      <c r="R9" s="199"/>
    </row>
    <row r="10" spans="1:18" ht="15.75" customHeight="1">
      <c r="A10" s="629"/>
      <c r="B10" s="632"/>
      <c r="C10" s="200">
        <v>3</v>
      </c>
      <c r="D10" s="611"/>
      <c r="E10" s="624"/>
      <c r="F10" s="612"/>
      <c r="G10" s="200"/>
      <c r="H10" s="202"/>
      <c r="I10" s="203"/>
      <c r="J10" s="200"/>
      <c r="K10" s="611"/>
      <c r="L10" s="612"/>
      <c r="N10" s="443"/>
      <c r="O10" s="199"/>
      <c r="P10" s="440"/>
      <c r="Q10" s="440"/>
      <c r="R10" s="199"/>
    </row>
    <row r="11" spans="1:18" ht="15.75" customHeight="1">
      <c r="A11" s="629"/>
      <c r="B11" s="632"/>
      <c r="C11" s="200">
        <v>4</v>
      </c>
      <c r="D11" s="611"/>
      <c r="E11" s="624"/>
      <c r="F11" s="612"/>
      <c r="G11" s="200"/>
      <c r="H11" s="202"/>
      <c r="I11" s="203"/>
      <c r="J11" s="200"/>
      <c r="K11" s="611"/>
      <c r="L11" s="612"/>
      <c r="O11" s="199"/>
      <c r="P11" s="440"/>
      <c r="Q11" s="440"/>
      <c r="R11" s="199"/>
    </row>
    <row r="12" spans="1:18" ht="15.75" customHeight="1">
      <c r="A12" s="629"/>
      <c r="B12" s="632"/>
      <c r="C12" s="200">
        <v>5</v>
      </c>
      <c r="D12" s="611"/>
      <c r="E12" s="624"/>
      <c r="F12" s="612"/>
      <c r="G12" s="200"/>
      <c r="H12" s="202"/>
      <c r="I12" s="203"/>
      <c r="J12" s="200"/>
      <c r="K12" s="611"/>
      <c r="L12" s="612"/>
      <c r="N12" s="178"/>
      <c r="O12" s="199"/>
      <c r="P12" s="440"/>
      <c r="Q12" s="440"/>
      <c r="R12" s="199"/>
    </row>
    <row r="13" spans="1:18" ht="15.75" customHeight="1">
      <c r="A13" s="629"/>
      <c r="B13" s="632"/>
      <c r="C13" s="204" t="s">
        <v>247</v>
      </c>
      <c r="D13" s="611"/>
      <c r="E13" s="624"/>
      <c r="F13" s="612"/>
      <c r="G13" s="200"/>
      <c r="H13" s="202"/>
      <c r="I13" s="203"/>
      <c r="J13" s="200"/>
      <c r="K13" s="611"/>
      <c r="L13" s="612"/>
      <c r="N13" s="443"/>
      <c r="O13" s="199"/>
      <c r="P13" s="440"/>
      <c r="Q13" s="440"/>
      <c r="R13" s="199"/>
    </row>
    <row r="14" spans="1:18" ht="15.75" customHeight="1">
      <c r="A14" s="629"/>
      <c r="B14" s="632"/>
      <c r="C14" s="204" t="s">
        <v>248</v>
      </c>
      <c r="D14" s="611"/>
      <c r="E14" s="624"/>
      <c r="F14" s="612"/>
      <c r="G14" s="200"/>
      <c r="H14" s="202"/>
      <c r="I14" s="203"/>
      <c r="J14" s="200"/>
      <c r="K14" s="611"/>
      <c r="L14" s="612"/>
      <c r="O14" s="199"/>
      <c r="P14" s="440"/>
      <c r="Q14" s="440"/>
      <c r="R14" s="199"/>
    </row>
    <row r="15" spans="1:18" ht="15.75" customHeight="1">
      <c r="A15" s="629"/>
      <c r="B15" s="632"/>
      <c r="C15" s="204" t="s">
        <v>249</v>
      </c>
      <c r="D15" s="611"/>
      <c r="E15" s="624"/>
      <c r="F15" s="612"/>
      <c r="G15" s="200"/>
      <c r="H15" s="202"/>
      <c r="I15" s="203"/>
      <c r="J15" s="200"/>
      <c r="K15" s="611"/>
      <c r="L15" s="612"/>
      <c r="O15" s="199"/>
      <c r="P15" s="440"/>
      <c r="Q15" s="440"/>
      <c r="R15" s="199"/>
    </row>
    <row r="16" spans="1:18" ht="15.75" customHeight="1">
      <c r="A16" s="629"/>
      <c r="B16" s="632"/>
      <c r="C16" s="204" t="s">
        <v>250</v>
      </c>
      <c r="D16" s="611"/>
      <c r="E16" s="624"/>
      <c r="F16" s="612"/>
      <c r="G16" s="200"/>
      <c r="H16" s="202"/>
      <c r="I16" s="203"/>
      <c r="J16" s="200"/>
      <c r="K16" s="611"/>
      <c r="L16" s="612"/>
      <c r="M16" s="99"/>
      <c r="O16" s="199"/>
      <c r="P16" s="440"/>
      <c r="Q16" s="440"/>
      <c r="R16" s="199"/>
    </row>
    <row r="17" spans="1:18" ht="15.75" customHeight="1">
      <c r="A17" s="630"/>
      <c r="B17" s="633"/>
      <c r="C17" s="204" t="s">
        <v>251</v>
      </c>
      <c r="D17" s="611"/>
      <c r="E17" s="624"/>
      <c r="F17" s="612"/>
      <c r="G17" s="200"/>
      <c r="H17" s="202"/>
      <c r="I17" s="203"/>
      <c r="J17" s="200"/>
      <c r="K17" s="611"/>
      <c r="L17" s="612"/>
      <c r="M17" s="99"/>
      <c r="N17" s="199"/>
      <c r="O17" s="199"/>
      <c r="P17" s="440"/>
      <c r="Q17" s="440"/>
      <c r="R17" s="199"/>
    </row>
    <row r="18" spans="1:18" s="104" customFormat="1" ht="15.75" customHeight="1">
      <c r="A18" s="625" t="s">
        <v>56</v>
      </c>
      <c r="B18" s="626"/>
      <c r="C18" s="207" t="s">
        <v>238</v>
      </c>
      <c r="D18" s="625" t="s">
        <v>239</v>
      </c>
      <c r="E18" s="627"/>
      <c r="F18" s="626"/>
      <c r="G18" s="207" t="s">
        <v>240</v>
      </c>
      <c r="H18" s="207" t="s">
        <v>241</v>
      </c>
      <c r="I18" s="207" t="s">
        <v>242</v>
      </c>
      <c r="J18" s="160" t="s">
        <v>253</v>
      </c>
      <c r="K18" s="625" t="s">
        <v>244</v>
      </c>
      <c r="L18" s="626"/>
      <c r="M18" s="128"/>
      <c r="N18" s="189"/>
      <c r="O18" s="199"/>
      <c r="P18" s="440"/>
      <c r="Q18" s="440"/>
      <c r="R18" s="199"/>
    </row>
    <row r="19" spans="1:18" ht="15.75" customHeight="1">
      <c r="A19" s="628">
        <v>8</v>
      </c>
      <c r="B19" s="631" t="s">
        <v>267</v>
      </c>
      <c r="C19" s="200">
        <v>1</v>
      </c>
      <c r="D19" s="611" t="s">
        <v>223</v>
      </c>
      <c r="E19" s="624"/>
      <c r="F19" s="612"/>
      <c r="G19" s="200">
        <v>19</v>
      </c>
      <c r="H19" s="202">
        <v>3206.5855184275833</v>
      </c>
      <c r="I19" s="203">
        <v>168.76765886460967</v>
      </c>
      <c r="J19" s="381">
        <v>0.26224031910047074</v>
      </c>
      <c r="K19" s="617" t="s">
        <v>246</v>
      </c>
      <c r="L19" s="610"/>
      <c r="M19" s="99"/>
      <c r="O19" s="199"/>
      <c r="P19" s="440"/>
      <c r="Q19" s="440"/>
      <c r="R19" s="199"/>
    </row>
    <row r="20" spans="1:18" ht="15.75" customHeight="1">
      <c r="A20" s="629"/>
      <c r="B20" s="632"/>
      <c r="C20" s="200">
        <v>2</v>
      </c>
      <c r="D20" s="611" t="s">
        <v>222</v>
      </c>
      <c r="E20" s="624"/>
      <c r="F20" s="612"/>
      <c r="G20" s="200">
        <v>18</v>
      </c>
      <c r="H20" s="202">
        <v>1605.2765123130234</v>
      </c>
      <c r="I20" s="203">
        <v>89.182028461834634</v>
      </c>
      <c r="J20" s="381">
        <v>-3.8012419420965671E-2</v>
      </c>
      <c r="K20" s="617" t="s">
        <v>246</v>
      </c>
      <c r="L20" s="610"/>
      <c r="M20" s="99"/>
      <c r="O20" s="178"/>
      <c r="P20" s="439"/>
      <c r="Q20" s="439"/>
      <c r="R20" s="178"/>
    </row>
    <row r="21" spans="1:18" ht="15.75" customHeight="1">
      <c r="A21" s="629"/>
      <c r="B21" s="632"/>
      <c r="C21" s="200">
        <v>3</v>
      </c>
      <c r="D21" s="611" t="s">
        <v>221</v>
      </c>
      <c r="E21" s="624"/>
      <c r="F21" s="612"/>
      <c r="G21" s="200">
        <v>19</v>
      </c>
      <c r="H21" s="202">
        <v>1606.0612311917703</v>
      </c>
      <c r="I21" s="203">
        <v>84.529538483777401</v>
      </c>
      <c r="J21" s="381">
        <v>2.8239754288946983E-2</v>
      </c>
      <c r="K21" s="617" t="s">
        <v>246</v>
      </c>
      <c r="L21" s="610"/>
      <c r="M21" s="99"/>
      <c r="O21" s="199"/>
      <c r="P21" s="440"/>
      <c r="Q21" s="440"/>
      <c r="R21" s="199"/>
    </row>
    <row r="22" spans="1:18" ht="15.75" customHeight="1">
      <c r="A22" s="629"/>
      <c r="B22" s="632"/>
      <c r="C22" s="200">
        <v>4</v>
      </c>
      <c r="D22" s="611" t="s">
        <v>224</v>
      </c>
      <c r="E22" s="624"/>
      <c r="F22" s="612"/>
      <c r="G22" s="200">
        <v>19</v>
      </c>
      <c r="H22" s="202">
        <v>1603.7947802453587</v>
      </c>
      <c r="I22" s="203">
        <v>84.410251591860998</v>
      </c>
      <c r="J22" s="381">
        <v>3.3387710055694981</v>
      </c>
      <c r="K22" s="620" t="s">
        <v>268</v>
      </c>
      <c r="L22" s="610"/>
      <c r="M22" s="99"/>
      <c r="O22" s="199"/>
      <c r="P22" s="440"/>
      <c r="Q22" s="440"/>
      <c r="R22" s="199"/>
    </row>
    <row r="23" spans="1:18" ht="15.75" customHeight="1">
      <c r="A23" s="629"/>
      <c r="B23" s="632"/>
      <c r="C23" s="200">
        <v>5</v>
      </c>
      <c r="D23" s="611"/>
      <c r="E23" s="624"/>
      <c r="F23" s="612"/>
      <c r="G23" s="200"/>
      <c r="H23" s="202"/>
      <c r="I23" s="203"/>
      <c r="J23" s="200"/>
      <c r="K23" s="611"/>
      <c r="L23" s="612"/>
      <c r="M23" s="99"/>
      <c r="O23" s="199"/>
      <c r="P23" s="440"/>
      <c r="Q23" s="440"/>
      <c r="R23" s="199"/>
    </row>
    <row r="24" spans="1:18" ht="15.75" customHeight="1">
      <c r="A24" s="629"/>
      <c r="B24" s="632"/>
      <c r="C24" s="204" t="s">
        <v>247</v>
      </c>
      <c r="D24" s="611"/>
      <c r="E24" s="624"/>
      <c r="F24" s="612"/>
      <c r="G24" s="200"/>
      <c r="H24" s="202"/>
      <c r="I24" s="203"/>
      <c r="J24" s="200"/>
      <c r="K24" s="611"/>
      <c r="L24" s="612"/>
      <c r="M24" s="99"/>
      <c r="O24" s="199"/>
      <c r="P24" s="440"/>
      <c r="Q24" s="440"/>
      <c r="R24" s="199"/>
    </row>
    <row r="25" spans="1:18" ht="15.75" customHeight="1">
      <c r="A25" s="629"/>
      <c r="B25" s="632"/>
      <c r="C25" s="204" t="s">
        <v>248</v>
      </c>
      <c r="D25" s="611"/>
      <c r="E25" s="624"/>
      <c r="F25" s="612"/>
      <c r="G25" s="200"/>
      <c r="H25" s="202"/>
      <c r="I25" s="203"/>
      <c r="J25" s="200"/>
      <c r="K25" s="611"/>
      <c r="L25" s="612"/>
      <c r="M25" s="99"/>
      <c r="O25" s="199"/>
      <c r="P25" s="440"/>
      <c r="Q25" s="440"/>
      <c r="R25" s="199"/>
    </row>
    <row r="26" spans="1:18" ht="15.75" customHeight="1">
      <c r="A26" s="629"/>
      <c r="B26" s="632"/>
      <c r="C26" s="204" t="s">
        <v>249</v>
      </c>
      <c r="D26" s="611"/>
      <c r="E26" s="624"/>
      <c r="F26" s="612"/>
      <c r="G26" s="200"/>
      <c r="H26" s="202"/>
      <c r="I26" s="203"/>
      <c r="J26" s="200"/>
      <c r="K26" s="611"/>
      <c r="L26" s="612"/>
      <c r="M26" s="99"/>
      <c r="O26" s="199"/>
      <c r="P26" s="440"/>
      <c r="Q26" s="440"/>
      <c r="R26" s="199"/>
    </row>
    <row r="27" spans="1:18" ht="15.75" customHeight="1">
      <c r="A27" s="629"/>
      <c r="B27" s="632"/>
      <c r="C27" s="204" t="s">
        <v>250</v>
      </c>
      <c r="D27" s="611"/>
      <c r="E27" s="624"/>
      <c r="F27" s="612"/>
      <c r="G27" s="200"/>
      <c r="H27" s="202"/>
      <c r="I27" s="203"/>
      <c r="J27" s="200"/>
      <c r="K27" s="611"/>
      <c r="L27" s="612"/>
      <c r="M27" s="99"/>
      <c r="O27" s="199"/>
      <c r="P27" s="440"/>
      <c r="Q27" s="440"/>
      <c r="R27" s="199"/>
    </row>
    <row r="28" spans="1:18" ht="15.75" customHeight="1">
      <c r="A28" s="630"/>
      <c r="B28" s="633"/>
      <c r="C28" s="204" t="s">
        <v>251</v>
      </c>
      <c r="D28" s="611"/>
      <c r="E28" s="624"/>
      <c r="F28" s="612"/>
      <c r="G28" s="200"/>
      <c r="H28" s="202"/>
      <c r="I28" s="203"/>
      <c r="J28" s="200"/>
      <c r="K28" s="611"/>
      <c r="L28" s="612"/>
      <c r="M28" s="99"/>
      <c r="O28" s="199"/>
      <c r="P28" s="440"/>
      <c r="Q28" s="440"/>
      <c r="R28" s="199"/>
    </row>
    <row r="29" spans="1:18" s="189" customFormat="1" ht="15.75" customHeight="1">
      <c r="A29" s="618" t="s">
        <v>254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</row>
    <row r="30" spans="1:18" s="190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8" s="106" customFormat="1" ht="16.350000000000001" customHeight="1">
      <c r="A31" s="628" t="s">
        <v>128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</row>
    <row r="32" spans="1:18" ht="16.350000000000001" customHeight="1">
      <c r="A32" s="630"/>
      <c r="B32" s="195" t="s">
        <v>230</v>
      </c>
      <c r="C32" s="195" t="s">
        <v>231</v>
      </c>
      <c r="D32" s="195" t="s">
        <v>232</v>
      </c>
      <c r="E32" s="195" t="s">
        <v>233</v>
      </c>
      <c r="F32" s="195" t="s">
        <v>265</v>
      </c>
      <c r="G32" s="196" t="s">
        <v>234</v>
      </c>
      <c r="H32" s="194" t="s">
        <v>235</v>
      </c>
      <c r="I32" s="209" t="s">
        <v>236</v>
      </c>
      <c r="J32" s="196" t="s">
        <v>237</v>
      </c>
      <c r="K32" s="198"/>
      <c r="L32" s="198"/>
      <c r="N32" s="99"/>
      <c r="O32" s="99"/>
      <c r="P32" s="99"/>
      <c r="Q32" s="99"/>
      <c r="R32" s="99"/>
    </row>
    <row r="33" spans="1:18" s="106" customFormat="1" ht="15.75" customHeight="1">
      <c r="A33" s="634" t="s">
        <v>56</v>
      </c>
      <c r="B33" s="635"/>
      <c r="C33" s="160" t="s">
        <v>238</v>
      </c>
      <c r="D33" s="634" t="s">
        <v>239</v>
      </c>
      <c r="E33" s="636"/>
      <c r="F33" s="635"/>
      <c r="G33" s="160" t="s">
        <v>240</v>
      </c>
      <c r="H33" s="160" t="s">
        <v>241</v>
      </c>
      <c r="I33" s="160" t="s">
        <v>242</v>
      </c>
      <c r="J33" s="160" t="s">
        <v>243</v>
      </c>
      <c r="K33" s="634" t="s">
        <v>244</v>
      </c>
      <c r="L33" s="635"/>
      <c r="M33" s="127"/>
    </row>
    <row r="34" spans="1:18" ht="15.75" customHeight="1">
      <c r="A34" s="628">
        <v>7</v>
      </c>
      <c r="B34" s="631" t="s">
        <v>266</v>
      </c>
      <c r="C34" s="200">
        <v>1</v>
      </c>
      <c r="D34" s="637" t="s">
        <v>219</v>
      </c>
      <c r="E34" s="610"/>
      <c r="F34" s="610"/>
      <c r="G34" s="200">
        <v>22</v>
      </c>
      <c r="H34" s="202">
        <v>1604.433913674126</v>
      </c>
      <c r="I34" s="203">
        <v>72.928814257914809</v>
      </c>
      <c r="J34" s="381">
        <f>I34-I8</f>
        <v>1.7153396906024909E-2</v>
      </c>
      <c r="K34" s="611" t="s">
        <v>246</v>
      </c>
      <c r="L34" s="612"/>
      <c r="N34" s="99"/>
      <c r="O34" s="99"/>
      <c r="P34" s="99"/>
      <c r="Q34" s="99"/>
      <c r="R34" s="99"/>
    </row>
    <row r="35" spans="1:18" ht="15.75" customHeight="1">
      <c r="A35" s="629"/>
      <c r="B35" s="632"/>
      <c r="C35" s="200">
        <v>2</v>
      </c>
      <c r="D35" s="637"/>
      <c r="E35" s="610"/>
      <c r="F35" s="610"/>
      <c r="G35" s="200"/>
      <c r="H35" s="202"/>
      <c r="I35" s="203"/>
      <c r="J35" s="381"/>
      <c r="K35" s="617"/>
      <c r="L35" s="610"/>
      <c r="N35" s="99"/>
      <c r="O35" s="99"/>
      <c r="P35" s="99"/>
      <c r="Q35" s="99"/>
      <c r="R35" s="99"/>
    </row>
    <row r="36" spans="1:18" ht="15.75" customHeight="1">
      <c r="A36" s="629"/>
      <c r="B36" s="632"/>
      <c r="C36" s="200">
        <v>3</v>
      </c>
      <c r="D36" s="611"/>
      <c r="E36" s="624"/>
      <c r="F36" s="612"/>
      <c r="G36" s="200"/>
      <c r="H36" s="202"/>
      <c r="I36" s="203"/>
      <c r="J36" s="200"/>
      <c r="K36" s="611"/>
      <c r="L36" s="612"/>
      <c r="N36" s="99"/>
      <c r="O36" s="99"/>
      <c r="P36" s="99"/>
      <c r="Q36" s="99"/>
      <c r="R36" s="99"/>
    </row>
    <row r="37" spans="1:18" ht="15.75" customHeight="1">
      <c r="A37" s="629"/>
      <c r="B37" s="632"/>
      <c r="C37" s="200">
        <v>4</v>
      </c>
      <c r="D37" s="611"/>
      <c r="E37" s="624"/>
      <c r="F37" s="612"/>
      <c r="G37" s="200"/>
      <c r="H37" s="202"/>
      <c r="I37" s="203"/>
      <c r="J37" s="200"/>
      <c r="K37" s="611"/>
      <c r="L37" s="612"/>
      <c r="N37" s="99"/>
      <c r="O37" s="99"/>
      <c r="P37" s="99"/>
      <c r="Q37" s="99"/>
      <c r="R37" s="99"/>
    </row>
    <row r="38" spans="1:18" ht="15.75" customHeight="1">
      <c r="A38" s="629"/>
      <c r="B38" s="632"/>
      <c r="C38" s="200">
        <v>5</v>
      </c>
      <c r="D38" s="611"/>
      <c r="E38" s="624"/>
      <c r="F38" s="612"/>
      <c r="G38" s="200"/>
      <c r="H38" s="202"/>
      <c r="I38" s="203"/>
      <c r="J38" s="200"/>
      <c r="K38" s="611"/>
      <c r="L38" s="612"/>
      <c r="N38" s="99"/>
      <c r="O38" s="99"/>
      <c r="P38" s="99"/>
      <c r="Q38" s="99"/>
      <c r="R38" s="99"/>
    </row>
    <row r="39" spans="1:18" ht="15.75" customHeight="1">
      <c r="A39" s="629"/>
      <c r="B39" s="632"/>
      <c r="C39" s="204" t="s">
        <v>247</v>
      </c>
      <c r="D39" s="611"/>
      <c r="E39" s="624"/>
      <c r="F39" s="612"/>
      <c r="G39" s="200"/>
      <c r="H39" s="202"/>
      <c r="I39" s="203"/>
      <c r="J39" s="200"/>
      <c r="K39" s="611"/>
      <c r="L39" s="612"/>
      <c r="N39" s="99"/>
      <c r="O39" s="99"/>
      <c r="P39" s="99"/>
      <c r="Q39" s="99"/>
      <c r="R39" s="99"/>
    </row>
    <row r="40" spans="1:18" ht="15.75" customHeight="1">
      <c r="A40" s="629"/>
      <c r="B40" s="632"/>
      <c r="C40" s="204" t="s">
        <v>248</v>
      </c>
      <c r="D40" s="611"/>
      <c r="E40" s="624"/>
      <c r="F40" s="612"/>
      <c r="G40" s="200"/>
      <c r="H40" s="202"/>
      <c r="I40" s="203"/>
      <c r="J40" s="200"/>
      <c r="K40" s="611"/>
      <c r="L40" s="612"/>
      <c r="N40" s="99"/>
      <c r="O40" s="99"/>
      <c r="P40" s="99"/>
      <c r="Q40" s="99"/>
      <c r="R40" s="99"/>
    </row>
    <row r="41" spans="1:18" ht="15.75" customHeight="1">
      <c r="A41" s="629"/>
      <c r="B41" s="632"/>
      <c r="C41" s="204" t="s">
        <v>249</v>
      </c>
      <c r="D41" s="611"/>
      <c r="E41" s="624"/>
      <c r="F41" s="612"/>
      <c r="G41" s="200"/>
      <c r="H41" s="202"/>
      <c r="I41" s="203"/>
      <c r="J41" s="200"/>
      <c r="K41" s="611"/>
      <c r="L41" s="612"/>
      <c r="N41" s="99"/>
      <c r="O41" s="99"/>
      <c r="P41" s="99"/>
      <c r="Q41" s="99"/>
      <c r="R41" s="99"/>
    </row>
    <row r="42" spans="1:18" ht="15.75" customHeight="1">
      <c r="A42" s="629"/>
      <c r="B42" s="632"/>
      <c r="C42" s="204" t="s">
        <v>250</v>
      </c>
      <c r="D42" s="611"/>
      <c r="E42" s="624"/>
      <c r="F42" s="612"/>
      <c r="G42" s="200"/>
      <c r="H42" s="202"/>
      <c r="I42" s="203"/>
      <c r="J42" s="200"/>
      <c r="K42" s="611"/>
      <c r="L42" s="612"/>
      <c r="M42" s="99"/>
      <c r="N42" s="99"/>
      <c r="O42" s="99"/>
      <c r="P42" s="99"/>
      <c r="Q42" s="99"/>
      <c r="R42" s="99"/>
    </row>
    <row r="43" spans="1:18" ht="15.75" customHeight="1">
      <c r="A43" s="630"/>
      <c r="B43" s="633"/>
      <c r="C43" s="204" t="s">
        <v>251</v>
      </c>
      <c r="D43" s="611"/>
      <c r="E43" s="624"/>
      <c r="F43" s="612"/>
      <c r="G43" s="200"/>
      <c r="H43" s="202"/>
      <c r="I43" s="203"/>
      <c r="J43" s="200"/>
      <c r="K43" s="611"/>
      <c r="L43" s="612"/>
      <c r="M43" s="99"/>
      <c r="N43" s="99"/>
      <c r="O43" s="99"/>
      <c r="P43" s="99"/>
      <c r="Q43" s="99"/>
      <c r="R43" s="99"/>
    </row>
    <row r="44" spans="1:18" s="104" customFormat="1" ht="15.75" customHeight="1">
      <c r="A44" s="625" t="s">
        <v>56</v>
      </c>
      <c r="B44" s="626"/>
      <c r="C44" s="207" t="s">
        <v>238</v>
      </c>
      <c r="D44" s="625" t="s">
        <v>239</v>
      </c>
      <c r="E44" s="627"/>
      <c r="F44" s="626"/>
      <c r="G44" s="207" t="s">
        <v>240</v>
      </c>
      <c r="H44" s="207" t="s">
        <v>241</v>
      </c>
      <c r="I44" s="207" t="s">
        <v>242</v>
      </c>
      <c r="J44" s="160" t="s">
        <v>243</v>
      </c>
      <c r="K44" s="625" t="s">
        <v>244</v>
      </c>
      <c r="L44" s="626"/>
      <c r="M44" s="128"/>
    </row>
    <row r="45" spans="1:18" ht="15.75" customHeight="1">
      <c r="A45" s="628">
        <v>8</v>
      </c>
      <c r="B45" s="631" t="s">
        <v>267</v>
      </c>
      <c r="C45" s="200">
        <v>1</v>
      </c>
      <c r="D45" s="611" t="s">
        <v>223</v>
      </c>
      <c r="E45" s="624"/>
      <c r="F45" s="612"/>
      <c r="G45" s="200">
        <v>19</v>
      </c>
      <c r="H45" s="202">
        <v>3211.5888442200444</v>
      </c>
      <c r="I45" s="203">
        <v>169.03099180105497</v>
      </c>
      <c r="J45" s="381">
        <f>I45-I19</f>
        <v>0.26333293644529476</v>
      </c>
      <c r="K45" s="611" t="s">
        <v>246</v>
      </c>
      <c r="L45" s="612"/>
      <c r="M45" s="99"/>
      <c r="N45" s="99"/>
      <c r="O45" s="99"/>
      <c r="P45" s="99"/>
      <c r="Q45" s="99"/>
      <c r="R45" s="99"/>
    </row>
    <row r="46" spans="1:18" ht="15.75" customHeight="1">
      <c r="A46" s="629"/>
      <c r="B46" s="632"/>
      <c r="C46" s="200">
        <v>2</v>
      </c>
      <c r="D46" s="611" t="s">
        <v>222</v>
      </c>
      <c r="E46" s="624"/>
      <c r="F46" s="612"/>
      <c r="G46" s="200">
        <v>18</v>
      </c>
      <c r="H46" s="202">
        <v>1605.1588078405396</v>
      </c>
      <c r="I46" s="203">
        <v>89.175489324474412</v>
      </c>
      <c r="J46" s="381">
        <f>I46-I20</f>
        <v>-6.5391373602210479E-3</v>
      </c>
      <c r="K46" s="611" t="s">
        <v>246</v>
      </c>
      <c r="L46" s="612"/>
      <c r="M46" s="99"/>
      <c r="N46" s="99"/>
      <c r="O46" s="99"/>
      <c r="P46" s="99"/>
      <c r="Q46" s="99"/>
      <c r="R46" s="99"/>
    </row>
    <row r="47" spans="1:18" ht="15.75" customHeight="1">
      <c r="A47" s="629"/>
      <c r="B47" s="632"/>
      <c r="C47" s="200">
        <v>3</v>
      </c>
      <c r="D47" s="611" t="s">
        <v>221</v>
      </c>
      <c r="E47" s="624"/>
      <c r="F47" s="612"/>
      <c r="G47" s="200">
        <v>19</v>
      </c>
      <c r="H47" s="202">
        <v>1605.8817231871387</v>
      </c>
      <c r="I47" s="203">
        <v>84.520090694059945</v>
      </c>
      <c r="J47" s="381">
        <f>I47-I21</f>
        <v>-9.4477897174556347E-3</v>
      </c>
      <c r="K47" s="611" t="s">
        <v>246</v>
      </c>
      <c r="L47" s="612"/>
      <c r="M47" s="99"/>
      <c r="N47" s="99"/>
      <c r="O47" s="99"/>
      <c r="P47" s="99"/>
      <c r="Q47" s="99"/>
      <c r="R47" s="99"/>
    </row>
    <row r="48" spans="1:18" ht="15.75" customHeight="1">
      <c r="A48" s="629"/>
      <c r="B48" s="632"/>
      <c r="C48" s="200">
        <v>4</v>
      </c>
      <c r="D48" s="611" t="s">
        <v>224</v>
      </c>
      <c r="E48" s="624"/>
      <c r="F48" s="612"/>
      <c r="G48" s="200">
        <v>19</v>
      </c>
      <c r="H48" s="202">
        <v>1604.8852596003271</v>
      </c>
      <c r="I48" s="203">
        <v>84.467645242122472</v>
      </c>
      <c r="J48" s="381">
        <f>I48-I22</f>
        <v>5.7393650261474249E-2</v>
      </c>
      <c r="K48" s="611" t="s">
        <v>246</v>
      </c>
      <c r="L48" s="612"/>
      <c r="M48" s="99"/>
      <c r="N48" s="99"/>
      <c r="O48" s="99"/>
      <c r="P48" s="99"/>
      <c r="Q48" s="99"/>
      <c r="R48" s="99"/>
    </row>
    <row r="49" spans="1:18" ht="15.75" customHeight="1">
      <c r="A49" s="629"/>
      <c r="B49" s="632"/>
      <c r="C49" s="200">
        <v>5</v>
      </c>
      <c r="D49" s="611"/>
      <c r="E49" s="624"/>
      <c r="F49" s="612"/>
      <c r="G49" s="200"/>
      <c r="H49" s="202"/>
      <c r="I49" s="203"/>
      <c r="J49" s="200"/>
      <c r="K49" s="611"/>
      <c r="L49" s="612"/>
      <c r="M49" s="99"/>
      <c r="N49" s="99"/>
      <c r="O49" s="99"/>
      <c r="P49" s="99"/>
      <c r="Q49" s="99"/>
      <c r="R49" s="99"/>
    </row>
    <row r="50" spans="1:18" ht="15.75" customHeight="1">
      <c r="A50" s="629"/>
      <c r="B50" s="632"/>
      <c r="C50" s="204" t="s">
        <v>247</v>
      </c>
      <c r="D50" s="611"/>
      <c r="E50" s="624"/>
      <c r="F50" s="612"/>
      <c r="G50" s="200"/>
      <c r="H50" s="202"/>
      <c r="I50" s="203"/>
      <c r="J50" s="200"/>
      <c r="K50" s="611"/>
      <c r="L50" s="612"/>
      <c r="M50" s="99"/>
      <c r="N50" s="99"/>
      <c r="O50" s="99"/>
      <c r="P50" s="99"/>
      <c r="Q50" s="99"/>
      <c r="R50" s="99"/>
    </row>
    <row r="51" spans="1:18" ht="15.75" customHeight="1">
      <c r="A51" s="629"/>
      <c r="B51" s="632"/>
      <c r="C51" s="204" t="s">
        <v>248</v>
      </c>
      <c r="D51" s="611"/>
      <c r="E51" s="624"/>
      <c r="F51" s="612"/>
      <c r="G51" s="200"/>
      <c r="H51" s="202"/>
      <c r="I51" s="203"/>
      <c r="J51" s="200"/>
      <c r="K51" s="611"/>
      <c r="L51" s="612"/>
      <c r="M51" s="99"/>
      <c r="N51" s="99"/>
      <c r="O51" s="99"/>
      <c r="P51" s="99"/>
      <c r="Q51" s="99"/>
      <c r="R51" s="99"/>
    </row>
    <row r="52" spans="1:18" ht="15.75" customHeight="1">
      <c r="A52" s="629"/>
      <c r="B52" s="632"/>
      <c r="C52" s="204" t="s">
        <v>249</v>
      </c>
      <c r="D52" s="611"/>
      <c r="E52" s="624"/>
      <c r="F52" s="612"/>
      <c r="G52" s="200"/>
      <c r="H52" s="202"/>
      <c r="I52" s="203"/>
      <c r="J52" s="200"/>
      <c r="K52" s="611"/>
      <c r="L52" s="612"/>
      <c r="M52" s="99"/>
      <c r="N52" s="99"/>
      <c r="O52" s="99"/>
      <c r="P52" s="99"/>
      <c r="Q52" s="99"/>
      <c r="R52" s="99"/>
    </row>
    <row r="53" spans="1:18" ht="15.75" customHeight="1">
      <c r="A53" s="629"/>
      <c r="B53" s="632"/>
      <c r="C53" s="204" t="s">
        <v>250</v>
      </c>
      <c r="D53" s="611"/>
      <c r="E53" s="624"/>
      <c r="F53" s="612"/>
      <c r="G53" s="200"/>
      <c r="H53" s="202"/>
      <c r="I53" s="203"/>
      <c r="J53" s="200"/>
      <c r="K53" s="611"/>
      <c r="L53" s="612"/>
      <c r="M53" s="99"/>
      <c r="N53" s="99"/>
      <c r="O53" s="99"/>
      <c r="P53" s="99"/>
      <c r="Q53" s="99"/>
      <c r="R53" s="99"/>
    </row>
    <row r="54" spans="1:18" ht="15.75" customHeight="1">
      <c r="A54" s="630"/>
      <c r="B54" s="633"/>
      <c r="C54" s="204" t="s">
        <v>251</v>
      </c>
      <c r="D54" s="611"/>
      <c r="E54" s="624"/>
      <c r="F54" s="612"/>
      <c r="G54" s="200"/>
      <c r="H54" s="202"/>
      <c r="I54" s="203"/>
      <c r="J54" s="200"/>
      <c r="K54" s="611"/>
      <c r="L54" s="612"/>
      <c r="M54" s="99"/>
      <c r="N54" s="99"/>
      <c r="O54" s="99"/>
      <c r="P54" s="99"/>
      <c r="Q54" s="99"/>
      <c r="R54" s="99"/>
    </row>
    <row r="55" spans="1:18" ht="15.75" customHeight="1">
      <c r="A55" s="618" t="s">
        <v>255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99"/>
    </row>
    <row r="56" spans="1:18" s="100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  <c r="N56" s="190"/>
      <c r="O56" s="190"/>
      <c r="P56" s="190"/>
      <c r="Q56" s="190"/>
      <c r="R56" s="190"/>
    </row>
    <row r="57" spans="1:18" s="106" customFormat="1" ht="16.350000000000001" customHeight="1">
      <c r="A57" s="628" t="s">
        <v>128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30"/>
      <c r="B58" s="195" t="s">
        <v>230</v>
      </c>
      <c r="C58" s="195" t="s">
        <v>231</v>
      </c>
      <c r="D58" s="195" t="s">
        <v>232</v>
      </c>
      <c r="E58" s="195" t="s">
        <v>233</v>
      </c>
      <c r="F58" s="195" t="s">
        <v>265</v>
      </c>
      <c r="G58" s="196" t="s">
        <v>234</v>
      </c>
      <c r="H58" s="194" t="s">
        <v>235</v>
      </c>
      <c r="I58" s="209" t="s">
        <v>236</v>
      </c>
      <c r="J58" s="196" t="s">
        <v>237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34" t="s">
        <v>56</v>
      </c>
      <c r="B59" s="635"/>
      <c r="C59" s="160" t="s">
        <v>238</v>
      </c>
      <c r="D59" s="634" t="s">
        <v>239</v>
      </c>
      <c r="E59" s="636"/>
      <c r="F59" s="635"/>
      <c r="G59" s="160" t="s">
        <v>240</v>
      </c>
      <c r="H59" s="160" t="s">
        <v>241</v>
      </c>
      <c r="I59" s="160" t="s">
        <v>242</v>
      </c>
      <c r="J59" s="160" t="s">
        <v>243</v>
      </c>
      <c r="K59" s="634" t="s">
        <v>244</v>
      </c>
      <c r="L59" s="635"/>
      <c r="M59" s="127"/>
      <c r="N59" s="189"/>
      <c r="O59" s="199"/>
      <c r="P59" s="440"/>
      <c r="Q59" s="440"/>
      <c r="R59" s="199"/>
    </row>
    <row r="60" spans="1:18" ht="15.75" customHeight="1">
      <c r="A60" s="628">
        <v>7</v>
      </c>
      <c r="B60" s="631" t="s">
        <v>266</v>
      </c>
      <c r="C60" s="200">
        <v>1</v>
      </c>
      <c r="D60" s="637" t="s">
        <v>219</v>
      </c>
      <c r="E60" s="610"/>
      <c r="F60" s="610"/>
      <c r="G60" s="200">
        <v>22</v>
      </c>
      <c r="H60" s="202">
        <v>1605.3650155351588</v>
      </c>
      <c r="I60" s="203">
        <v>72.971137069779957</v>
      </c>
      <c r="J60" s="381">
        <f>I60-I34</f>
        <v>4.2322811865147969E-2</v>
      </c>
      <c r="K60" s="611" t="s">
        <v>246</v>
      </c>
      <c r="L60" s="612"/>
      <c r="O60" s="199"/>
      <c r="P60" s="440"/>
      <c r="Q60" s="440"/>
      <c r="R60" s="199"/>
    </row>
    <row r="61" spans="1:18" ht="15.75" customHeight="1">
      <c r="A61" s="629"/>
      <c r="B61" s="632"/>
      <c r="C61" s="200">
        <v>2</v>
      </c>
      <c r="D61" s="637"/>
      <c r="E61" s="610"/>
      <c r="F61" s="610"/>
      <c r="G61" s="200"/>
      <c r="H61" s="202"/>
      <c r="I61" s="203"/>
      <c r="J61" s="200"/>
      <c r="K61" s="611"/>
      <c r="L61" s="612"/>
      <c r="O61" s="199"/>
      <c r="P61" s="440"/>
      <c r="Q61" s="440"/>
      <c r="R61" s="199"/>
    </row>
    <row r="62" spans="1:18" ht="15.75" customHeight="1">
      <c r="A62" s="629"/>
      <c r="B62" s="632"/>
      <c r="C62" s="200">
        <v>3</v>
      </c>
      <c r="D62" s="611"/>
      <c r="E62" s="624"/>
      <c r="F62" s="612"/>
      <c r="G62" s="200"/>
      <c r="H62" s="202"/>
      <c r="I62" s="203"/>
      <c r="J62" s="200"/>
      <c r="K62" s="611"/>
      <c r="L62" s="612"/>
      <c r="N62" s="443"/>
      <c r="O62" s="199"/>
      <c r="P62" s="440"/>
      <c r="Q62" s="440"/>
      <c r="R62" s="199"/>
    </row>
    <row r="63" spans="1:18" ht="15.75" customHeight="1">
      <c r="A63" s="629"/>
      <c r="B63" s="632"/>
      <c r="C63" s="200">
        <v>4</v>
      </c>
      <c r="D63" s="611"/>
      <c r="E63" s="624"/>
      <c r="F63" s="612"/>
      <c r="G63" s="200"/>
      <c r="H63" s="202"/>
      <c r="I63" s="203"/>
      <c r="J63" s="200"/>
      <c r="K63" s="611"/>
      <c r="L63" s="612"/>
      <c r="O63" s="199"/>
      <c r="P63" s="440"/>
      <c r="Q63" s="440"/>
      <c r="R63" s="199"/>
    </row>
    <row r="64" spans="1:18" ht="15.75" customHeight="1">
      <c r="A64" s="629"/>
      <c r="B64" s="632"/>
      <c r="C64" s="200">
        <v>5</v>
      </c>
      <c r="D64" s="611"/>
      <c r="E64" s="624"/>
      <c r="F64" s="612"/>
      <c r="G64" s="200"/>
      <c r="H64" s="202"/>
      <c r="I64" s="203"/>
      <c r="J64" s="200"/>
      <c r="K64" s="611"/>
      <c r="L64" s="612"/>
      <c r="N64" s="178"/>
      <c r="O64" s="199"/>
      <c r="P64" s="440"/>
      <c r="Q64" s="440"/>
      <c r="R64" s="199"/>
    </row>
    <row r="65" spans="1:18" ht="15.75" customHeight="1">
      <c r="A65" s="629"/>
      <c r="B65" s="632"/>
      <c r="C65" s="204" t="s">
        <v>247</v>
      </c>
      <c r="D65" s="611"/>
      <c r="E65" s="624"/>
      <c r="F65" s="612"/>
      <c r="G65" s="200"/>
      <c r="H65" s="202"/>
      <c r="I65" s="203"/>
      <c r="J65" s="200"/>
      <c r="K65" s="611"/>
      <c r="L65" s="612"/>
      <c r="N65" s="443"/>
      <c r="O65" s="199"/>
      <c r="P65" s="440"/>
      <c r="Q65" s="440"/>
      <c r="R65" s="199"/>
    </row>
    <row r="66" spans="1:18" ht="15.75" customHeight="1">
      <c r="A66" s="629"/>
      <c r="B66" s="632"/>
      <c r="C66" s="204" t="s">
        <v>248</v>
      </c>
      <c r="D66" s="611"/>
      <c r="E66" s="624"/>
      <c r="F66" s="612"/>
      <c r="G66" s="200"/>
      <c r="H66" s="202"/>
      <c r="I66" s="203"/>
      <c r="J66" s="200"/>
      <c r="K66" s="611"/>
      <c r="L66" s="612"/>
      <c r="O66" s="199"/>
      <c r="P66" s="440"/>
      <c r="Q66" s="440"/>
      <c r="R66" s="199"/>
    </row>
    <row r="67" spans="1:18" ht="15.75" customHeight="1">
      <c r="A67" s="629"/>
      <c r="B67" s="632"/>
      <c r="C67" s="204" t="s">
        <v>249</v>
      </c>
      <c r="D67" s="611"/>
      <c r="E67" s="624"/>
      <c r="F67" s="612"/>
      <c r="G67" s="200"/>
      <c r="H67" s="202"/>
      <c r="I67" s="203"/>
      <c r="J67" s="200"/>
      <c r="K67" s="611"/>
      <c r="L67" s="612"/>
      <c r="O67" s="199"/>
      <c r="P67" s="440"/>
      <c r="Q67" s="440"/>
      <c r="R67" s="199"/>
    </row>
    <row r="68" spans="1:18" ht="15.75" customHeight="1">
      <c r="A68" s="629"/>
      <c r="B68" s="632"/>
      <c r="C68" s="204" t="s">
        <v>250</v>
      </c>
      <c r="D68" s="611"/>
      <c r="E68" s="624"/>
      <c r="F68" s="612"/>
      <c r="G68" s="200"/>
      <c r="H68" s="202"/>
      <c r="I68" s="203"/>
      <c r="J68" s="200"/>
      <c r="K68" s="611"/>
      <c r="L68" s="612"/>
      <c r="M68" s="99"/>
      <c r="O68" s="199"/>
      <c r="P68" s="440"/>
      <c r="Q68" s="440"/>
      <c r="R68" s="199"/>
    </row>
    <row r="69" spans="1:18" ht="15.75" customHeight="1">
      <c r="A69" s="630"/>
      <c r="B69" s="633"/>
      <c r="C69" s="204" t="s">
        <v>251</v>
      </c>
      <c r="D69" s="611"/>
      <c r="E69" s="624"/>
      <c r="F69" s="612"/>
      <c r="G69" s="200"/>
      <c r="H69" s="202"/>
      <c r="I69" s="203"/>
      <c r="J69" s="200"/>
      <c r="K69" s="611"/>
      <c r="L69" s="612"/>
      <c r="M69" s="99"/>
      <c r="N69" s="199"/>
      <c r="O69" s="199"/>
      <c r="P69" s="440"/>
      <c r="Q69" s="440"/>
      <c r="R69" s="199"/>
    </row>
    <row r="70" spans="1:18" s="104" customFormat="1" ht="15.75" customHeight="1">
      <c r="A70" s="625" t="s">
        <v>56</v>
      </c>
      <c r="B70" s="626"/>
      <c r="C70" s="207" t="s">
        <v>238</v>
      </c>
      <c r="D70" s="625" t="s">
        <v>239</v>
      </c>
      <c r="E70" s="627"/>
      <c r="F70" s="626"/>
      <c r="G70" s="207" t="s">
        <v>240</v>
      </c>
      <c r="H70" s="207" t="s">
        <v>241</v>
      </c>
      <c r="I70" s="207" t="s">
        <v>242</v>
      </c>
      <c r="J70" s="160" t="s">
        <v>243</v>
      </c>
      <c r="K70" s="625" t="s">
        <v>244</v>
      </c>
      <c r="L70" s="626"/>
      <c r="M70" s="128"/>
      <c r="N70" s="189"/>
      <c r="O70" s="199"/>
      <c r="P70" s="440"/>
      <c r="Q70" s="440"/>
      <c r="R70" s="199"/>
    </row>
    <row r="71" spans="1:18" ht="15.75" customHeight="1">
      <c r="A71" s="628">
        <v>8</v>
      </c>
      <c r="B71" s="631" t="s">
        <v>267</v>
      </c>
      <c r="C71" s="200">
        <v>1</v>
      </c>
      <c r="D71" s="611" t="s">
        <v>223</v>
      </c>
      <c r="E71" s="624"/>
      <c r="F71" s="612"/>
      <c r="G71" s="200">
        <v>19</v>
      </c>
      <c r="H71" s="202">
        <v>3212.2178516285662</v>
      </c>
      <c r="I71" s="203">
        <v>169.06409745413507</v>
      </c>
      <c r="J71" s="381">
        <f>I71-I45</f>
        <v>3.3105653080099273E-2</v>
      </c>
      <c r="K71" s="611" t="s">
        <v>246</v>
      </c>
      <c r="L71" s="612"/>
      <c r="M71" s="99"/>
      <c r="O71" s="199"/>
      <c r="P71" s="440"/>
      <c r="Q71" s="440"/>
      <c r="R71" s="199"/>
    </row>
    <row r="72" spans="1:18" ht="15.75" customHeight="1">
      <c r="A72" s="629"/>
      <c r="B72" s="632"/>
      <c r="C72" s="200">
        <v>2</v>
      </c>
      <c r="D72" s="611" t="s">
        <v>221</v>
      </c>
      <c r="E72" s="624"/>
      <c r="F72" s="612"/>
      <c r="G72" s="200">
        <v>19</v>
      </c>
      <c r="H72" s="202">
        <v>1606.1434240755257</v>
      </c>
      <c r="I72" s="203">
        <v>84.533864425027673</v>
      </c>
      <c r="J72" s="381">
        <f>I72-I47</f>
        <v>1.3773730967727715E-2</v>
      </c>
      <c r="K72" s="611" t="s">
        <v>246</v>
      </c>
      <c r="L72" s="612"/>
      <c r="M72" s="99"/>
      <c r="O72" s="178"/>
      <c r="P72" s="439"/>
      <c r="Q72" s="439"/>
      <c r="R72" s="178"/>
    </row>
    <row r="73" spans="1:18" ht="15.75" customHeight="1">
      <c r="A73" s="629"/>
      <c r="B73" s="632"/>
      <c r="C73" s="200">
        <v>3</v>
      </c>
      <c r="D73" s="611" t="s">
        <v>224</v>
      </c>
      <c r="E73" s="624"/>
      <c r="F73" s="612"/>
      <c r="G73" s="200">
        <v>19</v>
      </c>
      <c r="H73" s="202">
        <v>1605.8287831010834</v>
      </c>
      <c r="I73" s="203">
        <v>84.51730437374124</v>
      </c>
      <c r="J73" s="381">
        <f>I73-I48</f>
        <v>4.965913161876756E-2</v>
      </c>
      <c r="K73" s="611" t="s">
        <v>246</v>
      </c>
      <c r="L73" s="612"/>
      <c r="M73" s="99"/>
      <c r="O73" s="199"/>
      <c r="P73" s="440"/>
      <c r="Q73" s="440"/>
      <c r="R73" s="199"/>
    </row>
    <row r="74" spans="1:18" ht="15.75" customHeight="1">
      <c r="A74" s="629"/>
      <c r="B74" s="632"/>
      <c r="C74" s="200">
        <v>4</v>
      </c>
      <c r="D74" s="611"/>
      <c r="E74" s="624"/>
      <c r="F74" s="612"/>
      <c r="G74" s="200"/>
      <c r="H74" s="202"/>
      <c r="I74" s="203"/>
      <c r="J74" s="200"/>
      <c r="K74" s="611"/>
      <c r="L74" s="612"/>
      <c r="M74" s="99"/>
      <c r="O74" s="199"/>
      <c r="P74" s="440"/>
      <c r="Q74" s="440"/>
      <c r="R74" s="199"/>
    </row>
    <row r="75" spans="1:18" ht="15.75" customHeight="1">
      <c r="A75" s="629"/>
      <c r="B75" s="632"/>
      <c r="C75" s="200">
        <v>5</v>
      </c>
      <c r="D75" s="611"/>
      <c r="E75" s="624"/>
      <c r="F75" s="612"/>
      <c r="G75" s="200"/>
      <c r="H75" s="202"/>
      <c r="I75" s="203"/>
      <c r="J75" s="200"/>
      <c r="K75" s="611"/>
      <c r="L75" s="612"/>
      <c r="M75" s="99"/>
      <c r="O75" s="199"/>
      <c r="P75" s="440"/>
      <c r="Q75" s="440"/>
      <c r="R75" s="199"/>
    </row>
    <row r="76" spans="1:18" ht="15.75" customHeight="1">
      <c r="A76" s="629"/>
      <c r="B76" s="632"/>
      <c r="C76" s="204" t="s">
        <v>247</v>
      </c>
      <c r="D76" s="611"/>
      <c r="E76" s="624"/>
      <c r="F76" s="612"/>
      <c r="G76" s="200"/>
      <c r="H76" s="202"/>
      <c r="I76" s="203"/>
      <c r="J76" s="200"/>
      <c r="K76" s="611"/>
      <c r="L76" s="612"/>
      <c r="M76" s="99"/>
      <c r="O76" s="199"/>
      <c r="P76" s="440"/>
      <c r="Q76" s="440"/>
      <c r="R76" s="199"/>
    </row>
    <row r="77" spans="1:18" ht="15.75" customHeight="1">
      <c r="A77" s="629"/>
      <c r="B77" s="632"/>
      <c r="C77" s="204" t="s">
        <v>248</v>
      </c>
      <c r="D77" s="611"/>
      <c r="E77" s="624"/>
      <c r="F77" s="612"/>
      <c r="G77" s="200"/>
      <c r="H77" s="202"/>
      <c r="I77" s="203"/>
      <c r="J77" s="200"/>
      <c r="K77" s="611"/>
      <c r="L77" s="612"/>
      <c r="M77" s="99"/>
      <c r="O77" s="199"/>
      <c r="P77" s="440"/>
      <c r="Q77" s="440"/>
      <c r="R77" s="199"/>
    </row>
    <row r="78" spans="1:18" ht="15.75" customHeight="1">
      <c r="A78" s="629"/>
      <c r="B78" s="632"/>
      <c r="C78" s="204" t="s">
        <v>249</v>
      </c>
      <c r="D78" s="611"/>
      <c r="E78" s="624"/>
      <c r="F78" s="612"/>
      <c r="G78" s="200"/>
      <c r="H78" s="202"/>
      <c r="I78" s="203"/>
      <c r="J78" s="200"/>
      <c r="K78" s="611"/>
      <c r="L78" s="612"/>
      <c r="M78" s="99"/>
      <c r="O78" s="199"/>
      <c r="P78" s="440"/>
      <c r="Q78" s="440"/>
      <c r="R78" s="199"/>
    </row>
    <row r="79" spans="1:18" ht="15.75" customHeight="1">
      <c r="A79" s="629"/>
      <c r="B79" s="632"/>
      <c r="C79" s="204" t="s">
        <v>250</v>
      </c>
      <c r="D79" s="611"/>
      <c r="E79" s="624"/>
      <c r="F79" s="612"/>
      <c r="G79" s="200"/>
      <c r="H79" s="202"/>
      <c r="I79" s="203"/>
      <c r="J79" s="200"/>
      <c r="K79" s="611"/>
      <c r="L79" s="612"/>
      <c r="M79" s="99"/>
      <c r="O79" s="199"/>
      <c r="P79" s="440"/>
      <c r="Q79" s="440"/>
      <c r="R79" s="199"/>
    </row>
    <row r="80" spans="1:18" ht="15.75" customHeight="1">
      <c r="A80" s="630"/>
      <c r="B80" s="633"/>
      <c r="C80" s="204" t="s">
        <v>251</v>
      </c>
      <c r="D80" s="611"/>
      <c r="E80" s="624"/>
      <c r="F80" s="612"/>
      <c r="G80" s="200"/>
      <c r="H80" s="202"/>
      <c r="I80" s="203"/>
      <c r="J80" s="200"/>
      <c r="K80" s="611"/>
      <c r="L80" s="612"/>
      <c r="M80" s="99"/>
      <c r="O80" s="199"/>
      <c r="P80" s="440"/>
      <c r="Q80" s="440"/>
      <c r="R80" s="199"/>
    </row>
    <row r="81" spans="1:18" s="189" customFormat="1" ht="15.75" customHeight="1">
      <c r="A81" s="618" t="s">
        <v>256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</row>
    <row r="82" spans="1:18" s="190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8" s="106" customFormat="1" ht="16.350000000000001" customHeight="1">
      <c r="A83" s="628" t="s">
        <v>128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30"/>
      <c r="B84" s="195" t="s">
        <v>230</v>
      </c>
      <c r="C84" s="195" t="s">
        <v>231</v>
      </c>
      <c r="D84" s="195" t="s">
        <v>232</v>
      </c>
      <c r="E84" s="195" t="s">
        <v>233</v>
      </c>
      <c r="F84" s="195" t="s">
        <v>265</v>
      </c>
      <c r="G84" s="196" t="s">
        <v>234</v>
      </c>
      <c r="H84" s="194" t="s">
        <v>235</v>
      </c>
      <c r="I84" s="209" t="s">
        <v>236</v>
      </c>
      <c r="J84" s="196" t="s">
        <v>237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34" t="s">
        <v>56</v>
      </c>
      <c r="B85" s="635"/>
      <c r="C85" s="160" t="s">
        <v>238</v>
      </c>
      <c r="D85" s="634" t="s">
        <v>239</v>
      </c>
      <c r="E85" s="636"/>
      <c r="F85" s="635"/>
      <c r="G85" s="160" t="s">
        <v>240</v>
      </c>
      <c r="H85" s="160" t="s">
        <v>241</v>
      </c>
      <c r="I85" s="160" t="s">
        <v>242</v>
      </c>
      <c r="J85" s="160" t="s">
        <v>243</v>
      </c>
      <c r="K85" s="634" t="s">
        <v>244</v>
      </c>
      <c r="L85" s="635"/>
      <c r="M85" s="127"/>
      <c r="N85" s="189"/>
      <c r="O85" s="199"/>
      <c r="P85" s="440"/>
      <c r="Q85" s="440"/>
      <c r="R85" s="199"/>
    </row>
    <row r="86" spans="1:18" ht="15.75" customHeight="1">
      <c r="A86" s="628">
        <v>7</v>
      </c>
      <c r="B86" s="631" t="s">
        <v>266</v>
      </c>
      <c r="C86" s="200">
        <v>1</v>
      </c>
      <c r="D86" s="637"/>
      <c r="E86" s="610"/>
      <c r="F86" s="610"/>
      <c r="G86" s="200"/>
      <c r="H86" s="202"/>
      <c r="I86" s="203"/>
      <c r="J86" s="200"/>
      <c r="K86" s="611"/>
      <c r="L86" s="612"/>
      <c r="O86" s="199"/>
      <c r="P86" s="440"/>
      <c r="Q86" s="440"/>
      <c r="R86" s="199"/>
    </row>
    <row r="87" spans="1:18" ht="15.75" customHeight="1">
      <c r="A87" s="629"/>
      <c r="B87" s="632"/>
      <c r="C87" s="200">
        <v>2</v>
      </c>
      <c r="D87" s="637"/>
      <c r="E87" s="610"/>
      <c r="F87" s="610"/>
      <c r="G87" s="200"/>
      <c r="H87" s="202"/>
      <c r="I87" s="203"/>
      <c r="J87" s="200"/>
      <c r="K87" s="611"/>
      <c r="L87" s="612"/>
      <c r="O87" s="199"/>
      <c r="P87" s="440"/>
      <c r="Q87" s="440"/>
      <c r="R87" s="199"/>
    </row>
    <row r="88" spans="1:18" ht="15.75" customHeight="1">
      <c r="A88" s="629"/>
      <c r="B88" s="632"/>
      <c r="C88" s="200">
        <v>3</v>
      </c>
      <c r="D88" s="611"/>
      <c r="E88" s="624"/>
      <c r="F88" s="612"/>
      <c r="G88" s="200"/>
      <c r="H88" s="202"/>
      <c r="I88" s="203"/>
      <c r="J88" s="200"/>
      <c r="K88" s="611"/>
      <c r="L88" s="612"/>
      <c r="N88" s="443"/>
      <c r="O88" s="199"/>
      <c r="P88" s="440"/>
      <c r="Q88" s="440"/>
      <c r="R88" s="199"/>
    </row>
    <row r="89" spans="1:18" ht="15.75" customHeight="1">
      <c r="A89" s="629"/>
      <c r="B89" s="632"/>
      <c r="C89" s="200">
        <v>4</v>
      </c>
      <c r="D89" s="611"/>
      <c r="E89" s="624"/>
      <c r="F89" s="612"/>
      <c r="G89" s="200"/>
      <c r="H89" s="202"/>
      <c r="I89" s="203"/>
      <c r="J89" s="200"/>
      <c r="K89" s="611"/>
      <c r="L89" s="612"/>
      <c r="O89" s="199"/>
      <c r="P89" s="440"/>
      <c r="Q89" s="440"/>
      <c r="R89" s="199"/>
    </row>
    <row r="90" spans="1:18" ht="15.75" customHeight="1">
      <c r="A90" s="629"/>
      <c r="B90" s="632"/>
      <c r="C90" s="200">
        <v>5</v>
      </c>
      <c r="D90" s="611"/>
      <c r="E90" s="624"/>
      <c r="F90" s="612"/>
      <c r="G90" s="200"/>
      <c r="H90" s="202"/>
      <c r="I90" s="203"/>
      <c r="J90" s="200"/>
      <c r="K90" s="611"/>
      <c r="L90" s="612"/>
      <c r="N90" s="178"/>
      <c r="O90" s="199"/>
      <c r="P90" s="440"/>
      <c r="Q90" s="440"/>
      <c r="R90" s="199"/>
    </row>
    <row r="91" spans="1:18" ht="15.75" customHeight="1">
      <c r="A91" s="629"/>
      <c r="B91" s="632"/>
      <c r="C91" s="204" t="s">
        <v>247</v>
      </c>
      <c r="D91" s="611"/>
      <c r="E91" s="624"/>
      <c r="F91" s="612"/>
      <c r="G91" s="200"/>
      <c r="H91" s="202"/>
      <c r="I91" s="203"/>
      <c r="J91" s="200"/>
      <c r="K91" s="611"/>
      <c r="L91" s="612"/>
      <c r="N91" s="443"/>
      <c r="O91" s="199"/>
      <c r="P91" s="440"/>
      <c r="Q91" s="440"/>
      <c r="R91" s="199"/>
    </row>
    <row r="92" spans="1:18" ht="15.75" customHeight="1">
      <c r="A92" s="629"/>
      <c r="B92" s="632"/>
      <c r="C92" s="204" t="s">
        <v>248</v>
      </c>
      <c r="D92" s="611"/>
      <c r="E92" s="624"/>
      <c r="F92" s="612"/>
      <c r="G92" s="200"/>
      <c r="H92" s="202"/>
      <c r="I92" s="203"/>
      <c r="J92" s="200"/>
      <c r="K92" s="611"/>
      <c r="L92" s="612"/>
      <c r="O92" s="199"/>
      <c r="P92" s="440"/>
      <c r="Q92" s="440"/>
      <c r="R92" s="199"/>
    </row>
    <row r="93" spans="1:18" ht="15.75" customHeight="1">
      <c r="A93" s="629"/>
      <c r="B93" s="632"/>
      <c r="C93" s="204" t="s">
        <v>249</v>
      </c>
      <c r="D93" s="611"/>
      <c r="E93" s="624"/>
      <c r="F93" s="612"/>
      <c r="G93" s="200"/>
      <c r="H93" s="202"/>
      <c r="I93" s="203"/>
      <c r="J93" s="200"/>
      <c r="K93" s="611"/>
      <c r="L93" s="612"/>
      <c r="O93" s="199"/>
      <c r="P93" s="440"/>
      <c r="Q93" s="440"/>
      <c r="R93" s="199"/>
    </row>
    <row r="94" spans="1:18" ht="15.75" customHeight="1">
      <c r="A94" s="629"/>
      <c r="B94" s="632"/>
      <c r="C94" s="204" t="s">
        <v>250</v>
      </c>
      <c r="D94" s="611"/>
      <c r="E94" s="624"/>
      <c r="F94" s="612"/>
      <c r="G94" s="200"/>
      <c r="H94" s="202"/>
      <c r="I94" s="203"/>
      <c r="J94" s="200"/>
      <c r="K94" s="611"/>
      <c r="L94" s="612"/>
      <c r="M94" s="99"/>
      <c r="O94" s="199"/>
      <c r="P94" s="440"/>
      <c r="Q94" s="440"/>
      <c r="R94" s="199"/>
    </row>
    <row r="95" spans="1:18" ht="15.75" customHeight="1">
      <c r="A95" s="630"/>
      <c r="B95" s="633"/>
      <c r="C95" s="204" t="s">
        <v>251</v>
      </c>
      <c r="D95" s="611"/>
      <c r="E95" s="624"/>
      <c r="F95" s="612"/>
      <c r="G95" s="200"/>
      <c r="H95" s="202"/>
      <c r="I95" s="203"/>
      <c r="J95" s="200"/>
      <c r="K95" s="611"/>
      <c r="L95" s="612"/>
      <c r="M95" s="99"/>
      <c r="N95" s="199"/>
      <c r="O95" s="199"/>
      <c r="P95" s="440"/>
      <c r="Q95" s="440"/>
      <c r="R95" s="199"/>
    </row>
    <row r="96" spans="1:18" s="104" customFormat="1" ht="15.75" customHeight="1">
      <c r="A96" s="625" t="s">
        <v>56</v>
      </c>
      <c r="B96" s="626"/>
      <c r="C96" s="207" t="s">
        <v>238</v>
      </c>
      <c r="D96" s="625" t="s">
        <v>239</v>
      </c>
      <c r="E96" s="627"/>
      <c r="F96" s="626"/>
      <c r="G96" s="207" t="s">
        <v>240</v>
      </c>
      <c r="H96" s="207" t="s">
        <v>241</v>
      </c>
      <c r="I96" s="207" t="s">
        <v>242</v>
      </c>
      <c r="J96" s="160" t="s">
        <v>243</v>
      </c>
      <c r="K96" s="625" t="s">
        <v>244</v>
      </c>
      <c r="L96" s="626"/>
      <c r="M96" s="128"/>
      <c r="N96" s="189"/>
      <c r="O96" s="199"/>
      <c r="P96" s="440"/>
      <c r="Q96" s="440"/>
      <c r="R96" s="199"/>
    </row>
    <row r="97" spans="1:18" ht="15.75" customHeight="1">
      <c r="A97" s="628">
        <v>8</v>
      </c>
      <c r="B97" s="631" t="s">
        <v>267</v>
      </c>
      <c r="C97" s="200">
        <v>1</v>
      </c>
      <c r="D97" s="611" t="s">
        <v>221</v>
      </c>
      <c r="E97" s="624"/>
      <c r="F97" s="612"/>
      <c r="G97" s="200">
        <v>19</v>
      </c>
      <c r="H97" s="202">
        <v>1606.8324887866613</v>
      </c>
      <c r="I97" s="203">
        <v>84.570130988771638</v>
      </c>
      <c r="J97" s="381">
        <f>I97-I72</f>
        <v>3.6266563743964753E-2</v>
      </c>
      <c r="K97" s="611" t="s">
        <v>246</v>
      </c>
      <c r="L97" s="612"/>
      <c r="M97" s="99"/>
      <c r="O97" s="199"/>
      <c r="P97" s="440"/>
      <c r="Q97" s="440"/>
      <c r="R97" s="199"/>
    </row>
    <row r="98" spans="1:18" ht="15.75" customHeight="1">
      <c r="A98" s="629"/>
      <c r="B98" s="632"/>
      <c r="C98" s="200">
        <v>2</v>
      </c>
      <c r="D98" s="611" t="s">
        <v>224</v>
      </c>
      <c r="E98" s="624"/>
      <c r="F98" s="612"/>
      <c r="G98" s="200">
        <v>19</v>
      </c>
      <c r="H98" s="202">
        <v>1606.0638423812959</v>
      </c>
      <c r="I98" s="203">
        <v>84.529675914805054</v>
      </c>
      <c r="J98" s="381">
        <f>I98-I73</f>
        <v>1.2371541063814107E-2</v>
      </c>
      <c r="K98" s="611" t="s">
        <v>246</v>
      </c>
      <c r="L98" s="612"/>
      <c r="M98" s="99"/>
      <c r="O98" s="178"/>
      <c r="P98" s="439"/>
      <c r="Q98" s="439"/>
      <c r="R98" s="178"/>
    </row>
    <row r="99" spans="1:18" ht="15.75" customHeight="1">
      <c r="A99" s="629"/>
      <c r="B99" s="632"/>
      <c r="C99" s="200">
        <v>3</v>
      </c>
      <c r="D99" s="611"/>
      <c r="E99" s="624"/>
      <c r="F99" s="612"/>
      <c r="G99" s="200"/>
      <c r="H99" s="202"/>
      <c r="I99" s="203"/>
      <c r="J99" s="200"/>
      <c r="K99" s="611"/>
      <c r="L99" s="612"/>
      <c r="M99" s="99"/>
      <c r="O99" s="199"/>
      <c r="P99" s="440"/>
      <c r="Q99" s="440"/>
      <c r="R99" s="199"/>
    </row>
    <row r="100" spans="1:18" ht="15.75" customHeight="1">
      <c r="A100" s="629"/>
      <c r="B100" s="632"/>
      <c r="C100" s="200">
        <v>4</v>
      </c>
      <c r="D100" s="611"/>
      <c r="E100" s="624"/>
      <c r="F100" s="612"/>
      <c r="G100" s="200"/>
      <c r="H100" s="202"/>
      <c r="I100" s="203"/>
      <c r="J100" s="200"/>
      <c r="K100" s="611"/>
      <c r="L100" s="612"/>
      <c r="M100" s="99"/>
      <c r="O100" s="199"/>
      <c r="P100" s="440"/>
      <c r="Q100" s="440"/>
      <c r="R100" s="199"/>
    </row>
    <row r="101" spans="1:18" ht="15.75" customHeight="1">
      <c r="A101" s="629"/>
      <c r="B101" s="632"/>
      <c r="C101" s="200">
        <v>5</v>
      </c>
      <c r="D101" s="611"/>
      <c r="E101" s="624"/>
      <c r="F101" s="612"/>
      <c r="G101" s="200"/>
      <c r="H101" s="202"/>
      <c r="I101" s="203"/>
      <c r="J101" s="200"/>
      <c r="K101" s="611"/>
      <c r="L101" s="612"/>
      <c r="M101" s="99"/>
      <c r="O101" s="199"/>
      <c r="P101" s="440"/>
      <c r="Q101" s="440"/>
      <c r="R101" s="199"/>
    </row>
    <row r="102" spans="1:18" ht="15.75" customHeight="1">
      <c r="A102" s="629"/>
      <c r="B102" s="632"/>
      <c r="C102" s="204" t="s">
        <v>247</v>
      </c>
      <c r="D102" s="611"/>
      <c r="E102" s="624"/>
      <c r="F102" s="612"/>
      <c r="G102" s="200"/>
      <c r="H102" s="202"/>
      <c r="I102" s="203"/>
      <c r="J102" s="200"/>
      <c r="K102" s="611"/>
      <c r="L102" s="612"/>
      <c r="M102" s="99"/>
      <c r="O102" s="199"/>
      <c r="P102" s="440"/>
      <c r="Q102" s="440"/>
      <c r="R102" s="199"/>
    </row>
    <row r="103" spans="1:18" ht="15.75" customHeight="1">
      <c r="A103" s="629"/>
      <c r="B103" s="632"/>
      <c r="C103" s="204" t="s">
        <v>248</v>
      </c>
      <c r="D103" s="611"/>
      <c r="E103" s="624"/>
      <c r="F103" s="612"/>
      <c r="G103" s="200"/>
      <c r="H103" s="202"/>
      <c r="I103" s="203"/>
      <c r="J103" s="200"/>
      <c r="K103" s="611"/>
      <c r="L103" s="612"/>
      <c r="M103" s="99"/>
      <c r="O103" s="199"/>
      <c r="P103" s="440"/>
      <c r="Q103" s="440"/>
      <c r="R103" s="199"/>
    </row>
    <row r="104" spans="1:18" ht="15.75" customHeight="1">
      <c r="A104" s="629"/>
      <c r="B104" s="632"/>
      <c r="C104" s="204" t="s">
        <v>249</v>
      </c>
      <c r="D104" s="611"/>
      <c r="E104" s="624"/>
      <c r="F104" s="612"/>
      <c r="G104" s="200"/>
      <c r="H104" s="202"/>
      <c r="I104" s="203"/>
      <c r="J104" s="200"/>
      <c r="K104" s="611"/>
      <c r="L104" s="612"/>
      <c r="M104" s="99"/>
      <c r="O104" s="199"/>
      <c r="P104" s="440"/>
      <c r="Q104" s="440"/>
      <c r="R104" s="199"/>
    </row>
    <row r="105" spans="1:18" ht="15.75" customHeight="1">
      <c r="A105" s="629"/>
      <c r="B105" s="632"/>
      <c r="C105" s="204" t="s">
        <v>250</v>
      </c>
      <c r="D105" s="611"/>
      <c r="E105" s="624"/>
      <c r="F105" s="612"/>
      <c r="G105" s="200"/>
      <c r="H105" s="202"/>
      <c r="I105" s="203"/>
      <c r="J105" s="200"/>
      <c r="K105" s="611"/>
      <c r="L105" s="612"/>
      <c r="M105" s="99"/>
      <c r="O105" s="199"/>
      <c r="P105" s="440"/>
      <c r="Q105" s="440"/>
      <c r="R105" s="199"/>
    </row>
    <row r="106" spans="1:18" ht="15.75" customHeight="1">
      <c r="A106" s="630"/>
      <c r="B106" s="633"/>
      <c r="C106" s="204" t="s">
        <v>251</v>
      </c>
      <c r="D106" s="611"/>
      <c r="E106" s="624"/>
      <c r="F106" s="612"/>
      <c r="G106" s="200"/>
      <c r="H106" s="202"/>
      <c r="I106" s="203"/>
      <c r="J106" s="200"/>
      <c r="K106" s="611"/>
      <c r="L106" s="612"/>
      <c r="M106" s="99"/>
      <c r="O106" s="199"/>
      <c r="P106" s="440"/>
      <c r="Q106" s="440"/>
      <c r="R106" s="199"/>
    </row>
    <row r="107" spans="1:18" s="189" customFormat="1" ht="15.75" customHeight="1">
      <c r="A107" s="618" t="s">
        <v>257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</row>
    <row r="108" spans="1:18" s="190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8" s="106" customFormat="1" ht="16.350000000000001" customHeight="1">
      <c r="A109" s="628" t="s">
        <v>128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30"/>
      <c r="B110" s="195" t="s">
        <v>230</v>
      </c>
      <c r="C110" s="195" t="s">
        <v>231</v>
      </c>
      <c r="D110" s="195" t="s">
        <v>232</v>
      </c>
      <c r="E110" s="195" t="s">
        <v>233</v>
      </c>
      <c r="F110" s="195" t="s">
        <v>265</v>
      </c>
      <c r="G110" s="196" t="s">
        <v>234</v>
      </c>
      <c r="H110" s="194" t="s">
        <v>235</v>
      </c>
      <c r="I110" s="209" t="s">
        <v>236</v>
      </c>
      <c r="J110" s="196" t="s">
        <v>237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34" t="s">
        <v>56</v>
      </c>
      <c r="B111" s="635"/>
      <c r="C111" s="160" t="s">
        <v>238</v>
      </c>
      <c r="D111" s="634" t="s">
        <v>239</v>
      </c>
      <c r="E111" s="636"/>
      <c r="F111" s="635"/>
      <c r="G111" s="160" t="s">
        <v>240</v>
      </c>
      <c r="H111" s="160" t="s">
        <v>241</v>
      </c>
      <c r="I111" s="160" t="s">
        <v>242</v>
      </c>
      <c r="J111" s="160" t="s">
        <v>243</v>
      </c>
      <c r="K111" s="634" t="s">
        <v>244</v>
      </c>
      <c r="L111" s="635"/>
      <c r="M111" s="127"/>
      <c r="N111" s="189"/>
      <c r="O111" s="199"/>
      <c r="P111" s="440"/>
      <c r="Q111" s="440"/>
      <c r="R111" s="199"/>
    </row>
    <row r="112" spans="1:18" ht="15.75" customHeight="1">
      <c r="A112" s="628">
        <v>7</v>
      </c>
      <c r="B112" s="631" t="s">
        <v>266</v>
      </c>
      <c r="C112" s="200">
        <v>1</v>
      </c>
      <c r="D112" s="637"/>
      <c r="E112" s="610"/>
      <c r="F112" s="610"/>
      <c r="G112" s="200"/>
      <c r="H112" s="202"/>
      <c r="I112" s="203"/>
      <c r="J112" s="200"/>
      <c r="K112" s="611"/>
      <c r="L112" s="612"/>
      <c r="O112" s="199"/>
      <c r="P112" s="440"/>
      <c r="Q112" s="440"/>
      <c r="R112" s="199"/>
    </row>
    <row r="113" spans="1:18" ht="15.75" customHeight="1">
      <c r="A113" s="629"/>
      <c r="B113" s="632"/>
      <c r="C113" s="200">
        <v>2</v>
      </c>
      <c r="D113" s="637"/>
      <c r="E113" s="610"/>
      <c r="F113" s="610"/>
      <c r="G113" s="200"/>
      <c r="H113" s="202"/>
      <c r="I113" s="203"/>
      <c r="J113" s="200"/>
      <c r="K113" s="611"/>
      <c r="L113" s="612"/>
      <c r="O113" s="199"/>
      <c r="P113" s="440"/>
      <c r="Q113" s="440"/>
      <c r="R113" s="199"/>
    </row>
    <row r="114" spans="1:18" ht="15.75" customHeight="1">
      <c r="A114" s="629"/>
      <c r="B114" s="632"/>
      <c r="C114" s="200">
        <v>3</v>
      </c>
      <c r="D114" s="611"/>
      <c r="E114" s="624"/>
      <c r="F114" s="612"/>
      <c r="G114" s="200"/>
      <c r="H114" s="202"/>
      <c r="I114" s="203"/>
      <c r="J114" s="200"/>
      <c r="K114" s="611"/>
      <c r="L114" s="612"/>
      <c r="N114" s="443"/>
      <c r="O114" s="199"/>
      <c r="P114" s="440"/>
      <c r="Q114" s="440"/>
      <c r="R114" s="199"/>
    </row>
    <row r="115" spans="1:18" ht="15.75" customHeight="1">
      <c r="A115" s="629"/>
      <c r="B115" s="632"/>
      <c r="C115" s="200">
        <v>4</v>
      </c>
      <c r="D115" s="611"/>
      <c r="E115" s="624"/>
      <c r="F115" s="612"/>
      <c r="G115" s="200"/>
      <c r="H115" s="202"/>
      <c r="I115" s="203"/>
      <c r="J115" s="200"/>
      <c r="K115" s="611"/>
      <c r="L115" s="612"/>
      <c r="O115" s="199"/>
      <c r="P115" s="440"/>
      <c r="Q115" s="440"/>
      <c r="R115" s="199"/>
    </row>
    <row r="116" spans="1:18" ht="15.75" customHeight="1">
      <c r="A116" s="629"/>
      <c r="B116" s="632"/>
      <c r="C116" s="200">
        <v>5</v>
      </c>
      <c r="D116" s="611"/>
      <c r="E116" s="624"/>
      <c r="F116" s="612"/>
      <c r="G116" s="200"/>
      <c r="H116" s="202"/>
      <c r="I116" s="203"/>
      <c r="J116" s="200"/>
      <c r="K116" s="611"/>
      <c r="L116" s="612"/>
      <c r="N116" s="178"/>
      <c r="O116" s="199"/>
      <c r="P116" s="440"/>
      <c r="Q116" s="440"/>
      <c r="R116" s="199"/>
    </row>
    <row r="117" spans="1:18" ht="15.75" customHeight="1">
      <c r="A117" s="629"/>
      <c r="B117" s="632"/>
      <c r="C117" s="204" t="s">
        <v>247</v>
      </c>
      <c r="D117" s="611"/>
      <c r="E117" s="624"/>
      <c r="F117" s="612"/>
      <c r="G117" s="200"/>
      <c r="H117" s="202"/>
      <c r="I117" s="203"/>
      <c r="J117" s="200"/>
      <c r="K117" s="611"/>
      <c r="L117" s="612"/>
      <c r="N117" s="443"/>
      <c r="O117" s="199"/>
      <c r="P117" s="440"/>
      <c r="Q117" s="440"/>
      <c r="R117" s="199"/>
    </row>
    <row r="118" spans="1:18" ht="15.75" customHeight="1">
      <c r="A118" s="629"/>
      <c r="B118" s="632"/>
      <c r="C118" s="204" t="s">
        <v>248</v>
      </c>
      <c r="D118" s="611"/>
      <c r="E118" s="624"/>
      <c r="F118" s="612"/>
      <c r="G118" s="200"/>
      <c r="H118" s="202"/>
      <c r="I118" s="203"/>
      <c r="J118" s="200"/>
      <c r="K118" s="611"/>
      <c r="L118" s="612"/>
      <c r="O118" s="199"/>
      <c r="P118" s="440"/>
      <c r="Q118" s="440"/>
      <c r="R118" s="199"/>
    </row>
    <row r="119" spans="1:18" ht="15.75" customHeight="1">
      <c r="A119" s="629"/>
      <c r="B119" s="632"/>
      <c r="C119" s="204" t="s">
        <v>249</v>
      </c>
      <c r="D119" s="611"/>
      <c r="E119" s="624"/>
      <c r="F119" s="612"/>
      <c r="G119" s="200"/>
      <c r="H119" s="202"/>
      <c r="I119" s="203"/>
      <c r="J119" s="200"/>
      <c r="K119" s="611"/>
      <c r="L119" s="612"/>
      <c r="O119" s="199"/>
      <c r="P119" s="440"/>
      <c r="Q119" s="440"/>
      <c r="R119" s="199"/>
    </row>
    <row r="120" spans="1:18" ht="15.75" customHeight="1">
      <c r="A120" s="629"/>
      <c r="B120" s="632"/>
      <c r="C120" s="204" t="s">
        <v>250</v>
      </c>
      <c r="D120" s="611"/>
      <c r="E120" s="624"/>
      <c r="F120" s="612"/>
      <c r="G120" s="200"/>
      <c r="H120" s="202"/>
      <c r="I120" s="203"/>
      <c r="J120" s="200"/>
      <c r="K120" s="611"/>
      <c r="L120" s="612"/>
      <c r="M120" s="99"/>
      <c r="O120" s="199"/>
      <c r="P120" s="440"/>
      <c r="Q120" s="440"/>
      <c r="R120" s="199"/>
    </row>
    <row r="121" spans="1:18" ht="15.75" customHeight="1">
      <c r="A121" s="630"/>
      <c r="B121" s="633"/>
      <c r="C121" s="204" t="s">
        <v>251</v>
      </c>
      <c r="D121" s="611"/>
      <c r="E121" s="624"/>
      <c r="F121" s="612"/>
      <c r="G121" s="200"/>
      <c r="H121" s="202"/>
      <c r="I121" s="203"/>
      <c r="J121" s="200"/>
      <c r="K121" s="611"/>
      <c r="L121" s="612"/>
      <c r="M121" s="99"/>
      <c r="N121" s="199"/>
      <c r="O121" s="199"/>
      <c r="P121" s="440"/>
      <c r="Q121" s="440"/>
      <c r="R121" s="199"/>
    </row>
    <row r="122" spans="1:18" s="104" customFormat="1" ht="15.75" customHeight="1">
      <c r="A122" s="625" t="s">
        <v>56</v>
      </c>
      <c r="B122" s="626"/>
      <c r="C122" s="207" t="s">
        <v>238</v>
      </c>
      <c r="D122" s="625" t="s">
        <v>239</v>
      </c>
      <c r="E122" s="627"/>
      <c r="F122" s="626"/>
      <c r="G122" s="207" t="s">
        <v>240</v>
      </c>
      <c r="H122" s="207" t="s">
        <v>241</v>
      </c>
      <c r="I122" s="207" t="s">
        <v>242</v>
      </c>
      <c r="J122" s="160" t="s">
        <v>243</v>
      </c>
      <c r="K122" s="625" t="s">
        <v>244</v>
      </c>
      <c r="L122" s="626"/>
      <c r="M122" s="128"/>
      <c r="N122" s="189"/>
      <c r="O122" s="199"/>
      <c r="P122" s="440"/>
      <c r="Q122" s="440"/>
      <c r="R122" s="199"/>
    </row>
    <row r="123" spans="1:18" ht="15.75" customHeight="1">
      <c r="A123" s="628">
        <v>8</v>
      </c>
      <c r="B123" s="631" t="s">
        <v>267</v>
      </c>
      <c r="C123" s="200">
        <v>1</v>
      </c>
      <c r="D123" s="611" t="s">
        <v>221</v>
      </c>
      <c r="E123" s="624"/>
      <c r="F123" s="612"/>
      <c r="G123" s="200">
        <v>19</v>
      </c>
      <c r="H123" s="202">
        <v>1607.1357434748982</v>
      </c>
      <c r="I123" s="203">
        <v>84.586091761836741</v>
      </c>
      <c r="J123" s="381">
        <f>I123-I97</f>
        <v>1.596077306510324E-2</v>
      </c>
      <c r="K123" s="611" t="s">
        <v>246</v>
      </c>
      <c r="L123" s="612"/>
      <c r="M123" s="99"/>
      <c r="O123" s="199"/>
      <c r="P123" s="440"/>
      <c r="Q123" s="440"/>
      <c r="R123" s="199"/>
    </row>
    <row r="124" spans="1:18" ht="15.75" customHeight="1">
      <c r="A124" s="629"/>
      <c r="B124" s="632"/>
      <c r="C124" s="200">
        <v>2</v>
      </c>
      <c r="D124" s="611" t="s">
        <v>224</v>
      </c>
      <c r="E124" s="624"/>
      <c r="F124" s="612"/>
      <c r="G124" s="200">
        <v>19</v>
      </c>
      <c r="H124" s="202">
        <v>1606.769701728861</v>
      </c>
      <c r="I124" s="203">
        <v>84.566826406782155</v>
      </c>
      <c r="J124" s="381">
        <f>I124-I98</f>
        <v>3.7150491977101296E-2</v>
      </c>
      <c r="K124" s="611" t="s">
        <v>246</v>
      </c>
      <c r="L124" s="612"/>
      <c r="M124" s="99"/>
      <c r="O124" s="178"/>
      <c r="P124" s="439"/>
      <c r="Q124" s="439"/>
      <c r="R124" s="178"/>
    </row>
    <row r="125" spans="1:18" ht="15.75" customHeight="1">
      <c r="A125" s="629"/>
      <c r="B125" s="632"/>
      <c r="C125" s="200">
        <v>3</v>
      </c>
      <c r="D125" s="611"/>
      <c r="E125" s="624"/>
      <c r="F125" s="612"/>
      <c r="G125" s="200"/>
      <c r="H125" s="202"/>
      <c r="I125" s="203"/>
      <c r="J125" s="200"/>
      <c r="K125" s="611"/>
      <c r="L125" s="612"/>
      <c r="M125" s="99"/>
      <c r="O125" s="199"/>
      <c r="P125" s="440"/>
      <c r="Q125" s="440"/>
      <c r="R125" s="199"/>
    </row>
    <row r="126" spans="1:18" ht="15.75" customHeight="1">
      <c r="A126" s="629"/>
      <c r="B126" s="632"/>
      <c r="C126" s="200">
        <v>4</v>
      </c>
      <c r="D126" s="611"/>
      <c r="E126" s="624"/>
      <c r="F126" s="612"/>
      <c r="G126" s="200"/>
      <c r="H126" s="202"/>
      <c r="I126" s="203"/>
      <c r="J126" s="200"/>
      <c r="K126" s="611"/>
      <c r="L126" s="612"/>
      <c r="M126" s="99"/>
      <c r="O126" s="199"/>
      <c r="P126" s="440"/>
      <c r="Q126" s="440"/>
      <c r="R126" s="199"/>
    </row>
    <row r="127" spans="1:18" ht="15.75" customHeight="1">
      <c r="A127" s="629"/>
      <c r="B127" s="632"/>
      <c r="C127" s="200">
        <v>5</v>
      </c>
      <c r="D127" s="611"/>
      <c r="E127" s="624"/>
      <c r="F127" s="612"/>
      <c r="G127" s="200"/>
      <c r="H127" s="202"/>
      <c r="I127" s="203"/>
      <c r="J127" s="200"/>
      <c r="K127" s="611"/>
      <c r="L127" s="612"/>
      <c r="M127" s="99"/>
      <c r="O127" s="199"/>
      <c r="P127" s="440"/>
      <c r="Q127" s="440"/>
      <c r="R127" s="199"/>
    </row>
    <row r="128" spans="1:18" ht="15.75" customHeight="1">
      <c r="A128" s="629"/>
      <c r="B128" s="632"/>
      <c r="C128" s="204" t="s">
        <v>247</v>
      </c>
      <c r="D128" s="611"/>
      <c r="E128" s="624"/>
      <c r="F128" s="612"/>
      <c r="G128" s="200"/>
      <c r="H128" s="202"/>
      <c r="I128" s="203"/>
      <c r="J128" s="200"/>
      <c r="K128" s="611"/>
      <c r="L128" s="612"/>
      <c r="M128" s="99"/>
      <c r="O128" s="199"/>
      <c r="P128" s="440"/>
      <c r="Q128" s="440"/>
      <c r="R128" s="199"/>
    </row>
    <row r="129" spans="1:18" ht="15.75" customHeight="1">
      <c r="A129" s="629"/>
      <c r="B129" s="632"/>
      <c r="C129" s="204" t="s">
        <v>248</v>
      </c>
      <c r="D129" s="611"/>
      <c r="E129" s="624"/>
      <c r="F129" s="612"/>
      <c r="G129" s="200"/>
      <c r="H129" s="202"/>
      <c r="I129" s="203"/>
      <c r="J129" s="200"/>
      <c r="K129" s="611"/>
      <c r="L129" s="612"/>
      <c r="M129" s="99"/>
      <c r="O129" s="199"/>
      <c r="P129" s="440"/>
      <c r="Q129" s="440"/>
      <c r="R129" s="199"/>
    </row>
    <row r="130" spans="1:18" ht="15.75" customHeight="1">
      <c r="A130" s="629"/>
      <c r="B130" s="632"/>
      <c r="C130" s="204" t="s">
        <v>249</v>
      </c>
      <c r="D130" s="611"/>
      <c r="E130" s="624"/>
      <c r="F130" s="612"/>
      <c r="G130" s="200"/>
      <c r="H130" s="202"/>
      <c r="I130" s="203"/>
      <c r="J130" s="200"/>
      <c r="K130" s="611"/>
      <c r="L130" s="612"/>
      <c r="M130" s="99"/>
      <c r="O130" s="199"/>
      <c r="P130" s="440"/>
      <c r="Q130" s="440"/>
      <c r="R130" s="199"/>
    </row>
    <row r="131" spans="1:18" ht="15.75" customHeight="1">
      <c r="A131" s="629"/>
      <c r="B131" s="632"/>
      <c r="C131" s="204" t="s">
        <v>250</v>
      </c>
      <c r="D131" s="611"/>
      <c r="E131" s="624"/>
      <c r="F131" s="612"/>
      <c r="G131" s="200"/>
      <c r="H131" s="202"/>
      <c r="I131" s="203"/>
      <c r="J131" s="200"/>
      <c r="K131" s="611"/>
      <c r="L131" s="612"/>
      <c r="M131" s="99"/>
      <c r="O131" s="199"/>
      <c r="P131" s="440"/>
      <c r="Q131" s="440"/>
      <c r="R131" s="199"/>
    </row>
    <row r="132" spans="1:18" ht="15.75" customHeight="1">
      <c r="A132" s="630"/>
      <c r="B132" s="633"/>
      <c r="C132" s="204" t="s">
        <v>251</v>
      </c>
      <c r="D132" s="611"/>
      <c r="E132" s="624"/>
      <c r="F132" s="612"/>
      <c r="G132" s="200"/>
      <c r="H132" s="202"/>
      <c r="I132" s="203"/>
      <c r="J132" s="200"/>
      <c r="K132" s="611"/>
      <c r="L132" s="612"/>
      <c r="M132" s="99"/>
      <c r="O132" s="199"/>
      <c r="P132" s="440"/>
      <c r="Q132" s="440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D25:F25"/>
    <mergeCell ref="K25:L25"/>
    <mergeCell ref="D26:F26"/>
    <mergeCell ref="K26:L26"/>
    <mergeCell ref="D27:F27"/>
    <mergeCell ref="K27:L27"/>
    <mergeCell ref="D28:F28"/>
    <mergeCell ref="D38:F38"/>
    <mergeCell ref="K38:L38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4:F14"/>
    <mergeCell ref="K14:L14"/>
    <mergeCell ref="D15:F15"/>
    <mergeCell ref="K15:L15"/>
    <mergeCell ref="D37:F37"/>
    <mergeCell ref="D16:F16"/>
    <mergeCell ref="K16:L16"/>
    <mergeCell ref="D17:F17"/>
    <mergeCell ref="K17:L17"/>
    <mergeCell ref="K28:L28"/>
    <mergeCell ref="A29:L30"/>
    <mergeCell ref="A31:A32"/>
    <mergeCell ref="A33:B33"/>
    <mergeCell ref="D33:F33"/>
    <mergeCell ref="K33:L33"/>
    <mergeCell ref="K37:L37"/>
    <mergeCell ref="A18:B18"/>
    <mergeCell ref="D18:F18"/>
    <mergeCell ref="K18:L18"/>
    <mergeCell ref="D19:F19"/>
    <mergeCell ref="K19:L19"/>
    <mergeCell ref="A19:A28"/>
    <mergeCell ref="B19:B28"/>
    <mergeCell ref="D20:F20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S132"/>
  <sheetViews>
    <sheetView view="pageBreakPreview" topLeftCell="A111" zoomScale="115" zoomScaleNormal="60" zoomScaleSheetLayoutView="115" workbookViewId="0">
      <selection activeCell="K112" sqref="K112:L113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9" ht="15.75" customHeight="1">
      <c r="A1" s="466" t="s">
        <v>228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9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0"/>
      <c r="O2" s="190"/>
      <c r="P2" s="190"/>
      <c r="Q2" s="190"/>
      <c r="R2" s="190"/>
    </row>
    <row r="3" spans="1:19" s="189" customFormat="1" ht="15.75" customHeight="1">
      <c r="A3" s="618" t="s">
        <v>229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</row>
    <row r="4" spans="1:19" s="190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9" s="106" customFormat="1" ht="16.350000000000001" customHeight="1">
      <c r="A5" s="628" t="s">
        <v>128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9" ht="16.350000000000001" customHeight="1">
      <c r="A6" s="630"/>
      <c r="B6" s="195" t="s">
        <v>230</v>
      </c>
      <c r="C6" s="195" t="s">
        <v>231</v>
      </c>
      <c r="D6" s="195" t="s">
        <v>232</v>
      </c>
      <c r="E6" s="195" t="s">
        <v>233</v>
      </c>
      <c r="F6" s="195" t="s">
        <v>265</v>
      </c>
      <c r="G6" s="196" t="s">
        <v>234</v>
      </c>
      <c r="H6" s="197" t="s">
        <v>235</v>
      </c>
      <c r="I6" s="196" t="s">
        <v>236</v>
      </c>
      <c r="J6" s="209" t="s">
        <v>237</v>
      </c>
      <c r="K6" s="198"/>
      <c r="L6" s="198"/>
      <c r="N6" s="178"/>
      <c r="O6" s="178"/>
      <c r="P6" s="178"/>
      <c r="Q6" s="178"/>
      <c r="R6" s="178"/>
      <c r="S6" s="106"/>
    </row>
    <row r="7" spans="1:19" s="106" customFormat="1" ht="15.75" customHeight="1">
      <c r="A7" s="634" t="s">
        <v>56</v>
      </c>
      <c r="B7" s="635"/>
      <c r="C7" s="160" t="s">
        <v>238</v>
      </c>
      <c r="D7" s="634" t="s">
        <v>239</v>
      </c>
      <c r="E7" s="636"/>
      <c r="F7" s="635"/>
      <c r="G7" s="160" t="s">
        <v>240</v>
      </c>
      <c r="H7" s="160" t="s">
        <v>241</v>
      </c>
      <c r="I7" s="160" t="s">
        <v>242</v>
      </c>
      <c r="J7" s="160" t="s">
        <v>243</v>
      </c>
      <c r="K7" s="634" t="s">
        <v>244</v>
      </c>
      <c r="L7" s="635"/>
      <c r="M7" s="127"/>
      <c r="N7" s="178"/>
      <c r="O7" s="178"/>
      <c r="P7" s="178"/>
      <c r="Q7" s="178"/>
      <c r="R7" s="178"/>
    </row>
    <row r="8" spans="1:19" ht="15.75" customHeight="1">
      <c r="A8" s="628">
        <f>J5</f>
        <v>9</v>
      </c>
      <c r="B8" s="631" t="str">
        <f>J6</f>
        <v>微波小吃</v>
      </c>
      <c r="C8" s="200">
        <v>1</v>
      </c>
      <c r="D8" s="611" t="s">
        <v>225</v>
      </c>
      <c r="E8" s="624"/>
      <c r="F8" s="612"/>
      <c r="G8" s="200">
        <v>13</v>
      </c>
      <c r="H8" s="202">
        <v>1078.2884287817258</v>
      </c>
      <c r="I8" s="203">
        <v>82.945263752440454</v>
      </c>
      <c r="J8" s="381"/>
      <c r="K8" s="617" t="s">
        <v>246</v>
      </c>
      <c r="L8" s="610"/>
      <c r="N8" s="178"/>
      <c r="O8" s="178"/>
      <c r="P8" s="178"/>
      <c r="Q8" s="178"/>
      <c r="R8" s="178"/>
      <c r="S8" s="106"/>
    </row>
    <row r="9" spans="1:19" ht="15.75" customHeight="1">
      <c r="A9" s="629"/>
      <c r="B9" s="632"/>
      <c r="C9" s="200">
        <v>2</v>
      </c>
      <c r="D9" s="611" t="s">
        <v>227</v>
      </c>
      <c r="E9" s="624"/>
      <c r="F9" s="612"/>
      <c r="G9" s="200">
        <v>22</v>
      </c>
      <c r="H9" s="202">
        <v>1604.3508372494184</v>
      </c>
      <c r="I9" s="203">
        <v>72.925038056791763</v>
      </c>
      <c r="J9" s="381">
        <v>8.2209151614179632E-2</v>
      </c>
      <c r="K9" s="617" t="s">
        <v>246</v>
      </c>
      <c r="L9" s="610"/>
      <c r="N9" s="178"/>
      <c r="O9" s="178"/>
      <c r="P9" s="178"/>
      <c r="Q9" s="178"/>
      <c r="R9" s="178"/>
      <c r="S9" s="106"/>
    </row>
    <row r="10" spans="1:19" ht="15.75" customHeight="1">
      <c r="A10" s="629"/>
      <c r="B10" s="632"/>
      <c r="C10" s="200">
        <v>3</v>
      </c>
      <c r="D10" s="611" t="s">
        <v>226</v>
      </c>
      <c r="E10" s="624"/>
      <c r="F10" s="612"/>
      <c r="G10" s="200">
        <v>22</v>
      </c>
      <c r="H10" s="202">
        <v>1603.4723481732792</v>
      </c>
      <c r="I10" s="203">
        <v>72.885106735149051</v>
      </c>
      <c r="J10" s="381">
        <v>0.12011787116063033</v>
      </c>
      <c r="K10" s="617" t="s">
        <v>246</v>
      </c>
      <c r="L10" s="610"/>
      <c r="N10" s="178"/>
      <c r="O10" s="178"/>
      <c r="P10" s="178"/>
      <c r="Q10" s="178"/>
      <c r="R10" s="178"/>
      <c r="S10" s="106"/>
    </row>
    <row r="11" spans="1:19" ht="15.75" customHeight="1">
      <c r="A11" s="629"/>
      <c r="B11" s="632"/>
      <c r="C11" s="200">
        <v>4</v>
      </c>
      <c r="D11" s="611"/>
      <c r="E11" s="624"/>
      <c r="F11" s="612"/>
      <c r="G11" s="202"/>
      <c r="H11" s="202"/>
      <c r="I11" s="203"/>
      <c r="J11" s="200"/>
      <c r="K11" s="611"/>
      <c r="L11" s="612"/>
      <c r="N11" s="178"/>
      <c r="O11" s="178"/>
      <c r="P11" s="178"/>
      <c r="Q11" s="178"/>
      <c r="R11" s="178"/>
      <c r="S11" s="106"/>
    </row>
    <row r="12" spans="1:19" ht="15.75" customHeight="1">
      <c r="A12" s="629"/>
      <c r="B12" s="632"/>
      <c r="C12" s="200">
        <v>5</v>
      </c>
      <c r="D12" s="611"/>
      <c r="E12" s="624"/>
      <c r="F12" s="612"/>
      <c r="G12" s="200"/>
      <c r="H12" s="202"/>
      <c r="I12" s="203"/>
      <c r="J12" s="200"/>
      <c r="K12" s="611"/>
      <c r="L12" s="612"/>
      <c r="N12" s="178"/>
      <c r="O12" s="178"/>
      <c r="P12" s="178"/>
      <c r="Q12" s="178"/>
      <c r="R12" s="178"/>
      <c r="S12" s="106"/>
    </row>
    <row r="13" spans="1:19" ht="15.75" customHeight="1">
      <c r="A13" s="629"/>
      <c r="B13" s="632"/>
      <c r="C13" s="204" t="s">
        <v>247</v>
      </c>
      <c r="D13" s="611"/>
      <c r="E13" s="624"/>
      <c r="F13" s="612"/>
      <c r="G13" s="200"/>
      <c r="H13" s="202"/>
      <c r="I13" s="203"/>
      <c r="J13" s="200"/>
      <c r="K13" s="611"/>
      <c r="L13" s="612"/>
      <c r="N13" s="178"/>
      <c r="O13" s="178"/>
      <c r="P13" s="178"/>
      <c r="Q13" s="178"/>
      <c r="R13" s="178"/>
      <c r="S13" s="106"/>
    </row>
    <row r="14" spans="1:19" ht="15.75" customHeight="1">
      <c r="A14" s="629"/>
      <c r="B14" s="632"/>
      <c r="C14" s="204" t="s">
        <v>248</v>
      </c>
      <c r="D14" s="611"/>
      <c r="E14" s="624"/>
      <c r="F14" s="612"/>
      <c r="G14" s="200"/>
      <c r="H14" s="202"/>
      <c r="I14" s="203"/>
      <c r="J14" s="200"/>
      <c r="K14" s="611"/>
      <c r="L14" s="612"/>
      <c r="N14" s="178"/>
      <c r="O14" s="178"/>
      <c r="P14" s="178"/>
      <c r="Q14" s="178"/>
      <c r="R14" s="178"/>
      <c r="S14" s="106"/>
    </row>
    <row r="15" spans="1:19" ht="15.75" customHeight="1">
      <c r="A15" s="629"/>
      <c r="B15" s="632"/>
      <c r="C15" s="204" t="s">
        <v>249</v>
      </c>
      <c r="D15" s="611"/>
      <c r="E15" s="624"/>
      <c r="F15" s="612"/>
      <c r="G15" s="200"/>
      <c r="H15" s="202"/>
      <c r="I15" s="203"/>
      <c r="J15" s="200"/>
      <c r="K15" s="611"/>
      <c r="L15" s="612"/>
      <c r="N15" s="178"/>
      <c r="O15" s="178"/>
      <c r="P15" s="178"/>
      <c r="Q15" s="178"/>
      <c r="R15" s="178"/>
      <c r="S15" s="106"/>
    </row>
    <row r="16" spans="1:19" ht="15.75" customHeight="1">
      <c r="A16" s="629"/>
      <c r="B16" s="632"/>
      <c r="C16" s="204" t="s">
        <v>250</v>
      </c>
      <c r="D16" s="611"/>
      <c r="E16" s="624"/>
      <c r="F16" s="612"/>
      <c r="G16" s="200"/>
      <c r="H16" s="202"/>
      <c r="I16" s="203"/>
      <c r="J16" s="200"/>
      <c r="K16" s="611"/>
      <c r="L16" s="612"/>
      <c r="M16" s="99"/>
      <c r="N16" s="178"/>
      <c r="O16" s="178"/>
      <c r="P16" s="178"/>
      <c r="Q16" s="178"/>
      <c r="R16" s="178"/>
      <c r="S16" s="106"/>
    </row>
    <row r="17" spans="1:18" ht="15.75" customHeight="1">
      <c r="A17" s="630"/>
      <c r="B17" s="633"/>
      <c r="C17" s="204" t="s">
        <v>251</v>
      </c>
      <c r="D17" s="611"/>
      <c r="E17" s="624"/>
      <c r="F17" s="612"/>
      <c r="G17" s="200"/>
      <c r="H17" s="202"/>
      <c r="I17" s="203"/>
      <c r="J17" s="200"/>
      <c r="K17" s="611"/>
      <c r="L17" s="612"/>
      <c r="M17" s="99"/>
      <c r="O17" s="199"/>
      <c r="P17" s="440"/>
      <c r="Q17" s="440"/>
      <c r="R17" s="199"/>
    </row>
    <row r="18" spans="1:18" s="104" customFormat="1" ht="15.75" customHeight="1">
      <c r="A18" s="625" t="s">
        <v>56</v>
      </c>
      <c r="B18" s="626"/>
      <c r="C18" s="207" t="s">
        <v>238</v>
      </c>
      <c r="D18" s="625" t="s">
        <v>239</v>
      </c>
      <c r="E18" s="627"/>
      <c r="F18" s="626"/>
      <c r="G18" s="207" t="s">
        <v>240</v>
      </c>
      <c r="H18" s="207" t="s">
        <v>241</v>
      </c>
      <c r="I18" s="207" t="s">
        <v>242</v>
      </c>
      <c r="J18" s="160" t="s">
        <v>243</v>
      </c>
      <c r="K18" s="625" t="s">
        <v>244</v>
      </c>
      <c r="L18" s="626"/>
      <c r="M18" s="128"/>
      <c r="N18" s="189"/>
      <c r="O18" s="199"/>
      <c r="P18" s="440"/>
      <c r="Q18" s="440"/>
      <c r="R18" s="199"/>
    </row>
    <row r="19" spans="1:18" ht="15.75" customHeight="1">
      <c r="A19" s="628"/>
      <c r="B19" s="631"/>
      <c r="C19" s="200">
        <v>1</v>
      </c>
      <c r="D19" s="611"/>
      <c r="E19" s="624"/>
      <c r="F19" s="612"/>
      <c r="G19" s="200"/>
      <c r="H19" s="202"/>
      <c r="I19" s="203"/>
      <c r="J19" s="200"/>
      <c r="K19" s="611"/>
      <c r="L19" s="612"/>
      <c r="M19" s="99"/>
      <c r="N19" s="199"/>
      <c r="O19" s="199"/>
      <c r="P19" s="440"/>
      <c r="Q19" s="440"/>
      <c r="R19" s="199"/>
    </row>
    <row r="20" spans="1:18" ht="15.75" customHeight="1">
      <c r="A20" s="629"/>
      <c r="B20" s="632"/>
      <c r="C20" s="200">
        <v>2</v>
      </c>
      <c r="D20" s="611"/>
      <c r="E20" s="624"/>
      <c r="F20" s="612"/>
      <c r="G20" s="200"/>
      <c r="H20" s="202"/>
      <c r="I20" s="203"/>
      <c r="J20" s="200"/>
      <c r="K20" s="611"/>
      <c r="L20" s="612"/>
      <c r="M20" s="99"/>
      <c r="O20" s="199"/>
      <c r="P20" s="440"/>
      <c r="Q20" s="440"/>
      <c r="R20" s="199"/>
    </row>
    <row r="21" spans="1:18" ht="15.75" customHeight="1">
      <c r="A21" s="629"/>
      <c r="B21" s="632"/>
      <c r="C21" s="200">
        <v>3</v>
      </c>
      <c r="D21" s="611"/>
      <c r="E21" s="624"/>
      <c r="F21" s="612"/>
      <c r="G21" s="200"/>
      <c r="H21" s="202"/>
      <c r="I21" s="203"/>
      <c r="J21" s="200"/>
      <c r="K21" s="611"/>
      <c r="L21" s="612"/>
      <c r="M21" s="99"/>
      <c r="O21" s="199"/>
      <c r="P21" s="440"/>
      <c r="Q21" s="440"/>
      <c r="R21" s="199"/>
    </row>
    <row r="22" spans="1:18" ht="15.75" customHeight="1">
      <c r="A22" s="629"/>
      <c r="B22" s="632"/>
      <c r="C22" s="200">
        <v>4</v>
      </c>
      <c r="D22" s="611"/>
      <c r="E22" s="624"/>
      <c r="F22" s="612"/>
      <c r="G22" s="200"/>
      <c r="H22" s="202"/>
      <c r="I22" s="203"/>
      <c r="J22" s="200"/>
      <c r="K22" s="611"/>
      <c r="L22" s="612"/>
      <c r="M22" s="99"/>
      <c r="O22" s="199"/>
      <c r="P22" s="440"/>
      <c r="Q22" s="440"/>
      <c r="R22" s="199"/>
    </row>
    <row r="23" spans="1:18" ht="15.75" customHeight="1">
      <c r="A23" s="629"/>
      <c r="B23" s="632"/>
      <c r="C23" s="200">
        <v>5</v>
      </c>
      <c r="D23" s="611"/>
      <c r="E23" s="624"/>
      <c r="F23" s="612"/>
      <c r="G23" s="200"/>
      <c r="H23" s="202"/>
      <c r="I23" s="203"/>
      <c r="J23" s="200"/>
      <c r="K23" s="611"/>
      <c r="L23" s="612"/>
      <c r="M23" s="99"/>
      <c r="O23" s="199"/>
      <c r="P23" s="440"/>
      <c r="Q23" s="440"/>
      <c r="R23" s="199"/>
    </row>
    <row r="24" spans="1:18" ht="15.75" customHeight="1">
      <c r="A24" s="629"/>
      <c r="B24" s="632"/>
      <c r="C24" s="204" t="s">
        <v>247</v>
      </c>
      <c r="D24" s="611"/>
      <c r="E24" s="624"/>
      <c r="F24" s="612"/>
      <c r="G24" s="200"/>
      <c r="H24" s="202"/>
      <c r="I24" s="203"/>
      <c r="J24" s="200"/>
      <c r="K24" s="611"/>
      <c r="L24" s="612"/>
      <c r="M24" s="99"/>
      <c r="O24" s="199"/>
      <c r="P24" s="440"/>
      <c r="Q24" s="440"/>
      <c r="R24" s="199"/>
    </row>
    <row r="25" spans="1:18" ht="15.75" customHeight="1">
      <c r="A25" s="629"/>
      <c r="B25" s="632"/>
      <c r="C25" s="204" t="s">
        <v>248</v>
      </c>
      <c r="D25" s="611"/>
      <c r="E25" s="624"/>
      <c r="F25" s="612"/>
      <c r="G25" s="200"/>
      <c r="H25" s="202"/>
      <c r="I25" s="203"/>
      <c r="J25" s="200"/>
      <c r="K25" s="611"/>
      <c r="L25" s="612"/>
      <c r="M25" s="99"/>
      <c r="O25" s="199"/>
      <c r="P25" s="440"/>
      <c r="Q25" s="440"/>
      <c r="R25" s="199"/>
    </row>
    <row r="26" spans="1:18" ht="15.75" customHeight="1">
      <c r="A26" s="629"/>
      <c r="B26" s="632"/>
      <c r="C26" s="204" t="s">
        <v>249</v>
      </c>
      <c r="D26" s="611"/>
      <c r="E26" s="624"/>
      <c r="F26" s="612"/>
      <c r="G26" s="200"/>
      <c r="H26" s="202"/>
      <c r="I26" s="203"/>
      <c r="J26" s="200"/>
      <c r="K26" s="611"/>
      <c r="L26" s="612"/>
      <c r="M26" s="99"/>
      <c r="O26" s="199"/>
      <c r="P26" s="440"/>
      <c r="Q26" s="440"/>
      <c r="R26" s="199"/>
    </row>
    <row r="27" spans="1:18" ht="15.75" customHeight="1">
      <c r="A27" s="629"/>
      <c r="B27" s="632"/>
      <c r="C27" s="204" t="s">
        <v>250</v>
      </c>
      <c r="D27" s="611"/>
      <c r="E27" s="624"/>
      <c r="F27" s="612"/>
      <c r="G27" s="200"/>
      <c r="H27" s="202"/>
      <c r="I27" s="203"/>
      <c r="J27" s="200"/>
      <c r="K27" s="611"/>
      <c r="L27" s="612"/>
      <c r="M27" s="99"/>
      <c r="O27" s="199"/>
      <c r="P27" s="440"/>
      <c r="Q27" s="440"/>
      <c r="R27" s="199"/>
    </row>
    <row r="28" spans="1:18" ht="16.5" customHeight="1">
      <c r="A28" s="630"/>
      <c r="B28" s="633"/>
      <c r="C28" s="204" t="s">
        <v>251</v>
      </c>
      <c r="D28" s="611"/>
      <c r="E28" s="624"/>
      <c r="F28" s="612"/>
      <c r="G28" s="200"/>
      <c r="H28" s="202"/>
      <c r="I28" s="203"/>
      <c r="J28" s="200"/>
      <c r="K28" s="611"/>
      <c r="L28" s="612"/>
      <c r="M28" s="99"/>
      <c r="O28" s="199"/>
      <c r="P28" s="440"/>
      <c r="Q28" s="440"/>
      <c r="R28" s="199"/>
    </row>
    <row r="29" spans="1:18" s="189" customFormat="1" ht="15.75" customHeight="1">
      <c r="A29" s="618" t="s">
        <v>254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</row>
    <row r="30" spans="1:18" s="190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8" s="106" customFormat="1" ht="16.350000000000001" customHeight="1">
      <c r="A31" s="628" t="s">
        <v>128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</row>
    <row r="32" spans="1:18" ht="16.350000000000001" customHeight="1">
      <c r="A32" s="630"/>
      <c r="B32" s="195" t="s">
        <v>230</v>
      </c>
      <c r="C32" s="195" t="s">
        <v>231</v>
      </c>
      <c r="D32" s="195" t="s">
        <v>232</v>
      </c>
      <c r="E32" s="195" t="s">
        <v>233</v>
      </c>
      <c r="F32" s="195" t="s">
        <v>265</v>
      </c>
      <c r="G32" s="196" t="s">
        <v>234</v>
      </c>
      <c r="H32" s="194" t="s">
        <v>235</v>
      </c>
      <c r="I32" s="209" t="s">
        <v>236</v>
      </c>
      <c r="J32" s="196" t="s">
        <v>237</v>
      </c>
      <c r="K32" s="198"/>
      <c r="L32" s="198"/>
      <c r="N32" s="99"/>
      <c r="O32" s="99"/>
      <c r="P32" s="99"/>
      <c r="Q32" s="99"/>
      <c r="R32" s="99"/>
    </row>
    <row r="33" spans="1:18" s="106" customFormat="1" ht="15.75" customHeight="1">
      <c r="A33" s="634" t="s">
        <v>56</v>
      </c>
      <c r="B33" s="635"/>
      <c r="C33" s="160" t="s">
        <v>238</v>
      </c>
      <c r="D33" s="634" t="s">
        <v>239</v>
      </c>
      <c r="E33" s="636"/>
      <c r="F33" s="635"/>
      <c r="G33" s="160" t="s">
        <v>240</v>
      </c>
      <c r="H33" s="160" t="s">
        <v>241</v>
      </c>
      <c r="I33" s="160" t="s">
        <v>242</v>
      </c>
      <c r="J33" s="160" t="s">
        <v>243</v>
      </c>
      <c r="K33" s="634" t="s">
        <v>244</v>
      </c>
      <c r="L33" s="635"/>
      <c r="M33" s="127"/>
    </row>
    <row r="34" spans="1:18" ht="15.75" customHeight="1">
      <c r="A34" s="628">
        <f>J31</f>
        <v>9</v>
      </c>
      <c r="B34" s="631" t="str">
        <f>J32</f>
        <v>微波小吃</v>
      </c>
      <c r="C34" s="200">
        <v>1</v>
      </c>
      <c r="D34" s="611" t="s">
        <v>225</v>
      </c>
      <c r="E34" s="624"/>
      <c r="F34" s="612"/>
      <c r="G34" s="200">
        <v>13</v>
      </c>
      <c r="H34" s="202">
        <v>1079.3570191367746</v>
      </c>
      <c r="I34" s="203">
        <v>83.027463010521132</v>
      </c>
      <c r="J34" s="381">
        <f>I34-I8</f>
        <v>8.2199258080677851E-2</v>
      </c>
      <c r="K34" s="611" t="s">
        <v>246</v>
      </c>
      <c r="L34" s="612"/>
      <c r="N34" s="99"/>
      <c r="O34" s="99"/>
      <c r="P34" s="99"/>
      <c r="Q34" s="99"/>
      <c r="R34" s="99"/>
    </row>
    <row r="35" spans="1:18" ht="15.75" customHeight="1">
      <c r="A35" s="629"/>
      <c r="B35" s="632"/>
      <c r="C35" s="200">
        <v>2</v>
      </c>
      <c r="D35" s="611" t="s">
        <v>227</v>
      </c>
      <c r="E35" s="624"/>
      <c r="F35" s="612"/>
      <c r="G35" s="200">
        <v>22</v>
      </c>
      <c r="H35" s="202">
        <v>1604.9469454092605</v>
      </c>
      <c r="I35" s="203">
        <v>72.952133882239096</v>
      </c>
      <c r="J35" s="381">
        <f>I35-I9</f>
        <v>2.70958254473328E-2</v>
      </c>
      <c r="K35" s="611" t="s">
        <v>246</v>
      </c>
      <c r="L35" s="612"/>
      <c r="N35" s="99"/>
      <c r="O35" s="99"/>
      <c r="P35" s="99"/>
      <c r="Q35" s="99"/>
      <c r="R35" s="99"/>
    </row>
    <row r="36" spans="1:18" ht="15.75" customHeight="1">
      <c r="A36" s="629"/>
      <c r="B36" s="632"/>
      <c r="C36" s="200">
        <v>3</v>
      </c>
      <c r="D36" s="611" t="s">
        <v>226</v>
      </c>
      <c r="E36" s="624"/>
      <c r="F36" s="612"/>
      <c r="G36" s="200">
        <v>22</v>
      </c>
      <c r="H36" s="202">
        <v>1603.9340312158724</v>
      </c>
      <c r="I36" s="203">
        <v>72.906092327994202</v>
      </c>
      <c r="J36" s="381">
        <f>I36-I10</f>
        <v>2.0985592845150336E-2</v>
      </c>
      <c r="K36" s="611" t="s">
        <v>246</v>
      </c>
      <c r="L36" s="612"/>
      <c r="N36" s="99"/>
      <c r="O36" s="99"/>
      <c r="P36" s="99"/>
      <c r="Q36" s="99"/>
      <c r="R36" s="99"/>
    </row>
    <row r="37" spans="1:18" ht="15.75" customHeight="1">
      <c r="A37" s="629"/>
      <c r="B37" s="632"/>
      <c r="C37" s="200">
        <v>4</v>
      </c>
      <c r="D37" s="611"/>
      <c r="E37" s="624"/>
      <c r="F37" s="612"/>
      <c r="G37" s="200"/>
      <c r="H37" s="202"/>
      <c r="I37" s="203"/>
      <c r="J37" s="200"/>
      <c r="K37" s="611"/>
      <c r="L37" s="612"/>
      <c r="N37" s="99"/>
      <c r="O37" s="99"/>
      <c r="P37" s="99"/>
      <c r="Q37" s="99"/>
      <c r="R37" s="99"/>
    </row>
    <row r="38" spans="1:18" ht="15.75" customHeight="1">
      <c r="A38" s="629"/>
      <c r="B38" s="632"/>
      <c r="C38" s="200">
        <v>5</v>
      </c>
      <c r="D38" s="611"/>
      <c r="E38" s="624"/>
      <c r="F38" s="612"/>
      <c r="G38" s="200"/>
      <c r="H38" s="202"/>
      <c r="I38" s="203"/>
      <c r="J38" s="200"/>
      <c r="K38" s="611"/>
      <c r="L38" s="612"/>
      <c r="N38" s="99"/>
      <c r="O38" s="99"/>
      <c r="P38" s="99"/>
      <c r="Q38" s="99"/>
      <c r="R38" s="99"/>
    </row>
    <row r="39" spans="1:18" ht="15.75" customHeight="1">
      <c r="A39" s="629"/>
      <c r="B39" s="632"/>
      <c r="C39" s="204" t="s">
        <v>247</v>
      </c>
      <c r="D39" s="611"/>
      <c r="E39" s="624"/>
      <c r="F39" s="612"/>
      <c r="G39" s="200"/>
      <c r="H39" s="202"/>
      <c r="I39" s="203"/>
      <c r="J39" s="200"/>
      <c r="K39" s="611"/>
      <c r="L39" s="612"/>
      <c r="N39" s="99"/>
      <c r="O39" s="99"/>
      <c r="P39" s="99"/>
      <c r="Q39" s="99"/>
      <c r="R39" s="99"/>
    </row>
    <row r="40" spans="1:18" ht="15.75" customHeight="1">
      <c r="A40" s="629"/>
      <c r="B40" s="632"/>
      <c r="C40" s="204" t="s">
        <v>248</v>
      </c>
      <c r="D40" s="611"/>
      <c r="E40" s="624"/>
      <c r="F40" s="612"/>
      <c r="G40" s="200"/>
      <c r="H40" s="202"/>
      <c r="I40" s="203"/>
      <c r="J40" s="200"/>
      <c r="K40" s="611"/>
      <c r="L40" s="612"/>
      <c r="N40" s="99"/>
      <c r="O40" s="99"/>
      <c r="P40" s="99"/>
      <c r="Q40" s="99"/>
      <c r="R40" s="99"/>
    </row>
    <row r="41" spans="1:18" ht="15.75" customHeight="1">
      <c r="A41" s="629"/>
      <c r="B41" s="632"/>
      <c r="C41" s="204" t="s">
        <v>249</v>
      </c>
      <c r="D41" s="611"/>
      <c r="E41" s="624"/>
      <c r="F41" s="612"/>
      <c r="G41" s="200"/>
      <c r="H41" s="202"/>
      <c r="I41" s="203"/>
      <c r="J41" s="200"/>
      <c r="K41" s="611"/>
      <c r="L41" s="612"/>
      <c r="N41" s="99"/>
      <c r="O41" s="99"/>
      <c r="P41" s="99"/>
      <c r="Q41" s="99"/>
      <c r="R41" s="99"/>
    </row>
    <row r="42" spans="1:18" ht="15.75" customHeight="1">
      <c r="A42" s="629"/>
      <c r="B42" s="632"/>
      <c r="C42" s="204" t="s">
        <v>250</v>
      </c>
      <c r="D42" s="611"/>
      <c r="E42" s="624"/>
      <c r="F42" s="612"/>
      <c r="G42" s="200"/>
      <c r="H42" s="202"/>
      <c r="I42" s="203"/>
      <c r="J42" s="200"/>
      <c r="K42" s="611"/>
      <c r="L42" s="612"/>
      <c r="M42" s="99"/>
      <c r="N42" s="99"/>
      <c r="O42" s="99"/>
      <c r="P42" s="99"/>
      <c r="Q42" s="99"/>
      <c r="R42" s="99"/>
    </row>
    <row r="43" spans="1:18" ht="15.75" customHeight="1">
      <c r="A43" s="630"/>
      <c r="B43" s="633"/>
      <c r="C43" s="204" t="s">
        <v>251</v>
      </c>
      <c r="D43" s="611"/>
      <c r="E43" s="624"/>
      <c r="F43" s="612"/>
      <c r="G43" s="200"/>
      <c r="H43" s="202"/>
      <c r="I43" s="203"/>
      <c r="J43" s="200"/>
      <c r="K43" s="611"/>
      <c r="L43" s="612"/>
      <c r="M43" s="99"/>
      <c r="N43" s="99"/>
      <c r="O43" s="99"/>
      <c r="P43" s="99"/>
      <c r="Q43" s="99"/>
      <c r="R43" s="99"/>
    </row>
    <row r="44" spans="1:18" s="104" customFormat="1" ht="15.75" customHeight="1">
      <c r="A44" s="625" t="s">
        <v>56</v>
      </c>
      <c r="B44" s="626"/>
      <c r="C44" s="207" t="s">
        <v>238</v>
      </c>
      <c r="D44" s="625" t="s">
        <v>239</v>
      </c>
      <c r="E44" s="627"/>
      <c r="F44" s="626"/>
      <c r="G44" s="207" t="s">
        <v>240</v>
      </c>
      <c r="H44" s="207" t="s">
        <v>241</v>
      </c>
      <c r="I44" s="207" t="s">
        <v>242</v>
      </c>
      <c r="J44" s="160" t="s">
        <v>243</v>
      </c>
      <c r="K44" s="625" t="s">
        <v>244</v>
      </c>
      <c r="L44" s="626"/>
      <c r="M44" s="128"/>
    </row>
    <row r="45" spans="1:18" ht="15.75" customHeight="1">
      <c r="A45" s="628"/>
      <c r="B45" s="631"/>
      <c r="C45" s="200">
        <v>1</v>
      </c>
      <c r="D45" s="611"/>
      <c r="E45" s="624"/>
      <c r="F45" s="612"/>
      <c r="G45" s="200"/>
      <c r="H45" s="202"/>
      <c r="I45" s="203"/>
      <c r="J45" s="381"/>
      <c r="K45" s="617"/>
      <c r="L45" s="610"/>
      <c r="M45" s="99"/>
      <c r="N45" s="99"/>
      <c r="O45" s="99"/>
      <c r="P45" s="99"/>
      <c r="Q45" s="99"/>
      <c r="R45" s="99"/>
    </row>
    <row r="46" spans="1:18" ht="15.75" customHeight="1">
      <c r="A46" s="629"/>
      <c r="B46" s="632"/>
      <c r="C46" s="200">
        <v>2</v>
      </c>
      <c r="D46" s="611"/>
      <c r="E46" s="624"/>
      <c r="F46" s="612"/>
      <c r="G46" s="200"/>
      <c r="H46" s="202"/>
      <c r="I46" s="203"/>
      <c r="J46" s="381"/>
      <c r="K46" s="617"/>
      <c r="L46" s="610"/>
      <c r="M46" s="99"/>
      <c r="N46" s="99"/>
      <c r="O46" s="99"/>
      <c r="P46" s="99"/>
      <c r="Q46" s="99"/>
      <c r="R46" s="99"/>
    </row>
    <row r="47" spans="1:18" ht="15.75" customHeight="1">
      <c r="A47" s="629"/>
      <c r="B47" s="632"/>
      <c r="C47" s="200">
        <v>3</v>
      </c>
      <c r="D47" s="611"/>
      <c r="E47" s="624"/>
      <c r="F47" s="612"/>
      <c r="G47" s="200"/>
      <c r="H47" s="202"/>
      <c r="I47" s="203"/>
      <c r="J47" s="381"/>
      <c r="K47" s="617"/>
      <c r="L47" s="610"/>
      <c r="M47" s="99"/>
      <c r="N47" s="99"/>
      <c r="O47" s="99"/>
      <c r="P47" s="99"/>
      <c r="Q47" s="99"/>
      <c r="R47" s="99"/>
    </row>
    <row r="48" spans="1:18" ht="15.75" customHeight="1">
      <c r="A48" s="629"/>
      <c r="B48" s="632"/>
      <c r="C48" s="200">
        <v>4</v>
      </c>
      <c r="D48" s="611"/>
      <c r="E48" s="624"/>
      <c r="F48" s="612"/>
      <c r="G48" s="200"/>
      <c r="H48" s="202"/>
      <c r="I48" s="203"/>
      <c r="J48" s="200"/>
      <c r="K48" s="611"/>
      <c r="L48" s="612"/>
      <c r="M48" s="99"/>
      <c r="N48" s="99"/>
      <c r="O48" s="99"/>
      <c r="P48" s="99"/>
      <c r="Q48" s="99"/>
      <c r="R48" s="99"/>
    </row>
    <row r="49" spans="1:18" ht="15.75" customHeight="1">
      <c r="A49" s="629"/>
      <c r="B49" s="632"/>
      <c r="C49" s="200">
        <v>5</v>
      </c>
      <c r="D49" s="611"/>
      <c r="E49" s="624"/>
      <c r="F49" s="612"/>
      <c r="G49" s="200"/>
      <c r="H49" s="202"/>
      <c r="I49" s="203"/>
      <c r="J49" s="200"/>
      <c r="K49" s="611"/>
      <c r="L49" s="612"/>
      <c r="M49" s="99"/>
      <c r="N49" s="99"/>
      <c r="O49" s="99"/>
      <c r="P49" s="99"/>
      <c r="Q49" s="99"/>
      <c r="R49" s="99"/>
    </row>
    <row r="50" spans="1:18" ht="15.75" customHeight="1">
      <c r="A50" s="629"/>
      <c r="B50" s="632"/>
      <c r="C50" s="204" t="s">
        <v>247</v>
      </c>
      <c r="D50" s="611"/>
      <c r="E50" s="624"/>
      <c r="F50" s="612"/>
      <c r="G50" s="200"/>
      <c r="H50" s="202"/>
      <c r="I50" s="203"/>
      <c r="J50" s="200"/>
      <c r="K50" s="611"/>
      <c r="L50" s="612"/>
      <c r="M50" s="99"/>
      <c r="N50" s="99"/>
      <c r="O50" s="99"/>
      <c r="P50" s="99"/>
      <c r="Q50" s="99"/>
      <c r="R50" s="99"/>
    </row>
    <row r="51" spans="1:18" ht="15.75" customHeight="1">
      <c r="A51" s="629"/>
      <c r="B51" s="632"/>
      <c r="C51" s="204" t="s">
        <v>248</v>
      </c>
      <c r="D51" s="611"/>
      <c r="E51" s="624"/>
      <c r="F51" s="612"/>
      <c r="G51" s="200"/>
      <c r="H51" s="202"/>
      <c r="I51" s="203"/>
      <c r="J51" s="200"/>
      <c r="K51" s="611"/>
      <c r="L51" s="612"/>
      <c r="M51" s="99"/>
      <c r="N51" s="99"/>
      <c r="O51" s="99"/>
      <c r="P51" s="99"/>
      <c r="Q51" s="99"/>
      <c r="R51" s="99"/>
    </row>
    <row r="52" spans="1:18" ht="15.75" customHeight="1">
      <c r="A52" s="629"/>
      <c r="B52" s="632"/>
      <c r="C52" s="204" t="s">
        <v>249</v>
      </c>
      <c r="D52" s="611"/>
      <c r="E52" s="624"/>
      <c r="F52" s="612"/>
      <c r="G52" s="200"/>
      <c r="H52" s="202"/>
      <c r="I52" s="203"/>
      <c r="J52" s="200"/>
      <c r="K52" s="611"/>
      <c r="L52" s="612"/>
      <c r="M52" s="99"/>
      <c r="N52" s="99"/>
      <c r="O52" s="99"/>
      <c r="P52" s="99"/>
      <c r="Q52" s="99"/>
      <c r="R52" s="99"/>
    </row>
    <row r="53" spans="1:18" ht="15.75" customHeight="1">
      <c r="A53" s="629"/>
      <c r="B53" s="632"/>
      <c r="C53" s="204" t="s">
        <v>250</v>
      </c>
      <c r="D53" s="611"/>
      <c r="E53" s="624"/>
      <c r="F53" s="612"/>
      <c r="G53" s="200"/>
      <c r="H53" s="202"/>
      <c r="I53" s="203"/>
      <c r="J53" s="200"/>
      <c r="K53" s="611"/>
      <c r="L53" s="612"/>
      <c r="M53" s="99"/>
      <c r="N53" s="99"/>
      <c r="O53" s="99"/>
      <c r="P53" s="99"/>
      <c r="Q53" s="99"/>
      <c r="R53" s="99"/>
    </row>
    <row r="54" spans="1:18" ht="15.75" customHeight="1">
      <c r="A54" s="630"/>
      <c r="B54" s="633"/>
      <c r="C54" s="204" t="s">
        <v>251</v>
      </c>
      <c r="D54" s="611"/>
      <c r="E54" s="624"/>
      <c r="F54" s="612"/>
      <c r="G54" s="200"/>
      <c r="H54" s="202"/>
      <c r="I54" s="203"/>
      <c r="J54" s="200"/>
      <c r="K54" s="611"/>
      <c r="L54" s="612"/>
      <c r="M54" s="99"/>
      <c r="N54" s="99"/>
      <c r="O54" s="99"/>
      <c r="P54" s="99"/>
      <c r="Q54" s="99"/>
      <c r="R54" s="99"/>
    </row>
    <row r="55" spans="1:18" ht="15.75" customHeight="1">
      <c r="A55" s="618" t="s">
        <v>255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99"/>
    </row>
    <row r="56" spans="1:18" s="100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  <c r="N56" s="190"/>
      <c r="O56" s="190"/>
      <c r="P56" s="190"/>
      <c r="Q56" s="190"/>
      <c r="R56" s="190"/>
    </row>
    <row r="57" spans="1:18" s="106" customFormat="1" ht="16.350000000000001" customHeight="1">
      <c r="A57" s="628" t="s">
        <v>128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30"/>
      <c r="B58" s="195" t="s">
        <v>230</v>
      </c>
      <c r="C58" s="195" t="s">
        <v>231</v>
      </c>
      <c r="D58" s="195" t="s">
        <v>232</v>
      </c>
      <c r="E58" s="195" t="s">
        <v>233</v>
      </c>
      <c r="F58" s="195" t="s">
        <v>265</v>
      </c>
      <c r="G58" s="196" t="s">
        <v>234</v>
      </c>
      <c r="H58" s="197" t="s">
        <v>235</v>
      </c>
      <c r="I58" s="196" t="s">
        <v>236</v>
      </c>
      <c r="J58" s="209" t="s">
        <v>237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34" t="s">
        <v>56</v>
      </c>
      <c r="B59" s="635"/>
      <c r="C59" s="160" t="s">
        <v>238</v>
      </c>
      <c r="D59" s="634" t="s">
        <v>239</v>
      </c>
      <c r="E59" s="636"/>
      <c r="F59" s="635"/>
      <c r="G59" s="160" t="s">
        <v>240</v>
      </c>
      <c r="H59" s="160" t="s">
        <v>241</v>
      </c>
      <c r="I59" s="160" t="s">
        <v>242</v>
      </c>
      <c r="J59" s="160" t="s">
        <v>243</v>
      </c>
      <c r="K59" s="634" t="s">
        <v>244</v>
      </c>
      <c r="L59" s="635"/>
      <c r="M59" s="127"/>
      <c r="N59" s="189"/>
      <c r="O59" s="199"/>
      <c r="P59" s="440"/>
      <c r="Q59" s="440"/>
      <c r="R59" s="199"/>
    </row>
    <row r="60" spans="1:18" ht="15.75" customHeight="1">
      <c r="A60" s="628">
        <f>J57</f>
        <v>9</v>
      </c>
      <c r="B60" s="631" t="str">
        <f>J58</f>
        <v>微波小吃</v>
      </c>
      <c r="C60" s="200">
        <v>1</v>
      </c>
      <c r="D60" s="611" t="s">
        <v>225</v>
      </c>
      <c r="E60" s="624"/>
      <c r="F60" s="612"/>
      <c r="G60" s="200">
        <v>13</v>
      </c>
      <c r="H60" s="202">
        <v>1079.5109064071016</v>
      </c>
      <c r="I60" s="203">
        <v>83.039300492853954</v>
      </c>
      <c r="J60" s="381">
        <f>I60-I34</f>
        <v>1.1837482332822447E-2</v>
      </c>
      <c r="K60" s="611" t="s">
        <v>246</v>
      </c>
      <c r="L60" s="612"/>
      <c r="O60" s="199"/>
      <c r="P60" s="440"/>
      <c r="Q60" s="440"/>
      <c r="R60" s="199"/>
    </row>
    <row r="61" spans="1:18" ht="15.75" customHeight="1">
      <c r="A61" s="629"/>
      <c r="B61" s="632"/>
      <c r="C61" s="200">
        <v>2</v>
      </c>
      <c r="D61" s="611" t="s">
        <v>226</v>
      </c>
      <c r="E61" s="624"/>
      <c r="F61" s="612"/>
      <c r="G61" s="200">
        <v>22</v>
      </c>
      <c r="H61" s="202">
        <v>1605.2701269178538</v>
      </c>
      <c r="I61" s="203">
        <v>72.966823950811531</v>
      </c>
      <c r="J61" s="381">
        <f>I61-I36</f>
        <v>6.0731622817328912E-2</v>
      </c>
      <c r="K61" s="611" t="s">
        <v>246</v>
      </c>
      <c r="L61" s="612"/>
      <c r="O61" s="199"/>
      <c r="P61" s="440"/>
      <c r="Q61" s="440"/>
      <c r="R61" s="199"/>
    </row>
    <row r="62" spans="1:18" ht="15.75" customHeight="1">
      <c r="A62" s="629"/>
      <c r="B62" s="632"/>
      <c r="C62" s="200">
        <v>3</v>
      </c>
      <c r="D62" s="611"/>
      <c r="E62" s="624"/>
      <c r="F62" s="612"/>
      <c r="G62" s="200"/>
      <c r="H62" s="202"/>
      <c r="I62" s="203"/>
      <c r="J62" s="200"/>
      <c r="K62" s="611"/>
      <c r="L62" s="612"/>
      <c r="O62" s="199"/>
      <c r="P62" s="440"/>
      <c r="Q62" s="440"/>
      <c r="R62" s="199"/>
    </row>
    <row r="63" spans="1:18" ht="15.75" customHeight="1">
      <c r="A63" s="629"/>
      <c r="B63" s="632"/>
      <c r="C63" s="200">
        <v>4</v>
      </c>
      <c r="D63" s="611"/>
      <c r="E63" s="624"/>
      <c r="F63" s="612"/>
      <c r="G63" s="202"/>
      <c r="H63" s="202"/>
      <c r="I63" s="203"/>
      <c r="J63" s="200"/>
      <c r="K63" s="611"/>
      <c r="L63" s="612"/>
      <c r="O63" s="199"/>
      <c r="P63" s="440"/>
      <c r="Q63" s="440"/>
      <c r="R63" s="199"/>
    </row>
    <row r="64" spans="1:18" ht="15.75" customHeight="1">
      <c r="A64" s="629"/>
      <c r="B64" s="632"/>
      <c r="C64" s="200">
        <v>5</v>
      </c>
      <c r="D64" s="611"/>
      <c r="E64" s="624"/>
      <c r="F64" s="612"/>
      <c r="G64" s="200"/>
      <c r="H64" s="202"/>
      <c r="I64" s="203"/>
      <c r="J64" s="200"/>
      <c r="K64" s="611"/>
      <c r="L64" s="612"/>
      <c r="O64" s="199"/>
      <c r="P64" s="440"/>
      <c r="Q64" s="440"/>
      <c r="R64" s="199"/>
    </row>
    <row r="65" spans="1:18" ht="15.75" customHeight="1">
      <c r="A65" s="629"/>
      <c r="B65" s="632"/>
      <c r="C65" s="204" t="s">
        <v>247</v>
      </c>
      <c r="D65" s="611"/>
      <c r="E65" s="624"/>
      <c r="F65" s="612"/>
      <c r="G65" s="200"/>
      <c r="H65" s="202"/>
      <c r="I65" s="203"/>
      <c r="J65" s="200"/>
      <c r="K65" s="611"/>
      <c r="L65" s="612"/>
      <c r="O65" s="199"/>
      <c r="P65" s="440"/>
      <c r="Q65" s="440"/>
      <c r="R65" s="199"/>
    </row>
    <row r="66" spans="1:18" ht="15.75" customHeight="1">
      <c r="A66" s="629"/>
      <c r="B66" s="632"/>
      <c r="C66" s="204" t="s">
        <v>248</v>
      </c>
      <c r="D66" s="611"/>
      <c r="E66" s="624"/>
      <c r="F66" s="612"/>
      <c r="G66" s="200"/>
      <c r="H66" s="202"/>
      <c r="I66" s="203"/>
      <c r="J66" s="200"/>
      <c r="K66" s="611"/>
      <c r="L66" s="612"/>
      <c r="N66" s="178"/>
      <c r="O66" s="178"/>
      <c r="P66" s="439"/>
      <c r="Q66" s="439"/>
      <c r="R66" s="178"/>
    </row>
    <row r="67" spans="1:18" ht="15.75" customHeight="1">
      <c r="A67" s="629"/>
      <c r="B67" s="632"/>
      <c r="C67" s="204" t="s">
        <v>249</v>
      </c>
      <c r="D67" s="611"/>
      <c r="E67" s="624"/>
      <c r="F67" s="612"/>
      <c r="G67" s="200"/>
      <c r="H67" s="202"/>
      <c r="I67" s="203"/>
      <c r="J67" s="200"/>
      <c r="K67" s="611"/>
      <c r="L67" s="612"/>
      <c r="O67" s="199"/>
      <c r="P67" s="440"/>
      <c r="Q67" s="440"/>
      <c r="R67" s="199"/>
    </row>
    <row r="68" spans="1:18" ht="15.75" customHeight="1">
      <c r="A68" s="629"/>
      <c r="B68" s="632"/>
      <c r="C68" s="204" t="s">
        <v>250</v>
      </c>
      <c r="D68" s="611"/>
      <c r="E68" s="624"/>
      <c r="F68" s="612"/>
      <c r="G68" s="200"/>
      <c r="H68" s="202"/>
      <c r="I68" s="203"/>
      <c r="J68" s="200"/>
      <c r="K68" s="611"/>
      <c r="L68" s="612"/>
      <c r="M68" s="99"/>
      <c r="O68" s="199"/>
      <c r="P68" s="440"/>
      <c r="Q68" s="440"/>
      <c r="R68" s="199"/>
    </row>
    <row r="69" spans="1:18" ht="15.75" customHeight="1">
      <c r="A69" s="630"/>
      <c r="B69" s="633"/>
      <c r="C69" s="204" t="s">
        <v>251</v>
      </c>
      <c r="D69" s="611"/>
      <c r="E69" s="624"/>
      <c r="F69" s="612"/>
      <c r="G69" s="200"/>
      <c r="H69" s="202"/>
      <c r="I69" s="203"/>
      <c r="J69" s="200"/>
      <c r="K69" s="611"/>
      <c r="L69" s="612"/>
      <c r="M69" s="99"/>
      <c r="O69" s="199"/>
      <c r="P69" s="440"/>
      <c r="Q69" s="440"/>
      <c r="R69" s="199"/>
    </row>
    <row r="70" spans="1:18" s="104" customFormat="1" ht="15.75" customHeight="1">
      <c r="A70" s="625" t="s">
        <v>56</v>
      </c>
      <c r="B70" s="626"/>
      <c r="C70" s="207" t="s">
        <v>238</v>
      </c>
      <c r="D70" s="625" t="s">
        <v>239</v>
      </c>
      <c r="E70" s="627"/>
      <c r="F70" s="626"/>
      <c r="G70" s="207" t="s">
        <v>240</v>
      </c>
      <c r="H70" s="207" t="s">
        <v>241</v>
      </c>
      <c r="I70" s="207" t="s">
        <v>242</v>
      </c>
      <c r="J70" s="160" t="s">
        <v>243</v>
      </c>
      <c r="K70" s="625" t="s">
        <v>244</v>
      </c>
      <c r="L70" s="626"/>
      <c r="M70" s="128"/>
      <c r="N70" s="189"/>
      <c r="O70" s="199"/>
      <c r="P70" s="440"/>
      <c r="Q70" s="440"/>
      <c r="R70" s="199"/>
    </row>
    <row r="71" spans="1:18" ht="15.75" customHeight="1">
      <c r="A71" s="628"/>
      <c r="B71" s="631"/>
      <c r="C71" s="200">
        <v>1</v>
      </c>
      <c r="D71" s="611"/>
      <c r="E71" s="624"/>
      <c r="F71" s="612"/>
      <c r="G71" s="200"/>
      <c r="H71" s="202"/>
      <c r="I71" s="203"/>
      <c r="J71" s="200"/>
      <c r="K71" s="611"/>
      <c r="L71" s="612"/>
      <c r="M71" s="99"/>
      <c r="N71" s="199"/>
      <c r="O71" s="199"/>
      <c r="P71" s="440"/>
      <c r="Q71" s="440"/>
      <c r="R71" s="199"/>
    </row>
    <row r="72" spans="1:18" ht="15.75" customHeight="1">
      <c r="A72" s="629"/>
      <c r="B72" s="632"/>
      <c r="C72" s="200">
        <v>2</v>
      </c>
      <c r="D72" s="611"/>
      <c r="E72" s="624"/>
      <c r="F72" s="612"/>
      <c r="G72" s="200"/>
      <c r="H72" s="202"/>
      <c r="I72" s="203"/>
      <c r="J72" s="200"/>
      <c r="K72" s="611"/>
      <c r="L72" s="612"/>
      <c r="M72" s="99"/>
      <c r="O72" s="199"/>
      <c r="P72" s="440"/>
      <c r="Q72" s="440"/>
      <c r="R72" s="199"/>
    </row>
    <row r="73" spans="1:18" ht="15.75" customHeight="1">
      <c r="A73" s="629"/>
      <c r="B73" s="632"/>
      <c r="C73" s="200">
        <v>3</v>
      </c>
      <c r="D73" s="611"/>
      <c r="E73" s="624"/>
      <c r="F73" s="612"/>
      <c r="G73" s="200"/>
      <c r="H73" s="202"/>
      <c r="I73" s="203"/>
      <c r="J73" s="200"/>
      <c r="K73" s="611"/>
      <c r="L73" s="612"/>
      <c r="M73" s="99"/>
      <c r="O73" s="199"/>
      <c r="P73" s="440"/>
      <c r="Q73" s="440"/>
      <c r="R73" s="199"/>
    </row>
    <row r="74" spans="1:18" ht="15.75" customHeight="1">
      <c r="A74" s="629"/>
      <c r="B74" s="632"/>
      <c r="C74" s="200">
        <v>4</v>
      </c>
      <c r="D74" s="611"/>
      <c r="E74" s="624"/>
      <c r="F74" s="612"/>
      <c r="G74" s="200"/>
      <c r="H74" s="202"/>
      <c r="I74" s="203"/>
      <c r="J74" s="200"/>
      <c r="K74" s="611"/>
      <c r="L74" s="612"/>
      <c r="M74" s="99"/>
      <c r="O74" s="199"/>
      <c r="P74" s="440"/>
      <c r="Q74" s="440"/>
      <c r="R74" s="199"/>
    </row>
    <row r="75" spans="1:18" ht="15.75" customHeight="1">
      <c r="A75" s="629"/>
      <c r="B75" s="632"/>
      <c r="C75" s="200">
        <v>5</v>
      </c>
      <c r="D75" s="611"/>
      <c r="E75" s="624"/>
      <c r="F75" s="612"/>
      <c r="G75" s="200"/>
      <c r="H75" s="202"/>
      <c r="I75" s="203"/>
      <c r="J75" s="200"/>
      <c r="K75" s="611"/>
      <c r="L75" s="612"/>
      <c r="M75" s="99"/>
      <c r="O75" s="199"/>
      <c r="P75" s="440"/>
      <c r="Q75" s="440"/>
      <c r="R75" s="199"/>
    </row>
    <row r="76" spans="1:18" ht="15.75" customHeight="1">
      <c r="A76" s="629"/>
      <c r="B76" s="632"/>
      <c r="C76" s="204" t="s">
        <v>247</v>
      </c>
      <c r="D76" s="611"/>
      <c r="E76" s="624"/>
      <c r="F76" s="612"/>
      <c r="G76" s="200"/>
      <c r="H76" s="202"/>
      <c r="I76" s="203"/>
      <c r="J76" s="200"/>
      <c r="K76" s="611"/>
      <c r="L76" s="612"/>
      <c r="M76" s="99"/>
      <c r="O76" s="199"/>
      <c r="P76" s="440"/>
      <c r="Q76" s="440"/>
      <c r="R76" s="199"/>
    </row>
    <row r="77" spans="1:18" ht="15.75" customHeight="1">
      <c r="A77" s="629"/>
      <c r="B77" s="632"/>
      <c r="C77" s="204" t="s">
        <v>248</v>
      </c>
      <c r="D77" s="611"/>
      <c r="E77" s="624"/>
      <c r="F77" s="612"/>
      <c r="G77" s="200"/>
      <c r="H77" s="202"/>
      <c r="I77" s="203"/>
      <c r="J77" s="200"/>
      <c r="K77" s="611"/>
      <c r="L77" s="612"/>
      <c r="M77" s="99"/>
      <c r="O77" s="199"/>
      <c r="P77" s="440"/>
      <c r="Q77" s="440"/>
      <c r="R77" s="199"/>
    </row>
    <row r="78" spans="1:18" ht="15.75" customHeight="1">
      <c r="A78" s="629"/>
      <c r="B78" s="632"/>
      <c r="C78" s="204" t="s">
        <v>249</v>
      </c>
      <c r="D78" s="611"/>
      <c r="E78" s="624"/>
      <c r="F78" s="612"/>
      <c r="G78" s="200"/>
      <c r="H78" s="202"/>
      <c r="I78" s="203"/>
      <c r="J78" s="200"/>
      <c r="K78" s="611"/>
      <c r="L78" s="612"/>
      <c r="M78" s="99"/>
      <c r="O78" s="199"/>
      <c r="P78" s="440"/>
      <c r="Q78" s="440"/>
      <c r="R78" s="199"/>
    </row>
    <row r="79" spans="1:18" ht="15.75" customHeight="1">
      <c r="A79" s="629"/>
      <c r="B79" s="632"/>
      <c r="C79" s="204" t="s">
        <v>250</v>
      </c>
      <c r="D79" s="611"/>
      <c r="E79" s="624"/>
      <c r="F79" s="612"/>
      <c r="G79" s="200"/>
      <c r="H79" s="202"/>
      <c r="I79" s="203"/>
      <c r="J79" s="200"/>
      <c r="K79" s="611"/>
      <c r="L79" s="612"/>
      <c r="M79" s="99"/>
      <c r="O79" s="199"/>
      <c r="P79" s="440"/>
      <c r="Q79" s="440"/>
      <c r="R79" s="199"/>
    </row>
    <row r="80" spans="1:18" ht="15.75" customHeight="1">
      <c r="A80" s="630"/>
      <c r="B80" s="633"/>
      <c r="C80" s="204" t="s">
        <v>251</v>
      </c>
      <c r="D80" s="611"/>
      <c r="E80" s="624"/>
      <c r="F80" s="612"/>
      <c r="G80" s="200"/>
      <c r="H80" s="202"/>
      <c r="I80" s="203"/>
      <c r="J80" s="200"/>
      <c r="K80" s="611"/>
      <c r="L80" s="612"/>
      <c r="M80" s="99"/>
      <c r="O80" s="199"/>
      <c r="P80" s="440"/>
      <c r="Q80" s="440"/>
      <c r="R80" s="199"/>
    </row>
    <row r="81" spans="1:18" s="189" customFormat="1" ht="15.75" customHeight="1">
      <c r="A81" s="618" t="s">
        <v>256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</row>
    <row r="82" spans="1:18" s="190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8" s="106" customFormat="1" ht="16.350000000000001" customHeight="1">
      <c r="A83" s="628" t="s">
        <v>128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30"/>
      <c r="B84" s="195" t="s">
        <v>230</v>
      </c>
      <c r="C84" s="195" t="s">
        <v>231</v>
      </c>
      <c r="D84" s="195" t="s">
        <v>232</v>
      </c>
      <c r="E84" s="195" t="s">
        <v>233</v>
      </c>
      <c r="F84" s="195" t="s">
        <v>265</v>
      </c>
      <c r="G84" s="196" t="s">
        <v>234</v>
      </c>
      <c r="H84" s="197" t="s">
        <v>235</v>
      </c>
      <c r="I84" s="196" t="s">
        <v>236</v>
      </c>
      <c r="J84" s="209" t="s">
        <v>237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34" t="s">
        <v>56</v>
      </c>
      <c r="B85" s="635"/>
      <c r="C85" s="160" t="s">
        <v>238</v>
      </c>
      <c r="D85" s="634" t="s">
        <v>239</v>
      </c>
      <c r="E85" s="636"/>
      <c r="F85" s="635"/>
      <c r="G85" s="160" t="s">
        <v>240</v>
      </c>
      <c r="H85" s="160" t="s">
        <v>241</v>
      </c>
      <c r="I85" s="160" t="s">
        <v>242</v>
      </c>
      <c r="J85" s="160" t="s">
        <v>243</v>
      </c>
      <c r="K85" s="634" t="s">
        <v>244</v>
      </c>
      <c r="L85" s="635"/>
      <c r="M85" s="127"/>
      <c r="N85" s="189"/>
      <c r="O85" s="199"/>
      <c r="P85" s="440"/>
      <c r="Q85" s="440"/>
      <c r="R85" s="199"/>
    </row>
    <row r="86" spans="1:18" ht="15.75" customHeight="1">
      <c r="A86" s="628">
        <f>J83</f>
        <v>9</v>
      </c>
      <c r="B86" s="631" t="str">
        <f>J84</f>
        <v>微波小吃</v>
      </c>
      <c r="C86" s="200">
        <v>1</v>
      </c>
      <c r="D86" s="611" t="s">
        <v>225</v>
      </c>
      <c r="E86" s="624"/>
      <c r="F86" s="612"/>
      <c r="G86" s="200">
        <v>13</v>
      </c>
      <c r="H86" s="202">
        <v>1079.5839379648244</v>
      </c>
      <c r="I86" s="203">
        <v>83.044918304986481</v>
      </c>
      <c r="J86" s="381">
        <f>I86-I60</f>
        <v>5.6178121325274333E-3</v>
      </c>
      <c r="K86" s="611" t="s">
        <v>246</v>
      </c>
      <c r="L86" s="612"/>
      <c r="O86" s="199"/>
      <c r="P86" s="440"/>
      <c r="Q86" s="440"/>
      <c r="R86" s="199"/>
    </row>
    <row r="87" spans="1:18" ht="15.75" customHeight="1">
      <c r="A87" s="629"/>
      <c r="B87" s="632"/>
      <c r="C87" s="200">
        <v>2</v>
      </c>
      <c r="D87" s="611" t="s">
        <v>226</v>
      </c>
      <c r="E87" s="624"/>
      <c r="F87" s="612"/>
      <c r="G87" s="200">
        <v>22</v>
      </c>
      <c r="H87" s="202">
        <v>1606.2268207819984</v>
      </c>
      <c r="I87" s="203">
        <v>73.010310035545373</v>
      </c>
      <c r="J87" s="381">
        <f>I87-I61</f>
        <v>4.3486084733842745E-2</v>
      </c>
      <c r="K87" s="611" t="s">
        <v>246</v>
      </c>
      <c r="L87" s="612"/>
      <c r="O87" s="199"/>
      <c r="P87" s="440"/>
      <c r="Q87" s="440"/>
      <c r="R87" s="199"/>
    </row>
    <row r="88" spans="1:18" ht="15.75" customHeight="1">
      <c r="A88" s="629"/>
      <c r="B88" s="632"/>
      <c r="C88" s="200">
        <v>3</v>
      </c>
      <c r="D88" s="611"/>
      <c r="E88" s="624"/>
      <c r="F88" s="612"/>
      <c r="G88" s="200"/>
      <c r="H88" s="202"/>
      <c r="I88" s="203"/>
      <c r="J88" s="200"/>
      <c r="K88" s="611"/>
      <c r="L88" s="612"/>
      <c r="O88" s="199"/>
      <c r="P88" s="440"/>
      <c r="Q88" s="440"/>
      <c r="R88" s="199"/>
    </row>
    <row r="89" spans="1:18" ht="15.75" customHeight="1">
      <c r="A89" s="629"/>
      <c r="B89" s="632"/>
      <c r="C89" s="200">
        <v>4</v>
      </c>
      <c r="D89" s="611"/>
      <c r="E89" s="624"/>
      <c r="F89" s="612"/>
      <c r="G89" s="202"/>
      <c r="H89" s="202"/>
      <c r="I89" s="203"/>
      <c r="J89" s="200"/>
      <c r="K89" s="611"/>
      <c r="L89" s="612"/>
      <c r="O89" s="199"/>
      <c r="P89" s="440"/>
      <c r="Q89" s="440"/>
      <c r="R89" s="199"/>
    </row>
    <row r="90" spans="1:18" ht="15.75" customHeight="1">
      <c r="A90" s="629"/>
      <c r="B90" s="632"/>
      <c r="C90" s="200">
        <v>5</v>
      </c>
      <c r="D90" s="611"/>
      <c r="E90" s="624"/>
      <c r="F90" s="612"/>
      <c r="G90" s="200"/>
      <c r="H90" s="202"/>
      <c r="I90" s="203"/>
      <c r="J90" s="200"/>
      <c r="K90" s="611"/>
      <c r="L90" s="612"/>
      <c r="O90" s="199"/>
      <c r="P90" s="440"/>
      <c r="Q90" s="440"/>
      <c r="R90" s="199"/>
    </row>
    <row r="91" spans="1:18" ht="15.75" customHeight="1">
      <c r="A91" s="629"/>
      <c r="B91" s="632"/>
      <c r="C91" s="204" t="s">
        <v>247</v>
      </c>
      <c r="D91" s="611"/>
      <c r="E91" s="624"/>
      <c r="F91" s="612"/>
      <c r="G91" s="200"/>
      <c r="H91" s="202"/>
      <c r="I91" s="203"/>
      <c r="J91" s="200"/>
      <c r="K91" s="611"/>
      <c r="L91" s="612"/>
      <c r="O91" s="199"/>
      <c r="P91" s="440"/>
      <c r="Q91" s="440"/>
      <c r="R91" s="199"/>
    </row>
    <row r="92" spans="1:18" ht="15.75" customHeight="1">
      <c r="A92" s="629"/>
      <c r="B92" s="632"/>
      <c r="C92" s="204" t="s">
        <v>248</v>
      </c>
      <c r="D92" s="611"/>
      <c r="E92" s="624"/>
      <c r="F92" s="612"/>
      <c r="G92" s="200"/>
      <c r="H92" s="202"/>
      <c r="I92" s="203"/>
      <c r="J92" s="200"/>
      <c r="K92" s="611"/>
      <c r="L92" s="612"/>
      <c r="N92" s="178"/>
      <c r="O92" s="178"/>
      <c r="P92" s="439"/>
      <c r="Q92" s="439"/>
      <c r="R92" s="178"/>
    </row>
    <row r="93" spans="1:18" ht="15.75" customHeight="1">
      <c r="A93" s="629"/>
      <c r="B93" s="632"/>
      <c r="C93" s="204" t="s">
        <v>249</v>
      </c>
      <c r="D93" s="611"/>
      <c r="E93" s="624"/>
      <c r="F93" s="612"/>
      <c r="G93" s="200"/>
      <c r="H93" s="202"/>
      <c r="I93" s="203"/>
      <c r="J93" s="200"/>
      <c r="K93" s="611"/>
      <c r="L93" s="612"/>
      <c r="O93" s="199"/>
      <c r="P93" s="440"/>
      <c r="Q93" s="440"/>
      <c r="R93" s="199"/>
    </row>
    <row r="94" spans="1:18" ht="15.75" customHeight="1">
      <c r="A94" s="629"/>
      <c r="B94" s="632"/>
      <c r="C94" s="204" t="s">
        <v>250</v>
      </c>
      <c r="D94" s="611"/>
      <c r="E94" s="624"/>
      <c r="F94" s="612"/>
      <c r="G94" s="200"/>
      <c r="H94" s="202"/>
      <c r="I94" s="203"/>
      <c r="J94" s="200"/>
      <c r="K94" s="611"/>
      <c r="L94" s="612"/>
      <c r="M94" s="99"/>
      <c r="O94" s="199"/>
      <c r="P94" s="440"/>
      <c r="Q94" s="440"/>
      <c r="R94" s="199"/>
    </row>
    <row r="95" spans="1:18" ht="15.75" customHeight="1">
      <c r="A95" s="630"/>
      <c r="B95" s="633"/>
      <c r="C95" s="204" t="s">
        <v>251</v>
      </c>
      <c r="D95" s="611"/>
      <c r="E95" s="624"/>
      <c r="F95" s="612"/>
      <c r="G95" s="200"/>
      <c r="H95" s="202"/>
      <c r="I95" s="203"/>
      <c r="J95" s="200"/>
      <c r="K95" s="611"/>
      <c r="L95" s="612"/>
      <c r="M95" s="99"/>
      <c r="O95" s="199"/>
      <c r="P95" s="440"/>
      <c r="Q95" s="440"/>
      <c r="R95" s="199"/>
    </row>
    <row r="96" spans="1:18" s="104" customFormat="1" ht="15.75" customHeight="1">
      <c r="A96" s="625" t="s">
        <v>56</v>
      </c>
      <c r="B96" s="626"/>
      <c r="C96" s="207" t="s">
        <v>238</v>
      </c>
      <c r="D96" s="625" t="s">
        <v>239</v>
      </c>
      <c r="E96" s="627"/>
      <c r="F96" s="626"/>
      <c r="G96" s="207" t="s">
        <v>240</v>
      </c>
      <c r="H96" s="207" t="s">
        <v>241</v>
      </c>
      <c r="I96" s="207" t="s">
        <v>242</v>
      </c>
      <c r="J96" s="160" t="s">
        <v>243</v>
      </c>
      <c r="K96" s="625" t="s">
        <v>244</v>
      </c>
      <c r="L96" s="626"/>
      <c r="M96" s="128"/>
      <c r="N96" s="189"/>
      <c r="O96" s="199"/>
      <c r="P96" s="440"/>
      <c r="Q96" s="440"/>
      <c r="R96" s="199"/>
    </row>
    <row r="97" spans="1:18" ht="15.75" customHeight="1">
      <c r="A97" s="628"/>
      <c r="B97" s="631"/>
      <c r="C97" s="200">
        <v>1</v>
      </c>
      <c r="D97" s="611"/>
      <c r="E97" s="624"/>
      <c r="F97" s="612"/>
      <c r="G97" s="200"/>
      <c r="H97" s="202"/>
      <c r="I97" s="203"/>
      <c r="J97" s="200"/>
      <c r="K97" s="611"/>
      <c r="L97" s="612"/>
      <c r="M97" s="99"/>
      <c r="N97" s="199"/>
      <c r="O97" s="199"/>
      <c r="P97" s="440"/>
      <c r="Q97" s="440"/>
      <c r="R97" s="199"/>
    </row>
    <row r="98" spans="1:18" ht="15.75" customHeight="1">
      <c r="A98" s="629"/>
      <c r="B98" s="632"/>
      <c r="C98" s="200">
        <v>2</v>
      </c>
      <c r="D98" s="611"/>
      <c r="E98" s="624"/>
      <c r="F98" s="612"/>
      <c r="G98" s="200"/>
      <c r="H98" s="202"/>
      <c r="I98" s="203"/>
      <c r="J98" s="200"/>
      <c r="K98" s="611"/>
      <c r="L98" s="612"/>
      <c r="M98" s="99"/>
      <c r="O98" s="199"/>
      <c r="P98" s="440"/>
      <c r="Q98" s="440"/>
      <c r="R98" s="199"/>
    </row>
    <row r="99" spans="1:18" ht="15.75" customHeight="1">
      <c r="A99" s="629"/>
      <c r="B99" s="632"/>
      <c r="C99" s="200">
        <v>3</v>
      </c>
      <c r="D99" s="611"/>
      <c r="E99" s="624"/>
      <c r="F99" s="612"/>
      <c r="G99" s="200"/>
      <c r="H99" s="202"/>
      <c r="I99" s="203"/>
      <c r="J99" s="200"/>
      <c r="K99" s="611"/>
      <c r="L99" s="612"/>
      <c r="M99" s="99"/>
      <c r="O99" s="199"/>
      <c r="P99" s="440"/>
      <c r="Q99" s="440"/>
      <c r="R99" s="199"/>
    </row>
    <row r="100" spans="1:18" ht="15.75" customHeight="1">
      <c r="A100" s="629"/>
      <c r="B100" s="632"/>
      <c r="C100" s="200">
        <v>4</v>
      </c>
      <c r="D100" s="611"/>
      <c r="E100" s="624"/>
      <c r="F100" s="612"/>
      <c r="G100" s="200"/>
      <c r="H100" s="202"/>
      <c r="I100" s="203"/>
      <c r="J100" s="200"/>
      <c r="K100" s="611"/>
      <c r="L100" s="612"/>
      <c r="M100" s="99"/>
      <c r="O100" s="199"/>
      <c r="P100" s="440"/>
      <c r="Q100" s="440"/>
      <c r="R100" s="199"/>
    </row>
    <row r="101" spans="1:18" ht="15.75" customHeight="1">
      <c r="A101" s="629"/>
      <c r="B101" s="632"/>
      <c r="C101" s="200">
        <v>5</v>
      </c>
      <c r="D101" s="611"/>
      <c r="E101" s="624"/>
      <c r="F101" s="612"/>
      <c r="G101" s="200"/>
      <c r="H101" s="202"/>
      <c r="I101" s="203"/>
      <c r="J101" s="200"/>
      <c r="K101" s="611"/>
      <c r="L101" s="612"/>
      <c r="M101" s="99"/>
      <c r="O101" s="199"/>
      <c r="P101" s="440"/>
      <c r="Q101" s="440"/>
      <c r="R101" s="199"/>
    </row>
    <row r="102" spans="1:18" ht="15.75" customHeight="1">
      <c r="A102" s="629"/>
      <c r="B102" s="632"/>
      <c r="C102" s="204" t="s">
        <v>247</v>
      </c>
      <c r="D102" s="611"/>
      <c r="E102" s="624"/>
      <c r="F102" s="612"/>
      <c r="G102" s="200"/>
      <c r="H102" s="202"/>
      <c r="I102" s="203"/>
      <c r="J102" s="200"/>
      <c r="K102" s="611"/>
      <c r="L102" s="612"/>
      <c r="M102" s="99"/>
      <c r="O102" s="199"/>
      <c r="P102" s="440"/>
      <c r="Q102" s="440"/>
      <c r="R102" s="199"/>
    </row>
    <row r="103" spans="1:18" ht="15.75" customHeight="1">
      <c r="A103" s="629"/>
      <c r="B103" s="632"/>
      <c r="C103" s="204" t="s">
        <v>248</v>
      </c>
      <c r="D103" s="611"/>
      <c r="E103" s="624"/>
      <c r="F103" s="612"/>
      <c r="G103" s="200"/>
      <c r="H103" s="202"/>
      <c r="I103" s="203"/>
      <c r="J103" s="200"/>
      <c r="K103" s="611"/>
      <c r="L103" s="612"/>
      <c r="M103" s="99"/>
      <c r="O103" s="199"/>
      <c r="P103" s="440"/>
      <c r="Q103" s="440"/>
      <c r="R103" s="199"/>
    </row>
    <row r="104" spans="1:18" ht="15.75" customHeight="1">
      <c r="A104" s="629"/>
      <c r="B104" s="632"/>
      <c r="C104" s="204" t="s">
        <v>249</v>
      </c>
      <c r="D104" s="611"/>
      <c r="E104" s="624"/>
      <c r="F104" s="612"/>
      <c r="G104" s="200"/>
      <c r="H104" s="202"/>
      <c r="I104" s="203"/>
      <c r="J104" s="200"/>
      <c r="K104" s="611"/>
      <c r="L104" s="612"/>
      <c r="M104" s="99"/>
      <c r="O104" s="199"/>
      <c r="P104" s="440"/>
      <c r="Q104" s="440"/>
      <c r="R104" s="199"/>
    </row>
    <row r="105" spans="1:18" ht="15.75" customHeight="1">
      <c r="A105" s="629"/>
      <c r="B105" s="632"/>
      <c r="C105" s="204" t="s">
        <v>250</v>
      </c>
      <c r="D105" s="611"/>
      <c r="E105" s="624"/>
      <c r="F105" s="612"/>
      <c r="G105" s="200"/>
      <c r="H105" s="202"/>
      <c r="I105" s="203"/>
      <c r="J105" s="200"/>
      <c r="K105" s="611"/>
      <c r="L105" s="612"/>
      <c r="M105" s="99"/>
      <c r="O105" s="199"/>
      <c r="P105" s="440"/>
      <c r="Q105" s="440"/>
      <c r="R105" s="199"/>
    </row>
    <row r="106" spans="1:18" ht="15.75" customHeight="1">
      <c r="A106" s="630"/>
      <c r="B106" s="633"/>
      <c r="C106" s="204" t="s">
        <v>251</v>
      </c>
      <c r="D106" s="611"/>
      <c r="E106" s="624"/>
      <c r="F106" s="612"/>
      <c r="G106" s="200"/>
      <c r="H106" s="202"/>
      <c r="I106" s="203"/>
      <c r="J106" s="200"/>
      <c r="K106" s="611"/>
      <c r="L106" s="612"/>
      <c r="M106" s="99"/>
      <c r="O106" s="199"/>
      <c r="P106" s="440"/>
      <c r="Q106" s="440"/>
      <c r="R106" s="199"/>
    </row>
    <row r="107" spans="1:18" s="189" customFormat="1" ht="15.75" customHeight="1">
      <c r="A107" s="618" t="s">
        <v>257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</row>
    <row r="108" spans="1:18" s="190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8" s="106" customFormat="1" ht="16.350000000000001" customHeight="1">
      <c r="A109" s="628" t="s">
        <v>128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30"/>
      <c r="B110" s="195" t="s">
        <v>230</v>
      </c>
      <c r="C110" s="195" t="s">
        <v>231</v>
      </c>
      <c r="D110" s="195" t="s">
        <v>232</v>
      </c>
      <c r="E110" s="195" t="s">
        <v>233</v>
      </c>
      <c r="F110" s="195" t="s">
        <v>265</v>
      </c>
      <c r="G110" s="196" t="s">
        <v>234</v>
      </c>
      <c r="H110" s="197" t="s">
        <v>235</v>
      </c>
      <c r="I110" s="196" t="s">
        <v>236</v>
      </c>
      <c r="J110" s="209" t="s">
        <v>237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34" t="s">
        <v>56</v>
      </c>
      <c r="B111" s="635"/>
      <c r="C111" s="160" t="s">
        <v>238</v>
      </c>
      <c r="D111" s="634" t="s">
        <v>239</v>
      </c>
      <c r="E111" s="636"/>
      <c r="F111" s="635"/>
      <c r="G111" s="160" t="s">
        <v>240</v>
      </c>
      <c r="H111" s="160" t="s">
        <v>241</v>
      </c>
      <c r="I111" s="160" t="s">
        <v>242</v>
      </c>
      <c r="J111" s="160" t="s">
        <v>243</v>
      </c>
      <c r="K111" s="634" t="s">
        <v>244</v>
      </c>
      <c r="L111" s="635"/>
      <c r="M111" s="127"/>
      <c r="N111" s="189"/>
      <c r="O111" s="199"/>
      <c r="P111" s="440"/>
      <c r="Q111" s="440"/>
      <c r="R111" s="199"/>
    </row>
    <row r="112" spans="1:18" ht="15.75" customHeight="1">
      <c r="A112" s="628">
        <f>J109</f>
        <v>9</v>
      </c>
      <c r="B112" s="631" t="str">
        <f>J110</f>
        <v>微波小吃</v>
      </c>
      <c r="C112" s="200">
        <v>1</v>
      </c>
      <c r="D112" s="611" t="s">
        <v>225</v>
      </c>
      <c r="E112" s="624"/>
      <c r="F112" s="612"/>
      <c r="G112" s="200">
        <v>13</v>
      </c>
      <c r="H112" s="202">
        <v>1079.6038104741228</v>
      </c>
      <c r="I112" s="203">
        <v>83.046446959547907</v>
      </c>
      <c r="J112" s="381">
        <f>I112-I86</f>
        <v>1.5286545614259239E-3</v>
      </c>
      <c r="K112" s="611" t="s">
        <v>246</v>
      </c>
      <c r="L112" s="612"/>
      <c r="O112" s="199"/>
      <c r="P112" s="440"/>
      <c r="Q112" s="440"/>
      <c r="R112" s="199"/>
    </row>
    <row r="113" spans="1:18" ht="15.75" customHeight="1">
      <c r="A113" s="629"/>
      <c r="B113" s="632"/>
      <c r="C113" s="200">
        <v>2</v>
      </c>
      <c r="D113" s="611" t="s">
        <v>226</v>
      </c>
      <c r="E113" s="624"/>
      <c r="F113" s="612"/>
      <c r="G113" s="200">
        <v>22</v>
      </c>
      <c r="H113" s="202">
        <v>1606.8546076304967</v>
      </c>
      <c r="I113" s="203">
        <v>73.038845801386202</v>
      </c>
      <c r="J113" s="381">
        <f>I113-I87</f>
        <v>2.8535765840828731E-2</v>
      </c>
      <c r="K113" s="611" t="s">
        <v>246</v>
      </c>
      <c r="L113" s="612"/>
      <c r="O113" s="199"/>
      <c r="P113" s="440"/>
      <c r="Q113" s="440"/>
      <c r="R113" s="199"/>
    </row>
    <row r="114" spans="1:18" ht="15.75" customHeight="1">
      <c r="A114" s="629"/>
      <c r="B114" s="632"/>
      <c r="C114" s="200">
        <v>3</v>
      </c>
      <c r="D114" s="611"/>
      <c r="E114" s="624"/>
      <c r="F114" s="612"/>
      <c r="G114" s="200"/>
      <c r="H114" s="202"/>
      <c r="I114" s="203"/>
      <c r="J114" s="200"/>
      <c r="K114" s="611"/>
      <c r="L114" s="612"/>
      <c r="O114" s="199"/>
      <c r="P114" s="440"/>
      <c r="Q114" s="440"/>
      <c r="R114" s="199"/>
    </row>
    <row r="115" spans="1:18" ht="15.75" customHeight="1">
      <c r="A115" s="629"/>
      <c r="B115" s="632"/>
      <c r="C115" s="200">
        <v>4</v>
      </c>
      <c r="D115" s="611"/>
      <c r="E115" s="624"/>
      <c r="F115" s="612"/>
      <c r="G115" s="202"/>
      <c r="H115" s="202"/>
      <c r="I115" s="203"/>
      <c r="J115" s="200"/>
      <c r="K115" s="611"/>
      <c r="L115" s="612"/>
      <c r="O115" s="199"/>
      <c r="P115" s="440"/>
      <c r="Q115" s="440"/>
      <c r="R115" s="199"/>
    </row>
    <row r="116" spans="1:18" ht="15.75" customHeight="1">
      <c r="A116" s="629"/>
      <c r="B116" s="632"/>
      <c r="C116" s="200">
        <v>5</v>
      </c>
      <c r="D116" s="611"/>
      <c r="E116" s="624"/>
      <c r="F116" s="612"/>
      <c r="G116" s="200"/>
      <c r="H116" s="202"/>
      <c r="I116" s="203"/>
      <c r="J116" s="200"/>
      <c r="K116" s="611"/>
      <c r="L116" s="612"/>
      <c r="O116" s="199"/>
      <c r="P116" s="440"/>
      <c r="Q116" s="440"/>
      <c r="R116" s="199"/>
    </row>
    <row r="117" spans="1:18" ht="15.75" customHeight="1">
      <c r="A117" s="629"/>
      <c r="B117" s="632"/>
      <c r="C117" s="204" t="s">
        <v>247</v>
      </c>
      <c r="D117" s="611"/>
      <c r="E117" s="624"/>
      <c r="F117" s="612"/>
      <c r="G117" s="200"/>
      <c r="H117" s="202"/>
      <c r="I117" s="203"/>
      <c r="J117" s="200"/>
      <c r="K117" s="611"/>
      <c r="L117" s="612"/>
      <c r="O117" s="199"/>
      <c r="P117" s="440"/>
      <c r="Q117" s="440"/>
      <c r="R117" s="199"/>
    </row>
    <row r="118" spans="1:18" ht="15.75" customHeight="1">
      <c r="A118" s="629"/>
      <c r="B118" s="632"/>
      <c r="C118" s="204" t="s">
        <v>248</v>
      </c>
      <c r="D118" s="611"/>
      <c r="E118" s="624"/>
      <c r="F118" s="612"/>
      <c r="G118" s="200"/>
      <c r="H118" s="202"/>
      <c r="I118" s="203"/>
      <c r="J118" s="200"/>
      <c r="K118" s="611"/>
      <c r="L118" s="612"/>
      <c r="N118" s="178"/>
      <c r="O118" s="178"/>
      <c r="P118" s="439"/>
      <c r="Q118" s="439"/>
      <c r="R118" s="178"/>
    </row>
    <row r="119" spans="1:18" ht="15.75" customHeight="1">
      <c r="A119" s="629"/>
      <c r="B119" s="632"/>
      <c r="C119" s="204" t="s">
        <v>249</v>
      </c>
      <c r="D119" s="611"/>
      <c r="E119" s="624"/>
      <c r="F119" s="612"/>
      <c r="G119" s="200"/>
      <c r="H119" s="202"/>
      <c r="I119" s="203"/>
      <c r="J119" s="200"/>
      <c r="K119" s="611"/>
      <c r="L119" s="612"/>
      <c r="O119" s="199"/>
      <c r="P119" s="440"/>
      <c r="Q119" s="440"/>
      <c r="R119" s="199"/>
    </row>
    <row r="120" spans="1:18" ht="15.75" customHeight="1">
      <c r="A120" s="629"/>
      <c r="B120" s="632"/>
      <c r="C120" s="204" t="s">
        <v>250</v>
      </c>
      <c r="D120" s="611"/>
      <c r="E120" s="624"/>
      <c r="F120" s="612"/>
      <c r="G120" s="200"/>
      <c r="H120" s="202"/>
      <c r="I120" s="203"/>
      <c r="J120" s="200"/>
      <c r="K120" s="611"/>
      <c r="L120" s="612"/>
      <c r="M120" s="99"/>
      <c r="O120" s="199"/>
      <c r="P120" s="440"/>
      <c r="Q120" s="440"/>
      <c r="R120" s="199"/>
    </row>
    <row r="121" spans="1:18" ht="15.75" customHeight="1">
      <c r="A121" s="630"/>
      <c r="B121" s="633"/>
      <c r="C121" s="204" t="s">
        <v>251</v>
      </c>
      <c r="D121" s="611"/>
      <c r="E121" s="624"/>
      <c r="F121" s="612"/>
      <c r="G121" s="200"/>
      <c r="H121" s="202"/>
      <c r="I121" s="203"/>
      <c r="J121" s="200"/>
      <c r="K121" s="611"/>
      <c r="L121" s="612"/>
      <c r="M121" s="99"/>
      <c r="O121" s="199"/>
      <c r="P121" s="440"/>
      <c r="Q121" s="440"/>
      <c r="R121" s="199"/>
    </row>
    <row r="122" spans="1:18" s="104" customFormat="1" ht="15.75" customHeight="1">
      <c r="A122" s="625" t="s">
        <v>56</v>
      </c>
      <c r="B122" s="626"/>
      <c r="C122" s="207" t="s">
        <v>238</v>
      </c>
      <c r="D122" s="625" t="s">
        <v>239</v>
      </c>
      <c r="E122" s="627"/>
      <c r="F122" s="626"/>
      <c r="G122" s="207" t="s">
        <v>240</v>
      </c>
      <c r="H122" s="207" t="s">
        <v>241</v>
      </c>
      <c r="I122" s="207" t="s">
        <v>242</v>
      </c>
      <c r="J122" s="160" t="s">
        <v>243</v>
      </c>
      <c r="K122" s="625" t="s">
        <v>244</v>
      </c>
      <c r="L122" s="626"/>
      <c r="M122" s="128"/>
      <c r="N122" s="189"/>
      <c r="O122" s="199"/>
      <c r="P122" s="440"/>
      <c r="Q122" s="440"/>
      <c r="R122" s="199"/>
    </row>
    <row r="123" spans="1:18" ht="15.75" customHeight="1">
      <c r="A123" s="628"/>
      <c r="B123" s="631"/>
      <c r="C123" s="200">
        <v>1</v>
      </c>
      <c r="D123" s="611"/>
      <c r="E123" s="624"/>
      <c r="F123" s="612"/>
      <c r="G123" s="200"/>
      <c r="H123" s="202"/>
      <c r="I123" s="203"/>
      <c r="J123" s="200"/>
      <c r="K123" s="611"/>
      <c r="L123" s="612"/>
      <c r="M123" s="99"/>
      <c r="N123" s="199"/>
      <c r="O123" s="199"/>
      <c r="P123" s="440"/>
      <c r="Q123" s="440"/>
      <c r="R123" s="199"/>
    </row>
    <row r="124" spans="1:18" ht="15.75" customHeight="1">
      <c r="A124" s="629"/>
      <c r="B124" s="632"/>
      <c r="C124" s="200">
        <v>2</v>
      </c>
      <c r="D124" s="611"/>
      <c r="E124" s="624"/>
      <c r="F124" s="612"/>
      <c r="G124" s="200"/>
      <c r="H124" s="202"/>
      <c r="I124" s="203"/>
      <c r="J124" s="200"/>
      <c r="K124" s="611"/>
      <c r="L124" s="612"/>
      <c r="M124" s="99"/>
      <c r="O124" s="199"/>
      <c r="P124" s="440"/>
      <c r="Q124" s="440"/>
      <c r="R124" s="199"/>
    </row>
    <row r="125" spans="1:18" ht="15.75" customHeight="1">
      <c r="A125" s="629"/>
      <c r="B125" s="632"/>
      <c r="C125" s="200">
        <v>3</v>
      </c>
      <c r="D125" s="611"/>
      <c r="E125" s="624"/>
      <c r="F125" s="612"/>
      <c r="G125" s="200"/>
      <c r="H125" s="202"/>
      <c r="I125" s="203"/>
      <c r="J125" s="200"/>
      <c r="K125" s="611"/>
      <c r="L125" s="612"/>
      <c r="M125" s="99"/>
      <c r="O125" s="199"/>
      <c r="P125" s="440"/>
      <c r="Q125" s="440"/>
      <c r="R125" s="199"/>
    </row>
    <row r="126" spans="1:18" ht="15.75" customHeight="1">
      <c r="A126" s="629"/>
      <c r="B126" s="632"/>
      <c r="C126" s="200">
        <v>4</v>
      </c>
      <c r="D126" s="611"/>
      <c r="E126" s="624"/>
      <c r="F126" s="612"/>
      <c r="G126" s="200"/>
      <c r="H126" s="202"/>
      <c r="I126" s="203"/>
      <c r="J126" s="200"/>
      <c r="K126" s="611"/>
      <c r="L126" s="612"/>
      <c r="M126" s="99"/>
      <c r="O126" s="199"/>
      <c r="P126" s="440"/>
      <c r="Q126" s="440"/>
      <c r="R126" s="199"/>
    </row>
    <row r="127" spans="1:18" ht="15.75" customHeight="1">
      <c r="A127" s="629"/>
      <c r="B127" s="632"/>
      <c r="C127" s="200">
        <v>5</v>
      </c>
      <c r="D127" s="611"/>
      <c r="E127" s="624"/>
      <c r="F127" s="612"/>
      <c r="G127" s="200"/>
      <c r="H127" s="202"/>
      <c r="I127" s="203"/>
      <c r="J127" s="200"/>
      <c r="K127" s="611"/>
      <c r="L127" s="612"/>
      <c r="M127" s="99"/>
      <c r="O127" s="199"/>
      <c r="P127" s="440"/>
      <c r="Q127" s="440"/>
      <c r="R127" s="199"/>
    </row>
    <row r="128" spans="1:18" ht="15.75" customHeight="1">
      <c r="A128" s="629"/>
      <c r="B128" s="632"/>
      <c r="C128" s="204" t="s">
        <v>247</v>
      </c>
      <c r="D128" s="611"/>
      <c r="E128" s="624"/>
      <c r="F128" s="612"/>
      <c r="G128" s="200"/>
      <c r="H128" s="202"/>
      <c r="I128" s="203"/>
      <c r="J128" s="200"/>
      <c r="K128" s="611"/>
      <c r="L128" s="612"/>
      <c r="M128" s="99"/>
      <c r="O128" s="199"/>
      <c r="P128" s="440"/>
      <c r="Q128" s="440"/>
      <c r="R128" s="199"/>
    </row>
    <row r="129" spans="1:18" ht="15.75" customHeight="1">
      <c r="A129" s="629"/>
      <c r="B129" s="632"/>
      <c r="C129" s="204" t="s">
        <v>248</v>
      </c>
      <c r="D129" s="611"/>
      <c r="E129" s="624"/>
      <c r="F129" s="612"/>
      <c r="G129" s="200"/>
      <c r="H129" s="202"/>
      <c r="I129" s="203"/>
      <c r="J129" s="200"/>
      <c r="K129" s="611"/>
      <c r="L129" s="612"/>
      <c r="M129" s="99"/>
      <c r="O129" s="199"/>
      <c r="P129" s="440"/>
      <c r="Q129" s="440"/>
      <c r="R129" s="199"/>
    </row>
    <row r="130" spans="1:18" ht="15.75" customHeight="1">
      <c r="A130" s="629"/>
      <c r="B130" s="632"/>
      <c r="C130" s="204" t="s">
        <v>249</v>
      </c>
      <c r="D130" s="611"/>
      <c r="E130" s="624"/>
      <c r="F130" s="612"/>
      <c r="G130" s="200"/>
      <c r="H130" s="202"/>
      <c r="I130" s="203"/>
      <c r="J130" s="200"/>
      <c r="K130" s="611"/>
      <c r="L130" s="612"/>
      <c r="M130" s="99"/>
      <c r="O130" s="199"/>
      <c r="P130" s="440"/>
      <c r="Q130" s="440"/>
      <c r="R130" s="199"/>
    </row>
    <row r="131" spans="1:18" ht="15.75" customHeight="1">
      <c r="A131" s="629"/>
      <c r="B131" s="632"/>
      <c r="C131" s="204" t="s">
        <v>250</v>
      </c>
      <c r="D131" s="611"/>
      <c r="E131" s="624"/>
      <c r="F131" s="612"/>
      <c r="G131" s="200"/>
      <c r="H131" s="202"/>
      <c r="I131" s="203"/>
      <c r="J131" s="200"/>
      <c r="K131" s="611"/>
      <c r="L131" s="612"/>
      <c r="M131" s="99"/>
      <c r="O131" s="199"/>
      <c r="P131" s="440"/>
      <c r="Q131" s="440"/>
      <c r="R131" s="199"/>
    </row>
    <row r="132" spans="1:18" ht="15.75" customHeight="1">
      <c r="A132" s="630"/>
      <c r="B132" s="633"/>
      <c r="C132" s="204" t="s">
        <v>251</v>
      </c>
      <c r="D132" s="611"/>
      <c r="E132" s="624"/>
      <c r="F132" s="612"/>
      <c r="G132" s="200"/>
      <c r="H132" s="202"/>
      <c r="I132" s="203"/>
      <c r="J132" s="200"/>
      <c r="K132" s="611"/>
      <c r="L132" s="612"/>
      <c r="M132" s="99"/>
      <c r="O132" s="199"/>
      <c r="P132" s="440"/>
      <c r="Q132" s="440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52:L52"/>
    <mergeCell ref="A29:L30"/>
    <mergeCell ref="A31:A32"/>
    <mergeCell ref="A33:B33"/>
    <mergeCell ref="D33:F33"/>
    <mergeCell ref="K33:L33"/>
    <mergeCell ref="A34:A43"/>
    <mergeCell ref="B34:B43"/>
    <mergeCell ref="D43:F43"/>
    <mergeCell ref="K43:L43"/>
    <mergeCell ref="K50:L50"/>
    <mergeCell ref="K54:L54"/>
    <mergeCell ref="D51:F51"/>
    <mergeCell ref="K51:L51"/>
    <mergeCell ref="D52:F52"/>
    <mergeCell ref="K66:L66"/>
    <mergeCell ref="D67:F67"/>
    <mergeCell ref="K67:L67"/>
    <mergeCell ref="D68:F6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28:L28"/>
    <mergeCell ref="K16:L16"/>
    <mergeCell ref="D17:F17"/>
    <mergeCell ref="K17:L17"/>
    <mergeCell ref="D16:F16"/>
    <mergeCell ref="K40:L40"/>
    <mergeCell ref="D41:F41"/>
    <mergeCell ref="K41:L41"/>
    <mergeCell ref="D42:F42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6:F26"/>
    <mergeCell ref="K26:L26"/>
    <mergeCell ref="D27:F27"/>
    <mergeCell ref="K27:L27"/>
    <mergeCell ref="D28:F28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53:F53"/>
    <mergeCell ref="K53:L53"/>
    <mergeCell ref="D54:F5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K16" sqref="K16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</row>
    <row r="2" spans="1:13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</row>
    <row r="3" spans="1:13" ht="15.75" customHeight="1">
      <c r="A3" s="639" t="s">
        <v>270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13" s="137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13" ht="15.75" customHeight="1">
      <c r="A5" s="228" t="s">
        <v>271</v>
      </c>
      <c r="B5" s="138">
        <f>'生產管理報表(月)'!B6</f>
        <v>116569.43023000001</v>
      </c>
    </row>
    <row r="6" spans="1:13" ht="15.75" customHeight="1">
      <c r="A6" s="640" t="s">
        <v>7</v>
      </c>
      <c r="B6" s="641" t="s">
        <v>272</v>
      </c>
      <c r="C6" s="641"/>
      <c r="D6" s="642"/>
      <c r="E6" s="640" t="s">
        <v>7</v>
      </c>
      <c r="F6" s="644">
        <v>1</v>
      </c>
      <c r="G6" s="644"/>
      <c r="H6" s="644">
        <v>2</v>
      </c>
      <c r="I6" s="644"/>
      <c r="J6" s="644">
        <v>3</v>
      </c>
      <c r="K6" s="644"/>
      <c r="L6" s="644">
        <v>4</v>
      </c>
      <c r="M6" s="644"/>
    </row>
    <row r="7" spans="1:13" ht="31.35" customHeight="1">
      <c r="A7" s="640"/>
      <c r="B7" s="641"/>
      <c r="C7" s="641"/>
      <c r="D7" s="643"/>
      <c r="E7" s="640"/>
      <c r="F7" s="646" t="s">
        <v>273</v>
      </c>
      <c r="G7" s="646"/>
      <c r="H7" s="646" t="s">
        <v>274</v>
      </c>
      <c r="I7" s="646"/>
      <c r="J7" s="646" t="s">
        <v>275</v>
      </c>
      <c r="K7" s="646"/>
      <c r="L7" s="646" t="s">
        <v>276</v>
      </c>
      <c r="M7" s="646"/>
    </row>
    <row r="8" spans="1:13" ht="15.75" customHeight="1">
      <c r="A8" s="640"/>
      <c r="B8" s="155" t="s">
        <v>277</v>
      </c>
      <c r="C8" s="155" t="s">
        <v>36</v>
      </c>
      <c r="D8" s="643"/>
      <c r="E8" s="640"/>
      <c r="F8" s="155" t="s">
        <v>277</v>
      </c>
      <c r="G8" s="155" t="s">
        <v>36</v>
      </c>
      <c r="H8" s="155" t="s">
        <v>277</v>
      </c>
      <c r="I8" s="155" t="s">
        <v>36</v>
      </c>
      <c r="J8" s="155" t="s">
        <v>277</v>
      </c>
      <c r="K8" s="155" t="s">
        <v>36</v>
      </c>
      <c r="L8" s="155" t="s">
        <v>277</v>
      </c>
      <c r="M8" s="155" t="s">
        <v>36</v>
      </c>
    </row>
    <row r="9" spans="1:13" ht="19.350000000000001" customHeight="1">
      <c r="A9" s="139" t="s">
        <v>278</v>
      </c>
      <c r="B9" s="140">
        <f>日別報廢率總表!W3</f>
        <v>275849.81519999995</v>
      </c>
      <c r="C9" s="141">
        <f>B9/($B$5*1000)</f>
        <v>2.3663992751421026E-3</v>
      </c>
      <c r="D9" s="643"/>
      <c r="E9" s="139" t="s">
        <v>278</v>
      </c>
      <c r="F9" s="142">
        <f>'報廢20大－原因別分析'!AB119</f>
        <v>68049.589600000007</v>
      </c>
      <c r="G9" s="387">
        <f>'報廢20大－原因別分析'!AB120</f>
        <v>0.77500000000000002</v>
      </c>
      <c r="H9" s="142">
        <f>'報廢20大－原因別分析'!AC119</f>
        <v>0</v>
      </c>
      <c r="I9" s="387">
        <f>'報廢20大－原因別分析'!AC120</f>
        <v>0</v>
      </c>
      <c r="J9" s="142">
        <f>'報廢20大－原因別分析'!AD119</f>
        <v>14054.3858</v>
      </c>
      <c r="K9" s="387">
        <f>'報廢20大－原因別分析'!AD120</f>
        <v>0.15</v>
      </c>
      <c r="L9" s="142">
        <f>'報廢20大－原因別分析'!AE119</f>
        <v>0</v>
      </c>
      <c r="M9" s="387">
        <f>'報廢20大－原因別分析'!AE120</f>
        <v>0</v>
      </c>
    </row>
    <row r="10" spans="1:13" ht="19.350000000000001" customHeight="1">
      <c r="A10" s="144" t="s">
        <v>279</v>
      </c>
      <c r="B10" s="145">
        <f>日別報廢率總表!Z3</f>
        <v>611955.97399999993</v>
      </c>
      <c r="C10" s="141">
        <f>B10/($B$5*1000)</f>
        <v>5.2497123198815164E-3</v>
      </c>
      <c r="D10" s="643"/>
      <c r="E10" s="144" t="s">
        <v>279</v>
      </c>
      <c r="F10" s="142">
        <f>'超用20大－原因別分析'!AB119</f>
        <v>0</v>
      </c>
      <c r="G10" s="387">
        <f>'超用20大－原因別分析'!AC120</f>
        <v>0</v>
      </c>
      <c r="H10" s="142">
        <f>'超用20大－原因別分析'!AC119</f>
        <v>0</v>
      </c>
      <c r="I10" s="387">
        <f>'超用20大－原因別分析'!AC120</f>
        <v>0</v>
      </c>
      <c r="J10" s="142">
        <f>'超用20大－原因別分析'!AD119</f>
        <v>0</v>
      </c>
      <c r="K10" s="387">
        <f>'超用20大－原因別分析'!AD120</f>
        <v>0</v>
      </c>
      <c r="L10" s="142">
        <f>'超用20大－原因別分析'!AE119</f>
        <v>292237.7513</v>
      </c>
      <c r="M10" s="387">
        <f>'超用20大－原因別分析'!AE120</f>
        <v>0.75</v>
      </c>
    </row>
    <row r="11" spans="1:13" ht="15.75" customHeight="1">
      <c r="D11" s="643"/>
      <c r="E11" s="640" t="s">
        <v>7</v>
      </c>
      <c r="F11" s="644">
        <v>5</v>
      </c>
      <c r="G11" s="644"/>
      <c r="H11" s="644">
        <v>6</v>
      </c>
      <c r="I11" s="644"/>
      <c r="J11" s="644">
        <v>7</v>
      </c>
      <c r="K11" s="644"/>
      <c r="L11" s="645">
        <v>8</v>
      </c>
      <c r="M11" s="645"/>
    </row>
    <row r="12" spans="1:13" ht="31.35" customHeight="1">
      <c r="D12" s="643"/>
      <c r="E12" s="640"/>
      <c r="F12" s="646" t="s">
        <v>280</v>
      </c>
      <c r="G12" s="646"/>
      <c r="H12" s="646" t="s">
        <v>281</v>
      </c>
      <c r="I12" s="646"/>
      <c r="J12" s="646" t="s">
        <v>282</v>
      </c>
      <c r="K12" s="646"/>
      <c r="L12" s="647"/>
      <c r="M12" s="647"/>
    </row>
    <row r="13" spans="1:13" ht="15.75" customHeight="1">
      <c r="D13" s="643"/>
      <c r="E13" s="640"/>
      <c r="F13" s="155" t="s">
        <v>277</v>
      </c>
      <c r="G13" s="155" t="s">
        <v>36</v>
      </c>
      <c r="H13" s="155" t="s">
        <v>277</v>
      </c>
      <c r="I13" s="155" t="s">
        <v>36</v>
      </c>
      <c r="J13" s="155" t="s">
        <v>277</v>
      </c>
      <c r="K13" s="155" t="s">
        <v>36</v>
      </c>
      <c r="L13" s="155"/>
      <c r="M13" s="155"/>
    </row>
    <row r="14" spans="1:13" ht="19.350000000000001" customHeight="1">
      <c r="D14" s="643"/>
      <c r="E14" s="139" t="s">
        <v>278</v>
      </c>
      <c r="F14" s="142">
        <f>'報廢20大－原因別分析'!AF119</f>
        <v>2104.3199999999997</v>
      </c>
      <c r="G14" s="387">
        <f>'報廢20大－原因別分析'!AF120</f>
        <v>2.5000000000000001E-2</v>
      </c>
      <c r="H14" s="142">
        <f>'報廢20大－原因別分析'!AG119</f>
        <v>5654.6999999999989</v>
      </c>
      <c r="I14" s="387">
        <f>'報廢20大－原因別分析'!AG120</f>
        <v>0.05</v>
      </c>
      <c r="J14" s="142">
        <f>'報廢20大－原因別分析'!AH119</f>
        <v>0</v>
      </c>
      <c r="K14" s="387">
        <f>'報廢20大－原因別分析'!AH120</f>
        <v>0</v>
      </c>
      <c r="L14" s="142"/>
      <c r="M14" s="143"/>
    </row>
    <row r="15" spans="1:13" ht="19.350000000000001" customHeight="1">
      <c r="D15" s="643"/>
      <c r="E15" s="144" t="s">
        <v>279</v>
      </c>
      <c r="F15" s="142">
        <f>'超用20大－原因別分析'!AF119</f>
        <v>83569.2212</v>
      </c>
      <c r="G15" s="387">
        <f>'超用20大－原因別分析'!AF120</f>
        <v>0.05</v>
      </c>
      <c r="H15" s="142">
        <f>'超用20大－原因別分析'!AG119</f>
        <v>88243.236199999956</v>
      </c>
      <c r="I15" s="387">
        <f>'超用20大－原因別分析'!AG120</f>
        <v>0.2</v>
      </c>
      <c r="J15" s="142">
        <f>'超用20大－原因別分析'!AH119</f>
        <v>0</v>
      </c>
      <c r="K15" s="387">
        <f>'超用20大－原因別分析'!AH120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BV30"/>
  <sheetViews>
    <sheetView view="pageBreakPreview" topLeftCell="A16" zoomScaleNormal="60" zoomScaleSheetLayoutView="100" workbookViewId="0">
      <selection activeCell="T27" sqref="T27"/>
    </sheetView>
  </sheetViews>
  <sheetFormatPr defaultColWidth="12.5703125" defaultRowHeight="15.75" customHeight="1"/>
  <cols>
    <col min="1" max="1" width="5.42578125" style="136" customWidth="1"/>
    <col min="2" max="2" width="11.42578125" style="241" customWidth="1"/>
    <col min="3" max="3" width="4" style="242" customWidth="1"/>
    <col min="4" max="15" width="9.5703125" style="136" customWidth="1"/>
    <col min="16" max="16" width="55.42578125" style="136" customWidth="1"/>
    <col min="17" max="20" width="12.5703125" style="240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74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74" ht="15.75" customHeight="1">
      <c r="A3" s="639" t="s">
        <v>283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4" s="137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4" ht="15.75" customHeight="1">
      <c r="A5" s="641" t="s">
        <v>284</v>
      </c>
      <c r="B5" s="669">
        <v>1</v>
      </c>
      <c r="C5" s="669"/>
      <c r="D5" s="669">
        <v>2</v>
      </c>
      <c r="E5" s="669"/>
      <c r="F5" s="669">
        <v>3</v>
      </c>
      <c r="G5" s="669"/>
      <c r="H5" s="644">
        <v>4</v>
      </c>
      <c r="I5" s="644"/>
      <c r="J5" s="644">
        <v>5</v>
      </c>
      <c r="K5" s="644"/>
      <c r="L5" s="644">
        <v>6</v>
      </c>
      <c r="M5" s="644"/>
      <c r="N5" s="644">
        <v>7</v>
      </c>
      <c r="O5" s="644"/>
      <c r="P5" s="383">
        <v>8</v>
      </c>
    </row>
    <row r="6" spans="1:74" ht="15.75" customHeight="1">
      <c r="A6" s="641"/>
      <c r="B6" s="670" t="s">
        <v>273</v>
      </c>
      <c r="C6" s="670"/>
      <c r="D6" s="670" t="s">
        <v>285</v>
      </c>
      <c r="E6" s="670"/>
      <c r="F6" s="670" t="s">
        <v>275</v>
      </c>
      <c r="G6" s="670"/>
      <c r="H6" s="641" t="s">
        <v>286</v>
      </c>
      <c r="I6" s="641"/>
      <c r="J6" s="641" t="s">
        <v>280</v>
      </c>
      <c r="K6" s="641"/>
      <c r="L6" s="641" t="s">
        <v>281</v>
      </c>
      <c r="M6" s="641"/>
      <c r="N6" s="641" t="s">
        <v>282</v>
      </c>
      <c r="O6" s="641"/>
      <c r="P6" s="384" t="s">
        <v>287</v>
      </c>
    </row>
    <row r="8" spans="1:74" s="244" customFormat="1" ht="15.75" customHeight="1">
      <c r="A8" s="644" t="s">
        <v>284</v>
      </c>
      <c r="B8" s="644"/>
      <c r="C8" s="243" t="s">
        <v>238</v>
      </c>
      <c r="D8" s="662" t="s">
        <v>239</v>
      </c>
      <c r="E8" s="662"/>
      <c r="F8" s="662"/>
      <c r="G8" s="656" t="s">
        <v>288</v>
      </c>
      <c r="H8" s="657"/>
      <c r="I8" s="658"/>
      <c r="J8" s="243" t="s">
        <v>289</v>
      </c>
      <c r="K8" s="243" t="s">
        <v>23</v>
      </c>
      <c r="L8" s="243" t="s">
        <v>290</v>
      </c>
      <c r="M8" s="243" t="s">
        <v>277</v>
      </c>
      <c r="N8" s="243" t="s">
        <v>253</v>
      </c>
      <c r="O8" s="648" t="s">
        <v>244</v>
      </c>
      <c r="P8" s="648"/>
    </row>
    <row r="9" spans="1:74" ht="60" customHeight="1">
      <c r="A9" s="644">
        <v>1</v>
      </c>
      <c r="B9" s="659" t="s">
        <v>291</v>
      </c>
      <c r="C9" s="245">
        <v>1</v>
      </c>
      <c r="D9" s="246" t="s">
        <v>198</v>
      </c>
      <c r="E9" s="247"/>
      <c r="F9" s="248"/>
      <c r="G9" s="316" t="s">
        <v>292</v>
      </c>
      <c r="H9" s="315"/>
      <c r="I9" s="316"/>
      <c r="J9" s="245">
        <v>141.66999999999999</v>
      </c>
      <c r="K9" s="251">
        <v>1.4184772048035109E-2</v>
      </c>
      <c r="L9" s="245">
        <v>36.120000000000005</v>
      </c>
      <c r="M9" s="337">
        <f>L9*J9</f>
        <v>5117.1203999999998</v>
      </c>
      <c r="N9" s="252"/>
      <c r="O9" s="663" t="s">
        <v>293</v>
      </c>
      <c r="P9" s="663"/>
    </row>
    <row r="10" spans="1:74" ht="60" customHeight="1">
      <c r="A10" s="644"/>
      <c r="B10" s="659"/>
      <c r="C10" s="245">
        <v>2</v>
      </c>
      <c r="D10" s="246" t="s">
        <v>209</v>
      </c>
      <c r="E10" s="247"/>
      <c r="F10" s="248"/>
      <c r="G10" s="375" t="s">
        <v>294</v>
      </c>
      <c r="H10" s="315"/>
      <c r="I10" s="316"/>
      <c r="J10" s="245">
        <v>183.65000000000003</v>
      </c>
      <c r="K10" s="251">
        <v>1.8953405126374348E-2</v>
      </c>
      <c r="L10" s="245">
        <v>13.169999999999998</v>
      </c>
      <c r="M10" s="337">
        <f t="shared" ref="M10:M13" si="0">L10*J10</f>
        <v>2418.6705000000002</v>
      </c>
      <c r="N10" s="252"/>
      <c r="O10" s="663" t="s">
        <v>295</v>
      </c>
      <c r="P10" s="663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</row>
    <row r="11" spans="1:74" ht="60" customHeight="1">
      <c r="A11" s="644"/>
      <c r="B11" s="659"/>
      <c r="C11" s="245">
        <v>3</v>
      </c>
      <c r="D11" s="246" t="s">
        <v>209</v>
      </c>
      <c r="E11" s="247"/>
      <c r="F11" s="248"/>
      <c r="G11" s="316" t="s">
        <v>296</v>
      </c>
      <c r="H11" s="315"/>
      <c r="I11" s="316"/>
      <c r="J11" s="245">
        <v>253.92000000000002</v>
      </c>
      <c r="K11" s="251">
        <v>1.7876618797132041E-2</v>
      </c>
      <c r="L11" s="245">
        <v>19.110000000000003</v>
      </c>
      <c r="M11" s="337">
        <f t="shared" si="0"/>
        <v>4852.4112000000014</v>
      </c>
      <c r="N11" s="252"/>
      <c r="O11" s="664" t="s">
        <v>297</v>
      </c>
      <c r="P11" s="664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  <c r="AO11" s="240"/>
      <c r="AP11" s="240"/>
      <c r="AQ11" s="240"/>
      <c r="AR11" s="240"/>
      <c r="AS11" s="240"/>
      <c r="AT11" s="240"/>
      <c r="AU11" s="240"/>
      <c r="AV11" s="240"/>
      <c r="AW11" s="240"/>
      <c r="AX11" s="240"/>
      <c r="AY11" s="240"/>
      <c r="AZ11" s="240"/>
      <c r="BA11" s="240"/>
      <c r="BB11" s="240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40"/>
      <c r="BN11" s="240"/>
      <c r="BO11" s="240"/>
      <c r="BP11" s="240"/>
      <c r="BQ11" s="240"/>
      <c r="BR11" s="240"/>
      <c r="BS11" s="240"/>
      <c r="BT11" s="240"/>
      <c r="BU11" s="240"/>
      <c r="BV11" s="240"/>
    </row>
    <row r="12" spans="1:74" ht="60" customHeight="1">
      <c r="A12" s="644"/>
      <c r="B12" s="659"/>
      <c r="C12" s="245">
        <v>4</v>
      </c>
      <c r="D12" s="246" t="s">
        <v>298</v>
      </c>
      <c r="E12" s="247"/>
      <c r="F12" s="248"/>
      <c r="G12" s="665" t="s">
        <v>299</v>
      </c>
      <c r="H12" s="666"/>
      <c r="I12" s="667"/>
      <c r="J12" s="245">
        <v>152.75</v>
      </c>
      <c r="K12" s="251">
        <v>1.1081431585467354E-2</v>
      </c>
      <c r="L12" s="245">
        <v>11.45</v>
      </c>
      <c r="M12" s="337">
        <f t="shared" si="0"/>
        <v>1748.9875</v>
      </c>
      <c r="N12" s="252"/>
      <c r="O12" s="664" t="s">
        <v>300</v>
      </c>
      <c r="P12" s="664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</row>
    <row r="13" spans="1:74" ht="60" customHeight="1" thickBot="1">
      <c r="A13" s="644"/>
      <c r="B13" s="659"/>
      <c r="C13" s="245">
        <v>5</v>
      </c>
      <c r="D13" s="253" t="s">
        <v>301</v>
      </c>
      <c r="E13" s="254"/>
      <c r="F13" s="255"/>
      <c r="G13" s="392" t="s">
        <v>302</v>
      </c>
      <c r="H13" s="391"/>
      <c r="I13" s="392"/>
      <c r="J13" s="256">
        <v>153.19000000000003</v>
      </c>
      <c r="K13" s="257">
        <v>2.9446467011493203E-2</v>
      </c>
      <c r="L13" s="256">
        <v>28.65</v>
      </c>
      <c r="M13" s="338">
        <f t="shared" si="0"/>
        <v>4388.8935000000001</v>
      </c>
      <c r="N13" s="252"/>
      <c r="O13" s="664" t="s">
        <v>303</v>
      </c>
      <c r="P13" s="664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0"/>
    </row>
    <row r="14" spans="1:74" ht="15.75" customHeight="1" thickTop="1">
      <c r="A14" s="644"/>
      <c r="B14" s="659"/>
      <c r="C14" s="650"/>
      <c r="D14" s="651"/>
      <c r="E14" s="651"/>
      <c r="F14" s="651"/>
      <c r="G14" s="651"/>
      <c r="H14" s="651"/>
      <c r="I14" s="652"/>
      <c r="J14" s="258" t="s">
        <v>304</v>
      </c>
      <c r="K14" s="357">
        <f>M14/'生產管理報表 7-1(月)'!$B$9</f>
        <v>6.7160034479515601E-2</v>
      </c>
      <c r="L14" s="258" t="s">
        <v>305</v>
      </c>
      <c r="M14" s="385">
        <f>SUM(M9:M13)</f>
        <v>18526.083100000003</v>
      </c>
      <c r="N14" s="661"/>
      <c r="O14" s="661"/>
      <c r="P14" s="661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0"/>
      <c r="BT14" s="240"/>
      <c r="BU14" s="240"/>
      <c r="BV14" s="240"/>
    </row>
    <row r="15" spans="1:74" ht="15.75" customHeight="1"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60"/>
      <c r="O15" s="260"/>
      <c r="P15" s="26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0"/>
      <c r="BT15" s="240"/>
      <c r="BU15" s="240"/>
      <c r="BV15" s="240"/>
    </row>
    <row r="16" spans="1:74" ht="15.75" customHeight="1">
      <c r="A16" s="644" t="s">
        <v>284</v>
      </c>
      <c r="B16" s="644"/>
      <c r="C16" s="261" t="s">
        <v>238</v>
      </c>
      <c r="D16" s="653" t="s">
        <v>239</v>
      </c>
      <c r="E16" s="654"/>
      <c r="F16" s="655"/>
      <c r="G16" s="656" t="s">
        <v>288</v>
      </c>
      <c r="H16" s="657"/>
      <c r="I16" s="658"/>
      <c r="J16" s="263" t="s">
        <v>289</v>
      </c>
      <c r="K16" s="263" t="s">
        <v>23</v>
      </c>
      <c r="L16" s="263" t="s">
        <v>290</v>
      </c>
      <c r="M16" s="263" t="s">
        <v>277</v>
      </c>
      <c r="N16" s="243" t="s">
        <v>253</v>
      </c>
      <c r="O16" s="648" t="s">
        <v>244</v>
      </c>
      <c r="P16" s="648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</row>
    <row r="17" spans="1:35" ht="20.100000000000001" customHeight="1">
      <c r="A17" s="644">
        <v>2</v>
      </c>
      <c r="B17" s="659" t="s">
        <v>306</v>
      </c>
      <c r="C17" s="265">
        <v>1</v>
      </c>
      <c r="D17" s="246"/>
      <c r="E17" s="247"/>
      <c r="F17" s="248"/>
      <c r="G17" s="246"/>
      <c r="H17" s="247"/>
      <c r="I17" s="248"/>
      <c r="J17" s="266"/>
      <c r="K17" s="267"/>
      <c r="L17" s="266"/>
      <c r="M17" s="268">
        <f t="shared" ref="M17:M21" si="1">L17*J17</f>
        <v>0</v>
      </c>
      <c r="N17" s="252"/>
      <c r="O17" s="649"/>
      <c r="P17" s="649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</row>
    <row r="18" spans="1:35" ht="20.100000000000001" customHeight="1">
      <c r="A18" s="644"/>
      <c r="B18" s="659"/>
      <c r="C18" s="265">
        <v>2</v>
      </c>
      <c r="D18" s="246"/>
      <c r="E18" s="247"/>
      <c r="F18" s="248"/>
      <c r="G18" s="246"/>
      <c r="H18" s="247"/>
      <c r="I18" s="248"/>
      <c r="J18" s="266"/>
      <c r="K18" s="267"/>
      <c r="L18" s="266"/>
      <c r="M18" s="268">
        <f t="shared" si="1"/>
        <v>0</v>
      </c>
      <c r="N18" s="252"/>
      <c r="O18" s="649"/>
      <c r="P18" s="649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</row>
    <row r="19" spans="1:35" ht="20.100000000000001" customHeight="1">
      <c r="A19" s="644"/>
      <c r="B19" s="659"/>
      <c r="C19" s="265">
        <v>3</v>
      </c>
      <c r="D19" s="246"/>
      <c r="E19" s="247"/>
      <c r="F19" s="248"/>
      <c r="G19" s="246"/>
      <c r="H19" s="247"/>
      <c r="I19" s="248"/>
      <c r="J19" s="266"/>
      <c r="K19" s="267"/>
      <c r="L19" s="266"/>
      <c r="M19" s="268">
        <f t="shared" si="1"/>
        <v>0</v>
      </c>
      <c r="N19" s="252"/>
      <c r="O19" s="671"/>
      <c r="P19" s="671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</row>
    <row r="20" spans="1:35" ht="20.100000000000001" customHeight="1">
      <c r="A20" s="644"/>
      <c r="B20" s="659"/>
      <c r="C20" s="265">
        <v>4</v>
      </c>
      <c r="D20" s="246"/>
      <c r="E20" s="247"/>
      <c r="F20" s="248"/>
      <c r="G20" s="246"/>
      <c r="H20" s="247"/>
      <c r="I20" s="248"/>
      <c r="J20" s="266"/>
      <c r="K20" s="267"/>
      <c r="L20" s="266"/>
      <c r="M20" s="268">
        <f t="shared" si="1"/>
        <v>0</v>
      </c>
      <c r="N20" s="252"/>
      <c r="O20" s="671"/>
      <c r="P20" s="671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</row>
    <row r="21" spans="1:35" ht="20.100000000000001" customHeight="1" thickBot="1">
      <c r="A21" s="644"/>
      <c r="B21" s="659"/>
      <c r="C21" s="271">
        <v>5</v>
      </c>
      <c r="D21" s="253"/>
      <c r="E21" s="254"/>
      <c r="F21" s="255"/>
      <c r="G21" s="253"/>
      <c r="H21" s="254"/>
      <c r="I21" s="255"/>
      <c r="J21" s="272"/>
      <c r="K21" s="273"/>
      <c r="L21" s="272"/>
      <c r="M21" s="274">
        <f t="shared" si="1"/>
        <v>0</v>
      </c>
      <c r="N21" s="252"/>
      <c r="O21" s="671"/>
      <c r="P21" s="671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</row>
    <row r="22" spans="1:35" ht="15.75" customHeight="1" thickTop="1">
      <c r="A22" s="644"/>
      <c r="B22" s="659"/>
      <c r="C22" s="650"/>
      <c r="D22" s="651"/>
      <c r="E22" s="651"/>
      <c r="F22" s="651"/>
      <c r="G22" s="651"/>
      <c r="H22" s="651"/>
      <c r="I22" s="652"/>
      <c r="J22" s="258" t="s">
        <v>304</v>
      </c>
      <c r="K22" s="357">
        <f>M22/'生產管理報表 7-1(月)'!$B$9</f>
        <v>0</v>
      </c>
      <c r="L22" s="258" t="s">
        <v>305</v>
      </c>
      <c r="M22" s="259">
        <f>SUM(M17:M21)</f>
        <v>0</v>
      </c>
      <c r="N22" s="661"/>
      <c r="O22" s="661"/>
      <c r="P22" s="661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</row>
    <row r="23" spans="1:35" ht="15.75" customHeight="1"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76"/>
      <c r="O23" s="276"/>
      <c r="P23" s="276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</row>
    <row r="24" spans="1:35" ht="15.75" customHeight="1">
      <c r="A24" s="644" t="s">
        <v>284</v>
      </c>
      <c r="B24" s="644"/>
      <c r="C24" s="261" t="s">
        <v>238</v>
      </c>
      <c r="D24" s="653" t="s">
        <v>239</v>
      </c>
      <c r="E24" s="654"/>
      <c r="F24" s="655"/>
      <c r="G24" s="656" t="s">
        <v>288</v>
      </c>
      <c r="H24" s="657"/>
      <c r="I24" s="658"/>
      <c r="J24" s="262" t="s">
        <v>289</v>
      </c>
      <c r="K24" s="263" t="s">
        <v>23</v>
      </c>
      <c r="L24" s="263" t="s">
        <v>290</v>
      </c>
      <c r="M24" s="263" t="s">
        <v>277</v>
      </c>
      <c r="N24" s="243" t="s">
        <v>253</v>
      </c>
      <c r="O24" s="648" t="s">
        <v>244</v>
      </c>
      <c r="P24" s="648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</row>
    <row r="25" spans="1:35" ht="50.1" customHeight="1">
      <c r="A25" s="644">
        <v>3</v>
      </c>
      <c r="B25" s="659" t="s">
        <v>307</v>
      </c>
      <c r="C25" s="265">
        <v>1</v>
      </c>
      <c r="D25" s="246" t="s">
        <v>308</v>
      </c>
      <c r="E25" s="247"/>
      <c r="F25" s="248"/>
      <c r="G25" s="392" t="s">
        <v>309</v>
      </c>
      <c r="H25" s="391"/>
      <c r="I25" s="392"/>
      <c r="J25" s="266">
        <v>122.81999999999996</v>
      </c>
      <c r="K25" s="267">
        <v>1.9847555186350885E-2</v>
      </c>
      <c r="L25" s="266">
        <v>39.19</v>
      </c>
      <c r="M25" s="340">
        <f t="shared" ref="M25:M29" si="2">L25*J25</f>
        <v>4813.3157999999985</v>
      </c>
      <c r="N25" s="252"/>
      <c r="O25" s="649" t="s">
        <v>310</v>
      </c>
      <c r="P25" s="649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</row>
    <row r="26" spans="1:35" ht="50.1" customHeight="1">
      <c r="A26" s="644"/>
      <c r="B26" s="659"/>
      <c r="C26" s="265">
        <v>2</v>
      </c>
      <c r="D26" s="246" t="s">
        <v>311</v>
      </c>
      <c r="E26" s="247"/>
      <c r="F26" s="248"/>
      <c r="G26" s="392" t="s">
        <v>312</v>
      </c>
      <c r="H26" s="391"/>
      <c r="I26" s="392"/>
      <c r="J26" s="266">
        <v>1.17</v>
      </c>
      <c r="K26" s="267">
        <v>4.9042779544590555E-3</v>
      </c>
      <c r="L26" s="266">
        <v>3856</v>
      </c>
      <c r="M26" s="340">
        <f t="shared" si="2"/>
        <v>4511.5199999999995</v>
      </c>
      <c r="N26" s="252"/>
      <c r="O26" s="649" t="s">
        <v>313</v>
      </c>
      <c r="P26" s="649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</row>
    <row r="27" spans="1:35" ht="50.1" customHeight="1">
      <c r="A27" s="644"/>
      <c r="B27" s="659"/>
      <c r="C27" s="265">
        <v>3</v>
      </c>
      <c r="D27" s="246" t="s">
        <v>311</v>
      </c>
      <c r="E27" s="247"/>
      <c r="F27" s="248"/>
      <c r="G27" s="392" t="s">
        <v>314</v>
      </c>
      <c r="H27" s="391"/>
      <c r="I27" s="392"/>
      <c r="J27" s="266">
        <v>2.4499999999999997</v>
      </c>
      <c r="K27" s="267">
        <v>4.513126586555883E-3</v>
      </c>
      <c r="L27" s="266">
        <v>1063</v>
      </c>
      <c r="M27" s="340">
        <f t="shared" si="2"/>
        <v>2604.35</v>
      </c>
      <c r="N27" s="252"/>
      <c r="O27" s="660" t="s">
        <v>315</v>
      </c>
      <c r="P27" s="66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</row>
    <row r="28" spans="1:35" ht="50.1" customHeight="1">
      <c r="A28" s="644"/>
      <c r="B28" s="659"/>
      <c r="C28" s="265">
        <v>4</v>
      </c>
      <c r="D28" s="246" t="s">
        <v>308</v>
      </c>
      <c r="E28" s="247"/>
      <c r="F28" s="248"/>
      <c r="G28" s="392" t="s">
        <v>316</v>
      </c>
      <c r="H28" s="391"/>
      <c r="I28" s="392"/>
      <c r="J28" s="266">
        <v>2.3000000000000003</v>
      </c>
      <c r="K28" s="267">
        <v>2.4417780358209285E-2</v>
      </c>
      <c r="L28" s="266">
        <v>924</v>
      </c>
      <c r="M28" s="340">
        <f t="shared" si="2"/>
        <v>2125.2000000000003</v>
      </c>
      <c r="N28" s="252"/>
      <c r="O28" s="660" t="s">
        <v>317</v>
      </c>
      <c r="P28" s="66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</row>
    <row r="29" spans="1:35" ht="50.1" customHeight="1" thickBot="1">
      <c r="A29" s="644"/>
      <c r="B29" s="659"/>
      <c r="C29" s="271">
        <v>5</v>
      </c>
      <c r="D29" s="253"/>
      <c r="E29" s="254"/>
      <c r="F29" s="255"/>
      <c r="G29" s="390"/>
      <c r="H29" s="391"/>
      <c r="I29" s="392"/>
      <c r="J29" s="272"/>
      <c r="K29" s="273"/>
      <c r="L29" s="272"/>
      <c r="M29" s="340">
        <f t="shared" si="2"/>
        <v>0</v>
      </c>
      <c r="N29" s="252"/>
      <c r="O29" s="660"/>
      <c r="P29" s="66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</row>
    <row r="30" spans="1:35" ht="15.75" customHeight="1" thickTop="1">
      <c r="A30" s="644"/>
      <c r="B30" s="659"/>
      <c r="C30" s="650"/>
      <c r="D30" s="651"/>
      <c r="E30" s="651"/>
      <c r="F30" s="651"/>
      <c r="G30" s="651"/>
      <c r="H30" s="651"/>
      <c r="I30" s="652"/>
      <c r="J30" s="283" t="s">
        <v>304</v>
      </c>
      <c r="K30" s="357">
        <f>M30/'生產管理報表 7-1(月)'!$B$9</f>
        <v>5.0949411692772451E-2</v>
      </c>
      <c r="L30" s="283" t="s">
        <v>305</v>
      </c>
      <c r="M30" s="341">
        <f>SUM(M25:M29)</f>
        <v>14054.385799999998</v>
      </c>
      <c r="N30" s="661"/>
      <c r="O30" s="661"/>
      <c r="P30" s="661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</row>
  </sheetData>
  <mergeCells count="57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G12:I12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  <rowBreaks count="1" manualBreakCount="1">
    <brk id="22" max="1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R18" sqref="R18"/>
    </sheetView>
  </sheetViews>
  <sheetFormatPr defaultColWidth="12.5703125" defaultRowHeight="15.75" customHeight="1"/>
  <cols>
    <col min="1" max="1" width="5.42578125" style="298" customWidth="1"/>
    <col min="2" max="2" width="11.42578125" style="307" customWidth="1"/>
    <col min="3" max="3" width="4" style="308" customWidth="1"/>
    <col min="4" max="4" width="9.5703125" style="298" customWidth="1"/>
    <col min="5" max="5" width="10.28515625" style="298" customWidth="1"/>
    <col min="6" max="15" width="9.5703125" style="298" customWidth="1"/>
    <col min="16" max="16" width="38" style="298" customWidth="1"/>
    <col min="17" max="16384" width="12.5703125" style="298"/>
  </cols>
  <sheetData>
    <row r="1" spans="1:20" s="136" customFormat="1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20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20" s="136" customFormat="1" ht="15.75" customHeight="1">
      <c r="A3" s="639" t="s">
        <v>283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20" s="137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</row>
    <row r="5" spans="1:20" s="136" customFormat="1" ht="15.75" customHeight="1">
      <c r="A5" s="738" t="s">
        <v>284</v>
      </c>
      <c r="B5" s="740">
        <v>1</v>
      </c>
      <c r="C5" s="741"/>
      <c r="D5" s="740">
        <v>2</v>
      </c>
      <c r="E5" s="741"/>
      <c r="F5" s="740">
        <v>3</v>
      </c>
      <c r="G5" s="741"/>
      <c r="H5" s="731">
        <v>4</v>
      </c>
      <c r="I5" s="732"/>
      <c r="J5" s="731">
        <v>5</v>
      </c>
      <c r="K5" s="732"/>
      <c r="L5" s="731">
        <v>6</v>
      </c>
      <c r="M5" s="732"/>
      <c r="N5" s="731">
        <v>7</v>
      </c>
      <c r="O5" s="732"/>
      <c r="P5" s="342">
        <v>8</v>
      </c>
    </row>
    <row r="6" spans="1:20" s="136" customFormat="1" ht="15.75" customHeight="1">
      <c r="A6" s="739"/>
      <c r="B6" s="735" t="s">
        <v>273</v>
      </c>
      <c r="C6" s="736"/>
      <c r="D6" s="735" t="s">
        <v>285</v>
      </c>
      <c r="E6" s="736"/>
      <c r="F6" s="735" t="s">
        <v>275</v>
      </c>
      <c r="G6" s="736"/>
      <c r="H6" s="733" t="s">
        <v>286</v>
      </c>
      <c r="I6" s="734"/>
      <c r="J6" s="733" t="s">
        <v>280</v>
      </c>
      <c r="K6" s="734"/>
      <c r="L6" s="733" t="s">
        <v>281</v>
      </c>
      <c r="M6" s="734"/>
      <c r="N6" s="733" t="s">
        <v>282</v>
      </c>
      <c r="O6" s="734"/>
      <c r="P6" s="343" t="s">
        <v>287</v>
      </c>
    </row>
    <row r="7" spans="1:20" s="136" customFormat="1" ht="15.75" customHeight="1">
      <c r="B7" s="241"/>
      <c r="C7" s="242"/>
    </row>
    <row r="8" spans="1:20" s="287" customFormat="1" ht="15.75" customHeight="1">
      <c r="A8" s="675" t="s">
        <v>284</v>
      </c>
      <c r="B8" s="676"/>
      <c r="C8" s="284" t="s">
        <v>238</v>
      </c>
      <c r="D8" s="703" t="s">
        <v>239</v>
      </c>
      <c r="E8" s="704"/>
      <c r="F8" s="705"/>
      <c r="G8" s="706" t="s">
        <v>288</v>
      </c>
      <c r="H8" s="707"/>
      <c r="I8" s="708"/>
      <c r="J8" s="285" t="s">
        <v>289</v>
      </c>
      <c r="K8" s="285" t="s">
        <v>23</v>
      </c>
      <c r="L8" s="285" t="s">
        <v>290</v>
      </c>
      <c r="M8" s="286" t="s">
        <v>277</v>
      </c>
      <c r="N8" s="286" t="s">
        <v>253</v>
      </c>
      <c r="O8" s="683" t="s">
        <v>244</v>
      </c>
      <c r="P8" s="684"/>
      <c r="R8" s="358"/>
      <c r="S8" s="359"/>
    </row>
    <row r="9" spans="1:20" s="308" customFormat="1" ht="20.100000000000001" customHeight="1">
      <c r="A9" s="685">
        <v>4</v>
      </c>
      <c r="B9" s="719" t="s">
        <v>286</v>
      </c>
      <c r="C9" s="288">
        <v>1</v>
      </c>
      <c r="D9" s="246"/>
      <c r="E9" s="247"/>
      <c r="F9" s="248"/>
      <c r="G9" s="249"/>
      <c r="H9" s="250"/>
      <c r="I9" s="249"/>
      <c r="J9" s="326"/>
      <c r="K9" s="327"/>
      <c r="L9" s="328"/>
      <c r="M9" s="337">
        <f t="shared" ref="M9:M13" si="0">L9*J9</f>
        <v>0</v>
      </c>
      <c r="N9" s="328"/>
      <c r="O9" s="722"/>
      <c r="P9" s="723"/>
      <c r="R9" s="360"/>
      <c r="S9" s="360"/>
    </row>
    <row r="10" spans="1:20" s="308" customFormat="1" ht="20.100000000000001" customHeight="1">
      <c r="A10" s="686"/>
      <c r="B10" s="720"/>
      <c r="C10" s="288">
        <v>2</v>
      </c>
      <c r="D10" s="386"/>
      <c r="E10" s="247"/>
      <c r="F10" s="248"/>
      <c r="G10" s="249"/>
      <c r="H10" s="250"/>
      <c r="I10" s="249"/>
      <c r="J10" s="326"/>
      <c r="K10" s="327"/>
      <c r="L10" s="328"/>
      <c r="M10" s="337">
        <f t="shared" si="0"/>
        <v>0</v>
      </c>
      <c r="N10" s="328"/>
      <c r="O10" s="715"/>
      <c r="P10" s="716"/>
      <c r="R10" s="360"/>
      <c r="S10" s="360"/>
    </row>
    <row r="11" spans="1:20" s="308" customFormat="1" ht="20.100000000000001" customHeight="1">
      <c r="A11" s="686"/>
      <c r="B11" s="720"/>
      <c r="C11" s="288">
        <v>3</v>
      </c>
      <c r="D11" s="246"/>
      <c r="E11" s="247"/>
      <c r="F11" s="248"/>
      <c r="G11" s="249"/>
      <c r="H11" s="250"/>
      <c r="I11" s="249"/>
      <c r="J11" s="326"/>
      <c r="K11" s="327"/>
      <c r="L11" s="328"/>
      <c r="M11" s="337">
        <f t="shared" si="0"/>
        <v>0</v>
      </c>
      <c r="N11" s="328"/>
      <c r="O11" s="724"/>
      <c r="P11" s="725"/>
      <c r="R11" s="360"/>
      <c r="S11" s="358"/>
    </row>
    <row r="12" spans="1:20" s="308" customFormat="1" ht="20.100000000000001" customHeight="1">
      <c r="A12" s="686"/>
      <c r="B12" s="720"/>
      <c r="C12" s="288">
        <v>4</v>
      </c>
      <c r="D12" s="253"/>
      <c r="E12" s="247"/>
      <c r="F12" s="248"/>
      <c r="G12" s="249"/>
      <c r="H12" s="250"/>
      <c r="I12" s="249"/>
      <c r="J12" s="326"/>
      <c r="K12" s="327"/>
      <c r="L12" s="328"/>
      <c r="M12" s="337">
        <f t="shared" si="0"/>
        <v>0</v>
      </c>
      <c r="N12" s="328"/>
      <c r="O12" s="715"/>
      <c r="P12" s="716"/>
      <c r="R12" s="360"/>
      <c r="S12" s="358"/>
    </row>
    <row r="13" spans="1:20" s="308" customFormat="1" ht="20.100000000000001" customHeight="1" thickBot="1">
      <c r="A13" s="686"/>
      <c r="B13" s="720"/>
      <c r="C13" s="288">
        <v>5</v>
      </c>
      <c r="D13" s="246"/>
      <c r="E13" s="254"/>
      <c r="F13" s="255"/>
      <c r="G13" s="249"/>
      <c r="H13" s="250"/>
      <c r="I13" s="249"/>
      <c r="J13" s="330"/>
      <c r="K13" s="273"/>
      <c r="L13" s="332"/>
      <c r="M13" s="337">
        <f t="shared" si="0"/>
        <v>0</v>
      </c>
      <c r="N13" s="328"/>
      <c r="O13" s="726"/>
      <c r="P13" s="727"/>
      <c r="R13" s="361"/>
      <c r="S13" s="358"/>
      <c r="T13" s="298"/>
    </row>
    <row r="14" spans="1:20" ht="15.75" customHeight="1" thickTop="1" thickBot="1">
      <c r="A14" s="687"/>
      <c r="B14" s="721"/>
      <c r="C14" s="728"/>
      <c r="D14" s="729"/>
      <c r="E14" s="729"/>
      <c r="F14" s="729"/>
      <c r="G14" s="729"/>
      <c r="H14" s="729"/>
      <c r="I14" s="730"/>
      <c r="J14" s="305" t="s">
        <v>304</v>
      </c>
      <c r="K14" s="357">
        <f>M14/'生產管理報表 7-1(月)'!$B$9</f>
        <v>0</v>
      </c>
      <c r="L14" s="306" t="s">
        <v>305</v>
      </c>
      <c r="M14" s="349">
        <f>SUM(M9:M13)</f>
        <v>0</v>
      </c>
      <c r="N14" s="672"/>
      <c r="O14" s="673"/>
      <c r="P14" s="674"/>
      <c r="R14" s="358"/>
      <c r="S14" s="358"/>
    </row>
    <row r="15" spans="1:20" ht="15.75" customHeight="1" thickTop="1">
      <c r="M15" s="344"/>
      <c r="S15" s="358"/>
    </row>
    <row r="16" spans="1:20" ht="15.75" customHeight="1">
      <c r="A16" s="675" t="s">
        <v>284</v>
      </c>
      <c r="B16" s="676"/>
      <c r="C16" s="284" t="s">
        <v>238</v>
      </c>
      <c r="D16" s="703" t="s">
        <v>239</v>
      </c>
      <c r="E16" s="704"/>
      <c r="F16" s="705"/>
      <c r="G16" s="706" t="s">
        <v>288</v>
      </c>
      <c r="H16" s="707"/>
      <c r="I16" s="708"/>
      <c r="J16" s="285" t="s">
        <v>289</v>
      </c>
      <c r="K16" s="285" t="s">
        <v>23</v>
      </c>
      <c r="L16" s="285" t="s">
        <v>290</v>
      </c>
      <c r="M16" s="345" t="s">
        <v>277</v>
      </c>
      <c r="N16" s="286" t="s">
        <v>253</v>
      </c>
      <c r="O16" s="683" t="s">
        <v>244</v>
      </c>
      <c r="P16" s="684"/>
      <c r="S16" s="359"/>
      <c r="T16" s="308"/>
    </row>
    <row r="17" spans="1:20" s="308" customFormat="1" ht="39.950000000000003" customHeight="1">
      <c r="A17" s="685">
        <v>5</v>
      </c>
      <c r="B17" s="698" t="s">
        <v>318</v>
      </c>
      <c r="C17" s="288">
        <v>1</v>
      </c>
      <c r="D17" s="246" t="s">
        <v>213</v>
      </c>
      <c r="E17" s="247"/>
      <c r="F17" s="248"/>
      <c r="G17" s="316" t="s">
        <v>319</v>
      </c>
      <c r="H17" s="315"/>
      <c r="I17" s="316"/>
      <c r="J17" s="326">
        <v>96</v>
      </c>
      <c r="K17" s="327">
        <v>2.3798091708415035E-2</v>
      </c>
      <c r="L17" s="328">
        <v>21.919999999999998</v>
      </c>
      <c r="M17" s="337">
        <f t="shared" ref="M17:M21" si="1">L17*J17</f>
        <v>2104.3199999999997</v>
      </c>
      <c r="N17" s="328"/>
      <c r="O17" s="709" t="s">
        <v>320</v>
      </c>
      <c r="P17" s="710"/>
      <c r="S17" s="358"/>
    </row>
    <row r="18" spans="1:20" s="308" customFormat="1" ht="20.100000000000001" customHeight="1">
      <c r="A18" s="686"/>
      <c r="B18" s="699"/>
      <c r="C18" s="288">
        <v>2</v>
      </c>
      <c r="D18" s="246"/>
      <c r="E18" s="247"/>
      <c r="F18" s="248"/>
      <c r="G18" s="375"/>
      <c r="H18" s="315"/>
      <c r="I18" s="316"/>
      <c r="J18" s="326"/>
      <c r="K18" s="327"/>
      <c r="L18" s="328"/>
      <c r="M18" s="337">
        <f t="shared" si="1"/>
        <v>0</v>
      </c>
      <c r="N18" s="328"/>
      <c r="O18" s="711"/>
      <c r="P18" s="712"/>
      <c r="S18" s="298"/>
      <c r="T18" s="298"/>
    </row>
    <row r="19" spans="1:20" ht="20.100000000000001" customHeight="1">
      <c r="A19" s="686"/>
      <c r="B19" s="699"/>
      <c r="C19" s="288">
        <v>3</v>
      </c>
      <c r="D19" s="246"/>
      <c r="E19" s="290"/>
      <c r="F19" s="291"/>
      <c r="G19" s="375"/>
      <c r="H19" s="315"/>
      <c r="I19" s="316"/>
      <c r="J19" s="326"/>
      <c r="K19" s="327"/>
      <c r="L19" s="328"/>
      <c r="M19" s="337">
        <f t="shared" si="1"/>
        <v>0</v>
      </c>
      <c r="N19" s="297"/>
      <c r="O19" s="713"/>
      <c r="P19" s="714"/>
    </row>
    <row r="20" spans="1:20" ht="20.100000000000001" customHeight="1">
      <c r="A20" s="686"/>
      <c r="B20" s="699"/>
      <c r="C20" s="288">
        <v>4</v>
      </c>
      <c r="D20" s="246"/>
      <c r="E20" s="290"/>
      <c r="F20" s="291"/>
      <c r="G20" s="375"/>
      <c r="H20" s="315"/>
      <c r="I20" s="316"/>
      <c r="J20" s="326"/>
      <c r="K20" s="327"/>
      <c r="L20" s="328"/>
      <c r="M20" s="337">
        <f t="shared" si="1"/>
        <v>0</v>
      </c>
      <c r="N20" s="297"/>
      <c r="O20" s="715"/>
      <c r="P20" s="716"/>
    </row>
    <row r="21" spans="1:20" ht="20.100000000000001" customHeight="1" thickBot="1">
      <c r="A21" s="686"/>
      <c r="B21" s="699"/>
      <c r="C21" s="288">
        <v>5</v>
      </c>
      <c r="D21" s="253"/>
      <c r="E21" s="300"/>
      <c r="F21" s="301"/>
      <c r="G21" s="375"/>
      <c r="H21" s="315"/>
      <c r="I21" s="316"/>
      <c r="J21" s="330"/>
      <c r="K21" s="273"/>
      <c r="L21" s="332"/>
      <c r="M21" s="337">
        <f t="shared" si="1"/>
        <v>0</v>
      </c>
      <c r="N21" s="297"/>
      <c r="O21" s="717"/>
      <c r="P21" s="718"/>
      <c r="R21" s="362"/>
    </row>
    <row r="22" spans="1:20" ht="15.75" customHeight="1" thickTop="1" thickBot="1">
      <c r="A22" s="687"/>
      <c r="B22" s="700"/>
      <c r="C22" s="695"/>
      <c r="D22" s="696"/>
      <c r="E22" s="696"/>
      <c r="F22" s="696"/>
      <c r="G22" s="696"/>
      <c r="H22" s="696"/>
      <c r="I22" s="697"/>
      <c r="J22" s="305" t="s">
        <v>304</v>
      </c>
      <c r="K22" s="357">
        <f>M22/'生產管理報表 7-1(月)'!$B$9</f>
        <v>7.628498857156385E-3</v>
      </c>
      <c r="L22" s="306" t="s">
        <v>305</v>
      </c>
      <c r="M22" s="349">
        <f>SUM(M17:M21)</f>
        <v>2104.3199999999997</v>
      </c>
      <c r="N22" s="672"/>
      <c r="O22" s="673"/>
      <c r="P22" s="674"/>
      <c r="R22" s="358"/>
    </row>
    <row r="23" spans="1:20" ht="15.75" customHeight="1" thickTop="1">
      <c r="M23" s="344"/>
      <c r="R23" s="358"/>
    </row>
    <row r="24" spans="1:20" ht="15.75" customHeight="1">
      <c r="A24" s="675" t="s">
        <v>284</v>
      </c>
      <c r="B24" s="676"/>
      <c r="C24" s="313" t="s">
        <v>238</v>
      </c>
      <c r="D24" s="677" t="s">
        <v>239</v>
      </c>
      <c r="E24" s="678"/>
      <c r="F24" s="679"/>
      <c r="G24" s="680" t="s">
        <v>288</v>
      </c>
      <c r="H24" s="681"/>
      <c r="I24" s="682"/>
      <c r="J24" s="314" t="s">
        <v>289</v>
      </c>
      <c r="K24" s="285" t="s">
        <v>23</v>
      </c>
      <c r="L24" s="285" t="s">
        <v>290</v>
      </c>
      <c r="M24" s="345" t="s">
        <v>277</v>
      </c>
      <c r="N24" s="286" t="s">
        <v>253</v>
      </c>
      <c r="O24" s="683" t="s">
        <v>244</v>
      </c>
      <c r="P24" s="684"/>
      <c r="R24" s="358"/>
    </row>
    <row r="25" spans="1:20" s="308" customFormat="1" ht="60" customHeight="1">
      <c r="A25" s="685">
        <v>6</v>
      </c>
      <c r="B25" s="698" t="s">
        <v>321</v>
      </c>
      <c r="C25" s="288">
        <v>1</v>
      </c>
      <c r="D25" s="246" t="s">
        <v>147</v>
      </c>
      <c r="E25" s="247"/>
      <c r="F25" s="248"/>
      <c r="G25" s="316" t="s">
        <v>322</v>
      </c>
      <c r="H25" s="315"/>
      <c r="I25" s="316"/>
      <c r="J25" s="326">
        <v>15.450000000000001</v>
      </c>
      <c r="K25" s="327">
        <v>5.3755465725076335E-3</v>
      </c>
      <c r="L25" s="328">
        <v>366</v>
      </c>
      <c r="M25" s="337">
        <f t="shared" ref="M25" si="2">L25*J25</f>
        <v>5654.7000000000007</v>
      </c>
      <c r="N25" s="328"/>
      <c r="O25" s="701" t="s">
        <v>323</v>
      </c>
      <c r="P25" s="702"/>
    </row>
    <row r="26" spans="1:20" ht="20.100000000000001" customHeight="1">
      <c r="A26" s="686"/>
      <c r="B26" s="699"/>
      <c r="C26" s="288">
        <v>2</v>
      </c>
      <c r="D26" s="289"/>
      <c r="E26" s="290"/>
      <c r="F26" s="291"/>
      <c r="G26" s="292"/>
      <c r="H26" s="293"/>
      <c r="I26" s="294"/>
      <c r="J26" s="295"/>
      <c r="K26" s="296"/>
      <c r="L26" s="297"/>
      <c r="M26" s="346">
        <v>0</v>
      </c>
      <c r="N26" s="297"/>
      <c r="O26" s="309"/>
      <c r="P26" s="310"/>
    </row>
    <row r="27" spans="1:20" ht="20.100000000000001" customHeight="1">
      <c r="A27" s="686"/>
      <c r="B27" s="699"/>
      <c r="C27" s="288">
        <v>3</v>
      </c>
      <c r="D27" s="289"/>
      <c r="E27" s="290"/>
      <c r="F27" s="291"/>
      <c r="G27" s="292"/>
      <c r="H27" s="293"/>
      <c r="I27" s="294"/>
      <c r="J27" s="295"/>
      <c r="K27" s="296"/>
      <c r="L27" s="297"/>
      <c r="M27" s="346">
        <v>0</v>
      </c>
      <c r="N27" s="297"/>
      <c r="O27" s="309"/>
      <c r="P27" s="310"/>
    </row>
    <row r="28" spans="1:20" ht="20.100000000000001" customHeight="1">
      <c r="A28" s="686"/>
      <c r="B28" s="699"/>
      <c r="C28" s="288">
        <v>4</v>
      </c>
      <c r="D28" s="289"/>
      <c r="E28" s="290"/>
      <c r="F28" s="291"/>
      <c r="G28" s="292"/>
      <c r="H28" s="293"/>
      <c r="I28" s="294"/>
      <c r="J28" s="295"/>
      <c r="K28" s="296"/>
      <c r="L28" s="297"/>
      <c r="M28" s="346">
        <v>0</v>
      </c>
      <c r="N28" s="297"/>
      <c r="O28" s="309"/>
      <c r="P28" s="310"/>
    </row>
    <row r="29" spans="1:20" ht="20.100000000000001" customHeight="1" thickBot="1">
      <c r="A29" s="686"/>
      <c r="B29" s="699"/>
      <c r="C29" s="288">
        <v>5</v>
      </c>
      <c r="D29" s="299"/>
      <c r="E29" s="300"/>
      <c r="F29" s="301"/>
      <c r="G29" s="292"/>
      <c r="H29" s="293"/>
      <c r="I29" s="294"/>
      <c r="J29" s="302"/>
      <c r="K29" s="382"/>
      <c r="L29" s="304"/>
      <c r="M29" s="346">
        <v>0</v>
      </c>
      <c r="N29" s="297"/>
      <c r="O29" s="311"/>
      <c r="P29" s="312"/>
    </row>
    <row r="30" spans="1:20" ht="15.75" customHeight="1" thickTop="1" thickBot="1">
      <c r="A30" s="687"/>
      <c r="B30" s="700"/>
      <c r="C30" s="695"/>
      <c r="D30" s="696"/>
      <c r="E30" s="696"/>
      <c r="F30" s="696"/>
      <c r="G30" s="696"/>
      <c r="H30" s="696"/>
      <c r="I30" s="697"/>
      <c r="J30" s="305" t="s">
        <v>304</v>
      </c>
      <c r="K30" s="357">
        <f>M30/'生產管理報表 7-1(月)'!$B$9</f>
        <v>2.0499198072328459E-2</v>
      </c>
      <c r="L30" s="306" t="s">
        <v>305</v>
      </c>
      <c r="M30" s="349">
        <f>SUM(M25:M29)</f>
        <v>5654.7000000000007</v>
      </c>
      <c r="N30" s="672"/>
      <c r="O30" s="673"/>
      <c r="P30" s="674"/>
    </row>
    <row r="31" spans="1:20" ht="15.75" customHeight="1" thickTop="1">
      <c r="M31" s="344"/>
    </row>
    <row r="32" spans="1:20" ht="15.75" customHeight="1">
      <c r="A32" s="675" t="s">
        <v>284</v>
      </c>
      <c r="B32" s="676"/>
      <c r="C32" s="313" t="s">
        <v>238</v>
      </c>
      <c r="D32" s="677" t="s">
        <v>239</v>
      </c>
      <c r="E32" s="678"/>
      <c r="F32" s="679"/>
      <c r="G32" s="680" t="s">
        <v>288</v>
      </c>
      <c r="H32" s="681"/>
      <c r="I32" s="682"/>
      <c r="J32" s="314" t="s">
        <v>289</v>
      </c>
      <c r="K32" s="285" t="s">
        <v>23</v>
      </c>
      <c r="L32" s="285" t="s">
        <v>290</v>
      </c>
      <c r="M32" s="345" t="s">
        <v>277</v>
      </c>
      <c r="N32" s="286" t="s">
        <v>253</v>
      </c>
      <c r="O32" s="683" t="s">
        <v>244</v>
      </c>
      <c r="P32" s="684"/>
    </row>
    <row r="33" spans="1:16" ht="20.100000000000001" customHeight="1">
      <c r="A33" s="685">
        <v>7</v>
      </c>
      <c r="B33" s="688" t="s">
        <v>324</v>
      </c>
      <c r="C33" s="288">
        <v>1</v>
      </c>
      <c r="D33" s="289"/>
      <c r="E33" s="290"/>
      <c r="F33" s="291"/>
      <c r="G33" s="292"/>
      <c r="H33" s="293"/>
      <c r="I33" s="294"/>
      <c r="J33" s="295"/>
      <c r="K33" s="296"/>
      <c r="L33" s="297"/>
      <c r="M33" s="346">
        <f t="shared" ref="M33:M35" si="3">L33*J33</f>
        <v>0</v>
      </c>
      <c r="N33" s="297"/>
      <c r="O33" s="691"/>
      <c r="P33" s="692"/>
    </row>
    <row r="34" spans="1:16" ht="20.100000000000001" customHeight="1">
      <c r="A34" s="686"/>
      <c r="B34" s="689"/>
      <c r="C34" s="288">
        <v>2</v>
      </c>
      <c r="D34" s="289"/>
      <c r="E34" s="290"/>
      <c r="F34" s="291"/>
      <c r="G34" s="292"/>
      <c r="H34" s="293"/>
      <c r="I34" s="294"/>
      <c r="J34" s="295"/>
      <c r="K34" s="296"/>
      <c r="L34" s="297"/>
      <c r="M34" s="346">
        <f t="shared" si="3"/>
        <v>0</v>
      </c>
      <c r="N34" s="297"/>
      <c r="O34" s="693"/>
      <c r="P34" s="694"/>
    </row>
    <row r="35" spans="1:16" ht="20.100000000000001" customHeight="1">
      <c r="A35" s="686"/>
      <c r="B35" s="689"/>
      <c r="C35" s="288">
        <v>3</v>
      </c>
      <c r="D35" s="289"/>
      <c r="E35" s="290"/>
      <c r="F35" s="291"/>
      <c r="G35" s="292"/>
      <c r="H35" s="293"/>
      <c r="I35" s="294"/>
      <c r="J35" s="295"/>
      <c r="K35" s="296"/>
      <c r="L35" s="297"/>
      <c r="M35" s="346">
        <f t="shared" si="3"/>
        <v>0</v>
      </c>
      <c r="N35" s="297"/>
      <c r="O35" s="693"/>
      <c r="P35" s="694"/>
    </row>
    <row r="36" spans="1:16" ht="20.100000000000001" customHeight="1">
      <c r="A36" s="686"/>
      <c r="B36" s="689"/>
      <c r="C36" s="288">
        <v>4</v>
      </c>
      <c r="D36" s="289"/>
      <c r="E36" s="290"/>
      <c r="F36" s="291"/>
      <c r="G36" s="292"/>
      <c r="H36" s="293"/>
      <c r="I36" s="294"/>
      <c r="J36" s="295"/>
      <c r="K36" s="296"/>
      <c r="L36" s="297"/>
      <c r="M36" s="347">
        <v>0</v>
      </c>
      <c r="N36" s="297"/>
      <c r="O36" s="309"/>
      <c r="P36" s="310"/>
    </row>
    <row r="37" spans="1:16" ht="20.100000000000001" customHeight="1" thickBot="1">
      <c r="A37" s="686"/>
      <c r="B37" s="689"/>
      <c r="C37" s="288">
        <v>5</v>
      </c>
      <c r="D37" s="299"/>
      <c r="E37" s="300"/>
      <c r="F37" s="301"/>
      <c r="G37" s="292"/>
      <c r="H37" s="293"/>
      <c r="I37" s="294"/>
      <c r="J37" s="302"/>
      <c r="K37" s="273"/>
      <c r="L37" s="304"/>
      <c r="M37" s="348">
        <v>0</v>
      </c>
      <c r="N37" s="297"/>
      <c r="O37" s="311"/>
      <c r="P37" s="312"/>
    </row>
    <row r="38" spans="1:16" ht="15.75" customHeight="1" thickTop="1" thickBot="1">
      <c r="A38" s="687"/>
      <c r="B38" s="690"/>
      <c r="C38" s="695"/>
      <c r="D38" s="696"/>
      <c r="E38" s="696"/>
      <c r="F38" s="696"/>
      <c r="G38" s="696"/>
      <c r="H38" s="696"/>
      <c r="I38" s="697"/>
      <c r="J38" s="305" t="s">
        <v>304</v>
      </c>
      <c r="K38" s="357">
        <f>M38/'生產管理報表 7-1(月)'!$B$9</f>
        <v>0</v>
      </c>
      <c r="L38" s="306" t="s">
        <v>305</v>
      </c>
      <c r="M38" s="349">
        <f>SUM(M33:M37)</f>
        <v>0</v>
      </c>
      <c r="N38" s="672"/>
      <c r="O38" s="673"/>
      <c r="P38" s="674"/>
    </row>
    <row r="39" spans="1:16" ht="15.75" customHeight="1" thickTop="1"/>
    <row r="44" spans="1:16" ht="15.75" customHeight="1">
      <c r="O44" s="298" ph="1"/>
      <c r="P44" s="298" ph="1"/>
    </row>
    <row r="46" spans="1:16" ht="15.75" customHeight="1">
      <c r="O46" s="298" ph="1"/>
      <c r="P46" s="298" ph="1"/>
    </row>
    <row r="47" spans="1:16" ht="15.75" customHeight="1">
      <c r="O47" s="298" ph="1"/>
      <c r="P47" s="298" ph="1"/>
    </row>
    <row r="117" spans="15:16" ht="15.75" customHeight="1">
      <c r="O117" s="298" ph="1"/>
      <c r="P117" s="298" ph="1"/>
    </row>
    <row r="119" spans="15:16" ht="15.75" customHeight="1">
      <c r="O119" s="298" ph="1"/>
      <c r="P119" s="298" ph="1"/>
    </row>
    <row r="120" spans="15:16" ht="15.75" customHeight="1">
      <c r="O120" s="298" ph="1"/>
      <c r="P120" s="298" ph="1"/>
    </row>
    <row r="153" spans="15:16" ht="15.75" customHeight="1">
      <c r="O153" s="298" ph="1"/>
      <c r="P153" s="298" ph="1"/>
    </row>
    <row r="155" spans="15:16" ht="15.75" customHeight="1">
      <c r="O155" s="298" ph="1"/>
      <c r="P155" s="298" ph="1"/>
    </row>
    <row r="156" spans="15:16" ht="15.75" customHeight="1">
      <c r="O156" s="298" ph="1"/>
      <c r="P156" s="298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6" customWidth="1"/>
    <col min="2" max="2" width="11.42578125" style="241" customWidth="1"/>
    <col min="3" max="3" width="4" style="242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40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</row>
    <row r="2" spans="1:75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</row>
    <row r="3" spans="1:75" ht="15.75" customHeight="1">
      <c r="A3" s="639" t="s">
        <v>325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5" s="137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5" ht="15.75" customHeight="1">
      <c r="A5" s="641" t="s">
        <v>284</v>
      </c>
      <c r="B5" s="669">
        <v>1</v>
      </c>
      <c r="C5" s="669"/>
      <c r="D5" s="669">
        <v>2</v>
      </c>
      <c r="E5" s="669"/>
      <c r="F5" s="669">
        <v>3</v>
      </c>
      <c r="G5" s="669"/>
      <c r="H5" s="644">
        <v>4</v>
      </c>
      <c r="I5" s="644"/>
      <c r="J5" s="644">
        <v>5</v>
      </c>
      <c r="K5" s="644"/>
      <c r="L5" s="644">
        <v>6</v>
      </c>
      <c r="M5" s="644"/>
      <c r="N5" s="644">
        <v>7</v>
      </c>
      <c r="O5" s="644"/>
      <c r="P5" s="644">
        <v>8</v>
      </c>
      <c r="Q5" s="644"/>
    </row>
    <row r="6" spans="1:75" ht="15.75" customHeight="1">
      <c r="A6" s="641"/>
      <c r="B6" s="670" t="s">
        <v>273</v>
      </c>
      <c r="C6" s="670"/>
      <c r="D6" s="670" t="s">
        <v>285</v>
      </c>
      <c r="E6" s="670"/>
      <c r="F6" s="670" t="s">
        <v>275</v>
      </c>
      <c r="G6" s="670"/>
      <c r="H6" s="641" t="s">
        <v>286</v>
      </c>
      <c r="I6" s="641"/>
      <c r="J6" s="641" t="s">
        <v>280</v>
      </c>
      <c r="K6" s="641"/>
      <c r="L6" s="641" t="s">
        <v>281</v>
      </c>
      <c r="M6" s="641"/>
      <c r="N6" s="641" t="s">
        <v>282</v>
      </c>
      <c r="O6" s="641"/>
      <c r="P6" s="761" t="s">
        <v>287</v>
      </c>
      <c r="Q6" s="641"/>
    </row>
    <row r="8" spans="1:75" s="244" customFormat="1" ht="15.75" customHeight="1">
      <c r="A8" s="644" t="s">
        <v>284</v>
      </c>
      <c r="B8" s="644"/>
      <c r="C8" s="243" t="s">
        <v>238</v>
      </c>
      <c r="D8" s="662" t="s">
        <v>239</v>
      </c>
      <c r="E8" s="662"/>
      <c r="F8" s="662"/>
      <c r="G8" s="656" t="s">
        <v>288</v>
      </c>
      <c r="H8" s="657"/>
      <c r="I8" s="658"/>
      <c r="J8" s="243" t="s">
        <v>289</v>
      </c>
      <c r="K8" s="243" t="s">
        <v>23</v>
      </c>
      <c r="L8" s="243" t="s">
        <v>290</v>
      </c>
      <c r="M8" s="243" t="s">
        <v>277</v>
      </c>
      <c r="N8" s="243" t="s">
        <v>253</v>
      </c>
      <c r="O8" s="648" t="s">
        <v>244</v>
      </c>
      <c r="P8" s="648"/>
    </row>
    <row r="9" spans="1:75" ht="24.95" customHeight="1">
      <c r="A9" s="644">
        <v>1</v>
      </c>
      <c r="B9" s="659" t="s">
        <v>291</v>
      </c>
      <c r="C9" s="245">
        <v>1</v>
      </c>
      <c r="D9" s="246"/>
      <c r="E9" s="247"/>
      <c r="F9" s="248"/>
      <c r="G9" s="277"/>
      <c r="H9" s="247"/>
      <c r="I9" s="277"/>
      <c r="J9" s="245"/>
      <c r="K9" s="251"/>
      <c r="L9" s="245"/>
      <c r="M9" s="337">
        <f>L9*J9</f>
        <v>0</v>
      </c>
      <c r="N9" s="252"/>
      <c r="O9" s="722"/>
      <c r="P9" s="723"/>
    </row>
    <row r="10" spans="1:75" ht="24.95" customHeight="1">
      <c r="A10" s="644"/>
      <c r="B10" s="659"/>
      <c r="C10" s="245">
        <v>2</v>
      </c>
      <c r="D10" s="246"/>
      <c r="E10" s="247"/>
      <c r="F10" s="248"/>
      <c r="G10" s="246"/>
      <c r="H10" s="247"/>
      <c r="I10" s="277"/>
      <c r="J10" s="245"/>
      <c r="K10" s="251"/>
      <c r="L10" s="245"/>
      <c r="M10" s="337">
        <f t="shared" ref="M10:M13" si="0">L10*J10</f>
        <v>0</v>
      </c>
      <c r="N10" s="252"/>
      <c r="O10" s="756"/>
      <c r="P10" s="757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</row>
    <row r="11" spans="1:75" ht="24.95" customHeight="1">
      <c r="A11" s="644"/>
      <c r="B11" s="659"/>
      <c r="C11" s="245">
        <v>3</v>
      </c>
      <c r="D11" s="246"/>
      <c r="E11" s="247"/>
      <c r="F11" s="248"/>
      <c r="G11" s="323"/>
      <c r="H11" s="324"/>
      <c r="I11" s="325"/>
      <c r="J11" s="245"/>
      <c r="K11" s="251"/>
      <c r="L11" s="245"/>
      <c r="M11" s="337">
        <f t="shared" si="0"/>
        <v>0</v>
      </c>
      <c r="N11" s="252"/>
      <c r="O11" s="756"/>
      <c r="P11" s="757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  <c r="AO11" s="240"/>
      <c r="AP11" s="240"/>
      <c r="AQ11" s="240"/>
      <c r="AR11" s="240"/>
      <c r="AS11" s="240"/>
      <c r="AT11" s="240"/>
      <c r="AU11" s="240"/>
      <c r="AV11" s="240"/>
      <c r="AW11" s="240"/>
      <c r="AX11" s="240"/>
      <c r="AY11" s="240"/>
      <c r="AZ11" s="240"/>
      <c r="BA11" s="240"/>
      <c r="BB11" s="240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40"/>
      <c r="BN11" s="240"/>
      <c r="BO11" s="240"/>
      <c r="BP11" s="240"/>
      <c r="BQ11" s="240"/>
      <c r="BR11" s="240"/>
      <c r="BS11" s="240"/>
      <c r="BT11" s="240"/>
      <c r="BU11" s="240"/>
      <c r="BV11" s="240"/>
      <c r="BW11" s="240"/>
    </row>
    <row r="12" spans="1:75" ht="24.95" customHeight="1">
      <c r="A12" s="644"/>
      <c r="B12" s="659"/>
      <c r="C12" s="245">
        <v>4</v>
      </c>
      <c r="D12" s="246"/>
      <c r="E12" s="247"/>
      <c r="F12" s="248"/>
      <c r="G12" s="390"/>
      <c r="H12" s="391"/>
      <c r="I12" s="392"/>
      <c r="J12" s="245"/>
      <c r="K12" s="251"/>
      <c r="L12" s="245"/>
      <c r="M12" s="337">
        <f t="shared" si="0"/>
        <v>0</v>
      </c>
      <c r="N12" s="252"/>
      <c r="O12" s="756"/>
      <c r="P12" s="757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</row>
    <row r="13" spans="1:75" ht="24.95" customHeight="1" thickBot="1">
      <c r="A13" s="644"/>
      <c r="B13" s="659"/>
      <c r="C13" s="245">
        <v>5</v>
      </c>
      <c r="D13" s="253"/>
      <c r="E13" s="254"/>
      <c r="F13" s="255"/>
      <c r="G13" s="390"/>
      <c r="H13" s="391"/>
      <c r="I13" s="392"/>
      <c r="J13" s="256"/>
      <c r="K13" s="257"/>
      <c r="L13" s="256"/>
      <c r="M13" s="338">
        <f t="shared" si="0"/>
        <v>0</v>
      </c>
      <c r="N13" s="252"/>
      <c r="O13" s="756"/>
      <c r="P13" s="757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0"/>
      <c r="BW13" s="240"/>
    </row>
    <row r="14" spans="1:75" ht="15.75" customHeight="1" thickTop="1">
      <c r="A14" s="644"/>
      <c r="B14" s="659"/>
      <c r="C14" s="650"/>
      <c r="D14" s="651"/>
      <c r="E14" s="651"/>
      <c r="F14" s="651"/>
      <c r="G14" s="651"/>
      <c r="H14" s="651"/>
      <c r="I14" s="652"/>
      <c r="J14" s="258" t="s">
        <v>304</v>
      </c>
      <c r="K14" s="357">
        <f>M14/'生產管理報表 7-1(月)'!$B$10</f>
        <v>0</v>
      </c>
      <c r="L14" s="258" t="s">
        <v>305</v>
      </c>
      <c r="M14" s="339">
        <f>SUM(M9:M13)</f>
        <v>0</v>
      </c>
      <c r="N14" s="758"/>
      <c r="O14" s="759"/>
      <c r="P14" s="76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0"/>
      <c r="BT14" s="240"/>
      <c r="BU14" s="240"/>
      <c r="BV14" s="240"/>
      <c r="BW14" s="240"/>
    </row>
    <row r="15" spans="1:75" ht="15.75" customHeight="1"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60"/>
      <c r="O15" s="260"/>
      <c r="P15" s="26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0"/>
      <c r="BT15" s="240"/>
      <c r="BU15" s="240"/>
      <c r="BV15" s="240"/>
      <c r="BW15" s="240"/>
    </row>
    <row r="16" spans="1:75" ht="15.75" customHeight="1">
      <c r="A16" s="644" t="s">
        <v>284</v>
      </c>
      <c r="B16" s="644"/>
      <c r="C16" s="261" t="s">
        <v>238</v>
      </c>
      <c r="D16" s="653" t="s">
        <v>239</v>
      </c>
      <c r="E16" s="654"/>
      <c r="F16" s="655"/>
      <c r="G16" s="656" t="s">
        <v>288</v>
      </c>
      <c r="H16" s="657"/>
      <c r="I16" s="658"/>
      <c r="J16" s="263" t="s">
        <v>289</v>
      </c>
      <c r="K16" s="263" t="s">
        <v>23</v>
      </c>
      <c r="L16" s="263" t="s">
        <v>290</v>
      </c>
      <c r="M16" s="263" t="s">
        <v>277</v>
      </c>
      <c r="N16" s="264" t="s">
        <v>253</v>
      </c>
      <c r="O16" s="749" t="s">
        <v>244</v>
      </c>
      <c r="P16" s="75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</row>
    <row r="17" spans="1:36" ht="20.100000000000001" customHeight="1">
      <c r="A17" s="644">
        <v>2</v>
      </c>
      <c r="B17" s="659" t="s">
        <v>306</v>
      </c>
      <c r="C17" s="265">
        <v>1</v>
      </c>
      <c r="D17" s="246"/>
      <c r="E17" s="247"/>
      <c r="F17" s="248"/>
      <c r="G17" s="246"/>
      <c r="H17" s="247"/>
      <c r="I17" s="248"/>
      <c r="J17" s="266"/>
      <c r="K17" s="267"/>
      <c r="L17" s="266"/>
      <c r="M17" s="268">
        <f t="shared" ref="M17:M21" si="1">L17*J17</f>
        <v>0</v>
      </c>
      <c r="N17" s="269"/>
      <c r="O17" s="751"/>
      <c r="P17" s="752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</row>
    <row r="18" spans="1:36" ht="20.100000000000001" customHeight="1">
      <c r="A18" s="644"/>
      <c r="B18" s="659"/>
      <c r="C18" s="265">
        <v>2</v>
      </c>
      <c r="D18" s="246"/>
      <c r="E18" s="247"/>
      <c r="F18" s="248"/>
      <c r="G18" s="246"/>
      <c r="H18" s="247"/>
      <c r="I18" s="248"/>
      <c r="J18" s="266"/>
      <c r="K18" s="267"/>
      <c r="L18" s="266"/>
      <c r="M18" s="268">
        <f t="shared" si="1"/>
        <v>0</v>
      </c>
      <c r="N18" s="269"/>
      <c r="O18" s="751"/>
      <c r="P18" s="752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</row>
    <row r="19" spans="1:36" ht="20.100000000000001" customHeight="1">
      <c r="A19" s="644"/>
      <c r="B19" s="659"/>
      <c r="C19" s="265">
        <v>3</v>
      </c>
      <c r="D19" s="246"/>
      <c r="E19" s="247"/>
      <c r="F19" s="248"/>
      <c r="G19" s="246"/>
      <c r="H19" s="247"/>
      <c r="I19" s="248"/>
      <c r="J19" s="266"/>
      <c r="K19" s="267"/>
      <c r="L19" s="266"/>
      <c r="M19" s="268">
        <f t="shared" si="1"/>
        <v>0</v>
      </c>
      <c r="N19" s="269"/>
      <c r="O19" s="751"/>
      <c r="P19" s="752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</row>
    <row r="20" spans="1:36" ht="20.100000000000001" customHeight="1">
      <c r="A20" s="644"/>
      <c r="B20" s="659"/>
      <c r="C20" s="265">
        <v>4</v>
      </c>
      <c r="D20" s="246"/>
      <c r="E20" s="247"/>
      <c r="F20" s="248"/>
      <c r="G20" s="246"/>
      <c r="H20" s="247"/>
      <c r="I20" s="248"/>
      <c r="J20" s="266"/>
      <c r="K20" s="267"/>
      <c r="L20" s="266"/>
      <c r="M20" s="268">
        <f t="shared" si="1"/>
        <v>0</v>
      </c>
      <c r="N20" s="269"/>
      <c r="O20" s="751"/>
      <c r="P20" s="752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</row>
    <row r="21" spans="1:36" ht="20.100000000000001" customHeight="1" thickBot="1">
      <c r="A21" s="644"/>
      <c r="B21" s="659"/>
      <c r="C21" s="271">
        <v>5</v>
      </c>
      <c r="D21" s="253"/>
      <c r="E21" s="254"/>
      <c r="F21" s="255"/>
      <c r="G21" s="253"/>
      <c r="H21" s="254"/>
      <c r="I21" s="255"/>
      <c r="J21" s="272"/>
      <c r="K21" s="273"/>
      <c r="L21" s="272"/>
      <c r="M21" s="274">
        <f t="shared" si="1"/>
        <v>0</v>
      </c>
      <c r="N21" s="275"/>
      <c r="O21" s="751"/>
      <c r="P21" s="752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</row>
    <row r="22" spans="1:36" ht="15.75" customHeight="1" thickTop="1">
      <c r="A22" s="644"/>
      <c r="B22" s="659"/>
      <c r="C22" s="650"/>
      <c r="D22" s="651"/>
      <c r="E22" s="651"/>
      <c r="F22" s="651"/>
      <c r="G22" s="651"/>
      <c r="H22" s="651"/>
      <c r="I22" s="652"/>
      <c r="J22" s="258" t="s">
        <v>304</v>
      </c>
      <c r="K22" s="357">
        <f>M22/'生產管理報表 7-1(月)'!$B$10</f>
        <v>0</v>
      </c>
      <c r="L22" s="258" t="s">
        <v>305</v>
      </c>
      <c r="M22" s="259">
        <f>SUM(M17:M21)</f>
        <v>0</v>
      </c>
      <c r="N22" s="753"/>
      <c r="O22" s="754"/>
      <c r="P22" s="755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</row>
    <row r="23" spans="1:36" ht="15.75" customHeight="1"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76"/>
      <c r="O23" s="276"/>
      <c r="P23" s="276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</row>
    <row r="24" spans="1:36" ht="15.75" customHeight="1">
      <c r="A24" s="644" t="s">
        <v>284</v>
      </c>
      <c r="B24" s="644"/>
      <c r="C24" s="261" t="s">
        <v>238</v>
      </c>
      <c r="D24" s="653" t="s">
        <v>239</v>
      </c>
      <c r="E24" s="654"/>
      <c r="F24" s="655"/>
      <c r="G24" s="656" t="s">
        <v>288</v>
      </c>
      <c r="H24" s="657"/>
      <c r="I24" s="658"/>
      <c r="J24" s="262" t="s">
        <v>289</v>
      </c>
      <c r="K24" s="263" t="s">
        <v>23</v>
      </c>
      <c r="L24" s="263" t="s">
        <v>290</v>
      </c>
      <c r="M24" s="263" t="s">
        <v>277</v>
      </c>
      <c r="N24" s="264" t="s">
        <v>253</v>
      </c>
      <c r="O24" s="747" t="s">
        <v>244</v>
      </c>
      <c r="P24" s="748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</row>
    <row r="25" spans="1:36" ht="24.95" customHeight="1">
      <c r="A25" s="644">
        <v>3</v>
      </c>
      <c r="B25" s="659" t="s">
        <v>307</v>
      </c>
      <c r="C25" s="265">
        <v>1</v>
      </c>
      <c r="D25" s="246"/>
      <c r="E25" s="247"/>
      <c r="F25" s="248"/>
      <c r="G25" s="390"/>
      <c r="H25" s="391"/>
      <c r="I25" s="392"/>
      <c r="J25" s="278"/>
      <c r="K25" s="267"/>
      <c r="L25" s="266"/>
      <c r="M25" s="340">
        <f t="shared" ref="M25:M29" si="2">L25*J25</f>
        <v>0</v>
      </c>
      <c r="N25" s="279"/>
      <c r="O25" s="742"/>
      <c r="P25" s="743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</row>
    <row r="26" spans="1:36" ht="24.95" customHeight="1">
      <c r="A26" s="644"/>
      <c r="B26" s="659"/>
      <c r="C26" s="265">
        <v>2</v>
      </c>
      <c r="D26" s="246"/>
      <c r="E26" s="247"/>
      <c r="F26" s="248"/>
      <c r="G26" s="390"/>
      <c r="H26" s="391"/>
      <c r="I26" s="392"/>
      <c r="J26" s="278"/>
      <c r="K26" s="267"/>
      <c r="L26" s="266"/>
      <c r="M26" s="340">
        <f t="shared" si="2"/>
        <v>0</v>
      </c>
      <c r="N26" s="279"/>
      <c r="O26" s="742"/>
      <c r="P26" s="743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</row>
    <row r="27" spans="1:36" ht="24.95" customHeight="1">
      <c r="A27" s="644"/>
      <c r="B27" s="659"/>
      <c r="C27" s="265">
        <v>3</v>
      </c>
      <c r="D27" s="246"/>
      <c r="E27" s="247"/>
      <c r="F27" s="248"/>
      <c r="G27" s="390"/>
      <c r="H27" s="391"/>
      <c r="I27" s="392"/>
      <c r="J27" s="278"/>
      <c r="K27" s="267"/>
      <c r="L27" s="266"/>
      <c r="M27" s="340">
        <f t="shared" si="2"/>
        <v>0</v>
      </c>
      <c r="N27" s="279"/>
      <c r="O27" s="742"/>
      <c r="P27" s="743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</row>
    <row r="28" spans="1:36" ht="24.95" customHeight="1">
      <c r="A28" s="644"/>
      <c r="B28" s="659"/>
      <c r="C28" s="265">
        <v>4</v>
      </c>
      <c r="D28" s="246"/>
      <c r="E28" s="247"/>
      <c r="F28" s="248"/>
      <c r="G28" s="246"/>
      <c r="H28" s="247"/>
      <c r="I28" s="277"/>
      <c r="J28" s="278"/>
      <c r="K28" s="267"/>
      <c r="L28" s="266"/>
      <c r="M28" s="340">
        <f t="shared" si="2"/>
        <v>0</v>
      </c>
      <c r="N28" s="279"/>
      <c r="O28" s="742"/>
      <c r="P28" s="743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</row>
    <row r="29" spans="1:36" ht="24.95" customHeight="1" thickBot="1">
      <c r="A29" s="644"/>
      <c r="B29" s="659"/>
      <c r="C29" s="271">
        <v>5</v>
      </c>
      <c r="D29" s="253"/>
      <c r="E29" s="254"/>
      <c r="F29" s="255"/>
      <c r="G29" s="253"/>
      <c r="H29" s="254"/>
      <c r="I29" s="280"/>
      <c r="J29" s="281"/>
      <c r="K29" s="273"/>
      <c r="L29" s="282"/>
      <c r="M29" s="340">
        <f t="shared" si="2"/>
        <v>0</v>
      </c>
      <c r="N29" s="279"/>
      <c r="O29" s="742"/>
      <c r="P29" s="743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</row>
    <row r="30" spans="1:36" ht="15.75" customHeight="1" thickTop="1">
      <c r="A30" s="644"/>
      <c r="B30" s="659"/>
      <c r="C30" s="650"/>
      <c r="D30" s="651"/>
      <c r="E30" s="651"/>
      <c r="F30" s="651"/>
      <c r="G30" s="651"/>
      <c r="H30" s="651"/>
      <c r="I30" s="652"/>
      <c r="J30" s="283" t="s">
        <v>304</v>
      </c>
      <c r="K30" s="357">
        <f>M30/'生產管理報表 7-1(月)'!$B$10</f>
        <v>0</v>
      </c>
      <c r="L30" s="283" t="s">
        <v>305</v>
      </c>
      <c r="M30" s="341">
        <f>SUM(M25:M29)</f>
        <v>0</v>
      </c>
      <c r="N30" s="744"/>
      <c r="O30" s="745"/>
      <c r="P30" s="746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outlinePr summaryBelow="0" summaryRight="0"/>
  </sheetPr>
  <dimension ref="A1:T156"/>
  <sheetViews>
    <sheetView view="pageBreakPreview" topLeftCell="A7" zoomScale="91" zoomScaleNormal="60" zoomScaleSheetLayoutView="91" workbookViewId="0">
      <selection activeCell="C17" sqref="A17:XFD17"/>
    </sheetView>
  </sheetViews>
  <sheetFormatPr defaultColWidth="12.5703125" defaultRowHeight="15.75" customHeight="1"/>
  <cols>
    <col min="1" max="1" width="5.42578125" style="298" customWidth="1"/>
    <col min="2" max="2" width="11.42578125" style="307" customWidth="1"/>
    <col min="3" max="3" width="4" style="308" customWidth="1"/>
    <col min="4" max="4" width="9.5703125" style="298" customWidth="1"/>
    <col min="5" max="5" width="10.28515625" style="298" customWidth="1"/>
    <col min="6" max="15" width="9.5703125" style="298" customWidth="1"/>
    <col min="16" max="16" width="35.42578125" style="298" customWidth="1"/>
    <col min="17" max="16384" width="12.5703125" style="298"/>
  </cols>
  <sheetData>
    <row r="1" spans="1:20" s="136" customFormat="1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20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20" s="136" customFormat="1" ht="15.75" customHeight="1">
      <c r="A3" s="639" t="s">
        <v>325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20" s="137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</row>
    <row r="5" spans="1:20" s="136" customFormat="1" ht="15.75" customHeight="1">
      <c r="A5" s="738" t="s">
        <v>284</v>
      </c>
      <c r="B5" s="740">
        <v>1</v>
      </c>
      <c r="C5" s="741"/>
      <c r="D5" s="740">
        <v>2</v>
      </c>
      <c r="E5" s="741"/>
      <c r="F5" s="740">
        <v>3</v>
      </c>
      <c r="G5" s="741"/>
      <c r="H5" s="731">
        <v>4</v>
      </c>
      <c r="I5" s="732"/>
      <c r="J5" s="731">
        <v>5</v>
      </c>
      <c r="K5" s="732"/>
      <c r="L5" s="731">
        <v>6</v>
      </c>
      <c r="M5" s="732"/>
      <c r="N5" s="731">
        <v>7</v>
      </c>
      <c r="O5" s="732"/>
      <c r="P5" s="342">
        <v>8</v>
      </c>
    </row>
    <row r="6" spans="1:20" s="136" customFormat="1" ht="15.75" customHeight="1">
      <c r="A6" s="739"/>
      <c r="B6" s="735" t="s">
        <v>273</v>
      </c>
      <c r="C6" s="736"/>
      <c r="D6" s="735" t="s">
        <v>285</v>
      </c>
      <c r="E6" s="736"/>
      <c r="F6" s="735" t="s">
        <v>275</v>
      </c>
      <c r="G6" s="736"/>
      <c r="H6" s="733" t="s">
        <v>286</v>
      </c>
      <c r="I6" s="734"/>
      <c r="J6" s="733" t="s">
        <v>280</v>
      </c>
      <c r="K6" s="734"/>
      <c r="L6" s="733" t="s">
        <v>281</v>
      </c>
      <c r="M6" s="734"/>
      <c r="N6" s="733" t="s">
        <v>282</v>
      </c>
      <c r="O6" s="734"/>
      <c r="P6" s="343" t="s">
        <v>287</v>
      </c>
    </row>
    <row r="7" spans="1:20" s="136" customFormat="1" ht="15.75" customHeight="1">
      <c r="B7" s="241"/>
      <c r="C7" s="242"/>
    </row>
    <row r="8" spans="1:20" s="287" customFormat="1" ht="15.75" customHeight="1">
      <c r="A8" s="675" t="s">
        <v>284</v>
      </c>
      <c r="B8" s="676"/>
      <c r="C8" s="284" t="s">
        <v>238</v>
      </c>
      <c r="D8" s="764" t="s">
        <v>239</v>
      </c>
      <c r="E8" s="765"/>
      <c r="F8" s="766"/>
      <c r="G8" s="767" t="s">
        <v>288</v>
      </c>
      <c r="H8" s="768"/>
      <c r="I8" s="769"/>
      <c r="J8" s="285" t="s">
        <v>289</v>
      </c>
      <c r="K8" s="285" t="s">
        <v>23</v>
      </c>
      <c r="L8" s="285" t="s">
        <v>290</v>
      </c>
      <c r="M8" s="286" t="s">
        <v>277</v>
      </c>
      <c r="N8" s="286" t="s">
        <v>253</v>
      </c>
      <c r="O8" s="683" t="s">
        <v>244</v>
      </c>
      <c r="P8" s="684"/>
      <c r="R8" s="358"/>
      <c r="S8" s="359"/>
    </row>
    <row r="9" spans="1:20" s="308" customFormat="1" ht="60" customHeight="1">
      <c r="A9" s="685">
        <v>4</v>
      </c>
      <c r="B9" s="719" t="s">
        <v>286</v>
      </c>
      <c r="C9" s="288">
        <v>1</v>
      </c>
      <c r="D9" s="418" t="s">
        <v>311</v>
      </c>
      <c r="E9" s="391"/>
      <c r="F9" s="426"/>
      <c r="G9" s="249" t="s">
        <v>326</v>
      </c>
      <c r="H9" s="250"/>
      <c r="I9" s="249"/>
      <c r="J9" s="326">
        <v>127.84000000000002</v>
      </c>
      <c r="K9" s="327">
        <v>2.5442799946917555E-4</v>
      </c>
      <c r="L9" s="328">
        <v>302.58000000000067</v>
      </c>
      <c r="M9" s="337">
        <f t="shared" ref="M9:M13" si="0">L9*J9</f>
        <v>38681.827200000087</v>
      </c>
      <c r="N9" s="328"/>
      <c r="O9" s="715" t="s">
        <v>327</v>
      </c>
      <c r="P9" s="716"/>
      <c r="R9" s="360"/>
      <c r="S9" s="360"/>
    </row>
    <row r="10" spans="1:20" s="308" customFormat="1" ht="60" customHeight="1">
      <c r="A10" s="686"/>
      <c r="B10" s="720"/>
      <c r="C10" s="288">
        <v>2</v>
      </c>
      <c r="D10" s="386" t="s">
        <v>204</v>
      </c>
      <c r="E10" s="247"/>
      <c r="F10" s="248"/>
      <c r="G10" s="249" t="s">
        <v>328</v>
      </c>
      <c r="H10" s="250"/>
      <c r="I10" s="249"/>
      <c r="J10" s="326">
        <v>144.78</v>
      </c>
      <c r="K10" s="327">
        <v>1.2595854258866724E-3</v>
      </c>
      <c r="L10" s="328">
        <v>170.55000000000007</v>
      </c>
      <c r="M10" s="337">
        <f t="shared" si="0"/>
        <v>24692.22900000001</v>
      </c>
      <c r="N10" s="328"/>
      <c r="O10" s="715" t="s">
        <v>329</v>
      </c>
      <c r="P10" s="716"/>
      <c r="R10" s="360"/>
      <c r="S10" s="360"/>
    </row>
    <row r="11" spans="1:20" s="308" customFormat="1" ht="60" customHeight="1">
      <c r="A11" s="686"/>
      <c r="B11" s="720"/>
      <c r="C11" s="288">
        <v>3</v>
      </c>
      <c r="D11" s="386" t="s">
        <v>200</v>
      </c>
      <c r="E11" s="247"/>
      <c r="F11" s="248"/>
      <c r="G11" s="375" t="s">
        <v>330</v>
      </c>
      <c r="H11" s="315"/>
      <c r="I11" s="316"/>
      <c r="J11" s="326">
        <v>99.51</v>
      </c>
      <c r="K11" s="327">
        <v>3.0783678404290426E-3</v>
      </c>
      <c r="L11" s="328">
        <v>174.30000000000021</v>
      </c>
      <c r="M11" s="337">
        <f t="shared" si="0"/>
        <v>17344.593000000023</v>
      </c>
      <c r="N11" s="328"/>
      <c r="O11" s="715" t="s">
        <v>331</v>
      </c>
      <c r="P11" s="716"/>
      <c r="R11" s="360"/>
      <c r="S11" s="358"/>
    </row>
    <row r="12" spans="1:20" s="308" customFormat="1" ht="60" customHeight="1">
      <c r="A12" s="686"/>
      <c r="B12" s="720"/>
      <c r="C12" s="288">
        <v>4</v>
      </c>
      <c r="D12" s="427" t="s">
        <v>214</v>
      </c>
      <c r="E12" s="247"/>
      <c r="F12" s="248"/>
      <c r="G12" s="249" t="s">
        <v>332</v>
      </c>
      <c r="H12" s="250"/>
      <c r="I12" s="249"/>
      <c r="J12" s="326">
        <v>160.49</v>
      </c>
      <c r="K12" s="327">
        <v>2.4398578318254515E-3</v>
      </c>
      <c r="L12" s="328">
        <v>105.58999999999997</v>
      </c>
      <c r="M12" s="337">
        <f t="shared" si="0"/>
        <v>16946.139099999997</v>
      </c>
      <c r="N12" s="328"/>
      <c r="O12" s="715" t="s">
        <v>333</v>
      </c>
      <c r="P12" s="716"/>
      <c r="R12" s="360"/>
      <c r="S12" s="358"/>
    </row>
    <row r="13" spans="1:20" s="308" customFormat="1" ht="60" customHeight="1" thickBot="1">
      <c r="A13" s="686"/>
      <c r="B13" s="720"/>
      <c r="C13" s="288">
        <v>5</v>
      </c>
      <c r="D13" s="427" t="s">
        <v>298</v>
      </c>
      <c r="E13" s="254"/>
      <c r="F13" s="255"/>
      <c r="G13" s="249" t="s">
        <v>334</v>
      </c>
      <c r="H13" s="250"/>
      <c r="I13" s="249"/>
      <c r="J13" s="330">
        <v>426.69</v>
      </c>
      <c r="K13" s="273">
        <v>6.5238475687914052E-4</v>
      </c>
      <c r="L13" s="332">
        <v>36.719999999999828</v>
      </c>
      <c r="M13" s="337">
        <f t="shared" si="0"/>
        <v>15668.056799999928</v>
      </c>
      <c r="N13" s="328"/>
      <c r="O13" s="715" t="s">
        <v>335</v>
      </c>
      <c r="P13" s="716"/>
      <c r="R13" s="361"/>
      <c r="S13" s="358"/>
      <c r="T13" s="298"/>
    </row>
    <row r="14" spans="1:20" ht="15.75" customHeight="1" thickTop="1" thickBot="1">
      <c r="A14" s="687"/>
      <c r="B14" s="721"/>
      <c r="C14" s="728"/>
      <c r="D14" s="729"/>
      <c r="E14" s="729"/>
      <c r="F14" s="729"/>
      <c r="G14" s="729"/>
      <c r="H14" s="729"/>
      <c r="I14" s="730"/>
      <c r="J14" s="305" t="s">
        <v>304</v>
      </c>
      <c r="K14" s="357">
        <f>M14/'生產管理報表 7-1(月)'!$B$10</f>
        <v>0.18519771015422765</v>
      </c>
      <c r="L14" s="306" t="s">
        <v>305</v>
      </c>
      <c r="M14" s="349">
        <f>SUM(M9:M13)</f>
        <v>113332.84510000005</v>
      </c>
      <c r="N14" s="672"/>
      <c r="O14" s="673"/>
      <c r="P14" s="674"/>
      <c r="R14" s="358"/>
      <c r="S14" s="358"/>
    </row>
    <row r="15" spans="1:20" ht="15.75" customHeight="1" thickTop="1">
      <c r="M15" s="344"/>
      <c r="S15" s="358"/>
    </row>
    <row r="16" spans="1:20" ht="15.75" customHeight="1">
      <c r="A16" s="675" t="s">
        <v>284</v>
      </c>
      <c r="B16" s="676"/>
      <c r="C16" s="284" t="s">
        <v>238</v>
      </c>
      <c r="D16" s="703" t="s">
        <v>239</v>
      </c>
      <c r="E16" s="704"/>
      <c r="F16" s="705"/>
      <c r="G16" s="706" t="s">
        <v>288</v>
      </c>
      <c r="H16" s="707"/>
      <c r="I16" s="708"/>
      <c r="J16" s="285" t="s">
        <v>289</v>
      </c>
      <c r="K16" s="285" t="s">
        <v>23</v>
      </c>
      <c r="L16" s="285" t="s">
        <v>290</v>
      </c>
      <c r="M16" s="345" t="s">
        <v>277</v>
      </c>
      <c r="N16" s="286" t="s">
        <v>253</v>
      </c>
      <c r="O16" s="683" t="s">
        <v>244</v>
      </c>
      <c r="P16" s="684"/>
      <c r="S16" s="359"/>
      <c r="T16" s="308"/>
    </row>
    <row r="17" spans="1:20" s="308" customFormat="1" ht="60" customHeight="1">
      <c r="A17" s="685">
        <v>5</v>
      </c>
      <c r="B17" s="698" t="s">
        <v>318</v>
      </c>
      <c r="C17" s="288">
        <v>1</v>
      </c>
      <c r="D17" s="246" t="s">
        <v>311</v>
      </c>
      <c r="E17" s="247"/>
      <c r="F17" s="248"/>
      <c r="G17" s="316" t="s">
        <v>336</v>
      </c>
      <c r="H17" s="315"/>
      <c r="I17" s="316"/>
      <c r="J17" s="326">
        <v>147.43000000000004</v>
      </c>
      <c r="K17" s="327">
        <v>5.9084746811972119E-4</v>
      </c>
      <c r="L17" s="328">
        <v>449.69000000000005</v>
      </c>
      <c r="M17" s="337">
        <f t="shared" ref="M17:M19" si="1">L17*J17</f>
        <v>66297.796700000021</v>
      </c>
      <c r="N17" s="328"/>
      <c r="O17" s="715" t="s">
        <v>337</v>
      </c>
      <c r="P17" s="716"/>
      <c r="S17" s="358"/>
    </row>
    <row r="18" spans="1:20" s="308" customFormat="1" ht="20.100000000000001" customHeight="1">
      <c r="A18" s="686"/>
      <c r="B18" s="699"/>
      <c r="C18" s="288">
        <v>2</v>
      </c>
      <c r="D18" s="246"/>
      <c r="E18" s="247"/>
      <c r="F18" s="248"/>
      <c r="G18" s="292"/>
      <c r="H18" s="293"/>
      <c r="I18" s="294"/>
      <c r="J18" s="326"/>
      <c r="K18" s="327"/>
      <c r="L18" s="328"/>
      <c r="M18" s="337">
        <f t="shared" si="1"/>
        <v>0</v>
      </c>
      <c r="N18" s="328"/>
      <c r="O18" s="711"/>
      <c r="P18" s="712"/>
      <c r="S18" s="298"/>
      <c r="T18" s="298"/>
    </row>
    <row r="19" spans="1:20" ht="20.100000000000001" customHeight="1">
      <c r="A19" s="686"/>
      <c r="B19" s="699"/>
      <c r="C19" s="288">
        <v>3</v>
      </c>
      <c r="D19" s="289"/>
      <c r="E19" s="290"/>
      <c r="F19" s="291"/>
      <c r="G19" s="292"/>
      <c r="H19" s="293"/>
      <c r="I19" s="294"/>
      <c r="J19" s="295"/>
      <c r="K19" s="296"/>
      <c r="L19" s="297"/>
      <c r="M19" s="346">
        <f t="shared" si="1"/>
        <v>0</v>
      </c>
      <c r="N19" s="297"/>
      <c r="O19" s="693"/>
      <c r="P19" s="694"/>
    </row>
    <row r="20" spans="1:20" ht="20.100000000000001" customHeight="1">
      <c r="A20" s="686"/>
      <c r="B20" s="699"/>
      <c r="C20" s="288">
        <v>4</v>
      </c>
      <c r="D20" s="289"/>
      <c r="E20" s="290"/>
      <c r="F20" s="291"/>
      <c r="G20" s="292"/>
      <c r="H20" s="293"/>
      <c r="I20" s="294"/>
      <c r="J20" s="295"/>
      <c r="K20" s="296"/>
      <c r="L20" s="297"/>
      <c r="M20" s="347">
        <v>0</v>
      </c>
      <c r="N20" s="297"/>
      <c r="O20" s="309"/>
      <c r="P20" s="310"/>
    </row>
    <row r="21" spans="1:20" ht="20.100000000000001" customHeight="1" thickBot="1">
      <c r="A21" s="686"/>
      <c r="B21" s="699"/>
      <c r="C21" s="288">
        <v>5</v>
      </c>
      <c r="D21" s="299"/>
      <c r="E21" s="300"/>
      <c r="F21" s="301"/>
      <c r="G21" s="292"/>
      <c r="H21" s="293"/>
      <c r="I21" s="294"/>
      <c r="J21" s="302"/>
      <c r="K21" s="273"/>
      <c r="L21" s="304"/>
      <c r="M21" s="348">
        <v>0</v>
      </c>
      <c r="N21" s="297"/>
      <c r="O21" s="311"/>
      <c r="P21" s="312"/>
      <c r="R21" s="362"/>
    </row>
    <row r="22" spans="1:20" ht="15.75" customHeight="1" thickTop="1" thickBot="1">
      <c r="A22" s="687"/>
      <c r="B22" s="700"/>
      <c r="C22" s="695"/>
      <c r="D22" s="696"/>
      <c r="E22" s="696"/>
      <c r="F22" s="696"/>
      <c r="G22" s="696"/>
      <c r="H22" s="696"/>
      <c r="I22" s="697"/>
      <c r="J22" s="305" t="s">
        <v>304</v>
      </c>
      <c r="K22" s="357">
        <f>M22/'生產管理報表 7-1(月)'!$B$10</f>
        <v>0.10833752674502044</v>
      </c>
      <c r="L22" s="306" t="s">
        <v>305</v>
      </c>
      <c r="M22" s="349">
        <f>SUM(M17:M21)</f>
        <v>66297.796700000021</v>
      </c>
      <c r="N22" s="672"/>
      <c r="O22" s="673"/>
      <c r="P22" s="674"/>
      <c r="R22" s="358"/>
    </row>
    <row r="23" spans="1:20" ht="15.75" customHeight="1" thickTop="1">
      <c r="M23" s="344"/>
      <c r="R23" s="358"/>
    </row>
    <row r="24" spans="1:20" ht="15.75" customHeight="1">
      <c r="A24" s="675" t="s">
        <v>284</v>
      </c>
      <c r="B24" s="676"/>
      <c r="C24" s="313" t="s">
        <v>238</v>
      </c>
      <c r="D24" s="677" t="s">
        <v>239</v>
      </c>
      <c r="E24" s="678"/>
      <c r="F24" s="679"/>
      <c r="G24" s="680" t="s">
        <v>288</v>
      </c>
      <c r="H24" s="681"/>
      <c r="I24" s="682"/>
      <c r="J24" s="314" t="s">
        <v>289</v>
      </c>
      <c r="K24" s="285" t="s">
        <v>23</v>
      </c>
      <c r="L24" s="285" t="s">
        <v>290</v>
      </c>
      <c r="M24" s="345" t="s">
        <v>277</v>
      </c>
      <c r="N24" s="286" t="s">
        <v>253</v>
      </c>
      <c r="O24" s="683" t="s">
        <v>244</v>
      </c>
      <c r="P24" s="684"/>
      <c r="R24" s="358"/>
    </row>
    <row r="25" spans="1:20" ht="60" customHeight="1">
      <c r="A25" s="685">
        <v>6</v>
      </c>
      <c r="B25" s="698" t="s">
        <v>321</v>
      </c>
      <c r="C25" s="288">
        <v>1</v>
      </c>
      <c r="D25" s="246" t="s">
        <v>224</v>
      </c>
      <c r="E25" s="290"/>
      <c r="F25" s="290"/>
      <c r="G25" s="389" t="s">
        <v>338</v>
      </c>
      <c r="H25" s="315"/>
      <c r="I25" s="316"/>
      <c r="J25" s="326">
        <v>65.12</v>
      </c>
      <c r="K25" s="327">
        <v>2.6826712069639453E-3</v>
      </c>
      <c r="L25" s="328">
        <v>309.39000000000061</v>
      </c>
      <c r="M25" s="337">
        <f t="shared" ref="M25:M28" si="2">L25*J25</f>
        <v>20147.47680000004</v>
      </c>
      <c r="N25" s="297"/>
      <c r="O25" s="762" t="s">
        <v>339</v>
      </c>
      <c r="P25" s="763"/>
    </row>
    <row r="26" spans="1:20" ht="60" customHeight="1">
      <c r="A26" s="686"/>
      <c r="B26" s="699"/>
      <c r="C26" s="288">
        <v>2</v>
      </c>
      <c r="D26" s="246" t="s">
        <v>221</v>
      </c>
      <c r="E26" s="290"/>
      <c r="F26" s="290"/>
      <c r="G26" s="389" t="s">
        <v>340</v>
      </c>
      <c r="H26" s="315"/>
      <c r="I26" s="316"/>
      <c r="J26" s="326">
        <v>68.42</v>
      </c>
      <c r="K26" s="327">
        <v>1.0587542967555187E-3</v>
      </c>
      <c r="L26" s="328">
        <v>230.25999999999925</v>
      </c>
      <c r="M26" s="337">
        <f t="shared" si="2"/>
        <v>15754.389199999949</v>
      </c>
      <c r="N26" s="297"/>
      <c r="O26" s="762" t="s">
        <v>339</v>
      </c>
      <c r="P26" s="763"/>
    </row>
    <row r="27" spans="1:20" ht="60" customHeight="1">
      <c r="A27" s="686"/>
      <c r="B27" s="699"/>
      <c r="C27" s="288">
        <v>3</v>
      </c>
      <c r="D27" s="246" t="s">
        <v>198</v>
      </c>
      <c r="E27" s="290"/>
      <c r="F27" s="290"/>
      <c r="G27" s="389" t="s">
        <v>341</v>
      </c>
      <c r="H27" s="315"/>
      <c r="I27" s="316"/>
      <c r="J27" s="326">
        <v>605.77999999999986</v>
      </c>
      <c r="K27" s="327">
        <v>3.0508344330621443E-4</v>
      </c>
      <c r="L27" s="328">
        <v>20.48999999999986</v>
      </c>
      <c r="M27" s="337">
        <f t="shared" si="2"/>
        <v>12412.432199999912</v>
      </c>
      <c r="N27" s="297"/>
      <c r="O27" s="762" t="s">
        <v>342</v>
      </c>
      <c r="P27" s="763"/>
    </row>
    <row r="28" spans="1:20" ht="60" customHeight="1">
      <c r="A28" s="686"/>
      <c r="B28" s="699"/>
      <c r="C28" s="288">
        <v>4</v>
      </c>
      <c r="D28" s="246" t="s">
        <v>226</v>
      </c>
      <c r="E28" s="290"/>
      <c r="F28" s="290"/>
      <c r="G28" s="389" t="s">
        <v>343</v>
      </c>
      <c r="H28" s="315"/>
      <c r="I28" s="316"/>
      <c r="J28" s="326">
        <v>51.87</v>
      </c>
      <c r="K28" s="327">
        <v>2.7057994998785397E-3</v>
      </c>
      <c r="L28" s="328">
        <v>209.32000000000011</v>
      </c>
      <c r="M28" s="337">
        <f t="shared" si="2"/>
        <v>10857.428400000004</v>
      </c>
      <c r="N28" s="297"/>
      <c r="O28" s="762" t="s">
        <v>339</v>
      </c>
      <c r="P28" s="763"/>
    </row>
    <row r="29" spans="1:20" ht="60" customHeight="1" thickBot="1">
      <c r="A29" s="686"/>
      <c r="B29" s="699"/>
      <c r="C29" s="288">
        <v>5</v>
      </c>
      <c r="D29" s="253" t="s">
        <v>204</v>
      </c>
      <c r="E29" s="300"/>
      <c r="F29" s="300"/>
      <c r="G29" s="425" t="s">
        <v>344</v>
      </c>
      <c r="H29" s="250"/>
      <c r="I29" s="249"/>
      <c r="J29" s="330">
        <v>327.16000000000003</v>
      </c>
      <c r="K29" s="273">
        <v>1.7909204498125783E-3</v>
      </c>
      <c r="L29" s="332">
        <v>14.630000000000067</v>
      </c>
      <c r="M29" s="337">
        <f>L29*J29</f>
        <v>4786.350800000022</v>
      </c>
      <c r="N29" s="297"/>
      <c r="O29" s="762" t="s">
        <v>345</v>
      </c>
      <c r="P29" s="763"/>
    </row>
    <row r="30" spans="1:20" ht="15.75" customHeight="1" thickTop="1" thickBot="1">
      <c r="A30" s="687"/>
      <c r="B30" s="700"/>
      <c r="C30" s="695"/>
      <c r="D30" s="696"/>
      <c r="E30" s="696"/>
      <c r="F30" s="696"/>
      <c r="G30" s="696"/>
      <c r="H30" s="696"/>
      <c r="I30" s="697"/>
      <c r="J30" s="305" t="s">
        <v>304</v>
      </c>
      <c r="K30" s="357">
        <f>M30/'生產管理報表 7-1(月)'!$B$10</f>
        <v>0.10451418094988633</v>
      </c>
      <c r="L30" s="306" t="s">
        <v>305</v>
      </c>
      <c r="M30" s="349">
        <f>SUM(M25:M29)</f>
        <v>63958.077399999929</v>
      </c>
      <c r="N30" s="672"/>
      <c r="O30" s="673"/>
      <c r="P30" s="674"/>
    </row>
    <row r="31" spans="1:20" ht="15.75" customHeight="1" thickTop="1">
      <c r="M31" s="344"/>
    </row>
    <row r="32" spans="1:20" ht="15.75" customHeight="1">
      <c r="A32" s="675" t="s">
        <v>284</v>
      </c>
      <c r="B32" s="676"/>
      <c r="C32" s="313" t="s">
        <v>238</v>
      </c>
      <c r="D32" s="677" t="s">
        <v>239</v>
      </c>
      <c r="E32" s="678"/>
      <c r="F32" s="679"/>
      <c r="G32" s="680" t="s">
        <v>288</v>
      </c>
      <c r="H32" s="681"/>
      <c r="I32" s="682"/>
      <c r="J32" s="314" t="s">
        <v>289</v>
      </c>
      <c r="K32" s="285" t="s">
        <v>23</v>
      </c>
      <c r="L32" s="285" t="s">
        <v>290</v>
      </c>
      <c r="M32" s="345" t="s">
        <v>277</v>
      </c>
      <c r="N32" s="286" t="s">
        <v>253</v>
      </c>
      <c r="O32" s="683" t="s">
        <v>244</v>
      </c>
      <c r="P32" s="684"/>
    </row>
    <row r="33" spans="1:16" ht="15.75" customHeight="1">
      <c r="A33" s="685">
        <v>7</v>
      </c>
      <c r="B33" s="688" t="s">
        <v>324</v>
      </c>
      <c r="C33" s="288">
        <v>1</v>
      </c>
      <c r="D33" s="289"/>
      <c r="E33" s="290"/>
      <c r="F33" s="291"/>
      <c r="G33" s="292"/>
      <c r="H33" s="293"/>
      <c r="I33" s="294"/>
      <c r="J33" s="295"/>
      <c r="K33" s="296"/>
      <c r="L33" s="297"/>
      <c r="M33" s="346">
        <f t="shared" ref="M33:M35" si="3">L33*J33</f>
        <v>0</v>
      </c>
      <c r="N33" s="297"/>
      <c r="O33" s="691"/>
      <c r="P33" s="692"/>
    </row>
    <row r="34" spans="1:16" ht="15.75" customHeight="1">
      <c r="A34" s="686"/>
      <c r="B34" s="689"/>
      <c r="C34" s="288">
        <v>2</v>
      </c>
      <c r="D34" s="289"/>
      <c r="E34" s="290"/>
      <c r="F34" s="291"/>
      <c r="G34" s="292"/>
      <c r="H34" s="293"/>
      <c r="I34" s="294"/>
      <c r="J34" s="295"/>
      <c r="K34" s="296"/>
      <c r="L34" s="297"/>
      <c r="M34" s="346">
        <f t="shared" si="3"/>
        <v>0</v>
      </c>
      <c r="N34" s="297"/>
      <c r="O34" s="693"/>
      <c r="P34" s="694"/>
    </row>
    <row r="35" spans="1:16" ht="15.75" customHeight="1">
      <c r="A35" s="686"/>
      <c r="B35" s="689"/>
      <c r="C35" s="288">
        <v>3</v>
      </c>
      <c r="D35" s="289"/>
      <c r="E35" s="290"/>
      <c r="F35" s="291"/>
      <c r="G35" s="292"/>
      <c r="H35" s="293"/>
      <c r="I35" s="294"/>
      <c r="J35" s="295"/>
      <c r="K35" s="296"/>
      <c r="L35" s="297"/>
      <c r="M35" s="346">
        <f t="shared" si="3"/>
        <v>0</v>
      </c>
      <c r="N35" s="297"/>
      <c r="O35" s="693"/>
      <c r="P35" s="694"/>
    </row>
    <row r="36" spans="1:16" ht="15.75" customHeight="1">
      <c r="A36" s="686"/>
      <c r="B36" s="689"/>
      <c r="C36" s="288">
        <v>4</v>
      </c>
      <c r="D36" s="289"/>
      <c r="E36" s="290"/>
      <c r="F36" s="291"/>
      <c r="G36" s="292"/>
      <c r="H36" s="293"/>
      <c r="I36" s="294"/>
      <c r="J36" s="295"/>
      <c r="K36" s="296"/>
      <c r="L36" s="297"/>
      <c r="M36" s="347">
        <v>0</v>
      </c>
      <c r="N36" s="297"/>
      <c r="O36" s="309"/>
      <c r="P36" s="310"/>
    </row>
    <row r="37" spans="1:16" ht="15.75" customHeight="1" thickBot="1">
      <c r="A37" s="686"/>
      <c r="B37" s="689"/>
      <c r="C37" s="288">
        <v>5</v>
      </c>
      <c r="D37" s="299"/>
      <c r="E37" s="300"/>
      <c r="F37" s="301"/>
      <c r="G37" s="292"/>
      <c r="H37" s="293"/>
      <c r="I37" s="294"/>
      <c r="J37" s="302"/>
      <c r="K37" s="273"/>
      <c r="L37" s="304"/>
      <c r="M37" s="348">
        <v>0</v>
      </c>
      <c r="N37" s="297"/>
      <c r="O37" s="311"/>
      <c r="P37" s="312"/>
    </row>
    <row r="38" spans="1:16" ht="15.75" customHeight="1" thickTop="1" thickBot="1">
      <c r="A38" s="687"/>
      <c r="B38" s="690"/>
      <c r="C38" s="695"/>
      <c r="D38" s="696"/>
      <c r="E38" s="696"/>
      <c r="F38" s="696"/>
      <c r="G38" s="696"/>
      <c r="H38" s="696"/>
      <c r="I38" s="697"/>
      <c r="J38" s="305" t="s">
        <v>304</v>
      </c>
      <c r="K38" s="357">
        <f>M38/'生產管理報表 7-1(月)'!$B$10</f>
        <v>0</v>
      </c>
      <c r="L38" s="306" t="s">
        <v>305</v>
      </c>
      <c r="M38" s="349">
        <f>SUM(M33:M37)</f>
        <v>0</v>
      </c>
      <c r="N38" s="672"/>
      <c r="O38" s="673"/>
      <c r="P38" s="674"/>
    </row>
    <row r="39" spans="1:16" ht="15.75" customHeight="1" thickTop="1"/>
    <row r="44" spans="1:16" ht="15.75" customHeight="1">
      <c r="O44" s="298" ph="1"/>
      <c r="P44" s="298" ph="1"/>
    </row>
    <row r="46" spans="1:16" ht="15.75" customHeight="1">
      <c r="O46" s="298" ph="1"/>
      <c r="P46" s="298" ph="1"/>
    </row>
    <row r="47" spans="1:16" ht="15.75" customHeight="1">
      <c r="O47" s="298" ph="1"/>
      <c r="P47" s="298" ph="1"/>
    </row>
    <row r="117" spans="15:16" ht="15.75" customHeight="1">
      <c r="O117" s="298" ph="1"/>
      <c r="P117" s="298" ph="1"/>
    </row>
    <row r="119" spans="15:16" ht="15.75" customHeight="1">
      <c r="O119" s="298" ph="1"/>
      <c r="P119" s="298" ph="1"/>
    </row>
    <row r="120" spans="15:16" ht="15.75" customHeight="1">
      <c r="O120" s="298" ph="1"/>
      <c r="P120" s="298" ph="1"/>
    </row>
    <row r="153" spans="15:16" ht="15.75" customHeight="1">
      <c r="O153" s="298" ph="1"/>
      <c r="P153" s="298" ph="1"/>
    </row>
    <row r="155" spans="15:16" ht="15.75" customHeight="1">
      <c r="O155" s="298" ph="1"/>
      <c r="P155" s="298" ph="1"/>
    </row>
    <row r="156" spans="15:16" ht="15.75" customHeight="1">
      <c r="O156" s="298" ph="1"/>
      <c r="P156" s="298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M59"/>
  <sheetViews>
    <sheetView view="pageBreakPreview" topLeftCell="A40" zoomScale="115" zoomScaleNormal="60" zoomScaleSheetLayoutView="115" workbookViewId="0">
      <selection activeCell="B54" sqref="B54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</row>
    <row r="2" spans="1:13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</row>
    <row r="3" spans="1:13" ht="15.75" customHeight="1">
      <c r="A3" s="639" t="s">
        <v>346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13" s="137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13" ht="15.75" customHeight="1">
      <c r="A5" s="228" t="s">
        <v>271</v>
      </c>
      <c r="B5" s="229">
        <v>31759.62</v>
      </c>
      <c r="E5" s="770" t="s">
        <v>347</v>
      </c>
      <c r="F5" s="771"/>
      <c r="G5" s="771"/>
      <c r="H5" s="771"/>
      <c r="I5" s="771"/>
      <c r="J5" s="771"/>
      <c r="K5" s="771"/>
      <c r="L5" s="771"/>
      <c r="M5" s="771"/>
    </row>
    <row r="6" spans="1:13" ht="15.75" customHeight="1">
      <c r="A6" s="772" t="s">
        <v>7</v>
      </c>
      <c r="B6" s="641" t="s">
        <v>272</v>
      </c>
      <c r="C6" s="641"/>
      <c r="D6" s="642"/>
      <c r="E6" s="640" t="s">
        <v>7</v>
      </c>
      <c r="F6" s="644">
        <v>1</v>
      </c>
      <c r="G6" s="644"/>
      <c r="H6" s="644">
        <v>2</v>
      </c>
      <c r="I6" s="644"/>
      <c r="J6" s="644">
        <v>3</v>
      </c>
      <c r="K6" s="644"/>
      <c r="L6" s="644">
        <v>4</v>
      </c>
      <c r="M6" s="644"/>
    </row>
    <row r="7" spans="1:13" ht="31.35" customHeight="1">
      <c r="A7" s="772"/>
      <c r="B7" s="641"/>
      <c r="C7" s="641"/>
      <c r="D7" s="643"/>
      <c r="E7" s="640"/>
      <c r="F7" s="646" t="s">
        <v>273</v>
      </c>
      <c r="G7" s="646"/>
      <c r="H7" s="646" t="s">
        <v>274</v>
      </c>
      <c r="I7" s="646"/>
      <c r="J7" s="646" t="s">
        <v>275</v>
      </c>
      <c r="K7" s="646"/>
      <c r="L7" s="646" t="s">
        <v>286</v>
      </c>
      <c r="M7" s="646"/>
    </row>
    <row r="8" spans="1:13" ht="15.75" customHeight="1">
      <c r="A8" s="772"/>
      <c r="B8" s="155" t="s">
        <v>277</v>
      </c>
      <c r="C8" s="155" t="s">
        <v>36</v>
      </c>
      <c r="D8" s="643"/>
      <c r="E8" s="640"/>
      <c r="F8" s="155" t="s">
        <v>277</v>
      </c>
      <c r="G8" s="155" t="s">
        <v>36</v>
      </c>
      <c r="H8" s="155" t="s">
        <v>277</v>
      </c>
      <c r="I8" s="155" t="s">
        <v>36</v>
      </c>
      <c r="J8" s="155" t="s">
        <v>277</v>
      </c>
      <c r="K8" s="155" t="s">
        <v>36</v>
      </c>
      <c r="L8" s="155" t="s">
        <v>277</v>
      </c>
      <c r="M8" s="155" t="s">
        <v>36</v>
      </c>
    </row>
    <row r="9" spans="1:13" ht="19.350000000000001" customHeight="1">
      <c r="A9" s="230" t="s">
        <v>278</v>
      </c>
      <c r="B9" s="140">
        <f>日別報廢率總表!M4</f>
        <v>76524.503600000011</v>
      </c>
      <c r="C9" s="238">
        <f>B9/($B$5*1000)</f>
        <v>2.4094905291688002E-3</v>
      </c>
      <c r="D9" s="643"/>
      <c r="E9" s="139" t="s">
        <v>278</v>
      </c>
      <c r="F9" s="142">
        <f>'報廢20大－原因別分析'!AB8</f>
        <v>22744.064100000007</v>
      </c>
      <c r="G9" s="143">
        <f>'報廢20大－原因別分析'!AB9</f>
        <v>0.9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1677.7212</v>
      </c>
      <c r="K9" s="143">
        <f>'報廢20大－原因別分析'!AD9</f>
        <v>0.05</v>
      </c>
      <c r="L9" s="142">
        <f>'報廢20大－原因別分析'!AE8</f>
        <v>0</v>
      </c>
      <c r="M9" s="143">
        <f>'報廢20大－原因別分析'!AE9</f>
        <v>0</v>
      </c>
    </row>
    <row r="10" spans="1:13" ht="19.350000000000001" customHeight="1">
      <c r="A10" s="231" t="s">
        <v>279</v>
      </c>
      <c r="B10" s="145">
        <f>日別報廢率總表!N4</f>
        <v>174224.46629999997</v>
      </c>
      <c r="C10" s="141">
        <f>B10/($B$5*1000)</f>
        <v>5.4857226345907152E-3</v>
      </c>
      <c r="D10" s="643"/>
      <c r="E10" s="144" t="s">
        <v>279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59318.279899999987</v>
      </c>
      <c r="M10" s="143">
        <f>'超用20大－原因別分析'!AE9</f>
        <v>0.75</v>
      </c>
    </row>
    <row r="11" spans="1:13" ht="15.75" customHeight="1">
      <c r="A11" s="227" t="s">
        <v>348</v>
      </c>
      <c r="B11" s="432" t="s">
        <v>349</v>
      </c>
      <c r="C11" s="226"/>
      <c r="D11" s="643"/>
      <c r="E11" s="779" t="s">
        <v>7</v>
      </c>
      <c r="F11" s="740">
        <v>5</v>
      </c>
      <c r="G11" s="741"/>
      <c r="H11" s="740">
        <v>6</v>
      </c>
      <c r="I11" s="741"/>
      <c r="J11" s="740">
        <v>7</v>
      </c>
      <c r="K11" s="741"/>
      <c r="L11" s="773"/>
      <c r="M11" s="774"/>
    </row>
    <row r="12" spans="1:13" ht="31.35" customHeight="1">
      <c r="A12" s="136" t="s">
        <v>350</v>
      </c>
      <c r="B12" s="433" t="s">
        <v>349</v>
      </c>
      <c r="C12" s="226"/>
      <c r="D12" s="643"/>
      <c r="E12" s="780"/>
      <c r="F12" s="775" t="s">
        <v>280</v>
      </c>
      <c r="G12" s="776"/>
      <c r="H12" s="775" t="s">
        <v>281</v>
      </c>
      <c r="I12" s="776"/>
      <c r="J12" s="775" t="s">
        <v>282</v>
      </c>
      <c r="K12" s="776"/>
      <c r="L12" s="777"/>
      <c r="M12" s="778"/>
    </row>
    <row r="13" spans="1:13" ht="15.75" customHeight="1">
      <c r="D13" s="643"/>
      <c r="E13" s="781"/>
      <c r="F13" s="155" t="s">
        <v>277</v>
      </c>
      <c r="G13" s="155" t="s">
        <v>36</v>
      </c>
      <c r="H13" s="155" t="s">
        <v>277</v>
      </c>
      <c r="I13" s="155" t="s">
        <v>36</v>
      </c>
      <c r="J13" s="155" t="s">
        <v>277</v>
      </c>
      <c r="K13" s="155" t="s">
        <v>36</v>
      </c>
      <c r="L13" s="155"/>
      <c r="M13" s="155"/>
    </row>
    <row r="14" spans="1:13" ht="19.350000000000001" customHeight="1">
      <c r="D14" s="643"/>
      <c r="E14" s="139" t="s">
        <v>278</v>
      </c>
      <c r="F14" s="142">
        <f>'報廢20大－原因別分析'!AF8</f>
        <v>0</v>
      </c>
      <c r="G14" s="143">
        <f>'報廢20大－原因別分析'!AF9</f>
        <v>0</v>
      </c>
      <c r="H14" s="142">
        <f>'報廢20大－原因別分析'!AG8</f>
        <v>1390.4999999999998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50000000000001" customHeight="1">
      <c r="D15" s="643"/>
      <c r="E15" s="144" t="s">
        <v>279</v>
      </c>
      <c r="F15" s="142">
        <f>'超用20大－原因別分析'!AF8</f>
        <v>17271.424500000005</v>
      </c>
      <c r="G15" s="143">
        <f>'超用20大－原因別分析'!AF9</f>
        <v>0.05</v>
      </c>
      <c r="H15" s="142">
        <f>'超用20大－原因別分析'!AG8</f>
        <v>21606.118799999975</v>
      </c>
      <c r="I15" s="143">
        <f>'超用20大－原因別分析'!AG9</f>
        <v>0.2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8" t="s">
        <v>271</v>
      </c>
      <c r="B16" s="229">
        <v>31225.639429999999</v>
      </c>
      <c r="E16" s="770" t="s">
        <v>347</v>
      </c>
      <c r="F16" s="771"/>
      <c r="G16" s="771"/>
      <c r="H16" s="771"/>
      <c r="I16" s="771"/>
      <c r="J16" s="771"/>
      <c r="K16" s="771"/>
      <c r="L16" s="771"/>
      <c r="M16" s="771"/>
    </row>
    <row r="17" spans="1:13" ht="15.75" customHeight="1">
      <c r="A17" s="772" t="s">
        <v>7</v>
      </c>
      <c r="B17" s="641" t="s">
        <v>272</v>
      </c>
      <c r="C17" s="641"/>
      <c r="D17" s="642"/>
      <c r="E17" s="640" t="s">
        <v>7</v>
      </c>
      <c r="F17" s="644">
        <v>1</v>
      </c>
      <c r="G17" s="644"/>
      <c r="H17" s="644">
        <v>2</v>
      </c>
      <c r="I17" s="644"/>
      <c r="J17" s="644">
        <v>3</v>
      </c>
      <c r="K17" s="644"/>
      <c r="L17" s="644">
        <v>4</v>
      </c>
      <c r="M17" s="644"/>
    </row>
    <row r="18" spans="1:13" ht="31.35" customHeight="1">
      <c r="A18" s="772"/>
      <c r="B18" s="641"/>
      <c r="C18" s="641"/>
      <c r="D18" s="643"/>
      <c r="E18" s="640"/>
      <c r="F18" s="646" t="s">
        <v>273</v>
      </c>
      <c r="G18" s="646"/>
      <c r="H18" s="646" t="s">
        <v>274</v>
      </c>
      <c r="I18" s="646"/>
      <c r="J18" s="646" t="s">
        <v>275</v>
      </c>
      <c r="K18" s="646"/>
      <c r="L18" s="646" t="s">
        <v>286</v>
      </c>
      <c r="M18" s="646"/>
    </row>
    <row r="19" spans="1:13" ht="15.75" customHeight="1">
      <c r="A19" s="772"/>
      <c r="B19" s="155" t="s">
        <v>277</v>
      </c>
      <c r="C19" s="155" t="s">
        <v>36</v>
      </c>
      <c r="D19" s="643"/>
      <c r="E19" s="640"/>
      <c r="F19" s="155" t="s">
        <v>277</v>
      </c>
      <c r="G19" s="155" t="s">
        <v>36</v>
      </c>
      <c r="H19" s="155" t="s">
        <v>277</v>
      </c>
      <c r="I19" s="155" t="s">
        <v>36</v>
      </c>
      <c r="J19" s="155" t="s">
        <v>277</v>
      </c>
      <c r="K19" s="155" t="s">
        <v>36</v>
      </c>
      <c r="L19" s="155" t="s">
        <v>277</v>
      </c>
      <c r="M19" s="155" t="s">
        <v>36</v>
      </c>
    </row>
    <row r="20" spans="1:13" ht="19.350000000000001" customHeight="1">
      <c r="A20" s="230" t="s">
        <v>278</v>
      </c>
      <c r="B20" s="140">
        <f>日別報廢率總表!M11</f>
        <v>75123.120699999999</v>
      </c>
      <c r="C20" s="238">
        <f>B20/($B$16*1000)</f>
        <v>2.4058152874149165E-3</v>
      </c>
      <c r="D20" s="643"/>
      <c r="E20" s="139" t="s">
        <v>278</v>
      </c>
      <c r="F20" s="142">
        <f>'報廢20大－原因別分析'!AB32</f>
        <v>18968.966500000002</v>
      </c>
      <c r="G20" s="143">
        <f>'報廢20大－原因別分析'!AB33</f>
        <v>0.8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3567.3870000000002</v>
      </c>
      <c r="K20" s="143">
        <f>'報廢20大－原因別分析'!AD33</f>
        <v>0.15</v>
      </c>
      <c r="L20" s="142">
        <f>'報廢20大－原因別分析'!AE32</f>
        <v>0</v>
      </c>
      <c r="M20" s="143">
        <f>'報廢20大－原因別分析'!AE33</f>
        <v>0</v>
      </c>
    </row>
    <row r="21" spans="1:13" ht="19.350000000000001" customHeight="1">
      <c r="A21" s="231" t="s">
        <v>279</v>
      </c>
      <c r="B21" s="145">
        <f>日別報廢率總表!N11</f>
        <v>171190.35149999993</v>
      </c>
      <c r="C21" s="141">
        <f>B21/($B$16*1000)</f>
        <v>5.4823649611328374E-3</v>
      </c>
      <c r="D21" s="643"/>
      <c r="E21" s="144" t="s">
        <v>279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65756.071100000016</v>
      </c>
      <c r="M21" s="143">
        <f>'超用20大－原因別分析'!AE33</f>
        <v>0.8</v>
      </c>
    </row>
    <row r="22" spans="1:13" ht="15.75" customHeight="1">
      <c r="A22" s="227" t="s">
        <v>348</v>
      </c>
      <c r="B22" s="432" t="s">
        <v>351</v>
      </c>
      <c r="C22" s="226"/>
      <c r="D22" s="643"/>
      <c r="E22" s="640" t="s">
        <v>7</v>
      </c>
      <c r="F22" s="740">
        <v>5</v>
      </c>
      <c r="G22" s="741"/>
      <c r="H22" s="740">
        <v>6</v>
      </c>
      <c r="I22" s="741"/>
      <c r="J22" s="740">
        <v>7</v>
      </c>
      <c r="K22" s="741"/>
      <c r="L22" s="773"/>
      <c r="M22" s="774"/>
    </row>
    <row r="23" spans="1:13" ht="31.35" customHeight="1">
      <c r="A23" s="136" t="s">
        <v>350</v>
      </c>
      <c r="B23" s="433" t="s">
        <v>351</v>
      </c>
      <c r="C23" s="226"/>
      <c r="D23" s="643"/>
      <c r="E23" s="640"/>
      <c r="F23" s="775" t="s">
        <v>280</v>
      </c>
      <c r="G23" s="776"/>
      <c r="H23" s="775" t="s">
        <v>281</v>
      </c>
      <c r="I23" s="776"/>
      <c r="J23" s="775" t="s">
        <v>282</v>
      </c>
      <c r="K23" s="776"/>
      <c r="L23" s="777"/>
      <c r="M23" s="778"/>
    </row>
    <row r="24" spans="1:13" ht="15.75" customHeight="1">
      <c r="D24" s="643"/>
      <c r="E24" s="640"/>
      <c r="F24" s="155" t="s">
        <v>277</v>
      </c>
      <c r="G24" s="155" t="s">
        <v>36</v>
      </c>
      <c r="H24" s="155" t="s">
        <v>277</v>
      </c>
      <c r="I24" s="155" t="s">
        <v>36</v>
      </c>
      <c r="J24" s="155" t="s">
        <v>277</v>
      </c>
      <c r="K24" s="155" t="s">
        <v>36</v>
      </c>
      <c r="L24" s="155"/>
      <c r="M24" s="155"/>
    </row>
    <row r="25" spans="1:13" ht="19.350000000000001" customHeight="1">
      <c r="D25" s="643"/>
      <c r="E25" s="139" t="s">
        <v>278</v>
      </c>
      <c r="F25" s="142">
        <f>'報廢20大－原因別分析'!AF32</f>
        <v>0</v>
      </c>
      <c r="G25" s="143">
        <f>'報廢20大－原因別分析'!AF33</f>
        <v>0</v>
      </c>
      <c r="H25" s="142">
        <f>'報廢20大－原因別分析'!AG32</f>
        <v>1560.45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50000000000001" customHeight="1">
      <c r="D26" s="643"/>
      <c r="E26" s="144" t="s">
        <v>279</v>
      </c>
      <c r="F26" s="142">
        <f>'超用20大－原因別分析'!AF32</f>
        <v>19513.834799999993</v>
      </c>
      <c r="G26" s="143">
        <f>'超用20大－原因別分析'!AF33</f>
        <v>0.05</v>
      </c>
      <c r="H26" s="142">
        <f>'超用20大－原因別分析'!AG32</f>
        <v>10625.95149999999</v>
      </c>
      <c r="I26" s="143">
        <f>'超用20大－原因別分析'!AG33</f>
        <v>0.15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8" t="s">
        <v>271</v>
      </c>
      <c r="B27" s="229">
        <v>26015.260470000001</v>
      </c>
      <c r="E27" s="770" t="s">
        <v>347</v>
      </c>
      <c r="F27" s="771"/>
      <c r="G27" s="771"/>
      <c r="H27" s="771"/>
      <c r="I27" s="771"/>
      <c r="J27" s="771"/>
      <c r="K27" s="771"/>
      <c r="L27" s="771"/>
      <c r="M27" s="771"/>
    </row>
    <row r="28" spans="1:13" ht="15.75" customHeight="1">
      <c r="A28" s="772" t="s">
        <v>7</v>
      </c>
      <c r="B28" s="641" t="s">
        <v>272</v>
      </c>
      <c r="C28" s="641"/>
      <c r="D28" s="642"/>
      <c r="E28" s="640" t="s">
        <v>7</v>
      </c>
      <c r="F28" s="644">
        <v>1</v>
      </c>
      <c r="G28" s="644"/>
      <c r="H28" s="644">
        <v>2</v>
      </c>
      <c r="I28" s="644"/>
      <c r="J28" s="644">
        <v>3</v>
      </c>
      <c r="K28" s="644"/>
      <c r="L28" s="644">
        <v>4</v>
      </c>
      <c r="M28" s="644"/>
    </row>
    <row r="29" spans="1:13" ht="31.35" customHeight="1">
      <c r="A29" s="772"/>
      <c r="B29" s="641"/>
      <c r="C29" s="641"/>
      <c r="D29" s="643"/>
      <c r="E29" s="640"/>
      <c r="F29" s="646" t="s">
        <v>273</v>
      </c>
      <c r="G29" s="646"/>
      <c r="H29" s="646" t="s">
        <v>274</v>
      </c>
      <c r="I29" s="646"/>
      <c r="J29" s="646" t="s">
        <v>275</v>
      </c>
      <c r="K29" s="646"/>
      <c r="L29" s="646" t="s">
        <v>286</v>
      </c>
      <c r="M29" s="646"/>
    </row>
    <row r="30" spans="1:13" ht="15.75" customHeight="1">
      <c r="A30" s="772"/>
      <c r="B30" s="155" t="s">
        <v>277</v>
      </c>
      <c r="C30" s="155" t="s">
        <v>36</v>
      </c>
      <c r="D30" s="643"/>
      <c r="E30" s="640"/>
      <c r="F30" s="155" t="s">
        <v>277</v>
      </c>
      <c r="G30" s="155" t="s">
        <v>36</v>
      </c>
      <c r="H30" s="155" t="s">
        <v>277</v>
      </c>
      <c r="I30" s="155" t="s">
        <v>36</v>
      </c>
      <c r="J30" s="155" t="s">
        <v>277</v>
      </c>
      <c r="K30" s="155" t="s">
        <v>36</v>
      </c>
      <c r="L30" s="155" t="s">
        <v>277</v>
      </c>
      <c r="M30" s="155" t="s">
        <v>36</v>
      </c>
    </row>
    <row r="31" spans="1:13" ht="19.350000000000001" customHeight="1">
      <c r="A31" s="230" t="s">
        <v>278</v>
      </c>
      <c r="B31" s="140">
        <f>日別報廢率總表!M18</f>
        <v>62076.241900000008</v>
      </c>
      <c r="C31" s="238">
        <f>B31/($B$27*1000)</f>
        <v>2.3861472373718656E-3</v>
      </c>
      <c r="D31" s="643"/>
      <c r="E31" s="139" t="s">
        <v>278</v>
      </c>
      <c r="F31" s="142">
        <f>'報廢20大－原因別分析'!AB56</f>
        <v>18426.463100000001</v>
      </c>
      <c r="G31" s="143">
        <f>'報廢20大－原因別分析'!AB57</f>
        <v>0.85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2200.6044000000002</v>
      </c>
      <c r="K31" s="143">
        <f>'報廢20大－原因別分析'!AD57</f>
        <v>0.1</v>
      </c>
      <c r="L31" s="142">
        <f>'報廢20大－原因別分析'!AE56</f>
        <v>0</v>
      </c>
      <c r="M31" s="143">
        <f>'報廢20大－原因別分析'!AE57</f>
        <v>0</v>
      </c>
    </row>
    <row r="32" spans="1:13" ht="19.350000000000001" customHeight="1">
      <c r="A32" s="231" t="s">
        <v>279</v>
      </c>
      <c r="B32" s="145">
        <f>日別報廢率總表!N18</f>
        <v>134324.48380000002</v>
      </c>
      <c r="C32" s="141">
        <f>B32/($B$27*1000)</f>
        <v>5.1632957492352954E-3</v>
      </c>
      <c r="D32" s="643"/>
      <c r="E32" s="144" t="s">
        <v>279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51626.975699999995</v>
      </c>
      <c r="M32" s="143">
        <f>'超用20大－原因別分析'!AE57</f>
        <v>0.75</v>
      </c>
    </row>
    <row r="33" spans="1:13" ht="15.75" customHeight="1">
      <c r="A33" s="227" t="s">
        <v>348</v>
      </c>
      <c r="B33" s="432" t="s">
        <v>352</v>
      </c>
      <c r="C33" s="226"/>
      <c r="D33" s="643"/>
      <c r="E33" s="640" t="s">
        <v>7</v>
      </c>
      <c r="F33" s="740">
        <v>5</v>
      </c>
      <c r="G33" s="741"/>
      <c r="H33" s="740">
        <v>6</v>
      </c>
      <c r="I33" s="741"/>
      <c r="J33" s="740">
        <v>7</v>
      </c>
      <c r="K33" s="741"/>
      <c r="L33" s="773"/>
      <c r="M33" s="774"/>
    </row>
    <row r="34" spans="1:13" ht="31.35" customHeight="1">
      <c r="A34" s="136" t="s">
        <v>350</v>
      </c>
      <c r="B34" s="433" t="s">
        <v>352</v>
      </c>
      <c r="C34" s="226"/>
      <c r="D34" s="643"/>
      <c r="E34" s="640"/>
      <c r="F34" s="775" t="s">
        <v>280</v>
      </c>
      <c r="G34" s="776"/>
      <c r="H34" s="775" t="s">
        <v>281</v>
      </c>
      <c r="I34" s="776"/>
      <c r="J34" s="775" t="s">
        <v>282</v>
      </c>
      <c r="K34" s="776"/>
      <c r="L34" s="777"/>
      <c r="M34" s="778"/>
    </row>
    <row r="35" spans="1:13" ht="15.75" customHeight="1">
      <c r="D35" s="643"/>
      <c r="E35" s="640"/>
      <c r="F35" s="155" t="s">
        <v>277</v>
      </c>
      <c r="G35" s="155" t="s">
        <v>36</v>
      </c>
      <c r="H35" s="155" t="s">
        <v>277</v>
      </c>
      <c r="I35" s="155" t="s">
        <v>36</v>
      </c>
      <c r="J35" s="155" t="s">
        <v>277</v>
      </c>
      <c r="K35" s="155" t="s">
        <v>36</v>
      </c>
      <c r="L35" s="155"/>
      <c r="M35" s="155"/>
    </row>
    <row r="36" spans="1:13" ht="19.350000000000001" customHeight="1">
      <c r="D36" s="643"/>
      <c r="E36" s="139" t="s">
        <v>278</v>
      </c>
      <c r="F36" s="142">
        <f>'報廢20大－原因別分析'!AF56</f>
        <v>0</v>
      </c>
      <c r="G36" s="143">
        <f>'報廢20大－原因別分析'!AF57</f>
        <v>0</v>
      </c>
      <c r="H36" s="142">
        <f>'報廢20大－原因別分析'!AG56</f>
        <v>1313.25</v>
      </c>
      <c r="I36" s="143">
        <f>'報廢20大－原因別分析'!AG57</f>
        <v>0.05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50000000000001" customHeight="1">
      <c r="D37" s="643"/>
      <c r="E37" s="144" t="s">
        <v>279</v>
      </c>
      <c r="F37" s="142">
        <f>'超用20大－原因別分析'!AF56</f>
        <v>14642.747599999997</v>
      </c>
      <c r="G37" s="143">
        <f>'超用20大－原因別分析'!AF57</f>
        <v>0.05</v>
      </c>
      <c r="H37" s="142">
        <f>'超用20大－原因別分析'!AG56</f>
        <v>16452.971999999994</v>
      </c>
      <c r="I37" s="143">
        <f>'超用20大－原因別分析'!AG57</f>
        <v>0.2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8" t="s">
        <v>271</v>
      </c>
      <c r="B38" s="229">
        <v>27936.826319999996</v>
      </c>
      <c r="E38" s="770" t="s">
        <v>347</v>
      </c>
      <c r="F38" s="771"/>
      <c r="G38" s="771"/>
      <c r="H38" s="771"/>
      <c r="I38" s="771"/>
      <c r="J38" s="771"/>
      <c r="K38" s="771"/>
      <c r="L38" s="771"/>
      <c r="M38" s="771"/>
    </row>
    <row r="39" spans="1:13" ht="15.75" customHeight="1">
      <c r="A39" s="772" t="s">
        <v>7</v>
      </c>
      <c r="B39" s="641" t="s">
        <v>272</v>
      </c>
      <c r="C39" s="641"/>
      <c r="D39" s="642"/>
      <c r="E39" s="640" t="s">
        <v>7</v>
      </c>
      <c r="F39" s="644">
        <v>1</v>
      </c>
      <c r="G39" s="644"/>
      <c r="H39" s="644">
        <v>2</v>
      </c>
      <c r="I39" s="644"/>
      <c r="J39" s="644">
        <v>3</v>
      </c>
      <c r="K39" s="644"/>
      <c r="L39" s="644">
        <v>4</v>
      </c>
      <c r="M39" s="644"/>
    </row>
    <row r="40" spans="1:13" ht="31.35" customHeight="1">
      <c r="A40" s="772"/>
      <c r="B40" s="641"/>
      <c r="C40" s="641"/>
      <c r="D40" s="643"/>
      <c r="E40" s="640"/>
      <c r="F40" s="646" t="s">
        <v>273</v>
      </c>
      <c r="G40" s="646"/>
      <c r="H40" s="646" t="s">
        <v>274</v>
      </c>
      <c r="I40" s="646"/>
      <c r="J40" s="646" t="s">
        <v>275</v>
      </c>
      <c r="K40" s="646"/>
      <c r="L40" s="646" t="s">
        <v>286</v>
      </c>
      <c r="M40" s="646"/>
    </row>
    <row r="41" spans="1:13" ht="15.75" customHeight="1">
      <c r="A41" s="772"/>
      <c r="B41" s="155" t="s">
        <v>277</v>
      </c>
      <c r="C41" s="155" t="s">
        <v>36</v>
      </c>
      <c r="D41" s="643"/>
      <c r="E41" s="640"/>
      <c r="F41" s="155" t="s">
        <v>277</v>
      </c>
      <c r="G41" s="155" t="s">
        <v>36</v>
      </c>
      <c r="H41" s="155" t="s">
        <v>277</v>
      </c>
      <c r="I41" s="155" t="s">
        <v>36</v>
      </c>
      <c r="J41" s="155" t="s">
        <v>277</v>
      </c>
      <c r="K41" s="155" t="s">
        <v>36</v>
      </c>
      <c r="L41" s="155" t="s">
        <v>277</v>
      </c>
      <c r="M41" s="155" t="s">
        <v>36</v>
      </c>
    </row>
    <row r="42" spans="1:13" ht="19.350000000000001" customHeight="1">
      <c r="A42" s="230" t="s">
        <v>278</v>
      </c>
      <c r="B42" s="140">
        <f>日別報廢率總表!M25</f>
        <v>65235.475700000003</v>
      </c>
      <c r="C42" s="238">
        <f>B42/($B$38*1000)</f>
        <v>2.3351068927001872E-3</v>
      </c>
      <c r="D42" s="643"/>
      <c r="E42" s="139" t="s">
        <v>278</v>
      </c>
      <c r="F42" s="142">
        <f>'報廢20大－原因別分析'!AB80</f>
        <v>15552.146700000003</v>
      </c>
      <c r="G42" s="143">
        <f>'報廢20大－原因別分析'!AB81</f>
        <v>0.75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3422.4089999999997</v>
      </c>
      <c r="K42" s="143">
        <f>'報廢20大－原因別分析'!AD81</f>
        <v>0.15</v>
      </c>
      <c r="L42" s="142">
        <f>'報廢20大－原因別分析'!AE80</f>
        <v>0</v>
      </c>
      <c r="M42" s="143">
        <f>'報廢20大－原因別分析'!AE81</f>
        <v>0</v>
      </c>
    </row>
    <row r="43" spans="1:13" ht="19.350000000000001" customHeight="1">
      <c r="A43" s="231" t="s">
        <v>279</v>
      </c>
      <c r="B43" s="145">
        <f>日別報廢率總表!N25</f>
        <v>143294.32379999998</v>
      </c>
      <c r="C43" s="141">
        <f>B43/($B$38*1000)</f>
        <v>5.1292269980364753E-3</v>
      </c>
      <c r="D43" s="643"/>
      <c r="E43" s="144" t="s">
        <v>279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54120.763200000016</v>
      </c>
      <c r="M43" s="143">
        <f>'超用20大－原因別分析'!AE81</f>
        <v>0.75</v>
      </c>
    </row>
    <row r="44" spans="1:13" ht="15.75" customHeight="1">
      <c r="A44" s="227" t="s">
        <v>348</v>
      </c>
      <c r="B44" s="432" t="s">
        <v>353</v>
      </c>
      <c r="C44" s="226"/>
      <c r="D44" s="643"/>
      <c r="E44" s="640" t="s">
        <v>7</v>
      </c>
      <c r="F44" s="740">
        <v>5</v>
      </c>
      <c r="G44" s="741"/>
      <c r="H44" s="740">
        <v>6</v>
      </c>
      <c r="I44" s="741"/>
      <c r="J44" s="740">
        <v>7</v>
      </c>
      <c r="K44" s="741"/>
      <c r="L44" s="773"/>
      <c r="M44" s="774"/>
    </row>
    <row r="45" spans="1:13" ht="31.35" customHeight="1">
      <c r="A45" s="136" t="s">
        <v>350</v>
      </c>
      <c r="B45" s="433" t="s">
        <v>354</v>
      </c>
      <c r="C45" s="226"/>
      <c r="D45" s="643"/>
      <c r="E45" s="640"/>
      <c r="F45" s="775" t="s">
        <v>280</v>
      </c>
      <c r="G45" s="776"/>
      <c r="H45" s="775" t="s">
        <v>281</v>
      </c>
      <c r="I45" s="776"/>
      <c r="J45" s="775" t="s">
        <v>282</v>
      </c>
      <c r="K45" s="776"/>
      <c r="L45" s="777"/>
      <c r="M45" s="778"/>
    </row>
    <row r="46" spans="1:13" ht="15.75" customHeight="1">
      <c r="D46" s="643"/>
      <c r="E46" s="640"/>
      <c r="F46" s="155" t="s">
        <v>277</v>
      </c>
      <c r="G46" s="155" t="s">
        <v>36</v>
      </c>
      <c r="H46" s="155" t="s">
        <v>277</v>
      </c>
      <c r="I46" s="155" t="s">
        <v>36</v>
      </c>
      <c r="J46" s="155" t="s">
        <v>277</v>
      </c>
      <c r="K46" s="155" t="s">
        <v>36</v>
      </c>
      <c r="L46" s="155"/>
      <c r="M46" s="155"/>
    </row>
    <row r="47" spans="1:13" ht="19.350000000000001" customHeight="1">
      <c r="D47" s="643"/>
      <c r="E47" s="139" t="s">
        <v>278</v>
      </c>
      <c r="F47" s="142">
        <f>'報廢20大－原因別分析'!AF80</f>
        <v>1095.3599999999999</v>
      </c>
      <c r="G47" s="143">
        <f>'報廢20大－原因別分析'!AF81</f>
        <v>0.05</v>
      </c>
      <c r="H47" s="142">
        <f>'報廢20大－原因別分析'!AG80</f>
        <v>1514.1</v>
      </c>
      <c r="I47" s="143">
        <f>'報廢20大－原因別分析'!AG81</f>
        <v>0.05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50000000000001" customHeight="1">
      <c r="D48" s="643"/>
      <c r="E48" s="144" t="s">
        <v>279</v>
      </c>
      <c r="F48" s="142">
        <f>'超用20大－原因別分析'!AF80</f>
        <v>17672.434100000002</v>
      </c>
      <c r="G48" s="143">
        <f>'超用20大－原因別分析'!AF81</f>
        <v>0.05</v>
      </c>
      <c r="H48" s="142">
        <f>'超用20大－原因別分析'!AG80</f>
        <v>20011.558700000001</v>
      </c>
      <c r="I48" s="143">
        <f>'超用20大－原因別分析'!AG81</f>
        <v>0.2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8" t="s">
        <v>271</v>
      </c>
      <c r="B49" s="229">
        <f>'生產管理報表(週) '!B6</f>
        <v>32338.420109999999</v>
      </c>
      <c r="E49" s="770" t="s">
        <v>347</v>
      </c>
      <c r="F49" s="771"/>
      <c r="G49" s="771"/>
      <c r="H49" s="771"/>
      <c r="I49" s="771"/>
      <c r="J49" s="771"/>
      <c r="K49" s="771"/>
      <c r="L49" s="771"/>
      <c r="M49" s="771"/>
    </row>
    <row r="50" spans="1:13" ht="15.75" customHeight="1">
      <c r="A50" s="772" t="s">
        <v>7</v>
      </c>
      <c r="B50" s="641" t="s">
        <v>272</v>
      </c>
      <c r="C50" s="641"/>
      <c r="D50" s="642"/>
      <c r="E50" s="640" t="s">
        <v>7</v>
      </c>
      <c r="F50" s="644">
        <v>1</v>
      </c>
      <c r="G50" s="644"/>
      <c r="H50" s="644">
        <v>2</v>
      </c>
      <c r="I50" s="644"/>
      <c r="J50" s="644">
        <v>3</v>
      </c>
      <c r="K50" s="644"/>
      <c r="L50" s="644">
        <v>4</v>
      </c>
      <c r="M50" s="644"/>
    </row>
    <row r="51" spans="1:13" ht="31.35" customHeight="1">
      <c r="A51" s="772"/>
      <c r="B51" s="641"/>
      <c r="C51" s="641"/>
      <c r="D51" s="643"/>
      <c r="E51" s="640"/>
      <c r="F51" s="646" t="s">
        <v>273</v>
      </c>
      <c r="G51" s="646"/>
      <c r="H51" s="646" t="s">
        <v>274</v>
      </c>
      <c r="I51" s="646"/>
      <c r="J51" s="646" t="s">
        <v>275</v>
      </c>
      <c r="K51" s="646"/>
      <c r="L51" s="646" t="s">
        <v>286</v>
      </c>
      <c r="M51" s="646"/>
    </row>
    <row r="52" spans="1:13" ht="15.75" customHeight="1">
      <c r="A52" s="772"/>
      <c r="B52" s="155" t="s">
        <v>277</v>
      </c>
      <c r="C52" s="155" t="s">
        <v>36</v>
      </c>
      <c r="D52" s="643"/>
      <c r="E52" s="640"/>
      <c r="F52" s="155" t="s">
        <v>277</v>
      </c>
      <c r="G52" s="155" t="s">
        <v>36</v>
      </c>
      <c r="H52" s="155" t="s">
        <v>277</v>
      </c>
      <c r="I52" s="155" t="s">
        <v>36</v>
      </c>
      <c r="J52" s="155" t="s">
        <v>277</v>
      </c>
      <c r="K52" s="155" t="s">
        <v>36</v>
      </c>
      <c r="L52" s="155" t="s">
        <v>277</v>
      </c>
      <c r="M52" s="155" t="s">
        <v>36</v>
      </c>
    </row>
    <row r="53" spans="1:13" ht="19.350000000000001" customHeight="1">
      <c r="A53" s="230" t="s">
        <v>278</v>
      </c>
      <c r="B53" s="140">
        <f>日別報廢率總表!M32</f>
        <v>72103.864479999989</v>
      </c>
      <c r="C53" s="238">
        <f>B53/($B$49*1000)</f>
        <v>2.2296656495504968E-3</v>
      </c>
      <c r="D53" s="643"/>
      <c r="E53" s="139" t="s">
        <v>278</v>
      </c>
      <c r="F53" s="142">
        <f>'報廢20大－原因別分析'!AB104</f>
        <v>15102.013300000001</v>
      </c>
      <c r="G53" s="143">
        <f>'報廢20大－原因別分析'!AB105</f>
        <v>0.7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4863.9854000000005</v>
      </c>
      <c r="K53" s="143">
        <f>'報廢20大－原因別分析'!AD105</f>
        <v>0.2</v>
      </c>
      <c r="L53" s="142">
        <f>'報廢20大－原因別分析'!AE104</f>
        <v>0</v>
      </c>
      <c r="M53" s="143">
        <f>'報廢20大－原因別分析'!AE105</f>
        <v>0</v>
      </c>
    </row>
    <row r="54" spans="1:13" ht="19.350000000000001" customHeight="1">
      <c r="A54" s="231" t="s">
        <v>279</v>
      </c>
      <c r="B54" s="145">
        <f>日別報廢率總表!N32</f>
        <v>164357.66202000002</v>
      </c>
      <c r="C54" s="141">
        <f>B54/($B$49*1000)</f>
        <v>5.0824270777896086E-3</v>
      </c>
      <c r="D54" s="643"/>
      <c r="E54" s="144" t="s">
        <v>279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61415.661400000012</v>
      </c>
      <c r="M54" s="143">
        <f>'超用20大－原因別分析'!AE105</f>
        <v>0.7</v>
      </c>
    </row>
    <row r="55" spans="1:13" ht="15.75" customHeight="1">
      <c r="A55" s="227" t="s">
        <v>348</v>
      </c>
      <c r="B55" s="432" t="s">
        <v>355</v>
      </c>
      <c r="C55" s="226"/>
      <c r="D55" s="643"/>
      <c r="E55" s="640" t="s">
        <v>7</v>
      </c>
      <c r="F55" s="740">
        <v>5</v>
      </c>
      <c r="G55" s="741"/>
      <c r="H55" s="740">
        <v>6</v>
      </c>
      <c r="I55" s="741"/>
      <c r="J55" s="740">
        <v>7</v>
      </c>
      <c r="K55" s="741"/>
      <c r="L55" s="773"/>
      <c r="M55" s="774"/>
    </row>
    <row r="56" spans="1:13" ht="31.35" customHeight="1">
      <c r="A56" s="136" t="s">
        <v>350</v>
      </c>
      <c r="B56" s="433" t="s">
        <v>355</v>
      </c>
      <c r="C56" s="226"/>
      <c r="D56" s="643"/>
      <c r="E56" s="640"/>
      <c r="F56" s="775" t="s">
        <v>280</v>
      </c>
      <c r="G56" s="776"/>
      <c r="H56" s="775" t="s">
        <v>281</v>
      </c>
      <c r="I56" s="776"/>
      <c r="J56" s="775" t="s">
        <v>282</v>
      </c>
      <c r="K56" s="776"/>
      <c r="L56" s="777"/>
      <c r="M56" s="778"/>
    </row>
    <row r="57" spans="1:13" ht="15.75" customHeight="1">
      <c r="D57" s="643"/>
      <c r="E57" s="640"/>
      <c r="F57" s="155" t="s">
        <v>277</v>
      </c>
      <c r="G57" s="155" t="s">
        <v>36</v>
      </c>
      <c r="H57" s="155" t="s">
        <v>277</v>
      </c>
      <c r="I57" s="155" t="s">
        <v>36</v>
      </c>
      <c r="J57" s="155" t="s">
        <v>277</v>
      </c>
      <c r="K57" s="155" t="s">
        <v>36</v>
      </c>
      <c r="L57" s="155"/>
      <c r="M57" s="155"/>
    </row>
    <row r="58" spans="1:13" ht="19.350000000000001" customHeight="1">
      <c r="D58" s="643"/>
      <c r="E58" s="139" t="s">
        <v>278</v>
      </c>
      <c r="F58" s="142">
        <f>'報廢20大－原因別分析'!AF104</f>
        <v>1008.96</v>
      </c>
      <c r="G58" s="143">
        <f>'報廢20大－原因別分析'!AF105</f>
        <v>0.05</v>
      </c>
      <c r="H58" s="142">
        <f>'報廢20大－原因別分析'!AG104</f>
        <v>1266.9000000000001</v>
      </c>
      <c r="I58" s="143">
        <f>'報廢20大－原因別分析'!AG105</f>
        <v>0.05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50000000000001" customHeight="1">
      <c r="D59" s="643"/>
      <c r="E59" s="144" t="s">
        <v>279</v>
      </c>
      <c r="F59" s="142">
        <f>'超用20大－原因別分析'!AF104</f>
        <v>14468.780200000008</v>
      </c>
      <c r="G59" s="143">
        <f>'超用20大－原因別分析'!AF105</f>
        <v>0.05</v>
      </c>
      <c r="H59" s="142">
        <f>'超用20大－原因別分析'!AG104</f>
        <v>19546.63519999999</v>
      </c>
      <c r="I59" s="143">
        <f>'超用20大－原因別分析'!AG105</f>
        <v>0.25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</sheetData>
  <mergeCells count="112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BW254"/>
  <sheetViews>
    <sheetView view="pageBreakPreview" topLeftCell="A230" zoomScaleNormal="60" zoomScaleSheetLayoutView="100" workbookViewId="0">
      <selection activeCell="N238" sqref="N238:P238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6" t="s">
        <v>269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</row>
    <row r="2" spans="1:75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</row>
    <row r="3" spans="1:75" s="136" customFormat="1" ht="15.75" customHeight="1">
      <c r="A3" s="802" t="s">
        <v>356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R3" s="240"/>
      <c r="S3" s="240"/>
      <c r="T3" s="240"/>
      <c r="U3" s="240"/>
    </row>
    <row r="4" spans="1:75" s="137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</row>
    <row r="5" spans="1:75" s="136" customFormat="1" ht="15.75" customHeight="1">
      <c r="A5" s="738" t="s">
        <v>284</v>
      </c>
      <c r="B5" s="731">
        <v>1</v>
      </c>
      <c r="C5" s="732"/>
      <c r="D5" s="731">
        <v>2</v>
      </c>
      <c r="E5" s="732"/>
      <c r="F5" s="731">
        <v>3</v>
      </c>
      <c r="G5" s="732"/>
      <c r="H5" s="740">
        <v>4</v>
      </c>
      <c r="I5" s="741"/>
      <c r="J5" s="740">
        <v>5</v>
      </c>
      <c r="K5" s="741"/>
      <c r="L5" s="740">
        <v>6</v>
      </c>
      <c r="M5" s="741"/>
      <c r="N5" s="740">
        <v>7</v>
      </c>
      <c r="O5" s="741"/>
      <c r="P5" s="740">
        <v>8</v>
      </c>
      <c r="Q5" s="741"/>
      <c r="R5" s="240"/>
      <c r="S5" s="240"/>
      <c r="T5" s="240"/>
      <c r="U5" s="240"/>
    </row>
    <row r="6" spans="1:75" s="136" customFormat="1" ht="15.75" customHeight="1">
      <c r="A6" s="739"/>
      <c r="B6" s="733" t="s">
        <v>273</v>
      </c>
      <c r="C6" s="734"/>
      <c r="D6" s="733" t="s">
        <v>285</v>
      </c>
      <c r="E6" s="734"/>
      <c r="F6" s="733" t="s">
        <v>275</v>
      </c>
      <c r="G6" s="734"/>
      <c r="H6" s="735" t="s">
        <v>286</v>
      </c>
      <c r="I6" s="736"/>
      <c r="J6" s="735" t="s">
        <v>280</v>
      </c>
      <c r="K6" s="736"/>
      <c r="L6" s="735" t="s">
        <v>281</v>
      </c>
      <c r="M6" s="736"/>
      <c r="N6" s="735" t="s">
        <v>282</v>
      </c>
      <c r="O6" s="736"/>
      <c r="P6" s="800" t="s">
        <v>287</v>
      </c>
      <c r="Q6" s="801"/>
      <c r="R6" s="240"/>
      <c r="S6" s="240"/>
      <c r="T6" s="240"/>
      <c r="U6" s="240"/>
    </row>
    <row r="7" spans="1:75" s="136" customFormat="1" ht="15.75" customHeight="1">
      <c r="B7" s="241"/>
      <c r="C7" s="242"/>
      <c r="R7" s="240"/>
      <c r="S7" s="240"/>
      <c r="T7" s="240"/>
      <c r="U7" s="240"/>
    </row>
    <row r="8" spans="1:75" s="244" customFormat="1" ht="15.75" customHeight="1">
      <c r="A8" s="740" t="s">
        <v>284</v>
      </c>
      <c r="B8" s="741"/>
      <c r="C8" s="243" t="s">
        <v>238</v>
      </c>
      <c r="D8" s="792" t="s">
        <v>239</v>
      </c>
      <c r="E8" s="654"/>
      <c r="F8" s="782"/>
      <c r="G8" s="793" t="s">
        <v>288</v>
      </c>
      <c r="H8" s="794"/>
      <c r="I8" s="795"/>
      <c r="J8" s="243" t="s">
        <v>289</v>
      </c>
      <c r="K8" s="243" t="s">
        <v>23</v>
      </c>
      <c r="L8" s="243" t="s">
        <v>290</v>
      </c>
      <c r="M8" s="243" t="s">
        <v>277</v>
      </c>
      <c r="N8" s="243" t="s">
        <v>253</v>
      </c>
      <c r="O8" s="796" t="s">
        <v>244</v>
      </c>
      <c r="P8" s="797"/>
    </row>
    <row r="9" spans="1:75" s="136" customFormat="1" ht="45" customHeight="1">
      <c r="A9" s="783">
        <v>1</v>
      </c>
      <c r="B9" s="786" t="s">
        <v>291</v>
      </c>
      <c r="C9" s="245">
        <v>1</v>
      </c>
      <c r="D9" s="246" t="s">
        <v>298</v>
      </c>
      <c r="E9" s="247"/>
      <c r="F9" s="247"/>
      <c r="G9" s="423" t="s">
        <v>299</v>
      </c>
      <c r="H9" s="315"/>
      <c r="I9" s="316"/>
      <c r="J9" s="245">
        <v>152.75</v>
      </c>
      <c r="K9" s="251">
        <v>1.8823067098929166E-2</v>
      </c>
      <c r="L9" s="245">
        <v>19.159999999999997</v>
      </c>
      <c r="M9" s="337">
        <f>L9*J9</f>
        <v>2926.6899999999996</v>
      </c>
      <c r="N9" s="252"/>
      <c r="O9" s="722" t="s">
        <v>357</v>
      </c>
      <c r="P9" s="723"/>
      <c r="R9" s="240"/>
      <c r="S9" s="270"/>
      <c r="T9" s="270"/>
      <c r="U9" s="240"/>
    </row>
    <row r="10" spans="1:75" s="136" customFormat="1" ht="45" customHeight="1">
      <c r="A10" s="784"/>
      <c r="B10" s="787"/>
      <c r="C10" s="245">
        <v>2</v>
      </c>
      <c r="D10" s="246" t="s">
        <v>198</v>
      </c>
      <c r="E10" s="247"/>
      <c r="F10" s="247"/>
      <c r="G10" s="419" t="s">
        <v>292</v>
      </c>
      <c r="H10" s="391"/>
      <c r="I10" s="392"/>
      <c r="J10" s="245">
        <v>141.66999999999999</v>
      </c>
      <c r="K10" s="251">
        <v>2.3041399720316103E-2</v>
      </c>
      <c r="L10" s="245">
        <v>14.169999999999998</v>
      </c>
      <c r="M10" s="337">
        <f t="shared" ref="M10:M13" si="0">L10*J10</f>
        <v>2007.4638999999995</v>
      </c>
      <c r="N10" s="252"/>
      <c r="O10" s="722" t="s">
        <v>357</v>
      </c>
      <c r="P10" s="723"/>
      <c r="R10" s="240"/>
      <c r="S10" s="211"/>
      <c r="T10" s="211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</row>
    <row r="11" spans="1:75" s="136" customFormat="1" ht="45" customHeight="1">
      <c r="A11" s="784"/>
      <c r="B11" s="787"/>
      <c r="C11" s="245">
        <v>3</v>
      </c>
      <c r="D11" s="246" t="s">
        <v>301</v>
      </c>
      <c r="E11" s="247"/>
      <c r="F11" s="247"/>
      <c r="G11" s="419" t="s">
        <v>302</v>
      </c>
      <c r="H11" s="391"/>
      <c r="I11" s="392"/>
      <c r="J11" s="245">
        <v>153.19000000000003</v>
      </c>
      <c r="K11" s="251">
        <v>4.3518199563669771E-2</v>
      </c>
      <c r="L11" s="245">
        <v>11.370000000000001</v>
      </c>
      <c r="M11" s="337">
        <f t="shared" si="0"/>
        <v>1741.7703000000004</v>
      </c>
      <c r="N11" s="252"/>
      <c r="O11" s="799" t="s">
        <v>358</v>
      </c>
      <c r="P11" s="743"/>
      <c r="R11" s="240"/>
      <c r="S11" s="270"/>
      <c r="T11" s="27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  <c r="AO11" s="240"/>
      <c r="AP11" s="240"/>
      <c r="AQ11" s="240"/>
      <c r="AR11" s="240"/>
      <c r="AS11" s="240"/>
      <c r="AT11" s="240"/>
      <c r="AU11" s="240"/>
      <c r="AV11" s="240"/>
      <c r="AW11" s="240"/>
      <c r="AX11" s="240"/>
      <c r="AY11" s="240"/>
      <c r="AZ11" s="240"/>
      <c r="BA11" s="240"/>
      <c r="BB11" s="240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40"/>
      <c r="BN11" s="240"/>
      <c r="BO11" s="240"/>
      <c r="BP11" s="240"/>
      <c r="BQ11" s="240"/>
      <c r="BR11" s="240"/>
      <c r="BS11" s="240"/>
      <c r="BT11" s="240"/>
      <c r="BU11" s="240"/>
      <c r="BV11" s="240"/>
      <c r="BW11" s="240"/>
    </row>
    <row r="12" spans="1:75" s="136" customFormat="1" ht="45" customHeight="1">
      <c r="A12" s="784"/>
      <c r="B12" s="787"/>
      <c r="C12" s="245">
        <v>4</v>
      </c>
      <c r="D12" s="246" t="s">
        <v>209</v>
      </c>
      <c r="E12" s="247"/>
      <c r="F12" s="247"/>
      <c r="G12" s="419" t="s">
        <v>296</v>
      </c>
      <c r="H12" s="391"/>
      <c r="I12" s="392"/>
      <c r="J12" s="245">
        <v>253.92000000000002</v>
      </c>
      <c r="K12" s="251">
        <v>2.7767510626501568E-2</v>
      </c>
      <c r="L12" s="245">
        <v>6.01</v>
      </c>
      <c r="M12" s="337">
        <f t="shared" si="0"/>
        <v>1526.0592000000001</v>
      </c>
      <c r="N12" s="252"/>
      <c r="O12" s="799" t="s">
        <v>359</v>
      </c>
      <c r="P12" s="743"/>
      <c r="R12" s="240"/>
      <c r="S12" s="211"/>
      <c r="T12" s="211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</row>
    <row r="13" spans="1:75" s="136" customFormat="1" ht="45" customHeight="1" thickBot="1">
      <c r="A13" s="784"/>
      <c r="B13" s="787"/>
      <c r="C13" s="245">
        <v>5</v>
      </c>
      <c r="D13" s="253" t="s">
        <v>209</v>
      </c>
      <c r="E13" s="254"/>
      <c r="F13" s="254"/>
      <c r="G13" s="423" t="s">
        <v>294</v>
      </c>
      <c r="H13" s="315"/>
      <c r="I13" s="316"/>
      <c r="J13" s="256">
        <v>183.65000000000003</v>
      </c>
      <c r="K13" s="257">
        <v>2.9104477611940297E-2</v>
      </c>
      <c r="L13" s="256">
        <v>7.8</v>
      </c>
      <c r="M13" s="338">
        <f t="shared" si="0"/>
        <v>1432.4700000000003</v>
      </c>
      <c r="N13" s="252"/>
      <c r="O13" s="799" t="s">
        <v>360</v>
      </c>
      <c r="P13" s="743"/>
      <c r="R13" s="240"/>
      <c r="S13" s="270"/>
      <c r="T13" s="27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0"/>
      <c r="BW13" s="240"/>
    </row>
    <row r="14" spans="1:75" s="136" customFormat="1" ht="15.75" customHeight="1" thickTop="1">
      <c r="A14" s="785"/>
      <c r="B14" s="788"/>
      <c r="C14" s="656"/>
      <c r="D14" s="657"/>
      <c r="E14" s="657"/>
      <c r="F14" s="657"/>
      <c r="G14" s="657"/>
      <c r="H14" s="657"/>
      <c r="I14" s="791"/>
      <c r="J14" s="258" t="s">
        <v>304</v>
      </c>
      <c r="K14" s="213">
        <f>M14/'生產管理報表 7-1 (週)'!$B$20</f>
        <v>0.12824884416709273</v>
      </c>
      <c r="L14" s="258" t="s">
        <v>305</v>
      </c>
      <c r="M14" s="339">
        <f>SUM(M9:M13)</f>
        <v>9634.4533999999985</v>
      </c>
      <c r="N14" s="758"/>
      <c r="O14" s="759"/>
      <c r="P14" s="760"/>
      <c r="R14" s="240"/>
      <c r="S14" s="211"/>
      <c r="T14" s="211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0"/>
      <c r="BT14" s="240"/>
      <c r="BU14" s="240"/>
      <c r="BV14" s="240"/>
      <c r="BW14" s="240"/>
    </row>
    <row r="15" spans="1:75" s="136" customFormat="1" ht="15.75" customHeight="1">
      <c r="B15" s="241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60"/>
      <c r="O15" s="260"/>
      <c r="P15" s="260"/>
      <c r="R15" s="240"/>
      <c r="S15" s="270"/>
      <c r="T15" s="27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0"/>
      <c r="BT15" s="240"/>
      <c r="BU15" s="240"/>
      <c r="BV15" s="240"/>
      <c r="BW15" s="240"/>
    </row>
    <row r="16" spans="1:75" s="136" customFormat="1" ht="15.75" customHeight="1">
      <c r="A16" s="740" t="s">
        <v>284</v>
      </c>
      <c r="B16" s="741"/>
      <c r="C16" s="261" t="s">
        <v>238</v>
      </c>
      <c r="D16" s="653" t="s">
        <v>239</v>
      </c>
      <c r="E16" s="654"/>
      <c r="F16" s="655"/>
      <c r="G16" s="653" t="s">
        <v>288</v>
      </c>
      <c r="H16" s="654"/>
      <c r="I16" s="655"/>
      <c r="J16" s="263" t="s">
        <v>289</v>
      </c>
      <c r="K16" s="263" t="s">
        <v>23</v>
      </c>
      <c r="L16" s="263" t="s">
        <v>290</v>
      </c>
      <c r="M16" s="263" t="s">
        <v>277</v>
      </c>
      <c r="N16" s="264" t="s">
        <v>253</v>
      </c>
      <c r="O16" s="749" t="s">
        <v>244</v>
      </c>
      <c r="P16" s="750"/>
      <c r="R16" s="240"/>
      <c r="S16" s="211"/>
      <c r="T16" s="211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</row>
    <row r="17" spans="1:36" s="136" customFormat="1" ht="20.100000000000001" customHeight="1">
      <c r="A17" s="783">
        <v>2</v>
      </c>
      <c r="B17" s="786" t="s">
        <v>306</v>
      </c>
      <c r="C17" s="265">
        <v>1</v>
      </c>
      <c r="D17" s="246"/>
      <c r="E17" s="247"/>
      <c r="F17" s="248"/>
      <c r="G17" s="246"/>
      <c r="H17" s="247"/>
      <c r="I17" s="248"/>
      <c r="J17" s="266"/>
      <c r="K17" s="267"/>
      <c r="L17" s="266"/>
      <c r="M17" s="268">
        <f t="shared" ref="M17:M21" si="1">L17*J17</f>
        <v>0</v>
      </c>
      <c r="N17" s="269"/>
      <c r="O17" s="751"/>
      <c r="P17" s="752"/>
      <c r="R17" s="240"/>
      <c r="S17" s="270"/>
      <c r="T17" s="27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</row>
    <row r="18" spans="1:36" s="136" customFormat="1" ht="20.100000000000001" customHeight="1">
      <c r="A18" s="784"/>
      <c r="B18" s="787"/>
      <c r="C18" s="265">
        <v>2</v>
      </c>
      <c r="D18" s="246"/>
      <c r="E18" s="247"/>
      <c r="F18" s="248"/>
      <c r="G18" s="246"/>
      <c r="H18" s="247"/>
      <c r="I18" s="248"/>
      <c r="J18" s="266"/>
      <c r="K18" s="267"/>
      <c r="L18" s="266"/>
      <c r="M18" s="268">
        <f t="shared" si="1"/>
        <v>0</v>
      </c>
      <c r="N18" s="269"/>
      <c r="O18" s="751"/>
      <c r="P18" s="752"/>
      <c r="R18" s="240"/>
      <c r="S18" s="211"/>
      <c r="T18" s="211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</row>
    <row r="19" spans="1:36" s="136" customFormat="1" ht="20.100000000000001" customHeight="1">
      <c r="A19" s="784"/>
      <c r="B19" s="787"/>
      <c r="C19" s="265">
        <v>3</v>
      </c>
      <c r="D19" s="246"/>
      <c r="E19" s="247"/>
      <c r="F19" s="248"/>
      <c r="G19" s="246"/>
      <c r="H19" s="247"/>
      <c r="I19" s="277"/>
      <c r="J19" s="266"/>
      <c r="K19" s="267"/>
      <c r="L19" s="266"/>
      <c r="M19" s="268">
        <f t="shared" si="1"/>
        <v>0</v>
      </c>
      <c r="N19" s="269"/>
      <c r="O19" s="751"/>
      <c r="P19" s="752"/>
      <c r="R19" s="240"/>
      <c r="S19" s="270"/>
      <c r="T19" s="27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</row>
    <row r="20" spans="1:36" s="136" customFormat="1" ht="20.100000000000001" customHeight="1">
      <c r="A20" s="784"/>
      <c r="B20" s="787"/>
      <c r="C20" s="265">
        <v>4</v>
      </c>
      <c r="D20" s="246"/>
      <c r="E20" s="247"/>
      <c r="F20" s="248"/>
      <c r="G20" s="246"/>
      <c r="H20" s="247"/>
      <c r="I20" s="248"/>
      <c r="J20" s="266"/>
      <c r="K20" s="267"/>
      <c r="L20" s="266"/>
      <c r="M20" s="268">
        <f t="shared" si="1"/>
        <v>0</v>
      </c>
      <c r="N20" s="269"/>
      <c r="O20" s="751"/>
      <c r="P20" s="752"/>
      <c r="R20" s="240"/>
      <c r="S20" s="211"/>
      <c r="T20" s="211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</row>
    <row r="21" spans="1:36" s="136" customFormat="1" ht="20.100000000000001" customHeight="1" thickBot="1">
      <c r="A21" s="784"/>
      <c r="B21" s="787"/>
      <c r="C21" s="271">
        <v>5</v>
      </c>
      <c r="D21" s="253"/>
      <c r="E21" s="254"/>
      <c r="F21" s="255"/>
      <c r="G21" s="246"/>
      <c r="H21" s="247"/>
      <c r="I21" s="248"/>
      <c r="J21" s="272"/>
      <c r="K21" s="273"/>
      <c r="L21" s="272"/>
      <c r="M21" s="274">
        <f t="shared" si="1"/>
        <v>0</v>
      </c>
      <c r="N21" s="275"/>
      <c r="O21" s="751"/>
      <c r="P21" s="752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</row>
    <row r="22" spans="1:36" s="136" customFormat="1" ht="15.75" customHeight="1" thickTop="1">
      <c r="A22" s="785"/>
      <c r="B22" s="788"/>
      <c r="C22" s="656"/>
      <c r="D22" s="657"/>
      <c r="E22" s="657"/>
      <c r="F22" s="657"/>
      <c r="G22" s="657"/>
      <c r="H22" s="657"/>
      <c r="I22" s="791"/>
      <c r="J22" s="258" t="s">
        <v>304</v>
      </c>
      <c r="K22" s="213">
        <f>M22/'生產管理報表 7-1 (週)'!$B$20</f>
        <v>0</v>
      </c>
      <c r="L22" s="258" t="s">
        <v>305</v>
      </c>
      <c r="M22" s="259">
        <f>SUM(M17:M21)</f>
        <v>0</v>
      </c>
      <c r="N22" s="753"/>
      <c r="O22" s="754"/>
      <c r="P22" s="755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</row>
    <row r="23" spans="1:36" s="136" customFormat="1" ht="15.75" customHeight="1">
      <c r="B23" s="241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76"/>
      <c r="O23" s="276"/>
      <c r="P23" s="276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</row>
    <row r="24" spans="1:36" s="136" customFormat="1" ht="15.75" customHeight="1">
      <c r="A24" s="740" t="s">
        <v>284</v>
      </c>
      <c r="B24" s="741"/>
      <c r="C24" s="261" t="s">
        <v>238</v>
      </c>
      <c r="D24" s="653" t="s">
        <v>239</v>
      </c>
      <c r="E24" s="654"/>
      <c r="F24" s="655"/>
      <c r="G24" s="653" t="s">
        <v>288</v>
      </c>
      <c r="H24" s="654"/>
      <c r="I24" s="782"/>
      <c r="J24" s="262" t="s">
        <v>289</v>
      </c>
      <c r="K24" s="263" t="s">
        <v>23</v>
      </c>
      <c r="L24" s="263" t="s">
        <v>290</v>
      </c>
      <c r="M24" s="263" t="s">
        <v>277</v>
      </c>
      <c r="N24" s="264" t="s">
        <v>253</v>
      </c>
      <c r="O24" s="747" t="s">
        <v>244</v>
      </c>
      <c r="P24" s="748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</row>
    <row r="25" spans="1:36" s="136" customFormat="1" ht="50.1" customHeight="1">
      <c r="A25" s="783">
        <v>3</v>
      </c>
      <c r="B25" s="786" t="s">
        <v>307</v>
      </c>
      <c r="C25" s="265">
        <v>1</v>
      </c>
      <c r="D25" s="246" t="s">
        <v>308</v>
      </c>
      <c r="E25" s="247"/>
      <c r="F25" s="248"/>
      <c r="G25" s="388" t="s">
        <v>309</v>
      </c>
      <c r="H25" s="324"/>
      <c r="I25" s="388"/>
      <c r="J25" s="266">
        <v>122.81999999999996</v>
      </c>
      <c r="K25" s="267">
        <v>2.5736142418487422E-2</v>
      </c>
      <c r="L25" s="266">
        <v>14.5</v>
      </c>
      <c r="M25" s="340">
        <f t="shared" ref="M25:M29" si="2">L25*J25</f>
        <v>1780.8899999999994</v>
      </c>
      <c r="N25" s="279"/>
      <c r="O25" s="789" t="s">
        <v>361</v>
      </c>
      <c r="P25" s="79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</row>
    <row r="26" spans="1:36" s="136" customFormat="1" ht="50.1" customHeight="1">
      <c r="A26" s="784"/>
      <c r="B26" s="787"/>
      <c r="C26" s="265">
        <v>2</v>
      </c>
      <c r="D26" s="246" t="s">
        <v>311</v>
      </c>
      <c r="E26" s="247"/>
      <c r="F26" s="248"/>
      <c r="G26" s="248" t="s">
        <v>314</v>
      </c>
      <c r="H26" s="247"/>
      <c r="I26" s="248"/>
      <c r="J26" s="266">
        <v>2.4499999999999997</v>
      </c>
      <c r="K26" s="267">
        <v>4.004004004004004E-3</v>
      </c>
      <c r="L26" s="266">
        <v>480</v>
      </c>
      <c r="M26" s="340">
        <f t="shared" si="2"/>
        <v>1175.9999999999998</v>
      </c>
      <c r="N26" s="279"/>
      <c r="O26" s="742" t="s">
        <v>362</v>
      </c>
      <c r="P26" s="743"/>
      <c r="R26" s="240"/>
      <c r="S26" s="240"/>
      <c r="T26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</row>
    <row r="27" spans="1:36" s="136" customFormat="1" ht="50.1" customHeight="1">
      <c r="A27" s="784"/>
      <c r="B27" s="787"/>
      <c r="C27" s="265">
        <v>3</v>
      </c>
      <c r="D27" s="246" t="s">
        <v>311</v>
      </c>
      <c r="E27" s="247"/>
      <c r="F27" s="248"/>
      <c r="G27" s="248" t="s">
        <v>312</v>
      </c>
      <c r="H27" s="247"/>
      <c r="I27" s="248"/>
      <c r="J27" s="266">
        <v>1.17</v>
      </c>
      <c r="K27" s="267">
        <v>4.5662549820400531E-3</v>
      </c>
      <c r="L27" s="266">
        <v>928</v>
      </c>
      <c r="M27" s="340">
        <f t="shared" si="2"/>
        <v>1085.76</v>
      </c>
      <c r="N27" s="279"/>
      <c r="O27" s="742" t="s">
        <v>363</v>
      </c>
      <c r="P27" s="743"/>
      <c r="R27" s="240"/>
      <c r="S27" s="240"/>
      <c r="T27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</row>
    <row r="28" spans="1:36" s="136" customFormat="1" ht="50.1" customHeight="1">
      <c r="A28" s="784"/>
      <c r="B28" s="787"/>
      <c r="C28" s="265">
        <v>4</v>
      </c>
      <c r="D28" s="246" t="s">
        <v>169</v>
      </c>
      <c r="E28" s="247"/>
      <c r="F28" s="248"/>
      <c r="G28" s="323" t="s">
        <v>364</v>
      </c>
      <c r="H28" s="324"/>
      <c r="I28" s="325"/>
      <c r="J28" s="278">
        <v>4.5</v>
      </c>
      <c r="K28" s="267">
        <v>1.2862251160804824E-2</v>
      </c>
      <c r="L28" s="266">
        <v>241</v>
      </c>
      <c r="M28" s="340">
        <f t="shared" si="2"/>
        <v>1084.5</v>
      </c>
      <c r="N28" s="279"/>
      <c r="O28" s="742" t="s">
        <v>365</v>
      </c>
      <c r="P28" s="743"/>
      <c r="R28" s="240"/>
      <c r="S28" s="240"/>
      <c r="T28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</row>
    <row r="29" spans="1:36" s="136" customFormat="1" ht="50.1" customHeight="1" thickBot="1">
      <c r="A29" s="784"/>
      <c r="B29" s="787"/>
      <c r="C29" s="271">
        <v>5</v>
      </c>
      <c r="D29" s="253"/>
      <c r="E29" s="254"/>
      <c r="F29" s="255"/>
      <c r="G29" s="420"/>
      <c r="H29" s="421"/>
      <c r="I29" s="422"/>
      <c r="J29" s="281"/>
      <c r="K29" s="273"/>
      <c r="L29" s="282"/>
      <c r="M29" s="340">
        <f t="shared" si="2"/>
        <v>0</v>
      </c>
      <c r="N29" s="279"/>
      <c r="O29" s="742"/>
      <c r="P29" s="743"/>
      <c r="R29" s="240"/>
      <c r="S29" s="240"/>
      <c r="T29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</row>
    <row r="30" spans="1:36" s="136" customFormat="1" ht="15.75" customHeight="1" thickTop="1">
      <c r="A30" s="785"/>
      <c r="B30" s="788"/>
      <c r="C30" s="656"/>
      <c r="D30" s="657"/>
      <c r="E30" s="657"/>
      <c r="F30" s="657"/>
      <c r="G30" s="657"/>
      <c r="H30" s="657"/>
      <c r="I30" s="791"/>
      <c r="J30" s="283" t="s">
        <v>304</v>
      </c>
      <c r="K30" s="213">
        <f>M30/'生產管理報表 7-1 (週)'!$B$20</f>
        <v>6.8249960228289608E-2</v>
      </c>
      <c r="L30" s="283" t="s">
        <v>305</v>
      </c>
      <c r="M30" s="341">
        <f>SUM(M25:M29)</f>
        <v>5127.1499999999996</v>
      </c>
      <c r="N30" s="744"/>
      <c r="O30" s="745"/>
      <c r="P30" s="746"/>
      <c r="R30" s="240"/>
      <c r="S30" s="240"/>
      <c r="T3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</row>
    <row r="31" spans="1:36" s="136" customFormat="1" ht="15.75" customHeight="1">
      <c r="A31" s="802" t="s">
        <v>366</v>
      </c>
      <c r="B31" s="802"/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R31" s="240"/>
      <c r="S31" s="240"/>
      <c r="T31" s="240"/>
      <c r="U31" s="240"/>
    </row>
    <row r="32" spans="1:36" s="137" customFormat="1" ht="15.75" customHeight="1">
      <c r="A32" s="737"/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</row>
    <row r="33" spans="1:75" s="136" customFormat="1" ht="15.75" customHeight="1">
      <c r="A33" s="738" t="s">
        <v>284</v>
      </c>
      <c r="B33" s="731">
        <v>1</v>
      </c>
      <c r="C33" s="732"/>
      <c r="D33" s="731">
        <v>2</v>
      </c>
      <c r="E33" s="732"/>
      <c r="F33" s="731">
        <v>3</v>
      </c>
      <c r="G33" s="732"/>
      <c r="H33" s="740">
        <v>4</v>
      </c>
      <c r="I33" s="741"/>
      <c r="J33" s="740">
        <v>5</v>
      </c>
      <c r="K33" s="741"/>
      <c r="L33" s="740">
        <v>6</v>
      </c>
      <c r="M33" s="741"/>
      <c r="N33" s="740">
        <v>7</v>
      </c>
      <c r="O33" s="741"/>
      <c r="P33" s="740">
        <v>8</v>
      </c>
      <c r="Q33" s="741"/>
      <c r="R33" s="240"/>
      <c r="S33" s="240"/>
      <c r="T33" s="240"/>
      <c r="U33" s="240"/>
    </row>
    <row r="34" spans="1:75" s="136" customFormat="1" ht="15.75" customHeight="1">
      <c r="A34" s="739"/>
      <c r="B34" s="733" t="s">
        <v>273</v>
      </c>
      <c r="C34" s="734"/>
      <c r="D34" s="733" t="s">
        <v>285</v>
      </c>
      <c r="E34" s="734"/>
      <c r="F34" s="733" t="s">
        <v>275</v>
      </c>
      <c r="G34" s="734"/>
      <c r="H34" s="735" t="s">
        <v>286</v>
      </c>
      <c r="I34" s="736"/>
      <c r="J34" s="735" t="s">
        <v>280</v>
      </c>
      <c r="K34" s="736"/>
      <c r="L34" s="735" t="s">
        <v>281</v>
      </c>
      <c r="M34" s="736"/>
      <c r="N34" s="735" t="s">
        <v>282</v>
      </c>
      <c r="O34" s="736"/>
      <c r="P34" s="800" t="s">
        <v>287</v>
      </c>
      <c r="Q34" s="801"/>
      <c r="R34" s="240"/>
      <c r="S34" s="240"/>
      <c r="T34" s="240"/>
      <c r="U34" s="240"/>
    </row>
    <row r="35" spans="1:75" s="136" customFormat="1" ht="15.75" customHeight="1">
      <c r="B35" s="241"/>
      <c r="C35" s="242"/>
      <c r="R35" s="240"/>
      <c r="S35" s="240"/>
      <c r="T35" s="240"/>
      <c r="U35" s="240"/>
    </row>
    <row r="36" spans="1:75" s="244" customFormat="1" ht="15.75" customHeight="1">
      <c r="A36" s="740" t="s">
        <v>284</v>
      </c>
      <c r="B36" s="741"/>
      <c r="C36" s="243" t="s">
        <v>238</v>
      </c>
      <c r="D36" s="792" t="s">
        <v>239</v>
      </c>
      <c r="E36" s="654"/>
      <c r="F36" s="782"/>
      <c r="G36" s="793" t="s">
        <v>288</v>
      </c>
      <c r="H36" s="794"/>
      <c r="I36" s="795"/>
      <c r="J36" s="243" t="s">
        <v>289</v>
      </c>
      <c r="K36" s="243" t="s">
        <v>23</v>
      </c>
      <c r="L36" s="243" t="s">
        <v>290</v>
      </c>
      <c r="M36" s="243" t="s">
        <v>277</v>
      </c>
      <c r="N36" s="243" t="s">
        <v>253</v>
      </c>
      <c r="O36" s="796" t="s">
        <v>244</v>
      </c>
      <c r="P36" s="797"/>
    </row>
    <row r="37" spans="1:75" s="136" customFormat="1" ht="50.1" customHeight="1">
      <c r="A37" s="783">
        <v>1</v>
      </c>
      <c r="B37" s="786" t="s">
        <v>291</v>
      </c>
      <c r="C37" s="245">
        <v>1</v>
      </c>
      <c r="D37" s="246" t="s">
        <v>198</v>
      </c>
      <c r="E37" s="247"/>
      <c r="F37" s="247"/>
      <c r="G37" s="389" t="s">
        <v>292</v>
      </c>
      <c r="H37" s="315"/>
      <c r="I37" s="316"/>
      <c r="J37" s="245">
        <v>141.66999999999999</v>
      </c>
      <c r="K37" s="251">
        <v>3.0353830788985587E-2</v>
      </c>
      <c r="L37" s="245">
        <v>17.02</v>
      </c>
      <c r="M37" s="337">
        <f>L37*J37</f>
        <v>2411.2233999999999</v>
      </c>
      <c r="N37" s="252"/>
      <c r="O37" s="722" t="s">
        <v>367</v>
      </c>
      <c r="P37" s="723"/>
      <c r="R37" s="240"/>
      <c r="S37" s="270"/>
      <c r="T37" s="270"/>
      <c r="U37" s="240"/>
    </row>
    <row r="38" spans="1:75" s="136" customFormat="1" ht="50.1" customHeight="1">
      <c r="A38" s="784"/>
      <c r="B38" s="787"/>
      <c r="C38" s="245">
        <v>2</v>
      </c>
      <c r="D38" s="246" t="s">
        <v>298</v>
      </c>
      <c r="E38" s="247"/>
      <c r="F38" s="247"/>
      <c r="G38" s="423" t="s">
        <v>299</v>
      </c>
      <c r="H38" s="315"/>
      <c r="I38" s="316"/>
      <c r="J38" s="245">
        <v>152.75</v>
      </c>
      <c r="K38" s="251">
        <v>1.2651992930336774E-2</v>
      </c>
      <c r="L38" s="245">
        <v>13.1</v>
      </c>
      <c r="M38" s="337">
        <f t="shared" ref="M38:M41" si="3">L38*J38</f>
        <v>2001.0249999999999</v>
      </c>
      <c r="N38" s="252"/>
      <c r="O38" s="722" t="s">
        <v>367</v>
      </c>
      <c r="P38" s="723"/>
      <c r="R38" s="240"/>
      <c r="S38" s="211"/>
      <c r="T38" s="211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240"/>
      <c r="BC38" s="240"/>
      <c r="BD38" s="240"/>
      <c r="BE38" s="240"/>
      <c r="BF38" s="240"/>
      <c r="BG38" s="240"/>
      <c r="BH38" s="240"/>
      <c r="BI38" s="240"/>
      <c r="BJ38" s="240"/>
      <c r="BK38" s="240"/>
      <c r="BL38" s="240"/>
      <c r="BM38" s="240"/>
      <c r="BN38" s="240"/>
      <c r="BO38" s="240"/>
      <c r="BP38" s="240"/>
      <c r="BQ38" s="240"/>
      <c r="BR38" s="240"/>
      <c r="BS38" s="240"/>
      <c r="BT38" s="240"/>
      <c r="BU38" s="240"/>
      <c r="BV38" s="240"/>
      <c r="BW38" s="240"/>
    </row>
    <row r="39" spans="1:75" s="136" customFormat="1" ht="50.1" customHeight="1">
      <c r="A39" s="784"/>
      <c r="B39" s="787"/>
      <c r="C39" s="245">
        <v>3</v>
      </c>
      <c r="D39" s="246" t="s">
        <v>209</v>
      </c>
      <c r="E39" s="247"/>
      <c r="F39" s="247"/>
      <c r="G39" s="423" t="s">
        <v>294</v>
      </c>
      <c r="H39" s="315"/>
      <c r="I39" s="316"/>
      <c r="J39" s="245">
        <v>183.65000000000003</v>
      </c>
      <c r="K39" s="251">
        <v>3.4792724196277505E-2</v>
      </c>
      <c r="L39" s="245">
        <v>9.870000000000001</v>
      </c>
      <c r="M39" s="337">
        <f t="shared" si="3"/>
        <v>1812.6255000000006</v>
      </c>
      <c r="N39" s="252"/>
      <c r="O39" s="799" t="s">
        <v>360</v>
      </c>
      <c r="P39" s="743"/>
      <c r="R39" s="240"/>
      <c r="S39" s="270"/>
      <c r="T39" s="27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240"/>
      <c r="BE39" s="240"/>
      <c r="BF39" s="240"/>
      <c r="BG39" s="240"/>
      <c r="BH39" s="240"/>
      <c r="BI39" s="240"/>
      <c r="BJ39" s="240"/>
      <c r="BK39" s="240"/>
      <c r="BL39" s="240"/>
      <c r="BM39" s="240"/>
      <c r="BN39" s="240"/>
      <c r="BO39" s="240"/>
      <c r="BP39" s="240"/>
      <c r="BQ39" s="240"/>
      <c r="BR39" s="240"/>
      <c r="BS39" s="240"/>
      <c r="BT39" s="240"/>
      <c r="BU39" s="240"/>
      <c r="BV39" s="240"/>
      <c r="BW39" s="240"/>
    </row>
    <row r="40" spans="1:75" s="136" customFormat="1" ht="50.1" customHeight="1">
      <c r="A40" s="784"/>
      <c r="B40" s="787"/>
      <c r="C40" s="245">
        <v>4</v>
      </c>
      <c r="D40" s="246" t="s">
        <v>368</v>
      </c>
      <c r="E40" s="247"/>
      <c r="F40" s="247"/>
      <c r="G40" s="389" t="s">
        <v>369</v>
      </c>
      <c r="H40" s="315"/>
      <c r="I40" s="316"/>
      <c r="J40" s="245">
        <v>456.29</v>
      </c>
      <c r="K40" s="251">
        <v>5.5351232070614202E-2</v>
      </c>
      <c r="L40" s="245">
        <v>3.0100000000000002</v>
      </c>
      <c r="M40" s="337">
        <f t="shared" si="3"/>
        <v>1373.4329000000002</v>
      </c>
      <c r="N40" s="252"/>
      <c r="O40" s="799" t="s">
        <v>357</v>
      </c>
      <c r="P40" s="743"/>
      <c r="R40" s="240"/>
      <c r="S40" s="211"/>
      <c r="T40" s="211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240"/>
      <c r="AI40" s="240"/>
      <c r="AJ40" s="240"/>
      <c r="AK40" s="240"/>
      <c r="AL40" s="240"/>
      <c r="AM40" s="240"/>
      <c r="AN40" s="240"/>
      <c r="AO40" s="240"/>
      <c r="AP40" s="240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40"/>
      <c r="BB40" s="240"/>
      <c r="BC40" s="240"/>
      <c r="BD40" s="240"/>
      <c r="BE40" s="240"/>
      <c r="BF40" s="240"/>
      <c r="BG40" s="240"/>
      <c r="BH40" s="240"/>
      <c r="BI40" s="240"/>
      <c r="BJ40" s="240"/>
      <c r="BK40" s="240"/>
      <c r="BL40" s="240"/>
      <c r="BM40" s="240"/>
      <c r="BN40" s="240"/>
      <c r="BO40" s="240"/>
      <c r="BP40" s="240"/>
      <c r="BQ40" s="240"/>
      <c r="BR40" s="240"/>
      <c r="BS40" s="240"/>
      <c r="BT40" s="240"/>
      <c r="BU40" s="240"/>
      <c r="BV40" s="240"/>
      <c r="BW40" s="240"/>
    </row>
    <row r="41" spans="1:75" s="136" customFormat="1" ht="50.1" customHeight="1" thickBot="1">
      <c r="A41" s="784"/>
      <c r="B41" s="787"/>
      <c r="C41" s="245">
        <v>5</v>
      </c>
      <c r="D41" s="253" t="s">
        <v>209</v>
      </c>
      <c r="E41" s="254"/>
      <c r="F41" s="254"/>
      <c r="G41" s="389" t="s">
        <v>296</v>
      </c>
      <c r="H41" s="315"/>
      <c r="I41" s="316"/>
      <c r="J41" s="256">
        <v>253.92000000000002</v>
      </c>
      <c r="K41" s="257">
        <v>2.3567407148780164E-2</v>
      </c>
      <c r="L41" s="256">
        <v>5.3999999999999995</v>
      </c>
      <c r="M41" s="338">
        <f t="shared" si="3"/>
        <v>1371.1679999999999</v>
      </c>
      <c r="N41" s="252"/>
      <c r="O41" s="799" t="s">
        <v>359</v>
      </c>
      <c r="P41" s="743"/>
      <c r="R41" s="240"/>
      <c r="S41" s="270"/>
      <c r="T41" s="27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40"/>
      <c r="BB41" s="240"/>
      <c r="BC41" s="240"/>
      <c r="BD41" s="240"/>
      <c r="BE41" s="240"/>
      <c r="BF41" s="240"/>
      <c r="BG41" s="240"/>
      <c r="BH41" s="240"/>
      <c r="BI41" s="240"/>
      <c r="BJ41" s="240"/>
      <c r="BK41" s="240"/>
      <c r="BL41" s="240"/>
      <c r="BM41" s="240"/>
      <c r="BN41" s="240"/>
      <c r="BO41" s="240"/>
      <c r="BP41" s="240"/>
      <c r="BQ41" s="240"/>
      <c r="BR41" s="240"/>
      <c r="BS41" s="240"/>
      <c r="BT41" s="240"/>
      <c r="BU41" s="240"/>
      <c r="BV41" s="240"/>
      <c r="BW41" s="240"/>
    </row>
    <row r="42" spans="1:75" s="136" customFormat="1" ht="15.75" customHeight="1" thickTop="1">
      <c r="A42" s="785"/>
      <c r="B42" s="788"/>
      <c r="C42" s="656"/>
      <c r="D42" s="657"/>
      <c r="E42" s="657"/>
      <c r="F42" s="657"/>
      <c r="G42" s="657"/>
      <c r="H42" s="657"/>
      <c r="I42" s="791"/>
      <c r="J42" s="258" t="s">
        <v>304</v>
      </c>
      <c r="K42" s="213">
        <f>M42/'生產管理報表 7-1 (週)'!$B$31</f>
        <v>0.14449126631166115</v>
      </c>
      <c r="L42" s="258" t="s">
        <v>305</v>
      </c>
      <c r="M42" s="339">
        <f>SUM(M37:M41)</f>
        <v>8969.4748</v>
      </c>
      <c r="N42" s="758"/>
      <c r="O42" s="759"/>
      <c r="P42" s="760"/>
      <c r="R42" s="240"/>
      <c r="S42" s="211"/>
      <c r="T42" s="211"/>
      <c r="U42" s="240"/>
      <c r="V42" s="240"/>
      <c r="W42" s="240"/>
      <c r="X42" s="240"/>
      <c r="Y42" s="240"/>
      <c r="Z42" s="240"/>
      <c r="AA42" s="240"/>
      <c r="AB42" s="240"/>
      <c r="AC42" s="240"/>
      <c r="AD42" s="240"/>
      <c r="AE42" s="240"/>
      <c r="AF42" s="240"/>
      <c r="AG42" s="240"/>
      <c r="AH42" s="240"/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40"/>
      <c r="AY42" s="240"/>
      <c r="AZ42" s="240"/>
      <c r="BA42" s="240"/>
      <c r="BB42" s="240"/>
      <c r="BC42" s="240"/>
      <c r="BD42" s="240"/>
      <c r="BE42" s="240"/>
      <c r="BF42" s="240"/>
      <c r="BG42" s="240"/>
      <c r="BH42" s="240"/>
      <c r="BI42" s="240"/>
      <c r="BJ42" s="240"/>
      <c r="BK42" s="240"/>
      <c r="BL42" s="240"/>
      <c r="BM42" s="240"/>
      <c r="BN42" s="240"/>
      <c r="BO42" s="240"/>
      <c r="BP42" s="240"/>
      <c r="BQ42" s="240"/>
      <c r="BR42" s="240"/>
      <c r="BS42" s="240"/>
      <c r="BT42" s="240"/>
      <c r="BU42" s="240"/>
      <c r="BV42" s="240"/>
      <c r="BW42" s="240"/>
    </row>
    <row r="43" spans="1:75" s="136" customFormat="1" ht="15.75" customHeight="1">
      <c r="B43" s="241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60"/>
      <c r="O43" s="260"/>
      <c r="P43" s="260"/>
      <c r="R43" s="240"/>
      <c r="S43" s="270"/>
      <c r="T43" s="27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40"/>
      <c r="BG43" s="240"/>
      <c r="BH43" s="24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0"/>
      <c r="BU43" s="240"/>
      <c r="BV43" s="240"/>
      <c r="BW43" s="240"/>
    </row>
    <row r="44" spans="1:75" s="136" customFormat="1" ht="15.75" customHeight="1">
      <c r="A44" s="740" t="s">
        <v>284</v>
      </c>
      <c r="B44" s="741"/>
      <c r="C44" s="261" t="s">
        <v>238</v>
      </c>
      <c r="D44" s="653" t="s">
        <v>239</v>
      </c>
      <c r="E44" s="654"/>
      <c r="F44" s="655"/>
      <c r="G44" s="653" t="s">
        <v>288</v>
      </c>
      <c r="H44" s="654"/>
      <c r="I44" s="655"/>
      <c r="J44" s="263" t="s">
        <v>289</v>
      </c>
      <c r="K44" s="263" t="s">
        <v>23</v>
      </c>
      <c r="L44" s="263" t="s">
        <v>290</v>
      </c>
      <c r="M44" s="263" t="s">
        <v>277</v>
      </c>
      <c r="N44" s="264" t="s">
        <v>253</v>
      </c>
      <c r="O44" s="749" t="s">
        <v>244</v>
      </c>
      <c r="P44" s="750"/>
      <c r="R44" s="240"/>
      <c r="S44" s="211"/>
      <c r="T44" s="211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</row>
    <row r="45" spans="1:75" s="136" customFormat="1" ht="20.100000000000001" customHeight="1">
      <c r="A45" s="783">
        <v>2</v>
      </c>
      <c r="B45" s="786" t="s">
        <v>306</v>
      </c>
      <c r="C45" s="265">
        <v>1</v>
      </c>
      <c r="D45" s="246"/>
      <c r="E45" s="247"/>
      <c r="F45" s="248"/>
      <c r="G45" s="246"/>
      <c r="H45" s="247"/>
      <c r="I45" s="248"/>
      <c r="J45" s="266"/>
      <c r="K45" s="267"/>
      <c r="L45" s="266"/>
      <c r="M45" s="268">
        <f t="shared" ref="M45:M49" si="4">L45*J45</f>
        <v>0</v>
      </c>
      <c r="N45" s="269"/>
      <c r="O45" s="751"/>
      <c r="P45" s="752"/>
      <c r="R45" s="240"/>
      <c r="S45" s="270"/>
      <c r="T45" s="27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</row>
    <row r="46" spans="1:75" s="136" customFormat="1" ht="20.100000000000001" customHeight="1">
      <c r="A46" s="784"/>
      <c r="B46" s="787"/>
      <c r="C46" s="265">
        <v>2</v>
      </c>
      <c r="D46" s="246"/>
      <c r="E46" s="247"/>
      <c r="F46" s="248"/>
      <c r="G46" s="246"/>
      <c r="H46" s="247"/>
      <c r="I46" s="248"/>
      <c r="J46" s="266"/>
      <c r="K46" s="267"/>
      <c r="L46" s="266"/>
      <c r="M46" s="268">
        <f t="shared" si="4"/>
        <v>0</v>
      </c>
      <c r="N46" s="269"/>
      <c r="O46" s="751"/>
      <c r="P46" s="752"/>
      <c r="R46" s="240"/>
      <c r="S46" s="211"/>
      <c r="T46" s="211"/>
      <c r="U46" s="240"/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</row>
    <row r="47" spans="1:75" s="136" customFormat="1" ht="20.100000000000001" customHeight="1">
      <c r="A47" s="784"/>
      <c r="B47" s="787"/>
      <c r="C47" s="265">
        <v>3</v>
      </c>
      <c r="D47" s="246"/>
      <c r="E47" s="247"/>
      <c r="F47" s="248"/>
      <c r="G47" s="246"/>
      <c r="H47" s="247"/>
      <c r="I47" s="277"/>
      <c r="J47" s="266"/>
      <c r="K47" s="267"/>
      <c r="L47" s="266"/>
      <c r="M47" s="268">
        <f t="shared" si="4"/>
        <v>0</v>
      </c>
      <c r="N47" s="269"/>
      <c r="O47" s="751"/>
      <c r="P47" s="752"/>
      <c r="R47" s="240"/>
      <c r="S47" s="270"/>
      <c r="T47" s="27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</row>
    <row r="48" spans="1:75" s="136" customFormat="1" ht="20.100000000000001" customHeight="1">
      <c r="A48" s="784"/>
      <c r="B48" s="787"/>
      <c r="C48" s="265">
        <v>4</v>
      </c>
      <c r="D48" s="246"/>
      <c r="E48" s="247"/>
      <c r="F48" s="248"/>
      <c r="G48" s="246"/>
      <c r="H48" s="247"/>
      <c r="I48" s="248"/>
      <c r="J48" s="266"/>
      <c r="K48" s="267"/>
      <c r="L48" s="266"/>
      <c r="M48" s="268">
        <f t="shared" si="4"/>
        <v>0</v>
      </c>
      <c r="N48" s="269"/>
      <c r="O48" s="751"/>
      <c r="P48" s="752"/>
      <c r="R48" s="240"/>
      <c r="S48" s="211"/>
      <c r="T48" s="211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</row>
    <row r="49" spans="1:36" s="136" customFormat="1" ht="20.100000000000001" customHeight="1" thickBot="1">
      <c r="A49" s="784"/>
      <c r="B49" s="787"/>
      <c r="C49" s="271">
        <v>5</v>
      </c>
      <c r="D49" s="253"/>
      <c r="E49" s="254"/>
      <c r="F49" s="255"/>
      <c r="G49" s="246"/>
      <c r="H49" s="247"/>
      <c r="I49" s="248"/>
      <c r="J49" s="272"/>
      <c r="K49" s="273"/>
      <c r="L49" s="272"/>
      <c r="M49" s="274">
        <f t="shared" si="4"/>
        <v>0</v>
      </c>
      <c r="N49" s="275"/>
      <c r="O49" s="751"/>
      <c r="P49" s="752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</row>
    <row r="50" spans="1:36" s="136" customFormat="1" ht="15.75" customHeight="1" thickTop="1">
      <c r="A50" s="785"/>
      <c r="B50" s="788"/>
      <c r="C50" s="656"/>
      <c r="D50" s="657"/>
      <c r="E50" s="657"/>
      <c r="F50" s="657"/>
      <c r="G50" s="657"/>
      <c r="H50" s="657"/>
      <c r="I50" s="791"/>
      <c r="J50" s="258" t="s">
        <v>304</v>
      </c>
      <c r="K50" s="213">
        <f>M50/'生產管理報表 7-1 (週)'!$B$31</f>
        <v>0</v>
      </c>
      <c r="L50" s="258" t="s">
        <v>305</v>
      </c>
      <c r="M50" s="259">
        <f>SUM(M45:M49)</f>
        <v>0</v>
      </c>
      <c r="N50" s="753"/>
      <c r="O50" s="754"/>
      <c r="P50" s="755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</row>
    <row r="51" spans="1:36" s="136" customFormat="1" ht="15.75" customHeight="1">
      <c r="B51" s="241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76"/>
      <c r="O51" s="276"/>
      <c r="P51" s="276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</row>
    <row r="52" spans="1:36" s="136" customFormat="1" ht="15.75" customHeight="1">
      <c r="A52" s="740" t="s">
        <v>284</v>
      </c>
      <c r="B52" s="741"/>
      <c r="C52" s="261" t="s">
        <v>238</v>
      </c>
      <c r="D52" s="653" t="s">
        <v>239</v>
      </c>
      <c r="E52" s="654"/>
      <c r="F52" s="655"/>
      <c r="G52" s="653" t="s">
        <v>288</v>
      </c>
      <c r="H52" s="654"/>
      <c r="I52" s="782"/>
      <c r="J52" s="262" t="s">
        <v>289</v>
      </c>
      <c r="K52" s="263" t="s">
        <v>23</v>
      </c>
      <c r="L52" s="263" t="s">
        <v>290</v>
      </c>
      <c r="M52" s="263" t="s">
        <v>277</v>
      </c>
      <c r="N52" s="264" t="s">
        <v>253</v>
      </c>
      <c r="O52" s="747" t="s">
        <v>244</v>
      </c>
      <c r="P52" s="748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</row>
    <row r="53" spans="1:36" s="136" customFormat="1" ht="50.1" customHeight="1">
      <c r="A53" s="783">
        <v>3</v>
      </c>
      <c r="B53" s="786" t="s">
        <v>307</v>
      </c>
      <c r="C53" s="265">
        <v>1</v>
      </c>
      <c r="D53" s="246" t="s">
        <v>308</v>
      </c>
      <c r="E53" s="247"/>
      <c r="F53" s="248"/>
      <c r="G53" s="388" t="s">
        <v>309</v>
      </c>
      <c r="H53" s="324"/>
      <c r="I53" s="388"/>
      <c r="J53" s="266">
        <v>122.81999999999996</v>
      </c>
      <c r="K53" s="267">
        <v>2.4019345310547415E-2</v>
      </c>
      <c r="L53" s="266">
        <v>14.8</v>
      </c>
      <c r="M53" s="340">
        <f t="shared" ref="M53:M57" si="5">L53*J53</f>
        <v>1817.7359999999996</v>
      </c>
      <c r="N53" s="279"/>
      <c r="O53" s="789" t="s">
        <v>361</v>
      </c>
      <c r="P53" s="79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</row>
    <row r="54" spans="1:36" s="136" customFormat="1" ht="50.1" customHeight="1">
      <c r="A54" s="784"/>
      <c r="B54" s="787"/>
      <c r="C54" s="265">
        <v>2</v>
      </c>
      <c r="D54" s="246" t="s">
        <v>219</v>
      </c>
      <c r="E54" s="247"/>
      <c r="F54" s="248"/>
      <c r="G54" s="248" t="s">
        <v>370</v>
      </c>
      <c r="H54" s="247"/>
      <c r="I54" s="248"/>
      <c r="J54" s="266">
        <v>13.950000000000001</v>
      </c>
      <c r="K54" s="267">
        <v>6.8454875663593179E-3</v>
      </c>
      <c r="L54" s="266">
        <v>98</v>
      </c>
      <c r="M54" s="340">
        <f t="shared" si="5"/>
        <v>1367.1000000000001</v>
      </c>
      <c r="N54" s="279"/>
      <c r="O54" s="742" t="s">
        <v>371</v>
      </c>
      <c r="P54" s="743"/>
      <c r="R54" s="240"/>
      <c r="S54" s="240"/>
      <c r="T54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</row>
    <row r="55" spans="1:36" s="136" customFormat="1" ht="20.100000000000001" customHeight="1">
      <c r="A55" s="784"/>
      <c r="B55" s="787"/>
      <c r="C55" s="265">
        <v>3</v>
      </c>
      <c r="D55" s="246"/>
      <c r="E55" s="247"/>
      <c r="F55" s="248"/>
      <c r="G55" s="323"/>
      <c r="H55" s="324"/>
      <c r="I55" s="325"/>
      <c r="J55" s="266"/>
      <c r="K55" s="267"/>
      <c r="L55" s="266"/>
      <c r="M55" s="340">
        <f t="shared" si="5"/>
        <v>0</v>
      </c>
      <c r="N55" s="279"/>
      <c r="O55" s="742"/>
      <c r="P55" s="743"/>
      <c r="R55" s="240"/>
      <c r="S55" s="240"/>
      <c r="T55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</row>
    <row r="56" spans="1:36" s="136" customFormat="1" ht="20.100000000000001" customHeight="1">
      <c r="A56" s="784"/>
      <c r="B56" s="787"/>
      <c r="C56" s="265">
        <v>4</v>
      </c>
      <c r="D56" s="246"/>
      <c r="E56" s="247"/>
      <c r="F56" s="248"/>
      <c r="G56" s="323"/>
      <c r="H56" s="324"/>
      <c r="I56" s="325"/>
      <c r="J56" s="278"/>
      <c r="K56" s="267"/>
      <c r="L56" s="266"/>
      <c r="M56" s="340">
        <f t="shared" si="5"/>
        <v>0</v>
      </c>
      <c r="N56" s="279"/>
      <c r="O56" s="742"/>
      <c r="P56" s="743"/>
      <c r="R56" s="240"/>
      <c r="S56" s="240"/>
      <c r="T56"/>
      <c r="U56" s="240"/>
      <c r="V56" s="240"/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0"/>
      <c r="AI56" s="240"/>
      <c r="AJ56" s="240"/>
    </row>
    <row r="57" spans="1:36" s="136" customFormat="1" ht="20.100000000000001" customHeight="1" thickBot="1">
      <c r="A57" s="784"/>
      <c r="B57" s="787"/>
      <c r="C57" s="271">
        <v>5</v>
      </c>
      <c r="D57" s="253"/>
      <c r="E57" s="254"/>
      <c r="F57" s="255"/>
      <c r="G57" s="420"/>
      <c r="H57" s="421"/>
      <c r="I57" s="422"/>
      <c r="J57" s="281"/>
      <c r="K57" s="273"/>
      <c r="L57" s="282"/>
      <c r="M57" s="340">
        <f t="shared" si="5"/>
        <v>0</v>
      </c>
      <c r="N57" s="279"/>
      <c r="O57" s="742"/>
      <c r="P57" s="743"/>
      <c r="R57" s="240"/>
      <c r="S57" s="240"/>
      <c r="T57"/>
      <c r="U57" s="240"/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</row>
    <row r="58" spans="1:36" s="136" customFormat="1" ht="15.75" customHeight="1" thickTop="1">
      <c r="A58" s="785"/>
      <c r="B58" s="788"/>
      <c r="C58" s="656"/>
      <c r="D58" s="657"/>
      <c r="E58" s="657"/>
      <c r="F58" s="657"/>
      <c r="G58" s="657"/>
      <c r="H58" s="657"/>
      <c r="I58" s="791"/>
      <c r="J58" s="283" t="s">
        <v>304</v>
      </c>
      <c r="K58" s="213">
        <f>M58/'生產管理報表 7-1 (週)'!$B$31</f>
        <v>5.1305232122951683E-2</v>
      </c>
      <c r="L58" s="283" t="s">
        <v>305</v>
      </c>
      <c r="M58" s="341">
        <f>SUM(M53:M57)</f>
        <v>3184.8359999999998</v>
      </c>
      <c r="N58" s="744"/>
      <c r="O58" s="745"/>
      <c r="P58" s="746"/>
      <c r="R58" s="240"/>
      <c r="S58" s="240"/>
      <c r="T58"/>
      <c r="U58" s="240"/>
      <c r="V58" s="240"/>
      <c r="W58" s="240"/>
      <c r="X58" s="240"/>
      <c r="Y58" s="240"/>
      <c r="Z58" s="240"/>
      <c r="AA58" s="240"/>
      <c r="AB58" s="240"/>
      <c r="AC58" s="240"/>
      <c r="AD58" s="240"/>
      <c r="AE58" s="240"/>
      <c r="AF58" s="240"/>
      <c r="AG58" s="240"/>
      <c r="AH58" s="240"/>
      <c r="AI58" s="240"/>
      <c r="AJ58" s="240"/>
    </row>
    <row r="59" spans="1:36" s="136" customFormat="1" ht="15.75" customHeight="1">
      <c r="A59" s="802" t="s">
        <v>372</v>
      </c>
      <c r="B59" s="802"/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R59" s="240"/>
      <c r="S59" s="240"/>
      <c r="T59" s="240"/>
      <c r="U59" s="240"/>
    </row>
    <row r="60" spans="1:36" s="137" customFormat="1" ht="15.75" customHeight="1">
      <c r="A60" s="737"/>
      <c r="B60" s="737"/>
      <c r="C60" s="737"/>
      <c r="D60" s="737"/>
      <c r="E60" s="737"/>
      <c r="F60" s="737"/>
      <c r="G60" s="737"/>
      <c r="H60" s="737"/>
      <c r="I60" s="737"/>
      <c r="J60" s="737"/>
      <c r="K60" s="737"/>
      <c r="L60" s="737"/>
      <c r="M60" s="737"/>
    </row>
    <row r="61" spans="1:36" s="136" customFormat="1" ht="15.75" customHeight="1">
      <c r="A61" s="738" t="s">
        <v>284</v>
      </c>
      <c r="B61" s="731">
        <v>1</v>
      </c>
      <c r="C61" s="732"/>
      <c r="D61" s="731">
        <v>2</v>
      </c>
      <c r="E61" s="732"/>
      <c r="F61" s="731">
        <v>3</v>
      </c>
      <c r="G61" s="732"/>
      <c r="H61" s="740">
        <v>4</v>
      </c>
      <c r="I61" s="741"/>
      <c r="J61" s="740">
        <v>5</v>
      </c>
      <c r="K61" s="741"/>
      <c r="L61" s="740">
        <v>6</v>
      </c>
      <c r="M61" s="741"/>
      <c r="N61" s="740">
        <v>7</v>
      </c>
      <c r="O61" s="741"/>
      <c r="P61" s="740">
        <v>8</v>
      </c>
      <c r="Q61" s="741"/>
      <c r="R61" s="240"/>
      <c r="S61" s="240"/>
      <c r="T61" s="240"/>
      <c r="U61" s="240"/>
    </row>
    <row r="62" spans="1:36" s="136" customFormat="1" ht="15.75" customHeight="1">
      <c r="A62" s="739"/>
      <c r="B62" s="733" t="s">
        <v>273</v>
      </c>
      <c r="C62" s="734"/>
      <c r="D62" s="733" t="s">
        <v>285</v>
      </c>
      <c r="E62" s="734"/>
      <c r="F62" s="733" t="s">
        <v>275</v>
      </c>
      <c r="G62" s="734"/>
      <c r="H62" s="735" t="s">
        <v>286</v>
      </c>
      <c r="I62" s="736"/>
      <c r="J62" s="735" t="s">
        <v>280</v>
      </c>
      <c r="K62" s="736"/>
      <c r="L62" s="735" t="s">
        <v>281</v>
      </c>
      <c r="M62" s="736"/>
      <c r="N62" s="735" t="s">
        <v>282</v>
      </c>
      <c r="O62" s="736"/>
      <c r="P62" s="800" t="s">
        <v>287</v>
      </c>
      <c r="Q62" s="801"/>
      <c r="R62" s="240"/>
      <c r="S62" s="240"/>
      <c r="T62" s="240"/>
      <c r="U62" s="240"/>
    </row>
    <row r="63" spans="1:36" s="136" customFormat="1" ht="15.75" customHeight="1">
      <c r="B63" s="241"/>
      <c r="C63" s="242"/>
      <c r="R63" s="240"/>
      <c r="S63" s="240"/>
      <c r="T63" s="240"/>
      <c r="U63" s="240"/>
    </row>
    <row r="64" spans="1:36" s="244" customFormat="1" ht="15.75" customHeight="1">
      <c r="A64" s="740" t="s">
        <v>284</v>
      </c>
      <c r="B64" s="741"/>
      <c r="C64" s="243" t="s">
        <v>238</v>
      </c>
      <c r="D64" s="792" t="s">
        <v>239</v>
      </c>
      <c r="E64" s="654"/>
      <c r="F64" s="782"/>
      <c r="G64" s="793" t="s">
        <v>288</v>
      </c>
      <c r="H64" s="794"/>
      <c r="I64" s="795"/>
      <c r="J64" s="243" t="s">
        <v>289</v>
      </c>
      <c r="K64" s="243" t="s">
        <v>23</v>
      </c>
      <c r="L64" s="243" t="s">
        <v>290</v>
      </c>
      <c r="M64" s="243" t="s">
        <v>277</v>
      </c>
      <c r="N64" s="243" t="s">
        <v>253</v>
      </c>
      <c r="O64" s="796" t="s">
        <v>244</v>
      </c>
      <c r="P64" s="797"/>
    </row>
    <row r="65" spans="1:75" s="136" customFormat="1" ht="50.1" customHeight="1">
      <c r="A65" s="783">
        <v>1</v>
      </c>
      <c r="B65" s="786" t="s">
        <v>291</v>
      </c>
      <c r="C65" s="245">
        <v>1</v>
      </c>
      <c r="D65" s="246" t="s">
        <v>298</v>
      </c>
      <c r="E65" s="247"/>
      <c r="F65" s="247"/>
      <c r="G65" s="423" t="s">
        <v>299</v>
      </c>
      <c r="H65" s="315"/>
      <c r="I65" s="316"/>
      <c r="J65" s="245">
        <v>152.75</v>
      </c>
      <c r="K65" s="251">
        <v>1.5528259441380822E-2</v>
      </c>
      <c r="L65" s="245">
        <v>15.600000000000001</v>
      </c>
      <c r="M65" s="337">
        <f>L65*J65</f>
        <v>2382.9</v>
      </c>
      <c r="N65" s="252"/>
      <c r="O65" s="722" t="s">
        <v>367</v>
      </c>
      <c r="P65" s="723"/>
      <c r="R65" s="240"/>
      <c r="S65" s="270"/>
      <c r="T65" s="270"/>
      <c r="U65" s="240"/>
    </row>
    <row r="66" spans="1:75" s="136" customFormat="1" ht="50.1" customHeight="1">
      <c r="A66" s="784"/>
      <c r="B66" s="787"/>
      <c r="C66" s="245">
        <v>2</v>
      </c>
      <c r="D66" s="246" t="s">
        <v>216</v>
      </c>
      <c r="E66" s="247"/>
      <c r="F66" s="247"/>
      <c r="G66" s="389" t="s">
        <v>373</v>
      </c>
      <c r="H66" s="315"/>
      <c r="I66" s="316"/>
      <c r="J66" s="245">
        <v>181.60999999999999</v>
      </c>
      <c r="K66" s="251">
        <v>2.255817464254135E-2</v>
      </c>
      <c r="L66" s="245">
        <v>10.459999999999999</v>
      </c>
      <c r="M66" s="337">
        <f t="shared" ref="M66:M69" si="6">L66*J66</f>
        <v>1899.6405999999997</v>
      </c>
      <c r="N66" s="252"/>
      <c r="O66" s="722" t="s">
        <v>374</v>
      </c>
      <c r="P66" s="723"/>
      <c r="R66" s="240"/>
      <c r="S66" s="211"/>
      <c r="T66" s="211"/>
      <c r="U66" s="240"/>
      <c r="V66" s="240"/>
      <c r="W66" s="240"/>
      <c r="X66" s="240"/>
      <c r="Y66" s="240"/>
      <c r="Z66" s="240"/>
      <c r="AA66" s="240"/>
      <c r="AB66" s="240"/>
      <c r="AC66" s="240"/>
      <c r="AD66" s="240"/>
      <c r="AE66" s="240"/>
      <c r="AF66" s="240"/>
      <c r="AG66" s="240"/>
      <c r="AH66" s="240"/>
      <c r="AI66" s="240"/>
      <c r="AJ66" s="240"/>
      <c r="AK66" s="240"/>
      <c r="AL66" s="240"/>
      <c r="AM66" s="240"/>
      <c r="AN66" s="240"/>
      <c r="AO66" s="240"/>
      <c r="AP66" s="240"/>
      <c r="AQ66" s="240"/>
      <c r="AR66" s="240"/>
      <c r="AS66" s="240"/>
      <c r="AT66" s="240"/>
      <c r="AU66" s="240"/>
      <c r="AV66" s="240"/>
      <c r="AW66" s="240"/>
      <c r="AX66" s="240"/>
      <c r="AY66" s="240"/>
      <c r="AZ66" s="240"/>
      <c r="BA66" s="240"/>
      <c r="BB66" s="240"/>
      <c r="BC66" s="240"/>
      <c r="BD66" s="240"/>
      <c r="BE66" s="240"/>
      <c r="BF66" s="240"/>
      <c r="BG66" s="240"/>
      <c r="BH66" s="240"/>
      <c r="BI66" s="240"/>
      <c r="BJ66" s="240"/>
      <c r="BK66" s="240"/>
      <c r="BL66" s="240"/>
      <c r="BM66" s="240"/>
      <c r="BN66" s="240"/>
      <c r="BO66" s="240"/>
      <c r="BP66" s="240"/>
      <c r="BQ66" s="240"/>
      <c r="BR66" s="240"/>
      <c r="BS66" s="240"/>
      <c r="BT66" s="240"/>
      <c r="BU66" s="240"/>
      <c r="BV66" s="240"/>
      <c r="BW66" s="240"/>
    </row>
    <row r="67" spans="1:75" s="136" customFormat="1" ht="50.1" customHeight="1">
      <c r="A67" s="784"/>
      <c r="B67" s="787"/>
      <c r="C67" s="245">
        <v>3</v>
      </c>
      <c r="D67" s="246" t="s">
        <v>219</v>
      </c>
      <c r="E67" s="247"/>
      <c r="F67" s="247"/>
      <c r="G67" s="389" t="s">
        <v>375</v>
      </c>
      <c r="H67" s="315"/>
      <c r="I67" s="316"/>
      <c r="J67" s="245">
        <v>94.570000000000007</v>
      </c>
      <c r="K67" s="251">
        <v>9.4810948924950404E-3</v>
      </c>
      <c r="L67" s="245">
        <v>17.440000000000001</v>
      </c>
      <c r="M67" s="337">
        <f t="shared" si="6"/>
        <v>1649.3008000000002</v>
      </c>
      <c r="N67" s="252"/>
      <c r="O67" s="799" t="s">
        <v>376</v>
      </c>
      <c r="P67" s="743"/>
      <c r="R67" s="240"/>
      <c r="S67" s="270"/>
      <c r="T67" s="270"/>
      <c r="U67" s="240"/>
      <c r="V67" s="240"/>
      <c r="W67" s="240"/>
      <c r="X67" s="240"/>
      <c r="Y67" s="240"/>
      <c r="Z67" s="240"/>
      <c r="AA67" s="240"/>
      <c r="AB67" s="240"/>
      <c r="AC67" s="240"/>
      <c r="AD67" s="240"/>
      <c r="AE67" s="240"/>
      <c r="AF67" s="240"/>
      <c r="AG67" s="240"/>
      <c r="AH67" s="240"/>
      <c r="AI67" s="240"/>
      <c r="AJ67" s="240"/>
      <c r="AK67" s="240"/>
      <c r="AL67" s="240"/>
      <c r="AM67" s="240"/>
      <c r="AN67" s="240"/>
      <c r="AO67" s="240"/>
      <c r="AP67" s="240"/>
      <c r="AQ67" s="240"/>
      <c r="AR67" s="240"/>
      <c r="AS67" s="240"/>
      <c r="AT67" s="240"/>
      <c r="AU67" s="240"/>
      <c r="AV67" s="240"/>
      <c r="AW67" s="240"/>
      <c r="AX67" s="240"/>
      <c r="AY67" s="240"/>
      <c r="AZ67" s="240"/>
      <c r="BA67" s="240"/>
      <c r="BB67" s="240"/>
      <c r="BC67" s="240"/>
      <c r="BD67" s="240"/>
      <c r="BE67" s="240"/>
      <c r="BF67" s="240"/>
      <c r="BG67" s="240"/>
      <c r="BH67" s="240"/>
      <c r="BI67" s="240"/>
      <c r="BJ67" s="240"/>
      <c r="BK67" s="240"/>
      <c r="BL67" s="240"/>
      <c r="BM67" s="240"/>
      <c r="BN67" s="240"/>
      <c r="BO67" s="240"/>
      <c r="BP67" s="240"/>
      <c r="BQ67" s="240"/>
      <c r="BR67" s="240"/>
      <c r="BS67" s="240"/>
      <c r="BT67" s="240"/>
      <c r="BU67" s="240"/>
      <c r="BV67" s="240"/>
      <c r="BW67" s="240"/>
    </row>
    <row r="68" spans="1:75" s="136" customFormat="1" ht="50.1" customHeight="1">
      <c r="A68" s="784"/>
      <c r="B68" s="787"/>
      <c r="C68" s="245">
        <v>4</v>
      </c>
      <c r="D68" s="246" t="s">
        <v>209</v>
      </c>
      <c r="E68" s="247"/>
      <c r="F68" s="247"/>
      <c r="G68" s="423" t="s">
        <v>294</v>
      </c>
      <c r="H68" s="315"/>
      <c r="I68" s="316"/>
      <c r="J68" s="245">
        <v>183.65000000000003</v>
      </c>
      <c r="K68" s="251">
        <v>2.4632236974163398E-2</v>
      </c>
      <c r="L68" s="245">
        <v>8.5900000000000016</v>
      </c>
      <c r="M68" s="337">
        <f t="shared" si="6"/>
        <v>1577.5535000000007</v>
      </c>
      <c r="N68" s="252"/>
      <c r="O68" s="799" t="s">
        <v>360</v>
      </c>
      <c r="P68" s="743"/>
      <c r="R68" s="240"/>
      <c r="S68" s="211"/>
      <c r="T68" s="211"/>
      <c r="U68" s="240"/>
      <c r="V68" s="240"/>
      <c r="W68" s="240"/>
      <c r="X68" s="240"/>
      <c r="Y68" s="240"/>
      <c r="Z68" s="240"/>
      <c r="AA68" s="240"/>
      <c r="AB68" s="240"/>
      <c r="AC68" s="240"/>
      <c r="AD68" s="240"/>
      <c r="AE68" s="240"/>
      <c r="AF68" s="240"/>
      <c r="AG68" s="240"/>
      <c r="AH68" s="240"/>
      <c r="AI68" s="240"/>
      <c r="AJ68" s="240"/>
      <c r="AK68" s="240"/>
      <c r="AL68" s="240"/>
      <c r="AM68" s="240"/>
      <c r="AN68" s="240"/>
      <c r="AO68" s="240"/>
      <c r="AP68" s="240"/>
      <c r="AQ68" s="240"/>
      <c r="AR68" s="240"/>
      <c r="AS68" s="240"/>
      <c r="AT68" s="240"/>
      <c r="AU68" s="240"/>
      <c r="AV68" s="240"/>
      <c r="AW68" s="240"/>
      <c r="AX68" s="240"/>
      <c r="AY68" s="240"/>
      <c r="AZ68" s="240"/>
      <c r="BA68" s="240"/>
      <c r="BB68" s="240"/>
      <c r="BC68" s="240"/>
      <c r="BD68" s="240"/>
      <c r="BE68" s="240"/>
      <c r="BF68" s="240"/>
      <c r="BG68" s="240"/>
      <c r="BH68" s="240"/>
      <c r="BI68" s="240"/>
      <c r="BJ68" s="240"/>
      <c r="BK68" s="240"/>
      <c r="BL68" s="240"/>
      <c r="BM68" s="240"/>
      <c r="BN68" s="240"/>
      <c r="BO68" s="240"/>
      <c r="BP68" s="240"/>
      <c r="BQ68" s="240"/>
      <c r="BR68" s="240"/>
      <c r="BS68" s="240"/>
      <c r="BT68" s="240"/>
      <c r="BU68" s="240"/>
      <c r="BV68" s="240"/>
      <c r="BW68" s="240"/>
    </row>
    <row r="69" spans="1:75" s="136" customFormat="1" ht="50.1" customHeight="1" thickBot="1">
      <c r="A69" s="784"/>
      <c r="B69" s="787"/>
      <c r="C69" s="245">
        <v>5</v>
      </c>
      <c r="D69" s="253" t="s">
        <v>209</v>
      </c>
      <c r="E69" s="254"/>
      <c r="F69" s="254"/>
      <c r="G69" s="389" t="s">
        <v>296</v>
      </c>
      <c r="H69" s="315"/>
      <c r="I69" s="316"/>
      <c r="J69" s="256">
        <v>253.92000000000002</v>
      </c>
      <c r="K69" s="257">
        <v>1.8709837753399374E-2</v>
      </c>
      <c r="L69" s="256">
        <v>5.2700000000000005</v>
      </c>
      <c r="M69" s="338">
        <f t="shared" si="6"/>
        <v>1338.1584000000003</v>
      </c>
      <c r="N69" s="252"/>
      <c r="O69" s="799" t="s">
        <v>359</v>
      </c>
      <c r="P69" s="743"/>
      <c r="R69" s="240"/>
      <c r="S69" s="270"/>
      <c r="T69" s="27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0"/>
      <c r="AM69" s="240"/>
      <c r="AN69" s="240"/>
      <c r="AO69" s="240"/>
      <c r="AP69" s="240"/>
      <c r="AQ69" s="240"/>
      <c r="AR69" s="240"/>
      <c r="AS69" s="240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  <c r="BH69" s="240"/>
      <c r="BI69" s="240"/>
      <c r="BJ69" s="240"/>
      <c r="BK69" s="240"/>
      <c r="BL69" s="240"/>
      <c r="BM69" s="240"/>
      <c r="BN69" s="240"/>
      <c r="BO69" s="240"/>
      <c r="BP69" s="240"/>
      <c r="BQ69" s="240"/>
      <c r="BR69" s="240"/>
      <c r="BS69" s="240"/>
      <c r="BT69" s="240"/>
      <c r="BU69" s="240"/>
      <c r="BV69" s="240"/>
      <c r="BW69" s="240"/>
    </row>
    <row r="70" spans="1:75" s="136" customFormat="1" ht="15.75" customHeight="1" thickTop="1">
      <c r="A70" s="785"/>
      <c r="B70" s="788"/>
      <c r="C70" s="656"/>
      <c r="D70" s="657"/>
      <c r="E70" s="657"/>
      <c r="F70" s="657"/>
      <c r="G70" s="657"/>
      <c r="H70" s="657"/>
      <c r="I70" s="791"/>
      <c r="J70" s="258" t="s">
        <v>304</v>
      </c>
      <c r="K70" s="213">
        <f>M70/'生產管理報表 7-1 (週)'!$B$42</f>
        <v>0.13562487595993725</v>
      </c>
      <c r="L70" s="258" t="s">
        <v>305</v>
      </c>
      <c r="M70" s="339">
        <f>SUM(M65:M69)</f>
        <v>8847.5533000000014</v>
      </c>
      <c r="N70" s="758"/>
      <c r="O70" s="759"/>
      <c r="P70" s="760"/>
      <c r="R70" s="240"/>
      <c r="S70" s="211"/>
      <c r="T70" s="211"/>
      <c r="U70" s="240"/>
      <c r="V70" s="240"/>
      <c r="W70" s="240"/>
      <c r="X70" s="240"/>
      <c r="Y70" s="240"/>
      <c r="Z70" s="240"/>
      <c r="AA70" s="240"/>
      <c r="AB70" s="240"/>
      <c r="AC70" s="240"/>
      <c r="AD70" s="240"/>
      <c r="AE70" s="240"/>
      <c r="AF70" s="240"/>
      <c r="AG70" s="240"/>
      <c r="AH70" s="240"/>
      <c r="AI70" s="240"/>
      <c r="AJ70" s="240"/>
      <c r="AK70" s="240"/>
      <c r="AL70" s="240"/>
      <c r="AM70" s="240"/>
      <c r="AN70" s="240"/>
      <c r="AO70" s="240"/>
      <c r="AP70" s="240"/>
      <c r="AQ70" s="240"/>
      <c r="AR70" s="240"/>
      <c r="AS70" s="240"/>
      <c r="AT70" s="240"/>
      <c r="AU70" s="240"/>
      <c r="AV70" s="240"/>
      <c r="AW70" s="240"/>
      <c r="AX70" s="240"/>
      <c r="AY70" s="240"/>
      <c r="AZ70" s="240"/>
      <c r="BA70" s="240"/>
      <c r="BB70" s="240"/>
      <c r="BC70" s="240"/>
      <c r="BD70" s="240"/>
      <c r="BE70" s="240"/>
      <c r="BF70" s="240"/>
      <c r="BG70" s="240"/>
      <c r="BH70" s="240"/>
      <c r="BI70" s="240"/>
      <c r="BJ70" s="240"/>
      <c r="BK70" s="240"/>
      <c r="BL70" s="240"/>
      <c r="BM70" s="240"/>
      <c r="BN70" s="240"/>
      <c r="BO70" s="240"/>
      <c r="BP70" s="240"/>
      <c r="BQ70" s="240"/>
      <c r="BR70" s="240"/>
      <c r="BS70" s="240"/>
      <c r="BT70" s="240"/>
      <c r="BU70" s="240"/>
      <c r="BV70" s="240"/>
      <c r="BW70" s="240"/>
    </row>
    <row r="71" spans="1:75" s="136" customFormat="1" ht="15.75" customHeight="1">
      <c r="B71" s="241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60"/>
      <c r="O71" s="260"/>
      <c r="P71" s="260"/>
      <c r="R71" s="240"/>
      <c r="S71" s="270"/>
      <c r="T71" s="27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240"/>
      <c r="AS71" s="240"/>
      <c r="AT71" s="240"/>
      <c r="AU71" s="240"/>
      <c r="AV71" s="240"/>
      <c r="AW71" s="240"/>
      <c r="AX71" s="240"/>
      <c r="AY71" s="240"/>
      <c r="AZ71" s="240"/>
      <c r="BA71" s="240"/>
      <c r="BB71" s="240"/>
      <c r="BC71" s="240"/>
      <c r="BD71" s="240"/>
      <c r="BE71" s="240"/>
      <c r="BF71" s="240"/>
      <c r="BG71" s="240"/>
      <c r="BH71" s="240"/>
      <c r="BI71" s="240"/>
      <c r="BJ71" s="240"/>
      <c r="BK71" s="240"/>
      <c r="BL71" s="240"/>
      <c r="BM71" s="240"/>
      <c r="BN71" s="240"/>
      <c r="BO71" s="240"/>
      <c r="BP71" s="240"/>
      <c r="BQ71" s="240"/>
      <c r="BR71" s="240"/>
      <c r="BS71" s="240"/>
      <c r="BT71" s="240"/>
      <c r="BU71" s="240"/>
      <c r="BV71" s="240"/>
      <c r="BW71" s="240"/>
    </row>
    <row r="72" spans="1:75" s="136" customFormat="1" ht="15.75" customHeight="1">
      <c r="A72" s="740" t="s">
        <v>284</v>
      </c>
      <c r="B72" s="741"/>
      <c r="C72" s="261" t="s">
        <v>238</v>
      </c>
      <c r="D72" s="653" t="s">
        <v>239</v>
      </c>
      <c r="E72" s="654"/>
      <c r="F72" s="655"/>
      <c r="G72" s="653" t="s">
        <v>288</v>
      </c>
      <c r="H72" s="654"/>
      <c r="I72" s="655"/>
      <c r="J72" s="263" t="s">
        <v>289</v>
      </c>
      <c r="K72" s="263" t="s">
        <v>23</v>
      </c>
      <c r="L72" s="263" t="s">
        <v>290</v>
      </c>
      <c r="M72" s="263" t="s">
        <v>277</v>
      </c>
      <c r="N72" s="264" t="s">
        <v>253</v>
      </c>
      <c r="O72" s="749" t="s">
        <v>244</v>
      </c>
      <c r="P72" s="750"/>
      <c r="R72" s="240"/>
      <c r="S72" s="211"/>
      <c r="T72" s="211"/>
      <c r="U72" s="240"/>
      <c r="V72" s="240"/>
      <c r="W72" s="240"/>
      <c r="X72" s="240"/>
      <c r="Y72" s="240"/>
      <c r="Z72" s="240"/>
      <c r="AA72" s="240"/>
      <c r="AB72" s="240"/>
      <c r="AC72" s="240"/>
      <c r="AD72" s="240"/>
      <c r="AE72" s="240"/>
      <c r="AF72" s="240"/>
      <c r="AG72" s="240"/>
      <c r="AH72" s="240"/>
      <c r="AI72" s="240"/>
      <c r="AJ72" s="240"/>
    </row>
    <row r="73" spans="1:75" s="136" customFormat="1" ht="20.100000000000001" customHeight="1">
      <c r="A73" s="783">
        <v>2</v>
      </c>
      <c r="B73" s="786" t="s">
        <v>306</v>
      </c>
      <c r="C73" s="265">
        <v>1</v>
      </c>
      <c r="D73" s="246"/>
      <c r="E73" s="247"/>
      <c r="F73" s="248"/>
      <c r="G73" s="246"/>
      <c r="H73" s="247"/>
      <c r="I73" s="248"/>
      <c r="J73" s="266"/>
      <c r="K73" s="267"/>
      <c r="L73" s="266"/>
      <c r="M73" s="268">
        <f t="shared" ref="M73:M77" si="7">L73*J73</f>
        <v>0</v>
      </c>
      <c r="N73" s="269"/>
      <c r="O73" s="751"/>
      <c r="P73" s="752"/>
      <c r="R73" s="240"/>
      <c r="S73" s="270"/>
      <c r="T73" s="27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  <c r="AI73" s="240"/>
      <c r="AJ73" s="240"/>
    </row>
    <row r="74" spans="1:75" s="136" customFormat="1" ht="20.100000000000001" customHeight="1">
      <c r="A74" s="784"/>
      <c r="B74" s="787"/>
      <c r="C74" s="265">
        <v>2</v>
      </c>
      <c r="D74" s="246"/>
      <c r="E74" s="247"/>
      <c r="F74" s="248"/>
      <c r="G74" s="246"/>
      <c r="H74" s="247"/>
      <c r="I74" s="248"/>
      <c r="J74" s="266"/>
      <c r="K74" s="267"/>
      <c r="L74" s="266"/>
      <c r="M74" s="268">
        <f t="shared" si="7"/>
        <v>0</v>
      </c>
      <c r="N74" s="269"/>
      <c r="O74" s="751"/>
      <c r="P74" s="752"/>
      <c r="R74" s="240"/>
      <c r="S74" s="211"/>
      <c r="T74" s="211"/>
      <c r="U74" s="240"/>
      <c r="V74" s="240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G74" s="240"/>
      <c r="AH74" s="240"/>
      <c r="AI74" s="240"/>
      <c r="AJ74" s="240"/>
    </row>
    <row r="75" spans="1:75" s="136" customFormat="1" ht="20.100000000000001" customHeight="1">
      <c r="A75" s="784"/>
      <c r="B75" s="787"/>
      <c r="C75" s="265">
        <v>3</v>
      </c>
      <c r="D75" s="246"/>
      <c r="E75" s="247"/>
      <c r="F75" s="248"/>
      <c r="G75" s="246"/>
      <c r="H75" s="247"/>
      <c r="I75" s="277"/>
      <c r="J75" s="266"/>
      <c r="K75" s="267"/>
      <c r="L75" s="266"/>
      <c r="M75" s="268">
        <f t="shared" si="7"/>
        <v>0</v>
      </c>
      <c r="N75" s="269"/>
      <c r="O75" s="751"/>
      <c r="P75" s="752"/>
      <c r="R75" s="240"/>
      <c r="S75" s="270"/>
      <c r="T75" s="270"/>
      <c r="U75" s="240"/>
      <c r="V75" s="240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</row>
    <row r="76" spans="1:75" s="136" customFormat="1" ht="20.100000000000001" customHeight="1">
      <c r="A76" s="784"/>
      <c r="B76" s="787"/>
      <c r="C76" s="265">
        <v>4</v>
      </c>
      <c r="D76" s="246"/>
      <c r="E76" s="247"/>
      <c r="F76" s="248"/>
      <c r="G76" s="246"/>
      <c r="H76" s="247"/>
      <c r="I76" s="248"/>
      <c r="J76" s="266"/>
      <c r="K76" s="267"/>
      <c r="L76" s="266"/>
      <c r="M76" s="268">
        <f t="shared" si="7"/>
        <v>0</v>
      </c>
      <c r="N76" s="269"/>
      <c r="O76" s="751"/>
      <c r="P76" s="752"/>
      <c r="R76" s="240"/>
      <c r="S76" s="211"/>
      <c r="T76" s="211"/>
      <c r="U76" s="240"/>
      <c r="V76" s="240"/>
      <c r="W76" s="240"/>
      <c r="X76" s="240"/>
      <c r="Y76" s="240"/>
      <c r="Z76" s="240"/>
      <c r="AA76" s="240"/>
      <c r="AB76" s="240"/>
      <c r="AC76" s="240"/>
      <c r="AD76" s="240"/>
      <c r="AE76" s="240"/>
      <c r="AF76" s="240"/>
      <c r="AG76" s="240"/>
      <c r="AH76" s="240"/>
    </row>
    <row r="77" spans="1:75" s="136" customFormat="1" ht="20.100000000000001" customHeight="1" thickBot="1">
      <c r="A77" s="784"/>
      <c r="B77" s="787"/>
      <c r="C77" s="271">
        <v>5</v>
      </c>
      <c r="D77" s="253"/>
      <c r="E77" s="254"/>
      <c r="F77" s="255"/>
      <c r="G77" s="246"/>
      <c r="H77" s="247"/>
      <c r="I77" s="248"/>
      <c r="J77" s="272"/>
      <c r="K77" s="273"/>
      <c r="L77" s="272"/>
      <c r="M77" s="274">
        <f t="shared" si="7"/>
        <v>0</v>
      </c>
      <c r="N77" s="275"/>
      <c r="O77" s="751"/>
      <c r="P77" s="752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  <c r="AD77" s="240"/>
      <c r="AE77" s="240"/>
      <c r="AF77" s="240"/>
      <c r="AG77" s="240"/>
      <c r="AH77" s="240"/>
    </row>
    <row r="78" spans="1:75" s="136" customFormat="1" ht="15.75" customHeight="1" thickTop="1">
      <c r="A78" s="785"/>
      <c r="B78" s="788"/>
      <c r="C78" s="656"/>
      <c r="D78" s="657"/>
      <c r="E78" s="657"/>
      <c r="F78" s="657"/>
      <c r="G78" s="657"/>
      <c r="H78" s="657"/>
      <c r="I78" s="791"/>
      <c r="J78" s="258" t="s">
        <v>304</v>
      </c>
      <c r="K78" s="213">
        <f>M78/'生產管理報表 7-1 (週)'!$B$42</f>
        <v>0</v>
      </c>
      <c r="L78" s="258" t="s">
        <v>305</v>
      </c>
      <c r="M78" s="259">
        <f>SUM(M73:M77)</f>
        <v>0</v>
      </c>
      <c r="N78" s="753"/>
      <c r="O78" s="754"/>
      <c r="P78" s="755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D78" s="240"/>
      <c r="AE78" s="240"/>
      <c r="AF78" s="240"/>
      <c r="AG78" s="240"/>
      <c r="AH78" s="240"/>
    </row>
    <row r="79" spans="1:75" s="136" customFormat="1" ht="15.75" customHeight="1">
      <c r="B79" s="241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76"/>
      <c r="O79" s="276"/>
      <c r="P79" s="276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40"/>
      <c r="AE79" s="240"/>
      <c r="AF79" s="240"/>
      <c r="AG79" s="240"/>
      <c r="AH79" s="240"/>
    </row>
    <row r="80" spans="1:75" s="136" customFormat="1" ht="15.75" customHeight="1">
      <c r="A80" s="740" t="s">
        <v>284</v>
      </c>
      <c r="B80" s="741"/>
      <c r="C80" s="261" t="s">
        <v>238</v>
      </c>
      <c r="D80" s="653" t="s">
        <v>239</v>
      </c>
      <c r="E80" s="654"/>
      <c r="F80" s="655"/>
      <c r="G80" s="653" t="s">
        <v>288</v>
      </c>
      <c r="H80" s="654"/>
      <c r="I80" s="782"/>
      <c r="J80" s="262" t="s">
        <v>289</v>
      </c>
      <c r="K80" s="263" t="s">
        <v>23</v>
      </c>
      <c r="L80" s="263" t="s">
        <v>290</v>
      </c>
      <c r="M80" s="263" t="s">
        <v>277</v>
      </c>
      <c r="N80" s="264" t="s">
        <v>253</v>
      </c>
      <c r="O80" s="747" t="s">
        <v>244</v>
      </c>
      <c r="P80" s="748"/>
      <c r="R80" s="240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  <c r="AD80" s="240"/>
      <c r="AE80" s="240"/>
      <c r="AF80" s="240"/>
      <c r="AG80" s="240"/>
      <c r="AH80" s="240"/>
      <c r="AI80" s="240"/>
      <c r="AJ80" s="240"/>
    </row>
    <row r="81" spans="1:75" s="136" customFormat="1" ht="50.1" customHeight="1">
      <c r="A81" s="783">
        <v>3</v>
      </c>
      <c r="B81" s="786" t="s">
        <v>307</v>
      </c>
      <c r="C81" s="265">
        <v>1</v>
      </c>
      <c r="D81" s="246" t="s">
        <v>308</v>
      </c>
      <c r="E81" s="247"/>
      <c r="F81" s="248"/>
      <c r="G81" s="316" t="s">
        <v>309</v>
      </c>
      <c r="H81" s="315"/>
      <c r="I81" s="316"/>
      <c r="J81" s="266">
        <v>122.81999999999996</v>
      </c>
      <c r="K81" s="267">
        <v>2.6936812447283884E-2</v>
      </c>
      <c r="L81" s="266">
        <v>15.01</v>
      </c>
      <c r="M81" s="340">
        <f t="shared" ref="M81:M85" si="8">L81*J81</f>
        <v>1843.5281999999995</v>
      </c>
      <c r="N81" s="279"/>
      <c r="O81" s="789" t="s">
        <v>361</v>
      </c>
      <c r="P81" s="790"/>
      <c r="R81" s="240"/>
      <c r="S81" s="240"/>
      <c r="T81" s="240"/>
      <c r="U81" s="240"/>
      <c r="V81" s="240"/>
      <c r="W81" s="240"/>
      <c r="X81" s="240"/>
      <c r="Y81" s="240"/>
      <c r="Z81" s="240"/>
      <c r="AA81" s="240"/>
      <c r="AB81" s="240"/>
      <c r="AC81" s="240"/>
      <c r="AD81" s="240"/>
      <c r="AE81" s="240"/>
      <c r="AF81" s="240"/>
      <c r="AG81" s="240"/>
      <c r="AH81" s="240"/>
      <c r="AI81" s="240"/>
      <c r="AJ81" s="240"/>
    </row>
    <row r="82" spans="1:75" s="136" customFormat="1" ht="20.100000000000001" customHeight="1">
      <c r="A82" s="784"/>
      <c r="B82" s="787"/>
      <c r="C82" s="265">
        <v>2</v>
      </c>
      <c r="D82" s="246"/>
      <c r="E82" s="247"/>
      <c r="F82" s="248"/>
      <c r="G82" s="423"/>
      <c r="H82" s="315"/>
      <c r="I82" s="316"/>
      <c r="J82" s="266"/>
      <c r="K82" s="267"/>
      <c r="L82" s="266"/>
      <c r="M82" s="340">
        <f t="shared" si="8"/>
        <v>0</v>
      </c>
      <c r="N82" s="279"/>
      <c r="O82" s="742"/>
      <c r="P82" s="743"/>
      <c r="R82" s="240"/>
      <c r="S82" s="240"/>
      <c r="T82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  <c r="AF82" s="240"/>
      <c r="AG82" s="240"/>
      <c r="AH82" s="240"/>
      <c r="AI82" s="240"/>
      <c r="AJ82" s="240"/>
    </row>
    <row r="83" spans="1:75" s="136" customFormat="1" ht="20.100000000000001" customHeight="1">
      <c r="A83" s="784"/>
      <c r="B83" s="787"/>
      <c r="C83" s="265">
        <v>3</v>
      </c>
      <c r="D83" s="246"/>
      <c r="E83" s="247"/>
      <c r="F83" s="248"/>
      <c r="G83" s="423"/>
      <c r="H83" s="315"/>
      <c r="I83" s="316"/>
      <c r="J83" s="266"/>
      <c r="K83" s="267"/>
      <c r="L83" s="266"/>
      <c r="M83" s="340">
        <f t="shared" si="8"/>
        <v>0</v>
      </c>
      <c r="N83" s="279"/>
      <c r="O83" s="742"/>
      <c r="P83" s="743"/>
      <c r="R83" s="240"/>
      <c r="S83" s="240"/>
      <c r="T83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240"/>
      <c r="AI83" s="240"/>
      <c r="AJ83" s="240"/>
    </row>
    <row r="84" spans="1:75" s="136" customFormat="1" ht="20.100000000000001" customHeight="1">
      <c r="A84" s="784"/>
      <c r="B84" s="787"/>
      <c r="C84" s="265">
        <v>4</v>
      </c>
      <c r="D84" s="246"/>
      <c r="E84" s="247"/>
      <c r="F84" s="248"/>
      <c r="G84" s="323"/>
      <c r="H84" s="324"/>
      <c r="I84" s="325"/>
      <c r="J84" s="278"/>
      <c r="K84" s="267"/>
      <c r="L84" s="266"/>
      <c r="M84" s="340">
        <f t="shared" si="8"/>
        <v>0</v>
      </c>
      <c r="N84" s="279"/>
      <c r="O84" s="742"/>
      <c r="P84" s="743"/>
      <c r="R84" s="240"/>
      <c r="S84" s="240"/>
      <c r="T84"/>
      <c r="U84" s="240"/>
      <c r="V84" s="240"/>
      <c r="W84" s="240"/>
      <c r="X84" s="240"/>
      <c r="Y84" s="240"/>
      <c r="Z84" s="240"/>
      <c r="AA84" s="240"/>
      <c r="AB84" s="240"/>
      <c r="AC84" s="240"/>
      <c r="AD84" s="240"/>
      <c r="AE84" s="240"/>
      <c r="AF84" s="240"/>
      <c r="AG84" s="240"/>
      <c r="AH84" s="240"/>
      <c r="AI84" s="240"/>
      <c r="AJ84" s="240"/>
    </row>
    <row r="85" spans="1:75" s="136" customFormat="1" ht="20.100000000000001" customHeight="1" thickBot="1">
      <c r="A85" s="784"/>
      <c r="B85" s="787"/>
      <c r="C85" s="271">
        <v>5</v>
      </c>
      <c r="D85" s="253"/>
      <c r="E85" s="254"/>
      <c r="F85" s="255"/>
      <c r="G85" s="420"/>
      <c r="H85" s="421"/>
      <c r="I85" s="422"/>
      <c r="J85" s="281"/>
      <c r="K85" s="273"/>
      <c r="L85" s="282"/>
      <c r="M85" s="340">
        <f t="shared" si="8"/>
        <v>0</v>
      </c>
      <c r="N85" s="279"/>
      <c r="O85" s="742"/>
      <c r="P85" s="743"/>
      <c r="R85" s="240"/>
      <c r="S85" s="240"/>
      <c r="T85"/>
      <c r="U85" s="240"/>
      <c r="V85" s="240"/>
      <c r="W85" s="240"/>
      <c r="X85" s="240"/>
      <c r="Y85" s="240"/>
      <c r="Z85" s="240"/>
      <c r="AA85" s="240"/>
      <c r="AB85" s="240"/>
      <c r="AC85" s="240"/>
      <c r="AD85" s="240"/>
      <c r="AE85" s="240"/>
      <c r="AF85" s="240"/>
      <c r="AG85" s="240"/>
      <c r="AH85" s="240"/>
      <c r="AI85" s="240"/>
      <c r="AJ85" s="240"/>
    </row>
    <row r="86" spans="1:75" s="136" customFormat="1" ht="15.75" customHeight="1" thickTop="1">
      <c r="A86" s="785"/>
      <c r="B86" s="788"/>
      <c r="C86" s="656"/>
      <c r="D86" s="657"/>
      <c r="E86" s="657"/>
      <c r="F86" s="657"/>
      <c r="G86" s="657"/>
      <c r="H86" s="657"/>
      <c r="I86" s="791"/>
      <c r="J86" s="283" t="s">
        <v>304</v>
      </c>
      <c r="K86" s="213">
        <f>M86/'生產管理報表 7-1 (週)'!$B$42</f>
        <v>2.8259596181652424E-2</v>
      </c>
      <c r="L86" s="283" t="s">
        <v>305</v>
      </c>
      <c r="M86" s="341">
        <f>SUM(M81:M85)</f>
        <v>1843.5281999999995</v>
      </c>
      <c r="N86" s="744"/>
      <c r="O86" s="745"/>
      <c r="P86" s="746"/>
      <c r="R86" s="240"/>
      <c r="S86" s="240"/>
      <c r="T86"/>
      <c r="U86" s="240"/>
      <c r="V86" s="240"/>
      <c r="W86" s="240"/>
      <c r="X86" s="240"/>
      <c r="Y86" s="240"/>
      <c r="Z86" s="240"/>
      <c r="AA86" s="240"/>
      <c r="AB86" s="240"/>
      <c r="AC86" s="240"/>
      <c r="AD86" s="240"/>
      <c r="AE86" s="240"/>
      <c r="AF86" s="240"/>
      <c r="AG86" s="240"/>
      <c r="AH86" s="240"/>
      <c r="AI86" s="240"/>
      <c r="AJ86" s="240"/>
    </row>
    <row r="87" spans="1:75" s="136" customFormat="1" ht="15.75" customHeight="1">
      <c r="A87" s="802" t="s">
        <v>377</v>
      </c>
      <c r="B87" s="802"/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R87" s="240"/>
      <c r="S87" s="240"/>
      <c r="T87" s="240"/>
      <c r="U87" s="240"/>
    </row>
    <row r="88" spans="1:75" s="137" customFormat="1" ht="15.75" customHeight="1">
      <c r="A88" s="737"/>
      <c r="B88" s="737"/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</row>
    <row r="89" spans="1:75" s="136" customFormat="1" ht="15.75" customHeight="1">
      <c r="A89" s="738" t="s">
        <v>284</v>
      </c>
      <c r="B89" s="731">
        <v>1</v>
      </c>
      <c r="C89" s="732"/>
      <c r="D89" s="731">
        <v>2</v>
      </c>
      <c r="E89" s="732"/>
      <c r="F89" s="731">
        <v>3</v>
      </c>
      <c r="G89" s="732"/>
      <c r="H89" s="740">
        <v>4</v>
      </c>
      <c r="I89" s="741"/>
      <c r="J89" s="740">
        <v>5</v>
      </c>
      <c r="K89" s="741"/>
      <c r="L89" s="740">
        <v>6</v>
      </c>
      <c r="M89" s="741"/>
      <c r="N89" s="740">
        <v>7</v>
      </c>
      <c r="O89" s="741"/>
      <c r="P89" s="740">
        <v>8</v>
      </c>
      <c r="Q89" s="741"/>
      <c r="R89" s="240"/>
      <c r="S89" s="240"/>
      <c r="T89" s="240"/>
      <c r="U89" s="240"/>
    </row>
    <row r="90" spans="1:75" s="136" customFormat="1" ht="15.75" customHeight="1">
      <c r="A90" s="739"/>
      <c r="B90" s="733" t="s">
        <v>273</v>
      </c>
      <c r="C90" s="734"/>
      <c r="D90" s="733" t="s">
        <v>285</v>
      </c>
      <c r="E90" s="734"/>
      <c r="F90" s="733" t="s">
        <v>275</v>
      </c>
      <c r="G90" s="734"/>
      <c r="H90" s="735" t="s">
        <v>286</v>
      </c>
      <c r="I90" s="736"/>
      <c r="J90" s="735" t="s">
        <v>280</v>
      </c>
      <c r="K90" s="736"/>
      <c r="L90" s="735" t="s">
        <v>281</v>
      </c>
      <c r="M90" s="736"/>
      <c r="N90" s="735" t="s">
        <v>282</v>
      </c>
      <c r="O90" s="736"/>
      <c r="P90" s="800" t="s">
        <v>287</v>
      </c>
      <c r="Q90" s="801"/>
      <c r="R90" s="240"/>
      <c r="S90" s="240"/>
      <c r="T90" s="240"/>
      <c r="U90" s="240"/>
    </row>
    <row r="91" spans="1:75" s="136" customFormat="1" ht="15.75" customHeight="1">
      <c r="B91" s="241"/>
      <c r="C91" s="242"/>
      <c r="R91" s="240"/>
      <c r="S91" s="240"/>
      <c r="T91" s="240"/>
      <c r="U91" s="240"/>
    </row>
    <row r="92" spans="1:75" s="244" customFormat="1" ht="15.75" customHeight="1">
      <c r="A92" s="740" t="s">
        <v>284</v>
      </c>
      <c r="B92" s="741"/>
      <c r="C92" s="243" t="s">
        <v>238</v>
      </c>
      <c r="D92" s="792" t="s">
        <v>239</v>
      </c>
      <c r="E92" s="654"/>
      <c r="F92" s="782"/>
      <c r="G92" s="793" t="s">
        <v>288</v>
      </c>
      <c r="H92" s="794"/>
      <c r="I92" s="795"/>
      <c r="J92" s="243" t="s">
        <v>289</v>
      </c>
      <c r="K92" s="243" t="s">
        <v>23</v>
      </c>
      <c r="L92" s="243" t="s">
        <v>290</v>
      </c>
      <c r="M92" s="243" t="s">
        <v>277</v>
      </c>
      <c r="N92" s="243" t="s">
        <v>253</v>
      </c>
      <c r="O92" s="796" t="s">
        <v>244</v>
      </c>
      <c r="P92" s="797"/>
    </row>
    <row r="93" spans="1:75" s="136" customFormat="1" ht="50.1" customHeight="1">
      <c r="A93" s="783">
        <v>1</v>
      </c>
      <c r="B93" s="786" t="s">
        <v>291</v>
      </c>
      <c r="C93" s="245">
        <v>1</v>
      </c>
      <c r="D93" s="246" t="s">
        <v>298</v>
      </c>
      <c r="E93" s="247"/>
      <c r="F93" s="247"/>
      <c r="G93" s="423" t="s">
        <v>299</v>
      </c>
      <c r="H93" s="315"/>
      <c r="I93" s="316"/>
      <c r="J93" s="245">
        <v>152.75</v>
      </c>
      <c r="K93" s="251">
        <v>1.9705211613833141E-2</v>
      </c>
      <c r="L93" s="245">
        <v>19.96</v>
      </c>
      <c r="M93" s="337">
        <f>L93*J93</f>
        <v>3048.8900000000003</v>
      </c>
      <c r="N93" s="252"/>
      <c r="O93" s="722" t="s">
        <v>378</v>
      </c>
      <c r="P93" s="723"/>
      <c r="R93" s="240"/>
      <c r="S93" s="270"/>
      <c r="T93" s="270"/>
      <c r="U93" s="240"/>
    </row>
    <row r="94" spans="1:75" s="136" customFormat="1" ht="50.1" customHeight="1">
      <c r="A94" s="784"/>
      <c r="B94" s="787"/>
      <c r="C94" s="245">
        <v>2</v>
      </c>
      <c r="D94" s="246" t="s">
        <v>209</v>
      </c>
      <c r="E94" s="247"/>
      <c r="F94" s="247"/>
      <c r="G94" s="423" t="s">
        <v>296</v>
      </c>
      <c r="H94" s="315"/>
      <c r="I94" s="316"/>
      <c r="J94" s="245">
        <v>253.92000000000002</v>
      </c>
      <c r="K94" s="251">
        <v>2.4526567383710243E-2</v>
      </c>
      <c r="L94" s="245">
        <v>6.67</v>
      </c>
      <c r="M94" s="337">
        <f t="shared" ref="M94:M97" si="9">L94*J94</f>
        <v>1693.6464000000001</v>
      </c>
      <c r="N94" s="252"/>
      <c r="O94" s="722" t="s">
        <v>359</v>
      </c>
      <c r="P94" s="723"/>
      <c r="R94" s="240"/>
      <c r="S94" s="211"/>
      <c r="T94" s="211"/>
      <c r="U94" s="240"/>
      <c r="V94" s="240"/>
      <c r="W94" s="240"/>
      <c r="X94" s="240"/>
      <c r="Y94" s="240"/>
      <c r="Z94" s="240"/>
      <c r="AA94" s="240"/>
      <c r="AB94" s="240"/>
      <c r="AC94" s="240"/>
      <c r="AD94" s="240"/>
      <c r="AE94" s="240"/>
      <c r="AF94" s="240"/>
      <c r="AG94" s="240"/>
      <c r="AH94" s="240"/>
      <c r="AI94" s="240"/>
      <c r="AJ94" s="240"/>
      <c r="AK94" s="240"/>
      <c r="AL94" s="240"/>
      <c r="AM94" s="240"/>
      <c r="AN94" s="240"/>
      <c r="AO94" s="240"/>
      <c r="AP94" s="240"/>
      <c r="AQ94" s="240"/>
      <c r="AR94" s="240"/>
      <c r="AS94" s="240"/>
      <c r="AT94" s="240"/>
      <c r="AU94" s="240"/>
      <c r="AV94" s="240"/>
      <c r="AW94" s="240"/>
      <c r="AX94" s="240"/>
      <c r="AY94" s="240"/>
      <c r="AZ94" s="240"/>
      <c r="BA94" s="240"/>
      <c r="BB94" s="240"/>
      <c r="BC94" s="240"/>
      <c r="BD94" s="240"/>
      <c r="BE94" s="240"/>
      <c r="BF94" s="240"/>
      <c r="BG94" s="240"/>
      <c r="BH94" s="240"/>
      <c r="BI94" s="240"/>
      <c r="BJ94" s="240"/>
      <c r="BK94" s="240"/>
      <c r="BL94" s="240"/>
      <c r="BM94" s="240"/>
      <c r="BN94" s="240"/>
      <c r="BO94" s="240"/>
      <c r="BP94" s="240"/>
      <c r="BQ94" s="240"/>
      <c r="BR94" s="240"/>
      <c r="BS94" s="240"/>
      <c r="BT94" s="240"/>
      <c r="BU94" s="240"/>
      <c r="BV94" s="240"/>
      <c r="BW94" s="240"/>
    </row>
    <row r="95" spans="1:75" s="136" customFormat="1" ht="50.1" customHeight="1">
      <c r="A95" s="784"/>
      <c r="B95" s="787"/>
      <c r="C95" s="245">
        <v>3</v>
      </c>
      <c r="D95" s="246" t="s">
        <v>198</v>
      </c>
      <c r="E95" s="247"/>
      <c r="F95" s="247"/>
      <c r="G95" s="423" t="s">
        <v>292</v>
      </c>
      <c r="H95" s="315"/>
      <c r="I95" s="316"/>
      <c r="J95" s="245">
        <v>141.66999999999999</v>
      </c>
      <c r="K95" s="251">
        <v>2.1100702153390737E-2</v>
      </c>
      <c r="L95" s="245">
        <v>11.690000000000001</v>
      </c>
      <c r="M95" s="337">
        <f t="shared" si="9"/>
        <v>1656.1223</v>
      </c>
      <c r="N95" s="252"/>
      <c r="O95" s="799" t="s">
        <v>378</v>
      </c>
      <c r="P95" s="743"/>
      <c r="R95" s="240"/>
      <c r="S95" s="270"/>
      <c r="T95" s="270"/>
      <c r="U95" s="240"/>
      <c r="V95" s="240"/>
      <c r="W95" s="240"/>
      <c r="X95" s="240"/>
      <c r="Y95" s="240"/>
      <c r="Z95" s="240"/>
      <c r="AA95" s="240"/>
      <c r="AB95" s="240"/>
      <c r="AC95" s="240"/>
      <c r="AD95" s="240"/>
      <c r="AE95" s="240"/>
      <c r="AF95" s="240"/>
      <c r="AG95" s="240"/>
      <c r="AH95" s="240"/>
      <c r="AI95" s="240"/>
      <c r="AJ95" s="240"/>
      <c r="AK95" s="240"/>
      <c r="AL95" s="240"/>
      <c r="AM95" s="240"/>
      <c r="AN95" s="240"/>
      <c r="AO95" s="240"/>
      <c r="AP95" s="240"/>
      <c r="AQ95" s="240"/>
      <c r="AR95" s="240"/>
      <c r="AS95" s="240"/>
      <c r="AT95" s="240"/>
      <c r="AU95" s="240"/>
      <c r="AV95" s="240"/>
      <c r="AW95" s="240"/>
      <c r="AX95" s="240"/>
      <c r="AY95" s="240"/>
      <c r="AZ95" s="240"/>
      <c r="BA95" s="240"/>
      <c r="BB95" s="240"/>
      <c r="BC95" s="240"/>
      <c r="BD95" s="240"/>
      <c r="BE95" s="240"/>
      <c r="BF95" s="240"/>
      <c r="BG95" s="240"/>
      <c r="BH95" s="240"/>
      <c r="BI95" s="240"/>
      <c r="BJ95" s="240"/>
      <c r="BK95" s="240"/>
      <c r="BL95" s="240"/>
      <c r="BM95" s="240"/>
      <c r="BN95" s="240"/>
      <c r="BO95" s="240"/>
      <c r="BP95" s="240"/>
      <c r="BQ95" s="240"/>
      <c r="BR95" s="240"/>
      <c r="BS95" s="240"/>
      <c r="BT95" s="240"/>
      <c r="BU95" s="240"/>
      <c r="BV95" s="240"/>
      <c r="BW95" s="240"/>
    </row>
    <row r="96" spans="1:75" s="136" customFormat="1" ht="50.1" customHeight="1">
      <c r="A96" s="784"/>
      <c r="B96" s="787"/>
      <c r="C96" s="245">
        <v>4</v>
      </c>
      <c r="D96" s="246" t="s">
        <v>215</v>
      </c>
      <c r="E96" s="247"/>
      <c r="F96" s="247"/>
      <c r="G96" s="423" t="s">
        <v>379</v>
      </c>
      <c r="H96" s="315"/>
      <c r="I96" s="316"/>
      <c r="J96" s="245">
        <v>1.1500000000000001</v>
      </c>
      <c r="K96" s="251">
        <v>3.0018092398644343E-2</v>
      </c>
      <c r="L96" s="245">
        <v>1178</v>
      </c>
      <c r="M96" s="337">
        <f t="shared" si="9"/>
        <v>1354.7</v>
      </c>
      <c r="N96" s="252"/>
      <c r="O96" s="799" t="s">
        <v>380</v>
      </c>
      <c r="P96" s="743"/>
      <c r="R96" s="240"/>
      <c r="S96" s="211"/>
      <c r="T96" s="211"/>
      <c r="U96" s="240"/>
      <c r="V96" s="240"/>
      <c r="W96" s="240"/>
      <c r="X96" s="240"/>
      <c r="Y96" s="240"/>
      <c r="Z96" s="240"/>
      <c r="AA96" s="240"/>
      <c r="AB96" s="240"/>
      <c r="AC96" s="240"/>
      <c r="AD96" s="240"/>
      <c r="AE96" s="240"/>
      <c r="AF96" s="240"/>
      <c r="AG96" s="240"/>
      <c r="AH96" s="240"/>
      <c r="AI96" s="240"/>
      <c r="AJ96" s="240"/>
      <c r="AK96" s="240"/>
      <c r="AL96" s="240"/>
      <c r="AM96" s="240"/>
      <c r="AN96" s="240"/>
      <c r="AO96" s="240"/>
      <c r="AP96" s="240"/>
      <c r="AQ96" s="240"/>
      <c r="AR96" s="240"/>
      <c r="AS96" s="240"/>
      <c r="AT96" s="240"/>
      <c r="AU96" s="240"/>
      <c r="AV96" s="240"/>
      <c r="AW96" s="240"/>
      <c r="AX96" s="240"/>
      <c r="AY96" s="240"/>
      <c r="AZ96" s="240"/>
      <c r="BA96" s="240"/>
      <c r="BB96" s="240"/>
      <c r="BC96" s="240"/>
      <c r="BD96" s="240"/>
      <c r="BE96" s="240"/>
      <c r="BF96" s="240"/>
      <c r="BG96" s="240"/>
      <c r="BH96" s="240"/>
      <c r="BI96" s="240"/>
      <c r="BJ96" s="240"/>
      <c r="BK96" s="240"/>
      <c r="BL96" s="240"/>
      <c r="BM96" s="240"/>
      <c r="BN96" s="240"/>
      <c r="BO96" s="240"/>
      <c r="BP96" s="240"/>
      <c r="BQ96" s="240"/>
      <c r="BR96" s="240"/>
      <c r="BS96" s="240"/>
      <c r="BT96" s="240"/>
      <c r="BU96" s="240"/>
      <c r="BV96" s="240"/>
      <c r="BW96" s="240"/>
    </row>
    <row r="97" spans="1:75" s="136" customFormat="1" ht="50.1" customHeight="1" thickBot="1">
      <c r="A97" s="784"/>
      <c r="B97" s="787"/>
      <c r="C97" s="245">
        <v>5</v>
      </c>
      <c r="D97" s="253" t="s">
        <v>217</v>
      </c>
      <c r="E97" s="254"/>
      <c r="F97" s="254"/>
      <c r="G97" s="423" t="s">
        <v>381</v>
      </c>
      <c r="H97" s="315"/>
      <c r="I97" s="316"/>
      <c r="J97" s="256">
        <v>142.19000000000003</v>
      </c>
      <c r="K97" s="257">
        <v>1.6860517536741507E-2</v>
      </c>
      <c r="L97" s="256">
        <v>9.3500000000000014</v>
      </c>
      <c r="M97" s="338">
        <f t="shared" si="9"/>
        <v>1329.4765000000004</v>
      </c>
      <c r="N97" s="252"/>
      <c r="O97" s="799" t="s">
        <v>361</v>
      </c>
      <c r="P97" s="743"/>
      <c r="R97" s="240"/>
      <c r="S97" s="270"/>
      <c r="T97" s="270"/>
      <c r="U97" s="240"/>
      <c r="V97" s="240"/>
      <c r="W97" s="240"/>
      <c r="X97" s="240"/>
      <c r="Y97" s="240"/>
      <c r="Z97" s="240"/>
      <c r="AA97" s="240"/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  <c r="AQ97" s="240"/>
      <c r="AR97" s="240"/>
      <c r="AS97" s="240"/>
      <c r="AT97" s="240"/>
      <c r="AU97" s="240"/>
      <c r="AV97" s="240"/>
      <c r="AW97" s="240"/>
      <c r="AX97" s="240"/>
      <c r="AY97" s="240"/>
      <c r="AZ97" s="240"/>
      <c r="BA97" s="240"/>
      <c r="BB97" s="240"/>
      <c r="BC97" s="240"/>
      <c r="BD97" s="240"/>
      <c r="BE97" s="240"/>
      <c r="BF97" s="240"/>
      <c r="BG97" s="240"/>
      <c r="BH97" s="240"/>
      <c r="BI97" s="240"/>
      <c r="BJ97" s="240"/>
      <c r="BK97" s="240"/>
      <c r="BL97" s="240"/>
      <c r="BM97" s="240"/>
      <c r="BN97" s="240"/>
      <c r="BO97" s="240"/>
      <c r="BP97" s="240"/>
      <c r="BQ97" s="240"/>
      <c r="BR97" s="240"/>
      <c r="BS97" s="240"/>
      <c r="BT97" s="240"/>
      <c r="BU97" s="240"/>
      <c r="BV97" s="240"/>
      <c r="BW97" s="240"/>
    </row>
    <row r="98" spans="1:75" s="136" customFormat="1" ht="15.75" customHeight="1" thickTop="1">
      <c r="A98" s="785"/>
      <c r="B98" s="788"/>
      <c r="C98" s="656"/>
      <c r="D98" s="657"/>
      <c r="E98" s="657"/>
      <c r="F98" s="657"/>
      <c r="G98" s="657"/>
      <c r="H98" s="657"/>
      <c r="I98" s="791"/>
      <c r="J98" s="258" t="s">
        <v>304</v>
      </c>
      <c r="K98" s="213">
        <f>M98/'生產管理報表 7-1 (週)'!$B$53</f>
        <v>0.12596877109852245</v>
      </c>
      <c r="L98" s="258" t="s">
        <v>305</v>
      </c>
      <c r="M98" s="339">
        <f>SUM(M93:M97)</f>
        <v>9082.8352000000014</v>
      </c>
      <c r="N98" s="758"/>
      <c r="O98" s="759"/>
      <c r="P98" s="760"/>
      <c r="R98" s="240"/>
      <c r="S98" s="211"/>
      <c r="T98" s="211"/>
      <c r="U98" s="240"/>
      <c r="V98" s="240"/>
      <c r="W98" s="240"/>
      <c r="X98" s="240"/>
      <c r="Y98" s="240"/>
      <c r="Z98" s="240"/>
      <c r="AA98" s="240"/>
      <c r="AB98" s="240"/>
      <c r="AC98" s="240"/>
      <c r="AD98" s="240"/>
      <c r="AE98" s="240"/>
      <c r="AF98" s="240"/>
      <c r="AG98" s="240"/>
      <c r="AH98" s="240"/>
      <c r="AI98" s="240"/>
      <c r="AJ98" s="240"/>
      <c r="AK98" s="240"/>
      <c r="AL98" s="240"/>
      <c r="AM98" s="240"/>
      <c r="AN98" s="240"/>
      <c r="AO98" s="240"/>
      <c r="AP98" s="240"/>
      <c r="AQ98" s="240"/>
      <c r="AR98" s="240"/>
      <c r="AS98" s="240"/>
      <c r="AT98" s="240"/>
      <c r="AU98" s="240"/>
      <c r="AV98" s="240"/>
      <c r="AW98" s="240"/>
      <c r="AX98" s="240"/>
      <c r="AY98" s="240"/>
      <c r="AZ98" s="240"/>
      <c r="BA98" s="240"/>
      <c r="BB98" s="240"/>
      <c r="BC98" s="240"/>
      <c r="BD98" s="240"/>
      <c r="BE98" s="240"/>
      <c r="BF98" s="240"/>
      <c r="BG98" s="240"/>
      <c r="BH98" s="240"/>
      <c r="BI98" s="240"/>
      <c r="BJ98" s="240"/>
      <c r="BK98" s="240"/>
      <c r="BL98" s="240"/>
      <c r="BM98" s="240"/>
      <c r="BN98" s="240"/>
      <c r="BO98" s="240"/>
      <c r="BP98" s="240"/>
      <c r="BQ98" s="240"/>
      <c r="BR98" s="240"/>
      <c r="BS98" s="240"/>
      <c r="BT98" s="240"/>
      <c r="BU98" s="240"/>
      <c r="BV98" s="240"/>
      <c r="BW98" s="240"/>
    </row>
    <row r="99" spans="1:75" s="136" customFormat="1" ht="15.75" customHeight="1">
      <c r="B99" s="241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60"/>
      <c r="O99" s="260"/>
      <c r="P99" s="260"/>
      <c r="R99" s="240"/>
      <c r="S99" s="270"/>
      <c r="T99" s="270"/>
      <c r="U99" s="240"/>
      <c r="V99" s="240"/>
      <c r="W99" s="240"/>
      <c r="X99" s="240"/>
      <c r="Y99" s="240"/>
      <c r="Z99" s="240"/>
      <c r="AA99" s="240"/>
      <c r="AB99" s="240"/>
      <c r="AC99" s="240"/>
      <c r="AD99" s="240"/>
      <c r="AE99" s="240"/>
      <c r="AF99" s="240"/>
      <c r="AG99" s="240"/>
      <c r="AH99" s="240"/>
      <c r="AI99" s="240"/>
      <c r="AJ99" s="240"/>
      <c r="AK99" s="240"/>
      <c r="AL99" s="240"/>
      <c r="AM99" s="240"/>
      <c r="AN99" s="240"/>
      <c r="AO99" s="240"/>
      <c r="AP99" s="240"/>
      <c r="AQ99" s="240"/>
      <c r="AR99" s="240"/>
      <c r="AS99" s="240"/>
      <c r="AT99" s="240"/>
      <c r="AU99" s="240"/>
      <c r="AV99" s="240"/>
      <c r="AW99" s="240"/>
      <c r="AX99" s="240"/>
      <c r="AY99" s="240"/>
      <c r="AZ99" s="240"/>
      <c r="BA99" s="240"/>
      <c r="BB99" s="240"/>
      <c r="BC99" s="240"/>
      <c r="BD99" s="240"/>
      <c r="BE99" s="240"/>
      <c r="BF99" s="240"/>
      <c r="BG99" s="240"/>
      <c r="BH99" s="240"/>
      <c r="BI99" s="240"/>
      <c r="BJ99" s="240"/>
      <c r="BK99" s="240"/>
      <c r="BL99" s="240"/>
      <c r="BM99" s="240"/>
      <c r="BN99" s="240"/>
      <c r="BO99" s="240"/>
      <c r="BP99" s="240"/>
      <c r="BQ99" s="240"/>
      <c r="BR99" s="240"/>
      <c r="BS99" s="240"/>
      <c r="BT99" s="240"/>
      <c r="BU99" s="240"/>
      <c r="BV99" s="240"/>
      <c r="BW99" s="240"/>
    </row>
    <row r="100" spans="1:75" s="136" customFormat="1" ht="15.75" customHeight="1">
      <c r="A100" s="740" t="s">
        <v>284</v>
      </c>
      <c r="B100" s="741"/>
      <c r="C100" s="261" t="s">
        <v>238</v>
      </c>
      <c r="D100" s="653" t="s">
        <v>239</v>
      </c>
      <c r="E100" s="654"/>
      <c r="F100" s="655"/>
      <c r="G100" s="653" t="s">
        <v>288</v>
      </c>
      <c r="H100" s="654"/>
      <c r="I100" s="655"/>
      <c r="J100" s="263" t="s">
        <v>289</v>
      </c>
      <c r="K100" s="263" t="s">
        <v>23</v>
      </c>
      <c r="L100" s="263" t="s">
        <v>290</v>
      </c>
      <c r="M100" s="263" t="s">
        <v>277</v>
      </c>
      <c r="N100" s="264" t="s">
        <v>253</v>
      </c>
      <c r="O100" s="749" t="s">
        <v>244</v>
      </c>
      <c r="P100" s="750"/>
      <c r="R100" s="240"/>
      <c r="S100" s="211"/>
      <c r="T100" s="211"/>
      <c r="U100" s="240"/>
      <c r="V100" s="240"/>
      <c r="W100" s="240"/>
      <c r="X100" s="240"/>
      <c r="Y100" s="240"/>
      <c r="Z100" s="240"/>
      <c r="AA100" s="240"/>
      <c r="AB100" s="240"/>
      <c r="AC100" s="240"/>
      <c r="AD100" s="240"/>
      <c r="AE100" s="240"/>
      <c r="AF100" s="240"/>
      <c r="AG100" s="240"/>
      <c r="AH100" s="240"/>
      <c r="AI100" s="240"/>
      <c r="AJ100" s="240"/>
    </row>
    <row r="101" spans="1:75" s="136" customFormat="1" ht="20.100000000000001" customHeight="1">
      <c r="A101" s="783">
        <v>2</v>
      </c>
      <c r="B101" s="786" t="s">
        <v>306</v>
      </c>
      <c r="C101" s="265">
        <v>1</v>
      </c>
      <c r="D101" s="246"/>
      <c r="E101" s="247"/>
      <c r="F101" s="248"/>
      <c r="G101" s="246"/>
      <c r="H101" s="247"/>
      <c r="I101" s="248"/>
      <c r="J101" s="266"/>
      <c r="K101" s="267"/>
      <c r="L101" s="266"/>
      <c r="M101" s="268">
        <f t="shared" ref="M101:M105" si="10">L101*J101</f>
        <v>0</v>
      </c>
      <c r="N101" s="269"/>
      <c r="O101" s="751"/>
      <c r="P101" s="752"/>
      <c r="R101" s="240"/>
      <c r="S101" s="270"/>
      <c r="T101" s="270"/>
      <c r="U101" s="240"/>
      <c r="V101" s="240"/>
      <c r="W101" s="240"/>
      <c r="X101" s="240"/>
      <c r="Y101" s="240"/>
      <c r="Z101" s="240"/>
      <c r="AA101" s="240"/>
      <c r="AB101" s="240"/>
      <c r="AC101" s="240"/>
      <c r="AD101" s="240"/>
      <c r="AE101" s="240"/>
      <c r="AF101" s="240"/>
      <c r="AG101" s="240"/>
      <c r="AH101" s="240"/>
      <c r="AI101" s="240"/>
      <c r="AJ101" s="240"/>
    </row>
    <row r="102" spans="1:75" s="136" customFormat="1" ht="20.100000000000001" customHeight="1">
      <c r="A102" s="784"/>
      <c r="B102" s="787"/>
      <c r="C102" s="265">
        <v>2</v>
      </c>
      <c r="D102" s="246"/>
      <c r="E102" s="247"/>
      <c r="F102" s="248"/>
      <c r="G102" s="246"/>
      <c r="H102" s="247"/>
      <c r="I102" s="248"/>
      <c r="J102" s="266"/>
      <c r="K102" s="267"/>
      <c r="L102" s="266"/>
      <c r="M102" s="268">
        <f t="shared" si="10"/>
        <v>0</v>
      </c>
      <c r="N102" s="269"/>
      <c r="O102" s="751"/>
      <c r="P102" s="752"/>
      <c r="R102" s="240"/>
      <c r="S102" s="211"/>
      <c r="T102" s="211"/>
      <c r="U102" s="240"/>
      <c r="V102" s="240"/>
      <c r="W102" s="240"/>
      <c r="X102" s="240"/>
      <c r="Y102" s="240"/>
      <c r="Z102" s="240"/>
      <c r="AA102" s="240"/>
      <c r="AB102" s="240"/>
      <c r="AC102" s="240"/>
      <c r="AD102" s="240"/>
      <c r="AE102" s="240"/>
      <c r="AF102" s="240"/>
      <c r="AG102" s="240"/>
      <c r="AH102" s="240"/>
      <c r="AI102" s="240"/>
      <c r="AJ102" s="240"/>
    </row>
    <row r="103" spans="1:75" s="136" customFormat="1" ht="20.100000000000001" customHeight="1">
      <c r="A103" s="784"/>
      <c r="B103" s="787"/>
      <c r="C103" s="265">
        <v>3</v>
      </c>
      <c r="D103" s="246"/>
      <c r="E103" s="247"/>
      <c r="F103" s="248"/>
      <c r="G103" s="246"/>
      <c r="H103" s="247"/>
      <c r="I103" s="277"/>
      <c r="J103" s="266"/>
      <c r="K103" s="267"/>
      <c r="L103" s="266"/>
      <c r="M103" s="268">
        <f t="shared" si="10"/>
        <v>0</v>
      </c>
      <c r="N103" s="269"/>
      <c r="O103" s="751"/>
      <c r="P103" s="752"/>
      <c r="R103" s="240"/>
      <c r="S103" s="270"/>
      <c r="T103" s="270"/>
      <c r="U103" s="240"/>
      <c r="V103" s="240"/>
      <c r="W103" s="240"/>
      <c r="X103" s="240"/>
      <c r="Y103" s="240"/>
      <c r="Z103" s="240"/>
      <c r="AA103" s="240"/>
      <c r="AB103" s="240"/>
      <c r="AC103" s="240"/>
      <c r="AD103" s="240"/>
      <c r="AE103" s="240"/>
      <c r="AF103" s="240"/>
      <c r="AG103" s="240"/>
      <c r="AH103" s="240"/>
    </row>
    <row r="104" spans="1:75" s="136" customFormat="1" ht="20.100000000000001" customHeight="1">
      <c r="A104" s="784"/>
      <c r="B104" s="787"/>
      <c r="C104" s="265">
        <v>4</v>
      </c>
      <c r="D104" s="246"/>
      <c r="E104" s="247"/>
      <c r="F104" s="248"/>
      <c r="G104" s="246"/>
      <c r="H104" s="247"/>
      <c r="I104" s="248"/>
      <c r="J104" s="266"/>
      <c r="K104" s="267"/>
      <c r="L104" s="266"/>
      <c r="M104" s="268">
        <f t="shared" si="10"/>
        <v>0</v>
      </c>
      <c r="N104" s="269"/>
      <c r="O104" s="751"/>
      <c r="P104" s="752"/>
      <c r="R104" s="240"/>
      <c r="S104" s="211"/>
      <c r="T104" s="211"/>
      <c r="U104" s="240"/>
      <c r="V104" s="240"/>
      <c r="W104" s="240"/>
      <c r="X104" s="240"/>
      <c r="Y104" s="240"/>
      <c r="Z104" s="240"/>
      <c r="AA104" s="240"/>
      <c r="AB104" s="240"/>
      <c r="AC104" s="240"/>
      <c r="AD104" s="240"/>
      <c r="AE104" s="240"/>
      <c r="AF104" s="240"/>
      <c r="AG104" s="240"/>
      <c r="AH104" s="240"/>
    </row>
    <row r="105" spans="1:75" s="136" customFormat="1" ht="20.100000000000001" customHeight="1" thickBot="1">
      <c r="A105" s="784"/>
      <c r="B105" s="787"/>
      <c r="C105" s="271">
        <v>5</v>
      </c>
      <c r="D105" s="253"/>
      <c r="E105" s="254"/>
      <c r="F105" s="255"/>
      <c r="G105" s="246"/>
      <c r="H105" s="247"/>
      <c r="I105" s="248"/>
      <c r="J105" s="272"/>
      <c r="K105" s="273"/>
      <c r="L105" s="272"/>
      <c r="M105" s="274">
        <f t="shared" si="10"/>
        <v>0</v>
      </c>
      <c r="N105" s="275"/>
      <c r="O105" s="751"/>
      <c r="P105" s="752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0"/>
      <c r="AB105" s="240"/>
      <c r="AC105" s="240"/>
      <c r="AD105" s="240"/>
      <c r="AE105" s="240"/>
      <c r="AF105" s="240"/>
      <c r="AG105" s="240"/>
      <c r="AH105" s="240"/>
    </row>
    <row r="106" spans="1:75" s="136" customFormat="1" ht="15.75" customHeight="1" thickTop="1">
      <c r="A106" s="785"/>
      <c r="B106" s="788"/>
      <c r="C106" s="656"/>
      <c r="D106" s="657"/>
      <c r="E106" s="657"/>
      <c r="F106" s="657"/>
      <c r="G106" s="657"/>
      <c r="H106" s="657"/>
      <c r="I106" s="791"/>
      <c r="J106" s="258" t="s">
        <v>304</v>
      </c>
      <c r="K106" s="213">
        <f>M106/'生產管理報表 7-1 (週)'!$B$53</f>
        <v>0</v>
      </c>
      <c r="L106" s="258" t="s">
        <v>305</v>
      </c>
      <c r="M106" s="259">
        <f>SUM(M101:M105)</f>
        <v>0</v>
      </c>
      <c r="N106" s="753"/>
      <c r="O106" s="754"/>
      <c r="P106" s="755"/>
      <c r="R106" s="240"/>
      <c r="S106" s="240"/>
      <c r="T106" s="240"/>
      <c r="U106" s="240"/>
      <c r="V106" s="240"/>
      <c r="W106" s="240"/>
      <c r="X106" s="240"/>
      <c r="Y106" s="240"/>
      <c r="Z106" s="240"/>
      <c r="AA106" s="240"/>
      <c r="AB106" s="240"/>
      <c r="AC106" s="240"/>
      <c r="AD106" s="240"/>
      <c r="AE106" s="240"/>
      <c r="AF106" s="240"/>
      <c r="AG106" s="240"/>
      <c r="AH106" s="240"/>
    </row>
    <row r="107" spans="1:75" s="136" customFormat="1" ht="15.75" customHeight="1">
      <c r="B107" s="241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76"/>
      <c r="O107" s="276"/>
      <c r="P107" s="276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  <c r="AB107" s="240"/>
      <c r="AC107" s="240"/>
      <c r="AD107" s="240"/>
      <c r="AE107" s="240"/>
      <c r="AF107" s="240"/>
      <c r="AG107" s="240"/>
      <c r="AH107" s="240"/>
    </row>
    <row r="108" spans="1:75" s="136" customFormat="1" ht="15.75" customHeight="1">
      <c r="A108" s="740" t="s">
        <v>284</v>
      </c>
      <c r="B108" s="741"/>
      <c r="C108" s="261" t="s">
        <v>238</v>
      </c>
      <c r="D108" s="653" t="s">
        <v>239</v>
      </c>
      <c r="E108" s="654"/>
      <c r="F108" s="655"/>
      <c r="G108" s="653" t="s">
        <v>288</v>
      </c>
      <c r="H108" s="654"/>
      <c r="I108" s="782"/>
      <c r="J108" s="262" t="s">
        <v>289</v>
      </c>
      <c r="K108" s="263" t="s">
        <v>23</v>
      </c>
      <c r="L108" s="263" t="s">
        <v>290</v>
      </c>
      <c r="M108" s="263" t="s">
        <v>277</v>
      </c>
      <c r="N108" s="264" t="s">
        <v>253</v>
      </c>
      <c r="O108" s="747" t="s">
        <v>244</v>
      </c>
      <c r="P108" s="748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0"/>
      <c r="AB108" s="240"/>
      <c r="AC108" s="240"/>
      <c r="AD108" s="240"/>
      <c r="AE108" s="240"/>
      <c r="AF108" s="240"/>
      <c r="AG108" s="240"/>
      <c r="AH108" s="240"/>
      <c r="AI108" s="240"/>
      <c r="AJ108" s="240"/>
    </row>
    <row r="109" spans="1:75" s="136" customFormat="1" ht="50.1" customHeight="1">
      <c r="A109" s="783">
        <v>3</v>
      </c>
      <c r="B109" s="786" t="s">
        <v>307</v>
      </c>
      <c r="C109" s="265">
        <v>1</v>
      </c>
      <c r="D109" s="246" t="s">
        <v>308</v>
      </c>
      <c r="E109" s="247"/>
      <c r="F109" s="248"/>
      <c r="G109" s="316" t="s">
        <v>309</v>
      </c>
      <c r="H109" s="315"/>
      <c r="I109" s="316"/>
      <c r="J109" s="266">
        <v>122.81999999999996</v>
      </c>
      <c r="K109" s="267">
        <v>2.7853137999638271E-2</v>
      </c>
      <c r="L109" s="266">
        <v>15.4</v>
      </c>
      <c r="M109" s="340">
        <f t="shared" ref="M109:M113" si="11">L109*J109</f>
        <v>1891.4279999999994</v>
      </c>
      <c r="N109" s="279"/>
      <c r="O109" s="789" t="s">
        <v>361</v>
      </c>
      <c r="P109" s="79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  <c r="AD109" s="240"/>
      <c r="AE109" s="240"/>
      <c r="AF109" s="240"/>
      <c r="AG109" s="240"/>
      <c r="AH109" s="240"/>
      <c r="AI109" s="240"/>
      <c r="AJ109" s="240"/>
    </row>
    <row r="110" spans="1:75" s="136" customFormat="1" ht="20.100000000000001" customHeight="1">
      <c r="A110" s="784"/>
      <c r="B110" s="787"/>
      <c r="C110" s="265">
        <v>2</v>
      </c>
      <c r="D110" s="246"/>
      <c r="E110" s="247"/>
      <c r="F110" s="248"/>
      <c r="G110" s="423"/>
      <c r="H110" s="315"/>
      <c r="I110" s="316"/>
      <c r="J110" s="266"/>
      <c r="K110" s="267"/>
      <c r="L110" s="266"/>
      <c r="M110" s="340">
        <f t="shared" si="11"/>
        <v>0</v>
      </c>
      <c r="N110" s="279"/>
      <c r="O110" s="742"/>
      <c r="P110" s="743"/>
      <c r="R110" s="240"/>
      <c r="S110" s="240"/>
      <c r="T110"/>
      <c r="U110" s="240"/>
      <c r="V110" s="240"/>
      <c r="W110" s="240"/>
      <c r="X110" s="240"/>
      <c r="Y110" s="240"/>
      <c r="Z110" s="240"/>
      <c r="AA110" s="240"/>
      <c r="AB110" s="240"/>
      <c r="AC110" s="240"/>
      <c r="AD110" s="240"/>
      <c r="AE110" s="240"/>
      <c r="AF110" s="240"/>
      <c r="AG110" s="240"/>
      <c r="AH110" s="240"/>
      <c r="AI110" s="240"/>
      <c r="AJ110" s="240"/>
    </row>
    <row r="111" spans="1:75" s="136" customFormat="1" ht="20.100000000000001" customHeight="1">
      <c r="A111" s="784"/>
      <c r="B111" s="787"/>
      <c r="C111" s="265">
        <v>3</v>
      </c>
      <c r="D111" s="246"/>
      <c r="E111" s="247"/>
      <c r="F111" s="248"/>
      <c r="G111" s="423"/>
      <c r="H111" s="315"/>
      <c r="I111" s="316"/>
      <c r="J111" s="266"/>
      <c r="K111" s="267"/>
      <c r="L111" s="266"/>
      <c r="M111" s="340">
        <f t="shared" si="11"/>
        <v>0</v>
      </c>
      <c r="N111" s="279"/>
      <c r="O111" s="742"/>
      <c r="P111" s="743"/>
      <c r="R111" s="240"/>
      <c r="S111" s="240"/>
      <c r="T111"/>
      <c r="U111" s="240"/>
      <c r="V111" s="240"/>
      <c r="W111" s="240"/>
      <c r="X111" s="240"/>
      <c r="Y111" s="240"/>
      <c r="Z111" s="240"/>
      <c r="AA111" s="240"/>
      <c r="AB111" s="240"/>
      <c r="AC111" s="240"/>
      <c r="AD111" s="240"/>
      <c r="AE111" s="240"/>
      <c r="AF111" s="240"/>
      <c r="AG111" s="240"/>
      <c r="AH111" s="240"/>
      <c r="AI111" s="240"/>
      <c r="AJ111" s="240"/>
    </row>
    <row r="112" spans="1:75" s="136" customFormat="1" ht="20.100000000000001" customHeight="1">
      <c r="A112" s="784"/>
      <c r="B112" s="787"/>
      <c r="C112" s="265">
        <v>4</v>
      </c>
      <c r="D112" s="246"/>
      <c r="E112" s="247"/>
      <c r="F112" s="248"/>
      <c r="G112" s="323"/>
      <c r="H112" s="324"/>
      <c r="I112" s="325"/>
      <c r="J112" s="278"/>
      <c r="K112" s="267"/>
      <c r="L112" s="266"/>
      <c r="M112" s="340">
        <f t="shared" si="11"/>
        <v>0</v>
      </c>
      <c r="N112" s="279"/>
      <c r="O112" s="742"/>
      <c r="P112" s="743"/>
      <c r="R112" s="240"/>
      <c r="S112" s="240"/>
      <c r="T112"/>
      <c r="U112" s="240"/>
      <c r="V112" s="240"/>
      <c r="W112" s="240"/>
      <c r="X112" s="240"/>
      <c r="Y112" s="240"/>
      <c r="Z112" s="240"/>
      <c r="AA112" s="240"/>
      <c r="AB112" s="240"/>
      <c r="AC112" s="240"/>
      <c r="AD112" s="240"/>
      <c r="AE112" s="240"/>
      <c r="AF112" s="240"/>
      <c r="AG112" s="240"/>
      <c r="AH112" s="240"/>
      <c r="AI112" s="240"/>
      <c r="AJ112" s="240"/>
    </row>
    <row r="113" spans="1:75" s="136" customFormat="1" ht="20.100000000000001" customHeight="1" thickBot="1">
      <c r="A113" s="784"/>
      <c r="B113" s="787"/>
      <c r="C113" s="271">
        <v>5</v>
      </c>
      <c r="D113" s="253"/>
      <c r="E113" s="254"/>
      <c r="F113" s="255"/>
      <c r="G113" s="420"/>
      <c r="H113" s="421"/>
      <c r="I113" s="422"/>
      <c r="J113" s="281"/>
      <c r="K113" s="273"/>
      <c r="L113" s="282"/>
      <c r="M113" s="340">
        <f t="shared" si="11"/>
        <v>0</v>
      </c>
      <c r="N113" s="279"/>
      <c r="O113" s="742"/>
      <c r="P113" s="743"/>
      <c r="R113" s="240"/>
      <c r="S113" s="240"/>
      <c r="T113"/>
      <c r="U113" s="240"/>
      <c r="V113" s="240"/>
      <c r="W113" s="240"/>
      <c r="X113" s="240"/>
      <c r="Y113" s="240"/>
      <c r="Z113" s="240"/>
      <c r="AA113" s="240"/>
      <c r="AB113" s="240"/>
      <c r="AC113" s="240"/>
      <c r="AD113" s="240"/>
      <c r="AE113" s="240"/>
      <c r="AF113" s="240"/>
      <c r="AG113" s="240"/>
      <c r="AH113" s="240"/>
      <c r="AI113" s="240"/>
      <c r="AJ113" s="240"/>
    </row>
    <row r="114" spans="1:75" s="136" customFormat="1" ht="15.75" customHeight="1" thickTop="1">
      <c r="A114" s="785"/>
      <c r="B114" s="788"/>
      <c r="C114" s="656"/>
      <c r="D114" s="657"/>
      <c r="E114" s="657"/>
      <c r="F114" s="657"/>
      <c r="G114" s="657"/>
      <c r="H114" s="657"/>
      <c r="I114" s="791"/>
      <c r="J114" s="283" t="s">
        <v>304</v>
      </c>
      <c r="K114" s="213">
        <f>M114/'生產管理報表 7-1 (週)'!$B$53</f>
        <v>2.6231992052584637E-2</v>
      </c>
      <c r="L114" s="283" t="s">
        <v>305</v>
      </c>
      <c r="M114" s="341">
        <f>SUM(M109:M113)</f>
        <v>1891.4279999999994</v>
      </c>
      <c r="N114" s="744"/>
      <c r="O114" s="745"/>
      <c r="P114" s="746"/>
      <c r="R114" s="240"/>
      <c r="S114" s="240"/>
      <c r="T114"/>
      <c r="U114" s="240"/>
      <c r="V114" s="240"/>
      <c r="W114" s="240"/>
      <c r="X114" s="240"/>
      <c r="Y114" s="240"/>
      <c r="Z114" s="240"/>
      <c r="AA114" s="240"/>
      <c r="AB114" s="240"/>
      <c r="AC114" s="240"/>
      <c r="AD114" s="240"/>
      <c r="AE114" s="240"/>
      <c r="AF114" s="240"/>
      <c r="AG114" s="240"/>
      <c r="AH114" s="240"/>
      <c r="AI114" s="240"/>
      <c r="AJ114" s="240"/>
    </row>
    <row r="115" spans="1:75" s="136" customFormat="1" ht="15.75" customHeight="1">
      <c r="A115" s="802" t="s">
        <v>382</v>
      </c>
      <c r="B115" s="802"/>
      <c r="C115" s="802"/>
      <c r="D115" s="802"/>
      <c r="E115" s="802"/>
      <c r="F115" s="802"/>
      <c r="G115" s="802"/>
      <c r="H115" s="802"/>
      <c r="I115" s="802"/>
      <c r="J115" s="802"/>
      <c r="K115" s="802"/>
      <c r="L115" s="802"/>
      <c r="M115" s="802"/>
      <c r="R115" s="240"/>
      <c r="S115" s="240"/>
      <c r="T115" s="240"/>
      <c r="U115" s="240"/>
    </row>
    <row r="116" spans="1:75" s="137" customFormat="1" ht="15.75" customHeight="1">
      <c r="A116" s="737"/>
      <c r="B116" s="737"/>
      <c r="C116" s="737"/>
      <c r="D116" s="737"/>
      <c r="E116" s="737"/>
      <c r="F116" s="737"/>
      <c r="G116" s="737"/>
      <c r="H116" s="737"/>
      <c r="I116" s="737"/>
      <c r="J116" s="737"/>
      <c r="K116" s="737"/>
      <c r="L116" s="737"/>
      <c r="M116" s="737"/>
    </row>
    <row r="117" spans="1:75" s="136" customFormat="1" ht="15.75" customHeight="1">
      <c r="A117" s="738" t="s">
        <v>284</v>
      </c>
      <c r="B117" s="731">
        <v>1</v>
      </c>
      <c r="C117" s="732"/>
      <c r="D117" s="731">
        <v>2</v>
      </c>
      <c r="E117" s="732"/>
      <c r="F117" s="731">
        <v>3</v>
      </c>
      <c r="G117" s="732"/>
      <c r="H117" s="740">
        <v>4</v>
      </c>
      <c r="I117" s="741"/>
      <c r="J117" s="740">
        <v>5</v>
      </c>
      <c r="K117" s="741"/>
      <c r="L117" s="740">
        <v>6</v>
      </c>
      <c r="M117" s="741"/>
      <c r="N117" s="740">
        <v>7</v>
      </c>
      <c r="O117" s="741"/>
      <c r="P117" s="740">
        <v>8</v>
      </c>
      <c r="Q117" s="741"/>
      <c r="R117" s="240"/>
      <c r="S117" s="240"/>
      <c r="T117" s="240"/>
      <c r="U117" s="240"/>
    </row>
    <row r="118" spans="1:75" s="136" customFormat="1" ht="15.75" customHeight="1">
      <c r="A118" s="739"/>
      <c r="B118" s="733" t="s">
        <v>273</v>
      </c>
      <c r="C118" s="734"/>
      <c r="D118" s="733" t="s">
        <v>285</v>
      </c>
      <c r="E118" s="734"/>
      <c r="F118" s="733" t="s">
        <v>275</v>
      </c>
      <c r="G118" s="734"/>
      <c r="H118" s="735" t="s">
        <v>286</v>
      </c>
      <c r="I118" s="736"/>
      <c r="J118" s="735" t="s">
        <v>280</v>
      </c>
      <c r="K118" s="736"/>
      <c r="L118" s="735" t="s">
        <v>281</v>
      </c>
      <c r="M118" s="736"/>
      <c r="N118" s="735" t="s">
        <v>282</v>
      </c>
      <c r="O118" s="736"/>
      <c r="P118" s="800" t="s">
        <v>287</v>
      </c>
      <c r="Q118" s="801"/>
      <c r="R118" s="240"/>
      <c r="S118" s="240"/>
      <c r="T118" s="240"/>
      <c r="U118" s="240"/>
    </row>
    <row r="119" spans="1:75" s="136" customFormat="1" ht="15.75" customHeight="1">
      <c r="B119" s="241"/>
      <c r="C119" s="242"/>
      <c r="R119" s="240"/>
      <c r="S119" s="240"/>
      <c r="T119" s="240"/>
      <c r="U119" s="240"/>
    </row>
    <row r="120" spans="1:75" s="244" customFormat="1" ht="15.75" customHeight="1">
      <c r="A120" s="740" t="s">
        <v>284</v>
      </c>
      <c r="B120" s="741"/>
      <c r="C120" s="243" t="s">
        <v>238</v>
      </c>
      <c r="D120" s="792" t="s">
        <v>239</v>
      </c>
      <c r="E120" s="654"/>
      <c r="F120" s="782"/>
      <c r="G120" s="793" t="s">
        <v>288</v>
      </c>
      <c r="H120" s="794"/>
      <c r="I120" s="795"/>
      <c r="J120" s="243" t="s">
        <v>289</v>
      </c>
      <c r="K120" s="243" t="s">
        <v>23</v>
      </c>
      <c r="L120" s="243" t="s">
        <v>290</v>
      </c>
      <c r="M120" s="243" t="s">
        <v>277</v>
      </c>
      <c r="N120" s="243" t="s">
        <v>253</v>
      </c>
      <c r="O120" s="796" t="s">
        <v>244</v>
      </c>
      <c r="P120" s="797"/>
    </row>
    <row r="121" spans="1:75" s="136" customFormat="1" ht="50.1" customHeight="1">
      <c r="A121" s="783">
        <v>1</v>
      </c>
      <c r="B121" s="786" t="s">
        <v>291</v>
      </c>
      <c r="C121" s="245">
        <v>1</v>
      </c>
      <c r="D121" s="246" t="s">
        <v>298</v>
      </c>
      <c r="E121" s="247"/>
      <c r="F121" s="247"/>
      <c r="G121" s="423" t="s">
        <v>299</v>
      </c>
      <c r="H121" s="315"/>
      <c r="I121" s="316"/>
      <c r="J121" s="245">
        <v>152.75</v>
      </c>
      <c r="K121" s="251">
        <v>1.9387973049067003E-2</v>
      </c>
      <c r="L121" s="245">
        <v>19.97</v>
      </c>
      <c r="M121" s="337">
        <f>L121*J121</f>
        <v>3050.4175</v>
      </c>
      <c r="N121" s="252"/>
      <c r="O121" s="722" t="s">
        <v>378</v>
      </c>
      <c r="P121" s="723"/>
      <c r="R121" s="240"/>
      <c r="S121" s="270"/>
      <c r="T121" s="270"/>
      <c r="U121" s="240"/>
    </row>
    <row r="122" spans="1:75" s="136" customFormat="1" ht="50.1" customHeight="1">
      <c r="A122" s="784"/>
      <c r="B122" s="787"/>
      <c r="C122" s="245">
        <v>2</v>
      </c>
      <c r="D122" s="246" t="s">
        <v>198</v>
      </c>
      <c r="E122" s="247"/>
      <c r="F122" s="247"/>
      <c r="G122" s="389" t="s">
        <v>292</v>
      </c>
      <c r="H122" s="315"/>
      <c r="I122" s="316"/>
      <c r="J122" s="245">
        <v>141.66999999999999</v>
      </c>
      <c r="K122" s="251">
        <v>1.754233759022765E-2</v>
      </c>
      <c r="L122" s="245">
        <v>10.11</v>
      </c>
      <c r="M122" s="337">
        <f t="shared" ref="M122:M125" si="12">L122*J122</f>
        <v>1432.2836999999997</v>
      </c>
      <c r="N122" s="252"/>
      <c r="O122" s="722" t="s">
        <v>378</v>
      </c>
      <c r="P122" s="723"/>
      <c r="R122" s="240"/>
      <c r="S122" s="211"/>
      <c r="T122" s="211"/>
      <c r="U122" s="240"/>
      <c r="V122" s="240"/>
      <c r="W122" s="240"/>
      <c r="X122" s="240"/>
      <c r="Y122" s="240"/>
      <c r="Z122" s="240"/>
      <c r="AA122" s="240"/>
      <c r="AB122" s="240"/>
      <c r="AC122" s="240"/>
      <c r="AD122" s="240"/>
      <c r="AE122" s="240"/>
      <c r="AF122" s="240"/>
      <c r="AG122" s="240"/>
      <c r="AH122" s="240"/>
      <c r="AI122" s="240"/>
      <c r="AJ122" s="240"/>
      <c r="AK122" s="240"/>
      <c r="AL122" s="240"/>
      <c r="AM122" s="240"/>
      <c r="AN122" s="240"/>
      <c r="AO122" s="240"/>
      <c r="AP122" s="240"/>
      <c r="AQ122" s="240"/>
      <c r="AR122" s="240"/>
      <c r="AS122" s="240"/>
      <c r="AT122" s="240"/>
      <c r="AU122" s="240"/>
      <c r="AV122" s="240"/>
      <c r="AW122" s="240"/>
      <c r="AX122" s="240"/>
      <c r="AY122" s="240"/>
      <c r="AZ122" s="240"/>
      <c r="BA122" s="240"/>
      <c r="BB122" s="240"/>
      <c r="BC122" s="240"/>
      <c r="BD122" s="240"/>
      <c r="BE122" s="240"/>
      <c r="BF122" s="240"/>
      <c r="BG122" s="240"/>
      <c r="BH122" s="240"/>
      <c r="BI122" s="240"/>
      <c r="BJ122" s="240"/>
      <c r="BK122" s="240"/>
      <c r="BL122" s="240"/>
      <c r="BM122" s="240"/>
      <c r="BN122" s="240"/>
      <c r="BO122" s="240"/>
      <c r="BP122" s="240"/>
      <c r="BQ122" s="240"/>
      <c r="BR122" s="240"/>
      <c r="BS122" s="240"/>
      <c r="BT122" s="240"/>
      <c r="BU122" s="240"/>
      <c r="BV122" s="240"/>
      <c r="BW122" s="240"/>
    </row>
    <row r="123" spans="1:75" s="136" customFormat="1" ht="50.1" customHeight="1">
      <c r="A123" s="784"/>
      <c r="B123" s="787"/>
      <c r="C123" s="245">
        <v>3</v>
      </c>
      <c r="D123" s="246" t="s">
        <v>216</v>
      </c>
      <c r="E123" s="247"/>
      <c r="F123" s="247"/>
      <c r="G123" s="389" t="s">
        <v>373</v>
      </c>
      <c r="H123" s="315"/>
      <c r="I123" s="316"/>
      <c r="J123" s="245">
        <v>181.60999999999999</v>
      </c>
      <c r="K123" s="251">
        <v>1.6080648123584271E-2</v>
      </c>
      <c r="L123" s="245">
        <v>7.88</v>
      </c>
      <c r="M123" s="337">
        <f t="shared" si="12"/>
        <v>1431.0867999999998</v>
      </c>
      <c r="N123" s="252"/>
      <c r="O123" s="799" t="s">
        <v>383</v>
      </c>
      <c r="P123" s="743"/>
      <c r="R123" s="240"/>
      <c r="S123" s="270"/>
      <c r="T123" s="27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240"/>
      <c r="AO123" s="240"/>
      <c r="AP123" s="240"/>
      <c r="AQ123" s="240"/>
      <c r="AR123" s="240"/>
      <c r="AS123" s="240"/>
      <c r="AT123" s="240"/>
      <c r="AU123" s="240"/>
      <c r="AV123" s="240"/>
      <c r="AW123" s="240"/>
      <c r="AX123" s="240"/>
      <c r="AY123" s="240"/>
      <c r="AZ123" s="240"/>
      <c r="BA123" s="240"/>
      <c r="BB123" s="240"/>
      <c r="BC123" s="240"/>
      <c r="BD123" s="240"/>
      <c r="BE123" s="240"/>
      <c r="BF123" s="240"/>
      <c r="BG123" s="240"/>
      <c r="BH123" s="240"/>
      <c r="BI123" s="240"/>
      <c r="BJ123" s="240"/>
      <c r="BK123" s="240"/>
      <c r="BL123" s="240"/>
      <c r="BM123" s="240"/>
      <c r="BN123" s="240"/>
      <c r="BO123" s="240"/>
      <c r="BP123" s="240"/>
      <c r="BQ123" s="240"/>
      <c r="BR123" s="240"/>
      <c r="BS123" s="240"/>
      <c r="BT123" s="240"/>
      <c r="BU123" s="240"/>
      <c r="BV123" s="240"/>
      <c r="BW123" s="240"/>
    </row>
    <row r="124" spans="1:75" s="136" customFormat="1" ht="50.1" customHeight="1">
      <c r="A124" s="784"/>
      <c r="B124" s="787"/>
      <c r="C124" s="245">
        <v>4</v>
      </c>
      <c r="D124" s="246" t="s">
        <v>209</v>
      </c>
      <c r="E124" s="247"/>
      <c r="F124" s="247"/>
      <c r="G124" s="389" t="s">
        <v>296</v>
      </c>
      <c r="H124" s="315"/>
      <c r="I124" s="316"/>
      <c r="J124" s="245">
        <v>253.92000000000002</v>
      </c>
      <c r="K124" s="251">
        <v>1.8677453394301796E-2</v>
      </c>
      <c r="L124" s="245">
        <v>5.3100000000000005</v>
      </c>
      <c r="M124" s="337">
        <f t="shared" si="12"/>
        <v>1348.3152000000002</v>
      </c>
      <c r="N124" s="252"/>
      <c r="O124" s="799" t="s">
        <v>384</v>
      </c>
      <c r="P124" s="743"/>
      <c r="R124" s="240"/>
      <c r="S124" s="211"/>
      <c r="T124" s="211"/>
      <c r="U124" s="240"/>
      <c r="V124" s="240"/>
      <c r="W124" s="240"/>
      <c r="X124" s="240"/>
      <c r="Y124" s="240"/>
      <c r="Z124" s="240"/>
      <c r="AA124" s="240"/>
      <c r="AB124" s="240"/>
      <c r="AC124" s="240"/>
      <c r="AD124" s="240"/>
      <c r="AE124" s="240"/>
      <c r="AF124" s="240"/>
      <c r="AG124" s="240"/>
      <c r="AH124" s="240"/>
      <c r="AI124" s="240"/>
      <c r="AJ124" s="240"/>
      <c r="AK124" s="240"/>
      <c r="AL124" s="240"/>
      <c r="AM124" s="240"/>
      <c r="AN124" s="240"/>
      <c r="AO124" s="240"/>
      <c r="AP124" s="240"/>
      <c r="AQ124" s="240"/>
      <c r="AR124" s="240"/>
      <c r="AS124" s="240"/>
      <c r="AT124" s="240"/>
      <c r="AU124" s="240"/>
      <c r="AV124" s="240"/>
      <c r="AW124" s="240"/>
      <c r="AX124" s="240"/>
      <c r="AY124" s="240"/>
      <c r="AZ124" s="240"/>
      <c r="BA124" s="240"/>
      <c r="BB124" s="240"/>
      <c r="BC124" s="240"/>
      <c r="BD124" s="240"/>
      <c r="BE124" s="240"/>
      <c r="BF124" s="240"/>
      <c r="BG124" s="240"/>
      <c r="BH124" s="240"/>
      <c r="BI124" s="240"/>
      <c r="BJ124" s="240"/>
      <c r="BK124" s="240"/>
      <c r="BL124" s="240"/>
      <c r="BM124" s="240"/>
      <c r="BN124" s="240"/>
      <c r="BO124" s="240"/>
      <c r="BP124" s="240"/>
      <c r="BQ124" s="240"/>
      <c r="BR124" s="240"/>
      <c r="BS124" s="240"/>
      <c r="BT124" s="240"/>
      <c r="BU124" s="240"/>
      <c r="BV124" s="240"/>
      <c r="BW124" s="240"/>
    </row>
    <row r="125" spans="1:75" s="136" customFormat="1" ht="50.1" customHeight="1" thickBot="1">
      <c r="A125" s="784"/>
      <c r="B125" s="787"/>
      <c r="C125" s="245">
        <v>5</v>
      </c>
      <c r="D125" s="253" t="s">
        <v>203</v>
      </c>
      <c r="E125" s="254"/>
      <c r="F125" s="254"/>
      <c r="G125" s="389" t="s">
        <v>385</v>
      </c>
      <c r="H125" s="315"/>
      <c r="I125" s="316"/>
      <c r="J125" s="256">
        <v>169.79</v>
      </c>
      <c r="K125" s="257">
        <v>4.1484464902186421E-2</v>
      </c>
      <c r="L125" s="256">
        <v>7.2099999999999991</v>
      </c>
      <c r="M125" s="338">
        <f t="shared" si="12"/>
        <v>1224.1858999999997</v>
      </c>
      <c r="N125" s="252"/>
      <c r="O125" s="799" t="s">
        <v>386</v>
      </c>
      <c r="P125" s="743"/>
      <c r="R125" s="240"/>
      <c r="S125" s="270"/>
      <c r="T125" s="270"/>
      <c r="U125" s="240"/>
      <c r="V125" s="240"/>
      <c r="W125" s="240"/>
      <c r="X125" s="240"/>
      <c r="Y125" s="240"/>
      <c r="Z125" s="240"/>
      <c r="AA125" s="240"/>
      <c r="AB125" s="240"/>
      <c r="AC125" s="240"/>
      <c r="AD125" s="240"/>
      <c r="AE125" s="240"/>
      <c r="AF125" s="240"/>
      <c r="AG125" s="240"/>
      <c r="AH125" s="240"/>
      <c r="AI125" s="240"/>
      <c r="AJ125" s="240"/>
      <c r="AK125" s="240"/>
      <c r="AL125" s="240"/>
      <c r="AM125" s="240"/>
      <c r="AN125" s="240"/>
      <c r="AO125" s="240"/>
      <c r="AP125" s="240"/>
      <c r="AQ125" s="240"/>
      <c r="AR125" s="240"/>
      <c r="AS125" s="240"/>
      <c r="AT125" s="240"/>
      <c r="AU125" s="240"/>
      <c r="AV125" s="240"/>
      <c r="AW125" s="240"/>
      <c r="AX125" s="240"/>
      <c r="AY125" s="240"/>
      <c r="AZ125" s="240"/>
      <c r="BA125" s="240"/>
      <c r="BB125" s="240"/>
      <c r="BC125" s="240"/>
      <c r="BD125" s="240"/>
      <c r="BE125" s="240"/>
      <c r="BF125" s="240"/>
      <c r="BG125" s="240"/>
      <c r="BH125" s="240"/>
      <c r="BI125" s="240"/>
      <c r="BJ125" s="240"/>
      <c r="BK125" s="240"/>
      <c r="BL125" s="240"/>
      <c r="BM125" s="240"/>
      <c r="BN125" s="240"/>
      <c r="BO125" s="240"/>
      <c r="BP125" s="240"/>
      <c r="BQ125" s="240"/>
      <c r="BR125" s="240"/>
      <c r="BS125" s="240"/>
      <c r="BT125" s="240"/>
      <c r="BU125" s="240"/>
      <c r="BV125" s="240"/>
      <c r="BW125" s="240"/>
    </row>
    <row r="126" spans="1:75" s="136" customFormat="1" ht="15.75" customHeight="1" thickTop="1">
      <c r="A126" s="785"/>
      <c r="B126" s="788"/>
      <c r="C126" s="656"/>
      <c r="D126" s="657"/>
      <c r="E126" s="657"/>
      <c r="F126" s="657"/>
      <c r="G126" s="657"/>
      <c r="H126" s="657"/>
      <c r="I126" s="791"/>
      <c r="J126" s="258" t="s">
        <v>304</v>
      </c>
      <c r="K126" s="213">
        <f>M126/'生產管理報表 7-1 (週)'!$B$9</f>
        <v>0.11089636261292911</v>
      </c>
      <c r="L126" s="258" t="s">
        <v>305</v>
      </c>
      <c r="M126" s="339">
        <f>SUM(M121:M125)</f>
        <v>8486.2891</v>
      </c>
      <c r="N126" s="758"/>
      <c r="O126" s="759"/>
      <c r="P126" s="760"/>
      <c r="R126" s="240"/>
      <c r="S126" s="211"/>
      <c r="T126" s="211"/>
      <c r="U126" s="240"/>
      <c r="V126" s="240"/>
      <c r="W126" s="240"/>
      <c r="X126" s="240"/>
      <c r="Y126" s="240"/>
      <c r="Z126" s="240"/>
      <c r="AA126" s="240"/>
      <c r="AB126" s="240"/>
      <c r="AC126" s="240"/>
      <c r="AD126" s="240"/>
      <c r="AE126" s="240"/>
      <c r="AF126" s="240"/>
      <c r="AG126" s="240"/>
      <c r="AH126" s="240"/>
      <c r="AI126" s="240"/>
      <c r="AJ126" s="240"/>
      <c r="AK126" s="240"/>
      <c r="AL126" s="240"/>
      <c r="AM126" s="240"/>
      <c r="AN126" s="240"/>
      <c r="AO126" s="240"/>
      <c r="AP126" s="240"/>
      <c r="AQ126" s="240"/>
      <c r="AR126" s="240"/>
      <c r="AS126" s="240"/>
      <c r="AT126" s="240"/>
      <c r="AU126" s="240"/>
      <c r="AV126" s="240"/>
      <c r="AW126" s="240"/>
      <c r="AX126" s="240"/>
      <c r="AY126" s="240"/>
      <c r="AZ126" s="240"/>
      <c r="BA126" s="240"/>
      <c r="BB126" s="240"/>
      <c r="BC126" s="240"/>
      <c r="BD126" s="240"/>
      <c r="BE126" s="240"/>
      <c r="BF126" s="240"/>
      <c r="BG126" s="240"/>
      <c r="BH126" s="240"/>
      <c r="BI126" s="240"/>
      <c r="BJ126" s="240"/>
      <c r="BK126" s="240"/>
      <c r="BL126" s="240"/>
      <c r="BM126" s="240"/>
      <c r="BN126" s="240"/>
      <c r="BO126" s="240"/>
      <c r="BP126" s="240"/>
      <c r="BQ126" s="240"/>
      <c r="BR126" s="240"/>
      <c r="BS126" s="240"/>
      <c r="BT126" s="240"/>
      <c r="BU126" s="240"/>
      <c r="BV126" s="240"/>
      <c r="BW126" s="240"/>
    </row>
    <row r="127" spans="1:75" s="136" customFormat="1" ht="15.75" customHeight="1">
      <c r="B127" s="241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60"/>
      <c r="O127" s="260"/>
      <c r="P127" s="260"/>
      <c r="R127" s="240"/>
      <c r="S127" s="270"/>
      <c r="T127" s="270"/>
      <c r="U127" s="240"/>
      <c r="V127" s="240"/>
      <c r="W127" s="240"/>
      <c r="X127" s="240"/>
      <c r="Y127" s="240"/>
      <c r="Z127" s="240"/>
      <c r="AA127" s="240"/>
      <c r="AB127" s="240"/>
      <c r="AC127" s="240"/>
      <c r="AD127" s="240"/>
      <c r="AE127" s="240"/>
      <c r="AF127" s="240"/>
      <c r="AG127" s="240"/>
      <c r="AH127" s="240"/>
      <c r="AI127" s="240"/>
      <c r="AJ127" s="240"/>
      <c r="AK127" s="240"/>
      <c r="AL127" s="240"/>
      <c r="AM127" s="240"/>
      <c r="AN127" s="240"/>
      <c r="AO127" s="240"/>
      <c r="AP127" s="240"/>
      <c r="AQ127" s="240"/>
      <c r="AR127" s="240"/>
      <c r="AS127" s="240"/>
      <c r="AT127" s="240"/>
      <c r="AU127" s="240"/>
      <c r="AV127" s="240"/>
      <c r="AW127" s="240"/>
      <c r="AX127" s="240"/>
      <c r="AY127" s="240"/>
      <c r="AZ127" s="240"/>
      <c r="BA127" s="240"/>
      <c r="BB127" s="240"/>
      <c r="BC127" s="240"/>
      <c r="BD127" s="240"/>
      <c r="BE127" s="240"/>
      <c r="BF127" s="240"/>
      <c r="BG127" s="240"/>
      <c r="BH127" s="240"/>
      <c r="BI127" s="240"/>
      <c r="BJ127" s="240"/>
      <c r="BK127" s="240"/>
      <c r="BL127" s="240"/>
      <c r="BM127" s="240"/>
      <c r="BN127" s="240"/>
      <c r="BO127" s="240"/>
      <c r="BP127" s="240"/>
      <c r="BQ127" s="240"/>
      <c r="BR127" s="240"/>
      <c r="BS127" s="240"/>
      <c r="BT127" s="240"/>
      <c r="BU127" s="240"/>
      <c r="BV127" s="240"/>
      <c r="BW127" s="240"/>
    </row>
    <row r="128" spans="1:75" s="136" customFormat="1" ht="15.75" customHeight="1">
      <c r="A128" s="740" t="s">
        <v>284</v>
      </c>
      <c r="B128" s="741"/>
      <c r="C128" s="261" t="s">
        <v>238</v>
      </c>
      <c r="D128" s="653" t="s">
        <v>239</v>
      </c>
      <c r="E128" s="654"/>
      <c r="F128" s="655"/>
      <c r="G128" s="653" t="s">
        <v>288</v>
      </c>
      <c r="H128" s="654"/>
      <c r="I128" s="655"/>
      <c r="J128" s="263" t="s">
        <v>289</v>
      </c>
      <c r="K128" s="263" t="s">
        <v>23</v>
      </c>
      <c r="L128" s="263" t="s">
        <v>290</v>
      </c>
      <c r="M128" s="263" t="s">
        <v>277</v>
      </c>
      <c r="N128" s="264" t="s">
        <v>253</v>
      </c>
      <c r="O128" s="749" t="s">
        <v>244</v>
      </c>
      <c r="P128" s="750"/>
      <c r="R128" s="240"/>
      <c r="S128" s="211"/>
      <c r="T128" s="211"/>
      <c r="U128" s="240"/>
      <c r="V128" s="240"/>
      <c r="W128" s="240"/>
      <c r="X128" s="240"/>
      <c r="Y128" s="240"/>
      <c r="Z128" s="240"/>
      <c r="AA128" s="240"/>
      <c r="AB128" s="240"/>
      <c r="AC128" s="240"/>
      <c r="AD128" s="240"/>
      <c r="AE128" s="240"/>
      <c r="AF128" s="240"/>
      <c r="AG128" s="240"/>
      <c r="AH128" s="240"/>
      <c r="AI128" s="240"/>
      <c r="AJ128" s="240"/>
    </row>
    <row r="129" spans="1:36" s="136" customFormat="1" ht="20.100000000000001" customHeight="1">
      <c r="A129" s="783">
        <v>2</v>
      </c>
      <c r="B129" s="786" t="s">
        <v>306</v>
      </c>
      <c r="C129" s="265">
        <v>1</v>
      </c>
      <c r="D129" s="246"/>
      <c r="E129" s="247"/>
      <c r="F129" s="248"/>
      <c r="G129" s="246"/>
      <c r="H129" s="247"/>
      <c r="I129" s="248"/>
      <c r="J129" s="266"/>
      <c r="K129" s="267"/>
      <c r="L129" s="266"/>
      <c r="M129" s="268">
        <f t="shared" ref="M129:M133" si="13">L129*J129</f>
        <v>0</v>
      </c>
      <c r="N129" s="269"/>
      <c r="O129" s="751"/>
      <c r="P129" s="752"/>
      <c r="R129" s="240"/>
      <c r="S129" s="270"/>
      <c r="T129" s="270"/>
      <c r="U129" s="240"/>
      <c r="V129" s="240"/>
      <c r="W129" s="240"/>
      <c r="X129" s="240"/>
      <c r="Y129" s="240"/>
      <c r="Z129" s="240"/>
      <c r="AA129" s="240"/>
      <c r="AB129" s="240"/>
      <c r="AC129" s="240"/>
      <c r="AD129" s="240"/>
      <c r="AE129" s="240"/>
      <c r="AF129" s="240"/>
      <c r="AG129" s="240"/>
      <c r="AH129" s="240"/>
      <c r="AI129" s="240"/>
      <c r="AJ129" s="240"/>
    </row>
    <row r="130" spans="1:36" s="136" customFormat="1" ht="20.100000000000001" customHeight="1">
      <c r="A130" s="784"/>
      <c r="B130" s="787"/>
      <c r="C130" s="265">
        <v>2</v>
      </c>
      <c r="D130" s="246"/>
      <c r="E130" s="247"/>
      <c r="F130" s="248"/>
      <c r="G130" s="246"/>
      <c r="H130" s="247"/>
      <c r="I130" s="248"/>
      <c r="J130" s="266"/>
      <c r="K130" s="267"/>
      <c r="L130" s="266"/>
      <c r="M130" s="268">
        <f t="shared" si="13"/>
        <v>0</v>
      </c>
      <c r="N130" s="269"/>
      <c r="O130" s="751"/>
      <c r="P130" s="752"/>
      <c r="R130" s="240"/>
      <c r="S130" s="211"/>
      <c r="T130" s="211"/>
      <c r="U130" s="240"/>
      <c r="V130" s="240"/>
      <c r="W130" s="240"/>
      <c r="X130" s="240"/>
      <c r="Y130" s="240"/>
      <c r="Z130" s="240"/>
      <c r="AA130" s="240"/>
      <c r="AB130" s="240"/>
      <c r="AC130" s="240"/>
      <c r="AD130" s="240"/>
      <c r="AE130" s="240"/>
      <c r="AF130" s="240"/>
      <c r="AG130" s="240"/>
      <c r="AH130" s="240"/>
      <c r="AI130" s="240"/>
      <c r="AJ130" s="240"/>
    </row>
    <row r="131" spans="1:36" s="136" customFormat="1" ht="20.100000000000001" customHeight="1">
      <c r="A131" s="784"/>
      <c r="B131" s="787"/>
      <c r="C131" s="265">
        <v>3</v>
      </c>
      <c r="D131" s="246"/>
      <c r="E131" s="247"/>
      <c r="F131" s="248"/>
      <c r="G131" s="246"/>
      <c r="H131" s="247"/>
      <c r="I131" s="277"/>
      <c r="J131" s="266"/>
      <c r="K131" s="267"/>
      <c r="L131" s="266"/>
      <c r="M131" s="268">
        <f t="shared" si="13"/>
        <v>0</v>
      </c>
      <c r="N131" s="269"/>
      <c r="O131" s="751"/>
      <c r="P131" s="752"/>
      <c r="R131" s="240"/>
      <c r="S131" s="270"/>
      <c r="T131" s="270"/>
      <c r="U131" s="240"/>
      <c r="V131" s="240"/>
      <c r="W131" s="240"/>
      <c r="X131" s="240"/>
      <c r="Y131" s="240"/>
      <c r="Z131" s="240"/>
      <c r="AA131" s="240"/>
      <c r="AB131" s="240"/>
      <c r="AC131" s="240"/>
      <c r="AD131" s="240"/>
      <c r="AE131" s="240"/>
      <c r="AF131" s="240"/>
      <c r="AG131" s="240"/>
      <c r="AH131" s="240"/>
    </row>
    <row r="132" spans="1:36" s="136" customFormat="1" ht="20.100000000000001" customHeight="1">
      <c r="A132" s="784"/>
      <c r="B132" s="787"/>
      <c r="C132" s="265">
        <v>4</v>
      </c>
      <c r="D132" s="246"/>
      <c r="E132" s="247"/>
      <c r="F132" s="248"/>
      <c r="G132" s="246"/>
      <c r="H132" s="247"/>
      <c r="I132" s="248"/>
      <c r="J132" s="266"/>
      <c r="K132" s="267"/>
      <c r="L132" s="266"/>
      <c r="M132" s="268">
        <f t="shared" si="13"/>
        <v>0</v>
      </c>
      <c r="N132" s="269"/>
      <c r="O132" s="751"/>
      <c r="P132" s="752"/>
      <c r="R132" s="240"/>
      <c r="S132" s="211"/>
      <c r="T132" s="211"/>
      <c r="U132" s="240"/>
      <c r="V132" s="240"/>
      <c r="W132" s="240"/>
      <c r="X132" s="240"/>
      <c r="Y132" s="240"/>
      <c r="Z132" s="240"/>
      <c r="AA132" s="240"/>
      <c r="AB132" s="240"/>
      <c r="AC132" s="240"/>
      <c r="AD132" s="240"/>
      <c r="AE132" s="240"/>
      <c r="AF132" s="240"/>
      <c r="AG132" s="240"/>
      <c r="AH132" s="240"/>
    </row>
    <row r="133" spans="1:36" s="136" customFormat="1" ht="20.100000000000001" customHeight="1" thickBot="1">
      <c r="A133" s="784"/>
      <c r="B133" s="787"/>
      <c r="C133" s="271">
        <v>5</v>
      </c>
      <c r="D133" s="253"/>
      <c r="E133" s="254"/>
      <c r="F133" s="255"/>
      <c r="G133" s="246"/>
      <c r="H133" s="247"/>
      <c r="I133" s="248"/>
      <c r="J133" s="272"/>
      <c r="K133" s="273"/>
      <c r="L133" s="272"/>
      <c r="M133" s="274">
        <f t="shared" si="13"/>
        <v>0</v>
      </c>
      <c r="N133" s="275"/>
      <c r="O133" s="751"/>
      <c r="P133" s="752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  <c r="AD133" s="240"/>
      <c r="AE133" s="240"/>
      <c r="AF133" s="240"/>
      <c r="AG133" s="240"/>
      <c r="AH133" s="240"/>
    </row>
    <row r="134" spans="1:36" s="136" customFormat="1" ht="15.75" customHeight="1" thickTop="1">
      <c r="A134" s="785"/>
      <c r="B134" s="788"/>
      <c r="C134" s="656"/>
      <c r="D134" s="657"/>
      <c r="E134" s="657"/>
      <c r="F134" s="657"/>
      <c r="G134" s="657"/>
      <c r="H134" s="657"/>
      <c r="I134" s="791"/>
      <c r="J134" s="258" t="s">
        <v>304</v>
      </c>
      <c r="K134" s="213">
        <f>M134/'生產管理報表 7-1 (週)'!$B$9</f>
        <v>0</v>
      </c>
      <c r="L134" s="258" t="s">
        <v>305</v>
      </c>
      <c r="M134" s="259">
        <f>SUM(M129:M133)</f>
        <v>0</v>
      </c>
      <c r="N134" s="753"/>
      <c r="O134" s="754"/>
      <c r="P134" s="755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  <c r="AB134" s="240"/>
      <c r="AC134" s="240"/>
      <c r="AD134" s="240"/>
      <c r="AE134" s="240"/>
      <c r="AF134" s="240"/>
      <c r="AG134" s="240"/>
      <c r="AH134" s="240"/>
    </row>
    <row r="135" spans="1:36" s="136" customFormat="1" ht="15.75" customHeight="1">
      <c r="B135" s="241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76"/>
      <c r="O135" s="276"/>
      <c r="P135" s="276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0"/>
      <c r="AB135" s="240"/>
      <c r="AC135" s="240"/>
      <c r="AD135" s="240"/>
      <c r="AE135" s="240"/>
      <c r="AF135" s="240"/>
      <c r="AG135" s="240"/>
      <c r="AH135" s="240"/>
    </row>
    <row r="136" spans="1:36" s="136" customFormat="1" ht="15.75" customHeight="1">
      <c r="A136" s="740" t="s">
        <v>284</v>
      </c>
      <c r="B136" s="741"/>
      <c r="C136" s="261" t="s">
        <v>238</v>
      </c>
      <c r="D136" s="653" t="s">
        <v>239</v>
      </c>
      <c r="E136" s="654"/>
      <c r="F136" s="655"/>
      <c r="G136" s="653" t="s">
        <v>288</v>
      </c>
      <c r="H136" s="654"/>
      <c r="I136" s="782"/>
      <c r="J136" s="262" t="s">
        <v>289</v>
      </c>
      <c r="K136" s="263" t="s">
        <v>23</v>
      </c>
      <c r="L136" s="263" t="s">
        <v>290</v>
      </c>
      <c r="M136" s="263" t="s">
        <v>277</v>
      </c>
      <c r="N136" s="264" t="s">
        <v>253</v>
      </c>
      <c r="O136" s="747" t="s">
        <v>244</v>
      </c>
      <c r="P136" s="748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0"/>
      <c r="AB136" s="240"/>
      <c r="AC136" s="240"/>
      <c r="AD136" s="240"/>
      <c r="AE136" s="240"/>
      <c r="AF136" s="240"/>
      <c r="AG136" s="240"/>
      <c r="AH136" s="240"/>
      <c r="AI136" s="240"/>
      <c r="AJ136" s="240"/>
    </row>
    <row r="137" spans="1:36" s="136" customFormat="1" ht="50.1" customHeight="1">
      <c r="A137" s="783">
        <v>3</v>
      </c>
      <c r="B137" s="786" t="s">
        <v>307</v>
      </c>
      <c r="C137" s="265">
        <v>1</v>
      </c>
      <c r="D137" s="246" t="s">
        <v>308</v>
      </c>
      <c r="E137" s="247"/>
      <c r="F137" s="248"/>
      <c r="G137" s="316" t="s">
        <v>309</v>
      </c>
      <c r="H137" s="315"/>
      <c r="I137" s="316"/>
      <c r="J137" s="266">
        <v>122.81999999999996</v>
      </c>
      <c r="K137" s="267">
        <v>2.3724339157317031E-2</v>
      </c>
      <c r="L137" s="266">
        <v>13.66</v>
      </c>
      <c r="M137" s="340">
        <f t="shared" ref="M137:M141" si="14">L137*J137</f>
        <v>1677.7211999999995</v>
      </c>
      <c r="N137" s="279"/>
      <c r="O137" s="789" t="s">
        <v>387</v>
      </c>
      <c r="P137" s="79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0"/>
      <c r="AB137" s="240"/>
      <c r="AC137" s="240"/>
      <c r="AD137" s="240"/>
      <c r="AE137" s="240"/>
      <c r="AF137" s="240"/>
      <c r="AG137" s="240"/>
      <c r="AH137" s="240"/>
      <c r="AI137" s="240"/>
      <c r="AJ137" s="240"/>
    </row>
    <row r="138" spans="1:36" s="136" customFormat="1" ht="20.100000000000001" customHeight="1">
      <c r="A138" s="784"/>
      <c r="B138" s="787"/>
      <c r="C138" s="265">
        <v>2</v>
      </c>
      <c r="D138" s="246"/>
      <c r="E138" s="247"/>
      <c r="F138" s="248"/>
      <c r="G138" s="423"/>
      <c r="H138" s="315"/>
      <c r="I138" s="316"/>
      <c r="J138" s="266"/>
      <c r="K138" s="267"/>
      <c r="L138" s="266"/>
      <c r="M138" s="340">
        <f t="shared" si="14"/>
        <v>0</v>
      </c>
      <c r="N138" s="279"/>
      <c r="O138" s="742"/>
      <c r="P138" s="743"/>
      <c r="R138" s="240"/>
      <c r="S138" s="240"/>
      <c r="T138"/>
      <c r="U138" s="240"/>
      <c r="V138" s="240"/>
      <c r="W138" s="240"/>
      <c r="X138" s="240"/>
      <c r="Y138" s="240"/>
      <c r="Z138" s="240"/>
      <c r="AA138" s="240"/>
      <c r="AB138" s="240"/>
      <c r="AC138" s="240"/>
      <c r="AD138" s="240"/>
      <c r="AE138" s="240"/>
      <c r="AF138" s="240"/>
      <c r="AG138" s="240"/>
      <c r="AH138" s="240"/>
      <c r="AI138" s="240"/>
      <c r="AJ138" s="240"/>
    </row>
    <row r="139" spans="1:36" s="136" customFormat="1" ht="20.100000000000001" customHeight="1">
      <c r="A139" s="784"/>
      <c r="B139" s="787"/>
      <c r="C139" s="265">
        <v>3</v>
      </c>
      <c r="D139" s="246"/>
      <c r="E139" s="247"/>
      <c r="F139" s="248"/>
      <c r="G139" s="423"/>
      <c r="H139" s="315"/>
      <c r="I139" s="316"/>
      <c r="J139" s="266"/>
      <c r="K139" s="267"/>
      <c r="L139" s="266"/>
      <c r="M139" s="340">
        <f t="shared" si="14"/>
        <v>0</v>
      </c>
      <c r="N139" s="279"/>
      <c r="O139" s="742"/>
      <c r="P139" s="743"/>
      <c r="R139" s="240"/>
      <c r="S139" s="240"/>
      <c r="T139"/>
      <c r="U139" s="240"/>
      <c r="V139" s="240"/>
      <c r="W139" s="240"/>
      <c r="X139" s="240"/>
      <c r="Y139" s="240"/>
      <c r="Z139" s="240"/>
      <c r="AA139" s="240"/>
      <c r="AB139" s="240"/>
      <c r="AC139" s="240"/>
      <c r="AD139" s="240"/>
      <c r="AE139" s="240"/>
      <c r="AF139" s="240"/>
      <c r="AG139" s="240"/>
      <c r="AH139" s="240"/>
      <c r="AI139" s="240"/>
      <c r="AJ139" s="240"/>
    </row>
    <row r="140" spans="1:36" s="136" customFormat="1" ht="20.100000000000001" customHeight="1">
      <c r="A140" s="784"/>
      <c r="B140" s="787"/>
      <c r="C140" s="265">
        <v>4</v>
      </c>
      <c r="D140" s="246"/>
      <c r="E140" s="247"/>
      <c r="F140" s="248"/>
      <c r="G140" s="323"/>
      <c r="H140" s="324"/>
      <c r="I140" s="325"/>
      <c r="J140" s="278"/>
      <c r="K140" s="267"/>
      <c r="L140" s="266"/>
      <c r="M140" s="340">
        <f t="shared" si="14"/>
        <v>0</v>
      </c>
      <c r="N140" s="279"/>
      <c r="O140" s="742"/>
      <c r="P140" s="743"/>
      <c r="R140" s="240"/>
      <c r="S140" s="240"/>
      <c r="T140"/>
      <c r="U140" s="240"/>
      <c r="V140" s="240"/>
      <c r="W140" s="240"/>
      <c r="X140" s="240"/>
      <c r="Y140" s="240"/>
      <c r="Z140" s="240"/>
      <c r="AA140" s="240"/>
      <c r="AB140" s="240"/>
      <c r="AC140" s="240"/>
      <c r="AD140" s="240"/>
      <c r="AE140" s="240"/>
      <c r="AF140" s="240"/>
      <c r="AG140" s="240"/>
      <c r="AH140" s="240"/>
      <c r="AI140" s="240"/>
      <c r="AJ140" s="240"/>
    </row>
    <row r="141" spans="1:36" s="136" customFormat="1" ht="20.100000000000001" customHeight="1" thickBot="1">
      <c r="A141" s="784"/>
      <c r="B141" s="787"/>
      <c r="C141" s="271">
        <v>5</v>
      </c>
      <c r="D141" s="253"/>
      <c r="E141" s="254"/>
      <c r="F141" s="255"/>
      <c r="G141" s="420"/>
      <c r="H141" s="421"/>
      <c r="I141" s="422"/>
      <c r="J141" s="281"/>
      <c r="K141" s="273"/>
      <c r="L141" s="282"/>
      <c r="M141" s="340">
        <f t="shared" si="14"/>
        <v>0</v>
      </c>
      <c r="N141" s="279"/>
      <c r="O141" s="742"/>
      <c r="P141" s="743"/>
      <c r="R141" s="240"/>
      <c r="S141" s="240"/>
      <c r="T141"/>
      <c r="U141" s="240"/>
      <c r="V141" s="240"/>
      <c r="W141" s="240"/>
      <c r="X141" s="240"/>
      <c r="Y141" s="240"/>
      <c r="Z141" s="240"/>
      <c r="AA141" s="240"/>
      <c r="AB141" s="240"/>
      <c r="AC141" s="240"/>
      <c r="AD141" s="240"/>
      <c r="AE141" s="240"/>
      <c r="AF141" s="240"/>
      <c r="AG141" s="240"/>
      <c r="AH141" s="240"/>
      <c r="AI141" s="240"/>
      <c r="AJ141" s="240"/>
    </row>
    <row r="142" spans="1:36" s="136" customFormat="1" ht="15.75" customHeight="1" thickTop="1">
      <c r="A142" s="785"/>
      <c r="B142" s="788"/>
      <c r="C142" s="656"/>
      <c r="D142" s="657"/>
      <c r="E142" s="657"/>
      <c r="F142" s="657"/>
      <c r="G142" s="657"/>
      <c r="H142" s="657"/>
      <c r="I142" s="791"/>
      <c r="J142" s="283" t="s">
        <v>304</v>
      </c>
      <c r="K142" s="213">
        <f>M142/'生產管理報表 7-1 (週)'!$B$9</f>
        <v>2.1923973643391256E-2</v>
      </c>
      <c r="L142" s="283" t="s">
        <v>305</v>
      </c>
      <c r="M142" s="341">
        <f>SUM(M137:M141)</f>
        <v>1677.7211999999995</v>
      </c>
      <c r="N142" s="744"/>
      <c r="O142" s="745"/>
      <c r="P142" s="746"/>
      <c r="R142" s="240"/>
      <c r="S142" s="240"/>
      <c r="T142"/>
      <c r="U142" s="240"/>
      <c r="V142" s="240"/>
      <c r="W142" s="240"/>
      <c r="X142" s="240"/>
      <c r="Y142" s="240"/>
      <c r="Z142" s="240"/>
      <c r="AA142" s="240"/>
      <c r="AB142" s="240"/>
      <c r="AC142" s="240"/>
      <c r="AD142" s="240"/>
      <c r="AE142" s="240"/>
      <c r="AF142" s="240"/>
      <c r="AG142" s="240"/>
      <c r="AH142" s="240"/>
      <c r="AI142" s="240"/>
      <c r="AJ142" s="240"/>
    </row>
    <row r="143" spans="1:36" s="136" customFormat="1" ht="15.75" customHeight="1">
      <c r="A143" s="802" t="s">
        <v>388</v>
      </c>
      <c r="B143" s="802"/>
      <c r="C143" s="802"/>
      <c r="D143" s="802"/>
      <c r="E143" s="802"/>
      <c r="F143" s="802"/>
      <c r="G143" s="802"/>
      <c r="H143" s="802"/>
      <c r="I143" s="802"/>
      <c r="J143" s="802"/>
      <c r="K143" s="802"/>
      <c r="L143" s="802"/>
      <c r="M143" s="802"/>
      <c r="R143" s="240"/>
      <c r="S143" s="240"/>
      <c r="T143" s="240"/>
      <c r="U143" s="240"/>
    </row>
    <row r="144" spans="1:36" s="137" customFormat="1" ht="15.75" customHeight="1">
      <c r="A144" s="737"/>
      <c r="B144" s="737"/>
      <c r="C144" s="737"/>
      <c r="D144" s="737"/>
      <c r="E144" s="737"/>
      <c r="F144" s="737"/>
      <c r="G144" s="737"/>
      <c r="H144" s="737"/>
      <c r="I144" s="737"/>
      <c r="J144" s="737"/>
      <c r="K144" s="737"/>
      <c r="L144" s="737"/>
      <c r="M144" s="737"/>
    </row>
    <row r="145" spans="1:75" s="136" customFormat="1" ht="15.75" customHeight="1">
      <c r="A145" s="738" t="s">
        <v>284</v>
      </c>
      <c r="B145" s="731">
        <v>1</v>
      </c>
      <c r="C145" s="732"/>
      <c r="D145" s="731">
        <v>2</v>
      </c>
      <c r="E145" s="732"/>
      <c r="F145" s="731">
        <v>3</v>
      </c>
      <c r="G145" s="732"/>
      <c r="H145" s="740">
        <v>4</v>
      </c>
      <c r="I145" s="741"/>
      <c r="J145" s="740">
        <v>5</v>
      </c>
      <c r="K145" s="741"/>
      <c r="L145" s="740">
        <v>6</v>
      </c>
      <c r="M145" s="741"/>
      <c r="N145" s="740">
        <v>7</v>
      </c>
      <c r="O145" s="741"/>
      <c r="P145" s="740">
        <v>8</v>
      </c>
      <c r="Q145" s="741"/>
      <c r="R145" s="240"/>
      <c r="S145" s="240"/>
      <c r="T145" s="240"/>
      <c r="U145" s="240"/>
    </row>
    <row r="146" spans="1:75" s="136" customFormat="1" ht="15.75" customHeight="1">
      <c r="A146" s="739"/>
      <c r="B146" s="733" t="s">
        <v>273</v>
      </c>
      <c r="C146" s="734"/>
      <c r="D146" s="733" t="s">
        <v>285</v>
      </c>
      <c r="E146" s="734"/>
      <c r="F146" s="733" t="s">
        <v>275</v>
      </c>
      <c r="G146" s="734"/>
      <c r="H146" s="735" t="s">
        <v>286</v>
      </c>
      <c r="I146" s="736"/>
      <c r="J146" s="735" t="s">
        <v>280</v>
      </c>
      <c r="K146" s="736"/>
      <c r="L146" s="735" t="s">
        <v>281</v>
      </c>
      <c r="M146" s="736"/>
      <c r="N146" s="735" t="s">
        <v>282</v>
      </c>
      <c r="O146" s="736"/>
      <c r="P146" s="800" t="s">
        <v>287</v>
      </c>
      <c r="Q146" s="801"/>
      <c r="R146" s="240"/>
      <c r="S146" s="240"/>
      <c r="T146" s="240"/>
      <c r="U146" s="240"/>
    </row>
    <row r="147" spans="1:75" s="136" customFormat="1" ht="15.75" customHeight="1">
      <c r="B147" s="241"/>
      <c r="C147" s="242"/>
      <c r="R147" s="240"/>
      <c r="S147" s="240"/>
      <c r="T147" s="240"/>
      <c r="U147" s="240"/>
    </row>
    <row r="148" spans="1:75" s="244" customFormat="1" ht="15.75" customHeight="1">
      <c r="A148" s="740" t="s">
        <v>284</v>
      </c>
      <c r="B148" s="741"/>
      <c r="C148" s="243" t="s">
        <v>238</v>
      </c>
      <c r="D148" s="792" t="s">
        <v>239</v>
      </c>
      <c r="E148" s="654"/>
      <c r="F148" s="782"/>
      <c r="G148" s="793" t="s">
        <v>288</v>
      </c>
      <c r="H148" s="794"/>
      <c r="I148" s="795"/>
      <c r="J148" s="243" t="s">
        <v>289</v>
      </c>
      <c r="K148" s="243" t="s">
        <v>23</v>
      </c>
      <c r="L148" s="243" t="s">
        <v>290</v>
      </c>
      <c r="M148" s="243" t="s">
        <v>277</v>
      </c>
      <c r="N148" s="243" t="s">
        <v>253</v>
      </c>
      <c r="O148" s="796" t="s">
        <v>244</v>
      </c>
      <c r="P148" s="797"/>
    </row>
    <row r="149" spans="1:75" s="136" customFormat="1" ht="50.1" customHeight="1">
      <c r="A149" s="783">
        <v>1</v>
      </c>
      <c r="B149" s="786" t="s">
        <v>291</v>
      </c>
      <c r="C149" s="245">
        <v>1</v>
      </c>
      <c r="D149" s="246" t="s">
        <v>298</v>
      </c>
      <c r="E149" s="247"/>
      <c r="F149" s="247"/>
      <c r="G149" s="423" t="s">
        <v>299</v>
      </c>
      <c r="H149" s="315"/>
      <c r="I149" s="316"/>
      <c r="J149" s="245">
        <v>152.75</v>
      </c>
      <c r="K149" s="251">
        <v>1.1081431585467354E-2</v>
      </c>
      <c r="L149" s="245">
        <v>11.45</v>
      </c>
      <c r="M149" s="337">
        <f>L149*J149</f>
        <v>1748.9875</v>
      </c>
      <c r="N149" s="252"/>
      <c r="O149" s="722" t="s">
        <v>378</v>
      </c>
      <c r="P149" s="723"/>
      <c r="R149" s="240"/>
      <c r="S149" s="270"/>
      <c r="T149" s="270"/>
      <c r="U149" s="240"/>
    </row>
    <row r="150" spans="1:75" s="136" customFormat="1" ht="50.1" customHeight="1">
      <c r="A150" s="784"/>
      <c r="B150" s="787"/>
      <c r="C150" s="245">
        <v>2</v>
      </c>
      <c r="D150" s="246" t="s">
        <v>198</v>
      </c>
      <c r="E150" s="247"/>
      <c r="F150" s="247"/>
      <c r="G150" s="423" t="s">
        <v>292</v>
      </c>
      <c r="H150" s="315"/>
      <c r="I150" s="316"/>
      <c r="J150" s="245">
        <v>141.66999999999999</v>
      </c>
      <c r="K150" s="251">
        <v>1.747339512530038E-2</v>
      </c>
      <c r="L150" s="245">
        <v>10.18</v>
      </c>
      <c r="M150" s="337">
        <f t="shared" ref="M150:M153" si="15">L150*J150</f>
        <v>1442.2005999999999</v>
      </c>
      <c r="N150" s="252"/>
      <c r="O150" s="722" t="s">
        <v>378</v>
      </c>
      <c r="P150" s="723"/>
      <c r="R150" s="240"/>
      <c r="S150" s="211"/>
      <c r="T150" s="211"/>
      <c r="U150" s="240"/>
      <c r="V150" s="240"/>
      <c r="W150" s="240"/>
      <c r="X150" s="240"/>
      <c r="Y150" s="240"/>
      <c r="Z150" s="240"/>
      <c r="AA150" s="240"/>
      <c r="AB150" s="240"/>
      <c r="AC150" s="240"/>
      <c r="AD150" s="240"/>
      <c r="AE150" s="240"/>
      <c r="AF150" s="240"/>
      <c r="AG150" s="240"/>
      <c r="AH150" s="240"/>
      <c r="AI150" s="240"/>
      <c r="AJ150" s="240"/>
      <c r="AK150" s="240"/>
      <c r="AL150" s="240"/>
      <c r="AM150" s="240"/>
      <c r="AN150" s="240"/>
      <c r="AO150" s="240"/>
      <c r="AP150" s="240"/>
      <c r="AQ150" s="240"/>
      <c r="AR150" s="240"/>
      <c r="AS150" s="240"/>
      <c r="AT150" s="240"/>
      <c r="AU150" s="240"/>
      <c r="AV150" s="240"/>
      <c r="AW150" s="240"/>
      <c r="AX150" s="240"/>
      <c r="AY150" s="240"/>
      <c r="AZ150" s="240"/>
      <c r="BA150" s="240"/>
      <c r="BB150" s="240"/>
      <c r="BC150" s="240"/>
      <c r="BD150" s="240"/>
      <c r="BE150" s="240"/>
      <c r="BF150" s="240"/>
      <c r="BG150" s="240"/>
      <c r="BH150" s="240"/>
      <c r="BI150" s="240"/>
      <c r="BJ150" s="240"/>
      <c r="BK150" s="240"/>
      <c r="BL150" s="240"/>
      <c r="BM150" s="240"/>
      <c r="BN150" s="240"/>
      <c r="BO150" s="240"/>
      <c r="BP150" s="240"/>
      <c r="BQ150" s="240"/>
      <c r="BR150" s="240"/>
      <c r="BS150" s="240"/>
      <c r="BT150" s="240"/>
      <c r="BU150" s="240"/>
      <c r="BV150" s="240"/>
      <c r="BW150" s="240"/>
    </row>
    <row r="151" spans="1:75" s="136" customFormat="1" ht="50.1" customHeight="1">
      <c r="A151" s="784"/>
      <c r="B151" s="787"/>
      <c r="C151" s="245">
        <v>3</v>
      </c>
      <c r="D151" s="246" t="s">
        <v>209</v>
      </c>
      <c r="E151" s="247"/>
      <c r="F151" s="247"/>
      <c r="G151" s="423" t="s">
        <v>296</v>
      </c>
      <c r="H151" s="315"/>
      <c r="I151" s="316"/>
      <c r="J151" s="245">
        <v>253.92000000000002</v>
      </c>
      <c r="K151" s="251">
        <v>1.9342777018767524E-2</v>
      </c>
      <c r="L151" s="245">
        <v>5.38</v>
      </c>
      <c r="M151" s="337">
        <f t="shared" si="15"/>
        <v>1366.0896</v>
      </c>
      <c r="N151" s="252"/>
      <c r="O151" s="799" t="s">
        <v>389</v>
      </c>
      <c r="P151" s="743"/>
      <c r="R151" s="240"/>
      <c r="S151" s="270"/>
      <c r="T151" s="270"/>
      <c r="U151" s="240"/>
      <c r="V151" s="240"/>
      <c r="W151" s="240"/>
      <c r="X151" s="240"/>
      <c r="Y151" s="240"/>
      <c r="Z151" s="240"/>
      <c r="AA151" s="240"/>
      <c r="AB151" s="240"/>
      <c r="AC151" s="240"/>
      <c r="AD151" s="240"/>
      <c r="AE151" s="240"/>
      <c r="AF151" s="240"/>
      <c r="AG151" s="240"/>
      <c r="AH151" s="240"/>
      <c r="AI151" s="240"/>
      <c r="AJ151" s="240"/>
      <c r="AK151" s="240"/>
      <c r="AL151" s="240"/>
      <c r="AM151" s="240"/>
      <c r="AN151" s="240"/>
      <c r="AO151" s="240"/>
      <c r="AP151" s="240"/>
      <c r="AQ151" s="240"/>
      <c r="AR151" s="240"/>
      <c r="AS151" s="240"/>
      <c r="AT151" s="240"/>
      <c r="AU151" s="240"/>
      <c r="AV151" s="240"/>
      <c r="AW151" s="240"/>
      <c r="AX151" s="240"/>
      <c r="AY151" s="240"/>
      <c r="AZ151" s="240"/>
      <c r="BA151" s="240"/>
      <c r="BB151" s="240"/>
      <c r="BC151" s="240"/>
      <c r="BD151" s="240"/>
      <c r="BE151" s="240"/>
      <c r="BF151" s="240"/>
      <c r="BG151" s="240"/>
      <c r="BH151" s="240"/>
      <c r="BI151" s="240"/>
      <c r="BJ151" s="240"/>
      <c r="BK151" s="240"/>
      <c r="BL151" s="240"/>
      <c r="BM151" s="240"/>
      <c r="BN151" s="240"/>
      <c r="BO151" s="240"/>
      <c r="BP151" s="240"/>
      <c r="BQ151" s="240"/>
      <c r="BR151" s="240"/>
      <c r="BS151" s="240"/>
      <c r="BT151" s="240"/>
      <c r="BU151" s="240"/>
      <c r="BV151" s="240"/>
      <c r="BW151" s="240"/>
    </row>
    <row r="152" spans="1:75" s="136" customFormat="1" ht="50.1" customHeight="1">
      <c r="A152" s="784"/>
      <c r="B152" s="787"/>
      <c r="C152" s="245">
        <v>4</v>
      </c>
      <c r="D152" s="246" t="s">
        <v>209</v>
      </c>
      <c r="E152" s="247"/>
      <c r="F152" s="247"/>
      <c r="G152" s="423" t="s">
        <v>294</v>
      </c>
      <c r="H152" s="315"/>
      <c r="I152" s="316"/>
      <c r="J152" s="245">
        <v>183.65000000000003</v>
      </c>
      <c r="K152" s="251">
        <v>2.1287099959342509E-2</v>
      </c>
      <c r="L152" s="245">
        <v>7.3299999999999992</v>
      </c>
      <c r="M152" s="337">
        <f t="shared" si="15"/>
        <v>1346.1545000000001</v>
      </c>
      <c r="N152" s="252"/>
      <c r="O152" s="799" t="s">
        <v>360</v>
      </c>
      <c r="P152" s="743"/>
      <c r="R152" s="240"/>
      <c r="S152" s="211"/>
      <c r="T152" s="211"/>
      <c r="U152" s="240"/>
      <c r="V152" s="240"/>
      <c r="W152" s="240"/>
      <c r="X152" s="240"/>
      <c r="Y152" s="240"/>
      <c r="Z152" s="240"/>
      <c r="AA152" s="240"/>
      <c r="AB152" s="240"/>
      <c r="AC152" s="240"/>
      <c r="AD152" s="240"/>
      <c r="AE152" s="240"/>
      <c r="AF152" s="240"/>
      <c r="AG152" s="240"/>
      <c r="AH152" s="240"/>
      <c r="AI152" s="240"/>
      <c r="AJ152" s="240"/>
      <c r="AK152" s="240"/>
      <c r="AL152" s="240"/>
      <c r="AM152" s="240"/>
      <c r="AN152" s="240"/>
      <c r="AO152" s="240"/>
      <c r="AP152" s="240"/>
      <c r="AQ152" s="240"/>
      <c r="AR152" s="240"/>
      <c r="AS152" s="240"/>
      <c r="AT152" s="240"/>
      <c r="AU152" s="240"/>
      <c r="AV152" s="240"/>
      <c r="AW152" s="240"/>
      <c r="AX152" s="240"/>
      <c r="AY152" s="240"/>
      <c r="AZ152" s="240"/>
      <c r="BA152" s="240"/>
      <c r="BB152" s="240"/>
      <c r="BC152" s="240"/>
      <c r="BD152" s="240"/>
      <c r="BE152" s="240"/>
      <c r="BF152" s="240"/>
      <c r="BG152" s="240"/>
      <c r="BH152" s="240"/>
      <c r="BI152" s="240"/>
      <c r="BJ152" s="240"/>
      <c r="BK152" s="240"/>
      <c r="BL152" s="240"/>
      <c r="BM152" s="240"/>
      <c r="BN152" s="240"/>
      <c r="BO152" s="240"/>
      <c r="BP152" s="240"/>
      <c r="BQ152" s="240"/>
      <c r="BR152" s="240"/>
      <c r="BS152" s="240"/>
      <c r="BT152" s="240"/>
      <c r="BU152" s="240"/>
      <c r="BV152" s="240"/>
      <c r="BW152" s="240"/>
    </row>
    <row r="153" spans="1:75" s="136" customFormat="1" ht="50.1" customHeight="1" thickBot="1">
      <c r="A153" s="784"/>
      <c r="B153" s="787"/>
      <c r="C153" s="245">
        <v>5</v>
      </c>
      <c r="D153" s="253" t="s">
        <v>216</v>
      </c>
      <c r="E153" s="254"/>
      <c r="F153" s="254"/>
      <c r="G153" s="389" t="s">
        <v>373</v>
      </c>
      <c r="H153" s="315"/>
      <c r="I153" s="316"/>
      <c r="J153" s="256">
        <v>181.60999999999999</v>
      </c>
      <c r="K153" s="257">
        <v>1.4648417520816713E-2</v>
      </c>
      <c r="L153" s="256">
        <v>7.160000000000001</v>
      </c>
      <c r="M153" s="338">
        <f t="shared" si="15"/>
        <v>1300.3276000000001</v>
      </c>
      <c r="N153" s="252"/>
      <c r="O153" s="799" t="s">
        <v>374</v>
      </c>
      <c r="P153" s="743"/>
      <c r="R153" s="240"/>
      <c r="S153" s="270"/>
      <c r="T153" s="270"/>
      <c r="U153" s="240"/>
      <c r="V153" s="240"/>
      <c r="W153" s="240"/>
      <c r="X153" s="240"/>
      <c r="Y153" s="240"/>
      <c r="Z153" s="240"/>
      <c r="AA153" s="240"/>
      <c r="AB153" s="240"/>
      <c r="AC153" s="240"/>
      <c r="AD153" s="240"/>
      <c r="AE153" s="240"/>
      <c r="AF153" s="240"/>
      <c r="AG153" s="240"/>
      <c r="AH153" s="240"/>
      <c r="AI153" s="240"/>
      <c r="AJ153" s="240"/>
      <c r="AK153" s="240"/>
      <c r="AL153" s="240"/>
      <c r="AM153" s="240"/>
      <c r="AN153" s="240"/>
      <c r="AO153" s="240"/>
      <c r="AP153" s="240"/>
      <c r="AQ153" s="240"/>
      <c r="AR153" s="240"/>
      <c r="AS153" s="240"/>
      <c r="AT153" s="240"/>
      <c r="AU153" s="240"/>
      <c r="AV153" s="240"/>
      <c r="AW153" s="240"/>
      <c r="AX153" s="240"/>
      <c r="AY153" s="240"/>
      <c r="AZ153" s="240"/>
      <c r="BA153" s="240"/>
      <c r="BB153" s="240"/>
      <c r="BC153" s="240"/>
      <c r="BD153" s="240"/>
      <c r="BE153" s="240"/>
      <c r="BF153" s="240"/>
      <c r="BG153" s="240"/>
      <c r="BH153" s="240"/>
      <c r="BI153" s="240"/>
      <c r="BJ153" s="240"/>
      <c r="BK153" s="240"/>
      <c r="BL153" s="240"/>
      <c r="BM153" s="240"/>
      <c r="BN153" s="240"/>
      <c r="BO153" s="240"/>
      <c r="BP153" s="240"/>
      <c r="BQ153" s="240"/>
      <c r="BR153" s="240"/>
      <c r="BS153" s="240"/>
      <c r="BT153" s="240"/>
      <c r="BU153" s="240"/>
      <c r="BV153" s="240"/>
      <c r="BW153" s="240"/>
    </row>
    <row r="154" spans="1:75" s="136" customFormat="1" ht="15.75" customHeight="1" thickTop="1">
      <c r="A154" s="785"/>
      <c r="B154" s="788"/>
      <c r="C154" s="656"/>
      <c r="D154" s="657"/>
      <c r="E154" s="657"/>
      <c r="F154" s="657"/>
      <c r="G154" s="657"/>
      <c r="H154" s="657"/>
      <c r="I154" s="791"/>
      <c r="J154" s="258" t="s">
        <v>304</v>
      </c>
      <c r="K154" s="213">
        <f>M154/'生產管理報表 7-1 (週)'!$B$20</f>
        <v>9.5892712295164273E-2</v>
      </c>
      <c r="L154" s="258" t="s">
        <v>305</v>
      </c>
      <c r="M154" s="339">
        <f>SUM(M149:M153)</f>
        <v>7203.7597999999998</v>
      </c>
      <c r="N154" s="758"/>
      <c r="O154" s="759"/>
      <c r="P154" s="760"/>
      <c r="R154" s="240"/>
      <c r="S154" s="211"/>
      <c r="T154" s="211"/>
      <c r="U154" s="240"/>
      <c r="V154" s="240"/>
      <c r="W154" s="240"/>
      <c r="X154" s="240"/>
      <c r="Y154" s="240"/>
      <c r="Z154" s="240"/>
      <c r="AA154" s="240"/>
      <c r="AB154" s="240"/>
      <c r="AC154" s="240"/>
      <c r="AD154" s="240"/>
      <c r="AE154" s="240"/>
      <c r="AF154" s="240"/>
      <c r="AG154" s="240"/>
      <c r="AH154" s="240"/>
      <c r="AI154" s="240"/>
      <c r="AJ154" s="240"/>
      <c r="AK154" s="240"/>
      <c r="AL154" s="240"/>
      <c r="AM154" s="240"/>
      <c r="AN154" s="240"/>
      <c r="AO154" s="240"/>
      <c r="AP154" s="240"/>
      <c r="AQ154" s="240"/>
      <c r="AR154" s="240"/>
      <c r="AS154" s="240"/>
      <c r="AT154" s="240"/>
      <c r="AU154" s="240"/>
      <c r="AV154" s="240"/>
      <c r="AW154" s="240"/>
      <c r="AX154" s="240"/>
      <c r="AY154" s="240"/>
      <c r="AZ154" s="240"/>
      <c r="BA154" s="240"/>
      <c r="BB154" s="240"/>
      <c r="BC154" s="240"/>
      <c r="BD154" s="240"/>
      <c r="BE154" s="240"/>
      <c r="BF154" s="240"/>
      <c r="BG154" s="240"/>
      <c r="BH154" s="240"/>
      <c r="BI154" s="240"/>
      <c r="BJ154" s="240"/>
      <c r="BK154" s="240"/>
      <c r="BL154" s="240"/>
      <c r="BM154" s="240"/>
      <c r="BN154" s="240"/>
      <c r="BO154" s="240"/>
      <c r="BP154" s="240"/>
      <c r="BQ154" s="240"/>
      <c r="BR154" s="240"/>
      <c r="BS154" s="240"/>
      <c r="BT154" s="240"/>
      <c r="BU154" s="240"/>
      <c r="BV154" s="240"/>
      <c r="BW154" s="240"/>
    </row>
    <row r="155" spans="1:75" s="136" customFormat="1" ht="15.75" customHeight="1">
      <c r="B155" s="241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60"/>
      <c r="O155" s="260"/>
      <c r="P155" s="260"/>
      <c r="R155" s="240"/>
      <c r="S155" s="270"/>
      <c r="T155" s="270"/>
      <c r="U155" s="240"/>
      <c r="V155" s="240"/>
      <c r="W155" s="240"/>
      <c r="X155" s="240"/>
      <c r="Y155" s="240"/>
      <c r="Z155" s="240"/>
      <c r="AA155" s="240"/>
      <c r="AB155" s="240"/>
      <c r="AC155" s="240"/>
      <c r="AD155" s="240"/>
      <c r="AE155" s="240"/>
      <c r="AF155" s="240"/>
      <c r="AG155" s="240"/>
      <c r="AH155" s="240"/>
      <c r="AI155" s="240"/>
      <c r="AJ155" s="240"/>
      <c r="AK155" s="240"/>
      <c r="AL155" s="240"/>
      <c r="AM155" s="240"/>
      <c r="AN155" s="240"/>
      <c r="AO155" s="240"/>
      <c r="AP155" s="240"/>
      <c r="AQ155" s="240"/>
      <c r="AR155" s="240"/>
      <c r="AS155" s="240"/>
      <c r="AT155" s="240"/>
      <c r="AU155" s="240"/>
      <c r="AV155" s="240"/>
      <c r="AW155" s="240"/>
      <c r="AX155" s="240"/>
      <c r="AY155" s="240"/>
      <c r="AZ155" s="240"/>
      <c r="BA155" s="240"/>
      <c r="BB155" s="240"/>
      <c r="BC155" s="240"/>
      <c r="BD155" s="240"/>
      <c r="BE155" s="240"/>
      <c r="BF155" s="240"/>
      <c r="BG155" s="240"/>
      <c r="BH155" s="240"/>
      <c r="BI155" s="240"/>
      <c r="BJ155" s="240"/>
      <c r="BK155" s="240"/>
      <c r="BL155" s="240"/>
      <c r="BM155" s="240"/>
      <c r="BN155" s="240"/>
      <c r="BO155" s="240"/>
      <c r="BP155" s="240"/>
      <c r="BQ155" s="240"/>
      <c r="BR155" s="240"/>
      <c r="BS155" s="240"/>
      <c r="BT155" s="240"/>
      <c r="BU155" s="240"/>
      <c r="BV155" s="240"/>
      <c r="BW155" s="240"/>
    </row>
    <row r="156" spans="1:75" s="136" customFormat="1" ht="15.75" customHeight="1">
      <c r="A156" s="740" t="s">
        <v>284</v>
      </c>
      <c r="B156" s="741"/>
      <c r="C156" s="261" t="s">
        <v>238</v>
      </c>
      <c r="D156" s="653" t="s">
        <v>239</v>
      </c>
      <c r="E156" s="654"/>
      <c r="F156" s="655"/>
      <c r="G156" s="653" t="s">
        <v>288</v>
      </c>
      <c r="H156" s="654"/>
      <c r="I156" s="655"/>
      <c r="J156" s="263" t="s">
        <v>289</v>
      </c>
      <c r="K156" s="263" t="s">
        <v>23</v>
      </c>
      <c r="L156" s="263" t="s">
        <v>290</v>
      </c>
      <c r="M156" s="263" t="s">
        <v>277</v>
      </c>
      <c r="N156" s="264" t="s">
        <v>253</v>
      </c>
      <c r="O156" s="749" t="s">
        <v>244</v>
      </c>
      <c r="P156" s="750"/>
      <c r="R156" s="240"/>
      <c r="S156" s="211"/>
      <c r="T156" s="211"/>
      <c r="U156" s="240"/>
      <c r="V156" s="240"/>
      <c r="W156" s="240"/>
      <c r="X156" s="240"/>
      <c r="Y156" s="240"/>
      <c r="Z156" s="240"/>
      <c r="AA156" s="240"/>
      <c r="AB156" s="240"/>
      <c r="AC156" s="240"/>
      <c r="AD156" s="240"/>
      <c r="AE156" s="240"/>
      <c r="AF156" s="240"/>
      <c r="AG156" s="240"/>
      <c r="AH156" s="240"/>
      <c r="AI156" s="240"/>
      <c r="AJ156" s="240"/>
    </row>
    <row r="157" spans="1:75" s="136" customFormat="1" ht="20.100000000000001" customHeight="1">
      <c r="A157" s="783">
        <v>2</v>
      </c>
      <c r="B157" s="786" t="s">
        <v>306</v>
      </c>
      <c r="C157" s="265">
        <v>1</v>
      </c>
      <c r="D157" s="246"/>
      <c r="E157" s="247"/>
      <c r="F157" s="248"/>
      <c r="G157" s="246"/>
      <c r="H157" s="247"/>
      <c r="I157" s="248"/>
      <c r="J157" s="266"/>
      <c r="K157" s="267"/>
      <c r="L157" s="266"/>
      <c r="M157" s="268">
        <f t="shared" ref="M157:M161" si="16">L157*J157</f>
        <v>0</v>
      </c>
      <c r="N157" s="269"/>
      <c r="O157" s="751"/>
      <c r="P157" s="752"/>
      <c r="R157" s="240"/>
      <c r="S157" s="270"/>
      <c r="T157" s="270"/>
      <c r="U157" s="240"/>
      <c r="V157" s="240"/>
      <c r="W157" s="240"/>
      <c r="X157" s="240"/>
      <c r="Y157" s="240"/>
      <c r="Z157" s="240"/>
      <c r="AA157" s="240"/>
      <c r="AB157" s="240"/>
      <c r="AC157" s="240"/>
      <c r="AD157" s="240"/>
      <c r="AE157" s="240"/>
      <c r="AF157" s="240"/>
      <c r="AG157" s="240"/>
      <c r="AH157" s="240"/>
      <c r="AI157" s="240"/>
      <c r="AJ157" s="240"/>
    </row>
    <row r="158" spans="1:75" s="136" customFormat="1" ht="20.100000000000001" customHeight="1">
      <c r="A158" s="784"/>
      <c r="B158" s="787"/>
      <c r="C158" s="265">
        <v>2</v>
      </c>
      <c r="D158" s="246"/>
      <c r="E158" s="247"/>
      <c r="F158" s="248"/>
      <c r="G158" s="246"/>
      <c r="H158" s="247"/>
      <c r="I158" s="248"/>
      <c r="J158" s="266"/>
      <c r="K158" s="267"/>
      <c r="L158" s="266"/>
      <c r="M158" s="268">
        <f t="shared" si="16"/>
        <v>0</v>
      </c>
      <c r="N158" s="269"/>
      <c r="O158" s="751"/>
      <c r="P158" s="752"/>
      <c r="R158" s="240"/>
      <c r="S158" s="211"/>
      <c r="T158" s="211"/>
      <c r="U158" s="240"/>
      <c r="V158" s="240"/>
      <c r="W158" s="240"/>
      <c r="X158" s="240"/>
      <c r="Y158" s="240"/>
      <c r="Z158" s="240"/>
      <c r="AA158" s="240"/>
      <c r="AB158" s="240"/>
      <c r="AC158" s="240"/>
      <c r="AD158" s="240"/>
      <c r="AE158" s="240"/>
      <c r="AF158" s="240"/>
      <c r="AG158" s="240"/>
      <c r="AH158" s="240"/>
      <c r="AI158" s="240"/>
      <c r="AJ158" s="240"/>
    </row>
    <row r="159" spans="1:75" s="136" customFormat="1" ht="20.100000000000001" customHeight="1">
      <c r="A159" s="784"/>
      <c r="B159" s="787"/>
      <c r="C159" s="265">
        <v>3</v>
      </c>
      <c r="D159" s="246"/>
      <c r="E159" s="247"/>
      <c r="F159" s="248"/>
      <c r="G159" s="246"/>
      <c r="H159" s="247"/>
      <c r="I159" s="277"/>
      <c r="J159" s="266"/>
      <c r="K159" s="267"/>
      <c r="L159" s="266"/>
      <c r="M159" s="268">
        <f t="shared" si="16"/>
        <v>0</v>
      </c>
      <c r="N159" s="269"/>
      <c r="O159" s="751"/>
      <c r="P159" s="752"/>
      <c r="R159" s="240"/>
      <c r="S159" s="270"/>
      <c r="T159" s="270"/>
      <c r="U159" s="240"/>
      <c r="V159" s="240"/>
      <c r="W159" s="240"/>
      <c r="X159" s="240"/>
      <c r="Y159" s="240"/>
      <c r="Z159" s="240"/>
      <c r="AA159" s="240"/>
      <c r="AB159" s="240"/>
      <c r="AC159" s="240"/>
      <c r="AD159" s="240"/>
      <c r="AE159" s="240"/>
      <c r="AF159" s="240"/>
      <c r="AG159" s="240"/>
      <c r="AH159" s="240"/>
    </row>
    <row r="160" spans="1:75" s="136" customFormat="1" ht="20.100000000000001" customHeight="1">
      <c r="A160" s="784"/>
      <c r="B160" s="787"/>
      <c r="C160" s="265">
        <v>4</v>
      </c>
      <c r="D160" s="246"/>
      <c r="E160" s="247"/>
      <c r="F160" s="248"/>
      <c r="G160" s="246"/>
      <c r="H160" s="247"/>
      <c r="I160" s="248"/>
      <c r="J160" s="266"/>
      <c r="K160" s="267"/>
      <c r="L160" s="266"/>
      <c r="M160" s="268">
        <f t="shared" si="16"/>
        <v>0</v>
      </c>
      <c r="N160" s="269"/>
      <c r="O160" s="751"/>
      <c r="P160" s="752"/>
      <c r="R160" s="240"/>
      <c r="S160" s="211"/>
      <c r="T160" s="211"/>
      <c r="U160" s="240"/>
      <c r="V160" s="240"/>
      <c r="W160" s="240"/>
      <c r="X160" s="240"/>
      <c r="Y160" s="240"/>
      <c r="Z160" s="240"/>
      <c r="AA160" s="240"/>
      <c r="AB160" s="240"/>
      <c r="AC160" s="240"/>
      <c r="AD160" s="240"/>
      <c r="AE160" s="240"/>
      <c r="AF160" s="240"/>
      <c r="AG160" s="240"/>
      <c r="AH160" s="240"/>
    </row>
    <row r="161" spans="1:36" s="136" customFormat="1" ht="20.100000000000001" customHeight="1" thickBot="1">
      <c r="A161" s="784"/>
      <c r="B161" s="787"/>
      <c r="C161" s="271">
        <v>5</v>
      </c>
      <c r="D161" s="253"/>
      <c r="E161" s="254"/>
      <c r="F161" s="255"/>
      <c r="G161" s="246"/>
      <c r="H161" s="247"/>
      <c r="I161" s="248"/>
      <c r="J161" s="272"/>
      <c r="K161" s="273"/>
      <c r="L161" s="272"/>
      <c r="M161" s="274">
        <f t="shared" si="16"/>
        <v>0</v>
      </c>
      <c r="N161" s="275"/>
      <c r="O161" s="751"/>
      <c r="P161" s="752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0"/>
      <c r="AB161" s="240"/>
      <c r="AC161" s="240"/>
      <c r="AD161" s="240"/>
      <c r="AE161" s="240"/>
      <c r="AF161" s="240"/>
      <c r="AG161" s="240"/>
      <c r="AH161" s="240"/>
    </row>
    <row r="162" spans="1:36" s="136" customFormat="1" ht="15.75" customHeight="1" thickTop="1">
      <c r="A162" s="785"/>
      <c r="B162" s="788"/>
      <c r="C162" s="656"/>
      <c r="D162" s="657"/>
      <c r="E162" s="657"/>
      <c r="F162" s="657"/>
      <c r="G162" s="657"/>
      <c r="H162" s="657"/>
      <c r="I162" s="791"/>
      <c r="J162" s="258" t="s">
        <v>304</v>
      </c>
      <c r="K162" s="213">
        <f>M162/'生產管理報表 7-1 (週)'!$B$20</f>
        <v>0</v>
      </c>
      <c r="L162" s="258" t="s">
        <v>305</v>
      </c>
      <c r="M162" s="259">
        <f>SUM(M157:M161)</f>
        <v>0</v>
      </c>
      <c r="N162" s="753"/>
      <c r="O162" s="754"/>
      <c r="P162" s="755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</row>
    <row r="163" spans="1:36" s="136" customFormat="1" ht="15.75" customHeight="1">
      <c r="B163" s="241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76"/>
      <c r="O163" s="276"/>
      <c r="P163" s="276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  <c r="AB163" s="240"/>
      <c r="AC163" s="240"/>
      <c r="AD163" s="240"/>
      <c r="AE163" s="240"/>
      <c r="AF163" s="240"/>
      <c r="AG163" s="240"/>
      <c r="AH163" s="240"/>
    </row>
    <row r="164" spans="1:36" s="136" customFormat="1" ht="15.75" customHeight="1">
      <c r="A164" s="740" t="s">
        <v>284</v>
      </c>
      <c r="B164" s="741"/>
      <c r="C164" s="261" t="s">
        <v>238</v>
      </c>
      <c r="D164" s="653" t="s">
        <v>239</v>
      </c>
      <c r="E164" s="654"/>
      <c r="F164" s="655"/>
      <c r="G164" s="653" t="s">
        <v>288</v>
      </c>
      <c r="H164" s="654"/>
      <c r="I164" s="782"/>
      <c r="J164" s="262" t="s">
        <v>289</v>
      </c>
      <c r="K164" s="263" t="s">
        <v>23</v>
      </c>
      <c r="L164" s="263" t="s">
        <v>290</v>
      </c>
      <c r="M164" s="263" t="s">
        <v>277</v>
      </c>
      <c r="N164" s="264" t="s">
        <v>253</v>
      </c>
      <c r="O164" s="747" t="s">
        <v>244</v>
      </c>
      <c r="P164" s="748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0"/>
      <c r="AB164" s="240"/>
      <c r="AC164" s="240"/>
      <c r="AD164" s="240"/>
      <c r="AE164" s="240"/>
      <c r="AF164" s="240"/>
      <c r="AG164" s="240"/>
      <c r="AH164" s="240"/>
      <c r="AI164" s="240"/>
      <c r="AJ164" s="240"/>
    </row>
    <row r="165" spans="1:36" s="136" customFormat="1" ht="50.1" customHeight="1">
      <c r="A165" s="783">
        <v>3</v>
      </c>
      <c r="B165" s="786" t="s">
        <v>307</v>
      </c>
      <c r="C165" s="265">
        <v>1</v>
      </c>
      <c r="D165" s="246" t="s">
        <v>308</v>
      </c>
      <c r="E165" s="247"/>
      <c r="F165" s="248"/>
      <c r="G165" s="316" t="s">
        <v>309</v>
      </c>
      <c r="H165" s="315"/>
      <c r="I165" s="316"/>
      <c r="J165" s="266">
        <v>122.81999999999996</v>
      </c>
      <c r="K165" s="267">
        <v>2.1805148486881597E-2</v>
      </c>
      <c r="L165" s="266">
        <v>12.35</v>
      </c>
      <c r="M165" s="340">
        <f t="shared" ref="M165:M169" si="17">L165*J165</f>
        <v>1516.8269999999995</v>
      </c>
      <c r="N165" s="279"/>
      <c r="O165" s="789" t="s">
        <v>361</v>
      </c>
      <c r="P165" s="79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0"/>
      <c r="AB165" s="240"/>
      <c r="AC165" s="240"/>
      <c r="AD165" s="240"/>
      <c r="AE165" s="240"/>
      <c r="AF165" s="240"/>
      <c r="AG165" s="240"/>
      <c r="AH165" s="240"/>
      <c r="AI165" s="240"/>
      <c r="AJ165" s="240"/>
    </row>
    <row r="166" spans="1:36" s="136" customFormat="1" ht="50.1" customHeight="1">
      <c r="A166" s="784"/>
      <c r="B166" s="787"/>
      <c r="C166" s="265">
        <v>2</v>
      </c>
      <c r="D166" s="246" t="s">
        <v>308</v>
      </c>
      <c r="E166" s="247"/>
      <c r="F166" s="248"/>
      <c r="G166" s="316" t="s">
        <v>316</v>
      </c>
      <c r="H166" s="315"/>
      <c r="I166" s="316"/>
      <c r="J166" s="266">
        <v>2.3000000000000003</v>
      </c>
      <c r="K166" s="267">
        <v>2.4232633279483037E-2</v>
      </c>
      <c r="L166" s="266">
        <v>450</v>
      </c>
      <c r="M166" s="340">
        <f t="shared" si="17"/>
        <v>1035.0000000000002</v>
      </c>
      <c r="N166" s="279"/>
      <c r="O166" s="742" t="s">
        <v>362</v>
      </c>
      <c r="P166" s="743"/>
      <c r="R166" s="240"/>
      <c r="S166" s="240"/>
      <c r="T166"/>
      <c r="U166" s="240"/>
      <c r="V166" s="240"/>
      <c r="W166" s="240"/>
      <c r="X166" s="240"/>
      <c r="Y166" s="240"/>
      <c r="Z166" s="240"/>
      <c r="AA166" s="240"/>
      <c r="AB166" s="240"/>
      <c r="AC166" s="240"/>
      <c r="AD166" s="240"/>
      <c r="AE166" s="240"/>
      <c r="AF166" s="240"/>
      <c r="AG166" s="240"/>
      <c r="AH166" s="240"/>
      <c r="AI166" s="240"/>
      <c r="AJ166" s="240"/>
    </row>
    <row r="167" spans="1:36" s="136" customFormat="1" ht="50.1" customHeight="1">
      <c r="A167" s="784"/>
      <c r="B167" s="787"/>
      <c r="C167" s="265">
        <v>3</v>
      </c>
      <c r="D167" s="246" t="s">
        <v>311</v>
      </c>
      <c r="E167" s="247"/>
      <c r="F167" s="248"/>
      <c r="G167" s="316" t="s">
        <v>312</v>
      </c>
      <c r="H167" s="315"/>
      <c r="I167" s="316"/>
      <c r="J167" s="266">
        <v>1.17</v>
      </c>
      <c r="K167" s="267">
        <v>3.85059000975956E-3</v>
      </c>
      <c r="L167" s="266">
        <v>868</v>
      </c>
      <c r="M167" s="340">
        <f t="shared" si="17"/>
        <v>1015.56</v>
      </c>
      <c r="N167" s="279"/>
      <c r="O167" s="742" t="s">
        <v>363</v>
      </c>
      <c r="P167" s="743"/>
      <c r="R167" s="240"/>
      <c r="S167" s="240"/>
      <c r="T167"/>
      <c r="U167" s="240"/>
      <c r="V167" s="240"/>
      <c r="W167" s="240"/>
      <c r="X167" s="240"/>
      <c r="Y167" s="240"/>
      <c r="Z167" s="240"/>
      <c r="AA167" s="240"/>
      <c r="AB167" s="240"/>
      <c r="AC167" s="240"/>
      <c r="AD167" s="240"/>
      <c r="AE167" s="240"/>
      <c r="AF167" s="240"/>
      <c r="AG167" s="240"/>
      <c r="AH167" s="240"/>
      <c r="AI167" s="240"/>
      <c r="AJ167" s="240"/>
    </row>
    <row r="168" spans="1:36" s="136" customFormat="1" ht="30" customHeight="1">
      <c r="A168" s="784"/>
      <c r="B168" s="787"/>
      <c r="C168" s="265">
        <v>4</v>
      </c>
      <c r="D168" s="246"/>
      <c r="E168" s="247"/>
      <c r="F168" s="248"/>
      <c r="G168" s="323"/>
      <c r="H168" s="324"/>
      <c r="I168" s="325"/>
      <c r="J168" s="278"/>
      <c r="K168" s="267"/>
      <c r="L168" s="266"/>
      <c r="M168" s="340">
        <f t="shared" si="17"/>
        <v>0</v>
      </c>
      <c r="N168" s="279"/>
      <c r="O168" s="742"/>
      <c r="P168" s="743"/>
      <c r="R168" s="240"/>
      <c r="S168" s="240"/>
      <c r="T168"/>
      <c r="U168" s="240"/>
      <c r="V168" s="240"/>
      <c r="W168" s="240"/>
      <c r="X168" s="240"/>
      <c r="Y168" s="240"/>
      <c r="Z168" s="240"/>
      <c r="AA168" s="240"/>
      <c r="AB168" s="240"/>
      <c r="AC168" s="240"/>
      <c r="AD168" s="240"/>
      <c r="AE168" s="240"/>
      <c r="AF168" s="240"/>
      <c r="AG168" s="240"/>
      <c r="AH168" s="240"/>
      <c r="AI168" s="240"/>
      <c r="AJ168" s="240"/>
    </row>
    <row r="169" spans="1:36" s="136" customFormat="1" ht="30" customHeight="1" thickBot="1">
      <c r="A169" s="784"/>
      <c r="B169" s="787"/>
      <c r="C169" s="271">
        <v>5</v>
      </c>
      <c r="D169" s="253"/>
      <c r="E169" s="254"/>
      <c r="F169" s="255"/>
      <c r="G169" s="420"/>
      <c r="H169" s="421"/>
      <c r="I169" s="422"/>
      <c r="J169" s="281"/>
      <c r="K169" s="273"/>
      <c r="L169" s="282"/>
      <c r="M169" s="340">
        <f t="shared" si="17"/>
        <v>0</v>
      </c>
      <c r="N169" s="279"/>
      <c r="O169" s="742"/>
      <c r="P169" s="743"/>
      <c r="R169" s="240"/>
      <c r="S169" s="240"/>
      <c r="T169"/>
      <c r="U169" s="240"/>
      <c r="V169" s="240"/>
      <c r="W169" s="240"/>
      <c r="X169" s="240"/>
      <c r="Y169" s="240"/>
      <c r="Z169" s="240"/>
      <c r="AA169" s="240"/>
      <c r="AB169" s="240"/>
      <c r="AC169" s="240"/>
      <c r="AD169" s="240"/>
      <c r="AE169" s="240"/>
      <c r="AF169" s="240"/>
      <c r="AG169" s="240"/>
      <c r="AH169" s="240"/>
      <c r="AI169" s="240"/>
      <c r="AJ169" s="240"/>
    </row>
    <row r="170" spans="1:36" s="136" customFormat="1" ht="15.75" customHeight="1" thickTop="1">
      <c r="A170" s="785"/>
      <c r="B170" s="788"/>
      <c r="C170" s="656"/>
      <c r="D170" s="657"/>
      <c r="E170" s="657"/>
      <c r="F170" s="657"/>
      <c r="G170" s="657"/>
      <c r="H170" s="657"/>
      <c r="I170" s="791"/>
      <c r="J170" s="283" t="s">
        <v>304</v>
      </c>
      <c r="K170" s="213">
        <f>M170/'生產管理報表 7-1 (週)'!$B$20</f>
        <v>4.7487204561777477E-2</v>
      </c>
      <c r="L170" s="283" t="s">
        <v>305</v>
      </c>
      <c r="M170" s="341">
        <f>SUM(M165:M169)</f>
        <v>3567.3869999999997</v>
      </c>
      <c r="N170" s="744"/>
      <c r="O170" s="745"/>
      <c r="P170" s="746"/>
      <c r="R170" s="240"/>
      <c r="S170" s="240"/>
      <c r="T17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</row>
    <row r="171" spans="1:36" s="136" customFormat="1" ht="15.75" customHeight="1">
      <c r="A171" s="802" t="s">
        <v>390</v>
      </c>
      <c r="B171" s="802"/>
      <c r="C171" s="802"/>
      <c r="D171" s="802"/>
      <c r="E171" s="802"/>
      <c r="F171" s="802"/>
      <c r="G171" s="802"/>
      <c r="H171" s="802"/>
      <c r="I171" s="802"/>
      <c r="J171" s="802"/>
      <c r="K171" s="802"/>
      <c r="L171" s="802"/>
      <c r="M171" s="802"/>
      <c r="R171" s="240"/>
      <c r="S171" s="240"/>
      <c r="T171" s="240"/>
      <c r="U171" s="240"/>
    </row>
    <row r="172" spans="1:36" s="137" customFormat="1" ht="15.75" customHeight="1">
      <c r="A172" s="737"/>
      <c r="B172" s="737"/>
      <c r="C172" s="737"/>
      <c r="D172" s="737"/>
      <c r="E172" s="737"/>
      <c r="F172" s="737"/>
      <c r="G172" s="737"/>
      <c r="H172" s="737"/>
      <c r="I172" s="737"/>
      <c r="J172" s="737"/>
      <c r="K172" s="737"/>
      <c r="L172" s="737"/>
      <c r="M172" s="737"/>
    </row>
    <row r="173" spans="1:36" s="136" customFormat="1" ht="15.75" customHeight="1">
      <c r="A173" s="738" t="s">
        <v>284</v>
      </c>
      <c r="B173" s="731">
        <v>1</v>
      </c>
      <c r="C173" s="732"/>
      <c r="D173" s="731">
        <v>2</v>
      </c>
      <c r="E173" s="732"/>
      <c r="F173" s="731">
        <v>3</v>
      </c>
      <c r="G173" s="732"/>
      <c r="H173" s="740">
        <v>4</v>
      </c>
      <c r="I173" s="741"/>
      <c r="J173" s="740">
        <v>5</v>
      </c>
      <c r="K173" s="741"/>
      <c r="L173" s="740">
        <v>6</v>
      </c>
      <c r="M173" s="741"/>
      <c r="N173" s="740">
        <v>7</v>
      </c>
      <c r="O173" s="741"/>
      <c r="P173" s="740">
        <v>8</v>
      </c>
      <c r="Q173" s="741"/>
      <c r="R173" s="240"/>
      <c r="S173" s="240"/>
      <c r="T173" s="240"/>
      <c r="U173" s="240"/>
    </row>
    <row r="174" spans="1:36" s="136" customFormat="1" ht="15.75" customHeight="1">
      <c r="A174" s="739"/>
      <c r="B174" s="733" t="s">
        <v>273</v>
      </c>
      <c r="C174" s="734"/>
      <c r="D174" s="733" t="s">
        <v>285</v>
      </c>
      <c r="E174" s="734"/>
      <c r="F174" s="733" t="s">
        <v>275</v>
      </c>
      <c r="G174" s="734"/>
      <c r="H174" s="735" t="s">
        <v>286</v>
      </c>
      <c r="I174" s="736"/>
      <c r="J174" s="735" t="s">
        <v>280</v>
      </c>
      <c r="K174" s="736"/>
      <c r="L174" s="735" t="s">
        <v>281</v>
      </c>
      <c r="M174" s="736"/>
      <c r="N174" s="735" t="s">
        <v>282</v>
      </c>
      <c r="O174" s="736"/>
      <c r="P174" s="800" t="s">
        <v>287</v>
      </c>
      <c r="Q174" s="801"/>
      <c r="R174" s="240"/>
      <c r="S174" s="240"/>
      <c r="T174" s="240"/>
      <c r="U174" s="240"/>
    </row>
    <row r="175" spans="1:36" s="136" customFormat="1" ht="15.75" customHeight="1">
      <c r="B175" s="241"/>
      <c r="C175" s="242"/>
      <c r="R175" s="240"/>
      <c r="S175" s="240"/>
      <c r="T175" s="240"/>
      <c r="U175" s="240"/>
    </row>
    <row r="176" spans="1:36" s="244" customFormat="1" ht="15.75" customHeight="1">
      <c r="A176" s="740" t="s">
        <v>284</v>
      </c>
      <c r="B176" s="741"/>
      <c r="C176" s="243" t="s">
        <v>238</v>
      </c>
      <c r="D176" s="792" t="s">
        <v>239</v>
      </c>
      <c r="E176" s="654"/>
      <c r="F176" s="782"/>
      <c r="G176" s="793" t="s">
        <v>288</v>
      </c>
      <c r="H176" s="794"/>
      <c r="I176" s="795"/>
      <c r="J176" s="243" t="s">
        <v>289</v>
      </c>
      <c r="K176" s="243" t="s">
        <v>23</v>
      </c>
      <c r="L176" s="243" t="s">
        <v>290</v>
      </c>
      <c r="M176" s="243" t="s">
        <v>277</v>
      </c>
      <c r="N176" s="243" t="s">
        <v>253</v>
      </c>
      <c r="O176" s="796" t="s">
        <v>244</v>
      </c>
      <c r="P176" s="797"/>
    </row>
    <row r="177" spans="1:75" s="136" customFormat="1" ht="50.1" customHeight="1">
      <c r="A177" s="783">
        <v>1</v>
      </c>
      <c r="B177" s="786" t="s">
        <v>291</v>
      </c>
      <c r="C177" s="245">
        <v>1</v>
      </c>
      <c r="D177" s="246" t="s">
        <v>226</v>
      </c>
      <c r="E177" s="247"/>
      <c r="F177" s="247"/>
      <c r="G177" s="389" t="s">
        <v>391</v>
      </c>
      <c r="H177" s="315"/>
      <c r="I177" s="316"/>
      <c r="J177" s="245">
        <v>210.74</v>
      </c>
      <c r="K177" s="251">
        <v>3.0133369748281666E-2</v>
      </c>
      <c r="L177" s="245">
        <v>6.6199999999999992</v>
      </c>
      <c r="M177" s="337">
        <f>L177*J177</f>
        <v>1395.0988</v>
      </c>
      <c r="N177" s="252"/>
      <c r="O177" s="722" t="s">
        <v>361</v>
      </c>
      <c r="P177" s="723"/>
      <c r="R177" s="240"/>
      <c r="S177" s="451"/>
      <c r="T177" s="270"/>
      <c r="U177" s="240"/>
    </row>
    <row r="178" spans="1:75" s="136" customFormat="1" ht="50.1" customHeight="1">
      <c r="A178" s="784"/>
      <c r="B178" s="787"/>
      <c r="C178" s="245">
        <v>2</v>
      </c>
      <c r="D178" s="246" t="s">
        <v>209</v>
      </c>
      <c r="E178" s="247"/>
      <c r="F178" s="247"/>
      <c r="G178" s="389" t="s">
        <v>296</v>
      </c>
      <c r="H178" s="315"/>
      <c r="I178" s="316"/>
      <c r="J178" s="245">
        <v>253.92000000000002</v>
      </c>
      <c r="K178" s="251">
        <v>2.1719231089290178E-2</v>
      </c>
      <c r="L178" s="245">
        <v>5.2200000000000006</v>
      </c>
      <c r="M178" s="337">
        <f t="shared" ref="M178:M181" si="18">L178*J178</f>
        <v>1325.4624000000003</v>
      </c>
      <c r="N178" s="252"/>
      <c r="O178" s="798" t="s">
        <v>389</v>
      </c>
      <c r="P178" s="790"/>
      <c r="R178" s="240"/>
      <c r="S178" s="452"/>
      <c r="T178" s="211"/>
      <c r="U178" s="240"/>
      <c r="V178" s="240"/>
      <c r="W178" s="240"/>
      <c r="X178" s="240"/>
      <c r="Y178" s="240"/>
      <c r="Z178" s="240"/>
      <c r="AA178" s="240"/>
      <c r="AB178" s="240"/>
      <c r="AC178" s="240"/>
      <c r="AD178" s="240"/>
      <c r="AE178" s="240"/>
      <c r="AF178" s="240"/>
      <c r="AG178" s="240"/>
      <c r="AH178" s="240"/>
      <c r="AI178" s="240"/>
      <c r="AJ178" s="240"/>
      <c r="AK178" s="240"/>
      <c r="AL178" s="240"/>
      <c r="AM178" s="240"/>
      <c r="AN178" s="240"/>
      <c r="AO178" s="240"/>
      <c r="AP178" s="240"/>
      <c r="AQ178" s="240"/>
      <c r="AR178" s="240"/>
      <c r="AS178" s="240"/>
      <c r="AT178" s="240"/>
      <c r="AU178" s="240"/>
      <c r="AV178" s="240"/>
      <c r="AW178" s="240"/>
      <c r="AX178" s="240"/>
      <c r="AY178" s="240"/>
      <c r="AZ178" s="240"/>
      <c r="BA178" s="240"/>
      <c r="BB178" s="240"/>
      <c r="BC178" s="240"/>
      <c r="BD178" s="240"/>
      <c r="BE178" s="240"/>
      <c r="BF178" s="240"/>
      <c r="BG178" s="240"/>
      <c r="BH178" s="240"/>
      <c r="BI178" s="240"/>
      <c r="BJ178" s="240"/>
      <c r="BK178" s="240"/>
      <c r="BL178" s="240"/>
      <c r="BM178" s="240"/>
      <c r="BN178" s="240"/>
      <c r="BO178" s="240"/>
      <c r="BP178" s="240"/>
      <c r="BQ178" s="240"/>
      <c r="BR178" s="240"/>
      <c r="BS178" s="240"/>
      <c r="BT178" s="240"/>
      <c r="BU178" s="240"/>
      <c r="BV178" s="240"/>
      <c r="BW178" s="240"/>
    </row>
    <row r="179" spans="1:75" s="136" customFormat="1" ht="50.1" customHeight="1">
      <c r="A179" s="784"/>
      <c r="B179" s="787"/>
      <c r="C179" s="245">
        <v>3</v>
      </c>
      <c r="D179" s="246" t="s">
        <v>216</v>
      </c>
      <c r="E179" s="247"/>
      <c r="F179" s="247"/>
      <c r="G179" s="389" t="s">
        <v>373</v>
      </c>
      <c r="H179" s="315"/>
      <c r="I179" s="316"/>
      <c r="J179" s="245">
        <v>181.60999999999999</v>
      </c>
      <c r="K179" s="251">
        <v>1.7826246526503435E-2</v>
      </c>
      <c r="L179" s="245">
        <v>6.8</v>
      </c>
      <c r="M179" s="337">
        <f t="shared" si="18"/>
        <v>1234.9479999999999</v>
      </c>
      <c r="N179" s="252"/>
      <c r="O179" s="799" t="s">
        <v>374</v>
      </c>
      <c r="P179" s="743"/>
      <c r="R179" s="240"/>
      <c r="S179" s="270"/>
      <c r="T179" s="270"/>
      <c r="U179" s="240"/>
      <c r="V179" s="240"/>
      <c r="W179" s="240"/>
      <c r="X179" s="240"/>
      <c r="Y179" s="240"/>
      <c r="Z179" s="240"/>
      <c r="AA179" s="240"/>
      <c r="AB179" s="240"/>
      <c r="AC179" s="240"/>
      <c r="AD179" s="240"/>
      <c r="AE179" s="240"/>
      <c r="AF179" s="240"/>
      <c r="AG179" s="240"/>
      <c r="AH179" s="240"/>
      <c r="AI179" s="240"/>
      <c r="AJ179" s="240"/>
      <c r="AK179" s="240"/>
      <c r="AL179" s="240"/>
      <c r="AM179" s="240"/>
      <c r="AN179" s="240"/>
      <c r="AO179" s="240"/>
      <c r="AP179" s="240"/>
      <c r="AQ179" s="240"/>
      <c r="AR179" s="240"/>
      <c r="AS179" s="240"/>
      <c r="AT179" s="240"/>
      <c r="AU179" s="240"/>
      <c r="AV179" s="240"/>
      <c r="AW179" s="240"/>
      <c r="AX179" s="240"/>
      <c r="AY179" s="240"/>
      <c r="AZ179" s="240"/>
      <c r="BA179" s="240"/>
      <c r="BB179" s="240"/>
      <c r="BC179" s="240"/>
      <c r="BD179" s="240"/>
      <c r="BE179" s="240"/>
      <c r="BF179" s="240"/>
      <c r="BG179" s="240"/>
      <c r="BH179" s="240"/>
      <c r="BI179" s="240"/>
      <c r="BJ179" s="240"/>
      <c r="BK179" s="240"/>
      <c r="BL179" s="240"/>
      <c r="BM179" s="240"/>
      <c r="BN179" s="240"/>
      <c r="BO179" s="240"/>
      <c r="BP179" s="240"/>
      <c r="BQ179" s="240"/>
      <c r="BR179" s="240"/>
      <c r="BS179" s="240"/>
      <c r="BT179" s="240"/>
      <c r="BU179" s="240"/>
      <c r="BV179" s="240"/>
      <c r="BW179" s="240"/>
    </row>
    <row r="180" spans="1:75" s="136" customFormat="1" ht="50.1" customHeight="1">
      <c r="A180" s="784"/>
      <c r="B180" s="787"/>
      <c r="C180" s="245">
        <v>4</v>
      </c>
      <c r="D180" s="246" t="s">
        <v>198</v>
      </c>
      <c r="E180" s="247"/>
      <c r="F180" s="247"/>
      <c r="G180" s="389" t="s">
        <v>292</v>
      </c>
      <c r="H180" s="315"/>
      <c r="I180" s="316"/>
      <c r="J180" s="245">
        <v>141.66999999999999</v>
      </c>
      <c r="K180" s="251">
        <v>1.4722555971096408E-2</v>
      </c>
      <c r="L180" s="245">
        <v>8.6999999999999993</v>
      </c>
      <c r="M180" s="337">
        <f t="shared" si="18"/>
        <v>1232.5289999999998</v>
      </c>
      <c r="N180" s="252"/>
      <c r="O180" s="799" t="s">
        <v>378</v>
      </c>
      <c r="P180" s="743"/>
      <c r="R180" s="240"/>
      <c r="S180" s="211"/>
      <c r="T180" s="211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40"/>
      <c r="BE180" s="240"/>
      <c r="BF180" s="240"/>
      <c r="BG180" s="240"/>
      <c r="BH180" s="240"/>
      <c r="BI180" s="240"/>
      <c r="BJ180" s="240"/>
      <c r="BK180" s="240"/>
      <c r="BL180" s="240"/>
      <c r="BM180" s="240"/>
      <c r="BN180" s="240"/>
      <c r="BO180" s="240"/>
      <c r="BP180" s="240"/>
      <c r="BQ180" s="240"/>
      <c r="BR180" s="240"/>
      <c r="BS180" s="240"/>
      <c r="BT180" s="240"/>
      <c r="BU180" s="240"/>
      <c r="BV180" s="240"/>
      <c r="BW180" s="240"/>
    </row>
    <row r="181" spans="1:75" s="136" customFormat="1" ht="50.1" customHeight="1" thickBot="1">
      <c r="A181" s="784"/>
      <c r="B181" s="787"/>
      <c r="C181" s="245">
        <v>5</v>
      </c>
      <c r="D181" s="253" t="s">
        <v>301</v>
      </c>
      <c r="E181" s="254"/>
      <c r="F181" s="254"/>
      <c r="G181" s="389" t="s">
        <v>302</v>
      </c>
      <c r="H181" s="315"/>
      <c r="I181" s="316"/>
      <c r="J181" s="256">
        <v>153.19000000000003</v>
      </c>
      <c r="K181" s="257">
        <v>3.5315722559683578E-2</v>
      </c>
      <c r="L181" s="256">
        <v>7.5</v>
      </c>
      <c r="M181" s="338">
        <f t="shared" si="18"/>
        <v>1148.9250000000002</v>
      </c>
      <c r="N181" s="252"/>
      <c r="O181" s="799" t="s">
        <v>392</v>
      </c>
      <c r="P181" s="743"/>
      <c r="R181" s="240"/>
      <c r="S181" s="451"/>
      <c r="T181" s="270"/>
      <c r="U181" s="240"/>
      <c r="V181" s="453"/>
      <c r="W181" s="240"/>
      <c r="X181" s="240"/>
      <c r="Y181" s="240"/>
      <c r="Z181" s="240"/>
      <c r="AA181" s="240"/>
      <c r="AB181" s="240"/>
      <c r="AC181" s="240"/>
      <c r="AD181" s="240"/>
      <c r="AE181" s="240"/>
      <c r="AF181" s="240"/>
      <c r="AG181" s="240"/>
      <c r="AH181" s="240"/>
      <c r="AI181" s="240"/>
      <c r="AJ181" s="240"/>
      <c r="AK181" s="240"/>
      <c r="AL181" s="240"/>
      <c r="AM181" s="240"/>
      <c r="AN181" s="240"/>
      <c r="AO181" s="240"/>
      <c r="AP181" s="240"/>
      <c r="AQ181" s="240"/>
      <c r="AR181" s="240"/>
      <c r="AS181" s="240"/>
      <c r="AT181" s="240"/>
      <c r="AU181" s="240"/>
      <c r="AV181" s="240"/>
      <c r="AW181" s="240"/>
      <c r="AX181" s="240"/>
      <c r="AY181" s="240"/>
      <c r="AZ181" s="240"/>
      <c r="BA181" s="240"/>
      <c r="BB181" s="240"/>
      <c r="BC181" s="240"/>
      <c r="BD181" s="240"/>
      <c r="BE181" s="240"/>
      <c r="BF181" s="240"/>
      <c r="BG181" s="240"/>
      <c r="BH181" s="240"/>
      <c r="BI181" s="240"/>
      <c r="BJ181" s="240"/>
      <c r="BK181" s="240"/>
      <c r="BL181" s="240"/>
      <c r="BM181" s="240"/>
      <c r="BN181" s="240"/>
      <c r="BO181" s="240"/>
      <c r="BP181" s="240"/>
      <c r="BQ181" s="240"/>
      <c r="BR181" s="240"/>
      <c r="BS181" s="240"/>
      <c r="BT181" s="240"/>
      <c r="BU181" s="240"/>
      <c r="BV181" s="240"/>
      <c r="BW181" s="240"/>
    </row>
    <row r="182" spans="1:75" s="136" customFormat="1" ht="15.75" customHeight="1" thickTop="1">
      <c r="A182" s="785"/>
      <c r="B182" s="788"/>
      <c r="C182" s="656"/>
      <c r="D182" s="657"/>
      <c r="E182" s="657"/>
      <c r="F182" s="657"/>
      <c r="G182" s="657"/>
      <c r="H182" s="657"/>
      <c r="I182" s="791"/>
      <c r="J182" s="258" t="s">
        <v>304</v>
      </c>
      <c r="K182" s="213">
        <f>M182/'生產管理報表 7-1 (週)'!$B$31</f>
        <v>0.1020835509051652</v>
      </c>
      <c r="L182" s="258" t="s">
        <v>305</v>
      </c>
      <c r="M182" s="339">
        <f>SUM(M177:M181)</f>
        <v>6336.9632000000001</v>
      </c>
      <c r="N182" s="758"/>
      <c r="O182" s="759"/>
      <c r="P182" s="760"/>
      <c r="R182" s="240"/>
      <c r="S182" s="211"/>
      <c r="T182" s="211"/>
      <c r="U182" s="240"/>
      <c r="V182" s="240"/>
      <c r="W182" s="240"/>
      <c r="X182" s="240"/>
      <c r="Y182" s="240"/>
      <c r="Z182" s="240"/>
      <c r="AA182" s="240"/>
      <c r="AB182" s="240"/>
      <c r="AC182" s="240"/>
      <c r="AD182" s="240"/>
      <c r="AE182" s="240"/>
      <c r="AF182" s="240"/>
      <c r="AG182" s="240"/>
      <c r="AH182" s="240"/>
      <c r="AI182" s="240"/>
      <c r="AJ182" s="240"/>
      <c r="AK182" s="240"/>
      <c r="AL182" s="240"/>
      <c r="AM182" s="240"/>
      <c r="AN182" s="240"/>
      <c r="AO182" s="240"/>
      <c r="AP182" s="240"/>
      <c r="AQ182" s="240"/>
      <c r="AR182" s="240"/>
      <c r="AS182" s="240"/>
      <c r="AT182" s="240"/>
      <c r="AU182" s="240"/>
      <c r="AV182" s="240"/>
      <c r="AW182" s="240"/>
      <c r="AX182" s="240"/>
      <c r="AY182" s="240"/>
      <c r="AZ182" s="240"/>
      <c r="BA182" s="240"/>
      <c r="BB182" s="240"/>
      <c r="BC182" s="240"/>
      <c r="BD182" s="240"/>
      <c r="BE182" s="240"/>
      <c r="BF182" s="240"/>
      <c r="BG182" s="240"/>
      <c r="BH182" s="240"/>
      <c r="BI182" s="240"/>
      <c r="BJ182" s="240"/>
      <c r="BK182" s="240"/>
      <c r="BL182" s="240"/>
      <c r="BM182" s="240"/>
      <c r="BN182" s="240"/>
      <c r="BO182" s="240"/>
      <c r="BP182" s="240"/>
      <c r="BQ182" s="240"/>
      <c r="BR182" s="240"/>
      <c r="BS182" s="240"/>
      <c r="BT182" s="240"/>
      <c r="BU182" s="240"/>
      <c r="BV182" s="240"/>
      <c r="BW182" s="240"/>
    </row>
    <row r="183" spans="1:75" s="136" customFormat="1" ht="15.75" customHeight="1">
      <c r="B183" s="241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60"/>
      <c r="O183" s="260"/>
      <c r="P183" s="260"/>
      <c r="R183" s="240"/>
      <c r="S183" s="270"/>
      <c r="T183" s="270"/>
      <c r="U183" s="240"/>
      <c r="V183" s="240"/>
      <c r="W183" s="240"/>
      <c r="X183" s="240"/>
      <c r="Y183" s="240"/>
      <c r="Z183" s="240"/>
      <c r="AA183" s="240"/>
      <c r="AB183" s="240"/>
      <c r="AC183" s="240"/>
      <c r="AD183" s="240"/>
      <c r="AE183" s="240"/>
      <c r="AF183" s="240"/>
      <c r="AG183" s="240"/>
      <c r="AH183" s="240"/>
      <c r="AI183" s="240"/>
      <c r="AJ183" s="240"/>
      <c r="AK183" s="240"/>
      <c r="AL183" s="240"/>
      <c r="AM183" s="240"/>
      <c r="AN183" s="240"/>
      <c r="AO183" s="240"/>
      <c r="AP183" s="240"/>
      <c r="AQ183" s="240"/>
      <c r="AR183" s="240"/>
      <c r="AS183" s="240"/>
      <c r="AT183" s="240"/>
      <c r="AU183" s="240"/>
      <c r="AV183" s="240"/>
      <c r="AW183" s="240"/>
      <c r="AX183" s="240"/>
      <c r="AY183" s="240"/>
      <c r="AZ183" s="240"/>
      <c r="BA183" s="240"/>
      <c r="BB183" s="240"/>
      <c r="BC183" s="240"/>
      <c r="BD183" s="240"/>
      <c r="BE183" s="240"/>
      <c r="BF183" s="240"/>
      <c r="BG183" s="240"/>
      <c r="BH183" s="240"/>
      <c r="BI183" s="240"/>
      <c r="BJ183" s="240"/>
      <c r="BK183" s="240"/>
      <c r="BL183" s="240"/>
      <c r="BM183" s="240"/>
      <c r="BN183" s="240"/>
      <c r="BO183" s="240"/>
      <c r="BP183" s="240"/>
      <c r="BQ183" s="240"/>
      <c r="BR183" s="240"/>
      <c r="BS183" s="240"/>
      <c r="BT183" s="240"/>
      <c r="BU183" s="240"/>
      <c r="BV183" s="240"/>
      <c r="BW183" s="240"/>
    </row>
    <row r="184" spans="1:75" s="136" customFormat="1" ht="15.75" customHeight="1">
      <c r="A184" s="740" t="s">
        <v>284</v>
      </c>
      <c r="B184" s="741"/>
      <c r="C184" s="261" t="s">
        <v>238</v>
      </c>
      <c r="D184" s="653" t="s">
        <v>239</v>
      </c>
      <c r="E184" s="654"/>
      <c r="F184" s="655"/>
      <c r="G184" s="653" t="s">
        <v>288</v>
      </c>
      <c r="H184" s="654"/>
      <c r="I184" s="655"/>
      <c r="J184" s="263" t="s">
        <v>289</v>
      </c>
      <c r="K184" s="263" t="s">
        <v>23</v>
      </c>
      <c r="L184" s="263" t="s">
        <v>290</v>
      </c>
      <c r="M184" s="263" t="s">
        <v>277</v>
      </c>
      <c r="N184" s="264" t="s">
        <v>253</v>
      </c>
      <c r="O184" s="749" t="s">
        <v>244</v>
      </c>
      <c r="P184" s="750"/>
      <c r="R184" s="240"/>
      <c r="S184" s="211"/>
      <c r="T184" s="211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</row>
    <row r="185" spans="1:75" s="136" customFormat="1" ht="20.100000000000001" customHeight="1">
      <c r="A185" s="783">
        <v>2</v>
      </c>
      <c r="B185" s="786" t="s">
        <v>306</v>
      </c>
      <c r="C185" s="265">
        <v>1</v>
      </c>
      <c r="D185" s="246"/>
      <c r="E185" s="247"/>
      <c r="F185" s="248"/>
      <c r="G185" s="246"/>
      <c r="H185" s="247"/>
      <c r="I185" s="248"/>
      <c r="J185" s="266"/>
      <c r="K185" s="267"/>
      <c r="L185" s="266"/>
      <c r="M185" s="268">
        <f t="shared" ref="M185:M189" si="19">L185*J185</f>
        <v>0</v>
      </c>
      <c r="N185" s="269"/>
      <c r="O185" s="751"/>
      <c r="P185" s="752"/>
      <c r="R185" s="240"/>
      <c r="S185" s="270"/>
      <c r="T185" s="270"/>
      <c r="U185" s="240"/>
      <c r="V185" s="240"/>
      <c r="W185" s="240"/>
      <c r="X185" s="240"/>
      <c r="Y185" s="240"/>
      <c r="Z185" s="240"/>
      <c r="AA185" s="240"/>
      <c r="AB185" s="240"/>
      <c r="AC185" s="240"/>
      <c r="AD185" s="240"/>
      <c r="AE185" s="240"/>
      <c r="AF185" s="240"/>
      <c r="AG185" s="240"/>
      <c r="AH185" s="240"/>
      <c r="AI185" s="240"/>
      <c r="AJ185" s="240"/>
    </row>
    <row r="186" spans="1:75" s="136" customFormat="1" ht="20.100000000000001" customHeight="1">
      <c r="A186" s="784"/>
      <c r="B186" s="787"/>
      <c r="C186" s="265">
        <v>2</v>
      </c>
      <c r="D186" s="246"/>
      <c r="E186" s="247"/>
      <c r="F186" s="248"/>
      <c r="G186" s="246"/>
      <c r="H186" s="247"/>
      <c r="I186" s="248"/>
      <c r="J186" s="266"/>
      <c r="K186" s="267"/>
      <c r="L186" s="266"/>
      <c r="M186" s="268">
        <f t="shared" si="19"/>
        <v>0</v>
      </c>
      <c r="N186" s="269"/>
      <c r="O186" s="751"/>
      <c r="P186" s="752"/>
      <c r="R186" s="240"/>
      <c r="S186" s="211"/>
      <c r="T186" s="211"/>
      <c r="U186" s="240"/>
      <c r="V186" s="240"/>
      <c r="W186" s="240"/>
      <c r="X186" s="240"/>
      <c r="Y186" s="240"/>
      <c r="Z186" s="240"/>
      <c r="AA186" s="240"/>
      <c r="AB186" s="240"/>
      <c r="AC186" s="240"/>
      <c r="AD186" s="240"/>
      <c r="AE186" s="240"/>
      <c r="AF186" s="240"/>
      <c r="AG186" s="240"/>
      <c r="AH186" s="240"/>
      <c r="AI186" s="240"/>
      <c r="AJ186" s="240"/>
    </row>
    <row r="187" spans="1:75" s="136" customFormat="1" ht="20.100000000000001" customHeight="1">
      <c r="A187" s="784"/>
      <c r="B187" s="787"/>
      <c r="C187" s="265">
        <v>3</v>
      </c>
      <c r="D187" s="246"/>
      <c r="E187" s="247"/>
      <c r="F187" s="248"/>
      <c r="G187" s="246"/>
      <c r="H187" s="247"/>
      <c r="I187" s="277"/>
      <c r="J187" s="266"/>
      <c r="K187" s="267"/>
      <c r="L187" s="266"/>
      <c r="M187" s="268">
        <f t="shared" si="19"/>
        <v>0</v>
      </c>
      <c r="N187" s="269"/>
      <c r="O187" s="751"/>
      <c r="P187" s="752"/>
      <c r="R187" s="240"/>
      <c r="S187" s="270"/>
      <c r="T187" s="270"/>
      <c r="U187" s="240"/>
      <c r="V187" s="240"/>
      <c r="W187" s="240"/>
      <c r="X187" s="240"/>
      <c r="Y187" s="240"/>
      <c r="Z187" s="240"/>
      <c r="AA187" s="240"/>
      <c r="AB187" s="240"/>
      <c r="AC187" s="240"/>
      <c r="AD187" s="240"/>
      <c r="AE187" s="240"/>
      <c r="AF187" s="240"/>
      <c r="AG187" s="240"/>
      <c r="AH187" s="240"/>
    </row>
    <row r="188" spans="1:75" s="136" customFormat="1" ht="20.100000000000001" customHeight="1">
      <c r="A188" s="784"/>
      <c r="B188" s="787"/>
      <c r="C188" s="265">
        <v>4</v>
      </c>
      <c r="D188" s="246"/>
      <c r="E188" s="247"/>
      <c r="F188" s="248"/>
      <c r="G188" s="246"/>
      <c r="H188" s="247"/>
      <c r="I188" s="248"/>
      <c r="J188" s="266"/>
      <c r="K188" s="267"/>
      <c r="L188" s="266"/>
      <c r="M188" s="268">
        <f t="shared" si="19"/>
        <v>0</v>
      </c>
      <c r="N188" s="269"/>
      <c r="O188" s="751"/>
      <c r="P188" s="752"/>
      <c r="R188" s="240"/>
      <c r="S188" s="211"/>
      <c r="T188" s="211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</row>
    <row r="189" spans="1:75" s="136" customFormat="1" ht="20.100000000000001" customHeight="1" thickBot="1">
      <c r="A189" s="784"/>
      <c r="B189" s="787"/>
      <c r="C189" s="271">
        <v>5</v>
      </c>
      <c r="D189" s="253"/>
      <c r="E189" s="254"/>
      <c r="F189" s="255"/>
      <c r="G189" s="246"/>
      <c r="H189" s="247"/>
      <c r="I189" s="248"/>
      <c r="J189" s="272"/>
      <c r="K189" s="273"/>
      <c r="L189" s="272"/>
      <c r="M189" s="274">
        <f t="shared" si="19"/>
        <v>0</v>
      </c>
      <c r="N189" s="275"/>
      <c r="O189" s="751"/>
      <c r="P189" s="752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0"/>
      <c r="AB189" s="240"/>
      <c r="AC189" s="240"/>
      <c r="AD189" s="240"/>
      <c r="AE189" s="240"/>
      <c r="AF189" s="240"/>
      <c r="AG189" s="240"/>
      <c r="AH189" s="240"/>
    </row>
    <row r="190" spans="1:75" s="136" customFormat="1" ht="15.75" customHeight="1" thickTop="1">
      <c r="A190" s="785"/>
      <c r="B190" s="788"/>
      <c r="C190" s="656"/>
      <c r="D190" s="657"/>
      <c r="E190" s="657"/>
      <c r="F190" s="657"/>
      <c r="G190" s="657"/>
      <c r="H190" s="657"/>
      <c r="I190" s="791"/>
      <c r="J190" s="258" t="s">
        <v>304</v>
      </c>
      <c r="K190" s="213">
        <f>M190/'生產管理報表 7-1 (週)'!$B$31</f>
        <v>0</v>
      </c>
      <c r="L190" s="258" t="s">
        <v>305</v>
      </c>
      <c r="M190" s="259">
        <f>SUM(M185:M189)</f>
        <v>0</v>
      </c>
      <c r="N190" s="753"/>
      <c r="O190" s="754"/>
      <c r="P190" s="755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0"/>
      <c r="AB190" s="240"/>
      <c r="AC190" s="240"/>
      <c r="AD190" s="240"/>
      <c r="AE190" s="240"/>
      <c r="AF190" s="240"/>
      <c r="AG190" s="240"/>
      <c r="AH190" s="240"/>
    </row>
    <row r="191" spans="1:75" s="136" customFormat="1" ht="15.75" customHeight="1">
      <c r="B191" s="241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76"/>
      <c r="O191" s="276"/>
      <c r="P191" s="276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0"/>
      <c r="AB191" s="240"/>
      <c r="AC191" s="240"/>
      <c r="AD191" s="240"/>
      <c r="AE191" s="240"/>
      <c r="AF191" s="240"/>
      <c r="AG191" s="240"/>
      <c r="AH191" s="240"/>
    </row>
    <row r="192" spans="1:75" s="136" customFormat="1" ht="15.75" customHeight="1">
      <c r="A192" s="740" t="s">
        <v>284</v>
      </c>
      <c r="B192" s="741"/>
      <c r="C192" s="261" t="s">
        <v>238</v>
      </c>
      <c r="D192" s="653" t="s">
        <v>239</v>
      </c>
      <c r="E192" s="654"/>
      <c r="F192" s="655"/>
      <c r="G192" s="653" t="s">
        <v>288</v>
      </c>
      <c r="H192" s="654"/>
      <c r="I192" s="782"/>
      <c r="J192" s="262" t="s">
        <v>289</v>
      </c>
      <c r="K192" s="263" t="s">
        <v>23</v>
      </c>
      <c r="L192" s="263" t="s">
        <v>290</v>
      </c>
      <c r="M192" s="263" t="s">
        <v>277</v>
      </c>
      <c r="N192" s="264" t="s">
        <v>253</v>
      </c>
      <c r="O192" s="747" t="s">
        <v>244</v>
      </c>
      <c r="P192" s="748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0"/>
      <c r="AB192" s="240"/>
      <c r="AC192" s="240"/>
      <c r="AD192" s="240"/>
      <c r="AE192" s="240"/>
      <c r="AF192" s="240"/>
      <c r="AG192" s="240"/>
      <c r="AH192" s="240"/>
      <c r="AI192" s="240"/>
      <c r="AJ192" s="240"/>
    </row>
    <row r="193" spans="1:75" s="136" customFormat="1" ht="50.1" customHeight="1">
      <c r="A193" s="783">
        <v>3</v>
      </c>
      <c r="B193" s="786" t="s">
        <v>307</v>
      </c>
      <c r="C193" s="265">
        <v>1</v>
      </c>
      <c r="D193" s="246" t="s">
        <v>308</v>
      </c>
      <c r="E193" s="247"/>
      <c r="F193" s="248"/>
      <c r="G193" s="316" t="s">
        <v>309</v>
      </c>
      <c r="H193" s="315"/>
      <c r="I193" s="316"/>
      <c r="J193" s="266">
        <v>122.81999999999996</v>
      </c>
      <c r="K193" s="267">
        <v>2.3120536043001256E-2</v>
      </c>
      <c r="L193" s="266">
        <v>9.42</v>
      </c>
      <c r="M193" s="340">
        <f t="shared" ref="M193:M197" si="20">L193*J193</f>
        <v>1156.9643999999996</v>
      </c>
      <c r="N193" s="279"/>
      <c r="O193" s="789" t="s">
        <v>361</v>
      </c>
      <c r="P193" s="79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</row>
    <row r="194" spans="1:75" s="136" customFormat="1" ht="50.1" customHeight="1">
      <c r="A194" s="784"/>
      <c r="B194" s="787"/>
      <c r="C194" s="265">
        <v>2</v>
      </c>
      <c r="D194" s="246" t="s">
        <v>311</v>
      </c>
      <c r="E194" s="247"/>
      <c r="F194" s="248"/>
      <c r="G194" s="316" t="s">
        <v>312</v>
      </c>
      <c r="H194" s="315"/>
      <c r="I194" s="316"/>
      <c r="J194" s="266">
        <v>1.17</v>
      </c>
      <c r="K194" s="267">
        <v>5.4085518178069898E-3</v>
      </c>
      <c r="L194" s="266">
        <v>892</v>
      </c>
      <c r="M194" s="340">
        <f t="shared" si="20"/>
        <v>1043.6399999999999</v>
      </c>
      <c r="N194" s="279"/>
      <c r="O194" s="742" t="s">
        <v>363</v>
      </c>
      <c r="P194" s="743"/>
      <c r="R194" s="240"/>
      <c r="S194" s="240"/>
      <c r="T194"/>
      <c r="U194" s="240"/>
      <c r="V194" s="240"/>
      <c r="W194" s="240"/>
      <c r="X194" s="240"/>
      <c r="Y194" s="240"/>
      <c r="Z194" s="240"/>
      <c r="AA194" s="240"/>
      <c r="AB194" s="240"/>
      <c r="AC194" s="240"/>
      <c r="AD194" s="240"/>
      <c r="AE194" s="240"/>
      <c r="AF194" s="240"/>
      <c r="AG194" s="240"/>
      <c r="AH194" s="240"/>
      <c r="AI194" s="240"/>
      <c r="AJ194" s="240"/>
    </row>
    <row r="195" spans="1:75" s="136" customFormat="1" ht="50.1" customHeight="1">
      <c r="A195" s="784"/>
      <c r="B195" s="787"/>
      <c r="C195" s="265">
        <v>3</v>
      </c>
      <c r="D195" s="246"/>
      <c r="E195" s="247"/>
      <c r="F195" s="248"/>
      <c r="G195" s="390"/>
      <c r="H195" s="391"/>
      <c r="I195" s="426"/>
      <c r="J195" s="266"/>
      <c r="K195" s="267"/>
      <c r="L195" s="266"/>
      <c r="M195" s="340">
        <f t="shared" si="20"/>
        <v>0</v>
      </c>
      <c r="N195" s="279"/>
      <c r="O195" s="742"/>
      <c r="P195" s="743"/>
      <c r="R195" s="240"/>
      <c r="S195" s="240"/>
      <c r="T195"/>
      <c r="U195" s="240"/>
      <c r="V195" s="240"/>
      <c r="W195" s="240"/>
      <c r="X195" s="240"/>
      <c r="Y195" s="240"/>
      <c r="Z195" s="240"/>
      <c r="AA195" s="240"/>
      <c r="AB195" s="240"/>
      <c r="AC195" s="240"/>
      <c r="AD195" s="240"/>
      <c r="AE195" s="240"/>
      <c r="AF195" s="240"/>
      <c r="AG195" s="240"/>
      <c r="AH195" s="240"/>
      <c r="AI195" s="240"/>
      <c r="AJ195" s="240"/>
    </row>
    <row r="196" spans="1:75" s="136" customFormat="1" ht="30" customHeight="1">
      <c r="A196" s="784"/>
      <c r="B196" s="787"/>
      <c r="C196" s="265">
        <v>4</v>
      </c>
      <c r="D196" s="246"/>
      <c r="E196" s="247"/>
      <c r="F196" s="248"/>
      <c r="G196" s="323"/>
      <c r="H196" s="324"/>
      <c r="I196" s="325"/>
      <c r="J196" s="278"/>
      <c r="K196" s="267"/>
      <c r="L196" s="266"/>
      <c r="M196" s="340">
        <f t="shared" si="20"/>
        <v>0</v>
      </c>
      <c r="N196" s="279"/>
      <c r="O196" s="742"/>
      <c r="P196" s="743"/>
      <c r="R196" s="240"/>
      <c r="S196" s="240"/>
      <c r="T196"/>
      <c r="U196" s="240"/>
      <c r="V196" s="240"/>
      <c r="W196" s="240"/>
      <c r="X196" s="240"/>
      <c r="Y196" s="240"/>
      <c r="Z196" s="240"/>
      <c r="AA196" s="240"/>
      <c r="AB196" s="240"/>
      <c r="AC196" s="240"/>
      <c r="AD196" s="240"/>
      <c r="AE196" s="240"/>
      <c r="AF196" s="240"/>
      <c r="AG196" s="240"/>
      <c r="AH196" s="240"/>
      <c r="AI196" s="240"/>
      <c r="AJ196" s="240"/>
    </row>
    <row r="197" spans="1:75" s="136" customFormat="1" ht="30" customHeight="1" thickBot="1">
      <c r="A197" s="784"/>
      <c r="B197" s="787"/>
      <c r="C197" s="271">
        <v>5</v>
      </c>
      <c r="D197" s="253"/>
      <c r="E197" s="254"/>
      <c r="F197" s="255"/>
      <c r="G197" s="420"/>
      <c r="H197" s="421"/>
      <c r="I197" s="422"/>
      <c r="J197" s="281"/>
      <c r="K197" s="273"/>
      <c r="L197" s="282"/>
      <c r="M197" s="340">
        <f t="shared" si="20"/>
        <v>0</v>
      </c>
      <c r="N197" s="279"/>
      <c r="O197" s="742"/>
      <c r="P197" s="743"/>
      <c r="R197" s="240"/>
      <c r="S197" s="240"/>
      <c r="T197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</row>
    <row r="198" spans="1:75" s="136" customFormat="1" ht="15.75" customHeight="1" thickTop="1">
      <c r="A198" s="785"/>
      <c r="B198" s="788"/>
      <c r="C198" s="656"/>
      <c r="D198" s="657"/>
      <c r="E198" s="657"/>
      <c r="F198" s="657"/>
      <c r="G198" s="657"/>
      <c r="H198" s="657"/>
      <c r="I198" s="791"/>
      <c r="J198" s="283" t="s">
        <v>304</v>
      </c>
      <c r="K198" s="213">
        <f>M198/'生產管理報表 7-1 (週)'!$B$31</f>
        <v>3.5450026171767964E-2</v>
      </c>
      <c r="L198" s="283" t="s">
        <v>305</v>
      </c>
      <c r="M198" s="341">
        <f>SUM(M193:M197)</f>
        <v>2200.6043999999993</v>
      </c>
      <c r="N198" s="744"/>
      <c r="O198" s="745"/>
      <c r="P198" s="746"/>
      <c r="R198" s="240"/>
      <c r="S198" s="240"/>
      <c r="T198"/>
      <c r="U198" s="240"/>
      <c r="V198" s="240"/>
      <c r="W198" s="240"/>
      <c r="X198" s="240"/>
      <c r="Y198" s="240"/>
      <c r="Z198" s="240"/>
      <c r="AA198" s="240"/>
      <c r="AB198" s="240"/>
      <c r="AC198" s="240"/>
      <c r="AD198" s="240"/>
      <c r="AE198" s="240"/>
      <c r="AF198" s="240"/>
      <c r="AG198" s="240"/>
      <c r="AH198" s="240"/>
      <c r="AI198" s="240"/>
      <c r="AJ198" s="240"/>
    </row>
    <row r="199" spans="1:75" s="136" customFormat="1" ht="15.75" customHeight="1">
      <c r="A199" s="802" t="s">
        <v>393</v>
      </c>
      <c r="B199" s="802"/>
      <c r="C199" s="802"/>
      <c r="D199" s="802"/>
      <c r="E199" s="802"/>
      <c r="F199" s="802"/>
      <c r="G199" s="802"/>
      <c r="H199" s="802"/>
      <c r="I199" s="802"/>
      <c r="J199" s="802"/>
      <c r="K199" s="802"/>
      <c r="L199" s="802"/>
      <c r="M199" s="802"/>
      <c r="R199" s="240"/>
      <c r="S199" s="240"/>
      <c r="T199" s="240"/>
      <c r="U199" s="240"/>
    </row>
    <row r="200" spans="1:75" s="137" customFormat="1" ht="15.75" customHeight="1">
      <c r="A200" s="737"/>
      <c r="B200" s="737"/>
      <c r="C200" s="737"/>
      <c r="D200" s="737"/>
      <c r="E200" s="737"/>
      <c r="F200" s="737"/>
      <c r="G200" s="737"/>
      <c r="H200" s="737"/>
      <c r="I200" s="737"/>
      <c r="J200" s="737"/>
      <c r="K200" s="737"/>
      <c r="L200" s="737"/>
      <c r="M200" s="737"/>
    </row>
    <row r="201" spans="1:75" s="136" customFormat="1" ht="15.75" customHeight="1">
      <c r="A201" s="738" t="s">
        <v>284</v>
      </c>
      <c r="B201" s="731">
        <v>1</v>
      </c>
      <c r="C201" s="732"/>
      <c r="D201" s="731">
        <v>2</v>
      </c>
      <c r="E201" s="732"/>
      <c r="F201" s="731">
        <v>3</v>
      </c>
      <c r="G201" s="732"/>
      <c r="H201" s="740">
        <v>4</v>
      </c>
      <c r="I201" s="741"/>
      <c r="J201" s="740">
        <v>5</v>
      </c>
      <c r="K201" s="741"/>
      <c r="L201" s="740">
        <v>6</v>
      </c>
      <c r="M201" s="741"/>
      <c r="N201" s="740">
        <v>7</v>
      </c>
      <c r="O201" s="741"/>
      <c r="P201" s="740">
        <v>8</v>
      </c>
      <c r="Q201" s="741"/>
      <c r="R201" s="240"/>
      <c r="S201" s="240"/>
      <c r="T201" s="240"/>
      <c r="U201" s="240"/>
    </row>
    <row r="202" spans="1:75" s="136" customFormat="1" ht="15.75" customHeight="1">
      <c r="A202" s="739"/>
      <c r="B202" s="733" t="s">
        <v>273</v>
      </c>
      <c r="C202" s="734"/>
      <c r="D202" s="733" t="s">
        <v>285</v>
      </c>
      <c r="E202" s="734"/>
      <c r="F202" s="733" t="s">
        <v>275</v>
      </c>
      <c r="G202" s="734"/>
      <c r="H202" s="735" t="s">
        <v>286</v>
      </c>
      <c r="I202" s="736"/>
      <c r="J202" s="735" t="s">
        <v>280</v>
      </c>
      <c r="K202" s="736"/>
      <c r="L202" s="735" t="s">
        <v>281</v>
      </c>
      <c r="M202" s="736"/>
      <c r="N202" s="735" t="s">
        <v>282</v>
      </c>
      <c r="O202" s="736"/>
      <c r="P202" s="800" t="s">
        <v>287</v>
      </c>
      <c r="Q202" s="801"/>
      <c r="R202" s="240"/>
      <c r="S202" s="240"/>
      <c r="T202" s="240"/>
      <c r="U202" s="240"/>
    </row>
    <row r="203" spans="1:75" s="136" customFormat="1" ht="15.75" customHeight="1">
      <c r="B203" s="241"/>
      <c r="C203" s="242"/>
      <c r="R203" s="240"/>
      <c r="S203" s="240"/>
      <c r="T203" s="240"/>
      <c r="U203" s="240"/>
    </row>
    <row r="204" spans="1:75" s="244" customFormat="1" ht="15.75" customHeight="1">
      <c r="A204" s="740" t="s">
        <v>284</v>
      </c>
      <c r="B204" s="741"/>
      <c r="C204" s="243" t="s">
        <v>238</v>
      </c>
      <c r="D204" s="792" t="s">
        <v>239</v>
      </c>
      <c r="E204" s="654"/>
      <c r="F204" s="782"/>
      <c r="G204" s="793" t="s">
        <v>288</v>
      </c>
      <c r="H204" s="794"/>
      <c r="I204" s="795"/>
      <c r="J204" s="243" t="s">
        <v>289</v>
      </c>
      <c r="K204" s="243" t="s">
        <v>23</v>
      </c>
      <c r="L204" s="243" t="s">
        <v>290</v>
      </c>
      <c r="M204" s="243" t="s">
        <v>277</v>
      </c>
      <c r="N204" s="243" t="s">
        <v>253</v>
      </c>
      <c r="O204" s="796" t="s">
        <v>244</v>
      </c>
      <c r="P204" s="797"/>
    </row>
    <row r="205" spans="1:75" s="136" customFormat="1" ht="50.1" customHeight="1">
      <c r="A205" s="783">
        <v>1</v>
      </c>
      <c r="B205" s="786" t="s">
        <v>291</v>
      </c>
      <c r="C205" s="245">
        <v>1</v>
      </c>
      <c r="D205" s="246" t="s">
        <v>198</v>
      </c>
      <c r="E205" s="247"/>
      <c r="F205" s="247"/>
      <c r="G205" s="389" t="s">
        <v>292</v>
      </c>
      <c r="H205" s="315"/>
      <c r="I205" s="316"/>
      <c r="J205" s="245">
        <v>141.66999999999999</v>
      </c>
      <c r="K205" s="251">
        <v>1.2528056097525197E-2</v>
      </c>
      <c r="L205" s="245">
        <v>8.5400000000000009</v>
      </c>
      <c r="M205" s="337">
        <f>L205*J205</f>
        <v>1209.8618000000001</v>
      </c>
      <c r="N205" s="252"/>
      <c r="O205" s="722" t="s">
        <v>378</v>
      </c>
      <c r="P205" s="723"/>
      <c r="R205" s="240"/>
      <c r="S205" s="451"/>
      <c r="T205" s="270"/>
      <c r="U205" s="240"/>
    </row>
    <row r="206" spans="1:75" s="136" customFormat="1" ht="50.1" customHeight="1">
      <c r="A206" s="784"/>
      <c r="B206" s="787"/>
      <c r="C206" s="245">
        <v>2</v>
      </c>
      <c r="D206" s="246" t="s">
        <v>216</v>
      </c>
      <c r="E206" s="247"/>
      <c r="F206" s="247"/>
      <c r="G206" s="389" t="s">
        <v>373</v>
      </c>
      <c r="H206" s="315"/>
      <c r="I206" s="316"/>
      <c r="J206" s="245">
        <v>181.60999999999999</v>
      </c>
      <c r="K206" s="251">
        <v>1.394852032588435E-2</v>
      </c>
      <c r="L206" s="245">
        <v>6.66</v>
      </c>
      <c r="M206" s="337">
        <f t="shared" ref="M206:M209" si="21">L206*J206</f>
        <v>1209.5226</v>
      </c>
      <c r="N206" s="252"/>
      <c r="O206" s="798" t="s">
        <v>374</v>
      </c>
      <c r="P206" s="790"/>
      <c r="R206" s="240"/>
      <c r="S206" s="452"/>
      <c r="T206" s="452"/>
      <c r="U206" s="240"/>
      <c r="V206" s="240"/>
      <c r="W206" s="240"/>
      <c r="X206" s="240"/>
      <c r="Y206" s="240"/>
      <c r="Z206" s="240"/>
      <c r="AA206" s="240"/>
      <c r="AB206" s="240"/>
      <c r="AC206" s="240"/>
      <c r="AD206" s="240"/>
      <c r="AE206" s="240"/>
      <c r="AF206" s="240"/>
      <c r="AG206" s="240"/>
      <c r="AH206" s="240"/>
      <c r="AI206" s="240"/>
      <c r="AJ206" s="240"/>
      <c r="AK206" s="240"/>
      <c r="AL206" s="240"/>
      <c r="AM206" s="240"/>
      <c r="AN206" s="240"/>
      <c r="AO206" s="240"/>
      <c r="AP206" s="240"/>
      <c r="AQ206" s="240"/>
      <c r="AR206" s="240"/>
      <c r="AS206" s="240"/>
      <c r="AT206" s="240"/>
      <c r="AU206" s="240"/>
      <c r="AV206" s="240"/>
      <c r="AW206" s="240"/>
      <c r="AX206" s="240"/>
      <c r="AY206" s="240"/>
      <c r="AZ206" s="240"/>
      <c r="BA206" s="240"/>
      <c r="BB206" s="240"/>
      <c r="BC206" s="240"/>
      <c r="BD206" s="240"/>
      <c r="BE206" s="240"/>
      <c r="BF206" s="240"/>
      <c r="BG206" s="240"/>
      <c r="BH206" s="240"/>
      <c r="BI206" s="240"/>
      <c r="BJ206" s="240"/>
      <c r="BK206" s="240"/>
      <c r="BL206" s="240"/>
      <c r="BM206" s="240"/>
      <c r="BN206" s="240"/>
      <c r="BO206" s="240"/>
      <c r="BP206" s="240"/>
      <c r="BQ206" s="240"/>
      <c r="BR206" s="240"/>
      <c r="BS206" s="240"/>
      <c r="BT206" s="240"/>
      <c r="BU206" s="240"/>
      <c r="BV206" s="240"/>
      <c r="BW206" s="240"/>
    </row>
    <row r="207" spans="1:75" s="136" customFormat="1" ht="50.1" customHeight="1">
      <c r="A207" s="784"/>
      <c r="B207" s="787"/>
      <c r="C207" s="245">
        <v>3</v>
      </c>
      <c r="D207" s="246" t="s">
        <v>226</v>
      </c>
      <c r="E207" s="247"/>
      <c r="F207" s="247"/>
      <c r="G207" s="389" t="s">
        <v>391</v>
      </c>
      <c r="H207" s="315"/>
      <c r="I207" s="316"/>
      <c r="J207" s="245">
        <v>210.74</v>
      </c>
      <c r="K207" s="251">
        <v>2.5002189333566863E-2</v>
      </c>
      <c r="L207" s="245">
        <v>5.71</v>
      </c>
      <c r="M207" s="337">
        <f t="shared" si="21"/>
        <v>1203.3253999999999</v>
      </c>
      <c r="N207" s="252"/>
      <c r="O207" s="799" t="s">
        <v>361</v>
      </c>
      <c r="P207" s="743"/>
      <c r="R207" s="240"/>
      <c r="S207" s="451"/>
      <c r="T207" s="451"/>
      <c r="U207" s="240"/>
      <c r="V207" s="240"/>
      <c r="W207" s="240"/>
      <c r="X207" s="240"/>
      <c r="Y207" s="240"/>
      <c r="Z207" s="240"/>
      <c r="AA207" s="240"/>
      <c r="AB207" s="240"/>
      <c r="AC207" s="240"/>
      <c r="AD207" s="240"/>
      <c r="AE207" s="240"/>
      <c r="AF207" s="240"/>
      <c r="AG207" s="240"/>
      <c r="AH207" s="240"/>
      <c r="AI207" s="240"/>
      <c r="AJ207" s="240"/>
      <c r="AK207" s="240"/>
      <c r="AL207" s="240"/>
      <c r="AM207" s="240"/>
      <c r="AN207" s="240"/>
      <c r="AO207" s="240"/>
      <c r="AP207" s="240"/>
      <c r="AQ207" s="240"/>
      <c r="AR207" s="240"/>
      <c r="AS207" s="240"/>
      <c r="AT207" s="240"/>
      <c r="AU207" s="240"/>
      <c r="AV207" s="240"/>
      <c r="AW207" s="240"/>
      <c r="AX207" s="240"/>
      <c r="AY207" s="240"/>
      <c r="AZ207" s="240"/>
      <c r="BA207" s="240"/>
      <c r="BB207" s="240"/>
      <c r="BC207" s="240"/>
      <c r="BD207" s="240"/>
      <c r="BE207" s="240"/>
      <c r="BF207" s="240"/>
      <c r="BG207" s="240"/>
      <c r="BH207" s="240"/>
      <c r="BI207" s="240"/>
      <c r="BJ207" s="240"/>
      <c r="BK207" s="240"/>
      <c r="BL207" s="240"/>
      <c r="BM207" s="240"/>
      <c r="BN207" s="240"/>
      <c r="BO207" s="240"/>
      <c r="BP207" s="240"/>
      <c r="BQ207" s="240"/>
      <c r="BR207" s="240"/>
      <c r="BS207" s="240"/>
      <c r="BT207" s="240"/>
      <c r="BU207" s="240"/>
      <c r="BV207" s="240"/>
      <c r="BW207" s="240"/>
    </row>
    <row r="208" spans="1:75" s="136" customFormat="1" ht="50.1" customHeight="1">
      <c r="A208" s="784"/>
      <c r="B208" s="787"/>
      <c r="C208" s="245">
        <v>4</v>
      </c>
      <c r="D208" s="246" t="s">
        <v>301</v>
      </c>
      <c r="E208" s="247"/>
      <c r="F208" s="247"/>
      <c r="G208" s="389" t="s">
        <v>302</v>
      </c>
      <c r="H208" s="315"/>
      <c r="I208" s="316"/>
      <c r="J208" s="245">
        <v>153.19000000000003</v>
      </c>
      <c r="K208" s="251">
        <v>2.8893734798289022E-2</v>
      </c>
      <c r="L208" s="245">
        <v>6.8900000000000006</v>
      </c>
      <c r="M208" s="337">
        <f t="shared" si="21"/>
        <v>1055.4791000000002</v>
      </c>
      <c r="N208" s="252"/>
      <c r="O208" s="799" t="s">
        <v>392</v>
      </c>
      <c r="P208" s="743"/>
      <c r="R208" s="240"/>
      <c r="S208" s="452"/>
      <c r="T208" s="452"/>
      <c r="U208" s="240"/>
      <c r="V208" s="240"/>
      <c r="W208" s="240"/>
      <c r="X208" s="240"/>
      <c r="Y208" s="240"/>
      <c r="Z208" s="240"/>
      <c r="AA208" s="240"/>
      <c r="AB208" s="240"/>
      <c r="AC208" s="240"/>
      <c r="AD208" s="240"/>
      <c r="AE208" s="240"/>
      <c r="AF208" s="240"/>
      <c r="AG208" s="240"/>
      <c r="AH208" s="240"/>
      <c r="AI208" s="240"/>
      <c r="AJ208" s="240"/>
      <c r="AK208" s="240"/>
      <c r="AL208" s="240"/>
      <c r="AM208" s="240"/>
      <c r="AN208" s="240"/>
      <c r="AO208" s="240"/>
      <c r="AP208" s="240"/>
      <c r="AQ208" s="240"/>
      <c r="AR208" s="240"/>
      <c r="AS208" s="240"/>
      <c r="AT208" s="240"/>
      <c r="AU208" s="240"/>
      <c r="AV208" s="240"/>
      <c r="AW208" s="240"/>
      <c r="AX208" s="240"/>
      <c r="AY208" s="240"/>
      <c r="AZ208" s="240"/>
      <c r="BA208" s="240"/>
      <c r="BB208" s="240"/>
      <c r="BC208" s="240"/>
      <c r="BD208" s="240"/>
      <c r="BE208" s="240"/>
      <c r="BF208" s="240"/>
      <c r="BG208" s="240"/>
      <c r="BH208" s="240"/>
      <c r="BI208" s="240"/>
      <c r="BJ208" s="240"/>
      <c r="BK208" s="240"/>
      <c r="BL208" s="240"/>
      <c r="BM208" s="240"/>
      <c r="BN208" s="240"/>
      <c r="BO208" s="240"/>
      <c r="BP208" s="240"/>
      <c r="BQ208" s="240"/>
      <c r="BR208" s="240"/>
      <c r="BS208" s="240"/>
      <c r="BT208" s="240"/>
      <c r="BU208" s="240"/>
      <c r="BV208" s="240"/>
      <c r="BW208" s="240"/>
    </row>
    <row r="209" spans="1:75" s="136" customFormat="1" ht="50.1" customHeight="1" thickBot="1">
      <c r="A209" s="784"/>
      <c r="B209" s="787"/>
      <c r="C209" s="245">
        <v>5</v>
      </c>
      <c r="D209" s="253" t="s">
        <v>209</v>
      </c>
      <c r="E209" s="254"/>
      <c r="F209" s="254"/>
      <c r="G209" s="389" t="s">
        <v>296</v>
      </c>
      <c r="H209" s="315"/>
      <c r="I209" s="316"/>
      <c r="J209" s="256">
        <v>253.92000000000002</v>
      </c>
      <c r="K209" s="257">
        <v>1.4976372228280624E-2</v>
      </c>
      <c r="L209" s="256">
        <v>4.12</v>
      </c>
      <c r="M209" s="338">
        <f t="shared" si="21"/>
        <v>1046.1504</v>
      </c>
      <c r="N209" s="252"/>
      <c r="O209" s="799" t="s">
        <v>389</v>
      </c>
      <c r="P209" s="743"/>
      <c r="R209" s="240"/>
      <c r="S209" s="451"/>
      <c r="T209" s="270"/>
      <c r="U209" s="240"/>
      <c r="V209" s="453"/>
      <c r="W209" s="240"/>
      <c r="X209" s="240"/>
      <c r="Y209" s="240"/>
      <c r="Z209" s="240"/>
      <c r="AA209" s="240"/>
      <c r="AB209" s="240"/>
      <c r="AC209" s="240"/>
      <c r="AD209" s="240"/>
      <c r="AE209" s="240"/>
      <c r="AF209" s="240"/>
      <c r="AG209" s="240"/>
      <c r="AH209" s="240"/>
      <c r="AI209" s="240"/>
      <c r="AJ209" s="240"/>
      <c r="AK209" s="240"/>
      <c r="AL209" s="240"/>
      <c r="AM209" s="240"/>
      <c r="AN209" s="240"/>
      <c r="AO209" s="240"/>
      <c r="AP209" s="240"/>
      <c r="AQ209" s="240"/>
      <c r="AR209" s="240"/>
      <c r="AS209" s="240"/>
      <c r="AT209" s="240"/>
      <c r="AU209" s="240"/>
      <c r="AV209" s="240"/>
      <c r="AW209" s="240"/>
      <c r="AX209" s="240"/>
      <c r="AY209" s="240"/>
      <c r="AZ209" s="240"/>
      <c r="BA209" s="240"/>
      <c r="BB209" s="240"/>
      <c r="BC209" s="240"/>
      <c r="BD209" s="240"/>
      <c r="BE209" s="240"/>
      <c r="BF209" s="240"/>
      <c r="BG209" s="240"/>
      <c r="BH209" s="240"/>
      <c r="BI209" s="240"/>
      <c r="BJ209" s="240"/>
      <c r="BK209" s="240"/>
      <c r="BL209" s="240"/>
      <c r="BM209" s="240"/>
      <c r="BN209" s="240"/>
      <c r="BO209" s="240"/>
      <c r="BP209" s="240"/>
      <c r="BQ209" s="240"/>
      <c r="BR209" s="240"/>
      <c r="BS209" s="240"/>
      <c r="BT209" s="240"/>
      <c r="BU209" s="240"/>
      <c r="BV209" s="240"/>
      <c r="BW209" s="240"/>
    </row>
    <row r="210" spans="1:75" s="136" customFormat="1" ht="15.75" customHeight="1" thickTop="1">
      <c r="A210" s="785"/>
      <c r="B210" s="788"/>
      <c r="C210" s="656"/>
      <c r="D210" s="657"/>
      <c r="E210" s="657"/>
      <c r="F210" s="657"/>
      <c r="G210" s="657"/>
      <c r="H210" s="657"/>
      <c r="I210" s="791"/>
      <c r="J210" s="258" t="s">
        <v>304</v>
      </c>
      <c r="K210" s="213">
        <f>M210/'生產管理報表 7-1 (週)'!$B$42</f>
        <v>8.7748870358892769E-2</v>
      </c>
      <c r="L210" s="258" t="s">
        <v>305</v>
      </c>
      <c r="M210" s="339">
        <f>SUM(M205:M209)</f>
        <v>5724.3392999999996</v>
      </c>
      <c r="N210" s="758"/>
      <c r="O210" s="759"/>
      <c r="P210" s="760"/>
      <c r="R210" s="240"/>
      <c r="S210" s="211"/>
      <c r="T210" s="211"/>
      <c r="U210" s="240"/>
      <c r="V210" s="240"/>
      <c r="W210" s="240"/>
      <c r="X210" s="240"/>
      <c r="Y210" s="240"/>
      <c r="Z210" s="240"/>
      <c r="AA210" s="240"/>
      <c r="AB210" s="240"/>
      <c r="AC210" s="240"/>
      <c r="AD210" s="240"/>
      <c r="AE210" s="240"/>
      <c r="AF210" s="240"/>
      <c r="AG210" s="240"/>
      <c r="AH210" s="240"/>
      <c r="AI210" s="240"/>
      <c r="AJ210" s="240"/>
      <c r="AK210" s="240"/>
      <c r="AL210" s="240"/>
      <c r="AM210" s="240"/>
      <c r="AN210" s="240"/>
      <c r="AO210" s="240"/>
      <c r="AP210" s="240"/>
      <c r="AQ210" s="240"/>
      <c r="AR210" s="240"/>
      <c r="AS210" s="240"/>
      <c r="AT210" s="240"/>
      <c r="AU210" s="240"/>
      <c r="AV210" s="240"/>
      <c r="AW210" s="240"/>
      <c r="AX210" s="240"/>
      <c r="AY210" s="240"/>
      <c r="AZ210" s="240"/>
      <c r="BA210" s="240"/>
      <c r="BB210" s="240"/>
      <c r="BC210" s="240"/>
      <c r="BD210" s="240"/>
      <c r="BE210" s="240"/>
      <c r="BF210" s="240"/>
      <c r="BG210" s="240"/>
      <c r="BH210" s="240"/>
      <c r="BI210" s="240"/>
      <c r="BJ210" s="240"/>
      <c r="BK210" s="240"/>
      <c r="BL210" s="240"/>
      <c r="BM210" s="240"/>
      <c r="BN210" s="240"/>
      <c r="BO210" s="240"/>
      <c r="BP210" s="240"/>
      <c r="BQ210" s="240"/>
      <c r="BR210" s="240"/>
      <c r="BS210" s="240"/>
      <c r="BT210" s="240"/>
      <c r="BU210" s="240"/>
      <c r="BV210" s="240"/>
      <c r="BW210" s="240"/>
    </row>
    <row r="211" spans="1:75" s="136" customFormat="1" ht="15.75" customHeight="1">
      <c r="B211" s="241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60"/>
      <c r="O211" s="260"/>
      <c r="P211" s="260"/>
      <c r="R211" s="240"/>
      <c r="S211" s="270"/>
      <c r="T211" s="270"/>
      <c r="U211" s="240"/>
      <c r="V211" s="240"/>
      <c r="W211" s="240"/>
      <c r="X211" s="240"/>
      <c r="Y211" s="240"/>
      <c r="Z211" s="240"/>
      <c r="AA211" s="240"/>
      <c r="AB211" s="240"/>
      <c r="AC211" s="240"/>
      <c r="AD211" s="240"/>
      <c r="AE211" s="240"/>
      <c r="AF211" s="240"/>
      <c r="AG211" s="240"/>
      <c r="AH211" s="240"/>
      <c r="AI211" s="240"/>
      <c r="AJ211" s="240"/>
      <c r="AK211" s="240"/>
      <c r="AL211" s="240"/>
      <c r="AM211" s="240"/>
      <c r="AN211" s="240"/>
      <c r="AO211" s="240"/>
      <c r="AP211" s="240"/>
      <c r="AQ211" s="240"/>
      <c r="AR211" s="240"/>
      <c r="AS211" s="240"/>
      <c r="AT211" s="240"/>
      <c r="AU211" s="240"/>
      <c r="AV211" s="240"/>
      <c r="AW211" s="240"/>
      <c r="AX211" s="240"/>
      <c r="AY211" s="240"/>
      <c r="AZ211" s="240"/>
      <c r="BA211" s="240"/>
      <c r="BB211" s="240"/>
      <c r="BC211" s="240"/>
      <c r="BD211" s="240"/>
      <c r="BE211" s="240"/>
      <c r="BF211" s="240"/>
      <c r="BG211" s="240"/>
      <c r="BH211" s="240"/>
      <c r="BI211" s="240"/>
      <c r="BJ211" s="240"/>
      <c r="BK211" s="240"/>
      <c r="BL211" s="240"/>
      <c r="BM211" s="240"/>
      <c r="BN211" s="240"/>
      <c r="BO211" s="240"/>
      <c r="BP211" s="240"/>
      <c r="BQ211" s="240"/>
      <c r="BR211" s="240"/>
      <c r="BS211" s="240"/>
      <c r="BT211" s="240"/>
      <c r="BU211" s="240"/>
      <c r="BV211" s="240"/>
      <c r="BW211" s="240"/>
    </row>
    <row r="212" spans="1:75" s="136" customFormat="1" ht="15.75" customHeight="1">
      <c r="A212" s="740" t="s">
        <v>284</v>
      </c>
      <c r="B212" s="741"/>
      <c r="C212" s="261" t="s">
        <v>238</v>
      </c>
      <c r="D212" s="653" t="s">
        <v>239</v>
      </c>
      <c r="E212" s="654"/>
      <c r="F212" s="655"/>
      <c r="G212" s="653" t="s">
        <v>288</v>
      </c>
      <c r="H212" s="654"/>
      <c r="I212" s="655"/>
      <c r="J212" s="263" t="s">
        <v>289</v>
      </c>
      <c r="K212" s="263" t="s">
        <v>23</v>
      </c>
      <c r="L212" s="263" t="s">
        <v>290</v>
      </c>
      <c r="M212" s="263" t="s">
        <v>277</v>
      </c>
      <c r="N212" s="264" t="s">
        <v>253</v>
      </c>
      <c r="O212" s="749" t="s">
        <v>244</v>
      </c>
      <c r="P212" s="750"/>
      <c r="R212" s="240"/>
      <c r="S212" s="211"/>
      <c r="T212" s="211"/>
      <c r="U212" s="240"/>
      <c r="V212" s="240"/>
      <c r="W212" s="240"/>
      <c r="X212" s="240"/>
      <c r="Y212" s="240"/>
      <c r="Z212" s="240"/>
      <c r="AA212" s="240"/>
      <c r="AB212" s="240"/>
      <c r="AC212" s="240"/>
      <c r="AD212" s="240"/>
      <c r="AE212" s="240"/>
      <c r="AF212" s="240"/>
      <c r="AG212" s="240"/>
      <c r="AH212" s="240"/>
      <c r="AI212" s="240"/>
      <c r="AJ212" s="240"/>
    </row>
    <row r="213" spans="1:75" s="136" customFormat="1" ht="20.100000000000001" customHeight="1">
      <c r="A213" s="783">
        <v>2</v>
      </c>
      <c r="B213" s="786" t="s">
        <v>306</v>
      </c>
      <c r="C213" s="265">
        <v>1</v>
      </c>
      <c r="D213" s="246"/>
      <c r="E213" s="247"/>
      <c r="F213" s="248"/>
      <c r="G213" s="246"/>
      <c r="H213" s="247"/>
      <c r="I213" s="248"/>
      <c r="J213" s="266"/>
      <c r="K213" s="267"/>
      <c r="L213" s="266"/>
      <c r="M213" s="268">
        <f t="shared" ref="M213:M217" si="22">L213*J213</f>
        <v>0</v>
      </c>
      <c r="N213" s="269"/>
      <c r="O213" s="751"/>
      <c r="P213" s="752"/>
      <c r="R213" s="240"/>
      <c r="S213" s="270"/>
      <c r="T213" s="270"/>
      <c r="U213" s="240"/>
      <c r="V213" s="240"/>
      <c r="W213" s="240"/>
      <c r="X213" s="240"/>
      <c r="Y213" s="240"/>
      <c r="Z213" s="240"/>
      <c r="AA213" s="240"/>
      <c r="AB213" s="240"/>
      <c r="AC213" s="240"/>
      <c r="AD213" s="240"/>
      <c r="AE213" s="240"/>
      <c r="AF213" s="240"/>
      <c r="AG213" s="240"/>
      <c r="AH213" s="240"/>
      <c r="AI213" s="240"/>
      <c r="AJ213" s="240"/>
    </row>
    <row r="214" spans="1:75" s="136" customFormat="1" ht="20.100000000000001" customHeight="1">
      <c r="A214" s="784"/>
      <c r="B214" s="787"/>
      <c r="C214" s="265">
        <v>2</v>
      </c>
      <c r="D214" s="246"/>
      <c r="E214" s="247"/>
      <c r="F214" s="248"/>
      <c r="G214" s="246"/>
      <c r="H214" s="247"/>
      <c r="I214" s="248"/>
      <c r="J214" s="266"/>
      <c r="K214" s="267"/>
      <c r="L214" s="266"/>
      <c r="M214" s="268">
        <f t="shared" si="22"/>
        <v>0</v>
      </c>
      <c r="N214" s="269"/>
      <c r="O214" s="751"/>
      <c r="P214" s="752"/>
      <c r="R214" s="240"/>
      <c r="S214" s="211"/>
      <c r="T214" s="211"/>
      <c r="U214" s="240"/>
      <c r="V214" s="240"/>
      <c r="W214" s="240"/>
      <c r="X214" s="240"/>
      <c r="Y214" s="240"/>
      <c r="Z214" s="240"/>
      <c r="AA214" s="240"/>
      <c r="AB214" s="240"/>
      <c r="AC214" s="240"/>
      <c r="AD214" s="240"/>
      <c r="AE214" s="240"/>
      <c r="AF214" s="240"/>
      <c r="AG214" s="240"/>
      <c r="AH214" s="240"/>
      <c r="AI214" s="240"/>
      <c r="AJ214" s="240"/>
    </row>
    <row r="215" spans="1:75" s="136" customFormat="1" ht="20.100000000000001" customHeight="1">
      <c r="A215" s="784"/>
      <c r="B215" s="787"/>
      <c r="C215" s="265">
        <v>3</v>
      </c>
      <c r="D215" s="246"/>
      <c r="E215" s="247"/>
      <c r="F215" s="248"/>
      <c r="G215" s="246"/>
      <c r="H215" s="247"/>
      <c r="I215" s="277"/>
      <c r="J215" s="266"/>
      <c r="K215" s="267"/>
      <c r="L215" s="266"/>
      <c r="M215" s="268">
        <f t="shared" si="22"/>
        <v>0</v>
      </c>
      <c r="N215" s="269"/>
      <c r="O215" s="751"/>
      <c r="P215" s="752"/>
      <c r="R215" s="240"/>
      <c r="S215" s="270"/>
      <c r="T215" s="270"/>
      <c r="U215" s="240"/>
      <c r="V215" s="240"/>
      <c r="W215" s="240"/>
      <c r="X215" s="240"/>
      <c r="Y215" s="240"/>
      <c r="Z215" s="240"/>
      <c r="AA215" s="240"/>
      <c r="AB215" s="240"/>
      <c r="AC215" s="240"/>
      <c r="AD215" s="240"/>
      <c r="AE215" s="240"/>
      <c r="AF215" s="240"/>
      <c r="AG215" s="240"/>
      <c r="AH215" s="240"/>
    </row>
    <row r="216" spans="1:75" s="136" customFormat="1" ht="20.100000000000001" customHeight="1">
      <c r="A216" s="784"/>
      <c r="B216" s="787"/>
      <c r="C216" s="265">
        <v>4</v>
      </c>
      <c r="D216" s="246"/>
      <c r="E216" s="247"/>
      <c r="F216" s="248"/>
      <c r="G216" s="246"/>
      <c r="H216" s="247"/>
      <c r="I216" s="248"/>
      <c r="J216" s="266"/>
      <c r="K216" s="267"/>
      <c r="L216" s="266"/>
      <c r="M216" s="268">
        <f t="shared" si="22"/>
        <v>0</v>
      </c>
      <c r="N216" s="269"/>
      <c r="O216" s="751"/>
      <c r="P216" s="752"/>
      <c r="R216" s="240"/>
      <c r="S216" s="211"/>
      <c r="T216" s="211"/>
      <c r="U216" s="240"/>
      <c r="V216" s="240"/>
      <c r="W216" s="240"/>
      <c r="X216" s="240"/>
      <c r="Y216" s="240"/>
      <c r="Z216" s="240"/>
      <c r="AA216" s="240"/>
      <c r="AB216" s="240"/>
      <c r="AC216" s="240"/>
      <c r="AD216" s="240"/>
      <c r="AE216" s="240"/>
      <c r="AF216" s="240"/>
      <c r="AG216" s="240"/>
      <c r="AH216" s="240"/>
    </row>
    <row r="217" spans="1:75" s="136" customFormat="1" ht="20.100000000000001" customHeight="1" thickBot="1">
      <c r="A217" s="784"/>
      <c r="B217" s="787"/>
      <c r="C217" s="271">
        <v>5</v>
      </c>
      <c r="D217" s="253"/>
      <c r="E217" s="254"/>
      <c r="F217" s="255"/>
      <c r="G217" s="246"/>
      <c r="H217" s="247"/>
      <c r="I217" s="248"/>
      <c r="J217" s="272"/>
      <c r="K217" s="273"/>
      <c r="L217" s="272"/>
      <c r="M217" s="274">
        <f t="shared" si="22"/>
        <v>0</v>
      </c>
      <c r="N217" s="275"/>
      <c r="O217" s="751"/>
      <c r="P217" s="752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  <c r="AC217" s="240"/>
      <c r="AD217" s="240"/>
      <c r="AE217" s="240"/>
      <c r="AF217" s="240"/>
      <c r="AG217" s="240"/>
      <c r="AH217" s="240"/>
    </row>
    <row r="218" spans="1:75" s="136" customFormat="1" ht="15.75" customHeight="1" thickTop="1">
      <c r="A218" s="785"/>
      <c r="B218" s="788"/>
      <c r="C218" s="656"/>
      <c r="D218" s="657"/>
      <c r="E218" s="657"/>
      <c r="F218" s="657"/>
      <c r="G218" s="657"/>
      <c r="H218" s="657"/>
      <c r="I218" s="791"/>
      <c r="J218" s="258" t="s">
        <v>304</v>
      </c>
      <c r="K218" s="213">
        <f>M218/'生產管理報表 7-1 (週)'!$B$42</f>
        <v>0</v>
      </c>
      <c r="L218" s="258" t="s">
        <v>305</v>
      </c>
      <c r="M218" s="259">
        <f>SUM(M213:M217)</f>
        <v>0</v>
      </c>
      <c r="N218" s="753"/>
      <c r="O218" s="754"/>
      <c r="P218" s="755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  <c r="AC218" s="240"/>
      <c r="AD218" s="240"/>
      <c r="AE218" s="240"/>
      <c r="AF218" s="240"/>
      <c r="AG218" s="240"/>
      <c r="AH218" s="240"/>
    </row>
    <row r="219" spans="1:75" s="136" customFormat="1" ht="15.75" customHeight="1">
      <c r="B219" s="241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76"/>
      <c r="O219" s="276"/>
      <c r="P219" s="276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  <c r="AC219" s="240"/>
      <c r="AD219" s="240"/>
      <c r="AE219" s="240"/>
      <c r="AF219" s="240"/>
      <c r="AG219" s="240"/>
      <c r="AH219" s="240"/>
    </row>
    <row r="220" spans="1:75" s="136" customFormat="1" ht="15.75" customHeight="1">
      <c r="A220" s="740" t="s">
        <v>284</v>
      </c>
      <c r="B220" s="741"/>
      <c r="C220" s="261" t="s">
        <v>238</v>
      </c>
      <c r="D220" s="653" t="s">
        <v>239</v>
      </c>
      <c r="E220" s="654"/>
      <c r="F220" s="655"/>
      <c r="G220" s="653" t="s">
        <v>288</v>
      </c>
      <c r="H220" s="654"/>
      <c r="I220" s="782"/>
      <c r="J220" s="262" t="s">
        <v>289</v>
      </c>
      <c r="K220" s="263" t="s">
        <v>23</v>
      </c>
      <c r="L220" s="263" t="s">
        <v>290</v>
      </c>
      <c r="M220" s="263" t="s">
        <v>277</v>
      </c>
      <c r="N220" s="264" t="s">
        <v>253</v>
      </c>
      <c r="O220" s="747" t="s">
        <v>244</v>
      </c>
      <c r="P220" s="748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  <c r="AB220" s="240"/>
      <c r="AC220" s="240"/>
      <c r="AD220" s="240"/>
      <c r="AE220" s="240"/>
      <c r="AF220" s="240"/>
      <c r="AG220" s="240"/>
      <c r="AH220" s="240"/>
      <c r="AI220" s="240"/>
      <c r="AJ220" s="240"/>
    </row>
    <row r="221" spans="1:75" s="136" customFormat="1" ht="50.1" customHeight="1">
      <c r="A221" s="783">
        <v>3</v>
      </c>
      <c r="B221" s="786" t="s">
        <v>307</v>
      </c>
      <c r="C221" s="265">
        <v>1</v>
      </c>
      <c r="D221" s="246" t="s">
        <v>311</v>
      </c>
      <c r="E221" s="247"/>
      <c r="F221" s="248"/>
      <c r="G221" s="316" t="s">
        <v>314</v>
      </c>
      <c r="H221" s="315"/>
      <c r="I221" s="316"/>
      <c r="J221" s="266">
        <v>2.4499999999999997</v>
      </c>
      <c r="K221" s="267">
        <v>4.9174052589735281E-3</v>
      </c>
      <c r="L221" s="266">
        <v>501</v>
      </c>
      <c r="M221" s="340">
        <f t="shared" ref="M221:M225" si="23">L221*J221</f>
        <v>1227.4499999999998</v>
      </c>
      <c r="N221" s="279"/>
      <c r="O221" s="789" t="s">
        <v>362</v>
      </c>
      <c r="P221" s="790"/>
      <c r="R221" s="240"/>
      <c r="S221" s="453"/>
      <c r="T221" s="453"/>
      <c r="U221" s="240"/>
      <c r="V221" s="240"/>
      <c r="W221" s="240"/>
      <c r="X221" s="240"/>
      <c r="Y221" s="240"/>
      <c r="Z221" s="240"/>
      <c r="AA221" s="240"/>
      <c r="AB221" s="240"/>
      <c r="AC221" s="240"/>
      <c r="AD221" s="240"/>
      <c r="AE221" s="240"/>
      <c r="AF221" s="240"/>
      <c r="AG221" s="240"/>
      <c r="AH221" s="240"/>
      <c r="AI221" s="240"/>
      <c r="AJ221" s="240"/>
    </row>
    <row r="222" spans="1:75" s="136" customFormat="1" ht="50.1" customHeight="1">
      <c r="A222" s="784"/>
      <c r="B222" s="787"/>
      <c r="C222" s="265">
        <v>2</v>
      </c>
      <c r="D222" s="246" t="s">
        <v>311</v>
      </c>
      <c r="E222" s="247"/>
      <c r="F222" s="248"/>
      <c r="G222" s="316" t="s">
        <v>312</v>
      </c>
      <c r="H222" s="315"/>
      <c r="I222" s="316"/>
      <c r="J222" s="266">
        <v>1.17</v>
      </c>
      <c r="K222" s="267">
        <v>5.6505567712410087E-3</v>
      </c>
      <c r="L222" s="266">
        <v>989</v>
      </c>
      <c r="M222" s="340">
        <f t="shared" si="23"/>
        <v>1157.1299999999999</v>
      </c>
      <c r="N222" s="279"/>
      <c r="O222" s="742" t="s">
        <v>363</v>
      </c>
      <c r="P222" s="743"/>
      <c r="R222" s="240"/>
      <c r="S222" s="453"/>
      <c r="T222" s="460"/>
      <c r="U222" s="240"/>
      <c r="V222" s="240"/>
      <c r="W222" s="240"/>
      <c r="X222" s="240"/>
      <c r="Y222" s="240"/>
      <c r="Z222" s="240"/>
      <c r="AA222" s="240"/>
      <c r="AB222" s="240"/>
      <c r="AC222" s="240"/>
      <c r="AD222" s="240"/>
      <c r="AE222" s="240"/>
      <c r="AF222" s="240"/>
      <c r="AG222" s="240"/>
      <c r="AH222" s="240"/>
      <c r="AI222" s="240"/>
      <c r="AJ222" s="240"/>
    </row>
    <row r="223" spans="1:75" s="136" customFormat="1" ht="50.1" customHeight="1">
      <c r="A223" s="784"/>
      <c r="B223" s="787"/>
      <c r="C223" s="265">
        <v>3</v>
      </c>
      <c r="D223" s="246" t="s">
        <v>308</v>
      </c>
      <c r="E223" s="247"/>
      <c r="F223" s="248"/>
      <c r="G223" s="426" t="s">
        <v>309</v>
      </c>
      <c r="H223" s="391"/>
      <c r="I223" s="426"/>
      <c r="J223" s="266">
        <v>122.81999999999996</v>
      </c>
      <c r="K223" s="267">
        <v>1.9199309279287466E-2</v>
      </c>
      <c r="L223" s="266">
        <v>8.4499999999999993</v>
      </c>
      <c r="M223" s="340">
        <f t="shared" si="23"/>
        <v>1037.8289999999997</v>
      </c>
      <c r="N223" s="279"/>
      <c r="O223" s="742" t="s">
        <v>361</v>
      </c>
      <c r="P223" s="743"/>
      <c r="R223" s="240"/>
      <c r="S223" s="453"/>
      <c r="T223" s="460"/>
      <c r="U223" s="240"/>
      <c r="V223" s="240"/>
      <c r="W223" s="240"/>
      <c r="X223" s="240"/>
      <c r="Y223" s="240"/>
      <c r="Z223" s="240"/>
      <c r="AA223" s="240"/>
      <c r="AB223" s="240"/>
      <c r="AC223" s="240"/>
      <c r="AD223" s="240"/>
      <c r="AE223" s="240"/>
      <c r="AF223" s="240"/>
      <c r="AG223" s="240"/>
      <c r="AH223" s="240"/>
      <c r="AI223" s="240"/>
      <c r="AJ223" s="240"/>
    </row>
    <row r="224" spans="1:75" s="136" customFormat="1" ht="30" customHeight="1">
      <c r="A224" s="784"/>
      <c r="B224" s="787"/>
      <c r="C224" s="265">
        <v>4</v>
      </c>
      <c r="D224" s="246"/>
      <c r="E224" s="247"/>
      <c r="F224" s="248"/>
      <c r="G224" s="323"/>
      <c r="H224" s="324"/>
      <c r="I224" s="325"/>
      <c r="J224" s="278"/>
      <c r="K224" s="267"/>
      <c r="L224" s="266"/>
      <c r="M224" s="340">
        <f t="shared" si="23"/>
        <v>0</v>
      </c>
      <c r="N224" s="279"/>
      <c r="O224" s="742"/>
      <c r="P224" s="743"/>
      <c r="R224" s="240"/>
      <c r="S224" s="240"/>
      <c r="T224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</row>
    <row r="225" spans="1:75" s="136" customFormat="1" ht="30" customHeight="1" thickBot="1">
      <c r="A225" s="784"/>
      <c r="B225" s="787"/>
      <c r="C225" s="271">
        <v>5</v>
      </c>
      <c r="D225" s="253"/>
      <c r="E225" s="254"/>
      <c r="F225" s="255"/>
      <c r="G225" s="420"/>
      <c r="H225" s="421"/>
      <c r="I225" s="422"/>
      <c r="J225" s="281"/>
      <c r="K225" s="273"/>
      <c r="L225" s="282"/>
      <c r="M225" s="340">
        <f t="shared" si="23"/>
        <v>0</v>
      </c>
      <c r="N225" s="279"/>
      <c r="O225" s="742"/>
      <c r="P225" s="743"/>
      <c r="R225" s="240"/>
      <c r="S225" s="240"/>
      <c r="T225"/>
      <c r="U225" s="240"/>
      <c r="V225" s="240"/>
      <c r="W225" s="240"/>
      <c r="X225" s="240"/>
      <c r="Y225" s="240"/>
      <c r="Z225" s="240"/>
      <c r="AA225" s="240"/>
      <c r="AB225" s="240"/>
      <c r="AC225" s="240"/>
      <c r="AD225" s="240"/>
      <c r="AE225" s="240"/>
      <c r="AF225" s="240"/>
      <c r="AG225" s="240"/>
      <c r="AH225" s="240"/>
      <c r="AI225" s="240"/>
      <c r="AJ225" s="240"/>
    </row>
    <row r="226" spans="1:75" s="136" customFormat="1" ht="15.75" customHeight="1" thickTop="1">
      <c r="A226" s="785"/>
      <c r="B226" s="788"/>
      <c r="C226" s="656"/>
      <c r="D226" s="657"/>
      <c r="E226" s="657"/>
      <c r="F226" s="657"/>
      <c r="G226" s="657"/>
      <c r="H226" s="657"/>
      <c r="I226" s="791"/>
      <c r="J226" s="283" t="s">
        <v>304</v>
      </c>
      <c r="K226" s="213">
        <f>M226/'生產管理報表 7-1 (週)'!$B$42</f>
        <v>5.2462390490393855E-2</v>
      </c>
      <c r="L226" s="283" t="s">
        <v>305</v>
      </c>
      <c r="M226" s="341">
        <f>SUM(M221:M225)</f>
        <v>3422.4089999999997</v>
      </c>
      <c r="N226" s="744"/>
      <c r="O226" s="745"/>
      <c r="P226" s="746"/>
      <c r="R226" s="240"/>
      <c r="S226" s="240"/>
      <c r="T226"/>
      <c r="U226" s="240"/>
      <c r="V226" s="240"/>
      <c r="W226" s="240"/>
      <c r="X226" s="240"/>
      <c r="Y226" s="240"/>
      <c r="Z226" s="240"/>
      <c r="AA226" s="240"/>
      <c r="AB226" s="240"/>
      <c r="AC226" s="240"/>
      <c r="AD226" s="240"/>
      <c r="AE226" s="240"/>
      <c r="AF226" s="240"/>
      <c r="AG226" s="240"/>
      <c r="AH226" s="240"/>
      <c r="AI226" s="240"/>
      <c r="AJ226" s="240"/>
    </row>
    <row r="227" spans="1:75" s="136" customFormat="1" ht="15.75" customHeight="1">
      <c r="A227" s="802" t="s">
        <v>394</v>
      </c>
      <c r="B227" s="802"/>
      <c r="C227" s="802"/>
      <c r="D227" s="802"/>
      <c r="E227" s="802"/>
      <c r="F227" s="802"/>
      <c r="G227" s="802"/>
      <c r="H227" s="802"/>
      <c r="I227" s="802"/>
      <c r="J227" s="802"/>
      <c r="K227" s="802"/>
      <c r="L227" s="802"/>
      <c r="M227" s="802"/>
      <c r="R227" s="240"/>
      <c r="S227" s="240"/>
      <c r="T227" s="240"/>
      <c r="U227" s="240"/>
    </row>
    <row r="228" spans="1:75" s="137" customFormat="1" ht="15.75" customHeight="1">
      <c r="A228" s="737"/>
      <c r="B228" s="737"/>
      <c r="C228" s="737"/>
      <c r="D228" s="737"/>
      <c r="E228" s="737"/>
      <c r="F228" s="737"/>
      <c r="G228" s="737"/>
      <c r="H228" s="737"/>
      <c r="I228" s="737"/>
      <c r="J228" s="737"/>
      <c r="K228" s="737"/>
      <c r="L228" s="737"/>
      <c r="M228" s="737"/>
    </row>
    <row r="229" spans="1:75" s="136" customFormat="1" ht="15.75" customHeight="1">
      <c r="A229" s="738" t="s">
        <v>284</v>
      </c>
      <c r="B229" s="731">
        <v>1</v>
      </c>
      <c r="C229" s="732"/>
      <c r="D229" s="731">
        <v>2</v>
      </c>
      <c r="E229" s="732"/>
      <c r="F229" s="731">
        <v>3</v>
      </c>
      <c r="G229" s="732"/>
      <c r="H229" s="740">
        <v>4</v>
      </c>
      <c r="I229" s="741"/>
      <c r="J229" s="740">
        <v>5</v>
      </c>
      <c r="K229" s="741"/>
      <c r="L229" s="740">
        <v>6</v>
      </c>
      <c r="M229" s="741"/>
      <c r="N229" s="740">
        <v>7</v>
      </c>
      <c r="O229" s="741"/>
      <c r="P229" s="740">
        <v>8</v>
      </c>
      <c r="Q229" s="741"/>
      <c r="R229" s="240"/>
      <c r="S229" s="240"/>
      <c r="T229" s="240"/>
      <c r="U229" s="240"/>
    </row>
    <row r="230" spans="1:75" s="136" customFormat="1" ht="15.75" customHeight="1">
      <c r="A230" s="739"/>
      <c r="B230" s="733" t="s">
        <v>273</v>
      </c>
      <c r="C230" s="734"/>
      <c r="D230" s="733" t="s">
        <v>285</v>
      </c>
      <c r="E230" s="734"/>
      <c r="F230" s="733" t="s">
        <v>275</v>
      </c>
      <c r="G230" s="734"/>
      <c r="H230" s="735" t="s">
        <v>286</v>
      </c>
      <c r="I230" s="736"/>
      <c r="J230" s="735" t="s">
        <v>280</v>
      </c>
      <c r="K230" s="736"/>
      <c r="L230" s="735" t="s">
        <v>281</v>
      </c>
      <c r="M230" s="736"/>
      <c r="N230" s="735" t="s">
        <v>282</v>
      </c>
      <c r="O230" s="736"/>
      <c r="P230" s="800" t="s">
        <v>287</v>
      </c>
      <c r="Q230" s="801"/>
      <c r="R230" s="240"/>
      <c r="S230" s="240"/>
      <c r="T230" s="240"/>
      <c r="U230" s="240"/>
    </row>
    <row r="231" spans="1:75" s="136" customFormat="1" ht="15.75" customHeight="1">
      <c r="B231" s="241"/>
      <c r="C231" s="242"/>
      <c r="R231" s="240"/>
      <c r="S231" s="240"/>
      <c r="T231" s="240"/>
      <c r="U231" s="240"/>
    </row>
    <row r="232" spans="1:75" s="244" customFormat="1" ht="15.75" customHeight="1">
      <c r="A232" s="740" t="s">
        <v>284</v>
      </c>
      <c r="B232" s="741"/>
      <c r="C232" s="243" t="s">
        <v>238</v>
      </c>
      <c r="D232" s="792" t="s">
        <v>239</v>
      </c>
      <c r="E232" s="654"/>
      <c r="F232" s="782"/>
      <c r="G232" s="793" t="s">
        <v>288</v>
      </c>
      <c r="H232" s="794"/>
      <c r="I232" s="795"/>
      <c r="J232" s="243" t="s">
        <v>289</v>
      </c>
      <c r="K232" s="243" t="s">
        <v>23</v>
      </c>
      <c r="L232" s="243" t="s">
        <v>290</v>
      </c>
      <c r="M232" s="243" t="s">
        <v>277</v>
      </c>
      <c r="N232" s="243" t="s">
        <v>253</v>
      </c>
      <c r="O232" s="796" t="s">
        <v>244</v>
      </c>
      <c r="P232" s="797"/>
    </row>
    <row r="233" spans="1:75" s="136" customFormat="1" ht="50.1" customHeight="1">
      <c r="A233" s="783">
        <v>1</v>
      </c>
      <c r="B233" s="786" t="s">
        <v>291</v>
      </c>
      <c r="C233" s="245">
        <v>1</v>
      </c>
      <c r="D233" s="246" t="s">
        <v>216</v>
      </c>
      <c r="E233" s="247"/>
      <c r="F233" s="247"/>
      <c r="G233" s="389" t="s">
        <v>373</v>
      </c>
      <c r="H233" s="315"/>
      <c r="I233" s="316"/>
      <c r="J233" s="245">
        <v>181.60999999999999</v>
      </c>
      <c r="K233" s="251">
        <v>1.9298533147586661E-2</v>
      </c>
      <c r="L233" s="245">
        <v>9.4200000000000017</v>
      </c>
      <c r="M233" s="337">
        <f>L233*J233</f>
        <v>1710.7662000000003</v>
      </c>
      <c r="N233" s="252"/>
      <c r="O233" s="722" t="s">
        <v>374</v>
      </c>
      <c r="P233" s="723"/>
      <c r="R233" s="240"/>
      <c r="S233" s="451"/>
      <c r="T233" s="270"/>
      <c r="U233" s="240"/>
    </row>
    <row r="234" spans="1:75" s="136" customFormat="1" ht="50.1" customHeight="1">
      <c r="A234" s="784"/>
      <c r="B234" s="787"/>
      <c r="C234" s="245">
        <v>2</v>
      </c>
      <c r="D234" s="246" t="s">
        <v>198</v>
      </c>
      <c r="E234" s="247"/>
      <c r="F234" s="247"/>
      <c r="G234" s="389" t="s">
        <v>292</v>
      </c>
      <c r="H234" s="315"/>
      <c r="I234" s="316"/>
      <c r="J234" s="245">
        <v>141.66999999999999</v>
      </c>
      <c r="K234" s="251">
        <v>1.2015080998218453E-2</v>
      </c>
      <c r="L234" s="245">
        <v>8.6999999999999993</v>
      </c>
      <c r="M234" s="337">
        <f t="shared" ref="M234:M237" si="24">L234*J234</f>
        <v>1232.5289999999998</v>
      </c>
      <c r="N234" s="252"/>
      <c r="O234" s="798" t="s">
        <v>378</v>
      </c>
      <c r="P234" s="790"/>
      <c r="R234" s="240"/>
      <c r="S234" s="452"/>
      <c r="T234" s="452"/>
      <c r="U234" s="240"/>
      <c r="V234" s="240"/>
      <c r="W234" s="240"/>
      <c r="X234" s="240"/>
      <c r="Y234" s="240"/>
      <c r="Z234" s="240"/>
      <c r="AA234" s="240"/>
      <c r="AB234" s="240"/>
      <c r="AC234" s="240"/>
      <c r="AD234" s="240"/>
      <c r="AE234" s="240"/>
      <c r="AF234" s="240"/>
      <c r="AG234" s="240"/>
      <c r="AH234" s="240"/>
      <c r="AI234" s="240"/>
      <c r="AJ234" s="240"/>
      <c r="AK234" s="240"/>
      <c r="AL234" s="240"/>
      <c r="AM234" s="240"/>
      <c r="AN234" s="240"/>
      <c r="AO234" s="240"/>
      <c r="AP234" s="240"/>
      <c r="AQ234" s="240"/>
      <c r="AR234" s="240"/>
      <c r="AS234" s="240"/>
      <c r="AT234" s="240"/>
      <c r="AU234" s="240"/>
      <c r="AV234" s="240"/>
      <c r="AW234" s="240"/>
      <c r="AX234" s="240"/>
      <c r="AY234" s="240"/>
      <c r="AZ234" s="240"/>
      <c r="BA234" s="240"/>
      <c r="BB234" s="240"/>
      <c r="BC234" s="240"/>
      <c r="BD234" s="240"/>
      <c r="BE234" s="240"/>
      <c r="BF234" s="240"/>
      <c r="BG234" s="240"/>
      <c r="BH234" s="240"/>
      <c r="BI234" s="240"/>
      <c r="BJ234" s="240"/>
      <c r="BK234" s="240"/>
      <c r="BL234" s="240"/>
      <c r="BM234" s="240"/>
      <c r="BN234" s="240"/>
      <c r="BO234" s="240"/>
      <c r="BP234" s="240"/>
      <c r="BQ234" s="240"/>
      <c r="BR234" s="240"/>
      <c r="BS234" s="240"/>
      <c r="BT234" s="240"/>
      <c r="BU234" s="240"/>
      <c r="BV234" s="240"/>
      <c r="BW234" s="240"/>
    </row>
    <row r="235" spans="1:75" s="136" customFormat="1" ht="50.1" customHeight="1">
      <c r="A235" s="784"/>
      <c r="B235" s="787"/>
      <c r="C235" s="245">
        <v>3</v>
      </c>
      <c r="D235" s="246" t="s">
        <v>209</v>
      </c>
      <c r="E235" s="247"/>
      <c r="F235" s="247"/>
      <c r="G235" s="389" t="s">
        <v>296</v>
      </c>
      <c r="H235" s="315"/>
      <c r="I235" s="316"/>
      <c r="J235" s="245">
        <v>253.92000000000002</v>
      </c>
      <c r="K235" s="251">
        <v>1.5468094852189845E-2</v>
      </c>
      <c r="L235" s="245">
        <v>4.3899999999999997</v>
      </c>
      <c r="M235" s="337">
        <f t="shared" si="24"/>
        <v>1114.7087999999999</v>
      </c>
      <c r="N235" s="252"/>
      <c r="O235" s="799" t="s">
        <v>389</v>
      </c>
      <c r="P235" s="743"/>
      <c r="R235" s="240"/>
      <c r="S235" s="451"/>
      <c r="T235" s="451"/>
      <c r="U235" s="240"/>
      <c r="V235" s="240"/>
      <c r="W235" s="240"/>
      <c r="X235" s="240"/>
      <c r="Y235" s="240"/>
      <c r="Z235" s="240"/>
      <c r="AA235" s="240"/>
      <c r="AB235" s="240"/>
      <c r="AC235" s="240"/>
      <c r="AD235" s="240"/>
      <c r="AE235" s="240"/>
      <c r="AF235" s="240"/>
      <c r="AG235" s="240"/>
      <c r="AH235" s="240"/>
      <c r="AI235" s="240"/>
      <c r="AJ235" s="240"/>
      <c r="AK235" s="240"/>
      <c r="AL235" s="240"/>
      <c r="AM235" s="240"/>
      <c r="AN235" s="240"/>
      <c r="AO235" s="240"/>
      <c r="AP235" s="240"/>
      <c r="AQ235" s="240"/>
      <c r="AR235" s="240"/>
      <c r="AS235" s="240"/>
      <c r="AT235" s="240"/>
      <c r="AU235" s="240"/>
      <c r="AV235" s="240"/>
      <c r="AW235" s="240"/>
      <c r="AX235" s="240"/>
      <c r="AY235" s="240"/>
      <c r="AZ235" s="240"/>
      <c r="BA235" s="240"/>
      <c r="BB235" s="240"/>
      <c r="BC235" s="240"/>
      <c r="BD235" s="240"/>
      <c r="BE235" s="240"/>
      <c r="BF235" s="240"/>
      <c r="BG235" s="240"/>
      <c r="BH235" s="240"/>
      <c r="BI235" s="240"/>
      <c r="BJ235" s="240"/>
      <c r="BK235" s="240"/>
      <c r="BL235" s="240"/>
      <c r="BM235" s="240"/>
      <c r="BN235" s="240"/>
      <c r="BO235" s="240"/>
      <c r="BP235" s="240"/>
      <c r="BQ235" s="240"/>
      <c r="BR235" s="240"/>
      <c r="BS235" s="240"/>
      <c r="BT235" s="240"/>
      <c r="BU235" s="240"/>
      <c r="BV235" s="240"/>
      <c r="BW235" s="240"/>
    </row>
    <row r="236" spans="1:75" s="136" customFormat="1" ht="50.1" customHeight="1">
      <c r="A236" s="784"/>
      <c r="B236" s="787"/>
      <c r="C236" s="245">
        <v>4</v>
      </c>
      <c r="D236" s="246" t="s">
        <v>203</v>
      </c>
      <c r="E236" s="247"/>
      <c r="F236" s="247"/>
      <c r="G236" s="389" t="s">
        <v>385</v>
      </c>
      <c r="H236" s="315"/>
      <c r="I236" s="316"/>
      <c r="J236" s="245">
        <v>169.79</v>
      </c>
      <c r="K236" s="251">
        <v>3.5741906971605356E-2</v>
      </c>
      <c r="L236" s="245">
        <v>6.4700000000000006</v>
      </c>
      <c r="M236" s="337">
        <f t="shared" si="24"/>
        <v>1098.5413000000001</v>
      </c>
      <c r="N236" s="252"/>
      <c r="O236" s="799" t="s">
        <v>395</v>
      </c>
      <c r="P236" s="743"/>
      <c r="R236" s="240"/>
      <c r="S236" s="452"/>
      <c r="T236" s="452"/>
      <c r="U236" s="240"/>
      <c r="V236" s="240"/>
      <c r="W236" s="240"/>
      <c r="X236" s="240"/>
      <c r="Y236" s="240"/>
      <c r="Z236" s="240"/>
      <c r="AA236" s="240"/>
      <c r="AB236" s="240"/>
      <c r="AC236" s="240"/>
      <c r="AD236" s="240"/>
      <c r="AE236" s="240"/>
      <c r="AF236" s="240"/>
      <c r="AG236" s="240"/>
      <c r="AH236" s="240"/>
      <c r="AI236" s="240"/>
      <c r="AJ236" s="240"/>
      <c r="AK236" s="240"/>
      <c r="AL236" s="240"/>
      <c r="AM236" s="240"/>
      <c r="AN236" s="240"/>
      <c r="AO236" s="240"/>
      <c r="AP236" s="240"/>
      <c r="AQ236" s="240"/>
      <c r="AR236" s="240"/>
      <c r="AS236" s="240"/>
      <c r="AT236" s="240"/>
      <c r="AU236" s="240"/>
      <c r="AV236" s="240"/>
      <c r="AW236" s="240"/>
      <c r="AX236" s="240"/>
      <c r="AY236" s="240"/>
      <c r="AZ236" s="240"/>
      <c r="BA236" s="240"/>
      <c r="BB236" s="240"/>
      <c r="BC236" s="240"/>
      <c r="BD236" s="240"/>
      <c r="BE236" s="240"/>
      <c r="BF236" s="240"/>
      <c r="BG236" s="240"/>
      <c r="BH236" s="240"/>
      <c r="BI236" s="240"/>
      <c r="BJ236" s="240"/>
      <c r="BK236" s="240"/>
      <c r="BL236" s="240"/>
      <c r="BM236" s="240"/>
      <c r="BN236" s="240"/>
      <c r="BO236" s="240"/>
      <c r="BP236" s="240"/>
      <c r="BQ236" s="240"/>
      <c r="BR236" s="240"/>
      <c r="BS236" s="240"/>
      <c r="BT236" s="240"/>
      <c r="BU236" s="240"/>
      <c r="BV236" s="240"/>
      <c r="BW236" s="240"/>
    </row>
    <row r="237" spans="1:75" s="136" customFormat="1" ht="50.1" customHeight="1" thickBot="1">
      <c r="A237" s="784"/>
      <c r="B237" s="787"/>
      <c r="C237" s="245">
        <v>5</v>
      </c>
      <c r="D237" s="253" t="s">
        <v>209</v>
      </c>
      <c r="E237" s="254"/>
      <c r="F237" s="254"/>
      <c r="G237" s="423" t="s">
        <v>294</v>
      </c>
      <c r="H237" s="315"/>
      <c r="I237" s="316"/>
      <c r="J237" s="256">
        <v>183.65000000000003</v>
      </c>
      <c r="K237" s="257">
        <v>1.6619710293406188E-2</v>
      </c>
      <c r="L237" s="256">
        <v>5.84</v>
      </c>
      <c r="M237" s="338">
        <f t="shared" si="24"/>
        <v>1072.5160000000001</v>
      </c>
      <c r="N237" s="252"/>
      <c r="O237" s="799" t="s">
        <v>360</v>
      </c>
      <c r="P237" s="743"/>
      <c r="R237" s="240"/>
      <c r="S237" s="451"/>
      <c r="T237" s="270"/>
      <c r="U237" s="240"/>
      <c r="V237" s="453"/>
      <c r="W237" s="240"/>
      <c r="X237" s="240"/>
      <c r="Y237" s="240"/>
      <c r="Z237" s="240"/>
      <c r="AA237" s="240"/>
      <c r="AB237" s="240"/>
      <c r="AC237" s="240"/>
      <c r="AD237" s="240"/>
      <c r="AE237" s="240"/>
      <c r="AF237" s="240"/>
      <c r="AG237" s="240"/>
      <c r="AH237" s="240"/>
      <c r="AI237" s="240"/>
      <c r="AJ237" s="240"/>
      <c r="AK237" s="240"/>
      <c r="AL237" s="240"/>
      <c r="AM237" s="240"/>
      <c r="AN237" s="240"/>
      <c r="AO237" s="240"/>
      <c r="AP237" s="240"/>
      <c r="AQ237" s="240"/>
      <c r="AR237" s="240"/>
      <c r="AS237" s="240"/>
      <c r="AT237" s="240"/>
      <c r="AU237" s="240"/>
      <c r="AV237" s="240"/>
      <c r="AW237" s="240"/>
      <c r="AX237" s="240"/>
      <c r="AY237" s="240"/>
      <c r="AZ237" s="240"/>
      <c r="BA237" s="240"/>
      <c r="BB237" s="240"/>
      <c r="BC237" s="240"/>
      <c r="BD237" s="240"/>
      <c r="BE237" s="240"/>
      <c r="BF237" s="240"/>
      <c r="BG237" s="240"/>
      <c r="BH237" s="240"/>
      <c r="BI237" s="240"/>
      <c r="BJ237" s="240"/>
      <c r="BK237" s="240"/>
      <c r="BL237" s="240"/>
      <c r="BM237" s="240"/>
      <c r="BN237" s="240"/>
      <c r="BO237" s="240"/>
      <c r="BP237" s="240"/>
      <c r="BQ237" s="240"/>
      <c r="BR237" s="240"/>
      <c r="BS237" s="240"/>
      <c r="BT237" s="240"/>
      <c r="BU237" s="240"/>
      <c r="BV237" s="240"/>
      <c r="BW237" s="240"/>
    </row>
    <row r="238" spans="1:75" s="136" customFormat="1" ht="15.75" customHeight="1" thickTop="1">
      <c r="A238" s="785"/>
      <c r="B238" s="788"/>
      <c r="C238" s="656"/>
      <c r="D238" s="657"/>
      <c r="E238" s="657"/>
      <c r="F238" s="657"/>
      <c r="G238" s="657"/>
      <c r="H238" s="657"/>
      <c r="I238" s="791"/>
      <c r="J238" s="258" t="s">
        <v>304</v>
      </c>
      <c r="K238" s="213">
        <f>M238/'生產管理報表 7-1 (週)'!$B$53</f>
        <v>8.6390117158391733E-2</v>
      </c>
      <c r="L238" s="258" t="s">
        <v>305</v>
      </c>
      <c r="M238" s="339">
        <f>SUM(M233:M237)</f>
        <v>6229.0612999999994</v>
      </c>
      <c r="N238" s="758"/>
      <c r="O238" s="759"/>
      <c r="P238" s="760"/>
      <c r="R238" s="240"/>
      <c r="S238" s="211"/>
      <c r="T238" s="211"/>
      <c r="U238" s="240"/>
      <c r="V238" s="240"/>
      <c r="W238" s="240"/>
      <c r="X238" s="240"/>
      <c r="Y238" s="240"/>
      <c r="Z238" s="240"/>
      <c r="AA238" s="240"/>
      <c r="AB238" s="240"/>
      <c r="AC238" s="240"/>
      <c r="AD238" s="240"/>
      <c r="AE238" s="240"/>
      <c r="AF238" s="240"/>
      <c r="AG238" s="240"/>
      <c r="AH238" s="240"/>
      <c r="AI238" s="240"/>
      <c r="AJ238" s="240"/>
      <c r="AK238" s="240"/>
      <c r="AL238" s="240"/>
      <c r="AM238" s="240"/>
      <c r="AN238" s="240"/>
      <c r="AO238" s="240"/>
      <c r="AP238" s="240"/>
      <c r="AQ238" s="240"/>
      <c r="AR238" s="240"/>
      <c r="AS238" s="240"/>
      <c r="AT238" s="240"/>
      <c r="AU238" s="240"/>
      <c r="AV238" s="240"/>
      <c r="AW238" s="240"/>
      <c r="AX238" s="240"/>
      <c r="AY238" s="240"/>
      <c r="AZ238" s="240"/>
      <c r="BA238" s="240"/>
      <c r="BB238" s="240"/>
      <c r="BC238" s="240"/>
      <c r="BD238" s="240"/>
      <c r="BE238" s="240"/>
      <c r="BF238" s="240"/>
      <c r="BG238" s="240"/>
      <c r="BH238" s="240"/>
      <c r="BI238" s="240"/>
      <c r="BJ238" s="240"/>
      <c r="BK238" s="240"/>
      <c r="BL238" s="240"/>
      <c r="BM238" s="240"/>
      <c r="BN238" s="240"/>
      <c r="BO238" s="240"/>
      <c r="BP238" s="240"/>
      <c r="BQ238" s="240"/>
      <c r="BR238" s="240"/>
      <c r="BS238" s="240"/>
      <c r="BT238" s="240"/>
      <c r="BU238" s="240"/>
      <c r="BV238" s="240"/>
      <c r="BW238" s="240"/>
    </row>
    <row r="239" spans="1:75" s="136" customFormat="1" ht="15.75" customHeight="1">
      <c r="B239" s="241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60"/>
      <c r="O239" s="260"/>
      <c r="P239" s="260"/>
      <c r="R239" s="240"/>
      <c r="S239" s="270"/>
      <c r="T239" s="270"/>
      <c r="U239" s="240"/>
      <c r="V239" s="240"/>
      <c r="W239" s="240"/>
      <c r="X239" s="240"/>
      <c r="Y239" s="240"/>
      <c r="Z239" s="240"/>
      <c r="AA239" s="240"/>
      <c r="AB239" s="240"/>
      <c r="AC239" s="240"/>
      <c r="AD239" s="240"/>
      <c r="AE239" s="240"/>
      <c r="AF239" s="240"/>
      <c r="AG239" s="240"/>
      <c r="AH239" s="240"/>
      <c r="AI239" s="240"/>
      <c r="AJ239" s="240"/>
      <c r="AK239" s="240"/>
      <c r="AL239" s="240"/>
      <c r="AM239" s="240"/>
      <c r="AN239" s="240"/>
      <c r="AO239" s="240"/>
      <c r="AP239" s="240"/>
      <c r="AQ239" s="240"/>
      <c r="AR239" s="240"/>
      <c r="AS239" s="240"/>
      <c r="AT239" s="240"/>
      <c r="AU239" s="240"/>
      <c r="AV239" s="240"/>
      <c r="AW239" s="240"/>
      <c r="AX239" s="240"/>
      <c r="AY239" s="240"/>
      <c r="AZ239" s="240"/>
      <c r="BA239" s="240"/>
      <c r="BB239" s="240"/>
      <c r="BC239" s="240"/>
      <c r="BD239" s="240"/>
      <c r="BE239" s="240"/>
      <c r="BF239" s="240"/>
      <c r="BG239" s="240"/>
      <c r="BH239" s="240"/>
      <c r="BI239" s="240"/>
      <c r="BJ239" s="240"/>
      <c r="BK239" s="240"/>
      <c r="BL239" s="240"/>
      <c r="BM239" s="240"/>
      <c r="BN239" s="240"/>
      <c r="BO239" s="240"/>
      <c r="BP239" s="240"/>
      <c r="BQ239" s="240"/>
      <c r="BR239" s="240"/>
      <c r="BS239" s="240"/>
      <c r="BT239" s="240"/>
      <c r="BU239" s="240"/>
      <c r="BV239" s="240"/>
      <c r="BW239" s="240"/>
    </row>
    <row r="240" spans="1:75" s="136" customFormat="1" ht="15.75" customHeight="1">
      <c r="A240" s="740" t="s">
        <v>284</v>
      </c>
      <c r="B240" s="741"/>
      <c r="C240" s="261" t="s">
        <v>238</v>
      </c>
      <c r="D240" s="653" t="s">
        <v>239</v>
      </c>
      <c r="E240" s="654"/>
      <c r="F240" s="655"/>
      <c r="G240" s="653" t="s">
        <v>288</v>
      </c>
      <c r="H240" s="654"/>
      <c r="I240" s="655"/>
      <c r="J240" s="263" t="s">
        <v>289</v>
      </c>
      <c r="K240" s="263" t="s">
        <v>23</v>
      </c>
      <c r="L240" s="263" t="s">
        <v>290</v>
      </c>
      <c r="M240" s="263" t="s">
        <v>277</v>
      </c>
      <c r="N240" s="264" t="s">
        <v>253</v>
      </c>
      <c r="O240" s="749" t="s">
        <v>244</v>
      </c>
      <c r="P240" s="750"/>
      <c r="R240" s="240"/>
      <c r="S240" s="211"/>
      <c r="T240" s="211"/>
      <c r="U240" s="240"/>
      <c r="V240" s="240"/>
      <c r="W240" s="240"/>
      <c r="X240" s="240"/>
      <c r="Y240" s="240"/>
      <c r="Z240" s="240"/>
      <c r="AA240" s="240"/>
      <c r="AB240" s="240"/>
      <c r="AC240" s="240"/>
      <c r="AD240" s="240"/>
      <c r="AE240" s="240"/>
      <c r="AF240" s="240"/>
      <c r="AG240" s="240"/>
      <c r="AH240" s="240"/>
      <c r="AI240" s="240"/>
      <c r="AJ240" s="240"/>
    </row>
    <row r="241" spans="1:36" s="136" customFormat="1" ht="20.100000000000001" customHeight="1">
      <c r="A241" s="783">
        <v>2</v>
      </c>
      <c r="B241" s="786" t="s">
        <v>306</v>
      </c>
      <c r="C241" s="265">
        <v>1</v>
      </c>
      <c r="D241" s="246"/>
      <c r="E241" s="247"/>
      <c r="F241" s="248"/>
      <c r="G241" s="246"/>
      <c r="H241" s="247"/>
      <c r="I241" s="248"/>
      <c r="J241" s="266"/>
      <c r="K241" s="267"/>
      <c r="L241" s="266"/>
      <c r="M241" s="268">
        <f t="shared" ref="M241:M245" si="25">L241*J241</f>
        <v>0</v>
      </c>
      <c r="N241" s="269"/>
      <c r="O241" s="751"/>
      <c r="P241" s="752"/>
      <c r="R241" s="240"/>
      <c r="S241" s="270"/>
      <c r="T241" s="27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</row>
    <row r="242" spans="1:36" s="136" customFormat="1" ht="20.100000000000001" customHeight="1">
      <c r="A242" s="784"/>
      <c r="B242" s="787"/>
      <c r="C242" s="265">
        <v>2</v>
      </c>
      <c r="D242" s="246"/>
      <c r="E242" s="247"/>
      <c r="F242" s="248"/>
      <c r="G242" s="246"/>
      <c r="H242" s="247"/>
      <c r="I242" s="248"/>
      <c r="J242" s="266"/>
      <c r="K242" s="267"/>
      <c r="L242" s="266"/>
      <c r="M242" s="268">
        <f t="shared" si="25"/>
        <v>0</v>
      </c>
      <c r="N242" s="269"/>
      <c r="O242" s="751"/>
      <c r="P242" s="752"/>
      <c r="R242" s="240"/>
      <c r="S242" s="211"/>
      <c r="T242" s="211"/>
      <c r="U242" s="240"/>
      <c r="V242" s="240"/>
      <c r="W242" s="240"/>
      <c r="X242" s="240"/>
      <c r="Y242" s="240"/>
      <c r="Z242" s="240"/>
      <c r="AA242" s="240"/>
      <c r="AB242" s="240"/>
      <c r="AC242" s="240"/>
      <c r="AD242" s="240"/>
      <c r="AE242" s="240"/>
      <c r="AF242" s="240"/>
      <c r="AG242" s="240"/>
      <c r="AH242" s="240"/>
      <c r="AI242" s="240"/>
      <c r="AJ242" s="240"/>
    </row>
    <row r="243" spans="1:36" s="136" customFormat="1" ht="20.100000000000001" customHeight="1">
      <c r="A243" s="784"/>
      <c r="B243" s="787"/>
      <c r="C243" s="265">
        <v>3</v>
      </c>
      <c r="D243" s="246"/>
      <c r="E243" s="247"/>
      <c r="F243" s="248"/>
      <c r="G243" s="246"/>
      <c r="H243" s="247"/>
      <c r="I243" s="277"/>
      <c r="J243" s="266"/>
      <c r="K243" s="267"/>
      <c r="L243" s="266"/>
      <c r="M243" s="268">
        <f t="shared" si="25"/>
        <v>0</v>
      </c>
      <c r="N243" s="269"/>
      <c r="O243" s="751"/>
      <c r="P243" s="752"/>
      <c r="R243" s="240"/>
      <c r="S243" s="270"/>
      <c r="T243" s="270"/>
      <c r="U243" s="240"/>
      <c r="V243" s="240"/>
      <c r="W243" s="240"/>
      <c r="X243" s="240"/>
      <c r="Y243" s="240"/>
      <c r="Z243" s="240"/>
      <c r="AA243" s="240"/>
      <c r="AB243" s="240"/>
      <c r="AC243" s="240"/>
      <c r="AD243" s="240"/>
      <c r="AE243" s="240"/>
      <c r="AF243" s="240"/>
      <c r="AG243" s="240"/>
      <c r="AH243" s="240"/>
    </row>
    <row r="244" spans="1:36" s="136" customFormat="1" ht="20.100000000000001" customHeight="1">
      <c r="A244" s="784"/>
      <c r="B244" s="787"/>
      <c r="C244" s="265">
        <v>4</v>
      </c>
      <c r="D244" s="246"/>
      <c r="E244" s="247"/>
      <c r="F244" s="248"/>
      <c r="G244" s="246"/>
      <c r="H244" s="247"/>
      <c r="I244" s="248"/>
      <c r="J244" s="266"/>
      <c r="K244" s="267"/>
      <c r="L244" s="266"/>
      <c r="M244" s="268">
        <f t="shared" si="25"/>
        <v>0</v>
      </c>
      <c r="N244" s="269"/>
      <c r="O244" s="751"/>
      <c r="P244" s="752"/>
      <c r="R244" s="240"/>
      <c r="S244" s="211"/>
      <c r="T244" s="211"/>
      <c r="U244" s="240"/>
      <c r="V244" s="240"/>
      <c r="W244" s="240"/>
      <c r="X244" s="240"/>
      <c r="Y244" s="240"/>
      <c r="Z244" s="240"/>
      <c r="AA244" s="240"/>
      <c r="AB244" s="240"/>
      <c r="AC244" s="240"/>
      <c r="AD244" s="240"/>
      <c r="AE244" s="240"/>
      <c r="AF244" s="240"/>
      <c r="AG244" s="240"/>
      <c r="AH244" s="240"/>
    </row>
    <row r="245" spans="1:36" s="136" customFormat="1" ht="20.100000000000001" customHeight="1" thickBot="1">
      <c r="A245" s="784"/>
      <c r="B245" s="787"/>
      <c r="C245" s="271">
        <v>5</v>
      </c>
      <c r="D245" s="253"/>
      <c r="E245" s="254"/>
      <c r="F245" s="255"/>
      <c r="G245" s="246"/>
      <c r="H245" s="247"/>
      <c r="I245" s="248"/>
      <c r="J245" s="272"/>
      <c r="K245" s="273"/>
      <c r="L245" s="272"/>
      <c r="M245" s="274">
        <f t="shared" si="25"/>
        <v>0</v>
      </c>
      <c r="N245" s="275"/>
      <c r="O245" s="751"/>
      <c r="P245" s="752"/>
      <c r="R245" s="240"/>
      <c r="S245" s="240"/>
      <c r="T245" s="240"/>
      <c r="U245" s="240"/>
      <c r="V245" s="240"/>
      <c r="W245" s="240"/>
      <c r="X245" s="240"/>
      <c r="Y245" s="240"/>
      <c r="Z245" s="240"/>
      <c r="AA245" s="240"/>
      <c r="AB245" s="240"/>
      <c r="AC245" s="240"/>
      <c r="AD245" s="240"/>
      <c r="AE245" s="240"/>
      <c r="AF245" s="240"/>
      <c r="AG245" s="240"/>
      <c r="AH245" s="240"/>
    </row>
    <row r="246" spans="1:36" s="136" customFormat="1" ht="15.75" customHeight="1" thickTop="1">
      <c r="A246" s="785"/>
      <c r="B246" s="788"/>
      <c r="C246" s="656"/>
      <c r="D246" s="657"/>
      <c r="E246" s="657"/>
      <c r="F246" s="657"/>
      <c r="G246" s="657"/>
      <c r="H246" s="657"/>
      <c r="I246" s="791"/>
      <c r="J246" s="258" t="s">
        <v>304</v>
      </c>
      <c r="K246" s="213">
        <f>M246/'生產管理報表 7-1 (週)'!$B$53</f>
        <v>0</v>
      </c>
      <c r="L246" s="258" t="s">
        <v>305</v>
      </c>
      <c r="M246" s="259">
        <f>SUM(M241:M245)</f>
        <v>0</v>
      </c>
      <c r="N246" s="753"/>
      <c r="O246" s="754"/>
      <c r="P246" s="755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  <c r="AB246" s="240"/>
      <c r="AC246" s="240"/>
      <c r="AD246" s="240"/>
      <c r="AE246" s="240"/>
      <c r="AF246" s="240"/>
      <c r="AG246" s="240"/>
      <c r="AH246" s="240"/>
    </row>
    <row r="247" spans="1:36" s="136" customFormat="1" ht="15.75" customHeight="1">
      <c r="B247" s="241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76"/>
      <c r="O247" s="276"/>
      <c r="P247" s="276"/>
      <c r="R247" s="240"/>
      <c r="S247" s="240"/>
      <c r="T247" s="240"/>
      <c r="U247" s="240"/>
      <c r="V247" s="240"/>
      <c r="W247" s="240"/>
      <c r="X247" s="240"/>
      <c r="Y247" s="240"/>
      <c r="Z247" s="240"/>
      <c r="AA247" s="240"/>
      <c r="AB247" s="240"/>
      <c r="AC247" s="240"/>
      <c r="AD247" s="240"/>
      <c r="AE247" s="240"/>
      <c r="AF247" s="240"/>
      <c r="AG247" s="240"/>
      <c r="AH247" s="240"/>
    </row>
    <row r="248" spans="1:36" s="136" customFormat="1" ht="15.75" customHeight="1">
      <c r="A248" s="740" t="s">
        <v>284</v>
      </c>
      <c r="B248" s="741"/>
      <c r="C248" s="261" t="s">
        <v>238</v>
      </c>
      <c r="D248" s="653" t="s">
        <v>239</v>
      </c>
      <c r="E248" s="654"/>
      <c r="F248" s="655"/>
      <c r="G248" s="653" t="s">
        <v>288</v>
      </c>
      <c r="H248" s="654"/>
      <c r="I248" s="782"/>
      <c r="J248" s="262" t="s">
        <v>289</v>
      </c>
      <c r="K248" s="263" t="s">
        <v>23</v>
      </c>
      <c r="L248" s="263" t="s">
        <v>290</v>
      </c>
      <c r="M248" s="263" t="s">
        <v>277</v>
      </c>
      <c r="N248" s="264" t="s">
        <v>253</v>
      </c>
      <c r="O248" s="747" t="s">
        <v>244</v>
      </c>
      <c r="P248" s="748"/>
      <c r="R248" s="240"/>
      <c r="S248" s="240"/>
      <c r="T248" s="240"/>
      <c r="U248" s="240"/>
      <c r="V248" s="240"/>
      <c r="W248" s="240"/>
      <c r="X248" s="240"/>
      <c r="Y248" s="240"/>
      <c r="Z248" s="240"/>
      <c r="AA248" s="240"/>
      <c r="AB248" s="240"/>
      <c r="AC248" s="240"/>
      <c r="AD248" s="240"/>
      <c r="AE248" s="240"/>
      <c r="AF248" s="240"/>
      <c r="AG248" s="240"/>
      <c r="AH248" s="240"/>
      <c r="AI248" s="240"/>
      <c r="AJ248" s="240"/>
    </row>
    <row r="249" spans="1:36" s="136" customFormat="1" ht="50.1" customHeight="1">
      <c r="A249" s="783">
        <v>3</v>
      </c>
      <c r="B249" s="786" t="s">
        <v>307</v>
      </c>
      <c r="C249" s="265">
        <v>1</v>
      </c>
      <c r="D249" s="246" t="s">
        <v>311</v>
      </c>
      <c r="E249" s="247"/>
      <c r="F249" s="248"/>
      <c r="G249" s="316" t="s">
        <v>314</v>
      </c>
      <c r="H249" s="315"/>
      <c r="I249" s="316"/>
      <c r="J249" s="266">
        <v>2.4499999999999997</v>
      </c>
      <c r="K249" s="267">
        <v>4.1088479141382387E-3</v>
      </c>
      <c r="L249" s="266">
        <v>562</v>
      </c>
      <c r="M249" s="340">
        <f t="shared" ref="M249:M253" si="26">L249*J249</f>
        <v>1376.8999999999999</v>
      </c>
      <c r="N249" s="279"/>
      <c r="O249" s="789" t="s">
        <v>362</v>
      </c>
      <c r="P249" s="790"/>
      <c r="R249" s="240"/>
      <c r="S249" s="453"/>
      <c r="T249" s="453"/>
      <c r="U249" s="240"/>
      <c r="V249" s="240"/>
      <c r="W249" s="240"/>
      <c r="X249" s="240"/>
      <c r="Y249" s="240"/>
      <c r="Z249" s="240"/>
      <c r="AA249" s="240"/>
      <c r="AB249" s="240"/>
      <c r="AC249" s="240"/>
      <c r="AD249" s="240"/>
      <c r="AE249" s="240"/>
      <c r="AF249" s="240"/>
      <c r="AG249" s="240"/>
      <c r="AH249" s="240"/>
      <c r="AI249" s="240"/>
      <c r="AJ249" s="240"/>
    </row>
    <row r="250" spans="1:36" s="136" customFormat="1" ht="50.1" customHeight="1">
      <c r="A250" s="784"/>
      <c r="B250" s="787"/>
      <c r="C250" s="265">
        <v>2</v>
      </c>
      <c r="D250" s="246" t="s">
        <v>311</v>
      </c>
      <c r="E250" s="247"/>
      <c r="F250" s="248"/>
      <c r="G250" s="316" t="s">
        <v>312</v>
      </c>
      <c r="H250" s="315"/>
      <c r="I250" s="316"/>
      <c r="J250" s="266">
        <v>1.17</v>
      </c>
      <c r="K250" s="267">
        <v>4.7074132190286656E-3</v>
      </c>
      <c r="L250" s="266">
        <v>1107</v>
      </c>
      <c r="M250" s="340">
        <f t="shared" si="26"/>
        <v>1295.1899999999998</v>
      </c>
      <c r="N250" s="279"/>
      <c r="O250" s="742" t="s">
        <v>363</v>
      </c>
      <c r="P250" s="743"/>
      <c r="R250" s="240"/>
      <c r="S250" s="453"/>
      <c r="T250" s="460"/>
      <c r="U250" s="240"/>
      <c r="V250" s="240"/>
      <c r="W250" s="240"/>
      <c r="X250" s="240"/>
      <c r="Y250" s="240"/>
      <c r="Z250" s="240"/>
      <c r="AA250" s="240"/>
      <c r="AB250" s="240"/>
      <c r="AC250" s="240"/>
      <c r="AD250" s="240"/>
      <c r="AE250" s="240"/>
      <c r="AF250" s="240"/>
      <c r="AG250" s="240"/>
      <c r="AH250" s="240"/>
      <c r="AI250" s="240"/>
      <c r="AJ250" s="240"/>
    </row>
    <row r="251" spans="1:36" s="136" customFormat="1" ht="50.1" customHeight="1">
      <c r="A251" s="784"/>
      <c r="B251" s="787"/>
      <c r="C251" s="265">
        <v>3</v>
      </c>
      <c r="D251" s="246" t="s">
        <v>308</v>
      </c>
      <c r="E251" s="247"/>
      <c r="F251" s="248"/>
      <c r="G251" s="426" t="s">
        <v>309</v>
      </c>
      <c r="H251" s="391"/>
      <c r="I251" s="426"/>
      <c r="J251" s="266">
        <v>122.81999999999996</v>
      </c>
      <c r="K251" s="267">
        <v>1.5265226936233217E-2</v>
      </c>
      <c r="L251" s="266">
        <v>8.9700000000000006</v>
      </c>
      <c r="M251" s="340">
        <f t="shared" si="26"/>
        <v>1101.6953999999998</v>
      </c>
      <c r="N251" s="279"/>
      <c r="O251" s="742" t="s">
        <v>361</v>
      </c>
      <c r="P251" s="743"/>
      <c r="R251" s="240"/>
      <c r="S251" s="453"/>
      <c r="T251" s="460"/>
      <c r="U251" s="240"/>
      <c r="V251" s="240"/>
      <c r="W251" s="240"/>
      <c r="X251" s="240"/>
      <c r="Y251" s="240"/>
      <c r="Z251" s="240"/>
      <c r="AA251" s="240"/>
      <c r="AB251" s="240"/>
      <c r="AC251" s="240"/>
      <c r="AD251" s="240"/>
      <c r="AE251" s="240"/>
      <c r="AF251" s="240"/>
      <c r="AG251" s="240"/>
      <c r="AH251" s="240"/>
      <c r="AI251" s="240"/>
      <c r="AJ251" s="240"/>
    </row>
    <row r="252" spans="1:36" s="136" customFormat="1" ht="50.1" customHeight="1">
      <c r="A252" s="784"/>
      <c r="B252" s="787"/>
      <c r="C252" s="265">
        <v>4</v>
      </c>
      <c r="D252" s="246" t="s">
        <v>308</v>
      </c>
      <c r="E252" s="247"/>
      <c r="F252" s="248"/>
      <c r="G252" s="325" t="s">
        <v>316</v>
      </c>
      <c r="H252" s="324"/>
      <c r="I252" s="325"/>
      <c r="J252" s="278">
        <v>2.3000000000000003</v>
      </c>
      <c r="K252" s="267">
        <v>2.4602927436935533E-2</v>
      </c>
      <c r="L252" s="266">
        <v>474</v>
      </c>
      <c r="M252" s="340">
        <f t="shared" si="26"/>
        <v>1090.2</v>
      </c>
      <c r="N252" s="279"/>
      <c r="O252" s="742" t="s">
        <v>362</v>
      </c>
      <c r="P252" s="743"/>
      <c r="R252" s="240"/>
      <c r="S252" s="240"/>
      <c r="T252"/>
      <c r="U252" s="240"/>
      <c r="V252" s="240"/>
      <c r="W252" s="240"/>
      <c r="X252" s="240"/>
      <c r="Y252" s="240"/>
      <c r="Z252" s="240"/>
      <c r="AA252" s="240"/>
      <c r="AB252" s="240"/>
      <c r="AC252" s="240"/>
      <c r="AD252" s="240"/>
      <c r="AE252" s="240"/>
      <c r="AF252" s="240"/>
      <c r="AG252" s="240"/>
      <c r="AH252" s="240"/>
      <c r="AI252" s="240"/>
      <c r="AJ252" s="240"/>
    </row>
    <row r="253" spans="1:36" s="136" customFormat="1" ht="30" customHeight="1" thickBot="1">
      <c r="A253" s="784"/>
      <c r="B253" s="787"/>
      <c r="C253" s="271">
        <v>5</v>
      </c>
      <c r="D253" s="253"/>
      <c r="E253" s="254"/>
      <c r="F253" s="255"/>
      <c r="G253" s="420"/>
      <c r="H253" s="421"/>
      <c r="I253" s="422"/>
      <c r="J253" s="281"/>
      <c r="K253" s="273"/>
      <c r="L253" s="282"/>
      <c r="M253" s="340">
        <f t="shared" si="26"/>
        <v>0</v>
      </c>
      <c r="N253" s="279"/>
      <c r="O253" s="742"/>
      <c r="P253" s="743"/>
      <c r="R253" s="240"/>
      <c r="S253" s="240"/>
      <c r="T253"/>
      <c r="U253" s="240"/>
      <c r="V253" s="240"/>
      <c r="W253" s="240"/>
      <c r="X253" s="240"/>
      <c r="Y253" s="240"/>
      <c r="Z253" s="240"/>
      <c r="AA253" s="240"/>
      <c r="AB253" s="240"/>
      <c r="AC253" s="240"/>
      <c r="AD253" s="240"/>
      <c r="AE253" s="240"/>
      <c r="AF253" s="240"/>
      <c r="AG253" s="240"/>
      <c r="AH253" s="240"/>
      <c r="AI253" s="240"/>
      <c r="AJ253" s="240"/>
    </row>
    <row r="254" spans="1:36" s="136" customFormat="1" ht="15.75" customHeight="1" thickTop="1">
      <c r="A254" s="785"/>
      <c r="B254" s="788"/>
      <c r="C254" s="656"/>
      <c r="D254" s="657"/>
      <c r="E254" s="657"/>
      <c r="F254" s="657"/>
      <c r="G254" s="657"/>
      <c r="H254" s="657"/>
      <c r="I254" s="791"/>
      <c r="J254" s="283" t="s">
        <v>304</v>
      </c>
      <c r="K254" s="213">
        <f>M254/'生產管理報表 7-1 (週)'!$B$53</f>
        <v>6.7458040357173385E-2</v>
      </c>
      <c r="L254" s="283" t="s">
        <v>305</v>
      </c>
      <c r="M254" s="341">
        <f>SUM(M249:M253)</f>
        <v>4863.9853999999996</v>
      </c>
      <c r="N254" s="744"/>
      <c r="O254" s="745"/>
      <c r="P254" s="746"/>
      <c r="R254" s="240"/>
      <c r="S254" s="240"/>
      <c r="T254"/>
      <c r="U254" s="240"/>
      <c r="V254" s="240"/>
      <c r="W254" s="240"/>
      <c r="X254" s="240"/>
      <c r="Y254" s="240"/>
      <c r="Z254" s="240"/>
      <c r="AA254" s="240"/>
      <c r="AB254" s="240"/>
      <c r="AC254" s="240"/>
      <c r="AD254" s="240"/>
      <c r="AE254" s="240"/>
      <c r="AF254" s="240"/>
      <c r="AG254" s="240"/>
      <c r="AH254" s="240"/>
      <c r="AI254" s="240"/>
      <c r="AJ254" s="240"/>
    </row>
  </sheetData>
  <mergeCells count="514">
    <mergeCell ref="A248:B248"/>
    <mergeCell ref="D248:F248"/>
    <mergeCell ref="G248:I248"/>
    <mergeCell ref="O248:P248"/>
    <mergeCell ref="A249:A254"/>
    <mergeCell ref="B249:B254"/>
    <mergeCell ref="O249:P249"/>
    <mergeCell ref="O250:P250"/>
    <mergeCell ref="O251:P251"/>
    <mergeCell ref="O252:P252"/>
    <mergeCell ref="O253:P253"/>
    <mergeCell ref="C254:I254"/>
    <mergeCell ref="N254:P254"/>
    <mergeCell ref="A240:B240"/>
    <mergeCell ref="D240:F240"/>
    <mergeCell ref="G240:I240"/>
    <mergeCell ref="O240:P240"/>
    <mergeCell ref="A241:A246"/>
    <mergeCell ref="B241:B246"/>
    <mergeCell ref="O241:P241"/>
    <mergeCell ref="O242:P242"/>
    <mergeCell ref="O243:P243"/>
    <mergeCell ref="O244:P244"/>
    <mergeCell ref="O245:P245"/>
    <mergeCell ref="C246:I246"/>
    <mergeCell ref="N246:P246"/>
    <mergeCell ref="A232:B232"/>
    <mergeCell ref="D232:F232"/>
    <mergeCell ref="G232:I232"/>
    <mergeCell ref="O232:P232"/>
    <mergeCell ref="A233:A238"/>
    <mergeCell ref="B233:B238"/>
    <mergeCell ref="O233:P233"/>
    <mergeCell ref="O234:P234"/>
    <mergeCell ref="O235:P235"/>
    <mergeCell ref="O236:P236"/>
    <mergeCell ref="O237:P237"/>
    <mergeCell ref="C238:I238"/>
    <mergeCell ref="N238:P238"/>
    <mergeCell ref="P229:Q229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A227:M228"/>
    <mergeCell ref="A229:A230"/>
    <mergeCell ref="B229:C229"/>
    <mergeCell ref="D229:E229"/>
    <mergeCell ref="F229:G229"/>
    <mergeCell ref="H229:I229"/>
    <mergeCell ref="J229:K229"/>
    <mergeCell ref="L229:M229"/>
    <mergeCell ref="N229:O229"/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O188:P188"/>
    <mergeCell ref="O189:P189"/>
    <mergeCell ref="C190:I190"/>
    <mergeCell ref="N190:P190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P173:Q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P145:Q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199:M200"/>
    <mergeCell ref="A201:A202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O216:P216"/>
    <mergeCell ref="O217:P217"/>
    <mergeCell ref="C218:I218"/>
    <mergeCell ref="N218:P218"/>
    <mergeCell ref="A220:B220"/>
    <mergeCell ref="D220:F220"/>
    <mergeCell ref="G220:I220"/>
    <mergeCell ref="O220:P220"/>
    <mergeCell ref="A221:A226"/>
    <mergeCell ref="B221:B226"/>
    <mergeCell ref="O221:P221"/>
    <mergeCell ref="O222:P222"/>
    <mergeCell ref="O223:P223"/>
    <mergeCell ref="O224:P224"/>
    <mergeCell ref="O225:P225"/>
    <mergeCell ref="C226:I226"/>
    <mergeCell ref="N226:P22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7" manualBreakCount="7">
    <brk id="58" max="16" man="1"/>
    <brk id="86" max="16" man="1"/>
    <brk id="114" max="16" man="1"/>
    <brk id="142" max="16" man="1"/>
    <brk id="170" max="16" man="1"/>
    <brk id="198" max="16" man="1"/>
    <brk id="226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U255"/>
  <sheetViews>
    <sheetView view="pageBreakPreview" topLeftCell="A224" zoomScale="91" zoomScaleNormal="60" zoomScaleSheetLayoutView="91" workbookViewId="0">
      <selection activeCell="O242" sqref="O242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66" t="s">
        <v>269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</row>
    <row r="2" spans="1:20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</row>
    <row r="3" spans="1:20" s="136" customFormat="1" ht="15.75" customHeight="1">
      <c r="A3" s="639" t="s">
        <v>372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20" s="137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</row>
    <row r="5" spans="1:20" s="136" customFormat="1" ht="15.75" customHeight="1">
      <c r="A5" s="738" t="s">
        <v>284</v>
      </c>
      <c r="B5" s="740">
        <v>1</v>
      </c>
      <c r="C5" s="741"/>
      <c r="D5" s="740">
        <v>2</v>
      </c>
      <c r="E5" s="741"/>
      <c r="F5" s="740">
        <v>3</v>
      </c>
      <c r="G5" s="741"/>
      <c r="H5" s="731">
        <v>4</v>
      </c>
      <c r="I5" s="732"/>
      <c r="J5" s="731">
        <v>5</v>
      </c>
      <c r="K5" s="732"/>
      <c r="L5" s="731">
        <v>6</v>
      </c>
      <c r="M5" s="732"/>
      <c r="N5" s="731">
        <v>7</v>
      </c>
      <c r="O5" s="732"/>
      <c r="P5" s="342">
        <v>8</v>
      </c>
    </row>
    <row r="6" spans="1:20" s="136" customFormat="1" ht="15.75" customHeight="1">
      <c r="A6" s="739"/>
      <c r="B6" s="735" t="s">
        <v>273</v>
      </c>
      <c r="C6" s="736"/>
      <c r="D6" s="735" t="s">
        <v>285</v>
      </c>
      <c r="E6" s="736"/>
      <c r="F6" s="735" t="s">
        <v>275</v>
      </c>
      <c r="G6" s="736"/>
      <c r="H6" s="733" t="s">
        <v>286</v>
      </c>
      <c r="I6" s="734"/>
      <c r="J6" s="733" t="s">
        <v>280</v>
      </c>
      <c r="K6" s="734"/>
      <c r="L6" s="733" t="s">
        <v>281</v>
      </c>
      <c r="M6" s="734"/>
      <c r="N6" s="733" t="s">
        <v>282</v>
      </c>
      <c r="O6" s="734"/>
      <c r="P6" s="343" t="s">
        <v>287</v>
      </c>
    </row>
    <row r="7" spans="1:20" s="136" customFormat="1" ht="15.75" customHeight="1">
      <c r="B7" s="241"/>
      <c r="C7" s="242"/>
    </row>
    <row r="8" spans="1:20" s="287" customFormat="1" ht="15.75" customHeight="1">
      <c r="A8" s="675" t="s">
        <v>284</v>
      </c>
      <c r="B8" s="676"/>
      <c r="C8" s="284" t="s">
        <v>238</v>
      </c>
      <c r="D8" s="703" t="s">
        <v>239</v>
      </c>
      <c r="E8" s="704"/>
      <c r="F8" s="705"/>
      <c r="G8" s="706" t="s">
        <v>288</v>
      </c>
      <c r="H8" s="707"/>
      <c r="I8" s="708"/>
      <c r="J8" s="285" t="s">
        <v>289</v>
      </c>
      <c r="K8" s="285" t="s">
        <v>23</v>
      </c>
      <c r="L8" s="285" t="s">
        <v>290</v>
      </c>
      <c r="M8" s="286" t="s">
        <v>277</v>
      </c>
      <c r="N8" s="286" t="s">
        <v>253</v>
      </c>
      <c r="O8" s="683" t="s">
        <v>244</v>
      </c>
      <c r="P8" s="684"/>
      <c r="R8" s="211"/>
      <c r="S8" s="270"/>
    </row>
    <row r="9" spans="1:20" s="308" customFormat="1" ht="20.100000000000001" customHeight="1">
      <c r="A9" s="685">
        <v>4</v>
      </c>
      <c r="B9" s="719" t="s">
        <v>286</v>
      </c>
      <c r="C9" s="288">
        <v>1</v>
      </c>
      <c r="D9" s="246"/>
      <c r="E9" s="247"/>
      <c r="F9" s="248"/>
      <c r="G9" s="375"/>
      <c r="H9" s="315"/>
      <c r="I9" s="316"/>
      <c r="J9" s="326"/>
      <c r="K9" s="327"/>
      <c r="L9" s="328"/>
      <c r="M9" s="337">
        <f t="shared" ref="M9:M13" si="0">L9*J9</f>
        <v>0</v>
      </c>
      <c r="N9" s="328"/>
      <c r="O9" s="722"/>
      <c r="P9" s="723"/>
      <c r="R9" s="329"/>
      <c r="S9" s="270"/>
    </row>
    <row r="10" spans="1:20" s="308" customFormat="1" ht="20.100000000000001" customHeight="1">
      <c r="A10" s="686"/>
      <c r="B10" s="720"/>
      <c r="C10" s="288">
        <v>2</v>
      </c>
      <c r="D10" s="246"/>
      <c r="E10" s="247"/>
      <c r="F10" s="248"/>
      <c r="G10" s="375"/>
      <c r="H10" s="315"/>
      <c r="I10" s="316"/>
      <c r="J10" s="326"/>
      <c r="K10" s="327"/>
      <c r="L10" s="328"/>
      <c r="M10" s="337">
        <f t="shared" si="0"/>
        <v>0</v>
      </c>
      <c r="N10" s="328"/>
      <c r="O10" s="715"/>
      <c r="P10" s="716"/>
      <c r="R10" s="329"/>
      <c r="S10" s="211"/>
      <c r="T10" s="354"/>
    </row>
    <row r="11" spans="1:20" s="308" customFormat="1" ht="20.100000000000001" customHeight="1">
      <c r="A11" s="686"/>
      <c r="B11" s="720"/>
      <c r="C11" s="288">
        <v>3</v>
      </c>
      <c r="D11" s="246"/>
      <c r="E11" s="247"/>
      <c r="F11" s="248"/>
      <c r="G11" s="375"/>
      <c r="H11" s="315"/>
      <c r="I11" s="316"/>
      <c r="J11" s="326"/>
      <c r="K11" s="327"/>
      <c r="L11" s="328"/>
      <c r="M11" s="337">
        <f t="shared" si="0"/>
        <v>0</v>
      </c>
      <c r="N11" s="328"/>
      <c r="O11" s="722"/>
      <c r="P11" s="723"/>
      <c r="R11" s="329"/>
      <c r="S11" s="270"/>
    </row>
    <row r="12" spans="1:20" s="308" customFormat="1" ht="20.100000000000001" customHeight="1">
      <c r="A12" s="686"/>
      <c r="B12" s="720"/>
      <c r="C12" s="288">
        <v>4</v>
      </c>
      <c r="D12" s="246"/>
      <c r="E12" s="247"/>
      <c r="F12" s="248"/>
      <c r="G12" s="375"/>
      <c r="H12" s="315"/>
      <c r="I12" s="316"/>
      <c r="J12" s="326"/>
      <c r="K12" s="327"/>
      <c r="L12" s="328"/>
      <c r="M12" s="337">
        <f t="shared" si="0"/>
        <v>0</v>
      </c>
      <c r="N12" s="328"/>
      <c r="O12" s="722"/>
      <c r="P12" s="723"/>
      <c r="R12" s="329"/>
      <c r="S12" s="211"/>
      <c r="T12" s="354"/>
    </row>
    <row r="13" spans="1:20" s="308" customFormat="1" ht="20.100000000000001" customHeight="1" thickBot="1">
      <c r="A13" s="686"/>
      <c r="B13" s="720"/>
      <c r="C13" s="288">
        <v>5</v>
      </c>
      <c r="D13" s="246"/>
      <c r="E13" s="254"/>
      <c r="F13" s="255"/>
      <c r="G13" s="375"/>
      <c r="H13" s="315"/>
      <c r="I13" s="316"/>
      <c r="J13" s="330"/>
      <c r="K13" s="436"/>
      <c r="L13" s="332"/>
      <c r="M13" s="337">
        <f t="shared" si="0"/>
        <v>0</v>
      </c>
      <c r="N13" s="328"/>
      <c r="O13" s="722"/>
      <c r="P13" s="723"/>
      <c r="R13" s="333"/>
      <c r="S13" s="270"/>
      <c r="T13" s="298"/>
    </row>
    <row r="14" spans="1:20" s="298" customFormat="1" ht="15.75" customHeight="1" thickTop="1" thickBot="1">
      <c r="A14" s="687"/>
      <c r="B14" s="721"/>
      <c r="C14" s="728"/>
      <c r="D14" s="729"/>
      <c r="E14" s="729"/>
      <c r="F14" s="729"/>
      <c r="G14" s="729"/>
      <c r="H14" s="729"/>
      <c r="I14" s="730"/>
      <c r="J14" s="305" t="s">
        <v>304</v>
      </c>
      <c r="K14" s="437">
        <f>M14/'生產管理報表 7-1 (週)'!$B$42</f>
        <v>0</v>
      </c>
      <c r="L14" s="306" t="s">
        <v>305</v>
      </c>
      <c r="M14" s="225">
        <f>SUM(M9:M13)</f>
        <v>0</v>
      </c>
      <c r="N14" s="672"/>
      <c r="O14" s="673"/>
      <c r="P14" s="674"/>
      <c r="R14" s="211"/>
      <c r="S14" s="211"/>
    </row>
    <row r="15" spans="1:20" s="298" customFormat="1" ht="15.75" customHeight="1" thickTop="1">
      <c r="B15" s="307"/>
      <c r="C15" s="308"/>
      <c r="M15" s="344"/>
      <c r="S15" s="270"/>
    </row>
    <row r="16" spans="1:20" s="298" customFormat="1" ht="15.75" customHeight="1">
      <c r="A16" s="675" t="s">
        <v>284</v>
      </c>
      <c r="B16" s="676"/>
      <c r="C16" s="284" t="s">
        <v>238</v>
      </c>
      <c r="D16" s="703" t="s">
        <v>239</v>
      </c>
      <c r="E16" s="704"/>
      <c r="F16" s="705"/>
      <c r="G16" s="706" t="s">
        <v>288</v>
      </c>
      <c r="H16" s="707"/>
      <c r="I16" s="708"/>
      <c r="J16" s="285" t="s">
        <v>289</v>
      </c>
      <c r="K16" s="285" t="s">
        <v>23</v>
      </c>
      <c r="L16" s="285" t="s">
        <v>290</v>
      </c>
      <c r="M16" s="345" t="s">
        <v>277</v>
      </c>
      <c r="N16" s="286" t="s">
        <v>253</v>
      </c>
      <c r="O16" s="683" t="s">
        <v>244</v>
      </c>
      <c r="P16" s="684"/>
      <c r="S16" s="211"/>
      <c r="T16" s="354"/>
    </row>
    <row r="17" spans="1:20" s="308" customFormat="1" ht="39.950000000000003" customHeight="1">
      <c r="A17" s="685">
        <v>5</v>
      </c>
      <c r="B17" s="698" t="s">
        <v>318</v>
      </c>
      <c r="C17" s="288">
        <v>1</v>
      </c>
      <c r="D17" s="246" t="s">
        <v>213</v>
      </c>
      <c r="E17" s="247"/>
      <c r="F17" s="248"/>
      <c r="G17" s="316" t="s">
        <v>319</v>
      </c>
      <c r="H17" s="315"/>
      <c r="I17" s="316"/>
      <c r="J17" s="326">
        <v>96</v>
      </c>
      <c r="K17" s="327">
        <v>2.336919973100202E-2</v>
      </c>
      <c r="L17" s="328">
        <v>12.510000000000002</v>
      </c>
      <c r="M17" s="337">
        <f>L17*J17</f>
        <v>1200.96</v>
      </c>
      <c r="N17" s="328"/>
      <c r="O17" s="715" t="s">
        <v>396</v>
      </c>
      <c r="P17" s="716"/>
      <c r="S17" s="270"/>
    </row>
    <row r="18" spans="1:20" s="308" customFormat="1" ht="20.100000000000001" customHeight="1">
      <c r="A18" s="686"/>
      <c r="B18" s="699"/>
      <c r="C18" s="288">
        <v>2</v>
      </c>
      <c r="D18" s="246"/>
      <c r="E18" s="247"/>
      <c r="F18" s="248"/>
      <c r="G18" s="375"/>
      <c r="H18" s="315"/>
      <c r="I18" s="316"/>
      <c r="J18" s="326"/>
      <c r="K18" s="327"/>
      <c r="L18" s="328"/>
      <c r="M18" s="337">
        <f t="shared" ref="M18:M21" si="1">L18*J18</f>
        <v>0</v>
      </c>
      <c r="N18" s="328"/>
      <c r="O18" s="715"/>
      <c r="P18" s="716"/>
      <c r="S18" s="211"/>
      <c r="T18" s="355"/>
    </row>
    <row r="19" spans="1:20" s="298" customFormat="1" ht="20.100000000000001" customHeight="1">
      <c r="A19" s="686"/>
      <c r="B19" s="699"/>
      <c r="C19" s="288">
        <v>3</v>
      </c>
      <c r="D19" s="246"/>
      <c r="E19" s="290"/>
      <c r="F19" s="291"/>
      <c r="G19" s="375"/>
      <c r="H19" s="315"/>
      <c r="I19" s="316"/>
      <c r="J19" s="326"/>
      <c r="K19" s="327"/>
      <c r="L19" s="328"/>
      <c r="M19" s="337">
        <f t="shared" si="1"/>
        <v>0</v>
      </c>
      <c r="N19" s="297"/>
      <c r="O19" s="711"/>
      <c r="P19" s="712"/>
    </row>
    <row r="20" spans="1:20" s="298" customFormat="1" ht="20.100000000000001" customHeight="1">
      <c r="A20" s="686"/>
      <c r="B20" s="699"/>
      <c r="C20" s="288">
        <v>4</v>
      </c>
      <c r="D20" s="246"/>
      <c r="E20" s="290"/>
      <c r="F20" s="291"/>
      <c r="G20" s="375"/>
      <c r="H20" s="315"/>
      <c r="I20" s="316"/>
      <c r="J20" s="326"/>
      <c r="K20" s="327"/>
      <c r="L20" s="328"/>
      <c r="M20" s="337">
        <f t="shared" si="1"/>
        <v>0</v>
      </c>
      <c r="N20" s="297"/>
      <c r="O20" s="715"/>
      <c r="P20" s="716"/>
    </row>
    <row r="21" spans="1:20" s="298" customFormat="1" ht="20.100000000000001" customHeight="1" thickBot="1">
      <c r="A21" s="686"/>
      <c r="B21" s="699"/>
      <c r="C21" s="288">
        <v>5</v>
      </c>
      <c r="D21" s="253"/>
      <c r="E21" s="300"/>
      <c r="F21" s="301"/>
      <c r="G21" s="375"/>
      <c r="H21" s="315"/>
      <c r="I21" s="316"/>
      <c r="J21" s="330"/>
      <c r="K21" s="331"/>
      <c r="L21" s="332"/>
      <c r="M21" s="337">
        <f t="shared" si="1"/>
        <v>0</v>
      </c>
      <c r="N21" s="297"/>
      <c r="O21" s="803"/>
      <c r="P21" s="804"/>
      <c r="R21" s="212"/>
    </row>
    <row r="22" spans="1:20" s="298" customFormat="1" ht="15.75" customHeight="1" thickTop="1" thickBot="1">
      <c r="A22" s="687"/>
      <c r="B22" s="700"/>
      <c r="C22" s="695"/>
      <c r="D22" s="696"/>
      <c r="E22" s="696"/>
      <c r="F22" s="696"/>
      <c r="G22" s="696"/>
      <c r="H22" s="696"/>
      <c r="I22" s="697"/>
      <c r="J22" s="305" t="s">
        <v>304</v>
      </c>
      <c r="K22" s="437">
        <f>M22/'生產管理報表 7-1 (週)'!$B$42</f>
        <v>1.8409615122956788E-2</v>
      </c>
      <c r="L22" s="306" t="s">
        <v>305</v>
      </c>
      <c r="M22" s="349">
        <f>SUM(M17:M21)</f>
        <v>1200.96</v>
      </c>
      <c r="N22" s="672"/>
      <c r="O22" s="673"/>
      <c r="P22" s="674"/>
      <c r="R22" s="211"/>
    </row>
    <row r="23" spans="1:20" s="298" customFormat="1" ht="15.75" customHeight="1" thickTop="1">
      <c r="B23" s="307"/>
      <c r="C23" s="308"/>
      <c r="M23" s="344"/>
      <c r="R23" s="211"/>
    </row>
    <row r="24" spans="1:20" s="298" customFormat="1" ht="15.75" customHeight="1">
      <c r="A24" s="675" t="s">
        <v>284</v>
      </c>
      <c r="B24" s="676"/>
      <c r="C24" s="313" t="s">
        <v>238</v>
      </c>
      <c r="D24" s="677" t="s">
        <v>239</v>
      </c>
      <c r="E24" s="678"/>
      <c r="F24" s="679"/>
      <c r="G24" s="680" t="s">
        <v>288</v>
      </c>
      <c r="H24" s="681"/>
      <c r="I24" s="682"/>
      <c r="J24" s="314" t="s">
        <v>289</v>
      </c>
      <c r="K24" s="285" t="s">
        <v>23</v>
      </c>
      <c r="L24" s="285" t="s">
        <v>290</v>
      </c>
      <c r="M24" s="345" t="s">
        <v>277</v>
      </c>
      <c r="N24" s="286" t="s">
        <v>253</v>
      </c>
      <c r="O24" s="683" t="s">
        <v>244</v>
      </c>
      <c r="P24" s="684"/>
      <c r="R24" s="211"/>
      <c r="S24" s="2"/>
    </row>
    <row r="25" spans="1:20" s="298" customFormat="1" ht="20.100000000000001" customHeight="1">
      <c r="A25" s="685">
        <v>6</v>
      </c>
      <c r="B25" s="698" t="s">
        <v>321</v>
      </c>
      <c r="C25" s="288">
        <v>1</v>
      </c>
      <c r="D25" s="356"/>
      <c r="E25" s="290"/>
      <c r="F25" s="291"/>
      <c r="G25" s="375"/>
      <c r="H25" s="315"/>
      <c r="I25" s="316"/>
      <c r="J25" s="326"/>
      <c r="K25" s="327"/>
      <c r="L25" s="328"/>
      <c r="M25" s="337">
        <f t="shared" ref="M25" si="2">L25*J25</f>
        <v>0</v>
      </c>
      <c r="N25" s="297"/>
      <c r="O25" s="711"/>
      <c r="P25" s="712"/>
      <c r="S25" s="2"/>
    </row>
    <row r="26" spans="1:20" s="298" customFormat="1" ht="20.100000000000001" customHeight="1">
      <c r="A26" s="686"/>
      <c r="B26" s="699"/>
      <c r="C26" s="288">
        <v>2</v>
      </c>
      <c r="D26" s="289"/>
      <c r="E26" s="290"/>
      <c r="F26" s="291"/>
      <c r="G26" s="292"/>
      <c r="H26" s="293"/>
      <c r="I26" s="294"/>
      <c r="J26" s="295"/>
      <c r="K26" s="296"/>
      <c r="L26" s="297"/>
      <c r="M26" s="346">
        <v>0</v>
      </c>
      <c r="N26" s="297"/>
      <c r="O26" s="309"/>
      <c r="P26" s="310"/>
      <c r="S26" s="2"/>
    </row>
    <row r="27" spans="1:20" s="298" customFormat="1" ht="20.100000000000001" customHeight="1">
      <c r="A27" s="686"/>
      <c r="B27" s="699"/>
      <c r="C27" s="288">
        <v>3</v>
      </c>
      <c r="D27" s="289"/>
      <c r="E27" s="290"/>
      <c r="F27" s="291"/>
      <c r="G27" s="292"/>
      <c r="H27" s="293"/>
      <c r="I27" s="294"/>
      <c r="J27" s="295"/>
      <c r="K27" s="296"/>
      <c r="L27" s="297"/>
      <c r="M27" s="346">
        <v>0</v>
      </c>
      <c r="N27" s="297"/>
      <c r="O27" s="309"/>
      <c r="P27" s="310"/>
      <c r="S27" s="2"/>
    </row>
    <row r="28" spans="1:20" s="298" customFormat="1" ht="20.100000000000001" customHeight="1">
      <c r="A28" s="686"/>
      <c r="B28" s="699"/>
      <c r="C28" s="288">
        <v>4</v>
      </c>
      <c r="D28" s="289"/>
      <c r="E28" s="290"/>
      <c r="F28" s="291"/>
      <c r="G28" s="292"/>
      <c r="H28" s="293"/>
      <c r="I28" s="294"/>
      <c r="J28" s="295"/>
      <c r="K28" s="296"/>
      <c r="L28" s="297"/>
      <c r="M28" s="346">
        <v>0</v>
      </c>
      <c r="N28" s="297"/>
      <c r="O28" s="309"/>
      <c r="P28" s="310"/>
      <c r="R28" s="2"/>
      <c r="S28" s="2"/>
    </row>
    <row r="29" spans="1:20" s="298" customFormat="1" ht="20.100000000000001" customHeight="1" thickBot="1">
      <c r="A29" s="686"/>
      <c r="B29" s="699"/>
      <c r="C29" s="288">
        <v>5</v>
      </c>
      <c r="D29" s="299"/>
      <c r="E29" s="300"/>
      <c r="F29" s="301"/>
      <c r="G29" s="292"/>
      <c r="H29" s="293"/>
      <c r="I29" s="294"/>
      <c r="J29" s="302"/>
      <c r="K29" s="303"/>
      <c r="L29" s="304"/>
      <c r="M29" s="346">
        <v>0</v>
      </c>
      <c r="N29" s="297"/>
      <c r="O29" s="311"/>
      <c r="P29" s="312"/>
      <c r="R29" s="2"/>
      <c r="S29" s="2"/>
    </row>
    <row r="30" spans="1:20" s="298" customFormat="1" ht="15.75" customHeight="1" thickTop="1" thickBot="1">
      <c r="A30" s="687"/>
      <c r="B30" s="700"/>
      <c r="C30" s="695"/>
      <c r="D30" s="696"/>
      <c r="E30" s="696"/>
      <c r="F30" s="696"/>
      <c r="G30" s="696"/>
      <c r="H30" s="696"/>
      <c r="I30" s="697"/>
      <c r="J30" s="305" t="s">
        <v>304</v>
      </c>
      <c r="K30" s="437">
        <f>M30/'生產管理報表 7-1 (週)'!$B$42</f>
        <v>0</v>
      </c>
      <c r="L30" s="306" t="s">
        <v>305</v>
      </c>
      <c r="M30" s="349">
        <f>SUM(M25:M29)</f>
        <v>0</v>
      </c>
      <c r="N30" s="672"/>
      <c r="O30" s="673"/>
      <c r="P30" s="674"/>
      <c r="R30" s="2"/>
      <c r="S30" s="2"/>
    </row>
    <row r="31" spans="1:20" s="298" customFormat="1" ht="15.75" customHeight="1" thickTop="1">
      <c r="B31" s="307"/>
      <c r="C31" s="308"/>
      <c r="M31" s="344"/>
      <c r="R31" s="2"/>
      <c r="S31" s="2"/>
    </row>
    <row r="32" spans="1:20" s="298" customFormat="1" ht="15.75" customHeight="1">
      <c r="A32" s="675" t="s">
        <v>284</v>
      </c>
      <c r="B32" s="676"/>
      <c r="C32" s="313" t="s">
        <v>238</v>
      </c>
      <c r="D32" s="677" t="s">
        <v>239</v>
      </c>
      <c r="E32" s="678"/>
      <c r="F32" s="679"/>
      <c r="G32" s="680" t="s">
        <v>288</v>
      </c>
      <c r="H32" s="681"/>
      <c r="I32" s="682"/>
      <c r="J32" s="314" t="s">
        <v>289</v>
      </c>
      <c r="K32" s="285" t="s">
        <v>23</v>
      </c>
      <c r="L32" s="285" t="s">
        <v>290</v>
      </c>
      <c r="M32" s="345" t="s">
        <v>277</v>
      </c>
      <c r="N32" s="286" t="s">
        <v>253</v>
      </c>
      <c r="O32" s="683" t="s">
        <v>244</v>
      </c>
      <c r="P32" s="684"/>
      <c r="R32" s="2"/>
      <c r="S32" s="2"/>
    </row>
    <row r="33" spans="1:20" s="298" customFormat="1" ht="20.100000000000001" customHeight="1">
      <c r="A33" s="685">
        <v>7</v>
      </c>
      <c r="B33" s="688" t="s">
        <v>324</v>
      </c>
      <c r="C33" s="288">
        <v>1</v>
      </c>
      <c r="D33" s="289"/>
      <c r="E33" s="290"/>
      <c r="F33" s="291"/>
      <c r="G33" s="292"/>
      <c r="H33" s="293"/>
      <c r="I33" s="294"/>
      <c r="J33" s="295"/>
      <c r="K33" s="296"/>
      <c r="L33" s="297"/>
      <c r="M33" s="346">
        <f t="shared" ref="M33:M35" si="3">L33*J33</f>
        <v>0</v>
      </c>
      <c r="N33" s="297"/>
      <c r="O33" s="691"/>
      <c r="P33" s="692"/>
      <c r="R33" s="2"/>
      <c r="S33" s="2"/>
    </row>
    <row r="34" spans="1:20" s="298" customFormat="1" ht="20.100000000000001" customHeight="1">
      <c r="A34" s="686"/>
      <c r="B34" s="689"/>
      <c r="C34" s="288">
        <v>2</v>
      </c>
      <c r="D34" s="289"/>
      <c r="E34" s="290"/>
      <c r="F34" s="291"/>
      <c r="G34" s="292"/>
      <c r="H34" s="293"/>
      <c r="I34" s="294"/>
      <c r="J34" s="295"/>
      <c r="K34" s="296"/>
      <c r="L34" s="297"/>
      <c r="M34" s="346">
        <f t="shared" si="3"/>
        <v>0</v>
      </c>
      <c r="N34" s="297"/>
      <c r="O34" s="693"/>
      <c r="P34" s="694"/>
      <c r="R34" s="2"/>
      <c r="S34" s="2"/>
    </row>
    <row r="35" spans="1:20" s="298" customFormat="1" ht="20.100000000000001" customHeight="1">
      <c r="A35" s="686"/>
      <c r="B35" s="689"/>
      <c r="C35" s="288">
        <v>3</v>
      </c>
      <c r="D35" s="289"/>
      <c r="E35" s="290"/>
      <c r="F35" s="291"/>
      <c r="G35" s="292"/>
      <c r="H35" s="293"/>
      <c r="I35" s="294"/>
      <c r="J35" s="295"/>
      <c r="K35" s="296"/>
      <c r="L35" s="297"/>
      <c r="M35" s="346">
        <f t="shared" si="3"/>
        <v>0</v>
      </c>
      <c r="N35" s="297"/>
      <c r="O35" s="693"/>
      <c r="P35" s="694"/>
      <c r="R35" s="2"/>
      <c r="S35" s="2"/>
    </row>
    <row r="36" spans="1:20" s="298" customFormat="1" ht="20.100000000000001" customHeight="1">
      <c r="A36" s="686"/>
      <c r="B36" s="689"/>
      <c r="C36" s="288">
        <v>4</v>
      </c>
      <c r="D36" s="289"/>
      <c r="E36" s="290"/>
      <c r="F36" s="291"/>
      <c r="G36" s="292"/>
      <c r="H36" s="293"/>
      <c r="I36" s="294"/>
      <c r="J36" s="295"/>
      <c r="K36" s="296"/>
      <c r="L36" s="297"/>
      <c r="M36" s="347">
        <v>0</v>
      </c>
      <c r="N36" s="297"/>
      <c r="O36" s="309"/>
      <c r="P36" s="310"/>
      <c r="R36" s="2"/>
      <c r="S36" s="2"/>
    </row>
    <row r="37" spans="1:20" s="298" customFormat="1" ht="20.100000000000001" customHeight="1" thickBot="1">
      <c r="A37" s="686"/>
      <c r="B37" s="689"/>
      <c r="C37" s="288">
        <v>5</v>
      </c>
      <c r="D37" s="299"/>
      <c r="E37" s="300"/>
      <c r="F37" s="301"/>
      <c r="G37" s="292"/>
      <c r="H37" s="293"/>
      <c r="I37" s="294"/>
      <c r="J37" s="302"/>
      <c r="K37" s="303"/>
      <c r="L37" s="304"/>
      <c r="M37" s="348">
        <v>0</v>
      </c>
      <c r="N37" s="297"/>
      <c r="O37" s="311"/>
      <c r="P37" s="312"/>
      <c r="R37" s="2"/>
      <c r="S37" s="2"/>
    </row>
    <row r="38" spans="1:20" s="298" customFormat="1" ht="15.75" customHeight="1" thickTop="1" thickBot="1">
      <c r="A38" s="687"/>
      <c r="B38" s="690"/>
      <c r="C38" s="695"/>
      <c r="D38" s="696"/>
      <c r="E38" s="696"/>
      <c r="F38" s="696"/>
      <c r="G38" s="696"/>
      <c r="H38" s="696"/>
      <c r="I38" s="697"/>
      <c r="J38" s="305" t="s">
        <v>304</v>
      </c>
      <c r="K38" s="437">
        <f>M38/'生產管理報表 7-1 (週)'!$B$42</f>
        <v>0</v>
      </c>
      <c r="L38" s="306" t="s">
        <v>305</v>
      </c>
      <c r="M38" s="349">
        <f>SUM(M33:M37)</f>
        <v>0</v>
      </c>
      <c r="N38" s="672"/>
      <c r="O38" s="673"/>
      <c r="P38" s="674"/>
      <c r="R38" s="2"/>
      <c r="S38" s="2"/>
      <c r="T38" s="2"/>
    </row>
    <row r="39" spans="1:20" s="136" customFormat="1" ht="15.75" customHeight="1" thickTop="1">
      <c r="A39" s="639" t="s">
        <v>377</v>
      </c>
      <c r="B39" s="639"/>
      <c r="C39" s="639"/>
      <c r="D39" s="639"/>
      <c r="E39" s="639"/>
      <c r="F39" s="639"/>
      <c r="G39" s="639"/>
      <c r="H39" s="639"/>
      <c r="I39" s="639"/>
      <c r="J39" s="639"/>
      <c r="K39" s="639"/>
      <c r="L39" s="639"/>
      <c r="M39" s="639"/>
    </row>
    <row r="40" spans="1:20" s="137" customFormat="1" ht="15.75" customHeight="1">
      <c r="A40" s="737"/>
      <c r="B40" s="737"/>
      <c r="C40" s="737"/>
      <c r="D40" s="737"/>
      <c r="E40" s="737"/>
      <c r="F40" s="737"/>
      <c r="G40" s="737"/>
      <c r="H40" s="737"/>
      <c r="I40" s="737"/>
      <c r="J40" s="737"/>
      <c r="K40" s="737"/>
      <c r="L40" s="737"/>
      <c r="M40" s="737"/>
    </row>
    <row r="41" spans="1:20" s="136" customFormat="1" ht="15.75" customHeight="1">
      <c r="A41" s="738" t="s">
        <v>284</v>
      </c>
      <c r="B41" s="740">
        <v>1</v>
      </c>
      <c r="C41" s="741"/>
      <c r="D41" s="740">
        <v>2</v>
      </c>
      <c r="E41" s="741"/>
      <c r="F41" s="740">
        <v>3</v>
      </c>
      <c r="G41" s="741"/>
      <c r="H41" s="731">
        <v>4</v>
      </c>
      <c r="I41" s="732"/>
      <c r="J41" s="731">
        <v>5</v>
      </c>
      <c r="K41" s="732"/>
      <c r="L41" s="731">
        <v>6</v>
      </c>
      <c r="M41" s="732"/>
      <c r="N41" s="731">
        <v>7</v>
      </c>
      <c r="O41" s="732"/>
      <c r="P41" s="342">
        <v>8</v>
      </c>
    </row>
    <row r="42" spans="1:20" s="136" customFormat="1" ht="15.75" customHeight="1">
      <c r="A42" s="739"/>
      <c r="B42" s="735" t="s">
        <v>273</v>
      </c>
      <c r="C42" s="736"/>
      <c r="D42" s="735" t="s">
        <v>285</v>
      </c>
      <c r="E42" s="736"/>
      <c r="F42" s="735" t="s">
        <v>275</v>
      </c>
      <c r="G42" s="736"/>
      <c r="H42" s="733" t="s">
        <v>286</v>
      </c>
      <c r="I42" s="734"/>
      <c r="J42" s="733" t="s">
        <v>280</v>
      </c>
      <c r="K42" s="734"/>
      <c r="L42" s="733" t="s">
        <v>281</v>
      </c>
      <c r="M42" s="734"/>
      <c r="N42" s="733" t="s">
        <v>282</v>
      </c>
      <c r="O42" s="734"/>
      <c r="P42" s="343" t="s">
        <v>287</v>
      </c>
    </row>
    <row r="43" spans="1:20" s="136" customFormat="1" ht="15.75" customHeight="1">
      <c r="B43" s="241"/>
      <c r="C43" s="242"/>
    </row>
    <row r="44" spans="1:20" s="287" customFormat="1" ht="15.75" customHeight="1">
      <c r="A44" s="675" t="s">
        <v>284</v>
      </c>
      <c r="B44" s="676"/>
      <c r="C44" s="284" t="s">
        <v>238</v>
      </c>
      <c r="D44" s="703" t="s">
        <v>239</v>
      </c>
      <c r="E44" s="704"/>
      <c r="F44" s="705"/>
      <c r="G44" s="706" t="s">
        <v>288</v>
      </c>
      <c r="H44" s="707"/>
      <c r="I44" s="708"/>
      <c r="J44" s="285" t="s">
        <v>289</v>
      </c>
      <c r="K44" s="285" t="s">
        <v>23</v>
      </c>
      <c r="L44" s="285" t="s">
        <v>290</v>
      </c>
      <c r="M44" s="286" t="s">
        <v>277</v>
      </c>
      <c r="N44" s="286" t="s">
        <v>253</v>
      </c>
      <c r="O44" s="683" t="s">
        <v>244</v>
      </c>
      <c r="P44" s="684"/>
      <c r="R44" s="211"/>
      <c r="S44" s="270"/>
    </row>
    <row r="45" spans="1:20" s="308" customFormat="1" ht="20.100000000000001" customHeight="1">
      <c r="A45" s="685">
        <v>4</v>
      </c>
      <c r="B45" s="719" t="s">
        <v>286</v>
      </c>
      <c r="C45" s="288">
        <v>1</v>
      </c>
      <c r="D45" s="246"/>
      <c r="E45" s="247"/>
      <c r="F45" s="248"/>
      <c r="G45" s="375"/>
      <c r="H45" s="315"/>
      <c r="I45" s="316"/>
      <c r="J45" s="326"/>
      <c r="K45" s="327"/>
      <c r="L45" s="328"/>
      <c r="M45" s="337">
        <f t="shared" ref="M45:M49" si="4">L45*J45</f>
        <v>0</v>
      </c>
      <c r="N45" s="328"/>
      <c r="O45" s="722"/>
      <c r="P45" s="723"/>
      <c r="R45" s="329"/>
      <c r="S45" s="270"/>
    </row>
    <row r="46" spans="1:20" s="308" customFormat="1" ht="20.100000000000001" customHeight="1">
      <c r="A46" s="686"/>
      <c r="B46" s="720"/>
      <c r="C46" s="288">
        <v>2</v>
      </c>
      <c r="D46" s="246"/>
      <c r="E46" s="247"/>
      <c r="F46" s="248"/>
      <c r="G46" s="375"/>
      <c r="H46" s="315"/>
      <c r="I46" s="316"/>
      <c r="J46" s="326"/>
      <c r="K46" s="327"/>
      <c r="L46" s="328"/>
      <c r="M46" s="337">
        <f t="shared" si="4"/>
        <v>0</v>
      </c>
      <c r="N46" s="328"/>
      <c r="O46" s="715"/>
      <c r="P46" s="716"/>
      <c r="R46" s="329"/>
      <c r="S46" s="211"/>
      <c r="T46" s="354"/>
    </row>
    <row r="47" spans="1:20" s="308" customFormat="1" ht="20.100000000000001" customHeight="1">
      <c r="A47" s="686"/>
      <c r="B47" s="720"/>
      <c r="C47" s="288">
        <v>3</v>
      </c>
      <c r="D47" s="246"/>
      <c r="E47" s="247"/>
      <c r="F47" s="248"/>
      <c r="G47" s="375"/>
      <c r="H47" s="315"/>
      <c r="I47" s="316"/>
      <c r="J47" s="326"/>
      <c r="K47" s="327"/>
      <c r="L47" s="328"/>
      <c r="M47" s="337">
        <f t="shared" si="4"/>
        <v>0</v>
      </c>
      <c r="N47" s="328"/>
      <c r="O47" s="722"/>
      <c r="P47" s="723"/>
      <c r="R47" s="329"/>
      <c r="S47" s="270"/>
    </row>
    <row r="48" spans="1:20" s="308" customFormat="1" ht="20.100000000000001" customHeight="1">
      <c r="A48" s="686"/>
      <c r="B48" s="720"/>
      <c r="C48" s="288">
        <v>4</v>
      </c>
      <c r="D48" s="246"/>
      <c r="E48" s="247"/>
      <c r="F48" s="248"/>
      <c r="G48" s="375"/>
      <c r="H48" s="315"/>
      <c r="I48" s="316"/>
      <c r="J48" s="326"/>
      <c r="K48" s="327"/>
      <c r="L48" s="328"/>
      <c r="M48" s="337">
        <f t="shared" si="4"/>
        <v>0</v>
      </c>
      <c r="N48" s="328"/>
      <c r="O48" s="722"/>
      <c r="P48" s="723"/>
      <c r="R48" s="329"/>
      <c r="S48" s="211"/>
      <c r="T48" s="354"/>
    </row>
    <row r="49" spans="1:20" s="308" customFormat="1" ht="20.100000000000001" customHeight="1" thickBot="1">
      <c r="A49" s="686"/>
      <c r="B49" s="720"/>
      <c r="C49" s="288">
        <v>5</v>
      </c>
      <c r="D49" s="246"/>
      <c r="E49" s="254"/>
      <c r="F49" s="255"/>
      <c r="G49" s="375"/>
      <c r="H49" s="315"/>
      <c r="I49" s="316"/>
      <c r="J49" s="330"/>
      <c r="K49" s="436"/>
      <c r="L49" s="332"/>
      <c r="M49" s="337">
        <f t="shared" si="4"/>
        <v>0</v>
      </c>
      <c r="N49" s="328"/>
      <c r="O49" s="722"/>
      <c r="P49" s="723"/>
      <c r="R49" s="333"/>
      <c r="S49" s="270"/>
      <c r="T49" s="298"/>
    </row>
    <row r="50" spans="1:20" s="298" customFormat="1" ht="15.75" customHeight="1" thickTop="1" thickBot="1">
      <c r="A50" s="687"/>
      <c r="B50" s="721"/>
      <c r="C50" s="728"/>
      <c r="D50" s="729"/>
      <c r="E50" s="729"/>
      <c r="F50" s="729"/>
      <c r="G50" s="729"/>
      <c r="H50" s="729"/>
      <c r="I50" s="730"/>
      <c r="J50" s="305" t="s">
        <v>304</v>
      </c>
      <c r="K50" s="437">
        <f>M50/'生產管理報表 7-1 (週)'!$B$53</f>
        <v>0</v>
      </c>
      <c r="L50" s="306" t="s">
        <v>305</v>
      </c>
      <c r="M50" s="225">
        <f>SUM(M45:M49)</f>
        <v>0</v>
      </c>
      <c r="N50" s="672"/>
      <c r="O50" s="673"/>
      <c r="P50" s="674"/>
      <c r="R50" s="211"/>
      <c r="S50" s="211"/>
    </row>
    <row r="51" spans="1:20" s="298" customFormat="1" ht="15.75" customHeight="1" thickTop="1">
      <c r="B51" s="307"/>
      <c r="C51" s="308"/>
      <c r="M51" s="344"/>
      <c r="S51" s="270"/>
    </row>
    <row r="52" spans="1:20" s="298" customFormat="1" ht="15.75" customHeight="1">
      <c r="A52" s="675" t="s">
        <v>284</v>
      </c>
      <c r="B52" s="676"/>
      <c r="C52" s="284" t="s">
        <v>238</v>
      </c>
      <c r="D52" s="703" t="s">
        <v>239</v>
      </c>
      <c r="E52" s="704"/>
      <c r="F52" s="705"/>
      <c r="G52" s="706" t="s">
        <v>288</v>
      </c>
      <c r="H52" s="707"/>
      <c r="I52" s="708"/>
      <c r="J52" s="285" t="s">
        <v>289</v>
      </c>
      <c r="K52" s="285" t="s">
        <v>23</v>
      </c>
      <c r="L52" s="285" t="s">
        <v>290</v>
      </c>
      <c r="M52" s="345" t="s">
        <v>277</v>
      </c>
      <c r="N52" s="286" t="s">
        <v>253</v>
      </c>
      <c r="O52" s="683" t="s">
        <v>244</v>
      </c>
      <c r="P52" s="684"/>
      <c r="S52" s="211"/>
      <c r="T52" s="354"/>
    </row>
    <row r="53" spans="1:20" s="308" customFormat="1" ht="39.950000000000003" customHeight="1">
      <c r="A53" s="685">
        <v>5</v>
      </c>
      <c r="B53" s="698" t="s">
        <v>318</v>
      </c>
      <c r="C53" s="288">
        <v>1</v>
      </c>
      <c r="D53" s="246" t="s">
        <v>213</v>
      </c>
      <c r="E53" s="247"/>
      <c r="F53" s="248"/>
      <c r="G53" s="316" t="s">
        <v>319</v>
      </c>
      <c r="H53" s="315"/>
      <c r="I53" s="316"/>
      <c r="J53" s="326">
        <v>96</v>
      </c>
      <c r="K53" s="327">
        <v>2.1396054628224588E-2</v>
      </c>
      <c r="L53" s="328">
        <v>11.280000000000001</v>
      </c>
      <c r="M53" s="337">
        <f>L53*J53</f>
        <v>1082.8800000000001</v>
      </c>
      <c r="N53" s="328"/>
      <c r="O53" s="715" t="s">
        <v>396</v>
      </c>
      <c r="P53" s="716"/>
      <c r="S53" s="270"/>
    </row>
    <row r="54" spans="1:20" s="308" customFormat="1" ht="20.100000000000001" customHeight="1">
      <c r="A54" s="686"/>
      <c r="B54" s="699"/>
      <c r="C54" s="288">
        <v>2</v>
      </c>
      <c r="D54" s="246"/>
      <c r="E54" s="247"/>
      <c r="F54" s="248"/>
      <c r="G54" s="375"/>
      <c r="H54" s="315"/>
      <c r="I54" s="316"/>
      <c r="J54" s="326"/>
      <c r="K54" s="327"/>
      <c r="L54" s="328"/>
      <c r="M54" s="337">
        <f t="shared" ref="M54:M57" si="5">L54*J54</f>
        <v>0</v>
      </c>
      <c r="N54" s="328"/>
      <c r="O54" s="715"/>
      <c r="P54" s="716"/>
      <c r="S54" s="211"/>
      <c r="T54" s="355"/>
    </row>
    <row r="55" spans="1:20" s="298" customFormat="1" ht="20.100000000000001" customHeight="1">
      <c r="A55" s="686"/>
      <c r="B55" s="699"/>
      <c r="C55" s="288">
        <v>3</v>
      </c>
      <c r="D55" s="246"/>
      <c r="E55" s="290"/>
      <c r="F55" s="291"/>
      <c r="G55" s="375"/>
      <c r="H55" s="315"/>
      <c r="I55" s="316"/>
      <c r="J55" s="326"/>
      <c r="K55" s="327"/>
      <c r="L55" s="328"/>
      <c r="M55" s="337">
        <f t="shared" si="5"/>
        <v>0</v>
      </c>
      <c r="N55" s="297"/>
      <c r="O55" s="711"/>
      <c r="P55" s="712"/>
    </row>
    <row r="56" spans="1:20" s="298" customFormat="1" ht="20.100000000000001" customHeight="1">
      <c r="A56" s="686"/>
      <c r="B56" s="699"/>
      <c r="C56" s="288">
        <v>4</v>
      </c>
      <c r="D56" s="246"/>
      <c r="E56" s="290"/>
      <c r="F56" s="291"/>
      <c r="G56" s="375"/>
      <c r="H56" s="315"/>
      <c r="I56" s="316"/>
      <c r="J56" s="326"/>
      <c r="K56" s="327"/>
      <c r="L56" s="328"/>
      <c r="M56" s="337">
        <f t="shared" si="5"/>
        <v>0</v>
      </c>
      <c r="N56" s="297"/>
      <c r="O56" s="715"/>
      <c r="P56" s="716"/>
    </row>
    <row r="57" spans="1:20" s="298" customFormat="1" ht="20.100000000000001" customHeight="1" thickBot="1">
      <c r="A57" s="686"/>
      <c r="B57" s="699"/>
      <c r="C57" s="288">
        <v>5</v>
      </c>
      <c r="D57" s="253"/>
      <c r="E57" s="300"/>
      <c r="F57" s="301"/>
      <c r="G57" s="375"/>
      <c r="H57" s="315"/>
      <c r="I57" s="316"/>
      <c r="J57" s="330"/>
      <c r="K57" s="331"/>
      <c r="L57" s="332"/>
      <c r="M57" s="337">
        <f t="shared" si="5"/>
        <v>0</v>
      </c>
      <c r="N57" s="297"/>
      <c r="O57" s="803"/>
      <c r="P57" s="804"/>
      <c r="R57" s="212"/>
    </row>
    <row r="58" spans="1:20" s="298" customFormat="1" ht="15.75" customHeight="1" thickTop="1" thickBot="1">
      <c r="A58" s="687"/>
      <c r="B58" s="700"/>
      <c r="C58" s="695"/>
      <c r="D58" s="696"/>
      <c r="E58" s="696"/>
      <c r="F58" s="696"/>
      <c r="G58" s="696"/>
      <c r="H58" s="696"/>
      <c r="I58" s="697"/>
      <c r="J58" s="305" t="s">
        <v>304</v>
      </c>
      <c r="K58" s="437">
        <f>M58/'生產管理報表 7-1 (週)'!$B$53</f>
        <v>1.5018335117119374E-2</v>
      </c>
      <c r="L58" s="306" t="s">
        <v>305</v>
      </c>
      <c r="M58" s="349">
        <f>SUM(M53:M57)</f>
        <v>1082.8800000000001</v>
      </c>
      <c r="N58" s="672"/>
      <c r="O58" s="673"/>
      <c r="P58" s="674"/>
      <c r="R58" s="211"/>
    </row>
    <row r="59" spans="1:20" s="298" customFormat="1" ht="15.75" customHeight="1" thickTop="1">
      <c r="B59" s="307"/>
      <c r="C59" s="308"/>
      <c r="M59" s="344"/>
      <c r="R59" s="211"/>
    </row>
    <row r="60" spans="1:20" s="298" customFormat="1" ht="15.75" customHeight="1">
      <c r="A60" s="675" t="s">
        <v>284</v>
      </c>
      <c r="B60" s="676"/>
      <c r="C60" s="313" t="s">
        <v>238</v>
      </c>
      <c r="D60" s="677" t="s">
        <v>239</v>
      </c>
      <c r="E60" s="678"/>
      <c r="F60" s="679"/>
      <c r="G60" s="680" t="s">
        <v>288</v>
      </c>
      <c r="H60" s="681"/>
      <c r="I60" s="682"/>
      <c r="J60" s="314" t="s">
        <v>289</v>
      </c>
      <c r="K60" s="285" t="s">
        <v>23</v>
      </c>
      <c r="L60" s="285" t="s">
        <v>290</v>
      </c>
      <c r="M60" s="345" t="s">
        <v>277</v>
      </c>
      <c r="N60" s="286" t="s">
        <v>253</v>
      </c>
      <c r="O60" s="683" t="s">
        <v>244</v>
      </c>
      <c r="P60" s="684"/>
      <c r="R60" s="211"/>
      <c r="S60" s="2"/>
    </row>
    <row r="61" spans="1:20" s="298" customFormat="1" ht="39.950000000000003" customHeight="1">
      <c r="A61" s="685">
        <v>6</v>
      </c>
      <c r="B61" s="698" t="s">
        <v>321</v>
      </c>
      <c r="C61" s="288">
        <v>1</v>
      </c>
      <c r="D61" s="356" t="s">
        <v>147</v>
      </c>
      <c r="E61" s="290"/>
      <c r="F61" s="291"/>
      <c r="G61" s="316" t="s">
        <v>322</v>
      </c>
      <c r="H61" s="315"/>
      <c r="I61" s="316"/>
      <c r="J61" s="326">
        <v>15.450000000000001</v>
      </c>
      <c r="K61" s="327">
        <v>4.4519246430316517E-3</v>
      </c>
      <c r="L61" s="328">
        <v>82</v>
      </c>
      <c r="M61" s="337">
        <f t="shared" ref="M61" si="6">L61*J61</f>
        <v>1266.9000000000001</v>
      </c>
      <c r="N61" s="297"/>
      <c r="O61" s="711" t="s">
        <v>397</v>
      </c>
      <c r="P61" s="712"/>
      <c r="S61" s="2"/>
    </row>
    <row r="62" spans="1:20" s="298" customFormat="1" ht="20.100000000000001" customHeight="1">
      <c r="A62" s="686"/>
      <c r="B62" s="699"/>
      <c r="C62" s="288">
        <v>2</v>
      </c>
      <c r="D62" s="289"/>
      <c r="E62" s="290"/>
      <c r="F62" s="291"/>
      <c r="G62" s="292"/>
      <c r="H62" s="293"/>
      <c r="I62" s="294"/>
      <c r="J62" s="295"/>
      <c r="K62" s="296"/>
      <c r="L62" s="297"/>
      <c r="M62" s="346">
        <v>0</v>
      </c>
      <c r="N62" s="297"/>
      <c r="O62" s="309"/>
      <c r="P62" s="310"/>
      <c r="S62" s="2"/>
    </row>
    <row r="63" spans="1:20" s="298" customFormat="1" ht="20.100000000000001" customHeight="1">
      <c r="A63" s="686"/>
      <c r="B63" s="699"/>
      <c r="C63" s="288">
        <v>3</v>
      </c>
      <c r="D63" s="289"/>
      <c r="E63" s="290"/>
      <c r="F63" s="291"/>
      <c r="G63" s="292"/>
      <c r="H63" s="293"/>
      <c r="I63" s="294"/>
      <c r="J63" s="295"/>
      <c r="K63" s="296"/>
      <c r="L63" s="297"/>
      <c r="M63" s="346">
        <v>0</v>
      </c>
      <c r="N63" s="297"/>
      <c r="O63" s="309"/>
      <c r="P63" s="310"/>
      <c r="S63" s="2"/>
    </row>
    <row r="64" spans="1:20" s="298" customFormat="1" ht="20.100000000000001" customHeight="1">
      <c r="A64" s="686"/>
      <c r="B64" s="699"/>
      <c r="C64" s="288">
        <v>4</v>
      </c>
      <c r="D64" s="289"/>
      <c r="E64" s="290"/>
      <c r="F64" s="291"/>
      <c r="G64" s="292"/>
      <c r="H64" s="293"/>
      <c r="I64" s="294"/>
      <c r="J64" s="295"/>
      <c r="K64" s="296"/>
      <c r="L64" s="297"/>
      <c r="M64" s="346">
        <v>0</v>
      </c>
      <c r="N64" s="297"/>
      <c r="O64" s="309"/>
      <c r="P64" s="310"/>
      <c r="R64" s="2"/>
      <c r="S64" s="2"/>
    </row>
    <row r="65" spans="1:21" s="298" customFormat="1" ht="20.100000000000001" customHeight="1" thickBot="1">
      <c r="A65" s="686"/>
      <c r="B65" s="699"/>
      <c r="C65" s="288">
        <v>5</v>
      </c>
      <c r="D65" s="299"/>
      <c r="E65" s="300"/>
      <c r="F65" s="301"/>
      <c r="G65" s="292"/>
      <c r="H65" s="293"/>
      <c r="I65" s="294"/>
      <c r="J65" s="302"/>
      <c r="K65" s="303"/>
      <c r="L65" s="304"/>
      <c r="M65" s="346">
        <v>0</v>
      </c>
      <c r="N65" s="297"/>
      <c r="O65" s="311"/>
      <c r="P65" s="312"/>
      <c r="R65" s="2"/>
      <c r="S65" s="2"/>
    </row>
    <row r="66" spans="1:21" s="298" customFormat="1" ht="15.75" customHeight="1" thickTop="1" thickBot="1">
      <c r="A66" s="687"/>
      <c r="B66" s="700"/>
      <c r="C66" s="695"/>
      <c r="D66" s="696"/>
      <c r="E66" s="696"/>
      <c r="F66" s="696"/>
      <c r="G66" s="696"/>
      <c r="H66" s="696"/>
      <c r="I66" s="697"/>
      <c r="J66" s="305" t="s">
        <v>304</v>
      </c>
      <c r="K66" s="437">
        <f>M66/'生產管理報表 7-1 (週)'!$B$53</f>
        <v>1.7570486812831094E-2</v>
      </c>
      <c r="L66" s="306" t="s">
        <v>305</v>
      </c>
      <c r="M66" s="349">
        <f>SUM(M61:M65)</f>
        <v>1266.9000000000001</v>
      </c>
      <c r="N66" s="672"/>
      <c r="O66" s="673"/>
      <c r="P66" s="674"/>
      <c r="R66" s="2"/>
      <c r="S66" s="2"/>
    </row>
    <row r="67" spans="1:21" s="298" customFormat="1" ht="15.75" customHeight="1" thickTop="1">
      <c r="B67" s="307"/>
      <c r="C67" s="308"/>
      <c r="M67" s="344"/>
      <c r="R67" s="2"/>
      <c r="S67" s="2"/>
    </row>
    <row r="68" spans="1:21" s="298" customFormat="1" ht="15.75" customHeight="1">
      <c r="A68" s="675" t="s">
        <v>284</v>
      </c>
      <c r="B68" s="676"/>
      <c r="C68" s="313" t="s">
        <v>238</v>
      </c>
      <c r="D68" s="677" t="s">
        <v>239</v>
      </c>
      <c r="E68" s="678"/>
      <c r="F68" s="679"/>
      <c r="G68" s="680" t="s">
        <v>288</v>
      </c>
      <c r="H68" s="681"/>
      <c r="I68" s="682"/>
      <c r="J68" s="314" t="s">
        <v>289</v>
      </c>
      <c r="K68" s="285" t="s">
        <v>23</v>
      </c>
      <c r="L68" s="285" t="s">
        <v>290</v>
      </c>
      <c r="M68" s="345" t="s">
        <v>277</v>
      </c>
      <c r="N68" s="286" t="s">
        <v>253</v>
      </c>
      <c r="O68" s="683" t="s">
        <v>244</v>
      </c>
      <c r="P68" s="684"/>
      <c r="R68" s="2"/>
      <c r="S68" s="2"/>
    </row>
    <row r="69" spans="1:21" s="298" customFormat="1" ht="20.100000000000001" customHeight="1">
      <c r="A69" s="685">
        <v>7</v>
      </c>
      <c r="B69" s="688" t="s">
        <v>324</v>
      </c>
      <c r="C69" s="288">
        <v>1</v>
      </c>
      <c r="D69" s="289"/>
      <c r="E69" s="290"/>
      <c r="F69" s="291"/>
      <c r="G69" s="292"/>
      <c r="H69" s="293"/>
      <c r="I69" s="294"/>
      <c r="J69" s="295"/>
      <c r="K69" s="296"/>
      <c r="L69" s="297"/>
      <c r="M69" s="346">
        <f t="shared" ref="M69:M71" si="7">L69*J69</f>
        <v>0</v>
      </c>
      <c r="N69" s="297"/>
      <c r="O69" s="691"/>
      <c r="P69" s="692"/>
      <c r="R69" s="2"/>
      <c r="S69" s="2"/>
    </row>
    <row r="70" spans="1:21" s="298" customFormat="1" ht="20.100000000000001" customHeight="1">
      <c r="A70" s="686"/>
      <c r="B70" s="689"/>
      <c r="C70" s="288">
        <v>2</v>
      </c>
      <c r="D70" s="289"/>
      <c r="E70" s="290"/>
      <c r="F70" s="291"/>
      <c r="G70" s="292"/>
      <c r="H70" s="293"/>
      <c r="I70" s="294"/>
      <c r="J70" s="295"/>
      <c r="K70" s="296"/>
      <c r="L70" s="297"/>
      <c r="M70" s="346">
        <f t="shared" si="7"/>
        <v>0</v>
      </c>
      <c r="N70" s="297"/>
      <c r="O70" s="693"/>
      <c r="P70" s="694"/>
      <c r="R70" s="2"/>
      <c r="S70" s="2"/>
    </row>
    <row r="71" spans="1:21" s="298" customFormat="1" ht="20.100000000000001" customHeight="1">
      <c r="A71" s="686"/>
      <c r="B71" s="689"/>
      <c r="C71" s="288">
        <v>3</v>
      </c>
      <c r="D71" s="289"/>
      <c r="E71" s="290"/>
      <c r="F71" s="291"/>
      <c r="G71" s="292"/>
      <c r="H71" s="293"/>
      <c r="I71" s="294"/>
      <c r="J71" s="295"/>
      <c r="K71" s="296"/>
      <c r="L71" s="297"/>
      <c r="M71" s="346">
        <f t="shared" si="7"/>
        <v>0</v>
      </c>
      <c r="N71" s="297"/>
      <c r="O71" s="693"/>
      <c r="P71" s="694"/>
      <c r="R71" s="2"/>
      <c r="S71" s="2"/>
    </row>
    <row r="72" spans="1:21" s="298" customFormat="1" ht="20.100000000000001" customHeight="1">
      <c r="A72" s="686"/>
      <c r="B72" s="689"/>
      <c r="C72" s="288">
        <v>4</v>
      </c>
      <c r="D72" s="289"/>
      <c r="E72" s="290"/>
      <c r="F72" s="291"/>
      <c r="G72" s="292"/>
      <c r="H72" s="293"/>
      <c r="I72" s="294"/>
      <c r="J72" s="295"/>
      <c r="K72" s="296"/>
      <c r="L72" s="297"/>
      <c r="M72" s="347">
        <v>0</v>
      </c>
      <c r="N72" s="297"/>
      <c r="O72" s="309"/>
      <c r="P72" s="310"/>
      <c r="R72" s="2"/>
      <c r="S72" s="2"/>
    </row>
    <row r="73" spans="1:21" s="298" customFormat="1" ht="20.100000000000001" customHeight="1" thickBot="1">
      <c r="A73" s="686"/>
      <c r="B73" s="689"/>
      <c r="C73" s="288">
        <v>5</v>
      </c>
      <c r="D73" s="299"/>
      <c r="E73" s="300"/>
      <c r="F73" s="301"/>
      <c r="G73" s="292"/>
      <c r="H73" s="293"/>
      <c r="I73" s="294"/>
      <c r="J73" s="302"/>
      <c r="K73" s="303"/>
      <c r="L73" s="304"/>
      <c r="M73" s="348">
        <v>0</v>
      </c>
      <c r="N73" s="297"/>
      <c r="O73" s="311"/>
      <c r="P73" s="312"/>
      <c r="R73" s="2"/>
      <c r="S73" s="2"/>
    </row>
    <row r="74" spans="1:21" s="298" customFormat="1" ht="15.75" customHeight="1" thickTop="1" thickBot="1">
      <c r="A74" s="687"/>
      <c r="B74" s="690"/>
      <c r="C74" s="695"/>
      <c r="D74" s="696"/>
      <c r="E74" s="696"/>
      <c r="F74" s="696"/>
      <c r="G74" s="696"/>
      <c r="H74" s="696"/>
      <c r="I74" s="697"/>
      <c r="J74" s="305" t="s">
        <v>304</v>
      </c>
      <c r="K74" s="437">
        <f>M74/'生產管理報表 7-1 (週)'!$B$53</f>
        <v>0</v>
      </c>
      <c r="L74" s="306" t="s">
        <v>305</v>
      </c>
      <c r="M74" s="349">
        <f>SUM(M69:M73)</f>
        <v>0</v>
      </c>
      <c r="N74" s="672"/>
      <c r="O74" s="673"/>
      <c r="P74" s="674"/>
      <c r="R74" s="2"/>
      <c r="S74" s="2"/>
      <c r="T74" s="2"/>
    </row>
    <row r="75" spans="1:21" s="136" customFormat="1" ht="15.75" customHeight="1" thickTop="1">
      <c r="A75" s="802" t="s">
        <v>382</v>
      </c>
      <c r="B75" s="802"/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R75" s="240"/>
      <c r="S75" s="240"/>
      <c r="T75" s="240"/>
      <c r="U75" s="240"/>
    </row>
    <row r="76" spans="1:21" s="137" customFormat="1" ht="15.75" customHeight="1">
      <c r="A76" s="737"/>
      <c r="B76" s="737"/>
      <c r="C76" s="737"/>
      <c r="D76" s="737"/>
      <c r="E76" s="737"/>
      <c r="F76" s="737"/>
      <c r="G76" s="737"/>
      <c r="H76" s="737"/>
      <c r="I76" s="737"/>
      <c r="J76" s="737"/>
      <c r="K76" s="737"/>
      <c r="L76" s="737"/>
      <c r="M76" s="737"/>
    </row>
    <row r="77" spans="1:21" s="136" customFormat="1" ht="15.75" customHeight="1">
      <c r="A77" s="738" t="s">
        <v>284</v>
      </c>
      <c r="B77" s="740">
        <v>1</v>
      </c>
      <c r="C77" s="741"/>
      <c r="D77" s="740">
        <v>2</v>
      </c>
      <c r="E77" s="741"/>
      <c r="F77" s="740">
        <v>3</v>
      </c>
      <c r="G77" s="741"/>
      <c r="H77" s="731">
        <v>4</v>
      </c>
      <c r="I77" s="732"/>
      <c r="J77" s="731">
        <v>5</v>
      </c>
      <c r="K77" s="732"/>
      <c r="L77" s="731">
        <v>6</v>
      </c>
      <c r="M77" s="732"/>
      <c r="N77" s="731">
        <v>7</v>
      </c>
      <c r="O77" s="732"/>
      <c r="P77" s="342">
        <v>8</v>
      </c>
    </row>
    <row r="78" spans="1:21" s="136" customFormat="1" ht="15.75" customHeight="1">
      <c r="A78" s="739"/>
      <c r="B78" s="735" t="s">
        <v>273</v>
      </c>
      <c r="C78" s="736"/>
      <c r="D78" s="735" t="s">
        <v>285</v>
      </c>
      <c r="E78" s="736"/>
      <c r="F78" s="735" t="s">
        <v>275</v>
      </c>
      <c r="G78" s="736"/>
      <c r="H78" s="733" t="s">
        <v>286</v>
      </c>
      <c r="I78" s="734"/>
      <c r="J78" s="733" t="s">
        <v>280</v>
      </c>
      <c r="K78" s="734"/>
      <c r="L78" s="733" t="s">
        <v>281</v>
      </c>
      <c r="M78" s="734"/>
      <c r="N78" s="733" t="s">
        <v>282</v>
      </c>
      <c r="O78" s="734"/>
      <c r="P78" s="343" t="s">
        <v>287</v>
      </c>
    </row>
    <row r="79" spans="1:21" s="136" customFormat="1" ht="15.75" customHeight="1">
      <c r="B79" s="241"/>
      <c r="C79" s="242"/>
    </row>
    <row r="80" spans="1:21" s="287" customFormat="1" ht="15.75" customHeight="1">
      <c r="A80" s="675" t="s">
        <v>284</v>
      </c>
      <c r="B80" s="676"/>
      <c r="C80" s="284" t="s">
        <v>238</v>
      </c>
      <c r="D80" s="703" t="s">
        <v>239</v>
      </c>
      <c r="E80" s="704"/>
      <c r="F80" s="705"/>
      <c r="G80" s="706" t="s">
        <v>288</v>
      </c>
      <c r="H80" s="707"/>
      <c r="I80" s="708"/>
      <c r="J80" s="285" t="s">
        <v>289</v>
      </c>
      <c r="K80" s="285" t="s">
        <v>23</v>
      </c>
      <c r="L80" s="285" t="s">
        <v>290</v>
      </c>
      <c r="M80" s="286" t="s">
        <v>277</v>
      </c>
      <c r="N80" s="286" t="s">
        <v>253</v>
      </c>
      <c r="O80" s="683" t="s">
        <v>244</v>
      </c>
      <c r="P80" s="684"/>
      <c r="R80" s="211"/>
      <c r="S80" s="270"/>
    </row>
    <row r="81" spans="1:20" s="308" customFormat="1" ht="20.100000000000001" customHeight="1">
      <c r="A81" s="685">
        <v>4</v>
      </c>
      <c r="B81" s="719" t="s">
        <v>286</v>
      </c>
      <c r="C81" s="288">
        <v>1</v>
      </c>
      <c r="D81" s="246"/>
      <c r="E81" s="247"/>
      <c r="F81" s="248"/>
      <c r="G81" s="375"/>
      <c r="H81" s="315"/>
      <c r="I81" s="316"/>
      <c r="J81" s="326"/>
      <c r="K81" s="327"/>
      <c r="L81" s="328"/>
      <c r="M81" s="337">
        <f t="shared" ref="M81:M85" si="8">L81*J81</f>
        <v>0</v>
      </c>
      <c r="N81" s="328"/>
      <c r="O81" s="722"/>
      <c r="P81" s="723"/>
      <c r="R81" s="329"/>
      <c r="S81" s="270"/>
    </row>
    <row r="82" spans="1:20" s="308" customFormat="1" ht="20.100000000000001" customHeight="1">
      <c r="A82" s="686"/>
      <c r="B82" s="720"/>
      <c r="C82" s="288">
        <v>2</v>
      </c>
      <c r="D82" s="246"/>
      <c r="E82" s="247"/>
      <c r="F82" s="248"/>
      <c r="G82" s="375"/>
      <c r="H82" s="315"/>
      <c r="I82" s="316"/>
      <c r="J82" s="326"/>
      <c r="K82" s="327"/>
      <c r="L82" s="328"/>
      <c r="M82" s="337">
        <f t="shared" si="8"/>
        <v>0</v>
      </c>
      <c r="N82" s="328"/>
      <c r="O82" s="715"/>
      <c r="P82" s="716"/>
      <c r="R82" s="329"/>
      <c r="S82" s="211"/>
      <c r="T82" s="354"/>
    </row>
    <row r="83" spans="1:20" s="308" customFormat="1" ht="20.100000000000001" customHeight="1">
      <c r="A83" s="686"/>
      <c r="B83" s="720"/>
      <c r="C83" s="288">
        <v>3</v>
      </c>
      <c r="D83" s="246"/>
      <c r="E83" s="247"/>
      <c r="F83" s="248"/>
      <c r="G83" s="375"/>
      <c r="H83" s="315"/>
      <c r="I83" s="316"/>
      <c r="J83" s="326"/>
      <c r="K83" s="327"/>
      <c r="L83" s="328"/>
      <c r="M83" s="337">
        <f t="shared" si="8"/>
        <v>0</v>
      </c>
      <c r="N83" s="328"/>
      <c r="O83" s="722"/>
      <c r="P83" s="723"/>
      <c r="R83" s="329"/>
      <c r="S83" s="270"/>
    </row>
    <row r="84" spans="1:20" s="308" customFormat="1" ht="20.100000000000001" customHeight="1">
      <c r="A84" s="686"/>
      <c r="B84" s="720"/>
      <c r="C84" s="288">
        <v>4</v>
      </c>
      <c r="D84" s="246"/>
      <c r="E84" s="247"/>
      <c r="F84" s="248"/>
      <c r="G84" s="375"/>
      <c r="H84" s="315"/>
      <c r="I84" s="316"/>
      <c r="J84" s="326"/>
      <c r="K84" s="327"/>
      <c r="L84" s="328"/>
      <c r="M84" s="337">
        <f t="shared" si="8"/>
        <v>0</v>
      </c>
      <c r="N84" s="328"/>
      <c r="O84" s="722"/>
      <c r="P84" s="723"/>
      <c r="R84" s="329"/>
      <c r="S84" s="211"/>
      <c r="T84" s="354"/>
    </row>
    <row r="85" spans="1:20" s="308" customFormat="1" ht="20.100000000000001" customHeight="1" thickBot="1">
      <c r="A85" s="686"/>
      <c r="B85" s="720"/>
      <c r="C85" s="288">
        <v>5</v>
      </c>
      <c r="D85" s="246"/>
      <c r="E85" s="254"/>
      <c r="F85" s="255"/>
      <c r="G85" s="375"/>
      <c r="H85" s="315"/>
      <c r="I85" s="316"/>
      <c r="J85" s="330"/>
      <c r="K85" s="436"/>
      <c r="L85" s="332"/>
      <c r="M85" s="337">
        <f t="shared" si="8"/>
        <v>0</v>
      </c>
      <c r="N85" s="328"/>
      <c r="O85" s="722"/>
      <c r="P85" s="723"/>
      <c r="R85" s="333"/>
      <c r="S85" s="270"/>
      <c r="T85" s="298"/>
    </row>
    <row r="86" spans="1:20" s="298" customFormat="1" ht="15.75" customHeight="1" thickTop="1" thickBot="1">
      <c r="A86" s="687"/>
      <c r="B86" s="721"/>
      <c r="C86" s="728"/>
      <c r="D86" s="729"/>
      <c r="E86" s="729"/>
      <c r="F86" s="729"/>
      <c r="G86" s="729"/>
      <c r="H86" s="729"/>
      <c r="I86" s="730"/>
      <c r="J86" s="305" t="s">
        <v>304</v>
      </c>
      <c r="K86" s="437">
        <f>M86/'生產管理報表 7-1 (週)'!$B$9</f>
        <v>0</v>
      </c>
      <c r="L86" s="306" t="s">
        <v>305</v>
      </c>
      <c r="M86" s="225">
        <f>SUM(M81:M85)</f>
        <v>0</v>
      </c>
      <c r="N86" s="672"/>
      <c r="O86" s="673"/>
      <c r="P86" s="674"/>
      <c r="R86" s="211"/>
      <c r="S86" s="211"/>
    </row>
    <row r="87" spans="1:20" s="298" customFormat="1" ht="15.75" customHeight="1" thickTop="1">
      <c r="B87" s="307"/>
      <c r="C87" s="308"/>
      <c r="M87" s="344"/>
      <c r="S87" s="270"/>
    </row>
    <row r="88" spans="1:20" s="298" customFormat="1" ht="15.75" customHeight="1">
      <c r="A88" s="675" t="s">
        <v>284</v>
      </c>
      <c r="B88" s="676"/>
      <c r="C88" s="284" t="s">
        <v>238</v>
      </c>
      <c r="D88" s="703" t="s">
        <v>239</v>
      </c>
      <c r="E88" s="704"/>
      <c r="F88" s="705"/>
      <c r="G88" s="706" t="s">
        <v>288</v>
      </c>
      <c r="H88" s="707"/>
      <c r="I88" s="708"/>
      <c r="J88" s="285" t="s">
        <v>289</v>
      </c>
      <c r="K88" s="285" t="s">
        <v>23</v>
      </c>
      <c r="L88" s="285" t="s">
        <v>290</v>
      </c>
      <c r="M88" s="345" t="s">
        <v>277</v>
      </c>
      <c r="N88" s="286" t="s">
        <v>253</v>
      </c>
      <c r="O88" s="683" t="s">
        <v>244</v>
      </c>
      <c r="P88" s="684"/>
      <c r="S88" s="211"/>
      <c r="T88" s="354"/>
    </row>
    <row r="89" spans="1:20" s="308" customFormat="1" ht="20.100000000000001" customHeight="1">
      <c r="A89" s="685">
        <v>5</v>
      </c>
      <c r="B89" s="698" t="s">
        <v>318</v>
      </c>
      <c r="C89" s="288">
        <v>1</v>
      </c>
      <c r="D89" s="246"/>
      <c r="E89" s="247"/>
      <c r="F89" s="248"/>
      <c r="G89" s="375"/>
      <c r="H89" s="315"/>
      <c r="I89" s="316"/>
      <c r="J89" s="326"/>
      <c r="K89" s="327"/>
      <c r="L89" s="328"/>
      <c r="M89" s="337">
        <f>L89*J89</f>
        <v>0</v>
      </c>
      <c r="N89" s="328"/>
      <c r="O89" s="715"/>
      <c r="P89" s="716"/>
      <c r="S89" s="270"/>
    </row>
    <row r="90" spans="1:20" s="308" customFormat="1" ht="20.100000000000001" customHeight="1">
      <c r="A90" s="686"/>
      <c r="B90" s="699"/>
      <c r="C90" s="288">
        <v>2</v>
      </c>
      <c r="D90" s="246"/>
      <c r="E90" s="247"/>
      <c r="F90" s="248"/>
      <c r="G90" s="375"/>
      <c r="H90" s="315"/>
      <c r="I90" s="316"/>
      <c r="J90" s="326"/>
      <c r="K90" s="327"/>
      <c r="L90" s="328"/>
      <c r="M90" s="337">
        <f t="shared" ref="M90:M93" si="9">L90*J90</f>
        <v>0</v>
      </c>
      <c r="N90" s="328"/>
      <c r="O90" s="715"/>
      <c r="P90" s="716"/>
      <c r="S90" s="211"/>
      <c r="T90" s="355"/>
    </row>
    <row r="91" spans="1:20" s="298" customFormat="1" ht="20.100000000000001" customHeight="1">
      <c r="A91" s="686"/>
      <c r="B91" s="699"/>
      <c r="C91" s="288">
        <v>3</v>
      </c>
      <c r="D91" s="246"/>
      <c r="E91" s="290"/>
      <c r="F91" s="291"/>
      <c r="G91" s="375"/>
      <c r="H91" s="315"/>
      <c r="I91" s="316"/>
      <c r="J91" s="326"/>
      <c r="K91" s="327"/>
      <c r="L91" s="328"/>
      <c r="M91" s="337">
        <f t="shared" si="9"/>
        <v>0</v>
      </c>
      <c r="N91" s="297"/>
      <c r="O91" s="711"/>
      <c r="P91" s="712"/>
    </row>
    <row r="92" spans="1:20" s="298" customFormat="1" ht="20.100000000000001" customHeight="1">
      <c r="A92" s="686"/>
      <c r="B92" s="699"/>
      <c r="C92" s="288">
        <v>4</v>
      </c>
      <c r="D92" s="246"/>
      <c r="E92" s="290"/>
      <c r="F92" s="291"/>
      <c r="G92" s="375"/>
      <c r="H92" s="315"/>
      <c r="I92" s="316"/>
      <c r="J92" s="326"/>
      <c r="K92" s="327"/>
      <c r="L92" s="328"/>
      <c r="M92" s="337">
        <f t="shared" si="9"/>
        <v>0</v>
      </c>
      <c r="N92" s="297"/>
      <c r="O92" s="715"/>
      <c r="P92" s="716"/>
    </row>
    <row r="93" spans="1:20" s="298" customFormat="1" ht="20.100000000000001" customHeight="1" thickBot="1">
      <c r="A93" s="686"/>
      <c r="B93" s="699"/>
      <c r="C93" s="288">
        <v>5</v>
      </c>
      <c r="D93" s="253"/>
      <c r="E93" s="300"/>
      <c r="F93" s="301"/>
      <c r="G93" s="375"/>
      <c r="H93" s="315"/>
      <c r="I93" s="316"/>
      <c r="J93" s="330"/>
      <c r="K93" s="331"/>
      <c r="L93" s="332"/>
      <c r="M93" s="337">
        <f t="shared" si="9"/>
        <v>0</v>
      </c>
      <c r="N93" s="297"/>
      <c r="O93" s="803"/>
      <c r="P93" s="804"/>
      <c r="R93" s="212"/>
    </row>
    <row r="94" spans="1:20" s="298" customFormat="1" ht="15.75" customHeight="1" thickTop="1" thickBot="1">
      <c r="A94" s="687"/>
      <c r="B94" s="700"/>
      <c r="C94" s="695"/>
      <c r="D94" s="696"/>
      <c r="E94" s="696"/>
      <c r="F94" s="696"/>
      <c r="G94" s="696"/>
      <c r="H94" s="696"/>
      <c r="I94" s="697"/>
      <c r="J94" s="305" t="s">
        <v>304</v>
      </c>
      <c r="K94" s="437">
        <f>M94/'生產管理報表 7-1 (週)'!$B$9</f>
        <v>0</v>
      </c>
      <c r="L94" s="306" t="s">
        <v>305</v>
      </c>
      <c r="M94" s="349">
        <f>SUM(M89:M93)</f>
        <v>0</v>
      </c>
      <c r="N94" s="672"/>
      <c r="O94" s="673"/>
      <c r="P94" s="674"/>
      <c r="R94" s="211"/>
    </row>
    <row r="95" spans="1:20" s="298" customFormat="1" ht="15.75" customHeight="1" thickTop="1">
      <c r="B95" s="307"/>
      <c r="C95" s="308"/>
      <c r="M95" s="344"/>
      <c r="R95" s="211"/>
    </row>
    <row r="96" spans="1:20" s="298" customFormat="1" ht="15.75" customHeight="1">
      <c r="A96" s="675" t="s">
        <v>284</v>
      </c>
      <c r="B96" s="676"/>
      <c r="C96" s="313" t="s">
        <v>238</v>
      </c>
      <c r="D96" s="677" t="s">
        <v>239</v>
      </c>
      <c r="E96" s="678"/>
      <c r="F96" s="679"/>
      <c r="G96" s="680" t="s">
        <v>288</v>
      </c>
      <c r="H96" s="681"/>
      <c r="I96" s="682"/>
      <c r="J96" s="314" t="s">
        <v>289</v>
      </c>
      <c r="K96" s="285" t="s">
        <v>23</v>
      </c>
      <c r="L96" s="285" t="s">
        <v>290</v>
      </c>
      <c r="M96" s="345" t="s">
        <v>277</v>
      </c>
      <c r="N96" s="286" t="s">
        <v>253</v>
      </c>
      <c r="O96" s="683" t="s">
        <v>244</v>
      </c>
      <c r="P96" s="684"/>
      <c r="R96" s="211"/>
      <c r="S96" s="2"/>
    </row>
    <row r="97" spans="1:21" s="298" customFormat="1" ht="39.950000000000003" customHeight="1">
      <c r="A97" s="685">
        <v>6</v>
      </c>
      <c r="B97" s="698" t="s">
        <v>321</v>
      </c>
      <c r="C97" s="288">
        <v>1</v>
      </c>
      <c r="D97" s="356" t="s">
        <v>147</v>
      </c>
      <c r="E97" s="290"/>
      <c r="F97" s="291"/>
      <c r="G97" s="316" t="s">
        <v>322</v>
      </c>
      <c r="H97" s="315"/>
      <c r="I97" s="316"/>
      <c r="J97" s="326">
        <v>15.450000000000001</v>
      </c>
      <c r="K97" s="327">
        <v>4.8371493066752657E-3</v>
      </c>
      <c r="L97" s="328">
        <v>90</v>
      </c>
      <c r="M97" s="337">
        <f t="shared" ref="M97" si="10">L97*J97</f>
        <v>1390.5</v>
      </c>
      <c r="N97" s="297"/>
      <c r="O97" s="711" t="s">
        <v>397</v>
      </c>
      <c r="P97" s="712"/>
      <c r="S97" s="2"/>
    </row>
    <row r="98" spans="1:21" s="298" customFormat="1" ht="20.100000000000001" customHeight="1">
      <c r="A98" s="686"/>
      <c r="B98" s="699"/>
      <c r="C98" s="288">
        <v>2</v>
      </c>
      <c r="D98" s="289"/>
      <c r="E98" s="290"/>
      <c r="F98" s="291"/>
      <c r="G98" s="292"/>
      <c r="H98" s="293"/>
      <c r="I98" s="294"/>
      <c r="J98" s="295"/>
      <c r="K98" s="296"/>
      <c r="L98" s="297"/>
      <c r="M98" s="346">
        <v>0</v>
      </c>
      <c r="N98" s="297"/>
      <c r="O98" s="309"/>
      <c r="P98" s="310"/>
      <c r="S98" s="2"/>
    </row>
    <row r="99" spans="1:21" s="298" customFormat="1" ht="20.100000000000001" customHeight="1">
      <c r="A99" s="686"/>
      <c r="B99" s="699"/>
      <c r="C99" s="288">
        <v>3</v>
      </c>
      <c r="D99" s="289"/>
      <c r="E99" s="290"/>
      <c r="F99" s="291"/>
      <c r="G99" s="292"/>
      <c r="H99" s="293"/>
      <c r="I99" s="294"/>
      <c r="J99" s="295"/>
      <c r="K99" s="296"/>
      <c r="L99" s="297"/>
      <c r="M99" s="346">
        <v>0</v>
      </c>
      <c r="N99" s="297"/>
      <c r="O99" s="309"/>
      <c r="P99" s="310"/>
      <c r="S99" s="2"/>
    </row>
    <row r="100" spans="1:21" s="298" customFormat="1" ht="20.100000000000001" customHeight="1">
      <c r="A100" s="686"/>
      <c r="B100" s="699"/>
      <c r="C100" s="288">
        <v>4</v>
      </c>
      <c r="D100" s="289"/>
      <c r="E100" s="290"/>
      <c r="F100" s="291"/>
      <c r="G100" s="292"/>
      <c r="H100" s="293"/>
      <c r="I100" s="294"/>
      <c r="J100" s="295"/>
      <c r="K100" s="296"/>
      <c r="L100" s="297"/>
      <c r="M100" s="346">
        <v>0</v>
      </c>
      <c r="N100" s="297"/>
      <c r="O100" s="309"/>
      <c r="P100" s="310"/>
      <c r="R100" s="2"/>
      <c r="S100" s="2"/>
    </row>
    <row r="101" spans="1:21" s="298" customFormat="1" ht="20.100000000000001" customHeight="1" thickBot="1">
      <c r="A101" s="686"/>
      <c r="B101" s="699"/>
      <c r="C101" s="288">
        <v>5</v>
      </c>
      <c r="D101" s="299"/>
      <c r="E101" s="300"/>
      <c r="F101" s="301"/>
      <c r="G101" s="292"/>
      <c r="H101" s="293"/>
      <c r="I101" s="294"/>
      <c r="J101" s="302"/>
      <c r="K101" s="303"/>
      <c r="L101" s="304"/>
      <c r="M101" s="346">
        <v>0</v>
      </c>
      <c r="N101" s="297"/>
      <c r="O101" s="311"/>
      <c r="P101" s="312"/>
      <c r="R101" s="2"/>
      <c r="S101" s="2"/>
    </row>
    <row r="102" spans="1:21" s="298" customFormat="1" ht="15.75" customHeight="1" thickTop="1" thickBot="1">
      <c r="A102" s="687"/>
      <c r="B102" s="700"/>
      <c r="C102" s="695"/>
      <c r="D102" s="696"/>
      <c r="E102" s="696"/>
      <c r="F102" s="696"/>
      <c r="G102" s="696"/>
      <c r="H102" s="696"/>
      <c r="I102" s="697"/>
      <c r="J102" s="305" t="s">
        <v>304</v>
      </c>
      <c r="K102" s="437">
        <f>M102/'生產管理報表 7-1 (週)'!$B$9</f>
        <v>1.8170650374529182E-2</v>
      </c>
      <c r="L102" s="306" t="s">
        <v>305</v>
      </c>
      <c r="M102" s="349">
        <f>SUM(M97:M101)</f>
        <v>1390.5</v>
      </c>
      <c r="N102" s="672"/>
      <c r="O102" s="673"/>
      <c r="P102" s="674"/>
      <c r="R102" s="2"/>
      <c r="S102" s="2"/>
    </row>
    <row r="103" spans="1:21" s="298" customFormat="1" ht="15.75" customHeight="1" thickTop="1">
      <c r="B103" s="307"/>
      <c r="C103" s="308"/>
      <c r="M103" s="344"/>
      <c r="R103" s="2"/>
      <c r="S103" s="2"/>
    </row>
    <row r="104" spans="1:21" s="298" customFormat="1" ht="15.75" customHeight="1">
      <c r="A104" s="675" t="s">
        <v>284</v>
      </c>
      <c r="B104" s="676"/>
      <c r="C104" s="313" t="s">
        <v>238</v>
      </c>
      <c r="D104" s="677" t="s">
        <v>239</v>
      </c>
      <c r="E104" s="678"/>
      <c r="F104" s="679"/>
      <c r="G104" s="680" t="s">
        <v>288</v>
      </c>
      <c r="H104" s="681"/>
      <c r="I104" s="682"/>
      <c r="J104" s="314" t="s">
        <v>289</v>
      </c>
      <c r="K104" s="285" t="s">
        <v>23</v>
      </c>
      <c r="L104" s="285" t="s">
        <v>290</v>
      </c>
      <c r="M104" s="345" t="s">
        <v>277</v>
      </c>
      <c r="N104" s="286" t="s">
        <v>253</v>
      </c>
      <c r="O104" s="683" t="s">
        <v>244</v>
      </c>
      <c r="P104" s="684"/>
      <c r="R104" s="2"/>
      <c r="S104" s="2"/>
    </row>
    <row r="105" spans="1:21" s="298" customFormat="1" ht="20.100000000000001" customHeight="1">
      <c r="A105" s="685">
        <v>7</v>
      </c>
      <c r="B105" s="688" t="s">
        <v>324</v>
      </c>
      <c r="C105" s="288">
        <v>1</v>
      </c>
      <c r="D105" s="289"/>
      <c r="E105" s="290"/>
      <c r="F105" s="291"/>
      <c r="G105" s="292"/>
      <c r="H105" s="293"/>
      <c r="I105" s="294"/>
      <c r="J105" s="295"/>
      <c r="K105" s="296"/>
      <c r="L105" s="297"/>
      <c r="M105" s="346">
        <f t="shared" ref="M105:M107" si="11">L105*J105</f>
        <v>0</v>
      </c>
      <c r="N105" s="297"/>
      <c r="O105" s="691"/>
      <c r="P105" s="692"/>
      <c r="R105" s="2"/>
      <c r="S105" s="2"/>
    </row>
    <row r="106" spans="1:21" s="298" customFormat="1" ht="20.100000000000001" customHeight="1">
      <c r="A106" s="686"/>
      <c r="B106" s="689"/>
      <c r="C106" s="288">
        <v>2</v>
      </c>
      <c r="D106" s="289"/>
      <c r="E106" s="290"/>
      <c r="F106" s="291"/>
      <c r="G106" s="292"/>
      <c r="H106" s="293"/>
      <c r="I106" s="294"/>
      <c r="J106" s="295"/>
      <c r="K106" s="296"/>
      <c r="L106" s="297"/>
      <c r="M106" s="346">
        <f t="shared" si="11"/>
        <v>0</v>
      </c>
      <c r="N106" s="297"/>
      <c r="O106" s="693"/>
      <c r="P106" s="694"/>
      <c r="R106" s="2"/>
      <c r="S106" s="2"/>
    </row>
    <row r="107" spans="1:21" s="298" customFormat="1" ht="20.100000000000001" customHeight="1">
      <c r="A107" s="686"/>
      <c r="B107" s="689"/>
      <c r="C107" s="288">
        <v>3</v>
      </c>
      <c r="D107" s="289"/>
      <c r="E107" s="290"/>
      <c r="F107" s="291"/>
      <c r="G107" s="292"/>
      <c r="H107" s="293"/>
      <c r="I107" s="294"/>
      <c r="J107" s="295"/>
      <c r="K107" s="296"/>
      <c r="L107" s="297"/>
      <c r="M107" s="346">
        <f t="shared" si="11"/>
        <v>0</v>
      </c>
      <c r="N107" s="297"/>
      <c r="O107" s="693"/>
      <c r="P107" s="694"/>
      <c r="R107" s="2"/>
      <c r="S107" s="2"/>
    </row>
    <row r="108" spans="1:21" s="298" customFormat="1" ht="20.100000000000001" customHeight="1">
      <c r="A108" s="686"/>
      <c r="B108" s="689"/>
      <c r="C108" s="288">
        <v>4</v>
      </c>
      <c r="D108" s="289"/>
      <c r="E108" s="290"/>
      <c r="F108" s="291"/>
      <c r="G108" s="292"/>
      <c r="H108" s="293"/>
      <c r="I108" s="294"/>
      <c r="J108" s="295"/>
      <c r="K108" s="296"/>
      <c r="L108" s="297"/>
      <c r="M108" s="347">
        <v>0</v>
      </c>
      <c r="N108" s="297"/>
      <c r="O108" s="309"/>
      <c r="P108" s="310"/>
      <c r="R108" s="2"/>
      <c r="S108" s="2"/>
    </row>
    <row r="109" spans="1:21" s="298" customFormat="1" ht="20.100000000000001" customHeight="1" thickBot="1">
      <c r="A109" s="686"/>
      <c r="B109" s="689"/>
      <c r="C109" s="288">
        <v>5</v>
      </c>
      <c r="D109" s="299"/>
      <c r="E109" s="300"/>
      <c r="F109" s="301"/>
      <c r="G109" s="292"/>
      <c r="H109" s="293"/>
      <c r="I109" s="294"/>
      <c r="J109" s="302"/>
      <c r="K109" s="303"/>
      <c r="L109" s="304"/>
      <c r="M109" s="348">
        <v>0</v>
      </c>
      <c r="N109" s="297"/>
      <c r="O109" s="311"/>
      <c r="P109" s="312"/>
      <c r="R109" s="2"/>
      <c r="S109" s="2"/>
    </row>
    <row r="110" spans="1:21" s="298" customFormat="1" ht="15.75" customHeight="1" thickTop="1" thickBot="1">
      <c r="A110" s="687"/>
      <c r="B110" s="690"/>
      <c r="C110" s="695"/>
      <c r="D110" s="696"/>
      <c r="E110" s="696"/>
      <c r="F110" s="696"/>
      <c r="G110" s="696"/>
      <c r="H110" s="696"/>
      <c r="I110" s="697"/>
      <c r="J110" s="305" t="s">
        <v>304</v>
      </c>
      <c r="K110" s="437">
        <f>M110/'生產管理報表 7-1 (週)'!$B$9</f>
        <v>0</v>
      </c>
      <c r="L110" s="306" t="s">
        <v>305</v>
      </c>
      <c r="M110" s="349">
        <f>SUM(M105:M109)</f>
        <v>0</v>
      </c>
      <c r="N110" s="672"/>
      <c r="O110" s="673"/>
      <c r="P110" s="674"/>
      <c r="R110" s="2"/>
      <c r="S110" s="2"/>
      <c r="T110" s="2"/>
    </row>
    <row r="111" spans="1:21" s="136" customFormat="1" ht="15.75" customHeight="1" thickTop="1">
      <c r="A111" s="802" t="s">
        <v>388</v>
      </c>
      <c r="B111" s="802"/>
      <c r="C111" s="802"/>
      <c r="D111" s="802"/>
      <c r="E111" s="802"/>
      <c r="F111" s="802"/>
      <c r="G111" s="802"/>
      <c r="H111" s="802"/>
      <c r="I111" s="802"/>
      <c r="J111" s="802"/>
      <c r="K111" s="802"/>
      <c r="L111" s="802"/>
      <c r="M111" s="802"/>
      <c r="R111" s="240"/>
      <c r="S111" s="240"/>
      <c r="T111" s="240"/>
      <c r="U111" s="240"/>
    </row>
    <row r="112" spans="1:21" s="137" customFormat="1" ht="15.75" customHeight="1">
      <c r="A112" s="737"/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</row>
    <row r="113" spans="1:20" s="136" customFormat="1" ht="15.75" customHeight="1">
      <c r="A113" s="738" t="s">
        <v>284</v>
      </c>
      <c r="B113" s="740">
        <v>1</v>
      </c>
      <c r="C113" s="741"/>
      <c r="D113" s="740">
        <v>2</v>
      </c>
      <c r="E113" s="741"/>
      <c r="F113" s="740">
        <v>3</v>
      </c>
      <c r="G113" s="741"/>
      <c r="H113" s="731">
        <v>4</v>
      </c>
      <c r="I113" s="732"/>
      <c r="J113" s="731">
        <v>5</v>
      </c>
      <c r="K113" s="732"/>
      <c r="L113" s="731">
        <v>6</v>
      </c>
      <c r="M113" s="732"/>
      <c r="N113" s="731">
        <v>7</v>
      </c>
      <c r="O113" s="732"/>
      <c r="P113" s="342">
        <v>8</v>
      </c>
    </row>
    <row r="114" spans="1:20" s="136" customFormat="1" ht="15.75" customHeight="1">
      <c r="A114" s="739"/>
      <c r="B114" s="735" t="s">
        <v>273</v>
      </c>
      <c r="C114" s="736"/>
      <c r="D114" s="735" t="s">
        <v>285</v>
      </c>
      <c r="E114" s="736"/>
      <c r="F114" s="735" t="s">
        <v>275</v>
      </c>
      <c r="G114" s="736"/>
      <c r="H114" s="733" t="s">
        <v>286</v>
      </c>
      <c r="I114" s="734"/>
      <c r="J114" s="733" t="s">
        <v>280</v>
      </c>
      <c r="K114" s="734"/>
      <c r="L114" s="733" t="s">
        <v>281</v>
      </c>
      <c r="M114" s="734"/>
      <c r="N114" s="733" t="s">
        <v>282</v>
      </c>
      <c r="O114" s="734"/>
      <c r="P114" s="343" t="s">
        <v>287</v>
      </c>
    </row>
    <row r="115" spans="1:20" s="136" customFormat="1" ht="15.75" customHeight="1">
      <c r="B115" s="241"/>
      <c r="C115" s="242"/>
    </row>
    <row r="116" spans="1:20" s="287" customFormat="1" ht="15.75" customHeight="1">
      <c r="A116" s="675" t="s">
        <v>284</v>
      </c>
      <c r="B116" s="676"/>
      <c r="C116" s="284" t="s">
        <v>238</v>
      </c>
      <c r="D116" s="703" t="s">
        <v>239</v>
      </c>
      <c r="E116" s="704"/>
      <c r="F116" s="705"/>
      <c r="G116" s="706" t="s">
        <v>288</v>
      </c>
      <c r="H116" s="707"/>
      <c r="I116" s="708"/>
      <c r="J116" s="285" t="s">
        <v>289</v>
      </c>
      <c r="K116" s="285" t="s">
        <v>23</v>
      </c>
      <c r="L116" s="285" t="s">
        <v>290</v>
      </c>
      <c r="M116" s="286" t="s">
        <v>277</v>
      </c>
      <c r="N116" s="286" t="s">
        <v>253</v>
      </c>
      <c r="O116" s="683" t="s">
        <v>244</v>
      </c>
      <c r="P116" s="684"/>
      <c r="R116" s="211"/>
      <c r="S116" s="270"/>
    </row>
    <row r="117" spans="1:20" s="308" customFormat="1" ht="20.100000000000001" customHeight="1">
      <c r="A117" s="685">
        <v>4</v>
      </c>
      <c r="B117" s="719" t="s">
        <v>286</v>
      </c>
      <c r="C117" s="288">
        <v>1</v>
      </c>
      <c r="D117" s="246"/>
      <c r="E117" s="247"/>
      <c r="F117" s="248"/>
      <c r="G117" s="375"/>
      <c r="H117" s="315"/>
      <c r="I117" s="316"/>
      <c r="J117" s="326"/>
      <c r="K117" s="327"/>
      <c r="L117" s="328"/>
      <c r="M117" s="337">
        <f t="shared" ref="M117:M121" si="12">L117*J117</f>
        <v>0</v>
      </c>
      <c r="N117" s="328"/>
      <c r="O117" s="722"/>
      <c r="P117" s="723"/>
      <c r="R117" s="329"/>
      <c r="S117" s="270"/>
    </row>
    <row r="118" spans="1:20" s="308" customFormat="1" ht="20.100000000000001" customHeight="1">
      <c r="A118" s="686"/>
      <c r="B118" s="720"/>
      <c r="C118" s="288">
        <v>2</v>
      </c>
      <c r="D118" s="246"/>
      <c r="E118" s="247"/>
      <c r="F118" s="248"/>
      <c r="G118" s="375"/>
      <c r="H118" s="315"/>
      <c r="I118" s="316"/>
      <c r="J118" s="326"/>
      <c r="K118" s="327"/>
      <c r="L118" s="328"/>
      <c r="M118" s="337">
        <f t="shared" si="12"/>
        <v>0</v>
      </c>
      <c r="N118" s="328"/>
      <c r="O118" s="715"/>
      <c r="P118" s="716"/>
      <c r="R118" s="329"/>
      <c r="S118" s="211"/>
      <c r="T118" s="354"/>
    </row>
    <row r="119" spans="1:20" s="308" customFormat="1" ht="20.100000000000001" customHeight="1">
      <c r="A119" s="686"/>
      <c r="B119" s="720"/>
      <c r="C119" s="288">
        <v>3</v>
      </c>
      <c r="D119" s="246"/>
      <c r="E119" s="247"/>
      <c r="F119" s="248"/>
      <c r="G119" s="375"/>
      <c r="H119" s="315"/>
      <c r="I119" s="316"/>
      <c r="J119" s="326"/>
      <c r="K119" s="327"/>
      <c r="L119" s="328"/>
      <c r="M119" s="337">
        <f t="shared" si="12"/>
        <v>0</v>
      </c>
      <c r="N119" s="328"/>
      <c r="O119" s="722"/>
      <c r="P119" s="723"/>
      <c r="R119" s="329"/>
      <c r="S119" s="270"/>
    </row>
    <row r="120" spans="1:20" s="308" customFormat="1" ht="20.100000000000001" customHeight="1">
      <c r="A120" s="686"/>
      <c r="B120" s="720"/>
      <c r="C120" s="288">
        <v>4</v>
      </c>
      <c r="D120" s="246"/>
      <c r="E120" s="247"/>
      <c r="F120" s="248"/>
      <c r="G120" s="375"/>
      <c r="H120" s="315"/>
      <c r="I120" s="316"/>
      <c r="J120" s="326"/>
      <c r="K120" s="327"/>
      <c r="L120" s="328"/>
      <c r="M120" s="337">
        <f t="shared" si="12"/>
        <v>0</v>
      </c>
      <c r="N120" s="328"/>
      <c r="O120" s="722"/>
      <c r="P120" s="723"/>
      <c r="R120" s="329"/>
      <c r="S120" s="211"/>
      <c r="T120" s="354"/>
    </row>
    <row r="121" spans="1:20" s="308" customFormat="1" ht="20.100000000000001" customHeight="1" thickBot="1">
      <c r="A121" s="686"/>
      <c r="B121" s="720"/>
      <c r="C121" s="288">
        <v>5</v>
      </c>
      <c r="D121" s="246"/>
      <c r="E121" s="254"/>
      <c r="F121" s="255"/>
      <c r="G121" s="375"/>
      <c r="H121" s="315"/>
      <c r="I121" s="316"/>
      <c r="J121" s="448"/>
      <c r="K121" s="436"/>
      <c r="L121" s="332"/>
      <c r="M121" s="337">
        <f t="shared" si="12"/>
        <v>0</v>
      </c>
      <c r="N121" s="328"/>
      <c r="O121" s="722"/>
      <c r="P121" s="723"/>
      <c r="R121" s="333"/>
      <c r="S121" s="270"/>
      <c r="T121" s="298"/>
    </row>
    <row r="122" spans="1:20" s="298" customFormat="1" ht="15.75" customHeight="1" thickTop="1" thickBot="1">
      <c r="A122" s="687"/>
      <c r="B122" s="721"/>
      <c r="C122" s="728"/>
      <c r="D122" s="729"/>
      <c r="E122" s="729"/>
      <c r="F122" s="729"/>
      <c r="G122" s="729"/>
      <c r="H122" s="729"/>
      <c r="I122" s="730"/>
      <c r="J122" s="367" t="s">
        <v>304</v>
      </c>
      <c r="K122" s="449">
        <f>M122/'生產管理報表 7-1 (週)'!$B$20</f>
        <v>0</v>
      </c>
      <c r="L122" s="368" t="s">
        <v>305</v>
      </c>
      <c r="M122" s="450">
        <f>SUM(M117:M121)</f>
        <v>0</v>
      </c>
      <c r="N122" s="672"/>
      <c r="O122" s="673"/>
      <c r="P122" s="674"/>
      <c r="R122" s="211"/>
      <c r="S122" s="211"/>
    </row>
    <row r="123" spans="1:20" s="298" customFormat="1" ht="15.75" customHeight="1" thickTop="1">
      <c r="B123" s="307"/>
      <c r="C123" s="308"/>
      <c r="M123" s="344"/>
      <c r="S123" s="270"/>
    </row>
    <row r="124" spans="1:20" s="298" customFormat="1" ht="15.75" customHeight="1">
      <c r="A124" s="675" t="s">
        <v>284</v>
      </c>
      <c r="B124" s="676"/>
      <c r="C124" s="284" t="s">
        <v>238</v>
      </c>
      <c r="D124" s="703" t="s">
        <v>239</v>
      </c>
      <c r="E124" s="704"/>
      <c r="F124" s="705"/>
      <c r="G124" s="706" t="s">
        <v>288</v>
      </c>
      <c r="H124" s="707"/>
      <c r="I124" s="708"/>
      <c r="J124" s="285" t="s">
        <v>289</v>
      </c>
      <c r="K124" s="285" t="s">
        <v>23</v>
      </c>
      <c r="L124" s="285" t="s">
        <v>290</v>
      </c>
      <c r="M124" s="345" t="s">
        <v>277</v>
      </c>
      <c r="N124" s="286" t="s">
        <v>253</v>
      </c>
      <c r="O124" s="683" t="s">
        <v>244</v>
      </c>
      <c r="P124" s="684"/>
      <c r="S124" s="211"/>
      <c r="T124" s="354"/>
    </row>
    <row r="125" spans="1:20" s="308" customFormat="1" ht="20.100000000000001" customHeight="1">
      <c r="A125" s="685">
        <v>5</v>
      </c>
      <c r="B125" s="698" t="s">
        <v>318</v>
      </c>
      <c r="C125" s="288">
        <v>1</v>
      </c>
      <c r="D125" s="246"/>
      <c r="E125" s="247"/>
      <c r="F125" s="248"/>
      <c r="G125" s="375"/>
      <c r="H125" s="315"/>
      <c r="I125" s="316"/>
      <c r="J125" s="326"/>
      <c r="K125" s="327"/>
      <c r="L125" s="328"/>
      <c r="M125" s="337">
        <f>L125*J125</f>
        <v>0</v>
      </c>
      <c r="N125" s="328"/>
      <c r="O125" s="715"/>
      <c r="P125" s="716"/>
      <c r="S125" s="270"/>
    </row>
    <row r="126" spans="1:20" s="308" customFormat="1" ht="20.100000000000001" customHeight="1">
      <c r="A126" s="686"/>
      <c r="B126" s="699"/>
      <c r="C126" s="288">
        <v>2</v>
      </c>
      <c r="D126" s="246"/>
      <c r="E126" s="247"/>
      <c r="F126" s="248"/>
      <c r="G126" s="375"/>
      <c r="H126" s="315"/>
      <c r="I126" s="316"/>
      <c r="J126" s="326"/>
      <c r="K126" s="327"/>
      <c r="L126" s="328"/>
      <c r="M126" s="337">
        <f t="shared" ref="M126:M129" si="13">L126*J126</f>
        <v>0</v>
      </c>
      <c r="N126" s="328"/>
      <c r="O126" s="715"/>
      <c r="P126" s="716"/>
      <c r="S126" s="211"/>
      <c r="T126" s="355"/>
    </row>
    <row r="127" spans="1:20" s="298" customFormat="1" ht="20.100000000000001" customHeight="1">
      <c r="A127" s="686"/>
      <c r="B127" s="699"/>
      <c r="C127" s="288">
        <v>3</v>
      </c>
      <c r="D127" s="246"/>
      <c r="E127" s="290"/>
      <c r="F127" s="291"/>
      <c r="G127" s="375"/>
      <c r="H127" s="315"/>
      <c r="I127" s="316"/>
      <c r="J127" s="326"/>
      <c r="K127" s="327"/>
      <c r="L127" s="328"/>
      <c r="M127" s="337">
        <f t="shared" si="13"/>
        <v>0</v>
      </c>
      <c r="N127" s="297"/>
      <c r="O127" s="711"/>
      <c r="P127" s="712"/>
    </row>
    <row r="128" spans="1:20" s="298" customFormat="1" ht="20.100000000000001" customHeight="1">
      <c r="A128" s="686"/>
      <c r="B128" s="699"/>
      <c r="C128" s="288">
        <v>4</v>
      </c>
      <c r="D128" s="246"/>
      <c r="E128" s="290"/>
      <c r="F128" s="291"/>
      <c r="G128" s="375"/>
      <c r="H128" s="315"/>
      <c r="I128" s="316"/>
      <c r="J128" s="326"/>
      <c r="K128" s="327"/>
      <c r="L128" s="328"/>
      <c r="M128" s="337">
        <f t="shared" si="13"/>
        <v>0</v>
      </c>
      <c r="N128" s="297"/>
      <c r="O128" s="715"/>
      <c r="P128" s="716"/>
    </row>
    <row r="129" spans="1:19" s="298" customFormat="1" ht="20.100000000000001" customHeight="1" thickBot="1">
      <c r="A129" s="686"/>
      <c r="B129" s="699"/>
      <c r="C129" s="288">
        <v>5</v>
      </c>
      <c r="D129" s="253"/>
      <c r="E129" s="300"/>
      <c r="F129" s="301"/>
      <c r="G129" s="375"/>
      <c r="H129" s="315"/>
      <c r="I129" s="316"/>
      <c r="J129" s="448"/>
      <c r="K129" s="436"/>
      <c r="L129" s="332"/>
      <c r="M129" s="337">
        <f t="shared" si="13"/>
        <v>0</v>
      </c>
      <c r="N129" s="297"/>
      <c r="O129" s="803"/>
      <c r="P129" s="804"/>
      <c r="R129" s="212"/>
    </row>
    <row r="130" spans="1:19" s="298" customFormat="1" ht="15.75" customHeight="1" thickTop="1" thickBot="1">
      <c r="A130" s="687"/>
      <c r="B130" s="700"/>
      <c r="C130" s="695"/>
      <c r="D130" s="696"/>
      <c r="E130" s="696"/>
      <c r="F130" s="696"/>
      <c r="G130" s="696"/>
      <c r="H130" s="696"/>
      <c r="I130" s="697"/>
      <c r="J130" s="367" t="s">
        <v>304</v>
      </c>
      <c r="K130" s="449">
        <f>M130/'生產管理報表 7-1 (週)'!$B$20</f>
        <v>0</v>
      </c>
      <c r="L130" s="368" t="s">
        <v>305</v>
      </c>
      <c r="M130" s="450">
        <f>SUM(M125:M129)</f>
        <v>0</v>
      </c>
      <c r="N130" s="672"/>
      <c r="O130" s="673"/>
      <c r="P130" s="674"/>
      <c r="R130" s="211"/>
    </row>
    <row r="131" spans="1:19" s="298" customFormat="1" ht="15.75" customHeight="1" thickTop="1">
      <c r="B131" s="307"/>
      <c r="C131" s="308"/>
      <c r="M131" s="344"/>
      <c r="R131" s="211"/>
    </row>
    <row r="132" spans="1:19" s="298" customFormat="1" ht="15.75" customHeight="1">
      <c r="A132" s="675" t="s">
        <v>284</v>
      </c>
      <c r="B132" s="676"/>
      <c r="C132" s="313" t="s">
        <v>238</v>
      </c>
      <c r="D132" s="677" t="s">
        <v>239</v>
      </c>
      <c r="E132" s="678"/>
      <c r="F132" s="679"/>
      <c r="G132" s="680" t="s">
        <v>288</v>
      </c>
      <c r="H132" s="681"/>
      <c r="I132" s="682"/>
      <c r="J132" s="314" t="s">
        <v>289</v>
      </c>
      <c r="K132" s="285" t="s">
        <v>23</v>
      </c>
      <c r="L132" s="285" t="s">
        <v>290</v>
      </c>
      <c r="M132" s="345" t="s">
        <v>277</v>
      </c>
      <c r="N132" s="286" t="s">
        <v>253</v>
      </c>
      <c r="O132" s="683" t="s">
        <v>244</v>
      </c>
      <c r="P132" s="684"/>
      <c r="R132" s="211"/>
      <c r="S132" s="2"/>
    </row>
    <row r="133" spans="1:19" s="298" customFormat="1" ht="39.950000000000003" customHeight="1">
      <c r="A133" s="685">
        <v>6</v>
      </c>
      <c r="B133" s="698" t="s">
        <v>321</v>
      </c>
      <c r="C133" s="288">
        <v>1</v>
      </c>
      <c r="D133" s="356" t="s">
        <v>147</v>
      </c>
      <c r="E133" s="290"/>
      <c r="F133" s="291"/>
      <c r="G133" s="316" t="s">
        <v>322</v>
      </c>
      <c r="H133" s="315"/>
      <c r="I133" s="316"/>
      <c r="J133" s="326">
        <v>15.450000000000001</v>
      </c>
      <c r="K133" s="327">
        <v>5.3866666666666663E-3</v>
      </c>
      <c r="L133" s="328">
        <v>101</v>
      </c>
      <c r="M133" s="337">
        <f t="shared" ref="M133" si="14">L133*J133</f>
        <v>1560.45</v>
      </c>
      <c r="N133" s="297"/>
      <c r="O133" s="711" t="s">
        <v>397</v>
      </c>
      <c r="P133" s="712"/>
      <c r="S133" s="2"/>
    </row>
    <row r="134" spans="1:19" s="298" customFormat="1" ht="20.100000000000001" customHeight="1">
      <c r="A134" s="686"/>
      <c r="B134" s="699"/>
      <c r="C134" s="288">
        <v>2</v>
      </c>
      <c r="D134" s="289"/>
      <c r="E134" s="290"/>
      <c r="F134" s="291"/>
      <c r="G134" s="292"/>
      <c r="H134" s="293"/>
      <c r="I134" s="294"/>
      <c r="J134" s="295"/>
      <c r="K134" s="296"/>
      <c r="L134" s="297"/>
      <c r="M134" s="346">
        <v>0</v>
      </c>
      <c r="N134" s="297"/>
      <c r="O134" s="309"/>
      <c r="P134" s="310"/>
      <c r="S134" s="2"/>
    </row>
    <row r="135" spans="1:19" s="298" customFormat="1" ht="20.100000000000001" customHeight="1">
      <c r="A135" s="686"/>
      <c r="B135" s="699"/>
      <c r="C135" s="288">
        <v>3</v>
      </c>
      <c r="D135" s="289"/>
      <c r="E135" s="290"/>
      <c r="F135" s="291"/>
      <c r="G135" s="292"/>
      <c r="H135" s="293"/>
      <c r="I135" s="294"/>
      <c r="J135" s="295"/>
      <c r="K135" s="296"/>
      <c r="L135" s="297"/>
      <c r="M135" s="346">
        <v>0</v>
      </c>
      <c r="N135" s="297"/>
      <c r="O135" s="309"/>
      <c r="P135" s="310"/>
      <c r="S135" s="2"/>
    </row>
    <row r="136" spans="1:19" s="298" customFormat="1" ht="20.100000000000001" customHeight="1">
      <c r="A136" s="686"/>
      <c r="B136" s="699"/>
      <c r="C136" s="288">
        <v>4</v>
      </c>
      <c r="D136" s="289"/>
      <c r="E136" s="290"/>
      <c r="F136" s="291"/>
      <c r="G136" s="292"/>
      <c r="H136" s="293"/>
      <c r="I136" s="294"/>
      <c r="J136" s="295"/>
      <c r="K136" s="296"/>
      <c r="L136" s="297"/>
      <c r="M136" s="346">
        <v>0</v>
      </c>
      <c r="N136" s="297"/>
      <c r="O136" s="309"/>
      <c r="P136" s="310"/>
      <c r="R136" s="2"/>
      <c r="S136" s="2"/>
    </row>
    <row r="137" spans="1:19" s="298" customFormat="1" ht="20.100000000000001" customHeight="1" thickBot="1">
      <c r="A137" s="686"/>
      <c r="B137" s="699"/>
      <c r="C137" s="288">
        <v>5</v>
      </c>
      <c r="D137" s="299"/>
      <c r="E137" s="300"/>
      <c r="F137" s="301"/>
      <c r="G137" s="292"/>
      <c r="H137" s="293"/>
      <c r="I137" s="294"/>
      <c r="J137" s="448"/>
      <c r="K137" s="436"/>
      <c r="L137" s="332"/>
      <c r="M137" s="337">
        <v>0</v>
      </c>
      <c r="N137" s="297"/>
      <c r="O137" s="311"/>
      <c r="P137" s="312"/>
      <c r="R137" s="2"/>
      <c r="S137" s="2"/>
    </row>
    <row r="138" spans="1:19" s="298" customFormat="1" ht="15.75" customHeight="1" thickTop="1" thickBot="1">
      <c r="A138" s="687"/>
      <c r="B138" s="700"/>
      <c r="C138" s="695"/>
      <c r="D138" s="696"/>
      <c r="E138" s="696"/>
      <c r="F138" s="696"/>
      <c r="G138" s="696"/>
      <c r="H138" s="696"/>
      <c r="I138" s="697"/>
      <c r="J138" s="367" t="s">
        <v>304</v>
      </c>
      <c r="K138" s="449">
        <f>M138/'生產管理報表 7-1 (週)'!$B$20</f>
        <v>2.0771900654015296E-2</v>
      </c>
      <c r="L138" s="368" t="s">
        <v>305</v>
      </c>
      <c r="M138" s="450">
        <f>SUM(M133:M137)</f>
        <v>1560.45</v>
      </c>
      <c r="N138" s="672"/>
      <c r="O138" s="673"/>
      <c r="P138" s="674"/>
      <c r="R138" s="2"/>
      <c r="S138" s="2"/>
    </row>
    <row r="139" spans="1:19" s="298" customFormat="1" ht="15.75" customHeight="1" thickTop="1">
      <c r="B139" s="307"/>
      <c r="C139" s="308"/>
      <c r="M139" s="344"/>
      <c r="R139" s="2"/>
      <c r="S139" s="2"/>
    </row>
    <row r="140" spans="1:19" s="298" customFormat="1" ht="15.75" customHeight="1">
      <c r="A140" s="675" t="s">
        <v>284</v>
      </c>
      <c r="B140" s="676"/>
      <c r="C140" s="313" t="s">
        <v>238</v>
      </c>
      <c r="D140" s="677" t="s">
        <v>239</v>
      </c>
      <c r="E140" s="678"/>
      <c r="F140" s="679"/>
      <c r="G140" s="680" t="s">
        <v>288</v>
      </c>
      <c r="H140" s="681"/>
      <c r="I140" s="682"/>
      <c r="J140" s="314" t="s">
        <v>289</v>
      </c>
      <c r="K140" s="285" t="s">
        <v>23</v>
      </c>
      <c r="L140" s="285" t="s">
        <v>290</v>
      </c>
      <c r="M140" s="345" t="s">
        <v>277</v>
      </c>
      <c r="N140" s="286" t="s">
        <v>253</v>
      </c>
      <c r="O140" s="683" t="s">
        <v>244</v>
      </c>
      <c r="P140" s="684"/>
      <c r="R140" s="2"/>
      <c r="S140" s="2"/>
    </row>
    <row r="141" spans="1:19" s="298" customFormat="1" ht="20.100000000000001" customHeight="1">
      <c r="A141" s="685">
        <v>7</v>
      </c>
      <c r="B141" s="688" t="s">
        <v>324</v>
      </c>
      <c r="C141" s="288">
        <v>1</v>
      </c>
      <c r="D141" s="289"/>
      <c r="E141" s="290"/>
      <c r="F141" s="291"/>
      <c r="G141" s="292"/>
      <c r="H141" s="293"/>
      <c r="I141" s="294"/>
      <c r="J141" s="295"/>
      <c r="K141" s="296"/>
      <c r="L141" s="297"/>
      <c r="M141" s="346">
        <f t="shared" ref="M141:M143" si="15">L141*J141</f>
        <v>0</v>
      </c>
      <c r="N141" s="297"/>
      <c r="O141" s="691"/>
      <c r="P141" s="692"/>
      <c r="R141" s="2"/>
      <c r="S141" s="2"/>
    </row>
    <row r="142" spans="1:19" s="298" customFormat="1" ht="20.100000000000001" customHeight="1">
      <c r="A142" s="686"/>
      <c r="B142" s="689"/>
      <c r="C142" s="288">
        <v>2</v>
      </c>
      <c r="D142" s="289"/>
      <c r="E142" s="290"/>
      <c r="F142" s="291"/>
      <c r="G142" s="292"/>
      <c r="H142" s="293"/>
      <c r="I142" s="294"/>
      <c r="J142" s="295"/>
      <c r="K142" s="296"/>
      <c r="L142" s="297"/>
      <c r="M142" s="346">
        <f t="shared" si="15"/>
        <v>0</v>
      </c>
      <c r="N142" s="297"/>
      <c r="O142" s="693"/>
      <c r="P142" s="694"/>
      <c r="R142" s="2"/>
      <c r="S142" s="2"/>
    </row>
    <row r="143" spans="1:19" s="298" customFormat="1" ht="20.100000000000001" customHeight="1">
      <c r="A143" s="686"/>
      <c r="B143" s="689"/>
      <c r="C143" s="288">
        <v>3</v>
      </c>
      <c r="D143" s="289"/>
      <c r="E143" s="290"/>
      <c r="F143" s="291"/>
      <c r="G143" s="292"/>
      <c r="H143" s="293"/>
      <c r="I143" s="294"/>
      <c r="J143" s="295"/>
      <c r="K143" s="296"/>
      <c r="L143" s="297"/>
      <c r="M143" s="346">
        <f t="shared" si="15"/>
        <v>0</v>
      </c>
      <c r="N143" s="297"/>
      <c r="O143" s="693"/>
      <c r="P143" s="694"/>
      <c r="R143" s="2"/>
      <c r="S143" s="2"/>
    </row>
    <row r="144" spans="1:19" s="298" customFormat="1" ht="20.100000000000001" customHeight="1">
      <c r="A144" s="686"/>
      <c r="B144" s="689"/>
      <c r="C144" s="288">
        <v>4</v>
      </c>
      <c r="D144" s="289"/>
      <c r="E144" s="290"/>
      <c r="F144" s="291"/>
      <c r="G144" s="292"/>
      <c r="H144" s="293"/>
      <c r="I144" s="294"/>
      <c r="J144" s="295"/>
      <c r="K144" s="296"/>
      <c r="L144" s="297"/>
      <c r="M144" s="347">
        <v>0</v>
      </c>
      <c r="N144" s="297"/>
      <c r="O144" s="309"/>
      <c r="P144" s="310"/>
      <c r="R144" s="2"/>
      <c r="S144" s="2"/>
    </row>
    <row r="145" spans="1:21" s="298" customFormat="1" ht="20.100000000000001" customHeight="1" thickBot="1">
      <c r="A145" s="686"/>
      <c r="B145" s="689"/>
      <c r="C145" s="288">
        <v>5</v>
      </c>
      <c r="D145" s="299"/>
      <c r="E145" s="300"/>
      <c r="F145" s="301"/>
      <c r="G145" s="292"/>
      <c r="H145" s="293"/>
      <c r="I145" s="294"/>
      <c r="J145" s="448"/>
      <c r="K145" s="436"/>
      <c r="L145" s="332"/>
      <c r="M145" s="348">
        <v>0</v>
      </c>
      <c r="N145" s="297"/>
      <c r="O145" s="311"/>
      <c r="P145" s="312"/>
      <c r="R145" s="2"/>
      <c r="S145" s="2"/>
    </row>
    <row r="146" spans="1:21" s="298" customFormat="1" ht="15.75" customHeight="1" thickTop="1" thickBot="1">
      <c r="A146" s="687"/>
      <c r="B146" s="690"/>
      <c r="C146" s="695"/>
      <c r="D146" s="696"/>
      <c r="E146" s="696"/>
      <c r="F146" s="696"/>
      <c r="G146" s="696"/>
      <c r="H146" s="696"/>
      <c r="I146" s="697"/>
      <c r="J146" s="367" t="s">
        <v>304</v>
      </c>
      <c r="K146" s="449">
        <f>M146/'生產管理報表 7-1 (週)'!$B$20</f>
        <v>0</v>
      </c>
      <c r="L146" s="368" t="s">
        <v>305</v>
      </c>
      <c r="M146" s="450">
        <f>SUM(M141:M145)</f>
        <v>0</v>
      </c>
      <c r="N146" s="672"/>
      <c r="O146" s="673"/>
      <c r="P146" s="674"/>
      <c r="R146" s="2"/>
      <c r="S146" s="2"/>
      <c r="T146" s="2"/>
    </row>
    <row r="147" spans="1:21" s="136" customFormat="1" ht="15.75" customHeight="1" thickTop="1">
      <c r="A147" s="802" t="s">
        <v>390</v>
      </c>
      <c r="B147" s="802"/>
      <c r="C147" s="802"/>
      <c r="D147" s="802"/>
      <c r="E147" s="802"/>
      <c r="F147" s="802"/>
      <c r="G147" s="802"/>
      <c r="H147" s="802"/>
      <c r="I147" s="802"/>
      <c r="J147" s="802"/>
      <c r="K147" s="802"/>
      <c r="L147" s="802"/>
      <c r="M147" s="802"/>
      <c r="R147" s="240"/>
      <c r="S147" s="240"/>
      <c r="T147" s="240"/>
      <c r="U147" s="240"/>
    </row>
    <row r="148" spans="1:21" s="137" customFormat="1" ht="15.75" customHeight="1">
      <c r="A148" s="737"/>
      <c r="B148" s="737"/>
      <c r="C148" s="737"/>
      <c r="D148" s="737"/>
      <c r="E148" s="737"/>
      <c r="F148" s="737"/>
      <c r="G148" s="737"/>
      <c r="H148" s="737"/>
      <c r="I148" s="737"/>
      <c r="J148" s="737"/>
      <c r="K148" s="737"/>
      <c r="L148" s="737"/>
      <c r="M148" s="737"/>
    </row>
    <row r="149" spans="1:21" s="136" customFormat="1" ht="15.75" customHeight="1">
      <c r="A149" s="738" t="s">
        <v>284</v>
      </c>
      <c r="B149" s="740">
        <v>1</v>
      </c>
      <c r="C149" s="741"/>
      <c r="D149" s="740">
        <v>2</v>
      </c>
      <c r="E149" s="741"/>
      <c r="F149" s="740">
        <v>3</v>
      </c>
      <c r="G149" s="741"/>
      <c r="H149" s="731">
        <v>4</v>
      </c>
      <c r="I149" s="732"/>
      <c r="J149" s="731">
        <v>5</v>
      </c>
      <c r="K149" s="732"/>
      <c r="L149" s="731">
        <v>6</v>
      </c>
      <c r="M149" s="732"/>
      <c r="N149" s="731">
        <v>7</v>
      </c>
      <c r="O149" s="732"/>
      <c r="P149" s="342">
        <v>8</v>
      </c>
    </row>
    <row r="150" spans="1:21" s="136" customFormat="1" ht="15.75" customHeight="1">
      <c r="A150" s="739"/>
      <c r="B150" s="735" t="s">
        <v>273</v>
      </c>
      <c r="C150" s="736"/>
      <c r="D150" s="735" t="s">
        <v>285</v>
      </c>
      <c r="E150" s="736"/>
      <c r="F150" s="735" t="s">
        <v>275</v>
      </c>
      <c r="G150" s="736"/>
      <c r="H150" s="733" t="s">
        <v>286</v>
      </c>
      <c r="I150" s="734"/>
      <c r="J150" s="733" t="s">
        <v>280</v>
      </c>
      <c r="K150" s="734"/>
      <c r="L150" s="733" t="s">
        <v>281</v>
      </c>
      <c r="M150" s="734"/>
      <c r="N150" s="733" t="s">
        <v>282</v>
      </c>
      <c r="O150" s="734"/>
      <c r="P150" s="343" t="s">
        <v>287</v>
      </c>
    </row>
    <row r="151" spans="1:21" s="136" customFormat="1" ht="15.75" customHeight="1">
      <c r="B151" s="241"/>
      <c r="C151" s="242"/>
    </row>
    <row r="152" spans="1:21" s="287" customFormat="1" ht="15.75" customHeight="1">
      <c r="A152" s="675" t="s">
        <v>284</v>
      </c>
      <c r="B152" s="676"/>
      <c r="C152" s="284" t="s">
        <v>238</v>
      </c>
      <c r="D152" s="703" t="s">
        <v>239</v>
      </c>
      <c r="E152" s="704"/>
      <c r="F152" s="705"/>
      <c r="G152" s="706" t="s">
        <v>288</v>
      </c>
      <c r="H152" s="707"/>
      <c r="I152" s="708"/>
      <c r="J152" s="285" t="s">
        <v>289</v>
      </c>
      <c r="K152" s="285" t="s">
        <v>23</v>
      </c>
      <c r="L152" s="285" t="s">
        <v>290</v>
      </c>
      <c r="M152" s="286" t="s">
        <v>277</v>
      </c>
      <c r="N152" s="286" t="s">
        <v>253</v>
      </c>
      <c r="O152" s="683" t="s">
        <v>244</v>
      </c>
      <c r="P152" s="684"/>
      <c r="R152" s="211"/>
      <c r="S152" s="270"/>
    </row>
    <row r="153" spans="1:21" s="308" customFormat="1" ht="20.100000000000001" customHeight="1">
      <c r="A153" s="685">
        <v>4</v>
      </c>
      <c r="B153" s="719" t="s">
        <v>286</v>
      </c>
      <c r="C153" s="288">
        <v>1</v>
      </c>
      <c r="D153" s="246"/>
      <c r="E153" s="247"/>
      <c r="F153" s="248"/>
      <c r="G153" s="375"/>
      <c r="H153" s="315"/>
      <c r="I153" s="316"/>
      <c r="J153" s="326"/>
      <c r="K153" s="327"/>
      <c r="L153" s="328"/>
      <c r="M153" s="337">
        <f t="shared" ref="M153:M157" si="16">L153*J153</f>
        <v>0</v>
      </c>
      <c r="N153" s="328"/>
      <c r="O153" s="722"/>
      <c r="P153" s="723"/>
      <c r="R153" s="329"/>
      <c r="S153" s="270"/>
    </row>
    <row r="154" spans="1:21" s="308" customFormat="1" ht="20.100000000000001" customHeight="1">
      <c r="A154" s="686"/>
      <c r="B154" s="720"/>
      <c r="C154" s="288">
        <v>2</v>
      </c>
      <c r="D154" s="246"/>
      <c r="E154" s="247"/>
      <c r="F154" s="248"/>
      <c r="G154" s="375"/>
      <c r="H154" s="315"/>
      <c r="I154" s="316"/>
      <c r="J154" s="326"/>
      <c r="K154" s="327"/>
      <c r="L154" s="328"/>
      <c r="M154" s="337">
        <f t="shared" si="16"/>
        <v>0</v>
      </c>
      <c r="N154" s="328"/>
      <c r="O154" s="715"/>
      <c r="P154" s="716"/>
      <c r="R154" s="329"/>
      <c r="S154" s="211"/>
      <c r="T154" s="354"/>
    </row>
    <row r="155" spans="1:21" s="308" customFormat="1" ht="20.100000000000001" customHeight="1">
      <c r="A155" s="686"/>
      <c r="B155" s="720"/>
      <c r="C155" s="288">
        <v>3</v>
      </c>
      <c r="D155" s="246"/>
      <c r="E155" s="247"/>
      <c r="F155" s="248"/>
      <c r="G155" s="375"/>
      <c r="H155" s="315"/>
      <c r="I155" s="316"/>
      <c r="J155" s="326"/>
      <c r="K155" s="327"/>
      <c r="L155" s="328"/>
      <c r="M155" s="337">
        <f t="shared" si="16"/>
        <v>0</v>
      </c>
      <c r="N155" s="328"/>
      <c r="O155" s="722"/>
      <c r="P155" s="723"/>
      <c r="R155" s="329"/>
      <c r="S155" s="270"/>
    </row>
    <row r="156" spans="1:21" s="308" customFormat="1" ht="20.100000000000001" customHeight="1">
      <c r="A156" s="686"/>
      <c r="B156" s="720"/>
      <c r="C156" s="288">
        <v>4</v>
      </c>
      <c r="D156" s="246"/>
      <c r="E156" s="247"/>
      <c r="F156" s="248"/>
      <c r="G156" s="375"/>
      <c r="H156" s="315"/>
      <c r="I156" s="316"/>
      <c r="J156" s="326"/>
      <c r="K156" s="327"/>
      <c r="L156" s="328"/>
      <c r="M156" s="337">
        <f t="shared" si="16"/>
        <v>0</v>
      </c>
      <c r="N156" s="328"/>
      <c r="O156" s="722"/>
      <c r="P156" s="723"/>
      <c r="R156" s="329"/>
      <c r="S156" s="211"/>
      <c r="T156" s="354"/>
    </row>
    <row r="157" spans="1:21" s="308" customFormat="1" ht="20.100000000000001" customHeight="1" thickBot="1">
      <c r="A157" s="686"/>
      <c r="B157" s="720"/>
      <c r="C157" s="288">
        <v>5</v>
      </c>
      <c r="D157" s="246"/>
      <c r="E157" s="254"/>
      <c r="F157" s="255"/>
      <c r="G157" s="375"/>
      <c r="H157" s="315"/>
      <c r="I157" s="316"/>
      <c r="J157" s="448"/>
      <c r="K157" s="436"/>
      <c r="L157" s="332"/>
      <c r="M157" s="337">
        <f t="shared" si="16"/>
        <v>0</v>
      </c>
      <c r="N157" s="328"/>
      <c r="O157" s="722"/>
      <c r="P157" s="723"/>
      <c r="R157" s="333"/>
      <c r="S157" s="270"/>
      <c r="T157" s="298"/>
    </row>
    <row r="158" spans="1:21" s="298" customFormat="1" ht="15.75" customHeight="1" thickTop="1" thickBot="1">
      <c r="A158" s="687"/>
      <c r="B158" s="721"/>
      <c r="C158" s="728"/>
      <c r="D158" s="729"/>
      <c r="E158" s="729"/>
      <c r="F158" s="729"/>
      <c r="G158" s="729"/>
      <c r="H158" s="729"/>
      <c r="I158" s="730"/>
      <c r="J158" s="367" t="s">
        <v>304</v>
      </c>
      <c r="K158" s="449">
        <f>M158/'生產管理報表 7-1 (週)'!$B$31</f>
        <v>0</v>
      </c>
      <c r="L158" s="368" t="s">
        <v>305</v>
      </c>
      <c r="M158" s="450">
        <f>SUM(M153:M157)</f>
        <v>0</v>
      </c>
      <c r="N158" s="672"/>
      <c r="O158" s="673"/>
      <c r="P158" s="674"/>
      <c r="R158" s="211"/>
      <c r="S158" s="211"/>
    </row>
    <row r="159" spans="1:21" s="298" customFormat="1" ht="15.75" customHeight="1" thickTop="1">
      <c r="B159" s="307"/>
      <c r="C159" s="308"/>
      <c r="M159" s="344"/>
      <c r="S159" s="270"/>
    </row>
    <row r="160" spans="1:21" s="298" customFormat="1" ht="15.75" customHeight="1">
      <c r="A160" s="675" t="s">
        <v>284</v>
      </c>
      <c r="B160" s="676"/>
      <c r="C160" s="284" t="s">
        <v>238</v>
      </c>
      <c r="D160" s="703" t="s">
        <v>239</v>
      </c>
      <c r="E160" s="704"/>
      <c r="F160" s="705"/>
      <c r="G160" s="706" t="s">
        <v>288</v>
      </c>
      <c r="H160" s="707"/>
      <c r="I160" s="708"/>
      <c r="J160" s="285" t="s">
        <v>289</v>
      </c>
      <c r="K160" s="285" t="s">
        <v>23</v>
      </c>
      <c r="L160" s="285" t="s">
        <v>290</v>
      </c>
      <c r="M160" s="345" t="s">
        <v>277</v>
      </c>
      <c r="N160" s="286" t="s">
        <v>253</v>
      </c>
      <c r="O160" s="683" t="s">
        <v>244</v>
      </c>
      <c r="P160" s="684"/>
      <c r="S160" s="211"/>
      <c r="T160" s="354"/>
    </row>
    <row r="161" spans="1:20" s="308" customFormat="1" ht="20.100000000000001" customHeight="1">
      <c r="A161" s="685">
        <v>5</v>
      </c>
      <c r="B161" s="698" t="s">
        <v>318</v>
      </c>
      <c r="C161" s="288">
        <v>1</v>
      </c>
      <c r="D161" s="246"/>
      <c r="E161" s="247"/>
      <c r="F161" s="248"/>
      <c r="G161" s="375"/>
      <c r="H161" s="315"/>
      <c r="I161" s="316"/>
      <c r="J161" s="326"/>
      <c r="K161" s="327"/>
      <c r="L161" s="328"/>
      <c r="M161" s="337">
        <f>L161*J161</f>
        <v>0</v>
      </c>
      <c r="N161" s="328"/>
      <c r="O161" s="715"/>
      <c r="P161" s="716"/>
      <c r="S161" s="270"/>
    </row>
    <row r="162" spans="1:20" s="308" customFormat="1" ht="20.100000000000001" customHeight="1">
      <c r="A162" s="686"/>
      <c r="B162" s="699"/>
      <c r="C162" s="288">
        <v>2</v>
      </c>
      <c r="D162" s="246"/>
      <c r="E162" s="247"/>
      <c r="F162" s="248"/>
      <c r="G162" s="375"/>
      <c r="H162" s="315"/>
      <c r="I162" s="316"/>
      <c r="J162" s="326"/>
      <c r="K162" s="327"/>
      <c r="L162" s="328"/>
      <c r="M162" s="337">
        <f t="shared" ref="M162:M165" si="17">L162*J162</f>
        <v>0</v>
      </c>
      <c r="N162" s="328"/>
      <c r="O162" s="715"/>
      <c r="P162" s="716"/>
      <c r="S162" s="211"/>
      <c r="T162" s="355"/>
    </row>
    <row r="163" spans="1:20" s="298" customFormat="1" ht="20.100000000000001" customHeight="1">
      <c r="A163" s="686"/>
      <c r="B163" s="699"/>
      <c r="C163" s="288">
        <v>3</v>
      </c>
      <c r="D163" s="246"/>
      <c r="E163" s="290"/>
      <c r="F163" s="291"/>
      <c r="G163" s="375"/>
      <c r="H163" s="315"/>
      <c r="I163" s="316"/>
      <c r="J163" s="326"/>
      <c r="K163" s="327"/>
      <c r="L163" s="328"/>
      <c r="M163" s="337">
        <f t="shared" si="17"/>
        <v>0</v>
      </c>
      <c r="N163" s="297"/>
      <c r="O163" s="711"/>
      <c r="P163" s="712"/>
    </row>
    <row r="164" spans="1:20" s="298" customFormat="1" ht="20.100000000000001" customHeight="1">
      <c r="A164" s="686"/>
      <c r="B164" s="699"/>
      <c r="C164" s="288">
        <v>4</v>
      </c>
      <c r="D164" s="246"/>
      <c r="E164" s="290"/>
      <c r="F164" s="291"/>
      <c r="G164" s="375"/>
      <c r="H164" s="315"/>
      <c r="I164" s="316"/>
      <c r="J164" s="326"/>
      <c r="K164" s="327"/>
      <c r="L164" s="328"/>
      <c r="M164" s="337">
        <f t="shared" si="17"/>
        <v>0</v>
      </c>
      <c r="N164" s="297"/>
      <c r="O164" s="715"/>
      <c r="P164" s="716"/>
    </row>
    <row r="165" spans="1:20" s="298" customFormat="1" ht="20.100000000000001" customHeight="1" thickBot="1">
      <c r="A165" s="686"/>
      <c r="B165" s="699"/>
      <c r="C165" s="288">
        <v>5</v>
      </c>
      <c r="D165" s="253"/>
      <c r="E165" s="300"/>
      <c r="F165" s="301"/>
      <c r="G165" s="375"/>
      <c r="H165" s="315"/>
      <c r="I165" s="316"/>
      <c r="J165" s="448"/>
      <c r="K165" s="436"/>
      <c r="L165" s="332"/>
      <c r="M165" s="337">
        <f t="shared" si="17"/>
        <v>0</v>
      </c>
      <c r="N165" s="297"/>
      <c r="O165" s="803"/>
      <c r="P165" s="804"/>
      <c r="R165" s="212"/>
    </row>
    <row r="166" spans="1:20" s="298" customFormat="1" ht="15.75" customHeight="1" thickTop="1" thickBot="1">
      <c r="A166" s="687"/>
      <c r="B166" s="700"/>
      <c r="C166" s="695"/>
      <c r="D166" s="696"/>
      <c r="E166" s="696"/>
      <c r="F166" s="696"/>
      <c r="G166" s="696"/>
      <c r="H166" s="696"/>
      <c r="I166" s="697"/>
      <c r="J166" s="367" t="s">
        <v>304</v>
      </c>
      <c r="K166" s="449">
        <f>M166/'生產管理報表 7-1 (週)'!$B$31</f>
        <v>0</v>
      </c>
      <c r="L166" s="368" t="s">
        <v>305</v>
      </c>
      <c r="M166" s="450">
        <f>SUM(M161:M165)</f>
        <v>0</v>
      </c>
      <c r="N166" s="672"/>
      <c r="O166" s="673"/>
      <c r="P166" s="674"/>
      <c r="R166" s="211"/>
    </row>
    <row r="167" spans="1:20" s="298" customFormat="1" ht="15.75" customHeight="1" thickTop="1">
      <c r="B167" s="307"/>
      <c r="C167" s="308"/>
      <c r="M167" s="344"/>
      <c r="R167" s="211"/>
    </row>
    <row r="168" spans="1:20" s="298" customFormat="1" ht="15.75" customHeight="1">
      <c r="A168" s="675" t="s">
        <v>284</v>
      </c>
      <c r="B168" s="676"/>
      <c r="C168" s="313" t="s">
        <v>238</v>
      </c>
      <c r="D168" s="677" t="s">
        <v>239</v>
      </c>
      <c r="E168" s="678"/>
      <c r="F168" s="679"/>
      <c r="G168" s="680" t="s">
        <v>288</v>
      </c>
      <c r="H168" s="681"/>
      <c r="I168" s="682"/>
      <c r="J168" s="314" t="s">
        <v>289</v>
      </c>
      <c r="K168" s="285" t="s">
        <v>23</v>
      </c>
      <c r="L168" s="285" t="s">
        <v>290</v>
      </c>
      <c r="M168" s="345" t="s">
        <v>277</v>
      </c>
      <c r="N168" s="286" t="s">
        <v>253</v>
      </c>
      <c r="O168" s="683" t="s">
        <v>244</v>
      </c>
      <c r="P168" s="684"/>
      <c r="R168" s="211"/>
      <c r="S168" s="2"/>
    </row>
    <row r="169" spans="1:20" s="298" customFormat="1" ht="39.950000000000003" customHeight="1">
      <c r="A169" s="685">
        <v>6</v>
      </c>
      <c r="B169" s="698" t="s">
        <v>321</v>
      </c>
      <c r="C169" s="288">
        <v>1</v>
      </c>
      <c r="D169" s="356" t="s">
        <v>147</v>
      </c>
      <c r="E169" s="290"/>
      <c r="F169" s="291"/>
      <c r="G169" s="316" t="s">
        <v>322</v>
      </c>
      <c r="H169" s="315"/>
      <c r="I169" s="316"/>
      <c r="J169" s="326">
        <v>15.450000000000001</v>
      </c>
      <c r="K169" s="327">
        <v>5.631003643590593E-3</v>
      </c>
      <c r="L169" s="328">
        <v>85</v>
      </c>
      <c r="M169" s="337">
        <f t="shared" ref="M169" si="18">L169*J169</f>
        <v>1313.25</v>
      </c>
      <c r="N169" s="297"/>
      <c r="O169" s="711" t="s">
        <v>397</v>
      </c>
      <c r="P169" s="712"/>
      <c r="R169" s="355"/>
      <c r="S169" s="2"/>
    </row>
    <row r="170" spans="1:20" s="298" customFormat="1" ht="20.100000000000001" customHeight="1">
      <c r="A170" s="686"/>
      <c r="B170" s="699"/>
      <c r="C170" s="288">
        <v>2</v>
      </c>
      <c r="D170" s="289"/>
      <c r="E170" s="290"/>
      <c r="F170" s="291"/>
      <c r="G170" s="292"/>
      <c r="H170" s="293"/>
      <c r="I170" s="294"/>
      <c r="J170" s="295"/>
      <c r="K170" s="296"/>
      <c r="L170" s="297"/>
      <c r="M170" s="346">
        <v>0</v>
      </c>
      <c r="N170" s="297"/>
      <c r="O170" s="309"/>
      <c r="P170" s="310"/>
      <c r="S170" s="2"/>
    </row>
    <row r="171" spans="1:20" s="298" customFormat="1" ht="20.100000000000001" customHeight="1">
      <c r="A171" s="686"/>
      <c r="B171" s="699"/>
      <c r="C171" s="288">
        <v>3</v>
      </c>
      <c r="D171" s="289"/>
      <c r="E171" s="290"/>
      <c r="F171" s="291"/>
      <c r="G171" s="292"/>
      <c r="H171" s="293"/>
      <c r="I171" s="294"/>
      <c r="J171" s="295"/>
      <c r="K171" s="296"/>
      <c r="L171" s="297"/>
      <c r="M171" s="346">
        <v>0</v>
      </c>
      <c r="N171" s="297"/>
      <c r="O171" s="309"/>
      <c r="P171" s="310"/>
      <c r="S171" s="2"/>
    </row>
    <row r="172" spans="1:20" s="298" customFormat="1" ht="20.100000000000001" customHeight="1">
      <c r="A172" s="686"/>
      <c r="B172" s="699"/>
      <c r="C172" s="288">
        <v>4</v>
      </c>
      <c r="D172" s="289"/>
      <c r="E172" s="290"/>
      <c r="F172" s="291"/>
      <c r="G172" s="292"/>
      <c r="H172" s="293"/>
      <c r="I172" s="294"/>
      <c r="J172" s="295"/>
      <c r="K172" s="296"/>
      <c r="L172" s="297"/>
      <c r="M172" s="346">
        <v>0</v>
      </c>
      <c r="N172" s="297"/>
      <c r="O172" s="309"/>
      <c r="P172" s="310"/>
      <c r="R172" s="2"/>
      <c r="S172" s="2"/>
    </row>
    <row r="173" spans="1:20" s="298" customFormat="1" ht="20.100000000000001" customHeight="1" thickBot="1">
      <c r="A173" s="686"/>
      <c r="B173" s="699"/>
      <c r="C173" s="288">
        <v>5</v>
      </c>
      <c r="D173" s="299"/>
      <c r="E173" s="300"/>
      <c r="F173" s="301"/>
      <c r="G173" s="292"/>
      <c r="H173" s="293"/>
      <c r="I173" s="294"/>
      <c r="J173" s="448"/>
      <c r="K173" s="436"/>
      <c r="L173" s="332"/>
      <c r="M173" s="337">
        <v>0</v>
      </c>
      <c r="N173" s="297"/>
      <c r="O173" s="311"/>
      <c r="P173" s="312"/>
      <c r="R173" s="2"/>
      <c r="S173" s="2"/>
    </row>
    <row r="174" spans="1:20" s="298" customFormat="1" ht="15.75" customHeight="1" thickTop="1" thickBot="1">
      <c r="A174" s="687"/>
      <c r="B174" s="700"/>
      <c r="C174" s="695"/>
      <c r="D174" s="696"/>
      <c r="E174" s="696"/>
      <c r="F174" s="696"/>
      <c r="G174" s="696"/>
      <c r="H174" s="696"/>
      <c r="I174" s="697"/>
      <c r="J174" s="367" t="s">
        <v>304</v>
      </c>
      <c r="K174" s="449">
        <f>M174/'生產管理報表 7-1 (週)'!$B$31</f>
        <v>2.1155436601905501E-2</v>
      </c>
      <c r="L174" s="368" t="s">
        <v>305</v>
      </c>
      <c r="M174" s="450">
        <f>SUM(M169:M173)</f>
        <v>1313.25</v>
      </c>
      <c r="N174" s="672"/>
      <c r="O174" s="673"/>
      <c r="P174" s="674"/>
      <c r="R174" s="2"/>
      <c r="S174" s="2"/>
    </row>
    <row r="175" spans="1:20" s="298" customFormat="1" ht="15.75" customHeight="1" thickTop="1">
      <c r="B175" s="307"/>
      <c r="C175" s="308"/>
      <c r="M175" s="344"/>
      <c r="R175" s="2"/>
      <c r="S175" s="2"/>
    </row>
    <row r="176" spans="1:20" s="298" customFormat="1" ht="15.75" customHeight="1">
      <c r="A176" s="675" t="s">
        <v>284</v>
      </c>
      <c r="B176" s="676"/>
      <c r="C176" s="313" t="s">
        <v>238</v>
      </c>
      <c r="D176" s="677" t="s">
        <v>239</v>
      </c>
      <c r="E176" s="678"/>
      <c r="F176" s="679"/>
      <c r="G176" s="680" t="s">
        <v>288</v>
      </c>
      <c r="H176" s="681"/>
      <c r="I176" s="682"/>
      <c r="J176" s="314" t="s">
        <v>289</v>
      </c>
      <c r="K176" s="285" t="s">
        <v>23</v>
      </c>
      <c r="L176" s="285" t="s">
        <v>290</v>
      </c>
      <c r="M176" s="345" t="s">
        <v>277</v>
      </c>
      <c r="N176" s="286" t="s">
        <v>253</v>
      </c>
      <c r="O176" s="683" t="s">
        <v>244</v>
      </c>
      <c r="P176" s="684"/>
      <c r="R176" s="2"/>
      <c r="S176" s="2"/>
    </row>
    <row r="177" spans="1:21" s="298" customFormat="1" ht="20.100000000000001" customHeight="1">
      <c r="A177" s="685">
        <v>7</v>
      </c>
      <c r="B177" s="688" t="s">
        <v>324</v>
      </c>
      <c r="C177" s="288">
        <v>1</v>
      </c>
      <c r="D177" s="289"/>
      <c r="E177" s="290"/>
      <c r="F177" s="291"/>
      <c r="G177" s="292"/>
      <c r="H177" s="293"/>
      <c r="I177" s="294"/>
      <c r="J177" s="295"/>
      <c r="K177" s="296"/>
      <c r="L177" s="297"/>
      <c r="M177" s="346">
        <f t="shared" ref="M177:M179" si="19">L177*J177</f>
        <v>0</v>
      </c>
      <c r="N177" s="297"/>
      <c r="O177" s="691"/>
      <c r="P177" s="692"/>
      <c r="R177" s="2"/>
      <c r="S177" s="2"/>
    </row>
    <row r="178" spans="1:21" s="298" customFormat="1" ht="20.100000000000001" customHeight="1">
      <c r="A178" s="686"/>
      <c r="B178" s="689"/>
      <c r="C178" s="288">
        <v>2</v>
      </c>
      <c r="D178" s="289"/>
      <c r="E178" s="290"/>
      <c r="F178" s="291"/>
      <c r="G178" s="292"/>
      <c r="H178" s="293"/>
      <c r="I178" s="294"/>
      <c r="J178" s="295"/>
      <c r="K178" s="296"/>
      <c r="L178" s="297"/>
      <c r="M178" s="346">
        <f t="shared" si="19"/>
        <v>0</v>
      </c>
      <c r="N178" s="297"/>
      <c r="O178" s="693"/>
      <c r="P178" s="694"/>
      <c r="R178" s="2"/>
      <c r="S178" s="2"/>
    </row>
    <row r="179" spans="1:21" s="298" customFormat="1" ht="20.100000000000001" customHeight="1">
      <c r="A179" s="686"/>
      <c r="B179" s="689"/>
      <c r="C179" s="288">
        <v>3</v>
      </c>
      <c r="D179" s="289"/>
      <c r="E179" s="290"/>
      <c r="F179" s="291"/>
      <c r="G179" s="292"/>
      <c r="H179" s="293"/>
      <c r="I179" s="294"/>
      <c r="J179" s="295"/>
      <c r="K179" s="296"/>
      <c r="L179" s="297"/>
      <c r="M179" s="346">
        <f t="shared" si="19"/>
        <v>0</v>
      </c>
      <c r="N179" s="297"/>
      <c r="O179" s="693"/>
      <c r="P179" s="694"/>
      <c r="R179" s="2"/>
      <c r="S179" s="2"/>
    </row>
    <row r="180" spans="1:21" s="298" customFormat="1" ht="20.100000000000001" customHeight="1">
      <c r="A180" s="686"/>
      <c r="B180" s="689"/>
      <c r="C180" s="288">
        <v>4</v>
      </c>
      <c r="D180" s="289"/>
      <c r="E180" s="290"/>
      <c r="F180" s="291"/>
      <c r="G180" s="292"/>
      <c r="H180" s="293"/>
      <c r="I180" s="294"/>
      <c r="J180" s="295"/>
      <c r="K180" s="296"/>
      <c r="L180" s="297"/>
      <c r="M180" s="347">
        <v>0</v>
      </c>
      <c r="N180" s="297"/>
      <c r="O180" s="309"/>
      <c r="P180" s="310"/>
      <c r="R180" s="2"/>
      <c r="S180" s="2"/>
    </row>
    <row r="181" spans="1:21" s="298" customFormat="1" ht="20.100000000000001" customHeight="1" thickBot="1">
      <c r="A181" s="686"/>
      <c r="B181" s="689"/>
      <c r="C181" s="288">
        <v>5</v>
      </c>
      <c r="D181" s="299"/>
      <c r="E181" s="300"/>
      <c r="F181" s="301"/>
      <c r="G181" s="292"/>
      <c r="H181" s="293"/>
      <c r="I181" s="294"/>
      <c r="J181" s="448"/>
      <c r="K181" s="436"/>
      <c r="L181" s="332"/>
      <c r="M181" s="348">
        <v>0</v>
      </c>
      <c r="N181" s="297"/>
      <c r="O181" s="311"/>
      <c r="P181" s="312"/>
      <c r="R181" s="2"/>
      <c r="S181" s="2"/>
    </row>
    <row r="182" spans="1:21" s="298" customFormat="1" ht="15.75" customHeight="1" thickTop="1" thickBot="1">
      <c r="A182" s="687"/>
      <c r="B182" s="690"/>
      <c r="C182" s="695"/>
      <c r="D182" s="696"/>
      <c r="E182" s="696"/>
      <c r="F182" s="696"/>
      <c r="G182" s="696"/>
      <c r="H182" s="696"/>
      <c r="I182" s="697"/>
      <c r="J182" s="367" t="s">
        <v>304</v>
      </c>
      <c r="K182" s="449">
        <f>M182/'生產管理報表 7-1 (週)'!$B$31</f>
        <v>0</v>
      </c>
      <c r="L182" s="368" t="s">
        <v>305</v>
      </c>
      <c r="M182" s="450">
        <f>SUM(M177:M181)</f>
        <v>0</v>
      </c>
      <c r="N182" s="672"/>
      <c r="O182" s="673"/>
      <c r="P182" s="674"/>
      <c r="R182" s="2"/>
      <c r="S182" s="2"/>
      <c r="T182" s="2"/>
    </row>
    <row r="183" spans="1:21" s="136" customFormat="1" ht="15.75" customHeight="1" thickTop="1">
      <c r="A183" s="802" t="s">
        <v>393</v>
      </c>
      <c r="B183" s="802"/>
      <c r="C183" s="802"/>
      <c r="D183" s="802"/>
      <c r="E183" s="802"/>
      <c r="F183" s="802"/>
      <c r="G183" s="802"/>
      <c r="H183" s="802"/>
      <c r="I183" s="802"/>
      <c r="J183" s="802"/>
      <c r="K183" s="802"/>
      <c r="L183" s="802"/>
      <c r="M183" s="802"/>
      <c r="R183" s="240"/>
      <c r="S183" s="240"/>
      <c r="T183" s="240"/>
      <c r="U183" s="240"/>
    </row>
    <row r="184" spans="1:21" s="137" customFormat="1" ht="15.75" customHeight="1">
      <c r="A184" s="737"/>
      <c r="B184" s="737"/>
      <c r="C184" s="737"/>
      <c r="D184" s="737"/>
      <c r="E184" s="737"/>
      <c r="F184" s="737"/>
      <c r="G184" s="737"/>
      <c r="H184" s="737"/>
      <c r="I184" s="737"/>
      <c r="J184" s="737"/>
      <c r="K184" s="737"/>
      <c r="L184" s="737"/>
      <c r="M184" s="737"/>
    </row>
    <row r="185" spans="1:21" s="136" customFormat="1" ht="15.75" customHeight="1">
      <c r="A185" s="738" t="s">
        <v>284</v>
      </c>
      <c r="B185" s="740">
        <v>1</v>
      </c>
      <c r="C185" s="741"/>
      <c r="D185" s="740">
        <v>2</v>
      </c>
      <c r="E185" s="741"/>
      <c r="F185" s="740">
        <v>3</v>
      </c>
      <c r="G185" s="741"/>
      <c r="H185" s="731">
        <v>4</v>
      </c>
      <c r="I185" s="732"/>
      <c r="J185" s="731">
        <v>5</v>
      </c>
      <c r="K185" s="732"/>
      <c r="L185" s="731">
        <v>6</v>
      </c>
      <c r="M185" s="732"/>
      <c r="N185" s="731">
        <v>7</v>
      </c>
      <c r="O185" s="732"/>
      <c r="P185" s="342">
        <v>8</v>
      </c>
    </row>
    <row r="186" spans="1:21" s="136" customFormat="1" ht="15.75" customHeight="1">
      <c r="A186" s="739"/>
      <c r="B186" s="735" t="s">
        <v>273</v>
      </c>
      <c r="C186" s="736"/>
      <c r="D186" s="735" t="s">
        <v>285</v>
      </c>
      <c r="E186" s="736"/>
      <c r="F186" s="735" t="s">
        <v>275</v>
      </c>
      <c r="G186" s="736"/>
      <c r="H186" s="733" t="s">
        <v>286</v>
      </c>
      <c r="I186" s="734"/>
      <c r="J186" s="733" t="s">
        <v>280</v>
      </c>
      <c r="K186" s="734"/>
      <c r="L186" s="733" t="s">
        <v>281</v>
      </c>
      <c r="M186" s="734"/>
      <c r="N186" s="733" t="s">
        <v>282</v>
      </c>
      <c r="O186" s="734"/>
      <c r="P186" s="343" t="s">
        <v>287</v>
      </c>
    </row>
    <row r="187" spans="1:21" s="136" customFormat="1" ht="15.75" customHeight="1">
      <c r="B187" s="241"/>
      <c r="C187" s="242"/>
    </row>
    <row r="188" spans="1:21" s="287" customFormat="1" ht="15.75" customHeight="1">
      <c r="A188" s="675" t="s">
        <v>284</v>
      </c>
      <c r="B188" s="676"/>
      <c r="C188" s="284" t="s">
        <v>238</v>
      </c>
      <c r="D188" s="703" t="s">
        <v>239</v>
      </c>
      <c r="E188" s="704"/>
      <c r="F188" s="705"/>
      <c r="G188" s="706" t="s">
        <v>288</v>
      </c>
      <c r="H188" s="707"/>
      <c r="I188" s="708"/>
      <c r="J188" s="285" t="s">
        <v>289</v>
      </c>
      <c r="K188" s="285" t="s">
        <v>23</v>
      </c>
      <c r="L188" s="285" t="s">
        <v>290</v>
      </c>
      <c r="M188" s="286" t="s">
        <v>277</v>
      </c>
      <c r="N188" s="286" t="s">
        <v>253</v>
      </c>
      <c r="O188" s="683" t="s">
        <v>244</v>
      </c>
      <c r="P188" s="684"/>
      <c r="R188" s="211"/>
      <c r="S188" s="270"/>
    </row>
    <row r="189" spans="1:21" s="308" customFormat="1" ht="20.100000000000001" customHeight="1">
      <c r="A189" s="685">
        <v>4</v>
      </c>
      <c r="B189" s="719" t="s">
        <v>286</v>
      </c>
      <c r="C189" s="288">
        <v>1</v>
      </c>
      <c r="D189" s="246"/>
      <c r="E189" s="247"/>
      <c r="F189" s="248"/>
      <c r="G189" s="375"/>
      <c r="H189" s="315"/>
      <c r="I189" s="316"/>
      <c r="J189" s="326"/>
      <c r="K189" s="327"/>
      <c r="L189" s="328"/>
      <c r="M189" s="337">
        <f t="shared" ref="M189:M193" si="20">L189*J189</f>
        <v>0</v>
      </c>
      <c r="N189" s="328"/>
      <c r="O189" s="722"/>
      <c r="P189" s="723"/>
      <c r="R189" s="329"/>
      <c r="S189" s="270"/>
    </row>
    <row r="190" spans="1:21" s="308" customFormat="1" ht="20.100000000000001" customHeight="1">
      <c r="A190" s="686"/>
      <c r="B190" s="720"/>
      <c r="C190" s="288">
        <v>2</v>
      </c>
      <c r="D190" s="246"/>
      <c r="E190" s="247"/>
      <c r="F190" s="248"/>
      <c r="G190" s="375"/>
      <c r="H190" s="315"/>
      <c r="I190" s="316"/>
      <c r="J190" s="326"/>
      <c r="K190" s="327"/>
      <c r="L190" s="328"/>
      <c r="M190" s="337">
        <f t="shared" si="20"/>
        <v>0</v>
      </c>
      <c r="N190" s="328"/>
      <c r="O190" s="715"/>
      <c r="P190" s="716"/>
      <c r="R190" s="329"/>
      <c r="S190" s="211"/>
      <c r="T190" s="354"/>
    </row>
    <row r="191" spans="1:21" s="308" customFormat="1" ht="20.100000000000001" customHeight="1">
      <c r="A191" s="686"/>
      <c r="B191" s="720"/>
      <c r="C191" s="288">
        <v>3</v>
      </c>
      <c r="D191" s="246"/>
      <c r="E191" s="247"/>
      <c r="F191" s="248"/>
      <c r="G191" s="375"/>
      <c r="H191" s="315"/>
      <c r="I191" s="316"/>
      <c r="J191" s="326"/>
      <c r="K191" s="327"/>
      <c r="L191" s="328"/>
      <c r="M191" s="337">
        <f t="shared" si="20"/>
        <v>0</v>
      </c>
      <c r="N191" s="328"/>
      <c r="O191" s="722"/>
      <c r="P191" s="723"/>
      <c r="R191" s="329"/>
      <c r="S191" s="270"/>
    </row>
    <row r="192" spans="1:21" s="308" customFormat="1" ht="20.100000000000001" customHeight="1">
      <c r="A192" s="686"/>
      <c r="B192" s="720"/>
      <c r="C192" s="288">
        <v>4</v>
      </c>
      <c r="D192" s="246"/>
      <c r="E192" s="247"/>
      <c r="F192" s="248"/>
      <c r="G192" s="375"/>
      <c r="H192" s="315"/>
      <c r="I192" s="316"/>
      <c r="J192" s="326"/>
      <c r="K192" s="327"/>
      <c r="L192" s="328"/>
      <c r="M192" s="337">
        <f t="shared" si="20"/>
        <v>0</v>
      </c>
      <c r="N192" s="328"/>
      <c r="O192" s="722"/>
      <c r="P192" s="723"/>
      <c r="R192" s="329"/>
      <c r="S192" s="211"/>
      <c r="T192" s="354"/>
    </row>
    <row r="193" spans="1:20" s="308" customFormat="1" ht="20.100000000000001" customHeight="1" thickBot="1">
      <c r="A193" s="686"/>
      <c r="B193" s="720"/>
      <c r="C193" s="288">
        <v>5</v>
      </c>
      <c r="D193" s="246"/>
      <c r="E193" s="254"/>
      <c r="F193" s="255"/>
      <c r="G193" s="375"/>
      <c r="H193" s="315"/>
      <c r="I193" s="316"/>
      <c r="J193" s="448"/>
      <c r="K193" s="436"/>
      <c r="L193" s="332"/>
      <c r="M193" s="337">
        <f t="shared" si="20"/>
        <v>0</v>
      </c>
      <c r="N193" s="328"/>
      <c r="O193" s="722"/>
      <c r="P193" s="723"/>
      <c r="R193" s="333"/>
      <c r="S193" s="270"/>
      <c r="T193" s="298"/>
    </row>
    <row r="194" spans="1:20" s="298" customFormat="1" ht="15.75" customHeight="1" thickTop="1" thickBot="1">
      <c r="A194" s="687"/>
      <c r="B194" s="721"/>
      <c r="C194" s="728"/>
      <c r="D194" s="729"/>
      <c r="E194" s="729"/>
      <c r="F194" s="729"/>
      <c r="G194" s="729"/>
      <c r="H194" s="729"/>
      <c r="I194" s="730"/>
      <c r="J194" s="367" t="s">
        <v>304</v>
      </c>
      <c r="K194" s="449">
        <f>M194/'生產管理報表 7-1 (週)'!$B$42</f>
        <v>0</v>
      </c>
      <c r="L194" s="368" t="s">
        <v>305</v>
      </c>
      <c r="M194" s="450">
        <f>SUM(M189:M193)</f>
        <v>0</v>
      </c>
      <c r="N194" s="672"/>
      <c r="O194" s="673"/>
      <c r="P194" s="674"/>
      <c r="R194" s="211"/>
      <c r="S194" s="211"/>
    </row>
    <row r="195" spans="1:20" s="298" customFormat="1" ht="15.75" customHeight="1" thickTop="1">
      <c r="B195" s="307"/>
      <c r="C195" s="308"/>
      <c r="M195" s="344"/>
      <c r="S195" s="270"/>
    </row>
    <row r="196" spans="1:20" s="298" customFormat="1" ht="15.75" customHeight="1">
      <c r="A196" s="675" t="s">
        <v>284</v>
      </c>
      <c r="B196" s="676"/>
      <c r="C196" s="284" t="s">
        <v>238</v>
      </c>
      <c r="D196" s="703" t="s">
        <v>239</v>
      </c>
      <c r="E196" s="704"/>
      <c r="F196" s="705"/>
      <c r="G196" s="706" t="s">
        <v>288</v>
      </c>
      <c r="H196" s="707"/>
      <c r="I196" s="708"/>
      <c r="J196" s="285" t="s">
        <v>289</v>
      </c>
      <c r="K196" s="285" t="s">
        <v>23</v>
      </c>
      <c r="L196" s="285" t="s">
        <v>290</v>
      </c>
      <c r="M196" s="345" t="s">
        <v>277</v>
      </c>
      <c r="N196" s="286" t="s">
        <v>253</v>
      </c>
      <c r="O196" s="683" t="s">
        <v>244</v>
      </c>
      <c r="P196" s="684"/>
      <c r="S196" s="211"/>
      <c r="T196" s="354"/>
    </row>
    <row r="197" spans="1:20" s="308" customFormat="1" ht="39.950000000000003" customHeight="1">
      <c r="A197" s="685">
        <v>5</v>
      </c>
      <c r="B197" s="698" t="s">
        <v>318</v>
      </c>
      <c r="C197" s="288">
        <v>1</v>
      </c>
      <c r="D197" s="246" t="s">
        <v>213</v>
      </c>
      <c r="E197" s="247"/>
      <c r="F197" s="248"/>
      <c r="G197" s="316" t="s">
        <v>319</v>
      </c>
      <c r="H197" s="315"/>
      <c r="I197" s="316"/>
      <c r="J197" s="326">
        <v>96</v>
      </c>
      <c r="K197" s="327">
        <v>2.844251670156546E-2</v>
      </c>
      <c r="L197" s="328">
        <v>11.41</v>
      </c>
      <c r="M197" s="337">
        <f>L197*J197</f>
        <v>1095.3600000000001</v>
      </c>
      <c r="N197" s="328"/>
      <c r="O197" s="715" t="s">
        <v>398</v>
      </c>
      <c r="P197" s="716"/>
      <c r="R197" s="458"/>
      <c r="S197" s="451"/>
    </row>
    <row r="198" spans="1:20" s="308" customFormat="1" ht="20.100000000000001" customHeight="1">
      <c r="A198" s="686"/>
      <c r="B198" s="699"/>
      <c r="C198" s="288">
        <v>2</v>
      </c>
      <c r="D198" s="246"/>
      <c r="E198" s="247"/>
      <c r="F198" s="248"/>
      <c r="G198" s="375"/>
      <c r="H198" s="315"/>
      <c r="I198" s="316"/>
      <c r="J198" s="326"/>
      <c r="K198" s="327"/>
      <c r="L198" s="328"/>
      <c r="M198" s="337">
        <f t="shared" ref="M198:M201" si="21">L198*J198</f>
        <v>0</v>
      </c>
      <c r="N198" s="328"/>
      <c r="O198" s="715"/>
      <c r="P198" s="716"/>
      <c r="S198" s="211"/>
      <c r="T198" s="355"/>
    </row>
    <row r="199" spans="1:20" s="298" customFormat="1" ht="20.100000000000001" customHeight="1">
      <c r="A199" s="686"/>
      <c r="B199" s="699"/>
      <c r="C199" s="288">
        <v>3</v>
      </c>
      <c r="D199" s="246"/>
      <c r="E199" s="290"/>
      <c r="F199" s="291"/>
      <c r="G199" s="375"/>
      <c r="H199" s="315"/>
      <c r="I199" s="316"/>
      <c r="J199" s="326"/>
      <c r="K199" s="327"/>
      <c r="L199" s="328"/>
      <c r="M199" s="337">
        <f t="shared" si="21"/>
        <v>0</v>
      </c>
      <c r="N199" s="297"/>
      <c r="O199" s="711"/>
      <c r="P199" s="712"/>
    </row>
    <row r="200" spans="1:20" s="298" customFormat="1" ht="20.100000000000001" customHeight="1">
      <c r="A200" s="686"/>
      <c r="B200" s="699"/>
      <c r="C200" s="288">
        <v>4</v>
      </c>
      <c r="D200" s="246"/>
      <c r="E200" s="290"/>
      <c r="F200" s="291"/>
      <c r="G200" s="375"/>
      <c r="H200" s="315"/>
      <c r="I200" s="316"/>
      <c r="J200" s="326"/>
      <c r="K200" s="327"/>
      <c r="L200" s="328"/>
      <c r="M200" s="337">
        <f t="shared" si="21"/>
        <v>0</v>
      </c>
      <c r="N200" s="297"/>
      <c r="O200" s="715"/>
      <c r="P200" s="716"/>
    </row>
    <row r="201" spans="1:20" s="298" customFormat="1" ht="20.100000000000001" customHeight="1" thickBot="1">
      <c r="A201" s="686"/>
      <c r="B201" s="699"/>
      <c r="C201" s="288">
        <v>5</v>
      </c>
      <c r="D201" s="253"/>
      <c r="E201" s="300"/>
      <c r="F201" s="301"/>
      <c r="G201" s="375"/>
      <c r="H201" s="315"/>
      <c r="I201" s="316"/>
      <c r="J201" s="448"/>
      <c r="K201" s="436"/>
      <c r="L201" s="332"/>
      <c r="M201" s="337">
        <f t="shared" si="21"/>
        <v>0</v>
      </c>
      <c r="N201" s="297"/>
      <c r="O201" s="803"/>
      <c r="P201" s="804"/>
      <c r="R201" s="212"/>
    </row>
    <row r="202" spans="1:20" s="298" customFormat="1" ht="15.75" customHeight="1" thickTop="1" thickBot="1">
      <c r="A202" s="687"/>
      <c r="B202" s="700"/>
      <c r="C202" s="695"/>
      <c r="D202" s="696"/>
      <c r="E202" s="696"/>
      <c r="F202" s="696"/>
      <c r="G202" s="696"/>
      <c r="H202" s="696"/>
      <c r="I202" s="697"/>
      <c r="J202" s="367" t="s">
        <v>304</v>
      </c>
      <c r="K202" s="449">
        <f>M202/'生產管理報表 7-1 (週)'!$B$42</f>
        <v>1.6790863993040524E-2</v>
      </c>
      <c r="L202" s="368" t="s">
        <v>305</v>
      </c>
      <c r="M202" s="450">
        <f>SUM(M197:M201)</f>
        <v>1095.3600000000001</v>
      </c>
      <c r="N202" s="672"/>
      <c r="O202" s="673"/>
      <c r="P202" s="674"/>
      <c r="R202" s="211"/>
    </row>
    <row r="203" spans="1:20" s="298" customFormat="1" ht="15.75" customHeight="1" thickTop="1">
      <c r="B203" s="307"/>
      <c r="C203" s="308"/>
      <c r="M203" s="344"/>
      <c r="R203" s="211"/>
    </row>
    <row r="204" spans="1:20" s="298" customFormat="1" ht="15.75" customHeight="1">
      <c r="A204" s="675" t="s">
        <v>284</v>
      </c>
      <c r="B204" s="676"/>
      <c r="C204" s="313" t="s">
        <v>238</v>
      </c>
      <c r="D204" s="677" t="s">
        <v>239</v>
      </c>
      <c r="E204" s="678"/>
      <c r="F204" s="679"/>
      <c r="G204" s="680" t="s">
        <v>288</v>
      </c>
      <c r="H204" s="681"/>
      <c r="I204" s="682"/>
      <c r="J204" s="314" t="s">
        <v>289</v>
      </c>
      <c r="K204" s="285" t="s">
        <v>23</v>
      </c>
      <c r="L204" s="285" t="s">
        <v>290</v>
      </c>
      <c r="M204" s="345" t="s">
        <v>277</v>
      </c>
      <c r="N204" s="286" t="s">
        <v>253</v>
      </c>
      <c r="O204" s="683" t="s">
        <v>244</v>
      </c>
      <c r="P204" s="684"/>
      <c r="R204" s="211"/>
      <c r="S204" s="2"/>
    </row>
    <row r="205" spans="1:20" s="298" customFormat="1" ht="39.950000000000003" customHeight="1">
      <c r="A205" s="685">
        <v>6</v>
      </c>
      <c r="B205" s="698" t="s">
        <v>321</v>
      </c>
      <c r="C205" s="288">
        <v>1</v>
      </c>
      <c r="D205" s="356" t="s">
        <v>147</v>
      </c>
      <c r="E205" s="290"/>
      <c r="F205" s="291"/>
      <c r="G205" s="316" t="s">
        <v>322</v>
      </c>
      <c r="H205" s="315"/>
      <c r="I205" s="316"/>
      <c r="J205" s="326">
        <v>15.450000000000001</v>
      </c>
      <c r="K205" s="327">
        <v>6.2025316455696202E-3</v>
      </c>
      <c r="L205" s="328">
        <v>98</v>
      </c>
      <c r="M205" s="337">
        <f t="shared" ref="M205" si="22">L205*J205</f>
        <v>1514.1000000000001</v>
      </c>
      <c r="N205" s="297"/>
      <c r="O205" s="711" t="s">
        <v>399</v>
      </c>
      <c r="P205" s="712"/>
      <c r="R205" s="355"/>
      <c r="S205" s="459"/>
    </row>
    <row r="206" spans="1:20" s="298" customFormat="1" ht="20.100000000000001" customHeight="1">
      <c r="A206" s="686"/>
      <c r="B206" s="699"/>
      <c r="C206" s="288">
        <v>2</v>
      </c>
      <c r="D206" s="289"/>
      <c r="E206" s="290"/>
      <c r="F206" s="291"/>
      <c r="G206" s="292"/>
      <c r="H206" s="293"/>
      <c r="I206" s="294"/>
      <c r="J206" s="295"/>
      <c r="K206" s="296"/>
      <c r="L206" s="297"/>
      <c r="M206" s="346">
        <v>0</v>
      </c>
      <c r="N206" s="297"/>
      <c r="O206" s="309"/>
      <c r="P206" s="310"/>
      <c r="S206" s="2"/>
    </row>
    <row r="207" spans="1:20" s="298" customFormat="1" ht="20.100000000000001" customHeight="1">
      <c r="A207" s="686"/>
      <c r="B207" s="699"/>
      <c r="C207" s="288">
        <v>3</v>
      </c>
      <c r="D207" s="289"/>
      <c r="E207" s="290"/>
      <c r="F207" s="291"/>
      <c r="G207" s="292"/>
      <c r="H207" s="293"/>
      <c r="I207" s="294"/>
      <c r="J207" s="295"/>
      <c r="K207" s="296"/>
      <c r="L207" s="297"/>
      <c r="M207" s="346">
        <v>0</v>
      </c>
      <c r="N207" s="297"/>
      <c r="O207" s="309"/>
      <c r="P207" s="310"/>
      <c r="S207" s="2"/>
    </row>
    <row r="208" spans="1:20" s="298" customFormat="1" ht="20.100000000000001" customHeight="1">
      <c r="A208" s="686"/>
      <c r="B208" s="699"/>
      <c r="C208" s="288">
        <v>4</v>
      </c>
      <c r="D208" s="289"/>
      <c r="E208" s="290"/>
      <c r="F208" s="291"/>
      <c r="G208" s="292"/>
      <c r="H208" s="293"/>
      <c r="I208" s="294"/>
      <c r="J208" s="295"/>
      <c r="K208" s="296"/>
      <c r="L208" s="297"/>
      <c r="M208" s="346">
        <v>0</v>
      </c>
      <c r="N208" s="297"/>
      <c r="O208" s="309"/>
      <c r="P208" s="310"/>
      <c r="R208" s="2"/>
      <c r="S208" s="2"/>
    </row>
    <row r="209" spans="1:21" s="298" customFormat="1" ht="20.100000000000001" customHeight="1" thickBot="1">
      <c r="A209" s="686"/>
      <c r="B209" s="699"/>
      <c r="C209" s="288">
        <v>5</v>
      </c>
      <c r="D209" s="299"/>
      <c r="E209" s="300"/>
      <c r="F209" s="301"/>
      <c r="G209" s="292"/>
      <c r="H209" s="293"/>
      <c r="I209" s="294"/>
      <c r="J209" s="448"/>
      <c r="K209" s="436"/>
      <c r="L209" s="332"/>
      <c r="M209" s="337">
        <v>0</v>
      </c>
      <c r="N209" s="297"/>
      <c r="O209" s="311"/>
      <c r="P209" s="312"/>
      <c r="R209" s="2"/>
      <c r="S209" s="2"/>
    </row>
    <row r="210" spans="1:21" s="298" customFormat="1" ht="15.75" customHeight="1" thickTop="1" thickBot="1">
      <c r="A210" s="687"/>
      <c r="B210" s="700"/>
      <c r="C210" s="695"/>
      <c r="D210" s="696"/>
      <c r="E210" s="696"/>
      <c r="F210" s="696"/>
      <c r="G210" s="696"/>
      <c r="H210" s="696"/>
      <c r="I210" s="697"/>
      <c r="J210" s="367" t="s">
        <v>304</v>
      </c>
      <c r="K210" s="449">
        <f>M210/'生產管理報表 7-1 (週)'!$B$42</f>
        <v>2.3209764070134621E-2</v>
      </c>
      <c r="L210" s="368" t="s">
        <v>305</v>
      </c>
      <c r="M210" s="450">
        <f>SUM(M205:M209)</f>
        <v>1514.1000000000001</v>
      </c>
      <c r="N210" s="672"/>
      <c r="O210" s="673"/>
      <c r="P210" s="674"/>
      <c r="R210" s="2"/>
      <c r="S210" s="2"/>
    </row>
    <row r="211" spans="1:21" s="298" customFormat="1" ht="15.75" customHeight="1" thickTop="1">
      <c r="B211" s="307"/>
      <c r="C211" s="308"/>
      <c r="M211" s="344"/>
      <c r="R211" s="2"/>
      <c r="S211" s="2"/>
    </row>
    <row r="212" spans="1:21" s="298" customFormat="1" ht="15.75" customHeight="1">
      <c r="A212" s="675" t="s">
        <v>284</v>
      </c>
      <c r="B212" s="676"/>
      <c r="C212" s="313" t="s">
        <v>238</v>
      </c>
      <c r="D212" s="677" t="s">
        <v>239</v>
      </c>
      <c r="E212" s="678"/>
      <c r="F212" s="679"/>
      <c r="G212" s="680" t="s">
        <v>288</v>
      </c>
      <c r="H212" s="681"/>
      <c r="I212" s="682"/>
      <c r="J212" s="314" t="s">
        <v>289</v>
      </c>
      <c r="K212" s="285" t="s">
        <v>23</v>
      </c>
      <c r="L212" s="285" t="s">
        <v>290</v>
      </c>
      <c r="M212" s="345" t="s">
        <v>277</v>
      </c>
      <c r="N212" s="286" t="s">
        <v>253</v>
      </c>
      <c r="O212" s="683" t="s">
        <v>244</v>
      </c>
      <c r="P212" s="684"/>
      <c r="R212" s="2"/>
      <c r="S212" s="2"/>
    </row>
    <row r="213" spans="1:21" s="298" customFormat="1" ht="20.100000000000001" customHeight="1">
      <c r="A213" s="685">
        <v>7</v>
      </c>
      <c r="B213" s="688" t="s">
        <v>324</v>
      </c>
      <c r="C213" s="288">
        <v>1</v>
      </c>
      <c r="D213" s="289"/>
      <c r="E213" s="290"/>
      <c r="F213" s="291"/>
      <c r="G213" s="292"/>
      <c r="H213" s="293"/>
      <c r="I213" s="294"/>
      <c r="J213" s="295"/>
      <c r="K213" s="296"/>
      <c r="L213" s="297"/>
      <c r="M213" s="346">
        <f t="shared" ref="M213:M215" si="23">L213*J213</f>
        <v>0</v>
      </c>
      <c r="N213" s="297"/>
      <c r="O213" s="691"/>
      <c r="P213" s="692"/>
      <c r="R213" s="2"/>
      <c r="S213" s="2"/>
    </row>
    <row r="214" spans="1:21" s="298" customFormat="1" ht="20.100000000000001" customHeight="1">
      <c r="A214" s="686"/>
      <c r="B214" s="689"/>
      <c r="C214" s="288">
        <v>2</v>
      </c>
      <c r="D214" s="289"/>
      <c r="E214" s="290"/>
      <c r="F214" s="291"/>
      <c r="G214" s="292"/>
      <c r="H214" s="293"/>
      <c r="I214" s="294"/>
      <c r="J214" s="295"/>
      <c r="K214" s="296"/>
      <c r="L214" s="297"/>
      <c r="M214" s="346">
        <f t="shared" si="23"/>
        <v>0</v>
      </c>
      <c r="N214" s="297"/>
      <c r="O214" s="693"/>
      <c r="P214" s="694"/>
      <c r="R214" s="2"/>
      <c r="S214" s="2"/>
    </row>
    <row r="215" spans="1:21" s="298" customFormat="1" ht="20.100000000000001" customHeight="1">
      <c r="A215" s="686"/>
      <c r="B215" s="689"/>
      <c r="C215" s="288">
        <v>3</v>
      </c>
      <c r="D215" s="289"/>
      <c r="E215" s="290"/>
      <c r="F215" s="291"/>
      <c r="G215" s="292"/>
      <c r="H215" s="293"/>
      <c r="I215" s="294"/>
      <c r="J215" s="295"/>
      <c r="K215" s="296"/>
      <c r="L215" s="297"/>
      <c r="M215" s="346">
        <f t="shared" si="23"/>
        <v>0</v>
      </c>
      <c r="N215" s="297"/>
      <c r="O215" s="693"/>
      <c r="P215" s="694"/>
      <c r="R215" s="2"/>
      <c r="S215" s="2"/>
    </row>
    <row r="216" spans="1:21" s="298" customFormat="1" ht="20.100000000000001" customHeight="1">
      <c r="A216" s="686"/>
      <c r="B216" s="689"/>
      <c r="C216" s="288">
        <v>4</v>
      </c>
      <c r="D216" s="289"/>
      <c r="E216" s="290"/>
      <c r="F216" s="291"/>
      <c r="G216" s="292"/>
      <c r="H216" s="293"/>
      <c r="I216" s="294"/>
      <c r="J216" s="295"/>
      <c r="K216" s="296"/>
      <c r="L216" s="297"/>
      <c r="M216" s="347">
        <v>0</v>
      </c>
      <c r="N216" s="297"/>
      <c r="O216" s="309"/>
      <c r="P216" s="310"/>
      <c r="R216" s="2"/>
      <c r="S216" s="2"/>
    </row>
    <row r="217" spans="1:21" s="298" customFormat="1" ht="20.100000000000001" customHeight="1" thickBot="1">
      <c r="A217" s="686"/>
      <c r="B217" s="689"/>
      <c r="C217" s="288">
        <v>5</v>
      </c>
      <c r="D217" s="299"/>
      <c r="E217" s="300"/>
      <c r="F217" s="301"/>
      <c r="G217" s="292"/>
      <c r="H217" s="293"/>
      <c r="I217" s="294"/>
      <c r="J217" s="448"/>
      <c r="K217" s="436"/>
      <c r="L217" s="332"/>
      <c r="M217" s="348">
        <v>0</v>
      </c>
      <c r="N217" s="297"/>
      <c r="O217" s="311"/>
      <c r="P217" s="312"/>
      <c r="R217" s="2"/>
      <c r="S217" s="2"/>
    </row>
    <row r="218" spans="1:21" s="298" customFormat="1" ht="15.75" customHeight="1" thickTop="1" thickBot="1">
      <c r="A218" s="687"/>
      <c r="B218" s="690"/>
      <c r="C218" s="695"/>
      <c r="D218" s="696"/>
      <c r="E218" s="696"/>
      <c r="F218" s="696"/>
      <c r="G218" s="696"/>
      <c r="H218" s="696"/>
      <c r="I218" s="697"/>
      <c r="J218" s="367" t="s">
        <v>304</v>
      </c>
      <c r="K218" s="449">
        <f>M218/'生產管理報表 7-1 (週)'!$B$42</f>
        <v>0</v>
      </c>
      <c r="L218" s="368" t="s">
        <v>305</v>
      </c>
      <c r="M218" s="450">
        <f>SUM(M213:M217)</f>
        <v>0</v>
      </c>
      <c r="N218" s="672"/>
      <c r="O218" s="673"/>
      <c r="P218" s="674"/>
      <c r="R218" s="2"/>
      <c r="S218" s="2"/>
      <c r="T218" s="2"/>
    </row>
    <row r="219" spans="1:21" s="136" customFormat="1" ht="15.75" customHeight="1" thickTop="1">
      <c r="A219" s="802" t="s">
        <v>394</v>
      </c>
      <c r="B219" s="802"/>
      <c r="C219" s="802"/>
      <c r="D219" s="802"/>
      <c r="E219" s="802"/>
      <c r="F219" s="802"/>
      <c r="G219" s="802"/>
      <c r="H219" s="802"/>
      <c r="I219" s="802"/>
      <c r="J219" s="802"/>
      <c r="K219" s="802"/>
      <c r="L219" s="802"/>
      <c r="M219" s="802"/>
      <c r="R219" s="240"/>
      <c r="S219" s="240"/>
      <c r="T219" s="240"/>
      <c r="U219" s="240"/>
    </row>
    <row r="220" spans="1:21" s="137" customFormat="1" ht="15.75" customHeight="1">
      <c r="A220" s="737"/>
      <c r="B220" s="737"/>
      <c r="C220" s="737"/>
      <c r="D220" s="737"/>
      <c r="E220" s="737"/>
      <c r="F220" s="737"/>
      <c r="G220" s="737"/>
      <c r="H220" s="737"/>
      <c r="I220" s="737"/>
      <c r="J220" s="737"/>
      <c r="K220" s="737"/>
      <c r="L220" s="737"/>
      <c r="M220" s="737"/>
    </row>
    <row r="221" spans="1:21" s="136" customFormat="1" ht="15.75" customHeight="1">
      <c r="A221" s="738" t="s">
        <v>284</v>
      </c>
      <c r="B221" s="740">
        <v>1</v>
      </c>
      <c r="C221" s="741"/>
      <c r="D221" s="740">
        <v>2</v>
      </c>
      <c r="E221" s="741"/>
      <c r="F221" s="740">
        <v>3</v>
      </c>
      <c r="G221" s="741"/>
      <c r="H221" s="731">
        <v>4</v>
      </c>
      <c r="I221" s="732"/>
      <c r="J221" s="731">
        <v>5</v>
      </c>
      <c r="K221" s="732"/>
      <c r="L221" s="731">
        <v>6</v>
      </c>
      <c r="M221" s="732"/>
      <c r="N221" s="731">
        <v>7</v>
      </c>
      <c r="O221" s="732"/>
      <c r="P221" s="342">
        <v>8</v>
      </c>
    </row>
    <row r="222" spans="1:21" s="136" customFormat="1" ht="15.75" customHeight="1">
      <c r="A222" s="739"/>
      <c r="B222" s="735" t="s">
        <v>273</v>
      </c>
      <c r="C222" s="736"/>
      <c r="D222" s="735" t="s">
        <v>285</v>
      </c>
      <c r="E222" s="736"/>
      <c r="F222" s="735" t="s">
        <v>275</v>
      </c>
      <c r="G222" s="736"/>
      <c r="H222" s="733" t="s">
        <v>286</v>
      </c>
      <c r="I222" s="734"/>
      <c r="J222" s="733" t="s">
        <v>280</v>
      </c>
      <c r="K222" s="734"/>
      <c r="L222" s="733" t="s">
        <v>281</v>
      </c>
      <c r="M222" s="734"/>
      <c r="N222" s="733" t="s">
        <v>282</v>
      </c>
      <c r="O222" s="734"/>
      <c r="P222" s="343" t="s">
        <v>287</v>
      </c>
    </row>
    <row r="223" spans="1:21" s="136" customFormat="1" ht="15.75" customHeight="1">
      <c r="B223" s="241"/>
      <c r="C223" s="242"/>
    </row>
    <row r="224" spans="1:21" s="287" customFormat="1" ht="15.75" customHeight="1">
      <c r="A224" s="675" t="s">
        <v>284</v>
      </c>
      <c r="B224" s="676"/>
      <c r="C224" s="284" t="s">
        <v>238</v>
      </c>
      <c r="D224" s="703" t="s">
        <v>239</v>
      </c>
      <c r="E224" s="704"/>
      <c r="F224" s="705"/>
      <c r="G224" s="706" t="s">
        <v>288</v>
      </c>
      <c r="H224" s="707"/>
      <c r="I224" s="708"/>
      <c r="J224" s="285" t="s">
        <v>289</v>
      </c>
      <c r="K224" s="285" t="s">
        <v>23</v>
      </c>
      <c r="L224" s="285" t="s">
        <v>290</v>
      </c>
      <c r="M224" s="286" t="s">
        <v>277</v>
      </c>
      <c r="N224" s="286" t="s">
        <v>253</v>
      </c>
      <c r="O224" s="683" t="s">
        <v>244</v>
      </c>
      <c r="P224" s="684"/>
      <c r="R224" s="211"/>
      <c r="S224" s="270"/>
    </row>
    <row r="225" spans="1:20" s="308" customFormat="1" ht="20.100000000000001" customHeight="1">
      <c r="A225" s="685">
        <v>4</v>
      </c>
      <c r="B225" s="719" t="s">
        <v>286</v>
      </c>
      <c r="C225" s="288">
        <v>1</v>
      </c>
      <c r="D225" s="246"/>
      <c r="E225" s="247"/>
      <c r="F225" s="248"/>
      <c r="G225" s="375"/>
      <c r="H225" s="315"/>
      <c r="I225" s="316"/>
      <c r="J225" s="326"/>
      <c r="K225" s="327"/>
      <c r="L225" s="328"/>
      <c r="M225" s="337">
        <f t="shared" ref="M225:M229" si="24">L225*J225</f>
        <v>0</v>
      </c>
      <c r="N225" s="328"/>
      <c r="O225" s="722"/>
      <c r="P225" s="723"/>
      <c r="R225" s="329"/>
      <c r="S225" s="270"/>
    </row>
    <row r="226" spans="1:20" s="308" customFormat="1" ht="20.100000000000001" customHeight="1">
      <c r="A226" s="686"/>
      <c r="B226" s="720"/>
      <c r="C226" s="288">
        <v>2</v>
      </c>
      <c r="D226" s="246"/>
      <c r="E226" s="247"/>
      <c r="F226" s="248"/>
      <c r="G226" s="375"/>
      <c r="H226" s="315"/>
      <c r="I226" s="316"/>
      <c r="J226" s="326"/>
      <c r="K226" s="327"/>
      <c r="L226" s="328"/>
      <c r="M226" s="337">
        <f t="shared" si="24"/>
        <v>0</v>
      </c>
      <c r="N226" s="328"/>
      <c r="O226" s="715"/>
      <c r="P226" s="716"/>
      <c r="R226" s="329"/>
      <c r="S226" s="211"/>
      <c r="T226" s="354"/>
    </row>
    <row r="227" spans="1:20" s="308" customFormat="1" ht="20.100000000000001" customHeight="1">
      <c r="A227" s="686"/>
      <c r="B227" s="720"/>
      <c r="C227" s="288">
        <v>3</v>
      </c>
      <c r="D227" s="246"/>
      <c r="E227" s="247"/>
      <c r="F227" s="248"/>
      <c r="G227" s="375"/>
      <c r="H227" s="315"/>
      <c r="I227" s="316"/>
      <c r="J227" s="326"/>
      <c r="K227" s="327"/>
      <c r="L227" s="328"/>
      <c r="M227" s="337">
        <f t="shared" si="24"/>
        <v>0</v>
      </c>
      <c r="N227" s="328"/>
      <c r="O227" s="722"/>
      <c r="P227" s="723"/>
      <c r="R227" s="329"/>
      <c r="S227" s="270"/>
    </row>
    <row r="228" spans="1:20" s="308" customFormat="1" ht="20.100000000000001" customHeight="1">
      <c r="A228" s="686"/>
      <c r="B228" s="720"/>
      <c r="C228" s="288">
        <v>4</v>
      </c>
      <c r="D228" s="246"/>
      <c r="E228" s="247"/>
      <c r="F228" s="248"/>
      <c r="G228" s="375"/>
      <c r="H228" s="315"/>
      <c r="I228" s="316"/>
      <c r="J228" s="326"/>
      <c r="K228" s="327"/>
      <c r="L228" s="328"/>
      <c r="M228" s="337">
        <f t="shared" si="24"/>
        <v>0</v>
      </c>
      <c r="N228" s="328"/>
      <c r="O228" s="722"/>
      <c r="P228" s="723"/>
      <c r="R228" s="329"/>
      <c r="S228" s="211"/>
      <c r="T228" s="354"/>
    </row>
    <row r="229" spans="1:20" s="308" customFormat="1" ht="20.100000000000001" customHeight="1" thickBot="1">
      <c r="A229" s="686"/>
      <c r="B229" s="720"/>
      <c r="C229" s="288">
        <v>5</v>
      </c>
      <c r="D229" s="246"/>
      <c r="E229" s="254"/>
      <c r="F229" s="255"/>
      <c r="G229" s="375"/>
      <c r="H229" s="315"/>
      <c r="I229" s="316"/>
      <c r="J229" s="448"/>
      <c r="K229" s="436"/>
      <c r="L229" s="332"/>
      <c r="M229" s="337">
        <f t="shared" si="24"/>
        <v>0</v>
      </c>
      <c r="N229" s="328"/>
      <c r="O229" s="722"/>
      <c r="P229" s="723"/>
      <c r="R229" s="333"/>
      <c r="S229" s="270"/>
      <c r="T229" s="298"/>
    </row>
    <row r="230" spans="1:20" s="298" customFormat="1" ht="15.75" customHeight="1" thickTop="1" thickBot="1">
      <c r="A230" s="687"/>
      <c r="B230" s="721"/>
      <c r="C230" s="728"/>
      <c r="D230" s="729"/>
      <c r="E230" s="729"/>
      <c r="F230" s="729"/>
      <c r="G230" s="729"/>
      <c r="H230" s="729"/>
      <c r="I230" s="730"/>
      <c r="J230" s="367" t="s">
        <v>304</v>
      </c>
      <c r="K230" s="449">
        <f>M230/'生產管理報表 7-1 (週)'!$B$53</f>
        <v>0</v>
      </c>
      <c r="L230" s="368" t="s">
        <v>305</v>
      </c>
      <c r="M230" s="450">
        <f>SUM(M225:M229)</f>
        <v>0</v>
      </c>
      <c r="N230" s="672"/>
      <c r="O230" s="673"/>
      <c r="P230" s="674"/>
      <c r="R230" s="211"/>
      <c r="S230" s="211"/>
    </row>
    <row r="231" spans="1:20" s="298" customFormat="1" ht="15.75" customHeight="1" thickTop="1">
      <c r="B231" s="307"/>
      <c r="C231" s="308"/>
      <c r="M231" s="344"/>
      <c r="S231" s="270"/>
    </row>
    <row r="232" spans="1:20" s="298" customFormat="1" ht="15.75" customHeight="1">
      <c r="A232" s="675" t="s">
        <v>284</v>
      </c>
      <c r="B232" s="676"/>
      <c r="C232" s="284" t="s">
        <v>238</v>
      </c>
      <c r="D232" s="703" t="s">
        <v>239</v>
      </c>
      <c r="E232" s="704"/>
      <c r="F232" s="705"/>
      <c r="G232" s="706" t="s">
        <v>288</v>
      </c>
      <c r="H232" s="707"/>
      <c r="I232" s="708"/>
      <c r="J232" s="285" t="s">
        <v>289</v>
      </c>
      <c r="K232" s="285" t="s">
        <v>23</v>
      </c>
      <c r="L232" s="285" t="s">
        <v>290</v>
      </c>
      <c r="M232" s="345" t="s">
        <v>277</v>
      </c>
      <c r="N232" s="286" t="s">
        <v>253</v>
      </c>
      <c r="O232" s="683" t="s">
        <v>244</v>
      </c>
      <c r="P232" s="684"/>
      <c r="S232" s="211"/>
      <c r="T232" s="354"/>
    </row>
    <row r="233" spans="1:20" s="308" customFormat="1" ht="39.950000000000003" customHeight="1">
      <c r="A233" s="685">
        <v>5</v>
      </c>
      <c r="B233" s="698" t="s">
        <v>318</v>
      </c>
      <c r="C233" s="288">
        <v>1</v>
      </c>
      <c r="D233" s="246" t="s">
        <v>213</v>
      </c>
      <c r="E233" s="247"/>
      <c r="F233" s="248"/>
      <c r="G233" s="316" t="s">
        <v>319</v>
      </c>
      <c r="H233" s="315"/>
      <c r="I233" s="316"/>
      <c r="J233" s="326">
        <v>96</v>
      </c>
      <c r="K233" s="327">
        <v>1.9153666715264611E-2</v>
      </c>
      <c r="L233" s="328">
        <v>10.509999999999998</v>
      </c>
      <c r="M233" s="337">
        <f>L233*J233</f>
        <v>1008.9599999999998</v>
      </c>
      <c r="N233" s="328"/>
      <c r="O233" s="715" t="s">
        <v>398</v>
      </c>
      <c r="P233" s="716"/>
      <c r="R233" s="458"/>
      <c r="S233" s="451"/>
    </row>
    <row r="234" spans="1:20" s="308" customFormat="1" ht="20.100000000000001" customHeight="1">
      <c r="A234" s="686"/>
      <c r="B234" s="699"/>
      <c r="C234" s="288">
        <v>2</v>
      </c>
      <c r="D234" s="246"/>
      <c r="E234" s="247"/>
      <c r="F234" s="248"/>
      <c r="G234" s="375"/>
      <c r="H234" s="315"/>
      <c r="I234" s="316"/>
      <c r="J234" s="326"/>
      <c r="K234" s="327"/>
      <c r="L234" s="328"/>
      <c r="M234" s="337">
        <f t="shared" ref="M234:M237" si="25">L234*J234</f>
        <v>0</v>
      </c>
      <c r="N234" s="328"/>
      <c r="O234" s="715"/>
      <c r="P234" s="716"/>
      <c r="S234" s="211"/>
      <c r="T234" s="355"/>
    </row>
    <row r="235" spans="1:20" s="298" customFormat="1" ht="20.100000000000001" customHeight="1">
      <c r="A235" s="686"/>
      <c r="B235" s="699"/>
      <c r="C235" s="288">
        <v>3</v>
      </c>
      <c r="D235" s="246"/>
      <c r="E235" s="290"/>
      <c r="F235" s="291"/>
      <c r="G235" s="375"/>
      <c r="H235" s="315"/>
      <c r="I235" s="316"/>
      <c r="J235" s="326"/>
      <c r="K235" s="327"/>
      <c r="L235" s="328"/>
      <c r="M235" s="337">
        <f t="shared" si="25"/>
        <v>0</v>
      </c>
      <c r="N235" s="297"/>
      <c r="O235" s="711"/>
      <c r="P235" s="712"/>
    </row>
    <row r="236" spans="1:20" s="298" customFormat="1" ht="20.100000000000001" customHeight="1">
      <c r="A236" s="686"/>
      <c r="B236" s="699"/>
      <c r="C236" s="288">
        <v>4</v>
      </c>
      <c r="D236" s="246"/>
      <c r="E236" s="290"/>
      <c r="F236" s="291"/>
      <c r="G236" s="375"/>
      <c r="H236" s="315"/>
      <c r="I236" s="316"/>
      <c r="J236" s="326"/>
      <c r="K236" s="327"/>
      <c r="L236" s="328"/>
      <c r="M236" s="337">
        <f t="shared" si="25"/>
        <v>0</v>
      </c>
      <c r="N236" s="297"/>
      <c r="O236" s="715"/>
      <c r="P236" s="716"/>
    </row>
    <row r="237" spans="1:20" s="298" customFormat="1" ht="20.100000000000001" customHeight="1" thickBot="1">
      <c r="A237" s="686"/>
      <c r="B237" s="699"/>
      <c r="C237" s="288">
        <v>5</v>
      </c>
      <c r="D237" s="253"/>
      <c r="E237" s="300"/>
      <c r="F237" s="301"/>
      <c r="G237" s="375"/>
      <c r="H237" s="315"/>
      <c r="I237" s="316"/>
      <c r="J237" s="448"/>
      <c r="K237" s="436"/>
      <c r="L237" s="332"/>
      <c r="M237" s="337">
        <f t="shared" si="25"/>
        <v>0</v>
      </c>
      <c r="N237" s="297"/>
      <c r="O237" s="803"/>
      <c r="P237" s="804"/>
      <c r="R237" s="212"/>
    </row>
    <row r="238" spans="1:20" s="298" customFormat="1" ht="15.75" customHeight="1" thickTop="1" thickBot="1">
      <c r="A238" s="687"/>
      <c r="B238" s="700"/>
      <c r="C238" s="695"/>
      <c r="D238" s="696"/>
      <c r="E238" s="696"/>
      <c r="F238" s="696"/>
      <c r="G238" s="696"/>
      <c r="H238" s="696"/>
      <c r="I238" s="697"/>
      <c r="J238" s="367" t="s">
        <v>304</v>
      </c>
      <c r="K238" s="449">
        <f>M238/'生產管理報表 7-1 (週)'!$B$53</f>
        <v>1.3993147347599696E-2</v>
      </c>
      <c r="L238" s="368" t="s">
        <v>305</v>
      </c>
      <c r="M238" s="450">
        <f>SUM(M233:M237)</f>
        <v>1008.9599999999998</v>
      </c>
      <c r="N238" s="672"/>
      <c r="O238" s="673"/>
      <c r="P238" s="674"/>
      <c r="R238" s="211"/>
    </row>
    <row r="239" spans="1:20" s="298" customFormat="1" ht="15.75" customHeight="1" thickTop="1">
      <c r="B239" s="307"/>
      <c r="C239" s="308"/>
      <c r="M239" s="344"/>
      <c r="R239" s="211"/>
    </row>
    <row r="240" spans="1:20" s="298" customFormat="1" ht="15.75" customHeight="1">
      <c r="A240" s="675" t="s">
        <v>284</v>
      </c>
      <c r="B240" s="676"/>
      <c r="C240" s="313" t="s">
        <v>238</v>
      </c>
      <c r="D240" s="677" t="s">
        <v>239</v>
      </c>
      <c r="E240" s="678"/>
      <c r="F240" s="679"/>
      <c r="G240" s="680" t="s">
        <v>288</v>
      </c>
      <c r="H240" s="681"/>
      <c r="I240" s="682"/>
      <c r="J240" s="314" t="s">
        <v>289</v>
      </c>
      <c r="K240" s="285" t="s">
        <v>23</v>
      </c>
      <c r="L240" s="285" t="s">
        <v>290</v>
      </c>
      <c r="M240" s="345" t="s">
        <v>277</v>
      </c>
      <c r="N240" s="286" t="s">
        <v>253</v>
      </c>
      <c r="O240" s="683" t="s">
        <v>244</v>
      </c>
      <c r="P240" s="684"/>
      <c r="R240" s="211"/>
      <c r="S240" s="2"/>
    </row>
    <row r="241" spans="1:20" s="298" customFormat="1" ht="39.950000000000003" customHeight="1">
      <c r="A241" s="685">
        <v>6</v>
      </c>
      <c r="B241" s="698" t="s">
        <v>321</v>
      </c>
      <c r="C241" s="288">
        <v>1</v>
      </c>
      <c r="D241" s="356" t="s">
        <v>147</v>
      </c>
      <c r="E241" s="290"/>
      <c r="F241" s="291"/>
      <c r="G241" s="316" t="s">
        <v>322</v>
      </c>
      <c r="H241" s="315"/>
      <c r="I241" s="316"/>
      <c r="J241" s="326">
        <v>15.450000000000001</v>
      </c>
      <c r="K241" s="327">
        <v>4.2819843342036552E-3</v>
      </c>
      <c r="L241" s="328">
        <v>82</v>
      </c>
      <c r="M241" s="337">
        <f t="shared" ref="M241" si="26">L241*J241</f>
        <v>1266.9000000000001</v>
      </c>
      <c r="N241" s="297"/>
      <c r="O241" s="711" t="s">
        <v>399</v>
      </c>
      <c r="P241" s="712"/>
      <c r="R241" s="355"/>
      <c r="S241" s="459"/>
    </row>
    <row r="242" spans="1:20" s="298" customFormat="1" ht="20.100000000000001" customHeight="1">
      <c r="A242" s="686"/>
      <c r="B242" s="699"/>
      <c r="C242" s="288">
        <v>2</v>
      </c>
      <c r="D242" s="289"/>
      <c r="E242" s="290"/>
      <c r="F242" s="291"/>
      <c r="G242" s="292"/>
      <c r="H242" s="293"/>
      <c r="I242" s="294"/>
      <c r="J242" s="295"/>
      <c r="K242" s="296"/>
      <c r="L242" s="297"/>
      <c r="M242" s="346">
        <v>0</v>
      </c>
      <c r="N242" s="297"/>
      <c r="O242" s="309"/>
      <c r="P242" s="310"/>
      <c r="S242" s="2"/>
    </row>
    <row r="243" spans="1:20" s="298" customFormat="1" ht="20.100000000000001" customHeight="1">
      <c r="A243" s="686"/>
      <c r="B243" s="699"/>
      <c r="C243" s="288">
        <v>3</v>
      </c>
      <c r="D243" s="289"/>
      <c r="E243" s="290"/>
      <c r="F243" s="291"/>
      <c r="G243" s="292"/>
      <c r="H243" s="293"/>
      <c r="I243" s="294"/>
      <c r="J243" s="295"/>
      <c r="K243" s="296"/>
      <c r="L243" s="297"/>
      <c r="M243" s="346">
        <v>0</v>
      </c>
      <c r="N243" s="297"/>
      <c r="O243" s="309"/>
      <c r="P243" s="310"/>
      <c r="S243" s="2"/>
    </row>
    <row r="244" spans="1:20" s="298" customFormat="1" ht="20.100000000000001" customHeight="1">
      <c r="A244" s="686"/>
      <c r="B244" s="699"/>
      <c r="C244" s="288">
        <v>4</v>
      </c>
      <c r="D244" s="289"/>
      <c r="E244" s="290"/>
      <c r="F244" s="291"/>
      <c r="G244" s="292"/>
      <c r="H244" s="293"/>
      <c r="I244" s="294"/>
      <c r="J244" s="295"/>
      <c r="K244" s="296"/>
      <c r="L244" s="297"/>
      <c r="M244" s="346">
        <v>0</v>
      </c>
      <c r="N244" s="297"/>
      <c r="O244" s="309"/>
      <c r="P244" s="310"/>
      <c r="R244" s="2"/>
      <c r="S244" s="2"/>
    </row>
    <row r="245" spans="1:20" s="298" customFormat="1" ht="20.100000000000001" customHeight="1" thickBot="1">
      <c r="A245" s="686"/>
      <c r="B245" s="699"/>
      <c r="C245" s="288">
        <v>5</v>
      </c>
      <c r="D245" s="299"/>
      <c r="E245" s="300"/>
      <c r="F245" s="301"/>
      <c r="G245" s="292"/>
      <c r="H245" s="293"/>
      <c r="I245" s="294"/>
      <c r="J245" s="448"/>
      <c r="K245" s="436"/>
      <c r="L245" s="332"/>
      <c r="M245" s="337">
        <v>0</v>
      </c>
      <c r="N245" s="297"/>
      <c r="O245" s="311"/>
      <c r="P245" s="312"/>
      <c r="R245" s="2"/>
      <c r="S245" s="2"/>
    </row>
    <row r="246" spans="1:20" s="298" customFormat="1" ht="15.75" customHeight="1" thickTop="1" thickBot="1">
      <c r="A246" s="687"/>
      <c r="B246" s="700"/>
      <c r="C246" s="695"/>
      <c r="D246" s="696"/>
      <c r="E246" s="696"/>
      <c r="F246" s="696"/>
      <c r="G246" s="696"/>
      <c r="H246" s="696"/>
      <c r="I246" s="697"/>
      <c r="J246" s="367" t="s">
        <v>304</v>
      </c>
      <c r="K246" s="449">
        <f>M246/'生產管理報表 7-1 (週)'!$B$53</f>
        <v>1.7570486812831094E-2</v>
      </c>
      <c r="L246" s="368" t="s">
        <v>305</v>
      </c>
      <c r="M246" s="450">
        <f>SUM(M241:M245)</f>
        <v>1266.9000000000001</v>
      </c>
      <c r="N246" s="672"/>
      <c r="O246" s="673"/>
      <c r="P246" s="674"/>
      <c r="R246" s="2"/>
      <c r="S246" s="2"/>
    </row>
    <row r="247" spans="1:20" s="298" customFormat="1" ht="15.75" customHeight="1" thickTop="1">
      <c r="B247" s="307"/>
      <c r="C247" s="308"/>
      <c r="M247" s="344"/>
      <c r="R247" s="2"/>
      <c r="S247" s="2"/>
    </row>
    <row r="248" spans="1:20" s="298" customFormat="1" ht="15.75" customHeight="1">
      <c r="A248" s="675" t="s">
        <v>284</v>
      </c>
      <c r="B248" s="676"/>
      <c r="C248" s="313" t="s">
        <v>238</v>
      </c>
      <c r="D248" s="677" t="s">
        <v>239</v>
      </c>
      <c r="E248" s="678"/>
      <c r="F248" s="679"/>
      <c r="G248" s="680" t="s">
        <v>288</v>
      </c>
      <c r="H248" s="681"/>
      <c r="I248" s="682"/>
      <c r="J248" s="314" t="s">
        <v>289</v>
      </c>
      <c r="K248" s="285" t="s">
        <v>23</v>
      </c>
      <c r="L248" s="285" t="s">
        <v>290</v>
      </c>
      <c r="M248" s="345" t="s">
        <v>277</v>
      </c>
      <c r="N248" s="286" t="s">
        <v>253</v>
      </c>
      <c r="O248" s="683" t="s">
        <v>244</v>
      </c>
      <c r="P248" s="684"/>
      <c r="R248" s="2"/>
      <c r="S248" s="2"/>
    </row>
    <row r="249" spans="1:20" s="298" customFormat="1" ht="20.100000000000001" customHeight="1">
      <c r="A249" s="685">
        <v>7</v>
      </c>
      <c r="B249" s="688" t="s">
        <v>324</v>
      </c>
      <c r="C249" s="288">
        <v>1</v>
      </c>
      <c r="D249" s="289"/>
      <c r="E249" s="290"/>
      <c r="F249" s="291"/>
      <c r="G249" s="292"/>
      <c r="H249" s="293"/>
      <c r="I249" s="294"/>
      <c r="J249" s="295"/>
      <c r="K249" s="296"/>
      <c r="L249" s="297"/>
      <c r="M249" s="346">
        <f t="shared" ref="M249:M251" si="27">L249*J249</f>
        <v>0</v>
      </c>
      <c r="N249" s="297"/>
      <c r="O249" s="691"/>
      <c r="P249" s="692"/>
      <c r="R249" s="2"/>
      <c r="S249" s="2"/>
    </row>
    <row r="250" spans="1:20" s="298" customFormat="1" ht="20.100000000000001" customHeight="1">
      <c r="A250" s="686"/>
      <c r="B250" s="689"/>
      <c r="C250" s="288">
        <v>2</v>
      </c>
      <c r="D250" s="289"/>
      <c r="E250" s="290"/>
      <c r="F250" s="291"/>
      <c r="G250" s="292"/>
      <c r="H250" s="293"/>
      <c r="I250" s="294"/>
      <c r="J250" s="295"/>
      <c r="K250" s="296"/>
      <c r="L250" s="297"/>
      <c r="M250" s="346">
        <f t="shared" si="27"/>
        <v>0</v>
      </c>
      <c r="N250" s="297"/>
      <c r="O250" s="693"/>
      <c r="P250" s="694"/>
      <c r="R250" s="2"/>
      <c r="S250" s="2"/>
    </row>
    <row r="251" spans="1:20" s="298" customFormat="1" ht="20.100000000000001" customHeight="1">
      <c r="A251" s="686"/>
      <c r="B251" s="689"/>
      <c r="C251" s="288">
        <v>3</v>
      </c>
      <c r="D251" s="289"/>
      <c r="E251" s="290"/>
      <c r="F251" s="291"/>
      <c r="G251" s="292"/>
      <c r="H251" s="293"/>
      <c r="I251" s="294"/>
      <c r="J251" s="295"/>
      <c r="K251" s="296"/>
      <c r="L251" s="297"/>
      <c r="M251" s="346">
        <f t="shared" si="27"/>
        <v>0</v>
      </c>
      <c r="N251" s="297"/>
      <c r="O251" s="693"/>
      <c r="P251" s="694"/>
      <c r="R251" s="2"/>
      <c r="S251" s="2"/>
    </row>
    <row r="252" spans="1:20" s="298" customFormat="1" ht="20.100000000000001" customHeight="1">
      <c r="A252" s="686"/>
      <c r="B252" s="689"/>
      <c r="C252" s="288">
        <v>4</v>
      </c>
      <c r="D252" s="289"/>
      <c r="E252" s="290"/>
      <c r="F252" s="291"/>
      <c r="G252" s="292"/>
      <c r="H252" s="293"/>
      <c r="I252" s="294"/>
      <c r="J252" s="295"/>
      <c r="K252" s="296"/>
      <c r="L252" s="297"/>
      <c r="M252" s="347">
        <v>0</v>
      </c>
      <c r="N252" s="297"/>
      <c r="O252" s="309"/>
      <c r="P252" s="310"/>
      <c r="R252" s="2"/>
      <c r="S252" s="2"/>
    </row>
    <row r="253" spans="1:20" s="298" customFormat="1" ht="20.100000000000001" customHeight="1" thickBot="1">
      <c r="A253" s="686"/>
      <c r="B253" s="689"/>
      <c r="C253" s="288">
        <v>5</v>
      </c>
      <c r="D253" s="299"/>
      <c r="E253" s="300"/>
      <c r="F253" s="301"/>
      <c r="G253" s="292"/>
      <c r="H253" s="293"/>
      <c r="I253" s="294"/>
      <c r="J253" s="448"/>
      <c r="K253" s="436"/>
      <c r="L253" s="332"/>
      <c r="M253" s="348">
        <v>0</v>
      </c>
      <c r="N253" s="297"/>
      <c r="O253" s="311"/>
      <c r="P253" s="312"/>
      <c r="R253" s="2"/>
      <c r="S253" s="2"/>
    </row>
    <row r="254" spans="1:20" s="298" customFormat="1" ht="15.75" customHeight="1" thickTop="1" thickBot="1">
      <c r="A254" s="687"/>
      <c r="B254" s="690"/>
      <c r="C254" s="695"/>
      <c r="D254" s="696"/>
      <c r="E254" s="696"/>
      <c r="F254" s="696"/>
      <c r="G254" s="696"/>
      <c r="H254" s="696"/>
      <c r="I254" s="697"/>
      <c r="J254" s="367" t="s">
        <v>304</v>
      </c>
      <c r="K254" s="449">
        <f>M254/'生產管理報表 7-1 (週)'!$B$53</f>
        <v>0</v>
      </c>
      <c r="L254" s="368" t="s">
        <v>305</v>
      </c>
      <c r="M254" s="450">
        <f>SUM(M249:M253)</f>
        <v>0</v>
      </c>
      <c r="N254" s="672"/>
      <c r="O254" s="673"/>
      <c r="P254" s="674"/>
      <c r="R254" s="2"/>
      <c r="S254" s="2"/>
      <c r="T254" s="2"/>
    </row>
    <row r="255" spans="1:20" ht="15.75" customHeight="1" thickTop="1"/>
  </sheetData>
  <mergeCells count="435">
    <mergeCell ref="A248:B248"/>
    <mergeCell ref="D248:F248"/>
    <mergeCell ref="G248:I248"/>
    <mergeCell ref="O248:P248"/>
    <mergeCell ref="A249:A254"/>
    <mergeCell ref="B249:B254"/>
    <mergeCell ref="O249:P249"/>
    <mergeCell ref="O250:P250"/>
    <mergeCell ref="O251:P251"/>
    <mergeCell ref="C254:I254"/>
    <mergeCell ref="N254:P254"/>
    <mergeCell ref="A240:B240"/>
    <mergeCell ref="D240:F240"/>
    <mergeCell ref="G240:I240"/>
    <mergeCell ref="O240:P240"/>
    <mergeCell ref="A241:A246"/>
    <mergeCell ref="B241:B246"/>
    <mergeCell ref="O241:P241"/>
    <mergeCell ref="C246:I246"/>
    <mergeCell ref="N246:P246"/>
    <mergeCell ref="A232:B232"/>
    <mergeCell ref="D232:F232"/>
    <mergeCell ref="G232:I232"/>
    <mergeCell ref="O232:P232"/>
    <mergeCell ref="A233:A238"/>
    <mergeCell ref="B233:B238"/>
    <mergeCell ref="O233:P233"/>
    <mergeCell ref="O234:P234"/>
    <mergeCell ref="O235:P235"/>
    <mergeCell ref="O236:P236"/>
    <mergeCell ref="O237:P237"/>
    <mergeCell ref="C238:I238"/>
    <mergeCell ref="N238:P238"/>
    <mergeCell ref="A224:B224"/>
    <mergeCell ref="D224:F224"/>
    <mergeCell ref="G224:I224"/>
    <mergeCell ref="O224:P224"/>
    <mergeCell ref="A225:A230"/>
    <mergeCell ref="B225:B230"/>
    <mergeCell ref="O225:P225"/>
    <mergeCell ref="O226:P226"/>
    <mergeCell ref="O227:P227"/>
    <mergeCell ref="O228:P228"/>
    <mergeCell ref="O229:P229"/>
    <mergeCell ref="C230:I230"/>
    <mergeCell ref="N230:P230"/>
    <mergeCell ref="A219:M220"/>
    <mergeCell ref="A221:A222"/>
    <mergeCell ref="B221:C221"/>
    <mergeCell ref="D221:E221"/>
    <mergeCell ref="F221:G221"/>
    <mergeCell ref="H221:I221"/>
    <mergeCell ref="J221:K221"/>
    <mergeCell ref="L221:M221"/>
    <mergeCell ref="N221:O221"/>
    <mergeCell ref="B222:C222"/>
    <mergeCell ref="D222:E222"/>
    <mergeCell ref="F222:G222"/>
    <mergeCell ref="H222:I222"/>
    <mergeCell ref="J222:K222"/>
    <mergeCell ref="L222:M222"/>
    <mergeCell ref="N222:O222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O200:P200"/>
    <mergeCell ref="O201:P201"/>
    <mergeCell ref="C202:I202"/>
    <mergeCell ref="N202:P202"/>
    <mergeCell ref="A204:B204"/>
    <mergeCell ref="D204:F204"/>
    <mergeCell ref="G204:I204"/>
    <mergeCell ref="O204:P204"/>
    <mergeCell ref="A205:A210"/>
    <mergeCell ref="B205:B210"/>
    <mergeCell ref="O205:P205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6" manualBreakCount="6">
    <brk id="38" max="15" man="1"/>
    <brk id="74" max="15" man="1"/>
    <brk id="110" max="15" man="1"/>
    <brk id="146" max="15" man="1"/>
    <brk id="182" max="15" man="1"/>
    <brk id="218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6" customWidth="1"/>
    <col min="2" max="2" width="11.42578125" style="241" customWidth="1"/>
    <col min="3" max="3" width="4" style="242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40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</row>
    <row r="2" spans="1:75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</row>
    <row r="3" spans="1:75" ht="15.75" customHeight="1">
      <c r="A3" s="639" t="s">
        <v>325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75" s="137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75" ht="15.75" customHeight="1">
      <c r="A5" s="641" t="s">
        <v>284</v>
      </c>
      <c r="B5" s="669">
        <v>1</v>
      </c>
      <c r="C5" s="669"/>
      <c r="D5" s="669">
        <v>2</v>
      </c>
      <c r="E5" s="669"/>
      <c r="F5" s="669">
        <v>3</v>
      </c>
      <c r="G5" s="669"/>
      <c r="H5" s="644">
        <v>4</v>
      </c>
      <c r="I5" s="644"/>
      <c r="J5" s="644">
        <v>5</v>
      </c>
      <c r="K5" s="644"/>
      <c r="L5" s="644">
        <v>6</v>
      </c>
      <c r="M5" s="644"/>
      <c r="N5" s="644">
        <v>7</v>
      </c>
      <c r="O5" s="644"/>
      <c r="P5" s="644">
        <v>8</v>
      </c>
      <c r="Q5" s="644"/>
    </row>
    <row r="6" spans="1:75" ht="15.75" customHeight="1">
      <c r="A6" s="641"/>
      <c r="B6" s="670" t="s">
        <v>273</v>
      </c>
      <c r="C6" s="670"/>
      <c r="D6" s="670" t="s">
        <v>285</v>
      </c>
      <c r="E6" s="670"/>
      <c r="F6" s="670" t="s">
        <v>275</v>
      </c>
      <c r="G6" s="670"/>
      <c r="H6" s="641" t="s">
        <v>286</v>
      </c>
      <c r="I6" s="641"/>
      <c r="J6" s="641" t="s">
        <v>280</v>
      </c>
      <c r="K6" s="641"/>
      <c r="L6" s="641" t="s">
        <v>281</v>
      </c>
      <c r="M6" s="641"/>
      <c r="N6" s="641" t="s">
        <v>282</v>
      </c>
      <c r="O6" s="641"/>
      <c r="P6" s="761" t="s">
        <v>287</v>
      </c>
      <c r="Q6" s="761"/>
    </row>
    <row r="8" spans="1:75" s="244" customFormat="1" ht="15.75" customHeight="1">
      <c r="A8" s="740" t="s">
        <v>284</v>
      </c>
      <c r="B8" s="741"/>
      <c r="C8" s="243" t="s">
        <v>238</v>
      </c>
      <c r="D8" s="792" t="s">
        <v>239</v>
      </c>
      <c r="E8" s="654"/>
      <c r="F8" s="782"/>
      <c r="G8" s="793" t="s">
        <v>288</v>
      </c>
      <c r="H8" s="794"/>
      <c r="I8" s="795"/>
      <c r="J8" s="243" t="s">
        <v>289</v>
      </c>
      <c r="K8" s="243" t="s">
        <v>23</v>
      </c>
      <c r="L8" s="243" t="s">
        <v>290</v>
      </c>
      <c r="M8" s="243" t="s">
        <v>277</v>
      </c>
      <c r="N8" s="243" t="s">
        <v>253</v>
      </c>
      <c r="O8" s="796" t="s">
        <v>244</v>
      </c>
      <c r="P8" s="797"/>
    </row>
    <row r="9" spans="1:75" ht="20.100000000000001" customHeight="1">
      <c r="A9" s="783">
        <v>1</v>
      </c>
      <c r="B9" s="786" t="s">
        <v>291</v>
      </c>
      <c r="C9" s="245">
        <v>1</v>
      </c>
      <c r="D9" s="246"/>
      <c r="E9" s="247"/>
      <c r="F9" s="247"/>
      <c r="G9" s="246"/>
      <c r="H9" s="247"/>
      <c r="I9" s="248"/>
      <c r="J9" s="245"/>
      <c r="K9" s="251"/>
      <c r="L9" s="245"/>
      <c r="M9" s="337">
        <f>L9*J9</f>
        <v>0</v>
      </c>
      <c r="N9" s="252"/>
      <c r="O9" s="722"/>
      <c r="P9" s="723"/>
      <c r="S9" s="359"/>
      <c r="T9" s="358"/>
    </row>
    <row r="10" spans="1:75" ht="20.100000000000001" customHeight="1">
      <c r="A10" s="784"/>
      <c r="B10" s="787"/>
      <c r="C10" s="245">
        <v>2</v>
      </c>
      <c r="D10" s="246"/>
      <c r="E10" s="247"/>
      <c r="F10" s="248"/>
      <c r="G10" s="246"/>
      <c r="H10" s="247"/>
      <c r="I10" s="248"/>
      <c r="J10" s="245"/>
      <c r="K10" s="251"/>
      <c r="L10" s="245"/>
      <c r="M10" s="337">
        <f t="shared" ref="M10:M13" si="0">L10*J10</f>
        <v>0</v>
      </c>
      <c r="N10" s="252"/>
      <c r="O10" s="799"/>
      <c r="P10" s="743"/>
      <c r="S10" s="358"/>
      <c r="T10" s="358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</row>
    <row r="11" spans="1:75" ht="20.100000000000001" customHeight="1">
      <c r="A11" s="784"/>
      <c r="B11" s="787"/>
      <c r="C11" s="245">
        <v>3</v>
      </c>
      <c r="D11" s="246"/>
      <c r="E11" s="247"/>
      <c r="F11" s="248"/>
      <c r="G11" s="246"/>
      <c r="H11" s="247"/>
      <c r="I11" s="248"/>
      <c r="J11" s="245"/>
      <c r="K11" s="251"/>
      <c r="L11" s="245"/>
      <c r="M11" s="337">
        <f t="shared" si="0"/>
        <v>0</v>
      </c>
      <c r="N11" s="252"/>
      <c r="O11" s="799"/>
      <c r="P11" s="743"/>
      <c r="S11" s="359"/>
      <c r="T11" s="358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  <c r="AO11" s="240"/>
      <c r="AP11" s="240"/>
      <c r="AQ11" s="240"/>
      <c r="AR11" s="240"/>
      <c r="AS11" s="240"/>
      <c r="AT11" s="240"/>
      <c r="AU11" s="240"/>
      <c r="AV11" s="240"/>
      <c r="AW11" s="240"/>
      <c r="AX11" s="240"/>
      <c r="AY11" s="240"/>
      <c r="AZ11" s="240"/>
      <c r="BA11" s="240"/>
      <c r="BB11" s="240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40"/>
      <c r="BN11" s="240"/>
      <c r="BO11" s="240"/>
      <c r="BP11" s="240"/>
      <c r="BQ11" s="240"/>
      <c r="BR11" s="240"/>
      <c r="BS11" s="240"/>
      <c r="BT11" s="240"/>
      <c r="BU11" s="240"/>
      <c r="BV11" s="240"/>
      <c r="BW11" s="240"/>
    </row>
    <row r="12" spans="1:75" ht="20.100000000000001" customHeight="1">
      <c r="A12" s="784"/>
      <c r="B12" s="787"/>
      <c r="C12" s="245">
        <v>4</v>
      </c>
      <c r="D12" s="246"/>
      <c r="E12" s="247"/>
      <c r="F12" s="248"/>
      <c r="G12" s="246"/>
      <c r="H12" s="247"/>
      <c r="I12" s="248"/>
      <c r="J12" s="245"/>
      <c r="K12" s="251"/>
      <c r="L12" s="245"/>
      <c r="M12" s="337">
        <f t="shared" si="0"/>
        <v>0</v>
      </c>
      <c r="N12" s="252"/>
      <c r="O12" s="799"/>
      <c r="P12" s="743"/>
      <c r="S12" s="358"/>
      <c r="T12" s="358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</row>
    <row r="13" spans="1:75" ht="20.100000000000001" customHeight="1" thickBot="1">
      <c r="A13" s="784"/>
      <c r="B13" s="787"/>
      <c r="C13" s="245">
        <v>5</v>
      </c>
      <c r="D13" s="253"/>
      <c r="E13" s="254"/>
      <c r="F13" s="255"/>
      <c r="G13" s="246"/>
      <c r="H13" s="247"/>
      <c r="I13" s="277"/>
      <c r="J13" s="256"/>
      <c r="K13" s="257"/>
      <c r="L13" s="256"/>
      <c r="M13" s="338">
        <f t="shared" si="0"/>
        <v>0</v>
      </c>
      <c r="N13" s="252"/>
      <c r="O13" s="799"/>
      <c r="P13" s="743"/>
      <c r="S13" s="359"/>
      <c r="T13" s="358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0"/>
      <c r="BW13" s="240"/>
    </row>
    <row r="14" spans="1:75" ht="15.75" customHeight="1" thickTop="1" thickBot="1">
      <c r="A14" s="785"/>
      <c r="B14" s="788"/>
      <c r="C14" s="656"/>
      <c r="D14" s="657"/>
      <c r="E14" s="657"/>
      <c r="F14" s="657"/>
      <c r="G14" s="657"/>
      <c r="H14" s="657"/>
      <c r="I14" s="791"/>
      <c r="J14" s="364" t="s">
        <v>304</v>
      </c>
      <c r="K14" s="365">
        <f>M14/'生產管理報表 7-1 (週)'!$B$21</f>
        <v>0</v>
      </c>
      <c r="L14" s="364" t="s">
        <v>305</v>
      </c>
      <c r="M14" s="339">
        <f>SUM(M9:M13)</f>
        <v>0</v>
      </c>
      <c r="N14" s="758"/>
      <c r="O14" s="759"/>
      <c r="P14" s="760"/>
      <c r="S14" s="358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0"/>
      <c r="BT14" s="240"/>
      <c r="BU14" s="240"/>
      <c r="BV14" s="240"/>
      <c r="BW14" s="240"/>
    </row>
    <row r="15" spans="1:75" ht="15.75" customHeight="1" thickTop="1"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60"/>
      <c r="O15" s="260"/>
      <c r="P15" s="260"/>
      <c r="S15" s="359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0"/>
      <c r="BT15" s="240"/>
      <c r="BU15" s="240"/>
      <c r="BV15" s="240"/>
      <c r="BW15" s="240"/>
    </row>
    <row r="16" spans="1:75" ht="15.75" customHeight="1">
      <c r="A16" s="740" t="s">
        <v>284</v>
      </c>
      <c r="B16" s="741"/>
      <c r="C16" s="261" t="s">
        <v>238</v>
      </c>
      <c r="D16" s="653" t="s">
        <v>239</v>
      </c>
      <c r="E16" s="654"/>
      <c r="F16" s="655"/>
      <c r="G16" s="653" t="s">
        <v>288</v>
      </c>
      <c r="H16" s="654"/>
      <c r="I16" s="655"/>
      <c r="J16" s="263" t="s">
        <v>289</v>
      </c>
      <c r="K16" s="263" t="s">
        <v>23</v>
      </c>
      <c r="L16" s="263" t="s">
        <v>290</v>
      </c>
      <c r="M16" s="263" t="s">
        <v>277</v>
      </c>
      <c r="N16" s="264" t="s">
        <v>253</v>
      </c>
      <c r="O16" s="749" t="s">
        <v>244</v>
      </c>
      <c r="P16" s="750"/>
      <c r="S16" s="358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</row>
    <row r="17" spans="1:36" ht="20.100000000000001" customHeight="1">
      <c r="A17" s="783">
        <v>2</v>
      </c>
      <c r="B17" s="786" t="s">
        <v>306</v>
      </c>
      <c r="C17" s="265">
        <v>1</v>
      </c>
      <c r="D17" s="246"/>
      <c r="E17" s="247"/>
      <c r="F17" s="248"/>
      <c r="G17" s="246"/>
      <c r="H17" s="247"/>
      <c r="I17" s="248"/>
      <c r="J17" s="266"/>
      <c r="K17" s="267"/>
      <c r="L17" s="266"/>
      <c r="M17" s="268">
        <f t="shared" ref="M17:M21" si="1">L17*J17</f>
        <v>0</v>
      </c>
      <c r="N17" s="269"/>
      <c r="O17" s="751"/>
      <c r="P17" s="752"/>
      <c r="S17" s="359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</row>
    <row r="18" spans="1:36" ht="20.100000000000001" customHeight="1">
      <c r="A18" s="784"/>
      <c r="B18" s="787"/>
      <c r="C18" s="265">
        <v>2</v>
      </c>
      <c r="D18" s="246"/>
      <c r="E18" s="247"/>
      <c r="F18" s="248"/>
      <c r="G18" s="246"/>
      <c r="H18" s="247"/>
      <c r="I18" s="248"/>
      <c r="J18" s="266"/>
      <c r="K18" s="267"/>
      <c r="L18" s="266"/>
      <c r="M18" s="268">
        <f t="shared" si="1"/>
        <v>0</v>
      </c>
      <c r="N18" s="269"/>
      <c r="O18" s="751"/>
      <c r="P18" s="752"/>
      <c r="S18" s="358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</row>
    <row r="19" spans="1:36" ht="20.100000000000001" customHeight="1">
      <c r="A19" s="784"/>
      <c r="B19" s="787"/>
      <c r="C19" s="265">
        <v>3</v>
      </c>
      <c r="D19" s="246"/>
      <c r="E19" s="247"/>
      <c r="F19" s="248"/>
      <c r="G19" s="246"/>
      <c r="H19" s="247"/>
      <c r="I19" s="248"/>
      <c r="J19" s="266"/>
      <c r="K19" s="267"/>
      <c r="L19" s="266"/>
      <c r="M19" s="268">
        <f t="shared" si="1"/>
        <v>0</v>
      </c>
      <c r="N19" s="269"/>
      <c r="O19" s="751"/>
      <c r="P19" s="752"/>
      <c r="S19" s="359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</row>
    <row r="20" spans="1:36" ht="20.100000000000001" customHeight="1">
      <c r="A20" s="784"/>
      <c r="B20" s="787"/>
      <c r="C20" s="265">
        <v>4</v>
      </c>
      <c r="D20" s="246"/>
      <c r="E20" s="247"/>
      <c r="F20" s="248"/>
      <c r="G20" s="246"/>
      <c r="H20" s="247"/>
      <c r="I20" s="248"/>
      <c r="J20" s="266"/>
      <c r="K20" s="267"/>
      <c r="L20" s="266"/>
      <c r="M20" s="268">
        <f t="shared" si="1"/>
        <v>0</v>
      </c>
      <c r="N20" s="269"/>
      <c r="O20" s="751"/>
      <c r="P20" s="752"/>
      <c r="S20" s="358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</row>
    <row r="21" spans="1:36" ht="20.100000000000001" customHeight="1" thickBot="1">
      <c r="A21" s="784"/>
      <c r="B21" s="787"/>
      <c r="C21" s="271">
        <v>5</v>
      </c>
      <c r="D21" s="253"/>
      <c r="E21" s="254"/>
      <c r="F21" s="255"/>
      <c r="G21" s="253"/>
      <c r="H21" s="254"/>
      <c r="I21" s="255"/>
      <c r="J21" s="272"/>
      <c r="K21" s="273"/>
      <c r="L21" s="272"/>
      <c r="M21" s="274">
        <f t="shared" si="1"/>
        <v>0</v>
      </c>
      <c r="N21" s="275"/>
      <c r="O21" s="751"/>
      <c r="P21" s="752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</row>
    <row r="22" spans="1:36" ht="15.75" customHeight="1" thickTop="1" thickBot="1">
      <c r="A22" s="785"/>
      <c r="B22" s="788"/>
      <c r="C22" s="656"/>
      <c r="D22" s="657"/>
      <c r="E22" s="657"/>
      <c r="F22" s="657"/>
      <c r="G22" s="657"/>
      <c r="H22" s="657"/>
      <c r="I22" s="791"/>
      <c r="J22" s="364" t="s">
        <v>304</v>
      </c>
      <c r="K22" s="365">
        <f>M22/'生產管理報表 7-1 (週)'!$B$21</f>
        <v>0</v>
      </c>
      <c r="L22" s="364" t="s">
        <v>305</v>
      </c>
      <c r="M22" s="259">
        <f>SUM(M17:M21)</f>
        <v>0</v>
      </c>
      <c r="N22" s="753"/>
      <c r="O22" s="754"/>
      <c r="P22" s="755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</row>
    <row r="23" spans="1:36" ht="15.75" customHeight="1" thickTop="1"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76"/>
      <c r="O23" s="276"/>
      <c r="P23" s="276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</row>
    <row r="24" spans="1:36" ht="15.75" customHeight="1">
      <c r="A24" s="740" t="s">
        <v>284</v>
      </c>
      <c r="B24" s="741"/>
      <c r="C24" s="261" t="s">
        <v>238</v>
      </c>
      <c r="D24" s="653" t="s">
        <v>239</v>
      </c>
      <c r="E24" s="654"/>
      <c r="F24" s="655"/>
      <c r="G24" s="653" t="s">
        <v>288</v>
      </c>
      <c r="H24" s="654"/>
      <c r="I24" s="782"/>
      <c r="J24" s="262" t="s">
        <v>289</v>
      </c>
      <c r="K24" s="263" t="s">
        <v>23</v>
      </c>
      <c r="L24" s="263" t="s">
        <v>290</v>
      </c>
      <c r="M24" s="263" t="s">
        <v>277</v>
      </c>
      <c r="N24" s="264" t="s">
        <v>253</v>
      </c>
      <c r="O24" s="747" t="s">
        <v>244</v>
      </c>
      <c r="P24" s="748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</row>
    <row r="25" spans="1:36" ht="20.100000000000001" customHeight="1">
      <c r="A25" s="783">
        <v>3</v>
      </c>
      <c r="B25" s="786" t="s">
        <v>307</v>
      </c>
      <c r="C25" s="265">
        <v>1</v>
      </c>
      <c r="D25" s="246"/>
      <c r="E25" s="247"/>
      <c r="F25" s="248"/>
      <c r="G25" s="246"/>
      <c r="H25" s="247"/>
      <c r="I25" s="248"/>
      <c r="J25" s="266"/>
      <c r="K25" s="267"/>
      <c r="L25" s="266"/>
      <c r="M25" s="340">
        <f t="shared" ref="M25:M29" si="2">L25*J25</f>
        <v>0</v>
      </c>
      <c r="N25" s="279"/>
      <c r="O25" s="742"/>
      <c r="P25" s="743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</row>
    <row r="26" spans="1:36" ht="20.100000000000001" customHeight="1">
      <c r="A26" s="784"/>
      <c r="B26" s="787"/>
      <c r="C26" s="265">
        <v>2</v>
      </c>
      <c r="D26" s="246"/>
      <c r="E26" s="247"/>
      <c r="F26" s="248"/>
      <c r="G26" s="246"/>
      <c r="H26" s="247"/>
      <c r="I26" s="248"/>
      <c r="J26" s="266"/>
      <c r="K26" s="267"/>
      <c r="L26" s="266"/>
      <c r="M26" s="340">
        <f t="shared" si="2"/>
        <v>0</v>
      </c>
      <c r="N26" s="279"/>
      <c r="O26" s="742"/>
      <c r="P26" s="743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</row>
    <row r="27" spans="1:36" ht="20.100000000000001" customHeight="1">
      <c r="A27" s="784"/>
      <c r="B27" s="787"/>
      <c r="C27" s="265">
        <v>3</v>
      </c>
      <c r="D27" s="246"/>
      <c r="E27" s="247"/>
      <c r="F27" s="248"/>
      <c r="G27" s="246"/>
      <c r="H27" s="247"/>
      <c r="I27" s="248"/>
      <c r="J27" s="266"/>
      <c r="K27" s="267"/>
      <c r="L27" s="266"/>
      <c r="M27" s="340">
        <f t="shared" si="2"/>
        <v>0</v>
      </c>
      <c r="N27" s="279"/>
      <c r="O27" s="742"/>
      <c r="P27" s="743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</row>
    <row r="28" spans="1:36" ht="20.100000000000001" customHeight="1">
      <c r="A28" s="784"/>
      <c r="B28" s="787"/>
      <c r="C28" s="265">
        <v>4</v>
      </c>
      <c r="D28" s="246"/>
      <c r="E28" s="247"/>
      <c r="F28" s="248"/>
      <c r="G28" s="246"/>
      <c r="H28" s="247"/>
      <c r="I28" s="277"/>
      <c r="J28" s="278"/>
      <c r="K28" s="267"/>
      <c r="L28" s="266"/>
      <c r="M28" s="340">
        <f t="shared" si="2"/>
        <v>0</v>
      </c>
      <c r="N28" s="279"/>
      <c r="O28" s="742"/>
      <c r="P28" s="743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</row>
    <row r="29" spans="1:36" ht="20.100000000000001" customHeight="1" thickBot="1">
      <c r="A29" s="784"/>
      <c r="B29" s="787"/>
      <c r="C29" s="271">
        <v>5</v>
      </c>
      <c r="D29" s="253"/>
      <c r="E29" s="254"/>
      <c r="F29" s="255"/>
      <c r="G29" s="253"/>
      <c r="H29" s="254"/>
      <c r="I29" s="280"/>
      <c r="J29" s="281"/>
      <c r="K29" s="273"/>
      <c r="L29" s="282"/>
      <c r="M29" s="340">
        <f t="shared" si="2"/>
        <v>0</v>
      </c>
      <c r="N29" s="279"/>
      <c r="O29" s="742"/>
      <c r="P29" s="743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</row>
    <row r="30" spans="1:36" ht="15.75" customHeight="1" thickTop="1" thickBot="1">
      <c r="A30" s="785"/>
      <c r="B30" s="788"/>
      <c r="C30" s="656"/>
      <c r="D30" s="657"/>
      <c r="E30" s="657"/>
      <c r="F30" s="657"/>
      <c r="G30" s="657"/>
      <c r="H30" s="657"/>
      <c r="I30" s="791"/>
      <c r="J30" s="366" t="s">
        <v>304</v>
      </c>
      <c r="K30" s="365">
        <f>M30/'生產管理報表 7-1 (週)'!$B$21</f>
        <v>0</v>
      </c>
      <c r="L30" s="366" t="s">
        <v>305</v>
      </c>
      <c r="M30" s="341">
        <f>SUM(M25:M29)</f>
        <v>0</v>
      </c>
      <c r="N30" s="744"/>
      <c r="O30" s="745"/>
      <c r="P30" s="746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  <outlinePr summaryBelow="0" summaryRight="0"/>
  </sheetPr>
  <dimension ref="A1:T255"/>
  <sheetViews>
    <sheetView view="pageBreakPreview" topLeftCell="A172" zoomScale="91" zoomScaleNormal="60" zoomScaleSheetLayoutView="91" workbookViewId="0">
      <selection activeCell="R235" sqref="R235:S235"/>
    </sheetView>
  </sheetViews>
  <sheetFormatPr defaultColWidth="12.5703125" defaultRowHeight="15.75" customHeight="1"/>
  <cols>
    <col min="1" max="1" width="5.42578125" style="298" customWidth="1"/>
    <col min="2" max="2" width="11.42578125" style="307" customWidth="1"/>
    <col min="3" max="3" width="4" style="308" customWidth="1"/>
    <col min="4" max="4" width="9.5703125" style="298" customWidth="1"/>
    <col min="5" max="5" width="10.28515625" style="298" customWidth="1"/>
    <col min="6" max="15" width="9.5703125" style="298" customWidth="1"/>
    <col min="16" max="16" width="35.42578125" style="298" customWidth="1"/>
    <col min="17" max="16384" width="12.5703125" style="298"/>
  </cols>
  <sheetData>
    <row r="1" spans="1:20" s="136" customFormat="1" ht="15.75" customHeight="1">
      <c r="A1" s="638" t="s">
        <v>269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20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20" s="136" customFormat="1" ht="15.75" customHeight="1">
      <c r="A3" s="639" t="s">
        <v>400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20" s="137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</row>
    <row r="5" spans="1:20" s="136" customFormat="1" ht="15.75" customHeight="1">
      <c r="A5" s="738" t="s">
        <v>284</v>
      </c>
      <c r="B5" s="740">
        <v>1</v>
      </c>
      <c r="C5" s="741"/>
      <c r="D5" s="740">
        <v>2</v>
      </c>
      <c r="E5" s="741"/>
      <c r="F5" s="740">
        <v>3</v>
      </c>
      <c r="G5" s="741"/>
      <c r="H5" s="731">
        <v>4</v>
      </c>
      <c r="I5" s="732"/>
      <c r="J5" s="731">
        <v>5</v>
      </c>
      <c r="K5" s="732"/>
      <c r="L5" s="731">
        <v>6</v>
      </c>
      <c r="M5" s="732"/>
      <c r="N5" s="731">
        <v>7</v>
      </c>
      <c r="O5" s="732"/>
      <c r="P5" s="342">
        <v>8</v>
      </c>
    </row>
    <row r="6" spans="1:20" s="136" customFormat="1" ht="15.75" customHeight="1">
      <c r="A6" s="739"/>
      <c r="B6" s="735" t="s">
        <v>273</v>
      </c>
      <c r="C6" s="736"/>
      <c r="D6" s="735" t="s">
        <v>285</v>
      </c>
      <c r="E6" s="736"/>
      <c r="F6" s="735" t="s">
        <v>275</v>
      </c>
      <c r="G6" s="736"/>
      <c r="H6" s="733" t="s">
        <v>286</v>
      </c>
      <c r="I6" s="734"/>
      <c r="J6" s="733" t="s">
        <v>280</v>
      </c>
      <c r="K6" s="734"/>
      <c r="L6" s="733" t="s">
        <v>281</v>
      </c>
      <c r="M6" s="734"/>
      <c r="N6" s="733" t="s">
        <v>282</v>
      </c>
      <c r="O6" s="734"/>
      <c r="P6" s="343" t="s">
        <v>287</v>
      </c>
    </row>
    <row r="7" spans="1:20" s="136" customFormat="1" ht="15.75" customHeight="1">
      <c r="B7" s="241"/>
      <c r="C7" s="242"/>
    </row>
    <row r="8" spans="1:20" s="287" customFormat="1" ht="15.75" customHeight="1">
      <c r="A8" s="675" t="s">
        <v>284</v>
      </c>
      <c r="B8" s="676"/>
      <c r="C8" s="284" t="s">
        <v>238</v>
      </c>
      <c r="D8" s="703" t="s">
        <v>239</v>
      </c>
      <c r="E8" s="704"/>
      <c r="F8" s="705"/>
      <c r="G8" s="706" t="s">
        <v>288</v>
      </c>
      <c r="H8" s="707"/>
      <c r="I8" s="708"/>
      <c r="J8" s="285" t="s">
        <v>289</v>
      </c>
      <c r="K8" s="285" t="s">
        <v>23</v>
      </c>
      <c r="L8" s="285" t="s">
        <v>290</v>
      </c>
      <c r="M8" s="286" t="s">
        <v>277</v>
      </c>
      <c r="N8" s="286" t="s">
        <v>253</v>
      </c>
      <c r="O8" s="683" t="s">
        <v>244</v>
      </c>
      <c r="P8" s="684"/>
      <c r="R8" s="358"/>
      <c r="S8" s="359"/>
    </row>
    <row r="9" spans="1:20" s="308" customFormat="1" ht="51.75" customHeight="1">
      <c r="A9" s="685">
        <v>4</v>
      </c>
      <c r="B9" s="719" t="s">
        <v>286</v>
      </c>
      <c r="C9" s="288">
        <v>1</v>
      </c>
      <c r="D9" s="246" t="s">
        <v>204</v>
      </c>
      <c r="E9" s="247"/>
      <c r="F9" s="248"/>
      <c r="G9" s="316" t="s">
        <v>344</v>
      </c>
      <c r="H9" s="315"/>
      <c r="I9" s="316"/>
      <c r="J9" s="326">
        <v>327.16000000000003</v>
      </c>
      <c r="K9" s="327">
        <v>4.0592403070261758E-4</v>
      </c>
      <c r="L9" s="328">
        <v>21.819999999999865</v>
      </c>
      <c r="M9" s="337">
        <f t="shared" ref="M9:M13" si="0">L9*J9</f>
        <v>7138.6311999999562</v>
      </c>
      <c r="N9" s="328"/>
      <c r="O9" s="715" t="s">
        <v>401</v>
      </c>
      <c r="P9" s="716"/>
      <c r="R9" s="360"/>
      <c r="S9" s="359"/>
    </row>
    <row r="10" spans="1:20" s="308" customFormat="1" ht="55.5" customHeight="1">
      <c r="A10" s="686"/>
      <c r="B10" s="720"/>
      <c r="C10" s="288">
        <v>2</v>
      </c>
      <c r="D10" s="246" t="s">
        <v>311</v>
      </c>
      <c r="E10" s="247"/>
      <c r="F10" s="248"/>
      <c r="G10" s="316" t="s">
        <v>326</v>
      </c>
      <c r="H10" s="315"/>
      <c r="I10" s="316"/>
      <c r="J10" s="326">
        <v>127.84000000000002</v>
      </c>
      <c r="K10" s="327">
        <v>1.1355774769783718E-3</v>
      </c>
      <c r="L10" s="328">
        <v>46.220000000000148</v>
      </c>
      <c r="M10" s="337">
        <f t="shared" si="0"/>
        <v>5908.7648000000199</v>
      </c>
      <c r="N10" s="328"/>
      <c r="O10" s="724" t="s">
        <v>402</v>
      </c>
      <c r="P10" s="725"/>
      <c r="R10" s="360"/>
      <c r="S10" s="358"/>
      <c r="T10" s="354"/>
    </row>
    <row r="11" spans="1:20" s="308" customFormat="1" ht="51" customHeight="1">
      <c r="A11" s="686"/>
      <c r="B11" s="720"/>
      <c r="C11" s="288">
        <v>3</v>
      </c>
      <c r="D11" s="246" t="s">
        <v>168</v>
      </c>
      <c r="E11" s="247"/>
      <c r="F11" s="248"/>
      <c r="G11" s="316" t="s">
        <v>403</v>
      </c>
      <c r="H11" s="315"/>
      <c r="I11" s="316"/>
      <c r="J11" s="326">
        <v>421.40999999999997</v>
      </c>
      <c r="K11" s="327">
        <v>1.0775862068965517E-3</v>
      </c>
      <c r="L11" s="328">
        <v>12.519999999999966</v>
      </c>
      <c r="M11" s="337">
        <f t="shared" si="0"/>
        <v>5276.0531999999848</v>
      </c>
      <c r="N11" s="328"/>
      <c r="O11" s="724" t="s">
        <v>401</v>
      </c>
      <c r="P11" s="725"/>
      <c r="R11" s="360"/>
      <c r="S11" s="359"/>
    </row>
    <row r="12" spans="1:20" s="308" customFormat="1" ht="60" customHeight="1">
      <c r="A12" s="686"/>
      <c r="B12" s="720"/>
      <c r="C12" s="288">
        <v>4</v>
      </c>
      <c r="D12" s="246" t="s">
        <v>298</v>
      </c>
      <c r="E12" s="247"/>
      <c r="F12" s="248"/>
      <c r="G12" s="316" t="s">
        <v>334</v>
      </c>
      <c r="H12" s="315"/>
      <c r="I12" s="316"/>
      <c r="J12" s="326">
        <v>426.69</v>
      </c>
      <c r="K12" s="327">
        <v>1.5006385696040864E-3</v>
      </c>
      <c r="L12" s="328">
        <v>10.529999999999914</v>
      </c>
      <c r="M12" s="337">
        <f t="shared" si="0"/>
        <v>4493.0456999999633</v>
      </c>
      <c r="N12" s="328"/>
      <c r="O12" s="715" t="s">
        <v>404</v>
      </c>
      <c r="P12" s="716"/>
      <c r="R12" s="360"/>
      <c r="S12" s="358"/>
      <c r="T12" s="354"/>
    </row>
    <row r="13" spans="1:20" s="308" customFormat="1" ht="60" customHeight="1" thickBot="1">
      <c r="A13" s="686"/>
      <c r="B13" s="720"/>
      <c r="C13" s="288">
        <v>5</v>
      </c>
      <c r="D13" s="246" t="s">
        <v>199</v>
      </c>
      <c r="E13" s="254"/>
      <c r="F13" s="255"/>
      <c r="G13" s="316" t="s">
        <v>405</v>
      </c>
      <c r="H13" s="315"/>
      <c r="I13" s="316"/>
      <c r="J13" s="330">
        <v>66.13</v>
      </c>
      <c r="K13" s="257">
        <v>2.3988821703700954E-3</v>
      </c>
      <c r="L13" s="332">
        <v>65.669999999999732</v>
      </c>
      <c r="M13" s="337">
        <f t="shared" si="0"/>
        <v>4342.7570999999816</v>
      </c>
      <c r="N13" s="328"/>
      <c r="O13" s="724" t="s">
        <v>406</v>
      </c>
      <c r="P13" s="725"/>
      <c r="R13" s="361"/>
      <c r="S13" s="359"/>
      <c r="T13" s="298"/>
    </row>
    <row r="14" spans="1:20" ht="15.75" customHeight="1" thickTop="1" thickBot="1">
      <c r="A14" s="687"/>
      <c r="B14" s="721"/>
      <c r="C14" s="728"/>
      <c r="D14" s="729"/>
      <c r="E14" s="729"/>
      <c r="F14" s="729"/>
      <c r="G14" s="729"/>
      <c r="H14" s="729"/>
      <c r="I14" s="730"/>
      <c r="J14" s="367" t="s">
        <v>304</v>
      </c>
      <c r="K14" s="365">
        <f>M14/'生產管理報表 7-1 (週)'!$B$21</f>
        <v>0.15864943182852168</v>
      </c>
      <c r="L14" s="368" t="s">
        <v>305</v>
      </c>
      <c r="M14" s="369">
        <f>SUM(M9:M13)</f>
        <v>27159.251999999902</v>
      </c>
      <c r="N14" s="672"/>
      <c r="O14" s="673"/>
      <c r="P14" s="674"/>
      <c r="R14" s="358"/>
      <c r="S14" s="358"/>
    </row>
    <row r="15" spans="1:20" ht="15.75" customHeight="1" thickTop="1">
      <c r="M15" s="344"/>
      <c r="S15" s="359"/>
    </row>
    <row r="16" spans="1:20" ht="15.75" customHeight="1">
      <c r="A16" s="675" t="s">
        <v>284</v>
      </c>
      <c r="B16" s="676"/>
      <c r="C16" s="284" t="s">
        <v>238</v>
      </c>
      <c r="D16" s="703" t="s">
        <v>239</v>
      </c>
      <c r="E16" s="704"/>
      <c r="F16" s="705"/>
      <c r="G16" s="706" t="s">
        <v>288</v>
      </c>
      <c r="H16" s="707"/>
      <c r="I16" s="708"/>
      <c r="J16" s="424" t="s">
        <v>289</v>
      </c>
      <c r="K16" s="285" t="s">
        <v>23</v>
      </c>
      <c r="L16" s="285" t="s">
        <v>290</v>
      </c>
      <c r="M16" s="345" t="s">
        <v>277</v>
      </c>
      <c r="N16" s="286" t="s">
        <v>253</v>
      </c>
      <c r="O16" s="683" t="s">
        <v>244</v>
      </c>
      <c r="P16" s="684"/>
      <c r="S16" s="358"/>
      <c r="T16" s="354"/>
    </row>
    <row r="17" spans="1:20" s="308" customFormat="1" ht="35.25" customHeight="1">
      <c r="A17" s="685">
        <v>5</v>
      </c>
      <c r="B17" s="698" t="s">
        <v>318</v>
      </c>
      <c r="C17" s="288">
        <v>1</v>
      </c>
      <c r="D17" s="246" t="s">
        <v>311</v>
      </c>
      <c r="E17" s="247"/>
      <c r="F17" s="248"/>
      <c r="G17" s="316" t="s">
        <v>336</v>
      </c>
      <c r="H17" s="315"/>
      <c r="I17" s="316"/>
      <c r="J17" s="326">
        <v>147.43000000000004</v>
      </c>
      <c r="K17" s="327">
        <v>1.6076872836695462E-3</v>
      </c>
      <c r="L17" s="328">
        <v>64.610000000000056</v>
      </c>
      <c r="M17" s="337">
        <f>L17*J17</f>
        <v>9525.4523000000099</v>
      </c>
      <c r="N17" s="328"/>
      <c r="O17" s="805" t="s">
        <v>407</v>
      </c>
      <c r="P17" s="806"/>
      <c r="S17" s="359"/>
    </row>
    <row r="18" spans="1:20" s="308" customFormat="1" ht="24.95" customHeight="1">
      <c r="A18" s="686"/>
      <c r="B18" s="699"/>
      <c r="C18" s="288">
        <v>2</v>
      </c>
      <c r="D18" s="246"/>
      <c r="E18" s="247"/>
      <c r="F18" s="248"/>
      <c r="G18" s="375"/>
      <c r="H18" s="315"/>
      <c r="I18" s="316"/>
      <c r="J18" s="326"/>
      <c r="K18" s="327"/>
      <c r="L18" s="328"/>
      <c r="M18" s="337">
        <f t="shared" ref="M18:M21" si="1">L18*J18</f>
        <v>0</v>
      </c>
      <c r="N18" s="328"/>
      <c r="O18" s="711"/>
      <c r="P18" s="712"/>
      <c r="S18" s="358"/>
      <c r="T18" s="355"/>
    </row>
    <row r="19" spans="1:20" ht="24.95" customHeight="1">
      <c r="A19" s="686"/>
      <c r="B19" s="699"/>
      <c r="C19" s="288">
        <v>3</v>
      </c>
      <c r="D19" s="246"/>
      <c r="E19" s="247"/>
      <c r="F19" s="248"/>
      <c r="G19" s="375"/>
      <c r="H19" s="315"/>
      <c r="I19" s="316"/>
      <c r="J19" s="326"/>
      <c r="K19" s="327"/>
      <c r="L19" s="328"/>
      <c r="M19" s="337">
        <f t="shared" si="1"/>
        <v>0</v>
      </c>
      <c r="N19" s="297"/>
      <c r="O19" s="693"/>
      <c r="P19" s="694"/>
    </row>
    <row r="20" spans="1:20" ht="24.95" customHeight="1">
      <c r="A20" s="686"/>
      <c r="B20" s="699"/>
      <c r="C20" s="288">
        <v>4</v>
      </c>
      <c r="D20" s="289"/>
      <c r="E20" s="290"/>
      <c r="F20" s="291"/>
      <c r="G20" s="375"/>
      <c r="H20" s="315"/>
      <c r="I20" s="316"/>
      <c r="J20" s="295"/>
      <c r="K20" s="296"/>
      <c r="L20" s="297"/>
      <c r="M20" s="337">
        <f t="shared" si="1"/>
        <v>0</v>
      </c>
      <c r="N20" s="297"/>
      <c r="O20" s="309"/>
      <c r="P20" s="310"/>
    </row>
    <row r="21" spans="1:20" ht="24.95" customHeight="1" thickBot="1">
      <c r="A21" s="686"/>
      <c r="B21" s="699"/>
      <c r="C21" s="288">
        <v>5</v>
      </c>
      <c r="D21" s="299"/>
      <c r="E21" s="300"/>
      <c r="F21" s="301"/>
      <c r="G21" s="375"/>
      <c r="H21" s="315"/>
      <c r="I21" s="316"/>
      <c r="J21" s="302"/>
      <c r="K21" s="257"/>
      <c r="L21" s="304"/>
      <c r="M21" s="337">
        <f t="shared" si="1"/>
        <v>0</v>
      </c>
      <c r="N21" s="297"/>
      <c r="O21" s="311"/>
      <c r="P21" s="312"/>
      <c r="R21" s="362"/>
    </row>
    <row r="22" spans="1:20" ht="15.75" customHeight="1" thickTop="1" thickBot="1">
      <c r="A22" s="687"/>
      <c r="B22" s="700"/>
      <c r="C22" s="695"/>
      <c r="D22" s="696"/>
      <c r="E22" s="696"/>
      <c r="F22" s="696"/>
      <c r="G22" s="696"/>
      <c r="H22" s="696"/>
      <c r="I22" s="697"/>
      <c r="J22" s="367" t="s">
        <v>304</v>
      </c>
      <c r="K22" s="365">
        <f>M22/'生產管理報表 7-1 (週)'!$B$21</f>
        <v>5.5642460083388599E-2</v>
      </c>
      <c r="L22" s="368" t="s">
        <v>305</v>
      </c>
      <c r="M22" s="369">
        <f>SUM(M17:M21)</f>
        <v>9525.4523000000099</v>
      </c>
      <c r="N22" s="672"/>
      <c r="O22" s="673"/>
      <c r="P22" s="674"/>
      <c r="R22" s="358"/>
    </row>
    <row r="23" spans="1:20" ht="24.95" customHeight="1" thickTop="1">
      <c r="K23" s="298" t="s">
        <v>408</v>
      </c>
      <c r="M23" s="344"/>
      <c r="R23" s="358"/>
    </row>
    <row r="24" spans="1:20" ht="24.95" customHeight="1">
      <c r="A24" s="675" t="s">
        <v>284</v>
      </c>
      <c r="B24" s="676"/>
      <c r="C24" s="313" t="s">
        <v>238</v>
      </c>
      <c r="D24" s="677" t="s">
        <v>239</v>
      </c>
      <c r="E24" s="678"/>
      <c r="F24" s="679"/>
      <c r="G24" s="680" t="s">
        <v>288</v>
      </c>
      <c r="H24" s="681"/>
      <c r="I24" s="682"/>
      <c r="J24" s="314" t="s">
        <v>289</v>
      </c>
      <c r="K24" s="285" t="s">
        <v>23</v>
      </c>
      <c r="L24" s="285" t="s">
        <v>290</v>
      </c>
      <c r="M24" s="345" t="s">
        <v>277</v>
      </c>
      <c r="N24" s="286" t="s">
        <v>253</v>
      </c>
      <c r="O24" s="683" t="s">
        <v>244</v>
      </c>
      <c r="P24" s="684"/>
      <c r="R24" s="358"/>
    </row>
    <row r="25" spans="1:20" ht="50.1" customHeight="1">
      <c r="A25" s="685">
        <v>6</v>
      </c>
      <c r="B25" s="698" t="s">
        <v>321</v>
      </c>
      <c r="C25" s="288">
        <v>1</v>
      </c>
      <c r="D25" s="363" t="s">
        <v>221</v>
      </c>
      <c r="E25" s="290"/>
      <c r="F25" s="291"/>
      <c r="G25" s="438" t="s">
        <v>340</v>
      </c>
      <c r="H25" s="250"/>
      <c r="I25" s="249"/>
      <c r="J25" s="326">
        <v>68.42</v>
      </c>
      <c r="K25" s="327">
        <v>7.4703420497813037E-3</v>
      </c>
      <c r="L25" s="328">
        <v>64.240000000000123</v>
      </c>
      <c r="M25" s="337">
        <f t="shared" ref="M25:M29" si="2">L25*J25</f>
        <v>4395.3008000000082</v>
      </c>
      <c r="N25" s="297"/>
      <c r="O25" s="726" t="s">
        <v>406</v>
      </c>
      <c r="P25" s="727"/>
    </row>
    <row r="26" spans="1:20" ht="50.1" customHeight="1">
      <c r="A26" s="686"/>
      <c r="B26" s="699"/>
      <c r="C26" s="288">
        <v>2</v>
      </c>
      <c r="D26" s="246" t="s">
        <v>409</v>
      </c>
      <c r="E26" s="290"/>
      <c r="F26" s="291"/>
      <c r="G26" s="438" t="s">
        <v>410</v>
      </c>
      <c r="H26" s="250"/>
      <c r="I26" s="249"/>
      <c r="J26" s="326">
        <v>108.26</v>
      </c>
      <c r="K26" s="327">
        <v>0</v>
      </c>
      <c r="L26" s="328">
        <v>38.220000000000141</v>
      </c>
      <c r="M26" s="337">
        <f t="shared" si="2"/>
        <v>4137.6972000000151</v>
      </c>
      <c r="N26" s="297"/>
      <c r="O26" s="726" t="s">
        <v>406</v>
      </c>
      <c r="P26" s="727"/>
    </row>
    <row r="27" spans="1:20" ht="50.1" customHeight="1">
      <c r="A27" s="686"/>
      <c r="B27" s="699"/>
      <c r="C27" s="288">
        <v>3</v>
      </c>
      <c r="D27" s="246" t="s">
        <v>222</v>
      </c>
      <c r="E27" s="290"/>
      <c r="F27" s="291"/>
      <c r="G27" s="438" t="s">
        <v>411</v>
      </c>
      <c r="H27" s="250"/>
      <c r="I27" s="249"/>
      <c r="J27" s="326">
        <v>71.69</v>
      </c>
      <c r="K27" s="327">
        <v>6.3997495349822292E-3</v>
      </c>
      <c r="L27" s="328">
        <v>36.990000000000052</v>
      </c>
      <c r="M27" s="337">
        <f t="shared" si="2"/>
        <v>2651.8131000000035</v>
      </c>
      <c r="N27" s="297"/>
      <c r="O27" s="726" t="s">
        <v>406</v>
      </c>
      <c r="P27" s="727"/>
    </row>
    <row r="28" spans="1:20" ht="66" customHeight="1">
      <c r="A28" s="686"/>
      <c r="B28" s="699"/>
      <c r="C28" s="288">
        <v>4</v>
      </c>
      <c r="D28" s="246" t="s">
        <v>198</v>
      </c>
      <c r="E28" s="290"/>
      <c r="F28" s="291"/>
      <c r="G28" s="438" t="s">
        <v>341</v>
      </c>
      <c r="H28" s="250"/>
      <c r="I28" s="249"/>
      <c r="J28" s="326">
        <v>605.77999999999986</v>
      </c>
      <c r="K28" s="327">
        <v>8.4403503199165046E-4</v>
      </c>
      <c r="L28" s="328">
        <v>4.3000000000000185</v>
      </c>
      <c r="M28" s="337">
        <f t="shared" si="2"/>
        <v>2604.8540000000107</v>
      </c>
      <c r="N28" s="297"/>
      <c r="O28" s="726" t="s">
        <v>412</v>
      </c>
      <c r="P28" s="727"/>
    </row>
    <row r="29" spans="1:20" ht="50.1" customHeight="1" thickBot="1">
      <c r="A29" s="686"/>
      <c r="B29" s="699"/>
      <c r="C29" s="288">
        <v>5</v>
      </c>
      <c r="D29" s="253"/>
      <c r="E29" s="300"/>
      <c r="F29" s="301"/>
      <c r="G29" s="375"/>
      <c r="H29" s="315"/>
      <c r="I29" s="316"/>
      <c r="J29" s="330"/>
      <c r="K29" s="257"/>
      <c r="L29" s="332"/>
      <c r="M29" s="337">
        <f t="shared" si="2"/>
        <v>0</v>
      </c>
      <c r="N29" s="297"/>
      <c r="O29" s="726"/>
      <c r="P29" s="727"/>
    </row>
    <row r="30" spans="1:20" ht="15.75" customHeight="1" thickTop="1" thickBot="1">
      <c r="A30" s="687"/>
      <c r="B30" s="700"/>
      <c r="C30" s="695"/>
      <c r="D30" s="696"/>
      <c r="E30" s="696"/>
      <c r="F30" s="696"/>
      <c r="G30" s="696"/>
      <c r="H30" s="696"/>
      <c r="I30" s="697"/>
      <c r="J30" s="367" t="s">
        <v>304</v>
      </c>
      <c r="K30" s="365">
        <f>M30/'生產管理報表 7-1 (週)'!$B$21</f>
        <v>8.0551648963697833E-2</v>
      </c>
      <c r="L30" s="368" t="s">
        <v>305</v>
      </c>
      <c r="M30" s="369">
        <f>SUM(M25:M29)</f>
        <v>13789.665100000037</v>
      </c>
      <c r="N30" s="672"/>
      <c r="O30" s="673"/>
      <c r="P30" s="674"/>
    </row>
    <row r="31" spans="1:20" s="136" customFormat="1" ht="15.75" customHeight="1" thickTop="1">
      <c r="A31" s="639" t="s">
        <v>413</v>
      </c>
      <c r="B31" s="639"/>
      <c r="C31" s="639"/>
      <c r="D31" s="639"/>
      <c r="E31" s="639"/>
      <c r="F31" s="639"/>
      <c r="G31" s="639"/>
      <c r="H31" s="639"/>
      <c r="I31" s="639"/>
      <c r="J31" s="639"/>
      <c r="K31" s="639"/>
      <c r="L31" s="639"/>
      <c r="M31" s="639"/>
    </row>
    <row r="32" spans="1:20" s="137" customFormat="1" ht="15.75" customHeight="1">
      <c r="A32" s="737"/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</row>
    <row r="33" spans="1:20" s="136" customFormat="1" ht="15.75" customHeight="1">
      <c r="A33" s="738" t="s">
        <v>284</v>
      </c>
      <c r="B33" s="740">
        <v>1</v>
      </c>
      <c r="C33" s="741"/>
      <c r="D33" s="740">
        <v>2</v>
      </c>
      <c r="E33" s="741"/>
      <c r="F33" s="740">
        <v>3</v>
      </c>
      <c r="G33" s="741"/>
      <c r="H33" s="731">
        <v>4</v>
      </c>
      <c r="I33" s="732"/>
      <c r="J33" s="731">
        <v>5</v>
      </c>
      <c r="K33" s="732"/>
      <c r="L33" s="731">
        <v>6</v>
      </c>
      <c r="M33" s="732"/>
      <c r="N33" s="731">
        <v>7</v>
      </c>
      <c r="O33" s="732"/>
      <c r="P33" s="342">
        <v>8</v>
      </c>
    </row>
    <row r="34" spans="1:20" s="136" customFormat="1" ht="15.75" customHeight="1">
      <c r="A34" s="739"/>
      <c r="B34" s="735" t="s">
        <v>273</v>
      </c>
      <c r="C34" s="736"/>
      <c r="D34" s="735" t="s">
        <v>285</v>
      </c>
      <c r="E34" s="736"/>
      <c r="F34" s="735" t="s">
        <v>275</v>
      </c>
      <c r="G34" s="736"/>
      <c r="H34" s="733" t="s">
        <v>286</v>
      </c>
      <c r="I34" s="734"/>
      <c r="J34" s="733" t="s">
        <v>280</v>
      </c>
      <c r="K34" s="734"/>
      <c r="L34" s="733" t="s">
        <v>281</v>
      </c>
      <c r="M34" s="734"/>
      <c r="N34" s="733" t="s">
        <v>282</v>
      </c>
      <c r="O34" s="734"/>
      <c r="P34" s="343" t="s">
        <v>287</v>
      </c>
    </row>
    <row r="35" spans="1:20" s="136" customFormat="1" ht="15.75" customHeight="1">
      <c r="B35" s="241"/>
      <c r="C35" s="242"/>
    </row>
    <row r="36" spans="1:20" s="287" customFormat="1" ht="15.75" customHeight="1">
      <c r="A36" s="675" t="s">
        <v>284</v>
      </c>
      <c r="B36" s="676"/>
      <c r="C36" s="284" t="s">
        <v>238</v>
      </c>
      <c r="D36" s="703" t="s">
        <v>239</v>
      </c>
      <c r="E36" s="704"/>
      <c r="F36" s="705"/>
      <c r="G36" s="706" t="s">
        <v>288</v>
      </c>
      <c r="H36" s="707"/>
      <c r="I36" s="708"/>
      <c r="J36" s="285" t="s">
        <v>289</v>
      </c>
      <c r="K36" s="285" t="s">
        <v>23</v>
      </c>
      <c r="L36" s="285" t="s">
        <v>290</v>
      </c>
      <c r="M36" s="286" t="s">
        <v>277</v>
      </c>
      <c r="N36" s="286" t="s">
        <v>253</v>
      </c>
      <c r="O36" s="683" t="s">
        <v>244</v>
      </c>
      <c r="P36" s="684"/>
      <c r="R36" s="358"/>
      <c r="S36" s="359"/>
    </row>
    <row r="37" spans="1:20" s="308" customFormat="1" ht="51.75" customHeight="1">
      <c r="A37" s="685">
        <v>4</v>
      </c>
      <c r="B37" s="719" t="s">
        <v>286</v>
      </c>
      <c r="C37" s="288">
        <v>1</v>
      </c>
      <c r="D37" s="246" t="s">
        <v>204</v>
      </c>
      <c r="E37" s="247"/>
      <c r="F37" s="248"/>
      <c r="G37" s="316" t="s">
        <v>344</v>
      </c>
      <c r="H37" s="315"/>
      <c r="I37" s="316"/>
      <c r="J37" s="326">
        <v>327.16000000000003</v>
      </c>
      <c r="K37" s="327">
        <v>0</v>
      </c>
      <c r="L37" s="328">
        <v>20.299999999999955</v>
      </c>
      <c r="M37" s="337">
        <f t="shared" ref="M37:M41" si="3">L37*J37</f>
        <v>6641.3479999999854</v>
      </c>
      <c r="N37" s="328"/>
      <c r="O37" s="715" t="s">
        <v>401</v>
      </c>
      <c r="P37" s="716"/>
      <c r="R37" s="360"/>
      <c r="S37" s="359"/>
    </row>
    <row r="38" spans="1:20" s="308" customFormat="1" ht="55.5" customHeight="1">
      <c r="A38" s="686"/>
      <c r="B38" s="720"/>
      <c r="C38" s="288">
        <v>2</v>
      </c>
      <c r="D38" s="246" t="s">
        <v>311</v>
      </c>
      <c r="E38" s="247"/>
      <c r="F38" s="248"/>
      <c r="G38" s="316" t="s">
        <v>326</v>
      </c>
      <c r="H38" s="315"/>
      <c r="I38" s="316"/>
      <c r="J38" s="326">
        <v>127.84000000000002</v>
      </c>
      <c r="K38" s="327">
        <v>5.0526566075869111E-4</v>
      </c>
      <c r="L38" s="328">
        <v>48.940000000000019</v>
      </c>
      <c r="M38" s="337">
        <f t="shared" si="3"/>
        <v>6256.4896000000035</v>
      </c>
      <c r="N38" s="328"/>
      <c r="O38" s="724" t="s">
        <v>402</v>
      </c>
      <c r="P38" s="725"/>
      <c r="R38" s="360"/>
      <c r="S38" s="358"/>
      <c r="T38" s="354"/>
    </row>
    <row r="39" spans="1:20" s="308" customFormat="1" ht="51" customHeight="1">
      <c r="A39" s="686"/>
      <c r="B39" s="720"/>
      <c r="C39" s="288">
        <v>3</v>
      </c>
      <c r="D39" s="246" t="s">
        <v>298</v>
      </c>
      <c r="E39" s="247"/>
      <c r="F39" s="248"/>
      <c r="G39" s="316" t="s">
        <v>334</v>
      </c>
      <c r="H39" s="315"/>
      <c r="I39" s="316"/>
      <c r="J39" s="326">
        <v>426.69</v>
      </c>
      <c r="K39" s="327">
        <v>6.2777594676459978E-4</v>
      </c>
      <c r="L39" s="328">
        <v>11.470000000000004</v>
      </c>
      <c r="M39" s="337">
        <f t="shared" si="3"/>
        <v>4894.1343000000015</v>
      </c>
      <c r="N39" s="328"/>
      <c r="O39" s="724" t="s">
        <v>404</v>
      </c>
      <c r="P39" s="725"/>
      <c r="R39" s="360"/>
      <c r="S39" s="359"/>
    </row>
    <row r="40" spans="1:20" s="308" customFormat="1" ht="60" customHeight="1">
      <c r="A40" s="686"/>
      <c r="B40" s="720"/>
      <c r="C40" s="288">
        <v>4</v>
      </c>
      <c r="D40" s="246" t="s">
        <v>200</v>
      </c>
      <c r="E40" s="247"/>
      <c r="F40" s="248"/>
      <c r="G40" s="375" t="s">
        <v>330</v>
      </c>
      <c r="H40" s="315"/>
      <c r="I40" s="316"/>
      <c r="J40" s="326">
        <v>99.51</v>
      </c>
      <c r="K40" s="327">
        <v>2.6964123524069023E-3</v>
      </c>
      <c r="L40" s="328">
        <v>42.159999999999989</v>
      </c>
      <c r="M40" s="337">
        <f t="shared" si="3"/>
        <v>4195.3415999999988</v>
      </c>
      <c r="N40" s="328"/>
      <c r="O40" s="715" t="s">
        <v>406</v>
      </c>
      <c r="P40" s="716"/>
      <c r="R40" s="360"/>
      <c r="S40" s="358"/>
      <c r="T40" s="354"/>
    </row>
    <row r="41" spans="1:20" s="308" customFormat="1" ht="60" customHeight="1" thickBot="1">
      <c r="A41" s="686"/>
      <c r="B41" s="720"/>
      <c r="C41" s="288">
        <v>5</v>
      </c>
      <c r="D41" s="246" t="s">
        <v>311</v>
      </c>
      <c r="E41" s="254"/>
      <c r="F41" s="255"/>
      <c r="G41" s="316" t="s">
        <v>414</v>
      </c>
      <c r="H41" s="315"/>
      <c r="I41" s="316"/>
      <c r="J41" s="330">
        <v>200</v>
      </c>
      <c r="K41" s="257">
        <v>0</v>
      </c>
      <c r="L41" s="332">
        <v>20.490000000000009</v>
      </c>
      <c r="M41" s="337">
        <f t="shared" si="3"/>
        <v>4098.0000000000018</v>
      </c>
      <c r="N41" s="328"/>
      <c r="O41" s="724" t="s">
        <v>415</v>
      </c>
      <c r="P41" s="725"/>
      <c r="R41" s="361"/>
      <c r="S41" s="359"/>
      <c r="T41" s="298"/>
    </row>
    <row r="42" spans="1:20" ht="15.75" customHeight="1" thickTop="1" thickBot="1">
      <c r="A42" s="687"/>
      <c r="B42" s="721"/>
      <c r="C42" s="728"/>
      <c r="D42" s="729"/>
      <c r="E42" s="729"/>
      <c r="F42" s="729"/>
      <c r="G42" s="729"/>
      <c r="H42" s="729"/>
      <c r="I42" s="730"/>
      <c r="J42" s="367" t="s">
        <v>304</v>
      </c>
      <c r="K42" s="365">
        <f>M42/'生產管理報表 7-1 (週)'!$B$32</f>
        <v>0.19419626833511036</v>
      </c>
      <c r="L42" s="368" t="s">
        <v>305</v>
      </c>
      <c r="M42" s="369">
        <f>SUM(M37:M41)</f>
        <v>26085.313499999989</v>
      </c>
      <c r="N42" s="672"/>
      <c r="O42" s="673"/>
      <c r="P42" s="674"/>
      <c r="R42" s="358"/>
      <c r="S42" s="358"/>
    </row>
    <row r="43" spans="1:20" ht="15.75" customHeight="1" thickTop="1">
      <c r="M43" s="344"/>
      <c r="S43" s="359"/>
    </row>
    <row r="44" spans="1:20" ht="15.75" customHeight="1">
      <c r="A44" s="675" t="s">
        <v>284</v>
      </c>
      <c r="B44" s="676"/>
      <c r="C44" s="284" t="s">
        <v>238</v>
      </c>
      <c r="D44" s="703" t="s">
        <v>239</v>
      </c>
      <c r="E44" s="704"/>
      <c r="F44" s="705"/>
      <c r="G44" s="706" t="s">
        <v>288</v>
      </c>
      <c r="H44" s="707"/>
      <c r="I44" s="708"/>
      <c r="J44" s="424" t="s">
        <v>289</v>
      </c>
      <c r="K44" s="285" t="s">
        <v>23</v>
      </c>
      <c r="L44" s="285" t="s">
        <v>290</v>
      </c>
      <c r="M44" s="345" t="s">
        <v>277</v>
      </c>
      <c r="N44" s="286" t="s">
        <v>253</v>
      </c>
      <c r="O44" s="683" t="s">
        <v>244</v>
      </c>
      <c r="P44" s="684"/>
      <c r="S44" s="358"/>
      <c r="T44" s="354"/>
    </row>
    <row r="45" spans="1:20" s="308" customFormat="1" ht="35.25" customHeight="1">
      <c r="A45" s="685">
        <v>5</v>
      </c>
      <c r="B45" s="698" t="s">
        <v>318</v>
      </c>
      <c r="C45" s="288">
        <v>1</v>
      </c>
      <c r="D45" s="246" t="s">
        <v>311</v>
      </c>
      <c r="E45" s="247"/>
      <c r="F45" s="248"/>
      <c r="G45" s="316" t="s">
        <v>336</v>
      </c>
      <c r="H45" s="315"/>
      <c r="I45" s="316"/>
      <c r="J45" s="326">
        <v>147.43000000000004</v>
      </c>
      <c r="K45" s="327">
        <v>0</v>
      </c>
      <c r="L45" s="328">
        <v>66.320000000000618</v>
      </c>
      <c r="M45" s="337">
        <f>L45*J45</f>
        <v>9777.5576000000929</v>
      </c>
      <c r="N45" s="328"/>
      <c r="O45" s="805" t="s">
        <v>407</v>
      </c>
      <c r="P45" s="806"/>
      <c r="S45" s="359"/>
    </row>
    <row r="46" spans="1:20" s="308" customFormat="1" ht="24.95" customHeight="1">
      <c r="A46" s="686"/>
      <c r="B46" s="699"/>
      <c r="C46" s="288">
        <v>2</v>
      </c>
      <c r="D46" s="246"/>
      <c r="E46" s="247"/>
      <c r="F46" s="248"/>
      <c r="G46" s="375"/>
      <c r="H46" s="315"/>
      <c r="I46" s="316"/>
      <c r="J46" s="326"/>
      <c r="K46" s="327"/>
      <c r="L46" s="328"/>
      <c r="M46" s="337">
        <f t="shared" ref="M46:M49" si="4">L46*J46</f>
        <v>0</v>
      </c>
      <c r="N46" s="328"/>
      <c r="O46" s="711"/>
      <c r="P46" s="712"/>
      <c r="S46" s="358"/>
      <c r="T46" s="355"/>
    </row>
    <row r="47" spans="1:20" ht="24.95" customHeight="1">
      <c r="A47" s="686"/>
      <c r="B47" s="699"/>
      <c r="C47" s="288">
        <v>3</v>
      </c>
      <c r="D47" s="246"/>
      <c r="E47" s="247"/>
      <c r="F47" s="248"/>
      <c r="G47" s="375"/>
      <c r="H47" s="315"/>
      <c r="I47" s="316"/>
      <c r="J47" s="326"/>
      <c r="K47" s="327"/>
      <c r="L47" s="328"/>
      <c r="M47" s="337">
        <f t="shared" si="4"/>
        <v>0</v>
      </c>
      <c r="N47" s="297"/>
      <c r="O47" s="693"/>
      <c r="P47" s="694"/>
    </row>
    <row r="48" spans="1:20" ht="24.95" customHeight="1">
      <c r="A48" s="686"/>
      <c r="B48" s="699"/>
      <c r="C48" s="288">
        <v>4</v>
      </c>
      <c r="D48" s="289"/>
      <c r="E48" s="290"/>
      <c r="F48" s="291"/>
      <c r="G48" s="375"/>
      <c r="H48" s="315"/>
      <c r="I48" s="316"/>
      <c r="J48" s="295"/>
      <c r="K48" s="296"/>
      <c r="L48" s="297"/>
      <c r="M48" s="337">
        <f t="shared" si="4"/>
        <v>0</v>
      </c>
      <c r="N48" s="297"/>
      <c r="O48" s="309"/>
      <c r="P48" s="310"/>
    </row>
    <row r="49" spans="1:19" ht="24.95" customHeight="1" thickBot="1">
      <c r="A49" s="686"/>
      <c r="B49" s="699"/>
      <c r="C49" s="288">
        <v>5</v>
      </c>
      <c r="D49" s="299"/>
      <c r="E49" s="300"/>
      <c r="F49" s="301"/>
      <c r="G49" s="375"/>
      <c r="H49" s="315"/>
      <c r="I49" s="316"/>
      <c r="J49" s="302"/>
      <c r="K49" s="257"/>
      <c r="L49" s="304"/>
      <c r="M49" s="337">
        <f t="shared" si="4"/>
        <v>0</v>
      </c>
      <c r="N49" s="297"/>
      <c r="O49" s="311"/>
      <c r="P49" s="312"/>
      <c r="R49" s="362"/>
    </row>
    <row r="50" spans="1:19" ht="15.75" customHeight="1" thickTop="1" thickBot="1">
      <c r="A50" s="687"/>
      <c r="B50" s="700"/>
      <c r="C50" s="695"/>
      <c r="D50" s="696"/>
      <c r="E50" s="696"/>
      <c r="F50" s="696"/>
      <c r="G50" s="696"/>
      <c r="H50" s="696"/>
      <c r="I50" s="697"/>
      <c r="J50" s="367" t="s">
        <v>304</v>
      </c>
      <c r="K50" s="365">
        <f>M50/'生產管理報表 7-1 (週)'!$B$32</f>
        <v>7.2790583841425421E-2</v>
      </c>
      <c r="L50" s="368" t="s">
        <v>305</v>
      </c>
      <c r="M50" s="369">
        <f>SUM(M45:M49)</f>
        <v>9777.5576000000929</v>
      </c>
      <c r="N50" s="672"/>
      <c r="O50" s="673"/>
      <c r="P50" s="674"/>
      <c r="R50" s="358"/>
    </row>
    <row r="51" spans="1:19" ht="24.95" customHeight="1" thickTop="1">
      <c r="K51" s="298" t="s">
        <v>408</v>
      </c>
      <c r="M51" s="344"/>
      <c r="R51" s="358"/>
    </row>
    <row r="52" spans="1:19" ht="24.95" customHeight="1">
      <c r="A52" s="675" t="s">
        <v>284</v>
      </c>
      <c r="B52" s="676"/>
      <c r="C52" s="313" t="s">
        <v>238</v>
      </c>
      <c r="D52" s="677" t="s">
        <v>239</v>
      </c>
      <c r="E52" s="678"/>
      <c r="F52" s="679"/>
      <c r="G52" s="680" t="s">
        <v>288</v>
      </c>
      <c r="H52" s="681"/>
      <c r="I52" s="682"/>
      <c r="J52" s="314" t="s">
        <v>289</v>
      </c>
      <c r="K52" s="285" t="s">
        <v>23</v>
      </c>
      <c r="L52" s="285" t="s">
        <v>290</v>
      </c>
      <c r="M52" s="345" t="s">
        <v>277</v>
      </c>
      <c r="N52" s="286" t="s">
        <v>253</v>
      </c>
      <c r="O52" s="683" t="s">
        <v>244</v>
      </c>
      <c r="P52" s="684"/>
      <c r="R52" s="358"/>
    </row>
    <row r="53" spans="1:19" ht="50.1" customHeight="1">
      <c r="A53" s="685">
        <v>6</v>
      </c>
      <c r="B53" s="698" t="s">
        <v>321</v>
      </c>
      <c r="C53" s="288">
        <v>1</v>
      </c>
      <c r="D53" s="363" t="s">
        <v>198</v>
      </c>
      <c r="E53" s="290"/>
      <c r="F53" s="291"/>
      <c r="G53" s="249" t="s">
        <v>341</v>
      </c>
      <c r="H53" s="250"/>
      <c r="I53" s="249"/>
      <c r="J53" s="326">
        <v>605.77999999999986</v>
      </c>
      <c r="K53" s="327">
        <v>0</v>
      </c>
      <c r="L53" s="328">
        <v>9.32000000000005</v>
      </c>
      <c r="M53" s="337">
        <f t="shared" ref="M53:M57" si="5">L53*J53</f>
        <v>5645.8696000000291</v>
      </c>
      <c r="N53" s="297"/>
      <c r="O53" s="726" t="s">
        <v>412</v>
      </c>
      <c r="P53" s="727"/>
    </row>
    <row r="54" spans="1:19" ht="50.1" customHeight="1">
      <c r="A54" s="686"/>
      <c r="B54" s="699"/>
      <c r="C54" s="288">
        <v>2</v>
      </c>
      <c r="D54" s="246" t="s">
        <v>416</v>
      </c>
      <c r="E54" s="290"/>
      <c r="F54" s="291"/>
      <c r="G54" s="249" t="s">
        <v>417</v>
      </c>
      <c r="H54" s="250"/>
      <c r="I54" s="249"/>
      <c r="J54" s="326">
        <v>407.74000000000007</v>
      </c>
      <c r="K54" s="327">
        <v>1.0911471593802286E-3</v>
      </c>
      <c r="L54" s="328">
        <v>12.850000000000183</v>
      </c>
      <c r="M54" s="337">
        <f t="shared" si="5"/>
        <v>5239.4590000000753</v>
      </c>
      <c r="N54" s="297"/>
      <c r="O54" s="726" t="s">
        <v>418</v>
      </c>
      <c r="P54" s="727"/>
    </row>
    <row r="55" spans="1:19" ht="50.1" customHeight="1">
      <c r="A55" s="686"/>
      <c r="B55" s="699"/>
      <c r="C55" s="288">
        <v>3</v>
      </c>
      <c r="D55" s="246"/>
      <c r="E55" s="290"/>
      <c r="F55" s="291"/>
      <c r="G55" s="438"/>
      <c r="H55" s="250"/>
      <c r="I55" s="249"/>
      <c r="J55" s="326"/>
      <c r="K55" s="327"/>
      <c r="L55" s="328"/>
      <c r="M55" s="337">
        <f t="shared" si="5"/>
        <v>0</v>
      </c>
      <c r="N55" s="297"/>
      <c r="O55" s="726"/>
      <c r="P55" s="727"/>
    </row>
    <row r="56" spans="1:19" ht="66" customHeight="1">
      <c r="A56" s="686"/>
      <c r="B56" s="699"/>
      <c r="C56" s="288">
        <v>4</v>
      </c>
      <c r="D56" s="246"/>
      <c r="E56" s="290"/>
      <c r="F56" s="291"/>
      <c r="G56" s="438"/>
      <c r="H56" s="250"/>
      <c r="I56" s="249"/>
      <c r="J56" s="326"/>
      <c r="K56" s="327"/>
      <c r="L56" s="328"/>
      <c r="M56" s="337">
        <f t="shared" si="5"/>
        <v>0</v>
      </c>
      <c r="N56" s="297"/>
      <c r="O56" s="726"/>
      <c r="P56" s="727"/>
    </row>
    <row r="57" spans="1:19" ht="50.1" customHeight="1" thickBot="1">
      <c r="A57" s="686"/>
      <c r="B57" s="699"/>
      <c r="C57" s="288">
        <v>5</v>
      </c>
      <c r="D57" s="253"/>
      <c r="E57" s="300"/>
      <c r="F57" s="301"/>
      <c r="G57" s="375"/>
      <c r="H57" s="315"/>
      <c r="I57" s="316"/>
      <c r="J57" s="330"/>
      <c r="K57" s="257"/>
      <c r="L57" s="332"/>
      <c r="M57" s="337">
        <f t="shared" si="5"/>
        <v>0</v>
      </c>
      <c r="N57" s="297"/>
      <c r="O57" s="726"/>
      <c r="P57" s="727"/>
    </row>
    <row r="58" spans="1:19" ht="15.75" customHeight="1" thickTop="1" thickBot="1">
      <c r="A58" s="687"/>
      <c r="B58" s="700"/>
      <c r="C58" s="695"/>
      <c r="D58" s="696"/>
      <c r="E58" s="696"/>
      <c r="F58" s="696"/>
      <c r="G58" s="696"/>
      <c r="H58" s="696"/>
      <c r="I58" s="697"/>
      <c r="J58" s="367" t="s">
        <v>304</v>
      </c>
      <c r="K58" s="365">
        <f>M58/'生產管理報表 7-1 (週)'!$B$32</f>
        <v>8.1037561374199027E-2</v>
      </c>
      <c r="L58" s="368" t="s">
        <v>305</v>
      </c>
      <c r="M58" s="369">
        <f>SUM(M53:M57)</f>
        <v>10885.328600000104</v>
      </c>
      <c r="N58" s="672"/>
      <c r="O58" s="673"/>
      <c r="P58" s="674"/>
    </row>
    <row r="59" spans="1:19" s="136" customFormat="1" ht="15.75" customHeight="1" thickTop="1">
      <c r="A59" s="639" t="s">
        <v>419</v>
      </c>
      <c r="B59" s="639"/>
      <c r="C59" s="639"/>
      <c r="D59" s="639"/>
      <c r="E59" s="639"/>
      <c r="F59" s="639"/>
      <c r="G59" s="639"/>
      <c r="H59" s="639"/>
      <c r="I59" s="639"/>
      <c r="J59" s="639"/>
      <c r="K59" s="639"/>
      <c r="L59" s="639"/>
      <c r="M59" s="639"/>
    </row>
    <row r="60" spans="1:19" s="137" customFormat="1" ht="15.75" customHeight="1">
      <c r="A60" s="737"/>
      <c r="B60" s="737"/>
      <c r="C60" s="737"/>
      <c r="D60" s="737"/>
      <c r="E60" s="737"/>
      <c r="F60" s="737"/>
      <c r="G60" s="737"/>
      <c r="H60" s="737"/>
      <c r="I60" s="737"/>
      <c r="J60" s="737"/>
      <c r="K60" s="737"/>
      <c r="L60" s="737"/>
      <c r="M60" s="737"/>
    </row>
    <row r="61" spans="1:19" s="136" customFormat="1" ht="15.75" customHeight="1">
      <c r="A61" s="738" t="s">
        <v>284</v>
      </c>
      <c r="B61" s="740">
        <v>1</v>
      </c>
      <c r="C61" s="741"/>
      <c r="D61" s="740">
        <v>2</v>
      </c>
      <c r="E61" s="741"/>
      <c r="F61" s="740">
        <v>3</v>
      </c>
      <c r="G61" s="741"/>
      <c r="H61" s="731">
        <v>4</v>
      </c>
      <c r="I61" s="732"/>
      <c r="J61" s="731">
        <v>5</v>
      </c>
      <c r="K61" s="732"/>
      <c r="L61" s="731">
        <v>6</v>
      </c>
      <c r="M61" s="732"/>
      <c r="N61" s="731">
        <v>7</v>
      </c>
      <c r="O61" s="732"/>
      <c r="P61" s="342">
        <v>8</v>
      </c>
    </row>
    <row r="62" spans="1:19" s="136" customFormat="1" ht="15.75" customHeight="1">
      <c r="A62" s="739"/>
      <c r="B62" s="735" t="s">
        <v>273</v>
      </c>
      <c r="C62" s="736"/>
      <c r="D62" s="735" t="s">
        <v>285</v>
      </c>
      <c r="E62" s="736"/>
      <c r="F62" s="735" t="s">
        <v>275</v>
      </c>
      <c r="G62" s="736"/>
      <c r="H62" s="733" t="s">
        <v>286</v>
      </c>
      <c r="I62" s="734"/>
      <c r="J62" s="733" t="s">
        <v>280</v>
      </c>
      <c r="K62" s="734"/>
      <c r="L62" s="733" t="s">
        <v>281</v>
      </c>
      <c r="M62" s="734"/>
      <c r="N62" s="733" t="s">
        <v>282</v>
      </c>
      <c r="O62" s="734"/>
      <c r="P62" s="343" t="s">
        <v>287</v>
      </c>
    </row>
    <row r="63" spans="1:19" s="136" customFormat="1" ht="15.75" customHeight="1">
      <c r="B63" s="241"/>
      <c r="C63" s="242"/>
    </row>
    <row r="64" spans="1:19" s="287" customFormat="1" ht="15.75" customHeight="1">
      <c r="A64" s="675" t="s">
        <v>284</v>
      </c>
      <c r="B64" s="676"/>
      <c r="C64" s="284" t="s">
        <v>238</v>
      </c>
      <c r="D64" s="703" t="s">
        <v>239</v>
      </c>
      <c r="E64" s="704"/>
      <c r="F64" s="705"/>
      <c r="G64" s="706" t="s">
        <v>288</v>
      </c>
      <c r="H64" s="707"/>
      <c r="I64" s="708"/>
      <c r="J64" s="285" t="s">
        <v>289</v>
      </c>
      <c r="K64" s="285" t="s">
        <v>23</v>
      </c>
      <c r="L64" s="285" t="s">
        <v>290</v>
      </c>
      <c r="M64" s="286" t="s">
        <v>277</v>
      </c>
      <c r="N64" s="286" t="s">
        <v>253</v>
      </c>
      <c r="O64" s="683" t="s">
        <v>244</v>
      </c>
      <c r="P64" s="684"/>
      <c r="R64" s="358"/>
      <c r="S64" s="359"/>
    </row>
    <row r="65" spans="1:20" s="308" customFormat="1" ht="51.75" customHeight="1">
      <c r="A65" s="685">
        <v>4</v>
      </c>
      <c r="B65" s="719" t="s">
        <v>286</v>
      </c>
      <c r="C65" s="288">
        <v>1</v>
      </c>
      <c r="D65" s="246" t="s">
        <v>311</v>
      </c>
      <c r="E65" s="247"/>
      <c r="F65" s="248"/>
      <c r="G65" s="316" t="s">
        <v>326</v>
      </c>
      <c r="H65" s="315"/>
      <c r="I65" s="316"/>
      <c r="J65" s="326">
        <v>127.84000000000002</v>
      </c>
      <c r="K65" s="327">
        <v>5.6715534246499534E-4</v>
      </c>
      <c r="L65" s="328">
        <v>76.759999999999948</v>
      </c>
      <c r="M65" s="337">
        <f t="shared" ref="M65:M69" si="6">L65*J65</f>
        <v>9812.9983999999949</v>
      </c>
      <c r="N65" s="328"/>
      <c r="O65" s="715" t="s">
        <v>402</v>
      </c>
      <c r="P65" s="716"/>
      <c r="R65" s="360"/>
      <c r="S65" s="359"/>
    </row>
    <row r="66" spans="1:20" s="308" customFormat="1" ht="55.5" customHeight="1">
      <c r="A66" s="686"/>
      <c r="B66" s="720"/>
      <c r="C66" s="288">
        <v>2</v>
      </c>
      <c r="D66" s="246" t="s">
        <v>204</v>
      </c>
      <c r="E66" s="247"/>
      <c r="F66" s="248"/>
      <c r="G66" s="316" t="s">
        <v>328</v>
      </c>
      <c r="H66" s="315"/>
      <c r="I66" s="316"/>
      <c r="J66" s="326">
        <v>144.78</v>
      </c>
      <c r="K66" s="327">
        <v>0</v>
      </c>
      <c r="L66" s="328">
        <v>67.020000000000209</v>
      </c>
      <c r="M66" s="337">
        <f t="shared" si="6"/>
        <v>9703.155600000031</v>
      </c>
      <c r="N66" s="328"/>
      <c r="O66" s="715" t="s">
        <v>402</v>
      </c>
      <c r="P66" s="716"/>
      <c r="R66" s="360"/>
      <c r="S66" s="358"/>
      <c r="T66" s="354"/>
    </row>
    <row r="67" spans="1:20" s="308" customFormat="1" ht="51" customHeight="1">
      <c r="A67" s="686"/>
      <c r="B67" s="720"/>
      <c r="C67" s="288">
        <v>3</v>
      </c>
      <c r="D67" s="246" t="s">
        <v>214</v>
      </c>
      <c r="E67" s="247"/>
      <c r="F67" s="248"/>
      <c r="G67" s="316" t="s">
        <v>420</v>
      </c>
      <c r="H67" s="315"/>
      <c r="I67" s="316"/>
      <c r="J67" s="326">
        <v>368.13999999999993</v>
      </c>
      <c r="K67" s="327">
        <v>2.2167007697554315E-3</v>
      </c>
      <c r="L67" s="328">
        <v>16.909999999999993</v>
      </c>
      <c r="M67" s="337">
        <f t="shared" si="6"/>
        <v>6225.2473999999966</v>
      </c>
      <c r="N67" s="328"/>
      <c r="O67" s="724" t="s">
        <v>421</v>
      </c>
      <c r="P67" s="725"/>
      <c r="R67" s="360"/>
      <c r="S67" s="359"/>
    </row>
    <row r="68" spans="1:20" s="308" customFormat="1" ht="60" customHeight="1">
      <c r="A68" s="686"/>
      <c r="B68" s="720"/>
      <c r="C68" s="288">
        <v>4</v>
      </c>
      <c r="D68" s="246" t="s">
        <v>214</v>
      </c>
      <c r="E68" s="247"/>
      <c r="F68" s="248"/>
      <c r="G68" s="316" t="s">
        <v>332</v>
      </c>
      <c r="H68" s="315"/>
      <c r="I68" s="316"/>
      <c r="J68" s="326">
        <v>160.49</v>
      </c>
      <c r="K68" s="327">
        <v>4.5169193079160931E-3</v>
      </c>
      <c r="L68" s="328">
        <v>30.030000000000019</v>
      </c>
      <c r="M68" s="337">
        <f t="shared" si="6"/>
        <v>4819.5147000000034</v>
      </c>
      <c r="N68" s="328"/>
      <c r="O68" s="715" t="s">
        <v>402</v>
      </c>
      <c r="P68" s="716"/>
      <c r="R68" s="360"/>
      <c r="S68" s="358"/>
      <c r="T68" s="354"/>
    </row>
    <row r="69" spans="1:20" s="308" customFormat="1" ht="60" customHeight="1" thickBot="1">
      <c r="A69" s="686"/>
      <c r="B69" s="720"/>
      <c r="C69" s="288">
        <v>5</v>
      </c>
      <c r="D69" s="246" t="s">
        <v>311</v>
      </c>
      <c r="E69" s="254"/>
      <c r="F69" s="255"/>
      <c r="G69" s="316" t="s">
        <v>414</v>
      </c>
      <c r="H69" s="315"/>
      <c r="I69" s="316"/>
      <c r="J69" s="330">
        <v>200</v>
      </c>
      <c r="K69" s="257">
        <v>1.2097122612978487E-3</v>
      </c>
      <c r="L69" s="332">
        <v>22.940000000000058</v>
      </c>
      <c r="M69" s="337">
        <f t="shared" si="6"/>
        <v>4588.0000000000118</v>
      </c>
      <c r="N69" s="328"/>
      <c r="O69" s="724" t="s">
        <v>422</v>
      </c>
      <c r="P69" s="725"/>
      <c r="R69" s="361"/>
      <c r="S69" s="359"/>
      <c r="T69" s="298"/>
    </row>
    <row r="70" spans="1:20" ht="15.75" customHeight="1" thickTop="1" thickBot="1">
      <c r="A70" s="687"/>
      <c r="B70" s="721"/>
      <c r="C70" s="728"/>
      <c r="D70" s="729"/>
      <c r="E70" s="729"/>
      <c r="F70" s="729"/>
      <c r="G70" s="729"/>
      <c r="H70" s="729"/>
      <c r="I70" s="730"/>
      <c r="J70" s="367" t="s">
        <v>304</v>
      </c>
      <c r="K70" s="365">
        <f>M70/'生產管理報表 7-1 (週)'!$B$43</f>
        <v>0.24529175453633734</v>
      </c>
      <c r="L70" s="368" t="s">
        <v>305</v>
      </c>
      <c r="M70" s="369">
        <f>SUM(M65:M69)</f>
        <v>35148.916100000039</v>
      </c>
      <c r="N70" s="672"/>
      <c r="O70" s="673"/>
      <c r="P70" s="674"/>
      <c r="R70" s="358"/>
      <c r="S70" s="358"/>
    </row>
    <row r="71" spans="1:20" ht="15.75" customHeight="1" thickTop="1">
      <c r="M71" s="344"/>
      <c r="S71" s="359"/>
    </row>
    <row r="72" spans="1:20" ht="15.75" customHeight="1">
      <c r="A72" s="675" t="s">
        <v>284</v>
      </c>
      <c r="B72" s="676"/>
      <c r="C72" s="284" t="s">
        <v>238</v>
      </c>
      <c r="D72" s="703" t="s">
        <v>239</v>
      </c>
      <c r="E72" s="704"/>
      <c r="F72" s="705"/>
      <c r="G72" s="706" t="s">
        <v>288</v>
      </c>
      <c r="H72" s="707"/>
      <c r="I72" s="708"/>
      <c r="J72" s="424" t="s">
        <v>289</v>
      </c>
      <c r="K72" s="285" t="s">
        <v>23</v>
      </c>
      <c r="L72" s="285" t="s">
        <v>290</v>
      </c>
      <c r="M72" s="345" t="s">
        <v>277</v>
      </c>
      <c r="N72" s="286" t="s">
        <v>253</v>
      </c>
      <c r="O72" s="683" t="s">
        <v>244</v>
      </c>
      <c r="P72" s="684"/>
      <c r="S72" s="358"/>
      <c r="T72" s="354"/>
    </row>
    <row r="73" spans="1:20" s="308" customFormat="1" ht="35.25" customHeight="1">
      <c r="A73" s="685">
        <v>5</v>
      </c>
      <c r="B73" s="698" t="s">
        <v>318</v>
      </c>
      <c r="C73" s="288">
        <v>1</v>
      </c>
      <c r="D73" s="246" t="s">
        <v>311</v>
      </c>
      <c r="E73" s="247"/>
      <c r="F73" s="248"/>
      <c r="G73" s="316" t="s">
        <v>336</v>
      </c>
      <c r="H73" s="315"/>
      <c r="I73" s="316"/>
      <c r="J73" s="326">
        <v>147.43000000000004</v>
      </c>
      <c r="K73" s="327">
        <v>8.6148608961021656E-4</v>
      </c>
      <c r="L73" s="328">
        <v>68.769999999999257</v>
      </c>
      <c r="M73" s="337">
        <f>L73*J73</f>
        <v>10138.761099999892</v>
      </c>
      <c r="N73" s="328"/>
      <c r="O73" s="805" t="s">
        <v>407</v>
      </c>
      <c r="P73" s="806"/>
      <c r="S73" s="359"/>
    </row>
    <row r="74" spans="1:20" s="308" customFormat="1" ht="24.95" customHeight="1">
      <c r="A74" s="686"/>
      <c r="B74" s="699"/>
      <c r="C74" s="288">
        <v>2</v>
      </c>
      <c r="D74" s="246"/>
      <c r="E74" s="247"/>
      <c r="F74" s="248"/>
      <c r="G74" s="375"/>
      <c r="H74" s="315"/>
      <c r="I74" s="316"/>
      <c r="J74" s="326"/>
      <c r="K74" s="327"/>
      <c r="L74" s="328"/>
      <c r="M74" s="337">
        <f t="shared" ref="M74:M77" si="7">L74*J74</f>
        <v>0</v>
      </c>
      <c r="N74" s="328"/>
      <c r="O74" s="711"/>
      <c r="P74" s="712"/>
      <c r="S74" s="358"/>
      <c r="T74" s="355"/>
    </row>
    <row r="75" spans="1:20" ht="24.95" customHeight="1">
      <c r="A75" s="686"/>
      <c r="B75" s="699"/>
      <c r="C75" s="288">
        <v>3</v>
      </c>
      <c r="D75" s="246"/>
      <c r="E75" s="247"/>
      <c r="F75" s="248"/>
      <c r="G75" s="375"/>
      <c r="H75" s="315"/>
      <c r="I75" s="316"/>
      <c r="J75" s="326"/>
      <c r="K75" s="327"/>
      <c r="L75" s="328"/>
      <c r="M75" s="337">
        <f t="shared" si="7"/>
        <v>0</v>
      </c>
      <c r="N75" s="297"/>
      <c r="O75" s="693"/>
      <c r="P75" s="694"/>
    </row>
    <row r="76" spans="1:20" ht="24.95" customHeight="1">
      <c r="A76" s="686"/>
      <c r="B76" s="699"/>
      <c r="C76" s="288">
        <v>4</v>
      </c>
      <c r="D76" s="289"/>
      <c r="E76" s="290"/>
      <c r="F76" s="291"/>
      <c r="G76" s="375"/>
      <c r="H76" s="315"/>
      <c r="I76" s="316"/>
      <c r="J76" s="295"/>
      <c r="K76" s="296"/>
      <c r="L76" s="297"/>
      <c r="M76" s="337">
        <f t="shared" si="7"/>
        <v>0</v>
      </c>
      <c r="N76" s="297"/>
      <c r="O76" s="309"/>
      <c r="P76" s="310"/>
    </row>
    <row r="77" spans="1:20" ht="24.95" customHeight="1" thickBot="1">
      <c r="A77" s="686"/>
      <c r="B77" s="699"/>
      <c r="C77" s="288">
        <v>5</v>
      </c>
      <c r="D77" s="299"/>
      <c r="E77" s="300"/>
      <c r="F77" s="301"/>
      <c r="G77" s="375"/>
      <c r="H77" s="315"/>
      <c r="I77" s="316"/>
      <c r="J77" s="302"/>
      <c r="K77" s="257"/>
      <c r="L77" s="304"/>
      <c r="M77" s="337">
        <f t="shared" si="7"/>
        <v>0</v>
      </c>
      <c r="N77" s="297"/>
      <c r="O77" s="311"/>
      <c r="P77" s="312"/>
      <c r="R77" s="362"/>
    </row>
    <row r="78" spans="1:20" ht="15.75" customHeight="1" thickTop="1" thickBot="1">
      <c r="A78" s="687"/>
      <c r="B78" s="700"/>
      <c r="C78" s="695"/>
      <c r="D78" s="696"/>
      <c r="E78" s="696"/>
      <c r="F78" s="696"/>
      <c r="G78" s="696"/>
      <c r="H78" s="696"/>
      <c r="I78" s="697"/>
      <c r="J78" s="367" t="s">
        <v>304</v>
      </c>
      <c r="K78" s="365">
        <f>M78/'生產管理報表 7-1 (週)'!$B$43</f>
        <v>7.0754799151366621E-2</v>
      </c>
      <c r="L78" s="368" t="s">
        <v>305</v>
      </c>
      <c r="M78" s="369">
        <f>SUM(M73:M77)</f>
        <v>10138.761099999892</v>
      </c>
      <c r="N78" s="672"/>
      <c r="O78" s="673"/>
      <c r="P78" s="674"/>
      <c r="R78" s="358"/>
    </row>
    <row r="79" spans="1:20" ht="24.95" customHeight="1" thickTop="1">
      <c r="K79" s="298" t="s">
        <v>408</v>
      </c>
      <c r="M79" s="344"/>
      <c r="R79" s="358"/>
    </row>
    <row r="80" spans="1:20" ht="24.95" customHeight="1">
      <c r="A80" s="675" t="s">
        <v>284</v>
      </c>
      <c r="B80" s="676"/>
      <c r="C80" s="313" t="s">
        <v>238</v>
      </c>
      <c r="D80" s="677" t="s">
        <v>239</v>
      </c>
      <c r="E80" s="678"/>
      <c r="F80" s="679"/>
      <c r="G80" s="680" t="s">
        <v>288</v>
      </c>
      <c r="H80" s="681"/>
      <c r="I80" s="682"/>
      <c r="J80" s="314" t="s">
        <v>289</v>
      </c>
      <c r="K80" s="285" t="s">
        <v>23</v>
      </c>
      <c r="L80" s="285" t="s">
        <v>290</v>
      </c>
      <c r="M80" s="345" t="s">
        <v>277</v>
      </c>
      <c r="N80" s="286" t="s">
        <v>253</v>
      </c>
      <c r="O80" s="683" t="s">
        <v>244</v>
      </c>
      <c r="P80" s="684"/>
      <c r="R80" s="358"/>
    </row>
    <row r="81" spans="1:20" ht="50.1" customHeight="1">
      <c r="A81" s="685">
        <v>6</v>
      </c>
      <c r="B81" s="698" t="s">
        <v>321</v>
      </c>
      <c r="C81" s="288">
        <v>1</v>
      </c>
      <c r="D81" s="363" t="s">
        <v>204</v>
      </c>
      <c r="E81" s="290"/>
      <c r="F81" s="291"/>
      <c r="G81" s="249" t="s">
        <v>344</v>
      </c>
      <c r="H81" s="250"/>
      <c r="I81" s="249"/>
      <c r="J81" s="326">
        <v>327.16000000000003</v>
      </c>
      <c r="K81" s="327">
        <v>3.0695315627919393E-3</v>
      </c>
      <c r="L81" s="328">
        <v>15.850000000000055</v>
      </c>
      <c r="M81" s="337">
        <f t="shared" ref="M81:M85" si="8">L81*J81</f>
        <v>5185.4860000000181</v>
      </c>
      <c r="N81" s="297"/>
      <c r="O81" s="726" t="s">
        <v>418</v>
      </c>
      <c r="P81" s="727"/>
    </row>
    <row r="82" spans="1:20" ht="50.1" customHeight="1">
      <c r="A82" s="686"/>
      <c r="B82" s="699"/>
      <c r="C82" s="288">
        <v>2</v>
      </c>
      <c r="D82" s="246" t="s">
        <v>221</v>
      </c>
      <c r="E82" s="290"/>
      <c r="F82" s="291"/>
      <c r="G82" s="249" t="s">
        <v>340</v>
      </c>
      <c r="H82" s="250"/>
      <c r="I82" s="249"/>
      <c r="J82" s="326">
        <v>68.42</v>
      </c>
      <c r="K82" s="327">
        <v>1.6634992480403109E-3</v>
      </c>
      <c r="L82" s="328">
        <v>65.750000000000057</v>
      </c>
      <c r="M82" s="337">
        <f t="shared" si="8"/>
        <v>4498.6150000000043</v>
      </c>
      <c r="N82" s="297"/>
      <c r="O82" s="726" t="s">
        <v>406</v>
      </c>
      <c r="P82" s="727"/>
    </row>
    <row r="83" spans="1:20" ht="50.1" customHeight="1">
      <c r="A83" s="686"/>
      <c r="B83" s="699"/>
      <c r="C83" s="288">
        <v>3</v>
      </c>
      <c r="D83" s="246" t="s">
        <v>226</v>
      </c>
      <c r="E83" s="290"/>
      <c r="F83" s="291"/>
      <c r="G83" s="249" t="s">
        <v>343</v>
      </c>
      <c r="H83" s="250"/>
      <c r="I83" s="249"/>
      <c r="J83" s="326">
        <v>51.87</v>
      </c>
      <c r="K83" s="327">
        <v>2.2658004491498233E-3</v>
      </c>
      <c r="L83" s="328">
        <v>50.149999999999963</v>
      </c>
      <c r="M83" s="337">
        <f t="shared" si="8"/>
        <v>2601.280499999998</v>
      </c>
      <c r="N83" s="297"/>
      <c r="O83" s="726" t="s">
        <v>406</v>
      </c>
      <c r="P83" s="727"/>
    </row>
    <row r="84" spans="1:20" ht="66" customHeight="1">
      <c r="A84" s="686"/>
      <c r="B84" s="699"/>
      <c r="C84" s="288">
        <v>4</v>
      </c>
      <c r="D84" s="246" t="s">
        <v>198</v>
      </c>
      <c r="E84" s="290"/>
      <c r="F84" s="291"/>
      <c r="G84" s="249" t="s">
        <v>341</v>
      </c>
      <c r="H84" s="250"/>
      <c r="I84" s="249"/>
      <c r="J84" s="326">
        <v>605.77999999999986</v>
      </c>
      <c r="K84" s="327">
        <v>2.4775826416748465E-4</v>
      </c>
      <c r="L84" s="328">
        <v>4.1900000000000457</v>
      </c>
      <c r="M84" s="337">
        <f t="shared" si="8"/>
        <v>2538.2182000000271</v>
      </c>
      <c r="N84" s="297"/>
      <c r="O84" s="726" t="s">
        <v>412</v>
      </c>
      <c r="P84" s="727"/>
    </row>
    <row r="85" spans="1:20" ht="50.1" customHeight="1" thickBot="1">
      <c r="A85" s="686"/>
      <c r="B85" s="699"/>
      <c r="C85" s="288">
        <v>5</v>
      </c>
      <c r="D85" s="253" t="s">
        <v>311</v>
      </c>
      <c r="E85" s="300"/>
      <c r="F85" s="301"/>
      <c r="G85" s="316" t="s">
        <v>423</v>
      </c>
      <c r="H85" s="315"/>
      <c r="I85" s="316"/>
      <c r="J85" s="330">
        <v>3.2199999999999998</v>
      </c>
      <c r="K85" s="257">
        <v>0</v>
      </c>
      <c r="L85" s="332">
        <v>733</v>
      </c>
      <c r="M85" s="337">
        <f t="shared" si="8"/>
        <v>2360.2599999999998</v>
      </c>
      <c r="N85" s="297"/>
      <c r="O85" s="726" t="s">
        <v>418</v>
      </c>
      <c r="P85" s="727"/>
    </row>
    <row r="86" spans="1:20" ht="15.75" customHeight="1" thickTop="1" thickBot="1">
      <c r="A86" s="687"/>
      <c r="B86" s="700"/>
      <c r="C86" s="695"/>
      <c r="D86" s="696"/>
      <c r="E86" s="696"/>
      <c r="F86" s="696"/>
      <c r="G86" s="696"/>
      <c r="H86" s="696"/>
      <c r="I86" s="697"/>
      <c r="J86" s="367" t="s">
        <v>304</v>
      </c>
      <c r="K86" s="365">
        <f>M86/'生產管理報表 7-1 (週)'!$B$43</f>
        <v>0.11992003063557533</v>
      </c>
      <c r="L86" s="368" t="s">
        <v>305</v>
      </c>
      <c r="M86" s="369">
        <f>SUM(M81:M85)</f>
        <v>17183.859700000048</v>
      </c>
      <c r="N86" s="672"/>
      <c r="O86" s="673"/>
      <c r="P86" s="674"/>
    </row>
    <row r="87" spans="1:20" s="136" customFormat="1" ht="15.75" customHeight="1" thickTop="1">
      <c r="A87" s="639" t="s">
        <v>424</v>
      </c>
      <c r="B87" s="639"/>
      <c r="C87" s="639"/>
      <c r="D87" s="639"/>
      <c r="E87" s="639"/>
      <c r="F87" s="639"/>
      <c r="G87" s="639"/>
      <c r="H87" s="639"/>
      <c r="I87" s="639"/>
      <c r="J87" s="639"/>
      <c r="K87" s="639"/>
      <c r="L87" s="639"/>
      <c r="M87" s="639"/>
    </row>
    <row r="88" spans="1:20" s="137" customFormat="1" ht="15.75" customHeight="1">
      <c r="A88" s="737"/>
      <c r="B88" s="737"/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</row>
    <row r="89" spans="1:20" s="136" customFormat="1" ht="15.75" customHeight="1">
      <c r="A89" s="738" t="s">
        <v>284</v>
      </c>
      <c r="B89" s="740">
        <v>1</v>
      </c>
      <c r="C89" s="741"/>
      <c r="D89" s="740">
        <v>2</v>
      </c>
      <c r="E89" s="741"/>
      <c r="F89" s="740">
        <v>3</v>
      </c>
      <c r="G89" s="741"/>
      <c r="H89" s="731">
        <v>4</v>
      </c>
      <c r="I89" s="732"/>
      <c r="J89" s="731">
        <v>5</v>
      </c>
      <c r="K89" s="732"/>
      <c r="L89" s="731">
        <v>6</v>
      </c>
      <c r="M89" s="732"/>
      <c r="N89" s="731">
        <v>7</v>
      </c>
      <c r="O89" s="732"/>
      <c r="P89" s="342">
        <v>8</v>
      </c>
    </row>
    <row r="90" spans="1:20" s="136" customFormat="1" ht="15.75" customHeight="1">
      <c r="A90" s="739"/>
      <c r="B90" s="735" t="s">
        <v>273</v>
      </c>
      <c r="C90" s="736"/>
      <c r="D90" s="735" t="s">
        <v>285</v>
      </c>
      <c r="E90" s="736"/>
      <c r="F90" s="735" t="s">
        <v>275</v>
      </c>
      <c r="G90" s="736"/>
      <c r="H90" s="733" t="s">
        <v>286</v>
      </c>
      <c r="I90" s="734"/>
      <c r="J90" s="733" t="s">
        <v>280</v>
      </c>
      <c r="K90" s="734"/>
      <c r="L90" s="733" t="s">
        <v>281</v>
      </c>
      <c r="M90" s="734"/>
      <c r="N90" s="733" t="s">
        <v>282</v>
      </c>
      <c r="O90" s="734"/>
      <c r="P90" s="343" t="s">
        <v>287</v>
      </c>
    </row>
    <row r="91" spans="1:20" s="136" customFormat="1" ht="15.75" customHeight="1">
      <c r="B91" s="241"/>
      <c r="C91" s="242"/>
    </row>
    <row r="92" spans="1:20" s="287" customFormat="1" ht="15.75" customHeight="1">
      <c r="A92" s="675" t="s">
        <v>284</v>
      </c>
      <c r="B92" s="676"/>
      <c r="C92" s="284" t="s">
        <v>238</v>
      </c>
      <c r="D92" s="703" t="s">
        <v>239</v>
      </c>
      <c r="E92" s="704"/>
      <c r="F92" s="705"/>
      <c r="G92" s="706" t="s">
        <v>288</v>
      </c>
      <c r="H92" s="707"/>
      <c r="I92" s="708"/>
      <c r="J92" s="285" t="s">
        <v>289</v>
      </c>
      <c r="K92" s="285" t="s">
        <v>23</v>
      </c>
      <c r="L92" s="285" t="s">
        <v>290</v>
      </c>
      <c r="M92" s="286" t="s">
        <v>277</v>
      </c>
      <c r="N92" s="286" t="s">
        <v>253</v>
      </c>
      <c r="O92" s="683" t="s">
        <v>244</v>
      </c>
      <c r="P92" s="684"/>
      <c r="R92" s="358"/>
      <c r="S92" s="359"/>
    </row>
    <row r="93" spans="1:20" s="308" customFormat="1" ht="57.95" customHeight="1">
      <c r="A93" s="685">
        <v>4</v>
      </c>
      <c r="B93" s="719" t="s">
        <v>286</v>
      </c>
      <c r="C93" s="288">
        <v>1</v>
      </c>
      <c r="D93" s="246" t="s">
        <v>311</v>
      </c>
      <c r="E93" s="247"/>
      <c r="F93" s="248"/>
      <c r="G93" s="316" t="s">
        <v>326</v>
      </c>
      <c r="H93" s="315"/>
      <c r="I93" s="316"/>
      <c r="J93" s="326">
        <v>127.84000000000002</v>
      </c>
      <c r="K93" s="327">
        <v>7.6757121278992944E-4</v>
      </c>
      <c r="L93" s="328">
        <v>71.549999999999912</v>
      </c>
      <c r="M93" s="337">
        <f t="shared" ref="M93:M97" si="9">L93*J93</f>
        <v>9146.9519999999902</v>
      </c>
      <c r="N93" s="328"/>
      <c r="O93" s="715" t="s">
        <v>425</v>
      </c>
      <c r="P93" s="716"/>
      <c r="R93" s="360"/>
      <c r="S93" s="359"/>
    </row>
    <row r="94" spans="1:20" s="308" customFormat="1" ht="57.95" customHeight="1">
      <c r="A94" s="686"/>
      <c r="B94" s="720"/>
      <c r="C94" s="288">
        <v>2</v>
      </c>
      <c r="D94" s="246" t="s">
        <v>204</v>
      </c>
      <c r="E94" s="247"/>
      <c r="F94" s="248"/>
      <c r="G94" s="316" t="s">
        <v>328</v>
      </c>
      <c r="H94" s="315"/>
      <c r="I94" s="316"/>
      <c r="J94" s="326">
        <v>144.78</v>
      </c>
      <c r="K94" s="327">
        <v>0</v>
      </c>
      <c r="L94" s="328">
        <v>39.149999999999864</v>
      </c>
      <c r="M94" s="337">
        <f t="shared" si="9"/>
        <v>5668.1369999999806</v>
      </c>
      <c r="N94" s="328"/>
      <c r="O94" s="715" t="s">
        <v>426</v>
      </c>
      <c r="P94" s="716"/>
      <c r="R94" s="360"/>
      <c r="S94" s="358"/>
      <c r="T94" s="354"/>
    </row>
    <row r="95" spans="1:20" s="308" customFormat="1" ht="57.95" customHeight="1">
      <c r="A95" s="686"/>
      <c r="B95" s="720"/>
      <c r="C95" s="288">
        <v>3</v>
      </c>
      <c r="D95" s="246" t="s">
        <v>224</v>
      </c>
      <c r="E95" s="247"/>
      <c r="F95" s="248"/>
      <c r="G95" s="316" t="s">
        <v>427</v>
      </c>
      <c r="H95" s="315"/>
      <c r="I95" s="316"/>
      <c r="J95" s="326">
        <v>169.95000000000002</v>
      </c>
      <c r="K95" s="327">
        <v>0</v>
      </c>
      <c r="L95" s="328">
        <v>26.729999999999905</v>
      </c>
      <c r="M95" s="337">
        <f t="shared" si="9"/>
        <v>4542.7634999999846</v>
      </c>
      <c r="N95" s="328"/>
      <c r="O95" s="724" t="s">
        <v>428</v>
      </c>
      <c r="P95" s="725"/>
      <c r="R95" s="360"/>
      <c r="S95" s="359"/>
    </row>
    <row r="96" spans="1:20" s="308" customFormat="1" ht="57.95" customHeight="1">
      <c r="A96" s="686"/>
      <c r="B96" s="720"/>
      <c r="C96" s="288">
        <v>4</v>
      </c>
      <c r="D96" s="246" t="s">
        <v>214</v>
      </c>
      <c r="E96" s="247"/>
      <c r="F96" s="248"/>
      <c r="G96" s="316" t="s">
        <v>332</v>
      </c>
      <c r="H96" s="315"/>
      <c r="I96" s="316"/>
      <c r="J96" s="326">
        <v>160.49</v>
      </c>
      <c r="K96" s="327">
        <v>3.0473110589405933E-3</v>
      </c>
      <c r="L96" s="328">
        <v>27.770000000000017</v>
      </c>
      <c r="M96" s="337">
        <f t="shared" si="9"/>
        <v>4456.8073000000031</v>
      </c>
      <c r="N96" s="328"/>
      <c r="O96" s="715" t="s">
        <v>425</v>
      </c>
      <c r="P96" s="716"/>
      <c r="R96" s="360"/>
      <c r="S96" s="358"/>
      <c r="T96" s="354"/>
    </row>
    <row r="97" spans="1:20" s="308" customFormat="1" ht="57.95" customHeight="1" thickBot="1">
      <c r="A97" s="686"/>
      <c r="B97" s="720"/>
      <c r="C97" s="288">
        <v>5</v>
      </c>
      <c r="D97" s="246" t="s">
        <v>200</v>
      </c>
      <c r="E97" s="254"/>
      <c r="F97" s="255"/>
      <c r="G97" s="375" t="s">
        <v>330</v>
      </c>
      <c r="H97" s="315"/>
      <c r="I97" s="316"/>
      <c r="J97" s="330">
        <v>99.51</v>
      </c>
      <c r="K97" s="257">
        <v>4.0301919514406205E-3</v>
      </c>
      <c r="L97" s="332">
        <v>42.620000000000033</v>
      </c>
      <c r="M97" s="337">
        <f t="shared" si="9"/>
        <v>4241.1162000000031</v>
      </c>
      <c r="N97" s="328"/>
      <c r="O97" s="724" t="s">
        <v>406</v>
      </c>
      <c r="P97" s="725"/>
      <c r="R97" s="361"/>
      <c r="S97" s="359"/>
      <c r="T97" s="298"/>
    </row>
    <row r="98" spans="1:20" ht="15.75" customHeight="1" thickTop="1" thickBot="1">
      <c r="A98" s="687"/>
      <c r="B98" s="721"/>
      <c r="C98" s="728"/>
      <c r="D98" s="729"/>
      <c r="E98" s="729"/>
      <c r="F98" s="729"/>
      <c r="G98" s="729"/>
      <c r="H98" s="729"/>
      <c r="I98" s="730"/>
      <c r="J98" s="367" t="s">
        <v>304</v>
      </c>
      <c r="K98" s="365">
        <f>M98/'生產管理報表 7-1 (週)'!$B$54</f>
        <v>0.17069953207649041</v>
      </c>
      <c r="L98" s="368" t="s">
        <v>305</v>
      </c>
      <c r="M98" s="369">
        <f>SUM(M93:M97)</f>
        <v>28055.775999999965</v>
      </c>
      <c r="N98" s="672"/>
      <c r="O98" s="673"/>
      <c r="P98" s="674"/>
      <c r="R98" s="358"/>
      <c r="S98" s="358"/>
    </row>
    <row r="99" spans="1:20" ht="15.75" customHeight="1" thickTop="1">
      <c r="M99" s="344"/>
      <c r="S99" s="359"/>
    </row>
    <row r="100" spans="1:20" ht="15.75" customHeight="1">
      <c r="A100" s="675" t="s">
        <v>284</v>
      </c>
      <c r="B100" s="676"/>
      <c r="C100" s="284" t="s">
        <v>238</v>
      </c>
      <c r="D100" s="703" t="s">
        <v>239</v>
      </c>
      <c r="E100" s="704"/>
      <c r="F100" s="705"/>
      <c r="G100" s="706" t="s">
        <v>288</v>
      </c>
      <c r="H100" s="707"/>
      <c r="I100" s="708"/>
      <c r="J100" s="424" t="s">
        <v>289</v>
      </c>
      <c r="K100" s="285" t="s">
        <v>23</v>
      </c>
      <c r="L100" s="285" t="s">
        <v>290</v>
      </c>
      <c r="M100" s="345" t="s">
        <v>277</v>
      </c>
      <c r="N100" s="286" t="s">
        <v>253</v>
      </c>
      <c r="O100" s="683" t="s">
        <v>244</v>
      </c>
      <c r="P100" s="684"/>
      <c r="S100" s="358"/>
      <c r="T100" s="354"/>
    </row>
    <row r="101" spans="1:20" s="308" customFormat="1" ht="35.25" customHeight="1">
      <c r="A101" s="685">
        <v>5</v>
      </c>
      <c r="B101" s="698" t="s">
        <v>318</v>
      </c>
      <c r="C101" s="288">
        <v>1</v>
      </c>
      <c r="D101" s="246" t="s">
        <v>311</v>
      </c>
      <c r="E101" s="247"/>
      <c r="F101" s="248"/>
      <c r="G101" s="316" t="s">
        <v>336</v>
      </c>
      <c r="H101" s="315"/>
      <c r="I101" s="316"/>
      <c r="J101" s="326">
        <v>147.43000000000004</v>
      </c>
      <c r="K101" s="327">
        <v>6.1400742972696806E-4</v>
      </c>
      <c r="L101" s="328">
        <v>116.63999999999865</v>
      </c>
      <c r="M101" s="337">
        <f>L101*J101</f>
        <v>17196.235199999806</v>
      </c>
      <c r="N101" s="328"/>
      <c r="O101" s="805" t="s">
        <v>429</v>
      </c>
      <c r="P101" s="806"/>
      <c r="S101" s="359"/>
    </row>
    <row r="102" spans="1:20" s="308" customFormat="1" ht="24.95" customHeight="1">
      <c r="A102" s="686"/>
      <c r="B102" s="699"/>
      <c r="C102" s="288">
        <v>2</v>
      </c>
      <c r="D102" s="246"/>
      <c r="E102" s="247"/>
      <c r="F102" s="248"/>
      <c r="G102" s="375"/>
      <c r="H102" s="315"/>
      <c r="I102" s="316"/>
      <c r="J102" s="326"/>
      <c r="K102" s="327"/>
      <c r="L102" s="328"/>
      <c r="M102" s="337">
        <f t="shared" ref="M102:M105" si="10">L102*J102</f>
        <v>0</v>
      </c>
      <c r="N102" s="328"/>
      <c r="O102" s="711"/>
      <c r="P102" s="712"/>
      <c r="S102" s="358"/>
      <c r="T102" s="355"/>
    </row>
    <row r="103" spans="1:20" ht="24.95" customHeight="1">
      <c r="A103" s="686"/>
      <c r="B103" s="699"/>
      <c r="C103" s="288">
        <v>3</v>
      </c>
      <c r="D103" s="246"/>
      <c r="E103" s="247"/>
      <c r="F103" s="248"/>
      <c r="G103" s="375"/>
      <c r="H103" s="315"/>
      <c r="I103" s="316"/>
      <c r="J103" s="326"/>
      <c r="K103" s="327"/>
      <c r="L103" s="328"/>
      <c r="M103" s="337">
        <f t="shared" si="10"/>
        <v>0</v>
      </c>
      <c r="N103" s="297"/>
      <c r="O103" s="693"/>
      <c r="P103" s="694"/>
    </row>
    <row r="104" spans="1:20" ht="24.95" customHeight="1">
      <c r="A104" s="686"/>
      <c r="B104" s="699"/>
      <c r="C104" s="288">
        <v>4</v>
      </c>
      <c r="D104" s="289"/>
      <c r="E104" s="290"/>
      <c r="F104" s="291"/>
      <c r="G104" s="375"/>
      <c r="H104" s="315"/>
      <c r="I104" s="316"/>
      <c r="J104" s="295"/>
      <c r="K104" s="296"/>
      <c r="L104" s="297"/>
      <c r="M104" s="337">
        <f t="shared" si="10"/>
        <v>0</v>
      </c>
      <c r="N104" s="297"/>
      <c r="O104" s="309"/>
      <c r="P104" s="310"/>
    </row>
    <row r="105" spans="1:20" ht="24.95" customHeight="1" thickBot="1">
      <c r="A105" s="686"/>
      <c r="B105" s="699"/>
      <c r="C105" s="288">
        <v>5</v>
      </c>
      <c r="D105" s="299"/>
      <c r="E105" s="300"/>
      <c r="F105" s="301"/>
      <c r="G105" s="375"/>
      <c r="H105" s="315"/>
      <c r="I105" s="316"/>
      <c r="J105" s="302"/>
      <c r="K105" s="257"/>
      <c r="L105" s="304"/>
      <c r="M105" s="337">
        <f t="shared" si="10"/>
        <v>0</v>
      </c>
      <c r="N105" s="297"/>
      <c r="O105" s="311"/>
      <c r="P105" s="312"/>
      <c r="R105" s="362"/>
    </row>
    <row r="106" spans="1:20" ht="15.75" customHeight="1" thickTop="1" thickBot="1">
      <c r="A106" s="687"/>
      <c r="B106" s="700"/>
      <c r="C106" s="695"/>
      <c r="D106" s="696"/>
      <c r="E106" s="696"/>
      <c r="F106" s="696"/>
      <c r="G106" s="696"/>
      <c r="H106" s="696"/>
      <c r="I106" s="697"/>
      <c r="J106" s="367" t="s">
        <v>304</v>
      </c>
      <c r="K106" s="365">
        <f>M106/'生產管理報表 7-1 (週)'!$B$54</f>
        <v>0.10462691540299025</v>
      </c>
      <c r="L106" s="368" t="s">
        <v>305</v>
      </c>
      <c r="M106" s="369">
        <f>SUM(M101:M105)</f>
        <v>17196.235199999806</v>
      </c>
      <c r="N106" s="672"/>
      <c r="O106" s="673"/>
      <c r="P106" s="674"/>
      <c r="R106" s="358"/>
    </row>
    <row r="107" spans="1:20" ht="24.95" customHeight="1" thickTop="1">
      <c r="K107" s="298" t="s">
        <v>408</v>
      </c>
      <c r="M107" s="344"/>
      <c r="R107" s="358"/>
    </row>
    <row r="108" spans="1:20" ht="24.95" customHeight="1">
      <c r="A108" s="675" t="s">
        <v>284</v>
      </c>
      <c r="B108" s="676"/>
      <c r="C108" s="313" t="s">
        <v>238</v>
      </c>
      <c r="D108" s="677" t="s">
        <v>239</v>
      </c>
      <c r="E108" s="678"/>
      <c r="F108" s="679"/>
      <c r="G108" s="680" t="s">
        <v>288</v>
      </c>
      <c r="H108" s="681"/>
      <c r="I108" s="682"/>
      <c r="J108" s="314" t="s">
        <v>289</v>
      </c>
      <c r="K108" s="285" t="s">
        <v>23</v>
      </c>
      <c r="L108" s="285" t="s">
        <v>290</v>
      </c>
      <c r="M108" s="345" t="s">
        <v>277</v>
      </c>
      <c r="N108" s="286" t="s">
        <v>253</v>
      </c>
      <c r="O108" s="683" t="s">
        <v>244</v>
      </c>
      <c r="P108" s="684"/>
      <c r="R108" s="358"/>
    </row>
    <row r="109" spans="1:20" ht="50.1" customHeight="1">
      <c r="A109" s="685">
        <v>6</v>
      </c>
      <c r="B109" s="698" t="s">
        <v>321</v>
      </c>
      <c r="C109" s="288">
        <v>1</v>
      </c>
      <c r="D109" s="363" t="s">
        <v>224</v>
      </c>
      <c r="E109" s="290"/>
      <c r="F109" s="291"/>
      <c r="G109" s="249" t="s">
        <v>338</v>
      </c>
      <c r="H109" s="250"/>
      <c r="I109" s="249"/>
      <c r="J109" s="326">
        <v>65.12</v>
      </c>
      <c r="K109" s="327">
        <v>0</v>
      </c>
      <c r="L109" s="328">
        <v>143.80000000000018</v>
      </c>
      <c r="M109" s="337">
        <f t="shared" ref="M109:M113" si="11">L109*J109</f>
        <v>9364.2560000000121</v>
      </c>
      <c r="N109" s="297"/>
      <c r="O109" s="726" t="s">
        <v>406</v>
      </c>
      <c r="P109" s="727"/>
    </row>
    <row r="110" spans="1:20" ht="50.1" customHeight="1">
      <c r="A110" s="686"/>
      <c r="B110" s="699"/>
      <c r="C110" s="288">
        <v>2</v>
      </c>
      <c r="D110" s="246" t="s">
        <v>221</v>
      </c>
      <c r="E110" s="290"/>
      <c r="F110" s="291"/>
      <c r="G110" s="249" t="s">
        <v>340</v>
      </c>
      <c r="H110" s="250"/>
      <c r="I110" s="249"/>
      <c r="J110" s="326">
        <v>68.42</v>
      </c>
      <c r="K110" s="327">
        <v>0</v>
      </c>
      <c r="L110" s="328">
        <v>71.880000000000109</v>
      </c>
      <c r="M110" s="337">
        <f t="shared" si="11"/>
        <v>4918.029600000008</v>
      </c>
      <c r="N110" s="297"/>
      <c r="O110" s="726" t="s">
        <v>406</v>
      </c>
      <c r="P110" s="727"/>
    </row>
    <row r="111" spans="1:20" ht="50.1" customHeight="1">
      <c r="A111" s="686"/>
      <c r="B111" s="699"/>
      <c r="C111" s="288">
        <v>3</v>
      </c>
      <c r="D111" s="246" t="s">
        <v>224</v>
      </c>
      <c r="E111" s="290"/>
      <c r="F111" s="291"/>
      <c r="G111" s="249" t="s">
        <v>430</v>
      </c>
      <c r="H111" s="250"/>
      <c r="I111" s="249"/>
      <c r="J111" s="326">
        <v>324.7</v>
      </c>
      <c r="K111" s="327">
        <v>0</v>
      </c>
      <c r="L111" s="328">
        <v>10.510000000000048</v>
      </c>
      <c r="M111" s="337">
        <f t="shared" si="11"/>
        <v>3412.5970000000152</v>
      </c>
      <c r="N111" s="297"/>
      <c r="O111" s="726" t="s">
        <v>431</v>
      </c>
      <c r="P111" s="727"/>
    </row>
    <row r="112" spans="1:20" ht="66" customHeight="1">
      <c r="A112" s="686"/>
      <c r="B112" s="699"/>
      <c r="C112" s="288">
        <v>4</v>
      </c>
      <c r="D112" s="246" t="s">
        <v>416</v>
      </c>
      <c r="E112" s="290"/>
      <c r="F112" s="291"/>
      <c r="G112" s="249" t="s">
        <v>417</v>
      </c>
      <c r="H112" s="250"/>
      <c r="I112" s="249"/>
      <c r="J112" s="326">
        <v>407.74000000000007</v>
      </c>
      <c r="K112" s="327">
        <v>4.2832389073846935E-4</v>
      </c>
      <c r="L112" s="328">
        <v>7.8899999999999268</v>
      </c>
      <c r="M112" s="337">
        <f t="shared" si="11"/>
        <v>3217.0685999999705</v>
      </c>
      <c r="N112" s="297"/>
      <c r="O112" s="726" t="s">
        <v>431</v>
      </c>
      <c r="P112" s="727"/>
    </row>
    <row r="113" spans="1:20" ht="50.1" customHeight="1" thickBot="1">
      <c r="A113" s="686"/>
      <c r="B113" s="699"/>
      <c r="C113" s="288">
        <v>5</v>
      </c>
      <c r="D113" s="253" t="s">
        <v>204</v>
      </c>
      <c r="E113" s="300"/>
      <c r="F113" s="301"/>
      <c r="G113" s="316" t="s">
        <v>344</v>
      </c>
      <c r="H113" s="315"/>
      <c r="I113" s="316"/>
      <c r="J113" s="330">
        <v>327.16000000000003</v>
      </c>
      <c r="K113" s="257">
        <v>1.9102738689665611E-3</v>
      </c>
      <c r="L113" s="332">
        <v>9.3600000000000048</v>
      </c>
      <c r="M113" s="337">
        <f t="shared" si="11"/>
        <v>3062.2176000000018</v>
      </c>
      <c r="N113" s="297"/>
      <c r="O113" s="726" t="s">
        <v>418</v>
      </c>
      <c r="P113" s="727"/>
    </row>
    <row r="114" spans="1:20" ht="15.75" customHeight="1" thickTop="1" thickBot="1">
      <c r="A114" s="687"/>
      <c r="B114" s="700"/>
      <c r="C114" s="695"/>
      <c r="D114" s="696"/>
      <c r="E114" s="696"/>
      <c r="F114" s="696"/>
      <c r="G114" s="696"/>
      <c r="H114" s="696"/>
      <c r="I114" s="697"/>
      <c r="J114" s="367" t="s">
        <v>304</v>
      </c>
      <c r="K114" s="365">
        <f>M114/'生產管理報表 7-1 (週)'!$B$54</f>
        <v>0.14586584224520477</v>
      </c>
      <c r="L114" s="368" t="s">
        <v>305</v>
      </c>
      <c r="M114" s="369">
        <f>SUM(M109:M113)</f>
        <v>23974.168800000007</v>
      </c>
      <c r="N114" s="672"/>
      <c r="O114" s="673"/>
      <c r="P114" s="674"/>
    </row>
    <row r="115" spans="1:20" s="136" customFormat="1" ht="15.75" customHeight="1" thickTop="1">
      <c r="A115" s="639" t="s">
        <v>432</v>
      </c>
      <c r="B115" s="639"/>
      <c r="C115" s="639"/>
      <c r="D115" s="639"/>
      <c r="E115" s="639"/>
      <c r="F115" s="639"/>
      <c r="G115" s="639"/>
      <c r="H115" s="639"/>
      <c r="I115" s="639"/>
      <c r="J115" s="639"/>
      <c r="K115" s="639"/>
      <c r="L115" s="639"/>
      <c r="M115" s="639"/>
    </row>
    <row r="116" spans="1:20" s="137" customFormat="1" ht="15.75" customHeight="1">
      <c r="A116" s="737"/>
      <c r="B116" s="737"/>
      <c r="C116" s="737"/>
      <c r="D116" s="737"/>
      <c r="E116" s="737"/>
      <c r="F116" s="737"/>
      <c r="G116" s="737"/>
      <c r="H116" s="737"/>
      <c r="I116" s="737"/>
      <c r="J116" s="737"/>
      <c r="K116" s="737"/>
      <c r="L116" s="737"/>
      <c r="M116" s="737"/>
    </row>
    <row r="117" spans="1:20" s="136" customFormat="1" ht="15.75" customHeight="1">
      <c r="A117" s="738" t="s">
        <v>284</v>
      </c>
      <c r="B117" s="740">
        <v>1</v>
      </c>
      <c r="C117" s="741"/>
      <c r="D117" s="740">
        <v>2</v>
      </c>
      <c r="E117" s="741"/>
      <c r="F117" s="740">
        <v>3</v>
      </c>
      <c r="G117" s="741"/>
      <c r="H117" s="731">
        <v>4</v>
      </c>
      <c r="I117" s="732"/>
      <c r="J117" s="731">
        <v>5</v>
      </c>
      <c r="K117" s="732"/>
      <c r="L117" s="731">
        <v>6</v>
      </c>
      <c r="M117" s="732"/>
      <c r="N117" s="731">
        <v>7</v>
      </c>
      <c r="O117" s="732"/>
      <c r="P117" s="342">
        <v>8</v>
      </c>
    </row>
    <row r="118" spans="1:20" s="136" customFormat="1" ht="15.75" customHeight="1">
      <c r="A118" s="739"/>
      <c r="B118" s="735" t="s">
        <v>273</v>
      </c>
      <c r="C118" s="736"/>
      <c r="D118" s="735" t="s">
        <v>285</v>
      </c>
      <c r="E118" s="736"/>
      <c r="F118" s="735" t="s">
        <v>275</v>
      </c>
      <c r="G118" s="736"/>
      <c r="H118" s="733" t="s">
        <v>286</v>
      </c>
      <c r="I118" s="734"/>
      <c r="J118" s="733" t="s">
        <v>280</v>
      </c>
      <c r="K118" s="734"/>
      <c r="L118" s="733" t="s">
        <v>281</v>
      </c>
      <c r="M118" s="734"/>
      <c r="N118" s="733" t="s">
        <v>282</v>
      </c>
      <c r="O118" s="734"/>
      <c r="P118" s="343" t="s">
        <v>287</v>
      </c>
    </row>
    <row r="119" spans="1:20" s="136" customFormat="1" ht="15.75" customHeight="1">
      <c r="B119" s="241"/>
      <c r="C119" s="242"/>
    </row>
    <row r="120" spans="1:20" s="287" customFormat="1" ht="15.75" customHeight="1">
      <c r="A120" s="675" t="s">
        <v>284</v>
      </c>
      <c r="B120" s="676"/>
      <c r="C120" s="284" t="s">
        <v>238</v>
      </c>
      <c r="D120" s="703" t="s">
        <v>239</v>
      </c>
      <c r="E120" s="704"/>
      <c r="F120" s="705"/>
      <c r="G120" s="706" t="s">
        <v>288</v>
      </c>
      <c r="H120" s="707"/>
      <c r="I120" s="708"/>
      <c r="J120" s="285" t="s">
        <v>289</v>
      </c>
      <c r="K120" s="285" t="s">
        <v>23</v>
      </c>
      <c r="L120" s="285" t="s">
        <v>290</v>
      </c>
      <c r="M120" s="286" t="s">
        <v>277</v>
      </c>
      <c r="N120" s="286" t="s">
        <v>253</v>
      </c>
      <c r="O120" s="683" t="s">
        <v>244</v>
      </c>
      <c r="P120" s="684"/>
      <c r="R120" s="358"/>
      <c r="S120" s="359"/>
    </row>
    <row r="121" spans="1:20" s="308" customFormat="1" ht="57.95" customHeight="1">
      <c r="A121" s="685">
        <v>4</v>
      </c>
      <c r="B121" s="719" t="s">
        <v>286</v>
      </c>
      <c r="C121" s="288">
        <v>1</v>
      </c>
      <c r="D121" s="246" t="s">
        <v>204</v>
      </c>
      <c r="E121" s="247"/>
      <c r="F121" s="248"/>
      <c r="G121" s="316" t="s">
        <v>328</v>
      </c>
      <c r="H121" s="315"/>
      <c r="I121" s="316"/>
      <c r="J121" s="326">
        <v>144.78</v>
      </c>
      <c r="K121" s="327">
        <v>4.4536300564358434E-4</v>
      </c>
      <c r="L121" s="328">
        <v>57.630000000000209</v>
      </c>
      <c r="M121" s="337">
        <f t="shared" ref="M121:M125" si="12">L121*J121</f>
        <v>8343.6714000000302</v>
      </c>
      <c r="N121" s="328"/>
      <c r="O121" s="715" t="s">
        <v>426</v>
      </c>
      <c r="P121" s="716"/>
      <c r="R121" s="360"/>
      <c r="S121" s="359"/>
    </row>
    <row r="122" spans="1:20" s="308" customFormat="1" ht="57.95" customHeight="1">
      <c r="A122" s="686"/>
      <c r="B122" s="720"/>
      <c r="C122" s="288">
        <v>2</v>
      </c>
      <c r="D122" s="246" t="s">
        <v>214</v>
      </c>
      <c r="E122" s="247"/>
      <c r="F122" s="248"/>
      <c r="G122" s="316" t="s">
        <v>332</v>
      </c>
      <c r="H122" s="315"/>
      <c r="I122" s="316"/>
      <c r="J122" s="326">
        <v>160.49</v>
      </c>
      <c r="K122" s="327">
        <v>3.2759912444359565E-3</v>
      </c>
      <c r="L122" s="328">
        <v>38.100000000000044</v>
      </c>
      <c r="M122" s="337">
        <f t="shared" si="12"/>
        <v>6114.6690000000071</v>
      </c>
      <c r="N122" s="328"/>
      <c r="O122" s="715" t="s">
        <v>425</v>
      </c>
      <c r="P122" s="716"/>
      <c r="R122" s="360"/>
      <c r="S122" s="358"/>
      <c r="T122" s="354"/>
    </row>
    <row r="123" spans="1:20" s="308" customFormat="1" ht="57.95" customHeight="1">
      <c r="A123" s="686"/>
      <c r="B123" s="720"/>
      <c r="C123" s="288">
        <v>3</v>
      </c>
      <c r="D123" s="246" t="s">
        <v>214</v>
      </c>
      <c r="E123" s="247"/>
      <c r="F123" s="248"/>
      <c r="G123" s="316" t="s">
        <v>420</v>
      </c>
      <c r="H123" s="315"/>
      <c r="I123" s="316"/>
      <c r="J123" s="326">
        <v>368.13999999999993</v>
      </c>
      <c r="K123" s="327">
        <v>1.9631672431522861E-3</v>
      </c>
      <c r="L123" s="328">
        <v>14.500000000000032</v>
      </c>
      <c r="M123" s="337">
        <f t="shared" si="12"/>
        <v>5338.0300000000107</v>
      </c>
      <c r="N123" s="328"/>
      <c r="O123" s="724" t="s">
        <v>421</v>
      </c>
      <c r="P123" s="725"/>
      <c r="R123" s="360"/>
      <c r="S123" s="359"/>
    </row>
    <row r="124" spans="1:20" s="308" customFormat="1" ht="57.95" customHeight="1">
      <c r="A124" s="686"/>
      <c r="B124" s="720"/>
      <c r="C124" s="288">
        <v>4</v>
      </c>
      <c r="D124" s="246" t="s">
        <v>311</v>
      </c>
      <c r="E124" s="247"/>
      <c r="F124" s="248"/>
      <c r="G124" s="316" t="s">
        <v>326</v>
      </c>
      <c r="H124" s="315"/>
      <c r="I124" s="316"/>
      <c r="J124" s="326">
        <v>127.84000000000002</v>
      </c>
      <c r="K124" s="327">
        <v>9.5599540074541446E-4</v>
      </c>
      <c r="L124" s="328">
        <v>39.770000000000074</v>
      </c>
      <c r="M124" s="337">
        <f t="shared" si="12"/>
        <v>5084.1968000000106</v>
      </c>
      <c r="N124" s="328"/>
      <c r="O124" s="715" t="s">
        <v>425</v>
      </c>
      <c r="P124" s="716"/>
      <c r="R124" s="360"/>
      <c r="S124" s="358"/>
      <c r="T124" s="354"/>
    </row>
    <row r="125" spans="1:20" s="308" customFormat="1" ht="57.95" customHeight="1" thickBot="1">
      <c r="A125" s="686"/>
      <c r="B125" s="720"/>
      <c r="C125" s="288">
        <v>5</v>
      </c>
      <c r="D125" s="246" t="s">
        <v>200</v>
      </c>
      <c r="E125" s="254"/>
      <c r="F125" s="255"/>
      <c r="G125" s="375" t="s">
        <v>330</v>
      </c>
      <c r="H125" s="315"/>
      <c r="I125" s="316"/>
      <c r="J125" s="330">
        <v>99.51</v>
      </c>
      <c r="K125" s="257">
        <v>2.4683825160860887E-3</v>
      </c>
      <c r="L125" s="332">
        <v>50.390000000000171</v>
      </c>
      <c r="M125" s="337">
        <f t="shared" si="12"/>
        <v>5014.3089000000173</v>
      </c>
      <c r="N125" s="328"/>
      <c r="O125" s="724" t="s">
        <v>433</v>
      </c>
      <c r="P125" s="725"/>
      <c r="R125" s="361"/>
      <c r="S125" s="359"/>
      <c r="T125" s="298"/>
    </row>
    <row r="126" spans="1:20" ht="15.75" customHeight="1" thickTop="1" thickBot="1">
      <c r="A126" s="687"/>
      <c r="B126" s="721"/>
      <c r="C126" s="728"/>
      <c r="D126" s="729"/>
      <c r="E126" s="729"/>
      <c r="F126" s="729"/>
      <c r="G126" s="729"/>
      <c r="H126" s="729"/>
      <c r="I126" s="730"/>
      <c r="J126" s="367" t="s">
        <v>304</v>
      </c>
      <c r="K126" s="365">
        <f>M126/'生產管理報表 7-1 (週)'!$B$10</f>
        <v>0.17158827766775073</v>
      </c>
      <c r="L126" s="368" t="s">
        <v>305</v>
      </c>
      <c r="M126" s="369">
        <f>SUM(M121:M125)</f>
        <v>29894.876100000074</v>
      </c>
      <c r="N126" s="672"/>
      <c r="O126" s="673"/>
      <c r="P126" s="674"/>
      <c r="R126" s="358"/>
      <c r="S126" s="358"/>
    </row>
    <row r="127" spans="1:20" ht="15.75" customHeight="1" thickTop="1">
      <c r="M127" s="344"/>
      <c r="S127" s="359"/>
    </row>
    <row r="128" spans="1:20" ht="15.75" customHeight="1">
      <c r="A128" s="675" t="s">
        <v>284</v>
      </c>
      <c r="B128" s="676"/>
      <c r="C128" s="284" t="s">
        <v>238</v>
      </c>
      <c r="D128" s="703" t="s">
        <v>239</v>
      </c>
      <c r="E128" s="704"/>
      <c r="F128" s="705"/>
      <c r="G128" s="706" t="s">
        <v>288</v>
      </c>
      <c r="H128" s="707"/>
      <c r="I128" s="708"/>
      <c r="J128" s="424" t="s">
        <v>289</v>
      </c>
      <c r="K128" s="285" t="s">
        <v>23</v>
      </c>
      <c r="L128" s="285" t="s">
        <v>290</v>
      </c>
      <c r="M128" s="345" t="s">
        <v>277</v>
      </c>
      <c r="N128" s="286" t="s">
        <v>253</v>
      </c>
      <c r="O128" s="683" t="s">
        <v>244</v>
      </c>
      <c r="P128" s="684"/>
      <c r="S128" s="358"/>
      <c r="T128" s="354"/>
    </row>
    <row r="129" spans="1:20" s="308" customFormat="1" ht="35.25" customHeight="1">
      <c r="A129" s="685">
        <v>5</v>
      </c>
      <c r="B129" s="698" t="s">
        <v>318</v>
      </c>
      <c r="C129" s="288">
        <v>1</v>
      </c>
      <c r="D129" s="246" t="s">
        <v>311</v>
      </c>
      <c r="E129" s="247"/>
      <c r="F129" s="248"/>
      <c r="G129" s="316" t="s">
        <v>336</v>
      </c>
      <c r="H129" s="315"/>
      <c r="I129" s="316"/>
      <c r="J129" s="326">
        <v>147.43000000000004</v>
      </c>
      <c r="K129" s="327">
        <v>0</v>
      </c>
      <c r="L129" s="328">
        <v>117.15000000000055</v>
      </c>
      <c r="M129" s="337">
        <f>L129*J129</f>
        <v>17271.424500000085</v>
      </c>
      <c r="N129" s="328"/>
      <c r="O129" s="805" t="s">
        <v>429</v>
      </c>
      <c r="P129" s="806"/>
      <c r="S129" s="359"/>
    </row>
    <row r="130" spans="1:20" s="308" customFormat="1" ht="24.95" customHeight="1">
      <c r="A130" s="686"/>
      <c r="B130" s="699"/>
      <c r="C130" s="288">
        <v>2</v>
      </c>
      <c r="D130" s="246"/>
      <c r="E130" s="247"/>
      <c r="F130" s="248"/>
      <c r="G130" s="375"/>
      <c r="H130" s="315"/>
      <c r="I130" s="316"/>
      <c r="J130" s="326"/>
      <c r="K130" s="327"/>
      <c r="L130" s="328"/>
      <c r="M130" s="337">
        <f t="shared" ref="M130:M133" si="13">L130*J130</f>
        <v>0</v>
      </c>
      <c r="N130" s="328"/>
      <c r="O130" s="711"/>
      <c r="P130" s="712"/>
      <c r="S130" s="358"/>
      <c r="T130" s="355"/>
    </row>
    <row r="131" spans="1:20" ht="24.95" customHeight="1">
      <c r="A131" s="686"/>
      <c r="B131" s="699"/>
      <c r="C131" s="288">
        <v>3</v>
      </c>
      <c r="D131" s="246"/>
      <c r="E131" s="247"/>
      <c r="F131" s="248"/>
      <c r="G131" s="375"/>
      <c r="H131" s="315"/>
      <c r="I131" s="316"/>
      <c r="J131" s="326"/>
      <c r="K131" s="327"/>
      <c r="L131" s="328"/>
      <c r="M131" s="337">
        <f t="shared" si="13"/>
        <v>0</v>
      </c>
      <c r="N131" s="297"/>
      <c r="O131" s="693"/>
      <c r="P131" s="694"/>
    </row>
    <row r="132" spans="1:20" ht="24.95" customHeight="1">
      <c r="A132" s="686"/>
      <c r="B132" s="699"/>
      <c r="C132" s="288">
        <v>4</v>
      </c>
      <c r="D132" s="289"/>
      <c r="E132" s="290"/>
      <c r="F132" s="291"/>
      <c r="G132" s="375"/>
      <c r="H132" s="315"/>
      <c r="I132" s="316"/>
      <c r="J132" s="295"/>
      <c r="K132" s="296"/>
      <c r="L132" s="297"/>
      <c r="M132" s="337">
        <f t="shared" si="13"/>
        <v>0</v>
      </c>
      <c r="N132" s="297"/>
      <c r="O132" s="309"/>
      <c r="P132" s="310"/>
    </row>
    <row r="133" spans="1:20" ht="24.95" customHeight="1" thickBot="1">
      <c r="A133" s="686"/>
      <c r="B133" s="699"/>
      <c r="C133" s="288">
        <v>5</v>
      </c>
      <c r="D133" s="299"/>
      <c r="E133" s="300"/>
      <c r="F133" s="301"/>
      <c r="G133" s="375"/>
      <c r="H133" s="315"/>
      <c r="I133" s="316"/>
      <c r="J133" s="302"/>
      <c r="K133" s="257"/>
      <c r="L133" s="304"/>
      <c r="M133" s="337">
        <f t="shared" si="13"/>
        <v>0</v>
      </c>
      <c r="N133" s="297"/>
      <c r="O133" s="311"/>
      <c r="P133" s="312"/>
      <c r="R133" s="362"/>
    </row>
    <row r="134" spans="1:20" ht="15.75" customHeight="1" thickTop="1" thickBot="1">
      <c r="A134" s="687"/>
      <c r="B134" s="700"/>
      <c r="C134" s="695"/>
      <c r="D134" s="696"/>
      <c r="E134" s="696"/>
      <c r="F134" s="696"/>
      <c r="G134" s="696"/>
      <c r="H134" s="696"/>
      <c r="I134" s="697"/>
      <c r="J134" s="367" t="s">
        <v>304</v>
      </c>
      <c r="K134" s="365">
        <f>M134/'生產管理報表 7-1 (週)'!$B$10</f>
        <v>9.9133174959825307E-2</v>
      </c>
      <c r="L134" s="368" t="s">
        <v>305</v>
      </c>
      <c r="M134" s="369">
        <f>SUM(M129:M133)</f>
        <v>17271.424500000085</v>
      </c>
      <c r="N134" s="672"/>
      <c r="O134" s="673"/>
      <c r="P134" s="674"/>
      <c r="R134" s="358"/>
    </row>
    <row r="135" spans="1:20" ht="24.95" customHeight="1" thickTop="1">
      <c r="K135" s="298" t="s">
        <v>408</v>
      </c>
      <c r="M135" s="344"/>
      <c r="R135" s="358"/>
    </row>
    <row r="136" spans="1:20" ht="24.95" customHeight="1">
      <c r="A136" s="675" t="s">
        <v>284</v>
      </c>
      <c r="B136" s="676"/>
      <c r="C136" s="313" t="s">
        <v>238</v>
      </c>
      <c r="D136" s="677" t="s">
        <v>239</v>
      </c>
      <c r="E136" s="678"/>
      <c r="F136" s="679"/>
      <c r="G136" s="680" t="s">
        <v>288</v>
      </c>
      <c r="H136" s="681"/>
      <c r="I136" s="682"/>
      <c r="J136" s="314" t="s">
        <v>289</v>
      </c>
      <c r="K136" s="285" t="s">
        <v>23</v>
      </c>
      <c r="L136" s="285" t="s">
        <v>290</v>
      </c>
      <c r="M136" s="345" t="s">
        <v>277</v>
      </c>
      <c r="N136" s="286" t="s">
        <v>253</v>
      </c>
      <c r="O136" s="683" t="s">
        <v>244</v>
      </c>
      <c r="P136" s="684"/>
      <c r="R136" s="358"/>
    </row>
    <row r="137" spans="1:20" ht="50.1" customHeight="1">
      <c r="A137" s="685">
        <v>6</v>
      </c>
      <c r="B137" s="698" t="s">
        <v>321</v>
      </c>
      <c r="C137" s="288">
        <v>1</v>
      </c>
      <c r="D137" s="363" t="s">
        <v>224</v>
      </c>
      <c r="E137" s="290"/>
      <c r="F137" s="291"/>
      <c r="G137" s="249" t="s">
        <v>338</v>
      </c>
      <c r="H137" s="250"/>
      <c r="I137" s="249"/>
      <c r="J137" s="326">
        <v>65.12</v>
      </c>
      <c r="K137" s="327">
        <v>0</v>
      </c>
      <c r="L137" s="328">
        <v>101.5</v>
      </c>
      <c r="M137" s="337">
        <f t="shared" ref="M137:M141" si="14">L137*J137</f>
        <v>6609.68</v>
      </c>
      <c r="N137" s="297"/>
      <c r="O137" s="726" t="s">
        <v>434</v>
      </c>
      <c r="P137" s="727"/>
    </row>
    <row r="138" spans="1:20" ht="50.1" customHeight="1">
      <c r="A138" s="686"/>
      <c r="B138" s="699"/>
      <c r="C138" s="288">
        <v>2</v>
      </c>
      <c r="D138" s="246" t="s">
        <v>204</v>
      </c>
      <c r="E138" s="290"/>
      <c r="F138" s="291"/>
      <c r="G138" s="249" t="s">
        <v>344</v>
      </c>
      <c r="H138" s="250"/>
      <c r="I138" s="249"/>
      <c r="J138" s="326">
        <v>327.16000000000003</v>
      </c>
      <c r="K138" s="327">
        <v>6.602112676056339E-4</v>
      </c>
      <c r="L138" s="328">
        <v>18.310000000000102</v>
      </c>
      <c r="M138" s="337">
        <f t="shared" si="14"/>
        <v>5990.2996000000339</v>
      </c>
      <c r="N138" s="297"/>
      <c r="O138" s="726" t="s">
        <v>401</v>
      </c>
      <c r="P138" s="727"/>
    </row>
    <row r="139" spans="1:20" ht="50.1" customHeight="1">
      <c r="A139" s="686"/>
      <c r="B139" s="699"/>
      <c r="C139" s="288">
        <v>3</v>
      </c>
      <c r="D139" s="246" t="s">
        <v>198</v>
      </c>
      <c r="E139" s="290"/>
      <c r="F139" s="291"/>
      <c r="G139" s="249" t="s">
        <v>341</v>
      </c>
      <c r="H139" s="250"/>
      <c r="I139" s="249"/>
      <c r="J139" s="326">
        <v>605.77999999999986</v>
      </c>
      <c r="K139" s="327">
        <v>2.0337998159895403E-4</v>
      </c>
      <c r="L139" s="328">
        <v>7.7300000000000546</v>
      </c>
      <c r="M139" s="337">
        <f t="shared" si="14"/>
        <v>4682.6794000000318</v>
      </c>
      <c r="N139" s="297"/>
      <c r="O139" s="726" t="s">
        <v>435</v>
      </c>
      <c r="P139" s="727"/>
    </row>
    <row r="140" spans="1:20" ht="66" customHeight="1">
      <c r="A140" s="686"/>
      <c r="B140" s="699"/>
      <c r="C140" s="288">
        <v>4</v>
      </c>
      <c r="D140" s="246" t="s">
        <v>221</v>
      </c>
      <c r="E140" s="290"/>
      <c r="F140" s="291"/>
      <c r="G140" s="249" t="s">
        <v>340</v>
      </c>
      <c r="H140" s="250"/>
      <c r="I140" s="249"/>
      <c r="J140" s="326">
        <v>68.42</v>
      </c>
      <c r="K140" s="327">
        <v>6.0806331833111542E-4</v>
      </c>
      <c r="L140" s="328">
        <v>63.19000000000031</v>
      </c>
      <c r="M140" s="337">
        <f t="shared" si="14"/>
        <v>4323.4598000000215</v>
      </c>
      <c r="N140" s="297"/>
      <c r="O140" s="726" t="s">
        <v>434</v>
      </c>
      <c r="P140" s="727"/>
    </row>
    <row r="141" spans="1:20" ht="50.1" customHeight="1" thickBot="1">
      <c r="A141" s="686"/>
      <c r="B141" s="699"/>
      <c r="C141" s="288">
        <v>5</v>
      </c>
      <c r="D141" s="253"/>
      <c r="E141" s="300"/>
      <c r="F141" s="301"/>
      <c r="G141" s="375"/>
      <c r="H141" s="315"/>
      <c r="I141" s="316"/>
      <c r="J141" s="330"/>
      <c r="K141" s="257"/>
      <c r="L141" s="332"/>
      <c r="M141" s="337">
        <f t="shared" si="14"/>
        <v>0</v>
      </c>
      <c r="N141" s="297"/>
      <c r="O141" s="726"/>
      <c r="P141" s="727"/>
    </row>
    <row r="142" spans="1:20" ht="15.75" customHeight="1" thickTop="1" thickBot="1">
      <c r="A142" s="687"/>
      <c r="B142" s="700"/>
      <c r="C142" s="695"/>
      <c r="D142" s="696"/>
      <c r="E142" s="696"/>
      <c r="F142" s="696"/>
      <c r="G142" s="696"/>
      <c r="H142" s="696"/>
      <c r="I142" s="697"/>
      <c r="J142" s="367" t="s">
        <v>304</v>
      </c>
      <c r="K142" s="365">
        <f>M142/'生產管理報表 7-1 (週)'!$B$10</f>
        <v>0.12401311514306008</v>
      </c>
      <c r="L142" s="368" t="s">
        <v>305</v>
      </c>
      <c r="M142" s="369">
        <f>SUM(M137:M141)</f>
        <v>21606.118800000088</v>
      </c>
      <c r="N142" s="672"/>
      <c r="O142" s="673"/>
      <c r="P142" s="674"/>
    </row>
    <row r="143" spans="1:20" s="136" customFormat="1" ht="15.75" customHeight="1" thickTop="1">
      <c r="A143" s="639" t="s">
        <v>436</v>
      </c>
      <c r="B143" s="639"/>
      <c r="C143" s="639"/>
      <c r="D143" s="639"/>
      <c r="E143" s="639"/>
      <c r="F143" s="639"/>
      <c r="G143" s="639"/>
      <c r="H143" s="639"/>
      <c r="I143" s="639"/>
      <c r="J143" s="639"/>
      <c r="K143" s="639"/>
      <c r="L143" s="639"/>
      <c r="M143" s="639"/>
    </row>
    <row r="144" spans="1:20" s="137" customFormat="1" ht="15.75" customHeight="1">
      <c r="A144" s="737"/>
      <c r="B144" s="737"/>
      <c r="C144" s="737"/>
      <c r="D144" s="737"/>
      <c r="E144" s="737"/>
      <c r="F144" s="737"/>
      <c r="G144" s="737"/>
      <c r="H144" s="737"/>
      <c r="I144" s="737"/>
      <c r="J144" s="737"/>
      <c r="K144" s="737"/>
      <c r="L144" s="737"/>
      <c r="M144" s="737"/>
    </row>
    <row r="145" spans="1:20" s="136" customFormat="1" ht="15.75" customHeight="1">
      <c r="A145" s="738" t="s">
        <v>284</v>
      </c>
      <c r="B145" s="740">
        <v>1</v>
      </c>
      <c r="C145" s="741"/>
      <c r="D145" s="740">
        <v>2</v>
      </c>
      <c r="E145" s="741"/>
      <c r="F145" s="740">
        <v>3</v>
      </c>
      <c r="G145" s="741"/>
      <c r="H145" s="731">
        <v>4</v>
      </c>
      <c r="I145" s="732"/>
      <c r="J145" s="731">
        <v>5</v>
      </c>
      <c r="K145" s="732"/>
      <c r="L145" s="731">
        <v>6</v>
      </c>
      <c r="M145" s="732"/>
      <c r="N145" s="731">
        <v>7</v>
      </c>
      <c r="O145" s="732"/>
      <c r="P145" s="342">
        <v>8</v>
      </c>
    </row>
    <row r="146" spans="1:20" s="136" customFormat="1" ht="15.75" customHeight="1">
      <c r="A146" s="739"/>
      <c r="B146" s="735" t="s">
        <v>273</v>
      </c>
      <c r="C146" s="736"/>
      <c r="D146" s="735" t="s">
        <v>285</v>
      </c>
      <c r="E146" s="736"/>
      <c r="F146" s="735" t="s">
        <v>275</v>
      </c>
      <c r="G146" s="736"/>
      <c r="H146" s="733" t="s">
        <v>286</v>
      </c>
      <c r="I146" s="734"/>
      <c r="J146" s="733" t="s">
        <v>280</v>
      </c>
      <c r="K146" s="734"/>
      <c r="L146" s="733" t="s">
        <v>281</v>
      </c>
      <c r="M146" s="734"/>
      <c r="N146" s="733" t="s">
        <v>282</v>
      </c>
      <c r="O146" s="734"/>
      <c r="P146" s="343" t="s">
        <v>287</v>
      </c>
    </row>
    <row r="147" spans="1:20" s="136" customFormat="1" ht="15.75" customHeight="1">
      <c r="B147" s="241"/>
      <c r="C147" s="242"/>
    </row>
    <row r="148" spans="1:20" s="287" customFormat="1" ht="15.75" customHeight="1">
      <c r="A148" s="675" t="s">
        <v>284</v>
      </c>
      <c r="B148" s="676"/>
      <c r="C148" s="284" t="s">
        <v>238</v>
      </c>
      <c r="D148" s="703" t="s">
        <v>239</v>
      </c>
      <c r="E148" s="704"/>
      <c r="F148" s="705"/>
      <c r="G148" s="706" t="s">
        <v>288</v>
      </c>
      <c r="H148" s="707"/>
      <c r="I148" s="708"/>
      <c r="J148" s="285" t="s">
        <v>289</v>
      </c>
      <c r="K148" s="285" t="s">
        <v>23</v>
      </c>
      <c r="L148" s="285" t="s">
        <v>290</v>
      </c>
      <c r="M148" s="286" t="s">
        <v>277</v>
      </c>
      <c r="N148" s="286" t="s">
        <v>253</v>
      </c>
      <c r="O148" s="683" t="s">
        <v>244</v>
      </c>
      <c r="P148" s="684"/>
      <c r="R148" s="358"/>
      <c r="S148" s="359"/>
    </row>
    <row r="149" spans="1:20" s="308" customFormat="1" ht="60" customHeight="1">
      <c r="A149" s="685">
        <v>4</v>
      </c>
      <c r="B149" s="719" t="s">
        <v>286</v>
      </c>
      <c r="C149" s="288">
        <v>1</v>
      </c>
      <c r="D149" s="246" t="s">
        <v>311</v>
      </c>
      <c r="E149" s="247"/>
      <c r="F149" s="248"/>
      <c r="G149" s="375" t="s">
        <v>326</v>
      </c>
      <c r="H149" s="315"/>
      <c r="I149" s="316"/>
      <c r="J149" s="326">
        <v>127.84000000000002</v>
      </c>
      <c r="K149" s="327">
        <v>0</v>
      </c>
      <c r="L149" s="328">
        <v>103.63999999999987</v>
      </c>
      <c r="M149" s="337">
        <f t="shared" ref="M149:M153" si="15">L149*J149</f>
        <v>13249.337599999986</v>
      </c>
      <c r="N149" s="328"/>
      <c r="O149" s="715" t="s">
        <v>437</v>
      </c>
      <c r="P149" s="716"/>
      <c r="R149" s="360"/>
      <c r="S149" s="359"/>
    </row>
    <row r="150" spans="1:20" s="308" customFormat="1" ht="60" customHeight="1">
      <c r="A150" s="686"/>
      <c r="B150" s="720"/>
      <c r="C150" s="288">
        <v>2</v>
      </c>
      <c r="D150" s="246" t="s">
        <v>204</v>
      </c>
      <c r="E150" s="247"/>
      <c r="F150" s="248"/>
      <c r="G150" s="375" t="s">
        <v>328</v>
      </c>
      <c r="H150" s="315"/>
      <c r="I150" s="316"/>
      <c r="J150" s="326">
        <v>144.78</v>
      </c>
      <c r="K150" s="327">
        <v>3.7468566034744885E-4</v>
      </c>
      <c r="L150" s="328">
        <v>43.40000000000007</v>
      </c>
      <c r="M150" s="337">
        <f t="shared" si="15"/>
        <v>6283.4520000000102</v>
      </c>
      <c r="N150" s="328"/>
      <c r="O150" s="715" t="s">
        <v>438</v>
      </c>
      <c r="P150" s="716"/>
      <c r="R150" s="360"/>
      <c r="S150" s="358"/>
      <c r="T150" s="354"/>
    </row>
    <row r="151" spans="1:20" s="308" customFormat="1" ht="60" customHeight="1">
      <c r="A151" s="686"/>
      <c r="B151" s="720"/>
      <c r="C151" s="288">
        <v>3</v>
      </c>
      <c r="D151" s="246" t="s">
        <v>200</v>
      </c>
      <c r="E151" s="247"/>
      <c r="F151" s="248"/>
      <c r="G151" s="375" t="s">
        <v>330</v>
      </c>
      <c r="H151" s="315"/>
      <c r="I151" s="316"/>
      <c r="J151" s="326">
        <v>99.51</v>
      </c>
      <c r="K151" s="327">
        <v>5.6476170242900636E-3</v>
      </c>
      <c r="L151" s="328">
        <v>48.29000000000007</v>
      </c>
      <c r="M151" s="337">
        <f t="shared" si="15"/>
        <v>4805.3379000000068</v>
      </c>
      <c r="N151" s="328"/>
      <c r="O151" s="724" t="s">
        <v>406</v>
      </c>
      <c r="P151" s="725"/>
      <c r="R151" s="360"/>
      <c r="S151" s="359"/>
    </row>
    <row r="152" spans="1:20" s="308" customFormat="1" ht="60" customHeight="1">
      <c r="A152" s="686"/>
      <c r="B152" s="720"/>
      <c r="C152" s="288">
        <v>4</v>
      </c>
      <c r="D152" s="246" t="s">
        <v>199</v>
      </c>
      <c r="E152" s="247"/>
      <c r="F152" s="248"/>
      <c r="G152" s="375" t="s">
        <v>405</v>
      </c>
      <c r="H152" s="315"/>
      <c r="I152" s="316"/>
      <c r="J152" s="326">
        <v>66.13</v>
      </c>
      <c r="K152" s="327">
        <v>4.7443547443547446E-3</v>
      </c>
      <c r="L152" s="328">
        <v>71.140000000000455</v>
      </c>
      <c r="M152" s="337">
        <f t="shared" si="15"/>
        <v>4704.4882000000298</v>
      </c>
      <c r="N152" s="328"/>
      <c r="O152" s="724" t="s">
        <v>406</v>
      </c>
      <c r="P152" s="725"/>
      <c r="R152" s="360"/>
      <c r="S152" s="358"/>
      <c r="T152" s="354"/>
    </row>
    <row r="153" spans="1:20" s="308" customFormat="1" ht="60" customHeight="1" thickBot="1">
      <c r="A153" s="686"/>
      <c r="B153" s="720"/>
      <c r="C153" s="288">
        <v>5</v>
      </c>
      <c r="D153" s="246" t="s">
        <v>214</v>
      </c>
      <c r="E153" s="254"/>
      <c r="F153" s="255"/>
      <c r="G153" s="375" t="s">
        <v>420</v>
      </c>
      <c r="H153" s="315"/>
      <c r="I153" s="316"/>
      <c r="J153" s="330">
        <v>368.13999999999993</v>
      </c>
      <c r="K153" s="257">
        <v>4.8672458689250688E-4</v>
      </c>
      <c r="L153" s="332">
        <v>10.599999999999955</v>
      </c>
      <c r="M153" s="337">
        <f t="shared" si="15"/>
        <v>3902.2839999999828</v>
      </c>
      <c r="N153" s="328"/>
      <c r="O153" s="724" t="s">
        <v>439</v>
      </c>
      <c r="P153" s="725"/>
      <c r="R153" s="361"/>
      <c r="S153" s="359"/>
      <c r="T153" s="298"/>
    </row>
    <row r="154" spans="1:20" ht="15.75" customHeight="1" thickTop="1" thickBot="1">
      <c r="A154" s="687"/>
      <c r="B154" s="721"/>
      <c r="C154" s="728"/>
      <c r="D154" s="729"/>
      <c r="E154" s="729"/>
      <c r="F154" s="729"/>
      <c r="G154" s="729"/>
      <c r="H154" s="729"/>
      <c r="I154" s="730"/>
      <c r="J154" s="367" t="s">
        <v>304</v>
      </c>
      <c r="K154" s="365">
        <f>M154/'生產管理報表 7-1 (週)'!$B$21</f>
        <v>0.19244600768285722</v>
      </c>
      <c r="L154" s="368" t="s">
        <v>305</v>
      </c>
      <c r="M154" s="369">
        <f>SUM(M149:M153)</f>
        <v>32944.899700000016</v>
      </c>
      <c r="N154" s="672"/>
      <c r="O154" s="673"/>
      <c r="P154" s="674"/>
      <c r="R154" s="358"/>
      <c r="S154" s="358"/>
    </row>
    <row r="155" spans="1:20" ht="15.75" customHeight="1" thickTop="1">
      <c r="M155" s="344"/>
      <c r="S155" s="359"/>
    </row>
    <row r="156" spans="1:20" ht="15.75" customHeight="1">
      <c r="A156" s="675" t="s">
        <v>284</v>
      </c>
      <c r="B156" s="676"/>
      <c r="C156" s="284" t="s">
        <v>238</v>
      </c>
      <c r="D156" s="703" t="s">
        <v>239</v>
      </c>
      <c r="E156" s="704"/>
      <c r="F156" s="705"/>
      <c r="G156" s="706" t="s">
        <v>288</v>
      </c>
      <c r="H156" s="707"/>
      <c r="I156" s="708"/>
      <c r="J156" s="424" t="s">
        <v>289</v>
      </c>
      <c r="K156" s="285" t="s">
        <v>23</v>
      </c>
      <c r="L156" s="285" t="s">
        <v>290</v>
      </c>
      <c r="M156" s="345" t="s">
        <v>277</v>
      </c>
      <c r="N156" s="286" t="s">
        <v>253</v>
      </c>
      <c r="O156" s="683" t="s">
        <v>244</v>
      </c>
      <c r="P156" s="684"/>
      <c r="S156" s="358"/>
      <c r="T156" s="354"/>
    </row>
    <row r="157" spans="1:20" s="308" customFormat="1" ht="35.25" customHeight="1">
      <c r="A157" s="685">
        <v>5</v>
      </c>
      <c r="B157" s="698" t="s">
        <v>318</v>
      </c>
      <c r="C157" s="288">
        <v>1</v>
      </c>
      <c r="D157" s="246" t="s">
        <v>311</v>
      </c>
      <c r="E157" s="247"/>
      <c r="F157" s="248"/>
      <c r="G157" s="375" t="s">
        <v>336</v>
      </c>
      <c r="H157" s="315"/>
      <c r="I157" s="316"/>
      <c r="J157" s="326">
        <v>147.43000000000004</v>
      </c>
      <c r="K157" s="327">
        <v>8.4497793400480916E-4</v>
      </c>
      <c r="L157" s="328">
        <v>132.35999999999967</v>
      </c>
      <c r="M157" s="337">
        <f>L157*J157</f>
        <v>19513.834799999957</v>
      </c>
      <c r="N157" s="328"/>
      <c r="O157" s="805" t="s">
        <v>429</v>
      </c>
      <c r="P157" s="806"/>
      <c r="S157" s="359"/>
    </row>
    <row r="158" spans="1:20" s="308" customFormat="1" ht="24.95" customHeight="1">
      <c r="A158" s="686"/>
      <c r="B158" s="699"/>
      <c r="C158" s="288">
        <v>2</v>
      </c>
      <c r="D158" s="246"/>
      <c r="E158" s="247"/>
      <c r="F158" s="248"/>
      <c r="G158" s="375"/>
      <c r="H158" s="315"/>
      <c r="I158" s="316"/>
      <c r="J158" s="326"/>
      <c r="K158" s="327"/>
      <c r="L158" s="328"/>
      <c r="M158" s="337">
        <f t="shared" ref="M158:M161" si="16">L158*J158</f>
        <v>0</v>
      </c>
      <c r="N158" s="328"/>
      <c r="O158" s="711"/>
      <c r="P158" s="712"/>
      <c r="S158" s="358"/>
      <c r="T158" s="355"/>
    </row>
    <row r="159" spans="1:20" ht="24.95" customHeight="1">
      <c r="A159" s="686"/>
      <c r="B159" s="699"/>
      <c r="C159" s="288">
        <v>3</v>
      </c>
      <c r="D159" s="246"/>
      <c r="E159" s="247"/>
      <c r="F159" s="248"/>
      <c r="G159" s="375"/>
      <c r="H159" s="315"/>
      <c r="I159" s="316"/>
      <c r="J159" s="326"/>
      <c r="K159" s="327"/>
      <c r="L159" s="328"/>
      <c r="M159" s="337">
        <f t="shared" si="16"/>
        <v>0</v>
      </c>
      <c r="N159" s="297"/>
      <c r="O159" s="693"/>
      <c r="P159" s="694"/>
    </row>
    <row r="160" spans="1:20" ht="24.95" customHeight="1">
      <c r="A160" s="686"/>
      <c r="B160" s="699"/>
      <c r="C160" s="288">
        <v>4</v>
      </c>
      <c r="D160" s="289"/>
      <c r="E160" s="290"/>
      <c r="F160" s="291"/>
      <c r="G160" s="375"/>
      <c r="H160" s="315"/>
      <c r="I160" s="316"/>
      <c r="J160" s="295"/>
      <c r="K160" s="296"/>
      <c r="L160" s="297"/>
      <c r="M160" s="337">
        <f t="shared" si="16"/>
        <v>0</v>
      </c>
      <c r="N160" s="297"/>
      <c r="O160" s="309"/>
      <c r="P160" s="310"/>
    </row>
    <row r="161" spans="1:19" ht="24.95" customHeight="1" thickBot="1">
      <c r="A161" s="686"/>
      <c r="B161" s="699"/>
      <c r="C161" s="288">
        <v>5</v>
      </c>
      <c r="D161" s="299"/>
      <c r="E161" s="300"/>
      <c r="F161" s="301"/>
      <c r="G161" s="375"/>
      <c r="H161" s="315"/>
      <c r="I161" s="316"/>
      <c r="J161" s="302"/>
      <c r="K161" s="257"/>
      <c r="L161" s="304"/>
      <c r="M161" s="337">
        <f t="shared" si="16"/>
        <v>0</v>
      </c>
      <c r="N161" s="297"/>
      <c r="O161" s="311"/>
      <c r="P161" s="312"/>
      <c r="R161" s="362"/>
    </row>
    <row r="162" spans="1:19" ht="15.75" customHeight="1" thickTop="1" thickBot="1">
      <c r="A162" s="687"/>
      <c r="B162" s="700"/>
      <c r="C162" s="695"/>
      <c r="D162" s="696"/>
      <c r="E162" s="696"/>
      <c r="F162" s="696"/>
      <c r="G162" s="696"/>
      <c r="H162" s="696"/>
      <c r="I162" s="697"/>
      <c r="J162" s="367" t="s">
        <v>304</v>
      </c>
      <c r="K162" s="365">
        <f>M162/'生產管理報表 7-1 (週)'!$B$21</f>
        <v>0.11398910411139593</v>
      </c>
      <c r="L162" s="368" t="s">
        <v>305</v>
      </c>
      <c r="M162" s="369">
        <f>SUM(M157:M161)</f>
        <v>19513.834799999957</v>
      </c>
      <c r="N162" s="672"/>
      <c r="O162" s="673"/>
      <c r="P162" s="674"/>
      <c r="R162" s="358"/>
    </row>
    <row r="163" spans="1:19" ht="24.95" customHeight="1" thickTop="1">
      <c r="K163" s="298" t="s">
        <v>408</v>
      </c>
      <c r="M163" s="344"/>
      <c r="R163" s="358"/>
    </row>
    <row r="164" spans="1:19" ht="24.95" customHeight="1">
      <c r="A164" s="675" t="s">
        <v>284</v>
      </c>
      <c r="B164" s="676"/>
      <c r="C164" s="313" t="s">
        <v>238</v>
      </c>
      <c r="D164" s="677" t="s">
        <v>239</v>
      </c>
      <c r="E164" s="678"/>
      <c r="F164" s="679"/>
      <c r="G164" s="680" t="s">
        <v>288</v>
      </c>
      <c r="H164" s="681"/>
      <c r="I164" s="682"/>
      <c r="J164" s="314" t="s">
        <v>289</v>
      </c>
      <c r="K164" s="285" t="s">
        <v>23</v>
      </c>
      <c r="L164" s="285" t="s">
        <v>290</v>
      </c>
      <c r="M164" s="345" t="s">
        <v>277</v>
      </c>
      <c r="N164" s="286" t="s">
        <v>253</v>
      </c>
      <c r="O164" s="683" t="s">
        <v>244</v>
      </c>
      <c r="P164" s="684"/>
      <c r="R164" s="358"/>
    </row>
    <row r="165" spans="1:19" ht="50.1" customHeight="1">
      <c r="A165" s="685">
        <v>6</v>
      </c>
      <c r="B165" s="698" t="s">
        <v>321</v>
      </c>
      <c r="C165" s="288">
        <v>1</v>
      </c>
      <c r="D165" s="363" t="s">
        <v>221</v>
      </c>
      <c r="E165" s="290"/>
      <c r="F165" s="291"/>
      <c r="G165" s="375" t="s">
        <v>340</v>
      </c>
      <c r="H165" s="315"/>
      <c r="I165" s="316"/>
      <c r="J165" s="326">
        <v>68.42</v>
      </c>
      <c r="K165" s="327">
        <v>0</v>
      </c>
      <c r="L165" s="328">
        <v>65.059999999999945</v>
      </c>
      <c r="M165" s="337">
        <f t="shared" ref="M165:M169" si="17">L165*J165</f>
        <v>4451.4051999999965</v>
      </c>
      <c r="N165" s="297"/>
      <c r="O165" s="726" t="s">
        <v>406</v>
      </c>
      <c r="P165" s="727"/>
    </row>
    <row r="166" spans="1:19" ht="50.1" customHeight="1">
      <c r="A166" s="686"/>
      <c r="B166" s="699"/>
      <c r="C166" s="288">
        <v>2</v>
      </c>
      <c r="D166" s="246" t="s">
        <v>224</v>
      </c>
      <c r="E166" s="290"/>
      <c r="F166" s="291"/>
      <c r="G166" s="375" t="s">
        <v>338</v>
      </c>
      <c r="H166" s="315"/>
      <c r="I166" s="316"/>
      <c r="J166" s="326">
        <v>65.12</v>
      </c>
      <c r="K166" s="327">
        <v>4.2439707263480595E-3</v>
      </c>
      <c r="L166" s="328">
        <v>53.039999999999893</v>
      </c>
      <c r="M166" s="337">
        <f t="shared" si="17"/>
        <v>3453.9647999999934</v>
      </c>
      <c r="N166" s="297"/>
      <c r="O166" s="726" t="s">
        <v>406</v>
      </c>
      <c r="P166" s="727"/>
    </row>
    <row r="167" spans="1:19" ht="50.1" customHeight="1">
      <c r="A167" s="686"/>
      <c r="B167" s="699"/>
      <c r="C167" s="288">
        <v>3</v>
      </c>
      <c r="D167" s="246" t="s">
        <v>226</v>
      </c>
      <c r="E167" s="290"/>
      <c r="F167" s="291"/>
      <c r="G167" s="375" t="s">
        <v>343</v>
      </c>
      <c r="H167" s="315"/>
      <c r="I167" s="316"/>
      <c r="J167" s="326">
        <v>51.87</v>
      </c>
      <c r="K167" s="327">
        <v>3.736831643808388E-3</v>
      </c>
      <c r="L167" s="328">
        <v>52.450000000000031</v>
      </c>
      <c r="M167" s="337">
        <f t="shared" si="17"/>
        <v>2720.5815000000016</v>
      </c>
      <c r="N167" s="297"/>
      <c r="O167" s="726" t="s">
        <v>406</v>
      </c>
      <c r="P167" s="727"/>
    </row>
    <row r="168" spans="1:19" ht="66" customHeight="1">
      <c r="A168" s="686"/>
      <c r="B168" s="699"/>
      <c r="C168" s="288">
        <v>4</v>
      </c>
      <c r="D168" s="246"/>
      <c r="E168" s="290"/>
      <c r="F168" s="291"/>
      <c r="G168" s="375"/>
      <c r="H168" s="315"/>
      <c r="I168" s="316"/>
      <c r="J168" s="326"/>
      <c r="K168" s="327"/>
      <c r="L168" s="328"/>
      <c r="M168" s="337">
        <f t="shared" si="17"/>
        <v>0</v>
      </c>
      <c r="N168" s="297"/>
      <c r="O168" s="726"/>
      <c r="P168" s="727"/>
    </row>
    <row r="169" spans="1:19" ht="50.1" customHeight="1" thickBot="1">
      <c r="A169" s="686"/>
      <c r="B169" s="699"/>
      <c r="C169" s="288">
        <v>5</v>
      </c>
      <c r="D169" s="253"/>
      <c r="E169" s="300"/>
      <c r="F169" s="301"/>
      <c r="G169" s="375"/>
      <c r="H169" s="315"/>
      <c r="I169" s="316"/>
      <c r="J169" s="330"/>
      <c r="K169" s="257"/>
      <c r="L169" s="332"/>
      <c r="M169" s="337">
        <f t="shared" si="17"/>
        <v>0</v>
      </c>
      <c r="N169" s="297"/>
      <c r="O169" s="726"/>
      <c r="P169" s="727"/>
    </row>
    <row r="170" spans="1:19" ht="15.75" customHeight="1" thickTop="1" thickBot="1">
      <c r="A170" s="687"/>
      <c r="B170" s="700"/>
      <c r="C170" s="695"/>
      <c r="D170" s="696"/>
      <c r="E170" s="696"/>
      <c r="F170" s="696"/>
      <c r="G170" s="696"/>
      <c r="H170" s="696"/>
      <c r="I170" s="697"/>
      <c r="J170" s="367" t="s">
        <v>304</v>
      </c>
      <c r="K170" s="365">
        <f>M170/'生產管理報表 7-1 (週)'!$B$21</f>
        <v>6.2070971914559077E-2</v>
      </c>
      <c r="L170" s="368" t="s">
        <v>305</v>
      </c>
      <c r="M170" s="369">
        <f>SUM(M165:M169)</f>
        <v>10625.951499999992</v>
      </c>
      <c r="N170" s="672"/>
      <c r="O170" s="673"/>
      <c r="P170" s="674"/>
    </row>
    <row r="171" spans="1:19" s="136" customFormat="1" ht="15.75" customHeight="1" thickTop="1">
      <c r="A171" s="639" t="s">
        <v>440</v>
      </c>
      <c r="B171" s="639"/>
      <c r="C171" s="639"/>
      <c r="D171" s="639"/>
      <c r="E171" s="639"/>
      <c r="F171" s="639"/>
      <c r="G171" s="639"/>
      <c r="H171" s="639"/>
      <c r="I171" s="639"/>
      <c r="J171" s="639"/>
      <c r="K171" s="639"/>
      <c r="L171" s="639"/>
      <c r="M171" s="639"/>
    </row>
    <row r="172" spans="1:19" s="137" customFormat="1" ht="15.75" customHeight="1">
      <c r="A172" s="737"/>
      <c r="B172" s="737"/>
      <c r="C172" s="737"/>
      <c r="D172" s="737"/>
      <c r="E172" s="737"/>
      <c r="F172" s="737"/>
      <c r="G172" s="737"/>
      <c r="H172" s="737"/>
      <c r="I172" s="737"/>
      <c r="J172" s="737"/>
      <c r="K172" s="737"/>
      <c r="L172" s="737"/>
      <c r="M172" s="737"/>
    </row>
    <row r="173" spans="1:19" s="136" customFormat="1" ht="15.75" customHeight="1">
      <c r="A173" s="738" t="s">
        <v>284</v>
      </c>
      <c r="B173" s="740">
        <v>1</v>
      </c>
      <c r="C173" s="741"/>
      <c r="D173" s="740">
        <v>2</v>
      </c>
      <c r="E173" s="741"/>
      <c r="F173" s="740">
        <v>3</v>
      </c>
      <c r="G173" s="741"/>
      <c r="H173" s="731">
        <v>4</v>
      </c>
      <c r="I173" s="732"/>
      <c r="J173" s="731">
        <v>5</v>
      </c>
      <c r="K173" s="732"/>
      <c r="L173" s="731">
        <v>6</v>
      </c>
      <c r="M173" s="732"/>
      <c r="N173" s="731">
        <v>7</v>
      </c>
      <c r="O173" s="732"/>
      <c r="P173" s="342">
        <v>8</v>
      </c>
    </row>
    <row r="174" spans="1:19" s="136" customFormat="1" ht="15.75" customHeight="1">
      <c r="A174" s="739"/>
      <c r="B174" s="735" t="s">
        <v>273</v>
      </c>
      <c r="C174" s="736"/>
      <c r="D174" s="735" t="s">
        <v>285</v>
      </c>
      <c r="E174" s="736"/>
      <c r="F174" s="735" t="s">
        <v>275</v>
      </c>
      <c r="G174" s="736"/>
      <c r="H174" s="733" t="s">
        <v>286</v>
      </c>
      <c r="I174" s="734"/>
      <c r="J174" s="733" t="s">
        <v>280</v>
      </c>
      <c r="K174" s="734"/>
      <c r="L174" s="733" t="s">
        <v>281</v>
      </c>
      <c r="M174" s="734"/>
      <c r="N174" s="733" t="s">
        <v>282</v>
      </c>
      <c r="O174" s="734"/>
      <c r="P174" s="343" t="s">
        <v>287</v>
      </c>
    </row>
    <row r="175" spans="1:19" s="136" customFormat="1" ht="15.75" customHeight="1">
      <c r="B175" s="241"/>
      <c r="C175" s="242"/>
    </row>
    <row r="176" spans="1:19" s="287" customFormat="1" ht="15.75" customHeight="1">
      <c r="A176" s="675" t="s">
        <v>284</v>
      </c>
      <c r="B176" s="676"/>
      <c r="C176" s="284" t="s">
        <v>238</v>
      </c>
      <c r="D176" s="703" t="s">
        <v>239</v>
      </c>
      <c r="E176" s="704"/>
      <c r="F176" s="705"/>
      <c r="G176" s="706" t="s">
        <v>288</v>
      </c>
      <c r="H176" s="707"/>
      <c r="I176" s="708"/>
      <c r="J176" s="285" t="s">
        <v>289</v>
      </c>
      <c r="K176" s="285" t="s">
        <v>23</v>
      </c>
      <c r="L176" s="285" t="s">
        <v>290</v>
      </c>
      <c r="M176" s="286" t="s">
        <v>277</v>
      </c>
      <c r="N176" s="286" t="s">
        <v>253</v>
      </c>
      <c r="O176" s="683" t="s">
        <v>244</v>
      </c>
      <c r="P176" s="684"/>
      <c r="R176" s="358"/>
      <c r="S176" s="359"/>
    </row>
    <row r="177" spans="1:20" s="308" customFormat="1" ht="60" customHeight="1">
      <c r="A177" s="685">
        <v>4</v>
      </c>
      <c r="B177" s="719" t="s">
        <v>286</v>
      </c>
      <c r="C177" s="288">
        <v>1</v>
      </c>
      <c r="D177" s="246" t="s">
        <v>311</v>
      </c>
      <c r="E177" s="247"/>
      <c r="F177" s="248"/>
      <c r="G177" s="316" t="s">
        <v>326</v>
      </c>
      <c r="H177" s="315"/>
      <c r="I177" s="316"/>
      <c r="J177" s="326">
        <v>127.84000000000002</v>
      </c>
      <c r="K177" s="327">
        <v>7.9127219763598677E-4</v>
      </c>
      <c r="L177" s="328">
        <v>50.74</v>
      </c>
      <c r="M177" s="337">
        <f t="shared" ref="M177:M181" si="18">L177*J177</f>
        <v>6486.6016000000009</v>
      </c>
      <c r="N177" s="328"/>
      <c r="O177" s="715" t="s">
        <v>437</v>
      </c>
      <c r="P177" s="716"/>
      <c r="R177" s="454"/>
      <c r="S177" s="359"/>
    </row>
    <row r="178" spans="1:20" s="308" customFormat="1" ht="60" customHeight="1">
      <c r="A178" s="686"/>
      <c r="B178" s="720"/>
      <c r="C178" s="288">
        <v>2</v>
      </c>
      <c r="D178" s="246" t="s">
        <v>204</v>
      </c>
      <c r="E178" s="247"/>
      <c r="F178" s="248"/>
      <c r="G178" s="316" t="s">
        <v>328</v>
      </c>
      <c r="H178" s="315"/>
      <c r="I178" s="316"/>
      <c r="J178" s="326">
        <v>144.78</v>
      </c>
      <c r="K178" s="327">
        <v>1.3591232939426019E-3</v>
      </c>
      <c r="L178" s="328">
        <v>43.94999999999991</v>
      </c>
      <c r="M178" s="337">
        <f t="shared" si="18"/>
        <v>6363.0809999999874</v>
      </c>
      <c r="N178" s="328"/>
      <c r="O178" s="715" t="s">
        <v>438</v>
      </c>
      <c r="P178" s="716"/>
      <c r="R178" s="454"/>
      <c r="S178" s="455"/>
      <c r="T178" s="354"/>
    </row>
    <row r="179" spans="1:20" s="308" customFormat="1" ht="60" customHeight="1">
      <c r="A179" s="686"/>
      <c r="B179" s="720"/>
      <c r="C179" s="288">
        <v>3</v>
      </c>
      <c r="D179" s="246" t="s">
        <v>298</v>
      </c>
      <c r="E179" s="247"/>
      <c r="F179" s="248"/>
      <c r="G179" s="316" t="s">
        <v>334</v>
      </c>
      <c r="H179" s="315"/>
      <c r="I179" s="316"/>
      <c r="J179" s="326">
        <v>426.69</v>
      </c>
      <c r="K179" s="327">
        <v>5.6840788950150625E-4</v>
      </c>
      <c r="L179" s="328">
        <v>10.219999999999981</v>
      </c>
      <c r="M179" s="337">
        <f t="shared" si="18"/>
        <v>4360.7717999999923</v>
      </c>
      <c r="N179" s="328"/>
      <c r="O179" s="724" t="s">
        <v>441</v>
      </c>
      <c r="P179" s="725"/>
      <c r="R179" s="454"/>
      <c r="S179" s="456"/>
    </row>
    <row r="180" spans="1:20" s="308" customFormat="1" ht="60" customHeight="1">
      <c r="A180" s="686"/>
      <c r="B180" s="720"/>
      <c r="C180" s="288">
        <v>4</v>
      </c>
      <c r="D180" s="246" t="s">
        <v>204</v>
      </c>
      <c r="E180" s="247"/>
      <c r="F180" s="248"/>
      <c r="G180" s="316" t="s">
        <v>344</v>
      </c>
      <c r="H180" s="315"/>
      <c r="I180" s="316"/>
      <c r="J180" s="326">
        <v>327.16000000000003</v>
      </c>
      <c r="K180" s="327">
        <v>9.0490292859493268E-4</v>
      </c>
      <c r="L180" s="328">
        <v>12.080000000000039</v>
      </c>
      <c r="M180" s="337">
        <f t="shared" si="18"/>
        <v>3952.0928000000131</v>
      </c>
      <c r="N180" s="328"/>
      <c r="O180" s="724" t="s">
        <v>442</v>
      </c>
      <c r="P180" s="725"/>
      <c r="R180" s="454"/>
      <c r="S180" s="455"/>
      <c r="T180" s="354"/>
    </row>
    <row r="181" spans="1:20" s="308" customFormat="1" ht="60" customHeight="1" thickBot="1">
      <c r="A181" s="686"/>
      <c r="B181" s="720"/>
      <c r="C181" s="288">
        <v>5</v>
      </c>
      <c r="D181" s="246" t="s">
        <v>199</v>
      </c>
      <c r="E181" s="254"/>
      <c r="F181" s="255"/>
      <c r="G181" s="316" t="s">
        <v>405</v>
      </c>
      <c r="H181" s="315"/>
      <c r="I181" s="316"/>
      <c r="J181" s="330">
        <v>66.13</v>
      </c>
      <c r="K181" s="257">
        <v>8.9161878343570439E-4</v>
      </c>
      <c r="L181" s="332">
        <v>54.740000000000066</v>
      </c>
      <c r="M181" s="337">
        <f t="shared" si="18"/>
        <v>3619.9562000000042</v>
      </c>
      <c r="N181" s="328"/>
      <c r="O181" s="724" t="s">
        <v>406</v>
      </c>
      <c r="P181" s="725"/>
      <c r="R181" s="457"/>
      <c r="S181" s="456"/>
      <c r="T181" s="298"/>
    </row>
    <row r="182" spans="1:20" ht="15.75" customHeight="1" thickTop="1" thickBot="1">
      <c r="A182" s="687"/>
      <c r="B182" s="721"/>
      <c r="C182" s="728"/>
      <c r="D182" s="729"/>
      <c r="E182" s="729"/>
      <c r="F182" s="729"/>
      <c r="G182" s="729"/>
      <c r="H182" s="729"/>
      <c r="I182" s="730"/>
      <c r="J182" s="367" t="s">
        <v>304</v>
      </c>
      <c r="K182" s="365">
        <f>M182/'生產管理報表 7-1 (週)'!$B$32</f>
        <v>0.18449729117812544</v>
      </c>
      <c r="L182" s="368" t="s">
        <v>305</v>
      </c>
      <c r="M182" s="369">
        <f>SUM(M177:M181)</f>
        <v>24782.503399999998</v>
      </c>
      <c r="N182" s="672"/>
      <c r="O182" s="673"/>
      <c r="P182" s="674"/>
      <c r="R182" s="358"/>
      <c r="S182" s="358"/>
    </row>
    <row r="183" spans="1:20" ht="15.75" customHeight="1" thickTop="1">
      <c r="M183" s="344"/>
      <c r="S183" s="359"/>
    </row>
    <row r="184" spans="1:20" ht="15.75" customHeight="1">
      <c r="A184" s="675" t="s">
        <v>284</v>
      </c>
      <c r="B184" s="676"/>
      <c r="C184" s="284" t="s">
        <v>238</v>
      </c>
      <c r="D184" s="703" t="s">
        <v>239</v>
      </c>
      <c r="E184" s="704"/>
      <c r="F184" s="705"/>
      <c r="G184" s="706" t="s">
        <v>288</v>
      </c>
      <c r="H184" s="707"/>
      <c r="I184" s="708"/>
      <c r="J184" s="424" t="s">
        <v>289</v>
      </c>
      <c r="K184" s="285" t="s">
        <v>23</v>
      </c>
      <c r="L184" s="285" t="s">
        <v>290</v>
      </c>
      <c r="M184" s="345" t="s">
        <v>277</v>
      </c>
      <c r="N184" s="286" t="s">
        <v>253</v>
      </c>
      <c r="O184" s="683" t="s">
        <v>244</v>
      </c>
      <c r="P184" s="684"/>
      <c r="S184" s="358"/>
      <c r="T184" s="354"/>
    </row>
    <row r="185" spans="1:20" s="308" customFormat="1" ht="35.25" customHeight="1">
      <c r="A185" s="685">
        <v>5</v>
      </c>
      <c r="B185" s="698" t="s">
        <v>318</v>
      </c>
      <c r="C185" s="288">
        <v>1</v>
      </c>
      <c r="D185" s="246" t="s">
        <v>311</v>
      </c>
      <c r="E185" s="247"/>
      <c r="F185" s="248"/>
      <c r="G185" s="316" t="s">
        <v>336</v>
      </c>
      <c r="H185" s="315"/>
      <c r="I185" s="316"/>
      <c r="J185" s="326">
        <v>147.43000000000004</v>
      </c>
      <c r="K185" s="327">
        <v>1.5184119384740755E-3</v>
      </c>
      <c r="L185" s="328">
        <v>99.320000000000149</v>
      </c>
      <c r="M185" s="337">
        <f>L185*J185</f>
        <v>14642.747600000026</v>
      </c>
      <c r="N185" s="328"/>
      <c r="O185" s="805" t="s">
        <v>429</v>
      </c>
      <c r="P185" s="806"/>
      <c r="S185" s="456"/>
      <c r="T185" s="354"/>
    </row>
    <row r="186" spans="1:20" s="308" customFormat="1" ht="24.95" customHeight="1">
      <c r="A186" s="686"/>
      <c r="B186" s="699"/>
      <c r="C186" s="288">
        <v>2</v>
      </c>
      <c r="D186" s="246"/>
      <c r="E186" s="247"/>
      <c r="F186" s="248"/>
      <c r="G186" s="375"/>
      <c r="H186" s="315"/>
      <c r="I186" s="316"/>
      <c r="J186" s="326"/>
      <c r="K186" s="327"/>
      <c r="L186" s="328"/>
      <c r="M186" s="337">
        <f t="shared" ref="M186:M189" si="19">L186*J186</f>
        <v>0</v>
      </c>
      <c r="N186" s="328"/>
      <c r="O186" s="711"/>
      <c r="P186" s="712"/>
      <c r="S186" s="358"/>
      <c r="T186" s="355"/>
    </row>
    <row r="187" spans="1:20" ht="24.95" customHeight="1">
      <c r="A187" s="686"/>
      <c r="B187" s="699"/>
      <c r="C187" s="288">
        <v>3</v>
      </c>
      <c r="D187" s="246"/>
      <c r="E187" s="247"/>
      <c r="F187" s="248"/>
      <c r="G187" s="375"/>
      <c r="H187" s="315"/>
      <c r="I187" s="316"/>
      <c r="J187" s="326"/>
      <c r="K187" s="327"/>
      <c r="L187" s="328"/>
      <c r="M187" s="337">
        <f t="shared" si="19"/>
        <v>0</v>
      </c>
      <c r="N187" s="297"/>
      <c r="O187" s="693"/>
      <c r="P187" s="694"/>
    </row>
    <row r="188" spans="1:20" ht="24.95" customHeight="1">
      <c r="A188" s="686"/>
      <c r="B188" s="699"/>
      <c r="C188" s="288">
        <v>4</v>
      </c>
      <c r="D188" s="289"/>
      <c r="E188" s="290"/>
      <c r="F188" s="291"/>
      <c r="G188" s="375"/>
      <c r="H188" s="315"/>
      <c r="I188" s="316"/>
      <c r="J188" s="295"/>
      <c r="K188" s="296"/>
      <c r="L188" s="297"/>
      <c r="M188" s="337">
        <f t="shared" si="19"/>
        <v>0</v>
      </c>
      <c r="N188" s="297"/>
      <c r="O188" s="309"/>
      <c r="P188" s="310"/>
    </row>
    <row r="189" spans="1:20" ht="24.95" customHeight="1" thickBot="1">
      <c r="A189" s="686"/>
      <c r="B189" s="699"/>
      <c r="C189" s="288">
        <v>5</v>
      </c>
      <c r="D189" s="299"/>
      <c r="E189" s="300"/>
      <c r="F189" s="301"/>
      <c r="G189" s="375"/>
      <c r="H189" s="315"/>
      <c r="I189" s="316"/>
      <c r="J189" s="302"/>
      <c r="K189" s="257"/>
      <c r="L189" s="304"/>
      <c r="M189" s="337">
        <f t="shared" si="19"/>
        <v>0</v>
      </c>
      <c r="N189" s="297"/>
      <c r="O189" s="311"/>
      <c r="P189" s="312"/>
      <c r="R189" s="362"/>
    </row>
    <row r="190" spans="1:20" ht="15.75" customHeight="1" thickTop="1" thickBot="1">
      <c r="A190" s="687"/>
      <c r="B190" s="700"/>
      <c r="C190" s="695"/>
      <c r="D190" s="696"/>
      <c r="E190" s="696"/>
      <c r="F190" s="696"/>
      <c r="G190" s="696"/>
      <c r="H190" s="696"/>
      <c r="I190" s="697"/>
      <c r="J190" s="367" t="s">
        <v>304</v>
      </c>
      <c r="K190" s="365">
        <f>M190/'生產管理報表 7-1 (週)'!$B$32</f>
        <v>0.10901026518592155</v>
      </c>
      <c r="L190" s="368" t="s">
        <v>305</v>
      </c>
      <c r="M190" s="369">
        <f>SUM(M185:M189)</f>
        <v>14642.747600000026</v>
      </c>
      <c r="N190" s="672"/>
      <c r="O190" s="673"/>
      <c r="P190" s="674"/>
      <c r="R190" s="358"/>
    </row>
    <row r="191" spans="1:20" ht="15.75" customHeight="1" thickTop="1">
      <c r="K191" s="298" t="s">
        <v>408</v>
      </c>
      <c r="M191" s="344"/>
      <c r="R191" s="358"/>
    </row>
    <row r="192" spans="1:20" ht="24.95" customHeight="1">
      <c r="A192" s="675" t="s">
        <v>284</v>
      </c>
      <c r="B192" s="676"/>
      <c r="C192" s="313" t="s">
        <v>238</v>
      </c>
      <c r="D192" s="677" t="s">
        <v>239</v>
      </c>
      <c r="E192" s="678"/>
      <c r="F192" s="679"/>
      <c r="G192" s="680" t="s">
        <v>288</v>
      </c>
      <c r="H192" s="681"/>
      <c r="I192" s="682"/>
      <c r="J192" s="314" t="s">
        <v>289</v>
      </c>
      <c r="K192" s="285" t="s">
        <v>23</v>
      </c>
      <c r="L192" s="285" t="s">
        <v>290</v>
      </c>
      <c r="M192" s="345" t="s">
        <v>277</v>
      </c>
      <c r="N192" s="286" t="s">
        <v>253</v>
      </c>
      <c r="O192" s="683" t="s">
        <v>244</v>
      </c>
      <c r="P192" s="684"/>
      <c r="R192" s="358"/>
    </row>
    <row r="193" spans="1:20" ht="50.1" customHeight="1">
      <c r="A193" s="685">
        <v>6</v>
      </c>
      <c r="B193" s="698" t="s">
        <v>321</v>
      </c>
      <c r="C193" s="288">
        <v>1</v>
      </c>
      <c r="D193" s="363" t="s">
        <v>224</v>
      </c>
      <c r="E193" s="290"/>
      <c r="F193" s="291"/>
      <c r="G193" s="316" t="s">
        <v>338</v>
      </c>
      <c r="H193" s="315"/>
      <c r="I193" s="316"/>
      <c r="J193" s="326">
        <v>65.12</v>
      </c>
      <c r="K193" s="327">
        <v>6.5106126749962367E-4</v>
      </c>
      <c r="L193" s="328">
        <v>96.800000000000196</v>
      </c>
      <c r="M193" s="337">
        <f t="shared" ref="M193:M197" si="20">L193*J193</f>
        <v>6303.6160000000136</v>
      </c>
      <c r="N193" s="297"/>
      <c r="O193" s="726" t="s">
        <v>406</v>
      </c>
      <c r="P193" s="727"/>
      <c r="R193" s="355"/>
    </row>
    <row r="194" spans="1:20" ht="50.1" customHeight="1">
      <c r="A194" s="686"/>
      <c r="B194" s="699"/>
      <c r="C194" s="288">
        <v>2</v>
      </c>
      <c r="D194" s="246" t="s">
        <v>198</v>
      </c>
      <c r="E194" s="290"/>
      <c r="F194" s="291"/>
      <c r="G194" s="316" t="s">
        <v>341</v>
      </c>
      <c r="H194" s="315"/>
      <c r="I194" s="316"/>
      <c r="J194" s="326">
        <v>605.77999999999986</v>
      </c>
      <c r="K194" s="327">
        <v>0</v>
      </c>
      <c r="L194" s="328">
        <v>6.4600000000002638</v>
      </c>
      <c r="M194" s="337">
        <f t="shared" si="20"/>
        <v>3913.3388000001587</v>
      </c>
      <c r="N194" s="297"/>
      <c r="O194" s="726" t="s">
        <v>412</v>
      </c>
      <c r="P194" s="727"/>
      <c r="R194" s="355"/>
    </row>
    <row r="195" spans="1:20" ht="50.1" customHeight="1">
      <c r="A195" s="686"/>
      <c r="B195" s="699"/>
      <c r="C195" s="288">
        <v>3</v>
      </c>
      <c r="D195" s="246" t="s">
        <v>221</v>
      </c>
      <c r="E195" s="290"/>
      <c r="F195" s="291"/>
      <c r="G195" s="316" t="s">
        <v>340</v>
      </c>
      <c r="H195" s="315"/>
      <c r="I195" s="316"/>
      <c r="J195" s="326">
        <v>68.42</v>
      </c>
      <c r="K195" s="327">
        <v>1.0421107479513048E-3</v>
      </c>
      <c r="L195" s="328">
        <v>50.189999999999621</v>
      </c>
      <c r="M195" s="337">
        <f t="shared" si="20"/>
        <v>3433.9997999999741</v>
      </c>
      <c r="N195" s="297"/>
      <c r="O195" s="726" t="s">
        <v>406</v>
      </c>
      <c r="P195" s="727"/>
      <c r="R195" s="355"/>
    </row>
    <row r="196" spans="1:20" ht="66" customHeight="1">
      <c r="A196" s="686"/>
      <c r="B196" s="699"/>
      <c r="C196" s="288">
        <v>4</v>
      </c>
      <c r="D196" s="246" t="s">
        <v>226</v>
      </c>
      <c r="E196" s="290"/>
      <c r="F196" s="291"/>
      <c r="G196" s="316" t="s">
        <v>343</v>
      </c>
      <c r="H196" s="315"/>
      <c r="I196" s="316"/>
      <c r="J196" s="326">
        <v>51.87</v>
      </c>
      <c r="K196" s="327">
        <v>1.2016823552974162E-3</v>
      </c>
      <c r="L196" s="328">
        <v>54.019999999999634</v>
      </c>
      <c r="M196" s="337">
        <f t="shared" si="20"/>
        <v>2802.0173999999811</v>
      </c>
      <c r="N196" s="297"/>
      <c r="O196" s="726" t="s">
        <v>406</v>
      </c>
      <c r="P196" s="727"/>
      <c r="R196" s="355"/>
    </row>
    <row r="197" spans="1:20" ht="50.1" customHeight="1" thickBot="1">
      <c r="A197" s="686"/>
      <c r="B197" s="699"/>
      <c r="C197" s="288">
        <v>5</v>
      </c>
      <c r="D197" s="253"/>
      <c r="E197" s="300"/>
      <c r="F197" s="301"/>
      <c r="G197" s="375"/>
      <c r="H197" s="315"/>
      <c r="I197" s="316"/>
      <c r="J197" s="330"/>
      <c r="K197" s="257"/>
      <c r="L197" s="332"/>
      <c r="M197" s="337">
        <f t="shared" si="20"/>
        <v>0</v>
      </c>
      <c r="N197" s="297"/>
      <c r="O197" s="726"/>
      <c r="P197" s="727"/>
    </row>
    <row r="198" spans="1:20" ht="15.75" customHeight="1" thickTop="1" thickBot="1">
      <c r="A198" s="687"/>
      <c r="B198" s="700"/>
      <c r="C198" s="695"/>
      <c r="D198" s="696"/>
      <c r="E198" s="696"/>
      <c r="F198" s="696"/>
      <c r="G198" s="696"/>
      <c r="H198" s="696"/>
      <c r="I198" s="697"/>
      <c r="J198" s="367" t="s">
        <v>304</v>
      </c>
      <c r="K198" s="365">
        <f>M198/'生產管理報表 7-1 (週)'!$B$32</f>
        <v>0.12248676886409987</v>
      </c>
      <c r="L198" s="368" t="s">
        <v>305</v>
      </c>
      <c r="M198" s="369">
        <f>SUM(M193:M197)</f>
        <v>16452.972000000129</v>
      </c>
      <c r="N198" s="672"/>
      <c r="O198" s="673"/>
      <c r="P198" s="674"/>
    </row>
    <row r="199" spans="1:20" s="136" customFormat="1" ht="15.75" customHeight="1" thickTop="1">
      <c r="A199" s="639" t="s">
        <v>443</v>
      </c>
      <c r="B199" s="639"/>
      <c r="C199" s="639"/>
      <c r="D199" s="639"/>
      <c r="E199" s="639"/>
      <c r="F199" s="639"/>
      <c r="G199" s="639"/>
      <c r="H199" s="639"/>
      <c r="I199" s="639"/>
      <c r="J199" s="639"/>
      <c r="K199" s="639"/>
      <c r="L199" s="639"/>
      <c r="M199" s="639"/>
    </row>
    <row r="200" spans="1:20" s="137" customFormat="1" ht="15.75" customHeight="1">
      <c r="A200" s="737"/>
      <c r="B200" s="737"/>
      <c r="C200" s="737"/>
      <c r="D200" s="737"/>
      <c r="E200" s="737"/>
      <c r="F200" s="737"/>
      <c r="G200" s="737"/>
      <c r="H200" s="737"/>
      <c r="I200" s="737"/>
      <c r="J200" s="737"/>
      <c r="K200" s="737"/>
      <c r="L200" s="737"/>
      <c r="M200" s="737"/>
    </row>
    <row r="201" spans="1:20" s="136" customFormat="1" ht="15.75" customHeight="1">
      <c r="A201" s="738" t="s">
        <v>284</v>
      </c>
      <c r="B201" s="740">
        <v>1</v>
      </c>
      <c r="C201" s="741"/>
      <c r="D201" s="740">
        <v>2</v>
      </c>
      <c r="E201" s="741"/>
      <c r="F201" s="740">
        <v>3</v>
      </c>
      <c r="G201" s="741"/>
      <c r="H201" s="731">
        <v>4</v>
      </c>
      <c r="I201" s="732"/>
      <c r="J201" s="731">
        <v>5</v>
      </c>
      <c r="K201" s="732"/>
      <c r="L201" s="731">
        <v>6</v>
      </c>
      <c r="M201" s="732"/>
      <c r="N201" s="731">
        <v>7</v>
      </c>
      <c r="O201" s="732"/>
      <c r="P201" s="342">
        <v>8</v>
      </c>
    </row>
    <row r="202" spans="1:20" s="136" customFormat="1" ht="15.75" customHeight="1">
      <c r="A202" s="739"/>
      <c r="B202" s="735" t="s">
        <v>273</v>
      </c>
      <c r="C202" s="736"/>
      <c r="D202" s="735" t="s">
        <v>285</v>
      </c>
      <c r="E202" s="736"/>
      <c r="F202" s="735" t="s">
        <v>275</v>
      </c>
      <c r="G202" s="736"/>
      <c r="H202" s="733" t="s">
        <v>286</v>
      </c>
      <c r="I202" s="734"/>
      <c r="J202" s="733" t="s">
        <v>280</v>
      </c>
      <c r="K202" s="734"/>
      <c r="L202" s="733" t="s">
        <v>281</v>
      </c>
      <c r="M202" s="734"/>
      <c r="N202" s="733" t="s">
        <v>282</v>
      </c>
      <c r="O202" s="734"/>
      <c r="P202" s="343" t="s">
        <v>287</v>
      </c>
    </row>
    <row r="203" spans="1:20" s="136" customFormat="1" ht="15.75" customHeight="1">
      <c r="B203" s="241"/>
      <c r="C203" s="242"/>
    </row>
    <row r="204" spans="1:20" s="287" customFormat="1" ht="15.75" customHeight="1">
      <c r="A204" s="675" t="s">
        <v>284</v>
      </c>
      <c r="B204" s="676"/>
      <c r="C204" s="284" t="s">
        <v>238</v>
      </c>
      <c r="D204" s="703" t="s">
        <v>239</v>
      </c>
      <c r="E204" s="704"/>
      <c r="F204" s="705"/>
      <c r="G204" s="706" t="s">
        <v>288</v>
      </c>
      <c r="H204" s="707"/>
      <c r="I204" s="708"/>
      <c r="J204" s="285" t="s">
        <v>289</v>
      </c>
      <c r="K204" s="285" t="s">
        <v>23</v>
      </c>
      <c r="L204" s="285" t="s">
        <v>290</v>
      </c>
      <c r="M204" s="286" t="s">
        <v>277</v>
      </c>
      <c r="N204" s="286" t="s">
        <v>253</v>
      </c>
      <c r="O204" s="683" t="s">
        <v>244</v>
      </c>
      <c r="P204" s="684"/>
      <c r="R204" s="358"/>
      <c r="S204" s="359"/>
    </row>
    <row r="205" spans="1:20" s="308" customFormat="1" ht="60" customHeight="1">
      <c r="A205" s="685">
        <v>4</v>
      </c>
      <c r="B205" s="719" t="s">
        <v>286</v>
      </c>
      <c r="C205" s="288">
        <v>1</v>
      </c>
      <c r="D205" s="246"/>
      <c r="E205" s="247"/>
      <c r="F205" s="248"/>
      <c r="G205" s="316"/>
      <c r="H205" s="315"/>
      <c r="I205" s="316"/>
      <c r="J205" s="326"/>
      <c r="K205" s="327"/>
      <c r="L205" s="328"/>
      <c r="M205" s="337">
        <f t="shared" ref="M205:M209" si="21">L205*J205</f>
        <v>0</v>
      </c>
      <c r="N205" s="328"/>
      <c r="O205" s="715"/>
      <c r="P205" s="716"/>
      <c r="R205" s="454"/>
      <c r="S205" s="359"/>
    </row>
    <row r="206" spans="1:20" s="308" customFormat="1" ht="60" customHeight="1">
      <c r="A206" s="686"/>
      <c r="B206" s="720"/>
      <c r="C206" s="288">
        <v>2</v>
      </c>
      <c r="D206" s="246"/>
      <c r="E206" s="247"/>
      <c r="F206" s="248"/>
      <c r="G206" s="316"/>
      <c r="H206" s="315"/>
      <c r="I206" s="316"/>
      <c r="J206" s="326"/>
      <c r="K206" s="327"/>
      <c r="L206" s="328"/>
      <c r="M206" s="337">
        <f t="shared" si="21"/>
        <v>0</v>
      </c>
      <c r="N206" s="328"/>
      <c r="O206" s="715"/>
      <c r="P206" s="716"/>
      <c r="R206" s="454"/>
      <c r="S206" s="455"/>
      <c r="T206" s="354"/>
    </row>
    <row r="207" spans="1:20" s="308" customFormat="1" ht="60" customHeight="1">
      <c r="A207" s="686"/>
      <c r="B207" s="720"/>
      <c r="C207" s="288">
        <v>3</v>
      </c>
      <c r="D207" s="246"/>
      <c r="E207" s="247"/>
      <c r="F207" s="248"/>
      <c r="G207" s="316"/>
      <c r="H207" s="315"/>
      <c r="I207" s="316"/>
      <c r="J207" s="326"/>
      <c r="K207" s="327"/>
      <c r="L207" s="328"/>
      <c r="M207" s="337">
        <f t="shared" si="21"/>
        <v>0</v>
      </c>
      <c r="N207" s="328"/>
      <c r="O207" s="724"/>
      <c r="P207" s="725"/>
      <c r="R207" s="454"/>
      <c r="S207" s="456"/>
    </row>
    <row r="208" spans="1:20" s="308" customFormat="1" ht="60" customHeight="1">
      <c r="A208" s="686"/>
      <c r="B208" s="720"/>
      <c r="C208" s="288">
        <v>4</v>
      </c>
      <c r="D208" s="246"/>
      <c r="E208" s="247"/>
      <c r="F208" s="248"/>
      <c r="G208" s="316"/>
      <c r="H208" s="315"/>
      <c r="I208" s="316"/>
      <c r="J208" s="326"/>
      <c r="K208" s="327"/>
      <c r="L208" s="328"/>
      <c r="M208" s="337">
        <f t="shared" si="21"/>
        <v>0</v>
      </c>
      <c r="N208" s="328"/>
      <c r="O208" s="724"/>
      <c r="P208" s="725"/>
      <c r="R208" s="454"/>
      <c r="S208" s="455"/>
      <c r="T208" s="354"/>
    </row>
    <row r="209" spans="1:20" s="308" customFormat="1" ht="60" customHeight="1" thickBot="1">
      <c r="A209" s="686"/>
      <c r="B209" s="720"/>
      <c r="C209" s="288">
        <v>5</v>
      </c>
      <c r="D209" s="246"/>
      <c r="E209" s="254"/>
      <c r="F209" s="255"/>
      <c r="G209" s="316"/>
      <c r="H209" s="315"/>
      <c r="I209" s="316"/>
      <c r="J209" s="330"/>
      <c r="K209" s="257"/>
      <c r="L209" s="332"/>
      <c r="M209" s="337">
        <f t="shared" si="21"/>
        <v>0</v>
      </c>
      <c r="N209" s="328"/>
      <c r="O209" s="724"/>
      <c r="P209" s="725"/>
      <c r="R209" s="457"/>
      <c r="S209" s="456"/>
      <c r="T209" s="298"/>
    </row>
    <row r="210" spans="1:20" ht="15.75" customHeight="1" thickTop="1" thickBot="1">
      <c r="A210" s="687"/>
      <c r="B210" s="721"/>
      <c r="C210" s="728"/>
      <c r="D210" s="729"/>
      <c r="E210" s="729"/>
      <c r="F210" s="729"/>
      <c r="G210" s="729"/>
      <c r="H210" s="729"/>
      <c r="I210" s="730"/>
      <c r="J210" s="367" t="s">
        <v>304</v>
      </c>
      <c r="K210" s="365">
        <f>M210/'生產管理報表 7-1 (週)'!$B$43</f>
        <v>0</v>
      </c>
      <c r="L210" s="368" t="s">
        <v>305</v>
      </c>
      <c r="M210" s="369">
        <f>SUM(M205:M209)</f>
        <v>0</v>
      </c>
      <c r="N210" s="672"/>
      <c r="O210" s="673"/>
      <c r="P210" s="674"/>
      <c r="R210" s="358"/>
      <c r="S210" s="358"/>
    </row>
    <row r="211" spans="1:20" ht="15.75" customHeight="1" thickTop="1">
      <c r="M211" s="344"/>
      <c r="S211" s="359"/>
    </row>
    <row r="212" spans="1:20" ht="15.75" customHeight="1">
      <c r="A212" s="675" t="s">
        <v>284</v>
      </c>
      <c r="B212" s="676"/>
      <c r="C212" s="284" t="s">
        <v>238</v>
      </c>
      <c r="D212" s="703" t="s">
        <v>239</v>
      </c>
      <c r="E212" s="704"/>
      <c r="F212" s="705"/>
      <c r="G212" s="706" t="s">
        <v>288</v>
      </c>
      <c r="H212" s="707"/>
      <c r="I212" s="708"/>
      <c r="J212" s="424" t="s">
        <v>289</v>
      </c>
      <c r="K212" s="285" t="s">
        <v>23</v>
      </c>
      <c r="L212" s="285" t="s">
        <v>290</v>
      </c>
      <c r="M212" s="345" t="s">
        <v>277</v>
      </c>
      <c r="N212" s="286" t="s">
        <v>253</v>
      </c>
      <c r="O212" s="683" t="s">
        <v>244</v>
      </c>
      <c r="P212" s="684"/>
      <c r="S212" s="358"/>
      <c r="T212" s="354"/>
    </row>
    <row r="213" spans="1:20" s="308" customFormat="1" ht="35.25" customHeight="1">
      <c r="A213" s="685">
        <v>5</v>
      </c>
      <c r="B213" s="698" t="s">
        <v>318</v>
      </c>
      <c r="C213" s="288">
        <v>1</v>
      </c>
      <c r="D213" s="246" t="s">
        <v>311</v>
      </c>
      <c r="E213" s="247"/>
      <c r="F213" s="248"/>
      <c r="G213" s="316" t="s">
        <v>336</v>
      </c>
      <c r="H213" s="315"/>
      <c r="I213" s="316"/>
      <c r="J213" s="326">
        <v>147.43000000000004</v>
      </c>
      <c r="K213" s="327">
        <v>0</v>
      </c>
      <c r="L213" s="328">
        <v>119.86999999999989</v>
      </c>
      <c r="M213" s="337">
        <f>L213*J213</f>
        <v>17672.434099999988</v>
      </c>
      <c r="N213" s="328"/>
      <c r="O213" s="805" t="s">
        <v>429</v>
      </c>
      <c r="P213" s="806"/>
      <c r="S213" s="456"/>
      <c r="T213" s="354"/>
    </row>
    <row r="214" spans="1:20" s="308" customFormat="1" ht="24.95" customHeight="1">
      <c r="A214" s="686"/>
      <c r="B214" s="699"/>
      <c r="C214" s="288">
        <v>2</v>
      </c>
      <c r="D214" s="246"/>
      <c r="E214" s="247"/>
      <c r="F214" s="248"/>
      <c r="G214" s="375"/>
      <c r="H214" s="315"/>
      <c r="I214" s="316"/>
      <c r="J214" s="326"/>
      <c r="K214" s="327"/>
      <c r="L214" s="328"/>
      <c r="M214" s="337">
        <f t="shared" ref="M214:M217" si="22">L214*J214</f>
        <v>0</v>
      </c>
      <c r="N214" s="328"/>
      <c r="O214" s="711"/>
      <c r="P214" s="712"/>
      <c r="S214" s="358"/>
      <c r="T214" s="355"/>
    </row>
    <row r="215" spans="1:20" ht="24.95" customHeight="1">
      <c r="A215" s="686"/>
      <c r="B215" s="699"/>
      <c r="C215" s="288">
        <v>3</v>
      </c>
      <c r="D215" s="246"/>
      <c r="E215" s="247"/>
      <c r="F215" s="248"/>
      <c r="G215" s="375"/>
      <c r="H215" s="315"/>
      <c r="I215" s="316"/>
      <c r="J215" s="326"/>
      <c r="K215" s="327"/>
      <c r="L215" s="328"/>
      <c r="M215" s="337">
        <f t="shared" si="22"/>
        <v>0</v>
      </c>
      <c r="N215" s="297"/>
      <c r="O215" s="693"/>
      <c r="P215" s="694"/>
    </row>
    <row r="216" spans="1:20" ht="24.95" customHeight="1">
      <c r="A216" s="686"/>
      <c r="B216" s="699"/>
      <c r="C216" s="288">
        <v>4</v>
      </c>
      <c r="D216" s="289"/>
      <c r="E216" s="290"/>
      <c r="F216" s="291"/>
      <c r="G216" s="375"/>
      <c r="H216" s="315"/>
      <c r="I216" s="316"/>
      <c r="J216" s="295"/>
      <c r="K216" s="296"/>
      <c r="L216" s="297"/>
      <c r="M216" s="337">
        <f t="shared" si="22"/>
        <v>0</v>
      </c>
      <c r="N216" s="297"/>
      <c r="O216" s="309"/>
      <c r="P216" s="310"/>
    </row>
    <row r="217" spans="1:20" ht="24.95" customHeight="1" thickBot="1">
      <c r="A217" s="686"/>
      <c r="B217" s="699"/>
      <c r="C217" s="288">
        <v>5</v>
      </c>
      <c r="D217" s="299"/>
      <c r="E217" s="300"/>
      <c r="F217" s="301"/>
      <c r="G217" s="375"/>
      <c r="H217" s="315"/>
      <c r="I217" s="316"/>
      <c r="J217" s="302"/>
      <c r="K217" s="257"/>
      <c r="L217" s="304"/>
      <c r="M217" s="337">
        <f t="shared" si="22"/>
        <v>0</v>
      </c>
      <c r="N217" s="297"/>
      <c r="O217" s="311"/>
      <c r="P217" s="312"/>
      <c r="R217" s="362"/>
    </row>
    <row r="218" spans="1:20" ht="15.75" customHeight="1" thickTop="1" thickBot="1">
      <c r="A218" s="687"/>
      <c r="B218" s="700"/>
      <c r="C218" s="695"/>
      <c r="D218" s="696"/>
      <c r="E218" s="696"/>
      <c r="F218" s="696"/>
      <c r="G218" s="696"/>
      <c r="H218" s="696"/>
      <c r="I218" s="697"/>
      <c r="J218" s="367" t="s">
        <v>304</v>
      </c>
      <c r="K218" s="365">
        <f>M218/'生產管理報表 7-1 (週)'!$B$43</f>
        <v>0.12332961719171733</v>
      </c>
      <c r="L218" s="368" t="s">
        <v>305</v>
      </c>
      <c r="M218" s="369">
        <f>SUM(M213:M217)</f>
        <v>17672.434099999988</v>
      </c>
      <c r="N218" s="672"/>
      <c r="O218" s="673"/>
      <c r="P218" s="674"/>
      <c r="R218" s="358"/>
    </row>
    <row r="219" spans="1:20" ht="15.75" customHeight="1" thickTop="1">
      <c r="K219" s="298" t="s">
        <v>408</v>
      </c>
      <c r="M219" s="344"/>
      <c r="R219" s="358"/>
    </row>
    <row r="220" spans="1:20" ht="24.95" customHeight="1">
      <c r="A220" s="675" t="s">
        <v>284</v>
      </c>
      <c r="B220" s="676"/>
      <c r="C220" s="313" t="s">
        <v>238</v>
      </c>
      <c r="D220" s="677" t="s">
        <v>239</v>
      </c>
      <c r="E220" s="678"/>
      <c r="F220" s="679"/>
      <c r="G220" s="680" t="s">
        <v>288</v>
      </c>
      <c r="H220" s="681"/>
      <c r="I220" s="682"/>
      <c r="J220" s="314" t="s">
        <v>289</v>
      </c>
      <c r="K220" s="285" t="s">
        <v>23</v>
      </c>
      <c r="L220" s="285" t="s">
        <v>290</v>
      </c>
      <c r="M220" s="345" t="s">
        <v>277</v>
      </c>
      <c r="N220" s="286" t="s">
        <v>253</v>
      </c>
      <c r="O220" s="683" t="s">
        <v>244</v>
      </c>
      <c r="P220" s="684"/>
      <c r="R220" s="358"/>
    </row>
    <row r="221" spans="1:20" ht="50.1" customHeight="1">
      <c r="A221" s="685">
        <v>6</v>
      </c>
      <c r="B221" s="698" t="s">
        <v>321</v>
      </c>
      <c r="C221" s="288">
        <v>1</v>
      </c>
      <c r="D221" s="363" t="s">
        <v>224</v>
      </c>
      <c r="E221" s="290"/>
      <c r="F221" s="291"/>
      <c r="G221" s="316" t="s">
        <v>338</v>
      </c>
      <c r="H221" s="315"/>
      <c r="I221" s="316"/>
      <c r="J221" s="326">
        <v>65.12</v>
      </c>
      <c r="K221" s="327">
        <v>0</v>
      </c>
      <c r="L221" s="328">
        <v>124.60000000000036</v>
      </c>
      <c r="M221" s="337">
        <f t="shared" ref="M221:M225" si="23">L221*J221</f>
        <v>8113.9520000000239</v>
      </c>
      <c r="N221" s="297"/>
      <c r="O221" s="726" t="s">
        <v>406</v>
      </c>
      <c r="P221" s="727"/>
      <c r="R221" s="355"/>
      <c r="S221" s="355"/>
    </row>
    <row r="222" spans="1:20" ht="50.1" customHeight="1">
      <c r="A222" s="686"/>
      <c r="B222" s="699"/>
      <c r="C222" s="288">
        <v>2</v>
      </c>
      <c r="D222" s="246" t="s">
        <v>226</v>
      </c>
      <c r="E222" s="290"/>
      <c r="F222" s="291"/>
      <c r="G222" s="316" t="s">
        <v>343</v>
      </c>
      <c r="H222" s="315"/>
      <c r="I222" s="316"/>
      <c r="J222" s="326">
        <v>51.87</v>
      </c>
      <c r="K222" s="327">
        <v>3.1788845005298141E-3</v>
      </c>
      <c r="L222" s="328">
        <v>102.85000000000043</v>
      </c>
      <c r="M222" s="337">
        <f t="shared" si="23"/>
        <v>5334.8295000000226</v>
      </c>
      <c r="N222" s="297"/>
      <c r="O222" s="726" t="s">
        <v>406</v>
      </c>
      <c r="P222" s="727"/>
      <c r="R222" s="355"/>
      <c r="S222" s="355"/>
    </row>
    <row r="223" spans="1:20" ht="50.1" customHeight="1">
      <c r="A223" s="686"/>
      <c r="B223" s="699"/>
      <c r="C223" s="288">
        <v>3</v>
      </c>
      <c r="D223" s="246" t="s">
        <v>221</v>
      </c>
      <c r="E223" s="290"/>
      <c r="F223" s="291"/>
      <c r="G223" s="316" t="s">
        <v>340</v>
      </c>
      <c r="H223" s="315"/>
      <c r="I223" s="316"/>
      <c r="J223" s="326">
        <v>68.42</v>
      </c>
      <c r="K223" s="327">
        <v>9.6479256959753636E-4</v>
      </c>
      <c r="L223" s="328">
        <v>51.029999999999582</v>
      </c>
      <c r="M223" s="337">
        <f t="shared" si="23"/>
        <v>3491.4725999999714</v>
      </c>
      <c r="N223" s="297"/>
      <c r="O223" s="726" t="s">
        <v>406</v>
      </c>
      <c r="P223" s="727"/>
      <c r="R223" s="355"/>
    </row>
    <row r="224" spans="1:20" ht="66" customHeight="1">
      <c r="A224" s="686"/>
      <c r="B224" s="699"/>
      <c r="C224" s="288">
        <v>4</v>
      </c>
      <c r="D224" s="246" t="s">
        <v>198</v>
      </c>
      <c r="E224" s="290"/>
      <c r="F224" s="291"/>
      <c r="G224" s="316" t="s">
        <v>341</v>
      </c>
      <c r="H224" s="315"/>
      <c r="I224" s="316"/>
      <c r="J224" s="326">
        <v>605.77999999999986</v>
      </c>
      <c r="K224" s="327">
        <v>3.602600422486777E-4</v>
      </c>
      <c r="L224" s="328">
        <v>5.0699999999999905</v>
      </c>
      <c r="M224" s="337">
        <f t="shared" si="23"/>
        <v>3071.3045999999936</v>
      </c>
      <c r="N224" s="297"/>
      <c r="O224" s="726" t="s">
        <v>412</v>
      </c>
      <c r="P224" s="727"/>
      <c r="R224" s="355"/>
      <c r="S224" s="355"/>
    </row>
    <row r="225" spans="1:20" ht="50.1" customHeight="1" thickBot="1">
      <c r="A225" s="686"/>
      <c r="B225" s="699"/>
      <c r="C225" s="288">
        <v>5</v>
      </c>
      <c r="D225" s="253"/>
      <c r="E225" s="300"/>
      <c r="F225" s="301"/>
      <c r="G225" s="375"/>
      <c r="H225" s="315"/>
      <c r="I225" s="316"/>
      <c r="J225" s="330"/>
      <c r="K225" s="257"/>
      <c r="L225" s="332"/>
      <c r="M225" s="337">
        <f t="shared" si="23"/>
        <v>0</v>
      </c>
      <c r="N225" s="297"/>
      <c r="O225" s="726"/>
      <c r="P225" s="727"/>
    </row>
    <row r="226" spans="1:20" ht="15.75" customHeight="1" thickTop="1" thickBot="1">
      <c r="A226" s="687"/>
      <c r="B226" s="700"/>
      <c r="C226" s="695"/>
      <c r="D226" s="696"/>
      <c r="E226" s="696"/>
      <c r="F226" s="696"/>
      <c r="G226" s="696"/>
      <c r="H226" s="696"/>
      <c r="I226" s="697"/>
      <c r="J226" s="367" t="s">
        <v>304</v>
      </c>
      <c r="K226" s="365">
        <f>M226/'生產管理報表 7-1 (週)'!$B$43</f>
        <v>0.13965353385477236</v>
      </c>
      <c r="L226" s="368" t="s">
        <v>305</v>
      </c>
      <c r="M226" s="369">
        <f>SUM(M221:M225)</f>
        <v>20011.558700000009</v>
      </c>
      <c r="N226" s="672"/>
      <c r="O226" s="673"/>
      <c r="P226" s="674"/>
    </row>
    <row r="227" spans="1:20" s="136" customFormat="1" ht="15.75" customHeight="1" thickTop="1">
      <c r="A227" s="639" t="s">
        <v>444</v>
      </c>
      <c r="B227" s="639"/>
      <c r="C227" s="639"/>
      <c r="D227" s="639"/>
      <c r="E227" s="639"/>
      <c r="F227" s="639"/>
      <c r="G227" s="639"/>
      <c r="H227" s="639"/>
      <c r="I227" s="639"/>
      <c r="J227" s="639"/>
      <c r="K227" s="639"/>
      <c r="L227" s="639"/>
      <c r="M227" s="639"/>
    </row>
    <row r="228" spans="1:20" s="137" customFormat="1" ht="15.75" customHeight="1">
      <c r="A228" s="737"/>
      <c r="B228" s="737"/>
      <c r="C228" s="737"/>
      <c r="D228" s="737"/>
      <c r="E228" s="737"/>
      <c r="F228" s="737"/>
      <c r="G228" s="737"/>
      <c r="H228" s="737"/>
      <c r="I228" s="737"/>
      <c r="J228" s="737"/>
      <c r="K228" s="737"/>
      <c r="L228" s="737"/>
      <c r="M228" s="737"/>
    </row>
    <row r="229" spans="1:20" s="136" customFormat="1" ht="15.75" customHeight="1">
      <c r="A229" s="738" t="s">
        <v>284</v>
      </c>
      <c r="B229" s="740">
        <v>1</v>
      </c>
      <c r="C229" s="741"/>
      <c r="D229" s="740">
        <v>2</v>
      </c>
      <c r="E229" s="741"/>
      <c r="F229" s="740">
        <v>3</v>
      </c>
      <c r="G229" s="741"/>
      <c r="H229" s="731">
        <v>4</v>
      </c>
      <c r="I229" s="732"/>
      <c r="J229" s="731">
        <v>5</v>
      </c>
      <c r="K229" s="732"/>
      <c r="L229" s="731">
        <v>6</v>
      </c>
      <c r="M229" s="732"/>
      <c r="N229" s="731">
        <v>7</v>
      </c>
      <c r="O229" s="732"/>
      <c r="P229" s="342">
        <v>8</v>
      </c>
    </row>
    <row r="230" spans="1:20" s="136" customFormat="1" ht="15.75" customHeight="1">
      <c r="A230" s="739"/>
      <c r="B230" s="735" t="s">
        <v>273</v>
      </c>
      <c r="C230" s="736"/>
      <c r="D230" s="735" t="s">
        <v>285</v>
      </c>
      <c r="E230" s="736"/>
      <c r="F230" s="735" t="s">
        <v>275</v>
      </c>
      <c r="G230" s="736"/>
      <c r="H230" s="733" t="s">
        <v>286</v>
      </c>
      <c r="I230" s="734"/>
      <c r="J230" s="733" t="s">
        <v>280</v>
      </c>
      <c r="K230" s="734"/>
      <c r="L230" s="733" t="s">
        <v>281</v>
      </c>
      <c r="M230" s="734"/>
      <c r="N230" s="733" t="s">
        <v>282</v>
      </c>
      <c r="O230" s="734"/>
      <c r="P230" s="343" t="s">
        <v>287</v>
      </c>
    </row>
    <row r="231" spans="1:20" s="136" customFormat="1" ht="15.75" customHeight="1">
      <c r="B231" s="241"/>
      <c r="C231" s="242"/>
    </row>
    <row r="232" spans="1:20" s="287" customFormat="1" ht="15.75" customHeight="1">
      <c r="A232" s="675" t="s">
        <v>284</v>
      </c>
      <c r="B232" s="676"/>
      <c r="C232" s="284" t="s">
        <v>238</v>
      </c>
      <c r="D232" s="703" t="s">
        <v>239</v>
      </c>
      <c r="E232" s="704"/>
      <c r="F232" s="705"/>
      <c r="G232" s="706" t="s">
        <v>288</v>
      </c>
      <c r="H232" s="707"/>
      <c r="I232" s="708"/>
      <c r="J232" s="285" t="s">
        <v>289</v>
      </c>
      <c r="K232" s="285" t="s">
        <v>23</v>
      </c>
      <c r="L232" s="285" t="s">
        <v>290</v>
      </c>
      <c r="M232" s="286" t="s">
        <v>277</v>
      </c>
      <c r="N232" s="286" t="s">
        <v>253</v>
      </c>
      <c r="O232" s="683" t="s">
        <v>244</v>
      </c>
      <c r="P232" s="684"/>
      <c r="R232" s="358"/>
      <c r="S232" s="359"/>
    </row>
    <row r="233" spans="1:20" s="308" customFormat="1" ht="60" customHeight="1">
      <c r="A233" s="685">
        <v>4</v>
      </c>
      <c r="B233" s="719" t="s">
        <v>286</v>
      </c>
      <c r="C233" s="288">
        <v>1</v>
      </c>
      <c r="D233" s="246" t="s">
        <v>204</v>
      </c>
      <c r="E233" s="247"/>
      <c r="F233" s="248"/>
      <c r="G233" s="316" t="s">
        <v>328</v>
      </c>
      <c r="H233" s="315"/>
      <c r="I233" s="316"/>
      <c r="J233" s="326">
        <v>144.78</v>
      </c>
      <c r="K233" s="327">
        <v>0</v>
      </c>
      <c r="L233" s="328">
        <v>63.080000000000155</v>
      </c>
      <c r="M233" s="337">
        <f t="shared" ref="M233:M237" si="24">L233*J233</f>
        <v>9132.7224000000224</v>
      </c>
      <c r="N233" s="328"/>
      <c r="O233" s="715" t="s">
        <v>438</v>
      </c>
      <c r="P233" s="716"/>
      <c r="R233" s="454"/>
      <c r="S233" s="359"/>
    </row>
    <row r="234" spans="1:20" s="308" customFormat="1" ht="60" customHeight="1">
      <c r="A234" s="686"/>
      <c r="B234" s="720"/>
      <c r="C234" s="288">
        <v>2</v>
      </c>
      <c r="D234" s="246" t="s">
        <v>311</v>
      </c>
      <c r="E234" s="247"/>
      <c r="F234" s="248"/>
      <c r="G234" s="316" t="s">
        <v>326</v>
      </c>
      <c r="H234" s="315"/>
      <c r="I234" s="316"/>
      <c r="J234" s="326">
        <v>127.84000000000002</v>
      </c>
      <c r="K234" s="327">
        <v>2.264398002407154E-4</v>
      </c>
      <c r="L234" s="328">
        <v>55.970000000000326</v>
      </c>
      <c r="M234" s="337">
        <f t="shared" si="24"/>
        <v>7155.2048000000423</v>
      </c>
      <c r="N234" s="328"/>
      <c r="O234" s="715" t="s">
        <v>437</v>
      </c>
      <c r="P234" s="716"/>
      <c r="R234" s="454"/>
      <c r="S234" s="455"/>
      <c r="T234" s="354"/>
    </row>
    <row r="235" spans="1:20" s="308" customFormat="1" ht="60" customHeight="1">
      <c r="A235" s="686"/>
      <c r="B235" s="720"/>
      <c r="C235" s="288">
        <v>3</v>
      </c>
      <c r="D235" s="246" t="s">
        <v>214</v>
      </c>
      <c r="E235" s="247"/>
      <c r="F235" s="248"/>
      <c r="G235" s="316" t="s">
        <v>332</v>
      </c>
      <c r="H235" s="315"/>
      <c r="I235" s="316"/>
      <c r="J235" s="326">
        <v>160.49</v>
      </c>
      <c r="K235" s="327">
        <v>0</v>
      </c>
      <c r="L235" s="328">
        <v>35.700000000000045</v>
      </c>
      <c r="M235" s="337">
        <f t="shared" si="24"/>
        <v>5729.4930000000077</v>
      </c>
      <c r="N235" s="328"/>
      <c r="O235" s="724" t="s">
        <v>437</v>
      </c>
      <c r="P235" s="725"/>
      <c r="R235" s="454"/>
      <c r="S235" s="456"/>
    </row>
    <row r="236" spans="1:20" s="308" customFormat="1" ht="60" customHeight="1">
      <c r="A236" s="686"/>
      <c r="B236" s="720"/>
      <c r="C236" s="288">
        <v>4</v>
      </c>
      <c r="D236" s="246" t="s">
        <v>298</v>
      </c>
      <c r="E236" s="247"/>
      <c r="F236" s="248"/>
      <c r="G236" s="316" t="s">
        <v>334</v>
      </c>
      <c r="H236" s="315"/>
      <c r="I236" s="316"/>
      <c r="J236" s="326">
        <v>426.69</v>
      </c>
      <c r="K236" s="327">
        <v>9.3066542577943234E-4</v>
      </c>
      <c r="L236" s="328">
        <v>12.080000000000027</v>
      </c>
      <c r="M236" s="337">
        <f t="shared" si="24"/>
        <v>5154.4152000000113</v>
      </c>
      <c r="N236" s="328"/>
      <c r="O236" s="724" t="s">
        <v>445</v>
      </c>
      <c r="P236" s="725"/>
      <c r="R236" s="454"/>
      <c r="S236" s="455"/>
      <c r="T236" s="354"/>
    </row>
    <row r="237" spans="1:20" s="308" customFormat="1" ht="60" customHeight="1" thickBot="1">
      <c r="A237" s="686"/>
      <c r="B237" s="720"/>
      <c r="C237" s="288">
        <v>5</v>
      </c>
      <c r="D237" s="246" t="s">
        <v>298</v>
      </c>
      <c r="E237" s="254"/>
      <c r="F237" s="255"/>
      <c r="G237" s="375" t="s">
        <v>299</v>
      </c>
      <c r="H237" s="315"/>
      <c r="I237" s="316"/>
      <c r="J237" s="330">
        <v>152.75</v>
      </c>
      <c r="K237" s="257">
        <v>1.5749158851743146E-3</v>
      </c>
      <c r="L237" s="332">
        <v>32.290000000000184</v>
      </c>
      <c r="M237" s="337">
        <f t="shared" si="24"/>
        <v>4932.2975000000279</v>
      </c>
      <c r="N237" s="328"/>
      <c r="O237" s="724" t="s">
        <v>446</v>
      </c>
      <c r="P237" s="725"/>
      <c r="R237" s="457"/>
      <c r="S237" s="456"/>
      <c r="T237" s="298"/>
    </row>
    <row r="238" spans="1:20" ht="15.75" customHeight="1" thickTop="1" thickBot="1">
      <c r="A238" s="687"/>
      <c r="B238" s="721"/>
      <c r="C238" s="728"/>
      <c r="D238" s="729"/>
      <c r="E238" s="729"/>
      <c r="F238" s="729"/>
      <c r="G238" s="729"/>
      <c r="H238" s="729"/>
      <c r="I238" s="730"/>
      <c r="J238" s="367" t="s">
        <v>304</v>
      </c>
      <c r="K238" s="365">
        <f>M238/'生產管理報表 7-1 (週)'!$B$54</f>
        <v>0.19533091737514185</v>
      </c>
      <c r="L238" s="368" t="s">
        <v>305</v>
      </c>
      <c r="M238" s="369">
        <f>SUM(M233:M237)</f>
        <v>32104.132900000113</v>
      </c>
      <c r="N238" s="672"/>
      <c r="O238" s="673"/>
      <c r="P238" s="674"/>
      <c r="R238" s="358"/>
      <c r="S238" s="358"/>
    </row>
    <row r="239" spans="1:20" ht="15.75" customHeight="1" thickTop="1">
      <c r="M239" s="344"/>
      <c r="S239" s="359"/>
    </row>
    <row r="240" spans="1:20" ht="15.75" customHeight="1">
      <c r="A240" s="675" t="s">
        <v>284</v>
      </c>
      <c r="B240" s="676"/>
      <c r="C240" s="284" t="s">
        <v>238</v>
      </c>
      <c r="D240" s="703" t="s">
        <v>239</v>
      </c>
      <c r="E240" s="704"/>
      <c r="F240" s="705"/>
      <c r="G240" s="706" t="s">
        <v>288</v>
      </c>
      <c r="H240" s="707"/>
      <c r="I240" s="708"/>
      <c r="J240" s="424" t="s">
        <v>289</v>
      </c>
      <c r="K240" s="285" t="s">
        <v>23</v>
      </c>
      <c r="L240" s="285" t="s">
        <v>290</v>
      </c>
      <c r="M240" s="345" t="s">
        <v>277</v>
      </c>
      <c r="N240" s="286" t="s">
        <v>253</v>
      </c>
      <c r="O240" s="683" t="s">
        <v>244</v>
      </c>
      <c r="P240" s="684"/>
      <c r="S240" s="358"/>
      <c r="T240" s="354"/>
    </row>
    <row r="241" spans="1:20" s="308" customFormat="1" ht="60" customHeight="1">
      <c r="A241" s="685">
        <v>5</v>
      </c>
      <c r="B241" s="698" t="s">
        <v>318</v>
      </c>
      <c r="C241" s="288">
        <v>1</v>
      </c>
      <c r="D241" s="246" t="s">
        <v>311</v>
      </c>
      <c r="E241" s="247"/>
      <c r="F241" s="248"/>
      <c r="G241" s="316" t="s">
        <v>336</v>
      </c>
      <c r="H241" s="315"/>
      <c r="I241" s="316"/>
      <c r="J241" s="326">
        <v>147.43000000000004</v>
      </c>
      <c r="K241" s="327">
        <v>0</v>
      </c>
      <c r="L241" s="328">
        <v>98.140000000000327</v>
      </c>
      <c r="M241" s="337">
        <f>L241*J241</f>
        <v>14468.780200000052</v>
      </c>
      <c r="N241" s="328"/>
      <c r="O241" s="805" t="s">
        <v>447</v>
      </c>
      <c r="P241" s="806"/>
      <c r="S241" s="456"/>
      <c r="T241" s="354"/>
    </row>
    <row r="242" spans="1:20" s="308" customFormat="1" ht="24.95" customHeight="1">
      <c r="A242" s="686"/>
      <c r="B242" s="699"/>
      <c r="C242" s="288">
        <v>2</v>
      </c>
      <c r="D242" s="246"/>
      <c r="E242" s="247"/>
      <c r="F242" s="248"/>
      <c r="G242" s="375"/>
      <c r="H242" s="315"/>
      <c r="I242" s="316"/>
      <c r="J242" s="326"/>
      <c r="K242" s="327"/>
      <c r="L242" s="328"/>
      <c r="M242" s="337">
        <f t="shared" ref="M242:M245" si="25">L242*J242</f>
        <v>0</v>
      </c>
      <c r="N242" s="328"/>
      <c r="O242" s="711"/>
      <c r="P242" s="712"/>
      <c r="S242" s="358"/>
      <c r="T242" s="355"/>
    </row>
    <row r="243" spans="1:20" ht="24.95" customHeight="1">
      <c r="A243" s="686"/>
      <c r="B243" s="699"/>
      <c r="C243" s="288">
        <v>3</v>
      </c>
      <c r="D243" s="246"/>
      <c r="E243" s="247"/>
      <c r="F243" s="248"/>
      <c r="G243" s="375"/>
      <c r="H243" s="315"/>
      <c r="I243" s="316"/>
      <c r="J243" s="326"/>
      <c r="K243" s="327"/>
      <c r="L243" s="328"/>
      <c r="M243" s="337">
        <f t="shared" si="25"/>
        <v>0</v>
      </c>
      <c r="N243" s="297"/>
      <c r="O243" s="693"/>
      <c r="P243" s="694"/>
    </row>
    <row r="244" spans="1:20" ht="24.95" customHeight="1">
      <c r="A244" s="686"/>
      <c r="B244" s="699"/>
      <c r="C244" s="288">
        <v>4</v>
      </c>
      <c r="D244" s="289"/>
      <c r="E244" s="290"/>
      <c r="F244" s="291"/>
      <c r="G244" s="375"/>
      <c r="H244" s="315"/>
      <c r="I244" s="316"/>
      <c r="J244" s="295"/>
      <c r="K244" s="296"/>
      <c r="L244" s="297"/>
      <c r="M244" s="337">
        <f t="shared" si="25"/>
        <v>0</v>
      </c>
      <c r="N244" s="297"/>
      <c r="O244" s="309"/>
      <c r="P244" s="310"/>
    </row>
    <row r="245" spans="1:20" ht="24.95" customHeight="1" thickBot="1">
      <c r="A245" s="686"/>
      <c r="B245" s="699"/>
      <c r="C245" s="288">
        <v>5</v>
      </c>
      <c r="D245" s="299"/>
      <c r="E245" s="300"/>
      <c r="F245" s="301"/>
      <c r="G245" s="375"/>
      <c r="H245" s="315"/>
      <c r="I245" s="316"/>
      <c r="J245" s="302"/>
      <c r="K245" s="257"/>
      <c r="L245" s="304"/>
      <c r="M245" s="337">
        <f t="shared" si="25"/>
        <v>0</v>
      </c>
      <c r="N245" s="297"/>
      <c r="O245" s="311"/>
      <c r="P245" s="312"/>
      <c r="R245" s="362"/>
    </row>
    <row r="246" spans="1:20" ht="15.75" customHeight="1" thickTop="1" thickBot="1">
      <c r="A246" s="687"/>
      <c r="B246" s="700"/>
      <c r="C246" s="695"/>
      <c r="D246" s="696"/>
      <c r="E246" s="696"/>
      <c r="F246" s="696"/>
      <c r="G246" s="696"/>
      <c r="H246" s="696"/>
      <c r="I246" s="697"/>
      <c r="J246" s="367" t="s">
        <v>304</v>
      </c>
      <c r="K246" s="365">
        <f>M246/'生產管理報表 7-1 (週)'!$B$54</f>
        <v>8.8032282901659945E-2</v>
      </c>
      <c r="L246" s="368" t="s">
        <v>305</v>
      </c>
      <c r="M246" s="369">
        <f>SUM(M241:M245)</f>
        <v>14468.780200000052</v>
      </c>
      <c r="N246" s="672"/>
      <c r="O246" s="673"/>
      <c r="P246" s="674"/>
      <c r="R246" s="358"/>
    </row>
    <row r="247" spans="1:20" ht="15.75" customHeight="1" thickTop="1">
      <c r="K247" s="298" t="s">
        <v>408</v>
      </c>
      <c r="M247" s="344"/>
      <c r="R247" s="358"/>
    </row>
    <row r="248" spans="1:20" ht="24.95" customHeight="1">
      <c r="A248" s="675" t="s">
        <v>284</v>
      </c>
      <c r="B248" s="676"/>
      <c r="C248" s="313" t="s">
        <v>238</v>
      </c>
      <c r="D248" s="677" t="s">
        <v>239</v>
      </c>
      <c r="E248" s="678"/>
      <c r="F248" s="679"/>
      <c r="G248" s="680" t="s">
        <v>288</v>
      </c>
      <c r="H248" s="681"/>
      <c r="I248" s="682"/>
      <c r="J248" s="314" t="s">
        <v>289</v>
      </c>
      <c r="K248" s="285" t="s">
        <v>23</v>
      </c>
      <c r="L248" s="285" t="s">
        <v>290</v>
      </c>
      <c r="M248" s="345" t="s">
        <v>277</v>
      </c>
      <c r="N248" s="286" t="s">
        <v>253</v>
      </c>
      <c r="O248" s="683" t="s">
        <v>244</v>
      </c>
      <c r="P248" s="684"/>
      <c r="R248" s="358"/>
    </row>
    <row r="249" spans="1:20" ht="54.95" customHeight="1">
      <c r="A249" s="685">
        <v>6</v>
      </c>
      <c r="B249" s="698" t="s">
        <v>321</v>
      </c>
      <c r="C249" s="288">
        <v>1</v>
      </c>
      <c r="D249" s="363" t="s">
        <v>198</v>
      </c>
      <c r="E249" s="290"/>
      <c r="F249" s="291"/>
      <c r="G249" s="316" t="s">
        <v>341</v>
      </c>
      <c r="H249" s="315"/>
      <c r="I249" s="316"/>
      <c r="J249" s="326">
        <v>605.77999999999986</v>
      </c>
      <c r="K249" s="327">
        <v>5.5499028766996565E-4</v>
      </c>
      <c r="L249" s="328">
        <v>8.9599999999996083</v>
      </c>
      <c r="M249" s="337">
        <f t="shared" ref="M249:M253" si="26">L249*J249</f>
        <v>5427.7887999997611</v>
      </c>
      <c r="N249" s="297"/>
      <c r="O249" s="726" t="s">
        <v>412</v>
      </c>
      <c r="P249" s="727"/>
      <c r="R249" s="355"/>
      <c r="S249" s="355"/>
    </row>
    <row r="250" spans="1:20" ht="54.95" customHeight="1">
      <c r="A250" s="686"/>
      <c r="B250" s="699"/>
      <c r="C250" s="288">
        <v>2</v>
      </c>
      <c r="D250" s="246" t="s">
        <v>204</v>
      </c>
      <c r="E250" s="290"/>
      <c r="F250" s="291"/>
      <c r="G250" s="316" t="s">
        <v>344</v>
      </c>
      <c r="H250" s="315"/>
      <c r="I250" s="316"/>
      <c r="J250" s="326">
        <v>327.16000000000003</v>
      </c>
      <c r="K250" s="327">
        <v>1.7909204498125783E-3</v>
      </c>
      <c r="L250" s="328">
        <v>14.630000000000067</v>
      </c>
      <c r="M250" s="337">
        <f t="shared" si="26"/>
        <v>4786.350800000022</v>
      </c>
      <c r="N250" s="297"/>
      <c r="O250" s="726" t="s">
        <v>442</v>
      </c>
      <c r="P250" s="727"/>
      <c r="R250" s="355"/>
      <c r="S250" s="355"/>
    </row>
    <row r="251" spans="1:20" ht="54.95" customHeight="1">
      <c r="A251" s="686"/>
      <c r="B251" s="699"/>
      <c r="C251" s="288">
        <v>3</v>
      </c>
      <c r="D251" s="246" t="s">
        <v>221</v>
      </c>
      <c r="E251" s="290"/>
      <c r="F251" s="291"/>
      <c r="G251" s="316" t="s">
        <v>340</v>
      </c>
      <c r="H251" s="315"/>
      <c r="I251" s="316"/>
      <c r="J251" s="326">
        <v>68.42</v>
      </c>
      <c r="K251" s="327">
        <v>2.2281138694732333E-3</v>
      </c>
      <c r="L251" s="328">
        <v>63.980000000000103</v>
      </c>
      <c r="M251" s="337">
        <f t="shared" si="26"/>
        <v>4377.5116000000071</v>
      </c>
      <c r="N251" s="297"/>
      <c r="O251" s="726" t="s">
        <v>406</v>
      </c>
      <c r="P251" s="727"/>
      <c r="R251" s="355"/>
    </row>
    <row r="252" spans="1:20" ht="54.95" customHeight="1">
      <c r="A252" s="686"/>
      <c r="B252" s="699"/>
      <c r="C252" s="288">
        <v>4</v>
      </c>
      <c r="D252" s="246" t="s">
        <v>311</v>
      </c>
      <c r="E252" s="290"/>
      <c r="F252" s="291"/>
      <c r="G252" s="316" t="s">
        <v>423</v>
      </c>
      <c r="H252" s="315"/>
      <c r="I252" s="316"/>
      <c r="J252" s="326">
        <v>3.2199999999999998</v>
      </c>
      <c r="K252" s="327">
        <v>0</v>
      </c>
      <c r="L252" s="328">
        <v>832</v>
      </c>
      <c r="M252" s="337">
        <f t="shared" si="26"/>
        <v>2679.04</v>
      </c>
      <c r="N252" s="297"/>
      <c r="O252" s="726" t="s">
        <v>418</v>
      </c>
      <c r="P252" s="727"/>
      <c r="R252" s="355"/>
      <c r="S252" s="355"/>
    </row>
    <row r="253" spans="1:20" ht="54.95" customHeight="1" thickBot="1">
      <c r="A253" s="686"/>
      <c r="B253" s="699"/>
      <c r="C253" s="288">
        <v>5</v>
      </c>
      <c r="D253" s="253" t="s">
        <v>224</v>
      </c>
      <c r="E253" s="300"/>
      <c r="F253" s="301"/>
      <c r="G253" s="316" t="s">
        <v>338</v>
      </c>
      <c r="H253" s="315"/>
      <c r="I253" s="316"/>
      <c r="J253" s="330">
        <v>65.12</v>
      </c>
      <c r="K253" s="257">
        <v>5.835652834008098E-3</v>
      </c>
      <c r="L253" s="332">
        <v>34.950000000000152</v>
      </c>
      <c r="M253" s="337">
        <f t="shared" si="26"/>
        <v>2275.94400000001</v>
      </c>
      <c r="N253" s="297"/>
      <c r="O253" s="726" t="s">
        <v>406</v>
      </c>
      <c r="P253" s="727"/>
    </row>
    <row r="254" spans="1:20" ht="15.75" customHeight="1" thickTop="1" thickBot="1">
      <c r="A254" s="687"/>
      <c r="B254" s="700"/>
      <c r="C254" s="695"/>
      <c r="D254" s="696"/>
      <c r="E254" s="696"/>
      <c r="F254" s="696"/>
      <c r="G254" s="696"/>
      <c r="H254" s="696"/>
      <c r="I254" s="697"/>
      <c r="J254" s="367" t="s">
        <v>304</v>
      </c>
      <c r="K254" s="365">
        <f>M254/'生產管理報表 7-1 (週)'!$B$54</f>
        <v>0.11892743520299802</v>
      </c>
      <c r="L254" s="368" t="s">
        <v>305</v>
      </c>
      <c r="M254" s="369">
        <f>SUM(M249:M253)</f>
        <v>19546.635199999801</v>
      </c>
      <c r="N254" s="672"/>
      <c r="O254" s="673"/>
      <c r="P254" s="674"/>
    </row>
    <row r="255" spans="1:20" ht="15.75" customHeight="1" thickTop="1"/>
  </sheetData>
  <mergeCells count="478">
    <mergeCell ref="A248:B248"/>
    <mergeCell ref="D248:F248"/>
    <mergeCell ref="G248:I248"/>
    <mergeCell ref="O248:P248"/>
    <mergeCell ref="A249:A254"/>
    <mergeCell ref="B249:B254"/>
    <mergeCell ref="O249:P249"/>
    <mergeCell ref="O250:P250"/>
    <mergeCell ref="O251:P251"/>
    <mergeCell ref="O252:P252"/>
    <mergeCell ref="O253:P253"/>
    <mergeCell ref="C254:I254"/>
    <mergeCell ref="N254:P254"/>
    <mergeCell ref="A240:B240"/>
    <mergeCell ref="D240:F240"/>
    <mergeCell ref="G240:I240"/>
    <mergeCell ref="O240:P240"/>
    <mergeCell ref="A241:A246"/>
    <mergeCell ref="B241:B246"/>
    <mergeCell ref="O241:P241"/>
    <mergeCell ref="O242:P242"/>
    <mergeCell ref="O243:P243"/>
    <mergeCell ref="C246:I246"/>
    <mergeCell ref="N246:P246"/>
    <mergeCell ref="A232:B232"/>
    <mergeCell ref="D232:F232"/>
    <mergeCell ref="G232:I232"/>
    <mergeCell ref="O232:P232"/>
    <mergeCell ref="A233:A238"/>
    <mergeCell ref="B233:B238"/>
    <mergeCell ref="O233:P233"/>
    <mergeCell ref="O234:P234"/>
    <mergeCell ref="O235:P235"/>
    <mergeCell ref="O236:P236"/>
    <mergeCell ref="O237:P237"/>
    <mergeCell ref="C238:I238"/>
    <mergeCell ref="N238:P238"/>
    <mergeCell ref="A227:M228"/>
    <mergeCell ref="A229:A230"/>
    <mergeCell ref="B229:C229"/>
    <mergeCell ref="D229:E229"/>
    <mergeCell ref="F229:G229"/>
    <mergeCell ref="H229:I229"/>
    <mergeCell ref="J229:K229"/>
    <mergeCell ref="L229:M229"/>
    <mergeCell ref="N229:O229"/>
    <mergeCell ref="B230:C230"/>
    <mergeCell ref="D230:E230"/>
    <mergeCell ref="F230:G230"/>
    <mergeCell ref="H230:I230"/>
    <mergeCell ref="J230:K230"/>
    <mergeCell ref="L230:M230"/>
    <mergeCell ref="N230:O230"/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C190:I190"/>
    <mergeCell ref="N190:P190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B174:C174"/>
    <mergeCell ref="D174:E174"/>
    <mergeCell ref="F174:G174"/>
    <mergeCell ref="H174:I174"/>
    <mergeCell ref="J174:K174"/>
    <mergeCell ref="L174:M174"/>
    <mergeCell ref="N174:O174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199:M200"/>
    <mergeCell ref="A201:A202"/>
    <mergeCell ref="B201:C201"/>
    <mergeCell ref="D201:E201"/>
    <mergeCell ref="F201:G201"/>
    <mergeCell ref="H201:I201"/>
    <mergeCell ref="J201:K201"/>
    <mergeCell ref="L201:M201"/>
    <mergeCell ref="N201:O201"/>
    <mergeCell ref="B202:C202"/>
    <mergeCell ref="D202:E202"/>
    <mergeCell ref="F202:G202"/>
    <mergeCell ref="H202:I202"/>
    <mergeCell ref="J202:K202"/>
    <mergeCell ref="L202:M202"/>
    <mergeCell ref="N202:O202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  <mergeCell ref="A220:B220"/>
    <mergeCell ref="D220:F220"/>
    <mergeCell ref="G220:I220"/>
    <mergeCell ref="O220:P220"/>
    <mergeCell ref="A221:A226"/>
    <mergeCell ref="B221:B226"/>
    <mergeCell ref="O221:P221"/>
    <mergeCell ref="O222:P222"/>
    <mergeCell ref="O223:P223"/>
    <mergeCell ref="O224:P224"/>
    <mergeCell ref="O225:P225"/>
    <mergeCell ref="C226:I226"/>
    <mergeCell ref="N226:P22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8" manualBreakCount="8">
    <brk id="30" max="15" man="1"/>
    <brk id="58" max="15" man="1"/>
    <brk id="86" max="15" man="1"/>
    <brk id="114" max="15" man="1"/>
    <brk id="142" max="15" man="1"/>
    <brk id="170" max="15" man="1"/>
    <brk id="198" max="15" man="1"/>
    <brk id="226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466" t="s">
        <v>269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</row>
    <row r="2" spans="1:17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</row>
    <row r="3" spans="1:17" ht="15.75" customHeight="1">
      <c r="A3" s="618" t="s">
        <v>448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8"/>
      <c r="Q3" s="618"/>
    </row>
    <row r="4" spans="1:17" s="100" customFormat="1" ht="15.75" customHeight="1">
      <c r="A4" s="809"/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809"/>
      <c r="O4" s="809"/>
      <c r="P4" s="809"/>
      <c r="Q4" s="809"/>
    </row>
    <row r="5" spans="1:17" ht="15.75" customHeight="1">
      <c r="A5" s="499" t="s">
        <v>284</v>
      </c>
      <c r="B5" s="808">
        <v>1</v>
      </c>
      <c r="C5" s="808"/>
      <c r="D5" s="808">
        <v>2</v>
      </c>
      <c r="E5" s="808"/>
      <c r="F5" s="808">
        <v>3</v>
      </c>
      <c r="G5" s="808"/>
      <c r="H5" s="808">
        <v>4</v>
      </c>
      <c r="I5" s="808"/>
      <c r="J5" s="808">
        <v>5</v>
      </c>
      <c r="K5" s="808"/>
      <c r="L5" s="808">
        <v>6</v>
      </c>
      <c r="M5" s="808"/>
      <c r="N5" s="808">
        <v>7</v>
      </c>
      <c r="O5" s="808"/>
      <c r="P5" s="810">
        <v>8</v>
      </c>
      <c r="Q5" s="810"/>
    </row>
    <row r="6" spans="1:17" ht="15.75" customHeight="1">
      <c r="A6" s="499"/>
      <c r="B6" s="499" t="s">
        <v>449</v>
      </c>
      <c r="C6" s="499"/>
      <c r="D6" s="499" t="s">
        <v>450</v>
      </c>
      <c r="E6" s="499"/>
      <c r="F6" s="499" t="s">
        <v>275</v>
      </c>
      <c r="G6" s="499"/>
      <c r="H6" s="499" t="s">
        <v>286</v>
      </c>
      <c r="I6" s="499"/>
      <c r="J6" s="499" t="s">
        <v>280</v>
      </c>
      <c r="K6" s="499"/>
      <c r="L6" s="499" t="s">
        <v>281</v>
      </c>
      <c r="M6" s="499"/>
      <c r="N6" s="499" t="s">
        <v>282</v>
      </c>
      <c r="O6" s="499"/>
      <c r="P6" s="813" t="s">
        <v>287</v>
      </c>
      <c r="Q6" s="813"/>
    </row>
    <row r="8" spans="1:17" s="106" customFormat="1" ht="15.75" customHeight="1">
      <c r="A8" s="131" t="s">
        <v>284</v>
      </c>
      <c r="B8" s="131" t="s">
        <v>451</v>
      </c>
      <c r="C8" s="807" t="s">
        <v>239</v>
      </c>
      <c r="D8" s="807"/>
      <c r="E8" s="807"/>
      <c r="F8" s="807" t="s">
        <v>288</v>
      </c>
      <c r="G8" s="807"/>
      <c r="H8" s="807"/>
      <c r="I8" s="131" t="s">
        <v>289</v>
      </c>
      <c r="J8" s="134" t="s">
        <v>452</v>
      </c>
      <c r="K8" s="131" t="s">
        <v>453</v>
      </c>
      <c r="L8" s="131" t="s">
        <v>10</v>
      </c>
      <c r="M8" s="807" t="s">
        <v>454</v>
      </c>
      <c r="N8" s="807"/>
      <c r="O8" s="807"/>
      <c r="P8" s="807"/>
      <c r="Q8" s="807"/>
    </row>
    <row r="9" spans="1:17" ht="15.75" customHeight="1">
      <c r="A9" s="807" t="s">
        <v>455</v>
      </c>
      <c r="B9" s="129">
        <v>1</v>
      </c>
      <c r="C9" s="811"/>
      <c r="D9" s="812"/>
      <c r="E9" s="812"/>
      <c r="F9" s="811"/>
      <c r="G9" s="812"/>
      <c r="H9" s="812"/>
      <c r="I9" s="108"/>
      <c r="J9" s="118"/>
      <c r="K9" s="118"/>
      <c r="L9" s="135">
        <f t="shared" ref="L9:L13" si="0">K9-J9</f>
        <v>0</v>
      </c>
      <c r="M9" s="811"/>
      <c r="N9" s="811"/>
      <c r="O9" s="811"/>
      <c r="P9" s="811"/>
      <c r="Q9" s="811"/>
    </row>
    <row r="10" spans="1:17" ht="15.75" customHeight="1">
      <c r="A10" s="807"/>
      <c r="B10" s="129">
        <v>2</v>
      </c>
      <c r="C10" s="811"/>
      <c r="D10" s="812"/>
      <c r="E10" s="812"/>
      <c r="F10" s="811"/>
      <c r="G10" s="812"/>
      <c r="H10" s="812"/>
      <c r="I10" s="108"/>
      <c r="J10" s="118"/>
      <c r="K10" s="118"/>
      <c r="L10" s="135">
        <f t="shared" si="0"/>
        <v>0</v>
      </c>
      <c r="M10" s="811"/>
      <c r="N10" s="811"/>
      <c r="O10" s="811"/>
      <c r="P10" s="811"/>
      <c r="Q10" s="811"/>
    </row>
    <row r="11" spans="1:17" ht="15.75" customHeight="1">
      <c r="A11" s="807"/>
      <c r="B11" s="129">
        <v>3</v>
      </c>
      <c r="C11" s="811"/>
      <c r="D11" s="812"/>
      <c r="E11" s="812"/>
      <c r="F11" s="811"/>
      <c r="G11" s="812"/>
      <c r="H11" s="812"/>
      <c r="I11" s="108"/>
      <c r="J11" s="118"/>
      <c r="K11" s="118"/>
      <c r="L11" s="135">
        <f t="shared" si="0"/>
        <v>0</v>
      </c>
      <c r="M11" s="811"/>
      <c r="N11" s="811"/>
      <c r="O11" s="811"/>
      <c r="P11" s="811"/>
      <c r="Q11" s="811"/>
    </row>
    <row r="12" spans="1:17" ht="15.75" customHeight="1">
      <c r="A12" s="807"/>
      <c r="B12" s="129">
        <v>4</v>
      </c>
      <c r="C12" s="811"/>
      <c r="D12" s="812"/>
      <c r="E12" s="812"/>
      <c r="F12" s="811"/>
      <c r="G12" s="812"/>
      <c r="H12" s="812"/>
      <c r="I12" s="108"/>
      <c r="J12" s="118"/>
      <c r="K12" s="118"/>
      <c r="L12" s="135">
        <f t="shared" si="0"/>
        <v>0</v>
      </c>
      <c r="M12" s="811"/>
      <c r="N12" s="811"/>
      <c r="O12" s="811"/>
      <c r="P12" s="811"/>
      <c r="Q12" s="811"/>
    </row>
    <row r="13" spans="1:17" ht="15.75" customHeight="1">
      <c r="A13" s="807"/>
      <c r="B13" s="129">
        <v>5</v>
      </c>
      <c r="C13" s="811"/>
      <c r="D13" s="812"/>
      <c r="E13" s="812"/>
      <c r="F13" s="811"/>
      <c r="G13" s="812"/>
      <c r="H13" s="812"/>
      <c r="I13" s="108"/>
      <c r="J13" s="118"/>
      <c r="K13" s="118"/>
      <c r="L13" s="135">
        <f t="shared" si="0"/>
        <v>0</v>
      </c>
      <c r="M13" s="811"/>
      <c r="N13" s="811"/>
      <c r="O13" s="811"/>
      <c r="P13" s="811"/>
      <c r="Q13" s="811"/>
    </row>
    <row r="14" spans="1:17" ht="15.75" customHeight="1">
      <c r="A14" s="814"/>
      <c r="B14" s="814"/>
      <c r="C14" s="814"/>
      <c r="D14" s="814"/>
      <c r="E14" s="814"/>
      <c r="F14" s="814"/>
      <c r="G14" s="814"/>
      <c r="H14" s="814"/>
      <c r="I14" s="814"/>
      <c r="J14" s="814"/>
      <c r="K14" s="814"/>
      <c r="L14" s="814"/>
      <c r="M14" s="814"/>
      <c r="N14" s="814"/>
      <c r="O14" s="815"/>
    </row>
    <row r="15" spans="1:17" s="106" customFormat="1" ht="15.75" customHeight="1">
      <c r="A15" s="131" t="s">
        <v>284</v>
      </c>
      <c r="B15" s="131" t="s">
        <v>451</v>
      </c>
      <c r="C15" s="807" t="s">
        <v>239</v>
      </c>
      <c r="D15" s="807"/>
      <c r="E15" s="807"/>
      <c r="F15" s="807" t="s">
        <v>288</v>
      </c>
      <c r="G15" s="807"/>
      <c r="H15" s="807"/>
      <c r="I15" s="131" t="s">
        <v>289</v>
      </c>
      <c r="J15" s="134" t="s">
        <v>452</v>
      </c>
      <c r="K15" s="131" t="s">
        <v>453</v>
      </c>
      <c r="L15" s="131" t="s">
        <v>10</v>
      </c>
      <c r="M15" s="807" t="s">
        <v>454</v>
      </c>
      <c r="N15" s="807"/>
      <c r="O15" s="807"/>
      <c r="P15" s="807"/>
      <c r="Q15" s="807"/>
    </row>
    <row r="16" spans="1:17" ht="15.75" customHeight="1">
      <c r="A16" s="807" t="s">
        <v>456</v>
      </c>
      <c r="B16" s="129">
        <v>1</v>
      </c>
      <c r="C16" s="811"/>
      <c r="D16" s="812"/>
      <c r="E16" s="812"/>
      <c r="F16" s="811"/>
      <c r="G16" s="812"/>
      <c r="H16" s="812"/>
      <c r="I16" s="108"/>
      <c r="J16" s="118"/>
      <c r="K16" s="118"/>
      <c r="L16" s="135">
        <f t="shared" ref="L16:L19" si="1">K16-J16</f>
        <v>0</v>
      </c>
      <c r="M16" s="811"/>
      <c r="N16" s="811"/>
      <c r="O16" s="811"/>
      <c r="P16" s="811"/>
      <c r="Q16" s="811"/>
    </row>
    <row r="17" spans="1:17" ht="15.75" customHeight="1">
      <c r="A17" s="807"/>
      <c r="B17" s="129">
        <v>2</v>
      </c>
      <c r="C17" s="811"/>
      <c r="D17" s="812"/>
      <c r="E17" s="812"/>
      <c r="F17" s="811"/>
      <c r="G17" s="812"/>
      <c r="H17" s="812"/>
      <c r="I17" s="108"/>
      <c r="J17" s="118"/>
      <c r="K17" s="118"/>
      <c r="L17" s="135">
        <f t="shared" si="1"/>
        <v>0</v>
      </c>
      <c r="M17" s="811"/>
      <c r="N17" s="811"/>
      <c r="O17" s="811"/>
      <c r="P17" s="811"/>
      <c r="Q17" s="811"/>
    </row>
    <row r="18" spans="1:17" ht="15.75" customHeight="1">
      <c r="A18" s="807"/>
      <c r="B18" s="129">
        <v>3</v>
      </c>
      <c r="C18" s="811"/>
      <c r="D18" s="812"/>
      <c r="E18" s="812"/>
      <c r="F18" s="811"/>
      <c r="G18" s="812"/>
      <c r="H18" s="812"/>
      <c r="I18" s="108"/>
      <c r="J18" s="118"/>
      <c r="K18" s="118"/>
      <c r="L18" s="135">
        <f t="shared" si="1"/>
        <v>0</v>
      </c>
      <c r="M18" s="811"/>
      <c r="N18" s="811"/>
      <c r="O18" s="811"/>
      <c r="P18" s="811"/>
      <c r="Q18" s="811"/>
    </row>
    <row r="19" spans="1:17" ht="15.75" customHeight="1">
      <c r="A19" s="807"/>
      <c r="B19" s="129">
        <v>4</v>
      </c>
      <c r="C19" s="811"/>
      <c r="D19" s="812"/>
      <c r="E19" s="812"/>
      <c r="F19" s="811"/>
      <c r="G19" s="812"/>
      <c r="H19" s="812"/>
      <c r="I19" s="108"/>
      <c r="J19" s="118"/>
      <c r="K19" s="118"/>
      <c r="L19" s="135">
        <f t="shared" si="1"/>
        <v>0</v>
      </c>
      <c r="M19" s="811"/>
      <c r="N19" s="811"/>
      <c r="O19" s="811"/>
      <c r="P19" s="811"/>
      <c r="Q19" s="811"/>
    </row>
    <row r="20" spans="1:17" ht="15.75" customHeight="1">
      <c r="A20" s="807"/>
      <c r="B20" s="129">
        <v>5</v>
      </c>
      <c r="C20" s="811"/>
      <c r="D20" s="812"/>
      <c r="E20" s="812"/>
      <c r="F20" s="811"/>
      <c r="G20" s="812"/>
      <c r="H20" s="812"/>
      <c r="I20" s="108"/>
      <c r="J20" s="118"/>
      <c r="K20" s="118"/>
      <c r="L20" s="135">
        <f>K20-J20</f>
        <v>0</v>
      </c>
      <c r="M20" s="811"/>
      <c r="N20" s="811"/>
      <c r="O20" s="811"/>
      <c r="P20" s="811"/>
      <c r="Q20" s="81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CC"/>
  </sheetPr>
  <dimension ref="A1:AL40"/>
  <sheetViews>
    <sheetView topLeftCell="A7" zoomScale="70" zoomScaleNormal="70" workbookViewId="0">
      <selection activeCell="F32" sqref="F32:F38"/>
    </sheetView>
  </sheetViews>
  <sheetFormatPr defaultColWidth="9.140625" defaultRowHeight="15.6"/>
  <cols>
    <col min="1" max="1" width="20.28515625" style="233" customWidth="1"/>
    <col min="2" max="2" width="22.5703125" style="233" bestFit="1" customWidth="1"/>
    <col min="3" max="4" width="15.7109375" style="233" customWidth="1"/>
    <col min="5" max="5" width="18.85546875" style="233" bestFit="1" customWidth="1"/>
    <col min="6" max="6" width="15.7109375" style="233" customWidth="1"/>
    <col min="7" max="10" width="20.28515625" style="233" customWidth="1"/>
    <col min="11" max="11" width="18.85546875" style="353" bestFit="1" customWidth="1"/>
    <col min="12" max="12" width="17.5703125" style="353" customWidth="1"/>
    <col min="13" max="13" width="18.85546875" style="233" bestFit="1" customWidth="1"/>
    <col min="14" max="14" width="15.42578125" style="233" customWidth="1"/>
    <col min="15" max="15" width="9.140625" style="233"/>
    <col min="16" max="17" width="12.42578125" style="233" bestFit="1" customWidth="1"/>
    <col min="18" max="19" width="9.140625" style="233"/>
    <col min="20" max="20" width="13.85546875" style="233" bestFit="1" customWidth="1"/>
    <col min="21" max="21" width="9.140625" style="233"/>
    <col min="22" max="23" width="12.42578125" style="233" bestFit="1" customWidth="1"/>
    <col min="24" max="25" width="9.140625" style="233"/>
    <col min="26" max="26" width="13.85546875" style="233" bestFit="1" customWidth="1"/>
    <col min="27" max="28" width="9.140625" style="233"/>
    <col min="29" max="29" width="12.42578125" style="233" bestFit="1" customWidth="1"/>
    <col min="30" max="31" width="9.140625" style="233"/>
    <col min="32" max="32" width="13.85546875" style="233" bestFit="1" customWidth="1"/>
    <col min="33" max="34" width="9.140625" style="233"/>
    <col min="35" max="35" width="12.42578125" style="233" bestFit="1" customWidth="1"/>
    <col min="36" max="37" width="9.140625" style="233"/>
    <col min="38" max="38" width="13.85546875" style="233" bestFit="1" customWidth="1"/>
    <col min="39" max="16384" width="9.140625" style="233"/>
  </cols>
  <sheetData>
    <row r="1" spans="1:38" ht="25.5">
      <c r="A1" s="818" t="s">
        <v>457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</row>
    <row r="2" spans="1:38" ht="16.5" customHeight="1">
      <c r="A2" s="821" t="s">
        <v>458</v>
      </c>
      <c r="B2" s="821" t="s">
        <v>105</v>
      </c>
      <c r="C2" s="821" t="s">
        <v>459</v>
      </c>
      <c r="D2" s="821" t="s">
        <v>460</v>
      </c>
      <c r="E2" s="821" t="s">
        <v>461</v>
      </c>
      <c r="F2" s="821" t="s">
        <v>462</v>
      </c>
      <c r="G2" s="821" t="s">
        <v>463</v>
      </c>
      <c r="H2" s="821"/>
      <c r="I2" s="821" t="s">
        <v>464</v>
      </c>
      <c r="J2" s="821"/>
      <c r="K2" s="817" t="s">
        <v>465</v>
      </c>
      <c r="L2" s="817"/>
      <c r="M2" s="820" t="s">
        <v>466</v>
      </c>
      <c r="N2" s="820" t="s">
        <v>467</v>
      </c>
    </row>
    <row r="3" spans="1:38" ht="37.5" customHeight="1">
      <c r="A3" s="821"/>
      <c r="B3" s="821"/>
      <c r="C3" s="821"/>
      <c r="D3" s="821"/>
      <c r="E3" s="821"/>
      <c r="F3" s="821"/>
      <c r="G3" s="234" t="s">
        <v>468</v>
      </c>
      <c r="H3" s="234" t="s">
        <v>469</v>
      </c>
      <c r="I3" s="234" t="s">
        <v>468</v>
      </c>
      <c r="J3" s="234" t="s">
        <v>469</v>
      </c>
      <c r="K3" s="350" t="s">
        <v>470</v>
      </c>
      <c r="L3" s="350" t="s">
        <v>471</v>
      </c>
      <c r="M3" s="820"/>
      <c r="N3" s="820"/>
      <c r="P3" s="461" t="s">
        <v>472</v>
      </c>
      <c r="Q3" s="370">
        <v>353129.03079999995</v>
      </c>
      <c r="S3" s="435" t="s">
        <v>473</v>
      </c>
      <c r="T3" s="370">
        <v>819267.9188799999</v>
      </c>
      <c r="V3" s="461" t="s">
        <v>474</v>
      </c>
      <c r="W3" s="370">
        <f>C40</f>
        <v>275849.81519999995</v>
      </c>
      <c r="Y3" s="435" t="s">
        <v>475</v>
      </c>
      <c r="Z3" s="370">
        <f>E40</f>
        <v>611955.97399999993</v>
      </c>
      <c r="AB3" s="461"/>
      <c r="AC3" s="370"/>
      <c r="AE3" s="461"/>
      <c r="AF3" s="370"/>
      <c r="AH3" s="461"/>
      <c r="AI3" s="370"/>
      <c r="AK3" s="461"/>
      <c r="AL3" s="370"/>
    </row>
    <row r="4" spans="1:38" ht="18">
      <c r="A4" s="236">
        <v>46049</v>
      </c>
      <c r="B4" s="373">
        <v>4884312.03</v>
      </c>
      <c r="C4" s="374">
        <v>11779.479900000006</v>
      </c>
      <c r="D4" s="317">
        <f t="shared" ref="D4:D38" si="0">C4/B4</f>
        <v>2.4116968423903099E-3</v>
      </c>
      <c r="E4" s="374">
        <v>26833.880100000002</v>
      </c>
      <c r="F4" s="232">
        <f t="shared" ref="F4:F38" si="1">E4/B4</f>
        <v>5.4938914498466225E-3</v>
      </c>
      <c r="G4" s="373">
        <v>2256.8393999999998</v>
      </c>
      <c r="H4" s="232">
        <f t="shared" ref="H4:H38" si="2">G4/C4</f>
        <v>0.19159075096346137</v>
      </c>
      <c r="I4" s="235">
        <v>9410.0701000000099</v>
      </c>
      <c r="J4" s="232">
        <f t="shared" ref="J4:J38" si="3">I4/E4</f>
        <v>0.35067869666750168</v>
      </c>
      <c r="K4" s="351">
        <v>687.17669999999998</v>
      </c>
      <c r="L4" s="352">
        <f t="shared" ref="L4:L38" si="4">K4/C4</f>
        <v>5.8336760691785693E-2</v>
      </c>
      <c r="M4" s="816">
        <f>SUM(C4:C10)</f>
        <v>76524.503600000011</v>
      </c>
      <c r="N4" s="816">
        <f>SUM(E4:E10)</f>
        <v>174224.46629999997</v>
      </c>
    </row>
    <row r="5" spans="1:38" ht="18">
      <c r="A5" s="237">
        <v>46050</v>
      </c>
      <c r="B5" s="373">
        <v>4734075.18</v>
      </c>
      <c r="C5" s="374">
        <v>11409.784100000001</v>
      </c>
      <c r="D5" s="317">
        <f t="shared" si="0"/>
        <v>2.4101400307715436E-3</v>
      </c>
      <c r="E5" s="374">
        <v>26026.547500000011</v>
      </c>
      <c r="F5" s="232">
        <f t="shared" si="1"/>
        <v>5.4977047280436332E-3</v>
      </c>
      <c r="G5" s="373">
        <v>2228.4526999999998</v>
      </c>
      <c r="H5" s="232">
        <f t="shared" si="2"/>
        <v>0.19531068076914793</v>
      </c>
      <c r="I5" s="235">
        <v>11717.171599999992</v>
      </c>
      <c r="J5" s="232">
        <f t="shared" si="3"/>
        <v>0.45020076519945595</v>
      </c>
      <c r="K5" s="351">
        <v>662.36009999999987</v>
      </c>
      <c r="L5" s="352">
        <f t="shared" si="4"/>
        <v>5.8051939825925353E-2</v>
      </c>
      <c r="M5" s="816"/>
      <c r="N5" s="816"/>
    </row>
    <row r="6" spans="1:38" s="353" customFormat="1" ht="18">
      <c r="A6" s="236">
        <v>46051</v>
      </c>
      <c r="B6" s="373">
        <v>4383675.45</v>
      </c>
      <c r="C6" s="374">
        <v>10537.640499999998</v>
      </c>
      <c r="D6" s="317">
        <f t="shared" si="0"/>
        <v>2.4038368305755839E-3</v>
      </c>
      <c r="E6" s="374">
        <v>24056.556499999977</v>
      </c>
      <c r="F6" s="232">
        <f t="shared" si="1"/>
        <v>5.4877594781794293E-3</v>
      </c>
      <c r="G6" s="373">
        <v>2237.9841999999999</v>
      </c>
      <c r="H6" s="232">
        <f t="shared" si="2"/>
        <v>0.21238001049665722</v>
      </c>
      <c r="I6" s="235">
        <v>12230.33239999999</v>
      </c>
      <c r="J6" s="232">
        <f t="shared" si="3"/>
        <v>0.50839913019138883</v>
      </c>
      <c r="K6" s="351">
        <v>859.88729999999998</v>
      </c>
      <c r="L6" s="352">
        <f t="shared" si="4"/>
        <v>8.160150272729462E-2</v>
      </c>
      <c r="M6" s="816"/>
      <c r="N6" s="816"/>
      <c r="O6" s="233"/>
      <c r="P6" s="233"/>
      <c r="Q6" s="233"/>
      <c r="R6" s="233"/>
      <c r="S6" s="233"/>
    </row>
    <row r="7" spans="1:38" s="353" customFormat="1" ht="18">
      <c r="A7" s="236">
        <v>46052</v>
      </c>
      <c r="B7" s="373">
        <v>3724978.02</v>
      </c>
      <c r="C7" s="374">
        <v>8956.6876999999968</v>
      </c>
      <c r="D7" s="317">
        <f t="shared" si="0"/>
        <v>2.4044941075920755E-3</v>
      </c>
      <c r="E7" s="374">
        <v>20283.671900000016</v>
      </c>
      <c r="F7" s="232">
        <f t="shared" si="1"/>
        <v>5.4453131779821926E-3</v>
      </c>
      <c r="G7" s="373">
        <v>3052.2632999999996</v>
      </c>
      <c r="H7" s="232">
        <f t="shared" si="2"/>
        <v>0.34078036459839955</v>
      </c>
      <c r="I7" s="235">
        <v>13241.149100000004</v>
      </c>
      <c r="J7" s="232">
        <f t="shared" si="3"/>
        <v>0.65279842650186004</v>
      </c>
      <c r="K7" s="351">
        <v>1395.4353000000001</v>
      </c>
      <c r="L7" s="352">
        <f t="shared" si="4"/>
        <v>0.15579814176171405</v>
      </c>
      <c r="M7" s="816"/>
      <c r="N7" s="816"/>
      <c r="O7" s="233"/>
      <c r="P7" s="233"/>
      <c r="Q7" s="233"/>
      <c r="R7" s="233"/>
      <c r="S7" s="233"/>
    </row>
    <row r="8" spans="1:38" s="353" customFormat="1" ht="18">
      <c r="A8" s="236">
        <v>46053</v>
      </c>
      <c r="B8" s="373">
        <v>4007768.4</v>
      </c>
      <c r="C8" s="374">
        <v>9651.4460999999992</v>
      </c>
      <c r="D8" s="317">
        <f t="shared" si="0"/>
        <v>2.4081845897083272E-3</v>
      </c>
      <c r="E8" s="374">
        <v>21994.649899999986</v>
      </c>
      <c r="F8" s="232">
        <f t="shared" si="1"/>
        <v>5.4880042220004496E-3</v>
      </c>
      <c r="G8" s="373">
        <v>2996.1004000000003</v>
      </c>
      <c r="H8" s="232">
        <f t="shared" si="2"/>
        <v>0.31043020589422349</v>
      </c>
      <c r="I8" s="235">
        <v>10093.837099999981</v>
      </c>
      <c r="J8" s="232">
        <f t="shared" si="3"/>
        <v>0.45892238093773829</v>
      </c>
      <c r="K8" s="351">
        <v>736.21969999999988</v>
      </c>
      <c r="L8" s="352">
        <f t="shared" si="4"/>
        <v>7.6280765842954859E-2</v>
      </c>
      <c r="M8" s="816"/>
      <c r="N8" s="816"/>
      <c r="O8" s="233"/>
      <c r="P8" s="233"/>
      <c r="Q8" s="233"/>
      <c r="R8" s="233"/>
      <c r="S8" s="233"/>
    </row>
    <row r="9" spans="1:38" s="353" customFormat="1" ht="18">
      <c r="A9" s="236">
        <v>46054</v>
      </c>
      <c r="B9" s="373">
        <v>5128838.01</v>
      </c>
      <c r="C9" s="374">
        <v>12378.659900000002</v>
      </c>
      <c r="D9" s="317">
        <f t="shared" si="0"/>
        <v>2.413540820720911E-3</v>
      </c>
      <c r="E9" s="374">
        <v>28219.647199999999</v>
      </c>
      <c r="F9" s="232">
        <f t="shared" si="1"/>
        <v>5.502152172671174E-3</v>
      </c>
      <c r="G9" s="373">
        <v>2760.1107000000002</v>
      </c>
      <c r="H9" s="232">
        <f t="shared" si="2"/>
        <v>0.22297330424273146</v>
      </c>
      <c r="I9" s="235">
        <v>11638.035400000008</v>
      </c>
      <c r="J9" s="232">
        <f t="shared" si="3"/>
        <v>0.41240896165420554</v>
      </c>
      <c r="K9" s="351">
        <v>1002.4709999999999</v>
      </c>
      <c r="L9" s="352">
        <f t="shared" si="4"/>
        <v>8.0983806655839999E-2</v>
      </c>
      <c r="M9" s="816"/>
      <c r="N9" s="816"/>
      <c r="O9" s="233"/>
      <c r="P9" s="233"/>
      <c r="Q9" s="233"/>
      <c r="R9" s="233"/>
      <c r="S9" s="233"/>
    </row>
    <row r="10" spans="1:38" s="353" customFormat="1" ht="18">
      <c r="A10" s="236">
        <v>46055</v>
      </c>
      <c r="B10" s="373">
        <v>4895972.91</v>
      </c>
      <c r="C10" s="374">
        <v>11810.805400000007</v>
      </c>
      <c r="D10" s="317">
        <f t="shared" si="0"/>
        <v>2.4123510519995926E-3</v>
      </c>
      <c r="E10" s="374">
        <v>26809.513200000001</v>
      </c>
      <c r="F10" s="232">
        <f t="shared" si="1"/>
        <v>5.4758295629540156E-3</v>
      </c>
      <c r="G10" s="373">
        <v>2138.3728999999998</v>
      </c>
      <c r="H10" s="232">
        <f t="shared" si="2"/>
        <v>0.18105225067885705</v>
      </c>
      <c r="I10" s="235">
        <v>10168.379999999997</v>
      </c>
      <c r="J10" s="232">
        <f t="shared" si="3"/>
        <v>0.37928253020274894</v>
      </c>
      <c r="K10" s="351">
        <v>1366.6701</v>
      </c>
      <c r="L10" s="352">
        <f t="shared" si="4"/>
        <v>0.11571353973878863</v>
      </c>
      <c r="M10" s="816"/>
      <c r="N10" s="816"/>
      <c r="O10" s="233"/>
      <c r="P10" s="233"/>
      <c r="Q10" s="233"/>
      <c r="R10" s="233"/>
      <c r="S10" s="233"/>
    </row>
    <row r="11" spans="1:38" s="353" customFormat="1" ht="18">
      <c r="A11" s="236">
        <f t="shared" ref="A11:A38" si="5">A10+1</f>
        <v>46056</v>
      </c>
      <c r="B11" s="373">
        <v>4840106</v>
      </c>
      <c r="C11" s="374">
        <v>11664.460000000005</v>
      </c>
      <c r="D11" s="317">
        <f t="shared" si="0"/>
        <v>2.4099596165869106E-3</v>
      </c>
      <c r="E11" s="374">
        <v>26409.331799999978</v>
      </c>
      <c r="F11" s="232">
        <f t="shared" si="1"/>
        <v>5.4563540137344052E-3</v>
      </c>
      <c r="G11" s="373">
        <v>2327.8438999999998</v>
      </c>
      <c r="H11" s="232">
        <f t="shared" si="2"/>
        <v>0.19956722385776957</v>
      </c>
      <c r="I11" s="235">
        <v>11568.637400000003</v>
      </c>
      <c r="J11" s="232">
        <f t="shared" si="3"/>
        <v>0.43805112100564442</v>
      </c>
      <c r="K11" s="351">
        <v>712.84370000000001</v>
      </c>
      <c r="L11" s="352">
        <f t="shared" si="4"/>
        <v>6.1112447554365977E-2</v>
      </c>
      <c r="M11" s="816">
        <f>SUM(C11:C17)</f>
        <v>75123.120699999999</v>
      </c>
      <c r="N11" s="816">
        <f>SUM(E11:E17)</f>
        <v>171190.35149999993</v>
      </c>
      <c r="O11" s="233"/>
      <c r="P11" s="233"/>
      <c r="Q11" s="233"/>
      <c r="R11" s="233"/>
      <c r="S11" s="233"/>
    </row>
    <row r="12" spans="1:38" s="353" customFormat="1" ht="18">
      <c r="A12" s="237">
        <f t="shared" si="5"/>
        <v>46057</v>
      </c>
      <c r="B12" s="373">
        <v>4730102.72</v>
      </c>
      <c r="C12" s="374">
        <v>11379.551400000002</v>
      </c>
      <c r="D12" s="317">
        <f t="shared" si="0"/>
        <v>2.4057725748501298E-3</v>
      </c>
      <c r="E12" s="374">
        <v>25704.695400000022</v>
      </c>
      <c r="F12" s="232">
        <f t="shared" si="1"/>
        <v>5.4342784758805458E-3</v>
      </c>
      <c r="G12" s="373">
        <v>2056.1920999999998</v>
      </c>
      <c r="H12" s="232">
        <f t="shared" si="2"/>
        <v>0.18069184168367122</v>
      </c>
      <c r="I12" s="235">
        <v>14400.072300000011</v>
      </c>
      <c r="J12" s="232">
        <f t="shared" si="3"/>
        <v>0.56021174637222104</v>
      </c>
      <c r="K12" s="351">
        <v>1060.3129000000001</v>
      </c>
      <c r="L12" s="352">
        <f t="shared" si="4"/>
        <v>9.3177038595739364E-2</v>
      </c>
      <c r="M12" s="816"/>
      <c r="N12" s="816"/>
      <c r="O12" s="233"/>
      <c r="P12" s="233"/>
      <c r="Q12" s="233"/>
      <c r="R12" s="233"/>
      <c r="S12" s="233"/>
    </row>
    <row r="13" spans="1:38" s="353" customFormat="1" ht="18">
      <c r="A13" s="236">
        <f t="shared" si="5"/>
        <v>46058</v>
      </c>
      <c r="B13" s="373">
        <v>4380960.53</v>
      </c>
      <c r="C13" s="374">
        <v>10532.943400000004</v>
      </c>
      <c r="D13" s="317">
        <f t="shared" si="0"/>
        <v>2.4042543473907999E-3</v>
      </c>
      <c r="E13" s="374">
        <v>24691.689000000006</v>
      </c>
      <c r="F13" s="232">
        <f t="shared" si="1"/>
        <v>5.6361359183484828E-3</v>
      </c>
      <c r="G13" s="373">
        <v>2279.5358000000001</v>
      </c>
      <c r="H13" s="232">
        <f t="shared" si="2"/>
        <v>0.21641963821812613</v>
      </c>
      <c r="I13" s="235">
        <v>15237.926399999995</v>
      </c>
      <c r="J13" s="232">
        <f t="shared" si="3"/>
        <v>0.61712774691111616</v>
      </c>
      <c r="K13" s="351">
        <v>892.20299999999986</v>
      </c>
      <c r="L13" s="352">
        <f t="shared" si="4"/>
        <v>8.4705952184267838E-2</v>
      </c>
      <c r="M13" s="816"/>
      <c r="N13" s="816"/>
      <c r="O13" s="233"/>
      <c r="P13" s="233"/>
      <c r="Q13" s="233"/>
      <c r="R13" s="233"/>
      <c r="S13" s="233"/>
    </row>
    <row r="14" spans="1:38" s="353" customFormat="1" ht="18">
      <c r="A14" s="236">
        <f t="shared" si="5"/>
        <v>46059</v>
      </c>
      <c r="B14" s="373">
        <v>3638268.65</v>
      </c>
      <c r="C14" s="374">
        <v>8746.2898999999979</v>
      </c>
      <c r="D14" s="317">
        <f t="shared" si="0"/>
        <v>2.4039703335266343E-3</v>
      </c>
      <c r="E14" s="374">
        <v>20410.241299999983</v>
      </c>
      <c r="F14" s="232">
        <f t="shared" si="1"/>
        <v>5.6098774619075982E-3</v>
      </c>
      <c r="G14" s="373">
        <v>2538.3807999999999</v>
      </c>
      <c r="H14" s="232">
        <f t="shared" si="2"/>
        <v>0.29022372103170291</v>
      </c>
      <c r="I14" s="235">
        <v>10822.600699999995</v>
      </c>
      <c r="J14" s="232">
        <f t="shared" si="3"/>
        <v>0.53025344193260493</v>
      </c>
      <c r="K14" s="351">
        <v>1335.9659999999999</v>
      </c>
      <c r="L14" s="352">
        <f t="shared" si="4"/>
        <v>0.15274659487333025</v>
      </c>
      <c r="M14" s="816"/>
      <c r="N14" s="816"/>
      <c r="O14" s="233"/>
      <c r="P14" s="233"/>
      <c r="Q14" s="233"/>
      <c r="R14" s="233"/>
      <c r="S14" s="233"/>
    </row>
    <row r="15" spans="1:38" s="353" customFormat="1" ht="18">
      <c r="A15" s="236">
        <f t="shared" si="5"/>
        <v>46060</v>
      </c>
      <c r="B15" s="373">
        <v>3904128.8</v>
      </c>
      <c r="C15" s="374">
        <v>9344.6860000000015</v>
      </c>
      <c r="D15" s="317">
        <f t="shared" si="0"/>
        <v>2.3935393729838015E-3</v>
      </c>
      <c r="E15" s="374">
        <v>21088.746199999983</v>
      </c>
      <c r="F15" s="232">
        <f t="shared" si="1"/>
        <v>5.4016522713082578E-3</v>
      </c>
      <c r="G15" s="373">
        <v>1975.5642000000003</v>
      </c>
      <c r="H15" s="232">
        <f t="shared" si="2"/>
        <v>0.21141044225563063</v>
      </c>
      <c r="I15" s="235">
        <v>8194.5817000000061</v>
      </c>
      <c r="J15" s="232">
        <f t="shared" si="3"/>
        <v>0.38857605010202134</v>
      </c>
      <c r="K15" s="351">
        <v>568.57619999999997</v>
      </c>
      <c r="L15" s="352">
        <f t="shared" si="4"/>
        <v>6.0844869479830553E-2</v>
      </c>
      <c r="M15" s="816"/>
      <c r="N15" s="816"/>
      <c r="O15" s="233"/>
      <c r="P15" s="233"/>
      <c r="Q15" s="233"/>
      <c r="R15" s="233"/>
      <c r="S15" s="233"/>
    </row>
    <row r="16" spans="1:38" s="353" customFormat="1" ht="18">
      <c r="A16" s="236">
        <f t="shared" si="5"/>
        <v>46061</v>
      </c>
      <c r="B16" s="373">
        <v>4998806.51</v>
      </c>
      <c r="C16" s="374">
        <v>12047.0344</v>
      </c>
      <c r="D16" s="317">
        <f t="shared" si="0"/>
        <v>2.4099821379163565E-3</v>
      </c>
      <c r="E16" s="374">
        <v>27175.620199999968</v>
      </c>
      <c r="F16" s="232">
        <f t="shared" si="1"/>
        <v>5.4364217029876536E-3</v>
      </c>
      <c r="G16" s="373">
        <v>2246.9754999999996</v>
      </c>
      <c r="H16" s="232">
        <f t="shared" si="2"/>
        <v>0.18651689912996341</v>
      </c>
      <c r="I16" s="235">
        <v>10110.394499999984</v>
      </c>
      <c r="J16" s="232">
        <f t="shared" si="3"/>
        <v>0.37203914485086881</v>
      </c>
      <c r="K16" s="351">
        <v>812.23379999999997</v>
      </c>
      <c r="L16" s="352">
        <f t="shared" si="4"/>
        <v>6.742188766390507E-2</v>
      </c>
      <c r="M16" s="816"/>
      <c r="N16" s="816"/>
      <c r="O16" s="233"/>
      <c r="P16" s="233"/>
      <c r="Q16" s="233"/>
      <c r="R16" s="233"/>
      <c r="S16" s="233"/>
    </row>
    <row r="17" spans="1:20" s="353" customFormat="1" ht="18">
      <c r="A17" s="236">
        <f t="shared" si="5"/>
        <v>46062</v>
      </c>
      <c r="B17" s="373">
        <v>4733266.22</v>
      </c>
      <c r="C17" s="374">
        <v>11408.155599999998</v>
      </c>
      <c r="D17" s="317">
        <f t="shared" si="0"/>
        <v>2.410207892342045E-3</v>
      </c>
      <c r="E17" s="374">
        <v>25710.027600000005</v>
      </c>
      <c r="F17" s="232">
        <f t="shared" si="1"/>
        <v>5.4317729882516529E-3</v>
      </c>
      <c r="G17" s="373">
        <v>2544.9815999999996</v>
      </c>
      <c r="H17" s="232">
        <f t="shared" si="2"/>
        <v>0.22308440463417242</v>
      </c>
      <c r="I17" s="235">
        <v>12964.141500000011</v>
      </c>
      <c r="J17" s="232">
        <f t="shared" si="3"/>
        <v>0.50424455787048661</v>
      </c>
      <c r="K17" s="351">
        <v>651.59379999999999</v>
      </c>
      <c r="L17" s="352">
        <f t="shared" si="4"/>
        <v>5.7116489540167216E-2</v>
      </c>
      <c r="M17" s="816"/>
      <c r="N17" s="816"/>
      <c r="O17" s="233"/>
      <c r="P17" s="233"/>
      <c r="Q17" s="233"/>
      <c r="R17" s="233"/>
      <c r="S17" s="233"/>
      <c r="T17" s="434"/>
    </row>
    <row r="18" spans="1:20" s="353" customFormat="1" ht="18">
      <c r="A18" s="236">
        <f t="shared" si="5"/>
        <v>46063</v>
      </c>
      <c r="B18" s="373">
        <v>4628863.84</v>
      </c>
      <c r="C18" s="374">
        <v>11125.900399999999</v>
      </c>
      <c r="D18" s="317">
        <f t="shared" si="0"/>
        <v>2.4035920659096336E-3</v>
      </c>
      <c r="E18" s="374">
        <v>24125.78559999997</v>
      </c>
      <c r="F18" s="232">
        <f t="shared" si="1"/>
        <v>5.2120318147012012E-3</v>
      </c>
      <c r="G18" s="373">
        <v>1969.8878</v>
      </c>
      <c r="H18" s="232">
        <f t="shared" si="2"/>
        <v>0.17705423643734938</v>
      </c>
      <c r="I18" s="235">
        <v>10218.863699999989</v>
      </c>
      <c r="J18" s="232">
        <f t="shared" si="3"/>
        <v>0.42356604959632904</v>
      </c>
      <c r="K18" s="351">
        <v>501.10379999999998</v>
      </c>
      <c r="L18" s="352">
        <f t="shared" si="4"/>
        <v>4.5039392946569973E-2</v>
      </c>
      <c r="M18" s="816">
        <f t="shared" ref="M18" si="6">SUM(C18:C24)</f>
        <v>62076.241900000008</v>
      </c>
      <c r="N18" s="816">
        <f t="shared" ref="N18" si="7">SUM(E18:E24)</f>
        <v>134324.48380000002</v>
      </c>
      <c r="O18" s="233"/>
      <c r="P18" s="233"/>
      <c r="Q18" s="233"/>
      <c r="R18" s="233"/>
      <c r="S18" s="233"/>
    </row>
    <row r="19" spans="1:20" s="353" customFormat="1" ht="18">
      <c r="A19" s="237">
        <f t="shared" si="5"/>
        <v>46064</v>
      </c>
      <c r="B19" s="373">
        <v>4314019.45</v>
      </c>
      <c r="C19" s="374">
        <v>10354.360099999996</v>
      </c>
      <c r="D19" s="317">
        <f t="shared" si="0"/>
        <v>2.4001653724579279E-3</v>
      </c>
      <c r="E19" s="374">
        <v>22388.266199999991</v>
      </c>
      <c r="F19" s="232">
        <f t="shared" si="1"/>
        <v>5.1896535144272445E-3</v>
      </c>
      <c r="G19" s="373">
        <v>2050.7582000000002</v>
      </c>
      <c r="H19" s="232">
        <f t="shared" si="2"/>
        <v>0.19805745407676142</v>
      </c>
      <c r="I19" s="235">
        <v>12461.671599999998</v>
      </c>
      <c r="J19" s="232">
        <f t="shared" si="3"/>
        <v>0.55661619746150792</v>
      </c>
      <c r="K19" s="351">
        <v>896.68900000000008</v>
      </c>
      <c r="L19" s="352">
        <f t="shared" si="4"/>
        <v>8.6600136690243218E-2</v>
      </c>
      <c r="M19" s="816"/>
      <c r="N19" s="816"/>
      <c r="O19" s="233"/>
      <c r="P19" s="233"/>
      <c r="Q19" s="233"/>
      <c r="R19" s="233"/>
      <c r="S19" s="233"/>
    </row>
    <row r="20" spans="1:20" s="353" customFormat="1" ht="18">
      <c r="A20" s="236">
        <f t="shared" si="5"/>
        <v>46065</v>
      </c>
      <c r="B20" s="373">
        <v>3791314.22</v>
      </c>
      <c r="C20" s="374">
        <v>9047.7573000000011</v>
      </c>
      <c r="D20" s="317">
        <f t="shared" si="0"/>
        <v>2.3864435325015084E-3</v>
      </c>
      <c r="E20" s="374">
        <v>19721.914100000016</v>
      </c>
      <c r="F20" s="232">
        <f t="shared" si="1"/>
        <v>5.2018674674767567E-3</v>
      </c>
      <c r="G20" s="373">
        <v>2168.9985000000001</v>
      </c>
      <c r="H20" s="232">
        <f t="shared" si="2"/>
        <v>0.23972774999170235</v>
      </c>
      <c r="I20" s="235">
        <v>10541.61230000001</v>
      </c>
      <c r="J20" s="232">
        <f t="shared" si="3"/>
        <v>0.53451263637741941</v>
      </c>
      <c r="K20" s="351">
        <v>898.45830000000001</v>
      </c>
      <c r="L20" s="352">
        <f t="shared" si="4"/>
        <v>9.9301768406188332E-2</v>
      </c>
      <c r="M20" s="816"/>
      <c r="N20" s="816"/>
      <c r="O20" s="233"/>
      <c r="P20" s="233"/>
      <c r="Q20" s="233"/>
      <c r="R20" s="233"/>
      <c r="S20" s="233"/>
    </row>
    <row r="21" spans="1:20" s="353" customFormat="1" ht="18">
      <c r="A21" s="236">
        <f t="shared" si="5"/>
        <v>46066</v>
      </c>
      <c r="B21" s="373">
        <v>3262863.4</v>
      </c>
      <c r="C21" s="374">
        <v>7779.8880000000008</v>
      </c>
      <c r="D21" s="317">
        <f t="shared" si="0"/>
        <v>2.3843744117513473E-3</v>
      </c>
      <c r="E21" s="374">
        <v>16834.78349999999</v>
      </c>
      <c r="F21" s="232">
        <f t="shared" si="1"/>
        <v>5.159512194105334E-3</v>
      </c>
      <c r="G21" s="373">
        <v>1866.7172000000003</v>
      </c>
      <c r="H21" s="232">
        <f t="shared" si="2"/>
        <v>0.23994139761395022</v>
      </c>
      <c r="I21" s="235">
        <v>8551.3556999999946</v>
      </c>
      <c r="J21" s="232">
        <f t="shared" si="3"/>
        <v>0.50795756892270094</v>
      </c>
      <c r="K21" s="351">
        <v>447.86</v>
      </c>
      <c r="L21" s="352">
        <f t="shared" si="4"/>
        <v>5.7566381418344324E-2</v>
      </c>
      <c r="M21" s="816"/>
      <c r="N21" s="816"/>
      <c r="O21" s="233"/>
      <c r="P21" s="233"/>
      <c r="Q21" s="233"/>
      <c r="R21" s="233"/>
      <c r="S21" s="233"/>
    </row>
    <row r="22" spans="1:20" s="353" customFormat="1" ht="18">
      <c r="A22" s="236">
        <f t="shared" si="5"/>
        <v>46067</v>
      </c>
      <c r="B22" s="373">
        <v>3301360.02</v>
      </c>
      <c r="C22" s="374">
        <v>7857.3228000000008</v>
      </c>
      <c r="D22" s="317">
        <f t="shared" si="0"/>
        <v>2.3800260354518987E-3</v>
      </c>
      <c r="E22" s="374">
        <v>16954.639900000013</v>
      </c>
      <c r="F22" s="232">
        <f t="shared" si="1"/>
        <v>5.1356531239510235E-3</v>
      </c>
      <c r="G22" s="373">
        <v>2083.2964999999999</v>
      </c>
      <c r="H22" s="232">
        <f t="shared" si="2"/>
        <v>0.26514075506736207</v>
      </c>
      <c r="I22" s="235">
        <v>9623.2630000000099</v>
      </c>
      <c r="J22" s="232">
        <f t="shared" si="3"/>
        <v>0.56758875781254448</v>
      </c>
      <c r="K22" s="351">
        <v>653.17999999999995</v>
      </c>
      <c r="L22" s="352">
        <f t="shared" si="4"/>
        <v>8.3130096169652071E-2</v>
      </c>
      <c r="M22" s="816"/>
      <c r="N22" s="816"/>
      <c r="O22" s="233"/>
      <c r="P22" s="233"/>
      <c r="Q22" s="233"/>
      <c r="R22" s="233"/>
      <c r="S22" s="233"/>
    </row>
    <row r="23" spans="1:20" s="353" customFormat="1" ht="18">
      <c r="A23" s="236">
        <f t="shared" si="5"/>
        <v>46068</v>
      </c>
      <c r="B23" s="373">
        <v>3384701.6</v>
      </c>
      <c r="C23" s="374">
        <v>8041.7737999999999</v>
      </c>
      <c r="D23" s="317">
        <f t="shared" si="0"/>
        <v>2.375918101613448E-3</v>
      </c>
      <c r="E23" s="374">
        <v>17304.202100000006</v>
      </c>
      <c r="F23" s="232">
        <f t="shared" si="1"/>
        <v>5.1124749372293277E-3</v>
      </c>
      <c r="G23" s="373">
        <v>1961.2512999999999</v>
      </c>
      <c r="H23" s="232">
        <f t="shared" si="2"/>
        <v>0.24388292294418926</v>
      </c>
      <c r="I23" s="235">
        <v>8659.9393000000036</v>
      </c>
      <c r="J23" s="232">
        <f t="shared" si="3"/>
        <v>0.50045296801058514</v>
      </c>
      <c r="K23" s="351">
        <v>666.43119999999999</v>
      </c>
      <c r="L23" s="352">
        <f t="shared" si="4"/>
        <v>8.2871169542222137E-2</v>
      </c>
      <c r="M23" s="816"/>
      <c r="N23" s="816"/>
      <c r="O23" s="233"/>
      <c r="P23" s="233"/>
      <c r="Q23" s="233"/>
      <c r="R23" s="233"/>
      <c r="S23" s="233"/>
    </row>
    <row r="24" spans="1:20" s="353" customFormat="1" ht="18">
      <c r="A24" s="236">
        <f t="shared" si="5"/>
        <v>46069</v>
      </c>
      <c r="B24" s="373">
        <v>3332137.94</v>
      </c>
      <c r="C24" s="374">
        <v>7869.2394999999997</v>
      </c>
      <c r="D24" s="317">
        <f t="shared" si="0"/>
        <v>2.3616187689997009E-3</v>
      </c>
      <c r="E24" s="374">
        <v>16994.892400000015</v>
      </c>
      <c r="F24" s="232">
        <f t="shared" si="1"/>
        <v>5.1002967782300202E-3</v>
      </c>
      <c r="G24" s="373">
        <v>1776.9401000000003</v>
      </c>
      <c r="H24" s="232">
        <f t="shared" si="2"/>
        <v>0.22580836432796336</v>
      </c>
      <c r="I24" s="235">
        <v>8298.8269999999957</v>
      </c>
      <c r="J24" s="232">
        <f t="shared" si="3"/>
        <v>0.48831300632418173</v>
      </c>
      <c r="K24" s="351">
        <v>827.40279999999996</v>
      </c>
      <c r="L24" s="352">
        <f t="shared" si="4"/>
        <v>0.105143934175596</v>
      </c>
      <c r="M24" s="816"/>
      <c r="N24" s="816"/>
      <c r="O24" s="233"/>
      <c r="P24" s="233"/>
      <c r="Q24" s="233"/>
      <c r="R24" s="233"/>
      <c r="S24" s="233"/>
    </row>
    <row r="25" spans="1:20" s="353" customFormat="1" ht="18">
      <c r="A25" s="236">
        <f t="shared" si="5"/>
        <v>46070</v>
      </c>
      <c r="B25" s="373">
        <v>3579308.71</v>
      </c>
      <c r="C25" s="374">
        <v>8476.9357</v>
      </c>
      <c r="D25" s="317">
        <f t="shared" si="0"/>
        <v>2.3683164506925138E-3</v>
      </c>
      <c r="E25" s="374">
        <v>18283.2117</v>
      </c>
      <c r="F25" s="232">
        <f t="shared" si="1"/>
        <v>5.1080287232335431E-3</v>
      </c>
      <c r="G25" s="373">
        <v>1724.9417000000001</v>
      </c>
      <c r="H25" s="232">
        <f t="shared" si="2"/>
        <v>0.20348646740354537</v>
      </c>
      <c r="I25" s="235">
        <v>8630.1107999999967</v>
      </c>
      <c r="J25" s="232">
        <f t="shared" si="3"/>
        <v>0.47202378562405406</v>
      </c>
      <c r="K25" s="351">
        <v>688.4455999999999</v>
      </c>
      <c r="L25" s="352">
        <f t="shared" si="4"/>
        <v>8.1213969807509556E-2</v>
      </c>
      <c r="M25" s="816">
        <f t="shared" ref="M25" si="8">SUM(C25:C31)</f>
        <v>65235.475700000003</v>
      </c>
      <c r="N25" s="816">
        <f t="shared" ref="N25" si="9">SUM(E25:E31)</f>
        <v>143294.32379999998</v>
      </c>
      <c r="O25" s="233"/>
      <c r="P25" s="233"/>
      <c r="Q25" s="233"/>
      <c r="R25" s="233"/>
      <c r="S25" s="233"/>
    </row>
    <row r="26" spans="1:20" s="353" customFormat="1" ht="18">
      <c r="A26" s="237">
        <f t="shared" si="5"/>
        <v>46071</v>
      </c>
      <c r="B26" s="373">
        <v>3442485.42</v>
      </c>
      <c r="C26" s="374">
        <v>8146.2592000000013</v>
      </c>
      <c r="D26" s="317">
        <f t="shared" si="0"/>
        <v>2.3663888749309507E-3</v>
      </c>
      <c r="E26" s="374">
        <v>17702.437200000011</v>
      </c>
      <c r="F26" s="232">
        <f t="shared" si="1"/>
        <v>5.1423419536225697E-3</v>
      </c>
      <c r="G26" s="373">
        <v>1811.1774</v>
      </c>
      <c r="H26" s="232">
        <f t="shared" si="2"/>
        <v>0.22233240503813084</v>
      </c>
      <c r="I26" s="235">
        <v>10100.036699999995</v>
      </c>
      <c r="J26" s="232">
        <f t="shared" si="3"/>
        <v>0.57054498123004149</v>
      </c>
      <c r="K26" s="351">
        <v>683.39559999999994</v>
      </c>
      <c r="L26" s="352">
        <f t="shared" si="4"/>
        <v>8.3890726187548739E-2</v>
      </c>
      <c r="M26" s="816"/>
      <c r="N26" s="816"/>
      <c r="O26" s="233"/>
      <c r="P26" s="233"/>
      <c r="Q26" s="233"/>
      <c r="R26" s="233"/>
      <c r="S26" s="233"/>
    </row>
    <row r="27" spans="1:20" s="353" customFormat="1" ht="18">
      <c r="A27" s="236">
        <f t="shared" si="5"/>
        <v>46072</v>
      </c>
      <c r="B27" s="373">
        <v>3403767.2</v>
      </c>
      <c r="C27" s="374">
        <v>7993.6198999999997</v>
      </c>
      <c r="D27" s="317">
        <f t="shared" si="0"/>
        <v>2.3484625799320234E-3</v>
      </c>
      <c r="E27" s="374">
        <v>17467.322900000021</v>
      </c>
      <c r="F27" s="232">
        <f t="shared" si="1"/>
        <v>5.1317619195578416E-3</v>
      </c>
      <c r="G27" s="373">
        <v>1751.2361000000001</v>
      </c>
      <c r="H27" s="232">
        <f t="shared" si="2"/>
        <v>0.21907923092515322</v>
      </c>
      <c r="I27" s="235">
        <v>11222.043900000017</v>
      </c>
      <c r="J27" s="232">
        <f t="shared" si="3"/>
        <v>0.64245929180137862</v>
      </c>
      <c r="K27" s="351">
        <v>498.41379999999998</v>
      </c>
      <c r="L27" s="352">
        <f t="shared" si="4"/>
        <v>6.2351451061614778E-2</v>
      </c>
      <c r="M27" s="816"/>
      <c r="N27" s="816"/>
      <c r="O27" s="233"/>
      <c r="P27" s="233"/>
      <c r="Q27" s="233"/>
      <c r="R27" s="233"/>
      <c r="S27" s="233"/>
    </row>
    <row r="28" spans="1:20" s="353" customFormat="1" ht="18">
      <c r="A28" s="236">
        <f t="shared" si="5"/>
        <v>46073</v>
      </c>
      <c r="B28" s="373">
        <v>3391576.26</v>
      </c>
      <c r="C28" s="374">
        <v>7920.4781000000012</v>
      </c>
      <c r="D28" s="317">
        <f t="shared" si="0"/>
        <v>2.3353383479574191E-3</v>
      </c>
      <c r="E28" s="374">
        <v>17500.556100000009</v>
      </c>
      <c r="F28" s="232">
        <f t="shared" si="1"/>
        <v>5.1600066630965299E-3</v>
      </c>
      <c r="G28" s="373">
        <v>1746.9947</v>
      </c>
      <c r="H28" s="232">
        <f t="shared" si="2"/>
        <v>0.22056682411633707</v>
      </c>
      <c r="I28" s="235">
        <v>10823.398000000012</v>
      </c>
      <c r="J28" s="232">
        <f t="shared" si="3"/>
        <v>0.61846023281511642</v>
      </c>
      <c r="K28" s="351">
        <v>368.19819999999999</v>
      </c>
      <c r="L28" s="352">
        <f t="shared" si="4"/>
        <v>4.64868654835369E-2</v>
      </c>
      <c r="M28" s="816"/>
      <c r="N28" s="816"/>
      <c r="O28" s="233"/>
      <c r="P28" s="233"/>
      <c r="Q28" s="233"/>
      <c r="R28" s="233"/>
      <c r="S28" s="233"/>
    </row>
    <row r="29" spans="1:20" s="353" customFormat="1" ht="18">
      <c r="A29" s="236">
        <f t="shared" si="5"/>
        <v>46074</v>
      </c>
      <c r="B29" s="373">
        <v>3950864.43</v>
      </c>
      <c r="C29" s="374">
        <v>9206.4265999999971</v>
      </c>
      <c r="D29" s="317">
        <f t="shared" si="0"/>
        <v>2.3302309565706855E-3</v>
      </c>
      <c r="E29" s="374">
        <v>20292.090100000001</v>
      </c>
      <c r="F29" s="232">
        <f t="shared" si="1"/>
        <v>5.1361139972094664E-3</v>
      </c>
      <c r="G29" s="373">
        <v>1754.0466000000001</v>
      </c>
      <c r="H29" s="232">
        <f t="shared" si="2"/>
        <v>0.19052414972819104</v>
      </c>
      <c r="I29" s="235">
        <v>13944.870100000006</v>
      </c>
      <c r="J29" s="232">
        <f t="shared" si="3"/>
        <v>0.68720718424170635</v>
      </c>
      <c r="K29" s="351">
        <v>748.74300000000005</v>
      </c>
      <c r="L29" s="352">
        <f t="shared" si="4"/>
        <v>8.1328297343944533E-2</v>
      </c>
      <c r="M29" s="816"/>
      <c r="N29" s="816"/>
      <c r="O29" s="233"/>
      <c r="P29" s="233"/>
      <c r="Q29" s="233"/>
      <c r="R29" s="233"/>
      <c r="S29" s="233"/>
    </row>
    <row r="30" spans="1:20" s="353" customFormat="1" ht="18">
      <c r="A30" s="236">
        <f t="shared" si="5"/>
        <v>46075</v>
      </c>
      <c r="B30" s="373">
        <v>5157259.59</v>
      </c>
      <c r="C30" s="374">
        <v>11913.190700000003</v>
      </c>
      <c r="D30" s="317">
        <f t="shared" si="0"/>
        <v>2.3099846909199317E-3</v>
      </c>
      <c r="E30" s="374">
        <v>26382.270799999973</v>
      </c>
      <c r="F30" s="232">
        <f t="shared" si="1"/>
        <v>5.1155599867719623E-3</v>
      </c>
      <c r="G30" s="373">
        <v>1851.9372999999998</v>
      </c>
      <c r="H30" s="232">
        <f t="shared" si="2"/>
        <v>0.15545266978728037</v>
      </c>
      <c r="I30" s="235">
        <v>14647.213400000002</v>
      </c>
      <c r="J30" s="232">
        <f t="shared" si="3"/>
        <v>0.55519153415709832</v>
      </c>
      <c r="K30" s="351">
        <v>1051.5949999999998</v>
      </c>
      <c r="L30" s="352">
        <f t="shared" si="4"/>
        <v>8.8271482131147244E-2</v>
      </c>
      <c r="M30" s="816"/>
      <c r="N30" s="816"/>
      <c r="O30" s="233"/>
      <c r="P30" s="233"/>
      <c r="Q30" s="233"/>
      <c r="R30" s="233"/>
      <c r="S30" s="233"/>
    </row>
    <row r="31" spans="1:20" s="353" customFormat="1" ht="18">
      <c r="A31" s="236">
        <f t="shared" si="5"/>
        <v>46076</v>
      </c>
      <c r="B31" s="373">
        <v>5011564.71</v>
      </c>
      <c r="C31" s="374">
        <v>11578.565500000006</v>
      </c>
      <c r="D31" s="317">
        <f t="shared" si="0"/>
        <v>2.3103693496955777E-3</v>
      </c>
      <c r="E31" s="374">
        <v>25666.434999999972</v>
      </c>
      <c r="F31" s="232">
        <f t="shared" si="1"/>
        <v>5.1214414030782756E-3</v>
      </c>
      <c r="G31" s="373">
        <v>1942.7654</v>
      </c>
      <c r="H31" s="232">
        <f t="shared" si="2"/>
        <v>0.16778981817738986</v>
      </c>
      <c r="I31" s="235">
        <v>12951.711499999987</v>
      </c>
      <c r="J31" s="232">
        <f t="shared" si="3"/>
        <v>0.50461669102078266</v>
      </c>
      <c r="K31" s="351">
        <v>1024.9882999999998</v>
      </c>
      <c r="L31" s="352">
        <f t="shared" si="4"/>
        <v>8.8524636320449129E-2</v>
      </c>
      <c r="M31" s="816"/>
      <c r="N31" s="816"/>
      <c r="O31" s="233"/>
      <c r="P31" s="233"/>
      <c r="Q31" s="233"/>
      <c r="R31" s="233"/>
      <c r="S31" s="233"/>
    </row>
    <row r="32" spans="1:20" s="353" customFormat="1" ht="18">
      <c r="A32" s="236">
        <f t="shared" si="5"/>
        <v>46077</v>
      </c>
      <c r="B32" s="373">
        <v>5238957.08</v>
      </c>
      <c r="C32" s="374">
        <v>12096.626799999998</v>
      </c>
      <c r="D32" s="317">
        <f t="shared" si="0"/>
        <v>2.3089761216367891E-3</v>
      </c>
      <c r="E32" s="374">
        <v>26641.204400000006</v>
      </c>
      <c r="F32" s="232">
        <f t="shared" si="1"/>
        <v>5.0852114253243713E-3</v>
      </c>
      <c r="G32" s="373">
        <v>2109.5826999999999</v>
      </c>
      <c r="H32" s="232">
        <f t="shared" si="2"/>
        <v>0.17439429477976456</v>
      </c>
      <c r="I32" s="235">
        <v>9793.2510999999922</v>
      </c>
      <c r="J32" s="232">
        <f t="shared" si="3"/>
        <v>0.36759791160192407</v>
      </c>
      <c r="K32" s="351">
        <v>1030.9449</v>
      </c>
      <c r="L32" s="352">
        <f t="shared" si="4"/>
        <v>8.522581683680612E-2</v>
      </c>
      <c r="M32" s="816">
        <f>SUM(C32:C38)</f>
        <v>72103.864479999989</v>
      </c>
      <c r="N32" s="816">
        <f>SUM(E32:E38)</f>
        <v>164357.66202000002</v>
      </c>
      <c r="O32" s="233"/>
      <c r="P32" s="233"/>
      <c r="Q32" s="233"/>
      <c r="R32" s="233"/>
      <c r="S32" s="233"/>
    </row>
    <row r="33" spans="1:19" s="353" customFormat="1" ht="18">
      <c r="A33" s="237">
        <f t="shared" si="5"/>
        <v>46078</v>
      </c>
      <c r="B33" s="373">
        <v>4692647.5</v>
      </c>
      <c r="C33" s="374">
        <v>10818.945299999999</v>
      </c>
      <c r="D33" s="317">
        <f t="shared" si="0"/>
        <v>2.3055099067210991E-3</v>
      </c>
      <c r="E33" s="374">
        <v>23743.868000000009</v>
      </c>
      <c r="F33" s="232">
        <f t="shared" si="1"/>
        <v>5.0598021692445493E-3</v>
      </c>
      <c r="G33" s="373">
        <v>1769.1214</v>
      </c>
      <c r="H33" s="232">
        <f t="shared" si="2"/>
        <v>0.16352068995117297</v>
      </c>
      <c r="I33" s="235">
        <v>10144.873699999998</v>
      </c>
      <c r="J33" s="232">
        <f t="shared" si="3"/>
        <v>0.42726289162321801</v>
      </c>
      <c r="K33" s="351">
        <v>1102.8848999999998</v>
      </c>
      <c r="L33" s="352">
        <f t="shared" si="4"/>
        <v>0.10194014937851657</v>
      </c>
      <c r="M33" s="816"/>
      <c r="N33" s="816"/>
      <c r="O33" s="233"/>
      <c r="P33" s="233"/>
      <c r="Q33" s="233"/>
      <c r="R33" s="233"/>
      <c r="S33" s="233"/>
    </row>
    <row r="34" spans="1:19" s="353" customFormat="1" ht="18">
      <c r="A34" s="236">
        <f t="shared" si="5"/>
        <v>46079</v>
      </c>
      <c r="B34" s="373">
        <v>3909306.83</v>
      </c>
      <c r="C34" s="374">
        <v>8990.5549999999967</v>
      </c>
      <c r="D34" s="317">
        <f t="shared" si="0"/>
        <v>2.2997823887873229E-3</v>
      </c>
      <c r="E34" s="374">
        <v>19741.525500000007</v>
      </c>
      <c r="F34" s="232">
        <f t="shared" si="1"/>
        <v>5.0498787530576118E-3</v>
      </c>
      <c r="G34" s="373">
        <v>2015.4870000000001</v>
      </c>
      <c r="H34" s="232">
        <f t="shared" si="2"/>
        <v>0.22417826263228474</v>
      </c>
      <c r="I34" s="235">
        <v>11396.703199999996</v>
      </c>
      <c r="J34" s="232">
        <f t="shared" si="3"/>
        <v>0.57729597441697156</v>
      </c>
      <c r="K34" s="351">
        <v>955.21399999999994</v>
      </c>
      <c r="L34" s="352">
        <f t="shared" si="4"/>
        <v>0.10624638857111716</v>
      </c>
      <c r="M34" s="816"/>
      <c r="N34" s="816"/>
      <c r="O34" s="233"/>
      <c r="P34" s="233"/>
      <c r="Q34" s="233"/>
      <c r="R34" s="233"/>
      <c r="S34" s="233"/>
    </row>
    <row r="35" spans="1:19" s="353" customFormat="1" ht="18">
      <c r="A35" s="236">
        <f t="shared" si="5"/>
        <v>46080</v>
      </c>
      <c r="B35" s="373">
        <v>3610052.06</v>
      </c>
      <c r="C35" s="374">
        <v>8296.0259999999998</v>
      </c>
      <c r="D35" s="317">
        <f t="shared" si="0"/>
        <v>2.29803500396058E-3</v>
      </c>
      <c r="E35" s="374">
        <v>18145.690100000007</v>
      </c>
      <c r="F35" s="232">
        <f t="shared" si="1"/>
        <v>5.0264344664325998E-3</v>
      </c>
      <c r="G35" s="373">
        <v>1977.2672</v>
      </c>
      <c r="H35" s="232">
        <f t="shared" si="2"/>
        <v>0.23833907945804414</v>
      </c>
      <c r="I35" s="235">
        <v>7518.8180999999986</v>
      </c>
      <c r="J35" s="232">
        <f t="shared" si="3"/>
        <v>0.41435834396841131</v>
      </c>
      <c r="K35" s="351">
        <v>490.67999999999995</v>
      </c>
      <c r="L35" s="352">
        <f t="shared" si="4"/>
        <v>5.9146391296266428E-2</v>
      </c>
      <c r="M35" s="816"/>
      <c r="N35" s="816"/>
      <c r="O35" s="233"/>
      <c r="P35" s="233"/>
      <c r="Q35" s="233"/>
      <c r="R35" s="233"/>
      <c r="S35" s="233"/>
    </row>
    <row r="36" spans="1:19" s="353" customFormat="1" ht="18">
      <c r="A36" s="236">
        <f t="shared" si="5"/>
        <v>46081</v>
      </c>
      <c r="B36" s="373">
        <v>3915929.62</v>
      </c>
      <c r="C36" s="374">
        <v>9023.3585000000003</v>
      </c>
      <c r="D36" s="317">
        <f t="shared" si="0"/>
        <v>2.3042698351662407E-3</v>
      </c>
      <c r="E36" s="374">
        <v>19845.366499999996</v>
      </c>
      <c r="F36" s="232">
        <f t="shared" si="1"/>
        <v>5.0678557649869093E-3</v>
      </c>
      <c r="G36" s="373">
        <v>1941.6584999999998</v>
      </c>
      <c r="H36" s="232">
        <f t="shared" si="2"/>
        <v>0.21518135403796709</v>
      </c>
      <c r="I36" s="235">
        <v>10268.872900000006</v>
      </c>
      <c r="J36" s="232">
        <f t="shared" si="3"/>
        <v>0.51744435659578303</v>
      </c>
      <c r="K36" s="351">
        <v>972.72490000000005</v>
      </c>
      <c r="L36" s="352">
        <f t="shared" si="4"/>
        <v>0.10780075955089227</v>
      </c>
      <c r="M36" s="816"/>
      <c r="N36" s="816"/>
      <c r="O36" s="233"/>
      <c r="P36" s="233"/>
      <c r="Q36" s="233"/>
      <c r="R36" s="233"/>
      <c r="S36" s="233"/>
    </row>
    <row r="37" spans="1:19" s="353" customFormat="1" ht="18">
      <c r="A37" s="236">
        <f t="shared" si="5"/>
        <v>46082</v>
      </c>
      <c r="B37" s="373">
        <v>5447490.2599999998</v>
      </c>
      <c r="C37" s="374">
        <v>11331.519379999996</v>
      </c>
      <c r="D37" s="317">
        <f t="shared" si="0"/>
        <v>2.0801357761399642E-3</v>
      </c>
      <c r="E37" s="374">
        <v>27881.750719999982</v>
      </c>
      <c r="F37" s="232">
        <f t="shared" si="1"/>
        <v>5.1182745428167108E-3</v>
      </c>
      <c r="G37" s="373">
        <v>2012.4623999999999</v>
      </c>
      <c r="H37" s="232">
        <f t="shared" si="2"/>
        <v>0.17759863726235806</v>
      </c>
      <c r="I37" s="235">
        <v>14137.703899999999</v>
      </c>
      <c r="J37" s="232">
        <f t="shared" si="3"/>
        <v>0.50705940390819215</v>
      </c>
      <c r="K37" s="351">
        <v>1075.69478</v>
      </c>
      <c r="L37" s="352">
        <f t="shared" si="4"/>
        <v>9.4929439197588034E-2</v>
      </c>
      <c r="M37" s="816"/>
      <c r="N37" s="816"/>
      <c r="O37" s="233"/>
      <c r="P37" s="233"/>
      <c r="Q37" s="233"/>
      <c r="R37" s="233"/>
      <c r="S37" s="233"/>
    </row>
    <row r="38" spans="1:19" s="353" customFormat="1" ht="18">
      <c r="A38" s="236">
        <f t="shared" si="5"/>
        <v>46083</v>
      </c>
      <c r="B38" s="373">
        <v>5524036.7599999998</v>
      </c>
      <c r="C38" s="374">
        <v>11546.833499999995</v>
      </c>
      <c r="D38" s="317">
        <f t="shared" si="0"/>
        <v>2.090289040726803E-3</v>
      </c>
      <c r="E38" s="374">
        <v>28358.25680000001</v>
      </c>
      <c r="F38" s="232">
        <f t="shared" si="1"/>
        <v>5.13361116735219E-3</v>
      </c>
      <c r="G38" s="373">
        <v>1947.1759</v>
      </c>
      <c r="H38" s="232">
        <f t="shared" si="2"/>
        <v>0.16863288970088647</v>
      </c>
      <c r="I38" s="235">
        <v>15618.587999999996</v>
      </c>
      <c r="J38" s="232">
        <f t="shared" si="3"/>
        <v>0.55075980551808779</v>
      </c>
      <c r="K38" s="351">
        <v>1277.4172000000001</v>
      </c>
      <c r="L38" s="352">
        <f t="shared" si="4"/>
        <v>0.11062922142247922</v>
      </c>
      <c r="M38" s="816"/>
      <c r="N38" s="816"/>
      <c r="O38" s="233"/>
      <c r="P38" s="233"/>
      <c r="Q38" s="233"/>
      <c r="R38" s="233"/>
      <c r="S38" s="233"/>
    </row>
    <row r="40" spans="1:19" ht="18">
      <c r="A40" s="236" t="s">
        <v>476</v>
      </c>
      <c r="B40" s="376">
        <f>SUM(B9:B36)</f>
        <v>116569430.23000002</v>
      </c>
      <c r="C40" s="376">
        <f>SUM(C9:C36)</f>
        <v>275849.81519999995</v>
      </c>
      <c r="D40" s="377">
        <f>C40/B40</f>
        <v>2.3663992751421026E-3</v>
      </c>
      <c r="E40" s="376">
        <f>SUM(E9:E36)</f>
        <v>611955.97399999993</v>
      </c>
      <c r="F40" s="378">
        <f>E40/B40</f>
        <v>5.2497123198815164E-3</v>
      </c>
      <c r="G40" s="376">
        <f>SUM(G9:G36)</f>
        <v>57142.023100000006</v>
      </c>
      <c r="H40" s="379">
        <f>G40/C40</f>
        <v>0.20714903527693215</v>
      </c>
      <c r="I40" s="376">
        <f>SUM(I9:I36)</f>
        <v>304902.20589999994</v>
      </c>
      <c r="J40" s="379">
        <f>I40/E40</f>
        <v>0.49824206128266341</v>
      </c>
      <c r="K40" s="376">
        <f>SUM(K9:K36)</f>
        <v>22910.223800000003</v>
      </c>
      <c r="L40" s="380">
        <f>K40/C40</f>
        <v>8.3053250492081565E-2</v>
      </c>
    </row>
  </sheetData>
  <mergeCells count="22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32:M38"/>
    <mergeCell ref="N32:N38"/>
    <mergeCell ref="M25:M31"/>
    <mergeCell ref="N25:N31"/>
    <mergeCell ref="M4:M10"/>
    <mergeCell ref="N4:N10"/>
    <mergeCell ref="M11:M17"/>
    <mergeCell ref="N11:N17"/>
    <mergeCell ref="M18:M24"/>
    <mergeCell ref="N18:N24"/>
  </mergeCells>
  <phoneticPr fontId="13" type="noConversion"/>
  <conditionalFormatting sqref="A4:A38">
    <cfRule type="timePeriod" dxfId="6" priority="1" timePeriod="yesterday">
      <formula>FLOOR(A4,1)=TODAY()-1</formula>
    </cfRule>
  </conditionalFormatting>
  <conditionalFormatting sqref="D4:D38">
    <cfRule type="cellIs" dxfId="5" priority="4" operator="greaterThan">
      <formula>0.0025</formula>
    </cfRule>
  </conditionalFormatting>
  <conditionalFormatting sqref="D40">
    <cfRule type="cellIs" dxfId="4" priority="16" operator="greaterThan">
      <formula>0.0025</formula>
    </cfRule>
  </conditionalFormatting>
  <conditionalFormatting sqref="H40 J40">
    <cfRule type="cellIs" dxfId="3" priority="15" operator="greaterThan">
      <formula>0.16</formula>
    </cfRule>
  </conditionalFormatting>
  <conditionalFormatting sqref="H4:J38">
    <cfRule type="cellIs" dxfId="2" priority="2" operator="greaterThan">
      <formula>0.16</formula>
    </cfRule>
  </conditionalFormatting>
  <conditionalFormatting sqref="L4:L38">
    <cfRule type="cellIs" dxfId="1" priority="3" operator="greaterThan">
      <formula>0.15</formula>
    </cfRule>
  </conditionalFormatting>
  <conditionalFormatting sqref="L40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  <pageSetUpPr fitToPage="1"/>
  </sheetPr>
  <dimension ref="B2:AH200"/>
  <sheetViews>
    <sheetView zoomScale="70" zoomScaleNormal="70" workbookViewId="0">
      <pane xSplit="3" ySplit="2" topLeftCell="R99" activePane="bottomRight" state="frozen"/>
      <selection pane="bottomRight" activeCell="D103" sqref="D103:Y122"/>
      <selection pane="bottomLeft" activeCell="A4" sqref="A4"/>
      <selection pane="topRight" activeCell="D1" sqref="D1"/>
    </sheetView>
  </sheetViews>
  <sheetFormatPr defaultColWidth="8.85546875" defaultRowHeight="15.9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0.85546875" style="146" bestFit="1" customWidth="1"/>
    <col min="13" max="13" width="19.140625" style="146" bestFit="1" customWidth="1"/>
    <col min="14" max="14" width="15.28515625" style="146" bestFit="1" customWidth="1"/>
    <col min="15" max="15" width="12.5703125" style="146" bestFit="1" customWidth="1"/>
    <col min="16" max="16" width="12.85546875" style="146" bestFit="1" customWidth="1"/>
    <col min="17" max="17" width="13.42578125" style="146" bestFit="1" customWidth="1"/>
    <col min="18" max="18" width="12.85546875" style="146" bestFit="1" customWidth="1"/>
    <col min="19" max="19" width="10.8554687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17.710937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853" t="s">
        <v>477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AA2" s="147"/>
      <c r="AB2" s="147"/>
    </row>
    <row r="3" spans="2:34" ht="17.100000000000001" customHeight="1">
      <c r="B3" s="844" t="s">
        <v>478</v>
      </c>
      <c r="C3" s="845"/>
      <c r="D3" s="850" t="s">
        <v>479</v>
      </c>
      <c r="E3" s="850"/>
      <c r="F3" s="850"/>
      <c r="G3" s="850" t="s">
        <v>480</v>
      </c>
      <c r="H3" s="850"/>
      <c r="I3" s="850"/>
      <c r="J3" s="850"/>
      <c r="K3" s="850"/>
      <c r="L3" s="850"/>
      <c r="M3" s="850"/>
      <c r="N3" s="850"/>
      <c r="O3" s="850"/>
      <c r="P3" s="850"/>
      <c r="Q3" s="850"/>
      <c r="R3" s="850"/>
      <c r="S3" s="850"/>
      <c r="T3" s="850" t="s">
        <v>481</v>
      </c>
      <c r="U3" s="835" t="s">
        <v>482</v>
      </c>
      <c r="V3" s="828" t="s">
        <v>483</v>
      </c>
      <c r="W3" s="828" t="s">
        <v>484</v>
      </c>
      <c r="X3" s="831" t="s">
        <v>485</v>
      </c>
      <c r="Y3" s="834" t="s">
        <v>486</v>
      </c>
      <c r="AA3" s="835" t="s">
        <v>487</v>
      </c>
      <c r="AB3" s="836"/>
      <c r="AC3" s="836"/>
      <c r="AD3" s="836"/>
      <c r="AE3" s="836"/>
      <c r="AF3" s="836"/>
      <c r="AG3" s="836"/>
      <c r="AH3" s="837"/>
    </row>
    <row r="4" spans="2:34" ht="17.100000000000001" customHeight="1">
      <c r="B4" s="846"/>
      <c r="C4" s="847"/>
      <c r="D4" s="851" t="s">
        <v>488</v>
      </c>
      <c r="E4" s="850" t="s">
        <v>489</v>
      </c>
      <c r="F4" s="850"/>
      <c r="G4" s="850" t="s">
        <v>490</v>
      </c>
      <c r="H4" s="850"/>
      <c r="I4" s="850"/>
      <c r="J4" s="850"/>
      <c r="K4" s="850"/>
      <c r="L4" s="850"/>
      <c r="M4" s="850"/>
      <c r="N4" s="850"/>
      <c r="O4" s="850" t="s">
        <v>491</v>
      </c>
      <c r="P4" s="850"/>
      <c r="Q4" s="850"/>
      <c r="R4" s="850"/>
      <c r="S4" s="850"/>
      <c r="T4" s="850"/>
      <c r="U4" s="838"/>
      <c r="V4" s="829"/>
      <c r="W4" s="829"/>
      <c r="X4" s="832"/>
      <c r="Y4" s="834"/>
      <c r="AA4" s="838"/>
      <c r="AB4" s="839"/>
      <c r="AC4" s="839"/>
      <c r="AD4" s="839"/>
      <c r="AE4" s="839"/>
      <c r="AF4" s="839"/>
      <c r="AG4" s="839"/>
      <c r="AH4" s="840"/>
    </row>
    <row r="5" spans="2:34" ht="17.100000000000001" customHeight="1">
      <c r="B5" s="846"/>
      <c r="C5" s="847"/>
      <c r="D5" s="851"/>
      <c r="E5" s="851" t="s">
        <v>492</v>
      </c>
      <c r="F5" s="834" t="s">
        <v>493</v>
      </c>
      <c r="G5" s="852" t="s">
        <v>494</v>
      </c>
      <c r="H5" s="852"/>
      <c r="I5" s="852"/>
      <c r="J5" s="852"/>
      <c r="K5" s="852"/>
      <c r="L5" s="852"/>
      <c r="M5" s="852"/>
      <c r="N5" s="852"/>
      <c r="O5" s="852" t="s">
        <v>495</v>
      </c>
      <c r="P5" s="852"/>
      <c r="Q5" s="852" t="s">
        <v>496</v>
      </c>
      <c r="R5" s="852"/>
      <c r="S5" s="852"/>
      <c r="T5" s="850"/>
      <c r="U5" s="838"/>
      <c r="V5" s="829"/>
      <c r="W5" s="829"/>
      <c r="X5" s="832"/>
      <c r="Y5" s="834"/>
      <c r="AA5" s="841"/>
      <c r="AB5" s="842"/>
      <c r="AC5" s="842"/>
      <c r="AD5" s="842"/>
      <c r="AE5" s="842"/>
      <c r="AF5" s="842"/>
      <c r="AG5" s="842"/>
      <c r="AH5" s="843"/>
    </row>
    <row r="6" spans="2:34" ht="38.450000000000003" customHeight="1">
      <c r="B6" s="848"/>
      <c r="C6" s="849"/>
      <c r="D6" s="851"/>
      <c r="E6" s="851"/>
      <c r="F6" s="834"/>
      <c r="G6" s="394" t="s">
        <v>497</v>
      </c>
      <c r="H6" s="394" t="s">
        <v>498</v>
      </c>
      <c r="I6" s="394" t="s">
        <v>499</v>
      </c>
      <c r="J6" s="394" t="s">
        <v>500</v>
      </c>
      <c r="K6" s="394" t="s">
        <v>501</v>
      </c>
      <c r="L6" s="394" t="s">
        <v>502</v>
      </c>
      <c r="M6" s="394" t="s">
        <v>503</v>
      </c>
      <c r="N6" s="394" t="s">
        <v>504</v>
      </c>
      <c r="O6" s="395" t="s">
        <v>505</v>
      </c>
      <c r="P6" s="395" t="s">
        <v>506</v>
      </c>
      <c r="Q6" s="395" t="s">
        <v>505</v>
      </c>
      <c r="R6" s="395" t="s">
        <v>506</v>
      </c>
      <c r="S6" s="394" t="s">
        <v>507</v>
      </c>
      <c r="T6" s="850"/>
      <c r="U6" s="841"/>
      <c r="V6" s="830"/>
      <c r="W6" s="830"/>
      <c r="X6" s="833"/>
      <c r="Y6" s="834"/>
      <c r="AA6" s="161" t="s">
        <v>508</v>
      </c>
      <c r="AB6" s="161" t="s">
        <v>509</v>
      </c>
      <c r="AC6" s="156" t="s">
        <v>510</v>
      </c>
      <c r="AD6" s="156" t="s">
        <v>511</v>
      </c>
      <c r="AE6" s="156" t="s">
        <v>286</v>
      </c>
      <c r="AF6" s="156" t="s">
        <v>318</v>
      </c>
      <c r="AG6" s="156" t="s">
        <v>321</v>
      </c>
      <c r="AH6" s="156" t="s">
        <v>512</v>
      </c>
    </row>
    <row r="7" spans="2:34" s="148" customFormat="1" ht="27" customHeight="1">
      <c r="B7" s="822" t="s">
        <v>513</v>
      </c>
      <c r="C7" s="823"/>
      <c r="D7" s="393">
        <v>1</v>
      </c>
      <c r="E7" s="396" t="s">
        <v>299</v>
      </c>
      <c r="F7" s="397">
        <v>3050.4175000000005</v>
      </c>
      <c r="G7" s="398">
        <v>1030.0200000000002</v>
      </c>
      <c r="H7" s="398">
        <v>1065.2099999999998</v>
      </c>
      <c r="I7" s="399">
        <f>H7/G7</f>
        <v>1.0341643851575693</v>
      </c>
      <c r="J7" s="398">
        <v>0</v>
      </c>
      <c r="K7" s="399">
        <f>J7/G7</f>
        <v>0</v>
      </c>
      <c r="L7" s="398">
        <v>152.75</v>
      </c>
      <c r="M7" s="399">
        <f>(H7+J7)/G7</f>
        <v>1.0341643851575693</v>
      </c>
      <c r="N7" s="400">
        <v>5375.2724999999909</v>
      </c>
      <c r="O7" s="398">
        <v>19.97</v>
      </c>
      <c r="P7" s="399">
        <f>O7/G7</f>
        <v>1.9387973049067003E-2</v>
      </c>
      <c r="Q7" s="401">
        <f>((H7+J7)-G7)-O7</f>
        <v>15.219999999999601</v>
      </c>
      <c r="R7" s="399">
        <f>Q7/G7</f>
        <v>1.4776412108502357E-2</v>
      </c>
      <c r="S7" s="402">
        <f>Q7*L7</f>
        <v>2324.8549999999391</v>
      </c>
      <c r="T7" s="403" t="s">
        <v>514</v>
      </c>
      <c r="U7" s="403" t="s">
        <v>509</v>
      </c>
      <c r="V7" s="404" t="s">
        <v>515</v>
      </c>
      <c r="W7" s="404" t="s">
        <v>516</v>
      </c>
      <c r="X7" s="404">
        <v>1</v>
      </c>
      <c r="Y7" s="405" t="s">
        <v>298</v>
      </c>
      <c r="Z7" s="406" t="s">
        <v>517</v>
      </c>
      <c r="AA7" s="416">
        <f>SUM(X7:X26)</f>
        <v>20</v>
      </c>
      <c r="AB7" s="408">
        <f>SUMIF($U$7:$U$26,TRIM(AB6),$X$7:$X$26)</f>
        <v>18</v>
      </c>
      <c r="AC7" s="408">
        <f t="shared" ref="AC7:AG7" si="0">SUMIF($U$7:$U$26,TRIM(AC6),$X$7:$X$26)</f>
        <v>0</v>
      </c>
      <c r="AD7" s="408">
        <f t="shared" si="0"/>
        <v>1</v>
      </c>
      <c r="AE7" s="408">
        <f t="shared" si="0"/>
        <v>0</v>
      </c>
      <c r="AF7" s="408">
        <f t="shared" si="0"/>
        <v>0</v>
      </c>
      <c r="AG7" s="408">
        <f t="shared" si="0"/>
        <v>1</v>
      </c>
      <c r="AH7" s="408">
        <f>SUMIF($U$7:$U$26,TRIM(AH6),$X$7:$X$26)</f>
        <v>0</v>
      </c>
    </row>
    <row r="8" spans="2:34" s="148" customFormat="1" ht="27" customHeight="1">
      <c r="B8" s="824"/>
      <c r="C8" s="825"/>
      <c r="D8" s="393">
        <v>2</v>
      </c>
      <c r="E8" s="396" t="s">
        <v>309</v>
      </c>
      <c r="F8" s="397">
        <v>1677.7212</v>
      </c>
      <c r="G8" s="398">
        <v>575.78</v>
      </c>
      <c r="H8" s="398">
        <v>578.84</v>
      </c>
      <c r="I8" s="399">
        <f t="shared" ref="I8:I9" si="1">H8/G8</f>
        <v>1.0053145298551531</v>
      </c>
      <c r="J8" s="398">
        <v>17.88</v>
      </c>
      <c r="K8" s="399">
        <f t="shared" ref="K8:K13" si="2">J8/G8</f>
        <v>3.1053527388933272E-2</v>
      </c>
      <c r="L8" s="398">
        <v>122.81999999999996</v>
      </c>
      <c r="M8" s="399">
        <f t="shared" ref="M8:M13" si="3">(H8+J8)/G8</f>
        <v>1.0363680572440863</v>
      </c>
      <c r="N8" s="400">
        <v>2571.8507999999974</v>
      </c>
      <c r="O8" s="398">
        <v>13.66</v>
      </c>
      <c r="P8" s="399">
        <f t="shared" ref="P8:P26" si="4">O8/G8</f>
        <v>2.3724339157317031E-2</v>
      </c>
      <c r="Q8" s="401">
        <f t="shared" ref="Q8:Q26" si="5">((H8+J8)-G8)-O8</f>
        <v>7.2800000000000544</v>
      </c>
      <c r="R8" s="399">
        <f t="shared" ref="R8:R26" si="6">Q8/G8</f>
        <v>1.2643718086769347E-2</v>
      </c>
      <c r="S8" s="402">
        <f t="shared" ref="S8:S26" si="7">Q8*L8</f>
        <v>894.12960000000646</v>
      </c>
      <c r="T8" s="403" t="s">
        <v>514</v>
      </c>
      <c r="U8" s="403" t="s">
        <v>511</v>
      </c>
      <c r="V8" s="404" t="s">
        <v>518</v>
      </c>
      <c r="W8" s="404" t="s">
        <v>519</v>
      </c>
      <c r="X8" s="404">
        <v>1</v>
      </c>
      <c r="Y8" s="405" t="s">
        <v>308</v>
      </c>
      <c r="AA8" s="417"/>
      <c r="AB8" s="414">
        <f>SUMIF($U7:$U$26,TRIM(AB6),$F$7:$F$26)</f>
        <v>22744.064100000007</v>
      </c>
      <c r="AC8" s="414">
        <f>SUMIF($U7:$U$26,TRIM(AC6),$F$7:$F$26)</f>
        <v>0</v>
      </c>
      <c r="AD8" s="414">
        <f>SUMIF($U7:$U$26,TRIM(AD6),$F$7:$F$26)</f>
        <v>1677.7212</v>
      </c>
      <c r="AE8" s="414">
        <f>SUMIF($U7:$U$26,TRIM(AE6),$F$7:$F$26)</f>
        <v>0</v>
      </c>
      <c r="AF8" s="414">
        <f>SUMIF($U7:$U$26,TRIM(AF6),$F$7:$F$26)</f>
        <v>0</v>
      </c>
      <c r="AG8" s="414">
        <f>SUMIF($U7:$U$26,TRIM(AG6),$F$7:$F$26)</f>
        <v>1390.4999999999998</v>
      </c>
      <c r="AH8" s="414">
        <f>SUMIF($U7:$U$26,TRIM(AH6),$F$7:$F$26)</f>
        <v>0</v>
      </c>
    </row>
    <row r="9" spans="2:34" s="148" customFormat="1" ht="27" customHeight="1">
      <c r="B9" s="824"/>
      <c r="C9" s="825"/>
      <c r="D9" s="393">
        <v>3</v>
      </c>
      <c r="E9" s="396" t="s">
        <v>292</v>
      </c>
      <c r="F9" s="397">
        <v>1432.2837</v>
      </c>
      <c r="G9" s="398">
        <v>576.32000000000005</v>
      </c>
      <c r="H9" s="398">
        <v>588.41999999999996</v>
      </c>
      <c r="I9" s="399">
        <f t="shared" si="1"/>
        <v>1.0209952803997777</v>
      </c>
      <c r="J9" s="398">
        <v>0</v>
      </c>
      <c r="K9" s="399">
        <f t="shared" si="2"/>
        <v>0</v>
      </c>
      <c r="L9" s="398">
        <v>141.66999999999999</v>
      </c>
      <c r="M9" s="399">
        <f t="shared" si="3"/>
        <v>1.0209952803997777</v>
      </c>
      <c r="N9" s="400">
        <v>1714.2070000000028</v>
      </c>
      <c r="O9" s="398">
        <v>10.11</v>
      </c>
      <c r="P9" s="399">
        <f t="shared" si="4"/>
        <v>1.754233759022765E-2</v>
      </c>
      <c r="Q9" s="401">
        <f t="shared" si="5"/>
        <v>1.9899999999999096</v>
      </c>
      <c r="R9" s="399">
        <f t="shared" si="6"/>
        <v>3.4529428095500928E-3</v>
      </c>
      <c r="S9" s="402">
        <f t="shared" si="7"/>
        <v>281.92329999998719</v>
      </c>
      <c r="T9" s="403" t="s">
        <v>514</v>
      </c>
      <c r="U9" s="403" t="s">
        <v>509</v>
      </c>
      <c r="V9" s="404" t="s">
        <v>515</v>
      </c>
      <c r="W9" s="404" t="s">
        <v>516</v>
      </c>
      <c r="X9" s="404">
        <v>1</v>
      </c>
      <c r="Y9" s="405" t="s">
        <v>198</v>
      </c>
      <c r="AA9" s="393"/>
      <c r="AB9" s="415">
        <f>AB7/$AA7</f>
        <v>0.9</v>
      </c>
      <c r="AC9" s="415">
        <f t="shared" ref="AC9:AH9" si="8">AC7/$AA7</f>
        <v>0</v>
      </c>
      <c r="AD9" s="415">
        <f t="shared" si="8"/>
        <v>0.05</v>
      </c>
      <c r="AE9" s="415">
        <f t="shared" si="8"/>
        <v>0</v>
      </c>
      <c r="AF9" s="415">
        <f t="shared" si="8"/>
        <v>0</v>
      </c>
      <c r="AG9" s="415">
        <f t="shared" si="8"/>
        <v>0.05</v>
      </c>
      <c r="AH9" s="415">
        <f t="shared" si="8"/>
        <v>0</v>
      </c>
    </row>
    <row r="10" spans="2:34" s="148" customFormat="1" ht="27" customHeight="1">
      <c r="B10" s="824"/>
      <c r="C10" s="825"/>
      <c r="D10" s="393">
        <v>4</v>
      </c>
      <c r="E10" s="396" t="s">
        <v>373</v>
      </c>
      <c r="F10" s="397">
        <v>1431.0868000000003</v>
      </c>
      <c r="G10" s="398">
        <v>490.03</v>
      </c>
      <c r="H10" s="398">
        <v>497.90999999999997</v>
      </c>
      <c r="I10" s="399">
        <f>H10/G10</f>
        <v>1.0160806481235842</v>
      </c>
      <c r="J10" s="398">
        <v>0</v>
      </c>
      <c r="K10" s="399">
        <f t="shared" si="2"/>
        <v>0</v>
      </c>
      <c r="L10" s="398">
        <v>181.60999999999999</v>
      </c>
      <c r="M10" s="399">
        <f t="shared" si="3"/>
        <v>1.0160806481235842</v>
      </c>
      <c r="N10" s="400">
        <v>1431.0868000000005</v>
      </c>
      <c r="O10" s="398">
        <v>7.88</v>
      </c>
      <c r="P10" s="399">
        <f t="shared" si="4"/>
        <v>1.6080648123584271E-2</v>
      </c>
      <c r="Q10" s="401">
        <f t="shared" si="5"/>
        <v>0</v>
      </c>
      <c r="R10" s="399">
        <f t="shared" si="6"/>
        <v>0</v>
      </c>
      <c r="S10" s="402">
        <f t="shared" si="7"/>
        <v>0</v>
      </c>
      <c r="T10" s="403" t="s">
        <v>514</v>
      </c>
      <c r="U10" s="403" t="s">
        <v>509</v>
      </c>
      <c r="V10" s="404" t="s">
        <v>395</v>
      </c>
      <c r="W10" s="404" t="s">
        <v>520</v>
      </c>
      <c r="X10" s="404">
        <v>1</v>
      </c>
      <c r="Y10" s="405" t="s">
        <v>216</v>
      </c>
    </row>
    <row r="11" spans="2:34" s="148" customFormat="1" ht="27" customHeight="1">
      <c r="B11" s="824"/>
      <c r="C11" s="825"/>
      <c r="D11" s="393">
        <v>5</v>
      </c>
      <c r="E11" s="396" t="s">
        <v>322</v>
      </c>
      <c r="F11" s="397">
        <v>1390.4999999999998</v>
      </c>
      <c r="G11" s="398">
        <v>18606</v>
      </c>
      <c r="H11" s="398">
        <v>18512</v>
      </c>
      <c r="I11" s="399">
        <f t="shared" ref="I11:I26" si="9">H11/G11</f>
        <v>0.99494786627969467</v>
      </c>
      <c r="J11" s="398">
        <v>184</v>
      </c>
      <c r="K11" s="399">
        <f t="shared" si="2"/>
        <v>9.8892830269805432E-3</v>
      </c>
      <c r="L11" s="398">
        <v>15.450000000000001</v>
      </c>
      <c r="M11" s="399">
        <f t="shared" si="3"/>
        <v>1.0048371493066752</v>
      </c>
      <c r="N11" s="400">
        <v>1390.4999999999998</v>
      </c>
      <c r="O11" s="398">
        <v>90</v>
      </c>
      <c r="P11" s="399">
        <f t="shared" si="4"/>
        <v>4.8371493066752657E-3</v>
      </c>
      <c r="Q11" s="401">
        <f t="shared" si="5"/>
        <v>0</v>
      </c>
      <c r="R11" s="399">
        <f t="shared" si="6"/>
        <v>0</v>
      </c>
      <c r="S11" s="402">
        <f t="shared" si="7"/>
        <v>0</v>
      </c>
      <c r="T11" s="403" t="s">
        <v>514</v>
      </c>
      <c r="U11" s="403" t="s">
        <v>521</v>
      </c>
      <c r="V11" s="403" t="s">
        <v>522</v>
      </c>
      <c r="W11" s="404" t="s">
        <v>523</v>
      </c>
      <c r="X11" s="404">
        <v>1</v>
      </c>
      <c r="Y11" s="405" t="s">
        <v>147</v>
      </c>
    </row>
    <row r="12" spans="2:34" s="148" customFormat="1" ht="27" customHeight="1">
      <c r="B12" s="824"/>
      <c r="C12" s="825"/>
      <c r="D12" s="393">
        <v>6</v>
      </c>
      <c r="E12" s="396" t="s">
        <v>296</v>
      </c>
      <c r="F12" s="397">
        <v>1348.3152</v>
      </c>
      <c r="G12" s="398">
        <v>284.3</v>
      </c>
      <c r="H12" s="398">
        <v>287.34999999999997</v>
      </c>
      <c r="I12" s="399">
        <f t="shared" si="9"/>
        <v>1.0107281041153708</v>
      </c>
      <c r="J12" s="398">
        <v>3.54</v>
      </c>
      <c r="K12" s="399">
        <f t="shared" si="2"/>
        <v>1.2451635596201195E-2</v>
      </c>
      <c r="L12" s="398">
        <v>253.92000000000002</v>
      </c>
      <c r="M12" s="399">
        <f t="shared" si="3"/>
        <v>1.0231797397115723</v>
      </c>
      <c r="N12" s="400">
        <v>1673.3327999999988</v>
      </c>
      <c r="O12" s="398">
        <v>5.3100000000000005</v>
      </c>
      <c r="P12" s="399">
        <f t="shared" si="4"/>
        <v>1.8677453394301796E-2</v>
      </c>
      <c r="Q12" s="401">
        <f t="shared" si="5"/>
        <v>1.2799999999999745</v>
      </c>
      <c r="R12" s="399">
        <f t="shared" si="6"/>
        <v>4.5022863172703986E-3</v>
      </c>
      <c r="S12" s="402">
        <f t="shared" si="7"/>
        <v>325.01759999999354</v>
      </c>
      <c r="T12" s="403" t="s">
        <v>514</v>
      </c>
      <c r="U12" s="403" t="s">
        <v>509</v>
      </c>
      <c r="V12" s="404" t="s">
        <v>524</v>
      </c>
      <c r="W12" s="404" t="s">
        <v>523</v>
      </c>
      <c r="X12" s="404">
        <v>1</v>
      </c>
      <c r="Y12" s="405" t="s">
        <v>209</v>
      </c>
    </row>
    <row r="13" spans="2:34" s="148" customFormat="1" ht="27" customHeight="1">
      <c r="B13" s="824"/>
      <c r="C13" s="825"/>
      <c r="D13" s="393">
        <v>7</v>
      </c>
      <c r="E13" s="396" t="s">
        <v>385</v>
      </c>
      <c r="F13" s="397">
        <v>1224.1858999999997</v>
      </c>
      <c r="G13" s="398">
        <v>173.79999999999998</v>
      </c>
      <c r="H13" s="398">
        <v>177.43</v>
      </c>
      <c r="I13" s="399">
        <f t="shared" si="9"/>
        <v>1.0208860759493672</v>
      </c>
      <c r="J13" s="398">
        <v>7.5500000000000007</v>
      </c>
      <c r="K13" s="399">
        <f t="shared" si="2"/>
        <v>4.3440736478711169E-2</v>
      </c>
      <c r="L13" s="398">
        <v>169.79</v>
      </c>
      <c r="M13" s="399">
        <f t="shared" si="3"/>
        <v>1.0643268124280785</v>
      </c>
      <c r="N13" s="400">
        <v>1898.252200000001</v>
      </c>
      <c r="O13" s="398">
        <v>7.2099999999999991</v>
      </c>
      <c r="P13" s="399">
        <f t="shared" si="4"/>
        <v>4.1484464902186421E-2</v>
      </c>
      <c r="Q13" s="401">
        <f t="shared" si="5"/>
        <v>3.9700000000000362</v>
      </c>
      <c r="R13" s="399">
        <f t="shared" si="6"/>
        <v>2.2842347525892041E-2</v>
      </c>
      <c r="S13" s="402">
        <f t="shared" si="7"/>
        <v>674.06630000000609</v>
      </c>
      <c r="T13" s="403" t="s">
        <v>514</v>
      </c>
      <c r="U13" s="403" t="s">
        <v>509</v>
      </c>
      <c r="V13" s="404" t="s">
        <v>395</v>
      </c>
      <c r="W13" s="404" t="s">
        <v>525</v>
      </c>
      <c r="X13" s="404">
        <v>1</v>
      </c>
      <c r="Y13" s="405" t="s">
        <v>203</v>
      </c>
      <c r="AC13" s="409"/>
    </row>
    <row r="14" spans="2:34" s="148" customFormat="1" ht="27" customHeight="1">
      <c r="B14" s="824"/>
      <c r="C14" s="825"/>
      <c r="D14" s="393">
        <v>8</v>
      </c>
      <c r="E14" s="396" t="s">
        <v>294</v>
      </c>
      <c r="F14" s="397">
        <v>1212.0899999999999</v>
      </c>
      <c r="G14" s="398">
        <v>351.98999999999995</v>
      </c>
      <c r="H14" s="398">
        <v>351.22999999999996</v>
      </c>
      <c r="I14" s="399">
        <f t="shared" si="9"/>
        <v>0.99784084775135662</v>
      </c>
      <c r="J14" s="398">
        <v>13.16</v>
      </c>
      <c r="K14" s="399">
        <f>J14/G14</f>
        <v>3.7387425779141462E-2</v>
      </c>
      <c r="L14" s="398">
        <v>183.65000000000003</v>
      </c>
      <c r="M14" s="399">
        <f>(H14+J14)/G14</f>
        <v>1.0352282735304981</v>
      </c>
      <c r="N14" s="400">
        <v>2277.2600000000016</v>
      </c>
      <c r="O14" s="398">
        <v>6.6</v>
      </c>
      <c r="P14" s="399">
        <f t="shared" si="4"/>
        <v>1.875053268558766E-2</v>
      </c>
      <c r="Q14" s="401">
        <f t="shared" si="5"/>
        <v>5.8000000000000345</v>
      </c>
      <c r="R14" s="399">
        <f t="shared" si="6"/>
        <v>1.6477740844910466E-2</v>
      </c>
      <c r="S14" s="402">
        <f t="shared" si="7"/>
        <v>1065.1700000000064</v>
      </c>
      <c r="T14" s="403" t="s">
        <v>514</v>
      </c>
      <c r="U14" s="403" t="s">
        <v>509</v>
      </c>
      <c r="V14" s="404" t="s">
        <v>526</v>
      </c>
      <c r="W14" s="404" t="s">
        <v>527</v>
      </c>
      <c r="X14" s="404">
        <v>1</v>
      </c>
      <c r="Y14" s="405" t="s">
        <v>209</v>
      </c>
      <c r="AC14" s="409"/>
    </row>
    <row r="15" spans="2:34" s="148" customFormat="1" ht="27" customHeight="1">
      <c r="B15" s="824"/>
      <c r="C15" s="825"/>
      <c r="D15" s="393">
        <v>9</v>
      </c>
      <c r="E15" s="396" t="s">
        <v>391</v>
      </c>
      <c r="F15" s="397">
        <v>1199.1106</v>
      </c>
      <c r="G15" s="398">
        <v>118.11</v>
      </c>
      <c r="H15" s="398">
        <v>123.1</v>
      </c>
      <c r="I15" s="399">
        <f t="shared" si="9"/>
        <v>1.0422487511641689</v>
      </c>
      <c r="J15" s="398">
        <v>3.11</v>
      </c>
      <c r="K15" s="399">
        <f t="shared" ref="K15:K26" si="10">J15/G15</f>
        <v>2.6331385996105326E-2</v>
      </c>
      <c r="L15" s="398">
        <v>210.74</v>
      </c>
      <c r="M15" s="399">
        <f t="shared" ref="M15:M20" si="11">(H15+J15)/G15</f>
        <v>1.0685801371602743</v>
      </c>
      <c r="N15" s="400">
        <v>1706.9939999999988</v>
      </c>
      <c r="O15" s="398">
        <v>5.6899999999999995</v>
      </c>
      <c r="P15" s="399">
        <f t="shared" si="4"/>
        <v>4.8175429684192694E-2</v>
      </c>
      <c r="Q15" s="401">
        <f t="shared" si="5"/>
        <v>2.4099999999999948</v>
      </c>
      <c r="R15" s="399">
        <f t="shared" si="6"/>
        <v>2.0404707476081575E-2</v>
      </c>
      <c r="S15" s="402">
        <f t="shared" si="7"/>
        <v>507.88339999999891</v>
      </c>
      <c r="T15" s="403" t="s">
        <v>514</v>
      </c>
      <c r="U15" s="403" t="s">
        <v>509</v>
      </c>
      <c r="V15" s="404" t="s">
        <v>528</v>
      </c>
      <c r="W15" s="404" t="s">
        <v>529</v>
      </c>
      <c r="X15" s="404">
        <v>1</v>
      </c>
      <c r="Y15" s="405" t="s">
        <v>226</v>
      </c>
      <c r="AC15" s="409"/>
    </row>
    <row r="16" spans="2:34" s="148" customFormat="1" ht="27" customHeight="1">
      <c r="B16" s="824"/>
      <c r="C16" s="825"/>
      <c r="D16" s="393">
        <v>10</v>
      </c>
      <c r="E16" s="396" t="s">
        <v>302</v>
      </c>
      <c r="F16" s="397">
        <v>1185.6905999999999</v>
      </c>
      <c r="G16" s="398">
        <v>253.09999999999997</v>
      </c>
      <c r="H16" s="398">
        <v>264.02</v>
      </c>
      <c r="I16" s="399">
        <f t="shared" si="9"/>
        <v>1.0431450019755037</v>
      </c>
      <c r="J16" s="398">
        <v>0</v>
      </c>
      <c r="K16" s="399">
        <f t="shared" si="10"/>
        <v>0</v>
      </c>
      <c r="L16" s="398">
        <v>153.19000000000003</v>
      </c>
      <c r="M16" s="399">
        <f t="shared" si="11"/>
        <v>1.0431450019755037</v>
      </c>
      <c r="N16" s="400">
        <v>1672.8347999999989</v>
      </c>
      <c r="O16" s="398">
        <v>7.7400000000000011</v>
      </c>
      <c r="P16" s="399">
        <f t="shared" si="4"/>
        <v>3.0580798103516407E-2</v>
      </c>
      <c r="Q16" s="401">
        <f t="shared" si="5"/>
        <v>3.1800000000000148</v>
      </c>
      <c r="R16" s="399">
        <f t="shared" si="6"/>
        <v>1.2564203871987418E-2</v>
      </c>
      <c r="S16" s="402">
        <f t="shared" si="7"/>
        <v>487.14420000000234</v>
      </c>
      <c r="T16" s="403" t="s">
        <v>514</v>
      </c>
      <c r="U16" s="403" t="s">
        <v>509</v>
      </c>
      <c r="V16" s="444" t="s">
        <v>530</v>
      </c>
      <c r="W16" s="404" t="s">
        <v>519</v>
      </c>
      <c r="X16" s="404">
        <v>1</v>
      </c>
      <c r="Y16" s="405" t="s">
        <v>301</v>
      </c>
      <c r="AC16" s="409"/>
    </row>
    <row r="17" spans="2:34" s="148" customFormat="1" ht="27" customHeight="1">
      <c r="B17" s="824"/>
      <c r="C17" s="825"/>
      <c r="D17" s="393">
        <v>11</v>
      </c>
      <c r="E17" s="396" t="s">
        <v>531</v>
      </c>
      <c r="F17" s="397">
        <v>1146.1361999999999</v>
      </c>
      <c r="G17" s="398">
        <v>1564.08</v>
      </c>
      <c r="H17" s="398">
        <v>1584.46</v>
      </c>
      <c r="I17" s="399">
        <f t="shared" si="9"/>
        <v>1.0130300240396912</v>
      </c>
      <c r="J17" s="398">
        <v>0</v>
      </c>
      <c r="K17" s="399">
        <f t="shared" si="10"/>
        <v>0</v>
      </c>
      <c r="L17" s="398">
        <v>157.87000000000003</v>
      </c>
      <c r="M17" s="399">
        <f t="shared" si="11"/>
        <v>1.0130300240396912</v>
      </c>
      <c r="N17" s="400">
        <v>3217.3906000000084</v>
      </c>
      <c r="O17" s="398">
        <v>7.26</v>
      </c>
      <c r="P17" s="399">
        <f t="shared" si="4"/>
        <v>4.6417063065827832E-3</v>
      </c>
      <c r="Q17" s="401">
        <f t="shared" si="5"/>
        <v>13.120000000000109</v>
      </c>
      <c r="R17" s="399">
        <f t="shared" si="6"/>
        <v>8.3883177331083511E-3</v>
      </c>
      <c r="S17" s="402">
        <f t="shared" si="7"/>
        <v>2071.2544000000175</v>
      </c>
      <c r="T17" s="403" t="s">
        <v>514</v>
      </c>
      <c r="U17" s="403" t="s">
        <v>509</v>
      </c>
      <c r="V17" s="404" t="s">
        <v>532</v>
      </c>
      <c r="W17" s="404" t="s">
        <v>525</v>
      </c>
      <c r="X17" s="404">
        <v>1</v>
      </c>
      <c r="Y17" s="405" t="s">
        <v>311</v>
      </c>
      <c r="AC17" s="409"/>
    </row>
    <row r="18" spans="2:34" s="148" customFormat="1" ht="27" customHeight="1">
      <c r="B18" s="824"/>
      <c r="C18" s="825"/>
      <c r="D18" s="393">
        <v>12</v>
      </c>
      <c r="E18" s="396" t="s">
        <v>533</v>
      </c>
      <c r="F18" s="397">
        <v>1138.9559999999999</v>
      </c>
      <c r="G18" s="398">
        <v>1471.97</v>
      </c>
      <c r="H18" s="398">
        <v>1363.7399999999998</v>
      </c>
      <c r="I18" s="399">
        <f t="shared" si="9"/>
        <v>0.92647268626398616</v>
      </c>
      <c r="J18" s="398">
        <v>179.13</v>
      </c>
      <c r="K18" s="399">
        <f t="shared" si="10"/>
        <v>0.12169405626473365</v>
      </c>
      <c r="L18" s="398">
        <v>29.400000000000002</v>
      </c>
      <c r="M18" s="399">
        <f t="shared" si="11"/>
        <v>1.04816674252872</v>
      </c>
      <c r="N18" s="400">
        <v>2084.4599999999991</v>
      </c>
      <c r="O18" s="398">
        <v>38.74</v>
      </c>
      <c r="P18" s="399">
        <f t="shared" si="4"/>
        <v>2.6318471164493842E-2</v>
      </c>
      <c r="Q18" s="401">
        <f t="shared" si="5"/>
        <v>32.159999999999862</v>
      </c>
      <c r="R18" s="399">
        <f t="shared" si="6"/>
        <v>2.1848271364226079E-2</v>
      </c>
      <c r="S18" s="402">
        <f t="shared" si="7"/>
        <v>945.50399999999604</v>
      </c>
      <c r="T18" s="403" t="s">
        <v>514</v>
      </c>
      <c r="U18" s="403" t="s">
        <v>509</v>
      </c>
      <c r="V18" s="404" t="s">
        <v>534</v>
      </c>
      <c r="W18" s="404" t="s">
        <v>535</v>
      </c>
      <c r="X18" s="404">
        <v>1</v>
      </c>
      <c r="Y18" s="405" t="s">
        <v>227</v>
      </c>
    </row>
    <row r="19" spans="2:34" s="148" customFormat="1" ht="27" customHeight="1">
      <c r="B19" s="824"/>
      <c r="C19" s="825"/>
      <c r="D19" s="393">
        <v>13</v>
      </c>
      <c r="E19" s="396" t="s">
        <v>536</v>
      </c>
      <c r="F19" s="397">
        <v>1103.1846</v>
      </c>
      <c r="G19" s="398">
        <v>104.26000000000002</v>
      </c>
      <c r="H19" s="398">
        <v>106.09000000000002</v>
      </c>
      <c r="I19" s="399">
        <f t="shared" si="9"/>
        <v>1.0175522731632458</v>
      </c>
      <c r="J19" s="398">
        <v>3.3599999999999994</v>
      </c>
      <c r="K19" s="399">
        <f t="shared" si="10"/>
        <v>3.2227124496451168E-2</v>
      </c>
      <c r="L19" s="398">
        <v>496.92999999999995</v>
      </c>
      <c r="M19" s="399">
        <f t="shared" si="11"/>
        <v>1.049779397659697</v>
      </c>
      <c r="N19" s="400">
        <v>2579.0666999999976</v>
      </c>
      <c r="O19" s="398">
        <v>2.2200000000000002</v>
      </c>
      <c r="P19" s="399">
        <f t="shared" si="4"/>
        <v>2.1292921542298098E-2</v>
      </c>
      <c r="Q19" s="401">
        <f t="shared" si="5"/>
        <v>2.9699999999999975</v>
      </c>
      <c r="R19" s="399">
        <f t="shared" si="6"/>
        <v>2.8486476117398782E-2</v>
      </c>
      <c r="S19" s="402">
        <f t="shared" si="7"/>
        <v>1475.8820999999987</v>
      </c>
      <c r="T19" s="403" t="s">
        <v>514</v>
      </c>
      <c r="U19" s="403" t="s">
        <v>509</v>
      </c>
      <c r="V19" s="404" t="s">
        <v>537</v>
      </c>
      <c r="W19" s="404" t="s">
        <v>520</v>
      </c>
      <c r="X19" s="404">
        <v>1</v>
      </c>
      <c r="Y19" s="405" t="s">
        <v>203</v>
      </c>
    </row>
    <row r="20" spans="2:34" s="148" customFormat="1" ht="27" customHeight="1">
      <c r="B20" s="824"/>
      <c r="C20" s="825"/>
      <c r="D20" s="393">
        <v>14</v>
      </c>
      <c r="E20" s="396" t="s">
        <v>538</v>
      </c>
      <c r="F20" s="397">
        <v>1079.3249000000001</v>
      </c>
      <c r="G20" s="398">
        <v>133.03</v>
      </c>
      <c r="H20" s="398">
        <v>140.18</v>
      </c>
      <c r="I20" s="399">
        <f t="shared" si="9"/>
        <v>1.0537472750507404</v>
      </c>
      <c r="J20" s="398">
        <v>0</v>
      </c>
      <c r="K20" s="399">
        <f t="shared" si="10"/>
        <v>0</v>
      </c>
      <c r="L20" s="398">
        <v>218.93000000000004</v>
      </c>
      <c r="M20" s="399">
        <f t="shared" si="11"/>
        <v>1.0537472750507404</v>
      </c>
      <c r="N20" s="400">
        <v>1565.3495000000003</v>
      </c>
      <c r="O20" s="398">
        <v>4.93</v>
      </c>
      <c r="P20" s="399">
        <f t="shared" si="4"/>
        <v>3.7059309930090954E-2</v>
      </c>
      <c r="Q20" s="401">
        <f t="shared" si="5"/>
        <v>2.220000000000006</v>
      </c>
      <c r="R20" s="399">
        <f t="shared" si="6"/>
        <v>1.6687965120649521E-2</v>
      </c>
      <c r="S20" s="402">
        <f t="shared" si="7"/>
        <v>486.02460000000139</v>
      </c>
      <c r="T20" s="403" t="s">
        <v>514</v>
      </c>
      <c r="U20" s="403" t="s">
        <v>509</v>
      </c>
      <c r="V20" s="404" t="s">
        <v>532</v>
      </c>
      <c r="W20" s="404" t="s">
        <v>525</v>
      </c>
      <c r="X20" s="404">
        <v>1</v>
      </c>
      <c r="Y20" s="405" t="s">
        <v>311</v>
      </c>
    </row>
    <row r="21" spans="2:34" s="148" customFormat="1" ht="27" customHeight="1">
      <c r="B21" s="824"/>
      <c r="C21" s="825"/>
      <c r="D21" s="393">
        <v>15</v>
      </c>
      <c r="E21" s="396" t="s">
        <v>539</v>
      </c>
      <c r="F21" s="397">
        <v>1068.3057000000001</v>
      </c>
      <c r="G21" s="398">
        <v>269.52999999999997</v>
      </c>
      <c r="H21" s="398">
        <v>272.60000000000002</v>
      </c>
      <c r="I21" s="399">
        <f t="shared" si="9"/>
        <v>1.011390197751642</v>
      </c>
      <c r="J21" s="398">
        <v>0</v>
      </c>
      <c r="K21" s="399">
        <f t="shared" si="10"/>
        <v>0</v>
      </c>
      <c r="L21" s="398">
        <v>462.47000000000014</v>
      </c>
      <c r="M21" s="399">
        <f>(H21+J21)/G21</f>
        <v>1.011390197751642</v>
      </c>
      <c r="N21" s="400">
        <v>1419.7829000000002</v>
      </c>
      <c r="O21" s="398">
        <v>2.31</v>
      </c>
      <c r="P21" s="399">
        <f t="shared" si="4"/>
        <v>8.5704745297369503E-3</v>
      </c>
      <c r="Q21" s="401">
        <f t="shared" si="5"/>
        <v>0.76000000000004997</v>
      </c>
      <c r="R21" s="399">
        <f t="shared" si="6"/>
        <v>2.8197232219049828E-3</v>
      </c>
      <c r="S21" s="402">
        <f t="shared" si="7"/>
        <v>351.47720000002323</v>
      </c>
      <c r="T21" s="403" t="s">
        <v>514</v>
      </c>
      <c r="U21" s="403" t="s">
        <v>509</v>
      </c>
      <c r="V21" s="404" t="s">
        <v>540</v>
      </c>
      <c r="W21" s="404" t="s">
        <v>541</v>
      </c>
      <c r="X21" s="404">
        <v>1</v>
      </c>
      <c r="Y21" s="405" t="s">
        <v>154</v>
      </c>
    </row>
    <row r="22" spans="2:34" s="148" customFormat="1" ht="27" customHeight="1">
      <c r="B22" s="824"/>
      <c r="C22" s="825"/>
      <c r="D22" s="393">
        <v>16</v>
      </c>
      <c r="E22" s="396" t="s">
        <v>542</v>
      </c>
      <c r="F22" s="397">
        <v>1061.4576000000002</v>
      </c>
      <c r="G22" s="398">
        <v>437.36</v>
      </c>
      <c r="H22" s="398">
        <v>459.85</v>
      </c>
      <c r="I22" s="399">
        <f t="shared" si="9"/>
        <v>1.0514221693799159</v>
      </c>
      <c r="J22" s="398">
        <v>25.900000000000002</v>
      </c>
      <c r="K22" s="399">
        <f t="shared" si="10"/>
        <v>5.921895006402049E-2</v>
      </c>
      <c r="L22" s="398">
        <v>45.13</v>
      </c>
      <c r="M22" s="399">
        <f t="shared" ref="M22:M26" si="12">(H22+J22)/G22</f>
        <v>1.1106411194439363</v>
      </c>
      <c r="N22" s="400">
        <v>2183.8407000000002</v>
      </c>
      <c r="O22" s="398">
        <v>23.52</v>
      </c>
      <c r="P22" s="399">
        <f t="shared" si="4"/>
        <v>5.3777208706786171E-2</v>
      </c>
      <c r="Q22" s="401">
        <f t="shared" si="5"/>
        <v>24.869999999999987</v>
      </c>
      <c r="R22" s="399">
        <f t="shared" si="6"/>
        <v>5.6863910737150143E-2</v>
      </c>
      <c r="S22" s="402">
        <f t="shared" si="7"/>
        <v>1122.3830999999996</v>
      </c>
      <c r="T22" s="403" t="s">
        <v>514</v>
      </c>
      <c r="U22" s="403" t="s">
        <v>509</v>
      </c>
      <c r="V22" s="404" t="s">
        <v>534</v>
      </c>
      <c r="W22" s="404" t="s">
        <v>535</v>
      </c>
      <c r="X22" s="404">
        <v>1</v>
      </c>
      <c r="Y22" s="405" t="s">
        <v>204</v>
      </c>
    </row>
    <row r="23" spans="2:34" s="148" customFormat="1" ht="27" customHeight="1">
      <c r="B23" s="824"/>
      <c r="C23" s="825"/>
      <c r="D23" s="393">
        <v>17</v>
      </c>
      <c r="E23" s="396" t="s">
        <v>543</v>
      </c>
      <c r="F23" s="397">
        <v>1053.7449999999999</v>
      </c>
      <c r="G23" s="398">
        <v>163.56</v>
      </c>
      <c r="H23" s="398">
        <v>161.28</v>
      </c>
      <c r="I23" s="399">
        <f t="shared" si="9"/>
        <v>0.98606016140865738</v>
      </c>
      <c r="J23" s="398">
        <v>8.26</v>
      </c>
      <c r="K23" s="399">
        <f t="shared" si="10"/>
        <v>5.0501345072144779E-2</v>
      </c>
      <c r="L23" s="398">
        <v>458.15000000000003</v>
      </c>
      <c r="M23" s="399">
        <f t="shared" si="12"/>
        <v>1.036561506480802</v>
      </c>
      <c r="N23" s="400">
        <v>2739.7369999999974</v>
      </c>
      <c r="O23" s="398">
        <v>2.2999999999999998</v>
      </c>
      <c r="P23" s="399">
        <f t="shared" si="4"/>
        <v>1.4062117877231595E-2</v>
      </c>
      <c r="Q23" s="401">
        <f t="shared" si="5"/>
        <v>3.6799999999999899</v>
      </c>
      <c r="R23" s="399">
        <f t="shared" si="6"/>
        <v>2.2499388603570494E-2</v>
      </c>
      <c r="S23" s="402">
        <f t="shared" si="7"/>
        <v>1685.9919999999954</v>
      </c>
      <c r="T23" s="403" t="s">
        <v>514</v>
      </c>
      <c r="U23" s="403" t="s">
        <v>509</v>
      </c>
      <c r="V23" s="403" t="s">
        <v>544</v>
      </c>
      <c r="W23" s="404" t="s">
        <v>523</v>
      </c>
      <c r="X23" s="404">
        <v>1</v>
      </c>
      <c r="Y23" s="405" t="s">
        <v>227</v>
      </c>
    </row>
    <row r="24" spans="2:34" s="148" customFormat="1" ht="27" customHeight="1">
      <c r="B24" s="824"/>
      <c r="C24" s="825"/>
      <c r="D24" s="393">
        <v>18</v>
      </c>
      <c r="E24" s="396" t="s">
        <v>545</v>
      </c>
      <c r="F24" s="397">
        <v>1028.8894</v>
      </c>
      <c r="G24" s="398">
        <v>639.18000000000006</v>
      </c>
      <c r="H24" s="398">
        <v>637.36</v>
      </c>
      <c r="I24" s="399">
        <f t="shared" si="9"/>
        <v>0.99715260177101905</v>
      </c>
      <c r="J24" s="398">
        <v>24.58</v>
      </c>
      <c r="K24" s="399">
        <f t="shared" si="10"/>
        <v>3.8455521136456075E-2</v>
      </c>
      <c r="L24" s="398">
        <v>65.87</v>
      </c>
      <c r="M24" s="399">
        <f t="shared" si="12"/>
        <v>1.0356081229074752</v>
      </c>
      <c r="N24" s="400">
        <v>1499.2011999999977</v>
      </c>
      <c r="O24" s="398">
        <v>15.62</v>
      </c>
      <c r="P24" s="399">
        <f t="shared" si="4"/>
        <v>2.44375606245502E-2</v>
      </c>
      <c r="Q24" s="401">
        <f t="shared" si="5"/>
        <v>7.1399999999999917</v>
      </c>
      <c r="R24" s="399">
        <f t="shared" si="6"/>
        <v>1.1170562282924984E-2</v>
      </c>
      <c r="S24" s="402">
        <f t="shared" si="7"/>
        <v>470.31179999999949</v>
      </c>
      <c r="T24" s="403" t="s">
        <v>514</v>
      </c>
      <c r="U24" s="403" t="s">
        <v>509</v>
      </c>
      <c r="V24" s="404" t="s">
        <v>546</v>
      </c>
      <c r="W24" s="404" t="s">
        <v>541</v>
      </c>
      <c r="X24" s="404">
        <v>1</v>
      </c>
      <c r="Y24" s="405" t="s">
        <v>216</v>
      </c>
    </row>
    <row r="25" spans="2:34" s="148" customFormat="1" ht="27" customHeight="1">
      <c r="B25" s="824"/>
      <c r="C25" s="825"/>
      <c r="D25" s="393">
        <v>19</v>
      </c>
      <c r="E25" s="396" t="s">
        <v>547</v>
      </c>
      <c r="F25" s="397">
        <v>997.13040000000024</v>
      </c>
      <c r="G25" s="398">
        <v>597.4</v>
      </c>
      <c r="H25" s="398">
        <v>601.9</v>
      </c>
      <c r="I25" s="399">
        <f t="shared" si="9"/>
        <v>1.0075326414462671</v>
      </c>
      <c r="J25" s="398">
        <v>0</v>
      </c>
      <c r="K25" s="399">
        <f t="shared" si="10"/>
        <v>0</v>
      </c>
      <c r="L25" s="398">
        <v>339.16</v>
      </c>
      <c r="M25" s="399">
        <f t="shared" si="12"/>
        <v>1.0075326414462671</v>
      </c>
      <c r="N25" s="400">
        <v>1526.220000000005</v>
      </c>
      <c r="O25" s="398">
        <v>2.94</v>
      </c>
      <c r="P25" s="399">
        <f t="shared" si="4"/>
        <v>4.9213257448945434E-3</v>
      </c>
      <c r="Q25" s="401">
        <f t="shared" si="5"/>
        <v>1.56</v>
      </c>
      <c r="R25" s="399">
        <f t="shared" si="6"/>
        <v>2.6113157013726148E-3</v>
      </c>
      <c r="S25" s="402">
        <f t="shared" si="7"/>
        <v>529.08960000000002</v>
      </c>
      <c r="T25" s="403" t="s">
        <v>514</v>
      </c>
      <c r="U25" s="403" t="s">
        <v>509</v>
      </c>
      <c r="V25" s="404" t="s">
        <v>540</v>
      </c>
      <c r="W25" s="404" t="s">
        <v>541</v>
      </c>
      <c r="X25" s="404">
        <v>1</v>
      </c>
      <c r="Y25" s="405" t="s">
        <v>548</v>
      </c>
    </row>
    <row r="26" spans="2:34" s="148" customFormat="1" ht="27" customHeight="1">
      <c r="B26" s="826"/>
      <c r="C26" s="827"/>
      <c r="D26" s="393">
        <v>20</v>
      </c>
      <c r="E26" s="396" t="s">
        <v>549</v>
      </c>
      <c r="F26" s="397">
        <v>983.75400000000025</v>
      </c>
      <c r="G26" s="398">
        <v>140.31</v>
      </c>
      <c r="H26" s="398">
        <v>145.49</v>
      </c>
      <c r="I26" s="399">
        <f t="shared" si="9"/>
        <v>1.0369182524410234</v>
      </c>
      <c r="J26" s="398">
        <v>2.73</v>
      </c>
      <c r="K26" s="399">
        <f t="shared" si="10"/>
        <v>1.9456916827025869E-2</v>
      </c>
      <c r="L26" s="398">
        <v>190.65000000000003</v>
      </c>
      <c r="M26" s="399">
        <f t="shared" si="12"/>
        <v>1.0563751692680492</v>
      </c>
      <c r="N26" s="400">
        <v>1508.0415000000007</v>
      </c>
      <c r="O26" s="398">
        <v>5.16</v>
      </c>
      <c r="P26" s="399">
        <f t="shared" si="4"/>
        <v>3.6775710925807142E-2</v>
      </c>
      <c r="Q26" s="401">
        <f t="shared" si="5"/>
        <v>2.7499999999999964</v>
      </c>
      <c r="R26" s="399">
        <f t="shared" si="6"/>
        <v>1.9599458342242151E-2</v>
      </c>
      <c r="S26" s="402">
        <f t="shared" si="7"/>
        <v>524.28749999999945</v>
      </c>
      <c r="T26" s="403" t="s">
        <v>514</v>
      </c>
      <c r="U26" s="403" t="s">
        <v>509</v>
      </c>
      <c r="V26" s="404" t="s">
        <v>540</v>
      </c>
      <c r="W26" s="404" t="s">
        <v>541</v>
      </c>
      <c r="X26" s="404">
        <v>1</v>
      </c>
      <c r="Y26" s="405" t="s">
        <v>167</v>
      </c>
    </row>
    <row r="27" spans="2:34" ht="17.100000000000001" customHeight="1">
      <c r="B27" s="844" t="s">
        <v>478</v>
      </c>
      <c r="C27" s="845"/>
      <c r="D27" s="850" t="s">
        <v>479</v>
      </c>
      <c r="E27" s="850"/>
      <c r="F27" s="850"/>
      <c r="G27" s="850" t="s">
        <v>480</v>
      </c>
      <c r="H27" s="850"/>
      <c r="I27" s="850"/>
      <c r="J27" s="850"/>
      <c r="K27" s="850"/>
      <c r="L27" s="850"/>
      <c r="M27" s="850"/>
      <c r="N27" s="850"/>
      <c r="O27" s="850"/>
      <c r="P27" s="850"/>
      <c r="Q27" s="850"/>
      <c r="R27" s="850"/>
      <c r="S27" s="850"/>
      <c r="T27" s="850" t="s">
        <v>481</v>
      </c>
      <c r="U27" s="835" t="s">
        <v>482</v>
      </c>
      <c r="V27" s="828" t="s">
        <v>483</v>
      </c>
      <c r="W27" s="828" t="s">
        <v>484</v>
      </c>
      <c r="X27" s="831" t="s">
        <v>485</v>
      </c>
      <c r="Y27" s="834" t="s">
        <v>486</v>
      </c>
      <c r="AA27" s="835" t="s">
        <v>487</v>
      </c>
      <c r="AB27" s="836"/>
      <c r="AC27" s="836"/>
      <c r="AD27" s="836"/>
      <c r="AE27" s="836"/>
      <c r="AF27" s="836"/>
      <c r="AG27" s="836"/>
      <c r="AH27" s="837"/>
    </row>
    <row r="28" spans="2:34" ht="17.100000000000001" customHeight="1">
      <c r="B28" s="846"/>
      <c r="C28" s="847"/>
      <c r="D28" s="851" t="s">
        <v>488</v>
      </c>
      <c r="E28" s="850" t="s">
        <v>489</v>
      </c>
      <c r="F28" s="850"/>
      <c r="G28" s="850" t="s">
        <v>490</v>
      </c>
      <c r="H28" s="850"/>
      <c r="I28" s="850"/>
      <c r="J28" s="850"/>
      <c r="K28" s="850"/>
      <c r="L28" s="850"/>
      <c r="M28" s="850"/>
      <c r="N28" s="850"/>
      <c r="O28" s="850" t="s">
        <v>491</v>
      </c>
      <c r="P28" s="850"/>
      <c r="Q28" s="850"/>
      <c r="R28" s="850"/>
      <c r="S28" s="850"/>
      <c r="T28" s="850"/>
      <c r="U28" s="838"/>
      <c r="V28" s="829"/>
      <c r="W28" s="829"/>
      <c r="X28" s="832"/>
      <c r="Y28" s="834"/>
      <c r="AA28" s="838"/>
      <c r="AB28" s="839"/>
      <c r="AC28" s="839"/>
      <c r="AD28" s="839"/>
      <c r="AE28" s="839"/>
      <c r="AF28" s="839"/>
      <c r="AG28" s="839"/>
      <c r="AH28" s="840"/>
    </row>
    <row r="29" spans="2:34" ht="17.100000000000001" customHeight="1">
      <c r="B29" s="846"/>
      <c r="C29" s="847"/>
      <c r="D29" s="851"/>
      <c r="E29" s="851" t="s">
        <v>492</v>
      </c>
      <c r="F29" s="834" t="s">
        <v>493</v>
      </c>
      <c r="G29" s="852" t="s">
        <v>494</v>
      </c>
      <c r="H29" s="852"/>
      <c r="I29" s="852"/>
      <c r="J29" s="852"/>
      <c r="K29" s="852"/>
      <c r="L29" s="852"/>
      <c r="M29" s="852"/>
      <c r="N29" s="852"/>
      <c r="O29" s="852" t="s">
        <v>495</v>
      </c>
      <c r="P29" s="852"/>
      <c r="Q29" s="852" t="s">
        <v>496</v>
      </c>
      <c r="R29" s="852"/>
      <c r="S29" s="852"/>
      <c r="T29" s="850"/>
      <c r="U29" s="838"/>
      <c r="V29" s="829"/>
      <c r="W29" s="829"/>
      <c r="X29" s="832"/>
      <c r="Y29" s="834"/>
      <c r="AA29" s="841"/>
      <c r="AB29" s="842"/>
      <c r="AC29" s="842"/>
      <c r="AD29" s="842"/>
      <c r="AE29" s="842"/>
      <c r="AF29" s="842"/>
      <c r="AG29" s="842"/>
      <c r="AH29" s="843"/>
    </row>
    <row r="30" spans="2:34" ht="38.450000000000003" customHeight="1">
      <c r="B30" s="848"/>
      <c r="C30" s="849"/>
      <c r="D30" s="851"/>
      <c r="E30" s="851"/>
      <c r="F30" s="834"/>
      <c r="G30" s="394" t="s">
        <v>497</v>
      </c>
      <c r="H30" s="394" t="s">
        <v>498</v>
      </c>
      <c r="I30" s="394" t="s">
        <v>499</v>
      </c>
      <c r="J30" s="394" t="s">
        <v>500</v>
      </c>
      <c r="K30" s="394" t="s">
        <v>501</v>
      </c>
      <c r="L30" s="394" t="s">
        <v>502</v>
      </c>
      <c r="M30" s="394" t="s">
        <v>503</v>
      </c>
      <c r="N30" s="394" t="s">
        <v>504</v>
      </c>
      <c r="O30" s="395" t="s">
        <v>505</v>
      </c>
      <c r="P30" s="395" t="s">
        <v>506</v>
      </c>
      <c r="Q30" s="395" t="s">
        <v>505</v>
      </c>
      <c r="R30" s="395" t="s">
        <v>506</v>
      </c>
      <c r="S30" s="394" t="s">
        <v>507</v>
      </c>
      <c r="T30" s="850"/>
      <c r="U30" s="841"/>
      <c r="V30" s="830"/>
      <c r="W30" s="830"/>
      <c r="X30" s="833"/>
      <c r="Y30" s="834"/>
      <c r="AA30" s="161" t="s">
        <v>508</v>
      </c>
      <c r="AB30" s="161" t="s">
        <v>509</v>
      </c>
      <c r="AC30" s="156" t="s">
        <v>510</v>
      </c>
      <c r="AD30" s="156" t="s">
        <v>511</v>
      </c>
      <c r="AE30" s="156" t="s">
        <v>286</v>
      </c>
      <c r="AF30" s="156" t="s">
        <v>318</v>
      </c>
      <c r="AG30" s="156" t="s">
        <v>321</v>
      </c>
      <c r="AH30" s="156" t="s">
        <v>512</v>
      </c>
    </row>
    <row r="31" spans="2:34" s="148" customFormat="1" ht="27" customHeight="1">
      <c r="B31" s="822" t="s">
        <v>550</v>
      </c>
      <c r="C31" s="823"/>
      <c r="D31" s="393">
        <v>1</v>
      </c>
      <c r="E31" s="396" t="s">
        <v>299</v>
      </c>
      <c r="F31" s="397">
        <v>1748.9875</v>
      </c>
      <c r="G31" s="398">
        <v>1033.26</v>
      </c>
      <c r="H31" s="398">
        <v>1048.28</v>
      </c>
      <c r="I31" s="399">
        <f>H31/G31</f>
        <v>1.014536515494648</v>
      </c>
      <c r="J31" s="398">
        <v>0</v>
      </c>
      <c r="K31" s="399">
        <f>J31/G31</f>
        <v>0</v>
      </c>
      <c r="L31" s="398">
        <v>152.75</v>
      </c>
      <c r="M31" s="399">
        <f>(H31+J31)/G31</f>
        <v>1.014536515494648</v>
      </c>
      <c r="N31" s="400">
        <v>2294.3049999999989</v>
      </c>
      <c r="O31" s="398">
        <v>11.45</v>
      </c>
      <c r="P31" s="399">
        <f>O31/G31</f>
        <v>1.1081431585467354E-2</v>
      </c>
      <c r="Q31" s="401">
        <f>((H31+J31)-G31)-O31</f>
        <v>3.5699999999999825</v>
      </c>
      <c r="R31" s="399">
        <f>Q31/G31</f>
        <v>3.4550839091806347E-3</v>
      </c>
      <c r="S31" s="402">
        <f>Q31*L31</f>
        <v>545.31749999999738</v>
      </c>
      <c r="T31" s="403" t="s">
        <v>514</v>
      </c>
      <c r="U31" s="403" t="s">
        <v>509</v>
      </c>
      <c r="V31" s="404" t="s">
        <v>515</v>
      </c>
      <c r="W31" s="404" t="s">
        <v>516</v>
      </c>
      <c r="X31" s="404">
        <v>1</v>
      </c>
      <c r="Y31" s="405" t="s">
        <v>298</v>
      </c>
      <c r="Z31" s="406" t="s">
        <v>517</v>
      </c>
      <c r="AA31" s="416">
        <f>SUM(X31:X50)</f>
        <v>20</v>
      </c>
      <c r="AB31" s="408">
        <f>SUMIF($U$31:$U$50,TRIM(AB30),$X$31:$X$50)</f>
        <v>16</v>
      </c>
      <c r="AC31" s="408">
        <f t="shared" ref="AC31:AH31" si="13">SUMIF($U$31:$U$50,TRIM(AC30),$X$31:$X$50)</f>
        <v>0</v>
      </c>
      <c r="AD31" s="408">
        <f t="shared" si="13"/>
        <v>3</v>
      </c>
      <c r="AE31" s="408">
        <f t="shared" si="13"/>
        <v>0</v>
      </c>
      <c r="AF31" s="408">
        <f t="shared" si="13"/>
        <v>0</v>
      </c>
      <c r="AG31" s="408">
        <f t="shared" si="13"/>
        <v>1</v>
      </c>
      <c r="AH31" s="408">
        <f t="shared" si="13"/>
        <v>0</v>
      </c>
    </row>
    <row r="32" spans="2:34" s="148" customFormat="1" ht="27" customHeight="1">
      <c r="B32" s="824"/>
      <c r="C32" s="825"/>
      <c r="D32" s="393">
        <v>2</v>
      </c>
      <c r="E32" s="396" t="s">
        <v>322</v>
      </c>
      <c r="F32" s="397">
        <v>1560.45</v>
      </c>
      <c r="G32" s="398">
        <v>18750</v>
      </c>
      <c r="H32" s="398">
        <v>18605</v>
      </c>
      <c r="I32" s="399">
        <f t="shared" ref="I32:I33" si="14">H32/G32</f>
        <v>0.99226666666666663</v>
      </c>
      <c r="J32" s="398">
        <v>246</v>
      </c>
      <c r="K32" s="399">
        <f t="shared" ref="K32:K37" si="15">J32/G32</f>
        <v>1.312E-2</v>
      </c>
      <c r="L32" s="398">
        <v>15.450000000000001</v>
      </c>
      <c r="M32" s="399">
        <f t="shared" ref="M32:M37" si="16">(H32+J32)/G32</f>
        <v>1.0053866666666667</v>
      </c>
      <c r="N32" s="400">
        <v>1560.45</v>
      </c>
      <c r="O32" s="398">
        <v>101</v>
      </c>
      <c r="P32" s="399">
        <f t="shared" ref="P32:P50" si="17">O32/G32</f>
        <v>5.3866666666666663E-3</v>
      </c>
      <c r="Q32" s="401">
        <f t="shared" ref="Q32:Q50" si="18">((H32+J32)-G32)-O32</f>
        <v>0</v>
      </c>
      <c r="R32" s="399">
        <f t="shared" ref="R32:R50" si="19">Q32/G32</f>
        <v>0</v>
      </c>
      <c r="S32" s="402">
        <f t="shared" ref="S32:S50" si="20">Q32*L32</f>
        <v>0</v>
      </c>
      <c r="T32" s="403" t="s">
        <v>514</v>
      </c>
      <c r="U32" s="403" t="s">
        <v>521</v>
      </c>
      <c r="V32" s="403" t="s">
        <v>522</v>
      </c>
      <c r="W32" s="404" t="s">
        <v>523</v>
      </c>
      <c r="X32" s="404">
        <v>1</v>
      </c>
      <c r="Y32" s="405" t="s">
        <v>147</v>
      </c>
      <c r="AA32" s="417"/>
      <c r="AB32" s="414">
        <f>SUMIF($U$31:$U$50,TRIM(AB30),$F$31:$F$50)</f>
        <v>18968.966500000002</v>
      </c>
      <c r="AC32" s="414">
        <f t="shared" ref="AC32:AH32" si="21">SUMIF($U$31:$U$50,TRIM(AC30),$F$31:$F$50)</f>
        <v>0</v>
      </c>
      <c r="AD32" s="414">
        <f t="shared" si="21"/>
        <v>3567.3870000000002</v>
      </c>
      <c r="AE32" s="414">
        <f t="shared" si="21"/>
        <v>0</v>
      </c>
      <c r="AF32" s="414">
        <f t="shared" si="21"/>
        <v>0</v>
      </c>
      <c r="AG32" s="414">
        <f t="shared" si="21"/>
        <v>1560.45</v>
      </c>
      <c r="AH32" s="414">
        <f t="shared" si="21"/>
        <v>0</v>
      </c>
    </row>
    <row r="33" spans="2:34" s="148" customFormat="1" ht="27" customHeight="1">
      <c r="B33" s="824"/>
      <c r="C33" s="825"/>
      <c r="D33" s="393">
        <v>3</v>
      </c>
      <c r="E33" s="396" t="s">
        <v>309</v>
      </c>
      <c r="F33" s="397">
        <v>1516.827</v>
      </c>
      <c r="G33" s="398">
        <v>566.38</v>
      </c>
      <c r="H33" s="398">
        <v>558.96</v>
      </c>
      <c r="I33" s="399">
        <f t="shared" si="14"/>
        <v>0.98689925491719344</v>
      </c>
      <c r="J33" s="398">
        <v>21.169999999999998</v>
      </c>
      <c r="K33" s="399">
        <f t="shared" si="15"/>
        <v>3.7377732264557359E-2</v>
      </c>
      <c r="L33" s="398">
        <v>122.81999999999996</v>
      </c>
      <c r="M33" s="399">
        <f t="shared" si="16"/>
        <v>1.0242769871817508</v>
      </c>
      <c r="N33" s="400">
        <v>1688.7750000000008</v>
      </c>
      <c r="O33" s="398">
        <v>12.35</v>
      </c>
      <c r="P33" s="399">
        <f t="shared" si="17"/>
        <v>2.1805148486881597E-2</v>
      </c>
      <c r="Q33" s="401">
        <f t="shared" si="18"/>
        <v>1.4000000000000004</v>
      </c>
      <c r="R33" s="399">
        <f t="shared" si="19"/>
        <v>2.4718386948691697E-3</v>
      </c>
      <c r="S33" s="402">
        <f t="shared" si="20"/>
        <v>171.94800000000001</v>
      </c>
      <c r="T33" s="403" t="s">
        <v>514</v>
      </c>
      <c r="U33" s="403" t="s">
        <v>511</v>
      </c>
      <c r="V33" s="404" t="s">
        <v>518</v>
      </c>
      <c r="W33" s="404" t="s">
        <v>519</v>
      </c>
      <c r="X33" s="404">
        <v>1</v>
      </c>
      <c r="Y33" s="405" t="s">
        <v>308</v>
      </c>
      <c r="AA33" s="393"/>
      <c r="AB33" s="415">
        <f>AB31/$AA31</f>
        <v>0.8</v>
      </c>
      <c r="AC33" s="415">
        <f t="shared" ref="AC33:AH33" si="22">AC31/$AA31</f>
        <v>0</v>
      </c>
      <c r="AD33" s="415">
        <f t="shared" si="22"/>
        <v>0.15</v>
      </c>
      <c r="AE33" s="415">
        <f t="shared" si="22"/>
        <v>0</v>
      </c>
      <c r="AF33" s="415">
        <f t="shared" si="22"/>
        <v>0</v>
      </c>
      <c r="AG33" s="415">
        <f t="shared" si="22"/>
        <v>0.05</v>
      </c>
      <c r="AH33" s="415">
        <f t="shared" si="22"/>
        <v>0</v>
      </c>
    </row>
    <row r="34" spans="2:34" s="148" customFormat="1" ht="27" customHeight="1">
      <c r="B34" s="824"/>
      <c r="C34" s="825"/>
      <c r="D34" s="393">
        <v>4</v>
      </c>
      <c r="E34" s="396" t="s">
        <v>292</v>
      </c>
      <c r="F34" s="397">
        <v>1442.2006000000001</v>
      </c>
      <c r="G34" s="398">
        <v>582.59999999999991</v>
      </c>
      <c r="H34" s="398">
        <v>593.88</v>
      </c>
      <c r="I34" s="399">
        <f>H34/G34</f>
        <v>1.0193614830072093</v>
      </c>
      <c r="J34" s="398">
        <v>0</v>
      </c>
      <c r="K34" s="399">
        <f t="shared" si="15"/>
        <v>0</v>
      </c>
      <c r="L34" s="398">
        <v>141.66999999999999</v>
      </c>
      <c r="M34" s="399">
        <f t="shared" si="16"/>
        <v>1.0193614830072093</v>
      </c>
      <c r="N34" s="400">
        <v>1598.0376000000019</v>
      </c>
      <c r="O34" s="398">
        <v>10.18</v>
      </c>
      <c r="P34" s="399">
        <f t="shared" si="17"/>
        <v>1.747339512530038E-2</v>
      </c>
      <c r="Q34" s="401">
        <f t="shared" si="18"/>
        <v>1.1000000000000867</v>
      </c>
      <c r="R34" s="399">
        <f t="shared" si="19"/>
        <v>1.8880878819088343E-3</v>
      </c>
      <c r="S34" s="402">
        <f t="shared" si="20"/>
        <v>155.83700000001227</v>
      </c>
      <c r="T34" s="403" t="s">
        <v>514</v>
      </c>
      <c r="U34" s="403" t="s">
        <v>509</v>
      </c>
      <c r="V34" s="404" t="s">
        <v>515</v>
      </c>
      <c r="W34" s="404" t="s">
        <v>516</v>
      </c>
      <c r="X34" s="404">
        <v>1</v>
      </c>
      <c r="Y34" s="405" t="s">
        <v>198</v>
      </c>
    </row>
    <row r="35" spans="2:34" s="148" customFormat="1" ht="27" customHeight="1">
      <c r="B35" s="824"/>
      <c r="C35" s="825"/>
      <c r="D35" s="393">
        <v>5</v>
      </c>
      <c r="E35" s="396" t="s">
        <v>296</v>
      </c>
      <c r="F35" s="397">
        <v>1366.0896</v>
      </c>
      <c r="G35" s="398">
        <v>278.14000000000004</v>
      </c>
      <c r="H35" s="398">
        <v>283.40000000000003</v>
      </c>
      <c r="I35" s="399">
        <f t="shared" ref="I35:I50" si="23">H35/G35</f>
        <v>1.0189113396131444</v>
      </c>
      <c r="J35" s="398">
        <v>3.1500000000000004</v>
      </c>
      <c r="K35" s="399">
        <f t="shared" si="15"/>
        <v>1.1325231897605523E-2</v>
      </c>
      <c r="L35" s="398">
        <v>253.92000000000002</v>
      </c>
      <c r="M35" s="399">
        <f t="shared" si="16"/>
        <v>1.0302365715107498</v>
      </c>
      <c r="N35" s="400">
        <v>2135.4671999999955</v>
      </c>
      <c r="O35" s="398">
        <v>5.38</v>
      </c>
      <c r="P35" s="399">
        <f t="shared" si="17"/>
        <v>1.9342777018767524E-2</v>
      </c>
      <c r="Q35" s="401">
        <f t="shared" si="18"/>
        <v>3.0299999999999683</v>
      </c>
      <c r="R35" s="399">
        <f t="shared" si="19"/>
        <v>1.0893794491982339E-2</v>
      </c>
      <c r="S35" s="402">
        <f t="shared" si="20"/>
        <v>769.37759999999196</v>
      </c>
      <c r="T35" s="403" t="s">
        <v>514</v>
      </c>
      <c r="U35" s="403" t="s">
        <v>509</v>
      </c>
      <c r="V35" s="404" t="s">
        <v>524</v>
      </c>
      <c r="W35" s="404" t="s">
        <v>551</v>
      </c>
      <c r="X35" s="404">
        <v>1</v>
      </c>
      <c r="Y35" s="405" t="s">
        <v>209</v>
      </c>
    </row>
    <row r="36" spans="2:34" s="148" customFormat="1" ht="27" customHeight="1">
      <c r="B36" s="824"/>
      <c r="C36" s="825"/>
      <c r="D36" s="393">
        <v>6</v>
      </c>
      <c r="E36" s="396" t="s">
        <v>294</v>
      </c>
      <c r="F36" s="397">
        <v>1346.1545000000001</v>
      </c>
      <c r="G36" s="398">
        <v>344.34</v>
      </c>
      <c r="H36" s="398">
        <v>349.24</v>
      </c>
      <c r="I36" s="399">
        <f t="shared" si="23"/>
        <v>1.0142301213916478</v>
      </c>
      <c r="J36" s="398">
        <v>6.5</v>
      </c>
      <c r="K36" s="399">
        <f t="shared" si="15"/>
        <v>1.8876691641981764E-2</v>
      </c>
      <c r="L36" s="398">
        <v>183.65000000000003</v>
      </c>
      <c r="M36" s="399">
        <f t="shared" si="16"/>
        <v>1.0331068130336296</v>
      </c>
      <c r="N36" s="400">
        <v>2093.6099999999988</v>
      </c>
      <c r="O36" s="398">
        <v>7.3299999999999992</v>
      </c>
      <c r="P36" s="399">
        <f t="shared" si="17"/>
        <v>2.1287099959342509E-2</v>
      </c>
      <c r="Q36" s="401">
        <f t="shared" si="18"/>
        <v>4.0700000000000349</v>
      </c>
      <c r="R36" s="399">
        <f t="shared" si="19"/>
        <v>1.1819713074287145E-2</v>
      </c>
      <c r="S36" s="402">
        <f t="shared" si="20"/>
        <v>747.45550000000651</v>
      </c>
      <c r="T36" s="403" t="s">
        <v>514</v>
      </c>
      <c r="U36" s="403" t="s">
        <v>509</v>
      </c>
      <c r="V36" s="404" t="s">
        <v>526</v>
      </c>
      <c r="W36" s="404" t="s">
        <v>527</v>
      </c>
      <c r="X36" s="404">
        <v>1</v>
      </c>
      <c r="Y36" s="405" t="s">
        <v>209</v>
      </c>
    </row>
    <row r="37" spans="2:34" s="148" customFormat="1" ht="27" customHeight="1">
      <c r="B37" s="824"/>
      <c r="C37" s="825"/>
      <c r="D37" s="393">
        <v>7</v>
      </c>
      <c r="E37" s="396" t="s">
        <v>373</v>
      </c>
      <c r="F37" s="397">
        <v>1300.3276000000001</v>
      </c>
      <c r="G37" s="398">
        <v>488.78999999999996</v>
      </c>
      <c r="H37" s="398">
        <v>496.58000000000004</v>
      </c>
      <c r="I37" s="399">
        <f t="shared" si="23"/>
        <v>1.0159373145931792</v>
      </c>
      <c r="J37" s="398">
        <v>0</v>
      </c>
      <c r="K37" s="399">
        <f t="shared" si="15"/>
        <v>0</v>
      </c>
      <c r="L37" s="398">
        <v>181.60999999999999</v>
      </c>
      <c r="M37" s="399">
        <f t="shared" si="16"/>
        <v>1.0159373145931792</v>
      </c>
      <c r="N37" s="400">
        <v>1414.7419000000027</v>
      </c>
      <c r="O37" s="398">
        <v>7.160000000000001</v>
      </c>
      <c r="P37" s="399">
        <f t="shared" si="17"/>
        <v>1.4648417520816713E-2</v>
      </c>
      <c r="Q37" s="401">
        <f t="shared" si="18"/>
        <v>0.63000000000007628</v>
      </c>
      <c r="R37" s="399">
        <f t="shared" si="19"/>
        <v>1.2888970723625203E-3</v>
      </c>
      <c r="S37" s="402">
        <f t="shared" si="20"/>
        <v>114.41430000001384</v>
      </c>
      <c r="T37" s="403" t="s">
        <v>514</v>
      </c>
      <c r="U37" s="403" t="s">
        <v>509</v>
      </c>
      <c r="V37" s="404" t="s">
        <v>395</v>
      </c>
      <c r="W37" s="404" t="s">
        <v>520</v>
      </c>
      <c r="X37" s="404">
        <v>1</v>
      </c>
      <c r="Y37" s="405" t="s">
        <v>216</v>
      </c>
    </row>
    <row r="38" spans="2:34" s="148" customFormat="1" ht="27" customHeight="1">
      <c r="B38" s="824"/>
      <c r="C38" s="825"/>
      <c r="D38" s="393">
        <v>8</v>
      </c>
      <c r="E38" s="396" t="s">
        <v>302</v>
      </c>
      <c r="F38" s="397">
        <v>1127.4784</v>
      </c>
      <c r="G38" s="398">
        <v>264.17</v>
      </c>
      <c r="H38" s="398">
        <v>273.57</v>
      </c>
      <c r="I38" s="399">
        <f t="shared" si="23"/>
        <v>1.0355831472158079</v>
      </c>
      <c r="J38" s="398">
        <v>0</v>
      </c>
      <c r="K38" s="399">
        <f>J38/G38</f>
        <v>0</v>
      </c>
      <c r="L38" s="398">
        <v>153.19000000000003</v>
      </c>
      <c r="M38" s="399">
        <f>(H38+J38)/G38</f>
        <v>1.0355831472158079</v>
      </c>
      <c r="N38" s="400">
        <v>1439.9859999999987</v>
      </c>
      <c r="O38" s="398">
        <v>7.36</v>
      </c>
      <c r="P38" s="399">
        <f t="shared" si="17"/>
        <v>2.7860847181739031E-2</v>
      </c>
      <c r="Q38" s="401">
        <f t="shared" si="18"/>
        <v>2.0399999999999769</v>
      </c>
      <c r="R38" s="399">
        <f t="shared" si="19"/>
        <v>7.7223000340688828E-3</v>
      </c>
      <c r="S38" s="402">
        <f t="shared" si="20"/>
        <v>312.5075999999965</v>
      </c>
      <c r="T38" s="403" t="s">
        <v>514</v>
      </c>
      <c r="U38" s="403" t="s">
        <v>509</v>
      </c>
      <c r="V38" s="444" t="s">
        <v>530</v>
      </c>
      <c r="W38" s="404" t="s">
        <v>519</v>
      </c>
      <c r="X38" s="404">
        <v>1</v>
      </c>
      <c r="Y38" s="405" t="s">
        <v>301</v>
      </c>
    </row>
    <row r="39" spans="2:34" s="148" customFormat="1" ht="27" customHeight="1">
      <c r="B39" s="824"/>
      <c r="C39" s="825"/>
      <c r="D39" s="393">
        <v>9</v>
      </c>
      <c r="E39" s="396" t="s">
        <v>391</v>
      </c>
      <c r="F39" s="397">
        <v>1108.4924000000001</v>
      </c>
      <c r="G39" s="398">
        <v>184.47</v>
      </c>
      <c r="H39" s="398">
        <v>187.32999999999998</v>
      </c>
      <c r="I39" s="399">
        <f t="shared" si="23"/>
        <v>1.0155038759689923</v>
      </c>
      <c r="J39" s="398">
        <v>4.5</v>
      </c>
      <c r="K39" s="399">
        <f t="shared" ref="K39:K50" si="24">J39/G39</f>
        <v>2.4394210440722069E-2</v>
      </c>
      <c r="L39" s="398">
        <v>210.74</v>
      </c>
      <c r="M39" s="399">
        <f t="shared" ref="M39:M50" si="25">(H39+J39)/G39</f>
        <v>1.0398980864097143</v>
      </c>
      <c r="N39" s="400">
        <v>1551.046399999999</v>
      </c>
      <c r="O39" s="398">
        <v>5.2600000000000007</v>
      </c>
      <c r="P39" s="399">
        <f t="shared" si="17"/>
        <v>2.8514121537377354E-2</v>
      </c>
      <c r="Q39" s="401">
        <f t="shared" si="18"/>
        <v>2.0999999999999845</v>
      </c>
      <c r="R39" s="399">
        <f t="shared" si="19"/>
        <v>1.1383964872336881E-2</v>
      </c>
      <c r="S39" s="402">
        <f t="shared" si="20"/>
        <v>442.55399999999679</v>
      </c>
      <c r="T39" s="403" t="s">
        <v>514</v>
      </c>
      <c r="U39" s="403" t="s">
        <v>509</v>
      </c>
      <c r="V39" s="404" t="s">
        <v>528</v>
      </c>
      <c r="W39" s="404" t="s">
        <v>529</v>
      </c>
      <c r="X39" s="404">
        <v>1</v>
      </c>
      <c r="Y39" s="405" t="s">
        <v>226</v>
      </c>
    </row>
    <row r="40" spans="2:34" s="148" customFormat="1" ht="27" customHeight="1">
      <c r="B40" s="824"/>
      <c r="C40" s="825"/>
      <c r="D40" s="393">
        <v>10</v>
      </c>
      <c r="E40" s="396" t="s">
        <v>552</v>
      </c>
      <c r="F40" s="397">
        <v>1085.0814000000003</v>
      </c>
      <c r="G40" s="398">
        <v>194.19</v>
      </c>
      <c r="H40" s="398">
        <v>197.3</v>
      </c>
      <c r="I40" s="399">
        <f t="shared" si="23"/>
        <v>1.0160152428034399</v>
      </c>
      <c r="J40" s="398">
        <v>4.3</v>
      </c>
      <c r="K40" s="399">
        <f t="shared" si="24"/>
        <v>2.2143261753952315E-2</v>
      </c>
      <c r="L40" s="398">
        <v>203.57999999999998</v>
      </c>
      <c r="M40" s="399">
        <f t="shared" si="25"/>
        <v>1.0381585045573924</v>
      </c>
      <c r="N40" s="400">
        <v>1508.5277999999994</v>
      </c>
      <c r="O40" s="398">
        <v>5.33</v>
      </c>
      <c r="P40" s="399">
        <f t="shared" si="17"/>
        <v>2.7447345383387403E-2</v>
      </c>
      <c r="Q40" s="401">
        <f t="shared" si="18"/>
        <v>2.0800000000000249</v>
      </c>
      <c r="R40" s="399">
        <f t="shared" si="19"/>
        <v>1.071115917400497E-2</v>
      </c>
      <c r="S40" s="402">
        <f t="shared" si="20"/>
        <v>423.44640000000504</v>
      </c>
      <c r="T40" s="403" t="s">
        <v>514</v>
      </c>
      <c r="U40" s="403" t="s">
        <v>509</v>
      </c>
      <c r="V40" s="404" t="s">
        <v>515</v>
      </c>
      <c r="W40" s="404" t="s">
        <v>516</v>
      </c>
      <c r="X40" s="404">
        <v>1</v>
      </c>
      <c r="Y40" s="405" t="s">
        <v>198</v>
      </c>
    </row>
    <row r="41" spans="2:34" s="148" customFormat="1" ht="27" customHeight="1">
      <c r="B41" s="824"/>
      <c r="C41" s="825"/>
      <c r="D41" s="393">
        <v>11</v>
      </c>
      <c r="E41" s="396" t="s">
        <v>553</v>
      </c>
      <c r="F41" s="397">
        <v>1079.3980000000001</v>
      </c>
      <c r="G41" s="398">
        <v>70.11</v>
      </c>
      <c r="H41" s="398">
        <v>83.539999999999992</v>
      </c>
      <c r="I41" s="399">
        <f t="shared" si="23"/>
        <v>1.1915561260875767</v>
      </c>
      <c r="J41" s="398">
        <v>0</v>
      </c>
      <c r="K41" s="399">
        <f t="shared" si="24"/>
        <v>0</v>
      </c>
      <c r="L41" s="398">
        <v>101.83000000000001</v>
      </c>
      <c r="M41" s="399">
        <f t="shared" si="25"/>
        <v>1.1915561260875767</v>
      </c>
      <c r="N41" s="400">
        <v>1367.5769</v>
      </c>
      <c r="O41" s="398">
        <v>10.600000000000001</v>
      </c>
      <c r="P41" s="399">
        <f t="shared" si="17"/>
        <v>0.15119098559406649</v>
      </c>
      <c r="Q41" s="401">
        <f t="shared" si="18"/>
        <v>2.8299999999999912</v>
      </c>
      <c r="R41" s="399">
        <f t="shared" si="19"/>
        <v>4.0365140493510074E-2</v>
      </c>
      <c r="S41" s="402">
        <f t="shared" si="20"/>
        <v>288.17889999999915</v>
      </c>
      <c r="T41" s="403" t="s">
        <v>514</v>
      </c>
      <c r="U41" s="403" t="s">
        <v>509</v>
      </c>
      <c r="V41" s="404" t="s">
        <v>515</v>
      </c>
      <c r="W41" s="404" t="s">
        <v>516</v>
      </c>
      <c r="X41" s="404">
        <v>1</v>
      </c>
      <c r="Y41" s="405" t="s">
        <v>554</v>
      </c>
    </row>
    <row r="42" spans="2:34" s="148" customFormat="1" ht="27" customHeight="1">
      <c r="B42" s="824"/>
      <c r="C42" s="825"/>
      <c r="D42" s="393">
        <v>12</v>
      </c>
      <c r="E42" s="396" t="s">
        <v>538</v>
      </c>
      <c r="F42" s="397">
        <v>1070.5676999999998</v>
      </c>
      <c r="G42" s="398">
        <v>103.85000000000001</v>
      </c>
      <c r="H42" s="398">
        <v>108.01000000000002</v>
      </c>
      <c r="I42" s="399">
        <f t="shared" si="23"/>
        <v>1.0400577756379394</v>
      </c>
      <c r="J42" s="398">
        <v>2.71</v>
      </c>
      <c r="K42" s="399">
        <f t="shared" si="24"/>
        <v>2.60953298025999E-2</v>
      </c>
      <c r="L42" s="398">
        <v>218.93000000000004</v>
      </c>
      <c r="M42" s="399">
        <f t="shared" si="25"/>
        <v>1.0661531054405393</v>
      </c>
      <c r="N42" s="400">
        <v>1504.0490999999997</v>
      </c>
      <c r="O42" s="398">
        <v>4.8899999999999997</v>
      </c>
      <c r="P42" s="399">
        <f t="shared" si="17"/>
        <v>4.7087144920558488E-2</v>
      </c>
      <c r="Q42" s="401">
        <f t="shared" si="18"/>
        <v>1.9800000000000049</v>
      </c>
      <c r="R42" s="399">
        <f t="shared" si="19"/>
        <v>1.9065960519980787E-2</v>
      </c>
      <c r="S42" s="402">
        <f t="shared" si="20"/>
        <v>433.48140000000114</v>
      </c>
      <c r="T42" s="403" t="s">
        <v>514</v>
      </c>
      <c r="U42" s="403" t="s">
        <v>509</v>
      </c>
      <c r="V42" s="404" t="s">
        <v>532</v>
      </c>
      <c r="W42" s="404" t="s">
        <v>525</v>
      </c>
      <c r="X42" s="404">
        <v>1</v>
      </c>
      <c r="Y42" s="405" t="s">
        <v>311</v>
      </c>
    </row>
    <row r="43" spans="2:34" s="148" customFormat="1" ht="27" customHeight="1">
      <c r="B43" s="824"/>
      <c r="C43" s="825"/>
      <c r="D43" s="393">
        <v>13</v>
      </c>
      <c r="E43" s="396" t="s">
        <v>385</v>
      </c>
      <c r="F43" s="397">
        <v>1066.2811999999999</v>
      </c>
      <c r="G43" s="398">
        <v>170.78000000000003</v>
      </c>
      <c r="H43" s="398">
        <v>181.89</v>
      </c>
      <c r="I43" s="399">
        <f t="shared" si="23"/>
        <v>1.0650544560252955</v>
      </c>
      <c r="J43" s="398">
        <v>3.12</v>
      </c>
      <c r="K43" s="399">
        <f t="shared" si="24"/>
        <v>1.8269118163719403E-2</v>
      </c>
      <c r="L43" s="398">
        <v>169.79</v>
      </c>
      <c r="M43" s="399">
        <f t="shared" si="25"/>
        <v>1.0833235741890148</v>
      </c>
      <c r="N43" s="400">
        <v>2416.1116999999995</v>
      </c>
      <c r="O43" s="398">
        <v>6.2799999999999994</v>
      </c>
      <c r="P43" s="399">
        <f t="shared" si="17"/>
        <v>3.6772455791076228E-2</v>
      </c>
      <c r="Q43" s="401">
        <f t="shared" si="18"/>
        <v>7.949999999999962</v>
      </c>
      <c r="R43" s="399">
        <f t="shared" si="19"/>
        <v>4.6551118397938636E-2</v>
      </c>
      <c r="S43" s="402">
        <f t="shared" si="20"/>
        <v>1349.8304999999934</v>
      </c>
      <c r="T43" s="403" t="s">
        <v>514</v>
      </c>
      <c r="U43" s="403" t="s">
        <v>509</v>
      </c>
      <c r="V43" s="404" t="s">
        <v>532</v>
      </c>
      <c r="W43" s="404" t="s">
        <v>525</v>
      </c>
      <c r="X43" s="404">
        <v>1</v>
      </c>
      <c r="Y43" s="405" t="s">
        <v>203</v>
      </c>
    </row>
    <row r="44" spans="2:34" s="148" customFormat="1" ht="27" customHeight="1">
      <c r="B44" s="824"/>
      <c r="C44" s="825"/>
      <c r="D44" s="393">
        <v>14</v>
      </c>
      <c r="E44" s="396" t="s">
        <v>555</v>
      </c>
      <c r="F44" s="397">
        <v>1055.4360000000001</v>
      </c>
      <c r="G44" s="398">
        <v>433.92</v>
      </c>
      <c r="H44" s="398">
        <v>424.4</v>
      </c>
      <c r="I44" s="399">
        <f t="shared" si="23"/>
        <v>0.97806047197640111</v>
      </c>
      <c r="J44" s="398">
        <v>30.02</v>
      </c>
      <c r="K44" s="399">
        <f t="shared" si="24"/>
        <v>6.9183259587020651E-2</v>
      </c>
      <c r="L44" s="398">
        <v>84.3</v>
      </c>
      <c r="M44" s="399">
        <f t="shared" si="25"/>
        <v>1.0472437315634218</v>
      </c>
      <c r="N44" s="400">
        <v>1728.1499999999976</v>
      </c>
      <c r="O44" s="398">
        <v>12.52</v>
      </c>
      <c r="P44" s="399">
        <f t="shared" si="17"/>
        <v>2.885324483775811E-2</v>
      </c>
      <c r="Q44" s="401">
        <f t="shared" si="18"/>
        <v>7.9799999999999436</v>
      </c>
      <c r="R44" s="399">
        <f t="shared" si="19"/>
        <v>1.8390486725663586E-2</v>
      </c>
      <c r="S44" s="402">
        <f t="shared" si="20"/>
        <v>672.71399999999517</v>
      </c>
      <c r="T44" s="403" t="s">
        <v>514</v>
      </c>
      <c r="U44" s="403" t="s">
        <v>509</v>
      </c>
      <c r="V44" s="404" t="s">
        <v>534</v>
      </c>
      <c r="W44" s="404" t="s">
        <v>535</v>
      </c>
      <c r="X44" s="404">
        <v>1</v>
      </c>
      <c r="Y44" s="405" t="s">
        <v>202</v>
      </c>
    </row>
    <row r="45" spans="2:34" s="148" customFormat="1" ht="27" customHeight="1">
      <c r="B45" s="824"/>
      <c r="C45" s="825"/>
      <c r="D45" s="393">
        <v>15</v>
      </c>
      <c r="E45" s="396" t="s">
        <v>556</v>
      </c>
      <c r="F45" s="397">
        <v>1053.1072000000001</v>
      </c>
      <c r="G45" s="398">
        <v>213.47000000000003</v>
      </c>
      <c r="H45" s="398">
        <v>215.04999999999998</v>
      </c>
      <c r="I45" s="399">
        <f t="shared" si="23"/>
        <v>1.0074015084086756</v>
      </c>
      <c r="J45" s="398">
        <v>3.77</v>
      </c>
      <c r="K45" s="399">
        <f t="shared" si="24"/>
        <v>1.766056120297934E-2</v>
      </c>
      <c r="L45" s="398">
        <v>411.36999999999995</v>
      </c>
      <c r="M45" s="399">
        <f t="shared" si="25"/>
        <v>1.0250620696116548</v>
      </c>
      <c r="N45" s="400">
        <v>2200.8294999999976</v>
      </c>
      <c r="O45" s="398">
        <v>2.56</v>
      </c>
      <c r="P45" s="399">
        <f t="shared" si="17"/>
        <v>1.1992317421651752E-2</v>
      </c>
      <c r="Q45" s="401">
        <f t="shared" si="18"/>
        <v>2.7899999999999658</v>
      </c>
      <c r="R45" s="399">
        <f t="shared" si="19"/>
        <v>1.3069752190003118E-2</v>
      </c>
      <c r="S45" s="402">
        <f t="shared" si="20"/>
        <v>1147.7222999999858</v>
      </c>
      <c r="T45" s="403" t="s">
        <v>514</v>
      </c>
      <c r="U45" s="403" t="s">
        <v>509</v>
      </c>
      <c r="V45" s="403" t="s">
        <v>557</v>
      </c>
      <c r="W45" s="404" t="s">
        <v>523</v>
      </c>
      <c r="X45" s="404">
        <v>1</v>
      </c>
      <c r="Y45" s="405" t="s">
        <v>203</v>
      </c>
    </row>
    <row r="46" spans="2:34" s="148" customFormat="1" ht="27" customHeight="1">
      <c r="B46" s="824"/>
      <c r="C46" s="825"/>
      <c r="D46" s="393">
        <v>16</v>
      </c>
      <c r="E46" s="396" t="s">
        <v>558</v>
      </c>
      <c r="F46" s="397">
        <v>1042.0463999999999</v>
      </c>
      <c r="G46" s="398">
        <v>303.77</v>
      </c>
      <c r="H46" s="398">
        <v>312.46999999999997</v>
      </c>
      <c r="I46" s="399">
        <f t="shared" si="23"/>
        <v>1.0286400895414294</v>
      </c>
      <c r="J46" s="398">
        <v>0</v>
      </c>
      <c r="K46" s="399">
        <f t="shared" si="24"/>
        <v>0</v>
      </c>
      <c r="L46" s="398">
        <v>174.83999999999997</v>
      </c>
      <c r="M46" s="399">
        <f t="shared" si="25"/>
        <v>1.0286400895414294</v>
      </c>
      <c r="N46" s="400">
        <v>1521.1080000000004</v>
      </c>
      <c r="O46" s="398">
        <v>5.96</v>
      </c>
      <c r="P46" s="399">
        <f t="shared" si="17"/>
        <v>1.9620107318036675E-2</v>
      </c>
      <c r="Q46" s="401">
        <f t="shared" si="18"/>
        <v>2.7399999999999887</v>
      </c>
      <c r="R46" s="399">
        <f t="shared" si="19"/>
        <v>9.0199822233926613E-3</v>
      </c>
      <c r="S46" s="402">
        <f t="shared" si="20"/>
        <v>479.06159999999795</v>
      </c>
      <c r="T46" s="403" t="s">
        <v>514</v>
      </c>
      <c r="U46" s="403" t="s">
        <v>509</v>
      </c>
      <c r="V46" s="404" t="s">
        <v>515</v>
      </c>
      <c r="W46" s="404" t="s">
        <v>516</v>
      </c>
      <c r="X46" s="404">
        <v>1</v>
      </c>
      <c r="Y46" s="405" t="s">
        <v>554</v>
      </c>
      <c r="AC46" s="409"/>
    </row>
    <row r="47" spans="2:34" s="148" customFormat="1" ht="27" customHeight="1">
      <c r="B47" s="824"/>
      <c r="C47" s="825"/>
      <c r="D47" s="393">
        <v>17</v>
      </c>
      <c r="E47" s="396" t="s">
        <v>381</v>
      </c>
      <c r="F47" s="397">
        <v>1040.8308</v>
      </c>
      <c r="G47" s="398">
        <v>142.97999999999999</v>
      </c>
      <c r="H47" s="398">
        <v>135.67000000000002</v>
      </c>
      <c r="I47" s="399">
        <f t="shared" si="23"/>
        <v>0.94887396838718718</v>
      </c>
      <c r="J47" s="398">
        <v>22.15</v>
      </c>
      <c r="K47" s="399">
        <f t="shared" si="24"/>
        <v>0.15491677157644426</v>
      </c>
      <c r="L47" s="398">
        <v>142.19000000000003</v>
      </c>
      <c r="M47" s="399">
        <f t="shared" si="25"/>
        <v>1.1037907399636315</v>
      </c>
      <c r="N47" s="400">
        <v>2110.0996000000005</v>
      </c>
      <c r="O47" s="398">
        <v>7.32</v>
      </c>
      <c r="P47" s="399">
        <f t="shared" si="17"/>
        <v>5.1195971464540503E-2</v>
      </c>
      <c r="Q47" s="401">
        <f t="shared" si="18"/>
        <v>7.5200000000000315</v>
      </c>
      <c r="R47" s="399">
        <f t="shared" si="19"/>
        <v>5.2594768499091005E-2</v>
      </c>
      <c r="S47" s="402">
        <f t="shared" si="20"/>
        <v>1069.2688000000046</v>
      </c>
      <c r="T47" s="403" t="s">
        <v>514</v>
      </c>
      <c r="U47" s="403" t="s">
        <v>509</v>
      </c>
      <c r="V47" s="404" t="s">
        <v>528</v>
      </c>
      <c r="W47" s="404" t="s">
        <v>529</v>
      </c>
      <c r="X47" s="404">
        <v>1</v>
      </c>
      <c r="Y47" s="405" t="s">
        <v>217</v>
      </c>
      <c r="AB47" s="411"/>
      <c r="AC47" s="409"/>
    </row>
    <row r="48" spans="2:34" s="148" customFormat="1" ht="27" customHeight="1">
      <c r="B48" s="824"/>
      <c r="C48" s="825"/>
      <c r="D48" s="393">
        <v>18</v>
      </c>
      <c r="E48" s="396" t="s">
        <v>375</v>
      </c>
      <c r="F48" s="397">
        <v>1036.4871999999998</v>
      </c>
      <c r="G48" s="398">
        <v>1486.5</v>
      </c>
      <c r="H48" s="398">
        <v>1460.15</v>
      </c>
      <c r="I48" s="399">
        <f t="shared" si="23"/>
        <v>0.9822737975109318</v>
      </c>
      <c r="J48" s="398">
        <v>45.050000000000004</v>
      </c>
      <c r="K48" s="399">
        <f t="shared" si="24"/>
        <v>3.0306088126471582E-2</v>
      </c>
      <c r="L48" s="398">
        <v>94.570000000000007</v>
      </c>
      <c r="M48" s="399">
        <f t="shared" si="25"/>
        <v>1.0125798856374033</v>
      </c>
      <c r="N48" s="400">
        <v>1768.4590000000071</v>
      </c>
      <c r="O48" s="398">
        <v>10.959999999999999</v>
      </c>
      <c r="P48" s="399">
        <f t="shared" si="17"/>
        <v>7.3730238816010754E-3</v>
      </c>
      <c r="Q48" s="401">
        <f t="shared" si="18"/>
        <v>7.7400000000000464</v>
      </c>
      <c r="R48" s="399">
        <f t="shared" si="19"/>
        <v>5.2068617558022508E-3</v>
      </c>
      <c r="S48" s="402">
        <f t="shared" si="20"/>
        <v>731.97180000000446</v>
      </c>
      <c r="T48" s="403" t="s">
        <v>514</v>
      </c>
      <c r="U48" s="403" t="s">
        <v>509</v>
      </c>
      <c r="V48" s="428" t="s">
        <v>559</v>
      </c>
      <c r="W48" s="404" t="s">
        <v>523</v>
      </c>
      <c r="X48" s="404">
        <v>1</v>
      </c>
      <c r="Y48" s="405" t="s">
        <v>219</v>
      </c>
      <c r="AC48" s="409"/>
    </row>
    <row r="49" spans="2:34" s="148" customFormat="1" ht="27" customHeight="1">
      <c r="B49" s="824"/>
      <c r="C49" s="825"/>
      <c r="D49" s="393">
        <v>19</v>
      </c>
      <c r="E49" s="396" t="s">
        <v>316</v>
      </c>
      <c r="F49" s="397">
        <v>1035</v>
      </c>
      <c r="G49" s="398">
        <v>18570</v>
      </c>
      <c r="H49" s="398">
        <v>18960</v>
      </c>
      <c r="I49" s="399">
        <f t="shared" si="23"/>
        <v>1.0210016155088852</v>
      </c>
      <c r="J49" s="398">
        <v>60</v>
      </c>
      <c r="K49" s="399">
        <f t="shared" si="24"/>
        <v>3.2310177705977385E-3</v>
      </c>
      <c r="L49" s="398">
        <v>2.3000000000000003</v>
      </c>
      <c r="M49" s="399">
        <f t="shared" si="25"/>
        <v>1.0242326332794831</v>
      </c>
      <c r="N49" s="400">
        <v>1035</v>
      </c>
      <c r="O49" s="398">
        <v>450</v>
      </c>
      <c r="P49" s="399">
        <f t="shared" si="17"/>
        <v>2.4232633279483037E-2</v>
      </c>
      <c r="Q49" s="401">
        <f t="shared" si="18"/>
        <v>0</v>
      </c>
      <c r="R49" s="399">
        <f t="shared" si="19"/>
        <v>0</v>
      </c>
      <c r="S49" s="402">
        <f t="shared" si="20"/>
        <v>0</v>
      </c>
      <c r="T49" s="403" t="s">
        <v>514</v>
      </c>
      <c r="U49" s="403" t="s">
        <v>511</v>
      </c>
      <c r="V49" s="404" t="s">
        <v>560</v>
      </c>
      <c r="W49" s="404" t="s">
        <v>561</v>
      </c>
      <c r="X49" s="404">
        <v>1</v>
      </c>
      <c r="Y49" s="405" t="s">
        <v>308</v>
      </c>
      <c r="AB49" s="412"/>
      <c r="AC49" s="409"/>
    </row>
    <row r="50" spans="2:34" s="148" customFormat="1" ht="27" customHeight="1">
      <c r="B50" s="826"/>
      <c r="C50" s="827"/>
      <c r="D50" s="393">
        <v>20</v>
      </c>
      <c r="E50" s="396" t="s">
        <v>312</v>
      </c>
      <c r="F50" s="397">
        <v>1015.56</v>
      </c>
      <c r="G50" s="398">
        <v>225420</v>
      </c>
      <c r="H50" s="398">
        <v>225898</v>
      </c>
      <c r="I50" s="399">
        <f t="shared" si="23"/>
        <v>1.0021204862035311</v>
      </c>
      <c r="J50" s="398">
        <v>390</v>
      </c>
      <c r="K50" s="399">
        <f t="shared" si="24"/>
        <v>1.7301038062283738E-3</v>
      </c>
      <c r="L50" s="398">
        <v>1.17</v>
      </c>
      <c r="M50" s="399">
        <f t="shared" si="25"/>
        <v>1.0038505900097596</v>
      </c>
      <c r="N50" s="400">
        <v>1015.56</v>
      </c>
      <c r="O50" s="398">
        <v>868</v>
      </c>
      <c r="P50" s="399">
        <f t="shared" si="17"/>
        <v>3.85059000975956E-3</v>
      </c>
      <c r="Q50" s="401">
        <f t="shared" si="18"/>
        <v>0</v>
      </c>
      <c r="R50" s="399">
        <f t="shared" si="19"/>
        <v>0</v>
      </c>
      <c r="S50" s="402">
        <f t="shared" si="20"/>
        <v>0</v>
      </c>
      <c r="T50" s="403" t="s">
        <v>514</v>
      </c>
      <c r="U50" s="403" t="s">
        <v>511</v>
      </c>
      <c r="V50" s="404" t="s">
        <v>562</v>
      </c>
      <c r="W50" s="404" t="s">
        <v>563</v>
      </c>
      <c r="X50" s="404">
        <v>1</v>
      </c>
      <c r="Y50" s="405" t="s">
        <v>311</v>
      </c>
      <c r="AB50" s="412"/>
      <c r="AC50" s="409"/>
    </row>
    <row r="51" spans="2:34" ht="17.100000000000001" customHeight="1">
      <c r="B51" s="844" t="s">
        <v>478</v>
      </c>
      <c r="C51" s="845"/>
      <c r="D51" s="850" t="s">
        <v>479</v>
      </c>
      <c r="E51" s="850"/>
      <c r="F51" s="850"/>
      <c r="G51" s="850" t="s">
        <v>480</v>
      </c>
      <c r="H51" s="850"/>
      <c r="I51" s="850"/>
      <c r="J51" s="850"/>
      <c r="K51" s="850"/>
      <c r="L51" s="850"/>
      <c r="M51" s="850"/>
      <c r="N51" s="850"/>
      <c r="O51" s="850"/>
      <c r="P51" s="850"/>
      <c r="Q51" s="850"/>
      <c r="R51" s="850"/>
      <c r="S51" s="850"/>
      <c r="T51" s="850" t="s">
        <v>481</v>
      </c>
      <c r="U51" s="835" t="s">
        <v>482</v>
      </c>
      <c r="V51" s="828" t="s">
        <v>483</v>
      </c>
      <c r="W51" s="828" t="s">
        <v>484</v>
      </c>
      <c r="X51" s="831" t="s">
        <v>485</v>
      </c>
      <c r="Y51" s="834" t="s">
        <v>486</v>
      </c>
      <c r="AA51" s="835" t="s">
        <v>487</v>
      </c>
      <c r="AB51" s="836"/>
      <c r="AC51" s="836"/>
      <c r="AD51" s="836"/>
      <c r="AE51" s="836"/>
      <c r="AF51" s="836"/>
      <c r="AG51" s="836"/>
      <c r="AH51" s="837"/>
    </row>
    <row r="52" spans="2:34" ht="17.100000000000001" customHeight="1">
      <c r="B52" s="846"/>
      <c r="C52" s="847"/>
      <c r="D52" s="851" t="s">
        <v>488</v>
      </c>
      <c r="E52" s="850" t="s">
        <v>489</v>
      </c>
      <c r="F52" s="850"/>
      <c r="G52" s="850" t="s">
        <v>490</v>
      </c>
      <c r="H52" s="850"/>
      <c r="I52" s="850"/>
      <c r="J52" s="850"/>
      <c r="K52" s="850"/>
      <c r="L52" s="850"/>
      <c r="M52" s="850"/>
      <c r="N52" s="850"/>
      <c r="O52" s="850" t="s">
        <v>491</v>
      </c>
      <c r="P52" s="850"/>
      <c r="Q52" s="850"/>
      <c r="R52" s="850"/>
      <c r="S52" s="850"/>
      <c r="T52" s="850"/>
      <c r="U52" s="838"/>
      <c r="V52" s="829"/>
      <c r="W52" s="829"/>
      <c r="X52" s="832"/>
      <c r="Y52" s="834"/>
      <c r="AA52" s="838"/>
      <c r="AB52" s="839"/>
      <c r="AC52" s="839"/>
      <c r="AD52" s="839"/>
      <c r="AE52" s="839"/>
      <c r="AF52" s="839"/>
      <c r="AG52" s="839"/>
      <c r="AH52" s="840"/>
    </row>
    <row r="53" spans="2:34" ht="17.100000000000001" customHeight="1">
      <c r="B53" s="846"/>
      <c r="C53" s="847"/>
      <c r="D53" s="851"/>
      <c r="E53" s="851" t="s">
        <v>492</v>
      </c>
      <c r="F53" s="834" t="s">
        <v>493</v>
      </c>
      <c r="G53" s="852" t="s">
        <v>494</v>
      </c>
      <c r="H53" s="852"/>
      <c r="I53" s="852"/>
      <c r="J53" s="852"/>
      <c r="K53" s="852"/>
      <c r="L53" s="852"/>
      <c r="M53" s="852"/>
      <c r="N53" s="852"/>
      <c r="O53" s="852" t="s">
        <v>495</v>
      </c>
      <c r="P53" s="852"/>
      <c r="Q53" s="852" t="s">
        <v>496</v>
      </c>
      <c r="R53" s="852"/>
      <c r="S53" s="852"/>
      <c r="T53" s="850"/>
      <c r="U53" s="838"/>
      <c r="V53" s="829"/>
      <c r="W53" s="829"/>
      <c r="X53" s="832"/>
      <c r="Y53" s="834"/>
      <c r="AA53" s="841"/>
      <c r="AB53" s="842"/>
      <c r="AC53" s="842"/>
      <c r="AD53" s="842"/>
      <c r="AE53" s="842"/>
      <c r="AF53" s="842"/>
      <c r="AG53" s="842"/>
      <c r="AH53" s="843"/>
    </row>
    <row r="54" spans="2:34" ht="38.450000000000003" customHeight="1">
      <c r="B54" s="848"/>
      <c r="C54" s="849"/>
      <c r="D54" s="851"/>
      <c r="E54" s="851"/>
      <c r="F54" s="834"/>
      <c r="G54" s="394" t="s">
        <v>497</v>
      </c>
      <c r="H54" s="394" t="s">
        <v>498</v>
      </c>
      <c r="I54" s="394" t="s">
        <v>499</v>
      </c>
      <c r="J54" s="394" t="s">
        <v>500</v>
      </c>
      <c r="K54" s="394" t="s">
        <v>501</v>
      </c>
      <c r="L54" s="394" t="s">
        <v>502</v>
      </c>
      <c r="M54" s="394" t="s">
        <v>503</v>
      </c>
      <c r="N54" s="394" t="s">
        <v>504</v>
      </c>
      <c r="O54" s="395" t="s">
        <v>505</v>
      </c>
      <c r="P54" s="395" t="s">
        <v>506</v>
      </c>
      <c r="Q54" s="395" t="s">
        <v>505</v>
      </c>
      <c r="R54" s="395" t="s">
        <v>506</v>
      </c>
      <c r="S54" s="394" t="s">
        <v>507</v>
      </c>
      <c r="T54" s="850"/>
      <c r="U54" s="841"/>
      <c r="V54" s="830"/>
      <c r="W54" s="830"/>
      <c r="X54" s="833"/>
      <c r="Y54" s="834"/>
      <c r="AA54" s="161" t="s">
        <v>508</v>
      </c>
      <c r="AB54" s="161" t="s">
        <v>509</v>
      </c>
      <c r="AC54" s="156" t="s">
        <v>510</v>
      </c>
      <c r="AD54" s="156" t="s">
        <v>511</v>
      </c>
      <c r="AE54" s="156" t="s">
        <v>286</v>
      </c>
      <c r="AF54" s="156" t="s">
        <v>318</v>
      </c>
      <c r="AG54" s="156" t="s">
        <v>321</v>
      </c>
      <c r="AH54" s="156" t="s">
        <v>512</v>
      </c>
    </row>
    <row r="55" spans="2:34" s="148" customFormat="1" ht="27" customHeight="1">
      <c r="B55" s="822" t="s">
        <v>564</v>
      </c>
      <c r="C55" s="823"/>
      <c r="D55" s="393">
        <v>1</v>
      </c>
      <c r="E55" s="396" t="s">
        <v>391</v>
      </c>
      <c r="F55" s="397">
        <v>1395.0987999999998</v>
      </c>
      <c r="G55" s="398">
        <v>219.69</v>
      </c>
      <c r="H55" s="398">
        <v>226.84000000000003</v>
      </c>
      <c r="I55" s="399">
        <f>H55/G55</f>
        <v>1.0325458600755613</v>
      </c>
      <c r="J55" s="398">
        <v>0</v>
      </c>
      <c r="K55" s="399">
        <f>J55/G55</f>
        <v>0</v>
      </c>
      <c r="L55" s="398">
        <v>210.74</v>
      </c>
      <c r="M55" s="399">
        <f>(H55+J55)/G55</f>
        <v>1.0325458600755613</v>
      </c>
      <c r="N55" s="400">
        <v>1506.7910000000013</v>
      </c>
      <c r="O55" s="398">
        <v>6.6199999999999992</v>
      </c>
      <c r="P55" s="399">
        <f>O55/G55</f>
        <v>3.0133369748281666E-2</v>
      </c>
      <c r="Q55" s="401">
        <f>((H55+J55)-G55)-O55</f>
        <v>0.53000000000003489</v>
      </c>
      <c r="R55" s="399">
        <f>Q55/G55</f>
        <v>2.4124903272795071E-3</v>
      </c>
      <c r="S55" s="402">
        <f>Q55*L55</f>
        <v>111.69220000000736</v>
      </c>
      <c r="T55" s="403" t="s">
        <v>514</v>
      </c>
      <c r="U55" s="403" t="s">
        <v>509</v>
      </c>
      <c r="V55" s="404" t="s">
        <v>528</v>
      </c>
      <c r="W55" s="404" t="s">
        <v>529</v>
      </c>
      <c r="X55" s="404">
        <v>1</v>
      </c>
      <c r="Y55" s="405" t="s">
        <v>226</v>
      </c>
      <c r="Z55" s="406" t="s">
        <v>517</v>
      </c>
      <c r="AA55" s="416">
        <f>SUM(X55:X74)</f>
        <v>20</v>
      </c>
      <c r="AB55" s="408">
        <f>SUMIF($U$55:$U$74,TRIM(AB54),$X$55:$X$74)</f>
        <v>17</v>
      </c>
      <c r="AC55" s="408">
        <f t="shared" ref="AC55:AH55" si="26">SUMIF($U$55:$U$74,TRIM(AC54),$X$55:$X$74)</f>
        <v>0</v>
      </c>
      <c r="AD55" s="408">
        <f t="shared" si="26"/>
        <v>2</v>
      </c>
      <c r="AE55" s="408">
        <f t="shared" si="26"/>
        <v>0</v>
      </c>
      <c r="AF55" s="408">
        <f t="shared" si="26"/>
        <v>0</v>
      </c>
      <c r="AG55" s="408">
        <f t="shared" si="26"/>
        <v>1</v>
      </c>
      <c r="AH55" s="408">
        <f t="shared" si="26"/>
        <v>0</v>
      </c>
    </row>
    <row r="56" spans="2:34" s="148" customFormat="1" ht="27" customHeight="1">
      <c r="B56" s="824"/>
      <c r="C56" s="825"/>
      <c r="D56" s="393">
        <v>2</v>
      </c>
      <c r="E56" s="396" t="s">
        <v>296</v>
      </c>
      <c r="F56" s="397">
        <v>1325.4623999999999</v>
      </c>
      <c r="G56" s="398">
        <v>240.33999999999997</v>
      </c>
      <c r="H56" s="398">
        <v>244.03999999999996</v>
      </c>
      <c r="I56" s="399">
        <f t="shared" ref="I56:I57" si="27">H56/G56</f>
        <v>1.015394857285512</v>
      </c>
      <c r="J56" s="398">
        <v>3.1500000000000004</v>
      </c>
      <c r="K56" s="399">
        <f t="shared" ref="K56:K61" si="28">J56/G56</f>
        <v>1.3106432553882004E-2</v>
      </c>
      <c r="L56" s="398">
        <v>253.92000000000002</v>
      </c>
      <c r="M56" s="399">
        <f t="shared" ref="M56:M61" si="29">(H56+J56)/G56</f>
        <v>1.0285012898393942</v>
      </c>
      <c r="N56" s="400">
        <v>1739.3519999999994</v>
      </c>
      <c r="O56" s="398">
        <v>5.2200000000000006</v>
      </c>
      <c r="P56" s="399">
        <f t="shared" ref="P56:P74" si="30">O56/G56</f>
        <v>2.1719231089290178E-2</v>
      </c>
      <c r="Q56" s="401">
        <f t="shared" ref="Q56:Q74" si="31">((H56+J56)-G56)-O56</f>
        <v>1.6299999999999937</v>
      </c>
      <c r="R56" s="399">
        <f t="shared" ref="R56:R74" si="32">Q56/G56</f>
        <v>6.7820587501039933E-3</v>
      </c>
      <c r="S56" s="402">
        <f t="shared" ref="S56:S74" si="33">Q56*L56</f>
        <v>413.88959999999844</v>
      </c>
      <c r="T56" s="403" t="s">
        <v>514</v>
      </c>
      <c r="U56" s="403" t="s">
        <v>509</v>
      </c>
      <c r="V56" s="404" t="s">
        <v>524</v>
      </c>
      <c r="W56" s="404" t="s">
        <v>551</v>
      </c>
      <c r="X56" s="404">
        <v>1</v>
      </c>
      <c r="Y56" s="405" t="s">
        <v>209</v>
      </c>
      <c r="AA56" s="417"/>
      <c r="AB56" s="414">
        <f>SUMIF($U$55:$U$74,TRIM(AB54),$F$55:$F$74)</f>
        <v>18426.463100000001</v>
      </c>
      <c r="AC56" s="414">
        <f t="shared" ref="AC56:AH56" si="34">SUMIF($U$55:$U$74,TRIM(AC54),$F$55:$F$74)</f>
        <v>0</v>
      </c>
      <c r="AD56" s="414">
        <f t="shared" si="34"/>
        <v>2200.6044000000002</v>
      </c>
      <c r="AE56" s="414">
        <f t="shared" si="34"/>
        <v>0</v>
      </c>
      <c r="AF56" s="414">
        <f t="shared" si="34"/>
        <v>0</v>
      </c>
      <c r="AG56" s="414">
        <f t="shared" si="34"/>
        <v>1313.25</v>
      </c>
      <c r="AH56" s="414">
        <f t="shared" si="34"/>
        <v>0</v>
      </c>
    </row>
    <row r="57" spans="2:34" s="148" customFormat="1" ht="27" customHeight="1">
      <c r="B57" s="824"/>
      <c r="C57" s="825"/>
      <c r="D57" s="393">
        <v>3</v>
      </c>
      <c r="E57" s="396" t="s">
        <v>322</v>
      </c>
      <c r="F57" s="397">
        <v>1313.25</v>
      </c>
      <c r="G57" s="398">
        <v>15095</v>
      </c>
      <c r="H57" s="398">
        <v>14965</v>
      </c>
      <c r="I57" s="399">
        <f t="shared" si="27"/>
        <v>0.99138787678039086</v>
      </c>
      <c r="J57" s="398">
        <v>215</v>
      </c>
      <c r="K57" s="399">
        <f t="shared" si="28"/>
        <v>1.4243126863199736E-2</v>
      </c>
      <c r="L57" s="398">
        <v>15.450000000000001</v>
      </c>
      <c r="M57" s="399">
        <f t="shared" si="29"/>
        <v>1.0056310036435905</v>
      </c>
      <c r="N57" s="400">
        <v>1313.25</v>
      </c>
      <c r="O57" s="398">
        <v>85</v>
      </c>
      <c r="P57" s="399">
        <f t="shared" si="30"/>
        <v>5.631003643590593E-3</v>
      </c>
      <c r="Q57" s="401">
        <f t="shared" si="31"/>
        <v>0</v>
      </c>
      <c r="R57" s="399">
        <f t="shared" si="32"/>
        <v>0</v>
      </c>
      <c r="S57" s="402">
        <f t="shared" si="33"/>
        <v>0</v>
      </c>
      <c r="T57" s="403" t="s">
        <v>514</v>
      </c>
      <c r="U57" s="403" t="s">
        <v>521</v>
      </c>
      <c r="V57" s="403" t="s">
        <v>522</v>
      </c>
      <c r="W57" s="404" t="s">
        <v>523</v>
      </c>
      <c r="X57" s="404">
        <v>1</v>
      </c>
      <c r="Y57" s="405" t="s">
        <v>147</v>
      </c>
      <c r="AA57" s="393"/>
      <c r="AB57" s="415">
        <f>AB55/$AA55</f>
        <v>0.85</v>
      </c>
      <c r="AC57" s="415">
        <f t="shared" ref="AC57:AH57" si="35">AC55/$AA55</f>
        <v>0</v>
      </c>
      <c r="AD57" s="415">
        <f t="shared" si="35"/>
        <v>0.1</v>
      </c>
      <c r="AE57" s="415">
        <f t="shared" si="35"/>
        <v>0</v>
      </c>
      <c r="AF57" s="415">
        <f t="shared" si="35"/>
        <v>0</v>
      </c>
      <c r="AG57" s="415">
        <f t="shared" si="35"/>
        <v>0.05</v>
      </c>
      <c r="AH57" s="415">
        <f t="shared" si="35"/>
        <v>0</v>
      </c>
    </row>
    <row r="58" spans="2:34" s="148" customFormat="1" ht="27" customHeight="1">
      <c r="B58" s="824"/>
      <c r="C58" s="825"/>
      <c r="D58" s="393">
        <v>4</v>
      </c>
      <c r="E58" s="396" t="s">
        <v>373</v>
      </c>
      <c r="F58" s="397">
        <v>1234.9480000000003</v>
      </c>
      <c r="G58" s="398">
        <v>381.46</v>
      </c>
      <c r="H58" s="398">
        <v>387.19</v>
      </c>
      <c r="I58" s="399">
        <f>H58/G58</f>
        <v>1.0150212342054212</v>
      </c>
      <c r="J58" s="398">
        <v>1.85</v>
      </c>
      <c r="K58" s="399">
        <f t="shared" si="28"/>
        <v>4.8497876579457876E-3</v>
      </c>
      <c r="L58" s="398">
        <v>181.60999999999999</v>
      </c>
      <c r="M58" s="399">
        <f t="shared" si="29"/>
        <v>1.0198710218633671</v>
      </c>
      <c r="N58" s="400">
        <v>1376.6038000000012</v>
      </c>
      <c r="O58" s="398">
        <v>6.8</v>
      </c>
      <c r="P58" s="399">
        <f t="shared" si="30"/>
        <v>1.7826246526503435E-2</v>
      </c>
      <c r="Q58" s="401">
        <f t="shared" si="31"/>
        <v>0.7800000000000411</v>
      </c>
      <c r="R58" s="399">
        <f t="shared" si="32"/>
        <v>2.044775336863737E-3</v>
      </c>
      <c r="S58" s="402">
        <f t="shared" si="33"/>
        <v>141.65580000000745</v>
      </c>
      <c r="T58" s="403" t="s">
        <v>514</v>
      </c>
      <c r="U58" s="403" t="s">
        <v>509</v>
      </c>
      <c r="V58" s="404" t="s">
        <v>395</v>
      </c>
      <c r="W58" s="404" t="s">
        <v>520</v>
      </c>
      <c r="X58" s="404">
        <v>1</v>
      </c>
      <c r="Y58" s="405" t="s">
        <v>216</v>
      </c>
    </row>
    <row r="59" spans="2:34" s="148" customFormat="1" ht="27" customHeight="1">
      <c r="B59" s="824"/>
      <c r="C59" s="825"/>
      <c r="D59" s="393">
        <v>5</v>
      </c>
      <c r="E59" s="396" t="s">
        <v>292</v>
      </c>
      <c r="F59" s="397">
        <v>1232.529</v>
      </c>
      <c r="G59" s="398">
        <v>590.92999999999995</v>
      </c>
      <c r="H59" s="398">
        <v>583.14</v>
      </c>
      <c r="I59" s="399">
        <f t="shared" ref="I59:I74" si="36">H59/G59</f>
        <v>0.98681738953852405</v>
      </c>
      <c r="J59" s="398">
        <v>17.830000000000002</v>
      </c>
      <c r="K59" s="399">
        <f t="shared" si="28"/>
        <v>3.0172778501683793E-2</v>
      </c>
      <c r="L59" s="398">
        <v>141.66999999999999</v>
      </c>
      <c r="M59" s="399">
        <f t="shared" si="29"/>
        <v>1.016990168040208</v>
      </c>
      <c r="N59" s="400">
        <v>1422.3668000000007</v>
      </c>
      <c r="O59" s="398">
        <v>8.6999999999999993</v>
      </c>
      <c r="P59" s="399">
        <f t="shared" si="30"/>
        <v>1.4722555971096408E-2</v>
      </c>
      <c r="Q59" s="401">
        <f t="shared" si="31"/>
        <v>1.340000000000078</v>
      </c>
      <c r="R59" s="399">
        <f t="shared" si="32"/>
        <v>2.2676120691115329E-3</v>
      </c>
      <c r="S59" s="402">
        <f t="shared" si="33"/>
        <v>189.83780000001104</v>
      </c>
      <c r="T59" s="403" t="s">
        <v>514</v>
      </c>
      <c r="U59" s="403" t="s">
        <v>509</v>
      </c>
      <c r="V59" s="404" t="s">
        <v>515</v>
      </c>
      <c r="W59" s="404" t="s">
        <v>516</v>
      </c>
      <c r="X59" s="404">
        <v>1</v>
      </c>
      <c r="Y59" s="405" t="s">
        <v>198</v>
      </c>
    </row>
    <row r="60" spans="2:34" s="148" customFormat="1" ht="27" customHeight="1">
      <c r="B60" s="824"/>
      <c r="C60" s="825"/>
      <c r="D60" s="393">
        <v>6</v>
      </c>
      <c r="E60" s="396" t="s">
        <v>309</v>
      </c>
      <c r="F60" s="397">
        <v>1156.9643999999998</v>
      </c>
      <c r="G60" s="398">
        <v>407.42999999999995</v>
      </c>
      <c r="H60" s="398">
        <v>392.39000000000004</v>
      </c>
      <c r="I60" s="399">
        <f t="shared" si="36"/>
        <v>0.96308568343028278</v>
      </c>
      <c r="J60" s="398">
        <v>27.769999999999996</v>
      </c>
      <c r="K60" s="399">
        <f t="shared" si="28"/>
        <v>6.8158947549272264E-2</v>
      </c>
      <c r="L60" s="398">
        <v>122.81999999999996</v>
      </c>
      <c r="M60" s="399">
        <f t="shared" si="29"/>
        <v>1.0312446309795549</v>
      </c>
      <c r="N60" s="400">
        <v>1563.4985999999997</v>
      </c>
      <c r="O60" s="398">
        <v>9.42</v>
      </c>
      <c r="P60" s="399">
        <f t="shared" si="30"/>
        <v>2.3120536043001256E-2</v>
      </c>
      <c r="Q60" s="401">
        <f t="shared" si="31"/>
        <v>3.3100000000000751</v>
      </c>
      <c r="R60" s="399">
        <f t="shared" si="32"/>
        <v>8.1240949365537045E-3</v>
      </c>
      <c r="S60" s="402">
        <f t="shared" si="33"/>
        <v>406.53420000000909</v>
      </c>
      <c r="T60" s="403" t="s">
        <v>514</v>
      </c>
      <c r="U60" s="403" t="s">
        <v>511</v>
      </c>
      <c r="V60" s="404" t="s">
        <v>518</v>
      </c>
      <c r="W60" s="404" t="s">
        <v>519</v>
      </c>
      <c r="X60" s="404">
        <v>1</v>
      </c>
      <c r="Y60" s="405" t="s">
        <v>308</v>
      </c>
    </row>
    <row r="61" spans="2:34" s="148" customFormat="1" ht="27" customHeight="1">
      <c r="B61" s="824"/>
      <c r="C61" s="825"/>
      <c r="D61" s="393">
        <v>7</v>
      </c>
      <c r="E61" s="396" t="s">
        <v>302</v>
      </c>
      <c r="F61" s="397">
        <v>1148.925</v>
      </c>
      <c r="G61" s="398">
        <v>212.36999999999998</v>
      </c>
      <c r="H61" s="398">
        <v>223.17</v>
      </c>
      <c r="I61" s="399">
        <f t="shared" si="36"/>
        <v>1.0508546404859445</v>
      </c>
      <c r="J61" s="398">
        <v>0</v>
      </c>
      <c r="K61" s="399">
        <f t="shared" si="28"/>
        <v>0</v>
      </c>
      <c r="L61" s="398">
        <v>153.19000000000003</v>
      </c>
      <c r="M61" s="399">
        <f t="shared" si="29"/>
        <v>1.0508546404859445</v>
      </c>
      <c r="N61" s="400">
        <v>1654.4519999999993</v>
      </c>
      <c r="O61" s="398">
        <v>7.5</v>
      </c>
      <c r="P61" s="399">
        <f t="shared" si="30"/>
        <v>3.5315722559683578E-2</v>
      </c>
      <c r="Q61" s="401">
        <f t="shared" si="31"/>
        <v>3.3000000000000114</v>
      </c>
      <c r="R61" s="399">
        <f t="shared" si="32"/>
        <v>1.5538917926260826E-2</v>
      </c>
      <c r="S61" s="402">
        <f t="shared" si="33"/>
        <v>505.52700000000181</v>
      </c>
      <c r="T61" s="403" t="s">
        <v>514</v>
      </c>
      <c r="U61" s="403" t="s">
        <v>509</v>
      </c>
      <c r="V61" s="444" t="s">
        <v>530</v>
      </c>
      <c r="W61" s="404" t="s">
        <v>519</v>
      </c>
      <c r="X61" s="404">
        <v>1</v>
      </c>
      <c r="Y61" s="405" t="s">
        <v>301</v>
      </c>
    </row>
    <row r="62" spans="2:34" s="148" customFormat="1" ht="27" customHeight="1">
      <c r="B62" s="824"/>
      <c r="C62" s="825"/>
      <c r="D62" s="393">
        <v>8</v>
      </c>
      <c r="E62" s="396" t="s">
        <v>385</v>
      </c>
      <c r="F62" s="397">
        <v>1140.9888000000001</v>
      </c>
      <c r="G62" s="398">
        <v>205.01999999999998</v>
      </c>
      <c r="H62" s="398">
        <v>213.27</v>
      </c>
      <c r="I62" s="399">
        <f t="shared" si="36"/>
        <v>1.0402399765876502</v>
      </c>
      <c r="J62" s="398">
        <v>1.1599999999999999</v>
      </c>
      <c r="K62" s="399">
        <f>J62/G62</f>
        <v>5.6579845868695742E-3</v>
      </c>
      <c r="L62" s="398">
        <v>169.79</v>
      </c>
      <c r="M62" s="399">
        <f>(H62+J62)/G62</f>
        <v>1.0458979611745196</v>
      </c>
      <c r="N62" s="400">
        <v>1597.7238999999995</v>
      </c>
      <c r="O62" s="398">
        <v>6.72</v>
      </c>
      <c r="P62" s="399">
        <f t="shared" si="30"/>
        <v>3.2777290020485808E-2</v>
      </c>
      <c r="Q62" s="401">
        <f t="shared" si="31"/>
        <v>2.6900000000000253</v>
      </c>
      <c r="R62" s="399">
        <f t="shared" si="32"/>
        <v>1.3120671154033876E-2</v>
      </c>
      <c r="S62" s="402">
        <f t="shared" si="33"/>
        <v>456.73510000000425</v>
      </c>
      <c r="T62" s="403" t="s">
        <v>514</v>
      </c>
      <c r="U62" s="403" t="s">
        <v>509</v>
      </c>
      <c r="V62" s="404" t="s">
        <v>532</v>
      </c>
      <c r="W62" s="404" t="s">
        <v>525</v>
      </c>
      <c r="X62" s="404">
        <v>1</v>
      </c>
      <c r="Y62" s="405" t="s">
        <v>203</v>
      </c>
    </row>
    <row r="63" spans="2:34" s="148" customFormat="1" ht="27" customHeight="1">
      <c r="B63" s="824"/>
      <c r="C63" s="825"/>
      <c r="D63" s="393">
        <v>9</v>
      </c>
      <c r="E63" s="396" t="s">
        <v>552</v>
      </c>
      <c r="F63" s="397">
        <v>1138.0121999999999</v>
      </c>
      <c r="G63" s="398">
        <v>196.97</v>
      </c>
      <c r="H63" s="398">
        <v>204.07000000000002</v>
      </c>
      <c r="I63" s="399">
        <f t="shared" si="36"/>
        <v>1.0360460983906179</v>
      </c>
      <c r="J63" s="398">
        <v>0</v>
      </c>
      <c r="K63" s="399">
        <f t="shared" ref="K63:K74" si="37">J63/G63</f>
        <v>0</v>
      </c>
      <c r="L63" s="398">
        <v>203.57999999999998</v>
      </c>
      <c r="M63" s="399">
        <f t="shared" ref="M63:M74" si="38">(H63+J63)/G63</f>
        <v>1.0360460983906179</v>
      </c>
      <c r="N63" s="400">
        <v>1445.4180000000003</v>
      </c>
      <c r="O63" s="398">
        <v>5.5900000000000007</v>
      </c>
      <c r="P63" s="399">
        <f t="shared" si="30"/>
        <v>2.8379956338528713E-2</v>
      </c>
      <c r="Q63" s="401">
        <f t="shared" si="31"/>
        <v>1.510000000000022</v>
      </c>
      <c r="R63" s="399">
        <f t="shared" si="32"/>
        <v>7.6661420520892625E-3</v>
      </c>
      <c r="S63" s="402">
        <f t="shared" si="33"/>
        <v>307.40580000000443</v>
      </c>
      <c r="T63" s="403" t="s">
        <v>514</v>
      </c>
      <c r="U63" s="403" t="s">
        <v>509</v>
      </c>
      <c r="V63" s="404" t="s">
        <v>515</v>
      </c>
      <c r="W63" s="404" t="s">
        <v>565</v>
      </c>
      <c r="X63" s="404">
        <v>1</v>
      </c>
      <c r="Y63" s="405" t="s">
        <v>198</v>
      </c>
    </row>
    <row r="64" spans="2:34" s="148" customFormat="1" ht="27" customHeight="1">
      <c r="B64" s="824"/>
      <c r="C64" s="825"/>
      <c r="D64" s="393">
        <v>10</v>
      </c>
      <c r="E64" s="396" t="s">
        <v>312</v>
      </c>
      <c r="F64" s="397">
        <v>1043.6400000000001</v>
      </c>
      <c r="G64" s="398">
        <v>164924</v>
      </c>
      <c r="H64" s="398">
        <v>165636</v>
      </c>
      <c r="I64" s="399">
        <f t="shared" si="36"/>
        <v>1.0043171400160074</v>
      </c>
      <c r="J64" s="398">
        <v>180</v>
      </c>
      <c r="K64" s="399">
        <f t="shared" si="37"/>
        <v>1.0914118017996167E-3</v>
      </c>
      <c r="L64" s="398">
        <v>1.17</v>
      </c>
      <c r="M64" s="399">
        <f t="shared" si="38"/>
        <v>1.0054085518178071</v>
      </c>
      <c r="N64" s="400">
        <v>1043.6400000000001</v>
      </c>
      <c r="O64" s="398">
        <v>892</v>
      </c>
      <c r="P64" s="399">
        <f t="shared" si="30"/>
        <v>5.4085518178069898E-3</v>
      </c>
      <c r="Q64" s="401">
        <f t="shared" si="31"/>
        <v>0</v>
      </c>
      <c r="R64" s="399">
        <f t="shared" si="32"/>
        <v>0</v>
      </c>
      <c r="S64" s="402">
        <f t="shared" si="33"/>
        <v>0</v>
      </c>
      <c r="T64" s="403" t="s">
        <v>514</v>
      </c>
      <c r="U64" s="403" t="s">
        <v>511</v>
      </c>
      <c r="V64" s="404" t="s">
        <v>562</v>
      </c>
      <c r="W64" s="404" t="s">
        <v>563</v>
      </c>
      <c r="X64" s="404">
        <v>1</v>
      </c>
      <c r="Y64" s="405" t="s">
        <v>311</v>
      </c>
    </row>
    <row r="65" spans="2:34" s="148" customFormat="1" ht="27" customHeight="1">
      <c r="B65" s="824"/>
      <c r="C65" s="825"/>
      <c r="D65" s="393">
        <v>11</v>
      </c>
      <c r="E65" s="396" t="s">
        <v>381</v>
      </c>
      <c r="F65" s="397">
        <v>1033.7213000000002</v>
      </c>
      <c r="G65" s="398">
        <v>123.33</v>
      </c>
      <c r="H65" s="398">
        <v>118.22</v>
      </c>
      <c r="I65" s="399">
        <f t="shared" si="36"/>
        <v>0.95856644774183086</v>
      </c>
      <c r="J65" s="398">
        <v>17.950000000000003</v>
      </c>
      <c r="K65" s="399">
        <f t="shared" si="37"/>
        <v>0.14554447417497773</v>
      </c>
      <c r="L65" s="398">
        <v>142.19000000000003</v>
      </c>
      <c r="M65" s="399">
        <f t="shared" si="38"/>
        <v>1.1041109219168086</v>
      </c>
      <c r="N65" s="400">
        <v>1825.7196000000008</v>
      </c>
      <c r="O65" s="398">
        <v>7.27</v>
      </c>
      <c r="P65" s="399">
        <f t="shared" si="30"/>
        <v>5.8947539122678985E-2</v>
      </c>
      <c r="Q65" s="401">
        <f t="shared" si="31"/>
        <v>5.570000000000018</v>
      </c>
      <c r="R65" s="399">
        <f t="shared" si="32"/>
        <v>4.5163382794129715E-2</v>
      </c>
      <c r="S65" s="402">
        <f t="shared" si="33"/>
        <v>791.9983000000027</v>
      </c>
      <c r="T65" s="403" t="s">
        <v>514</v>
      </c>
      <c r="U65" s="403" t="s">
        <v>509</v>
      </c>
      <c r="V65" s="404" t="s">
        <v>528</v>
      </c>
      <c r="W65" s="404" t="s">
        <v>529</v>
      </c>
      <c r="X65" s="404">
        <v>1</v>
      </c>
      <c r="Y65" s="405" t="s">
        <v>217</v>
      </c>
    </row>
    <row r="66" spans="2:34" s="148" customFormat="1" ht="27" customHeight="1">
      <c r="B66" s="824"/>
      <c r="C66" s="825"/>
      <c r="D66" s="393">
        <v>12</v>
      </c>
      <c r="E66" s="396" t="s">
        <v>539</v>
      </c>
      <c r="F66" s="397">
        <v>1026.6834000000001</v>
      </c>
      <c r="G66" s="398">
        <v>213.12</v>
      </c>
      <c r="H66" s="398">
        <v>216.55</v>
      </c>
      <c r="I66" s="399">
        <f t="shared" si="36"/>
        <v>1.0160942192192193</v>
      </c>
      <c r="J66" s="398">
        <v>0</v>
      </c>
      <c r="K66" s="399">
        <f t="shared" si="37"/>
        <v>0</v>
      </c>
      <c r="L66" s="398">
        <v>462.47000000000014</v>
      </c>
      <c r="M66" s="399">
        <f t="shared" si="38"/>
        <v>1.0160942192192193</v>
      </c>
      <c r="N66" s="400">
        <v>1586.2720999999951</v>
      </c>
      <c r="O66" s="398">
        <v>2.2200000000000002</v>
      </c>
      <c r="P66" s="399">
        <f t="shared" si="30"/>
        <v>1.0416666666666668E-2</v>
      </c>
      <c r="Q66" s="401">
        <f t="shared" si="31"/>
        <v>1.2100000000000066</v>
      </c>
      <c r="R66" s="399">
        <f t="shared" si="32"/>
        <v>5.6775525525525833E-3</v>
      </c>
      <c r="S66" s="402">
        <f t="shared" si="33"/>
        <v>559.5887000000032</v>
      </c>
      <c r="T66" s="403" t="s">
        <v>514</v>
      </c>
      <c r="U66" s="403" t="s">
        <v>509</v>
      </c>
      <c r="V66" s="404" t="s">
        <v>540</v>
      </c>
      <c r="W66" s="404" t="s">
        <v>541</v>
      </c>
      <c r="X66" s="404">
        <v>1</v>
      </c>
      <c r="Y66" s="405" t="s">
        <v>154</v>
      </c>
    </row>
    <row r="67" spans="2:34" s="148" customFormat="1" ht="27" customHeight="1">
      <c r="B67" s="824"/>
      <c r="C67" s="825"/>
      <c r="D67" s="393">
        <v>13</v>
      </c>
      <c r="E67" s="396" t="s">
        <v>555</v>
      </c>
      <c r="F67" s="397">
        <v>1013.2859999999999</v>
      </c>
      <c r="G67" s="398">
        <v>386.17</v>
      </c>
      <c r="H67" s="398">
        <v>384.83000000000004</v>
      </c>
      <c r="I67" s="399">
        <f t="shared" si="36"/>
        <v>0.99653002563637783</v>
      </c>
      <c r="J67" s="398">
        <v>24.890000000000004</v>
      </c>
      <c r="K67" s="399">
        <f t="shared" si="37"/>
        <v>6.4453479037729508E-2</v>
      </c>
      <c r="L67" s="398">
        <v>84.3</v>
      </c>
      <c r="M67" s="399">
        <f t="shared" si="38"/>
        <v>1.0609835046741072</v>
      </c>
      <c r="N67" s="400">
        <v>1985.2649999999992</v>
      </c>
      <c r="O67" s="398">
        <v>12.02</v>
      </c>
      <c r="P67" s="399">
        <f t="shared" si="30"/>
        <v>3.1126187948312917E-2</v>
      </c>
      <c r="Q67" s="401">
        <f t="shared" si="31"/>
        <v>11.530000000000012</v>
      </c>
      <c r="R67" s="399">
        <f t="shared" si="32"/>
        <v>2.9857316725794367E-2</v>
      </c>
      <c r="S67" s="402">
        <f t="shared" si="33"/>
        <v>971.97900000000095</v>
      </c>
      <c r="T67" s="403" t="s">
        <v>514</v>
      </c>
      <c r="U67" s="403" t="s">
        <v>509</v>
      </c>
      <c r="V67" s="404" t="s">
        <v>534</v>
      </c>
      <c r="W67" s="404" t="s">
        <v>535</v>
      </c>
      <c r="X67" s="404">
        <v>1</v>
      </c>
      <c r="Y67" s="405" t="s">
        <v>202</v>
      </c>
    </row>
    <row r="68" spans="2:34" s="148" customFormat="1" ht="27" customHeight="1">
      <c r="B68" s="824"/>
      <c r="C68" s="825"/>
      <c r="D68" s="393">
        <v>14</v>
      </c>
      <c r="E68" s="396" t="s">
        <v>558</v>
      </c>
      <c r="F68" s="397">
        <v>989.59439999999995</v>
      </c>
      <c r="G68" s="398">
        <v>248.64</v>
      </c>
      <c r="H68" s="398">
        <v>255.29999999999995</v>
      </c>
      <c r="I68" s="399">
        <f t="shared" si="36"/>
        <v>1.0267857142857142</v>
      </c>
      <c r="J68" s="398">
        <v>0</v>
      </c>
      <c r="K68" s="399">
        <f t="shared" si="37"/>
        <v>0</v>
      </c>
      <c r="L68" s="398">
        <v>174.83999999999997</v>
      </c>
      <c r="M68" s="399">
        <f t="shared" si="38"/>
        <v>1.0267857142857142</v>
      </c>
      <c r="N68" s="400">
        <v>1164.4344000000001</v>
      </c>
      <c r="O68" s="398">
        <v>5.660000000000001</v>
      </c>
      <c r="P68" s="399">
        <f t="shared" si="30"/>
        <v>2.2763835263835269E-2</v>
      </c>
      <c r="Q68" s="401">
        <f t="shared" si="31"/>
        <v>0.99999999999996714</v>
      </c>
      <c r="R68" s="399">
        <f t="shared" si="32"/>
        <v>4.0218790218788901E-3</v>
      </c>
      <c r="S68" s="402">
        <f t="shared" si="33"/>
        <v>174.83999999999423</v>
      </c>
      <c r="T68" s="403" t="s">
        <v>514</v>
      </c>
      <c r="U68" s="403" t="s">
        <v>509</v>
      </c>
      <c r="V68" s="404" t="s">
        <v>540</v>
      </c>
      <c r="W68" s="404" t="s">
        <v>541</v>
      </c>
      <c r="X68" s="404">
        <v>1</v>
      </c>
      <c r="Y68" s="405" t="s">
        <v>554</v>
      </c>
    </row>
    <row r="69" spans="2:34" s="148" customFormat="1" ht="27" customHeight="1">
      <c r="B69" s="824"/>
      <c r="C69" s="825"/>
      <c r="D69" s="393">
        <v>15</v>
      </c>
      <c r="E69" s="396" t="s">
        <v>545</v>
      </c>
      <c r="F69" s="397">
        <v>989.36739999999986</v>
      </c>
      <c r="G69" s="398">
        <v>497.55</v>
      </c>
      <c r="H69" s="398">
        <v>497.9</v>
      </c>
      <c r="I69" s="399">
        <f t="shared" si="36"/>
        <v>1.0007034468897598</v>
      </c>
      <c r="J69" s="398">
        <v>23.719999999999995</v>
      </c>
      <c r="K69" s="399">
        <f t="shared" si="37"/>
        <v>4.7673600643151431E-2</v>
      </c>
      <c r="L69" s="398">
        <v>65.87</v>
      </c>
      <c r="M69" s="399">
        <f t="shared" si="38"/>
        <v>1.0483770475329113</v>
      </c>
      <c r="N69" s="400">
        <v>1585.4908999999986</v>
      </c>
      <c r="O69" s="398">
        <v>15.020000000000001</v>
      </c>
      <c r="P69" s="399">
        <f t="shared" si="30"/>
        <v>3.0187920811978696E-2</v>
      </c>
      <c r="Q69" s="401">
        <f t="shared" si="31"/>
        <v>9.0499999999999918</v>
      </c>
      <c r="R69" s="399">
        <f t="shared" si="32"/>
        <v>1.8189126720932553E-2</v>
      </c>
      <c r="S69" s="402">
        <f t="shared" si="33"/>
        <v>596.12349999999947</v>
      </c>
      <c r="T69" s="403" t="s">
        <v>514</v>
      </c>
      <c r="U69" s="403" t="s">
        <v>509</v>
      </c>
      <c r="V69" s="404" t="s">
        <v>546</v>
      </c>
      <c r="W69" s="404" t="s">
        <v>541</v>
      </c>
      <c r="X69" s="404">
        <v>1</v>
      </c>
      <c r="Y69" s="405" t="s">
        <v>216</v>
      </c>
    </row>
    <row r="70" spans="2:34" s="148" customFormat="1" ht="27" customHeight="1">
      <c r="B70" s="824"/>
      <c r="C70" s="825"/>
      <c r="D70" s="393">
        <v>16</v>
      </c>
      <c r="E70" s="396" t="s">
        <v>542</v>
      </c>
      <c r="F70" s="397">
        <v>970.29500000000007</v>
      </c>
      <c r="G70" s="398">
        <v>425.49</v>
      </c>
      <c r="H70" s="398">
        <v>409.16</v>
      </c>
      <c r="I70" s="399">
        <f t="shared" si="36"/>
        <v>0.96162071964088469</v>
      </c>
      <c r="J70" s="398">
        <v>60.100000000000009</v>
      </c>
      <c r="K70" s="399">
        <f t="shared" si="37"/>
        <v>0.14124891301793227</v>
      </c>
      <c r="L70" s="398">
        <v>45.13</v>
      </c>
      <c r="M70" s="399">
        <f t="shared" si="38"/>
        <v>1.102869632658817</v>
      </c>
      <c r="N70" s="400">
        <v>1975.3401000000006</v>
      </c>
      <c r="O70" s="398">
        <v>21.5</v>
      </c>
      <c r="P70" s="399">
        <f t="shared" si="30"/>
        <v>5.052997720275447E-2</v>
      </c>
      <c r="Q70" s="401">
        <f t="shared" si="31"/>
        <v>22.270000000000039</v>
      </c>
      <c r="R70" s="399">
        <f t="shared" si="32"/>
        <v>5.2339655456062513E-2</v>
      </c>
      <c r="S70" s="402">
        <f t="shared" si="33"/>
        <v>1005.0451000000018</v>
      </c>
      <c r="T70" s="403" t="s">
        <v>514</v>
      </c>
      <c r="U70" s="403" t="s">
        <v>509</v>
      </c>
      <c r="V70" s="404" t="s">
        <v>534</v>
      </c>
      <c r="W70" s="404" t="s">
        <v>535</v>
      </c>
      <c r="X70" s="404">
        <v>1</v>
      </c>
      <c r="Y70" s="405" t="s">
        <v>204</v>
      </c>
      <c r="AC70" s="409"/>
    </row>
    <row r="71" spans="2:34" s="148" customFormat="1" ht="27" customHeight="1">
      <c r="B71" s="824"/>
      <c r="C71" s="825"/>
      <c r="D71" s="393">
        <v>17</v>
      </c>
      <c r="E71" s="396" t="s">
        <v>566</v>
      </c>
      <c r="F71" s="397">
        <v>958.58619999999996</v>
      </c>
      <c r="G71" s="398">
        <v>61.5</v>
      </c>
      <c r="H71" s="398">
        <v>64.009999999999991</v>
      </c>
      <c r="I71" s="399">
        <f t="shared" si="36"/>
        <v>1.0408130081300813</v>
      </c>
      <c r="J71" s="398">
        <v>1.9</v>
      </c>
      <c r="K71" s="399">
        <f t="shared" si="37"/>
        <v>3.0894308943089428E-2</v>
      </c>
      <c r="L71" s="398">
        <v>335.17</v>
      </c>
      <c r="M71" s="399">
        <f t="shared" si="38"/>
        <v>1.0717073170731706</v>
      </c>
      <c r="N71" s="400">
        <v>1478.0997</v>
      </c>
      <c r="O71" s="398">
        <v>2.86</v>
      </c>
      <c r="P71" s="399">
        <f t="shared" si="30"/>
        <v>4.6504065040650404E-2</v>
      </c>
      <c r="Q71" s="401">
        <f t="shared" si="31"/>
        <v>1.5499999999999967</v>
      </c>
      <c r="R71" s="399">
        <f t="shared" si="32"/>
        <v>2.520325203252027E-2</v>
      </c>
      <c r="S71" s="402">
        <f t="shared" si="33"/>
        <v>519.51349999999888</v>
      </c>
      <c r="T71" s="403" t="s">
        <v>514</v>
      </c>
      <c r="U71" s="403" t="s">
        <v>509</v>
      </c>
      <c r="V71" s="404" t="s">
        <v>526</v>
      </c>
      <c r="W71" s="428" t="s">
        <v>567</v>
      </c>
      <c r="X71" s="404">
        <v>1</v>
      </c>
      <c r="Y71" s="405" t="s">
        <v>203</v>
      </c>
      <c r="AB71" s="411"/>
      <c r="AC71" s="409"/>
    </row>
    <row r="72" spans="2:34" s="148" customFormat="1" ht="27" customHeight="1">
      <c r="B72" s="824"/>
      <c r="C72" s="825"/>
      <c r="D72" s="393">
        <v>18</v>
      </c>
      <c r="E72" s="396" t="s">
        <v>568</v>
      </c>
      <c r="F72" s="397">
        <v>952.13580000000002</v>
      </c>
      <c r="G72" s="398">
        <v>114.76</v>
      </c>
      <c r="H72" s="398">
        <v>117.19999999999999</v>
      </c>
      <c r="I72" s="399">
        <f t="shared" si="36"/>
        <v>1.0212617636807249</v>
      </c>
      <c r="J72" s="398">
        <v>0</v>
      </c>
      <c r="K72" s="399">
        <f t="shared" si="37"/>
        <v>0</v>
      </c>
      <c r="L72" s="398">
        <v>618.26999999999987</v>
      </c>
      <c r="M72" s="399">
        <f t="shared" si="38"/>
        <v>1.0212617636807249</v>
      </c>
      <c r="N72" s="400">
        <v>1508.5788000000007</v>
      </c>
      <c r="O72" s="398">
        <v>1.54</v>
      </c>
      <c r="P72" s="399">
        <f t="shared" si="30"/>
        <v>1.3419309864064134E-2</v>
      </c>
      <c r="Q72" s="401">
        <f t="shared" si="31"/>
        <v>0.89999999999998348</v>
      </c>
      <c r="R72" s="399">
        <f t="shared" si="32"/>
        <v>7.842453816660714E-3</v>
      </c>
      <c r="S72" s="402">
        <f t="shared" si="33"/>
        <v>556.44299999998964</v>
      </c>
      <c r="T72" s="403" t="s">
        <v>514</v>
      </c>
      <c r="U72" s="403" t="s">
        <v>509</v>
      </c>
      <c r="V72" s="404" t="s">
        <v>540</v>
      </c>
      <c r="W72" s="404" t="s">
        <v>541</v>
      </c>
      <c r="X72" s="404">
        <v>1</v>
      </c>
      <c r="Y72" s="405" t="s">
        <v>554</v>
      </c>
      <c r="AC72" s="409"/>
    </row>
    <row r="73" spans="2:34" s="148" customFormat="1" ht="27" customHeight="1">
      <c r="B73" s="824"/>
      <c r="C73" s="825"/>
      <c r="D73" s="393">
        <v>19</v>
      </c>
      <c r="E73" s="396" t="s">
        <v>417</v>
      </c>
      <c r="F73" s="397">
        <v>941.87940000000015</v>
      </c>
      <c r="G73" s="398">
        <v>751.67000000000007</v>
      </c>
      <c r="H73" s="398">
        <v>744.75000000000011</v>
      </c>
      <c r="I73" s="399">
        <f t="shared" si="36"/>
        <v>0.99079383239985641</v>
      </c>
      <c r="J73" s="398">
        <v>10.58</v>
      </c>
      <c r="K73" s="399">
        <f t="shared" si="37"/>
        <v>1.4075325608312157E-2</v>
      </c>
      <c r="L73" s="398">
        <v>407.74000000000007</v>
      </c>
      <c r="M73" s="399">
        <f t="shared" si="38"/>
        <v>1.0048691580081686</v>
      </c>
      <c r="N73" s="400">
        <v>1492.3283999999812</v>
      </c>
      <c r="O73" s="398">
        <v>2.31</v>
      </c>
      <c r="P73" s="399">
        <f t="shared" si="30"/>
        <v>3.0731571035161704E-3</v>
      </c>
      <c r="Q73" s="401">
        <f t="shared" si="31"/>
        <v>1.3500000000000818</v>
      </c>
      <c r="R73" s="399">
        <f t="shared" si="32"/>
        <v>1.7960009046524162E-3</v>
      </c>
      <c r="S73" s="402">
        <f t="shared" si="33"/>
        <v>550.44900000003349</v>
      </c>
      <c r="T73" s="403" t="s">
        <v>514</v>
      </c>
      <c r="U73" s="403" t="s">
        <v>509</v>
      </c>
      <c r="V73" s="404" t="s">
        <v>569</v>
      </c>
      <c r="W73" s="404" t="s">
        <v>570</v>
      </c>
      <c r="X73" s="404">
        <v>1</v>
      </c>
      <c r="Y73" s="405" t="s">
        <v>416</v>
      </c>
      <c r="AB73" s="412"/>
      <c r="AC73" s="409"/>
    </row>
    <row r="74" spans="2:34" s="148" customFormat="1" ht="27" customHeight="1">
      <c r="B74" s="826"/>
      <c r="C74" s="827"/>
      <c r="D74" s="393">
        <v>20</v>
      </c>
      <c r="E74" s="396" t="s">
        <v>379</v>
      </c>
      <c r="F74" s="397">
        <v>934.94999999999993</v>
      </c>
      <c r="G74" s="398">
        <v>35448</v>
      </c>
      <c r="H74" s="398">
        <v>36261</v>
      </c>
      <c r="I74" s="399">
        <f t="shared" si="36"/>
        <v>1.0229350033852405</v>
      </c>
      <c r="J74" s="398">
        <v>0</v>
      </c>
      <c r="K74" s="399">
        <f t="shared" si="37"/>
        <v>0</v>
      </c>
      <c r="L74" s="398">
        <v>1.1500000000000001</v>
      </c>
      <c r="M74" s="399">
        <f t="shared" si="38"/>
        <v>1.0229350033852405</v>
      </c>
      <c r="N74" s="400">
        <v>934.94999999999993</v>
      </c>
      <c r="O74" s="398">
        <v>813</v>
      </c>
      <c r="P74" s="399">
        <f t="shared" si="30"/>
        <v>2.2935003385240352E-2</v>
      </c>
      <c r="Q74" s="401">
        <f t="shared" si="31"/>
        <v>0</v>
      </c>
      <c r="R74" s="399">
        <f t="shared" si="32"/>
        <v>0</v>
      </c>
      <c r="S74" s="402">
        <f t="shared" si="33"/>
        <v>0</v>
      </c>
      <c r="T74" s="403" t="s">
        <v>514</v>
      </c>
      <c r="U74" s="403" t="s">
        <v>509</v>
      </c>
      <c r="V74" s="404" t="s">
        <v>537</v>
      </c>
      <c r="W74" s="404" t="s">
        <v>520</v>
      </c>
      <c r="X74" s="404">
        <v>1</v>
      </c>
      <c r="Y74" s="405" t="s">
        <v>215</v>
      </c>
      <c r="AB74" s="412"/>
      <c r="AC74" s="409"/>
    </row>
    <row r="75" spans="2:34" ht="17.100000000000001" customHeight="1">
      <c r="B75" s="844" t="s">
        <v>478</v>
      </c>
      <c r="C75" s="845"/>
      <c r="D75" s="850" t="s">
        <v>479</v>
      </c>
      <c r="E75" s="850"/>
      <c r="F75" s="850"/>
      <c r="G75" s="850" t="s">
        <v>480</v>
      </c>
      <c r="H75" s="850"/>
      <c r="I75" s="850"/>
      <c r="J75" s="850"/>
      <c r="K75" s="850"/>
      <c r="L75" s="850"/>
      <c r="M75" s="850"/>
      <c r="N75" s="850"/>
      <c r="O75" s="850"/>
      <c r="P75" s="850"/>
      <c r="Q75" s="850"/>
      <c r="R75" s="850"/>
      <c r="S75" s="850"/>
      <c r="T75" s="850" t="s">
        <v>481</v>
      </c>
      <c r="U75" s="835" t="s">
        <v>482</v>
      </c>
      <c r="V75" s="828" t="s">
        <v>483</v>
      </c>
      <c r="W75" s="828" t="s">
        <v>484</v>
      </c>
      <c r="X75" s="831" t="s">
        <v>485</v>
      </c>
      <c r="Y75" s="834" t="s">
        <v>486</v>
      </c>
      <c r="AA75" s="835" t="s">
        <v>487</v>
      </c>
      <c r="AB75" s="836"/>
      <c r="AC75" s="836"/>
      <c r="AD75" s="836"/>
      <c r="AE75" s="836"/>
      <c r="AF75" s="836"/>
      <c r="AG75" s="836"/>
      <c r="AH75" s="837"/>
    </row>
    <row r="76" spans="2:34" ht="17.100000000000001" customHeight="1">
      <c r="B76" s="846"/>
      <c r="C76" s="847"/>
      <c r="D76" s="851" t="s">
        <v>488</v>
      </c>
      <c r="E76" s="850" t="s">
        <v>489</v>
      </c>
      <c r="F76" s="850"/>
      <c r="G76" s="850" t="s">
        <v>490</v>
      </c>
      <c r="H76" s="850"/>
      <c r="I76" s="850"/>
      <c r="J76" s="850"/>
      <c r="K76" s="850"/>
      <c r="L76" s="850"/>
      <c r="M76" s="850"/>
      <c r="N76" s="850"/>
      <c r="O76" s="850" t="s">
        <v>491</v>
      </c>
      <c r="P76" s="850"/>
      <c r="Q76" s="850"/>
      <c r="R76" s="850"/>
      <c r="S76" s="850"/>
      <c r="T76" s="850"/>
      <c r="U76" s="838"/>
      <c r="V76" s="829"/>
      <c r="W76" s="829"/>
      <c r="X76" s="832"/>
      <c r="Y76" s="834"/>
      <c r="AA76" s="838"/>
      <c r="AB76" s="839"/>
      <c r="AC76" s="839"/>
      <c r="AD76" s="839"/>
      <c r="AE76" s="839"/>
      <c r="AF76" s="839"/>
      <c r="AG76" s="839"/>
      <c r="AH76" s="840"/>
    </row>
    <row r="77" spans="2:34" ht="17.100000000000001" customHeight="1">
      <c r="B77" s="846"/>
      <c r="C77" s="847"/>
      <c r="D77" s="851"/>
      <c r="E77" s="851" t="s">
        <v>492</v>
      </c>
      <c r="F77" s="834" t="s">
        <v>493</v>
      </c>
      <c r="G77" s="852" t="s">
        <v>494</v>
      </c>
      <c r="H77" s="852"/>
      <c r="I77" s="852"/>
      <c r="J77" s="852"/>
      <c r="K77" s="852"/>
      <c r="L77" s="852"/>
      <c r="M77" s="852"/>
      <c r="N77" s="852"/>
      <c r="O77" s="852" t="s">
        <v>495</v>
      </c>
      <c r="P77" s="852"/>
      <c r="Q77" s="852" t="s">
        <v>496</v>
      </c>
      <c r="R77" s="852"/>
      <c r="S77" s="852"/>
      <c r="T77" s="850"/>
      <c r="U77" s="838"/>
      <c r="V77" s="829"/>
      <c r="W77" s="829"/>
      <c r="X77" s="832"/>
      <c r="Y77" s="834"/>
      <c r="AA77" s="841"/>
      <c r="AB77" s="842"/>
      <c r="AC77" s="842"/>
      <c r="AD77" s="842"/>
      <c r="AE77" s="842"/>
      <c r="AF77" s="842"/>
      <c r="AG77" s="842"/>
      <c r="AH77" s="843"/>
    </row>
    <row r="78" spans="2:34" ht="38.450000000000003" customHeight="1">
      <c r="B78" s="848"/>
      <c r="C78" s="849"/>
      <c r="D78" s="851"/>
      <c r="E78" s="851"/>
      <c r="F78" s="834"/>
      <c r="G78" s="394" t="s">
        <v>497</v>
      </c>
      <c r="H78" s="394" t="s">
        <v>498</v>
      </c>
      <c r="I78" s="394" t="s">
        <v>499</v>
      </c>
      <c r="J78" s="394" t="s">
        <v>500</v>
      </c>
      <c r="K78" s="394" t="s">
        <v>501</v>
      </c>
      <c r="L78" s="394" t="s">
        <v>502</v>
      </c>
      <c r="M78" s="394" t="s">
        <v>503</v>
      </c>
      <c r="N78" s="394" t="s">
        <v>504</v>
      </c>
      <c r="O78" s="395" t="s">
        <v>505</v>
      </c>
      <c r="P78" s="395" t="s">
        <v>506</v>
      </c>
      <c r="Q78" s="395" t="s">
        <v>505</v>
      </c>
      <c r="R78" s="395" t="s">
        <v>506</v>
      </c>
      <c r="S78" s="394" t="s">
        <v>507</v>
      </c>
      <c r="T78" s="850"/>
      <c r="U78" s="841"/>
      <c r="V78" s="830"/>
      <c r="W78" s="830"/>
      <c r="X78" s="833"/>
      <c r="Y78" s="834"/>
      <c r="AA78" s="161" t="s">
        <v>508</v>
      </c>
      <c r="AB78" s="161" t="s">
        <v>509</v>
      </c>
      <c r="AC78" s="156" t="s">
        <v>510</v>
      </c>
      <c r="AD78" s="156" t="s">
        <v>511</v>
      </c>
      <c r="AE78" s="156" t="s">
        <v>286</v>
      </c>
      <c r="AF78" s="156" t="s">
        <v>318</v>
      </c>
      <c r="AG78" s="156" t="s">
        <v>321</v>
      </c>
      <c r="AH78" s="156" t="s">
        <v>512</v>
      </c>
    </row>
    <row r="79" spans="2:34" s="148" customFormat="1" ht="27" customHeight="1">
      <c r="B79" s="822" t="s">
        <v>571</v>
      </c>
      <c r="C79" s="823"/>
      <c r="D79" s="393">
        <v>1</v>
      </c>
      <c r="E79" s="396" t="s">
        <v>322</v>
      </c>
      <c r="F79" s="397">
        <v>1514.1</v>
      </c>
      <c r="G79" s="398">
        <v>15800</v>
      </c>
      <c r="H79" s="398">
        <v>15662</v>
      </c>
      <c r="I79" s="399">
        <f>H79/G79</f>
        <v>0.99126582278481012</v>
      </c>
      <c r="J79" s="398">
        <v>236</v>
      </c>
      <c r="K79" s="399">
        <f>J79/G79</f>
        <v>1.4936708860759493E-2</v>
      </c>
      <c r="L79" s="398">
        <v>15.450000000000001</v>
      </c>
      <c r="M79" s="399">
        <f>(H79+J79)/G79</f>
        <v>1.0062025316455696</v>
      </c>
      <c r="N79" s="400">
        <v>1514.1</v>
      </c>
      <c r="O79" s="398">
        <v>98</v>
      </c>
      <c r="P79" s="399">
        <f>O79/G79</f>
        <v>6.2025316455696202E-3</v>
      </c>
      <c r="Q79" s="401">
        <f>((H79+J79)-G79)-O79</f>
        <v>0</v>
      </c>
      <c r="R79" s="399">
        <f>Q79/G79</f>
        <v>0</v>
      </c>
      <c r="S79" s="402">
        <f>Q79*L79</f>
        <v>0</v>
      </c>
      <c r="T79" s="403" t="s">
        <v>514</v>
      </c>
      <c r="U79" s="403" t="s">
        <v>521</v>
      </c>
      <c r="V79" s="404" t="s">
        <v>572</v>
      </c>
      <c r="W79" s="404" t="s">
        <v>567</v>
      </c>
      <c r="X79" s="404">
        <v>1</v>
      </c>
      <c r="Y79" s="405" t="s">
        <v>147</v>
      </c>
      <c r="Z79" s="406" t="s">
        <v>517</v>
      </c>
      <c r="AA79" s="416">
        <f>SUM(X79:X98)</f>
        <v>20</v>
      </c>
      <c r="AB79" s="408">
        <f>SUMIF($U$79:$U$98,TRIM(AB78),$X$79:$X$98)</f>
        <v>15</v>
      </c>
      <c r="AC79" s="408">
        <f t="shared" ref="AC79:AH79" si="39">SUMIF($U$79:$U$98,TRIM(AC78),$X$79:$X$98)</f>
        <v>0</v>
      </c>
      <c r="AD79" s="408">
        <f t="shared" si="39"/>
        <v>3</v>
      </c>
      <c r="AE79" s="408">
        <f t="shared" si="39"/>
        <v>0</v>
      </c>
      <c r="AF79" s="408">
        <f t="shared" si="39"/>
        <v>1</v>
      </c>
      <c r="AG79" s="408">
        <f t="shared" si="39"/>
        <v>1</v>
      </c>
      <c r="AH79" s="408">
        <f t="shared" si="39"/>
        <v>0</v>
      </c>
    </row>
    <row r="80" spans="2:34" s="148" customFormat="1" ht="27" customHeight="1">
      <c r="B80" s="824"/>
      <c r="C80" s="825"/>
      <c r="D80" s="393">
        <v>2</v>
      </c>
      <c r="E80" s="396" t="s">
        <v>314</v>
      </c>
      <c r="F80" s="397">
        <v>1227.45</v>
      </c>
      <c r="G80" s="398">
        <v>101883</v>
      </c>
      <c r="H80" s="398">
        <v>102384</v>
      </c>
      <c r="I80" s="399">
        <f t="shared" ref="I80:I81" si="40">H80/G80</f>
        <v>1.0049174052589736</v>
      </c>
      <c r="J80" s="398">
        <v>0</v>
      </c>
      <c r="K80" s="399">
        <f t="shared" ref="K80:K85" si="41">J80/G80</f>
        <v>0</v>
      </c>
      <c r="L80" s="398">
        <v>2.4499999999999997</v>
      </c>
      <c r="M80" s="399">
        <f t="shared" ref="M80:M85" si="42">(H80+J80)/G80</f>
        <v>1.0049174052589736</v>
      </c>
      <c r="N80" s="400">
        <v>1227.45</v>
      </c>
      <c r="O80" s="398">
        <v>501</v>
      </c>
      <c r="P80" s="399">
        <f t="shared" ref="P80:P98" si="43">O80/G80</f>
        <v>4.9174052589735281E-3</v>
      </c>
      <c r="Q80" s="401">
        <f t="shared" ref="Q80:Q98" si="44">((H80+J80)-G80)-O80</f>
        <v>0</v>
      </c>
      <c r="R80" s="399">
        <f t="shared" ref="R80:R98" si="45">Q80/G80</f>
        <v>0</v>
      </c>
      <c r="S80" s="402">
        <f t="shared" ref="S80:S98" si="46">Q80*L80</f>
        <v>0</v>
      </c>
      <c r="T80" s="403" t="s">
        <v>514</v>
      </c>
      <c r="U80" s="403" t="s">
        <v>511</v>
      </c>
      <c r="V80" s="404" t="s">
        <v>573</v>
      </c>
      <c r="W80" s="404" t="s">
        <v>574</v>
      </c>
      <c r="X80" s="404">
        <v>1</v>
      </c>
      <c r="Y80" s="405" t="s">
        <v>311</v>
      </c>
      <c r="AA80" s="417"/>
      <c r="AB80" s="414">
        <f>SUMIF($U$79:$U$98,TRIM(AB78),$F$79:$F$98)</f>
        <v>15552.146700000003</v>
      </c>
      <c r="AC80" s="414">
        <f t="shared" ref="AC80:AH80" si="47">SUMIF($U$79:$U$98,TRIM(AC78),$F$79:$F$98)</f>
        <v>0</v>
      </c>
      <c r="AD80" s="414">
        <f t="shared" si="47"/>
        <v>3422.4089999999997</v>
      </c>
      <c r="AE80" s="414">
        <f t="shared" si="47"/>
        <v>0</v>
      </c>
      <c r="AF80" s="414">
        <f t="shared" si="47"/>
        <v>1095.3599999999999</v>
      </c>
      <c r="AG80" s="414">
        <f t="shared" si="47"/>
        <v>1514.1</v>
      </c>
      <c r="AH80" s="414">
        <f t="shared" si="47"/>
        <v>0</v>
      </c>
    </row>
    <row r="81" spans="2:34" s="148" customFormat="1" ht="27" customHeight="1">
      <c r="B81" s="824"/>
      <c r="C81" s="825"/>
      <c r="D81" s="393">
        <v>3</v>
      </c>
      <c r="E81" s="396" t="s">
        <v>292</v>
      </c>
      <c r="F81" s="397">
        <v>1209.8617999999999</v>
      </c>
      <c r="G81" s="398">
        <v>681.67</v>
      </c>
      <c r="H81" s="398">
        <v>689.09999999999991</v>
      </c>
      <c r="I81" s="399">
        <f t="shared" si="40"/>
        <v>1.0108997022019452</v>
      </c>
      <c r="J81" s="398">
        <v>2.4</v>
      </c>
      <c r="K81" s="399">
        <f t="shared" si="41"/>
        <v>3.5207651796323736E-3</v>
      </c>
      <c r="L81" s="398">
        <v>141.66999999999999</v>
      </c>
      <c r="M81" s="399">
        <f t="shared" si="42"/>
        <v>1.0144204673815775</v>
      </c>
      <c r="N81" s="400">
        <v>1392.6161000000016</v>
      </c>
      <c r="O81" s="398">
        <v>8.5400000000000009</v>
      </c>
      <c r="P81" s="399">
        <f t="shared" si="43"/>
        <v>1.2528056097525197E-2</v>
      </c>
      <c r="Q81" s="401">
        <f t="shared" si="44"/>
        <v>1.2899999999999263</v>
      </c>
      <c r="R81" s="399">
        <f t="shared" si="45"/>
        <v>1.8924112840522928E-3</v>
      </c>
      <c r="S81" s="402">
        <f t="shared" si="46"/>
        <v>182.75429999998954</v>
      </c>
      <c r="T81" s="403" t="s">
        <v>514</v>
      </c>
      <c r="U81" s="403" t="s">
        <v>509</v>
      </c>
      <c r="V81" s="404" t="s">
        <v>540</v>
      </c>
      <c r="W81" s="404" t="s">
        <v>575</v>
      </c>
      <c r="X81" s="404">
        <v>1</v>
      </c>
      <c r="Y81" s="405" t="s">
        <v>198</v>
      </c>
      <c r="AA81" s="393"/>
      <c r="AB81" s="415">
        <f>AB79/$AA79</f>
        <v>0.75</v>
      </c>
      <c r="AC81" s="415">
        <f t="shared" ref="AC81:AH81" si="48">AC79/$AA79</f>
        <v>0</v>
      </c>
      <c r="AD81" s="415">
        <f t="shared" si="48"/>
        <v>0.15</v>
      </c>
      <c r="AE81" s="415">
        <f t="shared" si="48"/>
        <v>0</v>
      </c>
      <c r="AF81" s="415">
        <f t="shared" si="48"/>
        <v>0.05</v>
      </c>
      <c r="AG81" s="415">
        <f t="shared" si="48"/>
        <v>0.05</v>
      </c>
      <c r="AH81" s="415">
        <f t="shared" si="48"/>
        <v>0</v>
      </c>
    </row>
    <row r="82" spans="2:34" s="148" customFormat="1" ht="27" customHeight="1">
      <c r="B82" s="824"/>
      <c r="C82" s="825"/>
      <c r="D82" s="393">
        <v>4</v>
      </c>
      <c r="E82" s="396" t="s">
        <v>373</v>
      </c>
      <c r="F82" s="397">
        <v>1209.5226000000002</v>
      </c>
      <c r="G82" s="398">
        <v>477.46999999999997</v>
      </c>
      <c r="H82" s="398">
        <v>484.13000000000005</v>
      </c>
      <c r="I82" s="399">
        <f>H82/G82</f>
        <v>1.0139485203258845</v>
      </c>
      <c r="J82" s="398">
        <v>0</v>
      </c>
      <c r="K82" s="399">
        <f t="shared" si="41"/>
        <v>0</v>
      </c>
      <c r="L82" s="398">
        <v>181.60999999999999</v>
      </c>
      <c r="M82" s="399">
        <f t="shared" si="42"/>
        <v>1.0139485203258845</v>
      </c>
      <c r="N82" s="400">
        <v>1209.5225999999996</v>
      </c>
      <c r="O82" s="398">
        <v>6.66</v>
      </c>
      <c r="P82" s="399">
        <f t="shared" si="43"/>
        <v>1.394852032588435E-2</v>
      </c>
      <c r="Q82" s="401">
        <f t="shared" si="44"/>
        <v>8.1712414612411521E-14</v>
      </c>
      <c r="R82" s="399">
        <f t="shared" si="45"/>
        <v>1.7113622764238912E-16</v>
      </c>
      <c r="S82" s="402">
        <f t="shared" si="46"/>
        <v>1.4839791617760055E-11</v>
      </c>
      <c r="T82" s="403" t="s">
        <v>514</v>
      </c>
      <c r="U82" s="403" t="s">
        <v>509</v>
      </c>
      <c r="V82" s="404" t="s">
        <v>532</v>
      </c>
      <c r="W82" s="404" t="s">
        <v>525</v>
      </c>
      <c r="X82" s="404">
        <v>1</v>
      </c>
      <c r="Y82" s="405" t="s">
        <v>216</v>
      </c>
    </row>
    <row r="83" spans="2:34" s="148" customFormat="1" ht="27" customHeight="1">
      <c r="B83" s="824"/>
      <c r="C83" s="825"/>
      <c r="D83" s="393">
        <v>5</v>
      </c>
      <c r="E83" s="396" t="s">
        <v>391</v>
      </c>
      <c r="F83" s="397">
        <v>1203.3254000000002</v>
      </c>
      <c r="G83" s="398">
        <v>228.38</v>
      </c>
      <c r="H83" s="398">
        <v>234.01</v>
      </c>
      <c r="I83" s="399">
        <f t="shared" ref="I83:I98" si="49">H83/G83</f>
        <v>1.024651895962869</v>
      </c>
      <c r="J83" s="398">
        <v>1.1000000000000001</v>
      </c>
      <c r="K83" s="399">
        <f t="shared" si="41"/>
        <v>4.8165338470969443E-3</v>
      </c>
      <c r="L83" s="398">
        <v>210.74</v>
      </c>
      <c r="M83" s="399">
        <f t="shared" si="42"/>
        <v>1.0294684298099659</v>
      </c>
      <c r="N83" s="400">
        <v>1418.2801999999986</v>
      </c>
      <c r="O83" s="398">
        <v>5.71</v>
      </c>
      <c r="P83" s="399">
        <f t="shared" si="43"/>
        <v>2.5002189333566863E-2</v>
      </c>
      <c r="Q83" s="401">
        <f t="shared" si="44"/>
        <v>1.0199999999999898</v>
      </c>
      <c r="R83" s="399">
        <f t="shared" si="45"/>
        <v>4.4662404763989392E-3</v>
      </c>
      <c r="S83" s="402">
        <f t="shared" si="46"/>
        <v>214.95479999999787</v>
      </c>
      <c r="T83" s="403" t="s">
        <v>514</v>
      </c>
      <c r="U83" s="403" t="s">
        <v>509</v>
      </c>
      <c r="V83" s="404" t="s">
        <v>528</v>
      </c>
      <c r="W83" s="404" t="s">
        <v>529</v>
      </c>
      <c r="X83" s="404">
        <v>1</v>
      </c>
      <c r="Y83" s="405" t="s">
        <v>226</v>
      </c>
    </row>
    <row r="84" spans="2:34" s="148" customFormat="1" ht="27" customHeight="1">
      <c r="B84" s="824"/>
      <c r="C84" s="825"/>
      <c r="D84" s="393">
        <v>6</v>
      </c>
      <c r="E84" s="396" t="s">
        <v>312</v>
      </c>
      <c r="F84" s="397">
        <v>1157.1299999999999</v>
      </c>
      <c r="G84" s="398">
        <v>175027</v>
      </c>
      <c r="H84" s="398">
        <v>176016</v>
      </c>
      <c r="I84" s="399">
        <f t="shared" si="49"/>
        <v>1.005650556771241</v>
      </c>
      <c r="J84" s="398">
        <v>0</v>
      </c>
      <c r="K84" s="399">
        <f t="shared" si="41"/>
        <v>0</v>
      </c>
      <c r="L84" s="398">
        <v>1.17</v>
      </c>
      <c r="M84" s="399">
        <f t="shared" si="42"/>
        <v>1.005650556771241</v>
      </c>
      <c r="N84" s="400">
        <v>1157.1299999999999</v>
      </c>
      <c r="O84" s="398">
        <v>989</v>
      </c>
      <c r="P84" s="399">
        <f t="shared" si="43"/>
        <v>5.6505567712410087E-3</v>
      </c>
      <c r="Q84" s="401">
        <f t="shared" si="44"/>
        <v>0</v>
      </c>
      <c r="R84" s="399">
        <f t="shared" si="45"/>
        <v>0</v>
      </c>
      <c r="S84" s="402">
        <f t="shared" si="46"/>
        <v>0</v>
      </c>
      <c r="T84" s="403" t="s">
        <v>514</v>
      </c>
      <c r="U84" s="403" t="s">
        <v>511</v>
      </c>
      <c r="V84" s="404" t="s">
        <v>576</v>
      </c>
      <c r="W84" s="404" t="s">
        <v>577</v>
      </c>
      <c r="X84" s="404">
        <v>1</v>
      </c>
      <c r="Y84" s="405" t="s">
        <v>311</v>
      </c>
    </row>
    <row r="85" spans="2:34" s="148" customFormat="1" ht="27" customHeight="1">
      <c r="B85" s="824"/>
      <c r="C85" s="825"/>
      <c r="D85" s="393">
        <v>7</v>
      </c>
      <c r="E85" s="396" t="s">
        <v>319</v>
      </c>
      <c r="F85" s="397">
        <v>1095.3599999999999</v>
      </c>
      <c r="G85" s="398">
        <v>401.16</v>
      </c>
      <c r="H85" s="398">
        <v>412.4</v>
      </c>
      <c r="I85" s="399">
        <f t="shared" si="49"/>
        <v>1.0280187456376506</v>
      </c>
      <c r="J85" s="398">
        <v>3</v>
      </c>
      <c r="K85" s="399">
        <f t="shared" si="41"/>
        <v>7.4783128926114266E-3</v>
      </c>
      <c r="L85" s="398">
        <v>96</v>
      </c>
      <c r="M85" s="399">
        <f t="shared" si="42"/>
        <v>1.0354970585302621</v>
      </c>
      <c r="N85" s="400">
        <v>1367.0400000000009</v>
      </c>
      <c r="O85" s="398">
        <v>11.41</v>
      </c>
      <c r="P85" s="399">
        <f t="shared" si="43"/>
        <v>2.844251670156546E-2</v>
      </c>
      <c r="Q85" s="401">
        <f t="shared" si="44"/>
        <v>2.8299999999999521</v>
      </c>
      <c r="R85" s="399">
        <f t="shared" si="45"/>
        <v>7.0545418286966591E-3</v>
      </c>
      <c r="S85" s="402">
        <f t="shared" si="46"/>
        <v>271.6799999999954</v>
      </c>
      <c r="T85" s="403" t="s">
        <v>514</v>
      </c>
      <c r="U85" s="403" t="s">
        <v>318</v>
      </c>
      <c r="V85" s="404" t="s">
        <v>578</v>
      </c>
      <c r="W85" s="404" t="s">
        <v>567</v>
      </c>
      <c r="X85" s="404">
        <v>1</v>
      </c>
      <c r="Y85" s="405" t="s">
        <v>213</v>
      </c>
      <c r="AC85" s="409"/>
    </row>
    <row r="86" spans="2:34" s="148" customFormat="1" ht="27" customHeight="1">
      <c r="B86" s="824"/>
      <c r="C86" s="825"/>
      <c r="D86" s="393">
        <v>8</v>
      </c>
      <c r="E86" s="396" t="s">
        <v>302</v>
      </c>
      <c r="F86" s="397">
        <v>1055.4791</v>
      </c>
      <c r="G86" s="398">
        <v>238.46</v>
      </c>
      <c r="H86" s="398">
        <v>247.61</v>
      </c>
      <c r="I86" s="399">
        <f t="shared" si="49"/>
        <v>1.0383712152981632</v>
      </c>
      <c r="J86" s="398">
        <v>0</v>
      </c>
      <c r="K86" s="399">
        <f>J86/G86</f>
        <v>0</v>
      </c>
      <c r="L86" s="398">
        <v>153.19000000000003</v>
      </c>
      <c r="M86" s="399">
        <f>(H86+J86)/G86</f>
        <v>1.0383712152981632</v>
      </c>
      <c r="N86" s="400">
        <v>1401.6885000000002</v>
      </c>
      <c r="O86" s="398">
        <v>6.8900000000000006</v>
      </c>
      <c r="P86" s="399">
        <f t="shared" si="43"/>
        <v>2.8893734798289022E-2</v>
      </c>
      <c r="Q86" s="401">
        <f t="shared" si="44"/>
        <v>2.2600000000000051</v>
      </c>
      <c r="R86" s="399">
        <f t="shared" si="45"/>
        <v>9.4774804998742131E-3</v>
      </c>
      <c r="S86" s="402">
        <f t="shared" si="46"/>
        <v>346.20940000000087</v>
      </c>
      <c r="T86" s="403" t="s">
        <v>514</v>
      </c>
      <c r="U86" s="403" t="s">
        <v>509</v>
      </c>
      <c r="V86" s="404" t="s">
        <v>579</v>
      </c>
      <c r="W86" s="404" t="s">
        <v>529</v>
      </c>
      <c r="X86" s="404">
        <v>1</v>
      </c>
      <c r="Y86" s="405" t="s">
        <v>301</v>
      </c>
      <c r="AC86" s="409"/>
    </row>
    <row r="87" spans="2:34" s="148" customFormat="1" ht="27" customHeight="1">
      <c r="B87" s="824"/>
      <c r="C87" s="825"/>
      <c r="D87" s="393">
        <v>9</v>
      </c>
      <c r="E87" s="396" t="s">
        <v>296</v>
      </c>
      <c r="F87" s="397">
        <v>1046.1504</v>
      </c>
      <c r="G87" s="398">
        <v>275.10000000000002</v>
      </c>
      <c r="H87" s="398">
        <v>274.84000000000003</v>
      </c>
      <c r="I87" s="399">
        <f t="shared" si="49"/>
        <v>0.99905488913122509</v>
      </c>
      <c r="J87" s="398">
        <v>9.25</v>
      </c>
      <c r="K87" s="399">
        <f t="shared" ref="K87:K98" si="50">J87/G87</f>
        <v>3.3624136677571789E-2</v>
      </c>
      <c r="L87" s="398">
        <v>253.92000000000002</v>
      </c>
      <c r="M87" s="399">
        <f t="shared" ref="M87:M98" si="51">(H87+J87)/G87</f>
        <v>1.0326790258087968</v>
      </c>
      <c r="N87" s="400">
        <v>2282.740799999995</v>
      </c>
      <c r="O87" s="398">
        <v>4.12</v>
      </c>
      <c r="P87" s="399">
        <f t="shared" si="43"/>
        <v>1.4976372228280624E-2</v>
      </c>
      <c r="Q87" s="401">
        <f t="shared" si="44"/>
        <v>4.870000000000009</v>
      </c>
      <c r="R87" s="399">
        <f t="shared" si="45"/>
        <v>1.7702653580516207E-2</v>
      </c>
      <c r="S87" s="402">
        <f t="shared" si="46"/>
        <v>1236.5904000000023</v>
      </c>
      <c r="T87" s="403" t="s">
        <v>514</v>
      </c>
      <c r="U87" s="403" t="s">
        <v>509</v>
      </c>
      <c r="V87" s="404" t="s">
        <v>580</v>
      </c>
      <c r="W87" s="404" t="s">
        <v>581</v>
      </c>
      <c r="X87" s="404">
        <v>1</v>
      </c>
      <c r="Y87" s="405" t="s">
        <v>209</v>
      </c>
      <c r="AC87" s="409"/>
    </row>
    <row r="88" spans="2:34" s="148" customFormat="1" ht="27" customHeight="1">
      <c r="B88" s="824"/>
      <c r="C88" s="825"/>
      <c r="D88" s="393">
        <v>10</v>
      </c>
      <c r="E88" s="396" t="s">
        <v>385</v>
      </c>
      <c r="F88" s="397">
        <v>1042.5105999999998</v>
      </c>
      <c r="G88" s="398">
        <v>216.95999999999998</v>
      </c>
      <c r="H88" s="398">
        <v>220.2</v>
      </c>
      <c r="I88" s="399">
        <f t="shared" si="49"/>
        <v>1.0149336283185841</v>
      </c>
      <c r="J88" s="398">
        <v>8.0400000000000009</v>
      </c>
      <c r="K88" s="399">
        <f t="shared" si="50"/>
        <v>3.7057522123893814E-2</v>
      </c>
      <c r="L88" s="398">
        <v>169.79</v>
      </c>
      <c r="M88" s="399">
        <f t="shared" si="51"/>
        <v>1.0519911504424779</v>
      </c>
      <c r="N88" s="400">
        <v>1915.2311999999986</v>
      </c>
      <c r="O88" s="398">
        <v>6.14</v>
      </c>
      <c r="P88" s="399">
        <f t="shared" si="43"/>
        <v>2.8300147492625369E-2</v>
      </c>
      <c r="Q88" s="401">
        <f t="shared" si="44"/>
        <v>5.1400000000000015</v>
      </c>
      <c r="R88" s="399">
        <f t="shared" si="45"/>
        <v>2.3691002949852515E-2</v>
      </c>
      <c r="S88" s="402">
        <f t="shared" si="46"/>
        <v>872.72060000000022</v>
      </c>
      <c r="T88" s="403" t="s">
        <v>514</v>
      </c>
      <c r="U88" s="403" t="s">
        <v>509</v>
      </c>
      <c r="V88" s="404" t="s">
        <v>532</v>
      </c>
      <c r="W88" s="404" t="s">
        <v>525</v>
      </c>
      <c r="X88" s="404">
        <v>1</v>
      </c>
      <c r="Y88" s="405" t="s">
        <v>203</v>
      </c>
      <c r="AC88" s="409"/>
    </row>
    <row r="89" spans="2:34" s="148" customFormat="1" ht="27" customHeight="1">
      <c r="B89" s="824"/>
      <c r="C89" s="825"/>
      <c r="D89" s="393">
        <v>11</v>
      </c>
      <c r="E89" s="396" t="s">
        <v>309</v>
      </c>
      <c r="F89" s="397">
        <v>1037.829</v>
      </c>
      <c r="G89" s="398">
        <v>440.12</v>
      </c>
      <c r="H89" s="398">
        <v>413.82</v>
      </c>
      <c r="I89" s="399">
        <f t="shared" si="49"/>
        <v>0.94024356993547209</v>
      </c>
      <c r="J89" s="398">
        <v>37.840000000000003</v>
      </c>
      <c r="K89" s="399">
        <f t="shared" si="50"/>
        <v>8.5976551849495597E-2</v>
      </c>
      <c r="L89" s="398">
        <v>122.81999999999996</v>
      </c>
      <c r="M89" s="399">
        <f t="shared" si="51"/>
        <v>1.0262201217849676</v>
      </c>
      <c r="N89" s="400">
        <v>1417.3428000000006</v>
      </c>
      <c r="O89" s="398">
        <v>8.4499999999999993</v>
      </c>
      <c r="P89" s="399">
        <f t="shared" si="43"/>
        <v>1.9199309279287466E-2</v>
      </c>
      <c r="Q89" s="401">
        <f t="shared" si="44"/>
        <v>3.0899999999999643</v>
      </c>
      <c r="R89" s="399">
        <f t="shared" si="45"/>
        <v>7.0208125056801882E-3</v>
      </c>
      <c r="S89" s="402">
        <f t="shared" si="46"/>
        <v>379.51379999999551</v>
      </c>
      <c r="T89" s="403" t="s">
        <v>514</v>
      </c>
      <c r="U89" s="403" t="s">
        <v>511</v>
      </c>
      <c r="V89" s="404" t="s">
        <v>528</v>
      </c>
      <c r="W89" s="428" t="s">
        <v>529</v>
      </c>
      <c r="X89" s="404">
        <v>1</v>
      </c>
      <c r="Y89" s="405" t="s">
        <v>308</v>
      </c>
      <c r="AC89" s="409"/>
    </row>
    <row r="90" spans="2:34" s="148" customFormat="1" ht="27" customHeight="1">
      <c r="B90" s="824"/>
      <c r="C90" s="825"/>
      <c r="D90" s="393">
        <v>12</v>
      </c>
      <c r="E90" s="396" t="s">
        <v>542</v>
      </c>
      <c r="F90" s="397">
        <v>992.86000000000013</v>
      </c>
      <c r="G90" s="398">
        <v>478</v>
      </c>
      <c r="H90" s="398">
        <v>476.83</v>
      </c>
      <c r="I90" s="399">
        <f t="shared" si="49"/>
        <v>0.99755230125523009</v>
      </c>
      <c r="J90" s="398">
        <v>44.07</v>
      </c>
      <c r="K90" s="399">
        <f t="shared" si="50"/>
        <v>9.2196652719665276E-2</v>
      </c>
      <c r="L90" s="398">
        <v>45.13</v>
      </c>
      <c r="M90" s="399">
        <f t="shared" si="51"/>
        <v>1.0897489539748952</v>
      </c>
      <c r="N90" s="400">
        <v>1936.0770000000005</v>
      </c>
      <c r="O90" s="398">
        <v>21.999999999999996</v>
      </c>
      <c r="P90" s="399">
        <f t="shared" si="43"/>
        <v>4.6025104602510455E-2</v>
      </c>
      <c r="Q90" s="401">
        <f t="shared" si="44"/>
        <v>20.899999999999981</v>
      </c>
      <c r="R90" s="399">
        <f t="shared" si="45"/>
        <v>4.3723849372384896E-2</v>
      </c>
      <c r="S90" s="402">
        <f t="shared" si="46"/>
        <v>943.21699999999919</v>
      </c>
      <c r="T90" s="403" t="s">
        <v>514</v>
      </c>
      <c r="U90" s="403" t="s">
        <v>509</v>
      </c>
      <c r="V90" s="404" t="s">
        <v>534</v>
      </c>
      <c r="W90" s="404" t="s">
        <v>535</v>
      </c>
      <c r="X90" s="404">
        <v>1</v>
      </c>
      <c r="Y90" s="405" t="s">
        <v>204</v>
      </c>
      <c r="AC90" s="409"/>
    </row>
    <row r="91" spans="2:34" s="148" customFormat="1" ht="27" customHeight="1">
      <c r="B91" s="824"/>
      <c r="C91" s="825"/>
      <c r="D91" s="393">
        <v>13</v>
      </c>
      <c r="E91" s="396" t="s">
        <v>545</v>
      </c>
      <c r="F91" s="397">
        <v>989.36740000000009</v>
      </c>
      <c r="G91" s="398">
        <v>622.77</v>
      </c>
      <c r="H91" s="398">
        <v>620.38</v>
      </c>
      <c r="I91" s="399">
        <f t="shared" si="49"/>
        <v>0.99616230711177478</v>
      </c>
      <c r="J91" s="398">
        <v>26.32</v>
      </c>
      <c r="K91" s="399">
        <f t="shared" si="50"/>
        <v>4.2262793647735122E-2</v>
      </c>
      <c r="L91" s="398">
        <v>65.87</v>
      </c>
      <c r="M91" s="399">
        <f t="shared" si="51"/>
        <v>1.03842510075951</v>
      </c>
      <c r="N91" s="400">
        <v>1576.2690999999998</v>
      </c>
      <c r="O91" s="398">
        <v>15.02</v>
      </c>
      <c r="P91" s="399">
        <f t="shared" si="43"/>
        <v>2.4118053213867077E-2</v>
      </c>
      <c r="Q91" s="401">
        <f t="shared" si="44"/>
        <v>8.9100000000000641</v>
      </c>
      <c r="R91" s="399">
        <f t="shared" si="45"/>
        <v>1.4307047545642958E-2</v>
      </c>
      <c r="S91" s="402">
        <f t="shared" si="46"/>
        <v>586.90170000000421</v>
      </c>
      <c r="T91" s="403" t="s">
        <v>514</v>
      </c>
      <c r="U91" s="403" t="s">
        <v>509</v>
      </c>
      <c r="V91" s="404" t="s">
        <v>582</v>
      </c>
      <c r="W91" s="404" t="s">
        <v>583</v>
      </c>
      <c r="X91" s="404">
        <v>1</v>
      </c>
      <c r="Y91" s="405" t="s">
        <v>216</v>
      </c>
      <c r="AC91" s="409"/>
    </row>
    <row r="92" spans="2:34" s="148" customFormat="1" ht="27" customHeight="1">
      <c r="B92" s="824"/>
      <c r="C92" s="825"/>
      <c r="D92" s="393">
        <v>14</v>
      </c>
      <c r="E92" s="396" t="s">
        <v>430</v>
      </c>
      <c r="F92" s="397">
        <v>987.08799999999974</v>
      </c>
      <c r="G92" s="398">
        <v>284.18</v>
      </c>
      <c r="H92" s="398">
        <v>282.23</v>
      </c>
      <c r="I92" s="399">
        <f t="shared" si="49"/>
        <v>0.99313815187557186</v>
      </c>
      <c r="J92" s="398">
        <v>5.91</v>
      </c>
      <c r="K92" s="399">
        <f t="shared" si="50"/>
        <v>2.079667816172848E-2</v>
      </c>
      <c r="L92" s="398">
        <v>324.7</v>
      </c>
      <c r="M92" s="399">
        <f t="shared" si="51"/>
        <v>1.0139348300373003</v>
      </c>
      <c r="N92" s="400">
        <v>1285.8120000000026</v>
      </c>
      <c r="O92" s="398">
        <v>3.04</v>
      </c>
      <c r="P92" s="399">
        <f t="shared" si="43"/>
        <v>1.0697445281159828E-2</v>
      </c>
      <c r="Q92" s="401">
        <f t="shared" si="44"/>
        <v>0.92000000000003634</v>
      </c>
      <c r="R92" s="399">
        <f t="shared" si="45"/>
        <v>3.2373847561406022E-3</v>
      </c>
      <c r="S92" s="402">
        <f t="shared" si="46"/>
        <v>298.72400000001181</v>
      </c>
      <c r="T92" s="403" t="s">
        <v>514</v>
      </c>
      <c r="U92" s="403" t="s">
        <v>509</v>
      </c>
      <c r="V92" s="404" t="s">
        <v>584</v>
      </c>
      <c r="W92" s="404" t="s">
        <v>585</v>
      </c>
      <c r="X92" s="404">
        <v>1</v>
      </c>
      <c r="Y92" s="405" t="s">
        <v>224</v>
      </c>
      <c r="AC92" s="410"/>
    </row>
    <row r="93" spans="2:34" s="148" customFormat="1" ht="27" customHeight="1">
      <c r="B93" s="824"/>
      <c r="C93" s="825"/>
      <c r="D93" s="393">
        <v>15</v>
      </c>
      <c r="E93" s="396" t="s">
        <v>552</v>
      </c>
      <c r="F93" s="397">
        <v>985.32719999999995</v>
      </c>
      <c r="G93" s="398">
        <v>227.22999999999996</v>
      </c>
      <c r="H93" s="398">
        <v>231.98000000000002</v>
      </c>
      <c r="I93" s="399">
        <f t="shared" si="49"/>
        <v>1.0209039299388287</v>
      </c>
      <c r="J93" s="398">
        <v>2.5499999999999998</v>
      </c>
      <c r="K93" s="399">
        <f t="shared" si="50"/>
        <v>1.1222109756634248E-2</v>
      </c>
      <c r="L93" s="398">
        <v>203.57999999999998</v>
      </c>
      <c r="M93" s="399">
        <f>(H93+J93)/G93</f>
        <v>1.032126039695463</v>
      </c>
      <c r="N93" s="400">
        <v>1486.1340000000025</v>
      </c>
      <c r="O93" s="398">
        <v>4.84</v>
      </c>
      <c r="P93" s="399">
        <f t="shared" si="43"/>
        <v>2.1300004400827358E-2</v>
      </c>
      <c r="Q93" s="401">
        <f t="shared" si="44"/>
        <v>2.4600000000000684</v>
      </c>
      <c r="R93" s="399">
        <f t="shared" si="45"/>
        <v>1.0826035294635694E-2</v>
      </c>
      <c r="S93" s="402">
        <f t="shared" si="46"/>
        <v>500.80680000001388</v>
      </c>
      <c r="T93" s="403" t="s">
        <v>514</v>
      </c>
      <c r="U93" s="403" t="s">
        <v>509</v>
      </c>
      <c r="V93" s="404" t="s">
        <v>540</v>
      </c>
      <c r="W93" s="404" t="s">
        <v>586</v>
      </c>
      <c r="X93" s="404">
        <v>1</v>
      </c>
      <c r="Y93" s="405" t="s">
        <v>198</v>
      </c>
      <c r="AC93" s="409"/>
    </row>
    <row r="94" spans="2:34" s="148" customFormat="1" ht="27" customHeight="1">
      <c r="B94" s="824"/>
      <c r="C94" s="825"/>
      <c r="D94" s="393">
        <v>16</v>
      </c>
      <c r="E94" s="396" t="s">
        <v>556</v>
      </c>
      <c r="F94" s="397">
        <v>979.06060000000002</v>
      </c>
      <c r="G94" s="398">
        <v>271.20999999999998</v>
      </c>
      <c r="H94" s="398">
        <v>261.84000000000003</v>
      </c>
      <c r="I94" s="399">
        <f t="shared" si="49"/>
        <v>0.96545112643339126</v>
      </c>
      <c r="J94" s="398">
        <v>15.499999999999998</v>
      </c>
      <c r="K94" s="399">
        <f t="shared" si="50"/>
        <v>5.7151284982117176E-2</v>
      </c>
      <c r="L94" s="398">
        <v>411.36999999999995</v>
      </c>
      <c r="M94" s="399">
        <f t="shared" si="51"/>
        <v>1.0226024114155086</v>
      </c>
      <c r="N94" s="400">
        <v>2521.6981000000042</v>
      </c>
      <c r="O94" s="398">
        <v>2.38</v>
      </c>
      <c r="P94" s="399">
        <f t="shared" si="43"/>
        <v>8.7754876295121857E-3</v>
      </c>
      <c r="Q94" s="401">
        <f t="shared" si="44"/>
        <v>3.7500000000000524</v>
      </c>
      <c r="R94" s="399">
        <f t="shared" si="45"/>
        <v>1.3826923785996285E-2</v>
      </c>
      <c r="S94" s="402">
        <f t="shared" si="46"/>
        <v>1542.6375000000214</v>
      </c>
      <c r="T94" s="403" t="s">
        <v>514</v>
      </c>
      <c r="U94" s="403" t="s">
        <v>509</v>
      </c>
      <c r="V94" s="404" t="s">
        <v>587</v>
      </c>
      <c r="W94" s="404" t="s">
        <v>588</v>
      </c>
      <c r="X94" s="404">
        <v>1</v>
      </c>
      <c r="Y94" s="405" t="s">
        <v>203</v>
      </c>
      <c r="AC94" s="409"/>
    </row>
    <row r="95" spans="2:34" s="148" customFormat="1" ht="27" customHeight="1">
      <c r="B95" s="824"/>
      <c r="C95" s="825"/>
      <c r="D95" s="393">
        <v>17</v>
      </c>
      <c r="E95" s="396" t="s">
        <v>589</v>
      </c>
      <c r="F95" s="397">
        <v>970.32240000000002</v>
      </c>
      <c r="G95" s="398">
        <v>345.58000000000004</v>
      </c>
      <c r="H95" s="398">
        <v>348.79</v>
      </c>
      <c r="I95" s="399">
        <f t="shared" si="49"/>
        <v>1.0092887319868047</v>
      </c>
      <c r="J95" s="398">
        <v>0</v>
      </c>
      <c r="K95" s="399">
        <f t="shared" si="50"/>
        <v>0</v>
      </c>
      <c r="L95" s="398">
        <v>425.58</v>
      </c>
      <c r="M95" s="399">
        <f t="shared" si="51"/>
        <v>1.0092887319868047</v>
      </c>
      <c r="N95" s="400">
        <v>1366.1118000000063</v>
      </c>
      <c r="O95" s="398">
        <v>2.2800000000000002</v>
      </c>
      <c r="P95" s="399">
        <f t="shared" si="43"/>
        <v>6.59760402801088E-3</v>
      </c>
      <c r="Q95" s="401">
        <f t="shared" si="44"/>
        <v>0.92999999999997929</v>
      </c>
      <c r="R95" s="399">
        <f t="shared" si="45"/>
        <v>2.6911279587938514E-3</v>
      </c>
      <c r="S95" s="402">
        <f t="shared" si="46"/>
        <v>395.78939999999119</v>
      </c>
      <c r="T95" s="403" t="s">
        <v>514</v>
      </c>
      <c r="U95" s="403" t="s">
        <v>509</v>
      </c>
      <c r="V95" s="404" t="s">
        <v>540</v>
      </c>
      <c r="W95" s="404" t="s">
        <v>583</v>
      </c>
      <c r="X95" s="404">
        <v>1</v>
      </c>
      <c r="Y95" s="405" t="s">
        <v>590</v>
      </c>
      <c r="AB95" s="411"/>
      <c r="AC95" s="409"/>
    </row>
    <row r="96" spans="2:34" s="148" customFormat="1" ht="27" customHeight="1">
      <c r="B96" s="824"/>
      <c r="C96" s="825"/>
      <c r="D96" s="393">
        <v>18</v>
      </c>
      <c r="E96" s="396" t="s">
        <v>555</v>
      </c>
      <c r="F96" s="397">
        <v>961.02</v>
      </c>
      <c r="G96" s="398">
        <v>487.61</v>
      </c>
      <c r="H96" s="398">
        <v>482.12</v>
      </c>
      <c r="I96" s="399">
        <f t="shared" si="49"/>
        <v>0.98874100203031112</v>
      </c>
      <c r="J96" s="398">
        <v>29.03</v>
      </c>
      <c r="K96" s="399">
        <f t="shared" si="50"/>
        <v>5.9535284346096264E-2</v>
      </c>
      <c r="L96" s="398">
        <v>84.3</v>
      </c>
      <c r="M96" s="399">
        <f t="shared" si="51"/>
        <v>1.0482762863764072</v>
      </c>
      <c r="N96" s="400">
        <v>1984.4220000000014</v>
      </c>
      <c r="O96" s="398">
        <v>11.4</v>
      </c>
      <c r="P96" s="399">
        <f t="shared" si="43"/>
        <v>2.3379340046348517E-2</v>
      </c>
      <c r="Q96" s="401">
        <f t="shared" si="44"/>
        <v>12.139999999999963</v>
      </c>
      <c r="R96" s="399">
        <f t="shared" si="45"/>
        <v>2.4896946330058782E-2</v>
      </c>
      <c r="S96" s="402">
        <f t="shared" si="46"/>
        <v>1023.4019999999969</v>
      </c>
      <c r="T96" s="403" t="s">
        <v>514</v>
      </c>
      <c r="U96" s="403" t="s">
        <v>509</v>
      </c>
      <c r="V96" s="404" t="s">
        <v>534</v>
      </c>
      <c r="W96" s="404" t="s">
        <v>535</v>
      </c>
      <c r="X96" s="404">
        <v>1</v>
      </c>
      <c r="Y96" s="405" t="s">
        <v>202</v>
      </c>
      <c r="AC96" s="409"/>
    </row>
    <row r="97" spans="2:34" s="148" customFormat="1" ht="27" customHeight="1">
      <c r="B97" s="824"/>
      <c r="C97" s="825"/>
      <c r="D97" s="393">
        <v>19</v>
      </c>
      <c r="E97" s="396" t="s">
        <v>591</v>
      </c>
      <c r="F97" s="397">
        <v>960.16479999999979</v>
      </c>
      <c r="G97" s="398">
        <v>217.23000000000002</v>
      </c>
      <c r="H97" s="398">
        <v>219.02</v>
      </c>
      <c r="I97" s="399">
        <f t="shared" si="49"/>
        <v>1.0082401141647102</v>
      </c>
      <c r="J97" s="398">
        <v>11.02</v>
      </c>
      <c r="K97" s="399">
        <f t="shared" si="50"/>
        <v>5.0729641393914275E-2</v>
      </c>
      <c r="L97" s="398">
        <v>145.04</v>
      </c>
      <c r="M97" s="399">
        <f t="shared" si="51"/>
        <v>1.0589697555586246</v>
      </c>
      <c r="N97" s="400">
        <v>1857.9623999999992</v>
      </c>
      <c r="O97" s="398">
        <v>6.6199999999999992</v>
      </c>
      <c r="P97" s="399">
        <f t="shared" si="43"/>
        <v>3.0474612162224364E-2</v>
      </c>
      <c r="Q97" s="401">
        <f t="shared" si="44"/>
        <v>6.1900000000000031</v>
      </c>
      <c r="R97" s="399">
        <f t="shared" si="45"/>
        <v>2.8495143396400139E-2</v>
      </c>
      <c r="S97" s="402">
        <f t="shared" si="46"/>
        <v>897.79760000000044</v>
      </c>
      <c r="T97" s="403" t="s">
        <v>514</v>
      </c>
      <c r="U97" s="403" t="s">
        <v>509</v>
      </c>
      <c r="V97" s="404" t="s">
        <v>540</v>
      </c>
      <c r="W97" s="404" t="s">
        <v>583</v>
      </c>
      <c r="X97" s="404">
        <v>1</v>
      </c>
      <c r="Y97" s="405" t="s">
        <v>199</v>
      </c>
      <c r="AB97" s="412"/>
      <c r="AC97" s="409"/>
    </row>
    <row r="98" spans="2:34" s="148" customFormat="1" ht="27" customHeight="1">
      <c r="B98" s="826"/>
      <c r="C98" s="827"/>
      <c r="D98" s="393">
        <v>20</v>
      </c>
      <c r="E98" s="396" t="s">
        <v>592</v>
      </c>
      <c r="F98" s="397">
        <v>960.08640000000003</v>
      </c>
      <c r="G98" s="398">
        <v>948.75</v>
      </c>
      <c r="H98" s="398">
        <v>894.21</v>
      </c>
      <c r="I98" s="399">
        <f t="shared" si="49"/>
        <v>0.94251383399209487</v>
      </c>
      <c r="J98" s="398">
        <v>83.77</v>
      </c>
      <c r="K98" s="399">
        <f t="shared" si="50"/>
        <v>8.8295125164690375E-2</v>
      </c>
      <c r="L98" s="398">
        <v>75.36</v>
      </c>
      <c r="M98" s="399">
        <f t="shared" si="51"/>
        <v>1.0308089591567853</v>
      </c>
      <c r="N98" s="400">
        <v>2202.772799999997</v>
      </c>
      <c r="O98" s="398">
        <v>12.739999999999998</v>
      </c>
      <c r="P98" s="399">
        <f t="shared" si="43"/>
        <v>1.3428194993412383E-2</v>
      </c>
      <c r="Q98" s="401">
        <f t="shared" si="44"/>
        <v>16.49000000000002</v>
      </c>
      <c r="R98" s="399">
        <f t="shared" si="45"/>
        <v>1.7380764163372881E-2</v>
      </c>
      <c r="S98" s="402">
        <f t="shared" si="46"/>
        <v>1242.6864000000014</v>
      </c>
      <c r="T98" s="403" t="s">
        <v>514</v>
      </c>
      <c r="U98" s="403" t="s">
        <v>509</v>
      </c>
      <c r="V98" s="404" t="s">
        <v>534</v>
      </c>
      <c r="W98" s="404" t="s">
        <v>535</v>
      </c>
      <c r="X98" s="404">
        <v>1</v>
      </c>
      <c r="Y98" s="405" t="s">
        <v>205</v>
      </c>
      <c r="AB98" s="412"/>
      <c r="AC98" s="409"/>
    </row>
    <row r="99" spans="2:34" ht="17.100000000000001" customHeight="1">
      <c r="B99" s="844" t="s">
        <v>478</v>
      </c>
      <c r="C99" s="845"/>
      <c r="D99" s="850" t="s">
        <v>479</v>
      </c>
      <c r="E99" s="850"/>
      <c r="F99" s="850"/>
      <c r="G99" s="850" t="s">
        <v>480</v>
      </c>
      <c r="H99" s="850"/>
      <c r="I99" s="850"/>
      <c r="J99" s="850"/>
      <c r="K99" s="850"/>
      <c r="L99" s="850"/>
      <c r="M99" s="850"/>
      <c r="N99" s="850"/>
      <c r="O99" s="850"/>
      <c r="P99" s="850"/>
      <c r="Q99" s="850"/>
      <c r="R99" s="850"/>
      <c r="S99" s="850"/>
      <c r="T99" s="850" t="s">
        <v>481</v>
      </c>
      <c r="U99" s="835" t="s">
        <v>482</v>
      </c>
      <c r="V99" s="828" t="s">
        <v>483</v>
      </c>
      <c r="W99" s="828" t="s">
        <v>484</v>
      </c>
      <c r="X99" s="831" t="s">
        <v>485</v>
      </c>
      <c r="Y99" s="834" t="s">
        <v>486</v>
      </c>
      <c r="AA99" s="835" t="s">
        <v>487</v>
      </c>
      <c r="AB99" s="836"/>
      <c r="AC99" s="836"/>
      <c r="AD99" s="836"/>
      <c r="AE99" s="836"/>
      <c r="AF99" s="836"/>
      <c r="AG99" s="836"/>
      <c r="AH99" s="837"/>
    </row>
    <row r="100" spans="2:34" ht="17.100000000000001" customHeight="1">
      <c r="B100" s="846"/>
      <c r="C100" s="847"/>
      <c r="D100" s="851" t="s">
        <v>488</v>
      </c>
      <c r="E100" s="850" t="s">
        <v>489</v>
      </c>
      <c r="F100" s="850"/>
      <c r="G100" s="850" t="s">
        <v>490</v>
      </c>
      <c r="H100" s="850"/>
      <c r="I100" s="850"/>
      <c r="J100" s="850"/>
      <c r="K100" s="850"/>
      <c r="L100" s="850"/>
      <c r="M100" s="850"/>
      <c r="N100" s="850"/>
      <c r="O100" s="850" t="s">
        <v>491</v>
      </c>
      <c r="P100" s="850"/>
      <c r="Q100" s="850"/>
      <c r="R100" s="850"/>
      <c r="S100" s="850"/>
      <c r="T100" s="850"/>
      <c r="U100" s="838"/>
      <c r="V100" s="829"/>
      <c r="W100" s="829"/>
      <c r="X100" s="832"/>
      <c r="Y100" s="834"/>
      <c r="AA100" s="838"/>
      <c r="AB100" s="839"/>
      <c r="AC100" s="839"/>
      <c r="AD100" s="839"/>
      <c r="AE100" s="839"/>
      <c r="AF100" s="839"/>
      <c r="AG100" s="839"/>
      <c r="AH100" s="840"/>
    </row>
    <row r="101" spans="2:34" ht="17.100000000000001" customHeight="1">
      <c r="B101" s="846"/>
      <c r="C101" s="847"/>
      <c r="D101" s="851"/>
      <c r="E101" s="851" t="s">
        <v>492</v>
      </c>
      <c r="F101" s="834" t="s">
        <v>493</v>
      </c>
      <c r="G101" s="852" t="s">
        <v>494</v>
      </c>
      <c r="H101" s="852"/>
      <c r="I101" s="852"/>
      <c r="J101" s="852"/>
      <c r="K101" s="852"/>
      <c r="L101" s="852"/>
      <c r="M101" s="852"/>
      <c r="N101" s="852"/>
      <c r="O101" s="852" t="s">
        <v>495</v>
      </c>
      <c r="P101" s="852"/>
      <c r="Q101" s="852" t="s">
        <v>496</v>
      </c>
      <c r="R101" s="852"/>
      <c r="S101" s="852"/>
      <c r="T101" s="850"/>
      <c r="U101" s="838"/>
      <c r="V101" s="829"/>
      <c r="W101" s="829"/>
      <c r="X101" s="832"/>
      <c r="Y101" s="834"/>
      <c r="AA101" s="841"/>
      <c r="AB101" s="842"/>
      <c r="AC101" s="842"/>
      <c r="AD101" s="842"/>
      <c r="AE101" s="842"/>
      <c r="AF101" s="842"/>
      <c r="AG101" s="842"/>
      <c r="AH101" s="843"/>
    </row>
    <row r="102" spans="2:34" ht="38.450000000000003" customHeight="1">
      <c r="B102" s="848"/>
      <c r="C102" s="849"/>
      <c r="D102" s="851"/>
      <c r="E102" s="851"/>
      <c r="F102" s="834"/>
      <c r="G102" s="394" t="s">
        <v>497</v>
      </c>
      <c r="H102" s="394" t="s">
        <v>498</v>
      </c>
      <c r="I102" s="394" t="s">
        <v>499</v>
      </c>
      <c r="J102" s="394" t="s">
        <v>500</v>
      </c>
      <c r="K102" s="394" t="s">
        <v>501</v>
      </c>
      <c r="L102" s="394" t="s">
        <v>502</v>
      </c>
      <c r="M102" s="394" t="s">
        <v>503</v>
      </c>
      <c r="N102" s="394" t="s">
        <v>504</v>
      </c>
      <c r="O102" s="395" t="s">
        <v>505</v>
      </c>
      <c r="P102" s="395" t="s">
        <v>506</v>
      </c>
      <c r="Q102" s="395" t="s">
        <v>505</v>
      </c>
      <c r="R102" s="395" t="s">
        <v>506</v>
      </c>
      <c r="S102" s="394" t="s">
        <v>507</v>
      </c>
      <c r="T102" s="850"/>
      <c r="U102" s="841"/>
      <c r="V102" s="830"/>
      <c r="W102" s="830"/>
      <c r="X102" s="833"/>
      <c r="Y102" s="834"/>
      <c r="AA102" s="161" t="s">
        <v>508</v>
      </c>
      <c r="AB102" s="161" t="s">
        <v>509</v>
      </c>
      <c r="AC102" s="156" t="s">
        <v>510</v>
      </c>
      <c r="AD102" s="156" t="s">
        <v>511</v>
      </c>
      <c r="AE102" s="156" t="s">
        <v>286</v>
      </c>
      <c r="AF102" s="156" t="s">
        <v>318</v>
      </c>
      <c r="AG102" s="156" t="s">
        <v>321</v>
      </c>
      <c r="AH102" s="156" t="s">
        <v>512</v>
      </c>
    </row>
    <row r="103" spans="2:34" s="148" customFormat="1" ht="27" customHeight="1">
      <c r="B103" s="822" t="s">
        <v>593</v>
      </c>
      <c r="C103" s="823"/>
      <c r="D103" s="393">
        <v>1</v>
      </c>
      <c r="E103" s="396" t="s">
        <v>373</v>
      </c>
      <c r="F103" s="397">
        <v>1710.7662</v>
      </c>
      <c r="G103" s="398">
        <v>488.12</v>
      </c>
      <c r="H103" s="398">
        <v>498.69</v>
      </c>
      <c r="I103" s="399">
        <f>H103/G103</f>
        <v>1.021654511185774</v>
      </c>
      <c r="J103" s="398">
        <v>0</v>
      </c>
      <c r="K103" s="399">
        <f>J103/G103</f>
        <v>0</v>
      </c>
      <c r="L103" s="398">
        <v>181.60999999999999</v>
      </c>
      <c r="M103" s="399">
        <f>(H103+J103)/G103</f>
        <v>1.021654511185774</v>
      </c>
      <c r="N103" s="400">
        <v>1919.6177</v>
      </c>
      <c r="O103" s="398">
        <v>9.4200000000000017</v>
      </c>
      <c r="P103" s="399">
        <f>O103/G103</f>
        <v>1.9298533147586661E-2</v>
      </c>
      <c r="Q103" s="401">
        <f>((H103+J103)-G103)-O103</f>
        <v>1.1499999999999915</v>
      </c>
      <c r="R103" s="399">
        <f>Q103/G103</f>
        <v>2.3559780381873134E-3</v>
      </c>
      <c r="S103" s="402">
        <f>Q103*L103</f>
        <v>208.85149999999842</v>
      </c>
      <c r="T103" s="403" t="s">
        <v>514</v>
      </c>
      <c r="U103" s="403" t="s">
        <v>509</v>
      </c>
      <c r="V103" s="404" t="s">
        <v>532</v>
      </c>
      <c r="W103" s="404" t="s">
        <v>525</v>
      </c>
      <c r="X103" s="404">
        <v>1</v>
      </c>
      <c r="Y103" s="405" t="s">
        <v>216</v>
      </c>
      <c r="Z103" s="406" t="s">
        <v>517</v>
      </c>
      <c r="AA103" s="416">
        <f>SUM(X103:X122)</f>
        <v>20</v>
      </c>
      <c r="AB103" s="408">
        <f>SUMIF($U$103:$U$122,TRIM(AB102),$X$103:$X$122)</f>
        <v>14</v>
      </c>
      <c r="AC103" s="408">
        <f t="shared" ref="AC103:AH103" si="52">SUMIF($U$103:$U$122,TRIM(AC102),$X$103:$X$122)</f>
        <v>0</v>
      </c>
      <c r="AD103" s="408">
        <f t="shared" si="52"/>
        <v>4</v>
      </c>
      <c r="AE103" s="408">
        <f t="shared" si="52"/>
        <v>0</v>
      </c>
      <c r="AF103" s="408">
        <f t="shared" si="52"/>
        <v>1</v>
      </c>
      <c r="AG103" s="408">
        <f t="shared" si="52"/>
        <v>1</v>
      </c>
      <c r="AH103" s="408">
        <f t="shared" si="52"/>
        <v>0</v>
      </c>
    </row>
    <row r="104" spans="2:34" s="148" customFormat="1" ht="27" customHeight="1">
      <c r="B104" s="824"/>
      <c r="C104" s="825"/>
      <c r="D104" s="393">
        <v>2</v>
      </c>
      <c r="E104" s="396" t="s">
        <v>314</v>
      </c>
      <c r="F104" s="397">
        <v>1376.9</v>
      </c>
      <c r="G104" s="398">
        <v>136778</v>
      </c>
      <c r="H104" s="398">
        <v>137340</v>
      </c>
      <c r="I104" s="399">
        <f t="shared" ref="I104:I105" si="53">H104/G104</f>
        <v>1.0041088479141382</v>
      </c>
      <c r="J104" s="398">
        <v>0</v>
      </c>
      <c r="K104" s="399">
        <f t="shared" ref="K104:K109" si="54">J104/G104</f>
        <v>0</v>
      </c>
      <c r="L104" s="398">
        <v>2.4499999999999997</v>
      </c>
      <c r="M104" s="399">
        <f t="shared" ref="M104:M109" si="55">(H104+J104)/G104</f>
        <v>1.0041088479141382</v>
      </c>
      <c r="N104" s="400">
        <v>1376.9</v>
      </c>
      <c r="O104" s="398">
        <v>562</v>
      </c>
      <c r="P104" s="399">
        <f t="shared" ref="P104:P122" si="56">O104/G104</f>
        <v>4.1088479141382387E-3</v>
      </c>
      <c r="Q104" s="401">
        <f t="shared" ref="Q104:Q122" si="57">((H104+J104)-G104)-O104</f>
        <v>0</v>
      </c>
      <c r="R104" s="399">
        <f t="shared" ref="R104:R122" si="58">Q104/G104</f>
        <v>0</v>
      </c>
      <c r="S104" s="402">
        <f t="shared" ref="S104:S122" si="59">Q104*L104</f>
        <v>0</v>
      </c>
      <c r="T104" s="403" t="s">
        <v>514</v>
      </c>
      <c r="U104" s="403" t="s">
        <v>511</v>
      </c>
      <c r="V104" s="404" t="s">
        <v>573</v>
      </c>
      <c r="W104" s="404" t="s">
        <v>574</v>
      </c>
      <c r="X104" s="404">
        <v>1</v>
      </c>
      <c r="Y104" s="405" t="s">
        <v>311</v>
      </c>
      <c r="AA104" s="417"/>
      <c r="AB104" s="414">
        <f>SUMIF($U$103:$U122,TRIM(AB102),$F$103:$F$122)</f>
        <v>15102.013300000001</v>
      </c>
      <c r="AC104" s="414">
        <f>SUMIF($U$103:$U122,TRIM(AC102),$F$103:$F$122)</f>
        <v>0</v>
      </c>
      <c r="AD104" s="414">
        <f>SUMIF($U$103:$U122,TRIM(AD102),$F$103:$F$122)</f>
        <v>4863.9854000000005</v>
      </c>
      <c r="AE104" s="414">
        <f>SUMIF($U$103:$U122,TRIM(AE102),$F$103:$F$122)</f>
        <v>0</v>
      </c>
      <c r="AF104" s="414">
        <f>SUMIF($U$103:$U122,TRIM(AF102),$F$103:$F$122)</f>
        <v>1008.96</v>
      </c>
      <c r="AG104" s="414">
        <f>SUMIF($U$103:$U122,TRIM(AG102),$F$103:$F$122)</f>
        <v>1266.9000000000001</v>
      </c>
      <c r="AH104" s="414">
        <f>SUMIF($U$103:$U122,TRIM(AH102),$F$103:$F$122)</f>
        <v>0</v>
      </c>
    </row>
    <row r="105" spans="2:34" s="148" customFormat="1" ht="27" customHeight="1">
      <c r="B105" s="824"/>
      <c r="C105" s="825"/>
      <c r="D105" s="393">
        <v>3</v>
      </c>
      <c r="E105" s="396" t="s">
        <v>312</v>
      </c>
      <c r="F105" s="397">
        <v>1295.1899999999998</v>
      </c>
      <c r="G105" s="398">
        <v>235161</v>
      </c>
      <c r="H105" s="398">
        <v>236268</v>
      </c>
      <c r="I105" s="399">
        <f t="shared" si="53"/>
        <v>1.0047074132190286</v>
      </c>
      <c r="J105" s="398">
        <v>0</v>
      </c>
      <c r="K105" s="399">
        <f t="shared" si="54"/>
        <v>0</v>
      </c>
      <c r="L105" s="398">
        <v>1.17</v>
      </c>
      <c r="M105" s="399">
        <f t="shared" si="55"/>
        <v>1.0047074132190286</v>
      </c>
      <c r="N105" s="400">
        <v>1295.1899999999998</v>
      </c>
      <c r="O105" s="398">
        <v>1107</v>
      </c>
      <c r="P105" s="399">
        <f t="shared" si="56"/>
        <v>4.7074132190286656E-3</v>
      </c>
      <c r="Q105" s="401">
        <f t="shared" si="57"/>
        <v>0</v>
      </c>
      <c r="R105" s="399">
        <f t="shared" si="58"/>
        <v>0</v>
      </c>
      <c r="S105" s="402">
        <f t="shared" si="59"/>
        <v>0</v>
      </c>
      <c r="T105" s="403" t="s">
        <v>514</v>
      </c>
      <c r="U105" s="403" t="s">
        <v>511</v>
      </c>
      <c r="V105" s="404" t="s">
        <v>576</v>
      </c>
      <c r="W105" s="404" t="s">
        <v>577</v>
      </c>
      <c r="X105" s="404">
        <v>1</v>
      </c>
      <c r="Y105" s="405" t="s">
        <v>311</v>
      </c>
      <c r="AA105" s="393"/>
      <c r="AB105" s="415">
        <f>AB103/$AA103</f>
        <v>0.7</v>
      </c>
      <c r="AC105" s="415">
        <f t="shared" ref="AC105:AH105" si="60">AC103/$AA103</f>
        <v>0</v>
      </c>
      <c r="AD105" s="415">
        <f t="shared" si="60"/>
        <v>0.2</v>
      </c>
      <c r="AE105" s="415">
        <f t="shared" si="60"/>
        <v>0</v>
      </c>
      <c r="AF105" s="415">
        <f t="shared" si="60"/>
        <v>0.05</v>
      </c>
      <c r="AG105" s="415">
        <f t="shared" si="60"/>
        <v>0.05</v>
      </c>
      <c r="AH105" s="415">
        <f t="shared" si="60"/>
        <v>0</v>
      </c>
    </row>
    <row r="106" spans="2:34" s="148" customFormat="1" ht="27" customHeight="1">
      <c r="B106" s="824"/>
      <c r="C106" s="825"/>
      <c r="D106" s="393">
        <v>4</v>
      </c>
      <c r="E106" s="396" t="s">
        <v>322</v>
      </c>
      <c r="F106" s="397">
        <v>1266.9000000000001</v>
      </c>
      <c r="G106" s="398">
        <v>19150</v>
      </c>
      <c r="H106" s="398">
        <v>19020</v>
      </c>
      <c r="I106" s="399">
        <f>H106/G106</f>
        <v>0.99321148825065275</v>
      </c>
      <c r="J106" s="398">
        <v>212</v>
      </c>
      <c r="K106" s="399">
        <f t="shared" si="54"/>
        <v>1.1070496083550914E-2</v>
      </c>
      <c r="L106" s="398">
        <v>15.450000000000001</v>
      </c>
      <c r="M106" s="399">
        <f t="shared" si="55"/>
        <v>1.0042819843342037</v>
      </c>
      <c r="N106" s="400">
        <v>1266.9000000000001</v>
      </c>
      <c r="O106" s="398">
        <v>82</v>
      </c>
      <c r="P106" s="399">
        <f t="shared" si="56"/>
        <v>4.2819843342036552E-3</v>
      </c>
      <c r="Q106" s="401">
        <f t="shared" si="57"/>
        <v>0</v>
      </c>
      <c r="R106" s="399">
        <f t="shared" si="58"/>
        <v>0</v>
      </c>
      <c r="S106" s="402">
        <f t="shared" si="59"/>
        <v>0</v>
      </c>
      <c r="T106" s="403" t="s">
        <v>514</v>
      </c>
      <c r="U106" s="403" t="s">
        <v>521</v>
      </c>
      <c r="V106" s="404" t="s">
        <v>572</v>
      </c>
      <c r="W106" s="404" t="s">
        <v>567</v>
      </c>
      <c r="X106" s="404">
        <v>1</v>
      </c>
      <c r="Y106" s="405" t="s">
        <v>147</v>
      </c>
    </row>
    <row r="107" spans="2:34" s="148" customFormat="1" ht="27" customHeight="1">
      <c r="B107" s="824"/>
      <c r="C107" s="825"/>
      <c r="D107" s="393">
        <v>5</v>
      </c>
      <c r="E107" s="396" t="s">
        <v>292</v>
      </c>
      <c r="F107" s="397">
        <v>1232.529</v>
      </c>
      <c r="G107" s="398">
        <v>724.08999999999992</v>
      </c>
      <c r="H107" s="398">
        <v>719.87</v>
      </c>
      <c r="I107" s="399">
        <f t="shared" ref="I107:I122" si="61">H107/G107</f>
        <v>0.99417199519396771</v>
      </c>
      <c r="J107" s="398">
        <v>13.780000000000001</v>
      </c>
      <c r="K107" s="399">
        <f t="shared" si="54"/>
        <v>1.9030783466143716E-2</v>
      </c>
      <c r="L107" s="398">
        <v>141.66999999999999</v>
      </c>
      <c r="M107" s="399">
        <f t="shared" si="55"/>
        <v>1.0132027786601114</v>
      </c>
      <c r="N107" s="400">
        <v>1354.3652000000063</v>
      </c>
      <c r="O107" s="398">
        <v>8.6999999999999993</v>
      </c>
      <c r="P107" s="399">
        <f t="shared" si="56"/>
        <v>1.2015080998218453E-2</v>
      </c>
      <c r="Q107" s="401">
        <f t="shared" si="57"/>
        <v>0.86000000000005983</v>
      </c>
      <c r="R107" s="399">
        <f t="shared" si="58"/>
        <v>1.1876976618929414E-3</v>
      </c>
      <c r="S107" s="402">
        <f t="shared" si="59"/>
        <v>121.83620000000846</v>
      </c>
      <c r="T107" s="403" t="s">
        <v>514</v>
      </c>
      <c r="U107" s="403" t="s">
        <v>509</v>
      </c>
      <c r="V107" s="404" t="s">
        <v>540</v>
      </c>
      <c r="W107" s="404" t="s">
        <v>575</v>
      </c>
      <c r="X107" s="404">
        <v>1</v>
      </c>
      <c r="Y107" s="405" t="s">
        <v>198</v>
      </c>
    </row>
    <row r="108" spans="2:34" s="148" customFormat="1" ht="27" customHeight="1">
      <c r="B108" s="824"/>
      <c r="C108" s="825"/>
      <c r="D108" s="393">
        <v>6</v>
      </c>
      <c r="E108" s="396" t="s">
        <v>296</v>
      </c>
      <c r="F108" s="397">
        <v>1114.7087999999999</v>
      </c>
      <c r="G108" s="398">
        <v>283.81</v>
      </c>
      <c r="H108" s="398">
        <v>285.74</v>
      </c>
      <c r="I108" s="399">
        <f t="shared" si="61"/>
        <v>1.0068003241605299</v>
      </c>
      <c r="J108" s="398">
        <v>6.04</v>
      </c>
      <c r="K108" s="399">
        <f t="shared" si="54"/>
        <v>2.1281843486839785E-2</v>
      </c>
      <c r="L108" s="398">
        <v>253.92000000000002</v>
      </c>
      <c r="M108" s="399">
        <f t="shared" si="55"/>
        <v>1.0280821676473697</v>
      </c>
      <c r="N108" s="400">
        <v>2023.7424000000015</v>
      </c>
      <c r="O108" s="398">
        <v>4.3899999999999997</v>
      </c>
      <c r="P108" s="399">
        <f t="shared" si="56"/>
        <v>1.5468094852189845E-2</v>
      </c>
      <c r="Q108" s="401">
        <f t="shared" si="57"/>
        <v>3.5800000000000276</v>
      </c>
      <c r="R108" s="399">
        <f t="shared" si="58"/>
        <v>1.2614072795179971E-2</v>
      </c>
      <c r="S108" s="402">
        <f t="shared" si="59"/>
        <v>909.03360000000703</v>
      </c>
      <c r="T108" s="403" t="s">
        <v>514</v>
      </c>
      <c r="U108" s="403" t="s">
        <v>509</v>
      </c>
      <c r="V108" s="404" t="s">
        <v>580</v>
      </c>
      <c r="W108" s="404" t="s">
        <v>581</v>
      </c>
      <c r="X108" s="404">
        <v>1</v>
      </c>
      <c r="Y108" s="405" t="s">
        <v>209</v>
      </c>
    </row>
    <row r="109" spans="2:34" s="148" customFormat="1" ht="27" customHeight="1">
      <c r="B109" s="824"/>
      <c r="C109" s="825"/>
      <c r="D109" s="393">
        <v>7</v>
      </c>
      <c r="E109" s="396" t="s">
        <v>309</v>
      </c>
      <c r="F109" s="397">
        <v>1101.6954000000001</v>
      </c>
      <c r="G109" s="398">
        <v>587.61</v>
      </c>
      <c r="H109" s="398">
        <v>575.6</v>
      </c>
      <c r="I109" s="399">
        <f t="shared" si="61"/>
        <v>0.9795612736338728</v>
      </c>
      <c r="J109" s="398">
        <v>26.54</v>
      </c>
      <c r="K109" s="399">
        <f t="shared" si="54"/>
        <v>4.5166011470192814E-2</v>
      </c>
      <c r="L109" s="398">
        <v>122.81999999999996</v>
      </c>
      <c r="M109" s="399">
        <f t="shared" si="55"/>
        <v>1.0247272851040656</v>
      </c>
      <c r="N109" s="400">
        <v>1784.5746000000026</v>
      </c>
      <c r="O109" s="398">
        <v>8.9700000000000006</v>
      </c>
      <c r="P109" s="399">
        <f t="shared" si="56"/>
        <v>1.5265226936233217E-2</v>
      </c>
      <c r="Q109" s="401">
        <f t="shared" si="57"/>
        <v>5.5599999999999721</v>
      </c>
      <c r="R109" s="399">
        <f t="shared" si="58"/>
        <v>9.462058167832358E-3</v>
      </c>
      <c r="S109" s="402">
        <f t="shared" si="59"/>
        <v>682.87919999999633</v>
      </c>
      <c r="T109" s="403" t="s">
        <v>514</v>
      </c>
      <c r="U109" s="403" t="s">
        <v>511</v>
      </c>
      <c r="V109" s="404" t="s">
        <v>528</v>
      </c>
      <c r="W109" s="428" t="s">
        <v>529</v>
      </c>
      <c r="X109" s="404">
        <v>1</v>
      </c>
      <c r="Y109" s="405" t="s">
        <v>308</v>
      </c>
      <c r="AC109" s="409"/>
    </row>
    <row r="110" spans="2:34" s="148" customFormat="1" ht="27" customHeight="1">
      <c r="B110" s="824"/>
      <c r="C110" s="825"/>
      <c r="D110" s="393">
        <v>8</v>
      </c>
      <c r="E110" s="396" t="s">
        <v>385</v>
      </c>
      <c r="F110" s="397">
        <v>1098.5412999999999</v>
      </c>
      <c r="G110" s="398">
        <v>181.01999999999998</v>
      </c>
      <c r="H110" s="398">
        <v>186.66</v>
      </c>
      <c r="I110" s="399">
        <f t="shared" si="61"/>
        <v>1.0311567782565463</v>
      </c>
      <c r="J110" s="398">
        <v>3.6</v>
      </c>
      <c r="K110" s="399">
        <f>J110/G110</f>
        <v>1.9887305270135901E-2</v>
      </c>
      <c r="L110" s="398">
        <v>169.79</v>
      </c>
      <c r="M110" s="399">
        <f>(H110+J110)/G110</f>
        <v>1.0510440835266821</v>
      </c>
      <c r="N110" s="400">
        <v>1568.8596000000002</v>
      </c>
      <c r="O110" s="398">
        <v>6.4700000000000006</v>
      </c>
      <c r="P110" s="399">
        <f t="shared" si="56"/>
        <v>3.5741906971605356E-2</v>
      </c>
      <c r="Q110" s="401">
        <f t="shared" si="57"/>
        <v>2.7700000000000085</v>
      </c>
      <c r="R110" s="399">
        <f t="shared" si="58"/>
        <v>1.5302176555076836E-2</v>
      </c>
      <c r="S110" s="402">
        <f t="shared" si="59"/>
        <v>470.31830000000139</v>
      </c>
      <c r="T110" s="403" t="s">
        <v>514</v>
      </c>
      <c r="U110" s="403" t="s">
        <v>509</v>
      </c>
      <c r="V110" s="404" t="s">
        <v>532</v>
      </c>
      <c r="W110" s="404" t="s">
        <v>525</v>
      </c>
      <c r="X110" s="404">
        <v>1</v>
      </c>
      <c r="Y110" s="405" t="s">
        <v>203</v>
      </c>
      <c r="AC110" s="409"/>
    </row>
    <row r="111" spans="2:34" s="148" customFormat="1" ht="27" customHeight="1">
      <c r="B111" s="824"/>
      <c r="C111" s="825"/>
      <c r="D111" s="393">
        <v>9</v>
      </c>
      <c r="E111" s="396" t="s">
        <v>316</v>
      </c>
      <c r="F111" s="397">
        <v>1090.2</v>
      </c>
      <c r="G111" s="398">
        <v>19266</v>
      </c>
      <c r="H111" s="398">
        <v>19680</v>
      </c>
      <c r="I111" s="399">
        <f t="shared" si="61"/>
        <v>1.0214886328246653</v>
      </c>
      <c r="J111" s="398">
        <v>60</v>
      </c>
      <c r="K111" s="399">
        <f t="shared" ref="K111:K122" si="62">J111/G111</f>
        <v>3.1142946122703209E-3</v>
      </c>
      <c r="L111" s="398">
        <v>2.3000000000000003</v>
      </c>
      <c r="M111" s="399">
        <f t="shared" ref="M111:M116" si="63">(H111+J111)/G111</f>
        <v>1.0246029274369355</v>
      </c>
      <c r="N111" s="400">
        <v>1090.2</v>
      </c>
      <c r="O111" s="398">
        <v>474</v>
      </c>
      <c r="P111" s="399">
        <f t="shared" si="56"/>
        <v>2.4602927436935533E-2</v>
      </c>
      <c r="Q111" s="401">
        <f t="shared" si="57"/>
        <v>0</v>
      </c>
      <c r="R111" s="399">
        <f t="shared" si="58"/>
        <v>0</v>
      </c>
      <c r="S111" s="402">
        <f t="shared" si="59"/>
        <v>0</v>
      </c>
      <c r="T111" s="403" t="s">
        <v>514</v>
      </c>
      <c r="U111" s="403" t="s">
        <v>511</v>
      </c>
      <c r="V111" s="404" t="s">
        <v>560</v>
      </c>
      <c r="W111" s="404" t="s">
        <v>561</v>
      </c>
      <c r="X111" s="404">
        <v>1</v>
      </c>
      <c r="Y111" s="405" t="s">
        <v>308</v>
      </c>
      <c r="AC111" s="409"/>
    </row>
    <row r="112" spans="2:34" s="148" customFormat="1" ht="27" customHeight="1">
      <c r="B112" s="824"/>
      <c r="C112" s="825"/>
      <c r="D112" s="393">
        <v>10</v>
      </c>
      <c r="E112" s="396" t="s">
        <v>294</v>
      </c>
      <c r="F112" s="397">
        <v>1072.5160000000001</v>
      </c>
      <c r="G112" s="398">
        <v>351.39</v>
      </c>
      <c r="H112" s="398">
        <v>356.78000000000003</v>
      </c>
      <c r="I112" s="399">
        <f t="shared" si="61"/>
        <v>1.0153390819317569</v>
      </c>
      <c r="J112" s="398">
        <v>7.57</v>
      </c>
      <c r="K112" s="399">
        <f t="shared" si="62"/>
        <v>2.1543014883747404E-2</v>
      </c>
      <c r="L112" s="398">
        <v>183.65000000000003</v>
      </c>
      <c r="M112" s="399">
        <f t="shared" si="63"/>
        <v>1.0368820968155041</v>
      </c>
      <c r="N112" s="400">
        <v>2380.1040000000016</v>
      </c>
      <c r="O112" s="398">
        <v>5.84</v>
      </c>
      <c r="P112" s="399">
        <f t="shared" si="56"/>
        <v>1.6619710293406188E-2</v>
      </c>
      <c r="Q112" s="401">
        <f t="shared" si="57"/>
        <v>7.1200000000000365</v>
      </c>
      <c r="R112" s="399">
        <f t="shared" si="58"/>
        <v>2.026238652209806E-2</v>
      </c>
      <c r="S112" s="402">
        <f t="shared" si="59"/>
        <v>1307.588000000007</v>
      </c>
      <c r="T112" s="403" t="s">
        <v>514</v>
      </c>
      <c r="U112" s="403" t="s">
        <v>509</v>
      </c>
      <c r="V112" s="404" t="s">
        <v>526</v>
      </c>
      <c r="W112" s="404" t="s">
        <v>527</v>
      </c>
      <c r="X112" s="404">
        <v>1</v>
      </c>
      <c r="Y112" s="405" t="s">
        <v>209</v>
      </c>
      <c r="AC112" s="409"/>
    </row>
    <row r="113" spans="2:34" s="148" customFormat="1" ht="27" customHeight="1">
      <c r="B113" s="824"/>
      <c r="C113" s="825"/>
      <c r="D113" s="393">
        <v>11</v>
      </c>
      <c r="E113" s="396" t="s">
        <v>302</v>
      </c>
      <c r="F113" s="397">
        <v>1057.011</v>
      </c>
      <c r="G113" s="398">
        <v>268.32</v>
      </c>
      <c r="H113" s="398">
        <v>276.11</v>
      </c>
      <c r="I113" s="399">
        <f t="shared" si="61"/>
        <v>1.0290324985092427</v>
      </c>
      <c r="J113" s="398">
        <v>3</v>
      </c>
      <c r="K113" s="399">
        <f t="shared" si="62"/>
        <v>1.1180679785330949E-2</v>
      </c>
      <c r="L113" s="398">
        <v>153.19000000000003</v>
      </c>
      <c r="M113" s="399">
        <f t="shared" si="63"/>
        <v>1.0402131782945738</v>
      </c>
      <c r="N113" s="400">
        <v>1652.9201000000016</v>
      </c>
      <c r="O113" s="398">
        <v>6.9</v>
      </c>
      <c r="P113" s="399">
        <f t="shared" si="56"/>
        <v>2.5715563506261183E-2</v>
      </c>
      <c r="Q113" s="401">
        <f t="shared" si="57"/>
        <v>3.8900000000000201</v>
      </c>
      <c r="R113" s="399">
        <f t="shared" si="58"/>
        <v>1.4497614788312537E-2</v>
      </c>
      <c r="S113" s="402">
        <f t="shared" si="59"/>
        <v>595.90910000000315</v>
      </c>
      <c r="T113" s="403" t="s">
        <v>514</v>
      </c>
      <c r="U113" s="403" t="s">
        <v>509</v>
      </c>
      <c r="V113" s="404" t="s">
        <v>579</v>
      </c>
      <c r="W113" s="404" t="s">
        <v>529</v>
      </c>
      <c r="X113" s="404">
        <v>1</v>
      </c>
      <c r="Y113" s="405" t="s">
        <v>301</v>
      </c>
      <c r="AC113" s="409"/>
    </row>
    <row r="114" spans="2:34" s="148" customFormat="1" ht="27" customHeight="1">
      <c r="B114" s="824"/>
      <c r="C114" s="825"/>
      <c r="D114" s="393">
        <v>12</v>
      </c>
      <c r="E114" s="396" t="s">
        <v>594</v>
      </c>
      <c r="F114" s="397">
        <v>1025.3556000000001</v>
      </c>
      <c r="G114" s="398">
        <v>478.12</v>
      </c>
      <c r="H114" s="398">
        <v>485.41</v>
      </c>
      <c r="I114" s="399">
        <f t="shared" si="61"/>
        <v>1.0152472182715637</v>
      </c>
      <c r="J114" s="398">
        <v>0</v>
      </c>
      <c r="K114" s="399">
        <f t="shared" si="62"/>
        <v>0</v>
      </c>
      <c r="L114" s="398">
        <v>189.18000000000004</v>
      </c>
      <c r="M114" s="399">
        <f t="shared" si="63"/>
        <v>1.0152472182715637</v>
      </c>
      <c r="N114" s="400">
        <v>1379.1221999999998</v>
      </c>
      <c r="O114" s="398">
        <v>5.419999999999999</v>
      </c>
      <c r="P114" s="399">
        <f t="shared" si="56"/>
        <v>1.1336066259516437E-2</v>
      </c>
      <c r="Q114" s="401">
        <f t="shared" si="57"/>
        <v>1.8700000000000214</v>
      </c>
      <c r="R114" s="399">
        <f t="shared" si="58"/>
        <v>3.9111520120472297E-3</v>
      </c>
      <c r="S114" s="402">
        <f t="shared" si="59"/>
        <v>353.76660000000413</v>
      </c>
      <c r="T114" s="403" t="s">
        <v>514</v>
      </c>
      <c r="U114" s="403" t="s">
        <v>509</v>
      </c>
      <c r="V114" s="404" t="s">
        <v>532</v>
      </c>
      <c r="W114" s="404" t="s">
        <v>525</v>
      </c>
      <c r="X114" s="404">
        <v>1</v>
      </c>
      <c r="Y114" s="405" t="s">
        <v>211</v>
      </c>
      <c r="AA114" s="835" t="s">
        <v>487</v>
      </c>
      <c r="AB114" s="836"/>
      <c r="AC114" s="836"/>
      <c r="AD114" s="836"/>
      <c r="AE114" s="836"/>
      <c r="AF114" s="836"/>
      <c r="AG114" s="836"/>
      <c r="AH114" s="837"/>
    </row>
    <row r="115" spans="2:34" s="148" customFormat="1" ht="27" customHeight="1">
      <c r="B115" s="824"/>
      <c r="C115" s="825"/>
      <c r="D115" s="393">
        <v>13</v>
      </c>
      <c r="E115" s="396" t="s">
        <v>319</v>
      </c>
      <c r="F115" s="397">
        <v>1008.96</v>
      </c>
      <c r="G115" s="398">
        <v>548.72</v>
      </c>
      <c r="H115" s="398">
        <v>543.64</v>
      </c>
      <c r="I115" s="399">
        <f t="shared" si="61"/>
        <v>0.99074209068377306</v>
      </c>
      <c r="J115" s="398">
        <v>23.590000000000003</v>
      </c>
      <c r="K115" s="399">
        <f t="shared" si="62"/>
        <v>4.2990960781455027E-2</v>
      </c>
      <c r="L115" s="398">
        <v>96</v>
      </c>
      <c r="M115" s="399">
        <f t="shared" si="63"/>
        <v>1.0337330514652281</v>
      </c>
      <c r="N115" s="400">
        <v>1776.9599999999984</v>
      </c>
      <c r="O115" s="398">
        <v>10.509999999999998</v>
      </c>
      <c r="P115" s="399">
        <f t="shared" si="56"/>
        <v>1.9153666715264611E-2</v>
      </c>
      <c r="Q115" s="401">
        <f t="shared" si="57"/>
        <v>7.9999999999999929</v>
      </c>
      <c r="R115" s="399">
        <f t="shared" si="58"/>
        <v>1.4579384749963538E-2</v>
      </c>
      <c r="S115" s="402">
        <f t="shared" si="59"/>
        <v>767.99999999999932</v>
      </c>
      <c r="T115" s="403" t="s">
        <v>514</v>
      </c>
      <c r="U115" s="403" t="s">
        <v>318</v>
      </c>
      <c r="V115" s="404" t="s">
        <v>578</v>
      </c>
      <c r="W115" s="404" t="s">
        <v>567</v>
      </c>
      <c r="X115" s="404">
        <v>1</v>
      </c>
      <c r="Y115" s="405" t="s">
        <v>213</v>
      </c>
      <c r="AA115" s="838"/>
      <c r="AB115" s="839"/>
      <c r="AC115" s="839"/>
      <c r="AD115" s="839"/>
      <c r="AE115" s="839"/>
      <c r="AF115" s="839"/>
      <c r="AG115" s="839"/>
      <c r="AH115" s="840"/>
    </row>
    <row r="116" spans="2:34" s="148" customFormat="1" ht="27" customHeight="1">
      <c r="B116" s="824"/>
      <c r="C116" s="825"/>
      <c r="D116" s="393">
        <v>14</v>
      </c>
      <c r="E116" s="396" t="s">
        <v>536</v>
      </c>
      <c r="F116" s="397">
        <v>1003.7986000000002</v>
      </c>
      <c r="G116" s="398">
        <v>108.61000000000001</v>
      </c>
      <c r="H116" s="398">
        <v>111.14999999999999</v>
      </c>
      <c r="I116" s="399">
        <f t="shared" si="61"/>
        <v>1.0233864285056622</v>
      </c>
      <c r="J116" s="398">
        <v>3.3600000000000003</v>
      </c>
      <c r="K116" s="399">
        <f t="shared" si="62"/>
        <v>3.0936377865758216E-2</v>
      </c>
      <c r="L116" s="398">
        <v>496.92999999999995</v>
      </c>
      <c r="M116" s="399">
        <f t="shared" si="63"/>
        <v>1.0543228063714205</v>
      </c>
      <c r="N116" s="400">
        <v>2931.8869999999988</v>
      </c>
      <c r="O116" s="398">
        <v>2.02</v>
      </c>
      <c r="P116" s="399">
        <f t="shared" si="56"/>
        <v>1.8598655740723689E-2</v>
      </c>
      <c r="Q116" s="401">
        <f t="shared" si="57"/>
        <v>3.8799999999999772</v>
      </c>
      <c r="R116" s="399">
        <f t="shared" si="58"/>
        <v>3.5724150630696776E-2</v>
      </c>
      <c r="S116" s="402">
        <f t="shared" si="59"/>
        <v>1928.0883999999885</v>
      </c>
      <c r="T116" s="403" t="s">
        <v>514</v>
      </c>
      <c r="U116" s="403" t="s">
        <v>509</v>
      </c>
      <c r="V116" s="404" t="s">
        <v>537</v>
      </c>
      <c r="W116" s="404" t="s">
        <v>520</v>
      </c>
      <c r="X116" s="404">
        <v>1</v>
      </c>
      <c r="Y116" s="405" t="s">
        <v>203</v>
      </c>
      <c r="AA116" s="841"/>
      <c r="AB116" s="842"/>
      <c r="AC116" s="842"/>
      <c r="AD116" s="842"/>
      <c r="AE116" s="842"/>
      <c r="AF116" s="842"/>
      <c r="AG116" s="842"/>
      <c r="AH116" s="843"/>
    </row>
    <row r="117" spans="2:34" s="148" customFormat="1" ht="27" customHeight="1">
      <c r="B117" s="824"/>
      <c r="C117" s="825"/>
      <c r="D117" s="393">
        <v>15</v>
      </c>
      <c r="E117" s="396" t="s">
        <v>417</v>
      </c>
      <c r="F117" s="397">
        <v>990.80820000000006</v>
      </c>
      <c r="G117" s="398">
        <v>1095.1600000000001</v>
      </c>
      <c r="H117" s="398">
        <v>1087.8600000000001</v>
      </c>
      <c r="I117" s="399">
        <f t="shared" si="61"/>
        <v>0.99333430731582606</v>
      </c>
      <c r="J117" s="398">
        <v>13.91</v>
      </c>
      <c r="K117" s="399">
        <f t="shared" si="62"/>
        <v>1.270134044340553E-2</v>
      </c>
      <c r="L117" s="398">
        <v>407.74000000000007</v>
      </c>
      <c r="M117" s="399">
        <f>(H117+J117)/G117</f>
        <v>1.0060356477592316</v>
      </c>
      <c r="N117" s="400">
        <v>2695.1613999999995</v>
      </c>
      <c r="O117" s="398">
        <v>2.4300000000000002</v>
      </c>
      <c r="P117" s="399">
        <f t="shared" si="56"/>
        <v>2.218853866101757E-3</v>
      </c>
      <c r="Q117" s="401">
        <f t="shared" si="57"/>
        <v>4.1800000000001276</v>
      </c>
      <c r="R117" s="399">
        <f t="shared" si="58"/>
        <v>3.8167938931298871E-3</v>
      </c>
      <c r="S117" s="402">
        <f t="shared" si="59"/>
        <v>1704.3532000000523</v>
      </c>
      <c r="T117" s="403" t="s">
        <v>514</v>
      </c>
      <c r="U117" s="403" t="s">
        <v>509</v>
      </c>
      <c r="V117" s="404" t="s">
        <v>569</v>
      </c>
      <c r="W117" s="404" t="s">
        <v>570</v>
      </c>
      <c r="X117" s="404">
        <v>1</v>
      </c>
      <c r="Y117" s="405" t="s">
        <v>416</v>
      </c>
      <c r="AA117" s="161" t="s">
        <v>508</v>
      </c>
      <c r="AB117" s="161" t="s">
        <v>509</v>
      </c>
      <c r="AC117" s="156" t="s">
        <v>510</v>
      </c>
      <c r="AD117" s="156" t="s">
        <v>511</v>
      </c>
      <c r="AE117" s="156" t="s">
        <v>286</v>
      </c>
      <c r="AF117" s="156" t="s">
        <v>318</v>
      </c>
      <c r="AG117" s="156" t="s">
        <v>321</v>
      </c>
      <c r="AH117" s="156" t="s">
        <v>512</v>
      </c>
    </row>
    <row r="118" spans="2:34" s="148" customFormat="1" ht="27" customHeight="1">
      <c r="B118" s="824"/>
      <c r="C118" s="825"/>
      <c r="D118" s="393">
        <v>16</v>
      </c>
      <c r="E118" s="396" t="s">
        <v>589</v>
      </c>
      <c r="F118" s="397">
        <v>970.32240000000002</v>
      </c>
      <c r="G118" s="398">
        <v>397.64000000000004</v>
      </c>
      <c r="H118" s="398">
        <v>402.19000000000005</v>
      </c>
      <c r="I118" s="399">
        <f t="shared" si="61"/>
        <v>1.0114425108138014</v>
      </c>
      <c r="J118" s="398">
        <v>0</v>
      </c>
      <c r="K118" s="399">
        <f t="shared" si="62"/>
        <v>0</v>
      </c>
      <c r="L118" s="398">
        <v>425.58</v>
      </c>
      <c r="M118" s="399">
        <f t="shared" ref="M118:M122" si="64">(H118+J118)/G118</f>
        <v>1.0114425108138014</v>
      </c>
      <c r="N118" s="400">
        <v>1936.3889999999988</v>
      </c>
      <c r="O118" s="398">
        <v>2.2800000000000002</v>
      </c>
      <c r="P118" s="399">
        <f t="shared" si="56"/>
        <v>5.7338295946081884E-3</v>
      </c>
      <c r="Q118" s="401">
        <f t="shared" si="57"/>
        <v>2.2700000000000111</v>
      </c>
      <c r="R118" s="399">
        <f t="shared" si="58"/>
        <v>5.7086812191932679E-3</v>
      </c>
      <c r="S118" s="402">
        <f t="shared" si="59"/>
        <v>966.06660000000466</v>
      </c>
      <c r="T118" s="403" t="s">
        <v>514</v>
      </c>
      <c r="U118" s="403" t="s">
        <v>509</v>
      </c>
      <c r="V118" s="404" t="s">
        <v>540</v>
      </c>
      <c r="W118" s="404" t="s">
        <v>583</v>
      </c>
      <c r="X118" s="404">
        <v>1</v>
      </c>
      <c r="Y118" s="405" t="s">
        <v>590</v>
      </c>
      <c r="Z118" s="462" t="s">
        <v>595</v>
      </c>
      <c r="AA118" s="416">
        <f>AA31+AA55+AA79+AA103</f>
        <v>80</v>
      </c>
      <c r="AB118" s="416">
        <f>AB31+AB55+AB79+AB103</f>
        <v>62</v>
      </c>
      <c r="AC118" s="416">
        <f>AC31+AC55+AC79+AC103</f>
        <v>0</v>
      </c>
      <c r="AD118" s="416">
        <f>AD31+AD55+AD79+AD103</f>
        <v>12</v>
      </c>
      <c r="AE118" s="416">
        <f t="shared" ref="AE118:AH118" si="65">AE31+AE55+AE79+AE103</f>
        <v>0</v>
      </c>
      <c r="AF118" s="416">
        <f t="shared" si="65"/>
        <v>2</v>
      </c>
      <c r="AG118" s="416">
        <f t="shared" si="65"/>
        <v>4</v>
      </c>
      <c r="AH118" s="416">
        <f t="shared" si="65"/>
        <v>0</v>
      </c>
    </row>
    <row r="119" spans="2:34" s="148" customFormat="1" ht="27" customHeight="1">
      <c r="B119" s="824"/>
      <c r="C119" s="825"/>
      <c r="D119" s="393">
        <v>17</v>
      </c>
      <c r="E119" s="396" t="s">
        <v>596</v>
      </c>
      <c r="F119" s="397">
        <v>961.46299999999997</v>
      </c>
      <c r="G119" s="398">
        <v>133.63</v>
      </c>
      <c r="H119" s="398">
        <v>131.31</v>
      </c>
      <c r="I119" s="399">
        <f t="shared" si="61"/>
        <v>0.98263862905036303</v>
      </c>
      <c r="J119" s="398">
        <v>7.8199999999999994</v>
      </c>
      <c r="K119" s="399">
        <f t="shared" si="62"/>
        <v>5.8519793459552494E-2</v>
      </c>
      <c r="L119" s="398">
        <v>345.84999999999997</v>
      </c>
      <c r="M119" s="399">
        <f t="shared" si="64"/>
        <v>1.0411584225099155</v>
      </c>
      <c r="N119" s="400">
        <v>1902.1750000000006</v>
      </c>
      <c r="O119" s="398">
        <v>2.78</v>
      </c>
      <c r="P119" s="399">
        <f t="shared" si="56"/>
        <v>2.0803711741375439E-2</v>
      </c>
      <c r="Q119" s="401">
        <f t="shared" si="57"/>
        <v>2.72</v>
      </c>
      <c r="R119" s="399">
        <f t="shared" si="58"/>
        <v>2.0354710768540001E-2</v>
      </c>
      <c r="S119" s="402">
        <f t="shared" si="59"/>
        <v>940.71199999999999</v>
      </c>
      <c r="T119" s="403" t="s">
        <v>514</v>
      </c>
      <c r="U119" s="403" t="s">
        <v>509</v>
      </c>
      <c r="V119" s="404" t="s">
        <v>587</v>
      </c>
      <c r="W119" s="404" t="s">
        <v>597</v>
      </c>
      <c r="X119" s="404">
        <v>1</v>
      </c>
      <c r="Y119" s="405" t="s">
        <v>151</v>
      </c>
      <c r="AA119" s="417"/>
      <c r="AB119" s="414">
        <f>AB32+AB56+AB80+AB104</f>
        <v>68049.589600000007</v>
      </c>
      <c r="AC119" s="414">
        <f t="shared" ref="AC119:AH119" si="66">AC32+AC56+AC80+AC104</f>
        <v>0</v>
      </c>
      <c r="AD119" s="414">
        <f t="shared" si="66"/>
        <v>14054.3858</v>
      </c>
      <c r="AE119" s="414">
        <f t="shared" si="66"/>
        <v>0</v>
      </c>
      <c r="AF119" s="414">
        <f t="shared" si="66"/>
        <v>2104.3199999999997</v>
      </c>
      <c r="AG119" s="414">
        <f>AG32+AG56+AG80+AG104</f>
        <v>5654.6999999999989</v>
      </c>
      <c r="AH119" s="414">
        <f t="shared" si="66"/>
        <v>0</v>
      </c>
    </row>
    <row r="120" spans="2:34" s="148" customFormat="1" ht="27" customHeight="1">
      <c r="B120" s="824"/>
      <c r="C120" s="825"/>
      <c r="D120" s="393">
        <v>18</v>
      </c>
      <c r="E120" s="396" t="s">
        <v>591</v>
      </c>
      <c r="F120" s="397">
        <v>960.16480000000001</v>
      </c>
      <c r="G120" s="398">
        <v>210.45000000000002</v>
      </c>
      <c r="H120" s="398">
        <v>221.50999999999996</v>
      </c>
      <c r="I120" s="399">
        <f t="shared" si="61"/>
        <v>1.0525540508434306</v>
      </c>
      <c r="J120" s="398">
        <v>1.6</v>
      </c>
      <c r="K120" s="399">
        <f t="shared" si="62"/>
        <v>7.6027559990496556E-3</v>
      </c>
      <c r="L120" s="398">
        <v>145.04</v>
      </c>
      <c r="M120" s="399">
        <f t="shared" si="64"/>
        <v>1.06015680684248</v>
      </c>
      <c r="N120" s="400">
        <v>1836.2063999999996</v>
      </c>
      <c r="O120" s="398">
        <v>6.62</v>
      </c>
      <c r="P120" s="399">
        <f t="shared" si="56"/>
        <v>3.1456402946067948E-2</v>
      </c>
      <c r="Q120" s="401">
        <f t="shared" si="57"/>
        <v>6.0399999999999396</v>
      </c>
      <c r="R120" s="399">
        <f t="shared" si="58"/>
        <v>2.8700403896412159E-2</v>
      </c>
      <c r="S120" s="402">
        <f t="shared" si="59"/>
        <v>876.04159999999115</v>
      </c>
      <c r="T120" s="403" t="s">
        <v>514</v>
      </c>
      <c r="U120" s="403" t="s">
        <v>509</v>
      </c>
      <c r="V120" s="404" t="s">
        <v>540</v>
      </c>
      <c r="W120" s="404" t="s">
        <v>583</v>
      </c>
      <c r="X120" s="404">
        <v>1</v>
      </c>
      <c r="Y120" s="405" t="s">
        <v>199</v>
      </c>
      <c r="AA120" s="393"/>
      <c r="AB120" s="415">
        <f>AB118/$AA118</f>
        <v>0.77500000000000002</v>
      </c>
      <c r="AC120" s="415">
        <f t="shared" ref="AC120:AH120" si="67">AC118/$AA118</f>
        <v>0</v>
      </c>
      <c r="AD120" s="415">
        <f t="shared" si="67"/>
        <v>0.15</v>
      </c>
      <c r="AE120" s="415">
        <f t="shared" si="67"/>
        <v>0</v>
      </c>
      <c r="AF120" s="415">
        <f t="shared" si="67"/>
        <v>2.5000000000000001E-2</v>
      </c>
      <c r="AG120" s="415">
        <f t="shared" si="67"/>
        <v>0.05</v>
      </c>
      <c r="AH120" s="415">
        <f t="shared" si="67"/>
        <v>0</v>
      </c>
    </row>
    <row r="121" spans="2:34" s="148" customFormat="1" ht="27" customHeight="1">
      <c r="B121" s="824"/>
      <c r="C121" s="825"/>
      <c r="D121" s="393">
        <v>19</v>
      </c>
      <c r="E121" s="396" t="s">
        <v>556</v>
      </c>
      <c r="F121" s="397">
        <v>954.37840000000006</v>
      </c>
      <c r="G121" s="398">
        <v>226.28</v>
      </c>
      <c r="H121" s="398">
        <v>222.02</v>
      </c>
      <c r="I121" s="399">
        <f t="shared" si="61"/>
        <v>0.98117376701431858</v>
      </c>
      <c r="J121" s="398">
        <v>8.93</v>
      </c>
      <c r="K121" s="399">
        <f t="shared" si="62"/>
        <v>3.9464380413646805E-2</v>
      </c>
      <c r="L121" s="398">
        <v>411.36999999999995</v>
      </c>
      <c r="M121" s="399">
        <f t="shared" si="64"/>
        <v>1.0206381474279653</v>
      </c>
      <c r="N121" s="400">
        <v>1921.0978999999988</v>
      </c>
      <c r="O121" s="398">
        <v>2.3199999999999998</v>
      </c>
      <c r="P121" s="399">
        <f t="shared" si="56"/>
        <v>1.0252784161216192E-2</v>
      </c>
      <c r="Q121" s="401">
        <f t="shared" si="57"/>
        <v>2.3500000000000161</v>
      </c>
      <c r="R121" s="399">
        <f t="shared" si="58"/>
        <v>1.0385363266749232E-2</v>
      </c>
      <c r="S121" s="402">
        <f t="shared" si="59"/>
        <v>966.71950000000652</v>
      </c>
      <c r="T121" s="403" t="s">
        <v>514</v>
      </c>
      <c r="U121" s="403" t="s">
        <v>509</v>
      </c>
      <c r="V121" s="403" t="s">
        <v>557</v>
      </c>
      <c r="W121" s="404" t="s">
        <v>523</v>
      </c>
      <c r="X121" s="404">
        <v>1</v>
      </c>
      <c r="Y121" s="405" t="s">
        <v>203</v>
      </c>
      <c r="AB121" s="412"/>
      <c r="AC121" s="409"/>
    </row>
    <row r="122" spans="2:34" s="148" customFormat="1" ht="27" customHeight="1">
      <c r="B122" s="826"/>
      <c r="C122" s="827"/>
      <c r="D122" s="393">
        <v>20</v>
      </c>
      <c r="E122" s="396" t="s">
        <v>598</v>
      </c>
      <c r="F122" s="397">
        <v>949.64999999999986</v>
      </c>
      <c r="G122" s="398">
        <v>144.51000000000002</v>
      </c>
      <c r="H122" s="398">
        <v>143.73000000000002</v>
      </c>
      <c r="I122" s="399">
        <f t="shared" si="61"/>
        <v>0.99460244965746314</v>
      </c>
      <c r="J122" s="398">
        <v>9.66</v>
      </c>
      <c r="K122" s="399">
        <f t="shared" si="62"/>
        <v>6.6846585011417881E-2</v>
      </c>
      <c r="L122" s="398">
        <v>189.93000000000004</v>
      </c>
      <c r="M122" s="399">
        <f t="shared" si="64"/>
        <v>1.061449034668881</v>
      </c>
      <c r="N122" s="400">
        <v>1686.5784000000012</v>
      </c>
      <c r="O122" s="398">
        <v>5.0000000000000009</v>
      </c>
      <c r="P122" s="399">
        <f t="shared" si="56"/>
        <v>3.4599681682928519E-2</v>
      </c>
      <c r="Q122" s="401">
        <f t="shared" si="57"/>
        <v>3.8799999999999946</v>
      </c>
      <c r="R122" s="399">
        <f t="shared" si="58"/>
        <v>2.684935298595249E-2</v>
      </c>
      <c r="S122" s="402">
        <f t="shared" si="59"/>
        <v>736.9283999999991</v>
      </c>
      <c r="T122" s="403" t="s">
        <v>514</v>
      </c>
      <c r="U122" s="403" t="s">
        <v>509</v>
      </c>
      <c r="V122" s="404" t="s">
        <v>540</v>
      </c>
      <c r="W122" s="404" t="s">
        <v>583</v>
      </c>
      <c r="X122" s="404">
        <v>1</v>
      </c>
      <c r="Y122" s="405" t="s">
        <v>308</v>
      </c>
      <c r="AB122" s="412"/>
      <c r="AC122" s="409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AA114:AH116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3" type="noConversion"/>
  <dataValidations count="1">
    <dataValidation type="list" allowBlank="1" showInputMessage="1" showErrorMessage="1" sqref="U99:U102 U123:U1048576 T1:U6 T7:T1048576 U27:U30 U51:U54 U75:U78 U85 U115" xr:uid="{00000000-0002-0000-2000-000000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  <pageSetUpPr fitToPage="1"/>
  </sheetPr>
  <dimension ref="B2:AH200"/>
  <sheetViews>
    <sheetView zoomScale="70" zoomScaleNormal="70" workbookViewId="0">
      <pane xSplit="4" ySplit="2" topLeftCell="V102" activePane="bottomRight" state="frozen"/>
      <selection pane="bottomRight" activeCell="D103" sqref="D103:Y122"/>
      <selection pane="bottomLeft" activeCell="AB13" sqref="AB13:AC19"/>
      <selection pane="topRight" activeCell="AB13" sqref="AB13:AC19"/>
    </sheetView>
  </sheetViews>
  <sheetFormatPr defaultColWidth="8.85546875" defaultRowHeight="15.9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2.28515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4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853" t="s">
        <v>599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AA2" s="147"/>
      <c r="AB2" s="147"/>
    </row>
    <row r="3" spans="2:34" ht="16.5" customHeight="1">
      <c r="B3" s="844" t="s">
        <v>478</v>
      </c>
      <c r="C3" s="845"/>
      <c r="D3" s="850" t="s">
        <v>479</v>
      </c>
      <c r="E3" s="850"/>
      <c r="F3" s="850"/>
      <c r="G3" s="850" t="s">
        <v>480</v>
      </c>
      <c r="H3" s="850"/>
      <c r="I3" s="850"/>
      <c r="J3" s="850"/>
      <c r="K3" s="850"/>
      <c r="L3" s="850"/>
      <c r="M3" s="850"/>
      <c r="N3" s="850"/>
      <c r="O3" s="850"/>
      <c r="P3" s="850"/>
      <c r="Q3" s="850"/>
      <c r="R3" s="850"/>
      <c r="S3" s="850"/>
      <c r="T3" s="850" t="s">
        <v>481</v>
      </c>
      <c r="U3" s="835" t="s">
        <v>482</v>
      </c>
      <c r="V3" s="855" t="s">
        <v>600</v>
      </c>
      <c r="W3" s="855" t="s">
        <v>484</v>
      </c>
      <c r="X3" s="831" t="s">
        <v>485</v>
      </c>
      <c r="Y3" s="834" t="s">
        <v>486</v>
      </c>
      <c r="AA3" s="850" t="s">
        <v>487</v>
      </c>
      <c r="AB3" s="850"/>
      <c r="AC3" s="850"/>
      <c r="AD3" s="850"/>
      <c r="AE3" s="850"/>
      <c r="AF3" s="850"/>
      <c r="AG3" s="850"/>
      <c r="AH3" s="850"/>
    </row>
    <row r="4" spans="2:34" ht="17.100000000000001" customHeight="1">
      <c r="B4" s="846"/>
      <c r="C4" s="847"/>
      <c r="D4" s="851" t="s">
        <v>488</v>
      </c>
      <c r="E4" s="850" t="s">
        <v>489</v>
      </c>
      <c r="F4" s="850"/>
      <c r="G4" s="850" t="s">
        <v>490</v>
      </c>
      <c r="H4" s="850"/>
      <c r="I4" s="850"/>
      <c r="J4" s="850"/>
      <c r="K4" s="850"/>
      <c r="L4" s="850"/>
      <c r="M4" s="850"/>
      <c r="N4" s="850"/>
      <c r="O4" s="850" t="s">
        <v>491</v>
      </c>
      <c r="P4" s="850"/>
      <c r="Q4" s="850"/>
      <c r="R4" s="850"/>
      <c r="S4" s="850"/>
      <c r="T4" s="850"/>
      <c r="U4" s="838"/>
      <c r="V4" s="832"/>
      <c r="W4" s="856"/>
      <c r="X4" s="832"/>
      <c r="Y4" s="834"/>
      <c r="AA4" s="850"/>
      <c r="AB4" s="850"/>
      <c r="AC4" s="850"/>
      <c r="AD4" s="850"/>
      <c r="AE4" s="850"/>
      <c r="AF4" s="850"/>
      <c r="AG4" s="850"/>
      <c r="AH4" s="850"/>
    </row>
    <row r="5" spans="2:34" ht="17.100000000000001" customHeight="1">
      <c r="B5" s="846"/>
      <c r="C5" s="847"/>
      <c r="D5" s="851"/>
      <c r="E5" s="851" t="s">
        <v>492</v>
      </c>
      <c r="F5" s="858" t="s">
        <v>601</v>
      </c>
      <c r="G5" s="852" t="s">
        <v>494</v>
      </c>
      <c r="H5" s="852"/>
      <c r="I5" s="852"/>
      <c r="J5" s="852"/>
      <c r="K5" s="852"/>
      <c r="L5" s="852"/>
      <c r="M5" s="852"/>
      <c r="N5" s="852"/>
      <c r="O5" s="859" t="s">
        <v>495</v>
      </c>
      <c r="P5" s="860"/>
      <c r="Q5" s="861"/>
      <c r="R5" s="852" t="s">
        <v>496</v>
      </c>
      <c r="S5" s="852"/>
      <c r="T5" s="850"/>
      <c r="U5" s="838"/>
      <c r="V5" s="832"/>
      <c r="W5" s="856"/>
      <c r="X5" s="832"/>
      <c r="Y5" s="834"/>
      <c r="AA5" s="850"/>
      <c r="AB5" s="850"/>
      <c r="AC5" s="850"/>
      <c r="AD5" s="850"/>
      <c r="AE5" s="850"/>
      <c r="AF5" s="850"/>
      <c r="AG5" s="850"/>
      <c r="AH5" s="850"/>
    </row>
    <row r="6" spans="2:34" ht="38.450000000000003" customHeight="1">
      <c r="B6" s="848"/>
      <c r="C6" s="849"/>
      <c r="D6" s="851"/>
      <c r="E6" s="851"/>
      <c r="F6" s="858"/>
      <c r="G6" s="394" t="s">
        <v>497</v>
      </c>
      <c r="H6" s="394" t="s">
        <v>498</v>
      </c>
      <c r="I6" s="394" t="s">
        <v>499</v>
      </c>
      <c r="J6" s="394" t="s">
        <v>500</v>
      </c>
      <c r="K6" s="394" t="s">
        <v>501</v>
      </c>
      <c r="L6" s="394" t="s">
        <v>502</v>
      </c>
      <c r="M6" s="394" t="s">
        <v>503</v>
      </c>
      <c r="N6" s="394" t="s">
        <v>504</v>
      </c>
      <c r="O6" s="395" t="s">
        <v>505</v>
      </c>
      <c r="P6" s="395" t="s">
        <v>506</v>
      </c>
      <c r="Q6" s="394" t="s">
        <v>507</v>
      </c>
      <c r="R6" s="395" t="s">
        <v>505</v>
      </c>
      <c r="S6" s="395" t="s">
        <v>506</v>
      </c>
      <c r="T6" s="850"/>
      <c r="U6" s="841"/>
      <c r="V6" s="833"/>
      <c r="W6" s="857"/>
      <c r="X6" s="833"/>
      <c r="Y6" s="834"/>
      <c r="AA6" s="161" t="s">
        <v>508</v>
      </c>
      <c r="AB6" s="161" t="s">
        <v>509</v>
      </c>
      <c r="AC6" s="156" t="s">
        <v>510</v>
      </c>
      <c r="AD6" s="156" t="s">
        <v>511</v>
      </c>
      <c r="AE6" s="156" t="s">
        <v>286</v>
      </c>
      <c r="AF6" s="156" t="s">
        <v>318</v>
      </c>
      <c r="AG6" s="156" t="s">
        <v>321</v>
      </c>
      <c r="AH6" s="156" t="s">
        <v>512</v>
      </c>
    </row>
    <row r="7" spans="2:34" s="148" customFormat="1" ht="27" customHeight="1">
      <c r="B7" s="822" t="s">
        <v>513</v>
      </c>
      <c r="C7" s="823"/>
      <c r="D7" s="393">
        <v>1</v>
      </c>
      <c r="E7" s="396" t="s">
        <v>336</v>
      </c>
      <c r="F7" s="397">
        <v>17271.424500000005</v>
      </c>
      <c r="G7" s="398">
        <v>4151.71</v>
      </c>
      <c r="H7" s="398">
        <v>4135.22</v>
      </c>
      <c r="I7" s="399">
        <f>H7/G7</f>
        <v>0.99602814262075146</v>
      </c>
      <c r="J7" s="398">
        <v>133.63999999999999</v>
      </c>
      <c r="K7" s="399">
        <f>J7/G7</f>
        <v>3.218914615905253E-2</v>
      </c>
      <c r="L7" s="398">
        <v>147.43000000000004</v>
      </c>
      <c r="M7" s="399">
        <f>(H7+J7)/G7</f>
        <v>1.028217288779804</v>
      </c>
      <c r="N7" s="400">
        <v>17271.424500000005</v>
      </c>
      <c r="O7" s="398">
        <v>0</v>
      </c>
      <c r="P7" s="399">
        <f>O7/G7</f>
        <v>0</v>
      </c>
      <c r="Q7" s="413">
        <f>O7*L7</f>
        <v>0</v>
      </c>
      <c r="R7" s="401">
        <f>((H7+J7)-G7)-O7</f>
        <v>117.15000000000055</v>
      </c>
      <c r="S7" s="399">
        <f>R7/G7</f>
        <v>2.8217288779804117E-2</v>
      </c>
      <c r="T7" s="403" t="s">
        <v>491</v>
      </c>
      <c r="U7" s="403" t="s">
        <v>318</v>
      </c>
      <c r="V7" s="404" t="s">
        <v>602</v>
      </c>
      <c r="W7" s="404" t="s">
        <v>603</v>
      </c>
      <c r="X7" s="404">
        <v>1</v>
      </c>
      <c r="Y7" s="405" t="s">
        <v>311</v>
      </c>
      <c r="Z7" s="406" t="s">
        <v>517</v>
      </c>
      <c r="AA7" s="407">
        <f>SUM(X7:X26)</f>
        <v>20</v>
      </c>
      <c r="AB7" s="408">
        <f>SUMIF($U$7:$U$26,TRIM(AB6),$X$7:$X$26)</f>
        <v>0</v>
      </c>
      <c r="AC7" s="408">
        <f t="shared" ref="AC7:AH7" si="0">SUMIF($U$7:$U$26,TRIM(AC6),$X$7:$X$26)</f>
        <v>0</v>
      </c>
      <c r="AD7" s="408">
        <f t="shared" si="0"/>
        <v>0</v>
      </c>
      <c r="AE7" s="408">
        <f t="shared" si="0"/>
        <v>15</v>
      </c>
      <c r="AF7" s="408">
        <f t="shared" si="0"/>
        <v>1</v>
      </c>
      <c r="AG7" s="408">
        <f t="shared" si="0"/>
        <v>4</v>
      </c>
      <c r="AH7" s="408">
        <f t="shared" si="0"/>
        <v>0</v>
      </c>
    </row>
    <row r="8" spans="2:34" s="148" customFormat="1" ht="27" customHeight="1">
      <c r="B8" s="824"/>
      <c r="C8" s="825"/>
      <c r="D8" s="393">
        <v>2</v>
      </c>
      <c r="E8" s="396" t="s">
        <v>328</v>
      </c>
      <c r="F8" s="397">
        <v>8343.6714000000065</v>
      </c>
      <c r="G8" s="398">
        <v>1437.03</v>
      </c>
      <c r="H8" s="398">
        <v>1436.65</v>
      </c>
      <c r="I8" s="399">
        <f t="shared" ref="I8:I9" si="1">H8/G8</f>
        <v>0.99973556571539923</v>
      </c>
      <c r="J8" s="398">
        <v>58.65</v>
      </c>
      <c r="K8" s="399">
        <f t="shared" ref="K8:K13" si="2">J8/G8</f>
        <v>4.0813344189056598E-2</v>
      </c>
      <c r="L8" s="398">
        <v>144.78</v>
      </c>
      <c r="M8" s="399">
        <f t="shared" ref="M8:M13" si="3">(H8+J8)/G8</f>
        <v>1.0405489099044558</v>
      </c>
      <c r="N8" s="400">
        <v>8436.3306000000066</v>
      </c>
      <c r="O8" s="398">
        <v>0.64</v>
      </c>
      <c r="P8" s="399">
        <f t="shared" ref="P8:P26" si="4">O8/G8</f>
        <v>4.4536300564358434E-4</v>
      </c>
      <c r="Q8" s="413">
        <f t="shared" ref="Q8:Q26" si="5">O8*L8</f>
        <v>92.659199999999998</v>
      </c>
      <c r="R8" s="401">
        <f t="shared" ref="R8:R26" si="6">((H8+J8)-G8)-O8</f>
        <v>57.630000000000209</v>
      </c>
      <c r="S8" s="399">
        <f t="shared" ref="S8:S26" si="7">R8/G8</f>
        <v>4.0103546898812278E-2</v>
      </c>
      <c r="T8" s="403" t="s">
        <v>491</v>
      </c>
      <c r="U8" s="403" t="s">
        <v>286</v>
      </c>
      <c r="V8" s="404" t="s">
        <v>604</v>
      </c>
      <c r="W8" s="404" t="s">
        <v>605</v>
      </c>
      <c r="X8" s="404">
        <v>1</v>
      </c>
      <c r="Y8" s="405" t="s">
        <v>204</v>
      </c>
      <c r="AA8" s="407"/>
      <c r="AB8" s="414">
        <f>SUMIF($U$7:$U$26,TRIM(AB6),$F$7:$F$26)</f>
        <v>0</v>
      </c>
      <c r="AC8" s="414">
        <f t="shared" ref="AC8:AH8" si="8">SUMIF($U$7:$U$26,TRIM(AC6),$F$7:$F$26)</f>
        <v>0</v>
      </c>
      <c r="AD8" s="414">
        <f t="shared" si="8"/>
        <v>0</v>
      </c>
      <c r="AE8" s="414">
        <f t="shared" si="8"/>
        <v>59318.279899999987</v>
      </c>
      <c r="AF8" s="414">
        <f t="shared" si="8"/>
        <v>17271.424500000005</v>
      </c>
      <c r="AG8" s="414">
        <f t="shared" si="8"/>
        <v>21606.118799999975</v>
      </c>
      <c r="AH8" s="414">
        <f t="shared" si="8"/>
        <v>0</v>
      </c>
    </row>
    <row r="9" spans="2:34" s="148" customFormat="1" ht="27" customHeight="1">
      <c r="B9" s="824"/>
      <c r="C9" s="825"/>
      <c r="D9" s="393">
        <v>3</v>
      </c>
      <c r="E9" s="396" t="s">
        <v>338</v>
      </c>
      <c r="F9" s="397">
        <v>6609.6800000000039</v>
      </c>
      <c r="G9" s="398">
        <v>2860.26</v>
      </c>
      <c r="H9" s="398">
        <v>2717.36</v>
      </c>
      <c r="I9" s="399">
        <f t="shared" si="1"/>
        <v>0.95003950689797423</v>
      </c>
      <c r="J9" s="398">
        <v>244.39999999999998</v>
      </c>
      <c r="K9" s="399">
        <f t="shared" si="2"/>
        <v>8.5446777565675827E-2</v>
      </c>
      <c r="L9" s="398">
        <v>65.12</v>
      </c>
      <c r="M9" s="399">
        <f t="shared" si="3"/>
        <v>1.0354862844636501</v>
      </c>
      <c r="N9" s="400">
        <v>6609.6800000000039</v>
      </c>
      <c r="O9" s="398">
        <v>0</v>
      </c>
      <c r="P9" s="399">
        <f t="shared" si="4"/>
        <v>0</v>
      </c>
      <c r="Q9" s="413">
        <f t="shared" si="5"/>
        <v>0</v>
      </c>
      <c r="R9" s="401">
        <f t="shared" si="6"/>
        <v>101.5</v>
      </c>
      <c r="S9" s="399">
        <f t="shared" si="7"/>
        <v>3.5486284463650153E-2</v>
      </c>
      <c r="T9" s="403" t="s">
        <v>491</v>
      </c>
      <c r="U9" s="403" t="s">
        <v>321</v>
      </c>
      <c r="V9" s="404" t="s">
        <v>606</v>
      </c>
      <c r="W9" s="404" t="s">
        <v>607</v>
      </c>
      <c r="X9" s="404">
        <v>1</v>
      </c>
      <c r="Y9" s="405" t="s">
        <v>224</v>
      </c>
      <c r="AA9" s="393"/>
      <c r="AB9" s="415">
        <f>AB7/$AA7</f>
        <v>0</v>
      </c>
      <c r="AC9" s="415">
        <f t="shared" ref="AC9:AH9" si="9">AC7/$AA7</f>
        <v>0</v>
      </c>
      <c r="AD9" s="415">
        <f t="shared" si="9"/>
        <v>0</v>
      </c>
      <c r="AE9" s="415">
        <f t="shared" si="9"/>
        <v>0.75</v>
      </c>
      <c r="AF9" s="415">
        <f t="shared" si="9"/>
        <v>0.05</v>
      </c>
      <c r="AG9" s="415">
        <f t="shared" si="9"/>
        <v>0.2</v>
      </c>
      <c r="AH9" s="415">
        <f t="shared" si="9"/>
        <v>0</v>
      </c>
    </row>
    <row r="10" spans="2:34" s="148" customFormat="1" ht="27" customHeight="1">
      <c r="B10" s="824"/>
      <c r="C10" s="825"/>
      <c r="D10" s="393">
        <v>4</v>
      </c>
      <c r="E10" s="396" t="s">
        <v>332</v>
      </c>
      <c r="F10" s="397">
        <v>6114.6690000000026</v>
      </c>
      <c r="G10" s="398">
        <v>680.71</v>
      </c>
      <c r="H10" s="398">
        <v>680.71</v>
      </c>
      <c r="I10" s="399">
        <f>H10/G10</f>
        <v>1</v>
      </c>
      <c r="J10" s="398">
        <v>40.33</v>
      </c>
      <c r="K10" s="399">
        <f t="shared" si="2"/>
        <v>5.9246962730090634E-2</v>
      </c>
      <c r="L10" s="398">
        <v>160.49</v>
      </c>
      <c r="M10" s="399">
        <f t="shared" si="3"/>
        <v>1.0592469627300907</v>
      </c>
      <c r="N10" s="400">
        <v>6472.561700000002</v>
      </c>
      <c r="O10" s="398">
        <v>2.23</v>
      </c>
      <c r="P10" s="399">
        <f t="shared" si="4"/>
        <v>3.2759912444359565E-3</v>
      </c>
      <c r="Q10" s="413">
        <f t="shared" si="5"/>
        <v>357.89269999999999</v>
      </c>
      <c r="R10" s="401">
        <f t="shared" si="6"/>
        <v>38.100000000000044</v>
      </c>
      <c r="S10" s="399">
        <f t="shared" si="7"/>
        <v>5.5970971485654747E-2</v>
      </c>
      <c r="T10" s="403" t="s">
        <v>491</v>
      </c>
      <c r="U10" s="403" t="s">
        <v>286</v>
      </c>
      <c r="V10" s="404" t="s">
        <v>608</v>
      </c>
      <c r="W10" s="404" t="s">
        <v>605</v>
      </c>
      <c r="X10" s="404">
        <v>1</v>
      </c>
      <c r="Y10" s="405" t="s">
        <v>214</v>
      </c>
    </row>
    <row r="11" spans="2:34" s="148" customFormat="1" ht="27" customHeight="1">
      <c r="B11" s="824"/>
      <c r="C11" s="825"/>
      <c r="D11" s="393">
        <v>5</v>
      </c>
      <c r="E11" s="396" t="s">
        <v>344</v>
      </c>
      <c r="F11" s="397">
        <v>5990.299599999993</v>
      </c>
      <c r="G11" s="398">
        <v>499.83999999999992</v>
      </c>
      <c r="H11" s="398">
        <v>497.08</v>
      </c>
      <c r="I11" s="399">
        <f t="shared" ref="I11:I26" si="10">H11/G11</f>
        <v>0.99447823303457117</v>
      </c>
      <c r="J11" s="398">
        <v>21.400000000000002</v>
      </c>
      <c r="K11" s="399">
        <f t="shared" si="2"/>
        <v>4.2813700384122931E-2</v>
      </c>
      <c r="L11" s="398">
        <v>327.16000000000003</v>
      </c>
      <c r="M11" s="399">
        <f t="shared" si="3"/>
        <v>1.0372919334186941</v>
      </c>
      <c r="N11" s="400">
        <v>6098.2623999999942</v>
      </c>
      <c r="O11" s="398">
        <v>0.33</v>
      </c>
      <c r="P11" s="399">
        <f t="shared" si="4"/>
        <v>6.602112676056339E-4</v>
      </c>
      <c r="Q11" s="413">
        <f t="shared" si="5"/>
        <v>107.96280000000002</v>
      </c>
      <c r="R11" s="401">
        <f t="shared" si="6"/>
        <v>18.310000000000102</v>
      </c>
      <c r="S11" s="399">
        <f t="shared" si="7"/>
        <v>3.6631722151088557E-2</v>
      </c>
      <c r="T11" s="403" t="s">
        <v>491</v>
      </c>
      <c r="U11" s="403" t="s">
        <v>321</v>
      </c>
      <c r="V11" s="404" t="s">
        <v>609</v>
      </c>
      <c r="W11" s="404" t="s">
        <v>610</v>
      </c>
      <c r="X11" s="404">
        <v>1</v>
      </c>
      <c r="Y11" s="405" t="s">
        <v>204</v>
      </c>
    </row>
    <row r="12" spans="2:34" s="148" customFormat="1" ht="27" customHeight="1">
      <c r="B12" s="824"/>
      <c r="C12" s="825"/>
      <c r="D12" s="393">
        <v>6</v>
      </c>
      <c r="E12" s="396" t="s">
        <v>420</v>
      </c>
      <c r="F12" s="397">
        <v>5338.0300000000034</v>
      </c>
      <c r="G12" s="398">
        <v>427.88</v>
      </c>
      <c r="H12" s="398">
        <v>422.78000000000003</v>
      </c>
      <c r="I12" s="399">
        <f t="shared" si="10"/>
        <v>0.98808077030943264</v>
      </c>
      <c r="J12" s="398">
        <v>20.440000000000001</v>
      </c>
      <c r="K12" s="399">
        <f t="shared" si="2"/>
        <v>4.7770402916705625E-2</v>
      </c>
      <c r="L12" s="398">
        <v>368.13999999999993</v>
      </c>
      <c r="M12" s="399">
        <f t="shared" si="3"/>
        <v>1.0358511732261382</v>
      </c>
      <c r="N12" s="400">
        <v>5647.2676000000029</v>
      </c>
      <c r="O12" s="398">
        <v>0.84000000000000008</v>
      </c>
      <c r="P12" s="399">
        <f t="shared" si="4"/>
        <v>1.9631672431522861E-3</v>
      </c>
      <c r="Q12" s="413">
        <f t="shared" si="5"/>
        <v>309.23759999999999</v>
      </c>
      <c r="R12" s="401">
        <f t="shared" si="6"/>
        <v>14.500000000000032</v>
      </c>
      <c r="S12" s="399">
        <f t="shared" si="7"/>
        <v>3.3888005982985962E-2</v>
      </c>
      <c r="T12" s="403" t="s">
        <v>491</v>
      </c>
      <c r="U12" s="403" t="s">
        <v>286</v>
      </c>
      <c r="V12" s="404" t="s">
        <v>611</v>
      </c>
      <c r="W12" s="404" t="s">
        <v>610</v>
      </c>
      <c r="X12" s="404">
        <v>1</v>
      </c>
      <c r="Y12" s="405" t="s">
        <v>214</v>
      </c>
    </row>
    <row r="13" spans="2:34" s="148" customFormat="1" ht="27" customHeight="1">
      <c r="B13" s="824"/>
      <c r="C13" s="825"/>
      <c r="D13" s="393">
        <v>7</v>
      </c>
      <c r="E13" s="396" t="s">
        <v>326</v>
      </c>
      <c r="F13" s="397">
        <v>5084.1967999999797</v>
      </c>
      <c r="G13" s="398">
        <v>3818.01</v>
      </c>
      <c r="H13" s="398">
        <v>3684.36</v>
      </c>
      <c r="I13" s="399">
        <f t="shared" si="10"/>
        <v>0.96499485333982882</v>
      </c>
      <c r="J13" s="398">
        <v>177.07</v>
      </c>
      <c r="K13" s="399">
        <f t="shared" si="2"/>
        <v>4.6377563180819321E-2</v>
      </c>
      <c r="L13" s="398">
        <v>127.84000000000002</v>
      </c>
      <c r="M13" s="399">
        <f t="shared" si="3"/>
        <v>1.0113724165206481</v>
      </c>
      <c r="N13" s="400">
        <v>5550.8127999999806</v>
      </c>
      <c r="O13" s="398">
        <v>3.65</v>
      </c>
      <c r="P13" s="399">
        <f t="shared" si="4"/>
        <v>9.5599540074541446E-4</v>
      </c>
      <c r="Q13" s="413">
        <f t="shared" si="5"/>
        <v>466.61600000000004</v>
      </c>
      <c r="R13" s="401">
        <f t="shared" si="6"/>
        <v>39.770000000000074</v>
      </c>
      <c r="S13" s="399">
        <f t="shared" si="7"/>
        <v>1.0416421119902795E-2</v>
      </c>
      <c r="T13" s="403" t="s">
        <v>491</v>
      </c>
      <c r="U13" s="403" t="s">
        <v>286</v>
      </c>
      <c r="V13" s="404" t="s">
        <v>608</v>
      </c>
      <c r="W13" s="404" t="s">
        <v>605</v>
      </c>
      <c r="X13" s="404">
        <v>1</v>
      </c>
      <c r="Y13" s="405" t="s">
        <v>311</v>
      </c>
    </row>
    <row r="14" spans="2:34" s="148" customFormat="1" ht="27" customHeight="1">
      <c r="B14" s="824"/>
      <c r="C14" s="825"/>
      <c r="D14" s="393">
        <v>8</v>
      </c>
      <c r="E14" s="396" t="s">
        <v>330</v>
      </c>
      <c r="F14" s="397">
        <v>5014.3089000000027</v>
      </c>
      <c r="G14" s="398">
        <v>1081.6799999999998</v>
      </c>
      <c r="H14" s="398">
        <v>1044.74</v>
      </c>
      <c r="I14" s="399">
        <f t="shared" si="10"/>
        <v>0.9658494194216406</v>
      </c>
      <c r="J14" s="398">
        <v>90</v>
      </c>
      <c r="K14" s="399">
        <f>J14/G14</f>
        <v>8.3203905036609738E-2</v>
      </c>
      <c r="L14" s="398">
        <v>99.51</v>
      </c>
      <c r="M14" s="399">
        <f>(H14+J14)/G14</f>
        <v>1.0490533244582503</v>
      </c>
      <c r="N14" s="400">
        <v>5280.000600000003</v>
      </c>
      <c r="O14" s="398">
        <v>2.67</v>
      </c>
      <c r="P14" s="399">
        <f t="shared" si="4"/>
        <v>2.4683825160860887E-3</v>
      </c>
      <c r="Q14" s="413">
        <f t="shared" si="5"/>
        <v>265.69170000000003</v>
      </c>
      <c r="R14" s="401">
        <f t="shared" si="6"/>
        <v>50.390000000000171</v>
      </c>
      <c r="S14" s="399">
        <f t="shared" si="7"/>
        <v>4.6584941942164206E-2</v>
      </c>
      <c r="T14" s="403" t="s">
        <v>491</v>
      </c>
      <c r="U14" s="403" t="s">
        <v>286</v>
      </c>
      <c r="V14" s="404" t="s">
        <v>606</v>
      </c>
      <c r="W14" s="404" t="s">
        <v>535</v>
      </c>
      <c r="X14" s="404">
        <v>1</v>
      </c>
      <c r="Y14" s="405" t="s">
        <v>200</v>
      </c>
    </row>
    <row r="15" spans="2:34" s="148" customFormat="1" ht="27" customHeight="1">
      <c r="B15" s="824"/>
      <c r="C15" s="825"/>
      <c r="D15" s="393">
        <v>9</v>
      </c>
      <c r="E15" s="396" t="s">
        <v>341</v>
      </c>
      <c r="F15" s="397">
        <v>4682.6793999999809</v>
      </c>
      <c r="G15" s="398">
        <v>1032.55</v>
      </c>
      <c r="H15" s="398">
        <v>1026.5999999999999</v>
      </c>
      <c r="I15" s="399">
        <f t="shared" si="10"/>
        <v>0.99423756718802958</v>
      </c>
      <c r="J15" s="398">
        <v>13.89</v>
      </c>
      <c r="K15" s="399">
        <f t="shared" ref="K15:K26" si="11">J15/G15</f>
        <v>1.3452133068616532E-2</v>
      </c>
      <c r="L15" s="398">
        <v>605.77999999999986</v>
      </c>
      <c r="M15" s="399">
        <f t="shared" ref="M15:M26" si="12">(H15+J15)/G15</f>
        <v>1.0076897002566463</v>
      </c>
      <c r="N15" s="400">
        <v>4809.8931999999813</v>
      </c>
      <c r="O15" s="398">
        <v>0.21</v>
      </c>
      <c r="P15" s="399">
        <f t="shared" si="4"/>
        <v>2.0337998159895403E-4</v>
      </c>
      <c r="Q15" s="413">
        <f t="shared" si="5"/>
        <v>127.21379999999996</v>
      </c>
      <c r="R15" s="401">
        <f t="shared" si="6"/>
        <v>7.7300000000000546</v>
      </c>
      <c r="S15" s="399">
        <f t="shared" si="7"/>
        <v>7.4863202750472665E-3</v>
      </c>
      <c r="T15" s="403" t="s">
        <v>491</v>
      </c>
      <c r="U15" s="403" t="s">
        <v>321</v>
      </c>
      <c r="V15" s="404" t="s">
        <v>612</v>
      </c>
      <c r="W15" s="404" t="s">
        <v>570</v>
      </c>
      <c r="X15" s="404">
        <v>1</v>
      </c>
      <c r="Y15" s="405" t="s">
        <v>198</v>
      </c>
    </row>
    <row r="16" spans="2:34" s="148" customFormat="1" ht="27" customHeight="1">
      <c r="B16" s="824"/>
      <c r="C16" s="825"/>
      <c r="D16" s="393">
        <v>10</v>
      </c>
      <c r="E16" s="396" t="s">
        <v>340</v>
      </c>
      <c r="F16" s="397">
        <v>4323.4597999999978</v>
      </c>
      <c r="G16" s="398">
        <v>2006.37</v>
      </c>
      <c r="H16" s="398">
        <v>1944.96</v>
      </c>
      <c r="I16" s="399">
        <f t="shared" si="10"/>
        <v>0.96939248493548058</v>
      </c>
      <c r="J16" s="398">
        <v>125.81999999999998</v>
      </c>
      <c r="K16" s="399">
        <f t="shared" si="11"/>
        <v>6.271026779706633E-2</v>
      </c>
      <c r="L16" s="398">
        <v>68.42</v>
      </c>
      <c r="M16" s="399">
        <f t="shared" si="12"/>
        <v>1.032102752732547</v>
      </c>
      <c r="N16" s="400">
        <v>4406.9321999999984</v>
      </c>
      <c r="O16" s="398">
        <v>1.22</v>
      </c>
      <c r="P16" s="399">
        <f t="shared" si="4"/>
        <v>6.0806331833111542E-4</v>
      </c>
      <c r="Q16" s="413">
        <f t="shared" si="5"/>
        <v>83.472399999999993</v>
      </c>
      <c r="R16" s="401">
        <f t="shared" si="6"/>
        <v>63.19000000000031</v>
      </c>
      <c r="S16" s="399">
        <f t="shared" si="7"/>
        <v>3.1494689414215876E-2</v>
      </c>
      <c r="T16" s="403" t="s">
        <v>491</v>
      </c>
      <c r="U16" s="403" t="s">
        <v>321</v>
      </c>
      <c r="V16" s="404" t="s">
        <v>606</v>
      </c>
      <c r="W16" s="404" t="s">
        <v>607</v>
      </c>
      <c r="X16" s="404">
        <v>1</v>
      </c>
      <c r="Y16" s="405" t="s">
        <v>221</v>
      </c>
    </row>
    <row r="17" spans="2:34" s="148" customFormat="1" ht="27" customHeight="1">
      <c r="B17" s="824"/>
      <c r="C17" s="825"/>
      <c r="D17" s="393">
        <v>11</v>
      </c>
      <c r="E17" s="396" t="s">
        <v>613</v>
      </c>
      <c r="F17" s="397">
        <v>3807.3284000000003</v>
      </c>
      <c r="G17" s="398">
        <v>1516.34</v>
      </c>
      <c r="H17" s="398">
        <v>1428.2</v>
      </c>
      <c r="I17" s="399">
        <f t="shared" si="10"/>
        <v>0.94187319466610397</v>
      </c>
      <c r="J17" s="398">
        <v>145.1</v>
      </c>
      <c r="K17" s="399">
        <f t="shared" si="11"/>
        <v>9.5690940026643106E-2</v>
      </c>
      <c r="L17" s="398">
        <v>70.220000000000013</v>
      </c>
      <c r="M17" s="399">
        <f t="shared" si="12"/>
        <v>1.0375641346927471</v>
      </c>
      <c r="N17" s="400">
        <v>3999.7312000000002</v>
      </c>
      <c r="O17" s="398">
        <v>2.74</v>
      </c>
      <c r="P17" s="399">
        <f t="shared" si="4"/>
        <v>1.8069826028463275E-3</v>
      </c>
      <c r="Q17" s="413">
        <f t="shared" si="5"/>
        <v>192.40280000000004</v>
      </c>
      <c r="R17" s="401">
        <f t="shared" si="6"/>
        <v>54.220000000000034</v>
      </c>
      <c r="S17" s="399">
        <f t="shared" si="7"/>
        <v>3.5757152089900705E-2</v>
      </c>
      <c r="T17" s="403" t="s">
        <v>491</v>
      </c>
      <c r="U17" s="403" t="s">
        <v>286</v>
      </c>
      <c r="V17" s="404" t="s">
        <v>534</v>
      </c>
      <c r="W17" s="404" t="s">
        <v>535</v>
      </c>
      <c r="X17" s="404">
        <v>1</v>
      </c>
      <c r="Y17" s="405" t="s">
        <v>201</v>
      </c>
    </row>
    <row r="18" spans="2:34" s="148" customFormat="1" ht="27" customHeight="1">
      <c r="B18" s="824"/>
      <c r="C18" s="825"/>
      <c r="D18" s="393">
        <v>12</v>
      </c>
      <c r="E18" s="396" t="s">
        <v>614</v>
      </c>
      <c r="F18" s="397">
        <v>3348.2594999999924</v>
      </c>
      <c r="G18" s="398">
        <v>387.01</v>
      </c>
      <c r="H18" s="398">
        <v>377.08</v>
      </c>
      <c r="I18" s="399">
        <f t="shared" si="10"/>
        <v>0.97434174827523834</v>
      </c>
      <c r="J18" s="398">
        <v>21.28</v>
      </c>
      <c r="K18" s="399">
        <f t="shared" si="11"/>
        <v>5.4985659285289791E-2</v>
      </c>
      <c r="L18" s="398">
        <v>365.92999999999995</v>
      </c>
      <c r="M18" s="399">
        <f t="shared" si="12"/>
        <v>1.0293274075605283</v>
      </c>
      <c r="N18" s="400">
        <v>4153.3054999999922</v>
      </c>
      <c r="O18" s="398">
        <v>2.2000000000000002</v>
      </c>
      <c r="P18" s="399">
        <f t="shared" si="4"/>
        <v>5.6846076328777037E-3</v>
      </c>
      <c r="Q18" s="413">
        <f t="shared" si="5"/>
        <v>805.04599999999994</v>
      </c>
      <c r="R18" s="401">
        <f t="shared" si="6"/>
        <v>9.1500000000000234</v>
      </c>
      <c r="S18" s="399">
        <f t="shared" si="7"/>
        <v>2.3642799927650511E-2</v>
      </c>
      <c r="T18" s="403" t="s">
        <v>491</v>
      </c>
      <c r="U18" s="403" t="s">
        <v>286</v>
      </c>
      <c r="V18" s="404" t="s">
        <v>611</v>
      </c>
      <c r="W18" s="404" t="s">
        <v>615</v>
      </c>
      <c r="X18" s="404">
        <v>1</v>
      </c>
      <c r="Y18" s="405" t="s">
        <v>308</v>
      </c>
    </row>
    <row r="19" spans="2:34" s="148" customFormat="1" ht="27" customHeight="1">
      <c r="B19" s="824"/>
      <c r="C19" s="825"/>
      <c r="D19" s="393">
        <v>13</v>
      </c>
      <c r="E19" s="396" t="s">
        <v>334</v>
      </c>
      <c r="F19" s="397">
        <v>3294.0467999999992</v>
      </c>
      <c r="G19" s="398">
        <v>633.85</v>
      </c>
      <c r="H19" s="398">
        <v>634.77</v>
      </c>
      <c r="I19" s="399">
        <f t="shared" si="10"/>
        <v>1.0014514475033525</v>
      </c>
      <c r="J19" s="398">
        <v>6.8</v>
      </c>
      <c r="K19" s="399">
        <f t="shared" si="11"/>
        <v>1.0728090242170861E-2</v>
      </c>
      <c r="L19" s="398">
        <v>426.69</v>
      </c>
      <c r="M19" s="399">
        <f t="shared" si="12"/>
        <v>1.0121795377455232</v>
      </c>
      <c r="N19" s="400">
        <v>3294.0467999999992</v>
      </c>
      <c r="O19" s="398">
        <v>0</v>
      </c>
      <c r="P19" s="399">
        <f t="shared" si="4"/>
        <v>0</v>
      </c>
      <c r="Q19" s="413">
        <f t="shared" si="5"/>
        <v>0</v>
      </c>
      <c r="R19" s="401">
        <f t="shared" si="6"/>
        <v>7.7199999999999136</v>
      </c>
      <c r="S19" s="399">
        <f t="shared" si="7"/>
        <v>1.2179537745523251E-2</v>
      </c>
      <c r="T19" s="403" t="s">
        <v>491</v>
      </c>
      <c r="U19" s="403" t="s">
        <v>286</v>
      </c>
      <c r="V19" s="404" t="s">
        <v>616</v>
      </c>
      <c r="W19" s="404" t="s">
        <v>617</v>
      </c>
      <c r="X19" s="404">
        <v>1</v>
      </c>
      <c r="Y19" s="405" t="s">
        <v>298</v>
      </c>
    </row>
    <row r="20" spans="2:34" s="148" customFormat="1" ht="27" customHeight="1">
      <c r="B20" s="824"/>
      <c r="C20" s="825"/>
      <c r="D20" s="393">
        <v>14</v>
      </c>
      <c r="E20" s="396" t="s">
        <v>414</v>
      </c>
      <c r="F20" s="397">
        <v>3194.0000000000055</v>
      </c>
      <c r="G20" s="398">
        <v>871.13</v>
      </c>
      <c r="H20" s="398">
        <v>870.09000000000015</v>
      </c>
      <c r="I20" s="399">
        <f t="shared" si="10"/>
        <v>0.9988061483360694</v>
      </c>
      <c r="J20" s="398">
        <v>17.010000000000002</v>
      </c>
      <c r="K20" s="399">
        <f t="shared" si="11"/>
        <v>1.9526362311021318E-2</v>
      </c>
      <c r="L20" s="398">
        <v>200</v>
      </c>
      <c r="M20" s="399">
        <f t="shared" si="12"/>
        <v>1.0183325106470906</v>
      </c>
      <c r="N20" s="400">
        <v>3194.0000000000055</v>
      </c>
      <c r="O20" s="398">
        <v>0</v>
      </c>
      <c r="P20" s="399">
        <f t="shared" si="4"/>
        <v>0</v>
      </c>
      <c r="Q20" s="413">
        <f t="shared" si="5"/>
        <v>0</v>
      </c>
      <c r="R20" s="401">
        <f t="shared" si="6"/>
        <v>15.970000000000141</v>
      </c>
      <c r="S20" s="399">
        <f t="shared" si="7"/>
        <v>1.8332510647090721E-2</v>
      </c>
      <c r="T20" s="403" t="s">
        <v>491</v>
      </c>
      <c r="U20" s="403" t="s">
        <v>286</v>
      </c>
      <c r="V20" s="404" t="s">
        <v>618</v>
      </c>
      <c r="W20" s="404" t="s">
        <v>619</v>
      </c>
      <c r="X20" s="404">
        <v>1</v>
      </c>
      <c r="Y20" s="405" t="s">
        <v>311</v>
      </c>
    </row>
    <row r="21" spans="2:34" s="148" customFormat="1" ht="27" customHeight="1">
      <c r="B21" s="824"/>
      <c r="C21" s="825"/>
      <c r="D21" s="393">
        <v>15</v>
      </c>
      <c r="E21" s="396" t="s">
        <v>403</v>
      </c>
      <c r="F21" s="397">
        <v>3084.7212000000063</v>
      </c>
      <c r="G21" s="398">
        <v>252.06</v>
      </c>
      <c r="H21" s="398">
        <v>250.08</v>
      </c>
      <c r="I21" s="399">
        <f t="shared" si="10"/>
        <v>0.99214472744584625</v>
      </c>
      <c r="J21" s="398">
        <v>9.2999999999999989</v>
      </c>
      <c r="K21" s="399">
        <f t="shared" si="11"/>
        <v>3.6895977148298023E-2</v>
      </c>
      <c r="L21" s="398">
        <v>421.40999999999997</v>
      </c>
      <c r="M21" s="399">
        <f t="shared" si="12"/>
        <v>1.0290407045941443</v>
      </c>
      <c r="N21" s="400">
        <v>3084.7212000000063</v>
      </c>
      <c r="O21" s="398">
        <v>0</v>
      </c>
      <c r="P21" s="399">
        <f t="shared" si="4"/>
        <v>0</v>
      </c>
      <c r="Q21" s="413">
        <f t="shared" si="5"/>
        <v>0</v>
      </c>
      <c r="R21" s="401">
        <f t="shared" si="6"/>
        <v>7.3199999999999932</v>
      </c>
      <c r="S21" s="399">
        <f t="shared" si="7"/>
        <v>2.9040704594144224E-2</v>
      </c>
      <c r="T21" s="403" t="s">
        <v>491</v>
      </c>
      <c r="U21" s="403" t="s">
        <v>286</v>
      </c>
      <c r="V21" s="404" t="s">
        <v>620</v>
      </c>
      <c r="W21" s="404" t="s">
        <v>621</v>
      </c>
      <c r="X21" s="404">
        <v>1</v>
      </c>
      <c r="Y21" s="405" t="s">
        <v>168</v>
      </c>
    </row>
    <row r="22" spans="2:34" s="148" customFormat="1" ht="27" customHeight="1">
      <c r="B22" s="824"/>
      <c r="C22" s="825"/>
      <c r="D22" s="393">
        <v>16</v>
      </c>
      <c r="E22" s="396" t="s">
        <v>427</v>
      </c>
      <c r="F22" s="397">
        <v>2975.824500000002</v>
      </c>
      <c r="G22" s="398">
        <v>220.01999999999998</v>
      </c>
      <c r="H22" s="398">
        <v>225.23</v>
      </c>
      <c r="I22" s="399">
        <f t="shared" si="10"/>
        <v>1.023679665484956</v>
      </c>
      <c r="J22" s="398">
        <v>12.3</v>
      </c>
      <c r="K22" s="399">
        <f t="shared" si="11"/>
        <v>5.5904008726479416E-2</v>
      </c>
      <c r="L22" s="398">
        <v>169.95000000000002</v>
      </c>
      <c r="M22" s="399">
        <f t="shared" si="12"/>
        <v>1.0795836742114355</v>
      </c>
      <c r="N22" s="400">
        <v>2975.824500000002</v>
      </c>
      <c r="O22" s="398">
        <v>0</v>
      </c>
      <c r="P22" s="399">
        <f t="shared" si="4"/>
        <v>0</v>
      </c>
      <c r="Q22" s="413">
        <f t="shared" si="5"/>
        <v>0</v>
      </c>
      <c r="R22" s="401">
        <f t="shared" si="6"/>
        <v>17.510000000000019</v>
      </c>
      <c r="S22" s="399">
        <f t="shared" si="7"/>
        <v>7.9583674211435418E-2</v>
      </c>
      <c r="T22" s="403" t="s">
        <v>491</v>
      </c>
      <c r="U22" s="403" t="s">
        <v>286</v>
      </c>
      <c r="V22" s="404" t="s">
        <v>622</v>
      </c>
      <c r="W22" s="404" t="s">
        <v>623</v>
      </c>
      <c r="X22" s="404">
        <v>1</v>
      </c>
      <c r="Y22" s="405" t="s">
        <v>224</v>
      </c>
    </row>
    <row r="23" spans="2:34" s="148" customFormat="1" ht="27" customHeight="1">
      <c r="B23" s="824"/>
      <c r="C23" s="825"/>
      <c r="D23" s="393">
        <v>17</v>
      </c>
      <c r="E23" s="396" t="s">
        <v>405</v>
      </c>
      <c r="F23" s="397">
        <v>2642.5547999999985</v>
      </c>
      <c r="G23" s="398">
        <v>1647.8000000000002</v>
      </c>
      <c r="H23" s="398">
        <v>1592.16</v>
      </c>
      <c r="I23" s="399">
        <f t="shared" si="10"/>
        <v>0.96623376623376622</v>
      </c>
      <c r="J23" s="398">
        <v>99.600000000000023</v>
      </c>
      <c r="K23" s="399">
        <f t="shared" si="11"/>
        <v>6.0444228668527743E-2</v>
      </c>
      <c r="L23" s="398">
        <v>66.13</v>
      </c>
      <c r="M23" s="399">
        <f t="shared" si="12"/>
        <v>1.0266779949022939</v>
      </c>
      <c r="N23" s="400">
        <v>2907.0747999999985</v>
      </c>
      <c r="O23" s="398">
        <v>4</v>
      </c>
      <c r="P23" s="399">
        <f t="shared" si="4"/>
        <v>2.4274790629930814E-3</v>
      </c>
      <c r="Q23" s="413">
        <f t="shared" si="5"/>
        <v>264.52</v>
      </c>
      <c r="R23" s="401">
        <f t="shared" si="6"/>
        <v>39.960000000000036</v>
      </c>
      <c r="S23" s="399">
        <f t="shared" si="7"/>
        <v>2.4250515839300907E-2</v>
      </c>
      <c r="T23" s="403" t="s">
        <v>491</v>
      </c>
      <c r="U23" s="403" t="s">
        <v>286</v>
      </c>
      <c r="V23" s="404" t="s">
        <v>534</v>
      </c>
      <c r="W23" s="404" t="s">
        <v>535</v>
      </c>
      <c r="X23" s="404">
        <v>1</v>
      </c>
      <c r="Y23" s="405" t="s">
        <v>199</v>
      </c>
    </row>
    <row r="24" spans="2:34" s="148" customFormat="1" ht="27" customHeight="1">
      <c r="B24" s="824"/>
      <c r="C24" s="825"/>
      <c r="D24" s="393">
        <v>18</v>
      </c>
      <c r="E24" s="396" t="s">
        <v>375</v>
      </c>
      <c r="F24" s="397">
        <v>2379.3812000000025</v>
      </c>
      <c r="G24" s="398">
        <v>1610.25</v>
      </c>
      <c r="H24" s="398">
        <v>1604.4899999999998</v>
      </c>
      <c r="I24" s="399">
        <f t="shared" si="10"/>
        <v>0.99642291569632035</v>
      </c>
      <c r="J24" s="398">
        <v>37.6</v>
      </c>
      <c r="K24" s="399">
        <f t="shared" si="11"/>
        <v>2.3350411426797082E-2</v>
      </c>
      <c r="L24" s="398">
        <v>94.570000000000007</v>
      </c>
      <c r="M24" s="399">
        <f t="shared" si="12"/>
        <v>1.0197733271231173</v>
      </c>
      <c r="N24" s="400">
        <v>3011.1088000000027</v>
      </c>
      <c r="O24" s="398">
        <v>6.6800000000000006</v>
      </c>
      <c r="P24" s="399">
        <f t="shared" si="4"/>
        <v>4.1484241577394816E-3</v>
      </c>
      <c r="Q24" s="413">
        <f t="shared" si="5"/>
        <v>631.72760000000005</v>
      </c>
      <c r="R24" s="401">
        <f t="shared" si="6"/>
        <v>25.159999999999691</v>
      </c>
      <c r="S24" s="399">
        <f t="shared" si="7"/>
        <v>1.5624902965377855E-2</v>
      </c>
      <c r="T24" s="403" t="s">
        <v>491</v>
      </c>
      <c r="U24" s="403" t="s">
        <v>286</v>
      </c>
      <c r="V24" s="404" t="s">
        <v>624</v>
      </c>
      <c r="W24" s="404" t="s">
        <v>625</v>
      </c>
      <c r="X24" s="404">
        <v>1</v>
      </c>
      <c r="Y24" s="405" t="s">
        <v>219</v>
      </c>
    </row>
    <row r="25" spans="2:34" s="148" customFormat="1" ht="27" customHeight="1">
      <c r="B25" s="824"/>
      <c r="C25" s="825"/>
      <c r="D25" s="393">
        <v>19</v>
      </c>
      <c r="E25" s="396" t="s">
        <v>626</v>
      </c>
      <c r="F25" s="397">
        <v>2372.4323999999988</v>
      </c>
      <c r="G25" s="398">
        <v>119.14000000000001</v>
      </c>
      <c r="H25" s="398">
        <v>119.55000000000001</v>
      </c>
      <c r="I25" s="399">
        <f t="shared" si="10"/>
        <v>1.003441329528286</v>
      </c>
      <c r="J25" s="398">
        <v>5.41</v>
      </c>
      <c r="K25" s="399">
        <f t="shared" si="11"/>
        <v>4.5408762800067143E-2</v>
      </c>
      <c r="L25" s="398">
        <v>485.15999999999997</v>
      </c>
      <c r="M25" s="399">
        <f t="shared" si="12"/>
        <v>1.0488500923283532</v>
      </c>
      <c r="N25" s="400">
        <v>2823.6311999999989</v>
      </c>
      <c r="O25" s="398">
        <v>0.92999999999999994</v>
      </c>
      <c r="P25" s="399">
        <f t="shared" si="4"/>
        <v>7.805942588551283E-3</v>
      </c>
      <c r="Q25" s="413">
        <f t="shared" si="5"/>
        <v>451.19879999999995</v>
      </c>
      <c r="R25" s="401">
        <f t="shared" si="6"/>
        <v>4.8899999999999935</v>
      </c>
      <c r="S25" s="399">
        <f t="shared" si="7"/>
        <v>4.1044149739801854E-2</v>
      </c>
      <c r="T25" s="403" t="s">
        <v>491</v>
      </c>
      <c r="U25" s="403" t="s">
        <v>286</v>
      </c>
      <c r="V25" s="404" t="s">
        <v>627</v>
      </c>
      <c r="W25" s="404" t="s">
        <v>621</v>
      </c>
      <c r="X25" s="404">
        <v>1</v>
      </c>
      <c r="Y25" s="405" t="s">
        <v>201</v>
      </c>
    </row>
    <row r="26" spans="2:34" s="148" customFormat="1" ht="27" customHeight="1">
      <c r="B26" s="826"/>
      <c r="C26" s="827"/>
      <c r="D26" s="393">
        <v>20</v>
      </c>
      <c r="E26" s="396" t="s">
        <v>299</v>
      </c>
      <c r="F26" s="397">
        <v>2324.8549999999909</v>
      </c>
      <c r="G26" s="398">
        <v>1030.0200000000002</v>
      </c>
      <c r="H26" s="398">
        <v>1065.2099999999998</v>
      </c>
      <c r="I26" s="399">
        <f t="shared" si="10"/>
        <v>1.0341643851575693</v>
      </c>
      <c r="J26" s="398">
        <v>0</v>
      </c>
      <c r="K26" s="399">
        <f t="shared" si="11"/>
        <v>0</v>
      </c>
      <c r="L26" s="398">
        <v>152.75</v>
      </c>
      <c r="M26" s="399">
        <f t="shared" si="12"/>
        <v>1.0341643851575693</v>
      </c>
      <c r="N26" s="400">
        <v>5375.2724999999909</v>
      </c>
      <c r="O26" s="398">
        <v>19.97</v>
      </c>
      <c r="P26" s="399">
        <f t="shared" si="4"/>
        <v>1.9387973049067003E-2</v>
      </c>
      <c r="Q26" s="413">
        <f t="shared" si="5"/>
        <v>3050.4175</v>
      </c>
      <c r="R26" s="401">
        <f t="shared" si="6"/>
        <v>15.219999999999601</v>
      </c>
      <c r="S26" s="399">
        <f t="shared" si="7"/>
        <v>1.4776412108502357E-2</v>
      </c>
      <c r="T26" s="403" t="s">
        <v>491</v>
      </c>
      <c r="U26" s="403" t="s">
        <v>286</v>
      </c>
      <c r="V26" s="404" t="s">
        <v>628</v>
      </c>
      <c r="W26" s="404" t="s">
        <v>605</v>
      </c>
      <c r="X26" s="404">
        <v>1</v>
      </c>
      <c r="Y26" s="405" t="s">
        <v>298</v>
      </c>
      <c r="AC26" s="409"/>
    </row>
    <row r="27" spans="2:34" ht="16.5" customHeight="1">
      <c r="B27" s="844" t="s">
        <v>478</v>
      </c>
      <c r="C27" s="845"/>
      <c r="D27" s="850" t="s">
        <v>479</v>
      </c>
      <c r="E27" s="850"/>
      <c r="F27" s="850"/>
      <c r="G27" s="850" t="s">
        <v>480</v>
      </c>
      <c r="H27" s="850"/>
      <c r="I27" s="850"/>
      <c r="J27" s="850"/>
      <c r="K27" s="850"/>
      <c r="L27" s="850"/>
      <c r="M27" s="850"/>
      <c r="N27" s="850"/>
      <c r="O27" s="850"/>
      <c r="P27" s="850"/>
      <c r="Q27" s="850"/>
      <c r="R27" s="850"/>
      <c r="S27" s="850"/>
      <c r="T27" s="850" t="s">
        <v>481</v>
      </c>
      <c r="U27" s="835" t="s">
        <v>482</v>
      </c>
      <c r="V27" s="855" t="s">
        <v>600</v>
      </c>
      <c r="W27" s="855" t="s">
        <v>484</v>
      </c>
      <c r="X27" s="831" t="s">
        <v>485</v>
      </c>
      <c r="Y27" s="834" t="s">
        <v>486</v>
      </c>
      <c r="AA27" s="850" t="s">
        <v>487</v>
      </c>
      <c r="AB27" s="850"/>
      <c r="AC27" s="850"/>
      <c r="AD27" s="850"/>
      <c r="AE27" s="850"/>
      <c r="AF27" s="850"/>
      <c r="AG27" s="850"/>
      <c r="AH27" s="850"/>
    </row>
    <row r="28" spans="2:34" ht="17.100000000000001" customHeight="1">
      <c r="B28" s="846"/>
      <c r="C28" s="847"/>
      <c r="D28" s="851" t="s">
        <v>488</v>
      </c>
      <c r="E28" s="850" t="s">
        <v>489</v>
      </c>
      <c r="F28" s="850"/>
      <c r="G28" s="850" t="s">
        <v>490</v>
      </c>
      <c r="H28" s="850"/>
      <c r="I28" s="850"/>
      <c r="J28" s="850"/>
      <c r="K28" s="850"/>
      <c r="L28" s="850"/>
      <c r="M28" s="850"/>
      <c r="N28" s="850"/>
      <c r="O28" s="850" t="s">
        <v>491</v>
      </c>
      <c r="P28" s="850"/>
      <c r="Q28" s="850"/>
      <c r="R28" s="850"/>
      <c r="S28" s="850"/>
      <c r="T28" s="850"/>
      <c r="U28" s="838"/>
      <c r="V28" s="832"/>
      <c r="W28" s="856"/>
      <c r="X28" s="832"/>
      <c r="Y28" s="834"/>
      <c r="AA28" s="850"/>
      <c r="AB28" s="850"/>
      <c r="AC28" s="850"/>
      <c r="AD28" s="850"/>
      <c r="AE28" s="850"/>
      <c r="AF28" s="850"/>
      <c r="AG28" s="850"/>
      <c r="AH28" s="850"/>
    </row>
    <row r="29" spans="2:34" ht="17.100000000000001" customHeight="1">
      <c r="B29" s="846"/>
      <c r="C29" s="847"/>
      <c r="D29" s="851"/>
      <c r="E29" s="851" t="s">
        <v>492</v>
      </c>
      <c r="F29" s="858" t="s">
        <v>601</v>
      </c>
      <c r="G29" s="852" t="s">
        <v>494</v>
      </c>
      <c r="H29" s="852"/>
      <c r="I29" s="852"/>
      <c r="J29" s="852"/>
      <c r="K29" s="852"/>
      <c r="L29" s="852"/>
      <c r="M29" s="852"/>
      <c r="N29" s="852"/>
      <c r="O29" s="859" t="s">
        <v>495</v>
      </c>
      <c r="P29" s="860"/>
      <c r="Q29" s="861"/>
      <c r="R29" s="852" t="s">
        <v>496</v>
      </c>
      <c r="S29" s="852"/>
      <c r="T29" s="850"/>
      <c r="U29" s="838"/>
      <c r="V29" s="832"/>
      <c r="W29" s="856"/>
      <c r="X29" s="832"/>
      <c r="Y29" s="834"/>
      <c r="AA29" s="850"/>
      <c r="AB29" s="850"/>
      <c r="AC29" s="850"/>
      <c r="AD29" s="850"/>
      <c r="AE29" s="850"/>
      <c r="AF29" s="850"/>
      <c r="AG29" s="850"/>
      <c r="AH29" s="850"/>
    </row>
    <row r="30" spans="2:34" ht="38.450000000000003" customHeight="1">
      <c r="B30" s="848"/>
      <c r="C30" s="849"/>
      <c r="D30" s="851"/>
      <c r="E30" s="851"/>
      <c r="F30" s="858"/>
      <c r="G30" s="394" t="s">
        <v>497</v>
      </c>
      <c r="H30" s="394" t="s">
        <v>498</v>
      </c>
      <c r="I30" s="394" t="s">
        <v>499</v>
      </c>
      <c r="J30" s="394" t="s">
        <v>500</v>
      </c>
      <c r="K30" s="394" t="s">
        <v>501</v>
      </c>
      <c r="L30" s="394" t="s">
        <v>502</v>
      </c>
      <c r="M30" s="394" t="s">
        <v>503</v>
      </c>
      <c r="N30" s="394" t="s">
        <v>504</v>
      </c>
      <c r="O30" s="395" t="s">
        <v>505</v>
      </c>
      <c r="P30" s="395" t="s">
        <v>506</v>
      </c>
      <c r="Q30" s="394" t="s">
        <v>507</v>
      </c>
      <c r="R30" s="395" t="s">
        <v>505</v>
      </c>
      <c r="S30" s="395" t="s">
        <v>506</v>
      </c>
      <c r="T30" s="850"/>
      <c r="U30" s="841"/>
      <c r="V30" s="833"/>
      <c r="W30" s="857"/>
      <c r="X30" s="833"/>
      <c r="Y30" s="834"/>
      <c r="AA30" s="161" t="s">
        <v>508</v>
      </c>
      <c r="AB30" s="161" t="s">
        <v>509</v>
      </c>
      <c r="AC30" s="156" t="s">
        <v>510</v>
      </c>
      <c r="AD30" s="156" t="s">
        <v>511</v>
      </c>
      <c r="AE30" s="156" t="s">
        <v>286</v>
      </c>
      <c r="AF30" s="156" t="s">
        <v>318</v>
      </c>
      <c r="AG30" s="156" t="s">
        <v>321</v>
      </c>
      <c r="AH30" s="156" t="s">
        <v>512</v>
      </c>
    </row>
    <row r="31" spans="2:34" s="148" customFormat="1" ht="27" customHeight="1">
      <c r="B31" s="822" t="s">
        <v>550</v>
      </c>
      <c r="C31" s="823"/>
      <c r="D31" s="393">
        <v>1</v>
      </c>
      <c r="E31" s="396" t="s">
        <v>336</v>
      </c>
      <c r="F31" s="397">
        <v>19513.834799999993</v>
      </c>
      <c r="G31" s="398">
        <v>4142.12</v>
      </c>
      <c r="H31" s="398">
        <v>4063.08</v>
      </c>
      <c r="I31" s="399">
        <f>H31/G31</f>
        <v>0.98091798402750285</v>
      </c>
      <c r="J31" s="398">
        <v>214.9</v>
      </c>
      <c r="K31" s="399">
        <f>J31/G31</f>
        <v>5.1881645147895283E-2</v>
      </c>
      <c r="L31" s="398">
        <v>147.43000000000004</v>
      </c>
      <c r="M31" s="399">
        <f>(H31+J31)/G31</f>
        <v>1.032799629175398</v>
      </c>
      <c r="N31" s="400">
        <v>20029.839799999994</v>
      </c>
      <c r="O31" s="398">
        <v>3.5</v>
      </c>
      <c r="P31" s="399">
        <f>O31/G31</f>
        <v>8.4497793400480916E-4</v>
      </c>
      <c r="Q31" s="413">
        <f>O31*L31</f>
        <v>516.00500000000011</v>
      </c>
      <c r="R31" s="401">
        <f>((H31+J31)-G31)-O31</f>
        <v>132.35999999999967</v>
      </c>
      <c r="S31" s="399">
        <f>R31/G31</f>
        <v>3.1954651241393218E-2</v>
      </c>
      <c r="T31" s="403" t="s">
        <v>491</v>
      </c>
      <c r="U31" s="403" t="s">
        <v>318</v>
      </c>
      <c r="V31" s="404" t="s">
        <v>602</v>
      </c>
      <c r="W31" s="404" t="s">
        <v>603</v>
      </c>
      <c r="X31" s="404">
        <v>1</v>
      </c>
      <c r="Y31" s="405" t="s">
        <v>311</v>
      </c>
      <c r="Z31" s="406" t="s">
        <v>517</v>
      </c>
      <c r="AA31" s="407">
        <f>SUM(X31:X50)</f>
        <v>20</v>
      </c>
      <c r="AB31" s="408">
        <f>SUMIF($U$31:$U$50,TRIM(AB30),$X$31:$X$50)</f>
        <v>0</v>
      </c>
      <c r="AC31" s="408">
        <f t="shared" ref="AC31:AH31" si="13">SUMIF($U$31:$U$50,TRIM(AC30),$X$31:$X$50)</f>
        <v>0</v>
      </c>
      <c r="AD31" s="408">
        <f t="shared" si="13"/>
        <v>0</v>
      </c>
      <c r="AE31" s="408">
        <f t="shared" si="13"/>
        <v>16</v>
      </c>
      <c r="AF31" s="408">
        <f t="shared" si="13"/>
        <v>1</v>
      </c>
      <c r="AG31" s="408">
        <f t="shared" si="13"/>
        <v>3</v>
      </c>
      <c r="AH31" s="408">
        <f t="shared" si="13"/>
        <v>0</v>
      </c>
    </row>
    <row r="32" spans="2:34" s="148" customFormat="1" ht="27" customHeight="1">
      <c r="B32" s="824"/>
      <c r="C32" s="825"/>
      <c r="D32" s="393">
        <v>2</v>
      </c>
      <c r="E32" s="396" t="s">
        <v>326</v>
      </c>
      <c r="F32" s="397">
        <v>13249.33759999999</v>
      </c>
      <c r="G32" s="398">
        <v>3782.59</v>
      </c>
      <c r="H32" s="398">
        <v>3670.91</v>
      </c>
      <c r="I32" s="399">
        <f t="shared" ref="I32:I33" si="14">H32/G32</f>
        <v>0.97047525637195675</v>
      </c>
      <c r="J32" s="398">
        <v>215.32</v>
      </c>
      <c r="K32" s="399">
        <f t="shared" ref="K32:K37" si="15">J32/G32</f>
        <v>5.6923959509225158E-2</v>
      </c>
      <c r="L32" s="398">
        <v>127.84000000000002</v>
      </c>
      <c r="M32" s="399">
        <f t="shared" ref="M32:M37" si="16">(H32+J32)/G32</f>
        <v>1.027399215881182</v>
      </c>
      <c r="N32" s="400">
        <v>13249.33759999999</v>
      </c>
      <c r="O32" s="398">
        <v>0</v>
      </c>
      <c r="P32" s="399">
        <f t="shared" ref="P32:P50" si="17">O32/G32</f>
        <v>0</v>
      </c>
      <c r="Q32" s="413">
        <f t="shared" ref="Q32:Q50" si="18">O32*L32</f>
        <v>0</v>
      </c>
      <c r="R32" s="401">
        <f t="shared" ref="R32:R50" si="19">((H32+J32)-G32)-O32</f>
        <v>103.63999999999987</v>
      </c>
      <c r="S32" s="399">
        <f t="shared" ref="S32:S50" si="20">R32/G32</f>
        <v>2.7399215881181906E-2</v>
      </c>
      <c r="T32" s="403" t="s">
        <v>491</v>
      </c>
      <c r="U32" s="403" t="s">
        <v>286</v>
      </c>
      <c r="V32" s="404" t="s">
        <v>608</v>
      </c>
      <c r="W32" s="404" t="s">
        <v>629</v>
      </c>
      <c r="X32" s="404">
        <v>1</v>
      </c>
      <c r="Y32" s="405" t="s">
        <v>311</v>
      </c>
      <c r="AA32" s="407"/>
      <c r="AB32" s="414">
        <f>SUMIF($U$31:$U$50,TRIM(AB30),$F$31:$F$50)</f>
        <v>0</v>
      </c>
      <c r="AC32" s="414">
        <f t="shared" ref="AC32:AH32" si="21">SUMIF($U$31:$U$50,TRIM(AC30),$F$31:$F$50)</f>
        <v>0</v>
      </c>
      <c r="AD32" s="414">
        <f t="shared" si="21"/>
        <v>0</v>
      </c>
      <c r="AE32" s="414">
        <f t="shared" si="21"/>
        <v>65756.071100000016</v>
      </c>
      <c r="AF32" s="414">
        <f t="shared" si="21"/>
        <v>19513.834799999993</v>
      </c>
      <c r="AG32" s="414">
        <f t="shared" si="21"/>
        <v>10625.95149999999</v>
      </c>
      <c r="AH32" s="414">
        <f t="shared" si="21"/>
        <v>0</v>
      </c>
    </row>
    <row r="33" spans="2:34" s="148" customFormat="1" ht="27" customHeight="1">
      <c r="B33" s="824"/>
      <c r="C33" s="825"/>
      <c r="D33" s="393">
        <v>3</v>
      </c>
      <c r="E33" s="396" t="s">
        <v>328</v>
      </c>
      <c r="F33" s="397">
        <v>6283.452000000002</v>
      </c>
      <c r="G33" s="398">
        <v>1387.8300000000002</v>
      </c>
      <c r="H33" s="398">
        <v>1361.8400000000001</v>
      </c>
      <c r="I33" s="399">
        <f t="shared" si="14"/>
        <v>0.98127292247609577</v>
      </c>
      <c r="J33" s="398">
        <v>69.909999999999982</v>
      </c>
      <c r="K33" s="399">
        <f t="shared" si="15"/>
        <v>5.0373604836327197E-2</v>
      </c>
      <c r="L33" s="398">
        <v>144.78</v>
      </c>
      <c r="M33" s="399">
        <f t="shared" si="16"/>
        <v>1.0316465273124231</v>
      </c>
      <c r="N33" s="400">
        <v>6358.7376000000022</v>
      </c>
      <c r="O33" s="398">
        <v>0.52</v>
      </c>
      <c r="P33" s="399">
        <f t="shared" si="17"/>
        <v>3.7468566034744885E-4</v>
      </c>
      <c r="Q33" s="413">
        <f t="shared" si="18"/>
        <v>75.285600000000002</v>
      </c>
      <c r="R33" s="401">
        <f t="shared" si="19"/>
        <v>43.40000000000007</v>
      </c>
      <c r="S33" s="399">
        <f t="shared" si="20"/>
        <v>3.127184165207559E-2</v>
      </c>
      <c r="T33" s="403" t="s">
        <v>491</v>
      </c>
      <c r="U33" s="403" t="s">
        <v>286</v>
      </c>
      <c r="V33" s="404" t="s">
        <v>604</v>
      </c>
      <c r="W33" s="404" t="s">
        <v>630</v>
      </c>
      <c r="X33" s="404">
        <v>1</v>
      </c>
      <c r="Y33" s="405" t="s">
        <v>204</v>
      </c>
      <c r="AA33" s="393"/>
      <c r="AB33" s="415">
        <f>AB31/$AA31</f>
        <v>0</v>
      </c>
      <c r="AC33" s="415">
        <f t="shared" ref="AC33:AH33" si="22">AC31/$AA31</f>
        <v>0</v>
      </c>
      <c r="AD33" s="415">
        <f t="shared" si="22"/>
        <v>0</v>
      </c>
      <c r="AE33" s="415">
        <f t="shared" si="22"/>
        <v>0.8</v>
      </c>
      <c r="AF33" s="415">
        <f t="shared" si="22"/>
        <v>0.05</v>
      </c>
      <c r="AG33" s="415">
        <f t="shared" si="22"/>
        <v>0.15</v>
      </c>
      <c r="AH33" s="415">
        <f t="shared" si="22"/>
        <v>0</v>
      </c>
    </row>
    <row r="34" spans="2:34" s="148" customFormat="1" ht="27" customHeight="1">
      <c r="B34" s="824"/>
      <c r="C34" s="825"/>
      <c r="D34" s="393">
        <v>4</v>
      </c>
      <c r="E34" s="396" t="s">
        <v>330</v>
      </c>
      <c r="F34" s="397">
        <v>4805.3379000000059</v>
      </c>
      <c r="G34" s="398">
        <v>1129.68</v>
      </c>
      <c r="H34" s="398">
        <v>1103.6400000000001</v>
      </c>
      <c r="I34" s="399">
        <f>H34/G34</f>
        <v>0.97694922455916722</v>
      </c>
      <c r="J34" s="398">
        <v>80.710000000000008</v>
      </c>
      <c r="K34" s="399">
        <f t="shared" si="15"/>
        <v>7.1445010976559739E-2</v>
      </c>
      <c r="L34" s="398">
        <v>99.51</v>
      </c>
      <c r="M34" s="399">
        <f t="shared" si="16"/>
        <v>1.048394235535727</v>
      </c>
      <c r="N34" s="400">
        <v>5440.2117000000053</v>
      </c>
      <c r="O34" s="398">
        <v>6.38</v>
      </c>
      <c r="P34" s="399">
        <f t="shared" si="17"/>
        <v>5.6476170242900636E-3</v>
      </c>
      <c r="Q34" s="413">
        <f t="shared" si="18"/>
        <v>634.87380000000007</v>
      </c>
      <c r="R34" s="401">
        <f t="shared" si="19"/>
        <v>48.29000000000007</v>
      </c>
      <c r="S34" s="399">
        <f t="shared" si="20"/>
        <v>4.2746618511436928E-2</v>
      </c>
      <c r="T34" s="403" t="s">
        <v>491</v>
      </c>
      <c r="U34" s="403" t="s">
        <v>286</v>
      </c>
      <c r="V34" s="404" t="s">
        <v>606</v>
      </c>
      <c r="W34" s="404" t="s">
        <v>607</v>
      </c>
      <c r="X34" s="404">
        <v>1</v>
      </c>
      <c r="Y34" s="405" t="s">
        <v>200</v>
      </c>
    </row>
    <row r="35" spans="2:34" s="148" customFormat="1" ht="27" customHeight="1">
      <c r="B35" s="824"/>
      <c r="C35" s="825"/>
      <c r="D35" s="393">
        <v>5</v>
      </c>
      <c r="E35" s="396" t="s">
        <v>405</v>
      </c>
      <c r="F35" s="397">
        <v>4704.4882000000034</v>
      </c>
      <c r="G35" s="398">
        <v>1709.3999999999999</v>
      </c>
      <c r="H35" s="398">
        <v>1683.5100000000002</v>
      </c>
      <c r="I35" s="399">
        <f t="shared" ref="I35:I50" si="23">H35/G35</f>
        <v>0.98485433485433505</v>
      </c>
      <c r="J35" s="398">
        <v>105.14</v>
      </c>
      <c r="K35" s="399">
        <f t="shared" si="15"/>
        <v>6.1506961506961513E-2</v>
      </c>
      <c r="L35" s="398">
        <v>66.13</v>
      </c>
      <c r="M35" s="399">
        <f t="shared" si="16"/>
        <v>1.0463612963612967</v>
      </c>
      <c r="N35" s="400">
        <v>5240.8025000000034</v>
      </c>
      <c r="O35" s="398">
        <v>8.11</v>
      </c>
      <c r="P35" s="399">
        <f t="shared" si="17"/>
        <v>4.7443547443547446E-3</v>
      </c>
      <c r="Q35" s="413">
        <f t="shared" si="18"/>
        <v>536.31429999999989</v>
      </c>
      <c r="R35" s="401">
        <f t="shared" si="19"/>
        <v>71.140000000000455</v>
      </c>
      <c r="S35" s="399">
        <f t="shared" si="20"/>
        <v>4.1616941616941884E-2</v>
      </c>
      <c r="T35" s="403" t="s">
        <v>491</v>
      </c>
      <c r="U35" s="403" t="s">
        <v>286</v>
      </c>
      <c r="V35" s="404" t="s">
        <v>606</v>
      </c>
      <c r="W35" s="404" t="s">
        <v>607</v>
      </c>
      <c r="X35" s="404">
        <v>1</v>
      </c>
      <c r="Y35" s="405" t="s">
        <v>199</v>
      </c>
    </row>
    <row r="36" spans="2:34" s="148" customFormat="1" ht="27" customHeight="1">
      <c r="B36" s="824"/>
      <c r="C36" s="825"/>
      <c r="D36" s="393">
        <v>6</v>
      </c>
      <c r="E36" s="396" t="s">
        <v>340</v>
      </c>
      <c r="F36" s="397">
        <v>4451.4051999999983</v>
      </c>
      <c r="G36" s="398">
        <v>1847.07</v>
      </c>
      <c r="H36" s="398">
        <v>1784.2299999999998</v>
      </c>
      <c r="I36" s="399">
        <f t="shared" si="23"/>
        <v>0.9659785498113227</v>
      </c>
      <c r="J36" s="398">
        <v>127.9</v>
      </c>
      <c r="K36" s="399">
        <f t="shared" si="15"/>
        <v>6.9244803932715066E-2</v>
      </c>
      <c r="L36" s="398">
        <v>68.42</v>
      </c>
      <c r="M36" s="399">
        <f t="shared" si="16"/>
        <v>1.0352233537440378</v>
      </c>
      <c r="N36" s="400">
        <v>4451.4051999999983</v>
      </c>
      <c r="O36" s="398">
        <v>0</v>
      </c>
      <c r="P36" s="399">
        <f t="shared" si="17"/>
        <v>0</v>
      </c>
      <c r="Q36" s="413">
        <f t="shared" si="18"/>
        <v>0</v>
      </c>
      <c r="R36" s="401">
        <f t="shared" si="19"/>
        <v>65.059999999999945</v>
      </c>
      <c r="S36" s="399">
        <f t="shared" si="20"/>
        <v>3.5223353744037823E-2</v>
      </c>
      <c r="T36" s="403" t="s">
        <v>491</v>
      </c>
      <c r="U36" s="403" t="s">
        <v>321</v>
      </c>
      <c r="V36" s="404" t="s">
        <v>606</v>
      </c>
      <c r="W36" s="404" t="s">
        <v>607</v>
      </c>
      <c r="X36" s="404">
        <v>1</v>
      </c>
      <c r="Y36" s="405" t="s">
        <v>221</v>
      </c>
    </row>
    <row r="37" spans="2:34" s="148" customFormat="1" ht="27" customHeight="1">
      <c r="B37" s="824"/>
      <c r="C37" s="825"/>
      <c r="D37" s="393">
        <v>7</v>
      </c>
      <c r="E37" s="396" t="s">
        <v>420</v>
      </c>
      <c r="F37" s="397">
        <v>3902.2839999999987</v>
      </c>
      <c r="G37" s="398">
        <v>410.91</v>
      </c>
      <c r="H37" s="398">
        <v>404.88</v>
      </c>
      <c r="I37" s="399">
        <f t="shared" si="23"/>
        <v>0.98532525370519086</v>
      </c>
      <c r="J37" s="398">
        <v>16.830000000000002</v>
      </c>
      <c r="K37" s="399">
        <f t="shared" si="15"/>
        <v>4.0957873987004456E-2</v>
      </c>
      <c r="L37" s="398">
        <v>368.13999999999993</v>
      </c>
      <c r="M37" s="399">
        <f t="shared" si="16"/>
        <v>1.0262831276921953</v>
      </c>
      <c r="N37" s="400">
        <v>3975.9119999999984</v>
      </c>
      <c r="O37" s="398">
        <v>0.2</v>
      </c>
      <c r="P37" s="399">
        <f t="shared" si="17"/>
        <v>4.8672458689250688E-4</v>
      </c>
      <c r="Q37" s="413">
        <f t="shared" si="18"/>
        <v>73.627999999999986</v>
      </c>
      <c r="R37" s="401">
        <f t="shared" si="19"/>
        <v>10.599999999999955</v>
      </c>
      <c r="S37" s="399">
        <f t="shared" si="20"/>
        <v>2.5796403105302755E-2</v>
      </c>
      <c r="T37" s="403" t="s">
        <v>491</v>
      </c>
      <c r="U37" s="403" t="s">
        <v>286</v>
      </c>
      <c r="V37" s="404" t="s">
        <v>611</v>
      </c>
      <c r="W37" s="404" t="s">
        <v>631</v>
      </c>
      <c r="X37" s="404">
        <v>1</v>
      </c>
      <c r="Y37" s="405" t="s">
        <v>214</v>
      </c>
    </row>
    <row r="38" spans="2:34" s="148" customFormat="1" ht="27" customHeight="1">
      <c r="B38" s="824"/>
      <c r="C38" s="825"/>
      <c r="D38" s="393">
        <v>8</v>
      </c>
      <c r="E38" s="396" t="s">
        <v>332</v>
      </c>
      <c r="F38" s="397">
        <v>3832.5011999999997</v>
      </c>
      <c r="G38" s="398">
        <v>653.73</v>
      </c>
      <c r="H38" s="398">
        <v>616.77</v>
      </c>
      <c r="I38" s="399">
        <f t="shared" si="23"/>
        <v>0.9434628975265017</v>
      </c>
      <c r="J38" s="398">
        <v>64.7</v>
      </c>
      <c r="K38" s="399">
        <f>J38/G38</f>
        <v>9.8970522998791555E-2</v>
      </c>
      <c r="L38" s="398">
        <v>160.49</v>
      </c>
      <c r="M38" s="399">
        <f>(H38+J38)/G38</f>
        <v>1.0424334205252934</v>
      </c>
      <c r="N38" s="400">
        <v>4451.9925999999987</v>
      </c>
      <c r="O38" s="398">
        <v>3.86</v>
      </c>
      <c r="P38" s="399">
        <f t="shared" si="17"/>
        <v>5.9045783427408866E-3</v>
      </c>
      <c r="Q38" s="413">
        <f t="shared" si="18"/>
        <v>619.4914</v>
      </c>
      <c r="R38" s="401">
        <f t="shared" si="19"/>
        <v>23.88000000000001</v>
      </c>
      <c r="S38" s="399">
        <f t="shared" si="20"/>
        <v>3.6528842182552444E-2</v>
      </c>
      <c r="T38" s="403" t="s">
        <v>491</v>
      </c>
      <c r="U38" s="403" t="s">
        <v>286</v>
      </c>
      <c r="V38" s="404" t="s">
        <v>608</v>
      </c>
      <c r="W38" s="404" t="s">
        <v>629</v>
      </c>
      <c r="X38" s="404">
        <v>1</v>
      </c>
      <c r="Y38" s="405" t="s">
        <v>214</v>
      </c>
    </row>
    <row r="39" spans="2:34" s="148" customFormat="1" ht="27" customHeight="1">
      <c r="B39" s="824"/>
      <c r="C39" s="825"/>
      <c r="D39" s="393">
        <v>9</v>
      </c>
      <c r="E39" s="396" t="s">
        <v>414</v>
      </c>
      <c r="F39" s="397">
        <v>3766.0000000000032</v>
      </c>
      <c r="G39" s="398">
        <v>868.08000000000015</v>
      </c>
      <c r="H39" s="398">
        <v>860.03000000000009</v>
      </c>
      <c r="I39" s="399">
        <f t="shared" si="23"/>
        <v>0.9907266611372223</v>
      </c>
      <c r="J39" s="398">
        <v>27.33</v>
      </c>
      <c r="K39" s="399">
        <f t="shared" ref="K39:K50" si="24">J39/G39</f>
        <v>3.1483273431020177E-2</v>
      </c>
      <c r="L39" s="398">
        <v>200</v>
      </c>
      <c r="M39" s="399">
        <f t="shared" ref="M39:M50" si="25">(H39+J39)/G39</f>
        <v>1.0222099345682425</v>
      </c>
      <c r="N39" s="400">
        <v>3856.0000000000032</v>
      </c>
      <c r="O39" s="398">
        <v>0.45</v>
      </c>
      <c r="P39" s="399">
        <f t="shared" si="17"/>
        <v>5.1838540226707209E-4</v>
      </c>
      <c r="Q39" s="413">
        <f t="shared" si="18"/>
        <v>90</v>
      </c>
      <c r="R39" s="401">
        <f t="shared" si="19"/>
        <v>18.829999999999973</v>
      </c>
      <c r="S39" s="399">
        <f t="shared" si="20"/>
        <v>2.1691549165975453E-2</v>
      </c>
      <c r="T39" s="403" t="s">
        <v>491</v>
      </c>
      <c r="U39" s="403" t="s">
        <v>286</v>
      </c>
      <c r="V39" s="404" t="s">
        <v>618</v>
      </c>
      <c r="W39" s="404" t="s">
        <v>632</v>
      </c>
      <c r="X39" s="404">
        <v>1</v>
      </c>
      <c r="Y39" s="405" t="s">
        <v>311</v>
      </c>
    </row>
    <row r="40" spans="2:34" s="148" customFormat="1" ht="27" customHeight="1">
      <c r="B40" s="824"/>
      <c r="C40" s="825"/>
      <c r="D40" s="393">
        <v>10</v>
      </c>
      <c r="E40" s="396" t="s">
        <v>338</v>
      </c>
      <c r="F40" s="397">
        <v>3453.9647999999934</v>
      </c>
      <c r="G40" s="398">
        <v>2257.3199999999997</v>
      </c>
      <c r="H40" s="398">
        <v>2160.2399999999998</v>
      </c>
      <c r="I40" s="399">
        <f t="shared" si="23"/>
        <v>0.95699324863112012</v>
      </c>
      <c r="J40" s="398">
        <v>159.70000000000002</v>
      </c>
      <c r="K40" s="399">
        <f t="shared" si="24"/>
        <v>7.0747612212712432E-2</v>
      </c>
      <c r="L40" s="398">
        <v>65.12</v>
      </c>
      <c r="M40" s="399">
        <f t="shared" si="25"/>
        <v>1.0277408608438325</v>
      </c>
      <c r="N40" s="400">
        <v>4077.8143999999929</v>
      </c>
      <c r="O40" s="398">
        <v>9.58</v>
      </c>
      <c r="P40" s="399">
        <f t="shared" si="17"/>
        <v>4.2439707263480595E-3</v>
      </c>
      <c r="Q40" s="413">
        <f t="shared" si="18"/>
        <v>623.84960000000001</v>
      </c>
      <c r="R40" s="401">
        <f t="shared" si="19"/>
        <v>53.039999999999893</v>
      </c>
      <c r="S40" s="399">
        <f t="shared" si="20"/>
        <v>2.3496890117484407E-2</v>
      </c>
      <c r="T40" s="403" t="s">
        <v>491</v>
      </c>
      <c r="U40" s="403" t="s">
        <v>321</v>
      </c>
      <c r="V40" s="404" t="s">
        <v>606</v>
      </c>
      <c r="W40" s="404" t="s">
        <v>607</v>
      </c>
      <c r="X40" s="404">
        <v>1</v>
      </c>
      <c r="Y40" s="405" t="s">
        <v>224</v>
      </c>
    </row>
    <row r="41" spans="2:34" s="148" customFormat="1" ht="27" customHeight="1">
      <c r="B41" s="824"/>
      <c r="C41" s="825"/>
      <c r="D41" s="393">
        <v>11</v>
      </c>
      <c r="E41" s="396" t="s">
        <v>613</v>
      </c>
      <c r="F41" s="397">
        <v>3432.3535999999976</v>
      </c>
      <c r="G41" s="398">
        <v>1587.3200000000002</v>
      </c>
      <c r="H41" s="398">
        <v>1515.9800000000002</v>
      </c>
      <c r="I41" s="399">
        <f t="shared" si="23"/>
        <v>0.9550563213466724</v>
      </c>
      <c r="J41" s="398">
        <v>123.9</v>
      </c>
      <c r="K41" s="399">
        <f t="shared" si="24"/>
        <v>7.805609454930322E-2</v>
      </c>
      <c r="L41" s="398">
        <v>70.220000000000013</v>
      </c>
      <c r="M41" s="399">
        <f t="shared" si="25"/>
        <v>1.0331124158959757</v>
      </c>
      <c r="N41" s="400">
        <v>3690.7631999999976</v>
      </c>
      <c r="O41" s="398">
        <v>3.68</v>
      </c>
      <c r="P41" s="399">
        <f t="shared" si="17"/>
        <v>2.3183731068719599E-3</v>
      </c>
      <c r="Q41" s="413">
        <f t="shared" si="18"/>
        <v>258.40960000000007</v>
      </c>
      <c r="R41" s="401">
        <f t="shared" si="19"/>
        <v>48.880000000000173</v>
      </c>
      <c r="S41" s="399">
        <f t="shared" si="20"/>
        <v>3.0794042789103752E-2</v>
      </c>
      <c r="T41" s="403" t="s">
        <v>491</v>
      </c>
      <c r="U41" s="403" t="s">
        <v>286</v>
      </c>
      <c r="V41" s="404" t="s">
        <v>606</v>
      </c>
      <c r="W41" s="404" t="s">
        <v>607</v>
      </c>
      <c r="X41" s="404">
        <v>1</v>
      </c>
      <c r="Y41" s="405" t="s">
        <v>201</v>
      </c>
    </row>
    <row r="42" spans="2:34" s="148" customFormat="1" ht="27" customHeight="1">
      <c r="B42" s="824"/>
      <c r="C42" s="825"/>
      <c r="D42" s="393">
        <v>12</v>
      </c>
      <c r="E42" s="396" t="s">
        <v>633</v>
      </c>
      <c r="F42" s="397">
        <v>3081.3600000000019</v>
      </c>
      <c r="G42" s="398">
        <v>860.86</v>
      </c>
      <c r="H42" s="398">
        <v>857.24</v>
      </c>
      <c r="I42" s="399">
        <f t="shared" si="23"/>
        <v>0.99579490277164695</v>
      </c>
      <c r="J42" s="398">
        <v>31.85</v>
      </c>
      <c r="K42" s="399">
        <f t="shared" si="24"/>
        <v>3.699788583509514E-2</v>
      </c>
      <c r="L42" s="398">
        <v>128.38999999999999</v>
      </c>
      <c r="M42" s="399">
        <f t="shared" si="25"/>
        <v>1.0327927886067421</v>
      </c>
      <c r="N42" s="400">
        <v>3624.4497000000019</v>
      </c>
      <c r="O42" s="398">
        <v>4.2300000000000004</v>
      </c>
      <c r="P42" s="399">
        <f t="shared" si="17"/>
        <v>4.9136909602025885E-3</v>
      </c>
      <c r="Q42" s="413">
        <f t="shared" si="18"/>
        <v>543.08969999999999</v>
      </c>
      <c r="R42" s="401">
        <f t="shared" si="19"/>
        <v>24.000000000000018</v>
      </c>
      <c r="S42" s="399">
        <f t="shared" si="20"/>
        <v>2.7879097646539529E-2</v>
      </c>
      <c r="T42" s="403" t="s">
        <v>491</v>
      </c>
      <c r="U42" s="403" t="s">
        <v>286</v>
      </c>
      <c r="V42" s="404" t="s">
        <v>622</v>
      </c>
      <c r="W42" s="404" t="s">
        <v>623</v>
      </c>
      <c r="X42" s="404">
        <v>1</v>
      </c>
      <c r="Y42" s="405" t="s">
        <v>209</v>
      </c>
    </row>
    <row r="43" spans="2:34" s="148" customFormat="1" ht="27" customHeight="1">
      <c r="B43" s="824"/>
      <c r="C43" s="825"/>
      <c r="D43" s="393">
        <v>13</v>
      </c>
      <c r="E43" s="396" t="s">
        <v>403</v>
      </c>
      <c r="F43" s="397">
        <v>3051.0084000000024</v>
      </c>
      <c r="G43" s="398">
        <v>245.27999999999997</v>
      </c>
      <c r="H43" s="398">
        <v>239.73000000000002</v>
      </c>
      <c r="I43" s="399">
        <f t="shared" si="23"/>
        <v>0.97737279843444247</v>
      </c>
      <c r="J43" s="398">
        <v>13.769999999999998</v>
      </c>
      <c r="K43" s="399">
        <f t="shared" si="24"/>
        <v>5.6139921722113503E-2</v>
      </c>
      <c r="L43" s="398">
        <v>421.40999999999997</v>
      </c>
      <c r="M43" s="399">
        <f t="shared" si="25"/>
        <v>1.0335127201565559</v>
      </c>
      <c r="N43" s="400">
        <v>3463.9902000000029</v>
      </c>
      <c r="O43" s="398">
        <v>0.98</v>
      </c>
      <c r="P43" s="399">
        <f t="shared" si="17"/>
        <v>3.9954337899543385E-3</v>
      </c>
      <c r="Q43" s="413">
        <f t="shared" si="18"/>
        <v>412.98179999999996</v>
      </c>
      <c r="R43" s="401">
        <f t="shared" si="19"/>
        <v>7.2400000000000553</v>
      </c>
      <c r="S43" s="399">
        <f t="shared" si="20"/>
        <v>2.9517286366601662E-2</v>
      </c>
      <c r="T43" s="403" t="s">
        <v>491</v>
      </c>
      <c r="U43" s="403" t="s">
        <v>286</v>
      </c>
      <c r="V43" s="404" t="s">
        <v>634</v>
      </c>
      <c r="W43" s="404" t="s">
        <v>621</v>
      </c>
      <c r="X43" s="404">
        <v>1</v>
      </c>
      <c r="Y43" s="405" t="s">
        <v>168</v>
      </c>
    </row>
    <row r="44" spans="2:34" s="148" customFormat="1" ht="27" customHeight="1">
      <c r="B44" s="824"/>
      <c r="C44" s="825"/>
      <c r="D44" s="393">
        <v>14</v>
      </c>
      <c r="E44" s="396" t="s">
        <v>334</v>
      </c>
      <c r="F44" s="397">
        <v>3042.2996999999978</v>
      </c>
      <c r="G44" s="398">
        <v>635.87</v>
      </c>
      <c r="H44" s="398">
        <v>637.33999999999992</v>
      </c>
      <c r="I44" s="399">
        <f t="shared" si="23"/>
        <v>1.0023117932910814</v>
      </c>
      <c r="J44" s="398">
        <v>5.66</v>
      </c>
      <c r="K44" s="399">
        <f t="shared" si="24"/>
        <v>8.9011904949124823E-3</v>
      </c>
      <c r="L44" s="398">
        <v>426.69</v>
      </c>
      <c r="M44" s="399">
        <f t="shared" si="25"/>
        <v>1.0112129837859938</v>
      </c>
      <c r="N44" s="400">
        <v>3042.2996999999978</v>
      </c>
      <c r="O44" s="398">
        <v>0</v>
      </c>
      <c r="P44" s="399">
        <f t="shared" si="17"/>
        <v>0</v>
      </c>
      <c r="Q44" s="413">
        <f t="shared" si="18"/>
        <v>0</v>
      </c>
      <c r="R44" s="401">
        <f t="shared" si="19"/>
        <v>7.1299999999998818</v>
      </c>
      <c r="S44" s="399">
        <f t="shared" si="20"/>
        <v>1.1212983785993806E-2</v>
      </c>
      <c r="T44" s="403" t="s">
        <v>491</v>
      </c>
      <c r="U44" s="403" t="s">
        <v>286</v>
      </c>
      <c r="V44" s="404" t="s">
        <v>616</v>
      </c>
      <c r="W44" s="404" t="s">
        <v>635</v>
      </c>
      <c r="X44" s="404">
        <v>1</v>
      </c>
      <c r="Y44" s="405" t="s">
        <v>298</v>
      </c>
      <c r="AC44" s="410"/>
    </row>
    <row r="45" spans="2:34" s="148" customFormat="1" ht="27" customHeight="1">
      <c r="B45" s="824"/>
      <c r="C45" s="825"/>
      <c r="D45" s="393">
        <v>15</v>
      </c>
      <c r="E45" s="396" t="s">
        <v>636</v>
      </c>
      <c r="F45" s="397">
        <v>2777.1356000000001</v>
      </c>
      <c r="G45" s="398">
        <v>17078</v>
      </c>
      <c r="H45" s="398">
        <v>17859.32</v>
      </c>
      <c r="I45" s="399">
        <f t="shared" si="23"/>
        <v>1.0457500878322989</v>
      </c>
      <c r="J45" s="398">
        <v>200</v>
      </c>
      <c r="K45" s="399">
        <f t="shared" si="24"/>
        <v>1.1710973181871413E-2</v>
      </c>
      <c r="L45" s="398">
        <v>2.8300000000000005</v>
      </c>
      <c r="M45" s="399">
        <f t="shared" si="25"/>
        <v>1.0574610610141704</v>
      </c>
      <c r="N45" s="400">
        <v>2777.1356000000001</v>
      </c>
      <c r="O45" s="398">
        <v>0</v>
      </c>
      <c r="P45" s="399">
        <f t="shared" si="17"/>
        <v>0</v>
      </c>
      <c r="Q45" s="413">
        <f t="shared" si="18"/>
        <v>0</v>
      </c>
      <c r="R45" s="401">
        <f t="shared" si="19"/>
        <v>981.31999999999971</v>
      </c>
      <c r="S45" s="399">
        <f t="shared" si="20"/>
        <v>5.7461061014170263E-2</v>
      </c>
      <c r="T45" s="403" t="s">
        <v>491</v>
      </c>
      <c r="U45" s="403" t="s">
        <v>286</v>
      </c>
      <c r="V45" s="403" t="s">
        <v>637</v>
      </c>
      <c r="W45" s="404" t="s">
        <v>638</v>
      </c>
      <c r="X45" s="404">
        <v>1</v>
      </c>
      <c r="Y45" s="405" t="s">
        <v>203</v>
      </c>
      <c r="AC45" s="409"/>
    </row>
    <row r="46" spans="2:34" s="148" customFormat="1" ht="27" customHeight="1">
      <c r="B46" s="824"/>
      <c r="C46" s="825"/>
      <c r="D46" s="393">
        <v>16</v>
      </c>
      <c r="E46" s="396" t="s">
        <v>343</v>
      </c>
      <c r="F46" s="397">
        <v>2720.5814999999984</v>
      </c>
      <c r="G46" s="398">
        <v>2012.3999999999999</v>
      </c>
      <c r="H46" s="398">
        <v>1963.37</v>
      </c>
      <c r="I46" s="399">
        <f t="shared" si="23"/>
        <v>0.97563605645000995</v>
      </c>
      <c r="J46" s="398">
        <v>109</v>
      </c>
      <c r="K46" s="399">
        <f t="shared" si="24"/>
        <v>5.416418207115882E-2</v>
      </c>
      <c r="L46" s="398">
        <v>51.87</v>
      </c>
      <c r="M46" s="399">
        <f t="shared" si="25"/>
        <v>1.0298002385211689</v>
      </c>
      <c r="N46" s="400">
        <v>3110.6438999999987</v>
      </c>
      <c r="O46" s="398">
        <v>7.52</v>
      </c>
      <c r="P46" s="399">
        <f t="shared" si="17"/>
        <v>3.736831643808388E-3</v>
      </c>
      <c r="Q46" s="413">
        <f t="shared" si="18"/>
        <v>390.06239999999997</v>
      </c>
      <c r="R46" s="401">
        <f t="shared" si="19"/>
        <v>52.450000000000031</v>
      </c>
      <c r="S46" s="399">
        <f t="shared" si="20"/>
        <v>2.6063406877360383E-2</v>
      </c>
      <c r="T46" s="403" t="s">
        <v>491</v>
      </c>
      <c r="U46" s="403" t="s">
        <v>321</v>
      </c>
      <c r="V46" s="404" t="s">
        <v>606</v>
      </c>
      <c r="W46" s="404" t="s">
        <v>607</v>
      </c>
      <c r="X46" s="404">
        <v>1</v>
      </c>
      <c r="Y46" s="405" t="s">
        <v>226</v>
      </c>
      <c r="AC46" s="409"/>
    </row>
    <row r="47" spans="2:34" s="148" customFormat="1" ht="27" customHeight="1">
      <c r="B47" s="824"/>
      <c r="C47" s="825"/>
      <c r="D47" s="393">
        <v>17</v>
      </c>
      <c r="E47" s="396" t="s">
        <v>547</v>
      </c>
      <c r="F47" s="397">
        <v>2581.0076000000022</v>
      </c>
      <c r="G47" s="398">
        <v>613.69999999999993</v>
      </c>
      <c r="H47" s="398">
        <v>616.79000000000008</v>
      </c>
      <c r="I47" s="399">
        <f t="shared" si="23"/>
        <v>1.0050350334039435</v>
      </c>
      <c r="J47" s="398">
        <v>6.2</v>
      </c>
      <c r="K47" s="399">
        <f t="shared" si="24"/>
        <v>1.0102656020857097E-2</v>
      </c>
      <c r="L47" s="398">
        <v>339.16</v>
      </c>
      <c r="M47" s="399">
        <f t="shared" si="25"/>
        <v>1.0151376894248008</v>
      </c>
      <c r="N47" s="400">
        <v>3150.7964000000024</v>
      </c>
      <c r="O47" s="398">
        <v>1.68</v>
      </c>
      <c r="P47" s="399">
        <f t="shared" si="17"/>
        <v>2.7374938895225681E-3</v>
      </c>
      <c r="Q47" s="413">
        <f t="shared" si="18"/>
        <v>569.78880000000004</v>
      </c>
      <c r="R47" s="401">
        <f t="shared" si="19"/>
        <v>7.6100000000001913</v>
      </c>
      <c r="S47" s="399">
        <f t="shared" si="20"/>
        <v>1.2400195535278135E-2</v>
      </c>
      <c r="T47" s="403" t="s">
        <v>491</v>
      </c>
      <c r="U47" s="403" t="s">
        <v>286</v>
      </c>
      <c r="V47" s="404" t="s">
        <v>618</v>
      </c>
      <c r="W47" s="404" t="s">
        <v>632</v>
      </c>
      <c r="X47" s="404">
        <v>1</v>
      </c>
      <c r="Y47" s="405" t="s">
        <v>548</v>
      </c>
      <c r="AB47" s="411"/>
      <c r="AC47" s="409"/>
    </row>
    <row r="48" spans="2:34" s="148" customFormat="1" ht="27" customHeight="1">
      <c r="B48" s="824"/>
      <c r="C48" s="825"/>
      <c r="D48" s="393">
        <v>18</v>
      </c>
      <c r="E48" s="396" t="s">
        <v>344</v>
      </c>
      <c r="F48" s="397">
        <v>2512.5888000000059</v>
      </c>
      <c r="G48" s="398">
        <v>482.71999999999997</v>
      </c>
      <c r="H48" s="398">
        <v>463.88</v>
      </c>
      <c r="I48" s="399">
        <f t="shared" si="23"/>
        <v>0.96097116340735833</v>
      </c>
      <c r="J48" s="398">
        <v>27.4</v>
      </c>
      <c r="K48" s="399">
        <f t="shared" si="24"/>
        <v>5.6761683791846207E-2</v>
      </c>
      <c r="L48" s="398">
        <v>327.16000000000003</v>
      </c>
      <c r="M48" s="399">
        <f t="shared" si="25"/>
        <v>1.0177328471992044</v>
      </c>
      <c r="N48" s="400">
        <v>2800.4896000000058</v>
      </c>
      <c r="O48" s="398">
        <v>0.88</v>
      </c>
      <c r="P48" s="399">
        <f t="shared" si="17"/>
        <v>1.8230029830957905E-3</v>
      </c>
      <c r="Q48" s="413">
        <f t="shared" si="18"/>
        <v>287.9008</v>
      </c>
      <c r="R48" s="401">
        <f t="shared" si="19"/>
        <v>7.6800000000000024</v>
      </c>
      <c r="S48" s="399">
        <f t="shared" si="20"/>
        <v>1.5909844216108724E-2</v>
      </c>
      <c r="T48" s="403" t="s">
        <v>491</v>
      </c>
      <c r="U48" s="403" t="s">
        <v>286</v>
      </c>
      <c r="V48" s="404" t="s">
        <v>611</v>
      </c>
      <c r="W48" s="404" t="s">
        <v>639</v>
      </c>
      <c r="X48" s="404">
        <v>1</v>
      </c>
      <c r="Y48" s="405" t="s">
        <v>204</v>
      </c>
      <c r="AC48" s="409"/>
    </row>
    <row r="49" spans="2:34" s="148" customFormat="1" ht="27" customHeight="1">
      <c r="B49" s="824"/>
      <c r="C49" s="825"/>
      <c r="D49" s="393">
        <v>19</v>
      </c>
      <c r="E49" s="396" t="s">
        <v>543</v>
      </c>
      <c r="F49" s="397">
        <v>2432.7764999999999</v>
      </c>
      <c r="G49" s="398">
        <v>131.29000000000002</v>
      </c>
      <c r="H49" s="398">
        <v>129.84</v>
      </c>
      <c r="I49" s="399">
        <f t="shared" si="23"/>
        <v>0.98895574682001663</v>
      </c>
      <c r="J49" s="398">
        <v>7.6</v>
      </c>
      <c r="K49" s="399">
        <f t="shared" si="24"/>
        <v>5.7887120115774231E-2</v>
      </c>
      <c r="L49" s="398">
        <v>458.15000000000003</v>
      </c>
      <c r="M49" s="399">
        <f t="shared" si="25"/>
        <v>1.0468428669357908</v>
      </c>
      <c r="N49" s="400">
        <v>2817.6224999999999</v>
      </c>
      <c r="O49" s="398">
        <v>0.84000000000000008</v>
      </c>
      <c r="P49" s="399">
        <f t="shared" si="17"/>
        <v>6.3980501180592574E-3</v>
      </c>
      <c r="Q49" s="413">
        <f t="shared" si="18"/>
        <v>384.84600000000006</v>
      </c>
      <c r="R49" s="401">
        <f t="shared" si="19"/>
        <v>5.3099999999999774</v>
      </c>
      <c r="S49" s="399">
        <f t="shared" si="20"/>
        <v>4.0444816817731558E-2</v>
      </c>
      <c r="T49" s="403" t="s">
        <v>491</v>
      </c>
      <c r="U49" s="403" t="s">
        <v>286</v>
      </c>
      <c r="V49" s="404" t="s">
        <v>609</v>
      </c>
      <c r="W49" s="404" t="s">
        <v>640</v>
      </c>
      <c r="X49" s="404">
        <v>1</v>
      </c>
      <c r="Y49" s="405" t="s">
        <v>227</v>
      </c>
      <c r="AB49" s="412"/>
      <c r="AC49" s="409"/>
    </row>
    <row r="50" spans="2:34" s="148" customFormat="1" ht="27" customHeight="1">
      <c r="B50" s="826"/>
      <c r="C50" s="827"/>
      <c r="D50" s="393">
        <v>20</v>
      </c>
      <c r="E50" s="396" t="s">
        <v>641</v>
      </c>
      <c r="F50" s="397">
        <v>2302.1400000000026</v>
      </c>
      <c r="G50" s="398">
        <v>150.95999999999998</v>
      </c>
      <c r="H50" s="398">
        <v>145.04</v>
      </c>
      <c r="I50" s="399">
        <f t="shared" si="23"/>
        <v>0.96078431372549022</v>
      </c>
      <c r="J50" s="398">
        <v>10.579999999999998</v>
      </c>
      <c r="K50" s="399">
        <f t="shared" si="24"/>
        <v>7.0084790673025962E-2</v>
      </c>
      <c r="L50" s="398">
        <v>629</v>
      </c>
      <c r="M50" s="399">
        <f t="shared" si="25"/>
        <v>1.0308691043985163</v>
      </c>
      <c r="N50" s="400">
        <v>2931.1400000000026</v>
      </c>
      <c r="O50" s="398">
        <v>1</v>
      </c>
      <c r="P50" s="399">
        <f t="shared" si="17"/>
        <v>6.6242713301536841E-3</v>
      </c>
      <c r="Q50" s="413">
        <f t="shared" si="18"/>
        <v>629</v>
      </c>
      <c r="R50" s="401">
        <f t="shared" si="19"/>
        <v>3.660000000000025</v>
      </c>
      <c r="S50" s="399">
        <f t="shared" si="20"/>
        <v>2.4244833068362649E-2</v>
      </c>
      <c r="T50" s="403" t="s">
        <v>491</v>
      </c>
      <c r="U50" s="403" t="s">
        <v>286</v>
      </c>
      <c r="V50" s="404" t="s">
        <v>618</v>
      </c>
      <c r="W50" s="404" t="s">
        <v>642</v>
      </c>
      <c r="X50" s="404">
        <v>1</v>
      </c>
      <c r="Y50" s="405" t="s">
        <v>301</v>
      </c>
      <c r="AB50" s="412"/>
      <c r="AC50" s="409"/>
    </row>
    <row r="51" spans="2:34" ht="16.5" customHeight="1">
      <c r="B51" s="844" t="s">
        <v>478</v>
      </c>
      <c r="C51" s="845"/>
      <c r="D51" s="850" t="s">
        <v>479</v>
      </c>
      <c r="E51" s="850"/>
      <c r="F51" s="850"/>
      <c r="G51" s="850" t="s">
        <v>480</v>
      </c>
      <c r="H51" s="850"/>
      <c r="I51" s="850"/>
      <c r="J51" s="850"/>
      <c r="K51" s="850"/>
      <c r="L51" s="850"/>
      <c r="M51" s="850"/>
      <c r="N51" s="850"/>
      <c r="O51" s="850"/>
      <c r="P51" s="850"/>
      <c r="Q51" s="850"/>
      <c r="R51" s="850"/>
      <c r="S51" s="850"/>
      <c r="T51" s="850" t="s">
        <v>481</v>
      </c>
      <c r="U51" s="835" t="s">
        <v>482</v>
      </c>
      <c r="V51" s="855" t="s">
        <v>600</v>
      </c>
      <c r="W51" s="855" t="s">
        <v>484</v>
      </c>
      <c r="X51" s="831" t="s">
        <v>485</v>
      </c>
      <c r="Y51" s="834" t="s">
        <v>486</v>
      </c>
      <c r="AA51" s="850" t="s">
        <v>487</v>
      </c>
      <c r="AB51" s="850"/>
      <c r="AC51" s="850"/>
      <c r="AD51" s="850"/>
      <c r="AE51" s="850"/>
      <c r="AF51" s="850"/>
      <c r="AG51" s="850"/>
      <c r="AH51" s="850"/>
    </row>
    <row r="52" spans="2:34" ht="17.100000000000001" customHeight="1">
      <c r="B52" s="846"/>
      <c r="C52" s="847"/>
      <c r="D52" s="851" t="s">
        <v>488</v>
      </c>
      <c r="E52" s="850" t="s">
        <v>489</v>
      </c>
      <c r="F52" s="850"/>
      <c r="G52" s="850" t="s">
        <v>490</v>
      </c>
      <c r="H52" s="850"/>
      <c r="I52" s="850"/>
      <c r="J52" s="850"/>
      <c r="K52" s="850"/>
      <c r="L52" s="850"/>
      <c r="M52" s="850"/>
      <c r="N52" s="850"/>
      <c r="O52" s="850" t="s">
        <v>491</v>
      </c>
      <c r="P52" s="850"/>
      <c r="Q52" s="850"/>
      <c r="R52" s="850"/>
      <c r="S52" s="850"/>
      <c r="T52" s="850"/>
      <c r="U52" s="838"/>
      <c r="V52" s="832"/>
      <c r="W52" s="856"/>
      <c r="X52" s="832"/>
      <c r="Y52" s="834"/>
      <c r="AA52" s="850"/>
      <c r="AB52" s="850"/>
      <c r="AC52" s="850"/>
      <c r="AD52" s="850"/>
      <c r="AE52" s="850"/>
      <c r="AF52" s="850"/>
      <c r="AG52" s="850"/>
      <c r="AH52" s="850"/>
    </row>
    <row r="53" spans="2:34" ht="17.100000000000001" customHeight="1">
      <c r="B53" s="846"/>
      <c r="C53" s="847"/>
      <c r="D53" s="851"/>
      <c r="E53" s="851" t="s">
        <v>492</v>
      </c>
      <c r="F53" s="858" t="s">
        <v>601</v>
      </c>
      <c r="G53" s="852" t="s">
        <v>494</v>
      </c>
      <c r="H53" s="852"/>
      <c r="I53" s="852"/>
      <c r="J53" s="852"/>
      <c r="K53" s="852"/>
      <c r="L53" s="852"/>
      <c r="M53" s="852"/>
      <c r="N53" s="852"/>
      <c r="O53" s="859" t="s">
        <v>495</v>
      </c>
      <c r="P53" s="860"/>
      <c r="Q53" s="861"/>
      <c r="R53" s="852" t="s">
        <v>496</v>
      </c>
      <c r="S53" s="852"/>
      <c r="T53" s="850"/>
      <c r="U53" s="838"/>
      <c r="V53" s="832"/>
      <c r="W53" s="856"/>
      <c r="X53" s="832"/>
      <c r="Y53" s="834"/>
      <c r="AA53" s="850"/>
      <c r="AB53" s="850"/>
      <c r="AC53" s="850"/>
      <c r="AD53" s="850"/>
      <c r="AE53" s="850"/>
      <c r="AF53" s="850"/>
      <c r="AG53" s="850"/>
      <c r="AH53" s="850"/>
    </row>
    <row r="54" spans="2:34" ht="38.450000000000003" customHeight="1">
      <c r="B54" s="848"/>
      <c r="C54" s="849"/>
      <c r="D54" s="851"/>
      <c r="E54" s="851"/>
      <c r="F54" s="858"/>
      <c r="G54" s="394" t="s">
        <v>497</v>
      </c>
      <c r="H54" s="394" t="s">
        <v>498</v>
      </c>
      <c r="I54" s="394" t="s">
        <v>499</v>
      </c>
      <c r="J54" s="394" t="s">
        <v>500</v>
      </c>
      <c r="K54" s="394" t="s">
        <v>501</v>
      </c>
      <c r="L54" s="394" t="s">
        <v>502</v>
      </c>
      <c r="M54" s="394" t="s">
        <v>503</v>
      </c>
      <c r="N54" s="394" t="s">
        <v>504</v>
      </c>
      <c r="O54" s="395" t="s">
        <v>505</v>
      </c>
      <c r="P54" s="395" t="s">
        <v>506</v>
      </c>
      <c r="Q54" s="394" t="s">
        <v>507</v>
      </c>
      <c r="R54" s="395" t="s">
        <v>505</v>
      </c>
      <c r="S54" s="395" t="s">
        <v>506</v>
      </c>
      <c r="T54" s="850"/>
      <c r="U54" s="841"/>
      <c r="V54" s="833"/>
      <c r="W54" s="857"/>
      <c r="X54" s="833"/>
      <c r="Y54" s="834"/>
      <c r="AA54" s="161" t="s">
        <v>508</v>
      </c>
      <c r="AB54" s="161" t="s">
        <v>509</v>
      </c>
      <c r="AC54" s="156" t="s">
        <v>510</v>
      </c>
      <c r="AD54" s="156" t="s">
        <v>511</v>
      </c>
      <c r="AE54" s="156" t="s">
        <v>286</v>
      </c>
      <c r="AF54" s="156" t="s">
        <v>318</v>
      </c>
      <c r="AG54" s="156" t="s">
        <v>321</v>
      </c>
      <c r="AH54" s="156" t="s">
        <v>512</v>
      </c>
    </row>
    <row r="55" spans="2:34" s="148" customFormat="1" ht="27" customHeight="1">
      <c r="B55" s="822" t="s">
        <v>564</v>
      </c>
      <c r="C55" s="823"/>
      <c r="D55" s="393">
        <v>1</v>
      </c>
      <c r="E55" s="396" t="s">
        <v>336</v>
      </c>
      <c r="F55" s="397">
        <v>14642.747599999997</v>
      </c>
      <c r="G55" s="398">
        <v>3141.44</v>
      </c>
      <c r="H55" s="398">
        <v>3098.3900000000003</v>
      </c>
      <c r="I55" s="399">
        <f>H55/G55</f>
        <v>0.98629609351125602</v>
      </c>
      <c r="J55" s="398">
        <v>147.13999999999999</v>
      </c>
      <c r="K55" s="399">
        <f>J55/G55</f>
        <v>4.6838392584292551E-2</v>
      </c>
      <c r="L55" s="398">
        <v>147.43000000000004</v>
      </c>
      <c r="M55" s="399">
        <f>(H55+J55)/G55</f>
        <v>1.0331344860955485</v>
      </c>
      <c r="N55" s="400">
        <v>15345.988699999996</v>
      </c>
      <c r="O55" s="398">
        <v>4.7699999999999996</v>
      </c>
      <c r="P55" s="399">
        <f>O55/G55</f>
        <v>1.5184119384740755E-3</v>
      </c>
      <c r="Q55" s="413">
        <f>O55*L55</f>
        <v>703.24110000000007</v>
      </c>
      <c r="R55" s="401">
        <f>((H55+J55)-G55)-O55</f>
        <v>99.320000000000149</v>
      </c>
      <c r="S55" s="399">
        <f>R55/G55</f>
        <v>3.1616074157074507E-2</v>
      </c>
      <c r="T55" s="403" t="s">
        <v>491</v>
      </c>
      <c r="U55" s="403" t="s">
        <v>318</v>
      </c>
      <c r="V55" s="404" t="s">
        <v>602</v>
      </c>
      <c r="W55" s="404" t="s">
        <v>603</v>
      </c>
      <c r="X55" s="404">
        <v>1</v>
      </c>
      <c r="Y55" s="405" t="s">
        <v>311</v>
      </c>
      <c r="Z55" s="406" t="s">
        <v>517</v>
      </c>
      <c r="AA55" s="407">
        <f>SUM(X55:X74)</f>
        <v>20</v>
      </c>
      <c r="AB55" s="408">
        <f>SUMIF($U$55:$U$74,TRIM(AB54),$X$55:$X$74)</f>
        <v>0</v>
      </c>
      <c r="AC55" s="408">
        <f t="shared" ref="AC55:AH55" si="26">SUMIF($U$55:$U$74,TRIM(AC54),$X$55:$X$74)</f>
        <v>0</v>
      </c>
      <c r="AD55" s="408">
        <f t="shared" si="26"/>
        <v>0</v>
      </c>
      <c r="AE55" s="408">
        <f t="shared" si="26"/>
        <v>15</v>
      </c>
      <c r="AF55" s="408">
        <f t="shared" si="26"/>
        <v>1</v>
      </c>
      <c r="AG55" s="408">
        <f t="shared" si="26"/>
        <v>4</v>
      </c>
      <c r="AH55" s="408">
        <f t="shared" si="26"/>
        <v>0</v>
      </c>
    </row>
    <row r="56" spans="2:34" s="148" customFormat="1" ht="27" customHeight="1">
      <c r="B56" s="824"/>
      <c r="C56" s="825"/>
      <c r="D56" s="393">
        <v>2</v>
      </c>
      <c r="E56" s="396" t="s">
        <v>326</v>
      </c>
      <c r="F56" s="397">
        <v>6486.6015999999945</v>
      </c>
      <c r="G56" s="398">
        <v>2856.16</v>
      </c>
      <c r="H56" s="398">
        <v>2761.1</v>
      </c>
      <c r="I56" s="399">
        <f t="shared" ref="I56:I57" si="27">H56/G56</f>
        <v>0.96671755083748812</v>
      </c>
      <c r="J56" s="398">
        <v>148.06000000000003</v>
      </c>
      <c r="K56" s="399">
        <f t="shared" ref="K56:K61" si="28">J56/G56</f>
        <v>5.1838832558400105E-2</v>
      </c>
      <c r="L56" s="398">
        <v>127.84000000000002</v>
      </c>
      <c r="M56" s="399">
        <f t="shared" ref="M56:M61" si="29">(H56+J56)/G56</f>
        <v>1.0185563833958882</v>
      </c>
      <c r="N56" s="400">
        <v>6775.5199999999932</v>
      </c>
      <c r="O56" s="398">
        <v>2.2599999999999998</v>
      </c>
      <c r="P56" s="399">
        <f t="shared" ref="P56:P74" si="30">O56/G56</f>
        <v>7.9127219763598677E-4</v>
      </c>
      <c r="Q56" s="413">
        <f t="shared" ref="Q56:Q74" si="31">O56*L56</f>
        <v>288.91840000000002</v>
      </c>
      <c r="R56" s="401">
        <f t="shared" ref="R56:R74" si="32">((H56+J56)-G56)-O56</f>
        <v>50.74</v>
      </c>
      <c r="S56" s="399">
        <f t="shared" ref="S56:S74" si="33">R56/G56</f>
        <v>1.7765111198252199E-2</v>
      </c>
      <c r="T56" s="403" t="s">
        <v>491</v>
      </c>
      <c r="U56" s="403" t="s">
        <v>286</v>
      </c>
      <c r="V56" s="404" t="s">
        <v>608</v>
      </c>
      <c r="W56" s="404" t="s">
        <v>629</v>
      </c>
      <c r="X56" s="404">
        <v>1</v>
      </c>
      <c r="Y56" s="405" t="s">
        <v>311</v>
      </c>
      <c r="AA56" s="407"/>
      <c r="AB56" s="414">
        <f>SUMIF($U$55:$U$74,TRIM(AB54),$F$55:$F$74)</f>
        <v>0</v>
      </c>
      <c r="AC56" s="414">
        <f t="shared" ref="AC56:AF56" si="34">SUMIF($U$55:$U$74,TRIM(AC54),$F$55:$F$74)</f>
        <v>0</v>
      </c>
      <c r="AD56" s="414">
        <f t="shared" si="34"/>
        <v>0</v>
      </c>
      <c r="AE56" s="414">
        <f t="shared" si="34"/>
        <v>51626.975699999995</v>
      </c>
      <c r="AF56" s="414">
        <f t="shared" si="34"/>
        <v>14642.747599999997</v>
      </c>
      <c r="AG56" s="414">
        <f>SUMIF($U$55:$U$74,TRIM(AG54),$F$55:$F$74)</f>
        <v>16452.971999999994</v>
      </c>
      <c r="AH56" s="414">
        <f t="shared" ref="AH56" si="35">SUMIF($U$55:$U$74,TRIM(AH54),$G$55:$G$74)</f>
        <v>0</v>
      </c>
    </row>
    <row r="57" spans="2:34" s="148" customFormat="1" ht="27" customHeight="1">
      <c r="B57" s="824"/>
      <c r="C57" s="825"/>
      <c r="D57" s="393">
        <v>3</v>
      </c>
      <c r="E57" s="396" t="s">
        <v>328</v>
      </c>
      <c r="F57" s="397">
        <v>6363.0809999999956</v>
      </c>
      <c r="G57" s="398">
        <v>1397.96</v>
      </c>
      <c r="H57" s="398">
        <v>1372.56</v>
      </c>
      <c r="I57" s="399">
        <f t="shared" si="27"/>
        <v>0.98183066754413573</v>
      </c>
      <c r="J57" s="398">
        <v>71.25</v>
      </c>
      <c r="K57" s="399">
        <f t="shared" si="28"/>
        <v>5.0967123522847574E-2</v>
      </c>
      <c r="L57" s="398">
        <v>144.78</v>
      </c>
      <c r="M57" s="399">
        <f t="shared" si="29"/>
        <v>1.0327977910669832</v>
      </c>
      <c r="N57" s="400">
        <v>6638.1629999999959</v>
      </c>
      <c r="O57" s="398">
        <v>1.9</v>
      </c>
      <c r="P57" s="399">
        <f t="shared" si="30"/>
        <v>1.3591232939426019E-3</v>
      </c>
      <c r="Q57" s="413">
        <f t="shared" si="31"/>
        <v>275.08199999999999</v>
      </c>
      <c r="R57" s="401">
        <f t="shared" si="32"/>
        <v>43.94999999999991</v>
      </c>
      <c r="S57" s="399">
        <f t="shared" si="33"/>
        <v>3.1438667773040649E-2</v>
      </c>
      <c r="T57" s="403" t="s">
        <v>491</v>
      </c>
      <c r="U57" s="403" t="s">
        <v>286</v>
      </c>
      <c r="V57" s="404" t="s">
        <v>604</v>
      </c>
      <c r="W57" s="404" t="s">
        <v>630</v>
      </c>
      <c r="X57" s="404">
        <v>1</v>
      </c>
      <c r="Y57" s="405" t="s">
        <v>204</v>
      </c>
      <c r="AA57" s="393"/>
      <c r="AB57" s="415">
        <f>AB55/$AA55</f>
        <v>0</v>
      </c>
      <c r="AC57" s="415">
        <f t="shared" ref="AC57:AH57" si="36">AC55/$AA55</f>
        <v>0</v>
      </c>
      <c r="AD57" s="415">
        <f t="shared" si="36"/>
        <v>0</v>
      </c>
      <c r="AE57" s="415">
        <f t="shared" si="36"/>
        <v>0.75</v>
      </c>
      <c r="AF57" s="415">
        <f t="shared" si="36"/>
        <v>0.05</v>
      </c>
      <c r="AG57" s="415">
        <f t="shared" si="36"/>
        <v>0.2</v>
      </c>
      <c r="AH57" s="415">
        <f t="shared" si="36"/>
        <v>0</v>
      </c>
    </row>
    <row r="58" spans="2:34" s="148" customFormat="1" ht="27" customHeight="1">
      <c r="B58" s="824"/>
      <c r="C58" s="825"/>
      <c r="D58" s="393">
        <v>4</v>
      </c>
      <c r="E58" s="396" t="s">
        <v>338</v>
      </c>
      <c r="F58" s="397">
        <v>6303.6160000000064</v>
      </c>
      <c r="G58" s="398">
        <v>2657.2</v>
      </c>
      <c r="H58" s="398">
        <v>2500.9299999999998</v>
      </c>
      <c r="I58" s="399">
        <f>H58/G58</f>
        <v>0.94118997440915253</v>
      </c>
      <c r="J58" s="398">
        <v>254.79999999999998</v>
      </c>
      <c r="K58" s="399">
        <f t="shared" si="28"/>
        <v>9.5890410958904104E-2</v>
      </c>
      <c r="L58" s="398">
        <v>65.12</v>
      </c>
      <c r="M58" s="399">
        <f t="shared" si="29"/>
        <v>1.0370803853680566</v>
      </c>
      <c r="N58" s="400">
        <v>6416.2736000000059</v>
      </c>
      <c r="O58" s="398">
        <v>1.73</v>
      </c>
      <c r="P58" s="399">
        <f t="shared" si="30"/>
        <v>6.5106126749962367E-4</v>
      </c>
      <c r="Q58" s="413">
        <f t="shared" si="31"/>
        <v>112.6576</v>
      </c>
      <c r="R58" s="401">
        <f t="shared" si="32"/>
        <v>96.800000000000196</v>
      </c>
      <c r="S58" s="399">
        <f t="shared" si="33"/>
        <v>3.6429324100557055E-2</v>
      </c>
      <c r="T58" s="403" t="s">
        <v>491</v>
      </c>
      <c r="U58" s="403" t="s">
        <v>321</v>
      </c>
      <c r="V58" s="404" t="s">
        <v>606</v>
      </c>
      <c r="W58" s="404" t="s">
        <v>607</v>
      </c>
      <c r="X58" s="404">
        <v>1</v>
      </c>
      <c r="Y58" s="405" t="s">
        <v>224</v>
      </c>
    </row>
    <row r="59" spans="2:34" s="148" customFormat="1" ht="27" customHeight="1">
      <c r="B59" s="824"/>
      <c r="C59" s="825"/>
      <c r="D59" s="393">
        <v>5</v>
      </c>
      <c r="E59" s="396" t="s">
        <v>334</v>
      </c>
      <c r="F59" s="397">
        <v>4360.7718000000068</v>
      </c>
      <c r="G59" s="398">
        <v>527.79</v>
      </c>
      <c r="H59" s="398">
        <v>526.30999999999995</v>
      </c>
      <c r="I59" s="399">
        <f t="shared" ref="I59:I74" si="37">H59/G59</f>
        <v>0.99719585441179248</v>
      </c>
      <c r="J59" s="398">
        <v>12</v>
      </c>
      <c r="K59" s="399">
        <f t="shared" si="28"/>
        <v>2.2736315580060253E-2</v>
      </c>
      <c r="L59" s="398">
        <v>426.69</v>
      </c>
      <c r="M59" s="399">
        <f t="shared" si="29"/>
        <v>1.0199321699918529</v>
      </c>
      <c r="N59" s="400">
        <v>4488.7788000000073</v>
      </c>
      <c r="O59" s="398">
        <v>0.3</v>
      </c>
      <c r="P59" s="399">
        <f t="shared" si="30"/>
        <v>5.6840788950150625E-4</v>
      </c>
      <c r="Q59" s="413">
        <f t="shared" si="31"/>
        <v>128.00700000000001</v>
      </c>
      <c r="R59" s="401">
        <f t="shared" si="32"/>
        <v>10.219999999999981</v>
      </c>
      <c r="S59" s="399">
        <f t="shared" si="33"/>
        <v>1.936376210235128E-2</v>
      </c>
      <c r="T59" s="403" t="s">
        <v>491</v>
      </c>
      <c r="U59" s="403" t="s">
        <v>286</v>
      </c>
      <c r="V59" s="404" t="s">
        <v>616</v>
      </c>
      <c r="W59" s="404" t="s">
        <v>643</v>
      </c>
      <c r="X59" s="404">
        <v>1</v>
      </c>
      <c r="Y59" s="405" t="s">
        <v>298</v>
      </c>
    </row>
    <row r="60" spans="2:34" s="148" customFormat="1" ht="27" customHeight="1">
      <c r="B60" s="824"/>
      <c r="C60" s="825"/>
      <c r="D60" s="393">
        <v>6</v>
      </c>
      <c r="E60" s="396" t="s">
        <v>344</v>
      </c>
      <c r="F60" s="397">
        <v>3952.0928000000081</v>
      </c>
      <c r="G60" s="398">
        <v>486.23999999999995</v>
      </c>
      <c r="H60" s="398">
        <v>479.76</v>
      </c>
      <c r="I60" s="399">
        <f t="shared" si="37"/>
        <v>0.98667324777887466</v>
      </c>
      <c r="J60" s="398">
        <v>19</v>
      </c>
      <c r="K60" s="399">
        <f t="shared" si="28"/>
        <v>3.9075353734781181E-2</v>
      </c>
      <c r="L60" s="398">
        <v>327.16000000000003</v>
      </c>
      <c r="M60" s="399">
        <f t="shared" si="29"/>
        <v>1.0257486015136559</v>
      </c>
      <c r="N60" s="400">
        <v>4096.0432000000083</v>
      </c>
      <c r="O60" s="398">
        <v>0.44</v>
      </c>
      <c r="P60" s="399">
        <f t="shared" si="30"/>
        <v>9.0490292859493268E-4</v>
      </c>
      <c r="Q60" s="413">
        <f t="shared" si="31"/>
        <v>143.9504</v>
      </c>
      <c r="R60" s="401">
        <f t="shared" si="32"/>
        <v>12.080000000000039</v>
      </c>
      <c r="S60" s="399">
        <f t="shared" si="33"/>
        <v>2.4843698585060959E-2</v>
      </c>
      <c r="T60" s="403" t="s">
        <v>491</v>
      </c>
      <c r="U60" s="403" t="s">
        <v>286</v>
      </c>
      <c r="V60" s="404" t="s">
        <v>611</v>
      </c>
      <c r="W60" s="404" t="s">
        <v>644</v>
      </c>
      <c r="X60" s="404">
        <v>1</v>
      </c>
      <c r="Y60" s="405" t="s">
        <v>204</v>
      </c>
    </row>
    <row r="61" spans="2:34" s="148" customFormat="1" ht="27" customHeight="1">
      <c r="B61" s="824"/>
      <c r="C61" s="825"/>
      <c r="D61" s="393">
        <v>7</v>
      </c>
      <c r="E61" s="396" t="s">
        <v>341</v>
      </c>
      <c r="F61" s="397">
        <v>3913.3387999999877</v>
      </c>
      <c r="G61" s="398">
        <v>1058.74</v>
      </c>
      <c r="H61" s="398">
        <v>1049.0700000000002</v>
      </c>
      <c r="I61" s="399">
        <f t="shared" si="37"/>
        <v>0.99086650169068913</v>
      </c>
      <c r="J61" s="398">
        <v>16.130000000000003</v>
      </c>
      <c r="K61" s="399">
        <f t="shared" si="28"/>
        <v>1.5235090768271722E-2</v>
      </c>
      <c r="L61" s="398">
        <v>605.77999999999986</v>
      </c>
      <c r="M61" s="399">
        <f t="shared" si="29"/>
        <v>1.0061015924589609</v>
      </c>
      <c r="N61" s="400">
        <v>3913.3387999999877</v>
      </c>
      <c r="O61" s="398">
        <v>0</v>
      </c>
      <c r="P61" s="399">
        <f t="shared" si="30"/>
        <v>0</v>
      </c>
      <c r="Q61" s="413">
        <f t="shared" si="31"/>
        <v>0</v>
      </c>
      <c r="R61" s="401">
        <f t="shared" si="32"/>
        <v>6.4600000000002638</v>
      </c>
      <c r="S61" s="399">
        <f t="shared" si="33"/>
        <v>6.1015924589609008E-3</v>
      </c>
      <c r="T61" s="403" t="s">
        <v>491</v>
      </c>
      <c r="U61" s="403" t="s">
        <v>321</v>
      </c>
      <c r="V61" s="404" t="s">
        <v>612</v>
      </c>
      <c r="W61" s="404" t="s">
        <v>570</v>
      </c>
      <c r="X61" s="404">
        <v>1</v>
      </c>
      <c r="Y61" s="405" t="s">
        <v>198</v>
      </c>
    </row>
    <row r="62" spans="2:34" s="148" customFormat="1" ht="27" customHeight="1">
      <c r="B62" s="824"/>
      <c r="C62" s="825"/>
      <c r="D62" s="393">
        <v>8</v>
      </c>
      <c r="E62" s="396" t="s">
        <v>405</v>
      </c>
      <c r="F62" s="397">
        <v>3619.9561999999983</v>
      </c>
      <c r="G62" s="398">
        <v>1615.04</v>
      </c>
      <c r="H62" s="398">
        <v>1563.22</v>
      </c>
      <c r="I62" s="399">
        <f t="shared" si="37"/>
        <v>0.96791410739052908</v>
      </c>
      <c r="J62" s="398">
        <v>108</v>
      </c>
      <c r="K62" s="399">
        <f>J62/G62</f>
        <v>6.687140875767783E-2</v>
      </c>
      <c r="L62" s="398">
        <v>66.13</v>
      </c>
      <c r="M62" s="399">
        <f>(H62+J62)/G62</f>
        <v>1.0347855161482069</v>
      </c>
      <c r="N62" s="400">
        <v>3715.1833999999981</v>
      </c>
      <c r="O62" s="398">
        <v>1.44</v>
      </c>
      <c r="P62" s="399">
        <f t="shared" si="30"/>
        <v>8.9161878343570439E-4</v>
      </c>
      <c r="Q62" s="413">
        <f t="shared" si="31"/>
        <v>95.227199999999996</v>
      </c>
      <c r="R62" s="401">
        <f t="shared" si="32"/>
        <v>54.740000000000066</v>
      </c>
      <c r="S62" s="399">
        <f t="shared" si="33"/>
        <v>3.3893897364771192E-2</v>
      </c>
      <c r="T62" s="403" t="s">
        <v>491</v>
      </c>
      <c r="U62" s="403" t="s">
        <v>286</v>
      </c>
      <c r="V62" s="404" t="s">
        <v>606</v>
      </c>
      <c r="W62" s="404" t="s">
        <v>607</v>
      </c>
      <c r="X62" s="404">
        <v>1</v>
      </c>
      <c r="Y62" s="405" t="s">
        <v>199</v>
      </c>
    </row>
    <row r="63" spans="2:34" s="148" customFormat="1" ht="27" customHeight="1">
      <c r="B63" s="824"/>
      <c r="C63" s="825"/>
      <c r="D63" s="393">
        <v>9</v>
      </c>
      <c r="E63" s="396" t="s">
        <v>340</v>
      </c>
      <c r="F63" s="397">
        <v>3433.9997999999996</v>
      </c>
      <c r="G63" s="398">
        <v>1899.9900000000002</v>
      </c>
      <c r="H63" s="398">
        <v>1819.4899999999998</v>
      </c>
      <c r="I63" s="399">
        <f t="shared" si="37"/>
        <v>0.95763135595450477</v>
      </c>
      <c r="J63" s="398">
        <v>132.66999999999999</v>
      </c>
      <c r="K63" s="399">
        <f t="shared" ref="K63:K74" si="38">J63/G63</f>
        <v>6.9826683298333136E-2</v>
      </c>
      <c r="L63" s="398">
        <v>68.42</v>
      </c>
      <c r="M63" s="399">
        <f t="shared" ref="M63:M74" si="39">(H63+J63)/G63</f>
        <v>1.0274580392528381</v>
      </c>
      <c r="N63" s="400">
        <v>3569.4713999999994</v>
      </c>
      <c r="O63" s="398">
        <v>1.98</v>
      </c>
      <c r="P63" s="399">
        <f t="shared" si="30"/>
        <v>1.0421107479513048E-3</v>
      </c>
      <c r="Q63" s="413">
        <f t="shared" si="31"/>
        <v>135.4716</v>
      </c>
      <c r="R63" s="401">
        <f t="shared" si="32"/>
        <v>50.189999999999621</v>
      </c>
      <c r="S63" s="399">
        <f t="shared" si="33"/>
        <v>2.6415928504886665E-2</v>
      </c>
      <c r="T63" s="403" t="s">
        <v>491</v>
      </c>
      <c r="U63" s="403" t="s">
        <v>321</v>
      </c>
      <c r="V63" s="404" t="s">
        <v>606</v>
      </c>
      <c r="W63" s="404" t="s">
        <v>607</v>
      </c>
      <c r="X63" s="404">
        <v>1</v>
      </c>
      <c r="Y63" s="405" t="s">
        <v>221</v>
      </c>
    </row>
    <row r="64" spans="2:34" s="148" customFormat="1" ht="27" customHeight="1">
      <c r="B64" s="824"/>
      <c r="C64" s="825"/>
      <c r="D64" s="393">
        <v>10</v>
      </c>
      <c r="E64" s="396" t="s">
        <v>613</v>
      </c>
      <c r="F64" s="397">
        <v>3431.6514000000006</v>
      </c>
      <c r="G64" s="398">
        <v>1459.22</v>
      </c>
      <c r="H64" s="398">
        <v>1359.47</v>
      </c>
      <c r="I64" s="399">
        <f t="shared" si="37"/>
        <v>0.93164156193034631</v>
      </c>
      <c r="J64" s="398">
        <v>155.14000000000001</v>
      </c>
      <c r="K64" s="399">
        <f t="shared" si="38"/>
        <v>0.10631707350502324</v>
      </c>
      <c r="L64" s="398">
        <v>70.220000000000013</v>
      </c>
      <c r="M64" s="399">
        <f t="shared" si="39"/>
        <v>1.0379586354353696</v>
      </c>
      <c r="N64" s="400">
        <v>3889.4858000000013</v>
      </c>
      <c r="O64" s="398">
        <v>6.52</v>
      </c>
      <c r="P64" s="399">
        <f t="shared" si="30"/>
        <v>4.4681405134249803E-3</v>
      </c>
      <c r="Q64" s="413">
        <f t="shared" si="31"/>
        <v>457.83440000000007</v>
      </c>
      <c r="R64" s="401">
        <f t="shared" si="32"/>
        <v>48.870000000000104</v>
      </c>
      <c r="S64" s="399">
        <f t="shared" si="33"/>
        <v>3.3490494921944669E-2</v>
      </c>
      <c r="T64" s="403" t="s">
        <v>491</v>
      </c>
      <c r="U64" s="403" t="s">
        <v>286</v>
      </c>
      <c r="V64" s="404" t="s">
        <v>606</v>
      </c>
      <c r="W64" s="404" t="s">
        <v>607</v>
      </c>
      <c r="X64" s="404">
        <v>1</v>
      </c>
      <c r="Y64" s="405" t="s">
        <v>201</v>
      </c>
    </row>
    <row r="65" spans="2:34" s="148" customFormat="1" ht="27" customHeight="1">
      <c r="B65" s="824"/>
      <c r="C65" s="825"/>
      <c r="D65" s="393">
        <v>11</v>
      </c>
      <c r="E65" s="396" t="s">
        <v>330</v>
      </c>
      <c r="F65" s="397">
        <v>3095.7561000000037</v>
      </c>
      <c r="G65" s="398">
        <v>1075.6799999999998</v>
      </c>
      <c r="H65" s="398">
        <v>1039.3899999999999</v>
      </c>
      <c r="I65" s="399">
        <f t="shared" si="37"/>
        <v>0.96626320095195595</v>
      </c>
      <c r="J65" s="398">
        <v>70.28</v>
      </c>
      <c r="K65" s="399">
        <f t="shared" si="38"/>
        <v>6.5335415737022173E-2</v>
      </c>
      <c r="L65" s="398">
        <v>99.51</v>
      </c>
      <c r="M65" s="399">
        <f t="shared" si="39"/>
        <v>1.0315986166889781</v>
      </c>
      <c r="N65" s="400">
        <v>3382.3449000000041</v>
      </c>
      <c r="O65" s="398">
        <v>2.88</v>
      </c>
      <c r="P65" s="399">
        <f t="shared" si="30"/>
        <v>2.6773761713520753E-3</v>
      </c>
      <c r="Q65" s="413">
        <f t="shared" si="31"/>
        <v>286.58879999999999</v>
      </c>
      <c r="R65" s="401">
        <f t="shared" si="32"/>
        <v>31.11000000000001</v>
      </c>
      <c r="S65" s="399">
        <f t="shared" si="33"/>
        <v>2.8921240517626075E-2</v>
      </c>
      <c r="T65" s="403" t="s">
        <v>491</v>
      </c>
      <c r="U65" s="403" t="s">
        <v>286</v>
      </c>
      <c r="V65" s="404" t="s">
        <v>606</v>
      </c>
      <c r="W65" s="404" t="s">
        <v>607</v>
      </c>
      <c r="X65" s="404">
        <v>1</v>
      </c>
      <c r="Y65" s="405" t="s">
        <v>200</v>
      </c>
    </row>
    <row r="66" spans="2:34" s="148" customFormat="1" ht="27" customHeight="1">
      <c r="B66" s="824"/>
      <c r="C66" s="825"/>
      <c r="D66" s="393">
        <v>12</v>
      </c>
      <c r="E66" s="396" t="s">
        <v>636</v>
      </c>
      <c r="F66" s="397">
        <v>2807.3600000000006</v>
      </c>
      <c r="G66" s="398">
        <v>20502</v>
      </c>
      <c r="H66" s="398">
        <v>21394</v>
      </c>
      <c r="I66" s="399">
        <f t="shared" si="37"/>
        <v>1.0435079504438591</v>
      </c>
      <c r="J66" s="398">
        <v>100</v>
      </c>
      <c r="K66" s="399">
        <f t="shared" si="38"/>
        <v>4.8775729197151497E-3</v>
      </c>
      <c r="L66" s="398">
        <v>2.8300000000000005</v>
      </c>
      <c r="M66" s="399">
        <f t="shared" si="39"/>
        <v>1.0483855233635744</v>
      </c>
      <c r="N66" s="400">
        <v>2807.3600000000006</v>
      </c>
      <c r="O66" s="398">
        <v>0</v>
      </c>
      <c r="P66" s="399">
        <f t="shared" si="30"/>
        <v>0</v>
      </c>
      <c r="Q66" s="413">
        <f t="shared" si="31"/>
        <v>0</v>
      </c>
      <c r="R66" s="401">
        <f t="shared" si="32"/>
        <v>992</v>
      </c>
      <c r="S66" s="399">
        <f t="shared" si="33"/>
        <v>4.8385523363574288E-2</v>
      </c>
      <c r="T66" s="403" t="s">
        <v>491</v>
      </c>
      <c r="U66" s="403" t="s">
        <v>286</v>
      </c>
      <c r="V66" s="403" t="s">
        <v>637</v>
      </c>
      <c r="W66" s="404" t="s">
        <v>638</v>
      </c>
      <c r="X66" s="404">
        <v>1</v>
      </c>
      <c r="Y66" s="405" t="s">
        <v>203</v>
      </c>
    </row>
    <row r="67" spans="2:34" s="148" customFormat="1" ht="27" customHeight="1">
      <c r="B67" s="824"/>
      <c r="C67" s="825"/>
      <c r="D67" s="393">
        <v>13</v>
      </c>
      <c r="E67" s="396" t="s">
        <v>343</v>
      </c>
      <c r="F67" s="397">
        <v>2802.017400000002</v>
      </c>
      <c r="G67" s="398">
        <v>2396.6400000000003</v>
      </c>
      <c r="H67" s="398">
        <v>2304.02</v>
      </c>
      <c r="I67" s="399">
        <f t="shared" si="37"/>
        <v>0.96135422925428915</v>
      </c>
      <c r="J67" s="398">
        <v>149.52000000000001</v>
      </c>
      <c r="K67" s="399">
        <f t="shared" si="38"/>
        <v>6.2387342279190863E-2</v>
      </c>
      <c r="L67" s="398">
        <v>51.87</v>
      </c>
      <c r="M67" s="399">
        <f t="shared" si="39"/>
        <v>1.0237415715334801</v>
      </c>
      <c r="N67" s="400">
        <v>2951.4030000000016</v>
      </c>
      <c r="O67" s="398">
        <v>2.88</v>
      </c>
      <c r="P67" s="399">
        <f t="shared" si="30"/>
        <v>1.2016823552974162E-3</v>
      </c>
      <c r="Q67" s="413">
        <f t="shared" si="31"/>
        <v>149.38559999999998</v>
      </c>
      <c r="R67" s="401">
        <f t="shared" si="32"/>
        <v>54.019999999999634</v>
      </c>
      <c r="S67" s="399">
        <f t="shared" si="33"/>
        <v>2.2539889178182632E-2</v>
      </c>
      <c r="T67" s="403" t="s">
        <v>491</v>
      </c>
      <c r="U67" s="403" t="s">
        <v>321</v>
      </c>
      <c r="V67" s="404" t="s">
        <v>606</v>
      </c>
      <c r="W67" s="404" t="s">
        <v>607</v>
      </c>
      <c r="X67" s="404">
        <v>1</v>
      </c>
      <c r="Y67" s="405" t="s">
        <v>226</v>
      </c>
    </row>
    <row r="68" spans="2:34" s="148" customFormat="1" ht="27" customHeight="1">
      <c r="B68" s="824"/>
      <c r="C68" s="825"/>
      <c r="D68" s="393">
        <v>14</v>
      </c>
      <c r="E68" s="396" t="s">
        <v>427</v>
      </c>
      <c r="F68" s="397">
        <v>2775.2834999999991</v>
      </c>
      <c r="G68" s="398">
        <v>204.4</v>
      </c>
      <c r="H68" s="398">
        <v>206.32999999999998</v>
      </c>
      <c r="I68" s="399">
        <f t="shared" si="37"/>
        <v>1.0094422700587082</v>
      </c>
      <c r="J68" s="398">
        <v>14.4</v>
      </c>
      <c r="K68" s="399">
        <f t="shared" si="38"/>
        <v>7.0450097847358117E-2</v>
      </c>
      <c r="L68" s="398">
        <v>169.95000000000002</v>
      </c>
      <c r="M68" s="399">
        <f t="shared" si="39"/>
        <v>1.0798923679060664</v>
      </c>
      <c r="N68" s="400">
        <v>2775.2834999999991</v>
      </c>
      <c r="O68" s="398">
        <v>0</v>
      </c>
      <c r="P68" s="399">
        <f t="shared" si="30"/>
        <v>0</v>
      </c>
      <c r="Q68" s="413">
        <f t="shared" si="31"/>
        <v>0</v>
      </c>
      <c r="R68" s="401">
        <f t="shared" si="32"/>
        <v>16.329999999999984</v>
      </c>
      <c r="S68" s="399">
        <f t="shared" si="33"/>
        <v>7.989236790606645E-2</v>
      </c>
      <c r="T68" s="403" t="s">
        <v>491</v>
      </c>
      <c r="U68" s="403" t="s">
        <v>286</v>
      </c>
      <c r="V68" s="404" t="s">
        <v>622</v>
      </c>
      <c r="W68" s="404" t="s">
        <v>623</v>
      </c>
      <c r="X68" s="404">
        <v>1</v>
      </c>
      <c r="Y68" s="405" t="s">
        <v>224</v>
      </c>
      <c r="AC68" s="410"/>
    </row>
    <row r="69" spans="2:34" s="148" customFormat="1" ht="27" customHeight="1">
      <c r="B69" s="824"/>
      <c r="C69" s="825"/>
      <c r="D69" s="393">
        <v>15</v>
      </c>
      <c r="E69" s="396" t="s">
        <v>332</v>
      </c>
      <c r="F69" s="397">
        <v>2739.5642999999986</v>
      </c>
      <c r="G69" s="398">
        <v>508.45000000000005</v>
      </c>
      <c r="H69" s="398">
        <v>478.40000000000003</v>
      </c>
      <c r="I69" s="399">
        <f t="shared" si="37"/>
        <v>0.94089881010915521</v>
      </c>
      <c r="J69" s="398">
        <v>49.08</v>
      </c>
      <c r="K69" s="399">
        <f t="shared" si="38"/>
        <v>9.6528665552168338E-2</v>
      </c>
      <c r="L69" s="398">
        <v>160.49</v>
      </c>
      <c r="M69" s="399">
        <f t="shared" si="39"/>
        <v>1.0374274756613235</v>
      </c>
      <c r="N69" s="400">
        <v>3054.1246999999989</v>
      </c>
      <c r="O69" s="398">
        <v>1.96</v>
      </c>
      <c r="P69" s="399">
        <f t="shared" si="30"/>
        <v>3.85485298456092E-3</v>
      </c>
      <c r="Q69" s="413">
        <f t="shared" si="31"/>
        <v>314.56040000000002</v>
      </c>
      <c r="R69" s="401">
        <f t="shared" si="32"/>
        <v>17.069999999999972</v>
      </c>
      <c r="S69" s="399">
        <f t="shared" si="33"/>
        <v>3.3572622676762649E-2</v>
      </c>
      <c r="T69" s="403" t="s">
        <v>491</v>
      </c>
      <c r="U69" s="403" t="s">
        <v>286</v>
      </c>
      <c r="V69" s="404" t="s">
        <v>608</v>
      </c>
      <c r="W69" s="404" t="s">
        <v>629</v>
      </c>
      <c r="X69" s="404">
        <v>1</v>
      </c>
      <c r="Y69" s="405" t="s">
        <v>214</v>
      </c>
      <c r="AC69" s="409"/>
    </row>
    <row r="70" spans="2:34" s="148" customFormat="1" ht="27" customHeight="1">
      <c r="B70" s="824"/>
      <c r="C70" s="825"/>
      <c r="D70" s="393">
        <v>16</v>
      </c>
      <c r="E70" s="396" t="s">
        <v>403</v>
      </c>
      <c r="F70" s="397">
        <v>2701.2381000000019</v>
      </c>
      <c r="G70" s="398">
        <v>198.54000000000002</v>
      </c>
      <c r="H70" s="398">
        <v>190.85000000000002</v>
      </c>
      <c r="I70" s="399">
        <f t="shared" si="37"/>
        <v>0.96126725093180221</v>
      </c>
      <c r="J70" s="398">
        <v>14.45</v>
      </c>
      <c r="K70" s="399">
        <f t="shared" si="38"/>
        <v>7.2781303515664336E-2</v>
      </c>
      <c r="L70" s="398">
        <v>421.40999999999997</v>
      </c>
      <c r="M70" s="399">
        <f t="shared" si="39"/>
        <v>1.0340485544474665</v>
      </c>
      <c r="N70" s="400">
        <v>2848.7316000000019</v>
      </c>
      <c r="O70" s="398">
        <v>0.35</v>
      </c>
      <c r="P70" s="399">
        <f t="shared" si="30"/>
        <v>1.7628689432859874E-3</v>
      </c>
      <c r="Q70" s="413">
        <f t="shared" si="31"/>
        <v>147.49349999999998</v>
      </c>
      <c r="R70" s="401">
        <f t="shared" si="32"/>
        <v>6.4099999999999913</v>
      </c>
      <c r="S70" s="399">
        <f t="shared" si="33"/>
        <v>3.228568550418047E-2</v>
      </c>
      <c r="T70" s="403" t="s">
        <v>491</v>
      </c>
      <c r="U70" s="403" t="s">
        <v>286</v>
      </c>
      <c r="V70" s="404" t="s">
        <v>634</v>
      </c>
      <c r="W70" s="404" t="s">
        <v>621</v>
      </c>
      <c r="X70" s="404">
        <v>1</v>
      </c>
      <c r="Y70" s="405" t="s">
        <v>168</v>
      </c>
      <c r="AC70" s="409"/>
    </row>
    <row r="71" spans="2:34" s="148" customFormat="1" ht="27" customHeight="1">
      <c r="B71" s="824"/>
      <c r="C71" s="825"/>
      <c r="D71" s="393">
        <v>17</v>
      </c>
      <c r="E71" s="396" t="s">
        <v>592</v>
      </c>
      <c r="F71" s="397">
        <v>2547.1680000000024</v>
      </c>
      <c r="G71" s="398">
        <v>924.71999999999991</v>
      </c>
      <c r="H71" s="398">
        <v>903.52999999999986</v>
      </c>
      <c r="I71" s="399">
        <f t="shared" si="37"/>
        <v>0.97708495544597274</v>
      </c>
      <c r="J71" s="398">
        <v>59.150000000000006</v>
      </c>
      <c r="K71" s="399">
        <f t="shared" si="38"/>
        <v>6.3965308417683206E-2</v>
      </c>
      <c r="L71" s="398">
        <v>75.36</v>
      </c>
      <c r="M71" s="399">
        <f t="shared" si="39"/>
        <v>1.0410502638636558</v>
      </c>
      <c r="N71" s="400">
        <v>2860.6656000000025</v>
      </c>
      <c r="O71" s="398">
        <v>4.16</v>
      </c>
      <c r="P71" s="399">
        <f t="shared" si="30"/>
        <v>4.498659053551346E-3</v>
      </c>
      <c r="Q71" s="413">
        <f t="shared" si="31"/>
        <v>313.49760000000003</v>
      </c>
      <c r="R71" s="401">
        <f t="shared" si="32"/>
        <v>33.799999999999926</v>
      </c>
      <c r="S71" s="399">
        <f t="shared" si="33"/>
        <v>3.6551604810104603E-2</v>
      </c>
      <c r="T71" s="403" t="s">
        <v>491</v>
      </c>
      <c r="U71" s="403" t="s">
        <v>286</v>
      </c>
      <c r="V71" s="404" t="s">
        <v>606</v>
      </c>
      <c r="W71" s="404" t="s">
        <v>607</v>
      </c>
      <c r="X71" s="404">
        <v>1</v>
      </c>
      <c r="Y71" s="405" t="s">
        <v>205</v>
      </c>
      <c r="AB71" s="411"/>
      <c r="AC71" s="409"/>
    </row>
    <row r="72" spans="2:34" s="148" customFormat="1" ht="27" customHeight="1">
      <c r="B72" s="824"/>
      <c r="C72" s="825"/>
      <c r="D72" s="393">
        <v>18</v>
      </c>
      <c r="E72" s="396" t="s">
        <v>299</v>
      </c>
      <c r="F72" s="397">
        <v>2356.9324999999958</v>
      </c>
      <c r="G72" s="398">
        <v>857.66</v>
      </c>
      <c r="H72" s="398">
        <v>877.43999999999983</v>
      </c>
      <c r="I72" s="399">
        <f t="shared" si="37"/>
        <v>1.0230627521395423</v>
      </c>
      <c r="J72" s="398">
        <v>0</v>
      </c>
      <c r="K72" s="399">
        <f t="shared" si="38"/>
        <v>0</v>
      </c>
      <c r="L72" s="398">
        <v>152.75</v>
      </c>
      <c r="M72" s="399">
        <f t="shared" si="39"/>
        <v>1.0230627521395423</v>
      </c>
      <c r="N72" s="400">
        <v>3021.3949999999959</v>
      </c>
      <c r="O72" s="398">
        <v>4.3499999999999996</v>
      </c>
      <c r="P72" s="399">
        <f t="shared" si="30"/>
        <v>5.0719399295758227E-3</v>
      </c>
      <c r="Q72" s="413">
        <f t="shared" si="31"/>
        <v>664.46249999999998</v>
      </c>
      <c r="R72" s="401">
        <f t="shared" si="32"/>
        <v>15.429999999999859</v>
      </c>
      <c r="S72" s="399">
        <f t="shared" si="33"/>
        <v>1.799081220996649E-2</v>
      </c>
      <c r="T72" s="403" t="s">
        <v>491</v>
      </c>
      <c r="U72" s="403" t="s">
        <v>286</v>
      </c>
      <c r="V72" s="404" t="s">
        <v>628</v>
      </c>
      <c r="W72" s="404" t="s">
        <v>605</v>
      </c>
      <c r="X72" s="404">
        <v>1</v>
      </c>
      <c r="Y72" s="405" t="s">
        <v>298</v>
      </c>
      <c r="AC72" s="409"/>
    </row>
    <row r="73" spans="2:34" s="148" customFormat="1" ht="27" customHeight="1">
      <c r="B73" s="824"/>
      <c r="C73" s="825"/>
      <c r="D73" s="393">
        <v>19</v>
      </c>
      <c r="E73" s="396" t="s">
        <v>645</v>
      </c>
      <c r="F73" s="397">
        <v>2292.4737999999993</v>
      </c>
      <c r="G73" s="398">
        <v>1107.9900000000002</v>
      </c>
      <c r="H73" s="398">
        <v>1098.22</v>
      </c>
      <c r="I73" s="399">
        <f t="shared" si="37"/>
        <v>0.99118223088656021</v>
      </c>
      <c r="J73" s="398">
        <v>56.25</v>
      </c>
      <c r="K73" s="399">
        <f t="shared" si="38"/>
        <v>5.0767606205832171E-2</v>
      </c>
      <c r="L73" s="398">
        <v>51.470000000000013</v>
      </c>
      <c r="M73" s="399">
        <f t="shared" si="39"/>
        <v>1.0419498370923923</v>
      </c>
      <c r="N73" s="400">
        <v>2392.3255999999992</v>
      </c>
      <c r="O73" s="398">
        <v>1.94</v>
      </c>
      <c r="P73" s="399">
        <f t="shared" si="30"/>
        <v>1.7509183295878116E-3</v>
      </c>
      <c r="Q73" s="413">
        <f t="shared" si="31"/>
        <v>99.851800000000026</v>
      </c>
      <c r="R73" s="401">
        <f t="shared" si="32"/>
        <v>44.539999999999793</v>
      </c>
      <c r="S73" s="399">
        <f t="shared" si="33"/>
        <v>4.0198918762804521E-2</v>
      </c>
      <c r="T73" s="403" t="s">
        <v>491</v>
      </c>
      <c r="U73" s="403" t="s">
        <v>286</v>
      </c>
      <c r="V73" s="404" t="s">
        <v>606</v>
      </c>
      <c r="W73" s="404" t="s">
        <v>607</v>
      </c>
      <c r="X73" s="404">
        <v>1</v>
      </c>
      <c r="Y73" s="405" t="s">
        <v>198</v>
      </c>
      <c r="AB73" s="412"/>
      <c r="AC73" s="409"/>
    </row>
    <row r="74" spans="2:34" s="148" customFormat="1" ht="27" customHeight="1">
      <c r="B74" s="826"/>
      <c r="C74" s="827"/>
      <c r="D74" s="393">
        <v>20</v>
      </c>
      <c r="E74" s="396" t="s">
        <v>536</v>
      </c>
      <c r="F74" s="397">
        <v>2097.0445999999965</v>
      </c>
      <c r="G74" s="398">
        <v>123.01</v>
      </c>
      <c r="H74" s="398">
        <v>121.70000000000002</v>
      </c>
      <c r="I74" s="399">
        <f t="shared" si="37"/>
        <v>0.98935045931225118</v>
      </c>
      <c r="J74" s="398">
        <v>6.7200000000000006</v>
      </c>
      <c r="K74" s="399">
        <f t="shared" si="38"/>
        <v>5.4629704902040485E-2</v>
      </c>
      <c r="L74" s="398">
        <v>496.92999999999995</v>
      </c>
      <c r="M74" s="399">
        <f t="shared" si="39"/>
        <v>1.0439801642142916</v>
      </c>
      <c r="N74" s="400">
        <v>2688.3912999999966</v>
      </c>
      <c r="O74" s="398">
        <v>1.19</v>
      </c>
      <c r="P74" s="399">
        <f t="shared" si="30"/>
        <v>9.6740102430696688E-3</v>
      </c>
      <c r="Q74" s="413">
        <f t="shared" si="31"/>
        <v>591.34669999999994</v>
      </c>
      <c r="R74" s="401">
        <f t="shared" si="32"/>
        <v>4.2200000000000113</v>
      </c>
      <c r="S74" s="399">
        <f t="shared" si="33"/>
        <v>3.4306153971221942E-2</v>
      </c>
      <c r="T74" s="403" t="s">
        <v>491</v>
      </c>
      <c r="U74" s="403" t="s">
        <v>286</v>
      </c>
      <c r="V74" s="404" t="s">
        <v>627</v>
      </c>
      <c r="W74" s="404" t="s">
        <v>621</v>
      </c>
      <c r="X74" s="404">
        <v>1</v>
      </c>
      <c r="Y74" s="405" t="s">
        <v>203</v>
      </c>
      <c r="AB74" s="412"/>
      <c r="AC74" s="409"/>
    </row>
    <row r="75" spans="2:34" ht="16.5" customHeight="1">
      <c r="B75" s="844" t="s">
        <v>478</v>
      </c>
      <c r="C75" s="845"/>
      <c r="D75" s="850" t="s">
        <v>479</v>
      </c>
      <c r="E75" s="850"/>
      <c r="F75" s="850"/>
      <c r="G75" s="850" t="s">
        <v>480</v>
      </c>
      <c r="H75" s="850"/>
      <c r="I75" s="850"/>
      <c r="J75" s="850"/>
      <c r="K75" s="850"/>
      <c r="L75" s="850"/>
      <c r="M75" s="850"/>
      <c r="N75" s="850"/>
      <c r="O75" s="850"/>
      <c r="P75" s="850"/>
      <c r="Q75" s="850"/>
      <c r="R75" s="850"/>
      <c r="S75" s="850"/>
      <c r="T75" s="850" t="s">
        <v>481</v>
      </c>
      <c r="U75" s="835" t="s">
        <v>482</v>
      </c>
      <c r="V75" s="855" t="s">
        <v>600</v>
      </c>
      <c r="W75" s="855" t="s">
        <v>484</v>
      </c>
      <c r="X75" s="831" t="s">
        <v>485</v>
      </c>
      <c r="Y75" s="834" t="s">
        <v>486</v>
      </c>
      <c r="AA75" s="850" t="s">
        <v>487</v>
      </c>
      <c r="AB75" s="850"/>
      <c r="AC75" s="850"/>
      <c r="AD75" s="850"/>
      <c r="AE75" s="850"/>
      <c r="AF75" s="850"/>
      <c r="AG75" s="850"/>
      <c r="AH75" s="850"/>
    </row>
    <row r="76" spans="2:34" ht="17.100000000000001" customHeight="1">
      <c r="B76" s="846"/>
      <c r="C76" s="847"/>
      <c r="D76" s="851" t="s">
        <v>488</v>
      </c>
      <c r="E76" s="850" t="s">
        <v>489</v>
      </c>
      <c r="F76" s="850"/>
      <c r="G76" s="850" t="s">
        <v>490</v>
      </c>
      <c r="H76" s="850"/>
      <c r="I76" s="850"/>
      <c r="J76" s="850"/>
      <c r="K76" s="850"/>
      <c r="L76" s="850"/>
      <c r="M76" s="850"/>
      <c r="N76" s="850"/>
      <c r="O76" s="850" t="s">
        <v>491</v>
      </c>
      <c r="P76" s="850"/>
      <c r="Q76" s="850"/>
      <c r="R76" s="850"/>
      <c r="S76" s="850"/>
      <c r="T76" s="850"/>
      <c r="U76" s="838"/>
      <c r="V76" s="832"/>
      <c r="W76" s="856"/>
      <c r="X76" s="832"/>
      <c r="Y76" s="834"/>
      <c r="AA76" s="850"/>
      <c r="AB76" s="850"/>
      <c r="AC76" s="850"/>
      <c r="AD76" s="850"/>
      <c r="AE76" s="850"/>
      <c r="AF76" s="850"/>
      <c r="AG76" s="850"/>
      <c r="AH76" s="850"/>
    </row>
    <row r="77" spans="2:34" ht="17.100000000000001" customHeight="1">
      <c r="B77" s="846"/>
      <c r="C77" s="847"/>
      <c r="D77" s="851"/>
      <c r="E77" s="851" t="s">
        <v>492</v>
      </c>
      <c r="F77" s="858" t="s">
        <v>601</v>
      </c>
      <c r="G77" s="852" t="s">
        <v>494</v>
      </c>
      <c r="H77" s="852"/>
      <c r="I77" s="852"/>
      <c r="J77" s="852"/>
      <c r="K77" s="852"/>
      <c r="L77" s="852"/>
      <c r="M77" s="852"/>
      <c r="N77" s="852"/>
      <c r="O77" s="859" t="s">
        <v>495</v>
      </c>
      <c r="P77" s="860"/>
      <c r="Q77" s="861"/>
      <c r="R77" s="852" t="s">
        <v>496</v>
      </c>
      <c r="S77" s="852"/>
      <c r="T77" s="850"/>
      <c r="U77" s="838"/>
      <c r="V77" s="832"/>
      <c r="W77" s="856"/>
      <c r="X77" s="832"/>
      <c r="Y77" s="834"/>
      <c r="AA77" s="850"/>
      <c r="AB77" s="850"/>
      <c r="AC77" s="850"/>
      <c r="AD77" s="850"/>
      <c r="AE77" s="850"/>
      <c r="AF77" s="850"/>
      <c r="AG77" s="850"/>
      <c r="AH77" s="850"/>
    </row>
    <row r="78" spans="2:34" ht="38.450000000000003" customHeight="1">
      <c r="B78" s="848"/>
      <c r="C78" s="849"/>
      <c r="D78" s="851"/>
      <c r="E78" s="851"/>
      <c r="F78" s="858"/>
      <c r="G78" s="394" t="s">
        <v>497</v>
      </c>
      <c r="H78" s="394" t="s">
        <v>498</v>
      </c>
      <c r="I78" s="394" t="s">
        <v>499</v>
      </c>
      <c r="J78" s="394" t="s">
        <v>500</v>
      </c>
      <c r="K78" s="394" t="s">
        <v>501</v>
      </c>
      <c r="L78" s="394" t="s">
        <v>502</v>
      </c>
      <c r="M78" s="394" t="s">
        <v>503</v>
      </c>
      <c r="N78" s="394" t="s">
        <v>504</v>
      </c>
      <c r="O78" s="395" t="s">
        <v>505</v>
      </c>
      <c r="P78" s="395" t="s">
        <v>506</v>
      </c>
      <c r="Q78" s="394" t="s">
        <v>507</v>
      </c>
      <c r="R78" s="395" t="s">
        <v>505</v>
      </c>
      <c r="S78" s="395" t="s">
        <v>506</v>
      </c>
      <c r="T78" s="850"/>
      <c r="U78" s="841"/>
      <c r="V78" s="833"/>
      <c r="W78" s="857"/>
      <c r="X78" s="833"/>
      <c r="Y78" s="834"/>
      <c r="AA78" s="161" t="s">
        <v>508</v>
      </c>
      <c r="AB78" s="161" t="s">
        <v>509</v>
      </c>
      <c r="AC78" s="156" t="s">
        <v>510</v>
      </c>
      <c r="AD78" s="156" t="s">
        <v>511</v>
      </c>
      <c r="AE78" s="156" t="s">
        <v>286</v>
      </c>
      <c r="AF78" s="156" t="s">
        <v>318</v>
      </c>
      <c r="AG78" s="156" t="s">
        <v>321</v>
      </c>
      <c r="AH78" s="156" t="s">
        <v>512</v>
      </c>
    </row>
    <row r="79" spans="2:34" s="148" customFormat="1" ht="27" customHeight="1">
      <c r="B79" s="822" t="s">
        <v>571</v>
      </c>
      <c r="C79" s="823"/>
      <c r="D79" s="393">
        <v>1</v>
      </c>
      <c r="E79" s="396" t="s">
        <v>336</v>
      </c>
      <c r="F79" s="397">
        <v>17672.434100000002</v>
      </c>
      <c r="G79" s="398">
        <v>3330.3</v>
      </c>
      <c r="H79" s="398">
        <v>3295.9900000000002</v>
      </c>
      <c r="I79" s="399">
        <f>H79/G79</f>
        <v>0.98969762483860313</v>
      </c>
      <c r="J79" s="398">
        <v>154.18</v>
      </c>
      <c r="K79" s="399">
        <f>J79/G79</f>
        <v>4.629612947782482E-2</v>
      </c>
      <c r="L79" s="398">
        <v>147.43000000000004</v>
      </c>
      <c r="M79" s="399">
        <f>(H79+J79)/G79</f>
        <v>1.0359937543164279</v>
      </c>
      <c r="N79" s="400">
        <v>17672.434100000002</v>
      </c>
      <c r="O79" s="398">
        <v>0</v>
      </c>
      <c r="P79" s="399">
        <f>O79/G79</f>
        <v>0</v>
      </c>
      <c r="Q79" s="413">
        <f>O79*L79</f>
        <v>0</v>
      </c>
      <c r="R79" s="401">
        <f>((H79+J79)-G79)-O79</f>
        <v>119.86999999999989</v>
      </c>
      <c r="S79" s="399">
        <f>R79/G79</f>
        <v>3.5993754316427914E-2</v>
      </c>
      <c r="T79" s="403" t="s">
        <v>491</v>
      </c>
      <c r="U79" s="403" t="s">
        <v>318</v>
      </c>
      <c r="V79" s="404" t="s">
        <v>602</v>
      </c>
      <c r="W79" s="404" t="s">
        <v>603</v>
      </c>
      <c r="X79" s="404">
        <v>1</v>
      </c>
      <c r="Y79" s="405" t="s">
        <v>311</v>
      </c>
      <c r="Z79" s="406" t="s">
        <v>517</v>
      </c>
      <c r="AA79" s="407">
        <f>SUM(X79:X98)</f>
        <v>20</v>
      </c>
      <c r="AB79" s="408">
        <f>SUMIF($U$79:$U$98,TRIM(AB78),$X$79:$X$98)</f>
        <v>0</v>
      </c>
      <c r="AC79" s="408">
        <f t="shared" ref="AC79:AH79" si="40">SUMIF($U$79:$U$98,TRIM(AC78),$X$79:$X$98)</f>
        <v>0</v>
      </c>
      <c r="AD79" s="408">
        <f t="shared" si="40"/>
        <v>0</v>
      </c>
      <c r="AE79" s="408">
        <f t="shared" si="40"/>
        <v>15</v>
      </c>
      <c r="AF79" s="408">
        <f t="shared" si="40"/>
        <v>1</v>
      </c>
      <c r="AG79" s="408">
        <f t="shared" si="40"/>
        <v>4</v>
      </c>
      <c r="AH79" s="408">
        <f t="shared" si="40"/>
        <v>0</v>
      </c>
    </row>
    <row r="80" spans="2:34" s="148" customFormat="1" ht="27" customHeight="1">
      <c r="B80" s="824"/>
      <c r="C80" s="825"/>
      <c r="D80" s="393">
        <v>2</v>
      </c>
      <c r="E80" s="396" t="s">
        <v>326</v>
      </c>
      <c r="F80" s="397">
        <v>11790.683200000009</v>
      </c>
      <c r="G80" s="398">
        <v>3106.0299999999997</v>
      </c>
      <c r="H80" s="398">
        <v>3010.4</v>
      </c>
      <c r="I80" s="399">
        <f t="shared" ref="I80:I81" si="41">H80/G80</f>
        <v>0.96921150149869784</v>
      </c>
      <c r="J80" s="398">
        <v>187.86</v>
      </c>
      <c r="K80" s="399">
        <f t="shared" ref="K80:K85" si="42">J80/G80</f>
        <v>6.0482352070005775E-2</v>
      </c>
      <c r="L80" s="398">
        <v>127.84000000000002</v>
      </c>
      <c r="M80" s="399">
        <f t="shared" ref="M80:M85" si="43">(H80+J80)/G80</f>
        <v>1.0296938535687037</v>
      </c>
      <c r="N80" s="400">
        <v>11790.683200000009</v>
      </c>
      <c r="O80" s="398">
        <v>0</v>
      </c>
      <c r="P80" s="399">
        <f t="shared" ref="P80:P98" si="44">O80/G80</f>
        <v>0</v>
      </c>
      <c r="Q80" s="413">
        <f t="shared" ref="Q80:Q98" si="45">O80*L80</f>
        <v>0</v>
      </c>
      <c r="R80" s="401">
        <f t="shared" ref="R80:R98" si="46">((H80+J80)-G80)-O80</f>
        <v>92.230000000000473</v>
      </c>
      <c r="S80" s="399">
        <f t="shared" ref="S80:S98" si="47">R80/G80</f>
        <v>2.9693853568703611E-2</v>
      </c>
      <c r="T80" s="403" t="s">
        <v>491</v>
      </c>
      <c r="U80" s="403" t="s">
        <v>286</v>
      </c>
      <c r="V80" s="404" t="s">
        <v>608</v>
      </c>
      <c r="W80" s="404" t="s">
        <v>629</v>
      </c>
      <c r="X80" s="404">
        <v>1</v>
      </c>
      <c r="Y80" s="405" t="s">
        <v>311</v>
      </c>
      <c r="AA80" s="407"/>
      <c r="AB80" s="414">
        <f>SUMIF($U$79:$U$98,TRIM(AB78),$F$79:$F$98)</f>
        <v>0</v>
      </c>
      <c r="AC80" s="414">
        <f t="shared" ref="AC80:AH80" si="48">SUMIF($U$79:$U$98,TRIM(AC78),$F$79:$F$98)</f>
        <v>0</v>
      </c>
      <c r="AD80" s="414">
        <f t="shared" si="48"/>
        <v>0</v>
      </c>
      <c r="AE80" s="414">
        <f t="shared" si="48"/>
        <v>54120.763200000016</v>
      </c>
      <c r="AF80" s="414">
        <f t="shared" si="48"/>
        <v>17672.434100000002</v>
      </c>
      <c r="AG80" s="414">
        <f t="shared" si="48"/>
        <v>20011.558700000001</v>
      </c>
      <c r="AH80" s="414">
        <f t="shared" si="48"/>
        <v>0</v>
      </c>
    </row>
    <row r="81" spans="2:34" s="148" customFormat="1" ht="27" customHeight="1">
      <c r="B81" s="824"/>
      <c r="C81" s="825"/>
      <c r="D81" s="393">
        <v>3</v>
      </c>
      <c r="E81" s="396" t="s">
        <v>338</v>
      </c>
      <c r="F81" s="397">
        <v>8113.9519999999957</v>
      </c>
      <c r="G81" s="398">
        <v>2841.7999999999997</v>
      </c>
      <c r="H81" s="398">
        <v>2727</v>
      </c>
      <c r="I81" s="399">
        <f t="shared" si="41"/>
        <v>0.95960306847772547</v>
      </c>
      <c r="J81" s="398">
        <v>239.39999999999998</v>
      </c>
      <c r="K81" s="399">
        <f t="shared" si="42"/>
        <v>8.424238158913365E-2</v>
      </c>
      <c r="L81" s="398">
        <v>65.12</v>
      </c>
      <c r="M81" s="399">
        <f t="shared" si="43"/>
        <v>1.0438454500668592</v>
      </c>
      <c r="N81" s="400">
        <v>8113.9519999999957</v>
      </c>
      <c r="O81" s="398">
        <v>0</v>
      </c>
      <c r="P81" s="399">
        <f t="shared" si="44"/>
        <v>0</v>
      </c>
      <c r="Q81" s="413">
        <f t="shared" si="45"/>
        <v>0</v>
      </c>
      <c r="R81" s="401">
        <f t="shared" si="46"/>
        <v>124.60000000000036</v>
      </c>
      <c r="S81" s="399">
        <f t="shared" si="47"/>
        <v>4.3845450066859165E-2</v>
      </c>
      <c r="T81" s="403" t="s">
        <v>491</v>
      </c>
      <c r="U81" s="403" t="s">
        <v>321</v>
      </c>
      <c r="V81" s="404" t="s">
        <v>606</v>
      </c>
      <c r="W81" s="404" t="s">
        <v>607</v>
      </c>
      <c r="X81" s="404">
        <v>1</v>
      </c>
      <c r="Y81" s="405" t="s">
        <v>224</v>
      </c>
      <c r="AA81" s="393"/>
      <c r="AB81" s="415">
        <f>AB79/$AA79</f>
        <v>0</v>
      </c>
      <c r="AC81" s="415">
        <f t="shared" ref="AC81:AH81" si="49">AC79/$AA79</f>
        <v>0</v>
      </c>
      <c r="AD81" s="415">
        <f t="shared" si="49"/>
        <v>0</v>
      </c>
      <c r="AE81" s="415">
        <f t="shared" si="49"/>
        <v>0.75</v>
      </c>
      <c r="AF81" s="415">
        <f t="shared" si="49"/>
        <v>0.05</v>
      </c>
      <c r="AG81" s="415">
        <f t="shared" si="49"/>
        <v>0.2</v>
      </c>
      <c r="AH81" s="415">
        <f t="shared" si="49"/>
        <v>0</v>
      </c>
    </row>
    <row r="82" spans="2:34" s="148" customFormat="1" ht="27" customHeight="1">
      <c r="B82" s="824"/>
      <c r="C82" s="825"/>
      <c r="D82" s="393">
        <v>4</v>
      </c>
      <c r="E82" s="396" t="s">
        <v>613</v>
      </c>
      <c r="F82" s="397">
        <v>5449.7741999999935</v>
      </c>
      <c r="G82" s="398">
        <v>1690.78</v>
      </c>
      <c r="H82" s="398">
        <v>1604.2900000000002</v>
      </c>
      <c r="I82" s="399">
        <f>H82/G82</f>
        <v>0.94884609470185366</v>
      </c>
      <c r="J82" s="398">
        <v>168.24</v>
      </c>
      <c r="K82" s="399">
        <f t="shared" si="42"/>
        <v>9.9504370763789499E-2</v>
      </c>
      <c r="L82" s="398">
        <v>70.220000000000013</v>
      </c>
      <c r="M82" s="399">
        <f t="shared" si="43"/>
        <v>1.0483504654656433</v>
      </c>
      <c r="N82" s="400">
        <v>5740.4849999999942</v>
      </c>
      <c r="O82" s="398">
        <v>4.1400000000000006</v>
      </c>
      <c r="P82" s="399">
        <f t="shared" si="44"/>
        <v>2.4485740309206404E-3</v>
      </c>
      <c r="Q82" s="413">
        <f t="shared" si="45"/>
        <v>290.71080000000012</v>
      </c>
      <c r="R82" s="401">
        <f t="shared" si="46"/>
        <v>77.610000000000227</v>
      </c>
      <c r="S82" s="399">
        <f t="shared" si="47"/>
        <v>4.5901891434722571E-2</v>
      </c>
      <c r="T82" s="403" t="s">
        <v>491</v>
      </c>
      <c r="U82" s="403" t="s">
        <v>286</v>
      </c>
      <c r="V82" s="404" t="s">
        <v>606</v>
      </c>
      <c r="W82" s="404" t="s">
        <v>607</v>
      </c>
      <c r="X82" s="404">
        <v>1</v>
      </c>
      <c r="Y82" s="405" t="s">
        <v>201</v>
      </c>
    </row>
    <row r="83" spans="2:34" s="148" customFormat="1" ht="27" customHeight="1">
      <c r="B83" s="824"/>
      <c r="C83" s="825"/>
      <c r="D83" s="393">
        <v>5</v>
      </c>
      <c r="E83" s="396" t="s">
        <v>343</v>
      </c>
      <c r="F83" s="397">
        <v>5334.8295000000016</v>
      </c>
      <c r="G83" s="398">
        <v>2491.44</v>
      </c>
      <c r="H83" s="398">
        <v>2423.8900000000003</v>
      </c>
      <c r="I83" s="399">
        <f t="shared" ref="I83:I98" si="50">H83/G83</f>
        <v>0.9728871656552035</v>
      </c>
      <c r="J83" s="398">
        <v>178.32</v>
      </c>
      <c r="K83" s="399">
        <f t="shared" si="42"/>
        <v>7.1573066178595504E-2</v>
      </c>
      <c r="L83" s="398">
        <v>51.87</v>
      </c>
      <c r="M83" s="399">
        <f t="shared" si="43"/>
        <v>1.044460231833799</v>
      </c>
      <c r="N83" s="400">
        <v>5745.6399000000019</v>
      </c>
      <c r="O83" s="398">
        <v>7.92</v>
      </c>
      <c r="P83" s="399">
        <f t="shared" si="44"/>
        <v>3.1788845005298141E-3</v>
      </c>
      <c r="Q83" s="413">
        <f t="shared" si="45"/>
        <v>410.81039999999996</v>
      </c>
      <c r="R83" s="401">
        <f t="shared" si="46"/>
        <v>102.85000000000043</v>
      </c>
      <c r="S83" s="399">
        <f t="shared" si="47"/>
        <v>4.128134733326929E-2</v>
      </c>
      <c r="T83" s="403" t="s">
        <v>491</v>
      </c>
      <c r="U83" s="403" t="s">
        <v>321</v>
      </c>
      <c r="V83" s="404" t="s">
        <v>606</v>
      </c>
      <c r="W83" s="404" t="s">
        <v>607</v>
      </c>
      <c r="X83" s="404">
        <v>1</v>
      </c>
      <c r="Y83" s="405" t="s">
        <v>226</v>
      </c>
    </row>
    <row r="84" spans="2:34" s="148" customFormat="1" ht="27" customHeight="1">
      <c r="B84" s="824"/>
      <c r="C84" s="825"/>
      <c r="D84" s="393">
        <v>6</v>
      </c>
      <c r="E84" s="396" t="s">
        <v>330</v>
      </c>
      <c r="F84" s="397">
        <v>4962.5637000000006</v>
      </c>
      <c r="G84" s="398">
        <v>1324.2</v>
      </c>
      <c r="H84" s="398">
        <v>1291.19</v>
      </c>
      <c r="I84" s="399">
        <f t="shared" si="50"/>
        <v>0.97507174142878716</v>
      </c>
      <c r="J84" s="398">
        <v>85.1</v>
      </c>
      <c r="K84" s="399">
        <f t="shared" si="42"/>
        <v>6.426521673463223E-2</v>
      </c>
      <c r="L84" s="398">
        <v>99.51</v>
      </c>
      <c r="M84" s="399">
        <f t="shared" si="43"/>
        <v>1.0393369581634193</v>
      </c>
      <c r="N84" s="400">
        <v>5183.4759000000004</v>
      </c>
      <c r="O84" s="398">
        <v>2.2200000000000002</v>
      </c>
      <c r="P84" s="399">
        <f t="shared" si="44"/>
        <v>1.6764839148164931E-3</v>
      </c>
      <c r="Q84" s="413">
        <f t="shared" si="45"/>
        <v>220.91220000000004</v>
      </c>
      <c r="R84" s="401">
        <f t="shared" si="46"/>
        <v>49.869999999999919</v>
      </c>
      <c r="S84" s="399">
        <f t="shared" si="47"/>
        <v>3.7660474248602867E-2</v>
      </c>
      <c r="T84" s="403" t="s">
        <v>491</v>
      </c>
      <c r="U84" s="403" t="s">
        <v>286</v>
      </c>
      <c r="V84" s="404" t="s">
        <v>606</v>
      </c>
      <c r="W84" s="404" t="s">
        <v>607</v>
      </c>
      <c r="X84" s="404">
        <v>1</v>
      </c>
      <c r="Y84" s="405" t="s">
        <v>200</v>
      </c>
    </row>
    <row r="85" spans="2:34" s="148" customFormat="1" ht="27" customHeight="1">
      <c r="B85" s="824"/>
      <c r="C85" s="825"/>
      <c r="D85" s="393">
        <v>7</v>
      </c>
      <c r="E85" s="396" t="s">
        <v>332</v>
      </c>
      <c r="F85" s="397">
        <v>4644.5805999999966</v>
      </c>
      <c r="G85" s="398">
        <v>524.04000000000008</v>
      </c>
      <c r="H85" s="398">
        <v>513.28</v>
      </c>
      <c r="I85" s="399">
        <f t="shared" si="50"/>
        <v>0.97946721624303468</v>
      </c>
      <c r="J85" s="398">
        <v>39.700000000000003</v>
      </c>
      <c r="K85" s="399">
        <f t="shared" si="42"/>
        <v>7.5757575757575746E-2</v>
      </c>
      <c r="L85" s="398">
        <v>160.49</v>
      </c>
      <c r="M85" s="399">
        <f t="shared" si="43"/>
        <v>1.0552247920006106</v>
      </c>
      <c r="N85" s="400">
        <v>4644.5805999999966</v>
      </c>
      <c r="O85" s="398">
        <v>0</v>
      </c>
      <c r="P85" s="399">
        <f t="shared" si="44"/>
        <v>0</v>
      </c>
      <c r="Q85" s="413">
        <f t="shared" si="45"/>
        <v>0</v>
      </c>
      <c r="R85" s="401">
        <f t="shared" si="46"/>
        <v>28.939999999999941</v>
      </c>
      <c r="S85" s="399">
        <f t="shared" si="47"/>
        <v>5.522479200061052E-2</v>
      </c>
      <c r="T85" s="403" t="s">
        <v>491</v>
      </c>
      <c r="U85" s="403" t="s">
        <v>286</v>
      </c>
      <c r="V85" s="404" t="s">
        <v>608</v>
      </c>
      <c r="W85" s="404" t="s">
        <v>629</v>
      </c>
      <c r="X85" s="404">
        <v>1</v>
      </c>
      <c r="Y85" s="405" t="s">
        <v>214</v>
      </c>
    </row>
    <row r="86" spans="2:34" s="148" customFormat="1" ht="27" customHeight="1">
      <c r="B86" s="824"/>
      <c r="C86" s="825"/>
      <c r="D86" s="393">
        <v>8</v>
      </c>
      <c r="E86" s="396" t="s">
        <v>340</v>
      </c>
      <c r="F86" s="397">
        <v>3491.4725999999946</v>
      </c>
      <c r="G86" s="398">
        <v>2000.4300000000003</v>
      </c>
      <c r="H86" s="398">
        <v>1927.84</v>
      </c>
      <c r="I86" s="399">
        <f t="shared" si="50"/>
        <v>0.96371280174762408</v>
      </c>
      <c r="J86" s="398">
        <v>125.55000000000001</v>
      </c>
      <c r="K86" s="399">
        <f>J86/G86</f>
        <v>6.2761506276150625E-2</v>
      </c>
      <c r="L86" s="398">
        <v>68.42</v>
      </c>
      <c r="M86" s="399">
        <f>(H86+J86)/G86</f>
        <v>1.0264743080237746</v>
      </c>
      <c r="N86" s="400">
        <v>3623.5231999999951</v>
      </c>
      <c r="O86" s="398">
        <v>1.93</v>
      </c>
      <c r="P86" s="399">
        <f t="shared" si="44"/>
        <v>9.6479256959753636E-4</v>
      </c>
      <c r="Q86" s="413">
        <f t="shared" si="45"/>
        <v>132.0506</v>
      </c>
      <c r="R86" s="401">
        <f t="shared" si="46"/>
        <v>51.029999999999582</v>
      </c>
      <c r="S86" s="399">
        <f t="shared" si="47"/>
        <v>2.550951545417714E-2</v>
      </c>
      <c r="T86" s="403" t="s">
        <v>491</v>
      </c>
      <c r="U86" s="403" t="s">
        <v>321</v>
      </c>
      <c r="V86" s="404" t="s">
        <v>606</v>
      </c>
      <c r="W86" s="404" t="s">
        <v>607</v>
      </c>
      <c r="X86" s="404">
        <v>1</v>
      </c>
      <c r="Y86" s="405" t="s">
        <v>221</v>
      </c>
    </row>
    <row r="87" spans="2:34" s="148" customFormat="1" ht="27" customHeight="1">
      <c r="B87" s="824"/>
      <c r="C87" s="825"/>
      <c r="D87" s="393">
        <v>9</v>
      </c>
      <c r="E87" s="396" t="s">
        <v>334</v>
      </c>
      <c r="F87" s="397">
        <v>3110.5701000000049</v>
      </c>
      <c r="G87" s="398">
        <v>585.34</v>
      </c>
      <c r="H87" s="398">
        <v>581.61</v>
      </c>
      <c r="I87" s="399">
        <f t="shared" si="50"/>
        <v>0.99362763522055553</v>
      </c>
      <c r="J87" s="398">
        <v>11.67</v>
      </c>
      <c r="K87" s="399">
        <f t="shared" ref="K87:K98" si="51">J87/G87</f>
        <v>1.9937130556599583E-2</v>
      </c>
      <c r="L87" s="398">
        <v>426.69</v>
      </c>
      <c r="M87" s="399">
        <f t="shared" ref="M87:M98" si="52">(H87+J87)/G87</f>
        <v>1.0135647657771552</v>
      </c>
      <c r="N87" s="400">
        <v>3387.918600000005</v>
      </c>
      <c r="O87" s="398">
        <v>0.64999999999999991</v>
      </c>
      <c r="P87" s="399">
        <f t="shared" si="44"/>
        <v>1.1104657122356235E-3</v>
      </c>
      <c r="Q87" s="413">
        <f t="shared" si="45"/>
        <v>277.34849999999994</v>
      </c>
      <c r="R87" s="401">
        <f t="shared" si="46"/>
        <v>7.2899999999999405</v>
      </c>
      <c r="S87" s="399">
        <f t="shared" si="47"/>
        <v>1.2454300064919432E-2</v>
      </c>
      <c r="T87" s="403" t="s">
        <v>491</v>
      </c>
      <c r="U87" s="403" t="s">
        <v>286</v>
      </c>
      <c r="V87" s="404" t="s">
        <v>616</v>
      </c>
      <c r="W87" s="404" t="s">
        <v>643</v>
      </c>
      <c r="X87" s="404">
        <v>1</v>
      </c>
      <c r="Y87" s="405" t="s">
        <v>298</v>
      </c>
    </row>
    <row r="88" spans="2:34" s="148" customFormat="1" ht="27" customHeight="1">
      <c r="B88" s="824"/>
      <c r="C88" s="825"/>
      <c r="D88" s="393">
        <v>10</v>
      </c>
      <c r="E88" s="396" t="s">
        <v>341</v>
      </c>
      <c r="F88" s="397">
        <v>3071.3046000000113</v>
      </c>
      <c r="G88" s="398">
        <v>1221.3399999999999</v>
      </c>
      <c r="H88" s="398">
        <v>1210.23</v>
      </c>
      <c r="I88" s="399">
        <f t="shared" si="50"/>
        <v>0.990903433933221</v>
      </c>
      <c r="J88" s="398">
        <v>16.62</v>
      </c>
      <c r="K88" s="399">
        <f t="shared" si="51"/>
        <v>1.3608004323120509E-2</v>
      </c>
      <c r="L88" s="398">
        <v>605.77999999999986</v>
      </c>
      <c r="M88" s="399">
        <f t="shared" si="52"/>
        <v>1.0045114382563414</v>
      </c>
      <c r="N88" s="400">
        <v>3337.8478000000114</v>
      </c>
      <c r="O88" s="398">
        <v>0.44</v>
      </c>
      <c r="P88" s="399">
        <f t="shared" si="44"/>
        <v>3.602600422486777E-4</v>
      </c>
      <c r="Q88" s="413">
        <f t="shared" si="45"/>
        <v>266.54319999999996</v>
      </c>
      <c r="R88" s="401">
        <f t="shared" si="46"/>
        <v>5.0699999999999905</v>
      </c>
      <c r="S88" s="399">
        <f t="shared" si="47"/>
        <v>4.1511782140927107E-3</v>
      </c>
      <c r="T88" s="403" t="s">
        <v>491</v>
      </c>
      <c r="U88" s="403" t="s">
        <v>321</v>
      </c>
      <c r="V88" s="404" t="s">
        <v>612</v>
      </c>
      <c r="W88" s="404" t="s">
        <v>570</v>
      </c>
      <c r="X88" s="404">
        <v>1</v>
      </c>
      <c r="Y88" s="405" t="s">
        <v>198</v>
      </c>
    </row>
    <row r="89" spans="2:34" s="148" customFormat="1" ht="27" customHeight="1">
      <c r="B89" s="824"/>
      <c r="C89" s="825"/>
      <c r="D89" s="393">
        <v>11</v>
      </c>
      <c r="E89" s="396" t="s">
        <v>344</v>
      </c>
      <c r="F89" s="397">
        <v>3000.057200000002</v>
      </c>
      <c r="G89" s="398">
        <v>546.28</v>
      </c>
      <c r="H89" s="398">
        <v>527.98</v>
      </c>
      <c r="I89" s="399">
        <f t="shared" si="50"/>
        <v>0.96650069561397089</v>
      </c>
      <c r="J89" s="398">
        <v>29.2</v>
      </c>
      <c r="K89" s="399">
        <f t="shared" si="51"/>
        <v>5.345244197115033E-2</v>
      </c>
      <c r="L89" s="398">
        <v>327.16000000000003</v>
      </c>
      <c r="M89" s="399">
        <f t="shared" si="52"/>
        <v>1.0199531375851214</v>
      </c>
      <c r="N89" s="400">
        <v>3566.0440000000021</v>
      </c>
      <c r="O89" s="398">
        <v>1.73</v>
      </c>
      <c r="P89" s="399">
        <f t="shared" si="44"/>
        <v>3.1668741304825367E-3</v>
      </c>
      <c r="Q89" s="413">
        <f t="shared" si="45"/>
        <v>565.98680000000002</v>
      </c>
      <c r="R89" s="401">
        <f t="shared" si="46"/>
        <v>9.1700000000000905</v>
      </c>
      <c r="S89" s="399">
        <f t="shared" si="47"/>
        <v>1.6786263454638812E-2</v>
      </c>
      <c r="T89" s="403" t="s">
        <v>491</v>
      </c>
      <c r="U89" s="403" t="s">
        <v>286</v>
      </c>
      <c r="V89" s="404" t="s">
        <v>611</v>
      </c>
      <c r="W89" s="404" t="s">
        <v>644</v>
      </c>
      <c r="X89" s="404">
        <v>1</v>
      </c>
      <c r="Y89" s="405" t="s">
        <v>204</v>
      </c>
    </row>
    <row r="90" spans="2:34" s="148" customFormat="1" ht="27" customHeight="1">
      <c r="B90" s="824"/>
      <c r="C90" s="825"/>
      <c r="D90" s="393">
        <v>12</v>
      </c>
      <c r="E90" s="396" t="s">
        <v>405</v>
      </c>
      <c r="F90" s="397">
        <v>2947.4140999999991</v>
      </c>
      <c r="G90" s="398">
        <v>1900.78</v>
      </c>
      <c r="H90" s="398">
        <v>1831.6</v>
      </c>
      <c r="I90" s="399">
        <f t="shared" si="50"/>
        <v>0.96360441502961935</v>
      </c>
      <c r="J90" s="398">
        <v>119.18999999999998</v>
      </c>
      <c r="K90" s="399">
        <f t="shared" si="51"/>
        <v>6.2705836551310512E-2</v>
      </c>
      <c r="L90" s="398">
        <v>66.13</v>
      </c>
      <c r="M90" s="399">
        <f t="shared" si="52"/>
        <v>1.0263102515809299</v>
      </c>
      <c r="N90" s="400">
        <v>3307.1612999999988</v>
      </c>
      <c r="O90" s="398">
        <v>5.4399999999999995</v>
      </c>
      <c r="P90" s="399">
        <f t="shared" si="44"/>
        <v>2.8619829754100946E-3</v>
      </c>
      <c r="Q90" s="413">
        <f t="shared" si="45"/>
        <v>359.74719999999996</v>
      </c>
      <c r="R90" s="401">
        <f t="shared" si="46"/>
        <v>44.569999999999993</v>
      </c>
      <c r="S90" s="399">
        <f t="shared" si="47"/>
        <v>2.3448268605519837E-2</v>
      </c>
      <c r="T90" s="403" t="s">
        <v>491</v>
      </c>
      <c r="U90" s="403" t="s">
        <v>286</v>
      </c>
      <c r="V90" s="404" t="s">
        <v>606</v>
      </c>
      <c r="W90" s="404" t="s">
        <v>607</v>
      </c>
      <c r="X90" s="404">
        <v>1</v>
      </c>
      <c r="Y90" s="405" t="s">
        <v>199</v>
      </c>
    </row>
    <row r="91" spans="2:34" s="148" customFormat="1" ht="27" customHeight="1">
      <c r="B91" s="824"/>
      <c r="C91" s="825"/>
      <c r="D91" s="393">
        <v>13</v>
      </c>
      <c r="E91" s="396" t="s">
        <v>403</v>
      </c>
      <c r="F91" s="397">
        <v>2941.441800000006</v>
      </c>
      <c r="G91" s="398">
        <v>212.57</v>
      </c>
      <c r="H91" s="398">
        <v>204.39</v>
      </c>
      <c r="I91" s="399">
        <f t="shared" si="50"/>
        <v>0.9615185585924636</v>
      </c>
      <c r="J91" s="398">
        <v>16.149999999999999</v>
      </c>
      <c r="K91" s="399">
        <f t="shared" si="51"/>
        <v>7.5974972950087025E-2</v>
      </c>
      <c r="L91" s="398">
        <v>421.40999999999997</v>
      </c>
      <c r="M91" s="399">
        <f t="shared" si="52"/>
        <v>1.0374935315425506</v>
      </c>
      <c r="N91" s="400">
        <v>3358.6377000000057</v>
      </c>
      <c r="O91" s="398">
        <v>0.99</v>
      </c>
      <c r="P91" s="399">
        <f t="shared" si="44"/>
        <v>4.6572893635037872E-3</v>
      </c>
      <c r="Q91" s="413">
        <f t="shared" si="45"/>
        <v>417.19589999999994</v>
      </c>
      <c r="R91" s="401">
        <f t="shared" si="46"/>
        <v>6.9799999999999986</v>
      </c>
      <c r="S91" s="399">
        <f t="shared" si="47"/>
        <v>3.2836242179046897E-2</v>
      </c>
      <c r="T91" s="403" t="s">
        <v>491</v>
      </c>
      <c r="U91" s="403" t="s">
        <v>286</v>
      </c>
      <c r="V91" s="404" t="s">
        <v>646</v>
      </c>
      <c r="W91" s="404" t="s">
        <v>621</v>
      </c>
      <c r="X91" s="404">
        <v>1</v>
      </c>
      <c r="Y91" s="405" t="s">
        <v>168</v>
      </c>
    </row>
    <row r="92" spans="2:34" s="148" customFormat="1" ht="27" customHeight="1">
      <c r="B92" s="824"/>
      <c r="C92" s="825"/>
      <c r="D92" s="393">
        <v>14</v>
      </c>
      <c r="E92" s="396" t="s">
        <v>328</v>
      </c>
      <c r="F92" s="397">
        <v>2912.9735999999916</v>
      </c>
      <c r="G92" s="398">
        <v>1570.5700000000002</v>
      </c>
      <c r="H92" s="398">
        <v>1483.15</v>
      </c>
      <c r="I92" s="399">
        <f t="shared" si="50"/>
        <v>0.9443386795876656</v>
      </c>
      <c r="J92" s="398">
        <v>112.73</v>
      </c>
      <c r="K92" s="399">
        <f t="shared" si="51"/>
        <v>7.1776488790693815E-2</v>
      </c>
      <c r="L92" s="398">
        <v>144.78</v>
      </c>
      <c r="M92" s="399">
        <f t="shared" si="52"/>
        <v>1.0161151683783594</v>
      </c>
      <c r="N92" s="400">
        <v>3664.3817999999924</v>
      </c>
      <c r="O92" s="398">
        <v>5.1899999999999995</v>
      </c>
      <c r="P92" s="399">
        <f t="shared" si="44"/>
        <v>3.3045327492566387E-3</v>
      </c>
      <c r="Q92" s="413">
        <f t="shared" si="45"/>
        <v>751.40819999999997</v>
      </c>
      <c r="R92" s="401">
        <f t="shared" si="46"/>
        <v>20.119999999999948</v>
      </c>
      <c r="S92" s="399">
        <f t="shared" si="47"/>
        <v>1.2810635629102776E-2</v>
      </c>
      <c r="T92" s="403" t="s">
        <v>491</v>
      </c>
      <c r="U92" s="403" t="s">
        <v>286</v>
      </c>
      <c r="V92" s="404" t="s">
        <v>604</v>
      </c>
      <c r="W92" s="404" t="s">
        <v>630</v>
      </c>
      <c r="X92" s="404">
        <v>1</v>
      </c>
      <c r="Y92" s="405" t="s">
        <v>204</v>
      </c>
      <c r="AC92" s="410"/>
    </row>
    <row r="93" spans="2:34" s="148" customFormat="1" ht="27" customHeight="1">
      <c r="B93" s="824"/>
      <c r="C93" s="825"/>
      <c r="D93" s="393">
        <v>15</v>
      </c>
      <c r="E93" s="396" t="s">
        <v>633</v>
      </c>
      <c r="F93" s="397">
        <v>2804.0376000000056</v>
      </c>
      <c r="G93" s="398">
        <v>851.51</v>
      </c>
      <c r="H93" s="398">
        <v>847.08999999999992</v>
      </c>
      <c r="I93" s="399">
        <f t="shared" si="50"/>
        <v>0.99480922126575133</v>
      </c>
      <c r="J93" s="398">
        <v>29.4</v>
      </c>
      <c r="K93" s="399">
        <f t="shared" si="51"/>
        <v>3.4526899273056098E-2</v>
      </c>
      <c r="L93" s="398">
        <v>128.38999999999999</v>
      </c>
      <c r="M93" s="399">
        <f t="shared" si="52"/>
        <v>1.0293361205388074</v>
      </c>
      <c r="N93" s="400">
        <v>3207.1822000000057</v>
      </c>
      <c r="O93" s="398">
        <v>3.14</v>
      </c>
      <c r="P93" s="399">
        <f t="shared" si="44"/>
        <v>3.687566793108713E-3</v>
      </c>
      <c r="Q93" s="413">
        <f t="shared" si="45"/>
        <v>403.14459999999997</v>
      </c>
      <c r="R93" s="401">
        <f t="shared" si="46"/>
        <v>21.839999999999904</v>
      </c>
      <c r="S93" s="399">
        <f t="shared" si="47"/>
        <v>2.5648553745698705E-2</v>
      </c>
      <c r="T93" s="403" t="s">
        <v>491</v>
      </c>
      <c r="U93" s="403" t="s">
        <v>286</v>
      </c>
      <c r="V93" s="404" t="s">
        <v>622</v>
      </c>
      <c r="W93" s="404" t="s">
        <v>623</v>
      </c>
      <c r="X93" s="404">
        <v>1</v>
      </c>
      <c r="Y93" s="405" t="s">
        <v>209</v>
      </c>
      <c r="AC93" s="409"/>
    </row>
    <row r="94" spans="2:34" s="148" customFormat="1" ht="27" customHeight="1">
      <c r="B94" s="824"/>
      <c r="C94" s="825"/>
      <c r="D94" s="393">
        <v>16</v>
      </c>
      <c r="E94" s="396" t="s">
        <v>647</v>
      </c>
      <c r="F94" s="397">
        <v>2187.5909999999999</v>
      </c>
      <c r="G94" s="398">
        <v>867.83999999999992</v>
      </c>
      <c r="H94" s="398">
        <v>856.18999999999994</v>
      </c>
      <c r="I94" s="399">
        <f t="shared" si="50"/>
        <v>0.98657586651917406</v>
      </c>
      <c r="J94" s="398">
        <v>98.16</v>
      </c>
      <c r="K94" s="399">
        <f t="shared" si="51"/>
        <v>0.11310840707964602</v>
      </c>
      <c r="L94" s="398">
        <v>30.66</v>
      </c>
      <c r="M94" s="399">
        <f t="shared" si="52"/>
        <v>1.0996842735988202</v>
      </c>
      <c r="N94" s="400">
        <v>2652.3965999999996</v>
      </c>
      <c r="O94" s="398">
        <v>15.16</v>
      </c>
      <c r="P94" s="399">
        <f t="shared" si="44"/>
        <v>1.7468657817109146E-2</v>
      </c>
      <c r="Q94" s="413">
        <f t="shared" si="45"/>
        <v>464.80560000000003</v>
      </c>
      <c r="R94" s="401">
        <f t="shared" si="46"/>
        <v>71.349999999999994</v>
      </c>
      <c r="S94" s="399">
        <f t="shared" si="47"/>
        <v>8.221561578171091E-2</v>
      </c>
      <c r="T94" s="403" t="s">
        <v>491</v>
      </c>
      <c r="U94" s="403" t="s">
        <v>286</v>
      </c>
      <c r="V94" s="404" t="s">
        <v>606</v>
      </c>
      <c r="W94" s="404" t="s">
        <v>607</v>
      </c>
      <c r="X94" s="404">
        <v>1</v>
      </c>
      <c r="Y94" s="405" t="s">
        <v>203</v>
      </c>
      <c r="AC94" s="409"/>
    </row>
    <row r="95" spans="2:34" s="148" customFormat="1" ht="27" customHeight="1">
      <c r="B95" s="824"/>
      <c r="C95" s="825"/>
      <c r="D95" s="393">
        <v>17</v>
      </c>
      <c r="E95" s="396" t="s">
        <v>641</v>
      </c>
      <c r="F95" s="397">
        <v>2006.5100000000009</v>
      </c>
      <c r="G95" s="398">
        <v>136.26</v>
      </c>
      <c r="H95" s="398">
        <v>133.61000000000001</v>
      </c>
      <c r="I95" s="399">
        <f t="shared" si="50"/>
        <v>0.98055188610010291</v>
      </c>
      <c r="J95" s="398">
        <v>6.75</v>
      </c>
      <c r="K95" s="399">
        <f t="shared" si="51"/>
        <v>4.9537648612945843E-2</v>
      </c>
      <c r="L95" s="398">
        <v>629</v>
      </c>
      <c r="M95" s="399">
        <f t="shared" si="52"/>
        <v>1.0300895347130488</v>
      </c>
      <c r="N95" s="400">
        <v>2578.9000000000005</v>
      </c>
      <c r="O95" s="398">
        <v>0.90999999999999992</v>
      </c>
      <c r="P95" s="399">
        <f t="shared" si="44"/>
        <v>6.678408924115661E-3</v>
      </c>
      <c r="Q95" s="413">
        <f t="shared" si="45"/>
        <v>572.39</v>
      </c>
      <c r="R95" s="401">
        <f t="shared" si="46"/>
        <v>3.1900000000000226</v>
      </c>
      <c r="S95" s="399">
        <f t="shared" si="47"/>
        <v>2.341112578893309E-2</v>
      </c>
      <c r="T95" s="403" t="s">
        <v>491</v>
      </c>
      <c r="U95" s="403" t="s">
        <v>286</v>
      </c>
      <c r="V95" s="404" t="s">
        <v>618</v>
      </c>
      <c r="W95" s="404" t="s">
        <v>648</v>
      </c>
      <c r="X95" s="404">
        <v>1</v>
      </c>
      <c r="Y95" s="405" t="s">
        <v>301</v>
      </c>
      <c r="AB95" s="411"/>
      <c r="AC95" s="409"/>
    </row>
    <row r="96" spans="2:34" s="148" customFormat="1" ht="27" customHeight="1">
      <c r="B96" s="824"/>
      <c r="C96" s="825"/>
      <c r="D96" s="393">
        <v>18</v>
      </c>
      <c r="E96" s="396" t="s">
        <v>536</v>
      </c>
      <c r="F96" s="397">
        <v>1883.3647000000024</v>
      </c>
      <c r="G96" s="398">
        <v>130.18</v>
      </c>
      <c r="H96" s="398">
        <v>128.51</v>
      </c>
      <c r="I96" s="399">
        <f t="shared" si="50"/>
        <v>0.98717160854201857</v>
      </c>
      <c r="J96" s="398">
        <v>6.62</v>
      </c>
      <c r="K96" s="399">
        <f t="shared" si="51"/>
        <v>5.0852665540021505E-2</v>
      </c>
      <c r="L96" s="398">
        <v>496.92999999999995</v>
      </c>
      <c r="M96" s="399">
        <f t="shared" si="52"/>
        <v>1.0380242740820402</v>
      </c>
      <c r="N96" s="400">
        <v>2459.8035000000023</v>
      </c>
      <c r="O96" s="398">
        <v>1.1600000000000001</v>
      </c>
      <c r="P96" s="399">
        <f t="shared" si="44"/>
        <v>8.910738976801353E-3</v>
      </c>
      <c r="Q96" s="413">
        <f t="shared" si="45"/>
        <v>576.43880000000001</v>
      </c>
      <c r="R96" s="401">
        <f t="shared" si="46"/>
        <v>3.7899999999999885</v>
      </c>
      <c r="S96" s="399">
        <f t="shared" si="47"/>
        <v>2.911353510523881E-2</v>
      </c>
      <c r="T96" s="403" t="s">
        <v>491</v>
      </c>
      <c r="U96" s="403" t="s">
        <v>286</v>
      </c>
      <c r="V96" s="404" t="s">
        <v>627</v>
      </c>
      <c r="W96" s="404" t="s">
        <v>621</v>
      </c>
      <c r="X96" s="404">
        <v>1</v>
      </c>
      <c r="Y96" s="405" t="s">
        <v>203</v>
      </c>
      <c r="AC96" s="409"/>
    </row>
    <row r="97" spans="2:34" s="148" customFormat="1" ht="27" customHeight="1">
      <c r="B97" s="824"/>
      <c r="C97" s="825"/>
      <c r="D97" s="393">
        <v>19</v>
      </c>
      <c r="E97" s="396" t="s">
        <v>649</v>
      </c>
      <c r="F97" s="397">
        <v>1752.1865999999977</v>
      </c>
      <c r="G97" s="398">
        <v>1011.59</v>
      </c>
      <c r="H97" s="398">
        <v>1017.53</v>
      </c>
      <c r="I97" s="399">
        <f t="shared" si="50"/>
        <v>1.0058719441671031</v>
      </c>
      <c r="J97" s="398">
        <v>4.76</v>
      </c>
      <c r="K97" s="399">
        <f t="shared" si="51"/>
        <v>4.7054636759952147E-3</v>
      </c>
      <c r="L97" s="398">
        <v>190.87000000000003</v>
      </c>
      <c r="M97" s="399">
        <f t="shared" si="52"/>
        <v>1.0105774078430985</v>
      </c>
      <c r="N97" s="400">
        <v>2042.3089999999979</v>
      </c>
      <c r="O97" s="398">
        <v>1.52</v>
      </c>
      <c r="P97" s="399">
        <f t="shared" si="44"/>
        <v>1.5025850393934302E-3</v>
      </c>
      <c r="Q97" s="413">
        <f t="shared" si="45"/>
        <v>290.12240000000003</v>
      </c>
      <c r="R97" s="401">
        <f t="shared" si="46"/>
        <v>9.1799999999999322</v>
      </c>
      <c r="S97" s="399">
        <f t="shared" si="47"/>
        <v>9.0748228037049912E-3</v>
      </c>
      <c r="T97" s="403" t="s">
        <v>491</v>
      </c>
      <c r="U97" s="403" t="s">
        <v>286</v>
      </c>
      <c r="V97" s="404" t="s">
        <v>650</v>
      </c>
      <c r="W97" s="404" t="s">
        <v>621</v>
      </c>
      <c r="X97" s="404">
        <v>1</v>
      </c>
      <c r="Y97" s="405" t="s">
        <v>651</v>
      </c>
      <c r="AB97" s="412"/>
      <c r="AC97" s="409"/>
    </row>
    <row r="98" spans="2:34" s="148" customFormat="1" ht="27" customHeight="1">
      <c r="B98" s="826"/>
      <c r="C98" s="827"/>
      <c r="D98" s="393">
        <v>20</v>
      </c>
      <c r="E98" s="396" t="s">
        <v>652</v>
      </c>
      <c r="F98" s="397">
        <v>1727.0147999999999</v>
      </c>
      <c r="G98" s="398">
        <v>108.7</v>
      </c>
      <c r="H98" s="398">
        <v>108.3</v>
      </c>
      <c r="I98" s="399">
        <f t="shared" si="50"/>
        <v>0.99632014719411222</v>
      </c>
      <c r="J98" s="398">
        <v>4.92</v>
      </c>
      <c r="K98" s="399">
        <f t="shared" si="51"/>
        <v>4.5262189512419504E-2</v>
      </c>
      <c r="L98" s="398">
        <v>536.34</v>
      </c>
      <c r="M98" s="399">
        <f t="shared" si="52"/>
        <v>1.0415823367065318</v>
      </c>
      <c r="N98" s="400">
        <v>2424.2567999999997</v>
      </c>
      <c r="O98" s="398">
        <v>1.3</v>
      </c>
      <c r="P98" s="399">
        <f t="shared" si="44"/>
        <v>1.1959521619135235E-2</v>
      </c>
      <c r="Q98" s="413">
        <f t="shared" si="45"/>
        <v>697.24200000000008</v>
      </c>
      <c r="R98" s="401">
        <f t="shared" si="46"/>
        <v>3.2199999999999962</v>
      </c>
      <c r="S98" s="399">
        <f t="shared" si="47"/>
        <v>2.9622815087396469E-2</v>
      </c>
      <c r="T98" s="403" t="s">
        <v>491</v>
      </c>
      <c r="U98" s="403" t="s">
        <v>286</v>
      </c>
      <c r="V98" s="404" t="s">
        <v>618</v>
      </c>
      <c r="W98" s="404" t="s">
        <v>653</v>
      </c>
      <c r="X98" s="404">
        <v>1</v>
      </c>
      <c r="Y98" s="405" t="s">
        <v>201</v>
      </c>
      <c r="AB98" s="412"/>
      <c r="AC98" s="409"/>
    </row>
    <row r="99" spans="2:34" ht="16.5" customHeight="1">
      <c r="B99" s="844" t="s">
        <v>478</v>
      </c>
      <c r="C99" s="845"/>
      <c r="D99" s="850" t="s">
        <v>479</v>
      </c>
      <c r="E99" s="850"/>
      <c r="F99" s="850"/>
      <c r="G99" s="850" t="s">
        <v>480</v>
      </c>
      <c r="H99" s="850"/>
      <c r="I99" s="850"/>
      <c r="J99" s="850"/>
      <c r="K99" s="850"/>
      <c r="L99" s="850"/>
      <c r="M99" s="850"/>
      <c r="N99" s="850"/>
      <c r="O99" s="850"/>
      <c r="P99" s="850"/>
      <c r="Q99" s="850"/>
      <c r="R99" s="850"/>
      <c r="S99" s="850"/>
      <c r="T99" s="850" t="s">
        <v>481</v>
      </c>
      <c r="U99" s="835" t="s">
        <v>482</v>
      </c>
      <c r="V99" s="855" t="s">
        <v>600</v>
      </c>
      <c r="W99" s="855" t="s">
        <v>484</v>
      </c>
      <c r="X99" s="831" t="s">
        <v>485</v>
      </c>
      <c r="Y99" s="834" t="s">
        <v>486</v>
      </c>
      <c r="AA99" s="850" t="s">
        <v>487</v>
      </c>
      <c r="AB99" s="850"/>
      <c r="AC99" s="850"/>
      <c r="AD99" s="850"/>
      <c r="AE99" s="850"/>
      <c r="AF99" s="850"/>
      <c r="AG99" s="850"/>
      <c r="AH99" s="850"/>
    </row>
    <row r="100" spans="2:34" ht="17.100000000000001" customHeight="1">
      <c r="B100" s="846"/>
      <c r="C100" s="847"/>
      <c r="D100" s="851" t="s">
        <v>488</v>
      </c>
      <c r="E100" s="850" t="s">
        <v>489</v>
      </c>
      <c r="F100" s="850"/>
      <c r="G100" s="850" t="s">
        <v>490</v>
      </c>
      <c r="H100" s="850"/>
      <c r="I100" s="850"/>
      <c r="J100" s="850"/>
      <c r="K100" s="850"/>
      <c r="L100" s="850"/>
      <c r="M100" s="850"/>
      <c r="N100" s="850"/>
      <c r="O100" s="850" t="s">
        <v>491</v>
      </c>
      <c r="P100" s="850"/>
      <c r="Q100" s="850"/>
      <c r="R100" s="850"/>
      <c r="S100" s="850"/>
      <c r="T100" s="850"/>
      <c r="U100" s="838"/>
      <c r="V100" s="832"/>
      <c r="W100" s="856"/>
      <c r="X100" s="832"/>
      <c r="Y100" s="834"/>
      <c r="AA100" s="850"/>
      <c r="AB100" s="850"/>
      <c r="AC100" s="850"/>
      <c r="AD100" s="850"/>
      <c r="AE100" s="850"/>
      <c r="AF100" s="850"/>
      <c r="AG100" s="850"/>
      <c r="AH100" s="850"/>
    </row>
    <row r="101" spans="2:34" ht="17.100000000000001" customHeight="1">
      <c r="B101" s="846"/>
      <c r="C101" s="847"/>
      <c r="D101" s="851"/>
      <c r="E101" s="851" t="s">
        <v>492</v>
      </c>
      <c r="F101" s="858" t="s">
        <v>601</v>
      </c>
      <c r="G101" s="852" t="s">
        <v>494</v>
      </c>
      <c r="H101" s="852"/>
      <c r="I101" s="852"/>
      <c r="J101" s="852"/>
      <c r="K101" s="852"/>
      <c r="L101" s="852"/>
      <c r="M101" s="852"/>
      <c r="N101" s="852"/>
      <c r="O101" s="859" t="s">
        <v>495</v>
      </c>
      <c r="P101" s="860"/>
      <c r="Q101" s="861"/>
      <c r="R101" s="852" t="s">
        <v>496</v>
      </c>
      <c r="S101" s="852"/>
      <c r="T101" s="850"/>
      <c r="U101" s="838"/>
      <c r="V101" s="832"/>
      <c r="W101" s="856"/>
      <c r="X101" s="832"/>
      <c r="Y101" s="834"/>
      <c r="AA101" s="850"/>
      <c r="AB101" s="850"/>
      <c r="AC101" s="850"/>
      <c r="AD101" s="850"/>
      <c r="AE101" s="850"/>
      <c r="AF101" s="850"/>
      <c r="AG101" s="850"/>
      <c r="AH101" s="850"/>
    </row>
    <row r="102" spans="2:34" ht="38.450000000000003" customHeight="1">
      <c r="B102" s="848"/>
      <c r="C102" s="849"/>
      <c r="D102" s="851"/>
      <c r="E102" s="851"/>
      <c r="F102" s="858"/>
      <c r="G102" s="394" t="s">
        <v>497</v>
      </c>
      <c r="H102" s="394" t="s">
        <v>498</v>
      </c>
      <c r="I102" s="394" t="s">
        <v>499</v>
      </c>
      <c r="J102" s="394" t="s">
        <v>500</v>
      </c>
      <c r="K102" s="394" t="s">
        <v>501</v>
      </c>
      <c r="L102" s="394" t="s">
        <v>502</v>
      </c>
      <c r="M102" s="394" t="s">
        <v>503</v>
      </c>
      <c r="N102" s="394" t="s">
        <v>504</v>
      </c>
      <c r="O102" s="395" t="s">
        <v>505</v>
      </c>
      <c r="P102" s="395" t="s">
        <v>506</v>
      </c>
      <c r="Q102" s="394" t="s">
        <v>507</v>
      </c>
      <c r="R102" s="395" t="s">
        <v>505</v>
      </c>
      <c r="S102" s="395" t="s">
        <v>506</v>
      </c>
      <c r="T102" s="850"/>
      <c r="U102" s="841"/>
      <c r="V102" s="833"/>
      <c r="W102" s="857"/>
      <c r="X102" s="833"/>
      <c r="Y102" s="834"/>
      <c r="AA102" s="161" t="s">
        <v>508</v>
      </c>
      <c r="AB102" s="161" t="s">
        <v>509</v>
      </c>
      <c r="AC102" s="156" t="s">
        <v>510</v>
      </c>
      <c r="AD102" s="156" t="s">
        <v>511</v>
      </c>
      <c r="AE102" s="156" t="s">
        <v>286</v>
      </c>
      <c r="AF102" s="156" t="s">
        <v>318</v>
      </c>
      <c r="AG102" s="156" t="s">
        <v>321</v>
      </c>
      <c r="AH102" s="156" t="s">
        <v>512</v>
      </c>
    </row>
    <row r="103" spans="2:34" s="148" customFormat="1" ht="27" customHeight="1">
      <c r="B103" s="822" t="s">
        <v>593</v>
      </c>
      <c r="C103" s="823"/>
      <c r="D103" s="393">
        <v>1</v>
      </c>
      <c r="E103" s="396" t="s">
        <v>336</v>
      </c>
      <c r="F103" s="397">
        <v>14468.780200000008</v>
      </c>
      <c r="G103" s="398">
        <v>4345.1400000000003</v>
      </c>
      <c r="H103" s="398">
        <v>4304.68</v>
      </c>
      <c r="I103" s="399">
        <f>H103/G103</f>
        <v>0.99068844732275596</v>
      </c>
      <c r="J103" s="398">
        <v>138.6</v>
      </c>
      <c r="K103" s="399">
        <f>J103/G103</f>
        <v>3.1897706403015778E-2</v>
      </c>
      <c r="L103" s="398">
        <v>147.43000000000004</v>
      </c>
      <c r="M103" s="399">
        <f>(H103+J103)/G103</f>
        <v>1.0225861537257719</v>
      </c>
      <c r="N103" s="400">
        <v>14468.780200000008</v>
      </c>
      <c r="O103" s="398">
        <v>0</v>
      </c>
      <c r="P103" s="399">
        <f>O103/G103</f>
        <v>0</v>
      </c>
      <c r="Q103" s="413">
        <f>O103*L103</f>
        <v>0</v>
      </c>
      <c r="R103" s="401">
        <f>((H103+J103)-G103)-O103</f>
        <v>98.140000000000327</v>
      </c>
      <c r="S103" s="399">
        <f>R103/G103</f>
        <v>2.2586153725771857E-2</v>
      </c>
      <c r="T103" s="403" t="s">
        <v>491</v>
      </c>
      <c r="U103" s="403" t="s">
        <v>318</v>
      </c>
      <c r="V103" s="404" t="s">
        <v>602</v>
      </c>
      <c r="W103" s="428" t="s">
        <v>654</v>
      </c>
      <c r="X103" s="404">
        <v>1</v>
      </c>
      <c r="Y103" s="405" t="s">
        <v>311</v>
      </c>
      <c r="Z103" s="406" t="s">
        <v>517</v>
      </c>
      <c r="AA103" s="407">
        <f>SUM(X103:X122)</f>
        <v>20</v>
      </c>
      <c r="AB103" s="408">
        <f>SUMIF($U$103:$U$122,TRIM(AB102),$X$103:$X$122)</f>
        <v>0</v>
      </c>
      <c r="AC103" s="408">
        <f t="shared" ref="AC103:AH103" si="53">SUMIF($U$103:$U$122,TRIM(AC102),$X$103:$X$122)</f>
        <v>0</v>
      </c>
      <c r="AD103" s="408">
        <f t="shared" si="53"/>
        <v>0</v>
      </c>
      <c r="AE103" s="408">
        <f t="shared" si="53"/>
        <v>14</v>
      </c>
      <c r="AF103" s="408">
        <f t="shared" si="53"/>
        <v>1</v>
      </c>
      <c r="AG103" s="408">
        <f t="shared" si="53"/>
        <v>5</v>
      </c>
      <c r="AH103" s="408">
        <f t="shared" si="53"/>
        <v>0</v>
      </c>
    </row>
    <row r="104" spans="2:34" s="148" customFormat="1" ht="27" customHeight="1">
      <c r="B104" s="824"/>
      <c r="C104" s="825"/>
      <c r="D104" s="393">
        <v>2</v>
      </c>
      <c r="E104" s="396" t="s">
        <v>328</v>
      </c>
      <c r="F104" s="397">
        <v>9132.7224000000024</v>
      </c>
      <c r="G104" s="398">
        <v>1380.59</v>
      </c>
      <c r="H104" s="398">
        <v>1369.92</v>
      </c>
      <c r="I104" s="399">
        <f t="shared" ref="I104:I105" si="54">H104/G104</f>
        <v>0.99227142018991887</v>
      </c>
      <c r="J104" s="398">
        <v>73.75</v>
      </c>
      <c r="K104" s="399">
        <f t="shared" ref="K104:K109" si="55">J104/G104</f>
        <v>5.3419190346156359E-2</v>
      </c>
      <c r="L104" s="398">
        <v>144.78</v>
      </c>
      <c r="M104" s="399">
        <f t="shared" ref="M104:M109" si="56">(H104+J104)/G104</f>
        <v>1.0456906105360753</v>
      </c>
      <c r="N104" s="400">
        <v>9132.7224000000024</v>
      </c>
      <c r="O104" s="398">
        <v>0</v>
      </c>
      <c r="P104" s="399">
        <f t="shared" ref="P104:P122" si="57">O104/G104</f>
        <v>0</v>
      </c>
      <c r="Q104" s="413">
        <f t="shared" ref="Q104:Q122" si="58">O104*L104</f>
        <v>0</v>
      </c>
      <c r="R104" s="401">
        <f t="shared" ref="R104:R122" si="59">((H104+J104)-G104)-O104</f>
        <v>63.080000000000155</v>
      </c>
      <c r="S104" s="399">
        <f t="shared" ref="S104:S122" si="60">R104/G104</f>
        <v>4.5690610536075274E-2</v>
      </c>
      <c r="T104" s="403" t="s">
        <v>491</v>
      </c>
      <c r="U104" s="403" t="s">
        <v>286</v>
      </c>
      <c r="V104" s="404" t="s">
        <v>604</v>
      </c>
      <c r="W104" s="404" t="s">
        <v>630</v>
      </c>
      <c r="X104" s="404">
        <v>1</v>
      </c>
      <c r="Y104" s="405" t="s">
        <v>204</v>
      </c>
      <c r="AA104" s="407"/>
      <c r="AB104" s="414">
        <f>SUMIF($U$103:$U$122,TRIM(AB102),$F$103:$F$122)</f>
        <v>0</v>
      </c>
      <c r="AC104" s="414">
        <f t="shared" ref="AC104:AH104" si="61">SUMIF($U$103:$U$122,TRIM(AC102),$F$103:$F$122)</f>
        <v>0</v>
      </c>
      <c r="AD104" s="414">
        <f t="shared" si="61"/>
        <v>0</v>
      </c>
      <c r="AE104" s="414">
        <f t="shared" si="61"/>
        <v>61415.661400000012</v>
      </c>
      <c r="AF104" s="414">
        <f t="shared" si="61"/>
        <v>14468.780200000008</v>
      </c>
      <c r="AG104" s="414">
        <f t="shared" si="61"/>
        <v>19546.63519999999</v>
      </c>
      <c r="AH104" s="414">
        <f t="shared" si="61"/>
        <v>0</v>
      </c>
    </row>
    <row r="105" spans="2:34" s="148" customFormat="1" ht="27" customHeight="1">
      <c r="B105" s="824"/>
      <c r="C105" s="825"/>
      <c r="D105" s="393">
        <v>3</v>
      </c>
      <c r="E105" s="396" t="s">
        <v>326</v>
      </c>
      <c r="F105" s="397">
        <v>7155.2047999999986</v>
      </c>
      <c r="G105" s="398">
        <v>4062.8899999999994</v>
      </c>
      <c r="H105" s="398">
        <v>3961.3</v>
      </c>
      <c r="I105" s="399">
        <f t="shared" si="54"/>
        <v>0.97499563118863686</v>
      </c>
      <c r="J105" s="398">
        <v>158.47999999999999</v>
      </c>
      <c r="K105" s="399">
        <f t="shared" si="55"/>
        <v>3.9006716893639749E-2</v>
      </c>
      <c r="L105" s="398">
        <v>127.84000000000002</v>
      </c>
      <c r="M105" s="399">
        <f t="shared" si="56"/>
        <v>1.0140023480822764</v>
      </c>
      <c r="N105" s="400">
        <v>7272.8175999999985</v>
      </c>
      <c r="O105" s="398">
        <v>0.92</v>
      </c>
      <c r="P105" s="399">
        <f t="shared" si="57"/>
        <v>2.264398002407154E-4</v>
      </c>
      <c r="Q105" s="413">
        <f t="shared" si="58"/>
        <v>117.61280000000002</v>
      </c>
      <c r="R105" s="401">
        <f t="shared" si="59"/>
        <v>55.970000000000326</v>
      </c>
      <c r="S105" s="399">
        <f t="shared" si="60"/>
        <v>1.3775908282035777E-2</v>
      </c>
      <c r="T105" s="403" t="s">
        <v>491</v>
      </c>
      <c r="U105" s="403" t="s">
        <v>286</v>
      </c>
      <c r="V105" s="404" t="s">
        <v>608</v>
      </c>
      <c r="W105" s="404" t="s">
        <v>629</v>
      </c>
      <c r="X105" s="404">
        <v>1</v>
      </c>
      <c r="Y105" s="405" t="s">
        <v>311</v>
      </c>
      <c r="AA105" s="393"/>
      <c r="AB105" s="415">
        <f>AB103/$AA103</f>
        <v>0</v>
      </c>
      <c r="AC105" s="415">
        <f t="shared" ref="AC105:AH105" si="62">AC103/$AA103</f>
        <v>0</v>
      </c>
      <c r="AD105" s="415">
        <f t="shared" si="62"/>
        <v>0</v>
      </c>
      <c r="AE105" s="415">
        <f t="shared" si="62"/>
        <v>0.7</v>
      </c>
      <c r="AF105" s="415">
        <f t="shared" si="62"/>
        <v>0.05</v>
      </c>
      <c r="AG105" s="415">
        <f t="shared" si="62"/>
        <v>0.25</v>
      </c>
      <c r="AH105" s="415">
        <f t="shared" si="62"/>
        <v>0</v>
      </c>
    </row>
    <row r="106" spans="2:34" s="148" customFormat="1" ht="27" customHeight="1">
      <c r="B106" s="824"/>
      <c r="C106" s="825"/>
      <c r="D106" s="393">
        <v>4</v>
      </c>
      <c r="E106" s="396" t="s">
        <v>332</v>
      </c>
      <c r="F106" s="397">
        <v>5729.4930000000049</v>
      </c>
      <c r="G106" s="398">
        <v>711.81</v>
      </c>
      <c r="H106" s="398">
        <v>690.13</v>
      </c>
      <c r="I106" s="399">
        <f>H106/G106</f>
        <v>0.9695424340765092</v>
      </c>
      <c r="J106" s="398">
        <v>57.379999999999995</v>
      </c>
      <c r="K106" s="399">
        <f t="shared" si="55"/>
        <v>8.0611399109312878E-2</v>
      </c>
      <c r="L106" s="398">
        <v>160.49</v>
      </c>
      <c r="M106" s="399">
        <f t="shared" si="56"/>
        <v>1.0501538331858222</v>
      </c>
      <c r="N106" s="400">
        <v>5729.4930000000049</v>
      </c>
      <c r="O106" s="398">
        <v>0</v>
      </c>
      <c r="P106" s="399">
        <f t="shared" si="57"/>
        <v>0</v>
      </c>
      <c r="Q106" s="413">
        <f t="shared" si="58"/>
        <v>0</v>
      </c>
      <c r="R106" s="401">
        <f t="shared" si="59"/>
        <v>35.700000000000045</v>
      </c>
      <c r="S106" s="399">
        <f t="shared" si="60"/>
        <v>5.015383318582213E-2</v>
      </c>
      <c r="T106" s="403" t="s">
        <v>491</v>
      </c>
      <c r="U106" s="403" t="s">
        <v>286</v>
      </c>
      <c r="V106" s="404" t="s">
        <v>608</v>
      </c>
      <c r="W106" s="404" t="s">
        <v>629</v>
      </c>
      <c r="X106" s="404">
        <v>1</v>
      </c>
      <c r="Y106" s="405" t="s">
        <v>214</v>
      </c>
    </row>
    <row r="107" spans="2:34" s="148" customFormat="1" ht="27" customHeight="1">
      <c r="B107" s="824"/>
      <c r="C107" s="825"/>
      <c r="D107" s="393">
        <v>5</v>
      </c>
      <c r="E107" s="396" t="s">
        <v>341</v>
      </c>
      <c r="F107" s="397">
        <v>5427.7887999999866</v>
      </c>
      <c r="G107" s="398">
        <v>1297.3200000000002</v>
      </c>
      <c r="H107" s="398">
        <v>1278.6599999999999</v>
      </c>
      <c r="I107" s="399">
        <f t="shared" ref="I107:I122" si="63">H107/G107</f>
        <v>0.98561650171121984</v>
      </c>
      <c r="J107" s="398">
        <v>28.34</v>
      </c>
      <c r="K107" s="399">
        <f t="shared" si="55"/>
        <v>2.184503437856504E-2</v>
      </c>
      <c r="L107" s="398">
        <v>605.77999999999986</v>
      </c>
      <c r="M107" s="399">
        <f t="shared" si="56"/>
        <v>1.0074615360897847</v>
      </c>
      <c r="N107" s="400">
        <v>5863.950399999987</v>
      </c>
      <c r="O107" s="398">
        <v>0.72</v>
      </c>
      <c r="P107" s="399">
        <f t="shared" si="57"/>
        <v>5.5499028766996565E-4</v>
      </c>
      <c r="Q107" s="413">
        <f t="shared" si="58"/>
        <v>436.16159999999991</v>
      </c>
      <c r="R107" s="401">
        <f t="shared" si="59"/>
        <v>8.9599999999996083</v>
      </c>
      <c r="S107" s="399">
        <f t="shared" si="60"/>
        <v>6.9065458021148269E-3</v>
      </c>
      <c r="T107" s="403" t="s">
        <v>491</v>
      </c>
      <c r="U107" s="403" t="s">
        <v>321</v>
      </c>
      <c r="V107" s="404" t="s">
        <v>612</v>
      </c>
      <c r="W107" s="404" t="s">
        <v>570</v>
      </c>
      <c r="X107" s="404">
        <v>1</v>
      </c>
      <c r="Y107" s="405" t="s">
        <v>198</v>
      </c>
    </row>
    <row r="108" spans="2:34" s="148" customFormat="1" ht="27" customHeight="1">
      <c r="B108" s="824"/>
      <c r="C108" s="825"/>
      <c r="D108" s="393">
        <v>6</v>
      </c>
      <c r="E108" s="396" t="s">
        <v>334</v>
      </c>
      <c r="F108" s="397">
        <v>5154.415199999994</v>
      </c>
      <c r="G108" s="398">
        <v>687.68</v>
      </c>
      <c r="H108" s="398">
        <v>690.76</v>
      </c>
      <c r="I108" s="399">
        <f t="shared" si="63"/>
        <v>1.0044788273615637</v>
      </c>
      <c r="J108" s="398">
        <v>9.64</v>
      </c>
      <c r="K108" s="399">
        <f t="shared" si="55"/>
        <v>1.4018147975802701E-2</v>
      </c>
      <c r="L108" s="398">
        <v>426.69</v>
      </c>
      <c r="M108" s="399">
        <f t="shared" si="56"/>
        <v>1.0184969753373663</v>
      </c>
      <c r="N108" s="400">
        <v>5427.4967999999935</v>
      </c>
      <c r="O108" s="398">
        <v>0.64</v>
      </c>
      <c r="P108" s="399">
        <f t="shared" si="57"/>
        <v>9.3066542577943234E-4</v>
      </c>
      <c r="Q108" s="413">
        <f t="shared" si="58"/>
        <v>273.08159999999998</v>
      </c>
      <c r="R108" s="401">
        <f t="shared" si="59"/>
        <v>12.080000000000027</v>
      </c>
      <c r="S108" s="399">
        <f t="shared" si="60"/>
        <v>1.7566309911586826E-2</v>
      </c>
      <c r="T108" s="403" t="s">
        <v>491</v>
      </c>
      <c r="U108" s="403" t="s">
        <v>286</v>
      </c>
      <c r="V108" s="404" t="s">
        <v>616</v>
      </c>
      <c r="W108" s="404" t="s">
        <v>655</v>
      </c>
      <c r="X108" s="404">
        <v>1</v>
      </c>
      <c r="Y108" s="405" t="s">
        <v>298</v>
      </c>
    </row>
    <row r="109" spans="2:34" s="148" customFormat="1" ht="27" customHeight="1">
      <c r="B109" s="824"/>
      <c r="C109" s="825"/>
      <c r="D109" s="393">
        <v>7</v>
      </c>
      <c r="E109" s="396" t="s">
        <v>299</v>
      </c>
      <c r="F109" s="397">
        <v>4932.297500000006</v>
      </c>
      <c r="G109" s="398">
        <v>1117.52</v>
      </c>
      <c r="H109" s="398">
        <v>1147.3400000000001</v>
      </c>
      <c r="I109" s="399">
        <f t="shared" si="63"/>
        <v>1.0266840861908513</v>
      </c>
      <c r="J109" s="398">
        <v>4.2300000000000004</v>
      </c>
      <c r="K109" s="399">
        <f t="shared" si="55"/>
        <v>3.7851671558450858E-3</v>
      </c>
      <c r="L109" s="398">
        <v>152.75</v>
      </c>
      <c r="M109" s="399">
        <f t="shared" si="56"/>
        <v>1.0304692533466964</v>
      </c>
      <c r="N109" s="400">
        <v>5201.1375000000062</v>
      </c>
      <c r="O109" s="398">
        <v>1.76</v>
      </c>
      <c r="P109" s="399">
        <f t="shared" si="57"/>
        <v>1.5749158851743146E-3</v>
      </c>
      <c r="Q109" s="413">
        <f t="shared" si="58"/>
        <v>268.83999999999997</v>
      </c>
      <c r="R109" s="401">
        <f t="shared" si="59"/>
        <v>32.290000000000184</v>
      </c>
      <c r="S109" s="399">
        <f t="shared" si="60"/>
        <v>2.8894337461522108E-2</v>
      </c>
      <c r="T109" s="403" t="s">
        <v>491</v>
      </c>
      <c r="U109" s="403" t="s">
        <v>286</v>
      </c>
      <c r="V109" s="404" t="s">
        <v>628</v>
      </c>
      <c r="W109" s="404" t="s">
        <v>605</v>
      </c>
      <c r="X109" s="404">
        <v>1</v>
      </c>
      <c r="Y109" s="405" t="s">
        <v>298</v>
      </c>
    </row>
    <row r="110" spans="2:34" s="148" customFormat="1" ht="27" customHeight="1">
      <c r="B110" s="824"/>
      <c r="C110" s="825"/>
      <c r="D110" s="393">
        <v>8</v>
      </c>
      <c r="E110" s="396" t="s">
        <v>344</v>
      </c>
      <c r="F110" s="397">
        <v>4786.3508000000038</v>
      </c>
      <c r="G110" s="398">
        <v>480.19999999999993</v>
      </c>
      <c r="H110" s="398">
        <v>476.89</v>
      </c>
      <c r="I110" s="399">
        <f t="shared" si="63"/>
        <v>0.99310703873386097</v>
      </c>
      <c r="J110" s="398">
        <v>18.799999999999997</v>
      </c>
      <c r="K110" s="399">
        <f>J110/G110</f>
        <v>3.9150354019158687E-2</v>
      </c>
      <c r="L110" s="398">
        <v>327.16000000000003</v>
      </c>
      <c r="M110" s="399">
        <f>(H110+J110)/G110</f>
        <v>1.0322573927530196</v>
      </c>
      <c r="N110" s="400">
        <v>5067.7084000000032</v>
      </c>
      <c r="O110" s="398">
        <v>0.86</v>
      </c>
      <c r="P110" s="399">
        <f t="shared" si="57"/>
        <v>1.7909204498125783E-3</v>
      </c>
      <c r="Q110" s="413">
        <f t="shared" si="58"/>
        <v>281.35759999999999</v>
      </c>
      <c r="R110" s="401">
        <f t="shared" si="59"/>
        <v>14.630000000000067</v>
      </c>
      <c r="S110" s="399">
        <f t="shared" si="60"/>
        <v>3.0466472303207141E-2</v>
      </c>
      <c r="T110" s="403" t="s">
        <v>491</v>
      </c>
      <c r="U110" s="403" t="s">
        <v>321</v>
      </c>
      <c r="V110" s="404" t="s">
        <v>611</v>
      </c>
      <c r="W110" s="404" t="s">
        <v>644</v>
      </c>
      <c r="X110" s="404">
        <v>1</v>
      </c>
      <c r="Y110" s="405" t="s">
        <v>204</v>
      </c>
    </row>
    <row r="111" spans="2:34" s="148" customFormat="1" ht="27" customHeight="1">
      <c r="B111" s="824"/>
      <c r="C111" s="825"/>
      <c r="D111" s="393">
        <v>9</v>
      </c>
      <c r="E111" s="396" t="s">
        <v>330</v>
      </c>
      <c r="F111" s="397">
        <v>4480.9353000000046</v>
      </c>
      <c r="G111" s="398">
        <v>1280.2799999999997</v>
      </c>
      <c r="H111" s="398">
        <v>1215.0899999999999</v>
      </c>
      <c r="I111" s="399">
        <f t="shared" si="63"/>
        <v>0.94908145093260865</v>
      </c>
      <c r="J111" s="398">
        <v>113.17999999999999</v>
      </c>
      <c r="K111" s="399">
        <f t="shared" ref="K111:K122" si="64">J111/G111</f>
        <v>8.8402536945043284E-2</v>
      </c>
      <c r="L111" s="398">
        <v>99.51</v>
      </c>
      <c r="M111" s="399">
        <f t="shared" ref="M111:M122" si="65">(H111+J111)/G111</f>
        <v>1.0374839878776521</v>
      </c>
      <c r="N111" s="400">
        <v>4775.484900000004</v>
      </c>
      <c r="O111" s="398">
        <v>2.96</v>
      </c>
      <c r="P111" s="399">
        <f t="shared" si="57"/>
        <v>2.3119942512575377E-3</v>
      </c>
      <c r="Q111" s="413">
        <f t="shared" si="58"/>
        <v>294.5496</v>
      </c>
      <c r="R111" s="401">
        <f t="shared" si="59"/>
        <v>45.030000000000236</v>
      </c>
      <c r="S111" s="399">
        <f t="shared" si="60"/>
        <v>3.5171993626394414E-2</v>
      </c>
      <c r="T111" s="403" t="s">
        <v>491</v>
      </c>
      <c r="U111" s="403" t="s">
        <v>286</v>
      </c>
      <c r="V111" s="404" t="s">
        <v>606</v>
      </c>
      <c r="W111" s="404" t="s">
        <v>607</v>
      </c>
      <c r="X111" s="404">
        <v>1</v>
      </c>
      <c r="Y111" s="405" t="s">
        <v>200</v>
      </c>
    </row>
    <row r="112" spans="2:34" s="148" customFormat="1" ht="27" customHeight="1">
      <c r="B112" s="824"/>
      <c r="C112" s="825"/>
      <c r="D112" s="393">
        <v>10</v>
      </c>
      <c r="E112" s="396" t="s">
        <v>340</v>
      </c>
      <c r="F112" s="397">
        <v>4377.5115999999971</v>
      </c>
      <c r="G112" s="398">
        <v>1867.05</v>
      </c>
      <c r="H112" s="398">
        <v>1821.1100000000001</v>
      </c>
      <c r="I112" s="399">
        <f t="shared" si="63"/>
        <v>0.97539433866259617</v>
      </c>
      <c r="J112" s="398">
        <v>114.08000000000001</v>
      </c>
      <c r="K112" s="399">
        <f t="shared" si="64"/>
        <v>6.1101738035939053E-2</v>
      </c>
      <c r="L112" s="398">
        <v>68.42</v>
      </c>
      <c r="M112" s="399">
        <f t="shared" si="65"/>
        <v>1.0364960766985352</v>
      </c>
      <c r="N112" s="400">
        <v>4662.138799999997</v>
      </c>
      <c r="O112" s="398">
        <v>4.16</v>
      </c>
      <c r="P112" s="399">
        <f t="shared" si="57"/>
        <v>2.2281138694732333E-3</v>
      </c>
      <c r="Q112" s="413">
        <f t="shared" si="58"/>
        <v>284.62720000000002</v>
      </c>
      <c r="R112" s="401">
        <f t="shared" si="59"/>
        <v>63.980000000000103</v>
      </c>
      <c r="S112" s="399">
        <f t="shared" si="60"/>
        <v>3.4267962829061943E-2</v>
      </c>
      <c r="T112" s="403" t="s">
        <v>491</v>
      </c>
      <c r="U112" s="403" t="s">
        <v>321</v>
      </c>
      <c r="V112" s="404" t="s">
        <v>606</v>
      </c>
      <c r="W112" s="404" t="s">
        <v>607</v>
      </c>
      <c r="X112" s="404">
        <v>1</v>
      </c>
      <c r="Y112" s="405" t="s">
        <v>221</v>
      </c>
    </row>
    <row r="113" spans="2:34" s="148" customFormat="1" ht="27" customHeight="1">
      <c r="B113" s="824"/>
      <c r="C113" s="825"/>
      <c r="D113" s="393">
        <v>11</v>
      </c>
      <c r="E113" s="396" t="s">
        <v>656</v>
      </c>
      <c r="F113" s="397">
        <v>4281.7824000000055</v>
      </c>
      <c r="G113" s="398">
        <v>1061.45</v>
      </c>
      <c r="H113" s="398">
        <v>1039.8599999999999</v>
      </c>
      <c r="I113" s="399">
        <f t="shared" si="63"/>
        <v>0.97965989919449792</v>
      </c>
      <c r="J113" s="398">
        <v>40.330000000000005</v>
      </c>
      <c r="K113" s="399">
        <f t="shared" si="64"/>
        <v>3.7995195251778233E-2</v>
      </c>
      <c r="L113" s="398">
        <v>266.27999999999997</v>
      </c>
      <c r="M113" s="399">
        <f t="shared" si="65"/>
        <v>1.0176550944462761</v>
      </c>
      <c r="N113" s="400">
        <v>4990.0872000000054</v>
      </c>
      <c r="O113" s="398">
        <v>2.66</v>
      </c>
      <c r="P113" s="399">
        <f t="shared" si="57"/>
        <v>2.506005935277215E-3</v>
      </c>
      <c r="Q113" s="413">
        <f t="shared" si="58"/>
        <v>708.3048</v>
      </c>
      <c r="R113" s="401">
        <f t="shared" si="59"/>
        <v>16.079999999999782</v>
      </c>
      <c r="S113" s="399">
        <f t="shared" si="60"/>
        <v>1.5149088510998899E-2</v>
      </c>
      <c r="T113" s="403" t="s">
        <v>491</v>
      </c>
      <c r="U113" s="403" t="s">
        <v>286</v>
      </c>
      <c r="V113" s="404" t="s">
        <v>618</v>
      </c>
      <c r="W113" s="404" t="s">
        <v>648</v>
      </c>
      <c r="X113" s="404">
        <v>1</v>
      </c>
      <c r="Y113" s="405" t="s">
        <v>657</v>
      </c>
    </row>
    <row r="114" spans="2:34" s="148" customFormat="1" ht="27" customHeight="1">
      <c r="B114" s="824"/>
      <c r="C114" s="825"/>
      <c r="D114" s="393">
        <v>12</v>
      </c>
      <c r="E114" s="396" t="s">
        <v>636</v>
      </c>
      <c r="F114" s="397">
        <v>3678.9717000000001</v>
      </c>
      <c r="G114" s="398">
        <v>18102</v>
      </c>
      <c r="H114" s="398">
        <v>17601.989999999998</v>
      </c>
      <c r="I114" s="399">
        <f t="shared" si="63"/>
        <v>0.97237819025522032</v>
      </c>
      <c r="J114" s="398">
        <v>1800</v>
      </c>
      <c r="K114" s="399">
        <f t="shared" si="64"/>
        <v>9.9436526350679483E-2</v>
      </c>
      <c r="L114" s="398">
        <v>2.8300000000000005</v>
      </c>
      <c r="M114" s="399">
        <f t="shared" si="65"/>
        <v>1.0718147166058998</v>
      </c>
      <c r="N114" s="400">
        <v>3678.9717000000001</v>
      </c>
      <c r="O114" s="398">
        <v>0</v>
      </c>
      <c r="P114" s="399">
        <f t="shared" si="57"/>
        <v>0</v>
      </c>
      <c r="Q114" s="413">
        <f t="shared" si="58"/>
        <v>0</v>
      </c>
      <c r="R114" s="401">
        <f t="shared" si="59"/>
        <v>1299.989999999998</v>
      </c>
      <c r="S114" s="399">
        <f t="shared" si="60"/>
        <v>7.1814716605899789E-2</v>
      </c>
      <c r="T114" s="403" t="s">
        <v>491</v>
      </c>
      <c r="U114" s="403" t="s">
        <v>286</v>
      </c>
      <c r="V114" s="403" t="s">
        <v>637</v>
      </c>
      <c r="W114" s="404" t="s">
        <v>638</v>
      </c>
      <c r="X114" s="404">
        <v>1</v>
      </c>
      <c r="Y114" s="405" t="s">
        <v>203</v>
      </c>
      <c r="AA114" s="835" t="s">
        <v>487</v>
      </c>
      <c r="AB114" s="836"/>
      <c r="AC114" s="836"/>
      <c r="AD114" s="836"/>
      <c r="AE114" s="836"/>
      <c r="AF114" s="836"/>
      <c r="AG114" s="836"/>
      <c r="AH114" s="837"/>
    </row>
    <row r="115" spans="2:34" s="148" customFormat="1" ht="27" customHeight="1">
      <c r="B115" s="824"/>
      <c r="C115" s="825"/>
      <c r="D115" s="393">
        <v>13</v>
      </c>
      <c r="E115" s="396" t="s">
        <v>420</v>
      </c>
      <c r="F115" s="397">
        <v>3129.1900000000114</v>
      </c>
      <c r="G115" s="398">
        <v>447.42</v>
      </c>
      <c r="H115" s="398">
        <v>438.65</v>
      </c>
      <c r="I115" s="399">
        <f t="shared" si="63"/>
        <v>0.98039873049930704</v>
      </c>
      <c r="J115" s="398">
        <v>19.11</v>
      </c>
      <c r="K115" s="399">
        <f t="shared" si="64"/>
        <v>4.2711546198203026E-2</v>
      </c>
      <c r="L115" s="398">
        <v>368.13999999999993</v>
      </c>
      <c r="M115" s="399">
        <f t="shared" si="65"/>
        <v>1.0231102766975102</v>
      </c>
      <c r="N115" s="400">
        <v>3806.5676000000117</v>
      </c>
      <c r="O115" s="398">
        <v>1.8399999999999999</v>
      </c>
      <c r="P115" s="399">
        <f t="shared" si="57"/>
        <v>4.1124670332126408E-3</v>
      </c>
      <c r="Q115" s="413">
        <f t="shared" si="58"/>
        <v>677.3775999999998</v>
      </c>
      <c r="R115" s="401">
        <f t="shared" si="59"/>
        <v>8.4999999999999751</v>
      </c>
      <c r="S115" s="399">
        <f t="shared" si="60"/>
        <v>1.8997809664297472E-2</v>
      </c>
      <c r="T115" s="403" t="s">
        <v>491</v>
      </c>
      <c r="U115" s="403" t="s">
        <v>286</v>
      </c>
      <c r="V115" s="404" t="s">
        <v>611</v>
      </c>
      <c r="W115" s="404" t="s">
        <v>631</v>
      </c>
      <c r="X115" s="404">
        <v>1</v>
      </c>
      <c r="Y115" s="405" t="s">
        <v>214</v>
      </c>
      <c r="AA115" s="838"/>
      <c r="AB115" s="839"/>
      <c r="AC115" s="839"/>
      <c r="AD115" s="839"/>
      <c r="AE115" s="839"/>
      <c r="AF115" s="839"/>
      <c r="AG115" s="839"/>
      <c r="AH115" s="840"/>
    </row>
    <row r="116" spans="2:34" s="148" customFormat="1" ht="27" customHeight="1">
      <c r="B116" s="824"/>
      <c r="C116" s="825"/>
      <c r="D116" s="393">
        <v>14</v>
      </c>
      <c r="E116" s="396" t="s">
        <v>405</v>
      </c>
      <c r="F116" s="397">
        <v>3107.4486999999958</v>
      </c>
      <c r="G116" s="398">
        <v>1841.4199999999998</v>
      </c>
      <c r="H116" s="398">
        <v>1767.48</v>
      </c>
      <c r="I116" s="399">
        <f t="shared" si="63"/>
        <v>0.95984620564564316</v>
      </c>
      <c r="J116" s="398">
        <v>128.66</v>
      </c>
      <c r="K116" s="399">
        <f t="shared" si="64"/>
        <v>6.9869991636888923E-2</v>
      </c>
      <c r="L116" s="398">
        <v>66.13</v>
      </c>
      <c r="M116" s="399">
        <f t="shared" si="65"/>
        <v>1.0297161972825322</v>
      </c>
      <c r="N116" s="400">
        <v>3618.6335999999956</v>
      </c>
      <c r="O116" s="398">
        <v>7.73</v>
      </c>
      <c r="P116" s="399">
        <f t="shared" si="57"/>
        <v>4.1978473134863317E-3</v>
      </c>
      <c r="Q116" s="413">
        <f t="shared" si="58"/>
        <v>511.18489999999997</v>
      </c>
      <c r="R116" s="401">
        <f t="shared" si="59"/>
        <v>46.990000000000251</v>
      </c>
      <c r="S116" s="399">
        <f t="shared" si="60"/>
        <v>2.5518349969045766E-2</v>
      </c>
      <c r="T116" s="403" t="s">
        <v>491</v>
      </c>
      <c r="U116" s="403" t="s">
        <v>286</v>
      </c>
      <c r="V116" s="404" t="s">
        <v>606</v>
      </c>
      <c r="W116" s="404" t="s">
        <v>607</v>
      </c>
      <c r="X116" s="404">
        <v>1</v>
      </c>
      <c r="Y116" s="405" t="s">
        <v>199</v>
      </c>
      <c r="AA116" s="841"/>
      <c r="AB116" s="842"/>
      <c r="AC116" s="842"/>
      <c r="AD116" s="842"/>
      <c r="AE116" s="842"/>
      <c r="AF116" s="842"/>
      <c r="AG116" s="842"/>
      <c r="AH116" s="843"/>
    </row>
    <row r="117" spans="2:34" s="148" customFormat="1" ht="27" customHeight="1">
      <c r="B117" s="824"/>
      <c r="C117" s="825"/>
      <c r="D117" s="393">
        <v>15</v>
      </c>
      <c r="E117" s="396" t="s">
        <v>641</v>
      </c>
      <c r="F117" s="397">
        <v>2792.7600000000029</v>
      </c>
      <c r="G117" s="398">
        <v>153.33999999999997</v>
      </c>
      <c r="H117" s="398">
        <v>145.17999999999998</v>
      </c>
      <c r="I117" s="399">
        <f t="shared" si="63"/>
        <v>0.94678492239467849</v>
      </c>
      <c r="J117" s="398">
        <v>13.759999999999998</v>
      </c>
      <c r="K117" s="399">
        <f t="shared" si="64"/>
        <v>8.9735228903091172E-2</v>
      </c>
      <c r="L117" s="398">
        <v>629</v>
      </c>
      <c r="M117" s="399">
        <f t="shared" si="65"/>
        <v>1.0365201512977695</v>
      </c>
      <c r="N117" s="400">
        <v>3522.4000000000033</v>
      </c>
      <c r="O117" s="398">
        <v>1.1600000000000001</v>
      </c>
      <c r="P117" s="399">
        <f t="shared" si="57"/>
        <v>7.5648884831094323E-3</v>
      </c>
      <c r="Q117" s="413">
        <f t="shared" si="58"/>
        <v>729.6400000000001</v>
      </c>
      <c r="R117" s="401">
        <f t="shared" si="59"/>
        <v>4.4399999999999942</v>
      </c>
      <c r="S117" s="399">
        <f t="shared" si="60"/>
        <v>2.8955262814660199E-2</v>
      </c>
      <c r="T117" s="403" t="s">
        <v>491</v>
      </c>
      <c r="U117" s="403" t="s">
        <v>286</v>
      </c>
      <c r="V117" s="404" t="s">
        <v>618</v>
      </c>
      <c r="W117" s="404" t="s">
        <v>648</v>
      </c>
      <c r="X117" s="404">
        <v>1</v>
      </c>
      <c r="Y117" s="405" t="s">
        <v>301</v>
      </c>
      <c r="AA117" s="161" t="s">
        <v>508</v>
      </c>
      <c r="AB117" s="161" t="s">
        <v>509</v>
      </c>
      <c r="AC117" s="156" t="s">
        <v>510</v>
      </c>
      <c r="AD117" s="156" t="s">
        <v>511</v>
      </c>
      <c r="AE117" s="156" t="s">
        <v>286</v>
      </c>
      <c r="AF117" s="156" t="s">
        <v>318</v>
      </c>
      <c r="AG117" s="156" t="s">
        <v>321</v>
      </c>
      <c r="AH117" s="156" t="s">
        <v>512</v>
      </c>
    </row>
    <row r="118" spans="2:34" s="148" customFormat="1" ht="27" customHeight="1">
      <c r="B118" s="824"/>
      <c r="C118" s="825"/>
      <c r="D118" s="393">
        <v>16</v>
      </c>
      <c r="E118" s="396" t="s">
        <v>649</v>
      </c>
      <c r="F118" s="397">
        <v>2696.9931000000001</v>
      </c>
      <c r="G118" s="398">
        <v>1165.8000000000002</v>
      </c>
      <c r="H118" s="398">
        <v>1163.23</v>
      </c>
      <c r="I118" s="399">
        <f t="shared" si="63"/>
        <v>0.9977955052324583</v>
      </c>
      <c r="J118" s="398">
        <v>19.04</v>
      </c>
      <c r="K118" s="399">
        <f t="shared" si="64"/>
        <v>1.6332132441242063E-2</v>
      </c>
      <c r="L118" s="398">
        <v>190.87000000000003</v>
      </c>
      <c r="M118" s="399">
        <f t="shared" si="65"/>
        <v>1.0141276376737003</v>
      </c>
      <c r="N118" s="400">
        <v>3143.6289000000002</v>
      </c>
      <c r="O118" s="398">
        <v>2.34</v>
      </c>
      <c r="P118" s="399">
        <f t="shared" si="57"/>
        <v>2.0072053525476063E-3</v>
      </c>
      <c r="Q118" s="413">
        <f t="shared" si="58"/>
        <v>446.63580000000007</v>
      </c>
      <c r="R118" s="401">
        <f t="shared" si="59"/>
        <v>14.1299999999998</v>
      </c>
      <c r="S118" s="399">
        <f t="shared" si="60"/>
        <v>1.2120432321152683E-2</v>
      </c>
      <c r="T118" s="403" t="s">
        <v>491</v>
      </c>
      <c r="U118" s="403" t="s">
        <v>286</v>
      </c>
      <c r="V118" s="404" t="s">
        <v>658</v>
      </c>
      <c r="W118" s="404" t="s">
        <v>659</v>
      </c>
      <c r="X118" s="404">
        <v>1</v>
      </c>
      <c r="Y118" s="405" t="s">
        <v>651</v>
      </c>
      <c r="Z118" s="462" t="s">
        <v>595</v>
      </c>
      <c r="AA118" s="416">
        <f t="shared" ref="AA118:AH119" si="66">AA7+AA31+AA55+AA79+AA103</f>
        <v>100</v>
      </c>
      <c r="AB118" s="416">
        <f t="shared" si="66"/>
        <v>0</v>
      </c>
      <c r="AC118" s="416">
        <f t="shared" si="66"/>
        <v>0</v>
      </c>
      <c r="AD118" s="416">
        <f t="shared" si="66"/>
        <v>0</v>
      </c>
      <c r="AE118" s="416">
        <f t="shared" si="66"/>
        <v>75</v>
      </c>
      <c r="AF118" s="416">
        <f t="shared" si="66"/>
        <v>5</v>
      </c>
      <c r="AG118" s="416">
        <f t="shared" si="66"/>
        <v>20</v>
      </c>
      <c r="AH118" s="416">
        <f>AH32+AH56+AH80+AH104</f>
        <v>0</v>
      </c>
    </row>
    <row r="119" spans="2:34" s="148" customFormat="1" ht="27" customHeight="1">
      <c r="B119" s="824"/>
      <c r="C119" s="825"/>
      <c r="D119" s="393">
        <v>17</v>
      </c>
      <c r="E119" s="396" t="s">
        <v>423</v>
      </c>
      <c r="F119" s="397">
        <v>2679.0400000000004</v>
      </c>
      <c r="G119" s="398">
        <v>227846</v>
      </c>
      <c r="H119" s="398">
        <v>227203</v>
      </c>
      <c r="I119" s="399">
        <f t="shared" si="63"/>
        <v>0.99717791841858094</v>
      </c>
      <c r="J119" s="398">
        <v>1475</v>
      </c>
      <c r="K119" s="399">
        <f t="shared" si="64"/>
        <v>6.4736708127419397E-3</v>
      </c>
      <c r="L119" s="398">
        <v>3.2199999999999998</v>
      </c>
      <c r="M119" s="399">
        <f t="shared" si="65"/>
        <v>1.0036515892313229</v>
      </c>
      <c r="N119" s="400">
        <v>2679.0400000000004</v>
      </c>
      <c r="O119" s="398">
        <v>0</v>
      </c>
      <c r="P119" s="399">
        <f t="shared" si="57"/>
        <v>0</v>
      </c>
      <c r="Q119" s="413">
        <f t="shared" si="58"/>
        <v>0</v>
      </c>
      <c r="R119" s="401">
        <f t="shared" si="59"/>
        <v>832</v>
      </c>
      <c r="S119" s="399">
        <f t="shared" si="60"/>
        <v>3.6515892313229111E-3</v>
      </c>
      <c r="T119" s="403" t="s">
        <v>491</v>
      </c>
      <c r="U119" s="403" t="s">
        <v>321</v>
      </c>
      <c r="V119" s="404" t="s">
        <v>660</v>
      </c>
      <c r="W119" s="404" t="s">
        <v>661</v>
      </c>
      <c r="X119" s="404">
        <v>1</v>
      </c>
      <c r="Y119" s="405" t="s">
        <v>311</v>
      </c>
      <c r="AA119" s="417"/>
      <c r="AB119" s="414">
        <f t="shared" si="66"/>
        <v>0</v>
      </c>
      <c r="AC119" s="414">
        <f t="shared" si="66"/>
        <v>0</v>
      </c>
      <c r="AD119" s="414">
        <f t="shared" si="66"/>
        <v>0</v>
      </c>
      <c r="AE119" s="414">
        <f t="shared" si="66"/>
        <v>292237.7513</v>
      </c>
      <c r="AF119" s="414">
        <f t="shared" si="66"/>
        <v>83569.2212</v>
      </c>
      <c r="AG119" s="414">
        <f t="shared" si="66"/>
        <v>88243.236199999956</v>
      </c>
      <c r="AH119" s="414">
        <f t="shared" si="66"/>
        <v>0</v>
      </c>
    </row>
    <row r="120" spans="2:34" s="148" customFormat="1" ht="27" customHeight="1">
      <c r="B120" s="824"/>
      <c r="C120" s="825"/>
      <c r="D120" s="393">
        <v>18</v>
      </c>
      <c r="E120" s="396" t="s">
        <v>531</v>
      </c>
      <c r="F120" s="397">
        <v>2650.6372999999858</v>
      </c>
      <c r="G120" s="398">
        <v>1614.7100000000003</v>
      </c>
      <c r="H120" s="398">
        <v>1622.49</v>
      </c>
      <c r="I120" s="399">
        <f t="shared" si="63"/>
        <v>1.0048182026493919</v>
      </c>
      <c r="J120" s="398">
        <v>14.6</v>
      </c>
      <c r="K120" s="399">
        <f t="shared" si="64"/>
        <v>9.0418712957744726E-3</v>
      </c>
      <c r="L120" s="398">
        <v>157.87000000000003</v>
      </c>
      <c r="M120" s="399">
        <f t="shared" si="65"/>
        <v>1.0138600739451664</v>
      </c>
      <c r="N120" s="400">
        <v>3533.1305999999859</v>
      </c>
      <c r="O120" s="398">
        <v>5.5900000000000007</v>
      </c>
      <c r="P120" s="399">
        <f t="shared" si="57"/>
        <v>3.4619219550259799E-3</v>
      </c>
      <c r="Q120" s="413">
        <f t="shared" si="58"/>
        <v>882.49330000000032</v>
      </c>
      <c r="R120" s="401">
        <f t="shared" si="59"/>
        <v>16.789999999999655</v>
      </c>
      <c r="S120" s="399">
        <f t="shared" si="60"/>
        <v>1.0398151990140429E-2</v>
      </c>
      <c r="T120" s="403" t="s">
        <v>491</v>
      </c>
      <c r="U120" s="403" t="s">
        <v>286</v>
      </c>
      <c r="V120" s="404" t="s">
        <v>662</v>
      </c>
      <c r="W120" s="404" t="s">
        <v>623</v>
      </c>
      <c r="X120" s="404">
        <v>1</v>
      </c>
      <c r="Y120" s="405" t="s">
        <v>311</v>
      </c>
      <c r="AA120" s="393"/>
      <c r="AB120" s="415">
        <f>AB118/$AA118</f>
        <v>0</v>
      </c>
      <c r="AC120" s="415">
        <f t="shared" ref="AC120:AH120" si="67">AC118/$AA118</f>
        <v>0</v>
      </c>
      <c r="AD120" s="415">
        <f t="shared" si="67"/>
        <v>0</v>
      </c>
      <c r="AE120" s="415">
        <f t="shared" si="67"/>
        <v>0.75</v>
      </c>
      <c r="AF120" s="415">
        <f t="shared" si="67"/>
        <v>0.05</v>
      </c>
      <c r="AG120" s="415">
        <f t="shared" si="67"/>
        <v>0.2</v>
      </c>
      <c r="AH120" s="415">
        <f t="shared" si="67"/>
        <v>0</v>
      </c>
    </row>
    <row r="121" spans="2:34" s="148" customFormat="1" ht="27" customHeight="1">
      <c r="B121" s="824"/>
      <c r="C121" s="825"/>
      <c r="D121" s="393">
        <v>19</v>
      </c>
      <c r="E121" s="396" t="s">
        <v>613</v>
      </c>
      <c r="F121" s="397">
        <v>2492.8099999999954</v>
      </c>
      <c r="G121" s="398">
        <v>1697.08</v>
      </c>
      <c r="H121" s="398">
        <v>1618.42</v>
      </c>
      <c r="I121" s="399">
        <f t="shared" si="63"/>
        <v>0.95364979847738474</v>
      </c>
      <c r="J121" s="398">
        <v>124.1</v>
      </c>
      <c r="K121" s="399">
        <f t="shared" si="64"/>
        <v>7.3125603978598533E-2</v>
      </c>
      <c r="L121" s="398">
        <v>70.220000000000013</v>
      </c>
      <c r="M121" s="399">
        <f t="shared" si="65"/>
        <v>1.0267754024559832</v>
      </c>
      <c r="N121" s="400">
        <v>3190.7967999999955</v>
      </c>
      <c r="O121" s="398">
        <v>9.9400000000000013</v>
      </c>
      <c r="P121" s="399">
        <f t="shared" si="57"/>
        <v>5.8571192872463301E-3</v>
      </c>
      <c r="Q121" s="413">
        <f t="shared" si="58"/>
        <v>697.98680000000024</v>
      </c>
      <c r="R121" s="401">
        <f t="shared" si="59"/>
        <v>35.500000000000057</v>
      </c>
      <c r="S121" s="399">
        <f t="shared" si="60"/>
        <v>2.0918283168736923E-2</v>
      </c>
      <c r="T121" s="403" t="s">
        <v>491</v>
      </c>
      <c r="U121" s="403" t="s">
        <v>286</v>
      </c>
      <c r="V121" s="404" t="s">
        <v>606</v>
      </c>
      <c r="W121" s="404" t="s">
        <v>607</v>
      </c>
      <c r="X121" s="404">
        <v>1</v>
      </c>
      <c r="Y121" s="405" t="s">
        <v>201</v>
      </c>
      <c r="AB121" s="412"/>
      <c r="AC121" s="409"/>
    </row>
    <row r="122" spans="2:34" s="148" customFormat="1" ht="27" customHeight="1">
      <c r="B122" s="826"/>
      <c r="C122" s="827"/>
      <c r="D122" s="393">
        <v>20</v>
      </c>
      <c r="E122" s="396" t="s">
        <v>338</v>
      </c>
      <c r="F122" s="397">
        <v>2275.9439999999986</v>
      </c>
      <c r="G122" s="398">
        <v>1264.6399999999999</v>
      </c>
      <c r="H122" s="398">
        <v>1226.99</v>
      </c>
      <c r="I122" s="399">
        <f t="shared" si="63"/>
        <v>0.97022868168016208</v>
      </c>
      <c r="J122" s="398">
        <v>79.98</v>
      </c>
      <c r="K122" s="399">
        <f t="shared" si="64"/>
        <v>6.3243294534412964E-2</v>
      </c>
      <c r="L122" s="398">
        <v>65.12</v>
      </c>
      <c r="M122" s="399">
        <f t="shared" si="65"/>
        <v>1.033471976214575</v>
      </c>
      <c r="N122" s="400">
        <v>2756.5295999999989</v>
      </c>
      <c r="O122" s="398">
        <v>7.38</v>
      </c>
      <c r="P122" s="399">
        <f t="shared" si="57"/>
        <v>5.835652834008098E-3</v>
      </c>
      <c r="Q122" s="413">
        <f t="shared" si="58"/>
        <v>480.5856</v>
      </c>
      <c r="R122" s="401">
        <f t="shared" si="59"/>
        <v>34.950000000000152</v>
      </c>
      <c r="S122" s="399">
        <f t="shared" si="60"/>
        <v>2.7636323380566926E-2</v>
      </c>
      <c r="T122" s="403" t="s">
        <v>491</v>
      </c>
      <c r="U122" s="403" t="s">
        <v>321</v>
      </c>
      <c r="V122" s="404" t="s">
        <v>606</v>
      </c>
      <c r="W122" s="404" t="s">
        <v>607</v>
      </c>
      <c r="X122" s="404">
        <v>1</v>
      </c>
      <c r="Y122" s="405" t="s">
        <v>224</v>
      </c>
      <c r="AB122" s="412"/>
      <c r="AC122" s="409"/>
    </row>
    <row r="123" spans="2:34">
      <c r="Z123" s="148"/>
      <c r="AA123" s="148"/>
      <c r="AB123" s="148"/>
      <c r="AC123" s="409"/>
      <c r="AD123" s="148"/>
      <c r="AE123" s="148"/>
      <c r="AF123" s="148"/>
      <c r="AG123" s="148"/>
      <c r="AH123" s="148"/>
    </row>
    <row r="124" spans="2:34">
      <c r="Z124" s="148"/>
      <c r="AA124" s="148"/>
      <c r="AB124" s="411"/>
      <c r="AC124" s="409"/>
      <c r="AD124" s="148"/>
      <c r="AE124" s="148"/>
      <c r="AF124" s="148"/>
      <c r="AG124" s="148"/>
      <c r="AH124" s="148"/>
    </row>
    <row r="125" spans="2:34">
      <c r="Z125" s="148"/>
      <c r="AA125" s="148"/>
      <c r="AB125" s="148"/>
      <c r="AC125" s="409"/>
      <c r="AD125" s="148"/>
      <c r="AE125" s="148"/>
      <c r="AF125" s="148"/>
      <c r="AG125" s="148"/>
      <c r="AH125" s="148"/>
    </row>
    <row r="126" spans="2:34" ht="17.100000000000001">
      <c r="Z126" s="148"/>
      <c r="AA126" s="148"/>
      <c r="AB126" s="412"/>
      <c r="AC126" s="409"/>
      <c r="AD126" s="148"/>
      <c r="AE126" s="148"/>
      <c r="AF126" s="148"/>
      <c r="AG126" s="148"/>
      <c r="AH126" s="148"/>
    </row>
    <row r="127" spans="2:34" ht="17.100000000000001">
      <c r="Z127" s="148"/>
      <c r="AA127" s="148"/>
      <c r="AB127" s="412"/>
      <c r="AC127" s="409"/>
      <c r="AD127" s="148"/>
      <c r="AE127" s="148"/>
      <c r="AF127" s="148"/>
      <c r="AG127" s="148"/>
      <c r="AH127" s="148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AA114:AH116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3" type="noConversion"/>
  <dataValidations count="1">
    <dataValidation type="list" allowBlank="1" showInputMessage="1" showErrorMessage="1" sqref="T1:U1048576" xr:uid="{00000000-0002-0000-2100-000000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663</v>
      </c>
      <c r="D2" s="5" t="s">
        <v>664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665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666</v>
      </c>
      <c r="H6" s="11">
        <v>110</v>
      </c>
      <c r="I6" s="11">
        <v>100</v>
      </c>
      <c r="J6" s="11">
        <v>90</v>
      </c>
      <c r="K6" s="12"/>
      <c r="L6" s="62" t="s">
        <v>667</v>
      </c>
      <c r="M6" s="49" t="s">
        <v>668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668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669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670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670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671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672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672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673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674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674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675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676</v>
      </c>
      <c r="N10" s="9" t="s">
        <v>677</v>
      </c>
      <c r="O10" s="13" t="str">
        <f t="shared" si="2"/>
        <v/>
      </c>
      <c r="P10" s="4" t="s">
        <v>678</v>
      </c>
      <c r="Q10" s="13" t="str">
        <f t="shared" si="3"/>
        <v/>
      </c>
      <c r="S10" s="49" t="s">
        <v>676</v>
      </c>
      <c r="T10" s="9" t="s">
        <v>677</v>
      </c>
      <c r="U10" s="13" t="str">
        <f t="shared" si="4"/>
        <v/>
      </c>
      <c r="V10" s="4" t="s">
        <v>678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679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680</v>
      </c>
      <c r="N11" s="9" t="s">
        <v>677</v>
      </c>
      <c r="O11" s="13" t="str">
        <f t="shared" si="2"/>
        <v/>
      </c>
      <c r="P11" s="4" t="s">
        <v>678</v>
      </c>
      <c r="Q11" s="13" t="str">
        <f t="shared" si="3"/>
        <v/>
      </c>
      <c r="S11" s="49" t="s">
        <v>680</v>
      </c>
      <c r="T11" s="9" t="s">
        <v>677</v>
      </c>
      <c r="U11" s="13" t="str">
        <f t="shared" si="4"/>
        <v/>
      </c>
      <c r="V11" s="4" t="s">
        <v>678</v>
      </c>
      <c r="W11" s="13" t="str">
        <f t="shared" si="5"/>
        <v/>
      </c>
    </row>
    <row r="12" spans="1:23" ht="15.75" customHeight="1">
      <c r="M12" s="49" t="s">
        <v>681</v>
      </c>
      <c r="N12" s="9" t="s">
        <v>677</v>
      </c>
      <c r="O12" s="13" t="str">
        <f t="shared" si="2"/>
        <v/>
      </c>
      <c r="P12" s="4" t="s">
        <v>678</v>
      </c>
      <c r="Q12" s="13" t="str">
        <f t="shared" si="3"/>
        <v/>
      </c>
      <c r="S12" s="49" t="s">
        <v>681</v>
      </c>
      <c r="T12" s="9" t="s">
        <v>677</v>
      </c>
      <c r="U12" s="13" t="str">
        <f t="shared" si="4"/>
        <v/>
      </c>
      <c r="V12" s="4" t="s">
        <v>678</v>
      </c>
      <c r="W12" s="13" t="str">
        <f t="shared" si="5"/>
        <v/>
      </c>
    </row>
    <row r="13" spans="1:23" ht="15.75" customHeight="1">
      <c r="A13" s="60" t="s">
        <v>682</v>
      </c>
      <c r="B13" s="67"/>
      <c r="C13" s="67"/>
      <c r="D13" s="67"/>
      <c r="E13" s="67"/>
      <c r="F13" s="67"/>
      <c r="M13" s="49" t="s">
        <v>683</v>
      </c>
      <c r="N13" s="9" t="s">
        <v>677</v>
      </c>
      <c r="O13" s="13" t="str">
        <f t="shared" si="2"/>
        <v/>
      </c>
      <c r="P13" s="4" t="s">
        <v>678</v>
      </c>
      <c r="Q13" s="13" t="str">
        <f t="shared" si="3"/>
        <v/>
      </c>
      <c r="S13" s="49" t="s">
        <v>683</v>
      </c>
      <c r="T13" s="9" t="s">
        <v>677</v>
      </c>
      <c r="U13" s="13" t="str">
        <f t="shared" si="4"/>
        <v/>
      </c>
      <c r="V13" s="4" t="s">
        <v>678</v>
      </c>
      <c r="W13" s="13" t="str">
        <f t="shared" si="5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668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676</v>
      </c>
      <c r="H15" s="4"/>
      <c r="I15" s="4"/>
      <c r="J15" s="16">
        <f t="shared" ref="J15:J18" si="12">H15-I15</f>
        <v>0</v>
      </c>
      <c r="K15" s="17"/>
      <c r="M15" s="60" t="s">
        <v>684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670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680</v>
      </c>
      <c r="H16" s="4"/>
      <c r="I16" s="4"/>
      <c r="J16" s="16">
        <f t="shared" si="12"/>
        <v>0</v>
      </c>
      <c r="K16" s="17"/>
      <c r="M16" s="18"/>
      <c r="N16" s="46" t="s">
        <v>272</v>
      </c>
      <c r="O16" s="19"/>
      <c r="P16" s="58" t="s">
        <v>455</v>
      </c>
      <c r="Q16" s="19"/>
      <c r="R16" s="51" t="s">
        <v>685</v>
      </c>
      <c r="S16" s="19"/>
    </row>
    <row r="17" spans="1:27" ht="15.75" customHeight="1">
      <c r="A17" s="49" t="s">
        <v>672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681</v>
      </c>
      <c r="H17" s="4"/>
      <c r="I17" s="4"/>
      <c r="J17" s="16">
        <f t="shared" si="12"/>
        <v>0</v>
      </c>
      <c r="K17" s="17"/>
      <c r="M17" s="20"/>
      <c r="N17" s="21" t="s">
        <v>277</v>
      </c>
      <c r="O17" s="50" t="s">
        <v>36</v>
      </c>
      <c r="P17" s="8" t="s">
        <v>277</v>
      </c>
      <c r="Q17" s="50" t="s">
        <v>36</v>
      </c>
      <c r="R17" s="8" t="s">
        <v>277</v>
      </c>
      <c r="S17" s="50" t="s">
        <v>36</v>
      </c>
    </row>
    <row r="18" spans="1:27" ht="15.75" customHeight="1">
      <c r="A18" s="49" t="s">
        <v>674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683</v>
      </c>
      <c r="H18" s="4"/>
      <c r="I18" s="4"/>
      <c r="J18" s="16">
        <f t="shared" si="12"/>
        <v>0</v>
      </c>
      <c r="K18" s="17"/>
      <c r="M18" s="49" t="s">
        <v>671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673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686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238</v>
      </c>
      <c r="C21" s="865" t="s">
        <v>239</v>
      </c>
      <c r="D21" s="863"/>
      <c r="E21" s="864"/>
      <c r="F21" s="49" t="s">
        <v>240</v>
      </c>
      <c r="G21" s="49" t="s">
        <v>687</v>
      </c>
      <c r="H21" s="49" t="s">
        <v>688</v>
      </c>
      <c r="I21" s="8" t="s">
        <v>689</v>
      </c>
      <c r="J21" s="878" t="s">
        <v>244</v>
      </c>
      <c r="K21" s="864"/>
      <c r="M21" s="60" t="s">
        <v>690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668</v>
      </c>
      <c r="B22" s="6">
        <v>1</v>
      </c>
      <c r="C22" s="867" t="s">
        <v>691</v>
      </c>
      <c r="D22" s="863"/>
      <c r="E22" s="864"/>
      <c r="F22" s="4">
        <v>3</v>
      </c>
      <c r="G22" s="4">
        <v>3000</v>
      </c>
      <c r="H22" s="4">
        <v>1000</v>
      </c>
      <c r="I22" s="4">
        <v>10</v>
      </c>
      <c r="J22" s="866" t="s">
        <v>692</v>
      </c>
      <c r="K22" s="864"/>
      <c r="M22" s="52" t="s">
        <v>671</v>
      </c>
      <c r="N22" s="57" t="s">
        <v>238</v>
      </c>
      <c r="O22" s="873" t="s">
        <v>239</v>
      </c>
      <c r="P22" s="863"/>
      <c r="Q22" s="864"/>
      <c r="R22" s="879" t="s">
        <v>288</v>
      </c>
      <c r="S22" s="863"/>
      <c r="T22" s="864"/>
      <c r="U22" s="57" t="s">
        <v>289</v>
      </c>
      <c r="V22" s="57" t="s">
        <v>23</v>
      </c>
      <c r="W22" s="57" t="s">
        <v>290</v>
      </c>
      <c r="X22" s="8" t="s">
        <v>277</v>
      </c>
      <c r="Y22" s="8" t="s">
        <v>689</v>
      </c>
      <c r="Z22" s="878" t="s">
        <v>244</v>
      </c>
      <c r="AA22" s="864"/>
    </row>
    <row r="23" spans="1:27" ht="15.75" customHeight="1">
      <c r="A23" s="23"/>
      <c r="B23" s="6">
        <v>2</v>
      </c>
      <c r="C23" s="862"/>
      <c r="D23" s="863"/>
      <c r="E23" s="864"/>
      <c r="F23" s="4"/>
      <c r="G23" s="4"/>
      <c r="H23" s="4"/>
      <c r="I23" s="4"/>
      <c r="J23" s="862"/>
      <c r="K23" s="864"/>
      <c r="M23" s="56" t="s">
        <v>455</v>
      </c>
      <c r="N23" s="24">
        <v>1</v>
      </c>
      <c r="O23" s="866" t="s">
        <v>693</v>
      </c>
      <c r="P23" s="863"/>
      <c r="Q23" s="864"/>
      <c r="R23" s="866" t="s">
        <v>694</v>
      </c>
      <c r="S23" s="863"/>
      <c r="T23" s="864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66" t="s">
        <v>695</v>
      </c>
      <c r="AA23" s="864"/>
    </row>
    <row r="24" spans="1:27" ht="15.75" customHeight="1">
      <c r="A24" s="23"/>
      <c r="B24" s="6">
        <v>3</v>
      </c>
      <c r="C24" s="862"/>
      <c r="D24" s="863"/>
      <c r="E24" s="864"/>
      <c r="F24" s="4"/>
      <c r="G24" s="4"/>
      <c r="H24" s="4"/>
      <c r="I24" s="4"/>
      <c r="J24" s="862"/>
      <c r="K24" s="864"/>
      <c r="M24" s="25"/>
      <c r="N24" s="24">
        <v>2</v>
      </c>
      <c r="O24" s="867"/>
      <c r="P24" s="863"/>
      <c r="Q24" s="864"/>
      <c r="R24" s="867"/>
      <c r="S24" s="863"/>
      <c r="T24" s="864"/>
      <c r="U24" s="4"/>
      <c r="V24" s="14"/>
      <c r="W24" s="4"/>
      <c r="X24" s="16">
        <f t="shared" si="16"/>
        <v>0</v>
      </c>
      <c r="Y24" s="4"/>
      <c r="Z24" s="867"/>
      <c r="AA24" s="864"/>
    </row>
    <row r="25" spans="1:27" ht="15.75" customHeight="1">
      <c r="A25" s="23"/>
      <c r="B25" s="6">
        <v>4</v>
      </c>
      <c r="C25" s="862"/>
      <c r="D25" s="863"/>
      <c r="E25" s="864"/>
      <c r="F25" s="4"/>
      <c r="G25" s="4"/>
      <c r="H25" s="4"/>
      <c r="I25" s="4"/>
      <c r="J25" s="862"/>
      <c r="K25" s="864"/>
      <c r="M25" s="25"/>
      <c r="N25" s="24">
        <v>3</v>
      </c>
      <c r="O25" s="867"/>
      <c r="P25" s="863"/>
      <c r="Q25" s="864"/>
      <c r="R25" s="867"/>
      <c r="S25" s="863"/>
      <c r="T25" s="864"/>
      <c r="U25" s="4"/>
      <c r="V25" s="14"/>
      <c r="W25" s="4"/>
      <c r="X25" s="16">
        <f t="shared" si="16"/>
        <v>0</v>
      </c>
      <c r="Y25" s="4"/>
      <c r="Z25" s="867"/>
      <c r="AA25" s="864"/>
    </row>
    <row r="26" spans="1:27" ht="15.75" customHeight="1">
      <c r="A26" s="23"/>
      <c r="B26" s="26">
        <v>5</v>
      </c>
      <c r="C26" s="876"/>
      <c r="D26" s="872"/>
      <c r="E26" s="869"/>
      <c r="F26" s="27"/>
      <c r="G26" s="27"/>
      <c r="H26" s="27"/>
      <c r="I26" s="27"/>
      <c r="J26" s="876"/>
      <c r="K26" s="869"/>
      <c r="M26" s="25"/>
      <c r="N26" s="24">
        <v>4</v>
      </c>
      <c r="O26" s="867"/>
      <c r="P26" s="863"/>
      <c r="Q26" s="864"/>
      <c r="R26" s="867"/>
      <c r="S26" s="863"/>
      <c r="T26" s="864"/>
      <c r="U26" s="4"/>
      <c r="V26" s="14"/>
      <c r="W26" s="4"/>
      <c r="X26" s="16">
        <f t="shared" si="16"/>
        <v>0</v>
      </c>
      <c r="Y26" s="4"/>
      <c r="Z26" s="867"/>
      <c r="AA26" s="864"/>
    </row>
    <row r="27" spans="1:27" ht="15.75" customHeight="1">
      <c r="A27" s="23"/>
      <c r="B27" s="69" t="s">
        <v>696</v>
      </c>
      <c r="C27" s="870" t="s">
        <v>697</v>
      </c>
      <c r="D27" s="877"/>
      <c r="E27" s="871"/>
      <c r="F27" s="28">
        <v>4</v>
      </c>
      <c r="G27" s="28">
        <v>2800</v>
      </c>
      <c r="H27" s="28">
        <v>700</v>
      </c>
      <c r="I27" s="28" t="s">
        <v>698</v>
      </c>
      <c r="J27" s="870" t="s">
        <v>699</v>
      </c>
      <c r="K27" s="871"/>
      <c r="M27" s="25"/>
      <c r="N27" s="29">
        <v>5</v>
      </c>
      <c r="O27" s="868"/>
      <c r="P27" s="872"/>
      <c r="Q27" s="869"/>
      <c r="R27" s="868"/>
      <c r="S27" s="872"/>
      <c r="T27" s="869"/>
      <c r="U27" s="27"/>
      <c r="V27" s="30"/>
      <c r="W27" s="27"/>
      <c r="X27" s="31">
        <f t="shared" si="16"/>
        <v>0</v>
      </c>
      <c r="Y27" s="4"/>
      <c r="Z27" s="868"/>
      <c r="AA27" s="869"/>
    </row>
    <row r="28" spans="1:27" ht="15.75" customHeight="1">
      <c r="A28" s="23"/>
      <c r="B28" s="70" t="s">
        <v>700</v>
      </c>
      <c r="C28" s="862"/>
      <c r="D28" s="863"/>
      <c r="E28" s="864"/>
      <c r="F28" s="4"/>
      <c r="G28" s="4"/>
      <c r="H28" s="4"/>
      <c r="I28" s="4"/>
      <c r="J28" s="862"/>
      <c r="K28" s="864"/>
      <c r="M28" s="32"/>
      <c r="N28" s="55"/>
      <c r="O28" s="874"/>
      <c r="P28" s="863"/>
      <c r="Q28" s="863"/>
      <c r="R28" s="874"/>
      <c r="S28" s="863"/>
      <c r="T28" s="863"/>
      <c r="U28" s="59" t="s">
        <v>304</v>
      </c>
      <c r="V28" s="33">
        <f>X28/N18</f>
        <v>8.3333333333333329E-2</v>
      </c>
      <c r="W28" s="59" t="s">
        <v>305</v>
      </c>
      <c r="X28" s="34">
        <f>SUM(X23:X27)</f>
        <v>100</v>
      </c>
      <c r="Y28" s="45"/>
      <c r="Z28" s="874"/>
      <c r="AA28" s="864"/>
    </row>
    <row r="29" spans="1:27" ht="15.75" customHeight="1">
      <c r="A29" s="23"/>
      <c r="B29" s="70" t="s">
        <v>701</v>
      </c>
      <c r="C29" s="862"/>
      <c r="D29" s="863"/>
      <c r="E29" s="864"/>
      <c r="F29" s="4"/>
      <c r="G29" s="4"/>
      <c r="H29" s="4"/>
      <c r="I29" s="4"/>
      <c r="J29" s="862"/>
      <c r="K29" s="864"/>
      <c r="M29" s="56" t="s">
        <v>685</v>
      </c>
      <c r="N29" s="24">
        <v>1</v>
      </c>
      <c r="O29" s="887" t="s">
        <v>702</v>
      </c>
      <c r="P29" s="883"/>
      <c r="Q29" s="884"/>
      <c r="R29" s="882" t="s">
        <v>703</v>
      </c>
      <c r="S29" s="883"/>
      <c r="T29" s="88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82" t="s">
        <v>704</v>
      </c>
      <c r="AA29" s="884"/>
    </row>
    <row r="30" spans="1:27" ht="15.75" customHeight="1">
      <c r="A30" s="23"/>
      <c r="B30" s="70" t="s">
        <v>705</v>
      </c>
      <c r="C30" s="862"/>
      <c r="D30" s="863"/>
      <c r="E30" s="864"/>
      <c r="F30" s="4"/>
      <c r="G30" s="4"/>
      <c r="H30" s="4"/>
      <c r="I30" s="4"/>
      <c r="J30" s="862"/>
      <c r="K30" s="864"/>
      <c r="M30" s="25"/>
      <c r="N30" s="24">
        <v>2</v>
      </c>
      <c r="O30" s="867"/>
      <c r="P30" s="863"/>
      <c r="Q30" s="864"/>
      <c r="R30" s="867"/>
      <c r="S30" s="863"/>
      <c r="T30" s="864"/>
      <c r="U30" s="4"/>
      <c r="V30" s="14"/>
      <c r="W30" s="4"/>
      <c r="X30" s="16">
        <f t="shared" si="17"/>
        <v>0</v>
      </c>
      <c r="Y30" s="4"/>
      <c r="Z30" s="867"/>
      <c r="AA30" s="864"/>
    </row>
    <row r="31" spans="1:27" ht="15.75" customHeight="1">
      <c r="A31" s="20"/>
      <c r="B31" s="70" t="s">
        <v>706</v>
      </c>
      <c r="C31" s="862"/>
      <c r="D31" s="863"/>
      <c r="E31" s="864"/>
      <c r="F31" s="4"/>
      <c r="G31" s="4"/>
      <c r="H31" s="4"/>
      <c r="I31" s="4"/>
      <c r="J31" s="862"/>
      <c r="K31" s="864"/>
      <c r="M31" s="25"/>
      <c r="N31" s="24">
        <v>3</v>
      </c>
      <c r="O31" s="867"/>
      <c r="P31" s="863"/>
      <c r="Q31" s="864"/>
      <c r="R31" s="867"/>
      <c r="S31" s="863"/>
      <c r="T31" s="864"/>
      <c r="U31" s="4"/>
      <c r="V31" s="14"/>
      <c r="W31" s="4"/>
      <c r="X31" s="16">
        <f t="shared" si="17"/>
        <v>0</v>
      </c>
      <c r="Y31" s="4"/>
      <c r="Z31" s="867"/>
      <c r="AA31" s="864"/>
    </row>
    <row r="32" spans="1:27" ht="15.75" customHeight="1">
      <c r="A32" s="67"/>
      <c r="M32" s="25"/>
      <c r="N32" s="24">
        <v>4</v>
      </c>
      <c r="O32" s="867"/>
      <c r="P32" s="863"/>
      <c r="Q32" s="864"/>
      <c r="R32" s="867"/>
      <c r="S32" s="863"/>
      <c r="T32" s="864"/>
      <c r="U32" s="4"/>
      <c r="V32" s="14"/>
      <c r="W32" s="4"/>
      <c r="X32" s="16">
        <f t="shared" si="17"/>
        <v>0</v>
      </c>
      <c r="Y32" s="4"/>
      <c r="Z32" s="867"/>
      <c r="AA32" s="864"/>
    </row>
    <row r="33" spans="1:27" ht="15.75" customHeight="1">
      <c r="A33" s="18"/>
      <c r="B33" s="49" t="s">
        <v>238</v>
      </c>
      <c r="C33" s="865" t="s">
        <v>239</v>
      </c>
      <c r="D33" s="863"/>
      <c r="E33" s="864"/>
      <c r="F33" s="49" t="s">
        <v>240</v>
      </c>
      <c r="G33" s="49" t="s">
        <v>687</v>
      </c>
      <c r="H33" s="49" t="s">
        <v>688</v>
      </c>
      <c r="I33" s="8" t="s">
        <v>689</v>
      </c>
      <c r="J33" s="878" t="s">
        <v>244</v>
      </c>
      <c r="K33" s="864"/>
      <c r="M33" s="25"/>
      <c r="N33" s="29">
        <v>5</v>
      </c>
      <c r="O33" s="867"/>
      <c r="P33" s="863"/>
      <c r="Q33" s="864"/>
      <c r="R33" s="867"/>
      <c r="S33" s="863"/>
      <c r="T33" s="864"/>
      <c r="U33" s="27"/>
      <c r="V33" s="30"/>
      <c r="W33" s="27"/>
      <c r="X33" s="31">
        <f t="shared" si="17"/>
        <v>0</v>
      </c>
      <c r="Y33" s="4"/>
      <c r="Z33" s="867"/>
      <c r="AA33" s="864"/>
    </row>
    <row r="34" spans="1:27" ht="15.75" customHeight="1">
      <c r="A34" s="52" t="s">
        <v>670</v>
      </c>
      <c r="B34" s="6">
        <v>1</v>
      </c>
      <c r="C34" s="866" t="s">
        <v>707</v>
      </c>
      <c r="D34" s="863"/>
      <c r="E34" s="864"/>
      <c r="F34" s="4">
        <v>3</v>
      </c>
      <c r="G34" s="4">
        <v>2500</v>
      </c>
      <c r="H34" s="4">
        <v>833.33</v>
      </c>
      <c r="I34" s="4">
        <v>20</v>
      </c>
      <c r="J34" s="866" t="s">
        <v>708</v>
      </c>
      <c r="K34" s="864"/>
      <c r="M34" s="68"/>
      <c r="N34" s="45"/>
      <c r="O34" s="874"/>
      <c r="P34" s="863"/>
      <c r="Q34" s="863"/>
      <c r="R34" s="874"/>
      <c r="S34" s="863"/>
      <c r="T34" s="863"/>
      <c r="U34" s="59" t="s">
        <v>304</v>
      </c>
      <c r="V34" s="33">
        <f>X34/N18</f>
        <v>0.23125000000000001</v>
      </c>
      <c r="W34" s="59" t="s">
        <v>305</v>
      </c>
      <c r="X34" s="34">
        <f>SUM(X29:X33)</f>
        <v>277.5</v>
      </c>
      <c r="Y34" s="45"/>
      <c r="Z34" s="874"/>
      <c r="AA34" s="864"/>
    </row>
    <row r="35" spans="1:27" ht="15.75" customHeight="1">
      <c r="A35" s="23"/>
      <c r="B35" s="6">
        <v>2</v>
      </c>
      <c r="C35" s="867"/>
      <c r="D35" s="863"/>
      <c r="E35" s="864"/>
      <c r="F35" s="4"/>
      <c r="G35" s="4"/>
      <c r="H35" s="4"/>
      <c r="I35" s="4"/>
      <c r="J35" s="867"/>
      <c r="K35" s="864"/>
      <c r="M35" s="1"/>
      <c r="N35" s="1"/>
      <c r="O35" s="885"/>
      <c r="P35" s="886"/>
      <c r="Q35" s="886"/>
      <c r="R35" s="885"/>
      <c r="S35" s="886"/>
      <c r="T35" s="886"/>
      <c r="U35" s="1"/>
      <c r="V35" s="38"/>
      <c r="W35" s="1"/>
      <c r="X35" s="1"/>
      <c r="Y35" s="885"/>
      <c r="Z35" s="886"/>
      <c r="AA35" s="886"/>
    </row>
    <row r="36" spans="1:27" ht="15.75" customHeight="1">
      <c r="A36" s="23"/>
      <c r="B36" s="6">
        <v>3</v>
      </c>
      <c r="C36" s="867"/>
      <c r="D36" s="863"/>
      <c r="E36" s="864"/>
      <c r="F36" s="4"/>
      <c r="G36" s="4"/>
      <c r="H36" s="4"/>
      <c r="I36" s="4"/>
      <c r="J36" s="867"/>
      <c r="K36" s="864"/>
      <c r="M36" s="52" t="s">
        <v>673</v>
      </c>
      <c r="N36" s="57" t="s">
        <v>238</v>
      </c>
      <c r="O36" s="873" t="s">
        <v>239</v>
      </c>
      <c r="P36" s="874"/>
      <c r="Q36" s="875"/>
      <c r="R36" s="879" t="s">
        <v>288</v>
      </c>
      <c r="S36" s="880"/>
      <c r="T36" s="881"/>
      <c r="U36" s="57" t="s">
        <v>289</v>
      </c>
      <c r="V36" s="57" t="s">
        <v>23</v>
      </c>
      <c r="W36" s="57" t="s">
        <v>290</v>
      </c>
      <c r="X36" s="8" t="s">
        <v>277</v>
      </c>
      <c r="Y36" s="8" t="s">
        <v>689</v>
      </c>
      <c r="Z36" s="878" t="s">
        <v>244</v>
      </c>
      <c r="AA36" s="888"/>
    </row>
    <row r="37" spans="1:27" ht="15.75" customHeight="1">
      <c r="A37" s="23"/>
      <c r="B37" s="6">
        <v>4</v>
      </c>
      <c r="C37" s="867"/>
      <c r="D37" s="863"/>
      <c r="E37" s="864"/>
      <c r="F37" s="4"/>
      <c r="G37" s="4"/>
      <c r="H37" s="4"/>
      <c r="I37" s="4"/>
      <c r="J37" s="867"/>
      <c r="K37" s="864"/>
      <c r="M37" s="56" t="s">
        <v>455</v>
      </c>
      <c r="N37" s="24">
        <v>1</v>
      </c>
      <c r="O37" s="866" t="s">
        <v>709</v>
      </c>
      <c r="P37" s="863"/>
      <c r="Q37" s="864"/>
      <c r="R37" s="866" t="s">
        <v>710</v>
      </c>
      <c r="S37" s="863"/>
      <c r="T37" s="864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66" t="s">
        <v>711</v>
      </c>
      <c r="AA37" s="864"/>
    </row>
    <row r="38" spans="1:27" ht="15.75" customHeight="1">
      <c r="A38" s="23"/>
      <c r="B38" s="26">
        <v>5</v>
      </c>
      <c r="C38" s="868"/>
      <c r="D38" s="872"/>
      <c r="E38" s="869"/>
      <c r="F38" s="27"/>
      <c r="G38" s="27"/>
      <c r="H38" s="27"/>
      <c r="I38" s="27"/>
      <c r="J38" s="868"/>
      <c r="K38" s="869"/>
      <c r="M38" s="25"/>
      <c r="N38" s="24">
        <v>2</v>
      </c>
      <c r="O38" s="867"/>
      <c r="P38" s="863"/>
      <c r="Q38" s="864"/>
      <c r="R38" s="867"/>
      <c r="S38" s="863"/>
      <c r="T38" s="864"/>
      <c r="U38" s="4"/>
      <c r="V38" s="14"/>
      <c r="W38" s="4"/>
      <c r="X38" s="16">
        <f t="shared" si="18"/>
        <v>0</v>
      </c>
      <c r="Y38" s="4"/>
      <c r="Z38" s="867"/>
      <c r="AA38" s="864"/>
    </row>
    <row r="39" spans="1:27" ht="14.1">
      <c r="A39" s="23"/>
      <c r="B39" s="69" t="s">
        <v>696</v>
      </c>
      <c r="C39" s="870" t="s">
        <v>712</v>
      </c>
      <c r="D39" s="877"/>
      <c r="E39" s="871"/>
      <c r="F39" s="28">
        <v>7</v>
      </c>
      <c r="G39" s="28">
        <v>2200</v>
      </c>
      <c r="H39" s="28">
        <v>314.29000000000002</v>
      </c>
      <c r="I39" s="28">
        <v>-15</v>
      </c>
      <c r="J39" s="870" t="s">
        <v>713</v>
      </c>
      <c r="K39" s="871"/>
      <c r="M39" s="25"/>
      <c r="N39" s="24">
        <v>3</v>
      </c>
      <c r="O39" s="867"/>
      <c r="P39" s="863"/>
      <c r="Q39" s="864"/>
      <c r="R39" s="867"/>
      <c r="S39" s="863"/>
      <c r="T39" s="864"/>
      <c r="U39" s="4"/>
      <c r="V39" s="14"/>
      <c r="W39" s="4"/>
      <c r="X39" s="16">
        <f t="shared" si="18"/>
        <v>0</v>
      </c>
      <c r="Y39" s="4"/>
      <c r="Z39" s="867"/>
      <c r="AA39" s="864"/>
    </row>
    <row r="40" spans="1:27" ht="14.1">
      <c r="A40" s="23"/>
      <c r="B40" s="70" t="s">
        <v>700</v>
      </c>
      <c r="C40" s="867"/>
      <c r="D40" s="863"/>
      <c r="E40" s="864"/>
      <c r="F40" s="4"/>
      <c r="G40" s="4"/>
      <c r="H40" s="4"/>
      <c r="I40" s="4"/>
      <c r="J40" s="867"/>
      <c r="K40" s="864"/>
      <c r="M40" s="25"/>
      <c r="N40" s="24">
        <v>4</v>
      </c>
      <c r="O40" s="867"/>
      <c r="P40" s="863"/>
      <c r="Q40" s="864"/>
      <c r="R40" s="867"/>
      <c r="S40" s="863"/>
      <c r="T40" s="864"/>
      <c r="U40" s="4"/>
      <c r="V40" s="14"/>
      <c r="W40" s="4"/>
      <c r="X40" s="16">
        <f t="shared" si="18"/>
        <v>0</v>
      </c>
      <c r="Y40" s="4"/>
      <c r="Z40" s="867"/>
      <c r="AA40" s="864"/>
    </row>
    <row r="41" spans="1:27" ht="14.1">
      <c r="A41" s="23"/>
      <c r="B41" s="70" t="s">
        <v>701</v>
      </c>
      <c r="C41" s="867"/>
      <c r="D41" s="863"/>
      <c r="E41" s="864"/>
      <c r="F41" s="4"/>
      <c r="G41" s="4"/>
      <c r="H41" s="4"/>
      <c r="I41" s="4"/>
      <c r="J41" s="867"/>
      <c r="K41" s="864"/>
      <c r="M41" s="25"/>
      <c r="N41" s="29">
        <v>5</v>
      </c>
      <c r="O41" s="868"/>
      <c r="P41" s="872"/>
      <c r="Q41" s="869"/>
      <c r="R41" s="868"/>
      <c r="S41" s="872"/>
      <c r="T41" s="869"/>
      <c r="U41" s="27"/>
      <c r="V41" s="30"/>
      <c r="W41" s="27"/>
      <c r="X41" s="31">
        <f t="shared" si="18"/>
        <v>0</v>
      </c>
      <c r="Y41" s="4"/>
      <c r="Z41" s="867"/>
      <c r="AA41" s="864"/>
    </row>
    <row r="42" spans="1:27" ht="14.1">
      <c r="A42" s="23"/>
      <c r="B42" s="70" t="s">
        <v>705</v>
      </c>
      <c r="C42" s="867"/>
      <c r="D42" s="863"/>
      <c r="E42" s="864"/>
      <c r="F42" s="4"/>
      <c r="G42" s="4"/>
      <c r="H42" s="4"/>
      <c r="I42" s="4"/>
      <c r="J42" s="867"/>
      <c r="K42" s="864"/>
      <c r="M42" s="32"/>
      <c r="N42" s="54"/>
      <c r="O42" s="874"/>
      <c r="P42" s="863"/>
      <c r="Q42" s="863"/>
      <c r="R42" s="874"/>
      <c r="S42" s="863"/>
      <c r="T42" s="863"/>
      <c r="U42" s="59" t="s">
        <v>304</v>
      </c>
      <c r="V42" s="33">
        <f>X42/N19</f>
        <v>5.5555555555555552E-2</v>
      </c>
      <c r="W42" s="59" t="s">
        <v>305</v>
      </c>
      <c r="X42" s="34">
        <f>SUM(X37:X41)</f>
        <v>250</v>
      </c>
      <c r="Y42" s="45"/>
      <c r="Z42" s="874"/>
      <c r="AA42" s="864"/>
    </row>
    <row r="43" spans="1:27" ht="14.1">
      <c r="A43" s="20"/>
      <c r="B43" s="70" t="s">
        <v>706</v>
      </c>
      <c r="C43" s="867"/>
      <c r="D43" s="863"/>
      <c r="E43" s="864"/>
      <c r="F43" s="4"/>
      <c r="G43" s="4"/>
      <c r="H43" s="4"/>
      <c r="I43" s="4"/>
      <c r="J43" s="867"/>
      <c r="K43" s="864"/>
      <c r="M43" s="56" t="s">
        <v>685</v>
      </c>
      <c r="N43" s="24">
        <v>1</v>
      </c>
      <c r="O43" s="866" t="s">
        <v>709</v>
      </c>
      <c r="P43" s="863"/>
      <c r="Q43" s="864"/>
      <c r="R43" s="882" t="s">
        <v>714</v>
      </c>
      <c r="S43" s="883"/>
      <c r="T43" s="88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66" t="s">
        <v>715</v>
      </c>
      <c r="AA43" s="864"/>
    </row>
    <row r="44" spans="1:27" ht="14.1">
      <c r="A44" s="67"/>
      <c r="M44" s="25"/>
      <c r="N44" s="24">
        <v>2</v>
      </c>
      <c r="O44" s="867"/>
      <c r="P44" s="863"/>
      <c r="Q44" s="864"/>
      <c r="R44" s="867"/>
      <c r="S44" s="863"/>
      <c r="T44" s="864"/>
      <c r="U44" s="4"/>
      <c r="V44" s="14"/>
      <c r="W44" s="4"/>
      <c r="X44" s="37">
        <f t="shared" si="19"/>
        <v>0</v>
      </c>
      <c r="Y44" s="4"/>
      <c r="Z44" s="867"/>
      <c r="AA44" s="864"/>
    </row>
    <row r="45" spans="1:27" ht="14.1">
      <c r="A45" s="18"/>
      <c r="B45" s="49" t="s">
        <v>238</v>
      </c>
      <c r="C45" s="865" t="s">
        <v>239</v>
      </c>
      <c r="D45" s="863"/>
      <c r="E45" s="864"/>
      <c r="F45" s="49" t="s">
        <v>240</v>
      </c>
      <c r="G45" s="49" t="s">
        <v>687</v>
      </c>
      <c r="H45" s="49" t="s">
        <v>688</v>
      </c>
      <c r="I45" s="8" t="s">
        <v>689</v>
      </c>
      <c r="J45" s="878" t="s">
        <v>244</v>
      </c>
      <c r="K45" s="864"/>
      <c r="M45" s="25"/>
      <c r="N45" s="24">
        <v>3</v>
      </c>
      <c r="O45" s="867"/>
      <c r="P45" s="863"/>
      <c r="Q45" s="864"/>
      <c r="R45" s="867"/>
      <c r="S45" s="863"/>
      <c r="T45" s="864"/>
      <c r="U45" s="4"/>
      <c r="V45" s="14"/>
      <c r="W45" s="4"/>
      <c r="X45" s="37">
        <f t="shared" si="19"/>
        <v>0</v>
      </c>
      <c r="Y45" s="4"/>
      <c r="Z45" s="867"/>
      <c r="AA45" s="864"/>
    </row>
    <row r="46" spans="1:27" ht="14.1">
      <c r="A46" s="52" t="s">
        <v>672</v>
      </c>
      <c r="B46" s="6">
        <v>1</v>
      </c>
      <c r="C46" s="866" t="s">
        <v>693</v>
      </c>
      <c r="D46" s="863"/>
      <c r="E46" s="864"/>
      <c r="F46" s="4">
        <v>15</v>
      </c>
      <c r="G46" s="4">
        <v>1200</v>
      </c>
      <c r="H46" s="4">
        <v>80</v>
      </c>
      <c r="I46" s="4">
        <v>5</v>
      </c>
      <c r="J46" s="866" t="s">
        <v>716</v>
      </c>
      <c r="K46" s="864"/>
      <c r="M46" s="25"/>
      <c r="N46" s="24">
        <v>4</v>
      </c>
      <c r="O46" s="867"/>
      <c r="P46" s="863"/>
      <c r="Q46" s="864"/>
      <c r="R46" s="867"/>
      <c r="S46" s="863"/>
      <c r="T46" s="864"/>
      <c r="U46" s="4"/>
      <c r="V46" s="14"/>
      <c r="W46" s="4"/>
      <c r="X46" s="37">
        <f t="shared" si="19"/>
        <v>0</v>
      </c>
      <c r="Y46" s="4"/>
      <c r="Z46" s="867"/>
      <c r="AA46" s="864"/>
    </row>
    <row r="47" spans="1:27" ht="14.1">
      <c r="A47" s="23"/>
      <c r="B47" s="6">
        <v>2</v>
      </c>
      <c r="C47" s="867"/>
      <c r="D47" s="863"/>
      <c r="E47" s="864"/>
      <c r="F47" s="4"/>
      <c r="G47" s="4"/>
      <c r="H47" s="4"/>
      <c r="I47" s="4"/>
      <c r="J47" s="867"/>
      <c r="K47" s="864"/>
      <c r="M47" s="25"/>
      <c r="N47" s="29">
        <v>5</v>
      </c>
      <c r="O47" s="867"/>
      <c r="P47" s="863"/>
      <c r="Q47" s="864"/>
      <c r="R47" s="867"/>
      <c r="S47" s="863"/>
      <c r="T47" s="864"/>
      <c r="U47" s="27"/>
      <c r="V47" s="30"/>
      <c r="W47" s="27"/>
      <c r="X47" s="40">
        <f t="shared" si="19"/>
        <v>0</v>
      </c>
      <c r="Y47" s="4"/>
      <c r="Z47" s="867"/>
      <c r="AA47" s="864"/>
    </row>
    <row r="48" spans="1:27" ht="14.1">
      <c r="A48" s="23"/>
      <c r="B48" s="6">
        <v>3</v>
      </c>
      <c r="C48" s="867"/>
      <c r="D48" s="863"/>
      <c r="E48" s="864"/>
      <c r="F48" s="4"/>
      <c r="G48" s="4"/>
      <c r="H48" s="4"/>
      <c r="I48" s="4"/>
      <c r="J48" s="867"/>
      <c r="K48" s="864"/>
      <c r="M48" s="68"/>
      <c r="N48" s="45"/>
      <c r="O48" s="874"/>
      <c r="P48" s="863"/>
      <c r="Q48" s="863"/>
      <c r="R48" s="874"/>
      <c r="S48" s="863"/>
      <c r="T48" s="863"/>
      <c r="U48" s="59" t="s">
        <v>304</v>
      </c>
      <c r="V48" s="33">
        <f>X48/N19</f>
        <v>0.13333333333333333</v>
      </c>
      <c r="W48" s="59" t="s">
        <v>305</v>
      </c>
      <c r="X48" s="34">
        <f>SUM(X43:X47)</f>
        <v>600</v>
      </c>
      <c r="Y48" s="45"/>
      <c r="Z48" s="874"/>
      <c r="AA48" s="864"/>
    </row>
    <row r="49" spans="1:27" ht="14.1">
      <c r="A49" s="23"/>
      <c r="B49" s="6">
        <v>4</v>
      </c>
      <c r="C49" s="867"/>
      <c r="D49" s="863"/>
      <c r="E49" s="864"/>
      <c r="F49" s="4"/>
      <c r="G49" s="4"/>
      <c r="H49" s="4"/>
      <c r="I49" s="4"/>
      <c r="J49" s="867"/>
      <c r="K49" s="86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868"/>
      <c r="D50" s="872"/>
      <c r="E50" s="869"/>
      <c r="F50" s="27"/>
      <c r="G50" s="27"/>
      <c r="H50" s="27"/>
      <c r="I50" s="27"/>
      <c r="J50" s="868"/>
      <c r="K50" s="869"/>
      <c r="M50" s="64" t="s">
        <v>717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696</v>
      </c>
      <c r="C51" s="870" t="s">
        <v>709</v>
      </c>
      <c r="D51" s="877"/>
      <c r="E51" s="871"/>
      <c r="F51" s="28">
        <v>18</v>
      </c>
      <c r="G51" s="28">
        <v>800</v>
      </c>
      <c r="H51" s="28">
        <v>44.44</v>
      </c>
      <c r="I51" s="28">
        <v>-15</v>
      </c>
      <c r="J51" s="870" t="s">
        <v>718</v>
      </c>
      <c r="K51" s="871"/>
      <c r="M51" s="8"/>
      <c r="N51" s="8" t="s">
        <v>451</v>
      </c>
      <c r="O51" s="873" t="s">
        <v>239</v>
      </c>
      <c r="P51" s="874"/>
      <c r="Q51" s="875"/>
      <c r="R51" s="879" t="s">
        <v>288</v>
      </c>
      <c r="S51" s="880"/>
      <c r="T51" s="881"/>
      <c r="U51" s="57" t="s">
        <v>289</v>
      </c>
      <c r="V51" s="39" t="s">
        <v>452</v>
      </c>
      <c r="W51" s="57" t="s">
        <v>453</v>
      </c>
      <c r="X51" s="8" t="s">
        <v>10</v>
      </c>
      <c r="Y51" s="873" t="s">
        <v>454</v>
      </c>
      <c r="Z51" s="874"/>
      <c r="AA51" s="875"/>
    </row>
    <row r="52" spans="1:27" ht="14.1">
      <c r="A52" s="23"/>
      <c r="B52" s="70" t="s">
        <v>700</v>
      </c>
      <c r="C52" s="867"/>
      <c r="D52" s="863"/>
      <c r="E52" s="864"/>
      <c r="F52" s="4"/>
      <c r="G52" s="4"/>
      <c r="H52" s="4"/>
      <c r="I52" s="4"/>
      <c r="J52" s="867"/>
      <c r="K52" s="864"/>
      <c r="M52" s="56" t="s">
        <v>455</v>
      </c>
      <c r="N52" s="24">
        <v>1</v>
      </c>
      <c r="O52" s="866" t="s">
        <v>709</v>
      </c>
      <c r="P52" s="863"/>
      <c r="Q52" s="864"/>
      <c r="R52" s="882" t="s">
        <v>714</v>
      </c>
      <c r="S52" s="883"/>
      <c r="T52" s="88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66" t="s">
        <v>719</v>
      </c>
      <c r="Z52" s="863"/>
      <c r="AA52" s="864"/>
    </row>
    <row r="53" spans="1:27" ht="14.1">
      <c r="A53" s="23"/>
      <c r="B53" s="70" t="s">
        <v>701</v>
      </c>
      <c r="C53" s="867"/>
      <c r="D53" s="863"/>
      <c r="E53" s="864"/>
      <c r="F53" s="4"/>
      <c r="G53" s="4"/>
      <c r="H53" s="4"/>
      <c r="I53" s="4"/>
      <c r="J53" s="867"/>
      <c r="K53" s="864"/>
      <c r="M53" s="25"/>
      <c r="N53" s="29">
        <v>2</v>
      </c>
      <c r="O53" s="868"/>
      <c r="P53" s="872"/>
      <c r="Q53" s="869"/>
      <c r="R53" s="868"/>
      <c r="S53" s="872"/>
      <c r="T53" s="869"/>
      <c r="U53" s="27"/>
      <c r="V53" s="30"/>
      <c r="W53" s="30"/>
      <c r="X53" s="41">
        <f t="shared" si="20"/>
        <v>0</v>
      </c>
      <c r="Y53" s="868"/>
      <c r="Z53" s="872"/>
      <c r="AA53" s="869"/>
    </row>
    <row r="54" spans="1:27" ht="14.1">
      <c r="A54" s="23"/>
      <c r="B54" s="70" t="s">
        <v>705</v>
      </c>
      <c r="C54" s="867"/>
      <c r="D54" s="863"/>
      <c r="E54" s="864"/>
      <c r="F54" s="4"/>
      <c r="G54" s="4"/>
      <c r="H54" s="4"/>
      <c r="I54" s="4"/>
      <c r="J54" s="867"/>
      <c r="K54" s="864"/>
      <c r="M54" s="56" t="s">
        <v>685</v>
      </c>
      <c r="N54" s="42">
        <v>1</v>
      </c>
      <c r="O54" s="870" t="s">
        <v>720</v>
      </c>
      <c r="P54" s="877"/>
      <c r="Q54" s="871"/>
      <c r="R54" s="870" t="s">
        <v>721</v>
      </c>
      <c r="S54" s="877"/>
      <c r="T54" s="87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0" t="s">
        <v>722</v>
      </c>
      <c r="Z54" s="877"/>
      <c r="AA54" s="871"/>
    </row>
    <row r="55" spans="1:27" ht="14.1">
      <c r="A55" s="20"/>
      <c r="B55" s="70" t="s">
        <v>706</v>
      </c>
      <c r="C55" s="867"/>
      <c r="D55" s="863"/>
      <c r="E55" s="864"/>
      <c r="F55" s="4"/>
      <c r="G55" s="4"/>
      <c r="H55" s="4"/>
      <c r="I55" s="4"/>
      <c r="J55" s="867"/>
      <c r="K55" s="864"/>
      <c r="M55" s="22"/>
      <c r="N55" s="24">
        <v>2</v>
      </c>
      <c r="O55" s="867"/>
      <c r="P55" s="863"/>
      <c r="Q55" s="864"/>
      <c r="R55" s="867"/>
      <c r="S55" s="863"/>
      <c r="T55" s="864"/>
      <c r="U55" s="4"/>
      <c r="V55" s="14"/>
      <c r="W55" s="14"/>
      <c r="X55" s="13">
        <f t="shared" si="20"/>
        <v>0</v>
      </c>
      <c r="Y55" s="867"/>
      <c r="Z55" s="863"/>
      <c r="AA55" s="864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1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6">
      <c r="B2" s="889" t="s">
        <v>723</v>
      </c>
      <c r="C2" s="889"/>
      <c r="D2" s="889"/>
      <c r="E2" s="889"/>
      <c r="F2" s="889"/>
    </row>
    <row r="3" spans="2:7" ht="14.45">
      <c r="B3" s="150" t="s">
        <v>724</v>
      </c>
      <c r="C3" s="150" t="s">
        <v>725</v>
      </c>
      <c r="D3" s="151"/>
      <c r="E3" s="150" t="s">
        <v>726</v>
      </c>
      <c r="F3" s="150" t="s">
        <v>727</v>
      </c>
      <c r="G3" s="151"/>
    </row>
    <row r="4" spans="2:7" ht="14.45">
      <c r="B4" s="152" t="s">
        <v>728</v>
      </c>
      <c r="C4" s="152" t="s">
        <v>729</v>
      </c>
      <c r="D4" s="151"/>
      <c r="E4" s="152" t="s">
        <v>730</v>
      </c>
      <c r="F4" s="152" t="s">
        <v>731</v>
      </c>
      <c r="G4" s="151"/>
    </row>
    <row r="5" spans="2:7" ht="14.45">
      <c r="B5" s="152" t="s">
        <v>732</v>
      </c>
      <c r="C5" s="152" t="s">
        <v>733</v>
      </c>
      <c r="D5" s="151"/>
      <c r="E5" s="152" t="s">
        <v>734</v>
      </c>
      <c r="F5" s="152" t="s">
        <v>735</v>
      </c>
      <c r="G5" s="151"/>
    </row>
    <row r="6" spans="2:7" ht="14.45">
      <c r="B6" s="152" t="s">
        <v>736</v>
      </c>
      <c r="C6" s="152" t="s">
        <v>737</v>
      </c>
      <c r="D6" s="151"/>
      <c r="E6" s="153" t="s">
        <v>738</v>
      </c>
      <c r="F6" s="153" t="s">
        <v>739</v>
      </c>
      <c r="G6" s="151"/>
    </row>
    <row r="7" spans="2:7" ht="14.45">
      <c r="B7" s="153" t="s">
        <v>740</v>
      </c>
      <c r="C7" s="153" t="s">
        <v>741</v>
      </c>
      <c r="D7" s="151"/>
      <c r="E7" s="152" t="s">
        <v>742</v>
      </c>
      <c r="F7" s="152" t="s">
        <v>743</v>
      </c>
      <c r="G7" s="151"/>
    </row>
    <row r="8" spans="2:7" ht="14.45">
      <c r="B8" s="152" t="s">
        <v>744</v>
      </c>
      <c r="C8" s="152" t="s">
        <v>745</v>
      </c>
      <c r="D8" s="151"/>
      <c r="E8" s="152" t="s">
        <v>746</v>
      </c>
      <c r="F8" s="152" t="s">
        <v>747</v>
      </c>
      <c r="G8" s="151"/>
    </row>
    <row r="9" spans="2:7" ht="14.45">
      <c r="B9" s="152" t="s">
        <v>748</v>
      </c>
      <c r="C9" s="152" t="s">
        <v>749</v>
      </c>
      <c r="D9" s="151"/>
      <c r="E9" s="153" t="s">
        <v>750</v>
      </c>
      <c r="F9" s="153" t="s">
        <v>751</v>
      </c>
      <c r="G9" s="151"/>
    </row>
    <row r="10" spans="2:7" ht="14.45">
      <c r="B10" s="152" t="s">
        <v>752</v>
      </c>
      <c r="C10" s="152" t="s">
        <v>753</v>
      </c>
      <c r="D10" s="151"/>
      <c r="E10" s="152" t="s">
        <v>754</v>
      </c>
      <c r="F10" s="152" t="s">
        <v>755</v>
      </c>
      <c r="G10" s="151"/>
    </row>
    <row r="11" spans="2:7" ht="14.45">
      <c r="B11" s="152" t="s">
        <v>756</v>
      </c>
      <c r="C11" s="152" t="s">
        <v>757</v>
      </c>
      <c r="D11" s="151"/>
      <c r="E11" s="152" t="s">
        <v>758</v>
      </c>
      <c r="F11" s="152" t="s">
        <v>747</v>
      </c>
      <c r="G11" s="151"/>
    </row>
    <row r="12" spans="2:7" ht="14.45">
      <c r="B12" s="152" t="s">
        <v>759</v>
      </c>
      <c r="C12" s="152" t="s">
        <v>760</v>
      </c>
      <c r="D12" s="151"/>
      <c r="E12" s="152" t="s">
        <v>761</v>
      </c>
      <c r="F12" s="152" t="s">
        <v>762</v>
      </c>
      <c r="G12" s="151"/>
    </row>
    <row r="13" spans="2:7" ht="14.45">
      <c r="B13" s="153" t="s">
        <v>763</v>
      </c>
      <c r="C13" s="153" t="s">
        <v>234</v>
      </c>
      <c r="D13" s="151"/>
      <c r="E13" s="152" t="s">
        <v>764</v>
      </c>
      <c r="F13" s="152" t="s">
        <v>765</v>
      </c>
      <c r="G13" s="151"/>
    </row>
    <row r="14" spans="2:7" ht="14.45">
      <c r="B14" s="152" t="s">
        <v>766</v>
      </c>
      <c r="C14" s="152" t="s">
        <v>767</v>
      </c>
      <c r="D14" s="151"/>
      <c r="E14" s="153" t="s">
        <v>768</v>
      </c>
      <c r="F14" s="153" t="s">
        <v>769</v>
      </c>
      <c r="G14" s="151"/>
    </row>
    <row r="15" spans="2:7" ht="14.45">
      <c r="B15" s="153" t="s">
        <v>770</v>
      </c>
      <c r="C15" s="153" t="s">
        <v>771</v>
      </c>
      <c r="D15" s="151"/>
      <c r="E15" s="152" t="s">
        <v>772</v>
      </c>
      <c r="F15" s="152" t="s">
        <v>769</v>
      </c>
      <c r="G15" s="151"/>
    </row>
    <row r="16" spans="2:7" ht="14.45">
      <c r="B16" s="152" t="s">
        <v>773</v>
      </c>
      <c r="C16" s="152" t="s">
        <v>774</v>
      </c>
      <c r="D16" s="151"/>
      <c r="E16" s="153" t="s">
        <v>775</v>
      </c>
      <c r="F16" s="153" t="s">
        <v>776</v>
      </c>
      <c r="G16" s="151"/>
    </row>
    <row r="17" spans="2:7" ht="14.45">
      <c r="B17" s="152" t="s">
        <v>777</v>
      </c>
      <c r="C17" s="152" t="s">
        <v>778</v>
      </c>
      <c r="D17" s="151"/>
      <c r="E17" s="152" t="s">
        <v>779</v>
      </c>
      <c r="F17" s="152" t="s">
        <v>780</v>
      </c>
      <c r="G17" s="151"/>
    </row>
    <row r="18" spans="2:7" ht="14.45">
      <c r="B18" s="152" t="s">
        <v>781</v>
      </c>
      <c r="C18" s="152" t="s">
        <v>782</v>
      </c>
      <c r="D18" s="151"/>
      <c r="E18" s="152" t="s">
        <v>783</v>
      </c>
      <c r="F18" s="152" t="s">
        <v>784</v>
      </c>
      <c r="G18" s="151"/>
    </row>
    <row r="19" spans="2:7" ht="14.45">
      <c r="B19" s="152" t="s">
        <v>785</v>
      </c>
      <c r="C19" s="152" t="s">
        <v>786</v>
      </c>
      <c r="D19" s="151"/>
      <c r="E19" s="152" t="s">
        <v>787</v>
      </c>
      <c r="F19" s="152" t="s">
        <v>788</v>
      </c>
      <c r="G19" s="151"/>
    </row>
    <row r="20" spans="2:7" ht="14.45">
      <c r="B20" s="152" t="s">
        <v>789</v>
      </c>
      <c r="C20" s="152" t="s">
        <v>790</v>
      </c>
      <c r="D20" s="151"/>
      <c r="G20" s="151"/>
    </row>
    <row r="21" spans="2:7" ht="14.45">
      <c r="D21" s="151"/>
      <c r="G21" s="151"/>
    </row>
    <row r="22" spans="2:7" ht="14.45">
      <c r="D22" s="151"/>
      <c r="G22" s="151"/>
    </row>
    <row r="23" spans="2:7" ht="14.4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3:B10"/>
  <sheetViews>
    <sheetView workbookViewId="0">
      <selection activeCell="E23" sqref="E23"/>
    </sheetView>
  </sheetViews>
  <sheetFormatPr defaultRowHeight="12.6"/>
  <sheetData>
    <row r="3" spans="1:2" ht="14.1">
      <c r="A3">
        <v>1</v>
      </c>
      <c r="B3" s="149" t="s">
        <v>791</v>
      </c>
    </row>
    <row r="4" spans="1:2" ht="14.1">
      <c r="A4">
        <v>2</v>
      </c>
      <c r="B4" s="149" t="s">
        <v>510</v>
      </c>
    </row>
    <row r="5" spans="1:2" ht="14.1">
      <c r="A5">
        <v>3</v>
      </c>
      <c r="B5" s="149" t="s">
        <v>511</v>
      </c>
    </row>
    <row r="6" spans="1:2" ht="14.1">
      <c r="A6">
        <v>4</v>
      </c>
      <c r="B6" s="149" t="s">
        <v>792</v>
      </c>
    </row>
    <row r="7" spans="1:2" ht="14.1">
      <c r="A7">
        <v>5</v>
      </c>
      <c r="B7" s="149" t="s">
        <v>318</v>
      </c>
    </row>
    <row r="8" spans="1:2" ht="14.1">
      <c r="A8">
        <v>6</v>
      </c>
      <c r="B8" s="149" t="s">
        <v>321</v>
      </c>
    </row>
    <row r="9" spans="1:2" ht="14.1">
      <c r="A9">
        <v>7</v>
      </c>
      <c r="B9" s="149" t="s">
        <v>512</v>
      </c>
    </row>
    <row r="10" spans="1:2" ht="14.1">
      <c r="A10">
        <v>8</v>
      </c>
      <c r="B10" s="149" t="s">
        <v>793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17f4fe-1359-4419-afdf-e2560bdfb30b">
      <Terms xmlns="http://schemas.microsoft.com/office/infopath/2007/PartnerControls"/>
    </lcf76f155ced4ddcb4097134ff3c332f>
    <TaxCatchAll xmlns="85de06e7-71af-4d71-a190-84eae70d6c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F18359-D2FB-450D-8740-4C754D771A2E}"/>
</file>

<file path=customXml/itemProps2.xml><?xml version="1.0" encoding="utf-8"?>
<ds:datastoreItem xmlns:ds="http://schemas.openxmlformats.org/officeDocument/2006/customXml" ds:itemID="{13619DD7-3E2D-43AB-BD12-C3DE8A10CB18}"/>
</file>

<file path=customXml/itemProps3.xml><?xml version="1.0" encoding="utf-8"?>
<ds:datastoreItem xmlns:ds="http://schemas.openxmlformats.org/officeDocument/2006/customXml" ds:itemID="{D0BB8606-D7A9-49C7-BE8E-3B8EAFF4C3EE}"/>
</file>

<file path=customXml/itemProps4.xml><?xml version="1.0" encoding="utf-8"?>
<ds:datastoreItem xmlns:ds="http://schemas.openxmlformats.org/officeDocument/2006/customXml" ds:itemID="{A0B2DA9C-08E9-4B32-B6A9-958F236FC2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2026-04-08T00:48:55Z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0x010100FDA62899FCF77541A2830A96A559C8DA</vt:lpwstr>
  </property>
</Properties>
</file>