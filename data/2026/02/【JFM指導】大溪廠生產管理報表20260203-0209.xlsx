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6-3'!$A$1:$L$54</definedName>
    <definedName name="_xlnm.Print_Area" localSheetId="18">'生產管理報表 6-4'!$A$1:$L$262</definedName>
    <definedName name="_xlnm.Print_Area" localSheetId="19">'生產管理報表 6-5'!$A$1:$L$54</definedName>
    <definedName name="_xlnm.Print_Area" localSheetId="25">'生產管理報表 7-1 (週)'!$A$1:$M$59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8-6(週報廢)'!$A$1:$P$110</definedName>
    <definedName name="_xlnm.Print_Area" localSheetId="28">'生產管理報表 8-7(週超用)'!$A$1:$Q$30</definedName>
    <definedName name="_xlnm.Print_Area" localSheetId="29">'生產管理報表 8-8(週超用) '!$A$1:$P$142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39" l="1"/>
  <c r="D28" i="39"/>
  <c r="H23" i="39"/>
  <c r="H22" i="39"/>
  <c r="H21" i="39"/>
  <c r="H20" i="39"/>
  <c r="H19" i="39"/>
  <c r="H18" i="39"/>
  <c r="H17" i="39"/>
  <c r="H16" i="39"/>
  <c r="H15" i="39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N11" i="56" l="1"/>
  <c r="M11" i="56"/>
  <c r="B16" i="41" l="1"/>
  <c r="I10" i="41"/>
  <c r="I9" i="41"/>
  <c r="J36" i="25"/>
  <c r="J35" i="25"/>
  <c r="J34" i="25"/>
  <c r="J48" i="24"/>
  <c r="J47" i="24"/>
  <c r="J46" i="24"/>
  <c r="J45" i="24"/>
  <c r="J34" i="24"/>
  <c r="J51" i="23"/>
  <c r="J49" i="23"/>
  <c r="J48" i="23"/>
  <c r="J47" i="23"/>
  <c r="J46" i="23"/>
  <c r="J45" i="23"/>
  <c r="J53" i="23"/>
  <c r="J52" i="23"/>
  <c r="J50" i="23"/>
  <c r="J34" i="23"/>
  <c r="J35" i="23"/>
  <c r="J36" i="23"/>
  <c r="J37" i="23"/>
  <c r="J38" i="23"/>
  <c r="J39" i="23"/>
  <c r="J41" i="23"/>
  <c r="J40" i="23"/>
  <c r="J36" i="22"/>
  <c r="J35" i="22"/>
  <c r="J34" i="22"/>
  <c r="J36" i="15" l="1"/>
  <c r="J53" i="15"/>
  <c r="J52" i="15"/>
  <c r="J51" i="15"/>
  <c r="J50" i="15"/>
  <c r="J49" i="15"/>
  <c r="J48" i="15"/>
  <c r="J47" i="15"/>
  <c r="J46" i="15"/>
  <c r="J45" i="15"/>
  <c r="J42" i="15"/>
  <c r="J41" i="15"/>
  <c r="J40" i="15"/>
  <c r="J39" i="15"/>
  <c r="J37" i="15"/>
  <c r="J35" i="15"/>
  <c r="J34" i="15"/>
  <c r="AW28" i="52" l="1"/>
  <c r="AW27" i="52"/>
  <c r="AR29" i="52"/>
  <c r="AR28" i="52"/>
  <c r="AR27" i="52"/>
  <c r="AM29" i="52"/>
  <c r="AM28" i="52"/>
  <c r="AM27" i="52"/>
  <c r="AH29" i="52"/>
  <c r="AH28" i="52"/>
  <c r="AH27" i="52"/>
  <c r="AC29" i="52"/>
  <c r="AC28" i="52"/>
  <c r="AC27" i="52"/>
  <c r="X29" i="52"/>
  <c r="X28" i="52"/>
  <c r="X27" i="52"/>
  <c r="S28" i="52"/>
  <c r="S29" i="52"/>
  <c r="S27" i="52"/>
  <c r="M28" i="52"/>
  <c r="M29" i="52"/>
  <c r="M27" i="52"/>
  <c r="AQ29" i="52"/>
  <c r="AL29" i="52"/>
  <c r="AG29" i="52"/>
  <c r="AB29" i="52"/>
  <c r="W29" i="52"/>
  <c r="R29" i="52"/>
  <c r="K29" i="52"/>
  <c r="J29" i="52"/>
  <c r="I29" i="52"/>
  <c r="G29" i="52"/>
  <c r="AV28" i="52"/>
  <c r="AQ28" i="52"/>
  <c r="AL28" i="52"/>
  <c r="AG28" i="52"/>
  <c r="AB28" i="52"/>
  <c r="W28" i="52"/>
  <c r="R28" i="52"/>
  <c r="T27" i="52" s="1"/>
  <c r="J28" i="52"/>
  <c r="I28" i="52"/>
  <c r="G28" i="52"/>
  <c r="AX27" i="52"/>
  <c r="AV27" i="52"/>
  <c r="AQ27" i="52"/>
  <c r="AL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R30" i="51"/>
  <c r="AR29" i="51"/>
  <c r="AR27" i="51"/>
  <c r="AM30" i="51"/>
  <c r="AM29" i="51"/>
  <c r="AM27" i="51"/>
  <c r="AH30" i="51"/>
  <c r="AH29" i="51"/>
  <c r="AH28" i="51"/>
  <c r="AH27" i="51"/>
  <c r="AC30" i="51"/>
  <c r="AC29" i="51"/>
  <c r="AC28" i="51"/>
  <c r="AC27" i="51"/>
  <c r="X30" i="51"/>
  <c r="X29" i="51"/>
  <c r="X28" i="51"/>
  <c r="X27" i="51"/>
  <c r="S28" i="51"/>
  <c r="S29" i="51"/>
  <c r="S30" i="51"/>
  <c r="S27" i="51"/>
  <c r="M28" i="51"/>
  <c r="M29" i="51"/>
  <c r="M30" i="51"/>
  <c r="M27" i="51"/>
  <c r="AV30" i="51"/>
  <c r="AW30" i="51" s="1"/>
  <c r="AQ30" i="51"/>
  <c r="AL30" i="51"/>
  <c r="AG30" i="51"/>
  <c r="AB30" i="51"/>
  <c r="W30" i="51"/>
  <c r="R30" i="51"/>
  <c r="K30" i="51"/>
  <c r="J30" i="51"/>
  <c r="I30" i="51"/>
  <c r="G30" i="51"/>
  <c r="AW29" i="51"/>
  <c r="AV29" i="51"/>
  <c r="AQ29" i="51"/>
  <c r="AL29" i="51"/>
  <c r="AG29" i="51"/>
  <c r="AB29" i="51"/>
  <c r="W29" i="51"/>
  <c r="R29" i="51"/>
  <c r="K29" i="51"/>
  <c r="J29" i="51"/>
  <c r="I29" i="51"/>
  <c r="G29" i="51"/>
  <c r="AG28" i="51"/>
  <c r="K28" i="51" s="1"/>
  <c r="AB28" i="51"/>
  <c r="W28" i="51"/>
  <c r="R28" i="51"/>
  <c r="J28" i="51"/>
  <c r="I28" i="51"/>
  <c r="G28" i="51"/>
  <c r="AW27" i="51"/>
  <c r="AV27" i="51"/>
  <c r="AX27" i="51" s="1"/>
  <c r="AQ27" i="51"/>
  <c r="AS27" i="51" s="1"/>
  <c r="AL27" i="51"/>
  <c r="K27" i="51" s="1"/>
  <c r="AG27" i="51"/>
  <c r="AI27" i="51" s="1"/>
  <c r="AB27" i="51"/>
  <c r="AD27" i="51" s="1"/>
  <c r="W27" i="51"/>
  <c r="Y27" i="51" s="1"/>
  <c r="R27" i="51"/>
  <c r="T27" i="51" s="1"/>
  <c r="J27" i="51"/>
  <c r="I27" i="51"/>
  <c r="G27" i="51"/>
  <c r="H27" i="51" s="1"/>
  <c r="AW27" i="50"/>
  <c r="AR27" i="50"/>
  <c r="AM27" i="50"/>
  <c r="AH27" i="50"/>
  <c r="AC27" i="50"/>
  <c r="X27" i="50"/>
  <c r="S27" i="50"/>
  <c r="M27" i="50"/>
  <c r="AV27" i="50"/>
  <c r="AX27" i="50" s="1"/>
  <c r="AS27" i="50"/>
  <c r="AQ27" i="50"/>
  <c r="AL27" i="50"/>
  <c r="AN27" i="50" s="1"/>
  <c r="AG27" i="50"/>
  <c r="AI27" i="50" s="1"/>
  <c r="AB27" i="50"/>
  <c r="AD27" i="50" s="1"/>
  <c r="W27" i="50"/>
  <c r="Y27" i="50" s="1"/>
  <c r="R27" i="50"/>
  <c r="T27" i="50" s="1"/>
  <c r="K27" i="50"/>
  <c r="J27" i="50"/>
  <c r="I27" i="50"/>
  <c r="G27" i="50"/>
  <c r="H27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K34" i="49" s="1"/>
  <c r="AQ34" i="49"/>
  <c r="AL34" i="49"/>
  <c r="AG34" i="49"/>
  <c r="AB34" i="49"/>
  <c r="W34" i="49"/>
  <c r="R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AQ32" i="49"/>
  <c r="K32" i="49" s="1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N27" i="49" s="1"/>
  <c r="AG29" i="49"/>
  <c r="AB29" i="49"/>
  <c r="W29" i="49"/>
  <c r="R29" i="49"/>
  <c r="J29" i="49"/>
  <c r="I29" i="49"/>
  <c r="G29" i="49"/>
  <c r="AV28" i="49"/>
  <c r="AQ28" i="49"/>
  <c r="AL28" i="49"/>
  <c r="AG28" i="49"/>
  <c r="AI27" i="49" s="1"/>
  <c r="AB28" i="49"/>
  <c r="W28" i="49"/>
  <c r="R28" i="49"/>
  <c r="J28" i="49"/>
  <c r="I28" i="49"/>
  <c r="G28" i="49"/>
  <c r="AV27" i="49"/>
  <c r="AX27" i="49" s="1"/>
  <c r="AQ27" i="49"/>
  <c r="AL27" i="49"/>
  <c r="K27" i="49" s="1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34" i="48"/>
  <c r="S33" i="48"/>
  <c r="S32" i="48"/>
  <c r="S31" i="48"/>
  <c r="S30" i="48"/>
  <c r="S29" i="48"/>
  <c r="S28" i="48"/>
  <c r="S27" i="48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28" i="48"/>
  <c r="AM29" i="48"/>
  <c r="AM30" i="48"/>
  <c r="AM31" i="48"/>
  <c r="AM32" i="48"/>
  <c r="AM33" i="48"/>
  <c r="AM34" i="48"/>
  <c r="AM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K32" i="48" s="1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Y27" i="48" s="1"/>
  <c r="R27" i="48"/>
  <c r="T27" i="48" s="1"/>
  <c r="J27" i="48"/>
  <c r="I27" i="48"/>
  <c r="H27" i="48"/>
  <c r="G27" i="48"/>
  <c r="AH27" i="47"/>
  <c r="AC27" i="47"/>
  <c r="X27" i="47"/>
  <c r="S27" i="47"/>
  <c r="AW27" i="47"/>
  <c r="AR27" i="47"/>
  <c r="AM27" i="47"/>
  <c r="M27" i="47"/>
  <c r="AV27" i="47"/>
  <c r="AX27" i="47" s="1"/>
  <c r="AQ27" i="47"/>
  <c r="AS27" i="47" s="1"/>
  <c r="AL27" i="47"/>
  <c r="AN27" i="47" s="1"/>
  <c r="AG27" i="47"/>
  <c r="AI27" i="47" s="1"/>
  <c r="AB27" i="47"/>
  <c r="K27" i="47" s="1"/>
  <c r="W27" i="47"/>
  <c r="Y27" i="47" s="1"/>
  <c r="T27" i="47"/>
  <c r="R27" i="47"/>
  <c r="J27" i="47"/>
  <c r="I27" i="47"/>
  <c r="G27" i="47"/>
  <c r="H27" i="47" s="1"/>
  <c r="AW27" i="46"/>
  <c r="AR27" i="46"/>
  <c r="AM28" i="46"/>
  <c r="AM27" i="46"/>
  <c r="AH28" i="46"/>
  <c r="AH27" i="46"/>
  <c r="AC28" i="46"/>
  <c r="AC27" i="46"/>
  <c r="X29" i="46"/>
  <c r="X28" i="46"/>
  <c r="X27" i="46"/>
  <c r="S28" i="46"/>
  <c r="S29" i="46"/>
  <c r="S27" i="46"/>
  <c r="M28" i="46"/>
  <c r="M29" i="46"/>
  <c r="M27" i="46"/>
  <c r="W29" i="46"/>
  <c r="R29" i="46"/>
  <c r="K29" i="46"/>
  <c r="J29" i="46"/>
  <c r="I29" i="46"/>
  <c r="G29" i="46"/>
  <c r="AL28" i="46"/>
  <c r="AG28" i="46"/>
  <c r="AB28" i="46"/>
  <c r="W28" i="46"/>
  <c r="R28" i="46"/>
  <c r="K28" i="46"/>
  <c r="J28" i="46"/>
  <c r="I28" i="46"/>
  <c r="G28" i="46"/>
  <c r="AV27" i="46"/>
  <c r="AX27" i="46" s="1"/>
  <c r="AQ27" i="46"/>
  <c r="AS27" i="46" s="1"/>
  <c r="AL27" i="46"/>
  <c r="AG27" i="46"/>
  <c r="AI27" i="46" s="1"/>
  <c r="AB27" i="46"/>
  <c r="K27" i="46" s="1"/>
  <c r="Y27" i="46"/>
  <c r="W27" i="46"/>
  <c r="R27" i="46"/>
  <c r="T27" i="46" s="1"/>
  <c r="J27" i="46"/>
  <c r="I27" i="46"/>
  <c r="G27" i="46"/>
  <c r="H27" i="46" s="1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35" i="45"/>
  <c r="S34" i="45"/>
  <c r="S33" i="45"/>
  <c r="S32" i="45"/>
  <c r="S31" i="45"/>
  <c r="S30" i="45"/>
  <c r="S29" i="45"/>
  <c r="S28" i="45"/>
  <c r="S27" i="45"/>
  <c r="AM28" i="45"/>
  <c r="AM29" i="45"/>
  <c r="AM30" i="45"/>
  <c r="AM31" i="45"/>
  <c r="AM32" i="45"/>
  <c r="AM33" i="45"/>
  <c r="AM34" i="45"/>
  <c r="AM35" i="45"/>
  <c r="AM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I27" i="45" s="1"/>
  <c r="AB35" i="45"/>
  <c r="W35" i="45"/>
  <c r="R35" i="45"/>
  <c r="K35" i="45"/>
  <c r="J35" i="45"/>
  <c r="I35" i="45"/>
  <c r="G35" i="45"/>
  <c r="AV34" i="45"/>
  <c r="AQ34" i="45"/>
  <c r="AL34" i="45"/>
  <c r="AG34" i="45"/>
  <c r="AB34" i="45"/>
  <c r="W34" i="45"/>
  <c r="R34" i="45"/>
  <c r="K34" i="45"/>
  <c r="J34" i="45"/>
  <c r="I34" i="45"/>
  <c r="G34" i="45"/>
  <c r="AV33" i="45"/>
  <c r="K33" i="45" s="1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N27" i="45" s="1"/>
  <c r="AG29" i="45"/>
  <c r="AB29" i="45"/>
  <c r="W29" i="45"/>
  <c r="R29" i="45"/>
  <c r="J29" i="45"/>
  <c r="I29" i="45"/>
  <c r="G29" i="45"/>
  <c r="AV28" i="45"/>
  <c r="AQ28" i="45"/>
  <c r="AL28" i="45"/>
  <c r="K28" i="45" s="1"/>
  <c r="AG28" i="45"/>
  <c r="AB28" i="45"/>
  <c r="W28" i="45"/>
  <c r="R28" i="45"/>
  <c r="J28" i="45"/>
  <c r="I28" i="45"/>
  <c r="G28" i="45"/>
  <c r="AV27" i="45"/>
  <c r="AQ27" i="45"/>
  <c r="K27" i="45" s="1"/>
  <c r="AL27" i="45"/>
  <c r="AG27" i="45"/>
  <c r="AB27" i="45"/>
  <c r="AD27" i="45" s="1"/>
  <c r="W27" i="45"/>
  <c r="R27" i="45"/>
  <c r="J27" i="45"/>
  <c r="I27" i="45"/>
  <c r="G27" i="45"/>
  <c r="H27" i="45" s="1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45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K71" i="44" s="1"/>
  <c r="AQ71" i="44"/>
  <c r="AL71" i="44"/>
  <c r="AG71" i="44"/>
  <c r="AB71" i="44"/>
  <c r="W71" i="44"/>
  <c r="R71" i="44"/>
  <c r="J71" i="44"/>
  <c r="I71" i="44"/>
  <c r="G71" i="44"/>
  <c r="AV70" i="44"/>
  <c r="K70" i="44" s="1"/>
  <c r="AQ70" i="44"/>
  <c r="AL70" i="44"/>
  <c r="AG70" i="44"/>
  <c r="AB70" i="44"/>
  <c r="W70" i="44"/>
  <c r="R70" i="44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K65" i="44" s="1"/>
  <c r="AB65" i="44"/>
  <c r="W65" i="44"/>
  <c r="R65" i="44"/>
  <c r="J65" i="44"/>
  <c r="I65" i="44"/>
  <c r="G65" i="44"/>
  <c r="AV64" i="44"/>
  <c r="AQ64" i="44"/>
  <c r="AL64" i="44"/>
  <c r="AG64" i="44"/>
  <c r="K64" i="44" s="1"/>
  <c r="AB64" i="44"/>
  <c r="W64" i="44"/>
  <c r="R64" i="44"/>
  <c r="J64" i="44"/>
  <c r="I64" i="44"/>
  <c r="G64" i="44"/>
  <c r="AV63" i="44"/>
  <c r="AQ63" i="44"/>
  <c r="AL63" i="44"/>
  <c r="AG63" i="44"/>
  <c r="AB63" i="44"/>
  <c r="K63" i="44" s="1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K60" i="44" s="1"/>
  <c r="R60" i="44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 s="1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K50" i="44" s="1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N45" i="44" s="1"/>
  <c r="AG46" i="44"/>
  <c r="AB46" i="44"/>
  <c r="W46" i="44"/>
  <c r="R46" i="44"/>
  <c r="J46" i="44"/>
  <c r="I46" i="44"/>
  <c r="G46" i="44"/>
  <c r="AV45" i="44"/>
  <c r="AS45" i="44"/>
  <c r="AQ45" i="44"/>
  <c r="AL45" i="44"/>
  <c r="AG45" i="44"/>
  <c r="AB45" i="44"/>
  <c r="W45" i="44"/>
  <c r="R45" i="44"/>
  <c r="J45" i="44"/>
  <c r="I45" i="44"/>
  <c r="G45" i="44"/>
  <c r="H45" i="44" s="1"/>
  <c r="P78" i="44"/>
  <c r="U78" i="44" s="1"/>
  <c r="B14" i="6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C20" i="7"/>
  <c r="AD20" i="7" s="1"/>
  <c r="S20" i="7"/>
  <c r="T20" i="7" s="1"/>
  <c r="M20" i="7"/>
  <c r="N20" i="7" s="1"/>
  <c r="F20" i="7"/>
  <c r="AL20" i="7" s="1"/>
  <c r="AC19" i="7"/>
  <c r="AD19" i="7" s="1"/>
  <c r="S19" i="7"/>
  <c r="T19" i="7" s="1"/>
  <c r="M19" i="7"/>
  <c r="N19" i="7" s="1"/>
  <c r="F19" i="7"/>
  <c r="AL19" i="7" s="1"/>
  <c r="AC18" i="7"/>
  <c r="AD18" i="7" s="1"/>
  <c r="S18" i="7"/>
  <c r="T18" i="7" s="1"/>
  <c r="M18" i="7"/>
  <c r="N18" i="7" s="1"/>
  <c r="F18" i="7"/>
  <c r="AL18" i="7" s="1"/>
  <c r="AC17" i="7"/>
  <c r="AD17" i="7" s="1"/>
  <c r="S17" i="7"/>
  <c r="T17" i="7" s="1"/>
  <c r="M17" i="7"/>
  <c r="N17" i="7" s="1"/>
  <c r="F17" i="7"/>
  <c r="AL17" i="7" s="1"/>
  <c r="AC16" i="7"/>
  <c r="AD16" i="7" s="1"/>
  <c r="S16" i="7"/>
  <c r="T16" i="7" s="1"/>
  <c r="M16" i="7"/>
  <c r="N16" i="7" s="1"/>
  <c r="F16" i="7"/>
  <c r="AL16" i="7" s="1"/>
  <c r="AC15" i="7"/>
  <c r="AD15" i="7" s="1"/>
  <c r="S15" i="7"/>
  <c r="T15" i="7" s="1"/>
  <c r="M15" i="7"/>
  <c r="N15" i="7" s="1"/>
  <c r="F15" i="7"/>
  <c r="AL15" i="7" s="1"/>
  <c r="AC14" i="7"/>
  <c r="AD14" i="7" s="1"/>
  <c r="S14" i="7"/>
  <c r="T14" i="7" s="1"/>
  <c r="M14" i="7"/>
  <c r="N14" i="7" s="1"/>
  <c r="F14" i="7"/>
  <c r="AL14" i="7" s="1"/>
  <c r="AS27" i="52" l="1"/>
  <c r="AN27" i="52"/>
  <c r="K28" i="52"/>
  <c r="AI27" i="52"/>
  <c r="L27" i="51"/>
  <c r="AN27" i="51"/>
  <c r="L27" i="50"/>
  <c r="AS27" i="49"/>
  <c r="K31" i="49"/>
  <c r="K30" i="49"/>
  <c r="K29" i="49"/>
  <c r="K28" i="49"/>
  <c r="AS27" i="48"/>
  <c r="K28" i="48"/>
  <c r="L27" i="47"/>
  <c r="AD27" i="47"/>
  <c r="L27" i="46"/>
  <c r="AD27" i="46"/>
  <c r="AN27" i="46"/>
  <c r="AS27" i="45"/>
  <c r="AX27" i="45"/>
  <c r="K29" i="45"/>
  <c r="Y27" i="45"/>
  <c r="T27" i="45"/>
  <c r="K30" i="45"/>
  <c r="AX45" i="44"/>
  <c r="T45" i="44"/>
  <c r="K45" i="44"/>
  <c r="AD45" i="44"/>
  <c r="Y45" i="44"/>
  <c r="K62" i="44"/>
  <c r="K51" i="44"/>
  <c r="K49" i="44"/>
  <c r="K69" i="44"/>
  <c r="K48" i="44"/>
  <c r="K68" i="44"/>
  <c r="K47" i="44"/>
  <c r="K67" i="44"/>
  <c r="K46" i="44"/>
  <c r="K66" i="44"/>
  <c r="AI45" i="44"/>
  <c r="Z78" i="44"/>
  <c r="U79" i="44"/>
  <c r="P79" i="44"/>
  <c r="J16" i="6"/>
  <c r="J20" i="6"/>
  <c r="L14" i="6"/>
  <c r="L17" i="6"/>
  <c r="L19" i="6"/>
  <c r="P14" i="6"/>
  <c r="P17" i="6"/>
  <c r="P19" i="6"/>
  <c r="R15" i="6"/>
  <c r="R19" i="6"/>
  <c r="V18" i="6"/>
  <c r="AH19" i="6"/>
  <c r="G14" i="6"/>
  <c r="J14" i="6"/>
  <c r="J17" i="6"/>
  <c r="J18" i="6"/>
  <c r="L15" i="6"/>
  <c r="L20" i="6"/>
  <c r="P16" i="6"/>
  <c r="P18" i="6"/>
  <c r="R14" i="6"/>
  <c r="R17" i="6"/>
  <c r="V19" i="6"/>
  <c r="AJ19" i="6"/>
  <c r="J15" i="6"/>
  <c r="J19" i="6"/>
  <c r="L16" i="6"/>
  <c r="L18" i="6"/>
  <c r="P15" i="6"/>
  <c r="P20" i="6"/>
  <c r="R16" i="6"/>
  <c r="R18" i="6"/>
  <c r="R20" i="6"/>
  <c r="V14" i="6"/>
  <c r="V15" i="6"/>
  <c r="V16" i="6"/>
  <c r="V17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20" i="6"/>
  <c r="AJ14" i="6"/>
  <c r="AJ15" i="6"/>
  <c r="AJ16" i="6"/>
  <c r="AJ17" i="6"/>
  <c r="AJ18" i="6"/>
  <c r="AJ20" i="6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G14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U13" i="5"/>
  <c r="U14" i="5"/>
  <c r="U15" i="5"/>
  <c r="U16" i="5"/>
  <c r="U17" i="5"/>
  <c r="U18" i="5"/>
  <c r="U12" i="5"/>
  <c r="L27" i="52" l="1"/>
  <c r="L27" i="49"/>
  <c r="L27" i="48"/>
  <c r="L27" i="45"/>
  <c r="L45" i="44"/>
  <c r="AE78" i="44"/>
  <c r="Z79" i="44"/>
  <c r="AJ78" i="44" l="1"/>
  <c r="AE79" i="44"/>
  <c r="AO78" i="44" l="1"/>
  <c r="AJ79" i="44"/>
  <c r="AT78" i="44" l="1"/>
  <c r="AT79" i="44" s="1"/>
  <c r="AO79" i="44"/>
  <c r="B54" i="41" l="1"/>
  <c r="B53" i="41"/>
  <c r="B43" i="41"/>
  <c r="B42" i="41"/>
  <c r="B32" i="41"/>
  <c r="B31" i="41"/>
  <c r="B10" i="41"/>
  <c r="B9" i="41"/>
  <c r="K40" i="56"/>
  <c r="I40" i="56"/>
  <c r="G40" i="56"/>
  <c r="E40" i="56"/>
  <c r="C40" i="56"/>
  <c r="B40" i="56"/>
  <c r="L10" i="56" l="1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N4" i="56"/>
  <c r="M4" i="56"/>
  <c r="L4" i="56"/>
  <c r="J4" i="56"/>
  <c r="H4" i="56"/>
  <c r="F4" i="56"/>
  <c r="D4" i="56"/>
  <c r="AC7" i="64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K14" i="41"/>
  <c r="J14" i="41"/>
  <c r="AH7" i="63"/>
  <c r="L9" i="41"/>
  <c r="J9" i="41"/>
  <c r="AC8" i="63"/>
  <c r="H9" i="41" s="1"/>
  <c r="AD8" i="63"/>
  <c r="AE8" i="63"/>
  <c r="AF8" i="63"/>
  <c r="F14" i="41" s="1"/>
  <c r="AG8" i="63"/>
  <c r="H14" i="41" s="1"/>
  <c r="AH8" i="63"/>
  <c r="AB8" i="63"/>
  <c r="F9" i="41" s="1"/>
  <c r="AC7" i="63"/>
  <c r="AD7" i="63"/>
  <c r="AE7" i="63"/>
  <c r="AF7" i="63"/>
  <c r="AF9" i="63" s="1"/>
  <c r="G14" i="41" s="1"/>
  <c r="AG7" i="63"/>
  <c r="AB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S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R20" i="63" s="1"/>
  <c r="P20" i="63"/>
  <c r="M20" i="63"/>
  <c r="K20" i="63"/>
  <c r="I20" i="63"/>
  <c r="Q19" i="63"/>
  <c r="R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R9" i="63" s="1"/>
  <c r="P9" i="63"/>
  <c r="M9" i="63"/>
  <c r="K9" i="63"/>
  <c r="I9" i="63"/>
  <c r="Q8" i="63"/>
  <c r="R8" i="63" s="1"/>
  <c r="P8" i="63"/>
  <c r="M8" i="63"/>
  <c r="K8" i="63"/>
  <c r="I8" i="63"/>
  <c r="AH9" i="63"/>
  <c r="AA7" i="63"/>
  <c r="Q7" i="63"/>
  <c r="S7" i="63" s="1"/>
  <c r="P7" i="63"/>
  <c r="M7" i="63"/>
  <c r="K7" i="63"/>
  <c r="I7" i="63"/>
  <c r="B36" i="39"/>
  <c r="B35" i="39"/>
  <c r="B34" i="39"/>
  <c r="B33" i="39"/>
  <c r="B32" i="39"/>
  <c r="B31" i="39"/>
  <c r="B30" i="39"/>
  <c r="B34" i="25"/>
  <c r="A34" i="25"/>
  <c r="B8" i="25"/>
  <c r="A8" i="25"/>
  <c r="J123" i="15"/>
  <c r="J124" i="15"/>
  <c r="J125" i="15"/>
  <c r="J126" i="15"/>
  <c r="J127" i="15"/>
  <c r="J128" i="15"/>
  <c r="J129" i="15"/>
  <c r="J130" i="15"/>
  <c r="J131" i="15"/>
  <c r="J132" i="15"/>
  <c r="AW9" i="52"/>
  <c r="AW8" i="52"/>
  <c r="AW7" i="52"/>
  <c r="AR9" i="52"/>
  <c r="AR8" i="52"/>
  <c r="AR7" i="52"/>
  <c r="AM9" i="52"/>
  <c r="AM8" i="52"/>
  <c r="AM7" i="52"/>
  <c r="AC9" i="52"/>
  <c r="AC8" i="52"/>
  <c r="AC7" i="52"/>
  <c r="X9" i="52"/>
  <c r="X8" i="52"/>
  <c r="X7" i="52"/>
  <c r="S8" i="52"/>
  <c r="S9" i="52"/>
  <c r="S7" i="52"/>
  <c r="AR96" i="52"/>
  <c r="AQ96" i="52"/>
  <c r="AM96" i="52"/>
  <c r="AG96" i="52"/>
  <c r="G96" i="52"/>
  <c r="AW95" i="52"/>
  <c r="AQ95" i="52"/>
  <c r="AR95" i="52" s="1"/>
  <c r="AM95" i="52"/>
  <c r="AG95" i="52"/>
  <c r="AH95" i="52" s="1"/>
  <c r="G95" i="52"/>
  <c r="AW94" i="52"/>
  <c r="AQ94" i="52"/>
  <c r="AR94" i="52" s="1"/>
  <c r="AM94" i="52"/>
  <c r="AG94" i="52"/>
  <c r="AH94" i="52" s="1"/>
  <c r="G94" i="52"/>
  <c r="AQ93" i="52"/>
  <c r="AR93" i="52" s="1"/>
  <c r="AM93" i="52"/>
  <c r="AG93" i="52"/>
  <c r="AH93" i="52" s="1"/>
  <c r="G93" i="52"/>
  <c r="AW92" i="52"/>
  <c r="AQ92" i="52"/>
  <c r="AR92" i="52" s="1"/>
  <c r="AM92" i="52"/>
  <c r="AG92" i="52"/>
  <c r="G92" i="52"/>
  <c r="AW91" i="52"/>
  <c r="AQ91" i="52"/>
  <c r="AR91" i="52" s="1"/>
  <c r="AM91" i="52"/>
  <c r="AH91" i="52"/>
  <c r="AG91" i="52"/>
  <c r="G91" i="52"/>
  <c r="AQ90" i="52"/>
  <c r="AR90" i="52" s="1"/>
  <c r="AM90" i="52"/>
  <c r="AG90" i="52"/>
  <c r="AH90" i="52" s="1"/>
  <c r="G90" i="52"/>
  <c r="AW89" i="52"/>
  <c r="AQ89" i="52"/>
  <c r="AR89" i="52" s="1"/>
  <c r="AM89" i="52"/>
  <c r="AG89" i="52"/>
  <c r="AH89" i="52" s="1"/>
  <c r="X89" i="52"/>
  <c r="G89" i="52"/>
  <c r="AW88" i="52"/>
  <c r="AQ88" i="52"/>
  <c r="AR88" i="52" s="1"/>
  <c r="AM88" i="52"/>
  <c r="AG88" i="52"/>
  <c r="X88" i="52"/>
  <c r="G88" i="52"/>
  <c r="AV87" i="52"/>
  <c r="AQ87" i="52"/>
  <c r="AS87" i="52" s="1"/>
  <c r="AN87" i="52"/>
  <c r="AM87" i="52"/>
  <c r="AG87" i="52"/>
  <c r="AI87" i="52" s="1"/>
  <c r="AD87" i="52"/>
  <c r="Y87" i="52"/>
  <c r="X87" i="52"/>
  <c r="T87" i="52"/>
  <c r="S87" i="52"/>
  <c r="L87" i="52"/>
  <c r="G87" i="52"/>
  <c r="H87" i="52" s="1"/>
  <c r="AW76" i="52"/>
  <c r="AR76" i="52"/>
  <c r="AQ76" i="52"/>
  <c r="AM76" i="52"/>
  <c r="AG76" i="52"/>
  <c r="G76" i="52"/>
  <c r="AW75" i="52"/>
  <c r="AQ75" i="52"/>
  <c r="AR75" i="52" s="1"/>
  <c r="AM75" i="52"/>
  <c r="AG75" i="52"/>
  <c r="AH75" i="52" s="1"/>
  <c r="G75" i="52"/>
  <c r="AW74" i="52"/>
  <c r="AQ74" i="52"/>
  <c r="AR74" i="52" s="1"/>
  <c r="AM74" i="52"/>
  <c r="AG74" i="52"/>
  <c r="AH74" i="52" s="1"/>
  <c r="G74" i="52"/>
  <c r="AW73" i="52"/>
  <c r="AQ73" i="52"/>
  <c r="AR73" i="52" s="1"/>
  <c r="AM73" i="52"/>
  <c r="AG73" i="52"/>
  <c r="AH73" i="52" s="1"/>
  <c r="G73" i="52"/>
  <c r="AW72" i="52"/>
  <c r="AQ72" i="52"/>
  <c r="AR72" i="52" s="1"/>
  <c r="AM72" i="52"/>
  <c r="AG72" i="52"/>
  <c r="G72" i="52"/>
  <c r="AW71" i="52"/>
  <c r="AQ71" i="52"/>
  <c r="AR71" i="52" s="1"/>
  <c r="AM71" i="52"/>
  <c r="AG71" i="52"/>
  <c r="AH71" i="52" s="1"/>
  <c r="G71" i="52"/>
  <c r="AR70" i="52"/>
  <c r="AQ70" i="52"/>
  <c r="AM70" i="52"/>
  <c r="AG70" i="52"/>
  <c r="G70" i="52"/>
  <c r="AW69" i="52"/>
  <c r="AQ69" i="52"/>
  <c r="AR69" i="52" s="1"/>
  <c r="AM69" i="52"/>
  <c r="AG69" i="52"/>
  <c r="AH69" i="52" s="1"/>
  <c r="X69" i="52"/>
  <c r="G69" i="52"/>
  <c r="AW68" i="52"/>
  <c r="AQ68" i="52"/>
  <c r="AR68" i="52" s="1"/>
  <c r="AM68" i="52"/>
  <c r="AG68" i="52"/>
  <c r="X68" i="52"/>
  <c r="G68" i="52"/>
  <c r="AW67" i="52"/>
  <c r="AV67" i="52"/>
  <c r="AX67" i="52" s="1"/>
  <c r="AQ67" i="52"/>
  <c r="AS67" i="52" s="1"/>
  <c r="AN67" i="52"/>
  <c r="AM67" i="52"/>
  <c r="AG67" i="52"/>
  <c r="AI67" i="52" s="1"/>
  <c r="AD67" i="52"/>
  <c r="Y67" i="52"/>
  <c r="X67" i="52"/>
  <c r="T67" i="52"/>
  <c r="S67" i="52"/>
  <c r="L67" i="52"/>
  <c r="G67" i="52"/>
  <c r="H67" i="52" s="1"/>
  <c r="AW56" i="52"/>
  <c r="AQ56" i="52"/>
  <c r="AR56" i="52" s="1"/>
  <c r="AM56" i="52"/>
  <c r="AG56" i="52"/>
  <c r="G56" i="52"/>
  <c r="AW55" i="52"/>
  <c r="AR55" i="52"/>
  <c r="AQ55" i="52"/>
  <c r="AM55" i="52"/>
  <c r="AG55" i="52"/>
  <c r="AH55" i="52" s="1"/>
  <c r="G55" i="52"/>
  <c r="AW54" i="52"/>
  <c r="AQ54" i="52"/>
  <c r="AR54" i="52" s="1"/>
  <c r="AM54" i="52"/>
  <c r="AG54" i="52"/>
  <c r="AH54" i="52" s="1"/>
  <c r="G54" i="52"/>
  <c r="AW53" i="52"/>
  <c r="AQ53" i="52"/>
  <c r="AR53" i="52" s="1"/>
  <c r="AM53" i="52"/>
  <c r="AG53" i="52"/>
  <c r="G53" i="52"/>
  <c r="AW52" i="52"/>
  <c r="AQ52" i="52"/>
  <c r="AR52" i="52" s="1"/>
  <c r="AM52" i="52"/>
  <c r="AG52" i="52"/>
  <c r="G52" i="52"/>
  <c r="AW51" i="52"/>
  <c r="AQ51" i="52"/>
  <c r="AR51" i="52" s="1"/>
  <c r="AM51" i="52"/>
  <c r="AG51" i="52"/>
  <c r="AH51" i="52" s="1"/>
  <c r="G51" i="52"/>
  <c r="AW50" i="52"/>
  <c r="AR50" i="52"/>
  <c r="AQ50" i="52"/>
  <c r="AM50" i="52"/>
  <c r="AG50" i="52"/>
  <c r="AH50" i="52" s="1"/>
  <c r="G50" i="52"/>
  <c r="AW49" i="52"/>
  <c r="AQ49" i="52"/>
  <c r="AR49" i="52" s="1"/>
  <c r="AM49" i="52"/>
  <c r="AG49" i="52"/>
  <c r="AH49" i="52" s="1"/>
  <c r="X49" i="52"/>
  <c r="G49" i="52"/>
  <c r="AW48" i="52"/>
  <c r="AQ48" i="52"/>
  <c r="AR48" i="52" s="1"/>
  <c r="AM48" i="52"/>
  <c r="AG48" i="52"/>
  <c r="AH48" i="52" s="1"/>
  <c r="X48" i="52"/>
  <c r="G48" i="52"/>
  <c r="AV47" i="52"/>
  <c r="AX47" i="52" s="1"/>
  <c r="AQ47" i="52"/>
  <c r="AS47" i="52" s="1"/>
  <c r="AN47" i="52"/>
  <c r="AM47" i="52"/>
  <c r="AG47" i="52"/>
  <c r="AH47" i="52" s="1"/>
  <c r="AD47" i="52"/>
  <c r="Y47" i="52"/>
  <c r="X47" i="52"/>
  <c r="T47" i="52"/>
  <c r="S47" i="52"/>
  <c r="L47" i="52"/>
  <c r="C1" i="52" s="1"/>
  <c r="G47" i="52"/>
  <c r="H47" i="52" s="1"/>
  <c r="AW96" i="52"/>
  <c r="AH88" i="52"/>
  <c r="P23" i="52"/>
  <c r="U22" i="52"/>
  <c r="Z22" i="52" s="1"/>
  <c r="M8" i="52"/>
  <c r="M9" i="52"/>
  <c r="M7" i="52"/>
  <c r="AV9" i="52"/>
  <c r="AQ9" i="52"/>
  <c r="AL9" i="52"/>
  <c r="AH9" i="52"/>
  <c r="AG9" i="52"/>
  <c r="AB9" i="52"/>
  <c r="W9" i="52"/>
  <c r="R9" i="52"/>
  <c r="K9" i="52"/>
  <c r="J9" i="52"/>
  <c r="I9" i="52"/>
  <c r="G9" i="52"/>
  <c r="AV8" i="52"/>
  <c r="AQ8" i="52"/>
  <c r="AL8" i="52"/>
  <c r="AG8" i="52"/>
  <c r="AB8" i="52"/>
  <c r="W8" i="52"/>
  <c r="R8" i="52"/>
  <c r="K8" i="52"/>
  <c r="J8" i="52"/>
  <c r="I8" i="52"/>
  <c r="G8" i="52"/>
  <c r="H7" i="52" s="1"/>
  <c r="AX7" i="52"/>
  <c r="AV7" i="52"/>
  <c r="AQ7" i="52"/>
  <c r="AS7" i="52" s="1"/>
  <c r="AN7" i="52"/>
  <c r="AL7" i="52"/>
  <c r="AG7" i="52"/>
  <c r="AI7" i="52" s="1"/>
  <c r="AB7" i="52"/>
  <c r="AD7" i="52" s="1"/>
  <c r="W7" i="52"/>
  <c r="R7" i="52"/>
  <c r="K7" i="52" s="1"/>
  <c r="J7" i="52"/>
  <c r="I7" i="52"/>
  <c r="G7" i="52"/>
  <c r="U2" i="52"/>
  <c r="AW10" i="51"/>
  <c r="AW9" i="51"/>
  <c r="AW8" i="51"/>
  <c r="AW7" i="51"/>
  <c r="AR10" i="51"/>
  <c r="AR9" i="51"/>
  <c r="AR8" i="51"/>
  <c r="AR7" i="51"/>
  <c r="AM10" i="51"/>
  <c r="AM9" i="51"/>
  <c r="AM8" i="51"/>
  <c r="AM7" i="51"/>
  <c r="AH10" i="51"/>
  <c r="AH9" i="51"/>
  <c r="AH8" i="51"/>
  <c r="AH7" i="51"/>
  <c r="AC10" i="51"/>
  <c r="AC9" i="51"/>
  <c r="AC8" i="51"/>
  <c r="AC7" i="51"/>
  <c r="X10" i="51"/>
  <c r="X9" i="51"/>
  <c r="X8" i="51"/>
  <c r="X7" i="51"/>
  <c r="S10" i="51"/>
  <c r="S9" i="51"/>
  <c r="S8" i="51"/>
  <c r="S7" i="51"/>
  <c r="M10" i="51"/>
  <c r="M9" i="51"/>
  <c r="M8" i="51"/>
  <c r="M7" i="51"/>
  <c r="C1" i="51"/>
  <c r="AR7" i="50"/>
  <c r="AC7" i="50"/>
  <c r="X7" i="50"/>
  <c r="S7" i="50"/>
  <c r="AJ2" i="50"/>
  <c r="AM7" i="50"/>
  <c r="M7" i="50"/>
  <c r="C1" i="50"/>
  <c r="S15" i="49"/>
  <c r="S14" i="49"/>
  <c r="S13" i="49"/>
  <c r="S12" i="49"/>
  <c r="S11" i="49"/>
  <c r="S10" i="49"/>
  <c r="S9" i="49"/>
  <c r="S8" i="49"/>
  <c r="S7" i="49"/>
  <c r="X15" i="49"/>
  <c r="X14" i="49"/>
  <c r="X13" i="49"/>
  <c r="X12" i="49"/>
  <c r="X11" i="49"/>
  <c r="X10" i="49"/>
  <c r="X9" i="49"/>
  <c r="X8" i="49"/>
  <c r="X7" i="49"/>
  <c r="AC15" i="49"/>
  <c r="AC14" i="49"/>
  <c r="AC13" i="49"/>
  <c r="AC12" i="49"/>
  <c r="AC11" i="49"/>
  <c r="AC10" i="49"/>
  <c r="AC9" i="49"/>
  <c r="AC8" i="49"/>
  <c r="AC7" i="49"/>
  <c r="AJ2" i="49"/>
  <c r="AH15" i="49"/>
  <c r="AH14" i="49"/>
  <c r="AH13" i="49"/>
  <c r="AH12" i="49"/>
  <c r="AH11" i="49"/>
  <c r="AH10" i="49"/>
  <c r="AH9" i="49"/>
  <c r="AH8" i="49"/>
  <c r="AH7" i="49"/>
  <c r="AW15" i="49"/>
  <c r="AW14" i="49"/>
  <c r="AW13" i="49"/>
  <c r="AW12" i="49"/>
  <c r="AW11" i="49"/>
  <c r="AW10" i="49"/>
  <c r="AW9" i="49"/>
  <c r="AW8" i="49"/>
  <c r="AW7" i="49"/>
  <c r="AR15" i="49"/>
  <c r="AR14" i="49"/>
  <c r="AR13" i="49"/>
  <c r="AR12" i="49"/>
  <c r="AR11" i="49"/>
  <c r="AR10" i="49"/>
  <c r="AR9" i="49"/>
  <c r="AR8" i="49"/>
  <c r="AR7" i="49"/>
  <c r="AM8" i="49"/>
  <c r="AM9" i="49"/>
  <c r="AM10" i="49"/>
  <c r="AM11" i="49"/>
  <c r="AM12" i="49"/>
  <c r="AM13" i="49"/>
  <c r="AM14" i="49"/>
  <c r="AM15" i="49"/>
  <c r="M8" i="49"/>
  <c r="M9" i="49"/>
  <c r="M10" i="49"/>
  <c r="M11" i="49"/>
  <c r="M12" i="49"/>
  <c r="M13" i="49"/>
  <c r="M14" i="49"/>
  <c r="M15" i="49"/>
  <c r="AM7" i="49"/>
  <c r="M7" i="49"/>
  <c r="C1" i="49"/>
  <c r="C1" i="48"/>
  <c r="C1" i="47"/>
  <c r="C1" i="46"/>
  <c r="C1" i="45"/>
  <c r="C1" i="44"/>
  <c r="AW14" i="48"/>
  <c r="AW13" i="48"/>
  <c r="AW12" i="48"/>
  <c r="AW11" i="48"/>
  <c r="AW10" i="48"/>
  <c r="AW9" i="48"/>
  <c r="AW8" i="48"/>
  <c r="AW7" i="48"/>
  <c r="AR14" i="48"/>
  <c r="AR13" i="48"/>
  <c r="AR12" i="48"/>
  <c r="AR11" i="48"/>
  <c r="AR10" i="48"/>
  <c r="AR9" i="48"/>
  <c r="AR8" i="48"/>
  <c r="AR7" i="48"/>
  <c r="AM14" i="48"/>
  <c r="AM13" i="48"/>
  <c r="AM12" i="48"/>
  <c r="AM11" i="48"/>
  <c r="AM10" i="48"/>
  <c r="AM9" i="48"/>
  <c r="AM8" i="48"/>
  <c r="AM7" i="48"/>
  <c r="AH14" i="48"/>
  <c r="AH13" i="48"/>
  <c r="AH12" i="48"/>
  <c r="AH11" i="48"/>
  <c r="AH10" i="48"/>
  <c r="AH9" i="48"/>
  <c r="AH8" i="48"/>
  <c r="AH7" i="48"/>
  <c r="X14" i="48"/>
  <c r="X13" i="48"/>
  <c r="X12" i="48"/>
  <c r="X11" i="48"/>
  <c r="X10" i="48"/>
  <c r="X9" i="48"/>
  <c r="X8" i="48"/>
  <c r="X7" i="48"/>
  <c r="S8" i="48"/>
  <c r="S9" i="48"/>
  <c r="S10" i="48"/>
  <c r="S11" i="48"/>
  <c r="S12" i="48"/>
  <c r="S13" i="48"/>
  <c r="S14" i="48"/>
  <c r="S7" i="48"/>
  <c r="M8" i="48"/>
  <c r="M9" i="48"/>
  <c r="M10" i="48"/>
  <c r="M11" i="48"/>
  <c r="M12" i="48"/>
  <c r="M13" i="48"/>
  <c r="M14" i="48"/>
  <c r="M7" i="48"/>
  <c r="AW7" i="47"/>
  <c r="AR7" i="47"/>
  <c r="AM7" i="47"/>
  <c r="AH7" i="47"/>
  <c r="AC7" i="47"/>
  <c r="X7" i="47"/>
  <c r="S7" i="47"/>
  <c r="M7" i="47"/>
  <c r="P3" i="46"/>
  <c r="AW9" i="46"/>
  <c r="AW8" i="46"/>
  <c r="AW7" i="46"/>
  <c r="AR9" i="46"/>
  <c r="AR8" i="46"/>
  <c r="AR7" i="46"/>
  <c r="AM9" i="46"/>
  <c r="AM8" i="46"/>
  <c r="AM7" i="46"/>
  <c r="AH9" i="46"/>
  <c r="AH8" i="46"/>
  <c r="AH7" i="46"/>
  <c r="AC9" i="46"/>
  <c r="AC8" i="46"/>
  <c r="AC7" i="46"/>
  <c r="X9" i="46"/>
  <c r="X8" i="46"/>
  <c r="X7" i="46"/>
  <c r="S8" i="46"/>
  <c r="S9" i="46"/>
  <c r="S7" i="46"/>
  <c r="M8" i="46"/>
  <c r="M9" i="46"/>
  <c r="M7" i="46"/>
  <c r="AW15" i="45"/>
  <c r="AW14" i="45"/>
  <c r="AW13" i="45"/>
  <c r="AW12" i="45"/>
  <c r="AW11" i="45"/>
  <c r="AW10" i="45"/>
  <c r="AW9" i="45"/>
  <c r="AW8" i="45"/>
  <c r="AW7" i="45"/>
  <c r="AR15" i="45"/>
  <c r="AR14" i="45"/>
  <c r="AR13" i="45"/>
  <c r="AR12" i="45"/>
  <c r="AR11" i="45"/>
  <c r="AR10" i="45"/>
  <c r="AR9" i="45"/>
  <c r="AR8" i="45"/>
  <c r="AR7" i="45"/>
  <c r="AM15" i="45"/>
  <c r="AM14" i="45"/>
  <c r="AM13" i="45"/>
  <c r="AM12" i="45"/>
  <c r="AM11" i="45"/>
  <c r="AM10" i="45"/>
  <c r="AM9" i="45"/>
  <c r="AM8" i="45"/>
  <c r="AM7" i="45"/>
  <c r="AH15" i="45"/>
  <c r="AH14" i="45"/>
  <c r="AH13" i="45"/>
  <c r="AH12" i="45"/>
  <c r="AH11" i="45"/>
  <c r="AH10" i="45"/>
  <c r="AH9" i="45"/>
  <c r="AH8" i="45"/>
  <c r="AH7" i="45"/>
  <c r="AC15" i="45"/>
  <c r="AC14" i="45"/>
  <c r="AC13" i="45"/>
  <c r="AC12" i="45"/>
  <c r="AC11" i="45"/>
  <c r="AC10" i="45"/>
  <c r="AC9" i="45"/>
  <c r="AC8" i="45"/>
  <c r="AC7" i="45"/>
  <c r="X15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15" i="45"/>
  <c r="S7" i="45"/>
  <c r="M8" i="45"/>
  <c r="M9" i="45"/>
  <c r="M10" i="45"/>
  <c r="M11" i="45"/>
  <c r="M12" i="45"/>
  <c r="M13" i="45"/>
  <c r="M14" i="45"/>
  <c r="M15" i="45"/>
  <c r="M7" i="45"/>
  <c r="AW36" i="44"/>
  <c r="AW35" i="44"/>
  <c r="AW34" i="44"/>
  <c r="AW33" i="44"/>
  <c r="AW32" i="44"/>
  <c r="AW31" i="44"/>
  <c r="AW30" i="44"/>
  <c r="AW29" i="44"/>
  <c r="AW28" i="44"/>
  <c r="AW27" i="44"/>
  <c r="AW26" i="44"/>
  <c r="AW25" i="44"/>
  <c r="AW24" i="44"/>
  <c r="AW23" i="44"/>
  <c r="AW22" i="44"/>
  <c r="AW21" i="44"/>
  <c r="AW19" i="44"/>
  <c r="AW18" i="44"/>
  <c r="AW17" i="44"/>
  <c r="AW16" i="44"/>
  <c r="AW15" i="44"/>
  <c r="AW14" i="44"/>
  <c r="AW13" i="44"/>
  <c r="AW12" i="44"/>
  <c r="AW11" i="44"/>
  <c r="AW10" i="44"/>
  <c r="AW9" i="44"/>
  <c r="AW8" i="44"/>
  <c r="AW7" i="44"/>
  <c r="AR36" i="44"/>
  <c r="AR35" i="44"/>
  <c r="AR34" i="44"/>
  <c r="AR33" i="44"/>
  <c r="AR32" i="44"/>
  <c r="AR31" i="44"/>
  <c r="AR30" i="44"/>
  <c r="AR29" i="44"/>
  <c r="AR28" i="44"/>
  <c r="AR27" i="44"/>
  <c r="AR26" i="44"/>
  <c r="AR25" i="44"/>
  <c r="AR24" i="44"/>
  <c r="AR23" i="44"/>
  <c r="AR22" i="44"/>
  <c r="AR21" i="44"/>
  <c r="AR19" i="44"/>
  <c r="AR18" i="44"/>
  <c r="AR17" i="44"/>
  <c r="AR16" i="44"/>
  <c r="AR15" i="44"/>
  <c r="AR14" i="44"/>
  <c r="AR13" i="44"/>
  <c r="AR12" i="44"/>
  <c r="AR11" i="44"/>
  <c r="AR10" i="44"/>
  <c r="AR9" i="44"/>
  <c r="AR8" i="44"/>
  <c r="AR7" i="44"/>
  <c r="AM36" i="44"/>
  <c r="AM35" i="44"/>
  <c r="AM34" i="44"/>
  <c r="AM33" i="44"/>
  <c r="AM32" i="44"/>
  <c r="AM31" i="44"/>
  <c r="AM30" i="44"/>
  <c r="AM29" i="44"/>
  <c r="AM28" i="44"/>
  <c r="AM27" i="44"/>
  <c r="AM26" i="44"/>
  <c r="AM25" i="44"/>
  <c r="AM24" i="44"/>
  <c r="AM23" i="44"/>
  <c r="AM22" i="44"/>
  <c r="AM21" i="44"/>
  <c r="AM19" i="44"/>
  <c r="AM18" i="44"/>
  <c r="AM17" i="44"/>
  <c r="AM16" i="44"/>
  <c r="AM15" i="44"/>
  <c r="AM14" i="44"/>
  <c r="AM13" i="44"/>
  <c r="AM12" i="44"/>
  <c r="AM11" i="44"/>
  <c r="AM10" i="44"/>
  <c r="AM9" i="44"/>
  <c r="AM8" i="44"/>
  <c r="AM7" i="44"/>
  <c r="AH36" i="44"/>
  <c r="AH35" i="44"/>
  <c r="AH34" i="44"/>
  <c r="AH33" i="44"/>
  <c r="AH32" i="44"/>
  <c r="AH31" i="44"/>
  <c r="AH30" i="44"/>
  <c r="AH29" i="44"/>
  <c r="AH28" i="44"/>
  <c r="AH27" i="44"/>
  <c r="AH26" i="44"/>
  <c r="AH25" i="44"/>
  <c r="AH24" i="44"/>
  <c r="AH23" i="44"/>
  <c r="AH22" i="44"/>
  <c r="AH21" i="44"/>
  <c r="AH19" i="44"/>
  <c r="AH18" i="44"/>
  <c r="AH17" i="44"/>
  <c r="AH16" i="44"/>
  <c r="AH15" i="44"/>
  <c r="AH14" i="44"/>
  <c r="AH13" i="44"/>
  <c r="AH12" i="44"/>
  <c r="AH11" i="44"/>
  <c r="AH10" i="44"/>
  <c r="AH9" i="44"/>
  <c r="AH8" i="44"/>
  <c r="AH7" i="44"/>
  <c r="AC36" i="44"/>
  <c r="AC35" i="44"/>
  <c r="AC34" i="44"/>
  <c r="AC33" i="44"/>
  <c r="AC32" i="44"/>
  <c r="AC31" i="44"/>
  <c r="AC30" i="44"/>
  <c r="AC29" i="44"/>
  <c r="AC28" i="44"/>
  <c r="AC27" i="44"/>
  <c r="AC26" i="44"/>
  <c r="AC25" i="44"/>
  <c r="AC24" i="44"/>
  <c r="AC23" i="44"/>
  <c r="AC22" i="44"/>
  <c r="AC21" i="44"/>
  <c r="AC19" i="44"/>
  <c r="AC18" i="44"/>
  <c r="AC17" i="44"/>
  <c r="AC16" i="44"/>
  <c r="AC15" i="44"/>
  <c r="AC14" i="44"/>
  <c r="AC13" i="44"/>
  <c r="AC12" i="44"/>
  <c r="AC11" i="44"/>
  <c r="AC10" i="44"/>
  <c r="AC9" i="44"/>
  <c r="AC8" i="44"/>
  <c r="AC7" i="44"/>
  <c r="X37" i="44"/>
  <c r="X36" i="44"/>
  <c r="X35" i="44"/>
  <c r="X34" i="44"/>
  <c r="X33" i="44"/>
  <c r="X32" i="44"/>
  <c r="X31" i="44"/>
  <c r="X30" i="44"/>
  <c r="X29" i="44"/>
  <c r="X28" i="44"/>
  <c r="X27" i="44"/>
  <c r="X26" i="44"/>
  <c r="X25" i="44"/>
  <c r="X24" i="44"/>
  <c r="X23" i="44"/>
  <c r="X22" i="44"/>
  <c r="X21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S8" i="44"/>
  <c r="S9" i="44"/>
  <c r="S10" i="44"/>
  <c r="S11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S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7" i="44"/>
  <c r="AQ96" i="51"/>
  <c r="AR96" i="51" s="1"/>
  <c r="AM96" i="51"/>
  <c r="AG96" i="51"/>
  <c r="G96" i="51"/>
  <c r="AQ95" i="51"/>
  <c r="AR95" i="51" s="1"/>
  <c r="AM95" i="51"/>
  <c r="AG95" i="51"/>
  <c r="AH95" i="51" s="1"/>
  <c r="G95" i="51"/>
  <c r="AW94" i="51"/>
  <c r="AQ94" i="51"/>
  <c r="AR94" i="51" s="1"/>
  <c r="AM94" i="51"/>
  <c r="AG94" i="51"/>
  <c r="AI87" i="51" s="1"/>
  <c r="G94" i="51"/>
  <c r="AQ93" i="51"/>
  <c r="AR93" i="51" s="1"/>
  <c r="AM93" i="51"/>
  <c r="AG93" i="51"/>
  <c r="AH93" i="51" s="1"/>
  <c r="G93" i="51"/>
  <c r="AW92" i="51"/>
  <c r="AQ92" i="51"/>
  <c r="AR92" i="51" s="1"/>
  <c r="AM92" i="51"/>
  <c r="AG92" i="51"/>
  <c r="AH92" i="51" s="1"/>
  <c r="G92" i="51"/>
  <c r="AW91" i="51"/>
  <c r="AQ91" i="51"/>
  <c r="AR91" i="51" s="1"/>
  <c r="AM91" i="51"/>
  <c r="AG91" i="51"/>
  <c r="G91" i="51"/>
  <c r="AW90" i="51"/>
  <c r="AQ90" i="51"/>
  <c r="AR90" i="51" s="1"/>
  <c r="AM90" i="51"/>
  <c r="AG90" i="51"/>
  <c r="AH90" i="51" s="1"/>
  <c r="G90" i="51"/>
  <c r="AW89" i="51"/>
  <c r="AQ89" i="51"/>
  <c r="AR89" i="51" s="1"/>
  <c r="AM89" i="51"/>
  <c r="AG89" i="51"/>
  <c r="X89" i="51"/>
  <c r="G89" i="51"/>
  <c r="AW88" i="51"/>
  <c r="AQ88" i="51"/>
  <c r="AM88" i="51"/>
  <c r="AG88" i="51"/>
  <c r="AH88" i="51" s="1"/>
  <c r="X88" i="51"/>
  <c r="G88" i="51"/>
  <c r="AV87" i="51"/>
  <c r="AX87" i="51" s="1"/>
  <c r="AQ87" i="51"/>
  <c r="AN87" i="51"/>
  <c r="AM87" i="51"/>
  <c r="AG87" i="51"/>
  <c r="AH87" i="51" s="1"/>
  <c r="AD87" i="51"/>
  <c r="Y87" i="51"/>
  <c r="X87" i="51"/>
  <c r="T87" i="51"/>
  <c r="S87" i="51"/>
  <c r="L87" i="51"/>
  <c r="G87" i="51"/>
  <c r="H87" i="51" s="1"/>
  <c r="AW76" i="51"/>
  <c r="AR76" i="51"/>
  <c r="AQ76" i="51"/>
  <c r="AM76" i="51"/>
  <c r="AG76" i="51"/>
  <c r="AH76" i="51" s="1"/>
  <c r="G76" i="51"/>
  <c r="AQ75" i="51"/>
  <c r="AR75" i="51" s="1"/>
  <c r="AM75" i="51"/>
  <c r="AG75" i="51"/>
  <c r="AH75" i="51" s="1"/>
  <c r="G75" i="51"/>
  <c r="AW74" i="51"/>
  <c r="AR74" i="51"/>
  <c r="AQ74" i="51"/>
  <c r="AM74" i="51"/>
  <c r="AG74" i="51"/>
  <c r="AH74" i="51" s="1"/>
  <c r="G74" i="51"/>
  <c r="AW73" i="51"/>
  <c r="AQ73" i="51"/>
  <c r="AR73" i="51" s="1"/>
  <c r="AM73" i="51"/>
  <c r="AG73" i="51"/>
  <c r="AH73" i="51" s="1"/>
  <c r="G73" i="51"/>
  <c r="AQ72" i="51"/>
  <c r="AR72" i="51" s="1"/>
  <c r="AM72" i="51"/>
  <c r="AG72" i="51"/>
  <c r="AH72" i="51" s="1"/>
  <c r="G72" i="51"/>
  <c r="AW71" i="51"/>
  <c r="AQ71" i="51"/>
  <c r="AR71" i="51" s="1"/>
  <c r="AM71" i="51"/>
  <c r="AG71" i="51"/>
  <c r="AH71" i="51" s="1"/>
  <c r="G71" i="51"/>
  <c r="AQ70" i="51"/>
  <c r="AR70" i="51" s="1"/>
  <c r="AM70" i="51"/>
  <c r="AG70" i="51"/>
  <c r="G70" i="51"/>
  <c r="AQ69" i="51"/>
  <c r="AR69" i="51" s="1"/>
  <c r="AM69" i="51"/>
  <c r="AG69" i="51"/>
  <c r="AH69" i="51" s="1"/>
  <c r="X69" i="51"/>
  <c r="G69" i="51"/>
  <c r="AW68" i="51"/>
  <c r="AQ68" i="51"/>
  <c r="AR68" i="51" s="1"/>
  <c r="AM68" i="51"/>
  <c r="AG68" i="51"/>
  <c r="X68" i="51"/>
  <c r="G68" i="51"/>
  <c r="AX67" i="51"/>
  <c r="AW67" i="51"/>
  <c r="AV67" i="51"/>
  <c r="AQ67" i="51"/>
  <c r="AR67" i="51" s="1"/>
  <c r="AN67" i="51"/>
  <c r="AM67" i="51"/>
  <c r="AG67" i="51"/>
  <c r="AI67" i="51" s="1"/>
  <c r="AD67" i="51"/>
  <c r="Y67" i="51"/>
  <c r="X67" i="51"/>
  <c r="T67" i="51"/>
  <c r="S67" i="51"/>
  <c r="L67" i="51"/>
  <c r="G67" i="51"/>
  <c r="H67" i="51" s="1"/>
  <c r="AW56" i="51"/>
  <c r="AQ56" i="51"/>
  <c r="AR56" i="51" s="1"/>
  <c r="AM56" i="51"/>
  <c r="AG56" i="51"/>
  <c r="AH56" i="51" s="1"/>
  <c r="G56" i="51"/>
  <c r="AW55" i="51"/>
  <c r="AR55" i="51"/>
  <c r="AQ55" i="51"/>
  <c r="AM55" i="51"/>
  <c r="AG55" i="51"/>
  <c r="AH55" i="51" s="1"/>
  <c r="G55" i="51"/>
  <c r="AW54" i="51"/>
  <c r="AQ54" i="51"/>
  <c r="AR54" i="51" s="1"/>
  <c r="AM54" i="51"/>
  <c r="AG54" i="51"/>
  <c r="AH54" i="51" s="1"/>
  <c r="G54" i="51"/>
  <c r="AW53" i="51"/>
  <c r="AQ53" i="51"/>
  <c r="AR53" i="51" s="1"/>
  <c r="AM53" i="51"/>
  <c r="AG53" i="51"/>
  <c r="AH53" i="51" s="1"/>
  <c r="G53" i="51"/>
  <c r="AW52" i="51"/>
  <c r="AQ52" i="51"/>
  <c r="AR52" i="51" s="1"/>
  <c r="AM52" i="51"/>
  <c r="AG52" i="51"/>
  <c r="AH52" i="51" s="1"/>
  <c r="G52" i="51"/>
  <c r="AW51" i="51"/>
  <c r="AQ51" i="51"/>
  <c r="AS47" i="51" s="1"/>
  <c r="AM51" i="51"/>
  <c r="AG51" i="51"/>
  <c r="AH51" i="51" s="1"/>
  <c r="G51" i="51"/>
  <c r="AW50" i="51"/>
  <c r="AR50" i="51"/>
  <c r="AQ50" i="51"/>
  <c r="AM50" i="51"/>
  <c r="AG50" i="51"/>
  <c r="AH50" i="51" s="1"/>
  <c r="G50" i="51"/>
  <c r="AQ49" i="51"/>
  <c r="AR49" i="51" s="1"/>
  <c r="AM49" i="51"/>
  <c r="AG49" i="51"/>
  <c r="AH49" i="51" s="1"/>
  <c r="X49" i="51"/>
  <c r="G49" i="51"/>
  <c r="AW48" i="51"/>
  <c r="AQ48" i="51"/>
  <c r="AR48" i="51" s="1"/>
  <c r="AM48" i="51"/>
  <c r="AG48" i="51"/>
  <c r="AH48" i="51" s="1"/>
  <c r="X48" i="51"/>
  <c r="G48" i="51"/>
  <c r="AV47" i="51"/>
  <c r="AX47" i="51" s="1"/>
  <c r="AQ47" i="51"/>
  <c r="AR47" i="51" s="1"/>
  <c r="AN47" i="51"/>
  <c r="AM47" i="51"/>
  <c r="AG47" i="51"/>
  <c r="AI47" i="51" s="1"/>
  <c r="AD47" i="51"/>
  <c r="Y47" i="51"/>
  <c r="X47" i="51"/>
  <c r="T47" i="51"/>
  <c r="S47" i="51"/>
  <c r="L47" i="51"/>
  <c r="G47" i="51"/>
  <c r="H47" i="51" s="1"/>
  <c r="AH96" i="51"/>
  <c r="AW96" i="51"/>
  <c r="U23" i="51"/>
  <c r="P23" i="51"/>
  <c r="U22" i="51"/>
  <c r="Z22" i="51" s="1"/>
  <c r="AV10" i="51"/>
  <c r="AQ10" i="51"/>
  <c r="AL10" i="51"/>
  <c r="AG10" i="51"/>
  <c r="AB10" i="51"/>
  <c r="W10" i="51"/>
  <c r="R10" i="51"/>
  <c r="J10" i="51"/>
  <c r="I10" i="51"/>
  <c r="G10" i="51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S7" i="51" s="1"/>
  <c r="AL7" i="51"/>
  <c r="AN7" i="51" s="1"/>
  <c r="AI7" i="51"/>
  <c r="AG7" i="51"/>
  <c r="AB7" i="51"/>
  <c r="Y7" i="51"/>
  <c r="W7" i="51"/>
  <c r="R7" i="51"/>
  <c r="K7" i="51" s="1"/>
  <c r="J7" i="51"/>
  <c r="I7" i="51"/>
  <c r="G7" i="51"/>
  <c r="H7" i="51" s="1"/>
  <c r="P3" i="51"/>
  <c r="AQ96" i="50"/>
  <c r="AR96" i="50" s="1"/>
  <c r="AM96" i="50"/>
  <c r="AG96" i="50"/>
  <c r="AH96" i="50" s="1"/>
  <c r="G96" i="50"/>
  <c r="AW95" i="50"/>
  <c r="AQ95" i="50"/>
  <c r="AR95" i="50" s="1"/>
  <c r="AM95" i="50"/>
  <c r="AG95" i="50"/>
  <c r="AH95" i="50" s="1"/>
  <c r="G95" i="50"/>
  <c r="AW94" i="50"/>
  <c r="AQ94" i="50"/>
  <c r="AR94" i="50" s="1"/>
  <c r="AM94" i="50"/>
  <c r="AG94" i="50"/>
  <c r="AH94" i="50" s="1"/>
  <c r="G94" i="50"/>
  <c r="AQ93" i="50"/>
  <c r="AR93" i="50" s="1"/>
  <c r="AM93" i="50"/>
  <c r="AG93" i="50"/>
  <c r="AH93" i="50" s="1"/>
  <c r="G93" i="50"/>
  <c r="AW92" i="50"/>
  <c r="AQ92" i="50"/>
  <c r="AR92" i="50" s="1"/>
  <c r="AM92" i="50"/>
  <c r="AG92" i="50"/>
  <c r="AH92" i="50" s="1"/>
  <c r="G92" i="50"/>
  <c r="AW91" i="50"/>
  <c r="AQ91" i="50"/>
  <c r="AR91" i="50" s="1"/>
  <c r="AM91" i="50"/>
  <c r="AG91" i="50"/>
  <c r="G91" i="50"/>
  <c r="AW90" i="50"/>
  <c r="AR90" i="50"/>
  <c r="AQ90" i="50"/>
  <c r="AM90" i="50"/>
  <c r="AG90" i="50"/>
  <c r="AH90" i="50" s="1"/>
  <c r="G90" i="50"/>
  <c r="AW89" i="50"/>
  <c r="AQ89" i="50"/>
  <c r="AR89" i="50" s="1"/>
  <c r="AM89" i="50"/>
  <c r="AG89" i="50"/>
  <c r="X89" i="50"/>
  <c r="G89" i="50"/>
  <c r="AW88" i="50"/>
  <c r="AQ88" i="50"/>
  <c r="AM88" i="50"/>
  <c r="AG88" i="50"/>
  <c r="AH88" i="50" s="1"/>
  <c r="X88" i="50"/>
  <c r="G88" i="50"/>
  <c r="AV87" i="50"/>
  <c r="AX87" i="50" s="1"/>
  <c r="AQ87" i="50"/>
  <c r="AS87" i="50" s="1"/>
  <c r="AN87" i="50"/>
  <c r="AM87" i="50"/>
  <c r="AG87" i="50"/>
  <c r="AI87" i="50" s="1"/>
  <c r="AD87" i="50"/>
  <c r="Y87" i="50"/>
  <c r="X87" i="50"/>
  <c r="T87" i="50"/>
  <c r="S87" i="50"/>
  <c r="L87" i="50"/>
  <c r="G87" i="50"/>
  <c r="H87" i="50" s="1"/>
  <c r="AW76" i="50"/>
  <c r="AR76" i="50"/>
  <c r="AQ76" i="50"/>
  <c r="AM76" i="50"/>
  <c r="AG76" i="50"/>
  <c r="AH76" i="50" s="1"/>
  <c r="G76" i="50"/>
  <c r="AW75" i="50"/>
  <c r="AQ75" i="50"/>
  <c r="AR75" i="50" s="1"/>
  <c r="AM75" i="50"/>
  <c r="AG75" i="50"/>
  <c r="AH75" i="50" s="1"/>
  <c r="G75" i="50"/>
  <c r="AW74" i="50"/>
  <c r="AQ74" i="50"/>
  <c r="AR74" i="50" s="1"/>
  <c r="AM74" i="50"/>
  <c r="AG74" i="50"/>
  <c r="AH74" i="50" s="1"/>
  <c r="G74" i="50"/>
  <c r="AW73" i="50"/>
  <c r="AQ73" i="50"/>
  <c r="AR73" i="50" s="1"/>
  <c r="AM73" i="50"/>
  <c r="AG73" i="50"/>
  <c r="G73" i="50"/>
  <c r="AW72" i="50"/>
  <c r="AQ72" i="50"/>
  <c r="AR72" i="50" s="1"/>
  <c r="AM72" i="50"/>
  <c r="AG72" i="50"/>
  <c r="AH72" i="50" s="1"/>
  <c r="G72" i="50"/>
  <c r="AW71" i="50"/>
  <c r="AQ71" i="50"/>
  <c r="AR71" i="50" s="1"/>
  <c r="AM71" i="50"/>
  <c r="AG71" i="50"/>
  <c r="AH71" i="50" s="1"/>
  <c r="G71" i="50"/>
  <c r="AQ70" i="50"/>
  <c r="AR70" i="50" s="1"/>
  <c r="AM70" i="50"/>
  <c r="AG70" i="50"/>
  <c r="AH70" i="50" s="1"/>
  <c r="G70" i="50"/>
  <c r="AW69" i="50"/>
  <c r="AQ69" i="50"/>
  <c r="AR69" i="50" s="1"/>
  <c r="AM69" i="50"/>
  <c r="AG69" i="50"/>
  <c r="AH69" i="50" s="1"/>
  <c r="X69" i="50"/>
  <c r="G69" i="50"/>
  <c r="AW68" i="50"/>
  <c r="AQ68" i="50"/>
  <c r="AR68" i="50" s="1"/>
  <c r="AM68" i="50"/>
  <c r="AG68" i="50"/>
  <c r="X68" i="50"/>
  <c r="G68" i="50"/>
  <c r="AX67" i="50"/>
  <c r="AV67" i="50"/>
  <c r="AW67" i="50" s="1"/>
  <c r="AQ67" i="50"/>
  <c r="AS67" i="50" s="1"/>
  <c r="AN67" i="50"/>
  <c r="AM67" i="50"/>
  <c r="AG67" i="50"/>
  <c r="AH67" i="50" s="1"/>
  <c r="AD67" i="50"/>
  <c r="Y67" i="50"/>
  <c r="X67" i="50"/>
  <c r="T67" i="50"/>
  <c r="S67" i="50"/>
  <c r="L67" i="50"/>
  <c r="G67" i="50"/>
  <c r="H67" i="50" s="1"/>
  <c r="AW56" i="50"/>
  <c r="AQ56" i="50"/>
  <c r="AR56" i="50" s="1"/>
  <c r="AM56" i="50"/>
  <c r="AG56" i="50"/>
  <c r="AH56" i="50" s="1"/>
  <c r="G56" i="50"/>
  <c r="AW55" i="50"/>
  <c r="AQ55" i="50"/>
  <c r="AR55" i="50" s="1"/>
  <c r="AM55" i="50"/>
  <c r="AG55" i="50"/>
  <c r="AH55" i="50" s="1"/>
  <c r="G55" i="50"/>
  <c r="AW54" i="50"/>
  <c r="AQ54" i="50"/>
  <c r="AR54" i="50" s="1"/>
  <c r="AM54" i="50"/>
  <c r="AG54" i="50"/>
  <c r="AH54" i="50" s="1"/>
  <c r="G54" i="50"/>
  <c r="AW53" i="50"/>
  <c r="AQ53" i="50"/>
  <c r="AR53" i="50" s="1"/>
  <c r="AM53" i="50"/>
  <c r="AG53" i="50"/>
  <c r="AH53" i="50" s="1"/>
  <c r="G53" i="50"/>
  <c r="AQ52" i="50"/>
  <c r="AR52" i="50" s="1"/>
  <c r="AM52" i="50"/>
  <c r="AG52" i="50"/>
  <c r="AH52" i="50" s="1"/>
  <c r="G52" i="50"/>
  <c r="AW51" i="50"/>
  <c r="AQ51" i="50"/>
  <c r="AR51" i="50" s="1"/>
  <c r="AM51" i="50"/>
  <c r="AG51" i="50"/>
  <c r="AH51" i="50" s="1"/>
  <c r="G51" i="50"/>
  <c r="AW50" i="50"/>
  <c r="AR50" i="50"/>
  <c r="AQ50" i="50"/>
  <c r="AM50" i="50"/>
  <c r="AG50" i="50"/>
  <c r="AH50" i="50" s="1"/>
  <c r="G50" i="50"/>
  <c r="AW49" i="50"/>
  <c r="AQ49" i="50"/>
  <c r="AR49" i="50" s="1"/>
  <c r="AM49" i="50"/>
  <c r="AG49" i="50"/>
  <c r="AH49" i="50" s="1"/>
  <c r="X49" i="50"/>
  <c r="G49" i="50"/>
  <c r="AW48" i="50"/>
  <c r="AQ48" i="50"/>
  <c r="AR48" i="50" s="1"/>
  <c r="AM48" i="50"/>
  <c r="AG48" i="50"/>
  <c r="AH48" i="50" s="1"/>
  <c r="X48" i="50"/>
  <c r="G48" i="50"/>
  <c r="AV47" i="50"/>
  <c r="AX47" i="50" s="1"/>
  <c r="AQ47" i="50"/>
  <c r="AS47" i="50" s="1"/>
  <c r="AN47" i="50"/>
  <c r="AM47" i="50"/>
  <c r="AG47" i="50"/>
  <c r="AH47" i="50" s="1"/>
  <c r="AD47" i="50"/>
  <c r="Y47" i="50"/>
  <c r="X47" i="50"/>
  <c r="T47" i="50"/>
  <c r="S47" i="50"/>
  <c r="L47" i="50"/>
  <c r="G47" i="50"/>
  <c r="H47" i="50" s="1"/>
  <c r="AH91" i="50"/>
  <c r="AW96" i="50"/>
  <c r="AH73" i="50"/>
  <c r="P23" i="50"/>
  <c r="U22" i="50"/>
  <c r="Z22" i="50" s="1"/>
  <c r="AV7" i="50"/>
  <c r="AX7" i="50" s="1"/>
  <c r="AS7" i="50"/>
  <c r="AQ7" i="50"/>
  <c r="AL7" i="50"/>
  <c r="AN7" i="50" s="1"/>
  <c r="AI7" i="50"/>
  <c r="AG7" i="50"/>
  <c r="AH7" i="50" s="1"/>
  <c r="AB7" i="50"/>
  <c r="Y7" i="50"/>
  <c r="W7" i="50"/>
  <c r="K7" i="50" s="1"/>
  <c r="T7" i="50"/>
  <c r="R7" i="50"/>
  <c r="J7" i="50"/>
  <c r="I7" i="50"/>
  <c r="G7" i="50"/>
  <c r="H7" i="50" s="1"/>
  <c r="U3" i="50"/>
  <c r="P3" i="50"/>
  <c r="Z2" i="50"/>
  <c r="Z3" i="50" s="1"/>
  <c r="U2" i="50"/>
  <c r="AQ96" i="49"/>
  <c r="AR96" i="49" s="1"/>
  <c r="AM96" i="49"/>
  <c r="AG96" i="49"/>
  <c r="AH96" i="49" s="1"/>
  <c r="G96" i="49"/>
  <c r="AW95" i="49"/>
  <c r="AQ95" i="49"/>
  <c r="AR95" i="49" s="1"/>
  <c r="AM95" i="49"/>
  <c r="AG95" i="49"/>
  <c r="AH95" i="49" s="1"/>
  <c r="G95" i="49"/>
  <c r="AW94" i="49"/>
  <c r="AQ94" i="49"/>
  <c r="AR94" i="49" s="1"/>
  <c r="AM94" i="49"/>
  <c r="AG94" i="49"/>
  <c r="AI87" i="49" s="1"/>
  <c r="G94" i="49"/>
  <c r="AQ93" i="49"/>
  <c r="AR93" i="49" s="1"/>
  <c r="AM93" i="49"/>
  <c r="AG93" i="49"/>
  <c r="AH93" i="49" s="1"/>
  <c r="G93" i="49"/>
  <c r="AW92" i="49"/>
  <c r="AQ92" i="49"/>
  <c r="AR92" i="49" s="1"/>
  <c r="AM92" i="49"/>
  <c r="AG92" i="49"/>
  <c r="AH92" i="49" s="1"/>
  <c r="G92" i="49"/>
  <c r="AW91" i="49"/>
  <c r="AQ91" i="49"/>
  <c r="AR91" i="49" s="1"/>
  <c r="AM91" i="49"/>
  <c r="AG91" i="49"/>
  <c r="G91" i="49"/>
  <c r="AW90" i="49"/>
  <c r="AR90" i="49"/>
  <c r="AQ90" i="49"/>
  <c r="AM90" i="49"/>
  <c r="AG90" i="49"/>
  <c r="G90" i="49"/>
  <c r="AW89" i="49"/>
  <c r="AQ89" i="49"/>
  <c r="AR89" i="49" s="1"/>
  <c r="AM89" i="49"/>
  <c r="AG89" i="49"/>
  <c r="X89" i="49"/>
  <c r="G89" i="49"/>
  <c r="AW88" i="49"/>
  <c r="AQ88" i="49"/>
  <c r="AR88" i="49" s="1"/>
  <c r="AM88" i="49"/>
  <c r="AG88" i="49"/>
  <c r="AH88" i="49" s="1"/>
  <c r="X88" i="49"/>
  <c r="G88" i="49"/>
  <c r="AW87" i="49"/>
  <c r="AV87" i="49"/>
  <c r="AQ87" i="49"/>
  <c r="AS87" i="49" s="1"/>
  <c r="AN87" i="49"/>
  <c r="AM87" i="49"/>
  <c r="AG87" i="49"/>
  <c r="AH87" i="49" s="1"/>
  <c r="AD87" i="49"/>
  <c r="Y87" i="49"/>
  <c r="X87" i="49"/>
  <c r="T87" i="49"/>
  <c r="S87" i="49"/>
  <c r="L87" i="49"/>
  <c r="G87" i="49"/>
  <c r="H87" i="49" s="1"/>
  <c r="AW76" i="49"/>
  <c r="AR76" i="49"/>
  <c r="AQ76" i="49"/>
  <c r="AM76" i="49"/>
  <c r="AG76" i="49"/>
  <c r="AH76" i="49" s="1"/>
  <c r="G76" i="49"/>
  <c r="AW75" i="49"/>
  <c r="AR75" i="49"/>
  <c r="AQ75" i="49"/>
  <c r="AM75" i="49"/>
  <c r="AG75" i="49"/>
  <c r="AH75" i="49" s="1"/>
  <c r="G75" i="49"/>
  <c r="AW74" i="49"/>
  <c r="AR74" i="49"/>
  <c r="AQ74" i="49"/>
  <c r="AM74" i="49"/>
  <c r="AG74" i="49"/>
  <c r="AH74" i="49" s="1"/>
  <c r="G74" i="49"/>
  <c r="AW73" i="49"/>
  <c r="AR73" i="49"/>
  <c r="AQ73" i="49"/>
  <c r="AM73" i="49"/>
  <c r="AG73" i="49"/>
  <c r="G73" i="49"/>
  <c r="AW72" i="49"/>
  <c r="AQ72" i="49"/>
  <c r="AR72" i="49" s="1"/>
  <c r="AM72" i="49"/>
  <c r="AG72" i="49"/>
  <c r="AH72" i="49" s="1"/>
  <c r="G72" i="49"/>
  <c r="AW71" i="49"/>
  <c r="AQ71" i="49"/>
  <c r="AR71" i="49" s="1"/>
  <c r="AM71" i="49"/>
  <c r="AG71" i="49"/>
  <c r="AH71" i="49" s="1"/>
  <c r="G71" i="49"/>
  <c r="AW70" i="49"/>
  <c r="AQ70" i="49"/>
  <c r="AR70" i="49" s="1"/>
  <c r="AM70" i="49"/>
  <c r="AG70" i="49"/>
  <c r="AH70" i="49" s="1"/>
  <c r="G70" i="49"/>
  <c r="AW69" i="49"/>
  <c r="AQ69" i="49"/>
  <c r="AR69" i="49" s="1"/>
  <c r="AM69" i="49"/>
  <c r="AG69" i="49"/>
  <c r="AH69" i="49" s="1"/>
  <c r="X69" i="49"/>
  <c r="G69" i="49"/>
  <c r="AW68" i="49"/>
  <c r="AQ68" i="49"/>
  <c r="AR68" i="49" s="1"/>
  <c r="AM68" i="49"/>
  <c r="AG68" i="49"/>
  <c r="X68" i="49"/>
  <c r="G68" i="49"/>
  <c r="AV67" i="49"/>
  <c r="AX67" i="49" s="1"/>
  <c r="AQ67" i="49"/>
  <c r="AS67" i="49" s="1"/>
  <c r="AN67" i="49"/>
  <c r="AM67" i="49"/>
  <c r="AG67" i="49"/>
  <c r="AI67" i="49" s="1"/>
  <c r="AD67" i="49"/>
  <c r="Y67" i="49"/>
  <c r="X67" i="49"/>
  <c r="T67" i="49"/>
  <c r="S67" i="49"/>
  <c r="L67" i="49"/>
  <c r="H67" i="49"/>
  <c r="G67" i="49"/>
  <c r="AW56" i="49"/>
  <c r="AQ56" i="49"/>
  <c r="AR56" i="49" s="1"/>
  <c r="AM56" i="49"/>
  <c r="AG56" i="49"/>
  <c r="G56" i="49"/>
  <c r="AW55" i="49"/>
  <c r="AQ55" i="49"/>
  <c r="AR55" i="49" s="1"/>
  <c r="AM55" i="49"/>
  <c r="AG55" i="49"/>
  <c r="AH55" i="49" s="1"/>
  <c r="G55" i="49"/>
  <c r="AW54" i="49"/>
  <c r="AQ54" i="49"/>
  <c r="AR54" i="49" s="1"/>
  <c r="AM54" i="49"/>
  <c r="AG54" i="49"/>
  <c r="AH54" i="49" s="1"/>
  <c r="G54" i="49"/>
  <c r="AW53" i="49"/>
  <c r="AQ53" i="49"/>
  <c r="AR53" i="49" s="1"/>
  <c r="AM53" i="49"/>
  <c r="AG53" i="49"/>
  <c r="AH53" i="49" s="1"/>
  <c r="G53" i="49"/>
  <c r="AW52" i="49"/>
  <c r="AQ52" i="49"/>
  <c r="AR52" i="49" s="1"/>
  <c r="AM52" i="49"/>
  <c r="AG52" i="49"/>
  <c r="AH52" i="49" s="1"/>
  <c r="G52" i="49"/>
  <c r="AW51" i="49"/>
  <c r="AQ51" i="49"/>
  <c r="AR51" i="49" s="1"/>
  <c r="AM51" i="49"/>
  <c r="AG51" i="49"/>
  <c r="AH51" i="49" s="1"/>
  <c r="G51" i="49"/>
  <c r="AW50" i="49"/>
  <c r="AR50" i="49"/>
  <c r="AQ50" i="49"/>
  <c r="AM50" i="49"/>
  <c r="AG50" i="49"/>
  <c r="AH50" i="49" s="1"/>
  <c r="G50" i="49"/>
  <c r="AW49" i="49"/>
  <c r="AR49" i="49"/>
  <c r="AQ49" i="49"/>
  <c r="AM49" i="49"/>
  <c r="AG49" i="49"/>
  <c r="AH49" i="49" s="1"/>
  <c r="X49" i="49"/>
  <c r="G49" i="49"/>
  <c r="AW48" i="49"/>
  <c r="AQ48" i="49"/>
  <c r="AR48" i="49" s="1"/>
  <c r="AM48" i="49"/>
  <c r="AG48" i="49"/>
  <c r="AH48" i="49" s="1"/>
  <c r="X48" i="49"/>
  <c r="G48" i="49"/>
  <c r="AV47" i="49"/>
  <c r="AX47" i="49" s="1"/>
  <c r="AQ47" i="49"/>
  <c r="AS47" i="49" s="1"/>
  <c r="AN47" i="49"/>
  <c r="AM47" i="49"/>
  <c r="AG47" i="49"/>
  <c r="AI47" i="49" s="1"/>
  <c r="AD47" i="49"/>
  <c r="Y47" i="49"/>
  <c r="X47" i="49"/>
  <c r="T47" i="49"/>
  <c r="S47" i="49"/>
  <c r="L47" i="49"/>
  <c r="G47" i="49"/>
  <c r="H47" i="49" s="1"/>
  <c r="AW96" i="49"/>
  <c r="AH56" i="49"/>
  <c r="P23" i="49"/>
  <c r="U22" i="49"/>
  <c r="U23" i="49" s="1"/>
  <c r="AV15" i="49"/>
  <c r="AQ15" i="49"/>
  <c r="AL15" i="49"/>
  <c r="AG15" i="49"/>
  <c r="AB15" i="49"/>
  <c r="W15" i="49"/>
  <c r="R15" i="49"/>
  <c r="K15" i="49"/>
  <c r="J15" i="49"/>
  <c r="I15" i="49"/>
  <c r="G15" i="49"/>
  <c r="AV14" i="49"/>
  <c r="AQ14" i="49"/>
  <c r="AL14" i="49"/>
  <c r="AG14" i="49"/>
  <c r="AB14" i="49"/>
  <c r="W14" i="49"/>
  <c r="R14" i="49"/>
  <c r="K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N7" i="49" s="1"/>
  <c r="AG9" i="49"/>
  <c r="AB9" i="49"/>
  <c r="W9" i="49"/>
  <c r="R9" i="49"/>
  <c r="J9" i="49"/>
  <c r="I9" i="49"/>
  <c r="G9" i="49"/>
  <c r="AV8" i="49"/>
  <c r="AQ8" i="49"/>
  <c r="AL8" i="49"/>
  <c r="K8" i="49" s="1"/>
  <c r="AG8" i="49"/>
  <c r="AB8" i="49"/>
  <c r="W8" i="49"/>
  <c r="R8" i="49"/>
  <c r="J8" i="49"/>
  <c r="I8" i="49"/>
  <c r="G8" i="49"/>
  <c r="AV7" i="49"/>
  <c r="AX7" i="49" s="1"/>
  <c r="AQ7" i="49"/>
  <c r="AL7" i="49"/>
  <c r="AG7" i="49"/>
  <c r="AI7" i="49" s="1"/>
  <c r="AB7" i="49"/>
  <c r="W7" i="49"/>
  <c r="R7" i="49"/>
  <c r="J7" i="49"/>
  <c r="I7" i="49"/>
  <c r="G7" i="49"/>
  <c r="H7" i="49" s="1"/>
  <c r="P3" i="49"/>
  <c r="AQ96" i="48"/>
  <c r="AR96" i="48" s="1"/>
  <c r="AM96" i="48"/>
  <c r="AG96" i="48"/>
  <c r="G96" i="48"/>
  <c r="AW95" i="48"/>
  <c r="AQ95" i="48"/>
  <c r="AR95" i="48" s="1"/>
  <c r="AM95" i="48"/>
  <c r="AG95" i="48"/>
  <c r="G95" i="48"/>
  <c r="AW94" i="48"/>
  <c r="AQ94" i="48"/>
  <c r="AR94" i="48" s="1"/>
  <c r="AM94" i="48"/>
  <c r="AG94" i="48"/>
  <c r="AH94" i="48" s="1"/>
  <c r="G94" i="48"/>
  <c r="AQ93" i="48"/>
  <c r="AR93" i="48" s="1"/>
  <c r="AM93" i="48"/>
  <c r="AG93" i="48"/>
  <c r="AH93" i="48" s="1"/>
  <c r="G93" i="48"/>
  <c r="AW92" i="48"/>
  <c r="AQ92" i="48"/>
  <c r="AR92" i="48" s="1"/>
  <c r="AM92" i="48"/>
  <c r="AG92" i="48"/>
  <c r="G92" i="48"/>
  <c r="AW91" i="48"/>
  <c r="AQ91" i="48"/>
  <c r="AR91" i="48" s="1"/>
  <c r="AM91" i="48"/>
  <c r="AG91" i="48"/>
  <c r="G91" i="48"/>
  <c r="AQ90" i="48"/>
  <c r="AR90" i="48" s="1"/>
  <c r="AM90" i="48"/>
  <c r="AG90" i="48"/>
  <c r="G90" i="48"/>
  <c r="AW89" i="48"/>
  <c r="AQ89" i="48"/>
  <c r="AR89" i="48" s="1"/>
  <c r="AM89" i="48"/>
  <c r="AG89" i="48"/>
  <c r="AH89" i="48" s="1"/>
  <c r="X89" i="48"/>
  <c r="G89" i="48"/>
  <c r="AW88" i="48"/>
  <c r="AQ88" i="48"/>
  <c r="AR88" i="48" s="1"/>
  <c r="AM88" i="48"/>
  <c r="AG88" i="48"/>
  <c r="X88" i="48"/>
  <c r="G88" i="48"/>
  <c r="AW87" i="48"/>
  <c r="AV87" i="48"/>
  <c r="AX87" i="48" s="1"/>
  <c r="AQ87" i="48"/>
  <c r="AR87" i="48" s="1"/>
  <c r="AN87" i="48"/>
  <c r="AM87" i="48"/>
  <c r="AG87" i="48"/>
  <c r="AD87" i="48"/>
  <c r="Y87" i="48"/>
  <c r="X87" i="48"/>
  <c r="T87" i="48"/>
  <c r="S87" i="48"/>
  <c r="L87" i="48"/>
  <c r="G87" i="48"/>
  <c r="H87" i="48" s="1"/>
  <c r="AW76" i="48"/>
  <c r="AR76" i="48"/>
  <c r="AQ76" i="48"/>
  <c r="AM76" i="48"/>
  <c r="AG76" i="48"/>
  <c r="G76" i="48"/>
  <c r="AW75" i="48"/>
  <c r="AQ75" i="48"/>
  <c r="AR75" i="48" s="1"/>
  <c r="AM75" i="48"/>
  <c r="AG75" i="48"/>
  <c r="G75" i="48"/>
  <c r="AW74" i="48"/>
  <c r="AQ74" i="48"/>
  <c r="AR74" i="48" s="1"/>
  <c r="AM74" i="48"/>
  <c r="AG74" i="48"/>
  <c r="AH74" i="48" s="1"/>
  <c r="G74" i="48"/>
  <c r="AW73" i="48"/>
  <c r="AQ73" i="48"/>
  <c r="AR73" i="48" s="1"/>
  <c r="AM73" i="48"/>
  <c r="AG73" i="48"/>
  <c r="G73" i="48"/>
  <c r="AW72" i="48"/>
  <c r="AQ72" i="48"/>
  <c r="AR72" i="48" s="1"/>
  <c r="AM72" i="48"/>
  <c r="AG72" i="48"/>
  <c r="G72" i="48"/>
  <c r="AW71" i="48"/>
  <c r="AQ71" i="48"/>
  <c r="AR71" i="48" s="1"/>
  <c r="AM71" i="48"/>
  <c r="AG71" i="48"/>
  <c r="AH71" i="48" s="1"/>
  <c r="G71" i="48"/>
  <c r="AR70" i="48"/>
  <c r="AQ70" i="48"/>
  <c r="AM70" i="48"/>
  <c r="AG70" i="48"/>
  <c r="AH70" i="48" s="1"/>
  <c r="G70" i="48"/>
  <c r="AW69" i="48"/>
  <c r="AQ69" i="48"/>
  <c r="AR69" i="48" s="1"/>
  <c r="AM69" i="48"/>
  <c r="AG69" i="48"/>
  <c r="X69" i="48"/>
  <c r="G69" i="48"/>
  <c r="AW68" i="48"/>
  <c r="AQ68" i="48"/>
  <c r="AR68" i="48" s="1"/>
  <c r="AM68" i="48"/>
  <c r="AG68" i="48"/>
  <c r="X68" i="48"/>
  <c r="G68" i="48"/>
  <c r="AV67" i="48"/>
  <c r="AW67" i="48" s="1"/>
  <c r="AQ67" i="48"/>
  <c r="AS67" i="48" s="1"/>
  <c r="AN67" i="48"/>
  <c r="AM67" i="48"/>
  <c r="AG67" i="48"/>
  <c r="AI67" i="48" s="1"/>
  <c r="AD67" i="48"/>
  <c r="Y67" i="48"/>
  <c r="X67" i="48"/>
  <c r="T67" i="48"/>
  <c r="S67" i="48"/>
  <c r="L67" i="48"/>
  <c r="G67" i="48"/>
  <c r="H67" i="48" s="1"/>
  <c r="AW56" i="48"/>
  <c r="AQ56" i="48"/>
  <c r="AR56" i="48" s="1"/>
  <c r="AM56" i="48"/>
  <c r="AG56" i="48"/>
  <c r="G56" i="48"/>
  <c r="AW55" i="48"/>
  <c r="AQ55" i="48"/>
  <c r="AR55" i="48" s="1"/>
  <c r="AM55" i="48"/>
  <c r="AG55" i="48"/>
  <c r="G55" i="48"/>
  <c r="AW54" i="48"/>
  <c r="AQ54" i="48"/>
  <c r="AR54" i="48" s="1"/>
  <c r="AM54" i="48"/>
  <c r="AG54" i="48"/>
  <c r="AH54" i="48" s="1"/>
  <c r="G54" i="48"/>
  <c r="AW53" i="48"/>
  <c r="AQ53" i="48"/>
  <c r="AR53" i="48" s="1"/>
  <c r="AM53" i="48"/>
  <c r="AG53" i="48"/>
  <c r="G53" i="48"/>
  <c r="AW52" i="48"/>
  <c r="AQ52" i="48"/>
  <c r="AR52" i="48" s="1"/>
  <c r="AM52" i="48"/>
  <c r="AG52" i="48"/>
  <c r="G52" i="48"/>
  <c r="AW51" i="48"/>
  <c r="AQ51" i="48"/>
  <c r="AR51" i="48" s="1"/>
  <c r="AM51" i="48"/>
  <c r="AG51" i="48"/>
  <c r="G51" i="48"/>
  <c r="AW50" i="48"/>
  <c r="AR50" i="48"/>
  <c r="AQ50" i="48"/>
  <c r="AM50" i="48"/>
  <c r="AG50" i="48"/>
  <c r="G50" i="48"/>
  <c r="AW49" i="48"/>
  <c r="AQ49" i="48"/>
  <c r="AR49" i="48" s="1"/>
  <c r="AM49" i="48"/>
  <c r="AG49" i="48"/>
  <c r="X49" i="48"/>
  <c r="G49" i="48"/>
  <c r="AW48" i="48"/>
  <c r="AQ48" i="48"/>
  <c r="AR48" i="48" s="1"/>
  <c r="AM48" i="48"/>
  <c r="AG48" i="48"/>
  <c r="AH48" i="48" s="1"/>
  <c r="X48" i="48"/>
  <c r="G48" i="48"/>
  <c r="AV47" i="48"/>
  <c r="AX47" i="48" s="1"/>
  <c r="AQ47" i="48"/>
  <c r="AS47" i="48" s="1"/>
  <c r="AN47" i="48"/>
  <c r="AM47" i="48"/>
  <c r="AG47" i="48"/>
  <c r="AI47" i="48" s="1"/>
  <c r="AD47" i="48"/>
  <c r="Y47" i="48"/>
  <c r="X47" i="48"/>
  <c r="T47" i="48"/>
  <c r="S47" i="48"/>
  <c r="L47" i="48"/>
  <c r="G47" i="48"/>
  <c r="H47" i="48" s="1"/>
  <c r="AW96" i="48"/>
  <c r="P23" i="48"/>
  <c r="U22" i="48"/>
  <c r="U23" i="48" s="1"/>
  <c r="AV14" i="48"/>
  <c r="AQ14" i="48"/>
  <c r="AL14" i="48"/>
  <c r="AG14" i="48"/>
  <c r="AB14" i="48"/>
  <c r="W14" i="48"/>
  <c r="R14" i="48"/>
  <c r="K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K11" i="48" s="1"/>
  <c r="AG11" i="48"/>
  <c r="AB11" i="48"/>
  <c r="W11" i="48"/>
  <c r="R11" i="48"/>
  <c r="J11" i="48"/>
  <c r="I11" i="48"/>
  <c r="G11" i="48"/>
  <c r="AV10" i="48"/>
  <c r="AQ10" i="48"/>
  <c r="AL10" i="48"/>
  <c r="AG10" i="48"/>
  <c r="K10" i="48" s="1"/>
  <c r="AB10" i="48"/>
  <c r="W10" i="48"/>
  <c r="R10" i="48"/>
  <c r="J10" i="48"/>
  <c r="I10" i="48"/>
  <c r="G10" i="48"/>
  <c r="AV9" i="48"/>
  <c r="AQ9" i="48"/>
  <c r="AL9" i="48"/>
  <c r="AG9" i="48"/>
  <c r="AB9" i="48"/>
  <c r="K9" i="48" s="1"/>
  <c r="W9" i="48"/>
  <c r="R9" i="48"/>
  <c r="J9" i="48"/>
  <c r="I9" i="48"/>
  <c r="G9" i="48"/>
  <c r="AV8" i="48"/>
  <c r="AQ8" i="48"/>
  <c r="AL8" i="48"/>
  <c r="AG8" i="48"/>
  <c r="AB8" i="48"/>
  <c r="W8" i="48"/>
  <c r="R8" i="48"/>
  <c r="J8" i="48"/>
  <c r="I8" i="48"/>
  <c r="G8" i="48"/>
  <c r="AV7" i="48"/>
  <c r="AX7" i="48" s="1"/>
  <c r="AQ7" i="48"/>
  <c r="AS7" i="48" s="1"/>
  <c r="AL7" i="48"/>
  <c r="AN7" i="48" s="1"/>
  <c r="AG7" i="48"/>
  <c r="AI7" i="48" s="1"/>
  <c r="AB7" i="48"/>
  <c r="K7" i="48" s="1"/>
  <c r="W7" i="48"/>
  <c r="Y7" i="48" s="1"/>
  <c r="R7" i="48"/>
  <c r="T7" i="48" s="1"/>
  <c r="J7" i="48"/>
  <c r="I7" i="48"/>
  <c r="G7" i="48"/>
  <c r="H7" i="48" s="1"/>
  <c r="P3" i="48"/>
  <c r="U2" i="48"/>
  <c r="AQ96" i="47"/>
  <c r="AR96" i="47" s="1"/>
  <c r="AM96" i="47"/>
  <c r="AG96" i="47"/>
  <c r="AH96" i="47" s="1"/>
  <c r="G96" i="47"/>
  <c r="AW95" i="47"/>
  <c r="AQ95" i="47"/>
  <c r="AR95" i="47" s="1"/>
  <c r="AM95" i="47"/>
  <c r="AG95" i="47"/>
  <c r="AH95" i="47" s="1"/>
  <c r="G95" i="47"/>
  <c r="AW94" i="47"/>
  <c r="AQ94" i="47"/>
  <c r="AR94" i="47" s="1"/>
  <c r="AM94" i="47"/>
  <c r="AG94" i="47"/>
  <c r="AH94" i="47" s="1"/>
  <c r="G94" i="47"/>
  <c r="AQ93" i="47"/>
  <c r="AR93" i="47" s="1"/>
  <c r="AM93" i="47"/>
  <c r="AG93" i="47"/>
  <c r="AH93" i="47" s="1"/>
  <c r="G93" i="47"/>
  <c r="AW92" i="47"/>
  <c r="AQ92" i="47"/>
  <c r="AR92" i="47" s="1"/>
  <c r="AM92" i="47"/>
  <c r="AG92" i="47"/>
  <c r="AH92" i="47" s="1"/>
  <c r="G92" i="47"/>
  <c r="AW91" i="47"/>
  <c r="AQ91" i="47"/>
  <c r="AR91" i="47" s="1"/>
  <c r="AM91" i="47"/>
  <c r="AG91" i="47"/>
  <c r="G91" i="47"/>
  <c r="AW90" i="47"/>
  <c r="AR90" i="47"/>
  <c r="AQ90" i="47"/>
  <c r="AM90" i="47"/>
  <c r="AG90" i="47"/>
  <c r="G90" i="47"/>
  <c r="AW89" i="47"/>
  <c r="AQ89" i="47"/>
  <c r="AR89" i="47" s="1"/>
  <c r="AM89" i="47"/>
  <c r="AG89" i="47"/>
  <c r="AH89" i="47" s="1"/>
  <c r="X89" i="47"/>
  <c r="G89" i="47"/>
  <c r="AW88" i="47"/>
  <c r="AQ88" i="47"/>
  <c r="AM88" i="47"/>
  <c r="AG88" i="47"/>
  <c r="AH88" i="47" s="1"/>
  <c r="X88" i="47"/>
  <c r="G88" i="47"/>
  <c r="AX87" i="47"/>
  <c r="AW87" i="47"/>
  <c r="AV87" i="47"/>
  <c r="AQ87" i="47"/>
  <c r="AS87" i="47" s="1"/>
  <c r="AN87" i="47"/>
  <c r="AM87" i="47"/>
  <c r="AG87" i="47"/>
  <c r="AH87" i="47" s="1"/>
  <c r="AD87" i="47"/>
  <c r="Y87" i="47"/>
  <c r="X87" i="47"/>
  <c r="T87" i="47"/>
  <c r="S87" i="47"/>
  <c r="L87" i="47"/>
  <c r="G87" i="47"/>
  <c r="H87" i="47" s="1"/>
  <c r="AW76" i="47"/>
  <c r="AR76" i="47"/>
  <c r="AQ76" i="47"/>
  <c r="AM76" i="47"/>
  <c r="AG76" i="47"/>
  <c r="AH76" i="47" s="1"/>
  <c r="G76" i="47"/>
  <c r="AW75" i="47"/>
  <c r="AR75" i="47"/>
  <c r="AQ75" i="47"/>
  <c r="AM75" i="47"/>
  <c r="AG75" i="47"/>
  <c r="AH75" i="47" s="1"/>
  <c r="G75" i="47"/>
  <c r="AW74" i="47"/>
  <c r="AQ74" i="47"/>
  <c r="AR74" i="47" s="1"/>
  <c r="AM74" i="47"/>
  <c r="AG74" i="47"/>
  <c r="AH74" i="47" s="1"/>
  <c r="G74" i="47"/>
  <c r="AW73" i="47"/>
  <c r="AQ73" i="47"/>
  <c r="AR73" i="47" s="1"/>
  <c r="AM73" i="47"/>
  <c r="AG73" i="47"/>
  <c r="G73" i="47"/>
  <c r="AW72" i="47"/>
  <c r="AR72" i="47"/>
  <c r="AQ72" i="47"/>
  <c r="AM72" i="47"/>
  <c r="AG72" i="47"/>
  <c r="AH72" i="47" s="1"/>
  <c r="G72" i="47"/>
  <c r="AW71" i="47"/>
  <c r="AQ71" i="47"/>
  <c r="AR71" i="47" s="1"/>
  <c r="AM71" i="47"/>
  <c r="AG71" i="47"/>
  <c r="AH71" i="47" s="1"/>
  <c r="G71" i="47"/>
  <c r="AQ70" i="47"/>
  <c r="AR70" i="47" s="1"/>
  <c r="AM70" i="47"/>
  <c r="AG70" i="47"/>
  <c r="AH70" i="47" s="1"/>
  <c r="G70" i="47"/>
  <c r="AW69" i="47"/>
  <c r="AQ69" i="47"/>
  <c r="AR69" i="47" s="1"/>
  <c r="AM69" i="47"/>
  <c r="AG69" i="47"/>
  <c r="AH69" i="47" s="1"/>
  <c r="X69" i="47"/>
  <c r="G69" i="47"/>
  <c r="AW68" i="47"/>
  <c r="AQ68" i="47"/>
  <c r="AR68" i="47" s="1"/>
  <c r="AM68" i="47"/>
  <c r="AG68" i="47"/>
  <c r="X68" i="47"/>
  <c r="G68" i="47"/>
  <c r="AX67" i="47"/>
  <c r="AV67" i="47"/>
  <c r="AW67" i="47" s="1"/>
  <c r="AR67" i="47"/>
  <c r="AQ67" i="47"/>
  <c r="AN67" i="47"/>
  <c r="AM67" i="47"/>
  <c r="AG67" i="47"/>
  <c r="AH67" i="47" s="1"/>
  <c r="AD67" i="47"/>
  <c r="Y67" i="47"/>
  <c r="X67" i="47"/>
  <c r="T67" i="47"/>
  <c r="S67" i="47"/>
  <c r="L67" i="47"/>
  <c r="G67" i="47"/>
  <c r="H67" i="47" s="1"/>
  <c r="AW56" i="47"/>
  <c r="AQ56" i="47"/>
  <c r="AR56" i="47" s="1"/>
  <c r="AM56" i="47"/>
  <c r="AG56" i="47"/>
  <c r="AH56" i="47" s="1"/>
  <c r="G56" i="47"/>
  <c r="AW55" i="47"/>
  <c r="AQ55" i="47"/>
  <c r="AR55" i="47" s="1"/>
  <c r="AM55" i="47"/>
  <c r="AG55" i="47"/>
  <c r="G55" i="47"/>
  <c r="AW54" i="47"/>
  <c r="AQ54" i="47"/>
  <c r="AR54" i="47" s="1"/>
  <c r="AM54" i="47"/>
  <c r="AG54" i="47"/>
  <c r="AH54" i="47" s="1"/>
  <c r="G54" i="47"/>
  <c r="AW53" i="47"/>
  <c r="AQ53" i="47"/>
  <c r="AR53" i="47" s="1"/>
  <c r="AM53" i="47"/>
  <c r="AG53" i="47"/>
  <c r="AH53" i="47" s="1"/>
  <c r="G53" i="47"/>
  <c r="AW52" i="47"/>
  <c r="AQ52" i="47"/>
  <c r="AR52" i="47" s="1"/>
  <c r="AM52" i="47"/>
  <c r="AG52" i="47"/>
  <c r="AH52" i="47" s="1"/>
  <c r="G52" i="47"/>
  <c r="AW51" i="47"/>
  <c r="AQ51" i="47"/>
  <c r="AR51" i="47" s="1"/>
  <c r="AM51" i="47"/>
  <c r="AG51" i="47"/>
  <c r="AH51" i="47" s="1"/>
  <c r="G51" i="47"/>
  <c r="AW50" i="47"/>
  <c r="AR50" i="47"/>
  <c r="AQ50" i="47"/>
  <c r="AM50" i="47"/>
  <c r="AG50" i="47"/>
  <c r="AH50" i="47" s="1"/>
  <c r="G50" i="47"/>
  <c r="AW49" i="47"/>
  <c r="AQ49" i="47"/>
  <c r="AR49" i="47" s="1"/>
  <c r="AM49" i="47"/>
  <c r="AG49" i="47"/>
  <c r="AH49" i="47" s="1"/>
  <c r="X49" i="47"/>
  <c r="G49" i="47"/>
  <c r="AW48" i="47"/>
  <c r="AQ48" i="47"/>
  <c r="AR48" i="47" s="1"/>
  <c r="AM48" i="47"/>
  <c r="AG48" i="47"/>
  <c r="AH48" i="47" s="1"/>
  <c r="X48" i="47"/>
  <c r="G48" i="47"/>
  <c r="AV47" i="47"/>
  <c r="AW47" i="47" s="1"/>
  <c r="AQ47" i="47"/>
  <c r="AS47" i="47" s="1"/>
  <c r="AN47" i="47"/>
  <c r="AM47" i="47"/>
  <c r="AG47" i="47"/>
  <c r="AI47" i="47" s="1"/>
  <c r="AD47" i="47"/>
  <c r="Y47" i="47"/>
  <c r="X47" i="47"/>
  <c r="T47" i="47"/>
  <c r="S47" i="47"/>
  <c r="L47" i="47"/>
  <c r="G47" i="47"/>
  <c r="H47" i="47" s="1"/>
  <c r="AH91" i="47"/>
  <c r="AH55" i="47"/>
  <c r="AW96" i="47"/>
  <c r="AH73" i="47"/>
  <c r="P23" i="47"/>
  <c r="U22" i="47"/>
  <c r="U23" i="47" s="1"/>
  <c r="AV7" i="47"/>
  <c r="AX7" i="47" s="1"/>
  <c r="AS7" i="47"/>
  <c r="AQ7" i="47"/>
  <c r="AL7" i="47"/>
  <c r="AN7" i="47" s="1"/>
  <c r="AG7" i="47"/>
  <c r="AI7" i="47" s="1"/>
  <c r="AB7" i="47"/>
  <c r="AD7" i="47" s="1"/>
  <c r="W7" i="47"/>
  <c r="K7" i="47" s="1"/>
  <c r="T7" i="47"/>
  <c r="R7" i="47"/>
  <c r="J7" i="47"/>
  <c r="I7" i="47"/>
  <c r="G7" i="47"/>
  <c r="H7" i="47" s="1"/>
  <c r="P3" i="47"/>
  <c r="U2" i="47"/>
  <c r="AQ96" i="46"/>
  <c r="AR96" i="46" s="1"/>
  <c r="AM96" i="46"/>
  <c r="AG96" i="46"/>
  <c r="G96" i="46"/>
  <c r="AQ95" i="46"/>
  <c r="AR95" i="46" s="1"/>
  <c r="AM95" i="46"/>
  <c r="AG95" i="46"/>
  <c r="AH95" i="46" s="1"/>
  <c r="G95" i="46"/>
  <c r="AW94" i="46"/>
  <c r="AQ94" i="46"/>
  <c r="AR94" i="46" s="1"/>
  <c r="AM94" i="46"/>
  <c r="AG94" i="46"/>
  <c r="AH94" i="46" s="1"/>
  <c r="G94" i="46"/>
  <c r="AQ93" i="46"/>
  <c r="AR93" i="46" s="1"/>
  <c r="AM93" i="46"/>
  <c r="AG93" i="46"/>
  <c r="AH93" i="46" s="1"/>
  <c r="G93" i="46"/>
  <c r="AQ92" i="46"/>
  <c r="AR92" i="46" s="1"/>
  <c r="AM92" i="46"/>
  <c r="AG92" i="46"/>
  <c r="AH92" i="46" s="1"/>
  <c r="G92" i="46"/>
  <c r="AW91" i="46"/>
  <c r="AQ91" i="46"/>
  <c r="AR91" i="46" s="1"/>
  <c r="AM91" i="46"/>
  <c r="AG91" i="46"/>
  <c r="G91" i="46"/>
  <c r="AQ90" i="46"/>
  <c r="AR90" i="46" s="1"/>
  <c r="AM90" i="46"/>
  <c r="AG90" i="46"/>
  <c r="G90" i="46"/>
  <c r="AW89" i="46"/>
  <c r="AQ89" i="46"/>
  <c r="AR89" i="46" s="1"/>
  <c r="AM89" i="46"/>
  <c r="AG89" i="46"/>
  <c r="AH89" i="46" s="1"/>
  <c r="X89" i="46"/>
  <c r="G89" i="46"/>
  <c r="AW88" i="46"/>
  <c r="AQ88" i="46"/>
  <c r="AR88" i="46" s="1"/>
  <c r="AM88" i="46"/>
  <c r="AG88" i="46"/>
  <c r="AH88" i="46" s="1"/>
  <c r="X88" i="46"/>
  <c r="G88" i="46"/>
  <c r="AV87" i="46"/>
  <c r="AX87" i="46" s="1"/>
  <c r="AQ87" i="46"/>
  <c r="AN87" i="46"/>
  <c r="AM87" i="46"/>
  <c r="AG87" i="46"/>
  <c r="AI87" i="46" s="1"/>
  <c r="AD87" i="46"/>
  <c r="Y87" i="46"/>
  <c r="X87" i="46"/>
  <c r="T87" i="46"/>
  <c r="S87" i="46"/>
  <c r="L87" i="46"/>
  <c r="G87" i="46"/>
  <c r="H87" i="46" s="1"/>
  <c r="AW76" i="46"/>
  <c r="AR76" i="46"/>
  <c r="AQ76" i="46"/>
  <c r="AM76" i="46"/>
  <c r="AG76" i="46"/>
  <c r="AH76" i="46" s="1"/>
  <c r="G76" i="46"/>
  <c r="AR75" i="46"/>
  <c r="AQ75" i="46"/>
  <c r="AM75" i="46"/>
  <c r="AG75" i="46"/>
  <c r="AH75" i="46" s="1"/>
  <c r="G75" i="46"/>
  <c r="AW74" i="46"/>
  <c r="AQ74" i="46"/>
  <c r="AR74" i="46" s="1"/>
  <c r="AM74" i="46"/>
  <c r="AG74" i="46"/>
  <c r="AH74" i="46" s="1"/>
  <c r="G74" i="46"/>
  <c r="AW73" i="46"/>
  <c r="AQ73" i="46"/>
  <c r="AR73" i="46" s="1"/>
  <c r="AM73" i="46"/>
  <c r="AG73" i="46"/>
  <c r="AH73" i="46" s="1"/>
  <c r="G73" i="46"/>
  <c r="AW72" i="46"/>
  <c r="AQ72" i="46"/>
  <c r="AR72" i="46" s="1"/>
  <c r="AM72" i="46"/>
  <c r="AG72" i="46"/>
  <c r="AH72" i="46" s="1"/>
  <c r="G72" i="46"/>
  <c r="AW71" i="46"/>
  <c r="AQ71" i="46"/>
  <c r="AR71" i="46" s="1"/>
  <c r="AM71" i="46"/>
  <c r="AG71" i="46"/>
  <c r="AH71" i="46" s="1"/>
  <c r="G71" i="46"/>
  <c r="AQ70" i="46"/>
  <c r="AR70" i="46" s="1"/>
  <c r="AM70" i="46"/>
  <c r="AG70" i="46"/>
  <c r="G70" i="46"/>
  <c r="AQ69" i="46"/>
  <c r="AR69" i="46" s="1"/>
  <c r="AM69" i="46"/>
  <c r="AG69" i="46"/>
  <c r="AH69" i="46" s="1"/>
  <c r="X69" i="46"/>
  <c r="G69" i="46"/>
  <c r="AW68" i="46"/>
  <c r="AQ68" i="46"/>
  <c r="AR68" i="46" s="1"/>
  <c r="AM68" i="46"/>
  <c r="AG68" i="46"/>
  <c r="X68" i="46"/>
  <c r="G68" i="46"/>
  <c r="AX67" i="46"/>
  <c r="AW67" i="46"/>
  <c r="AV67" i="46"/>
  <c r="AQ67" i="46"/>
  <c r="AR67" i="46" s="1"/>
  <c r="AN67" i="46"/>
  <c r="AM67" i="46"/>
  <c r="AG67" i="46"/>
  <c r="AH67" i="46" s="1"/>
  <c r="AD67" i="46"/>
  <c r="Y67" i="46"/>
  <c r="X67" i="46"/>
  <c r="T67" i="46"/>
  <c r="S67" i="46"/>
  <c r="L67" i="46"/>
  <c r="G67" i="46"/>
  <c r="H67" i="46" s="1"/>
  <c r="AW56" i="46"/>
  <c r="AQ56" i="46"/>
  <c r="AR56" i="46" s="1"/>
  <c r="AM56" i="46"/>
  <c r="AG56" i="46"/>
  <c r="AH56" i="46" s="1"/>
  <c r="G56" i="46"/>
  <c r="AW55" i="46"/>
  <c r="AR55" i="46"/>
  <c r="AQ55" i="46"/>
  <c r="AM55" i="46"/>
  <c r="AG55" i="46"/>
  <c r="AH55" i="46" s="1"/>
  <c r="G55" i="46"/>
  <c r="AW54" i="46"/>
  <c r="AQ54" i="46"/>
  <c r="AR54" i="46" s="1"/>
  <c r="AM54" i="46"/>
  <c r="AG54" i="46"/>
  <c r="AH54" i="46" s="1"/>
  <c r="G54" i="46"/>
  <c r="AW53" i="46"/>
  <c r="AQ53" i="46"/>
  <c r="AR53" i="46" s="1"/>
  <c r="AM53" i="46"/>
  <c r="AG53" i="46"/>
  <c r="AH53" i="46" s="1"/>
  <c r="G53" i="46"/>
  <c r="AW52" i="46"/>
  <c r="AQ52" i="46"/>
  <c r="AR52" i="46" s="1"/>
  <c r="AM52" i="46"/>
  <c r="AG52" i="46"/>
  <c r="AH52" i="46" s="1"/>
  <c r="G52" i="46"/>
  <c r="AW51" i="46"/>
  <c r="AQ51" i="46"/>
  <c r="AR51" i="46" s="1"/>
  <c r="AM51" i="46"/>
  <c r="AG51" i="46"/>
  <c r="AH51" i="46" s="1"/>
  <c r="G51" i="46"/>
  <c r="AW50" i="46"/>
  <c r="AR50" i="46"/>
  <c r="AQ50" i="46"/>
  <c r="AM50" i="46"/>
  <c r="AG50" i="46"/>
  <c r="AH50" i="46" s="1"/>
  <c r="G50" i="46"/>
  <c r="AR49" i="46"/>
  <c r="AQ49" i="46"/>
  <c r="AM49" i="46"/>
  <c r="AG49" i="46"/>
  <c r="AH49" i="46" s="1"/>
  <c r="X49" i="46"/>
  <c r="G49" i="46"/>
  <c r="AW48" i="46"/>
  <c r="AQ48" i="46"/>
  <c r="AR48" i="46" s="1"/>
  <c r="AM48" i="46"/>
  <c r="AG48" i="46"/>
  <c r="AH48" i="46" s="1"/>
  <c r="X48" i="46"/>
  <c r="G48" i="46"/>
  <c r="AV47" i="46"/>
  <c r="AX47" i="46" s="1"/>
  <c r="AQ47" i="46"/>
  <c r="AS47" i="46" s="1"/>
  <c r="AN47" i="46"/>
  <c r="AM47" i="46"/>
  <c r="AG47" i="46"/>
  <c r="AI47" i="46" s="1"/>
  <c r="AD47" i="46"/>
  <c r="Y47" i="46"/>
  <c r="X47" i="46"/>
  <c r="T47" i="46"/>
  <c r="S47" i="46"/>
  <c r="L47" i="46"/>
  <c r="G47" i="46"/>
  <c r="H47" i="46" s="1"/>
  <c r="AH91" i="46"/>
  <c r="AH96" i="46"/>
  <c r="AW96" i="46"/>
  <c r="AH90" i="46"/>
  <c r="P23" i="46"/>
  <c r="U22" i="46"/>
  <c r="U23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S7" i="46"/>
  <c r="AQ7" i="46"/>
  <c r="AL7" i="46"/>
  <c r="AN7" i="46" s="1"/>
  <c r="AG7" i="46"/>
  <c r="AI7" i="46" s="1"/>
  <c r="AB7" i="46"/>
  <c r="AD7" i="46" s="1"/>
  <c r="Y7" i="46"/>
  <c r="W7" i="46"/>
  <c r="R7" i="46"/>
  <c r="K7" i="46" s="1"/>
  <c r="J7" i="46"/>
  <c r="I7" i="46"/>
  <c r="G7" i="46"/>
  <c r="H7" i="46" s="1"/>
  <c r="B29" i="39"/>
  <c r="AW96" i="45"/>
  <c r="AQ96" i="45"/>
  <c r="AR96" i="45" s="1"/>
  <c r="AM96" i="45"/>
  <c r="AG96" i="45"/>
  <c r="AH96" i="45" s="1"/>
  <c r="G96" i="45"/>
  <c r="AW95" i="45"/>
  <c r="AQ95" i="45"/>
  <c r="AR95" i="45" s="1"/>
  <c r="AM95" i="45"/>
  <c r="AG95" i="45"/>
  <c r="AH95" i="45" s="1"/>
  <c r="G95" i="45"/>
  <c r="AW94" i="45"/>
  <c r="AQ94" i="45"/>
  <c r="AR94" i="45" s="1"/>
  <c r="AM94" i="45"/>
  <c r="AG94" i="45"/>
  <c r="AH94" i="45" s="1"/>
  <c r="G94" i="45"/>
  <c r="AW93" i="45"/>
  <c r="AQ93" i="45"/>
  <c r="AR93" i="45" s="1"/>
  <c r="AM93" i="45"/>
  <c r="AG93" i="45"/>
  <c r="AH93" i="45" s="1"/>
  <c r="G93" i="45"/>
  <c r="AW92" i="45"/>
  <c r="AQ92" i="45"/>
  <c r="AR92" i="45" s="1"/>
  <c r="AM92" i="45"/>
  <c r="AG92" i="45"/>
  <c r="AH92" i="45" s="1"/>
  <c r="G92" i="45"/>
  <c r="AW91" i="45"/>
  <c r="AQ91" i="45"/>
  <c r="AR91" i="45" s="1"/>
  <c r="AM91" i="45"/>
  <c r="AH91" i="45"/>
  <c r="AG91" i="45"/>
  <c r="G91" i="45"/>
  <c r="AW90" i="45"/>
  <c r="AQ90" i="45"/>
  <c r="AR90" i="45" s="1"/>
  <c r="AM90" i="45"/>
  <c r="AH90" i="45"/>
  <c r="AG90" i="45"/>
  <c r="G90" i="45"/>
  <c r="AW89" i="45"/>
  <c r="AQ89" i="45"/>
  <c r="AR89" i="45" s="1"/>
  <c r="AM89" i="45"/>
  <c r="AG89" i="45"/>
  <c r="AH89" i="45" s="1"/>
  <c r="X89" i="45"/>
  <c r="G89" i="45"/>
  <c r="AW88" i="45"/>
  <c r="AQ88" i="45"/>
  <c r="AR88" i="45" s="1"/>
  <c r="AM88" i="45"/>
  <c r="AG88" i="45"/>
  <c r="AH88" i="45" s="1"/>
  <c r="X88" i="45"/>
  <c r="G88" i="45"/>
  <c r="AX87" i="45"/>
  <c r="AW87" i="45"/>
  <c r="AV87" i="45"/>
  <c r="AQ87" i="45"/>
  <c r="AN87" i="45"/>
  <c r="AM87" i="45"/>
  <c r="AG87" i="45"/>
  <c r="AD87" i="45"/>
  <c r="Y87" i="45"/>
  <c r="X87" i="45"/>
  <c r="T87" i="45"/>
  <c r="S87" i="45"/>
  <c r="L87" i="45"/>
  <c r="G87" i="45"/>
  <c r="H87" i="45" s="1"/>
  <c r="P82" i="45"/>
  <c r="U82" i="45" s="1"/>
  <c r="AW76" i="45"/>
  <c r="AQ76" i="45"/>
  <c r="AR76" i="45" s="1"/>
  <c r="AM76" i="45"/>
  <c r="AG76" i="45"/>
  <c r="AH76" i="45" s="1"/>
  <c r="G76" i="45"/>
  <c r="AW75" i="45"/>
  <c r="AQ75" i="45"/>
  <c r="AR75" i="45" s="1"/>
  <c r="AM75" i="45"/>
  <c r="AG75" i="45"/>
  <c r="AH75" i="45" s="1"/>
  <c r="G75" i="45"/>
  <c r="AW74" i="45"/>
  <c r="AQ74" i="45"/>
  <c r="AR74" i="45" s="1"/>
  <c r="AM74" i="45"/>
  <c r="AG74" i="45"/>
  <c r="AH74" i="45" s="1"/>
  <c r="G74" i="45"/>
  <c r="AW73" i="45"/>
  <c r="AQ73" i="45"/>
  <c r="AR73" i="45" s="1"/>
  <c r="AM73" i="45"/>
  <c r="AG73" i="45"/>
  <c r="AH73" i="45" s="1"/>
  <c r="G73" i="45"/>
  <c r="AW72" i="45"/>
  <c r="AQ72" i="45"/>
  <c r="AR72" i="45" s="1"/>
  <c r="AM72" i="45"/>
  <c r="AG72" i="45"/>
  <c r="AH72" i="45" s="1"/>
  <c r="G72" i="45"/>
  <c r="AW71" i="45"/>
  <c r="AQ71" i="45"/>
  <c r="AR71" i="45" s="1"/>
  <c r="AM71" i="45"/>
  <c r="AH71" i="45"/>
  <c r="AG71" i="45"/>
  <c r="G71" i="45"/>
  <c r="AW70" i="45"/>
  <c r="AQ70" i="45"/>
  <c r="AR70" i="45" s="1"/>
  <c r="AM70" i="45"/>
  <c r="AG70" i="45"/>
  <c r="AH70" i="45" s="1"/>
  <c r="G70" i="45"/>
  <c r="AW69" i="45"/>
  <c r="AQ69" i="45"/>
  <c r="AR69" i="45" s="1"/>
  <c r="AM69" i="45"/>
  <c r="AG69" i="45"/>
  <c r="AH69" i="45" s="1"/>
  <c r="X69" i="45"/>
  <c r="G69" i="45"/>
  <c r="AW68" i="45"/>
  <c r="AQ68" i="45"/>
  <c r="AR68" i="45" s="1"/>
  <c r="AM68" i="45"/>
  <c r="AG68" i="45"/>
  <c r="AH68" i="45" s="1"/>
  <c r="X68" i="45"/>
  <c r="G68" i="45"/>
  <c r="AV67" i="45"/>
  <c r="AX67" i="45" s="1"/>
  <c r="AQ67" i="45"/>
  <c r="AR67" i="45" s="1"/>
  <c r="AN67" i="45"/>
  <c r="AM67" i="45"/>
  <c r="AG67" i="45"/>
  <c r="AI67" i="45" s="1"/>
  <c r="AD67" i="45"/>
  <c r="Y67" i="45"/>
  <c r="X67" i="45"/>
  <c r="T67" i="45"/>
  <c r="S67" i="45"/>
  <c r="L67" i="45"/>
  <c r="G67" i="45"/>
  <c r="H67" i="45" s="1"/>
  <c r="P62" i="45"/>
  <c r="P63" i="45" s="1"/>
  <c r="AW56" i="45"/>
  <c r="AQ56" i="45"/>
  <c r="AR56" i="45" s="1"/>
  <c r="AM56" i="45"/>
  <c r="AH56" i="45"/>
  <c r="AG56" i="45"/>
  <c r="G56" i="45"/>
  <c r="AW55" i="45"/>
  <c r="AQ55" i="45"/>
  <c r="AR55" i="45" s="1"/>
  <c r="AM55" i="45"/>
  <c r="AG55" i="45"/>
  <c r="AH55" i="45" s="1"/>
  <c r="G55" i="45"/>
  <c r="AW54" i="45"/>
  <c r="AQ54" i="45"/>
  <c r="AR54" i="45" s="1"/>
  <c r="AM54" i="45"/>
  <c r="AG54" i="45"/>
  <c r="AH54" i="45" s="1"/>
  <c r="G54" i="45"/>
  <c r="AW53" i="45"/>
  <c r="AQ53" i="45"/>
  <c r="AR53" i="45" s="1"/>
  <c r="AM53" i="45"/>
  <c r="AG53" i="45"/>
  <c r="AH53" i="45" s="1"/>
  <c r="G53" i="45"/>
  <c r="AW52" i="45"/>
  <c r="AQ52" i="45"/>
  <c r="AR52" i="45" s="1"/>
  <c r="AM52" i="45"/>
  <c r="AG52" i="45"/>
  <c r="AH52" i="45" s="1"/>
  <c r="G52" i="45"/>
  <c r="AW51" i="45"/>
  <c r="AQ51" i="45"/>
  <c r="AR51" i="45" s="1"/>
  <c r="AM51" i="45"/>
  <c r="AH51" i="45"/>
  <c r="AG51" i="45"/>
  <c r="G51" i="45"/>
  <c r="AW50" i="45"/>
  <c r="AQ50" i="45"/>
  <c r="AR50" i="45" s="1"/>
  <c r="AM50" i="45"/>
  <c r="AG50" i="45"/>
  <c r="AH50" i="45" s="1"/>
  <c r="G50" i="45"/>
  <c r="AW49" i="45"/>
  <c r="AQ49" i="45"/>
  <c r="AR49" i="45" s="1"/>
  <c r="AM49" i="45"/>
  <c r="AG49" i="45"/>
  <c r="AH49" i="45" s="1"/>
  <c r="X49" i="45"/>
  <c r="G49" i="45"/>
  <c r="AW48" i="45"/>
  <c r="AQ48" i="45"/>
  <c r="AR48" i="45" s="1"/>
  <c r="AM48" i="45"/>
  <c r="AG48" i="45"/>
  <c r="AH48" i="45" s="1"/>
  <c r="X48" i="45"/>
  <c r="G48" i="45"/>
  <c r="AV47" i="45"/>
  <c r="AX47" i="45" s="1"/>
  <c r="AQ47" i="45"/>
  <c r="AS47" i="45" s="1"/>
  <c r="AN47" i="45"/>
  <c r="AM47" i="45"/>
  <c r="AG47" i="45"/>
  <c r="AI47" i="45" s="1"/>
  <c r="AD47" i="45"/>
  <c r="Y47" i="45"/>
  <c r="X47" i="45"/>
  <c r="T47" i="45"/>
  <c r="S47" i="45"/>
  <c r="L47" i="45"/>
  <c r="G47" i="45"/>
  <c r="H47" i="45" s="1"/>
  <c r="AV15" i="45"/>
  <c r="AQ15" i="45"/>
  <c r="AL15" i="45"/>
  <c r="AG15" i="45"/>
  <c r="AB15" i="45"/>
  <c r="W15" i="45"/>
  <c r="R15" i="45"/>
  <c r="K15" i="45"/>
  <c r="J15" i="45"/>
  <c r="I15" i="45"/>
  <c r="G15" i="45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K13" i="45" s="1"/>
  <c r="AQ13" i="45"/>
  <c r="AL13" i="45"/>
  <c r="AG13" i="45"/>
  <c r="AB13" i="45"/>
  <c r="W13" i="45"/>
  <c r="R13" i="45"/>
  <c r="J13" i="45"/>
  <c r="I13" i="45"/>
  <c r="G13" i="45"/>
  <c r="AV12" i="45"/>
  <c r="K12" i="45" s="1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K10" i="45" s="1"/>
  <c r="AL10" i="45"/>
  <c r="AG10" i="45"/>
  <c r="AI7" i="45" s="1"/>
  <c r="AB10" i="45"/>
  <c r="W10" i="45"/>
  <c r="R10" i="45"/>
  <c r="J10" i="45"/>
  <c r="I10" i="45"/>
  <c r="G10" i="45"/>
  <c r="AV9" i="45"/>
  <c r="AQ9" i="45"/>
  <c r="AL9" i="45"/>
  <c r="K9" i="45" s="1"/>
  <c r="AG9" i="45"/>
  <c r="AB9" i="45"/>
  <c r="W9" i="45"/>
  <c r="R9" i="45"/>
  <c r="J9" i="45"/>
  <c r="I9" i="45"/>
  <c r="G9" i="45"/>
  <c r="AV8" i="45"/>
  <c r="AQ8" i="45"/>
  <c r="AL8" i="45"/>
  <c r="AG8" i="45"/>
  <c r="AB8" i="45"/>
  <c r="W8" i="45"/>
  <c r="R8" i="45"/>
  <c r="J8" i="45"/>
  <c r="I8" i="45"/>
  <c r="G8" i="45"/>
  <c r="AV7" i="45"/>
  <c r="AX7" i="45" s="1"/>
  <c r="AQ7" i="45"/>
  <c r="K7" i="45" s="1"/>
  <c r="AL7" i="45"/>
  <c r="AG7" i="45"/>
  <c r="AB7" i="45"/>
  <c r="AD7" i="45" s="1"/>
  <c r="W7" i="45"/>
  <c r="R7" i="45"/>
  <c r="T7" i="45" s="1"/>
  <c r="J7" i="45"/>
  <c r="I7" i="45"/>
  <c r="G7" i="45"/>
  <c r="H7" i="45" s="1"/>
  <c r="P3" i="45"/>
  <c r="B28" i="39"/>
  <c r="M189" i="44"/>
  <c r="M188" i="44"/>
  <c r="M187" i="44"/>
  <c r="M186" i="44"/>
  <c r="M185" i="44"/>
  <c r="M184" i="44"/>
  <c r="M183" i="44"/>
  <c r="M182" i="44"/>
  <c r="M181" i="44"/>
  <c r="M180" i="44"/>
  <c r="M179" i="44"/>
  <c r="M178" i="44"/>
  <c r="M177" i="44"/>
  <c r="M176" i="44"/>
  <c r="M175" i="44"/>
  <c r="M174" i="44"/>
  <c r="M173" i="44"/>
  <c r="M172" i="44"/>
  <c r="M171" i="44"/>
  <c r="M170" i="44"/>
  <c r="M169" i="44"/>
  <c r="M168" i="44"/>
  <c r="M167" i="44"/>
  <c r="M166" i="44"/>
  <c r="M165" i="44"/>
  <c r="M164" i="44"/>
  <c r="M163" i="44"/>
  <c r="M162" i="44"/>
  <c r="M161" i="44"/>
  <c r="M160" i="44"/>
  <c r="AX159" i="44"/>
  <c r="AS159" i="44"/>
  <c r="AN159" i="44"/>
  <c r="AI159" i="44"/>
  <c r="AD159" i="44"/>
  <c r="Y159" i="44"/>
  <c r="T159" i="44"/>
  <c r="M159" i="44"/>
  <c r="L159" i="44"/>
  <c r="H159" i="44"/>
  <c r="M151" i="44"/>
  <c r="M150" i="44"/>
  <c r="M149" i="44"/>
  <c r="M148" i="44"/>
  <c r="M147" i="44"/>
  <c r="M146" i="44"/>
  <c r="M145" i="44"/>
  <c r="M144" i="44"/>
  <c r="M143" i="44"/>
  <c r="M142" i="44"/>
  <c r="M141" i="44"/>
  <c r="M140" i="44"/>
  <c r="M139" i="44"/>
  <c r="M138" i="44"/>
  <c r="M137" i="44"/>
  <c r="M136" i="44"/>
  <c r="M135" i="44"/>
  <c r="M134" i="44"/>
  <c r="M133" i="44"/>
  <c r="M132" i="44"/>
  <c r="M131" i="44"/>
  <c r="M130" i="44"/>
  <c r="M129" i="44"/>
  <c r="M128" i="44"/>
  <c r="M127" i="44"/>
  <c r="M126" i="44"/>
  <c r="M125" i="44"/>
  <c r="M124" i="44"/>
  <c r="M123" i="44"/>
  <c r="M122" i="44"/>
  <c r="AX121" i="44"/>
  <c r="AS121" i="44"/>
  <c r="AN121" i="44"/>
  <c r="AI121" i="44"/>
  <c r="AD121" i="44"/>
  <c r="Y121" i="44"/>
  <c r="T121" i="44"/>
  <c r="M121" i="44"/>
  <c r="L121" i="44"/>
  <c r="H121" i="44"/>
  <c r="P116" i="44"/>
  <c r="P117" i="44" s="1"/>
  <c r="M113" i="44"/>
  <c r="M112" i="44"/>
  <c r="M111" i="44"/>
  <c r="M110" i="44"/>
  <c r="M109" i="44"/>
  <c r="M108" i="44"/>
  <c r="M107" i="44"/>
  <c r="M106" i="44"/>
  <c r="M105" i="44"/>
  <c r="M104" i="44"/>
  <c r="M103" i="44"/>
  <c r="M102" i="44"/>
  <c r="M101" i="44"/>
  <c r="M100" i="44"/>
  <c r="M99" i="44"/>
  <c r="M98" i="44"/>
  <c r="M97" i="44"/>
  <c r="M96" i="44"/>
  <c r="M95" i="44"/>
  <c r="M94" i="44"/>
  <c r="M93" i="44"/>
  <c r="M92" i="44"/>
  <c r="M91" i="44"/>
  <c r="M90" i="44"/>
  <c r="M89" i="44"/>
  <c r="M88" i="44"/>
  <c r="M87" i="44"/>
  <c r="M86" i="44"/>
  <c r="M85" i="44"/>
  <c r="M84" i="44"/>
  <c r="AX83" i="44"/>
  <c r="AS83" i="44"/>
  <c r="AN83" i="44"/>
  <c r="AI83" i="44"/>
  <c r="AD83" i="44"/>
  <c r="Y83" i="44"/>
  <c r="T83" i="44"/>
  <c r="M83" i="44"/>
  <c r="L83" i="44"/>
  <c r="H83" i="44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K35" i="44" s="1"/>
  <c r="R35" i="44"/>
  <c r="J35" i="44"/>
  <c r="I35" i="44"/>
  <c r="G35" i="44"/>
  <c r="AV34" i="44"/>
  <c r="AQ34" i="44"/>
  <c r="AL34" i="44"/>
  <c r="AG34" i="44"/>
  <c r="AB34" i="44"/>
  <c r="W34" i="44"/>
  <c r="K34" i="44" s="1"/>
  <c r="R34" i="44"/>
  <c r="J34" i="44"/>
  <c r="I34" i="44"/>
  <c r="G34" i="44"/>
  <c r="AV33" i="44"/>
  <c r="AQ33" i="44"/>
  <c r="AL33" i="44"/>
  <c r="AG33" i="44"/>
  <c r="AB33" i="44"/>
  <c r="W33" i="44"/>
  <c r="R33" i="44"/>
  <c r="K33" i="44" s="1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K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K29" i="44"/>
  <c r="J29" i="44"/>
  <c r="I29" i="44"/>
  <c r="G29" i="44"/>
  <c r="AV28" i="44"/>
  <c r="AQ28" i="44"/>
  <c r="AL28" i="44"/>
  <c r="AG28" i="44"/>
  <c r="AB28" i="44"/>
  <c r="W28" i="44"/>
  <c r="R28" i="44"/>
  <c r="K28" i="44"/>
  <c r="J28" i="44"/>
  <c r="I28" i="44"/>
  <c r="G28" i="44"/>
  <c r="AV27" i="44"/>
  <c r="AQ27" i="44"/>
  <c r="AL27" i="44"/>
  <c r="AG27" i="44"/>
  <c r="AB27" i="44"/>
  <c r="W27" i="44"/>
  <c r="R27" i="44"/>
  <c r="K27" i="44"/>
  <c r="J27" i="44"/>
  <c r="I27" i="44"/>
  <c r="G27" i="44"/>
  <c r="AV26" i="44"/>
  <c r="AQ26" i="44"/>
  <c r="AL26" i="44"/>
  <c r="AG26" i="44"/>
  <c r="AB26" i="44"/>
  <c r="W26" i="44"/>
  <c r="R26" i="44"/>
  <c r="K26" i="44"/>
  <c r="J26" i="44"/>
  <c r="I26" i="44"/>
  <c r="G26" i="44"/>
  <c r="AV25" i="44"/>
  <c r="K25" i="44" s="1"/>
  <c r="AQ25" i="44"/>
  <c r="AL25" i="44"/>
  <c r="AG25" i="44"/>
  <c r="AB25" i="44"/>
  <c r="W25" i="44"/>
  <c r="R25" i="44"/>
  <c r="J25" i="44"/>
  <c r="I25" i="44"/>
  <c r="G25" i="44"/>
  <c r="AV24" i="44"/>
  <c r="K24" i="44" s="1"/>
  <c r="AQ24" i="44"/>
  <c r="AL24" i="44"/>
  <c r="AG24" i="44"/>
  <c r="AB24" i="44"/>
  <c r="W24" i="44"/>
  <c r="R24" i="44"/>
  <c r="J24" i="44"/>
  <c r="I24" i="44"/>
  <c r="G24" i="44"/>
  <c r="AV23" i="44"/>
  <c r="AQ23" i="44"/>
  <c r="K23" i="44" s="1"/>
  <c r="AL23" i="44"/>
  <c r="AG23" i="44"/>
  <c r="AB23" i="44"/>
  <c r="W23" i="44"/>
  <c r="R23" i="44"/>
  <c r="J23" i="44"/>
  <c r="I23" i="44"/>
  <c r="G23" i="44"/>
  <c r="AV22" i="44"/>
  <c r="AQ22" i="44"/>
  <c r="K22" i="44" s="1"/>
  <c r="AL22" i="44"/>
  <c r="AG22" i="44"/>
  <c r="AB22" i="44"/>
  <c r="W22" i="44"/>
  <c r="R22" i="44"/>
  <c r="J22" i="44"/>
  <c r="I22" i="44"/>
  <c r="G22" i="44"/>
  <c r="AV21" i="44"/>
  <c r="AQ21" i="44"/>
  <c r="AL21" i="44"/>
  <c r="K21" i="44" s="1"/>
  <c r="AG21" i="44"/>
  <c r="AB21" i="44"/>
  <c r="W21" i="44"/>
  <c r="R21" i="44"/>
  <c r="J21" i="44"/>
  <c r="I21" i="44"/>
  <c r="G21" i="44"/>
  <c r="W20" i="44"/>
  <c r="R20" i="44"/>
  <c r="K20" i="44"/>
  <c r="J20" i="44"/>
  <c r="I20" i="44"/>
  <c r="G20" i="44"/>
  <c r="AV19" i="44"/>
  <c r="AQ19" i="44"/>
  <c r="AL19" i="44"/>
  <c r="AG19" i="44"/>
  <c r="AB19" i="44"/>
  <c r="W19" i="44"/>
  <c r="R19" i="44"/>
  <c r="K19" i="44"/>
  <c r="J19" i="44"/>
  <c r="I19" i="44"/>
  <c r="G19" i="44"/>
  <c r="AV18" i="44"/>
  <c r="AQ18" i="44"/>
  <c r="AL18" i="44"/>
  <c r="AG18" i="44"/>
  <c r="AB18" i="44"/>
  <c r="W18" i="44"/>
  <c r="R18" i="44"/>
  <c r="K18" i="44"/>
  <c r="J18" i="44"/>
  <c r="I18" i="44"/>
  <c r="G18" i="44"/>
  <c r="AV17" i="44"/>
  <c r="AQ17" i="44"/>
  <c r="AL17" i="44"/>
  <c r="AG17" i="44"/>
  <c r="AB17" i="44"/>
  <c r="W17" i="44"/>
  <c r="R17" i="44"/>
  <c r="K17" i="44"/>
  <c r="J17" i="44"/>
  <c r="I17" i="44"/>
  <c r="G17" i="44"/>
  <c r="AV16" i="44"/>
  <c r="AQ16" i="44"/>
  <c r="AL16" i="44"/>
  <c r="AG16" i="44"/>
  <c r="AB16" i="44"/>
  <c r="W16" i="44"/>
  <c r="R16" i="44"/>
  <c r="K16" i="44"/>
  <c r="J16" i="44"/>
  <c r="I16" i="44"/>
  <c r="G16" i="44"/>
  <c r="AV15" i="44"/>
  <c r="K15" i="44" s="1"/>
  <c r="AQ15" i="44"/>
  <c r="AL15" i="44"/>
  <c r="AG15" i="44"/>
  <c r="AB15" i="44"/>
  <c r="W15" i="44"/>
  <c r="R15" i="44"/>
  <c r="J15" i="44"/>
  <c r="I15" i="44"/>
  <c r="G15" i="44"/>
  <c r="AV14" i="44"/>
  <c r="K14" i="44" s="1"/>
  <c r="AQ14" i="44"/>
  <c r="AL14" i="44"/>
  <c r="AG14" i="44"/>
  <c r="AB14" i="44"/>
  <c r="W14" i="44"/>
  <c r="R14" i="44"/>
  <c r="J14" i="44"/>
  <c r="I14" i="44"/>
  <c r="G14" i="44"/>
  <c r="AV13" i="44"/>
  <c r="AQ13" i="44"/>
  <c r="K13" i="44" s="1"/>
  <c r="AL13" i="44"/>
  <c r="AG13" i="44"/>
  <c r="AB13" i="44"/>
  <c r="W13" i="44"/>
  <c r="R13" i="44"/>
  <c r="J13" i="44"/>
  <c r="I13" i="44"/>
  <c r="G13" i="44"/>
  <c r="AV12" i="44"/>
  <c r="AQ12" i="44"/>
  <c r="K12" i="44" s="1"/>
  <c r="AL12" i="44"/>
  <c r="AG12" i="44"/>
  <c r="AB12" i="44"/>
  <c r="W12" i="44"/>
  <c r="R12" i="44"/>
  <c r="J12" i="44"/>
  <c r="I12" i="44"/>
  <c r="G12" i="44"/>
  <c r="AV11" i="44"/>
  <c r="AQ11" i="44"/>
  <c r="AL11" i="44"/>
  <c r="K11" i="44" s="1"/>
  <c r="AG11" i="44"/>
  <c r="AB11" i="44"/>
  <c r="W11" i="44"/>
  <c r="R11" i="44"/>
  <c r="J11" i="44"/>
  <c r="I11" i="44"/>
  <c r="G11" i="44"/>
  <c r="AV10" i="44"/>
  <c r="AQ10" i="44"/>
  <c r="AL10" i="44"/>
  <c r="K10" i="44" s="1"/>
  <c r="AG10" i="44"/>
  <c r="AB10" i="44"/>
  <c r="W10" i="44"/>
  <c r="R10" i="44"/>
  <c r="J10" i="44"/>
  <c r="I10" i="44"/>
  <c r="G10" i="44"/>
  <c r="AV9" i="44"/>
  <c r="AQ9" i="44"/>
  <c r="AL9" i="44"/>
  <c r="AG9" i="44"/>
  <c r="K9" i="44" s="1"/>
  <c r="AB9" i="44"/>
  <c r="W9" i="44"/>
  <c r="R9" i="44"/>
  <c r="J9" i="44"/>
  <c r="I9" i="44"/>
  <c r="G9" i="44"/>
  <c r="AV8" i="44"/>
  <c r="AQ8" i="44"/>
  <c r="AL8" i="44"/>
  <c r="AG8" i="44"/>
  <c r="K8" i="44" s="1"/>
  <c r="AB8" i="44"/>
  <c r="W8" i="44"/>
  <c r="R8" i="44"/>
  <c r="J8" i="44"/>
  <c r="I8" i="44"/>
  <c r="G8" i="44"/>
  <c r="AV7" i="44"/>
  <c r="AQ7" i="44"/>
  <c r="AL7" i="44"/>
  <c r="K7" i="44" s="1"/>
  <c r="AG7" i="44"/>
  <c r="AB7" i="44"/>
  <c r="W7" i="44"/>
  <c r="R7" i="44"/>
  <c r="J7" i="44"/>
  <c r="I7" i="44"/>
  <c r="G7" i="44"/>
  <c r="H7" i="44" s="1"/>
  <c r="P3" i="44"/>
  <c r="K37" i="3"/>
  <c r="AB9" i="64" l="1"/>
  <c r="G10" i="41" s="1"/>
  <c r="AC9" i="64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R18" i="63"/>
  <c r="AG9" i="63"/>
  <c r="I14" i="41" s="1"/>
  <c r="S9" i="63"/>
  <c r="S13" i="63"/>
  <c r="R16" i="63"/>
  <c r="S8" i="63"/>
  <c r="R24" i="63"/>
  <c r="S14" i="63"/>
  <c r="S11" i="63"/>
  <c r="S25" i="63"/>
  <c r="AB9" i="63"/>
  <c r="G9" i="41" s="1"/>
  <c r="AC9" i="63"/>
  <c r="R15" i="63"/>
  <c r="R21" i="63"/>
  <c r="R23" i="63"/>
  <c r="R10" i="63"/>
  <c r="R7" i="63"/>
  <c r="S22" i="63"/>
  <c r="S19" i="63"/>
  <c r="AE9" i="63"/>
  <c r="M9" i="41" s="1"/>
  <c r="S20" i="63"/>
  <c r="R17" i="63"/>
  <c r="AD9" i="63"/>
  <c r="K9" i="41" s="1"/>
  <c r="R12" i="63"/>
  <c r="R26" i="63"/>
  <c r="AH52" i="52"/>
  <c r="AH68" i="52"/>
  <c r="AH56" i="52"/>
  <c r="AH72" i="52"/>
  <c r="AH76" i="52"/>
  <c r="AH92" i="52"/>
  <c r="Z23" i="52"/>
  <c r="AE22" i="52"/>
  <c r="AI47" i="52"/>
  <c r="AR87" i="52"/>
  <c r="AR67" i="52"/>
  <c r="AW87" i="52"/>
  <c r="AR47" i="52"/>
  <c r="AX87" i="52"/>
  <c r="U23" i="52"/>
  <c r="AW47" i="52"/>
  <c r="AW90" i="52"/>
  <c r="AH87" i="52"/>
  <c r="AH8" i="52"/>
  <c r="AH67" i="52"/>
  <c r="AH70" i="52"/>
  <c r="AH96" i="52"/>
  <c r="AH53" i="52"/>
  <c r="AW93" i="52"/>
  <c r="AW70" i="52"/>
  <c r="U3" i="52"/>
  <c r="Z2" i="52"/>
  <c r="L7" i="52"/>
  <c r="Y7" i="52"/>
  <c r="T7" i="52"/>
  <c r="P3" i="52"/>
  <c r="AH7" i="52"/>
  <c r="Z23" i="51"/>
  <c r="AE22" i="51"/>
  <c r="AR88" i="51"/>
  <c r="AH89" i="51"/>
  <c r="AH91" i="51"/>
  <c r="AH94" i="51"/>
  <c r="AR51" i="51"/>
  <c r="AS87" i="51"/>
  <c r="AW69" i="51"/>
  <c r="AS67" i="51"/>
  <c r="AW72" i="51"/>
  <c r="AW87" i="51"/>
  <c r="AH68" i="51"/>
  <c r="AH67" i="51"/>
  <c r="AH47" i="51"/>
  <c r="AR87" i="51"/>
  <c r="AW95" i="51"/>
  <c r="AW49" i="51"/>
  <c r="AW75" i="51"/>
  <c r="AH70" i="51"/>
  <c r="AW47" i="51"/>
  <c r="AW93" i="51"/>
  <c r="AW70" i="51"/>
  <c r="U2" i="51"/>
  <c r="AX7" i="51"/>
  <c r="T7" i="51"/>
  <c r="K10" i="51"/>
  <c r="K9" i="51"/>
  <c r="K8" i="51"/>
  <c r="AD7" i="51"/>
  <c r="AE22" i="50"/>
  <c r="Z23" i="50"/>
  <c r="AH87" i="50"/>
  <c r="AI67" i="50"/>
  <c r="AI47" i="50"/>
  <c r="AR67" i="50"/>
  <c r="AW87" i="50"/>
  <c r="AR47" i="50"/>
  <c r="AW52" i="50"/>
  <c r="AH89" i="50"/>
  <c r="U23" i="50"/>
  <c r="AW47" i="50"/>
  <c r="AR88" i="50"/>
  <c r="AR87" i="50"/>
  <c r="AW93" i="50"/>
  <c r="AH68" i="50"/>
  <c r="AW70" i="50"/>
  <c r="L7" i="50"/>
  <c r="AE2" i="50"/>
  <c r="AD7" i="50"/>
  <c r="AW7" i="50"/>
  <c r="AH68" i="49"/>
  <c r="AH94" i="49"/>
  <c r="AH89" i="49"/>
  <c r="AR67" i="49"/>
  <c r="AR87" i="49"/>
  <c r="AH90" i="49"/>
  <c r="AR47" i="49"/>
  <c r="AX87" i="49"/>
  <c r="AW67" i="49"/>
  <c r="AH91" i="49"/>
  <c r="AH67" i="49"/>
  <c r="AH47" i="49"/>
  <c r="Z22" i="49"/>
  <c r="AW47" i="49"/>
  <c r="AW93" i="49"/>
  <c r="AH73" i="49"/>
  <c r="K13" i="49"/>
  <c r="T7" i="49"/>
  <c r="K10" i="49"/>
  <c r="U2" i="49"/>
  <c r="K12" i="49"/>
  <c r="K11" i="49"/>
  <c r="K9" i="49"/>
  <c r="K7" i="49"/>
  <c r="Y7" i="49"/>
  <c r="AD7" i="49"/>
  <c r="AS7" i="49"/>
  <c r="AH55" i="48"/>
  <c r="AH68" i="48"/>
  <c r="AH91" i="48"/>
  <c r="AH72" i="48"/>
  <c r="AH51" i="48"/>
  <c r="AH75" i="48"/>
  <c r="AH56" i="48"/>
  <c r="AH95" i="48"/>
  <c r="AH49" i="48"/>
  <c r="AH90" i="48"/>
  <c r="AH69" i="48"/>
  <c r="AH92" i="48"/>
  <c r="AH96" i="48"/>
  <c r="AH73" i="48"/>
  <c r="AH87" i="48"/>
  <c r="AH52" i="48"/>
  <c r="AH76" i="48"/>
  <c r="AH50" i="48"/>
  <c r="AI87" i="48"/>
  <c r="AS87" i="48"/>
  <c r="AR67" i="48"/>
  <c r="Z22" i="48"/>
  <c r="AX67" i="48"/>
  <c r="AW47" i="48"/>
  <c r="AW90" i="48"/>
  <c r="AH53" i="48"/>
  <c r="AH88" i="48"/>
  <c r="AW93" i="48"/>
  <c r="AH67" i="48"/>
  <c r="AH47" i="48"/>
  <c r="AR47" i="48"/>
  <c r="AW70" i="48"/>
  <c r="U3" i="48"/>
  <c r="Z2" i="48"/>
  <c r="K12" i="48"/>
  <c r="K8" i="48"/>
  <c r="K13" i="48"/>
  <c r="AD7" i="48"/>
  <c r="AH68" i="47"/>
  <c r="AI67" i="47"/>
  <c r="AH47" i="47"/>
  <c r="AR87" i="47"/>
  <c r="Z22" i="47"/>
  <c r="AR88" i="47"/>
  <c r="AI87" i="47"/>
  <c r="AS67" i="47"/>
  <c r="AH90" i="47"/>
  <c r="AR47" i="47"/>
  <c r="AX47" i="47"/>
  <c r="AW93" i="47"/>
  <c r="AW70" i="47"/>
  <c r="U3" i="47"/>
  <c r="Z2" i="47"/>
  <c r="L7" i="47"/>
  <c r="Y7" i="47"/>
  <c r="AI67" i="46"/>
  <c r="AH47" i="46"/>
  <c r="AR87" i="46"/>
  <c r="Z22" i="46"/>
  <c r="AS87" i="46"/>
  <c r="AW92" i="46"/>
  <c r="AW69" i="46"/>
  <c r="AW95" i="46"/>
  <c r="AH87" i="46"/>
  <c r="AS67" i="46"/>
  <c r="AW87" i="46"/>
  <c r="AR47" i="46"/>
  <c r="AW49" i="46"/>
  <c r="AW75" i="46"/>
  <c r="AW47" i="46"/>
  <c r="AW90" i="46"/>
  <c r="AH68" i="46"/>
  <c r="AH70" i="46"/>
  <c r="AW93" i="46"/>
  <c r="AW70" i="46"/>
  <c r="AX7" i="46"/>
  <c r="T7" i="46"/>
  <c r="K9" i="46"/>
  <c r="K8" i="46"/>
  <c r="U2" i="46"/>
  <c r="Z82" i="45"/>
  <c r="U83" i="45"/>
  <c r="AR87" i="45"/>
  <c r="AS87" i="45"/>
  <c r="AI87" i="45"/>
  <c r="P83" i="45"/>
  <c r="AH87" i="45"/>
  <c r="AH67" i="45"/>
  <c r="AS67" i="45"/>
  <c r="U62" i="45"/>
  <c r="AW67" i="45"/>
  <c r="AH47" i="45"/>
  <c r="AR47" i="45"/>
  <c r="AW47" i="45"/>
  <c r="AN7" i="45"/>
  <c r="U2" i="45"/>
  <c r="K11" i="45"/>
  <c r="K8" i="45"/>
  <c r="Y7" i="45"/>
  <c r="AS7" i="45"/>
  <c r="U116" i="44"/>
  <c r="AN7" i="44"/>
  <c r="AX7" i="44"/>
  <c r="AD7" i="44"/>
  <c r="K30" i="44"/>
  <c r="AS7" i="44"/>
  <c r="Y7" i="44"/>
  <c r="AI7" i="44"/>
  <c r="K32" i="44"/>
  <c r="U2" i="44"/>
  <c r="T7" i="44"/>
  <c r="K37" i="44"/>
  <c r="K36" i="44"/>
  <c r="H37" i="3"/>
  <c r="Q38" i="3" s="1"/>
  <c r="H10" i="3"/>
  <c r="W38" i="3"/>
  <c r="AE23" i="52" l="1"/>
  <c r="AJ22" i="52"/>
  <c r="Z3" i="52"/>
  <c r="AE2" i="52"/>
  <c r="AE23" i="51"/>
  <c r="AJ22" i="51"/>
  <c r="U3" i="51"/>
  <c r="Z2" i="51"/>
  <c r="L7" i="51"/>
  <c r="AE23" i="50"/>
  <c r="AJ22" i="50"/>
  <c r="AE3" i="50"/>
  <c r="Z23" i="49"/>
  <c r="AE22" i="49"/>
  <c r="L7" i="49"/>
  <c r="U3" i="49"/>
  <c r="Z2" i="49"/>
  <c r="Z23" i="48"/>
  <c r="AE22" i="48"/>
  <c r="Z3" i="48"/>
  <c r="AE2" i="48"/>
  <c r="L7" i="48"/>
  <c r="Z23" i="47"/>
  <c r="AE22" i="47"/>
  <c r="Z3" i="47"/>
  <c r="AE2" i="47"/>
  <c r="Z23" i="46"/>
  <c r="AE22" i="46"/>
  <c r="U3" i="46"/>
  <c r="Z2" i="46"/>
  <c r="L7" i="46"/>
  <c r="Z83" i="45"/>
  <c r="AE82" i="45"/>
  <c r="U63" i="45"/>
  <c r="Z62" i="45"/>
  <c r="L7" i="45"/>
  <c r="Z2" i="45"/>
  <c r="U3" i="45"/>
  <c r="U117" i="44"/>
  <c r="Z116" i="44"/>
  <c r="L7" i="44"/>
  <c r="U3" i="44"/>
  <c r="Z2" i="44"/>
  <c r="AO22" i="52" l="1"/>
  <c r="AJ23" i="52"/>
  <c r="AJ2" i="52"/>
  <c r="AE3" i="52"/>
  <c r="AO22" i="51"/>
  <c r="AJ23" i="51"/>
  <c r="Z3" i="51"/>
  <c r="AE2" i="51"/>
  <c r="AJ23" i="50"/>
  <c r="AO22" i="50"/>
  <c r="AJ3" i="50"/>
  <c r="AO2" i="50"/>
  <c r="AE23" i="49"/>
  <c r="AJ22" i="49"/>
  <c r="Z3" i="49"/>
  <c r="AE2" i="49"/>
  <c r="AE23" i="48"/>
  <c r="AJ22" i="48"/>
  <c r="AE3" i="48"/>
  <c r="AJ2" i="48"/>
  <c r="AE23" i="47"/>
  <c r="AJ22" i="47"/>
  <c r="AE3" i="47"/>
  <c r="AJ2" i="47"/>
  <c r="AE23" i="46"/>
  <c r="AJ22" i="46"/>
  <c r="Z3" i="46"/>
  <c r="AE2" i="46"/>
  <c r="AE83" i="45"/>
  <c r="AJ82" i="45"/>
  <c r="Z63" i="45"/>
  <c r="AE62" i="45"/>
  <c r="AE2" i="45"/>
  <c r="Z3" i="45"/>
  <c r="Z117" i="44"/>
  <c r="AE116" i="44"/>
  <c r="Z3" i="44"/>
  <c r="AE2" i="44"/>
  <c r="AT22" i="52" l="1"/>
  <c r="AO23" i="52"/>
  <c r="AJ3" i="52"/>
  <c r="AO2" i="52"/>
  <c r="AT22" i="51"/>
  <c r="AO23" i="51"/>
  <c r="AE3" i="51"/>
  <c r="AJ2" i="51"/>
  <c r="AO23" i="50"/>
  <c r="AT22" i="50"/>
  <c r="AO3" i="50"/>
  <c r="AT2" i="50"/>
  <c r="AT3" i="50" s="1"/>
  <c r="AJ23" i="49"/>
  <c r="AO22" i="49"/>
  <c r="AE3" i="49"/>
  <c r="AO22" i="48"/>
  <c r="AJ23" i="48"/>
  <c r="AO2" i="48"/>
  <c r="AJ3" i="48"/>
  <c r="AJ23" i="47"/>
  <c r="AO22" i="47"/>
  <c r="AJ3" i="47"/>
  <c r="AO2" i="47"/>
  <c r="AO22" i="46"/>
  <c r="AJ23" i="46"/>
  <c r="AE3" i="46"/>
  <c r="AO82" i="45"/>
  <c r="AJ83" i="45"/>
  <c r="AE63" i="45"/>
  <c r="AJ62" i="45"/>
  <c r="AE3" i="45"/>
  <c r="AE117" i="44"/>
  <c r="AJ116" i="44"/>
  <c r="AE3" i="44"/>
  <c r="AJ2" i="44"/>
  <c r="P42" i="52" l="1"/>
  <c r="AT23" i="52"/>
  <c r="AT2" i="52"/>
  <c r="AT3" i="52" s="1"/>
  <c r="AO3" i="52"/>
  <c r="P42" i="51"/>
  <c r="AT23" i="51"/>
  <c r="AO2" i="51"/>
  <c r="AJ3" i="51"/>
  <c r="P42" i="50"/>
  <c r="AT23" i="50"/>
  <c r="AT22" i="49"/>
  <c r="AO23" i="49"/>
  <c r="AJ3" i="49"/>
  <c r="AO2" i="49"/>
  <c r="AT22" i="48"/>
  <c r="AO23" i="48"/>
  <c r="AT2" i="48"/>
  <c r="AT3" i="48" s="1"/>
  <c r="AO3" i="48"/>
  <c r="AO23" i="47"/>
  <c r="AT22" i="47"/>
  <c r="AO3" i="47"/>
  <c r="AT2" i="47"/>
  <c r="AT3" i="47" s="1"/>
  <c r="AT22" i="46"/>
  <c r="AO23" i="46"/>
  <c r="AJ3" i="46"/>
  <c r="AO2" i="46"/>
  <c r="AO83" i="45"/>
  <c r="AT82" i="45"/>
  <c r="AT83" i="45" s="1"/>
  <c r="AO62" i="45"/>
  <c r="AJ63" i="45"/>
  <c r="AO2" i="45"/>
  <c r="AJ117" i="44"/>
  <c r="AO116" i="44"/>
  <c r="AJ3" i="44"/>
  <c r="AO2" i="44"/>
  <c r="U42" i="52" l="1"/>
  <c r="P43" i="52"/>
  <c r="U42" i="51"/>
  <c r="P43" i="51"/>
  <c r="AO3" i="51"/>
  <c r="AT2" i="51"/>
  <c r="AT3" i="51" s="1"/>
  <c r="P43" i="50"/>
  <c r="U42" i="50"/>
  <c r="P42" i="49"/>
  <c r="AT23" i="49"/>
  <c r="AO3" i="49"/>
  <c r="AT2" i="49"/>
  <c r="AT3" i="49" s="1"/>
  <c r="P42" i="48"/>
  <c r="AT23" i="48"/>
  <c r="P42" i="47"/>
  <c r="AT23" i="47"/>
  <c r="AT23" i="46"/>
  <c r="P42" i="46"/>
  <c r="AO3" i="46"/>
  <c r="AT2" i="46"/>
  <c r="AT3" i="46" s="1"/>
  <c r="AO63" i="45"/>
  <c r="AT62" i="45"/>
  <c r="AT63" i="45" s="1"/>
  <c r="AT2" i="45"/>
  <c r="AT3" i="45" s="1"/>
  <c r="AO3" i="45"/>
  <c r="AO117" i="44"/>
  <c r="AT116" i="44"/>
  <c r="AT2" i="44"/>
  <c r="AT3" i="44" s="1"/>
  <c r="AO3" i="44"/>
  <c r="AT117" i="44" l="1"/>
  <c r="P154" i="44"/>
  <c r="Z42" i="52"/>
  <c r="U43" i="52"/>
  <c r="U43" i="51"/>
  <c r="Z42" i="51"/>
  <c r="U43" i="50"/>
  <c r="Z42" i="50"/>
  <c r="P43" i="49"/>
  <c r="U42" i="49"/>
  <c r="P43" i="48"/>
  <c r="U42" i="48"/>
  <c r="U42" i="47"/>
  <c r="P43" i="47"/>
  <c r="P43" i="46"/>
  <c r="U42" i="46"/>
  <c r="U154" i="44" l="1"/>
  <c r="P155" i="44"/>
  <c r="Z43" i="52"/>
  <c r="AE42" i="52"/>
  <c r="Z43" i="51"/>
  <c r="AE42" i="51"/>
  <c r="Z43" i="50"/>
  <c r="AE42" i="50"/>
  <c r="Z42" i="49"/>
  <c r="U43" i="49"/>
  <c r="U43" i="48"/>
  <c r="Z42" i="48"/>
  <c r="U43" i="47"/>
  <c r="Z42" i="47"/>
  <c r="U43" i="46"/>
  <c r="Z42" i="46"/>
  <c r="U155" i="44" l="1"/>
  <c r="Z154" i="44"/>
  <c r="AE43" i="52"/>
  <c r="AJ42" i="52"/>
  <c r="AE43" i="51"/>
  <c r="AJ42" i="51"/>
  <c r="AJ42" i="50"/>
  <c r="AE43" i="50"/>
  <c r="AE42" i="49"/>
  <c r="Z43" i="49"/>
  <c r="Z43" i="48"/>
  <c r="AE42" i="48"/>
  <c r="Z43" i="47"/>
  <c r="AE42" i="47"/>
  <c r="Z43" i="46"/>
  <c r="AE42" i="46"/>
  <c r="Z155" i="44" l="1"/>
  <c r="AE154" i="44"/>
  <c r="AO42" i="52"/>
  <c r="AJ43" i="52"/>
  <c r="AJ43" i="51"/>
  <c r="AO42" i="51"/>
  <c r="AO42" i="50"/>
  <c r="AJ43" i="50"/>
  <c r="AE43" i="49"/>
  <c r="AJ42" i="49"/>
  <c r="AJ42" i="48"/>
  <c r="AE43" i="48"/>
  <c r="AE43" i="47"/>
  <c r="AJ42" i="47"/>
  <c r="AE43" i="46"/>
  <c r="AJ42" i="46"/>
  <c r="AJ154" i="44" l="1"/>
  <c r="AE155" i="44"/>
  <c r="AO43" i="52"/>
  <c r="AT42" i="52"/>
  <c r="AO43" i="51"/>
  <c r="AT42" i="51"/>
  <c r="AT42" i="50"/>
  <c r="AO43" i="50"/>
  <c r="AJ43" i="49"/>
  <c r="AO42" i="49"/>
  <c r="AO42" i="48"/>
  <c r="AJ43" i="48"/>
  <c r="AJ43" i="47"/>
  <c r="AO42" i="47"/>
  <c r="AJ43" i="46"/>
  <c r="AO42" i="46"/>
  <c r="AJ155" i="44" l="1"/>
  <c r="AO154" i="44"/>
  <c r="AT43" i="52"/>
  <c r="P62" i="52"/>
  <c r="AT43" i="51"/>
  <c r="P62" i="51"/>
  <c r="AT43" i="50"/>
  <c r="P62" i="50"/>
  <c r="AO43" i="49"/>
  <c r="AT42" i="49"/>
  <c r="AO43" i="48"/>
  <c r="AT42" i="48"/>
  <c r="AO43" i="47"/>
  <c r="AT42" i="47"/>
  <c r="AO43" i="46"/>
  <c r="AT42" i="46"/>
  <c r="AO155" i="44" l="1"/>
  <c r="AT154" i="44"/>
  <c r="AT155" i="44" s="1"/>
  <c r="P63" i="52"/>
  <c r="U62" i="52"/>
  <c r="P63" i="51"/>
  <c r="U62" i="51"/>
  <c r="P63" i="50"/>
  <c r="U62" i="50"/>
  <c r="AT43" i="49"/>
  <c r="P62" i="49"/>
  <c r="AT43" i="48"/>
  <c r="P62" i="48"/>
  <c r="AT43" i="47"/>
  <c r="P62" i="47"/>
  <c r="AT43" i="46"/>
  <c r="P62" i="46"/>
  <c r="Z62" i="52" l="1"/>
  <c r="U63" i="52"/>
  <c r="Z62" i="51"/>
  <c r="U63" i="51"/>
  <c r="Z62" i="50"/>
  <c r="U63" i="50"/>
  <c r="P63" i="49"/>
  <c r="U62" i="49"/>
  <c r="P63" i="48"/>
  <c r="U62" i="48"/>
  <c r="U62" i="47"/>
  <c r="P63" i="47"/>
  <c r="U62" i="46"/>
  <c r="P63" i="46"/>
  <c r="AE62" i="52" l="1"/>
  <c r="Z63" i="52"/>
  <c r="Z63" i="51"/>
  <c r="AE62" i="51"/>
  <c r="Z63" i="50"/>
  <c r="AE62" i="50"/>
  <c r="Z62" i="49"/>
  <c r="U63" i="49"/>
  <c r="Z62" i="48"/>
  <c r="U63" i="48"/>
  <c r="Z62" i="47"/>
  <c r="U63" i="47"/>
  <c r="Z62" i="46"/>
  <c r="U63" i="46"/>
  <c r="AJ62" i="52" l="1"/>
  <c r="AE63" i="52"/>
  <c r="AE63" i="51"/>
  <c r="AJ62" i="51"/>
  <c r="AE63" i="50"/>
  <c r="AJ62" i="50"/>
  <c r="AE62" i="49"/>
  <c r="Z63" i="49"/>
  <c r="Z63" i="48"/>
  <c r="AE62" i="48"/>
  <c r="Z63" i="47"/>
  <c r="AE62" i="47"/>
  <c r="AE62" i="46"/>
  <c r="Z63" i="46"/>
  <c r="AJ63" i="52" l="1"/>
  <c r="AO62" i="52"/>
  <c r="AJ63" i="51"/>
  <c r="AO62" i="51"/>
  <c r="AJ63" i="50"/>
  <c r="AO62" i="50"/>
  <c r="AJ62" i="49"/>
  <c r="AE63" i="49"/>
  <c r="AE63" i="48"/>
  <c r="AJ62" i="48"/>
  <c r="AE63" i="47"/>
  <c r="AJ62" i="47"/>
  <c r="AE63" i="46"/>
  <c r="AJ62" i="46"/>
  <c r="AO63" i="52" l="1"/>
  <c r="AT62" i="52"/>
  <c r="AO63" i="51"/>
  <c r="AT62" i="51"/>
  <c r="AT62" i="50"/>
  <c r="AO63" i="50"/>
  <c r="AO62" i="49"/>
  <c r="AJ63" i="49"/>
  <c r="AO62" i="48"/>
  <c r="AJ63" i="48"/>
  <c r="AJ63" i="47"/>
  <c r="AO62" i="47"/>
  <c r="AJ63" i="46"/>
  <c r="AO62" i="46"/>
  <c r="P82" i="52" l="1"/>
  <c r="AT63" i="52"/>
  <c r="AT63" i="51"/>
  <c r="P82" i="51"/>
  <c r="P82" i="50"/>
  <c r="AT63" i="50"/>
  <c r="AO63" i="49"/>
  <c r="AT62" i="49"/>
  <c r="AO63" i="48"/>
  <c r="AT62" i="48"/>
  <c r="AO63" i="47"/>
  <c r="AT62" i="47"/>
  <c r="AO63" i="46"/>
  <c r="AT62" i="46"/>
  <c r="P83" i="52" l="1"/>
  <c r="U82" i="52"/>
  <c r="P83" i="51"/>
  <c r="U82" i="51"/>
  <c r="P83" i="50"/>
  <c r="U82" i="50"/>
  <c r="AT63" i="49"/>
  <c r="P82" i="49"/>
  <c r="AT63" i="48"/>
  <c r="P82" i="48"/>
  <c r="AT63" i="47"/>
  <c r="P82" i="47"/>
  <c r="AT63" i="46"/>
  <c r="P82" i="46"/>
  <c r="Z82" i="52" l="1"/>
  <c r="U83" i="52"/>
  <c r="U83" i="51"/>
  <c r="Z82" i="51"/>
  <c r="U83" i="50"/>
  <c r="Z82" i="50"/>
  <c r="P83" i="49"/>
  <c r="U82" i="49"/>
  <c r="P83" i="48"/>
  <c r="U82" i="48"/>
  <c r="U82" i="47"/>
  <c r="P83" i="47"/>
  <c r="U82" i="46"/>
  <c r="P83" i="46"/>
  <c r="Z83" i="52" l="1"/>
  <c r="AE82" i="52"/>
  <c r="Z83" i="51"/>
  <c r="AE82" i="51"/>
  <c r="Z83" i="50"/>
  <c r="AE82" i="50"/>
  <c r="U83" i="49"/>
  <c r="Z82" i="49"/>
  <c r="U83" i="48"/>
  <c r="Z82" i="48"/>
  <c r="Z82" i="47"/>
  <c r="U83" i="47"/>
  <c r="Z82" i="46"/>
  <c r="U83" i="46"/>
  <c r="AJ82" i="52" l="1"/>
  <c r="AE83" i="52"/>
  <c r="AE83" i="51"/>
  <c r="AJ82" i="51"/>
  <c r="AE83" i="50"/>
  <c r="AJ82" i="50"/>
  <c r="Z83" i="49"/>
  <c r="AE82" i="49"/>
  <c r="AE82" i="48"/>
  <c r="Z83" i="48"/>
  <c r="AE82" i="47"/>
  <c r="Z83" i="47"/>
  <c r="AE82" i="46"/>
  <c r="Z83" i="46"/>
  <c r="AO82" i="52" l="1"/>
  <c r="AJ83" i="52"/>
  <c r="AJ83" i="51"/>
  <c r="AO82" i="51"/>
  <c r="AJ83" i="50"/>
  <c r="AO82" i="50"/>
  <c r="AJ82" i="49"/>
  <c r="AE83" i="49"/>
  <c r="AJ82" i="48"/>
  <c r="AE83" i="48"/>
  <c r="AJ82" i="47"/>
  <c r="AE83" i="47"/>
  <c r="AJ82" i="46"/>
  <c r="AE83" i="46"/>
  <c r="AO83" i="52" l="1"/>
  <c r="AT82" i="52"/>
  <c r="AT83" i="52" s="1"/>
  <c r="AO83" i="51"/>
  <c r="AT82" i="51"/>
  <c r="AT83" i="51" s="1"/>
  <c r="AO83" i="50"/>
  <c r="AT82" i="50"/>
  <c r="AT83" i="50" s="1"/>
  <c r="AJ83" i="49"/>
  <c r="AO82" i="49"/>
  <c r="AJ83" i="48"/>
  <c r="AO82" i="48"/>
  <c r="AJ83" i="47"/>
  <c r="AO82" i="47"/>
  <c r="AO82" i="46"/>
  <c r="AJ83" i="46"/>
  <c r="AT82" i="49" l="1"/>
  <c r="AT83" i="49" s="1"/>
  <c r="AO83" i="49"/>
  <c r="AO83" i="48"/>
  <c r="AT82" i="48"/>
  <c r="AT83" i="48" s="1"/>
  <c r="AO83" i="47"/>
  <c r="AT82" i="47"/>
  <c r="AT83" i="47" s="1"/>
  <c r="AO83" i="46"/>
  <c r="AT82" i="46"/>
  <c r="AT83" i="46" s="1"/>
  <c r="N10" i="3" l="1"/>
  <c r="Q10" i="3" s="1"/>
  <c r="E9" i="39" s="1"/>
  <c r="E8" i="39"/>
  <c r="H40" i="6"/>
  <c r="H12" i="6"/>
  <c r="AC13" i="6"/>
  <c r="S13" i="6"/>
  <c r="F13" i="6" s="1"/>
  <c r="M13" i="6"/>
  <c r="N13" i="6" s="1"/>
  <c r="AC12" i="6"/>
  <c r="S12" i="6"/>
  <c r="F12" i="6" s="1"/>
  <c r="M12" i="6"/>
  <c r="N12" i="6" s="1"/>
  <c r="AC11" i="6"/>
  <c r="S11" i="6"/>
  <c r="F11" i="6" s="1"/>
  <c r="M11" i="6"/>
  <c r="N11" i="6" s="1"/>
  <c r="AC10" i="6"/>
  <c r="S10" i="6"/>
  <c r="F10" i="6" s="1"/>
  <c r="M10" i="6"/>
  <c r="AC9" i="6"/>
  <c r="AD9" i="6" s="1"/>
  <c r="S9" i="6"/>
  <c r="T9" i="6" s="1"/>
  <c r="M9" i="6"/>
  <c r="F9" i="6" s="1"/>
  <c r="AC8" i="6"/>
  <c r="S8" i="6"/>
  <c r="M8" i="6"/>
  <c r="F8" i="6" s="1"/>
  <c r="AC7" i="6"/>
  <c r="S7" i="6"/>
  <c r="M7" i="6"/>
  <c r="F7" i="6" s="1"/>
  <c r="B7" i="6"/>
  <c r="B23" i="39"/>
  <c r="B22" i="39"/>
  <c r="B21" i="39"/>
  <c r="B20" i="39"/>
  <c r="B19" i="39"/>
  <c r="B18" i="39"/>
  <c r="B17" i="39"/>
  <c r="B16" i="39"/>
  <c r="B15" i="39"/>
  <c r="H40" i="7"/>
  <c r="H12" i="7"/>
  <c r="G7" i="7"/>
  <c r="AC13" i="7"/>
  <c r="S13" i="7"/>
  <c r="M13" i="7"/>
  <c r="N13" i="7" s="1"/>
  <c r="F13" i="7"/>
  <c r="AC12" i="7"/>
  <c r="S12" i="7"/>
  <c r="M12" i="7"/>
  <c r="AC11" i="7"/>
  <c r="S11" i="7"/>
  <c r="M11" i="7"/>
  <c r="F11" i="7"/>
  <c r="AC10" i="7"/>
  <c r="S10" i="7"/>
  <c r="M10" i="7"/>
  <c r="F10" i="7"/>
  <c r="AC9" i="7"/>
  <c r="S9" i="7"/>
  <c r="M9" i="7"/>
  <c r="F9" i="7"/>
  <c r="AC8" i="7"/>
  <c r="S8" i="7"/>
  <c r="M8" i="7"/>
  <c r="F8" i="7"/>
  <c r="AL7" i="7"/>
  <c r="AC7" i="7"/>
  <c r="AD7" i="7" s="1"/>
  <c r="S7" i="7"/>
  <c r="M7" i="7"/>
  <c r="F7" i="7"/>
  <c r="I11" i="39"/>
  <c r="W10" i="5"/>
  <c r="K11" i="39" s="1"/>
  <c r="T10" i="5"/>
  <c r="K10" i="39" s="1"/>
  <c r="Q10" i="5"/>
  <c r="K9" i="39" s="1"/>
  <c r="N10" i="5"/>
  <c r="K8" i="39" s="1"/>
  <c r="L10" i="6" l="1"/>
  <c r="J10" i="6"/>
  <c r="AL10" i="6"/>
  <c r="AJ10" i="6"/>
  <c r="AH10" i="6"/>
  <c r="AF10" i="6"/>
  <c r="AB10" i="6"/>
  <c r="Z10" i="6"/>
  <c r="X10" i="6"/>
  <c r="V10" i="6"/>
  <c r="R10" i="6"/>
  <c r="P10" i="6"/>
  <c r="N10" i="6"/>
  <c r="AD10" i="6"/>
  <c r="L11" i="6"/>
  <c r="J11" i="6"/>
  <c r="AL11" i="6"/>
  <c r="AJ11" i="6"/>
  <c r="AH11" i="6"/>
  <c r="AF11" i="6"/>
  <c r="AB11" i="6"/>
  <c r="Z11" i="6"/>
  <c r="X11" i="6"/>
  <c r="V11" i="6"/>
  <c r="R11" i="6"/>
  <c r="P11" i="6"/>
  <c r="AD11" i="6"/>
  <c r="P12" i="6"/>
  <c r="L12" i="6"/>
  <c r="J12" i="6"/>
  <c r="AL12" i="6"/>
  <c r="AJ12" i="6"/>
  <c r="AH12" i="6"/>
  <c r="AF12" i="6"/>
  <c r="AB12" i="6"/>
  <c r="Z12" i="6"/>
  <c r="X12" i="6"/>
  <c r="V12" i="6"/>
  <c r="R12" i="6"/>
  <c r="AD12" i="6"/>
  <c r="R13" i="6"/>
  <c r="P13" i="6"/>
  <c r="L13" i="6"/>
  <c r="J13" i="6"/>
  <c r="AL13" i="6"/>
  <c r="AJ13" i="6"/>
  <c r="AH13" i="6"/>
  <c r="AF13" i="6"/>
  <c r="AB13" i="6"/>
  <c r="Z13" i="6"/>
  <c r="X13" i="6"/>
  <c r="V13" i="6"/>
  <c r="G7" i="6"/>
  <c r="AL7" i="6"/>
  <c r="AJ7" i="6"/>
  <c r="AH7" i="6"/>
  <c r="AF7" i="6"/>
  <c r="AB7" i="6"/>
  <c r="Z7" i="6"/>
  <c r="X7" i="6"/>
  <c r="V7" i="6"/>
  <c r="R7" i="6"/>
  <c r="P7" i="6"/>
  <c r="L7" i="6"/>
  <c r="J7" i="6"/>
  <c r="AD13" i="6"/>
  <c r="T7" i="6"/>
  <c r="AD7" i="6"/>
  <c r="J8" i="6"/>
  <c r="AL8" i="6"/>
  <c r="AJ8" i="6"/>
  <c r="AH8" i="6"/>
  <c r="AF8" i="6"/>
  <c r="AB8" i="6"/>
  <c r="Z8" i="6"/>
  <c r="X8" i="6"/>
  <c r="V8" i="6"/>
  <c r="R8" i="6"/>
  <c r="P8" i="6"/>
  <c r="L8" i="6"/>
  <c r="T8" i="6"/>
  <c r="AD8" i="6"/>
  <c r="L9" i="6"/>
  <c r="J9" i="6"/>
  <c r="AL9" i="6"/>
  <c r="AJ9" i="6"/>
  <c r="AH9" i="6"/>
  <c r="AF9" i="6"/>
  <c r="AB9" i="6"/>
  <c r="Z9" i="6"/>
  <c r="X9" i="6"/>
  <c r="V9" i="6"/>
  <c r="R9" i="6"/>
  <c r="P9" i="6"/>
  <c r="N9" i="6"/>
  <c r="T13" i="6"/>
  <c r="N8" i="6"/>
  <c r="T12" i="6"/>
  <c r="N7" i="6"/>
  <c r="T11" i="6"/>
  <c r="T10" i="6"/>
  <c r="N12" i="7"/>
  <c r="AF10" i="7"/>
  <c r="AB10" i="7"/>
  <c r="Z10" i="7"/>
  <c r="X10" i="7"/>
  <c r="V10" i="7"/>
  <c r="R10" i="7"/>
  <c r="P10" i="7"/>
  <c r="AB8" i="7"/>
  <c r="Z8" i="7"/>
  <c r="X8" i="7"/>
  <c r="V8" i="7"/>
  <c r="R8" i="7"/>
  <c r="P8" i="7"/>
  <c r="L8" i="7"/>
  <c r="J10" i="7"/>
  <c r="J8" i="7"/>
  <c r="L10" i="7"/>
  <c r="T12" i="7"/>
  <c r="N8" i="7"/>
  <c r="N10" i="7"/>
  <c r="AD12" i="7"/>
  <c r="T8" i="7"/>
  <c r="T10" i="7"/>
  <c r="AD10" i="7"/>
  <c r="AL13" i="7"/>
  <c r="AJ13" i="7"/>
  <c r="AH13" i="7"/>
  <c r="AF13" i="7"/>
  <c r="AB13" i="7"/>
  <c r="Z13" i="7"/>
  <c r="X13" i="7"/>
  <c r="V13" i="7"/>
  <c r="R13" i="7"/>
  <c r="AD8" i="7"/>
  <c r="AH10" i="7"/>
  <c r="J13" i="7"/>
  <c r="AF8" i="7"/>
  <c r="AJ10" i="7"/>
  <c r="L13" i="7"/>
  <c r="AH8" i="7"/>
  <c r="AL10" i="7"/>
  <c r="AJ8" i="7"/>
  <c r="AH11" i="7"/>
  <c r="AF11" i="7"/>
  <c r="AB11" i="7"/>
  <c r="Z11" i="7"/>
  <c r="X11" i="7"/>
  <c r="V11" i="7"/>
  <c r="R11" i="7"/>
  <c r="P11" i="7"/>
  <c r="AL8" i="7"/>
  <c r="J11" i="7"/>
  <c r="P13" i="7"/>
  <c r="AB7" i="7"/>
  <c r="Z7" i="7"/>
  <c r="X7" i="7"/>
  <c r="V7" i="7"/>
  <c r="R7" i="7"/>
  <c r="P7" i="7"/>
  <c r="L7" i="7"/>
  <c r="J7" i="7"/>
  <c r="AB9" i="7"/>
  <c r="Z9" i="7"/>
  <c r="X9" i="7"/>
  <c r="V9" i="7"/>
  <c r="R9" i="7"/>
  <c r="P9" i="7"/>
  <c r="L9" i="7"/>
  <c r="L11" i="7"/>
  <c r="T13" i="7"/>
  <c r="J9" i="7"/>
  <c r="N11" i="7"/>
  <c r="AD13" i="7"/>
  <c r="N7" i="7"/>
  <c r="N9" i="7"/>
  <c r="T11" i="7"/>
  <c r="T7" i="7"/>
  <c r="T9" i="7"/>
  <c r="AD11" i="7"/>
  <c r="AD9" i="7"/>
  <c r="AJ11" i="7"/>
  <c r="AF9" i="7"/>
  <c r="AL11" i="7"/>
  <c r="AF7" i="7"/>
  <c r="AH9" i="7"/>
  <c r="F12" i="7"/>
  <c r="AH7" i="7"/>
  <c r="AJ9" i="7"/>
  <c r="AJ7" i="7"/>
  <c r="AL9" i="7"/>
  <c r="H10" i="5"/>
  <c r="K6" i="39" s="1"/>
  <c r="G5" i="5"/>
  <c r="I18" i="5"/>
  <c r="I17" i="5"/>
  <c r="I16" i="5"/>
  <c r="I15" i="5"/>
  <c r="I14" i="5"/>
  <c r="I13" i="5"/>
  <c r="V12" i="5"/>
  <c r="S12" i="5"/>
  <c r="I10" i="39" s="1"/>
  <c r="P12" i="5"/>
  <c r="I9" i="39" s="1"/>
  <c r="M12" i="5"/>
  <c r="I8" i="39" s="1"/>
  <c r="I12" i="5"/>
  <c r="G12" i="5"/>
  <c r="I6" i="39" s="1"/>
  <c r="B12" i="5"/>
  <c r="U11" i="5"/>
  <c r="I11" i="5"/>
  <c r="U10" i="5"/>
  <c r="I10" i="5"/>
  <c r="U9" i="5"/>
  <c r="I9" i="5"/>
  <c r="U8" i="5"/>
  <c r="I8" i="5"/>
  <c r="U7" i="5"/>
  <c r="I7" i="5"/>
  <c r="U6" i="5"/>
  <c r="I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U5" i="5"/>
  <c r="S5" i="5"/>
  <c r="P5" i="5"/>
  <c r="M5" i="5"/>
  <c r="I5" i="5"/>
  <c r="K10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33" i="3"/>
  <c r="G12" i="3"/>
  <c r="G5" i="3"/>
  <c r="U11" i="3"/>
  <c r="O11" i="3"/>
  <c r="D11" i="3"/>
  <c r="U10" i="3"/>
  <c r="O10" i="3"/>
  <c r="U9" i="3"/>
  <c r="O9" i="3"/>
  <c r="U8" i="3"/>
  <c r="O8" i="3"/>
  <c r="U7" i="3"/>
  <c r="O7" i="3"/>
  <c r="U6" i="3"/>
  <c r="O6" i="3"/>
  <c r="D6" i="3"/>
  <c r="D7" i="3" s="1"/>
  <c r="D8" i="3" s="1"/>
  <c r="D9" i="3" s="1"/>
  <c r="U5" i="3"/>
  <c r="S5" i="3"/>
  <c r="O5" i="3"/>
  <c r="M5" i="3"/>
  <c r="J5" i="3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2" i="3"/>
  <c r="B19" i="3" s="1"/>
  <c r="B26" i="3" s="1"/>
  <c r="B33" i="3" s="1"/>
  <c r="B40" i="3" s="1"/>
  <c r="T10" i="3"/>
  <c r="J12" i="3"/>
  <c r="B7" i="39" s="1"/>
  <c r="M12" i="3"/>
  <c r="B8" i="39" s="1"/>
  <c r="O12" i="3"/>
  <c r="S12" i="3"/>
  <c r="B10" i="39" s="1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P19" i="3"/>
  <c r="S19" i="3"/>
  <c r="U19" i="3"/>
  <c r="V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T38" i="3"/>
  <c r="N38" i="3"/>
  <c r="G61" i="3"/>
  <c r="U67" i="3"/>
  <c r="O67" i="3"/>
  <c r="U66" i="3"/>
  <c r="O66" i="3"/>
  <c r="U65" i="3"/>
  <c r="O65" i="3"/>
  <c r="U64" i="3"/>
  <c r="O64" i="3"/>
  <c r="U63" i="3"/>
  <c r="O63" i="3"/>
  <c r="U62" i="3"/>
  <c r="O62" i="3"/>
  <c r="U61" i="3"/>
  <c r="S61" i="3"/>
  <c r="V61" i="3" s="1"/>
  <c r="O61" i="3"/>
  <c r="M61" i="3"/>
  <c r="J61" i="3"/>
  <c r="U60" i="3"/>
  <c r="O60" i="3"/>
  <c r="U59" i="3"/>
  <c r="O59" i="3"/>
  <c r="U58" i="3"/>
  <c r="O58" i="3"/>
  <c r="U57" i="3"/>
  <c r="O57" i="3"/>
  <c r="U56" i="3"/>
  <c r="O56" i="3"/>
  <c r="U55" i="3"/>
  <c r="O55" i="3"/>
  <c r="U54" i="3"/>
  <c r="S54" i="3"/>
  <c r="V54" i="3" s="1"/>
  <c r="O54" i="3"/>
  <c r="M54" i="3"/>
  <c r="J54" i="3"/>
  <c r="G54" i="3"/>
  <c r="U53" i="3"/>
  <c r="O53" i="3"/>
  <c r="U52" i="3"/>
  <c r="O52" i="3"/>
  <c r="U51" i="3"/>
  <c r="O51" i="3"/>
  <c r="U50" i="3"/>
  <c r="O50" i="3"/>
  <c r="U49" i="3"/>
  <c r="O49" i="3"/>
  <c r="U48" i="3"/>
  <c r="O48" i="3"/>
  <c r="U47" i="3"/>
  <c r="S47" i="3"/>
  <c r="O47" i="3"/>
  <c r="M47" i="3"/>
  <c r="J47" i="3"/>
  <c r="G47" i="3"/>
  <c r="M141" i="62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141" i="19"/>
  <c r="M140" i="19"/>
  <c r="M139" i="19"/>
  <c r="M138" i="19"/>
  <c r="M137" i="19"/>
  <c r="M142" i="19" s="1"/>
  <c r="M133" i="19"/>
  <c r="M132" i="19"/>
  <c r="M131" i="19"/>
  <c r="M130" i="19"/>
  <c r="M129" i="19"/>
  <c r="M134" i="19" s="1"/>
  <c r="M125" i="19"/>
  <c r="M124" i="19"/>
  <c r="M123" i="19"/>
  <c r="M122" i="19"/>
  <c r="M121" i="19"/>
  <c r="E10" i="39" l="1"/>
  <c r="W10" i="3"/>
  <c r="E11" i="39" s="1"/>
  <c r="P12" i="3"/>
  <c r="B9" i="39" s="1"/>
  <c r="B6" i="39"/>
  <c r="V12" i="3"/>
  <c r="B11" i="39" s="1"/>
  <c r="J12" i="5"/>
  <c r="I7" i="39" s="1"/>
  <c r="K10" i="5"/>
  <c r="K7" i="39" s="1"/>
  <c r="AJ12" i="7"/>
  <c r="AH12" i="7"/>
  <c r="AF12" i="7"/>
  <c r="AB12" i="7"/>
  <c r="Z12" i="7"/>
  <c r="X12" i="7"/>
  <c r="V12" i="7"/>
  <c r="R12" i="7"/>
  <c r="P12" i="7"/>
  <c r="L12" i="7"/>
  <c r="J12" i="7"/>
  <c r="AL12" i="7"/>
  <c r="V5" i="5"/>
  <c r="J5" i="5"/>
  <c r="P5" i="3"/>
  <c r="V5" i="3"/>
  <c r="P26" i="3"/>
  <c r="V26" i="3"/>
  <c r="P47" i="3"/>
  <c r="V47" i="3"/>
  <c r="P54" i="3"/>
  <c r="P61" i="3"/>
  <c r="M142" i="62"/>
  <c r="M126" i="62"/>
  <c r="M126" i="19"/>
  <c r="J256" i="24" l="1"/>
  <c r="J255" i="24"/>
  <c r="J254" i="24"/>
  <c r="J253" i="24"/>
  <c r="J242" i="24"/>
  <c r="B35" i="6"/>
  <c r="AC41" i="6"/>
  <c r="AD41" i="6" s="1"/>
  <c r="S41" i="6"/>
  <c r="T41" i="6" s="1"/>
  <c r="M41" i="6"/>
  <c r="N41" i="6" s="1"/>
  <c r="AL41" i="6"/>
  <c r="AC40" i="6"/>
  <c r="AD40" i="6" s="1"/>
  <c r="S40" i="6"/>
  <c r="T40" i="6" s="1"/>
  <c r="M40" i="6"/>
  <c r="N40" i="6" s="1"/>
  <c r="AL40" i="6"/>
  <c r="AC39" i="6"/>
  <c r="AD39" i="6" s="1"/>
  <c r="S39" i="6"/>
  <c r="T39" i="6" s="1"/>
  <c r="M39" i="6"/>
  <c r="N39" i="6" s="1"/>
  <c r="AL39" i="6"/>
  <c r="AC38" i="6"/>
  <c r="AD38" i="6" s="1"/>
  <c r="S38" i="6"/>
  <c r="T38" i="6" s="1"/>
  <c r="M38" i="6"/>
  <c r="N38" i="6" s="1"/>
  <c r="AL38" i="6"/>
  <c r="AC37" i="6"/>
  <c r="AD37" i="6" s="1"/>
  <c r="S37" i="6"/>
  <c r="T37" i="6" s="1"/>
  <c r="M37" i="6"/>
  <c r="N37" i="6" s="1"/>
  <c r="AL37" i="6"/>
  <c r="AC36" i="6"/>
  <c r="AD36" i="6" s="1"/>
  <c r="S36" i="6"/>
  <c r="T36" i="6" s="1"/>
  <c r="M36" i="6"/>
  <c r="N36" i="6" s="1"/>
  <c r="AL36" i="6"/>
  <c r="AC35" i="6"/>
  <c r="AD35" i="6" s="1"/>
  <c r="S35" i="6"/>
  <c r="T35" i="6" s="1"/>
  <c r="M35" i="6"/>
  <c r="N35" i="6" s="1"/>
  <c r="AL35" i="6"/>
  <c r="AL41" i="7"/>
  <c r="AC41" i="7"/>
  <c r="AD41" i="7" s="1"/>
  <c r="S41" i="7"/>
  <c r="M41" i="7"/>
  <c r="AC40" i="7"/>
  <c r="S40" i="7"/>
  <c r="M40" i="7"/>
  <c r="AC39" i="7"/>
  <c r="AD39" i="7" s="1"/>
  <c r="S39" i="7"/>
  <c r="T39" i="7" s="1"/>
  <c r="M39" i="7"/>
  <c r="N39" i="7" s="1"/>
  <c r="L39" i="7"/>
  <c r="AL39" i="7"/>
  <c r="AC38" i="7"/>
  <c r="S38" i="7"/>
  <c r="T38" i="7" s="1"/>
  <c r="M38" i="7"/>
  <c r="N38" i="7" s="1"/>
  <c r="L38" i="7"/>
  <c r="AC37" i="7"/>
  <c r="S37" i="7"/>
  <c r="M37" i="7"/>
  <c r="AL36" i="7"/>
  <c r="AC36" i="7"/>
  <c r="AD36" i="7" s="1"/>
  <c r="S36" i="7"/>
  <c r="T36" i="7" s="1"/>
  <c r="M36" i="7"/>
  <c r="AC35" i="7"/>
  <c r="S35" i="7"/>
  <c r="M35" i="7"/>
  <c r="G35" i="6" l="1"/>
  <c r="J36" i="6"/>
  <c r="J38" i="6"/>
  <c r="J41" i="6"/>
  <c r="L37" i="6"/>
  <c r="L41" i="6"/>
  <c r="P35" i="6"/>
  <c r="P37" i="6"/>
  <c r="P39" i="6"/>
  <c r="P41" i="6"/>
  <c r="R40" i="6"/>
  <c r="V35" i="6"/>
  <c r="V36" i="6"/>
  <c r="V37" i="6"/>
  <c r="V38" i="6"/>
  <c r="V39" i="6"/>
  <c r="V40" i="6"/>
  <c r="V41" i="6"/>
  <c r="X35" i="6"/>
  <c r="X36" i="6"/>
  <c r="X37" i="6"/>
  <c r="X38" i="6"/>
  <c r="X39" i="6"/>
  <c r="X40" i="6"/>
  <c r="X41" i="6"/>
  <c r="J37" i="6"/>
  <c r="J40" i="6"/>
  <c r="L36" i="6"/>
  <c r="L39" i="6"/>
  <c r="P36" i="6"/>
  <c r="P38" i="6"/>
  <c r="P40" i="6"/>
  <c r="R35" i="6"/>
  <c r="R36" i="6"/>
  <c r="R37" i="6"/>
  <c r="R38" i="6"/>
  <c r="R39" i="6"/>
  <c r="R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J35" i="6"/>
  <c r="J39" i="6"/>
  <c r="L35" i="6"/>
  <c r="L38" i="6"/>
  <c r="L40" i="6"/>
  <c r="AF35" i="6"/>
  <c r="AF36" i="6"/>
  <c r="AF37" i="6"/>
  <c r="AF38" i="6"/>
  <c r="AF39" i="6"/>
  <c r="AF40" i="6"/>
  <c r="AF41" i="6"/>
  <c r="AH35" i="6"/>
  <c r="AH36" i="6"/>
  <c r="AH37" i="6"/>
  <c r="AH38" i="6"/>
  <c r="AH39" i="6"/>
  <c r="AH40" i="6"/>
  <c r="AH41" i="6"/>
  <c r="AJ35" i="6"/>
  <c r="AJ36" i="6"/>
  <c r="AJ37" i="6"/>
  <c r="AJ38" i="6"/>
  <c r="AJ39" i="6"/>
  <c r="AJ40" i="6"/>
  <c r="AJ41" i="6"/>
  <c r="AJ37" i="7"/>
  <c r="AH37" i="7"/>
  <c r="AF37" i="7"/>
  <c r="AB37" i="7"/>
  <c r="Z37" i="7"/>
  <c r="X37" i="7"/>
  <c r="V37" i="7"/>
  <c r="R37" i="7"/>
  <c r="P37" i="7"/>
  <c r="L37" i="7"/>
  <c r="AJ35" i="7"/>
  <c r="AH35" i="7"/>
  <c r="AF35" i="7"/>
  <c r="AB35" i="7"/>
  <c r="Z35" i="7"/>
  <c r="X35" i="7"/>
  <c r="V35" i="7"/>
  <c r="R35" i="7"/>
  <c r="P35" i="7"/>
  <c r="N37" i="7"/>
  <c r="G35" i="7"/>
  <c r="T37" i="7"/>
  <c r="AJ40" i="7"/>
  <c r="AH40" i="7"/>
  <c r="AF40" i="7"/>
  <c r="AB40" i="7"/>
  <c r="Z40" i="7"/>
  <c r="X40" i="7"/>
  <c r="V40" i="7"/>
  <c r="R40" i="7"/>
  <c r="P40" i="7"/>
  <c r="J35" i="7"/>
  <c r="AD37" i="7"/>
  <c r="J40" i="7"/>
  <c r="L35" i="7"/>
  <c r="AL37" i="7"/>
  <c r="L40" i="7"/>
  <c r="N35" i="7"/>
  <c r="N40" i="7"/>
  <c r="T35" i="7"/>
  <c r="AJ38" i="7"/>
  <c r="AH38" i="7"/>
  <c r="AF38" i="7"/>
  <c r="AB38" i="7"/>
  <c r="Z38" i="7"/>
  <c r="X38" i="7"/>
  <c r="V38" i="7"/>
  <c r="R38" i="7"/>
  <c r="P38" i="7"/>
  <c r="T40" i="7"/>
  <c r="AD35" i="7"/>
  <c r="J38" i="7"/>
  <c r="AD40" i="7"/>
  <c r="AL35" i="7"/>
  <c r="AL40" i="7"/>
  <c r="AJ36" i="7"/>
  <c r="AH36" i="7"/>
  <c r="AF36" i="7"/>
  <c r="AB36" i="7"/>
  <c r="Z36" i="7"/>
  <c r="X36" i="7"/>
  <c r="V36" i="7"/>
  <c r="R36" i="7"/>
  <c r="P36" i="7"/>
  <c r="AJ41" i="7"/>
  <c r="AH41" i="7"/>
  <c r="AF41" i="7"/>
  <c r="AB41" i="7"/>
  <c r="Z41" i="7"/>
  <c r="X41" i="7"/>
  <c r="V41" i="7"/>
  <c r="R41" i="7"/>
  <c r="P41" i="7"/>
  <c r="L41" i="7"/>
  <c r="J36" i="7"/>
  <c r="AD38" i="7"/>
  <c r="J41" i="7"/>
  <c r="L36" i="7"/>
  <c r="AL38" i="7"/>
  <c r="N41" i="7"/>
  <c r="N36" i="7"/>
  <c r="T41" i="7"/>
  <c r="J37" i="7"/>
  <c r="AJ39" i="7"/>
  <c r="AH39" i="7"/>
  <c r="AF39" i="7"/>
  <c r="AB39" i="7"/>
  <c r="Z39" i="7"/>
  <c r="X39" i="7"/>
  <c r="V39" i="7"/>
  <c r="R39" i="7"/>
  <c r="P39" i="7"/>
  <c r="J39" i="7"/>
  <c r="N32" i="56" l="1"/>
  <c r="M32" i="56"/>
  <c r="L34" i="56"/>
  <c r="L35" i="56"/>
  <c r="L36" i="56"/>
  <c r="L37" i="56"/>
  <c r="L38" i="56"/>
  <c r="J34" i="56"/>
  <c r="J35" i="56"/>
  <c r="J36" i="56"/>
  <c r="J37" i="56"/>
  <c r="J38" i="56"/>
  <c r="H35" i="56"/>
  <c r="H36" i="56"/>
  <c r="H37" i="56"/>
  <c r="H38" i="56"/>
  <c r="F34" i="56"/>
  <c r="F35" i="56"/>
  <c r="F36" i="56"/>
  <c r="F37" i="56"/>
  <c r="F38" i="56"/>
  <c r="D34" i="56"/>
  <c r="D35" i="56"/>
  <c r="D36" i="56"/>
  <c r="D37" i="56"/>
  <c r="D38" i="56"/>
  <c r="K134" i="62" l="1"/>
  <c r="K126" i="62"/>
  <c r="K142" i="62"/>
  <c r="K102" i="20"/>
  <c r="K94" i="20"/>
  <c r="K142" i="19"/>
  <c r="K126" i="19"/>
  <c r="K134" i="19"/>
  <c r="K110" i="20"/>
  <c r="K86" i="20"/>
  <c r="L32" i="56"/>
  <c r="L33" i="56"/>
  <c r="J32" i="56"/>
  <c r="J33" i="56"/>
  <c r="H32" i="56"/>
  <c r="H33" i="56"/>
  <c r="H34" i="56"/>
  <c r="F32" i="56"/>
  <c r="F33" i="56"/>
  <c r="D32" i="56"/>
  <c r="D33" i="56"/>
  <c r="M98" i="62" l="1"/>
  <c r="M113" i="62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71" i="20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L30" i="56" l="1"/>
  <c r="L31" i="56"/>
  <c r="J30" i="56"/>
  <c r="J31" i="56"/>
  <c r="H30" i="56"/>
  <c r="H31" i="56"/>
  <c r="F30" i="56"/>
  <c r="F31" i="56"/>
  <c r="D31" i="56"/>
  <c r="J123" i="22"/>
  <c r="J114" i="22"/>
  <c r="J113" i="22"/>
  <c r="J112" i="22"/>
  <c r="J229" i="24"/>
  <c r="J228" i="24"/>
  <c r="J227" i="24"/>
  <c r="J216" i="24"/>
  <c r="J120" i="15"/>
  <c r="J119" i="15"/>
  <c r="J118" i="15"/>
  <c r="J117" i="15"/>
  <c r="J116" i="15"/>
  <c r="J115" i="15"/>
  <c r="J114" i="15"/>
  <c r="J113" i="15"/>
  <c r="J112" i="15"/>
  <c r="G28" i="6" l="1"/>
  <c r="B28" i="6"/>
  <c r="AC34" i="6"/>
  <c r="AB34" i="6"/>
  <c r="Z34" i="6"/>
  <c r="S34" i="6"/>
  <c r="T34" i="6" s="1"/>
  <c r="M34" i="6"/>
  <c r="N34" i="6" s="1"/>
  <c r="AC33" i="6"/>
  <c r="AB33" i="6"/>
  <c r="Z33" i="6"/>
  <c r="S33" i="6"/>
  <c r="T33" i="6" s="1"/>
  <c r="M33" i="6"/>
  <c r="N33" i="6" s="1"/>
  <c r="AC32" i="6"/>
  <c r="AB32" i="6"/>
  <c r="Z32" i="6"/>
  <c r="S32" i="6"/>
  <c r="T32" i="6" s="1"/>
  <c r="M32" i="6"/>
  <c r="N32" i="6" s="1"/>
  <c r="AC31" i="6"/>
  <c r="S31" i="6"/>
  <c r="M31" i="6"/>
  <c r="AC30" i="6"/>
  <c r="AB30" i="6"/>
  <c r="Z30" i="6"/>
  <c r="S30" i="6"/>
  <c r="T30" i="6" s="1"/>
  <c r="M30" i="6"/>
  <c r="N30" i="6" s="1"/>
  <c r="AC29" i="6"/>
  <c r="AB29" i="6"/>
  <c r="Z29" i="6"/>
  <c r="S29" i="6"/>
  <c r="T29" i="6" s="1"/>
  <c r="M29" i="6"/>
  <c r="N29" i="6" s="1"/>
  <c r="AC28" i="6"/>
  <c r="AB28" i="6"/>
  <c r="Z28" i="6"/>
  <c r="S28" i="6"/>
  <c r="T28" i="6" s="1"/>
  <c r="M28" i="6"/>
  <c r="N28" i="6" s="1"/>
  <c r="AL34" i="7"/>
  <c r="AJ34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L29" i="7"/>
  <c r="AJ29" i="7"/>
  <c r="AC29" i="7"/>
  <c r="AD29" i="7" s="1"/>
  <c r="S29" i="7"/>
  <c r="M29" i="7"/>
  <c r="AC28" i="7"/>
  <c r="S28" i="7"/>
  <c r="M28" i="7"/>
  <c r="X31" i="6" l="1"/>
  <c r="V31" i="6"/>
  <c r="R31" i="6"/>
  <c r="P31" i="6"/>
  <c r="L31" i="6"/>
  <c r="J31" i="6"/>
  <c r="AL31" i="6"/>
  <c r="AJ31" i="6"/>
  <c r="AD31" i="6"/>
  <c r="AF31" i="6"/>
  <c r="AH31" i="6"/>
  <c r="X29" i="6"/>
  <c r="V29" i="6"/>
  <c r="R29" i="6"/>
  <c r="P29" i="6"/>
  <c r="L29" i="6"/>
  <c r="J29" i="6"/>
  <c r="AL29" i="6"/>
  <c r="AJ29" i="6"/>
  <c r="X34" i="6"/>
  <c r="V34" i="6"/>
  <c r="R34" i="6"/>
  <c r="P34" i="6"/>
  <c r="L34" i="6"/>
  <c r="J34" i="6"/>
  <c r="AL34" i="6"/>
  <c r="AJ34" i="6"/>
  <c r="AH34" i="6"/>
  <c r="AD29" i="6"/>
  <c r="AD34" i="6"/>
  <c r="AF29" i="6"/>
  <c r="AF34" i="6"/>
  <c r="AH29" i="6"/>
  <c r="X32" i="6"/>
  <c r="V32" i="6"/>
  <c r="R32" i="6"/>
  <c r="P32" i="6"/>
  <c r="L32" i="6"/>
  <c r="J32" i="6"/>
  <c r="AL32" i="6"/>
  <c r="AJ32" i="6"/>
  <c r="AD32" i="6"/>
  <c r="AF32" i="6"/>
  <c r="AH32" i="6"/>
  <c r="X30" i="6"/>
  <c r="V30" i="6"/>
  <c r="R30" i="6"/>
  <c r="P30" i="6"/>
  <c r="L30" i="6"/>
  <c r="J30" i="6"/>
  <c r="AL30" i="6"/>
  <c r="AJ30" i="6"/>
  <c r="AD30" i="6"/>
  <c r="AF30" i="6"/>
  <c r="AH30" i="6"/>
  <c r="X28" i="6"/>
  <c r="V28" i="6"/>
  <c r="R28" i="6"/>
  <c r="P28" i="6"/>
  <c r="L28" i="6"/>
  <c r="J28" i="6"/>
  <c r="AL28" i="6"/>
  <c r="AJ28" i="6"/>
  <c r="N31" i="6"/>
  <c r="X33" i="6"/>
  <c r="V33" i="6"/>
  <c r="R33" i="6"/>
  <c r="P33" i="6"/>
  <c r="L33" i="6"/>
  <c r="J33" i="6"/>
  <c r="AL33" i="6"/>
  <c r="AJ33" i="6"/>
  <c r="AD28" i="6"/>
  <c r="T31" i="6"/>
  <c r="AD33" i="6"/>
  <c r="AF28" i="6"/>
  <c r="Z31" i="6"/>
  <c r="AF33" i="6"/>
  <c r="AH28" i="6"/>
  <c r="AB31" i="6"/>
  <c r="AH33" i="6"/>
  <c r="AH32" i="7"/>
  <c r="AF32" i="7"/>
  <c r="AB32" i="7"/>
  <c r="Z32" i="7"/>
  <c r="X32" i="7"/>
  <c r="V32" i="7"/>
  <c r="R32" i="7"/>
  <c r="P32" i="7"/>
  <c r="L32" i="7"/>
  <c r="J32" i="7"/>
  <c r="N32" i="7"/>
  <c r="T32" i="7"/>
  <c r="AH30" i="7"/>
  <c r="AF30" i="7"/>
  <c r="AB30" i="7"/>
  <c r="Z30" i="7"/>
  <c r="X30" i="7"/>
  <c r="V30" i="7"/>
  <c r="R30" i="7"/>
  <c r="P30" i="7"/>
  <c r="L30" i="7"/>
  <c r="AD32" i="7"/>
  <c r="J30" i="7"/>
  <c r="AJ32" i="7"/>
  <c r="N30" i="7"/>
  <c r="AL32" i="7"/>
  <c r="AH28" i="7"/>
  <c r="AF28" i="7"/>
  <c r="AB28" i="7"/>
  <c r="Z28" i="7"/>
  <c r="X28" i="7"/>
  <c r="V28" i="7"/>
  <c r="R28" i="7"/>
  <c r="P28" i="7"/>
  <c r="L28" i="7"/>
  <c r="T30" i="7"/>
  <c r="G28" i="7"/>
  <c r="AD30" i="7"/>
  <c r="AH33" i="7"/>
  <c r="AF33" i="7"/>
  <c r="AB33" i="7"/>
  <c r="Z33" i="7"/>
  <c r="X33" i="7"/>
  <c r="V33" i="7"/>
  <c r="R33" i="7"/>
  <c r="P33" i="7"/>
  <c r="L33" i="7"/>
  <c r="J28" i="7"/>
  <c r="AJ30" i="7"/>
  <c r="J33" i="7"/>
  <c r="N28" i="7"/>
  <c r="AL30" i="7"/>
  <c r="N33" i="7"/>
  <c r="T28" i="7"/>
  <c r="T33" i="7"/>
  <c r="AD28" i="7"/>
  <c r="AH31" i="7"/>
  <c r="AF31" i="7"/>
  <c r="AB31" i="7"/>
  <c r="Z31" i="7"/>
  <c r="X31" i="7"/>
  <c r="V31" i="7"/>
  <c r="R31" i="7"/>
  <c r="P31" i="7"/>
  <c r="L31" i="7"/>
  <c r="AD33" i="7"/>
  <c r="AJ28" i="7"/>
  <c r="J31" i="7"/>
  <c r="AJ33" i="7"/>
  <c r="AL28" i="7"/>
  <c r="N31" i="7"/>
  <c r="AL33" i="7"/>
  <c r="T31" i="7"/>
  <c r="AH29" i="7"/>
  <c r="AF29" i="7"/>
  <c r="AB29" i="7"/>
  <c r="Z29" i="7"/>
  <c r="X29" i="7"/>
  <c r="V29" i="7"/>
  <c r="R29" i="7"/>
  <c r="P29" i="7"/>
  <c r="L29" i="7"/>
  <c r="AD31" i="7"/>
  <c r="AH34" i="7"/>
  <c r="AF34" i="7"/>
  <c r="AB34" i="7"/>
  <c r="Z34" i="7"/>
  <c r="X34" i="7"/>
  <c r="V34" i="7"/>
  <c r="R34" i="7"/>
  <c r="P34" i="7"/>
  <c r="L34" i="7"/>
  <c r="J34" i="7"/>
  <c r="J29" i="7"/>
  <c r="AJ31" i="7"/>
  <c r="N34" i="7"/>
  <c r="N29" i="7"/>
  <c r="AL31" i="7"/>
  <c r="T34" i="7"/>
  <c r="T29" i="7"/>
  <c r="AD34" i="7"/>
  <c r="AC103" i="64" l="1"/>
  <c r="AD103" i="64"/>
  <c r="AE103" i="64"/>
  <c r="AF103" i="64"/>
  <c r="AG103" i="64"/>
  <c r="AH103" i="64"/>
  <c r="AC104" i="64"/>
  <c r="H54" i="41" s="1"/>
  <c r="AD104" i="64"/>
  <c r="J54" i="41" s="1"/>
  <c r="AE104" i="64"/>
  <c r="L54" i="41" s="1"/>
  <c r="AF104" i="64"/>
  <c r="F59" i="41" s="1"/>
  <c r="AG104" i="64"/>
  <c r="H59" i="41" s="1"/>
  <c r="AH104" i="64"/>
  <c r="J59" i="41" s="1"/>
  <c r="AB104" i="64"/>
  <c r="F54" i="41" s="1"/>
  <c r="AB103" i="64"/>
  <c r="AB105" i="64" s="1"/>
  <c r="G54" i="41" s="1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D103" i="63"/>
  <c r="AE103" i="63"/>
  <c r="AF103" i="63"/>
  <c r="AF105" i="63" s="1"/>
  <c r="G58" i="41" s="1"/>
  <c r="AG103" i="63"/>
  <c r="AG105" i="63" s="1"/>
  <c r="I58" i="41" s="1"/>
  <c r="AH103" i="63"/>
  <c r="AC104" i="63"/>
  <c r="H53" i="41" s="1"/>
  <c r="AD104" i="63"/>
  <c r="J53" i="41" s="1"/>
  <c r="AE104" i="63"/>
  <c r="L53" i="41" s="1"/>
  <c r="AF104" i="63"/>
  <c r="F58" i="41" s="1"/>
  <c r="AG104" i="63"/>
  <c r="H58" i="41" s="1"/>
  <c r="AH104" i="63"/>
  <c r="J58" i="41" s="1"/>
  <c r="AB104" i="63"/>
  <c r="F53" i="41" s="1"/>
  <c r="AB103" i="63"/>
  <c r="AB105" i="63" s="1"/>
  <c r="G53" i="41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AH105" i="64" l="1"/>
  <c r="K59" i="41" s="1"/>
  <c r="AE105" i="63"/>
  <c r="M53" i="41" s="1"/>
  <c r="AD105" i="63"/>
  <c r="K53" i="41" s="1"/>
  <c r="AC105" i="63"/>
  <c r="I53" i="41" s="1"/>
  <c r="AH105" i="63"/>
  <c r="K58" i="41" s="1"/>
  <c r="AG105" i="64"/>
  <c r="I59" i="41" s="1"/>
  <c r="AE105" i="64"/>
  <c r="M54" i="41" s="1"/>
  <c r="AD105" i="64"/>
  <c r="K54" i="41" s="1"/>
  <c r="AF105" i="64"/>
  <c r="G59" i="41" s="1"/>
  <c r="AC105" i="64"/>
  <c r="I54" i="41" s="1"/>
  <c r="R108" i="63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65" i="62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0" i="62" l="1"/>
  <c r="M70" i="19"/>
  <c r="L21" i="56" l="1"/>
  <c r="L22" i="56"/>
  <c r="L23" i="56"/>
  <c r="L24" i="56"/>
  <c r="L25" i="56"/>
  <c r="L26" i="56"/>
  <c r="L27" i="56"/>
  <c r="L28" i="56"/>
  <c r="L29" i="56"/>
  <c r="J22" i="56"/>
  <c r="J23" i="56"/>
  <c r="J24" i="56"/>
  <c r="J25" i="56"/>
  <c r="J26" i="56"/>
  <c r="J27" i="56"/>
  <c r="J28" i="56"/>
  <c r="J29" i="56"/>
  <c r="H22" i="56"/>
  <c r="H23" i="56"/>
  <c r="H24" i="56"/>
  <c r="H25" i="56"/>
  <c r="H26" i="56"/>
  <c r="H27" i="56"/>
  <c r="H28" i="56"/>
  <c r="H29" i="56"/>
  <c r="F21" i="56"/>
  <c r="F22" i="56"/>
  <c r="F23" i="56"/>
  <c r="F24" i="56"/>
  <c r="F25" i="56"/>
  <c r="F26" i="56"/>
  <c r="F27" i="56"/>
  <c r="F28" i="56"/>
  <c r="F29" i="56"/>
  <c r="D21" i="56"/>
  <c r="D22" i="56"/>
  <c r="D23" i="56"/>
  <c r="D24" i="56"/>
  <c r="D25" i="56"/>
  <c r="D26" i="56"/>
  <c r="D27" i="56"/>
  <c r="D28" i="56"/>
  <c r="D29" i="56"/>
  <c r="D30" i="56"/>
  <c r="M93" i="63" l="1"/>
  <c r="J203" i="24" l="1"/>
  <c r="J202" i="24"/>
  <c r="J201" i="24"/>
  <c r="J191" i="24"/>
  <c r="J190" i="24"/>
  <c r="J97" i="22"/>
  <c r="J88" i="22"/>
  <c r="J87" i="22"/>
  <c r="J86" i="22"/>
  <c r="J106" i="15"/>
  <c r="J105" i="15"/>
  <c r="J104" i="15"/>
  <c r="J103" i="15"/>
  <c r="J102" i="15"/>
  <c r="J101" i="15"/>
  <c r="J100" i="15"/>
  <c r="J99" i="15"/>
  <c r="J98" i="15"/>
  <c r="J97" i="15"/>
  <c r="J95" i="15"/>
  <c r="J94" i="15"/>
  <c r="J92" i="15"/>
  <c r="J91" i="15"/>
  <c r="J90" i="15"/>
  <c r="J89" i="15"/>
  <c r="J88" i="15"/>
  <c r="J87" i="15"/>
  <c r="J86" i="15"/>
  <c r="B21" i="6" l="1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AD21" i="6" s="1"/>
  <c r="S21" i="6"/>
  <c r="T21" i="6" s="1"/>
  <c r="M21" i="6"/>
  <c r="N21" i="6" s="1"/>
  <c r="AL21" i="6"/>
  <c r="AC27" i="7"/>
  <c r="AD27" i="7" s="1"/>
  <c r="S27" i="7"/>
  <c r="T27" i="7" s="1"/>
  <c r="M27" i="7"/>
  <c r="N27" i="7" s="1"/>
  <c r="AL27" i="7"/>
  <c r="AC26" i="7"/>
  <c r="AD26" i="7" s="1"/>
  <c r="S26" i="7"/>
  <c r="T26" i="7" s="1"/>
  <c r="M26" i="7"/>
  <c r="N26" i="7" s="1"/>
  <c r="AL26" i="7"/>
  <c r="AC25" i="7"/>
  <c r="AD25" i="7" s="1"/>
  <c r="S25" i="7"/>
  <c r="T25" i="7" s="1"/>
  <c r="M25" i="7"/>
  <c r="N25" i="7" s="1"/>
  <c r="AL25" i="7"/>
  <c r="AC24" i="7"/>
  <c r="AD24" i="7" s="1"/>
  <c r="S24" i="7"/>
  <c r="T24" i="7" s="1"/>
  <c r="M24" i="7"/>
  <c r="N24" i="7" s="1"/>
  <c r="AL24" i="7"/>
  <c r="AC23" i="7"/>
  <c r="AD23" i="7" s="1"/>
  <c r="S23" i="7"/>
  <c r="T23" i="7" s="1"/>
  <c r="M23" i="7"/>
  <c r="N23" i="7" s="1"/>
  <c r="AL23" i="7"/>
  <c r="AC22" i="7"/>
  <c r="AD22" i="7" s="1"/>
  <c r="S22" i="7"/>
  <c r="T22" i="7" s="1"/>
  <c r="M22" i="7"/>
  <c r="N22" i="7" s="1"/>
  <c r="AL22" i="7"/>
  <c r="AC21" i="7"/>
  <c r="AD21" i="7" s="1"/>
  <c r="S21" i="7"/>
  <c r="T21" i="7" s="1"/>
  <c r="M21" i="7"/>
  <c r="N21" i="7" s="1"/>
  <c r="AL21" i="7"/>
  <c r="T26" i="6" l="1"/>
  <c r="AD26" i="6"/>
  <c r="N27" i="6"/>
  <c r="T27" i="6"/>
  <c r="AD27" i="6"/>
  <c r="N23" i="6"/>
  <c r="T23" i="6"/>
  <c r="AD23" i="6"/>
  <c r="N24" i="6"/>
  <c r="T24" i="6"/>
  <c r="AD24" i="6"/>
  <c r="N25" i="6"/>
  <c r="G21" i="6"/>
  <c r="J21" i="6"/>
  <c r="L21" i="6"/>
  <c r="P21" i="6"/>
  <c r="R21" i="6"/>
  <c r="V21" i="6"/>
  <c r="X21" i="6"/>
  <c r="Z21" i="6"/>
  <c r="AB21" i="6"/>
  <c r="AF21" i="6"/>
  <c r="AH21" i="6"/>
  <c r="AJ21" i="6"/>
  <c r="J21" i="7"/>
  <c r="J23" i="7"/>
  <c r="J26" i="7"/>
  <c r="L21" i="7"/>
  <c r="L23" i="7"/>
  <c r="L24" i="7"/>
  <c r="L25" i="7"/>
  <c r="L26" i="7"/>
  <c r="L27" i="7"/>
  <c r="P21" i="7"/>
  <c r="P23" i="7"/>
  <c r="P26" i="7"/>
  <c r="R21" i="7"/>
  <c r="R23" i="7"/>
  <c r="R24" i="7"/>
  <c r="R26" i="7"/>
  <c r="R27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G21" i="7"/>
  <c r="J22" i="7"/>
  <c r="J24" i="7"/>
  <c r="J25" i="7"/>
  <c r="J27" i="7"/>
  <c r="L22" i="7"/>
  <c r="P22" i="7"/>
  <c r="P24" i="7"/>
  <c r="P25" i="7"/>
  <c r="P27" i="7"/>
  <c r="R22" i="7"/>
  <c r="R25" i="7"/>
  <c r="AB21" i="7"/>
  <c r="AB22" i="7"/>
  <c r="AB23" i="7"/>
  <c r="AB24" i="7"/>
  <c r="AB25" i="7"/>
  <c r="AB26" i="7"/>
  <c r="AB27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AJ21" i="7"/>
  <c r="AJ22" i="7"/>
  <c r="AJ23" i="7"/>
  <c r="AJ24" i="7"/>
  <c r="AJ25" i="7"/>
  <c r="AJ26" i="7"/>
  <c r="AJ27" i="7"/>
  <c r="AL22" i="6" l="1"/>
  <c r="AJ22" i="6"/>
  <c r="AH22" i="6"/>
  <c r="AF22" i="6"/>
  <c r="AB22" i="6"/>
  <c r="Z22" i="6"/>
  <c r="X22" i="6"/>
  <c r="V22" i="6"/>
  <c r="R22" i="6"/>
  <c r="P22" i="6"/>
  <c r="L22" i="6"/>
  <c r="J22" i="6"/>
  <c r="AD22" i="6"/>
  <c r="T22" i="6"/>
  <c r="N22" i="6"/>
  <c r="AL26" i="6"/>
  <c r="AJ26" i="6"/>
  <c r="AH26" i="6"/>
  <c r="AF26" i="6"/>
  <c r="AB26" i="6"/>
  <c r="Z26" i="6"/>
  <c r="X26" i="6"/>
  <c r="V26" i="6"/>
  <c r="R26" i="6"/>
  <c r="P26" i="6"/>
  <c r="L26" i="6"/>
  <c r="J26" i="6"/>
  <c r="AL25" i="6"/>
  <c r="AJ25" i="6"/>
  <c r="AH25" i="6"/>
  <c r="AF25" i="6"/>
  <c r="AB25" i="6"/>
  <c r="Z25" i="6"/>
  <c r="X25" i="6"/>
  <c r="V25" i="6"/>
  <c r="R25" i="6"/>
  <c r="P25" i="6"/>
  <c r="L25" i="6"/>
  <c r="J25" i="6"/>
  <c r="AL24" i="6"/>
  <c r="AJ24" i="6"/>
  <c r="AH24" i="6"/>
  <c r="AF24" i="6"/>
  <c r="AB24" i="6"/>
  <c r="Z24" i="6"/>
  <c r="X24" i="6"/>
  <c r="V24" i="6"/>
  <c r="R24" i="6"/>
  <c r="P24" i="6"/>
  <c r="L24" i="6"/>
  <c r="J24" i="6"/>
  <c r="AD25" i="6"/>
  <c r="AL27" i="6"/>
  <c r="AJ27" i="6"/>
  <c r="AH27" i="6"/>
  <c r="AF27" i="6"/>
  <c r="AB27" i="6"/>
  <c r="Z27" i="6"/>
  <c r="X27" i="6"/>
  <c r="V27" i="6"/>
  <c r="R27" i="6"/>
  <c r="P27" i="6"/>
  <c r="L27" i="6"/>
  <c r="J27" i="6"/>
  <c r="N26" i="6"/>
  <c r="AL23" i="6"/>
  <c r="AJ23" i="6"/>
  <c r="AH23" i="6"/>
  <c r="AF23" i="6"/>
  <c r="AB23" i="6"/>
  <c r="Z23" i="6"/>
  <c r="X23" i="6"/>
  <c r="V23" i="6"/>
  <c r="R23" i="6"/>
  <c r="P23" i="6"/>
  <c r="L23" i="6"/>
  <c r="J23" i="6"/>
  <c r="T25" i="6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58" i="62" s="1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42" i="62" l="1"/>
  <c r="M42" i="19"/>
  <c r="AC79" i="64" l="1"/>
  <c r="AD79" i="64"/>
  <c r="AE79" i="64"/>
  <c r="AF79" i="64"/>
  <c r="AG79" i="64"/>
  <c r="AH79" i="64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AC81" i="64" s="1"/>
  <c r="I43" i="41" s="1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G79" i="63"/>
  <c r="AH79" i="63"/>
  <c r="AC80" i="63"/>
  <c r="H42" i="41" s="1"/>
  <c r="AD80" i="63"/>
  <c r="J42" i="41" s="1"/>
  <c r="AE80" i="63"/>
  <c r="L42" i="41" s="1"/>
  <c r="AF80" i="63"/>
  <c r="F47" i="41" s="1"/>
  <c r="AG80" i="63"/>
  <c r="H47" i="41" s="1"/>
  <c r="AH80" i="63"/>
  <c r="J47" i="41" s="1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L18" i="56"/>
  <c r="L19" i="56"/>
  <c r="L20" i="56"/>
  <c r="J18" i="56"/>
  <c r="J19" i="56"/>
  <c r="J20" i="56"/>
  <c r="J21" i="56"/>
  <c r="H18" i="56"/>
  <c r="H19" i="56"/>
  <c r="H20" i="56"/>
  <c r="H21" i="56"/>
  <c r="F18" i="56"/>
  <c r="F19" i="56"/>
  <c r="F20" i="56"/>
  <c r="D18" i="56"/>
  <c r="D19" i="56"/>
  <c r="D20" i="56"/>
  <c r="AG81" i="63" l="1"/>
  <c r="I47" i="41" s="1"/>
  <c r="AF81" i="63"/>
  <c r="G47" i="41" s="1"/>
  <c r="AH81" i="64"/>
  <c r="K48" i="41" s="1"/>
  <c r="AF81" i="64"/>
  <c r="G48" i="41" s="1"/>
  <c r="AE81" i="64"/>
  <c r="M43" i="41" s="1"/>
  <c r="AD81" i="64"/>
  <c r="K43" i="41" s="1"/>
  <c r="AG81" i="64"/>
  <c r="I48" i="41" s="1"/>
  <c r="AH81" i="63"/>
  <c r="K47" i="41" s="1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J177" i="24"/>
  <c r="J176" i="24"/>
  <c r="J175" i="24"/>
  <c r="J165" i="24"/>
  <c r="J164" i="24"/>
  <c r="J61" i="22"/>
  <c r="J62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5" i="15"/>
  <c r="J63" i="15"/>
  <c r="J62" i="15"/>
  <c r="J61" i="15"/>
  <c r="J60" i="15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F57" i="64"/>
  <c r="G37" i="41" s="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AE57" i="64" s="1"/>
  <c r="M32" i="41" s="1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A55" i="63"/>
  <c r="AH57" i="63" s="1"/>
  <c r="K36" i="41" s="1"/>
  <c r="Q55" i="63"/>
  <c r="R55" i="63" s="1"/>
  <c r="P55" i="63"/>
  <c r="M55" i="63"/>
  <c r="K55" i="63"/>
  <c r="I55" i="63"/>
  <c r="J37" i="41" l="1"/>
  <c r="AH57" i="64"/>
  <c r="K37" i="41" s="1"/>
  <c r="AG57" i="64"/>
  <c r="I37" i="41" s="1"/>
  <c r="AD57" i="64"/>
  <c r="K32" i="41" s="1"/>
  <c r="AC57" i="64"/>
  <c r="I32" i="41" s="1"/>
  <c r="R63" i="63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AB31" i="64" l="1"/>
  <c r="AC31" i="64"/>
  <c r="AD31" i="64"/>
  <c r="AE31" i="64"/>
  <c r="AF31" i="64"/>
  <c r="AG31" i="64"/>
  <c r="AH31" i="64"/>
  <c r="AC32" i="64"/>
  <c r="AD32" i="64"/>
  <c r="AE32" i="64"/>
  <c r="AF32" i="64"/>
  <c r="F26" i="41" s="1"/>
  <c r="AG32" i="64"/>
  <c r="AH32" i="64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D31" i="63"/>
  <c r="AE31" i="63"/>
  <c r="AF31" i="63"/>
  <c r="AG31" i="63"/>
  <c r="AH31" i="63"/>
  <c r="AC32" i="63"/>
  <c r="AD32" i="63"/>
  <c r="AE32" i="63"/>
  <c r="AF32" i="63"/>
  <c r="AG32" i="63"/>
  <c r="AH32" i="63"/>
  <c r="AB32" i="63"/>
  <c r="AB31" i="63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B20" i="41"/>
  <c r="B21" i="41"/>
  <c r="M18" i="56"/>
  <c r="N18" i="56"/>
  <c r="M25" i="56"/>
  <c r="N25" i="56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H23" i="13"/>
  <c r="H22" i="13"/>
  <c r="H21" i="13"/>
  <c r="H20" i="13"/>
  <c r="H19" i="13"/>
  <c r="H18" i="13"/>
  <c r="H17" i="13"/>
  <c r="H16" i="13"/>
  <c r="H15" i="13"/>
  <c r="J25" i="41" l="1"/>
  <c r="AG33" i="63"/>
  <c r="I25" i="41" s="1"/>
  <c r="H25" i="41"/>
  <c r="F25" i="41"/>
  <c r="AF33" i="63"/>
  <c r="G25" i="41" s="1"/>
  <c r="L20" i="41"/>
  <c r="AC33" i="63"/>
  <c r="I20" i="41" s="1"/>
  <c r="F20" i="41"/>
  <c r="J20" i="41"/>
  <c r="AE33" i="63"/>
  <c r="M20" i="41" s="1"/>
  <c r="H20" i="41"/>
  <c r="AD33" i="63"/>
  <c r="K20" i="41" s="1"/>
  <c r="AB33" i="63"/>
  <c r="G20" i="41" s="1"/>
  <c r="AH33" i="63"/>
  <c r="K25" i="41" s="1"/>
  <c r="H26" i="41"/>
  <c r="J21" i="41"/>
  <c r="J26" i="41"/>
  <c r="L21" i="41"/>
  <c r="H21" i="41"/>
  <c r="K50" i="19"/>
  <c r="K58" i="19"/>
  <c r="K42" i="19"/>
  <c r="K106" i="62"/>
  <c r="K98" i="62"/>
  <c r="K114" i="62"/>
  <c r="K74" i="20"/>
  <c r="K114" i="19"/>
  <c r="K106" i="19"/>
  <c r="K50" i="20"/>
  <c r="K58" i="20"/>
  <c r="K66" i="20"/>
  <c r="K98" i="19"/>
  <c r="K50" i="62"/>
  <c r="K58" i="62"/>
  <c r="K42" i="62"/>
  <c r="K86" i="62"/>
  <c r="K78" i="62"/>
  <c r="K70" i="62"/>
  <c r="K14" i="20"/>
  <c r="K22" i="20"/>
  <c r="K38" i="20"/>
  <c r="K30" i="20"/>
  <c r="K78" i="19"/>
  <c r="K86" i="19"/>
  <c r="K70" i="19"/>
  <c r="B10" i="40"/>
  <c r="B9" i="40"/>
  <c r="K22" i="57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K30" i="19"/>
  <c r="C20" i="41" l="1"/>
  <c r="K22" i="19"/>
  <c r="K30" i="61"/>
  <c r="K22" i="61"/>
  <c r="K14" i="61"/>
  <c r="C21" i="41"/>
  <c r="E29" i="3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B21" i="7" l="1"/>
  <c r="B28" i="7" s="1"/>
  <c r="B35" i="7" s="1"/>
  <c r="M42" i="6" l="1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B42" i="6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G42" i="7"/>
  <c r="G49" i="7"/>
  <c r="G56" i="7"/>
  <c r="G63" i="7"/>
  <c r="B42" i="7"/>
  <c r="B49" i="7" s="1"/>
  <c r="B56" i="7" s="1"/>
  <c r="B63" i="7" s="1"/>
  <c r="I11" i="13"/>
  <c r="I8" i="13"/>
  <c r="I6" i="13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G40" i="3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B47" i="3"/>
  <c r="B54" i="3" s="1"/>
  <c r="B61" i="3" s="1"/>
  <c r="V40" i="3" l="1"/>
  <c r="D8" i="39"/>
  <c r="B7" i="13"/>
  <c r="E7" i="39"/>
  <c r="B6" i="13"/>
  <c r="E6" i="39"/>
  <c r="V33" i="3"/>
  <c r="C10" i="41"/>
  <c r="C9" i="41"/>
  <c r="P33" i="3"/>
  <c r="C54" i="41"/>
  <c r="C53" i="41"/>
  <c r="C43" i="41"/>
  <c r="C42" i="41"/>
  <c r="C31" i="41"/>
  <c r="C32" i="41"/>
  <c r="I9" i="13"/>
  <c r="I10" i="13"/>
  <c r="J40" i="5"/>
  <c r="J19" i="5"/>
  <c r="J26" i="5"/>
  <c r="J33" i="5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30" i="19" l="1"/>
  <c r="M22" i="62"/>
  <c r="K22" i="62" s="1"/>
  <c r="M30" i="62"/>
  <c r="K30" i="62" s="1"/>
  <c r="M14" i="20"/>
  <c r="M14" i="62"/>
  <c r="K14" i="62" s="1"/>
  <c r="M14" i="19"/>
  <c r="K14" i="19" s="1"/>
  <c r="M10" i="58" l="1"/>
  <c r="M11" i="58"/>
  <c r="M12" i="58"/>
  <c r="M13" i="58"/>
  <c r="M9" i="58"/>
  <c r="I7" i="13" l="1"/>
  <c r="D40" i="56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0" i="56" l="1"/>
  <c r="J40" i="56"/>
  <c r="L40" i="56"/>
  <c r="F40" i="56" l="1"/>
  <c r="M26" i="60" l="1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AC59" i="6" l="1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H43" i="6" l="1"/>
  <c r="AH43" i="7"/>
  <c r="AJ44" i="7"/>
  <c r="P42" i="6"/>
  <c r="AJ44" i="6"/>
  <c r="AF42" i="6"/>
  <c r="AL42" i="6"/>
  <c r="AL42" i="7"/>
  <c r="N42" i="7"/>
  <c r="AD42" i="7"/>
  <c r="AH42" i="7"/>
  <c r="AJ43" i="6"/>
  <c r="AL43" i="6"/>
  <c r="J43" i="6"/>
  <c r="P43" i="6"/>
  <c r="AF43" i="6"/>
  <c r="AJ42" i="7"/>
  <c r="L42" i="7"/>
  <c r="P42" i="7"/>
  <c r="R42" i="7"/>
  <c r="T42" i="7"/>
  <c r="V42" i="7"/>
  <c r="Z44" i="7"/>
  <c r="X42" i="7"/>
  <c r="J42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V43" i="7"/>
  <c r="N43" i="7"/>
  <c r="AD44" i="7"/>
  <c r="AB43" i="7"/>
  <c r="R43" i="7"/>
  <c r="T44" i="7"/>
  <c r="X44" i="7"/>
  <c r="L43" i="7"/>
  <c r="T43" i="7"/>
  <c r="AF44" i="7"/>
  <c r="N44" i="7"/>
  <c r="V44" i="7"/>
  <c r="AB44" i="7"/>
  <c r="AJ43" i="7"/>
  <c r="AH44" i="7"/>
  <c r="AF43" i="7"/>
  <c r="J44" i="7"/>
  <c r="R44" i="7"/>
  <c r="Z43" i="7"/>
  <c r="AL44" i="7"/>
  <c r="P43" i="7"/>
  <c r="AD43" i="7"/>
  <c r="L44" i="7"/>
  <c r="P44" i="7"/>
  <c r="L44" i="6"/>
  <c r="AD42" i="6"/>
  <c r="AH44" i="6"/>
  <c r="R44" i="6"/>
  <c r="Z42" i="6"/>
  <c r="AB44" i="6"/>
  <c r="L42" i="6"/>
  <c r="J42" i="6"/>
  <c r="AD44" i="6"/>
  <c r="X42" i="6"/>
  <c r="N42" i="6"/>
  <c r="Z44" i="6"/>
  <c r="AB42" i="6"/>
  <c r="AJ42" i="6"/>
  <c r="AF44" i="6"/>
  <c r="V44" i="6"/>
  <c r="T42" i="6"/>
  <c r="R42" i="6"/>
  <c r="AH42" i="6"/>
  <c r="V42" i="6"/>
  <c r="N44" i="6"/>
  <c r="P44" i="6"/>
  <c r="J44" i="6"/>
  <c r="AL44" i="6"/>
  <c r="X44" i="6"/>
  <c r="T44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B36" i="13" l="1"/>
  <c r="D36" i="13" s="1"/>
  <c r="D19" i="5" l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K22" i="60" l="1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0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9" i="5" l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2" i="45" l="1"/>
  <c r="P23" i="45"/>
  <c r="Z22" i="45" l="1"/>
  <c r="U23" i="45"/>
  <c r="Z23" i="45" l="1"/>
  <c r="AE22" i="45"/>
  <c r="AJ22" i="45" l="1"/>
  <c r="AE23" i="45"/>
  <c r="AJ23" i="45" l="1"/>
  <c r="AO22" i="45"/>
  <c r="AO23" i="45" l="1"/>
  <c r="AT22" i="45"/>
  <c r="P42" i="45" s="1"/>
  <c r="U42" i="45" l="1"/>
  <c r="P43" i="45"/>
  <c r="AT23" i="45"/>
  <c r="Z42" i="45" l="1"/>
  <c r="U43" i="45"/>
  <c r="AE42" i="45" l="1"/>
  <c r="Z43" i="45"/>
  <c r="AJ42" i="45" l="1"/>
  <c r="AE43" i="45"/>
  <c r="AO42" i="45" l="1"/>
  <c r="AJ43" i="45"/>
  <c r="AT42" i="45" l="1"/>
  <c r="AT43" i="45" s="1"/>
  <c r="AO43" i="45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<sst xmlns="http://schemas.openxmlformats.org/spreadsheetml/2006/main" count="7615" uniqueCount="726">
  <si>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</si>
  <si>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</si>
  <si>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</si>
  <si>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</si>
  <si>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</si>
  <si>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</si>
  <si>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</si>
  <si>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</si>
  <si>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</si>
  <si>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</si>
  <si>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</si>
  <si>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</si>
  <si>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</si>
  <si>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</si>
  <si>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</si>
  <si>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</si>
  <si>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</si>
  <si>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</si>
  <si>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</si>
  <si>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</si>
  <si>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1"/>
  </si>
  <si>
    <t>（１）收支狀況</t>
    <phoneticPr fontId="11"/>
  </si>
  <si>
    <t>當月</t>
    <phoneticPr fontId="11"/>
  </si>
  <si>
    <t>※單位：千元</t>
    <phoneticPr fontId="11"/>
  </si>
  <si>
    <t>業績金額</t>
    <phoneticPr fontId="11"/>
  </si>
  <si>
    <t>訂單數量</t>
    <phoneticPr fontId="11"/>
  </si>
  <si>
    <t>半成品報廢</t>
    <phoneticPr fontId="11"/>
  </si>
  <si>
    <t>半成品超用</t>
    <phoneticPr fontId="11"/>
  </si>
  <si>
    <t>固定產線</t>
    <phoneticPr fontId="11"/>
  </si>
  <si>
    <t>教育訓練</t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</si>
  <si>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</si>
  <si>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1"/>
  </si>
  <si>
    <t>（３）業績構成比</t>
    <phoneticPr fontId="11"/>
  </si>
  <si>
    <t>（４）訂單數量構成比</t>
    <phoneticPr fontId="11"/>
  </si>
  <si>
    <t>飯糰</t>
    <phoneticPr fontId="11"/>
  </si>
  <si>
    <t>大口飯糰</t>
    <phoneticPr fontId="11"/>
  </si>
  <si>
    <t>便當</t>
    <phoneticPr fontId="11"/>
  </si>
  <si>
    <t>調理麵包</t>
    <phoneticPr fontId="11"/>
  </si>
  <si>
    <t>袋裝調理麵包</t>
    <phoneticPr fontId="11"/>
  </si>
  <si>
    <t>義大利麵</t>
    <phoneticPr fontId="11"/>
  </si>
  <si>
    <t>調理包</t>
    <phoneticPr fontId="11"/>
  </si>
  <si>
    <t>比例</t>
    <phoneticPr fontId="11"/>
  </si>
  <si>
    <t>作業原因</t>
    <phoneticPr fontId="11"/>
  </si>
  <si>
    <t>規格原因</t>
    <phoneticPr fontId="11"/>
  </si>
  <si>
    <t>調理麵</t>
    <phoneticPr fontId="11"/>
  </si>
  <si>
    <t>（６）人時生產性前幾名品項</t>
    <phoneticPr fontId="11"/>
  </si>
  <si>
    <t>人數</t>
    <phoneticPr fontId="11"/>
  </si>
  <si>
    <t>排名</t>
    <phoneticPr fontId="11"/>
  </si>
  <si>
    <t>產能</t>
    <phoneticPr fontId="11"/>
  </si>
  <si>
    <t>人時生產性</t>
    <phoneticPr fontId="11"/>
  </si>
  <si>
    <t>主要原因&amp;對策</t>
  </si>
  <si>
    <t>主要原因&amp;對策</t>
    <phoneticPr fontId="11"/>
  </si>
  <si>
    <t>（８）報廢原因別前幾名品項</t>
    <phoneticPr fontId="11"/>
  </si>
  <si>
    <t>半成品名</t>
    <phoneticPr fontId="11"/>
  </si>
  <si>
    <t>單價</t>
    <phoneticPr fontId="11"/>
  </si>
  <si>
    <t>報廢率</t>
    <phoneticPr fontId="11"/>
  </si>
  <si>
    <t>數量</t>
    <phoneticPr fontId="11"/>
  </si>
  <si>
    <t>實績</t>
    <phoneticPr fontId="11"/>
  </si>
  <si>
    <t>前幾名合計比例</t>
    <phoneticPr fontId="11"/>
  </si>
  <si>
    <t>前幾名合計金額</t>
    <phoneticPr fontId="11"/>
  </si>
  <si>
    <t>※補充</t>
    <phoneticPr fontId="11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</si>
  <si>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1"/>
  </si>
  <si>
    <t>實施率</t>
    <phoneticPr fontId="11"/>
  </si>
  <si>
    <t>（５）品群別人時生產性</t>
    <phoneticPr fontId="11"/>
  </si>
  <si>
    <t>勞務成本</t>
    <phoneticPr fontId="11"/>
  </si>
  <si>
    <t>勞務費率</t>
    <phoneticPr fontId="11"/>
  </si>
  <si>
    <t>比例</t>
    <phoneticPr fontId="11"/>
  </si>
  <si>
    <t>前月</t>
    <phoneticPr fontId="11"/>
  </si>
  <si>
    <t>差異</t>
    <phoneticPr fontId="11"/>
  </si>
  <si>
    <t>KPI</t>
    <phoneticPr fontId="11"/>
  </si>
  <si>
    <t>當月</t>
    <phoneticPr fontId="11"/>
  </si>
  <si>
    <t>（２）ＫＰＩ達成進度</t>
    <phoneticPr fontId="11"/>
  </si>
  <si>
    <t>（７）原因別分析</t>
    <phoneticPr fontId="11"/>
  </si>
  <si>
    <t>月別</t>
    <phoneticPr fontId="11"/>
  </si>
  <si>
    <t>工廠名</t>
    <phoneticPr fontId="11"/>
  </si>
  <si>
    <t>手巻卵黄雞絞肉</t>
    <phoneticPr fontId="11"/>
  </si>
  <si>
    <t>減少暫時停止生產,人時UP</t>
    <phoneticPr fontId="11"/>
  </si>
  <si>
    <t>因組裝2食材,人員增加,產速減少</t>
    <phoneticPr fontId="11"/>
  </si>
  <si>
    <t>透由調整速度提升。</t>
    <phoneticPr fontId="11"/>
  </si>
  <si>
    <t>直巻明太子美奶茲</t>
    <phoneticPr fontId="11"/>
  </si>
  <si>
    <t>大口飯糰燒肉美奶滋</t>
    <phoneticPr fontId="11"/>
  </si>
  <si>
    <t>因摺疊增員。實施教育訓練。</t>
    <phoneticPr fontId="11"/>
  </si>
  <si>
    <t>明太子海苔便當</t>
    <phoneticPr fontId="11"/>
  </si>
  <si>
    <t>指導鋪開炒柴魚片</t>
    <phoneticPr fontId="11"/>
  </si>
  <si>
    <t>肉狀態不良，已連動開發</t>
    <phoneticPr fontId="11"/>
  </si>
  <si>
    <t>油炸白身魚</t>
    <phoneticPr fontId="11"/>
  </si>
  <si>
    <t>油調過多報廢。變更條件。</t>
    <phoneticPr fontId="11"/>
  </si>
  <si>
    <t>川燙蝦子拌醬</t>
    <phoneticPr fontId="11"/>
  </si>
  <si>
    <t>蝦子入數不足</t>
    <phoneticPr fontId="11"/>
  </si>
  <si>
    <t>特製醬汁炙燒牛五花便當</t>
    <phoneticPr fontId="11"/>
  </si>
  <si>
    <t>牛五花醬汁</t>
    <phoneticPr fontId="11"/>
  </si>
  <si>
    <t>難度有差異。調理指導。</t>
    <phoneticPr fontId="11"/>
  </si>
  <si>
    <t>因原料變更。</t>
    <phoneticPr fontId="11"/>
  </si>
  <si>
    <t>牛五花燒成</t>
    <phoneticPr fontId="11"/>
  </si>
  <si>
    <t>大口飯糰三種起司午餐肉</t>
    <phoneticPr fontId="11"/>
  </si>
  <si>
    <t>３種起司燒成</t>
    <phoneticPr fontId="11"/>
  </si>
  <si>
    <t>與燒成範本不同。</t>
    <phoneticPr fontId="11"/>
  </si>
  <si>
    <t>燒成過多，調整調理條件。</t>
    <phoneticPr fontId="11"/>
  </si>
  <si>
    <t>超用率</t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</si>
  <si>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</si>
  <si>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</si>
  <si>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</si>
  <si>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</si>
  <si>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1"/>
  </si>
  <si>
    <t>超用率</t>
    <phoneticPr fontId="11"/>
  </si>
  <si>
    <t>日期</t>
    <phoneticPr fontId="14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</si>
  <si>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</si>
  <si>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</si>
  <si>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</si>
  <si>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4" type="noConversion"/>
  </si>
  <si>
    <t>業績(元)</t>
    <phoneticPr fontId="14" type="noConversion"/>
  </si>
  <si>
    <t>比例(%)</t>
    <phoneticPr fontId="14" type="noConversion"/>
  </si>
  <si>
    <t>三</t>
    <phoneticPr fontId="14" type="noConversion"/>
  </si>
  <si>
    <t>四</t>
    <phoneticPr fontId="14" type="noConversion"/>
  </si>
  <si>
    <t>五</t>
    <phoneticPr fontId="14" type="noConversion"/>
  </si>
  <si>
    <t>六</t>
    <phoneticPr fontId="14" type="noConversion"/>
  </si>
  <si>
    <t>日</t>
    <phoneticPr fontId="14" type="noConversion"/>
  </si>
  <si>
    <t>一</t>
    <phoneticPr fontId="14" type="noConversion"/>
  </si>
  <si>
    <t>二</t>
    <phoneticPr fontId="14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</si>
  <si>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4" type="noConversion"/>
  </si>
  <si>
    <t>週累積</t>
    <phoneticPr fontId="14" type="noConversion"/>
  </si>
  <si>
    <t>月累積</t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</si>
  <si>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</si>
  <si>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營業額(元)</t>
    <phoneticPr fontId="14" type="noConversion"/>
  </si>
  <si>
    <t>訂單數量(個)</t>
    <phoneticPr fontId="14" type="noConversion"/>
  </si>
  <si>
    <t>材料費(元)</t>
    <phoneticPr fontId="14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</si>
  <si>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4" type="noConversion"/>
  </si>
  <si>
    <t>材料費率（材料費／營業額）</t>
    <phoneticPr fontId="14" type="noConversion"/>
  </si>
  <si>
    <t>勞務成本（全廠人事成本）</t>
    <phoneticPr fontId="14" type="noConversion"/>
  </si>
  <si>
    <t>勞務費率（勞務成本／營業額）</t>
    <phoneticPr fontId="14" type="noConversion"/>
  </si>
  <si>
    <t>（２）ＫＰＩ達成進度</t>
    <phoneticPr fontId="11"/>
  </si>
  <si>
    <t>（２）ＫＰＩ達成進度</t>
    <phoneticPr fontId="14" type="noConversion"/>
  </si>
  <si>
    <t>週平均</t>
    <phoneticPr fontId="14" type="noConversion"/>
  </si>
  <si>
    <t>月平均</t>
    <phoneticPr fontId="14" type="noConversion"/>
  </si>
  <si>
    <t>一配</t>
    <phoneticPr fontId="14" type="noConversion"/>
  </si>
  <si>
    <t>二配</t>
    <phoneticPr fontId="14" type="noConversion"/>
  </si>
  <si>
    <t>營業額</t>
    <phoneticPr fontId="14" type="noConversion"/>
  </si>
  <si>
    <t>便當</t>
  </si>
  <si>
    <t>便當</t>
    <phoneticPr fontId="14" type="noConversion"/>
  </si>
  <si>
    <t>主食</t>
  </si>
  <si>
    <t>主食</t>
    <phoneticPr fontId="14" type="noConversion"/>
  </si>
  <si>
    <t>熱食義麵</t>
  </si>
  <si>
    <t>季節調理麵</t>
  </si>
  <si>
    <t>微波小吃</t>
  </si>
  <si>
    <t>微波小吃</t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</si>
  <si>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</si>
  <si>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</si>
  <si>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</si>
  <si>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</si>
  <si>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</si>
  <si>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</si>
  <si>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</si>
  <si>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</si>
  <si>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合計</t>
    <phoneticPr fontId="14" type="noConversion"/>
  </si>
  <si>
    <t>（４）訂單數量構成比</t>
    <phoneticPr fontId="11"/>
  </si>
  <si>
    <t>訂單量</t>
    <phoneticPr fontId="14" type="noConversion"/>
  </si>
  <si>
    <t>訂單數</t>
    <phoneticPr fontId="14" type="noConversion"/>
  </si>
  <si>
    <t>18℃-壽司手卷</t>
  </si>
  <si>
    <t>4℃-壽司手卷</t>
  </si>
  <si>
    <t>商品名稱</t>
    <phoneticPr fontId="14" type="noConversion"/>
  </si>
  <si>
    <t>計畫</t>
    <phoneticPr fontId="14" type="noConversion"/>
  </si>
  <si>
    <t>人數</t>
    <phoneticPr fontId="14" type="noConversion"/>
  </si>
  <si>
    <t>實際</t>
    <phoneticPr fontId="14" type="noConversion"/>
  </si>
  <si>
    <t>人時性</t>
    <phoneticPr fontId="14" type="noConversion"/>
  </si>
  <si>
    <t>品群</t>
    <phoneticPr fontId="14" type="noConversion"/>
  </si>
  <si>
    <t>平均人時性</t>
    <phoneticPr fontId="14" type="noConversion"/>
  </si>
  <si>
    <t>日報</t>
    <phoneticPr fontId="14" type="noConversion"/>
  </si>
  <si>
    <t>排名</t>
    <phoneticPr fontId="14" type="noConversion"/>
  </si>
  <si>
    <t>製程不穩</t>
    <phoneticPr fontId="11"/>
  </si>
  <si>
    <t>研發設定</t>
    <phoneticPr fontId="11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</si>
  <si>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</si>
  <si>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</si>
  <si>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</si>
  <si>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</si>
  <si>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</si>
  <si>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</si>
  <si>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</si>
  <si>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</si>
  <si>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</si>
  <si>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</si>
  <si>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</si>
  <si>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</si>
  <si>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</si>
  <si>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</si>
  <si>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</si>
  <si>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</si>
  <si>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</si>
  <si>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</si>
  <si>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</si>
  <si>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</si>
  <si>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1"/>
  </si>
  <si>
    <t>原物料規格</t>
    <phoneticPr fontId="11"/>
  </si>
  <si>
    <t>其他原因</t>
    <phoneticPr fontId="11"/>
  </si>
  <si>
    <t>類型</t>
    <phoneticPr fontId="14" type="noConversion"/>
  </si>
  <si>
    <t>作業原因</t>
    <phoneticPr fontId="11"/>
  </si>
  <si>
    <t>類型</t>
    <phoneticPr fontId="14" type="noConversion"/>
  </si>
  <si>
    <t>原料原因</t>
    <phoneticPr fontId="11"/>
  </si>
  <si>
    <t>個／MH</t>
    <phoneticPr fontId="11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</si>
  <si>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</si>
  <si>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</si>
  <si>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項目</t>
    <phoneticPr fontId="14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</si>
  <si>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</si>
  <si>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</si>
  <si>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t>半成品-報廢(%)</t>
    <phoneticPr fontId="11"/>
  </si>
  <si>
    <t>半成品-超用(%)</t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</si>
  <si>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1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</si>
  <si>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1"/>
  </si>
  <si>
    <t>▼1</t>
    <phoneticPr fontId="11"/>
  </si>
  <si>
    <t>▼3</t>
    <phoneticPr fontId="11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</si>
  <si>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</si>
  <si>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</si>
  <si>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</si>
  <si>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1"/>
  </si>
  <si>
    <t>▼4</t>
    <phoneticPr fontId="11"/>
  </si>
  <si>
    <t>▼5</t>
    <phoneticPr fontId="11"/>
  </si>
  <si>
    <r>
      <t>調理多</t>
    </r>
    <r>
      <rPr>
        <sz val="11"/>
        <color theme="1"/>
        <rFont val="Arial"/>
        <family val="3"/>
        <charset val="136"/>
      </rPr>
      <t>產</t>
    </r>
    <phoneticPr fontId="11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</si>
  <si>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4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</si>
  <si>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</si>
  <si>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</si>
  <si>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</si>
  <si>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</si>
  <si>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</si>
  <si>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4" type="noConversion"/>
  </si>
  <si>
    <t>4℃-壽司手卷(077)</t>
  </si>
  <si>
    <t>4℃-壽司手卷(077)</t>
    <phoneticPr fontId="14" type="noConversion"/>
  </si>
  <si>
    <t>18℃-壽司手卷(071,072,075,076)</t>
  </si>
  <si>
    <t>18℃-壽司手卷(071,072,075,076)</t>
    <phoneticPr fontId="14" type="noConversion"/>
  </si>
  <si>
    <t>主食(091,092,093,094,095)</t>
  </si>
  <si>
    <t>主食(091,092,093,094,095)</t>
    <phoneticPr fontId="14" type="noConversion"/>
  </si>
  <si>
    <t>便當(083)</t>
  </si>
  <si>
    <t>便當(083)</t>
    <phoneticPr fontId="14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</si>
  <si>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</si>
  <si>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</si>
  <si>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4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</si>
  <si>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4" type="noConversion"/>
  </si>
  <si>
    <t>微波小吃(153,154,155)</t>
  </si>
  <si>
    <t>微波小吃(153,154,155)</t>
    <phoneticPr fontId="14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</si>
  <si>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</si>
  <si>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</si>
  <si>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</si>
  <si>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</si>
  <si>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</si>
  <si>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項目</t>
    <phoneticPr fontId="14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</si>
  <si>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1"/>
  </si>
  <si>
    <t>製程不穩</t>
    <phoneticPr fontId="11"/>
  </si>
  <si>
    <t>比例</t>
    <phoneticPr fontId="11"/>
  </si>
  <si>
    <t>報廢</t>
    <phoneticPr fontId="11"/>
  </si>
  <si>
    <t>超用</t>
    <phoneticPr fontId="11"/>
  </si>
  <si>
    <t>原物料規格</t>
    <phoneticPr fontId="11"/>
  </si>
  <si>
    <t>研發設定</t>
    <phoneticPr fontId="11"/>
  </si>
  <si>
    <t>其他原因</t>
    <phoneticPr fontId="11"/>
  </si>
  <si>
    <t>總件數</t>
    <phoneticPr fontId="14" type="noConversion"/>
  </si>
  <si>
    <t>分析原因</t>
    <phoneticPr fontId="14" type="noConversion"/>
  </si>
  <si>
    <t>次數</t>
    <phoneticPr fontId="14" type="noConversion"/>
  </si>
  <si>
    <t>分析原因（件）</t>
    <phoneticPr fontId="14" type="noConversion"/>
  </si>
  <si>
    <t>報廢金額</t>
    <phoneticPr fontId="14" type="noConversion"/>
  </si>
  <si>
    <t>其他原因</t>
    <phoneticPr fontId="14" type="noConversion"/>
  </si>
  <si>
    <t>補單占比</t>
    <phoneticPr fontId="14" type="noConversion"/>
  </si>
  <si>
    <t>展開量高於１０5％</t>
    <phoneticPr fontId="11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</si>
  <si>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4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</si>
  <si>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4" type="noConversion"/>
  </si>
  <si>
    <t>18℃-壽司手卷(071,072,075,076)</t>
    <phoneticPr fontId="14" type="noConversion"/>
  </si>
  <si>
    <t>鮮食品群番</t>
    <phoneticPr fontId="14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</si>
  <si>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</si>
  <si>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</si>
  <si>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</si>
  <si>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</si>
  <si>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</si>
  <si>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</si>
  <si>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</si>
  <si>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</si>
  <si>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</si>
  <si>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</si>
  <si>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</si>
  <si>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</si>
  <si>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</si>
  <si>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</si>
  <si>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</si>
  <si>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</si>
  <si>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</si>
  <si>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</si>
  <si>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</si>
  <si>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</si>
  <si>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</si>
  <si>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</si>
  <si>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</si>
  <si>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</si>
  <si>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</si>
  <si>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</si>
  <si>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</si>
  <si>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</si>
  <si>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</si>
  <si>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</si>
  <si>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</si>
  <si>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</si>
  <si>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</si>
  <si>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</si>
  <si>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</si>
  <si>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</si>
  <si>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</si>
  <si>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</si>
  <si>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</si>
  <si>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</si>
  <si>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</si>
  <si>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</si>
  <si>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</si>
  <si>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</si>
  <si>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</si>
  <si>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</si>
  <si>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</si>
  <si>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</si>
  <si>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</si>
  <si>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</si>
  <si>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</si>
  <si>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</si>
  <si>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</si>
  <si>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</si>
  <si>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</si>
  <si>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</si>
  <si>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</si>
  <si>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</si>
  <si>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</si>
  <si>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</si>
  <si>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</si>
  <si>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</si>
  <si>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</si>
  <si>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</si>
  <si>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</si>
  <si>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4" type="noConversion"/>
  </si>
  <si>
    <t>（3）業績構成比</t>
    <phoneticPr fontId="14" type="noConversion"/>
  </si>
  <si>
    <t>（4）訂單數量構成比</t>
    <phoneticPr fontId="14" type="noConversion"/>
  </si>
  <si>
    <t xml:space="preserve">半成品報廢(%) </t>
    <phoneticPr fontId="14" type="noConversion"/>
  </si>
  <si>
    <t>月別</t>
    <phoneticPr fontId="11"/>
  </si>
  <si>
    <t>週別</t>
    <phoneticPr fontId="14" type="noConversion"/>
  </si>
  <si>
    <t>當週</t>
  </si>
  <si>
    <t>當週</t>
    <phoneticPr fontId="11"/>
  </si>
  <si>
    <t>前週</t>
  </si>
  <si>
    <t>前週</t>
    <phoneticPr fontId="14" type="noConversion"/>
  </si>
  <si>
    <t>前週</t>
    <phoneticPr fontId="11"/>
  </si>
  <si>
    <t>前週比</t>
    <phoneticPr fontId="14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</si>
  <si>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</si>
  <si>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</si>
  <si>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</si>
  <si>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</si>
  <si>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</si>
  <si>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</si>
  <si>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</si>
  <si>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1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</si>
  <si>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</si>
  <si>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</si>
  <si>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</si>
  <si>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</si>
  <si>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</si>
  <si>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</si>
  <si>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</si>
  <si>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</si>
  <si>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</si>
  <si>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</si>
  <si>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</si>
  <si>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</si>
  <si>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</si>
  <si>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</si>
  <si>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</si>
  <si>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4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</si>
  <si>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</si>
  <si>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</si>
  <si>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</si>
  <si>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</si>
  <si>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</si>
  <si>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</si>
  <si>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</si>
  <si>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4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</si>
  <si>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4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</si>
  <si>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</si>
  <si>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</si>
  <si>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</si>
  <si>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</si>
  <si>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</si>
  <si>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</si>
  <si>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4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</si>
  <si>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</si>
  <si>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生產管理報表</t>
    <phoneticPr fontId="14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</si>
  <si>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</si>
  <si>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4" type="noConversion"/>
  </si>
  <si>
    <t>實績 (週平均)</t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</si>
  <si>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4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</si>
  <si>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</si>
  <si>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4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</si>
  <si>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</si>
  <si>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t>18℃-壽司手卷</t>
    <phoneticPr fontId="14" type="noConversion"/>
  </si>
  <si>
    <t>4℃-壽司手卷</t>
    <phoneticPr fontId="14" type="noConversion"/>
  </si>
  <si>
    <t>季節調理麵</t>
    <phoneticPr fontId="14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</si>
  <si>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</si>
  <si>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</si>
  <si>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1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</si>
  <si>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1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</si>
  <si>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</si>
  <si>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</si>
  <si>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</si>
  <si>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</si>
  <si>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4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</si>
  <si>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4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</si>
  <si>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4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</si>
  <si>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</si>
  <si>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</si>
  <si>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</si>
  <si>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</si>
  <si>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</si>
  <si>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</si>
  <si>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</si>
  <si>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</si>
  <si>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</si>
  <si>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</si>
  <si>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</si>
  <si>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</si>
  <si>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</si>
  <si>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</si>
  <si>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</si>
  <si>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</si>
  <si>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</si>
  <si>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</si>
  <si>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</si>
  <si>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</si>
  <si>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</si>
  <si>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t>材料費</t>
    <phoneticPr fontId="14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</si>
  <si>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1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</si>
  <si>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</si>
  <si>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1"/>
  </si>
  <si>
    <r>
      <t>教育訓練-</t>
    </r>
    <r>
      <rPr>
        <sz val="10"/>
        <color theme="1"/>
        <rFont val="Meiryo UI"/>
        <family val="2"/>
      </rPr>
      <t>實施率(%)</t>
    </r>
    <phoneticPr fontId="11"/>
  </si>
  <si>
    <t>※單位：千元</t>
    <phoneticPr fontId="11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</si>
  <si>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</si>
  <si>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</si>
  <si>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</si>
  <si>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</si>
  <si>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</si>
  <si>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</si>
  <si>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</si>
  <si>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</si>
  <si>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t>調理端</t>
  </si>
  <si>
    <t>報廢</t>
    <phoneticPr fontId="14" type="noConversion"/>
  </si>
  <si>
    <t>超用</t>
    <phoneticPr fontId="14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</si>
  <si>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</si>
  <si>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川燙毛豆玉米</t>
  </si>
  <si>
    <t>美式雞丁餐盒(113年)</t>
  </si>
  <si>
    <t>超用額</t>
    <phoneticPr fontId="82" type="noConversion"/>
  </si>
  <si>
    <t>超用率</t>
    <phoneticPr fontId="14" type="noConversion"/>
  </si>
  <si>
    <t>廢棄週合計</t>
    <phoneticPr fontId="14" type="noConversion"/>
  </si>
  <si>
    <t>超用週合計</t>
    <phoneticPr fontId="14" type="noConversion"/>
  </si>
  <si>
    <t>大溪廠半成品管理日別總表</t>
    <phoneticPr fontId="14" type="noConversion"/>
  </si>
  <si>
    <t>日期</t>
    <phoneticPr fontId="82" type="noConversion"/>
  </si>
  <si>
    <t>報廢額</t>
    <phoneticPr fontId="8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</si>
  <si>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" type="noConversion"/>
  </si>
  <si>
    <t>廢棄前10名</t>
    <phoneticPr fontId="14" type="noConversion"/>
  </si>
  <si>
    <t>超用前10名</t>
    <phoneticPr fontId="14" type="noConversion"/>
  </si>
  <si>
    <t>金額總計</t>
    <phoneticPr fontId="14" type="noConversion"/>
  </si>
  <si>
    <t>構成比</t>
    <phoneticPr fontId="14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</si>
  <si>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4" type="noConversion"/>
  </si>
  <si>
    <t>製程不穩</t>
    <phoneticPr fontId="8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</si>
  <si>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1"/>
  </si>
  <si>
    <t>清炒高麗菜</t>
  </si>
  <si>
    <t>二配乳酪燻腸紅醬焗飯</t>
  </si>
  <si>
    <t>教育訓練-實施率(進度/計畫)</t>
    <phoneticPr fontId="14" type="noConversion"/>
  </si>
  <si>
    <t>4℃-飯糰</t>
    <phoneticPr fontId="14" type="noConversion"/>
  </si>
  <si>
    <t>熱食義麵</t>
    <phoneticPr fontId="14" type="noConversion"/>
  </si>
  <si>
    <t>共用類廢棄</t>
    <phoneticPr fontId="14" type="noConversion"/>
  </si>
  <si>
    <t>金額總計</t>
    <phoneticPr fontId="8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</si>
  <si>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2" type="noConversion"/>
  </si>
  <si>
    <t>蘑菇湯凍</t>
  </si>
  <si>
    <t>歐姆蛋-黑咖哩醬</t>
  </si>
  <si>
    <t>鮮食雙色起司絲</t>
  </si>
  <si>
    <t>一配照燒雞肉飯糰</t>
  </si>
  <si>
    <t>蘑菇白醬</t>
  </si>
  <si>
    <t>人數配置相同與人時生產性維持穩定</t>
  </si>
  <si>
    <t>取樣不穩</t>
  </si>
  <si>
    <t>取樣不穩</t>
    <phoneticPr fontId="11"/>
  </si>
  <si>
    <t>（８）報廢原因別前幾名品項</t>
    <phoneticPr fontId="14" type="noConversion"/>
  </si>
  <si>
    <t>（８）超用原因別前幾名品項</t>
    <phoneticPr fontId="14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</si>
  <si>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</si>
  <si>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</si>
  <si>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</si>
  <si>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</si>
  <si>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</si>
  <si>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</si>
  <si>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</si>
  <si>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</si>
  <si>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合計</t>
    <phoneticPr fontId="82" type="noConversion"/>
  </si>
  <si>
    <t>焗烤起司片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</si>
  <si>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</si>
  <si>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</si>
  <si>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</si>
  <si>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</si>
  <si>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</si>
  <si>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</si>
  <si>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</si>
  <si>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</si>
  <si>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</si>
  <si>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</si>
  <si>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青花菜原物料規格偏大造成超用</t>
    <phoneticPr fontId="14" type="noConversion"/>
  </si>
  <si>
    <t>二配大飯糰韓式蒜烤豬五花</t>
  </si>
  <si>
    <t>香烤藍尾鱈魚五行餐盒</t>
  </si>
  <si>
    <t>東京豚骨風味拉麵</t>
  </si>
  <si>
    <t>拌蒜香五花肉</t>
  </si>
  <si>
    <t>炒蒜香堅果小魚</t>
  </si>
  <si>
    <t>豚骨醬油湯凍(114年)</t>
  </si>
  <si>
    <t>和風牛肉咖哩炸飯糰</t>
  </si>
  <si>
    <t>明太子雞叉燒拌麵</t>
  </si>
  <si>
    <t>醬油叉燒拉麵</t>
  </si>
  <si>
    <t>和風匠製胡麻涼麵</t>
  </si>
  <si>
    <t>醬油拉麵湯凍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</si>
  <si>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</si>
  <si>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</si>
  <si>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月別</t>
    <phoneticPr fontId="14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</si>
  <si>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4" type="noConversion"/>
  </si>
  <si>
    <t>後續對策</t>
    <phoneticPr fontId="14" type="noConversion"/>
  </si>
  <si>
    <t>展開量高於需求量</t>
  </si>
  <si>
    <t>週前二十</t>
    <phoneticPr fontId="14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</si>
  <si>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</si>
  <si>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</si>
  <si>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</si>
  <si>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原因說明</t>
    <phoneticPr fontId="14" type="noConversion"/>
  </si>
  <si>
    <t>超用金額</t>
    <phoneticPr fontId="14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</si>
  <si>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</si>
  <si>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4" type="noConversion"/>
  </si>
  <si>
    <t>展開量高於需求量</t>
    <phoneticPr fontId="11"/>
  </si>
  <si>
    <t>展開量高於需求量</t>
    <phoneticPr fontId="14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</si>
  <si>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</si>
  <si>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</si>
  <si>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</si>
  <si>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</si>
  <si>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</si>
  <si>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</si>
  <si>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針對人員抓量手法教育訓練，並增加線上抽秤頻率</t>
    <phoneticPr fontId="14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</si>
  <si>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4" type="noConversion"/>
  </si>
  <si>
    <t>抓量較不穩定造成調理多產</t>
    <phoneticPr fontId="14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</si>
  <si>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</si>
  <si>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4" type="noConversion"/>
  </si>
  <si>
    <t>抓量較不穩定造成調理多產</t>
  </si>
  <si>
    <t>二配蒙古風味烤肉飯</t>
  </si>
  <si>
    <t>6切-烤醃漬咖哩腿排</t>
  </si>
  <si>
    <t>抓量較不穩定造成超用</t>
    <phoneticPr fontId="14" type="noConversion"/>
  </si>
  <si>
    <t>炒蒙古肉片</t>
  </si>
  <si>
    <t>烤BBQ雞丁(112年)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</si>
  <si>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</si>
  <si>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</si>
  <si>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4" type="noConversion"/>
  </si>
  <si>
    <t>定量管理，設定單籃重量控管，用量有逐步下降</t>
    <phoneticPr fontId="14" type="noConversion"/>
  </si>
  <si>
    <t>反映研發，後續開發列入考量，設定放料量範圍。</t>
    <phoneticPr fontId="14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</si>
  <si>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</si>
  <si>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4" type="noConversion"/>
  </si>
  <si>
    <r>
      <t>1</t>
    </r>
    <r>
      <rPr>
        <sz val="12"/>
        <color theme="1"/>
        <rFont val="Microsoft JhengHei"/>
        <family val="2"/>
      </rPr>
      <t>月報廢</t>
    </r>
    <phoneticPr fontId="14" type="noConversion"/>
  </si>
  <si>
    <t>1月超用</t>
    <phoneticPr fontId="14" type="noConversion"/>
  </si>
  <si>
    <t>洋蔥壹號醬</t>
  </si>
  <si>
    <t>炒綜合蔬菜丁</t>
  </si>
  <si>
    <t>炒調味筍干</t>
  </si>
  <si>
    <t>對切滷蛋</t>
  </si>
  <si>
    <t>壹號醬炙烤牛飯糰</t>
  </si>
  <si>
    <t>切-烤牛五花(112年)</t>
  </si>
  <si>
    <t>（８）報廢原因別前幾名品項(1230-0105)</t>
    <phoneticPr fontId="14" type="noConversion"/>
  </si>
  <si>
    <t>（８）超用原因別前幾名品項(1230-0105)</t>
    <phoneticPr fontId="14" type="noConversion"/>
  </si>
  <si>
    <t>二配明太子乳酪起司沙拉飯糰</t>
  </si>
  <si>
    <t>針對人員手法教育訓練，並增加線上抽秤頻率</t>
    <phoneticPr fontId="14" type="noConversion"/>
  </si>
  <si>
    <t>賣相設定要鋪滿，肉片狀態影響鋪滿效果</t>
    <phoneticPr fontId="14" type="noConversion"/>
  </si>
  <si>
    <t>調整分切方式，穩定分切長度減少規格異常。反映研發設定放料重量範圍</t>
    <phoneticPr fontId="14" type="noConversion"/>
  </si>
  <si>
    <t>抓量較不穩定造成調理多產
針對人員抓量手法教育訓練，並增加線上抽秤頻率</t>
    <phoneticPr fontId="14" type="noConversion"/>
  </si>
  <si>
    <t>原物料單價高，每份用量少以致用量易有不穩定的狀況
尋找導入少量定量工具，提升用料穩定度</t>
    <phoneticPr fontId="14" type="noConversion"/>
  </si>
  <si>
    <t>原物料大小長短差異，影響人員放料</t>
    <phoneticPr fontId="14" type="noConversion"/>
  </si>
  <si>
    <t>反映研發，後續開發列入考量</t>
    <phoneticPr fontId="14" type="noConversion"/>
  </si>
  <si>
    <t>原物料大小長短差異，影響人員放料
反映研發，後續開發列入考量</t>
    <phoneticPr fontId="14" type="noConversion"/>
  </si>
  <si>
    <t>因原物料規格差異,超用量偏高，生產餘料報廢</t>
    <phoneticPr fontId="14" type="noConversion"/>
  </si>
  <si>
    <t>反映研發，後續開發列入考量，建議原物料規格多切製程</t>
    <phoneticPr fontId="14" type="noConversion"/>
  </si>
  <si>
    <t>因原物料規格差異,超用量偏高，生產餘料報廢
反映研發，後續開發列入考量，建議原物料規格多切製程</t>
    <phoneticPr fontId="14" type="noConversion"/>
  </si>
  <si>
    <t>菜梗、葉差異，影響人員放料手感</t>
    <phoneticPr fontId="14" type="noConversion"/>
  </si>
  <si>
    <t>增加線上抽秤頻率，調理展開量下修，並已採用多次補單方式執行</t>
    <phoneticPr fontId="14" type="noConversion"/>
  </si>
  <si>
    <t>菜梗、葉差異，影響人員放料手感
增加線上抽秤頻率，調理展開量下修，並已採用多次補單方式執行</t>
    <phoneticPr fontId="14" type="noConversion"/>
  </si>
  <si>
    <t>烤箱製程蛋片規格厚薄差異
準備室分切剔除，確保賣相準定</t>
    <phoneticPr fontId="14" type="noConversion"/>
  </si>
  <si>
    <t>烤盤產生炭渣，豆腐沾黏焦化物
定期更換烤盤，制定烤盤更換時程</t>
    <phoneticPr fontId="14" type="noConversion"/>
  </si>
  <si>
    <t>人員分切後規格不符，大小邊無法使用導致報廢
加強準備室分切製程教育訓練</t>
    <phoneticPr fontId="14" type="noConversion"/>
  </si>
  <si>
    <t>青花菜原物料規格偏大造成超用
量測設定放料量範圍，後續開發列入考量調整。</t>
    <phoneticPr fontId="14" type="noConversion"/>
  </si>
  <si>
    <t>原物料肉片的大小塊差異
反映研發，後續開發列入考量，設定放料量範圍。</t>
    <phoneticPr fontId="14" type="noConversion"/>
  </si>
  <si>
    <t>因葉梗差異容易取樣不穩導致超用
針對人員抓量手法教育訓練，並增加線上抽秤頻率</t>
    <phoneticPr fontId="14" type="noConversion"/>
  </si>
  <si>
    <t>雞肉絲糾結成塊，人員抓量放料有差異
定量管理，設定單籃重量控管，用量有逐步下降</t>
    <phoneticPr fontId="14" type="noConversion"/>
  </si>
  <si>
    <t>注餡機機台工差設定確認</t>
    <phoneticPr fontId="14" type="noConversion"/>
  </si>
  <si>
    <t>注餡機機台工差設定確認
生產前確認標準定量的機台設定，生產中抽查確認設定及實際出料重量</t>
    <phoneticPr fontId="14" type="noConversion"/>
  </si>
  <si>
    <t>賣相設定要鋪滿，肉片狀態影響鋪滿效果
調整分切方式，穩定分切長度減少規格異常。反映研發設定放料重量範圍</t>
    <phoneticPr fontId="14" type="noConversion"/>
  </si>
  <si>
    <t>一配明太子乳酪起司沙拉飯糰</t>
  </si>
  <si>
    <t>明太子泡菜牛飯卷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</si>
  <si>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4" type="noConversion"/>
  </si>
  <si>
    <t>(壽喜燒)壽喜燒湯凍</t>
  </si>
  <si>
    <t>切烤雞胸肉(111年)</t>
  </si>
  <si>
    <t>拌紅醬千層麵</t>
  </si>
  <si>
    <t>蒜炒紅K油菜(A7)</t>
  </si>
  <si>
    <t>健身G肉餐盒(113年)</t>
  </si>
  <si>
    <t>（８）報廢原因別前幾名品項(0106-0112)</t>
    <phoneticPr fontId="14" type="noConversion"/>
  </si>
  <si>
    <t>（８）超用原因別前幾名品項(0106-0112)</t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</si>
  <si>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4" type="noConversion"/>
  </si>
  <si>
    <t>生產前確認標準定量的機台設定，生產中抽查確認設定及實際出料重量</t>
  </si>
  <si>
    <t>單片麵體差異每片重量約4-6克</t>
    <phoneticPr fontId="14" type="noConversion"/>
  </si>
  <si>
    <t>回饋研發，後續開發列入考量，設定放料量範圍</t>
    <phoneticPr fontId="14" type="noConversion"/>
  </si>
  <si>
    <t>後關收籃沾黏破損
要求烤箱後關人員確實定型後再進行收籃</t>
    <phoneticPr fontId="14" type="noConversion"/>
  </si>
  <si>
    <t>抓量較不穩定造成調理多產
增加線上抽秤頻率，調理展開量下修，並已採用多次補單方式執行</t>
    <phoneticPr fontId="14" type="noConversion"/>
  </si>
  <si>
    <t>原物料肉片的大小塊差異
回饋研發，後續開發列入考量</t>
    <phoneticPr fontId="14" type="noConversion"/>
  </si>
  <si>
    <t>原物料長短差異，人員抓量放料守法不穩定
針對人員手法教育訓練，並增加線上抽秤頻率，後續評估導入定量管理</t>
    <phoneticPr fontId="14" type="noConversion"/>
  </si>
  <si>
    <t>蒸蛤蜊-肉(VN151)</t>
  </si>
  <si>
    <t>煮三杯料</t>
  </si>
  <si>
    <t>部隊鍋湯凍</t>
  </si>
  <si>
    <t>反映研發，後續開發列入考量，設定放料量範圍。</t>
  </si>
  <si>
    <t>（８）報廢原因別前幾名品項(0113-0119)</t>
    <phoneticPr fontId="14" type="noConversion"/>
  </si>
  <si>
    <t>（８）超用原因別前幾名品項(0113-0119)</t>
    <phoneticPr fontId="14" type="noConversion"/>
  </si>
  <si>
    <t>高風險半成品拆袋即用,拆包後無法延用給下配次產生報廢
反映研發，後續開發列入考量</t>
    <phoneticPr fontId="14" type="noConversion"/>
  </si>
  <si>
    <t>操作方式冰杓定量,生產餘料報廢</t>
    <phoneticPr fontId="14" type="noConversion"/>
  </si>
  <si>
    <t>調理展開量下修，並已採用多次補單方式執行</t>
    <phoneticPr fontId="14" type="noConversion"/>
  </si>
  <si>
    <t>操作方式冰杓定量,生產餘料報廢
調理展開量下修，並已採用多次補單方式執行</t>
    <phoneticPr fontId="14" type="noConversion"/>
  </si>
  <si>
    <t>批量生產，生產餘料報廢
反映研發，後續開發列入考量</t>
    <phoneticPr fontId="14" type="noConversion"/>
  </si>
  <si>
    <t>原物料肉塊的大小塊差異
反映研發，後續開發列入考量，設定放料量範圍。</t>
    <phoneticPr fontId="14" type="noConversion"/>
  </si>
  <si>
    <t>人員抓量放料手法不穩定</t>
    <phoneticPr fontId="14" type="noConversion"/>
  </si>
  <si>
    <t>人員抓量放料手法不穩定
針對人員手法教育訓練，並增加線上抽秤頻率，後續評估導入定量管理</t>
    <phoneticPr fontId="14" type="noConversion"/>
  </si>
  <si>
    <t>一配紅運烏魚子紹興飯糰</t>
  </si>
  <si>
    <t>福氣魚四喜開運便當</t>
  </si>
  <si>
    <t>鴻運番茄湯麵</t>
  </si>
  <si>
    <t>焗烤蕃茄起司四方麵</t>
    <phoneticPr fontId="14" type="noConversion"/>
  </si>
  <si>
    <t>（６）人時生產性前幾名品項(0120-0126)</t>
    <phoneticPr fontId="14" type="noConversion"/>
  </si>
  <si>
    <t>義式烤馬鈴薯</t>
  </si>
  <si>
    <t>蒜炒白菜</t>
  </si>
  <si>
    <t>蒙古烤肉湯凍(114.12)</t>
  </si>
  <si>
    <t>研發設定</t>
    <phoneticPr fontId="14" type="noConversion"/>
  </si>
  <si>
    <t>蕃茄湯凍(115年)</t>
  </si>
  <si>
    <t>瀝-煮蕃茄丁</t>
  </si>
  <si>
    <t>切-烤原淬醃漬嫩雞胸CL</t>
  </si>
  <si>
    <t>（８）報廢原因別前幾名品項(0120-0126)</t>
    <phoneticPr fontId="14" type="noConversion"/>
  </si>
  <si>
    <t>（８）超用原因別前幾名品項(0120-0126)</t>
    <phoneticPr fontId="14" type="noConversion"/>
  </si>
  <si>
    <t>新品,秤雞胸+鋪疊,花費人數較多</t>
    <phoneticPr fontId="14" type="noConversion"/>
  </si>
  <si>
    <t>增加線上抽秤頻率，調理展開量下修，並已採用多次補單方式執行，目前已控制在2%內。</t>
    <phoneticPr fontId="14" type="noConversion"/>
  </si>
  <si>
    <t>原物料大小顆差異，影響人員放料</t>
    <phoneticPr fontId="14" type="noConversion"/>
  </si>
  <si>
    <t>原物料規格過小，無法使用</t>
    <phoneticPr fontId="14" type="noConversion"/>
  </si>
  <si>
    <r>
      <t>每份</t>
    </r>
    <r>
      <rPr>
        <sz val="12"/>
        <color theme="1"/>
        <rFont val="Meiryo UI"/>
        <family val="2"/>
      </rPr>
      <t>用量少以致用量易有不穩定的</t>
    </r>
    <r>
      <rPr>
        <sz val="12"/>
        <color theme="1"/>
        <rFont val="細明體"/>
        <family val="3"/>
        <charset val="136"/>
      </rPr>
      <t>狀</t>
    </r>
    <r>
      <rPr>
        <sz val="12"/>
        <color theme="1"/>
        <rFont val="Meiryo UI"/>
        <family val="2"/>
      </rPr>
      <t>況</t>
    </r>
  </si>
  <si>
    <t>原物料肉片規格大小差異，影響人員放料</t>
    <phoneticPr fontId="14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</si>
  <si>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4" type="noConversion"/>
  </si>
  <si>
    <t>設定放料量範圍，後續開發列入考量調整。</t>
    <phoneticPr fontId="14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</si>
  <si>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4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</si>
  <si>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4" type="noConversion"/>
  </si>
  <si>
    <t>抓量較不穩定造成調理多產
增加線上抽秤頻率，調理展開量下修，並已採用多次補單方式執行，目前已控制在2%內。</t>
    <phoneticPr fontId="14" type="noConversion"/>
  </si>
  <si>
    <t>原物料大小顆差異，影響人員放料
調理展開量下修，並已採用多次補單方式執行</t>
    <phoneticPr fontId="14" type="noConversion"/>
  </si>
  <si>
    <t>原物料規格過小，無法使用
反映研發，後續開發列入考量</t>
    <phoneticPr fontId="14" type="noConversion"/>
  </si>
  <si>
    <t>青花菜原物料規格偏大造成超用
設定放料量範圍，後續開發列入考量調整。</t>
    <phoneticPr fontId="14" type="noConversion"/>
  </si>
  <si>
    <t>原物料肉塊的大小塊差異
調整分切方式，穩定分切長度減少規格異常。反映研發設定放料重量範圍</t>
    <phoneticPr fontId="14" type="noConversion"/>
  </si>
  <si>
    <t>因葉梗大小片差異，線上容易取樣不穩導致超用
針對人員抓量手法教育訓練，並增加線上抽秤頻率</t>
    <phoneticPr fontId="14" type="noConversion"/>
  </si>
  <si>
    <t>設定雙圈秤重，因葉梗大小片差異，線上容易取樣不穩導致超用
針對人員抓量手法教育訓練，並增加線上抽秤頻率</t>
    <phoneticPr fontId="14" type="noConversion"/>
  </si>
  <si>
    <t>操作方式冰杓定量，人員手法差異</t>
    <phoneticPr fontId="14" type="noConversion"/>
  </si>
  <si>
    <t>操作方式冰杓定量，人員手法差異
針對人員手法教育訓練，並增加線上抽秤頻率</t>
    <phoneticPr fontId="14" type="noConversion"/>
  </si>
  <si>
    <t>0127-0202 總合計↑</t>
    <phoneticPr fontId="14" type="noConversion"/>
  </si>
  <si>
    <t>0127-0202</t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</si>
  <si>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4" type="noConversion"/>
  </si>
  <si>
    <t>油煮蛤蜊-肉</t>
  </si>
  <si>
    <t>拌鮭魚奶油醬</t>
  </si>
  <si>
    <t>辣滷冬粉</t>
  </si>
  <si>
    <t>拌明太子龍蝦沙拉(114年)</t>
  </si>
  <si>
    <t>明太子龍蝦風味沙拉飯糰(114年)</t>
  </si>
  <si>
    <t>生產熟練,達成度上升.</t>
    <phoneticPr fontId="14" type="noConversion"/>
  </si>
  <si>
    <t>熟練度增加,達成率上升</t>
    <phoneticPr fontId="14" type="noConversion"/>
  </si>
  <si>
    <t>主要原因:確認1 月 4 日因新人系統操作發生失誤，導致當日備料展開率異常超出需求量，進而造成報廢，後續針對該名人員進行教育訓練。</t>
    <phoneticPr fontId="14" type="noConversion"/>
  </si>
  <si>
    <t>生產餘料產生報廢,目前報廢量控制再3%以下與超用量比例少,持續下修產出量量。</t>
    <phoneticPr fontId="14" type="noConversion"/>
  </si>
  <si>
    <t>主要原因:葉菜類人員抓量不穩定導致重量差異影響用量，生產餘料產生報廢。對策:調理展開量下修，並已採用多次補單方式執行。</t>
    <phoneticPr fontId="14" type="noConversion"/>
  </si>
  <si>
    <t>半成品冰杓定量，生產餘料產生報廢。對策:調整下修展開量並採用多次補單方式執行，持續確認。</t>
    <phoneticPr fontId="14" type="noConversion"/>
  </si>
  <si>
    <t>主因:因葉梗差異容易取樣不穩導致超用。對策:調理展開量下修，並已採用多次補單方式執行，持續控制在3%內。</t>
    <phoneticPr fontId="14" type="noConversion"/>
  </si>
  <si>
    <t>後續已調整精進，烘烤後放置層架定型 五分鐘再收籃，有效改善皺褶與卡紙風險，並降低報廢問題，報廢率持續下降前月減少0.21%。</t>
    <phoneticPr fontId="14" type="noConversion"/>
  </si>
  <si>
    <t>烤箱製程蛋片規格厚薄差異，準備室分切剔除，確保賣相穩定。</t>
    <phoneticPr fontId="14" type="noConversion"/>
  </si>
  <si>
    <t>主要原因:烤盤產生炭渣，豆腐沾黏焦化物。對策:定期更換烤盤，制定烤盤更換時程</t>
    <phoneticPr fontId="14" type="noConversion"/>
  </si>
  <si>
    <t>主要原因:人員分切偏邊導致規格大小差異無法使用。對策:已針對人員切法進行教育訓練。</t>
    <phoneticPr fontId="14" type="noConversion"/>
  </si>
  <si>
    <t>高風險半成品拆袋即用,拆包後無法延用給下配次產生報廢。</t>
    <phoneticPr fontId="14" type="noConversion"/>
  </si>
  <si>
    <t>主要原因:規格不穩定導致斷裂破損產生報廢。 對策:組裝前準備室先進行整理入籃，減少沾黏狀況，因調理斷裂組合可拼合使用，使用率提高，報廢率持續下降。</t>
    <phoneticPr fontId="14" type="noConversion"/>
  </si>
  <si>
    <t>主要原因:葉菜類人員抓量不穩定導致重量差異影響超用量。對策:針對人員抓量手法教育訓練，目前超用率控制1.5%，對比前月下降0.5%，持續追蹤確認用量。</t>
    <phoneticPr fontId="14" type="noConversion"/>
  </si>
  <si>
    <t>主要原因:葉菜類人員抓量不穩定導致重量差異影響超用量。對策:針對人員抓量手法教育訓練，目前超用率3.5%，持續追蹤控制用量在3%以內。</t>
    <phoneticPr fontId="14" type="noConversion"/>
  </si>
  <si>
    <t>主因:原物料肉塊的大小塊差異，影響超用金額。對策:回饋研發，後續開發列入考量，設定放料量範圍。</t>
    <phoneticPr fontId="14" type="noConversion"/>
  </si>
  <si>
    <t>設定注餡機定量，因注餡機工差影響用量穩定度，目前每份平均超用3~5G，持續控制確認。</t>
    <phoneticPr fontId="14" type="noConversion"/>
  </si>
  <si>
    <t>主因:青花菜原物料規格偏大造成超用。對策:量測設定放料量範圍，後續開發列入考量調整，並持續針對人員抓量秤重進行教育訓練，目前控制超用量2%</t>
    <phoneticPr fontId="14" type="noConversion"/>
  </si>
  <si>
    <t>主因:原物料肉片的大小塊差異，影響超用金額。對策:加強線上抽測，持續針對人員教育訓練，並回饋研發，後續開發列入考量，設定放料量範圍。</t>
    <phoneticPr fontId="14" type="noConversion"/>
  </si>
  <si>
    <t>設定注餡機定量，因注餡機工差影響用量穩定度，目前每份平均超用3~5G，加強線上抽測持續控制確認。</t>
    <phoneticPr fontId="14" type="noConversion"/>
  </si>
  <si>
    <t>本月新品，設定注餡機定量，因注餡機工差影響用量穩定度，目前每份平均超用3~5G，加強線上抽測持續控制確認。</t>
    <phoneticPr fontId="14" type="noConversion"/>
  </si>
  <si>
    <t>主因:賣相設定要鋪滿，肉片狀態影響鋪滿效果。對策:調整分切方式，穩定分切長度減少規格異常。反映研發設定放料重量範圍，目前控制在1%內。</t>
    <phoneticPr fontId="14" type="noConversion"/>
  </si>
  <si>
    <t>主因:原物料肉塊的大小塊差異，導致超用問題。對策:針對人員分切規格進行教育訓練，規格厚薄盡量一致，降低重量落差導致超用。</t>
    <phoneticPr fontId="14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</si>
  <si>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4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</si>
  <si>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4" type="noConversion"/>
  </si>
  <si>
    <t>針對人員手法教育訓練，並增加線上抽秤頻率，導入定量管理，用量已控制</t>
    <phoneticPr fontId="14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</si>
  <si>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機生產,單份用量17g,半成品肉片規格有差</t>
    </r>
    <phoneticPr fontId="14" type="noConversion"/>
  </si>
  <si>
    <t>原物料規格的大小顆差異，每顆差異1~2克</t>
    <phoneticPr fontId="14" type="noConversion"/>
  </si>
  <si>
    <t>（８）報廢原因別前幾名品項(0127-0202)</t>
    <phoneticPr fontId="14" type="noConversion"/>
  </si>
  <si>
    <t>操作方式冰杓定量,生產餘料報廢
調理展開量下修，並已採用多次補單方式執行。</t>
    <phoneticPr fontId="14" type="noConversion"/>
  </si>
  <si>
    <t>原物料大小長短差異，影響人員放料
反映研發，後續開發列入考量。</t>
    <phoneticPr fontId="14" type="noConversion"/>
  </si>
  <si>
    <t>操作方式冰杓定量,生產餘料報廢
反映研發，後續開發列入考量，建議原物料規格多切製程。</t>
    <phoneticPr fontId="14" type="noConversion"/>
  </si>
  <si>
    <t>菜梗、葉差異，影響人員放料手感
增加線上抽秤頻率，調理展開量下修，並已採用多次補單方式執行。</t>
    <phoneticPr fontId="14" type="noConversion"/>
  </si>
  <si>
    <t>（８）超用原因別前幾名品項(0127-0202)</t>
    <phoneticPr fontId="14" type="noConversion"/>
  </si>
  <si>
    <t>注餡機機台工差設定確認
生產前確認標準定量的機台設定，生產中抽查確認設定及實際出料重量。</t>
    <phoneticPr fontId="14" type="noConversion"/>
  </si>
  <si>
    <t>賣相設定要鋪滿，肉片狀態影響鋪滿效果
調整分切方式，穩定分切長度減少規格異常。反映研發設定放料重量範圍。</t>
    <phoneticPr fontId="14" type="noConversion"/>
  </si>
  <si>
    <t>注餡機機台工差設定確認
調整分切方式，穩定分切長度減少規格異常。反映研發設定放料重量範圍</t>
    <phoneticPr fontId="14" type="noConversion"/>
  </si>
  <si>
    <t>W1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</si>
  <si>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週更新(0203-0209)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</si>
  <si>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週更新(0210-0216)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</si>
  <si>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週更新(0217-0223)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</si>
  <si>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4" type="noConversion"/>
  </si>
  <si>
    <r>
      <t>2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</si>
  <si>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t>2月平均人時性</t>
    <phoneticPr fontId="14" type="noConversion"/>
  </si>
  <si>
    <r>
      <rPr>
        <sz val="10"/>
        <color rgb="FFFF0000"/>
        <rFont val="Meiryo UI"/>
        <family val="2"/>
      </rPr>
      <t>2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</si>
  <si>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</si>
  <si>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</si>
  <si>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</si>
  <si>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4" type="noConversion"/>
  </si>
  <si>
    <t xml:space="preserve">              </t>
    <phoneticPr fontId="14" type="noConversion"/>
  </si>
  <si>
    <t>0203-0209</t>
    <phoneticPr fontId="14" type="noConversion"/>
  </si>
  <si>
    <t>0203-0209 總合計↑</t>
    <phoneticPr fontId="14" type="noConversion"/>
  </si>
  <si>
    <t>0210-0216</t>
    <phoneticPr fontId="14" type="noConversion"/>
  </si>
  <si>
    <t>0217-0223</t>
    <phoneticPr fontId="14" type="noConversion"/>
  </si>
  <si>
    <t>0224-0302</t>
    <phoneticPr fontId="14" type="noConversion"/>
  </si>
  <si>
    <t>0210-0216 總合計↑</t>
    <phoneticPr fontId="14" type="noConversion"/>
  </si>
  <si>
    <t>0217-0223 總合計↑</t>
    <phoneticPr fontId="14" type="noConversion"/>
  </si>
  <si>
    <t>0217-0223  總合計↑</t>
    <phoneticPr fontId="14" type="noConversion"/>
  </si>
  <si>
    <t>0224-0302 總合計↑</t>
    <phoneticPr fontId="14" type="noConversion"/>
  </si>
  <si>
    <t>辣炒酸菜碎</t>
  </si>
  <si>
    <t>拌焦糖沙拉</t>
  </si>
  <si>
    <t>焗飯-義式蕃茄紅醬</t>
  </si>
  <si>
    <t>西班牙烤雞腿丁</t>
  </si>
  <si>
    <t>拌鮪魚沙拉(平替)</t>
  </si>
  <si>
    <t>60切-焗烤蔬菜烘蛋(113年)</t>
  </si>
  <si>
    <t>兩粒飯糰(鮪魚.焦糖鮭魚)</t>
  </si>
  <si>
    <t>油蔥肉燥(113年)</t>
  </si>
  <si>
    <t>炒蝦仁(8號)</t>
  </si>
  <si>
    <t>炙燒韓式牛五花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</si>
</sst>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25" fillId="0" borderId="0"/>
    <xf numFmtId="0" fontId="6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69">
    <xf numFmtId="0" fontId="0" fillId="0" borderId="0" xfId="0"/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3" fontId="8" fillId="0" borderId="1" xfId="0" applyNumberFormat="1" applyFont="1" applyBorder="1" applyAlignment="1">
      <alignment shrinkToFit="1"/>
    </xf>
    <xf numFmtId="3" fontId="8" fillId="3" borderId="1" xfId="0" applyNumberFormat="1" applyFont="1" applyFill="1" applyBorder="1" applyAlignment="1">
      <alignment shrinkToFit="1"/>
    </xf>
    <xf numFmtId="4" fontId="8" fillId="0" borderId="1" xfId="0" applyNumberFormat="1" applyFont="1" applyBorder="1" applyAlignment="1">
      <alignment horizontal="right" shrinkToFit="1"/>
    </xf>
    <xf numFmtId="10" fontId="8" fillId="2" borderId="1" xfId="0" applyNumberFormat="1" applyFont="1" applyFill="1" applyBorder="1" applyAlignment="1">
      <alignment horizontal="right" shrinkToFit="1"/>
    </xf>
    <xf numFmtId="10" fontId="8" fillId="3" borderId="1" xfId="0" applyNumberFormat="1" applyFont="1" applyFill="1" applyBorder="1" applyAlignment="1">
      <alignment shrinkToFit="1"/>
    </xf>
    <xf numFmtId="10" fontId="8" fillId="0" borderId="1" xfId="0" applyNumberFormat="1" applyFont="1" applyBorder="1" applyAlignment="1">
      <alignment shrinkToFit="1"/>
    </xf>
    <xf numFmtId="10" fontId="9" fillId="0" borderId="0" xfId="0" applyNumberFormat="1" applyFont="1" applyAlignment="1">
      <alignment shrinkToFit="1"/>
    </xf>
    <xf numFmtId="0" fontId="8" fillId="3" borderId="1" xfId="0" applyFont="1" applyFill="1" applyBorder="1" applyAlignment="1">
      <alignment shrinkToFit="1"/>
    </xf>
    <xf numFmtId="4" fontId="8" fillId="0" borderId="1" xfId="0" applyNumberFormat="1" applyFont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9" fillId="0" borderId="8" xfId="0" applyFont="1" applyBorder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10" fontId="8" fillId="0" borderId="5" xfId="0" applyNumberFormat="1" applyFont="1" applyBorder="1" applyAlignment="1">
      <alignment shrinkToFit="1"/>
    </xf>
    <xf numFmtId="0" fontId="8" fillId="3" borderId="5" xfId="0" applyFont="1" applyFill="1" applyBorder="1" applyAlignment="1">
      <alignment shrinkToFit="1"/>
    </xf>
    <xf numFmtId="0" fontId="8" fillId="2" borderId="15" xfId="0" applyFont="1" applyFill="1" applyBorder="1" applyAlignment="1">
      <alignment shrinkToFit="1"/>
    </xf>
    <xf numFmtId="10" fontId="8" fillId="3" borderId="17" xfId="0" applyNumberFormat="1" applyFont="1" applyFill="1" applyBorder="1" applyAlignment="1">
      <alignment shrinkToFit="1"/>
    </xf>
    <xf numFmtId="0" fontId="8" fillId="3" borderId="18" xfId="0" applyFont="1" applyFill="1" applyBorder="1" applyAlignment="1">
      <alignment shrinkToFit="1"/>
    </xf>
    <xf numFmtId="0" fontId="8" fillId="0" borderId="6" xfId="0" applyFont="1" applyBorder="1" applyAlignment="1">
      <alignment shrinkToFit="1"/>
    </xf>
    <xf numFmtId="10" fontId="8" fillId="0" borderId="6" xfId="0" applyNumberFormat="1" applyFont="1" applyBorder="1" applyAlignment="1">
      <alignment shrinkToFit="1"/>
    </xf>
    <xf numFmtId="0" fontId="8" fillId="3" borderId="6" xfId="0" applyFont="1" applyFill="1" applyBorder="1" applyAlignment="1">
      <alignment shrinkToFit="1"/>
    </xf>
    <xf numFmtId="10" fontId="8" fillId="0" borderId="0" xfId="0" applyNumberFormat="1" applyFont="1" applyAlignment="1">
      <alignment shrinkToFit="1"/>
    </xf>
    <xf numFmtId="10" fontId="8" fillId="2" borderId="1" xfId="0" applyNumberFormat="1" applyFont="1" applyFill="1" applyBorder="1" applyAlignment="1">
      <alignment shrinkToFit="1"/>
    </xf>
    <xf numFmtId="0" fontId="8" fillId="3" borderId="7" xfId="0" applyFont="1" applyFill="1" applyBorder="1" applyAlignment="1">
      <alignment shrinkToFit="1"/>
    </xf>
    <xf numFmtId="10" fontId="8" fillId="3" borderId="5" xfId="0" applyNumberFormat="1" applyFont="1" applyFill="1" applyBorder="1" applyAlignment="1">
      <alignment shrinkToFit="1"/>
    </xf>
    <xf numFmtId="0" fontId="8" fillId="0" borderId="11" xfId="0" applyFont="1" applyBorder="1" applyAlignment="1">
      <alignment shrinkToFit="1"/>
    </xf>
    <xf numFmtId="10" fontId="8" fillId="0" borderId="14" xfId="0" applyNumberFormat="1" applyFont="1" applyBorder="1" applyAlignment="1">
      <alignment shrinkToFit="1"/>
    </xf>
    <xf numFmtId="10" fontId="8" fillId="3" borderId="14" xfId="0" applyNumberFormat="1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2" fillId="2" borderId="1" xfId="0" applyFont="1" applyFill="1" applyBorder="1" applyAlignment="1">
      <alignment horizontal="left" shrinkToFit="1"/>
    </xf>
    <xf numFmtId="0" fontId="13" fillId="2" borderId="1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23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16" xfId="0" applyFont="1" applyFill="1" applyBorder="1" applyAlignment="1">
      <alignment shrinkToFit="1"/>
    </xf>
    <xf numFmtId="0" fontId="12" fillId="4" borderId="0" xfId="0" applyFont="1" applyFill="1"/>
    <xf numFmtId="0" fontId="13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8" fillId="4" borderId="0" xfId="0" applyFont="1" applyFill="1"/>
    <xf numFmtId="10" fontId="8" fillId="4" borderId="0" xfId="0" applyNumberFormat="1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8" fillId="2" borderId="24" xfId="0" applyFont="1" applyFill="1" applyBorder="1" applyAlignment="1">
      <alignment shrinkToFit="1"/>
    </xf>
    <xf numFmtId="0" fontId="13" fillId="0" borderId="11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5" fillId="0" borderId="0" xfId="0" applyFont="1" applyAlignment="1">
      <alignment horizontal="center"/>
    </xf>
    <xf numFmtId="10" fontId="15" fillId="0" borderId="0" xfId="0" applyNumberFormat="1" applyFont="1"/>
    <xf numFmtId="0" fontId="15" fillId="0" borderId="0" xfId="0" applyFont="1"/>
    <xf numFmtId="0" fontId="19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5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0" xfId="0" applyNumberFormat="1" applyFont="1" applyAlignment="1">
      <alignment horizontal="center"/>
    </xf>
    <xf numFmtId="0" fontId="32" fillId="0" borderId="0" xfId="0" applyFont="1"/>
    <xf numFmtId="177" fontId="27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8" fillId="0" borderId="0" xfId="0" applyFont="1" applyAlignment="1">
      <alignment horizontal="right" shrinkToFit="1"/>
    </xf>
    <xf numFmtId="0" fontId="12" fillId="0" borderId="0" xfId="0" applyFont="1" applyAlignment="1">
      <alignment shrinkToFit="1"/>
    </xf>
    <xf numFmtId="0" fontId="9" fillId="0" borderId="0" xfId="0" applyFont="1" applyAlignment="1">
      <alignment shrinkToFit="1"/>
    </xf>
    <xf numFmtId="0" fontId="27" fillId="4" borderId="0" xfId="0" applyFont="1" applyFill="1" applyAlignment="1">
      <alignment horizontal="center" vertical="center" shrinkToFit="1"/>
    </xf>
    <xf numFmtId="0" fontId="27" fillId="4" borderId="0" xfId="0" applyFont="1" applyFill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7" fillId="0" borderId="0" xfId="11" applyFont="1" applyAlignment="1">
      <alignment shrinkToFit="1"/>
    </xf>
    <xf numFmtId="0" fontId="27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9" fillId="0" borderId="22" xfId="11" applyNumberFormat="1" applyFont="1" applyBorder="1" applyAlignment="1">
      <alignment shrinkToFit="1"/>
    </xf>
    <xf numFmtId="10" fontId="29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2" fillId="0" borderId="0" xfId="11" applyFont="1"/>
    <xf numFmtId="0" fontId="32" fillId="0" borderId="0" xfId="11" applyFont="1" applyAlignment="1">
      <alignment vertical="center"/>
    </xf>
    <xf numFmtId="0" fontId="32" fillId="0" borderId="0" xfId="11" applyFont="1" applyAlignment="1">
      <alignment horizontal="center" vertical="center"/>
    </xf>
    <xf numFmtId="0" fontId="8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7" fillId="0" borderId="0" xfId="0" applyNumberFormat="1" applyFont="1"/>
    <xf numFmtId="0" fontId="29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6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vertical="center" shrinkToFit="1"/>
    </xf>
    <xf numFmtId="0" fontId="32" fillId="5" borderId="23" xfId="11" applyFont="1" applyFill="1" applyBorder="1" applyAlignment="1">
      <alignment horizontal="center" vertical="center"/>
    </xf>
    <xf numFmtId="186" fontId="27" fillId="0" borderId="0" xfId="0" applyNumberFormat="1" applyFont="1"/>
    <xf numFmtId="0" fontId="15" fillId="9" borderId="0" xfId="11" applyFont="1" applyFill="1" applyAlignment="1">
      <alignment vertical="center"/>
    </xf>
    <xf numFmtId="188" fontId="27" fillId="0" borderId="0" xfId="0" applyNumberFormat="1" applyFont="1"/>
    <xf numFmtId="189" fontId="27" fillId="0" borderId="0" xfId="0" applyNumberFormat="1" applyFont="1"/>
    <xf numFmtId="0" fontId="27" fillId="9" borderId="0" xfId="0" applyFont="1" applyFill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86" fontId="15" fillId="0" borderId="0" xfId="0" applyNumberFormat="1" applyFont="1"/>
    <xf numFmtId="186" fontId="28" fillId="0" borderId="0" xfId="0" applyNumberFormat="1" applyFont="1" applyAlignment="1">
      <alignment horizontal="center" vertical="center"/>
    </xf>
    <xf numFmtId="0" fontId="58" fillId="0" borderId="22" xfId="0" applyFont="1" applyBorder="1" applyAlignment="1">
      <alignment horizontal="center" vertical="center" shrinkToFit="1"/>
    </xf>
    <xf numFmtId="179" fontId="15" fillId="0" borderId="22" xfId="0" applyNumberFormat="1" applyFont="1" applyBorder="1" applyAlignment="1">
      <alignment horizontal="center"/>
    </xf>
    <xf numFmtId="189" fontId="15" fillId="9" borderId="22" xfId="0" applyNumberFormat="1" applyFont="1" applyFill="1" applyBorder="1" applyAlignment="1">
      <alignment vertical="center" shrinkToFit="1"/>
    </xf>
    <xf numFmtId="10" fontId="15" fillId="0" borderId="22" xfId="0" applyNumberFormat="1" applyFont="1" applyBorder="1" applyAlignment="1">
      <alignment vertical="center"/>
    </xf>
    <xf numFmtId="10" fontId="28" fillId="0" borderId="23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2" xfId="0" applyFont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left" vertical="center" shrinkToFit="1"/>
    </xf>
    <xf numFmtId="1" fontId="15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" fontId="15" fillId="9" borderId="22" xfId="0" applyNumberFormat="1" applyFont="1" applyFill="1" applyBorder="1" applyAlignment="1">
      <alignment horizontal="center" vertical="center" shrinkToFit="1"/>
    </xf>
    <xf numFmtId="183" fontId="15" fillId="9" borderId="22" xfId="0" applyNumberFormat="1" applyFont="1" applyFill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shrinkToFit="1"/>
    </xf>
    <xf numFmtId="0" fontId="15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6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6" fillId="5" borderId="22" xfId="0" applyFont="1" applyFill="1" applyBorder="1" applyAlignment="1">
      <alignment horizontal="center" shrinkToFit="1"/>
    </xf>
    <xf numFmtId="183" fontId="29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0" fontId="29" fillId="3" borderId="50" xfId="0" applyNumberFormat="1" applyFont="1" applyFill="1" applyBorder="1" applyAlignment="1">
      <alignment horizontal="center" vertical="center" shrinkToFit="1"/>
    </xf>
    <xf numFmtId="190" fontId="27" fillId="0" borderId="0" xfId="0" applyNumberFormat="1" applyFont="1"/>
    <xf numFmtId="177" fontId="28" fillId="0" borderId="23" xfId="0" applyNumberFormat="1" applyFont="1" applyBorder="1" applyAlignment="1">
      <alignment horizontal="center" vertical="center"/>
    </xf>
    <xf numFmtId="184" fontId="29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9" fillId="0" borderId="22" xfId="0" applyNumberFormat="1" applyFont="1" applyBorder="1" applyAlignment="1">
      <alignment horizontal="right" shrinkToFit="1"/>
    </xf>
    <xf numFmtId="185" fontId="29" fillId="0" borderId="22" xfId="0" applyNumberFormat="1" applyFont="1" applyBorder="1" applyAlignment="1">
      <alignment shrinkToFit="1"/>
    </xf>
    <xf numFmtId="186" fontId="29" fillId="0" borderId="22" xfId="0" applyNumberFormat="1" applyFont="1" applyBorder="1" applyAlignment="1">
      <alignment shrinkToFit="1"/>
    </xf>
    <xf numFmtId="192" fontId="29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7" fillId="9" borderId="22" xfId="0" applyNumberFormat="1" applyFont="1" applyFill="1" applyBorder="1"/>
    <xf numFmtId="1" fontId="8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5" fillId="0" borderId="0" xfId="11" applyFont="1" applyAlignment="1">
      <alignment shrinkToFit="1"/>
    </xf>
    <xf numFmtId="0" fontId="29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59" fillId="0" borderId="6" xfId="11" applyFont="1" applyBorder="1" applyAlignment="1">
      <alignment horizontal="center" shrinkToFit="1"/>
    </xf>
    <xf numFmtId="0" fontId="59" fillId="0" borderId="1" xfId="11" applyFont="1" applyBorder="1" applyAlignment="1">
      <alignment horizontal="center" shrinkToFit="1"/>
    </xf>
    <xf numFmtId="10" fontId="83" fillId="0" borderId="22" xfId="3" applyNumberFormat="1" applyFont="1" applyBorder="1" applyAlignment="1">
      <alignment horizontal="center" vertical="center"/>
    </xf>
    <xf numFmtId="0" fontId="5" fillId="0" borderId="0" xfId="15">
      <alignment vertical="center"/>
    </xf>
    <xf numFmtId="0" fontId="81" fillId="10" borderId="22" xfId="15" applyFont="1" applyFill="1" applyBorder="1" applyAlignment="1">
      <alignment horizontal="center" vertical="center" wrapText="1"/>
    </xf>
    <xf numFmtId="193" fontId="83" fillId="0" borderId="22" xfId="3" applyNumberFormat="1" applyFont="1" applyBorder="1" applyAlignment="1">
      <alignment horizontal="center" vertical="center"/>
    </xf>
    <xf numFmtId="194" fontId="86" fillId="0" borderId="22" xfId="5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86" fontId="37" fillId="0" borderId="6" xfId="11" applyNumberFormat="1" applyFont="1" applyBorder="1" applyAlignment="1">
      <alignment shrinkToFit="1"/>
    </xf>
    <xf numFmtId="10" fontId="15" fillId="0" borderId="22" xfId="0" applyNumberFormat="1" applyFont="1" applyBorder="1"/>
    <xf numFmtId="0" fontId="25" fillId="0" borderId="0" xfId="11"/>
    <xf numFmtId="0" fontId="27" fillId="0" borderId="0" xfId="11" applyFont="1" applyAlignment="1">
      <alignment wrapText="1" shrinkToFit="1"/>
    </xf>
    <xf numFmtId="0" fontId="27" fillId="0" borderId="0" xfId="11" applyFont="1" applyAlignment="1">
      <alignment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vertical="center" shrinkToFit="1"/>
    </xf>
    <xf numFmtId="0" fontId="29" fillId="0" borderId="4" xfId="11" applyFont="1" applyBorder="1" applyAlignment="1">
      <alignment vertical="center"/>
    </xf>
    <xf numFmtId="0" fontId="29" fillId="0" borderId="2" xfId="11" applyFont="1" applyBorder="1" applyAlignment="1">
      <alignment vertical="center"/>
    </xf>
    <xf numFmtId="0" fontId="29" fillId="0" borderId="3" xfId="11" applyFont="1" applyBorder="1" applyAlignment="1">
      <alignment vertical="center"/>
    </xf>
    <xf numFmtId="0" fontId="29" fillId="0" borderId="25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10" fontId="29" fillId="0" borderId="22" xfId="11" applyNumberFormat="1" applyFont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9" fillId="0" borderId="54" xfId="11" applyFont="1" applyBorder="1" applyAlignment="1">
      <alignment vertical="center"/>
    </xf>
    <xf numFmtId="0" fontId="29" fillId="0" borderId="47" xfId="11" applyFont="1" applyBorder="1" applyAlignment="1">
      <alignment vertical="center"/>
    </xf>
    <xf numFmtId="0" fontId="29" fillId="0" borderId="48" xfId="11" applyFont="1" applyBorder="1" applyAlignment="1">
      <alignment vertical="center"/>
    </xf>
    <xf numFmtId="0" fontId="29" fillId="0" borderId="64" xfId="11" applyFont="1" applyBorder="1" applyAlignment="1">
      <alignment vertical="center" shrinkToFit="1"/>
    </xf>
    <xf numFmtId="10" fontId="29" fillId="0" borderId="64" xfId="11" applyNumberFormat="1" applyFont="1" applyBorder="1" applyAlignment="1">
      <alignment vertical="center" shrinkToFit="1"/>
    </xf>
    <xf numFmtId="0" fontId="29" fillId="2" borderId="49" xfId="11" applyFont="1" applyFill="1" applyBorder="1" applyAlignment="1">
      <alignment horizontal="center" vertical="center" shrinkToFit="1"/>
    </xf>
    <xf numFmtId="0" fontId="29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9" fillId="2" borderId="56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9" fillId="0" borderId="42" xfId="11" applyFont="1" applyBorder="1" applyAlignment="1">
      <alignment vertical="center" shrinkToFit="1"/>
    </xf>
    <xf numFmtId="0" fontId="29" fillId="0" borderId="1" xfId="11" applyFont="1" applyBorder="1" applyAlignment="1">
      <alignment vertical="center" shrinkToFit="1"/>
    </xf>
    <xf numFmtId="10" fontId="29" fillId="0" borderId="1" xfId="11" applyNumberFormat="1" applyFont="1" applyBorder="1" applyAlignment="1">
      <alignment vertical="center" shrinkToFit="1"/>
    </xf>
    <xf numFmtId="0" fontId="29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9" fillId="0" borderId="41" xfId="11" applyFont="1" applyBorder="1" applyAlignment="1">
      <alignment vertical="center" shrinkToFit="1"/>
    </xf>
    <xf numFmtId="0" fontId="29" fillId="0" borderId="65" xfId="11" applyFont="1" applyBorder="1" applyAlignment="1">
      <alignment vertical="center" shrinkToFit="1"/>
    </xf>
    <xf numFmtId="10" fontId="29" fillId="0" borderId="65" xfId="11" applyNumberFormat="1" applyFont="1" applyBorder="1" applyAlignment="1">
      <alignment vertical="center" shrinkToFit="1"/>
    </xf>
    <xf numFmtId="0" fontId="29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9" fillId="0" borderId="62" xfId="11" applyFont="1" applyBorder="1" applyAlignment="1">
      <alignment vertical="center"/>
    </xf>
    <xf numFmtId="0" fontId="29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9" fillId="0" borderId="63" xfId="11" applyFont="1" applyBorder="1" applyAlignment="1">
      <alignment vertical="center"/>
    </xf>
    <xf numFmtId="0" fontId="29" fillId="0" borderId="8" xfId="11" applyFont="1" applyBorder="1" applyAlignment="1">
      <alignment vertical="center" shrinkToFit="1"/>
    </xf>
    <xf numFmtId="0" fontId="29" fillId="0" borderId="5" xfId="11" applyFont="1" applyBorder="1" applyAlignment="1">
      <alignment vertical="center" shrinkToFit="1"/>
    </xf>
    <xf numFmtId="0" fontId="29" fillId="2" borderId="44" xfId="11" applyFont="1" applyFill="1" applyBorder="1" applyAlignment="1">
      <alignment horizont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12" fillId="2" borderId="1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25" fillId="0" borderId="0" xfId="11" applyAlignment="1">
      <alignment horizontal="center" vertical="center" shrinkToFit="1"/>
    </xf>
    <xf numFmtId="0" fontId="8" fillId="0" borderId="22" xfId="11" applyFont="1" applyBorder="1" applyAlignment="1">
      <alignment vertical="center" shrinkToFit="1"/>
    </xf>
    <xf numFmtId="0" fontId="29" fillId="0" borderId="4" xfId="11" applyFont="1" applyBorder="1"/>
    <xf numFmtId="0" fontId="29" fillId="0" borderId="2" xfId="11" applyFont="1" applyBorder="1"/>
    <xf numFmtId="0" fontId="29" fillId="0" borderId="3" xfId="11" applyFont="1" applyBorder="1"/>
    <xf numFmtId="0" fontId="29" fillId="0" borderId="27" xfId="11" applyFont="1" applyBorder="1" applyAlignment="1">
      <alignment horizontal="left"/>
    </xf>
    <xf numFmtId="0" fontId="29" fillId="0" borderId="28" xfId="11" applyFont="1" applyBorder="1" applyAlignment="1">
      <alignment horizontal="left"/>
    </xf>
    <xf numFmtId="0" fontId="29" fillId="0" borderId="25" xfId="11" applyFont="1" applyBorder="1" applyAlignment="1">
      <alignment horizontal="left"/>
    </xf>
    <xf numFmtId="0" fontId="8" fillId="0" borderId="3" xfId="11" applyFont="1" applyBorder="1" applyAlignment="1">
      <alignment shrinkToFit="1"/>
    </xf>
    <xf numFmtId="10" fontId="8" fillId="0" borderId="1" xfId="11" applyNumberFormat="1" applyFont="1" applyBorder="1" applyAlignment="1">
      <alignment shrinkToFit="1"/>
    </xf>
    <xf numFmtId="0" fontId="8" fillId="0" borderId="1" xfId="11" applyFont="1" applyBorder="1" applyAlignment="1">
      <alignment shrinkToFit="1"/>
    </xf>
    <xf numFmtId="0" fontId="25" fillId="0" borderId="0" xfId="11" applyAlignment="1">
      <alignment shrinkToFit="1"/>
    </xf>
    <xf numFmtId="0" fontId="29" fillId="0" borderId="54" xfId="11" applyFont="1" applyBorder="1"/>
    <xf numFmtId="0" fontId="29" fillId="0" borderId="47" xfId="11" applyFont="1" applyBorder="1"/>
    <xf numFmtId="0" fontId="29" fillId="0" borderId="48" xfId="11" applyFont="1" applyBorder="1"/>
    <xf numFmtId="0" fontId="8" fillId="0" borderId="8" xfId="11" applyFont="1" applyBorder="1" applyAlignment="1">
      <alignment shrinkToFit="1"/>
    </xf>
    <xf numFmtId="10" fontId="8" fillId="0" borderId="5" xfId="11" applyNumberFormat="1" applyFont="1" applyBorder="1" applyAlignment="1">
      <alignment shrinkToFit="1"/>
    </xf>
    <xf numFmtId="0" fontId="8" fillId="0" borderId="5" xfId="11" applyFont="1" applyBorder="1" applyAlignment="1">
      <alignment shrinkToFit="1"/>
    </xf>
    <xf numFmtId="0" fontId="12" fillId="2" borderId="66" xfId="11" applyFont="1" applyFill="1" applyBorder="1" applyAlignment="1">
      <alignment horizontal="center" shrinkToFit="1"/>
    </xf>
    <xf numFmtId="0" fontId="12" fillId="2" borderId="16" xfId="11" applyFont="1" applyFill="1" applyBorder="1" applyAlignment="1">
      <alignment horizontal="center" shrinkToFit="1"/>
    </xf>
    <xf numFmtId="0" fontId="25" fillId="0" borderId="0" xfId="11" applyAlignment="1">
      <alignment wrapText="1" shrinkToFit="1"/>
    </xf>
    <xf numFmtId="0" fontId="25" fillId="0" borderId="0" xfId="11" applyAlignment="1">
      <alignment vertical="center" shrinkToFit="1"/>
    </xf>
    <xf numFmtId="0" fontId="8" fillId="0" borderId="4" xfId="11" applyFont="1" applyBorder="1" applyAlignment="1">
      <alignment shrinkToFit="1"/>
    </xf>
    <xf numFmtId="0" fontId="10" fillId="0" borderId="3" xfId="11" applyFont="1" applyBorder="1" applyAlignment="1">
      <alignment shrinkToFit="1"/>
    </xf>
    <xf numFmtId="0" fontId="8" fillId="0" borderId="9" xfId="11" applyFont="1" applyBorder="1" applyAlignment="1">
      <alignment shrinkToFit="1"/>
    </xf>
    <xf numFmtId="0" fontId="10" fillId="0" borderId="8" xfId="11" applyFont="1" applyBorder="1" applyAlignment="1">
      <alignment shrinkToFit="1"/>
    </xf>
    <xf numFmtId="0" fontId="12" fillId="2" borderId="22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9" fillId="0" borderId="28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186" fontId="83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5" fillId="9" borderId="22" xfId="0" applyNumberFormat="1" applyFont="1" applyFill="1" applyBorder="1"/>
    <xf numFmtId="0" fontId="59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7" fillId="0" borderId="0" xfId="14" applyNumberFormat="1" applyFont="1" applyAlignment="1">
      <alignment horizontal="center" vertical="center" shrinkToFit="1"/>
    </xf>
    <xf numFmtId="0" fontId="29" fillId="0" borderId="4" xfId="11" applyFont="1" applyBorder="1" applyAlignment="1">
      <alignment horizontal="left" vertical="center"/>
    </xf>
    <xf numFmtId="0" fontId="29" fillId="0" borderId="2" xfId="11" applyFont="1" applyBorder="1" applyAlignment="1">
      <alignment horizontal="left" vertical="center"/>
    </xf>
    <xf numFmtId="0" fontId="29" fillId="0" borderId="62" xfId="11" applyFont="1" applyBorder="1" applyAlignment="1">
      <alignment horizontal="left" vertical="center"/>
    </xf>
    <xf numFmtId="0" fontId="8" fillId="0" borderId="3" xfId="11" applyFont="1" applyBorder="1" applyAlignment="1">
      <alignment vertical="center" shrinkToFit="1"/>
    </xf>
    <xf numFmtId="10" fontId="8" fillId="0" borderId="1" xfId="11" applyNumberFormat="1" applyFont="1" applyBorder="1" applyAlignment="1">
      <alignment vertical="center" shrinkToFit="1"/>
    </xf>
    <xf numFmtId="0" fontId="8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8" fillId="0" borderId="8" xfId="11" applyFont="1" applyBorder="1" applyAlignment="1">
      <alignment vertical="center" shrinkToFit="1"/>
    </xf>
    <xf numFmtId="10" fontId="8" fillId="0" borderId="5" xfId="11" applyNumberFormat="1" applyFont="1" applyBorder="1" applyAlignment="1">
      <alignment vertical="center" shrinkToFit="1"/>
    </xf>
    <xf numFmtId="0" fontId="8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7" fillId="0" borderId="0" xfId="0" applyNumberFormat="1" applyFont="1" applyAlignment="1">
      <alignment horizontal="center"/>
    </xf>
    <xf numFmtId="189" fontId="15" fillId="0" borderId="22" xfId="0" applyNumberFormat="1" applyFont="1" applyBorder="1" applyAlignment="1">
      <alignment shrinkToFit="1"/>
    </xf>
    <xf numFmtId="190" fontId="15" fillId="0" borderId="22" xfId="0" applyNumberFormat="1" applyFont="1" applyBorder="1"/>
    <xf numFmtId="1" fontId="29" fillId="3" borderId="22" xfId="11" applyNumberFormat="1" applyFont="1" applyFill="1" applyBorder="1" applyAlignment="1">
      <alignment vertical="center" shrinkToFit="1"/>
    </xf>
    <xf numFmtId="1" fontId="29" fillId="3" borderId="64" xfId="11" applyNumberFormat="1" applyFont="1" applyFill="1" applyBorder="1" applyAlignment="1">
      <alignment vertical="center" shrinkToFit="1"/>
    </xf>
    <xf numFmtId="1" fontId="29" fillId="3" borderId="51" xfId="11" applyNumberFormat="1" applyFont="1" applyFill="1" applyBorder="1" applyAlignment="1">
      <alignment vertical="center" shrinkToFit="1"/>
    </xf>
    <xf numFmtId="1" fontId="29" fillId="3" borderId="1" xfId="11" applyNumberFormat="1" applyFont="1" applyFill="1" applyBorder="1" applyAlignment="1">
      <alignment vertical="center" shrinkToFit="1"/>
    </xf>
    <xf numFmtId="1" fontId="29" fillId="3" borderId="45" xfId="11" applyNumberFormat="1" applyFont="1" applyFill="1" applyBorder="1" applyAlignment="1">
      <alignment shrinkToFit="1"/>
    </xf>
    <xf numFmtId="0" fontId="27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5" fillId="0" borderId="0" xfId="11" applyNumberFormat="1" applyAlignment="1">
      <alignment shrinkToFit="1"/>
    </xf>
    <xf numFmtId="1" fontId="8" fillId="2" borderId="1" xfId="11" applyNumberFormat="1" applyFont="1" applyFill="1" applyBorder="1" applyAlignment="1">
      <alignment horizontal="center" vertical="center" shrinkToFit="1"/>
    </xf>
    <xf numFmtId="1" fontId="29" fillId="3" borderId="22" xfId="11" applyNumberFormat="1" applyFont="1" applyFill="1" applyBorder="1" applyAlignment="1">
      <alignment shrinkToFit="1"/>
    </xf>
    <xf numFmtId="1" fontId="8" fillId="3" borderId="1" xfId="11" applyNumberFormat="1" applyFont="1" applyFill="1" applyBorder="1" applyAlignment="1">
      <alignment shrinkToFit="1"/>
    </xf>
    <xf numFmtId="1" fontId="8" fillId="3" borderId="5" xfId="11" applyNumberFormat="1" applyFont="1" applyFill="1" applyBorder="1" applyAlignment="1">
      <alignment shrinkToFit="1"/>
    </xf>
    <xf numFmtId="1" fontId="8" fillId="3" borderId="18" xfId="11" applyNumberFormat="1" applyFont="1" applyFill="1" applyBorder="1" applyAlignment="1">
      <alignment shrinkToFit="1"/>
    </xf>
    <xf numFmtId="0" fontId="81" fillId="10" borderId="22" xfId="4" applyFont="1" applyFill="1" applyBorder="1" applyAlignment="1">
      <alignment horizontal="center" vertical="center" wrapText="1"/>
    </xf>
    <xf numFmtId="195" fontId="83" fillId="9" borderId="22" xfId="4" applyNumberFormat="1" applyFont="1" applyFill="1" applyBorder="1" applyAlignment="1">
      <alignment horizontal="center" vertical="center"/>
    </xf>
    <xf numFmtId="10" fontId="83" fillId="0" borderId="22" xfId="4" applyNumberFormat="1" applyFont="1" applyBorder="1" applyAlignment="1">
      <alignment horizontal="center" vertical="center"/>
    </xf>
    <xf numFmtId="0" fontId="7" fillId="0" borderId="0" xfId="4">
      <alignment vertical="center"/>
    </xf>
    <xf numFmtId="0" fontId="67" fillId="0" borderId="0" xfId="11" applyFont="1" applyAlignment="1">
      <alignment vertical="center" shrinkToFit="1"/>
    </xf>
    <xf numFmtId="0" fontId="67" fillId="0" borderId="0" xfId="11" applyFont="1" applyAlignment="1">
      <alignment shrinkToFit="1"/>
    </xf>
    <xf numFmtId="0" fontId="0" fillId="0" borderId="0" xfId="0" applyAlignment="1">
      <alignment vertical="center"/>
    </xf>
    <xf numFmtId="10" fontId="29" fillId="3" borderId="50" xfId="11" applyNumberFormat="1" applyFont="1" applyFill="1" applyBorder="1" applyAlignment="1">
      <alignment horizontal="center" vertical="center" shrinkToFit="1"/>
    </xf>
    <xf numFmtId="0" fontId="25" fillId="0" borderId="0" xfId="11" applyAlignment="1">
      <alignment horizontal="left" vertical="center" indent="2"/>
    </xf>
    <xf numFmtId="0" fontId="69" fillId="0" borderId="0" xfId="11" applyFont="1" applyAlignment="1">
      <alignment horizontal="left" vertical="center" indent="1"/>
    </xf>
    <xf numFmtId="0" fontId="25" fillId="0" borderId="0" xfId="11" applyAlignment="1">
      <alignment horizontal="left" vertical="center"/>
    </xf>
    <xf numFmtId="0" fontId="69" fillId="0" borderId="0" xfId="11" applyFont="1" applyAlignment="1">
      <alignment horizontal="left" vertical="center"/>
    </xf>
    <xf numFmtId="0" fontId="69" fillId="0" borderId="67" xfId="11" applyFont="1" applyBorder="1" applyAlignment="1">
      <alignment horizontal="left" vertical="center"/>
    </xf>
    <xf numFmtId="0" fontId="25" fillId="0" borderId="0" xfId="11" applyAlignment="1">
      <alignment vertical="center"/>
    </xf>
    <xf numFmtId="0" fontId="29" fillId="2" borderId="72" xfId="11" applyFont="1" applyFill="1" applyBorder="1" applyAlignment="1">
      <alignment horizontal="center" vertical="center" shrinkToFit="1"/>
    </xf>
    <xf numFmtId="10" fontId="29" fillId="3" borderId="73" xfId="11" applyNumberFormat="1" applyFont="1" applyFill="1" applyBorder="1" applyAlignment="1">
      <alignment horizontal="center" vertical="center" shrinkToFit="1"/>
    </xf>
    <xf numFmtId="0" fontId="29" fillId="2" borderId="74" xfId="11" applyFont="1" applyFill="1" applyBorder="1" applyAlignment="1">
      <alignment horizontal="center" shrinkToFit="1"/>
    </xf>
    <xf numFmtId="0" fontId="12" fillId="2" borderId="75" xfId="11" applyFont="1" applyFill="1" applyBorder="1" applyAlignment="1">
      <alignment horizontal="center" shrinkToFit="1"/>
    </xf>
    <xf numFmtId="0" fontId="12" fillId="2" borderId="74" xfId="11" applyFont="1" applyFill="1" applyBorder="1" applyAlignment="1">
      <alignment horizontal="center" shrinkToFit="1"/>
    </xf>
    <xf numFmtId="1" fontId="8" fillId="3" borderId="76" xfId="11" applyNumberFormat="1" applyFont="1" applyFill="1" applyBorder="1" applyAlignment="1">
      <alignment shrinkToFit="1"/>
    </xf>
    <xf numFmtId="195" fontId="5" fillId="0" borderId="0" xfId="15" applyNumberFormat="1">
      <alignment vertical="center"/>
    </xf>
    <xf numFmtId="0" fontId="5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193" fontId="83" fillId="9" borderId="22" xfId="4" applyNumberFormat="1" applyFont="1" applyFill="1" applyBorder="1" applyAlignment="1">
      <alignment horizontal="center" vertical="center"/>
    </xf>
    <xf numFmtId="193" fontId="83" fillId="9" borderId="22" xfId="6" applyNumberFormat="1" applyFont="1" applyFill="1" applyBorder="1" applyAlignment="1">
      <alignment horizontal="center" vertical="center"/>
    </xf>
    <xf numFmtId="0" fontId="29" fillId="0" borderId="77" xfId="11" applyFont="1" applyBorder="1" applyAlignment="1">
      <alignment vertical="center"/>
    </xf>
    <xf numFmtId="193" fontId="83" fillId="9" borderId="22" xfId="17" applyNumberFormat="1" applyFont="1" applyFill="1" applyBorder="1" applyAlignment="1">
      <alignment horizontal="center" vertical="center"/>
    </xf>
    <xf numFmtId="186" fontId="83" fillId="0" borderId="22" xfId="17" applyNumberFormat="1" applyFont="1" applyBorder="1" applyAlignment="1">
      <alignment horizontal="center" vertical="center"/>
    </xf>
    <xf numFmtId="186" fontId="87" fillId="0" borderId="22" xfId="19" applyNumberFormat="1" applyFont="1" applyBorder="1" applyAlignment="1">
      <alignment horizontal="center" vertical="center"/>
    </xf>
    <xf numFmtId="10" fontId="83" fillId="0" borderId="22" xfId="19" applyNumberFormat="1" applyFont="1" applyBorder="1" applyAlignment="1">
      <alignment horizontal="center" vertical="center"/>
    </xf>
    <xf numFmtId="10" fontId="83" fillId="0" borderId="22" xfId="17" applyNumberFormat="1" applyFont="1" applyBorder="1" applyAlignment="1">
      <alignment horizontal="center" vertical="center"/>
    </xf>
    <xf numFmtId="192" fontId="58" fillId="0" borderId="22" xfId="0" applyNumberFormat="1" applyFont="1" applyBorder="1" applyAlignment="1">
      <alignment shrinkToFit="1"/>
    </xf>
    <xf numFmtId="10" fontId="8" fillId="0" borderId="65" xfId="11" applyNumberFormat="1" applyFont="1" applyBorder="1" applyAlignment="1">
      <alignment shrinkToFit="1"/>
    </xf>
    <xf numFmtId="0" fontId="27" fillId="0" borderId="22" xfId="11" applyFont="1" applyBorder="1" applyAlignment="1">
      <alignment horizontal="center" vertical="center" shrinkToFit="1"/>
    </xf>
    <xf numFmtId="0" fontId="58" fillId="0" borderId="22" xfId="11" applyFont="1" applyBorder="1" applyAlignment="1">
      <alignment horizontal="center" vertical="center" shrinkToFit="1"/>
    </xf>
    <xf numFmtId="1" fontId="29" fillId="3" borderId="78" xfId="11" applyNumberFormat="1" applyFont="1" applyFill="1" applyBorder="1" applyAlignment="1">
      <alignment vertical="center" shrinkToFit="1"/>
    </xf>
    <xf numFmtId="0" fontId="29" fillId="0" borderId="71" xfId="11" applyFont="1" applyBorder="1" applyAlignment="1">
      <alignment vertical="center"/>
    </xf>
    <xf numFmtId="9" fontId="29" fillId="0" borderId="22" xfId="11" applyNumberFormat="1" applyFont="1" applyBorder="1" applyAlignment="1">
      <alignment shrinkToFit="1"/>
    </xf>
    <xf numFmtId="0" fontId="29" fillId="0" borderId="3" xfId="11" applyFont="1" applyBorder="1" applyAlignment="1">
      <alignment horizontal="left" vertical="center"/>
    </xf>
    <xf numFmtId="0" fontId="29" fillId="0" borderId="22" xfId="11" applyFont="1" applyBorder="1" applyAlignment="1">
      <alignment vertical="center"/>
    </xf>
    <xf numFmtId="0" fontId="29" fillId="0" borderId="57" xfId="11" applyFont="1" applyBorder="1" applyAlignment="1">
      <alignment vertical="center"/>
    </xf>
    <xf numFmtId="0" fontId="29" fillId="0" borderId="58" xfId="11" applyFont="1" applyBorder="1" applyAlignment="1">
      <alignment vertical="center"/>
    </xf>
    <xf numFmtId="0" fontId="29" fillId="0" borderId="61" xfId="11" applyFont="1" applyBorder="1" applyAlignment="1">
      <alignment vertical="center"/>
    </xf>
    <xf numFmtId="0" fontId="32" fillId="0" borderId="22" xfId="11" applyFont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22" xfId="22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left" vertical="center"/>
    </xf>
    <xf numFmtId="196" fontId="37" fillId="0" borderId="22" xfId="11" applyNumberFormat="1" applyFont="1" applyBorder="1" applyAlignment="1">
      <alignment horizontal="center" vertical="center"/>
    </xf>
    <xf numFmtId="197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6" fontId="37" fillId="0" borderId="22" xfId="21" applyNumberFormat="1" applyFont="1" applyBorder="1" applyAlignment="1">
      <alignment horizontal="center" vertical="center"/>
    </xf>
    <xf numFmtId="197" fontId="37" fillId="9" borderId="22" xfId="11" applyNumberFormat="1" applyFont="1" applyFill="1" applyBorder="1" applyAlignment="1">
      <alignment horizontal="center" vertical="center"/>
    </xf>
    <xf numFmtId="196" fontId="37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2" fillId="0" borderId="40" xfId="11" applyNumberFormat="1" applyFont="1" applyBorder="1" applyAlignment="1">
      <alignment horizontal="center" vertical="center"/>
    </xf>
    <xf numFmtId="0" fontId="32" fillId="0" borderId="40" xfId="11" applyFont="1" applyBorder="1" applyAlignment="1">
      <alignment horizontal="center" vertical="center"/>
    </xf>
    <xf numFmtId="0" fontId="32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7" fillId="9" borderId="22" xfId="13" applyNumberFormat="1" applyFont="1" applyFill="1" applyBorder="1" applyAlignment="1">
      <alignment horizontal="center" vertical="center"/>
    </xf>
    <xf numFmtId="1" fontId="62" fillId="0" borderId="79" xfId="11" applyNumberFormat="1" applyFont="1" applyBorder="1" applyAlignment="1">
      <alignment horizontal="center" vertical="center"/>
    </xf>
    <xf numFmtId="9" fontId="32" fillId="0" borderId="79" xfId="13" applyFont="1" applyBorder="1" applyAlignment="1">
      <alignment horizontal="center"/>
    </xf>
    <xf numFmtId="1" fontId="32" fillId="0" borderId="69" xfId="11" applyNumberFormat="1" applyFont="1" applyBorder="1" applyAlignment="1">
      <alignment horizontal="center" vertical="center"/>
    </xf>
    <xf numFmtId="1" fontId="32" fillId="0" borderId="22" xfId="11" applyNumberFormat="1" applyFont="1" applyBorder="1" applyAlignment="1">
      <alignment horizontal="center" vertical="center"/>
    </xf>
    <xf numFmtId="0" fontId="29" fillId="0" borderId="68" xfId="11" applyFont="1" applyBorder="1" applyAlignment="1">
      <alignment vertical="center"/>
    </xf>
    <xf numFmtId="0" fontId="29" fillId="0" borderId="80" xfId="11" applyFont="1" applyBorder="1" applyAlignment="1">
      <alignment vertical="center"/>
    </xf>
    <xf numFmtId="0" fontId="2" fillId="0" borderId="0" xfId="15" applyFont="1">
      <alignment vertical="center"/>
    </xf>
    <xf numFmtId="0" fontId="29" fillId="0" borderId="54" xfId="11" applyFont="1" applyBorder="1" applyAlignment="1">
      <alignment horizontal="left" vertical="center"/>
    </xf>
    <xf numFmtId="0" fontId="29" fillId="0" borderId="47" xfId="11" applyFont="1" applyBorder="1" applyAlignment="1">
      <alignment horizontal="left" vertical="center"/>
    </xf>
    <xf numFmtId="0" fontId="29" fillId="0" borderId="63" xfId="11" applyFont="1" applyBorder="1" applyAlignment="1">
      <alignment horizontal="left" vertical="center"/>
    </xf>
    <xf numFmtId="0" fontId="29" fillId="0" borderId="27" xfId="11" applyFont="1" applyBorder="1" applyAlignment="1">
      <alignment vertical="center"/>
    </xf>
    <xf numFmtId="0" fontId="12" fillId="2" borderId="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left" vertical="center"/>
    </xf>
    <xf numFmtId="0" fontId="29" fillId="0" borderId="59" xfId="11" applyFont="1" applyBorder="1" applyAlignment="1">
      <alignment vertical="center"/>
    </xf>
    <xf numFmtId="0" fontId="29" fillId="0" borderId="81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177" fontId="15" fillId="9" borderId="25" xfId="0" applyNumberFormat="1" applyFont="1" applyFill="1" applyBorder="1"/>
    <xf numFmtId="179" fontId="15" fillId="0" borderId="0" xfId="0" applyNumberFormat="1" applyFont="1" applyAlignment="1">
      <alignment horizontal="center" shrinkToFit="1"/>
    </xf>
    <xf numFmtId="179" fontId="15" fillId="0" borderId="0" xfId="0" applyNumberFormat="1" applyFont="1" applyAlignment="1">
      <alignment shrinkToFit="1"/>
    </xf>
    <xf numFmtId="0" fontId="15" fillId="0" borderId="0" xfId="11" applyFont="1" applyAlignment="1">
      <alignment horizontal="center" shrinkToFit="1"/>
    </xf>
    <xf numFmtId="0" fontId="27" fillId="0" borderId="0" xfId="11" applyFont="1" applyAlignment="1">
      <alignment horizontal="center" shrinkToFit="1"/>
    </xf>
    <xf numFmtId="3" fontId="7" fillId="0" borderId="0" xfId="4" applyNumberFormat="1">
      <alignment vertical="center"/>
    </xf>
    <xf numFmtId="0" fontId="1" fillId="0" borderId="0" xfId="15" applyFont="1">
      <alignment vertical="center"/>
    </xf>
    <xf numFmtId="0" fontId="95" fillId="0" borderId="0" xfId="15" applyFont="1">
      <alignment vertical="center"/>
    </xf>
    <xf numFmtId="10" fontId="8" fillId="0" borderId="65" xfId="11" applyNumberFormat="1" applyFont="1" applyBorder="1" applyAlignment="1">
      <alignment vertical="center" shrinkToFit="1"/>
    </xf>
    <xf numFmtId="10" fontId="29" fillId="3" borderId="83" xfId="0" applyNumberFormat="1" applyFont="1" applyFill="1" applyBorder="1" applyAlignment="1">
      <alignment horizontal="center" vertical="center" shrinkToFit="1"/>
    </xf>
    <xf numFmtId="0" fontId="29" fillId="0" borderId="77" xfId="11" applyFont="1" applyBorder="1" applyAlignment="1">
      <alignment horizontal="left" vertical="center"/>
    </xf>
    <xf numFmtId="183" fontId="15" fillId="0" borderId="0" xfId="0" applyNumberFormat="1" applyFont="1" applyAlignment="1">
      <alignment horizontal="center" vertical="center" shrinkToFit="1"/>
    </xf>
    <xf numFmtId="183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1" fillId="0" borderId="22" xfId="11" applyFont="1" applyBorder="1" applyAlignment="1">
      <alignment horizontal="center" vertical="center"/>
    </xf>
    <xf numFmtId="188" fontId="27" fillId="0" borderId="0" xfId="0" applyNumberFormat="1" applyFont="1" applyAlignment="1">
      <alignment horizontal="center"/>
    </xf>
    <xf numFmtId="185" fontId="27" fillId="0" borderId="0" xfId="13" applyNumberFormat="1" applyFont="1" applyAlignment="1"/>
    <xf numFmtId="179" fontId="15" fillId="0" borderId="0" xfId="0" applyNumberFormat="1" applyFont="1" applyAlignment="1">
      <alignment vertical="center"/>
    </xf>
    <xf numFmtId="183" fontId="100" fillId="0" borderId="22" xfId="0" applyNumberFormat="1" applyFont="1" applyBorder="1" applyAlignment="1">
      <alignment shrinkToFit="1"/>
    </xf>
    <xf numFmtId="0" fontId="16" fillId="0" borderId="0" xfId="0" applyFont="1" applyAlignment="1">
      <alignment horizontal="center" vertical="center" shrinkToFit="1"/>
    </xf>
    <xf numFmtId="0" fontId="58" fillId="2" borderId="0" xfId="0" applyFont="1" applyFill="1" applyAlignment="1">
      <alignment horizontal="center" vertical="center" shrinkToFit="1"/>
    </xf>
    <xf numFmtId="0" fontId="58" fillId="0" borderId="0" xfId="0" applyFont="1" applyAlignment="1">
      <alignment horizontal="right" shrinkToFit="1"/>
    </xf>
    <xf numFmtId="0" fontId="58" fillId="0" borderId="0" xfId="0" applyFont="1" applyAlignment="1">
      <alignment shrinkToFit="1"/>
    </xf>
    <xf numFmtId="1" fontId="58" fillId="0" borderId="0" xfId="0" applyNumberFormat="1" applyFont="1" applyAlignment="1">
      <alignment shrinkToFit="1"/>
    </xf>
    <xf numFmtId="183" fontId="58" fillId="0" borderId="0" xfId="0" applyNumberFormat="1" applyFont="1" applyAlignment="1">
      <alignment shrinkToFit="1"/>
    </xf>
    <xf numFmtId="0" fontId="70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85" fontId="27" fillId="0" borderId="0" xfId="13" applyNumberFormat="1" applyFont="1" applyAlignment="1">
      <alignment horizontal="center"/>
    </xf>
    <xf numFmtId="188" fontId="27" fillId="0" borderId="0" xfId="0" applyNumberFormat="1" applyFont="1" applyAlignment="1">
      <alignment horizontal="center"/>
    </xf>
    <xf numFmtId="0" fontId="96" fillId="0" borderId="0" xfId="0" applyFont="1" applyAlignment="1">
      <alignment horizontal="center" vertical="center"/>
    </xf>
    <xf numFmtId="185" fontId="27" fillId="0" borderId="0" xfId="0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90" fontId="27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0" fontId="27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center"/>
    </xf>
    <xf numFmtId="186" fontId="27" fillId="0" borderId="0" xfId="0" applyNumberFormat="1" applyFont="1" applyAlignment="1">
      <alignment horizontal="center"/>
    </xf>
    <xf numFmtId="10" fontId="1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82" fontId="15" fillId="0" borderId="22" xfId="0" applyNumberFormat="1" applyFont="1" applyBorder="1" applyAlignment="1">
      <alignment horizontal="center" shrinkToFit="1"/>
    </xf>
    <xf numFmtId="189" fontId="27" fillId="0" borderId="23" xfId="0" applyNumberFormat="1" applyFont="1" applyBorder="1" applyAlignment="1">
      <alignment horizontal="center" vertical="center"/>
    </xf>
    <xf numFmtId="189" fontId="27" fillId="0" borderId="29" xfId="0" applyNumberFormat="1" applyFont="1" applyBorder="1" applyAlignment="1">
      <alignment horizontal="center" vertical="center"/>
    </xf>
    <xf numFmtId="189" fontId="27" fillId="0" borderId="30" xfId="0" applyNumberFormat="1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shrinkToFit="1"/>
    </xf>
    <xf numFmtId="189" fontId="15" fillId="0" borderId="29" xfId="0" applyNumberFormat="1" applyFont="1" applyBorder="1" applyAlignment="1">
      <alignment horizontal="center" shrinkToFit="1"/>
    </xf>
    <xf numFmtId="189" fontId="15" fillId="0" borderId="30" xfId="0" applyNumberFormat="1" applyFont="1" applyBorder="1" applyAlignment="1">
      <alignment horizontal="center" shrinkToFit="1"/>
    </xf>
    <xf numFmtId="0" fontId="96" fillId="0" borderId="23" xfId="0" applyFont="1" applyBorder="1" applyAlignment="1">
      <alignment horizontal="center" vertical="center"/>
    </xf>
    <xf numFmtId="0" fontId="96" fillId="0" borderId="29" xfId="0" applyFont="1" applyBorder="1" applyAlignment="1">
      <alignment horizontal="center" vertical="center"/>
    </xf>
    <xf numFmtId="0" fontId="96" fillId="0" borderId="30" xfId="0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29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2" fontId="28" fillId="0" borderId="2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/>
    </xf>
    <xf numFmtId="0" fontId="32" fillId="0" borderId="23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80" fillId="0" borderId="22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 shrinkToFit="1"/>
    </xf>
    <xf numFmtId="190" fontId="27" fillId="0" borderId="23" xfId="0" applyNumberFormat="1" applyFont="1" applyBorder="1" applyAlignment="1">
      <alignment horizontal="center"/>
    </xf>
    <xf numFmtId="190" fontId="27" fillId="0" borderId="29" xfId="0" applyNumberFormat="1" applyFont="1" applyBorder="1" applyAlignment="1">
      <alignment horizontal="center"/>
    </xf>
    <xf numFmtId="190" fontId="27" fillId="0" borderId="30" xfId="0" applyNumberFormat="1" applyFont="1" applyBorder="1" applyAlignment="1">
      <alignment horizontal="center"/>
    </xf>
    <xf numFmtId="190" fontId="27" fillId="0" borderId="22" xfId="0" applyNumberFormat="1" applyFont="1" applyBorder="1" applyAlignment="1">
      <alignment horizontal="center"/>
    </xf>
    <xf numFmtId="183" fontId="15" fillId="0" borderId="22" xfId="0" applyNumberFormat="1" applyFont="1" applyBorder="1" applyAlignment="1">
      <alignment horizontal="center" vertical="center"/>
    </xf>
    <xf numFmtId="183" fontId="15" fillId="9" borderId="22" xfId="0" applyNumberFormat="1" applyFont="1" applyFill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 shrinkToFit="1"/>
    </xf>
    <xf numFmtId="185" fontId="15" fillId="0" borderId="22" xfId="13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shrinkToFit="1"/>
    </xf>
    <xf numFmtId="0" fontId="15" fillId="9" borderId="28" xfId="0" applyFont="1" applyFill="1" applyBorder="1" applyAlignment="1">
      <alignment horizontal="center" vertical="center" shrinkToFit="1"/>
    </xf>
    <xf numFmtId="0" fontId="15" fillId="9" borderId="25" xfId="0" applyFont="1" applyFill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179" fontId="15" fillId="5" borderId="27" xfId="0" applyNumberFormat="1" applyFont="1" applyFill="1" applyBorder="1" applyAlignment="1">
      <alignment horizontal="center" vertical="center" shrinkToFit="1"/>
    </xf>
    <xf numFmtId="179" fontId="15" fillId="5" borderId="28" xfId="0" applyNumberFormat="1" applyFont="1" applyFill="1" applyBorder="1" applyAlignment="1">
      <alignment horizontal="center" vertical="center" shrinkToFit="1"/>
    </xf>
    <xf numFmtId="179" fontId="15" fillId="5" borderId="25" xfId="0" applyNumberFormat="1" applyFont="1" applyFill="1" applyBorder="1" applyAlignment="1">
      <alignment horizontal="center" vertical="center" shrinkToFit="1"/>
    </xf>
    <xf numFmtId="179" fontId="15" fillId="8" borderId="27" xfId="0" applyNumberFormat="1" applyFont="1" applyFill="1" applyBorder="1" applyAlignment="1">
      <alignment horizontal="center" vertical="center" shrinkToFit="1"/>
    </xf>
    <xf numFmtId="179" fontId="15" fillId="8" borderId="28" xfId="0" applyNumberFormat="1" applyFont="1" applyFill="1" applyBorder="1" applyAlignment="1">
      <alignment horizontal="center" vertical="center" shrinkToFit="1"/>
    </xf>
    <xf numFmtId="179" fontId="15" fillId="8" borderId="25" xfId="0" applyNumberFormat="1" applyFont="1" applyFill="1" applyBorder="1" applyAlignment="1">
      <alignment horizontal="center" vertical="center" shrinkToFit="1"/>
    </xf>
    <xf numFmtId="187" fontId="15" fillId="5" borderId="27" xfId="0" applyNumberFormat="1" applyFont="1" applyFill="1" applyBorder="1" applyAlignment="1">
      <alignment horizontal="center" vertical="center" shrinkToFit="1"/>
    </xf>
    <xf numFmtId="187" fontId="15" fillId="5" borderId="28" xfId="0" applyNumberFormat="1" applyFont="1" applyFill="1" applyBorder="1" applyAlignment="1">
      <alignment horizontal="center" vertical="center" shrinkToFit="1"/>
    </xf>
    <xf numFmtId="187" fontId="15" fillId="5" borderId="25" xfId="0" applyNumberFormat="1" applyFont="1" applyFill="1" applyBorder="1" applyAlignment="1">
      <alignment horizontal="center" vertical="center" shrinkToFit="1"/>
    </xf>
    <xf numFmtId="187" fontId="15" fillId="8" borderId="27" xfId="0" applyNumberFormat="1" applyFont="1" applyFill="1" applyBorder="1" applyAlignment="1">
      <alignment horizontal="center" vertical="center" shrinkToFit="1"/>
    </xf>
    <xf numFmtId="187" fontId="15" fillId="8" borderId="28" xfId="0" applyNumberFormat="1" applyFont="1" applyFill="1" applyBorder="1" applyAlignment="1">
      <alignment horizontal="center" vertical="center" shrinkToFit="1"/>
    </xf>
    <xf numFmtId="187" fontId="15" fillId="8" borderId="25" xfId="0" applyNumberFormat="1" applyFont="1" applyFill="1" applyBorder="1" applyAlignment="1">
      <alignment horizontal="center" vertical="center" shrinkToFit="1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179" fontId="15" fillId="5" borderId="22" xfId="0" applyNumberFormat="1" applyFont="1" applyFill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179" fontId="15" fillId="8" borderId="22" xfId="0" applyNumberFormat="1" applyFont="1" applyFill="1" applyBorder="1" applyAlignment="1">
      <alignment horizontal="center" vertical="center" shrinkToFit="1"/>
    </xf>
    <xf numFmtId="0" fontId="15" fillId="8" borderId="22" xfId="0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187" fontId="15" fillId="8" borderId="22" xfId="0" applyNumberFormat="1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 shrinkToFit="1"/>
    </xf>
    <xf numFmtId="0" fontId="15" fillId="9" borderId="29" xfId="0" applyFont="1" applyFill="1" applyBorder="1" applyAlignment="1">
      <alignment horizontal="center" vertical="center" shrinkToFit="1"/>
    </xf>
    <xf numFmtId="0" fontId="15" fillId="9" borderId="30" xfId="0" applyFont="1" applyFill="1" applyBorder="1" applyAlignment="1">
      <alignment horizontal="center" vertical="center" shrinkToFit="1"/>
    </xf>
    <xf numFmtId="179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179" fontId="15" fillId="8" borderId="22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179" fontId="15" fillId="5" borderId="27" xfId="0" applyNumberFormat="1" applyFont="1" applyFill="1" applyBorder="1" applyAlignment="1">
      <alignment horizontal="center" vertical="center"/>
    </xf>
    <xf numFmtId="179" fontId="15" fillId="5" borderId="28" xfId="0" applyNumberFormat="1" applyFont="1" applyFill="1" applyBorder="1" applyAlignment="1">
      <alignment horizontal="center" vertical="center"/>
    </xf>
    <xf numFmtId="179" fontId="15" fillId="5" borderId="25" xfId="0" applyNumberFormat="1" applyFont="1" applyFill="1" applyBorder="1" applyAlignment="1">
      <alignment horizontal="center" vertical="center"/>
    </xf>
    <xf numFmtId="187" fontId="15" fillId="5" borderId="22" xfId="0" applyNumberFormat="1" applyFont="1" applyFill="1" applyBorder="1" applyAlignment="1">
      <alignment horizontal="center" vertical="center"/>
    </xf>
    <xf numFmtId="187" fontId="15" fillId="8" borderId="22" xfId="0" applyNumberFormat="1" applyFont="1" applyFill="1" applyBorder="1" applyAlignment="1">
      <alignment horizontal="center" vertical="center"/>
    </xf>
    <xf numFmtId="187" fontId="15" fillId="5" borderId="27" xfId="0" applyNumberFormat="1" applyFont="1" applyFill="1" applyBorder="1" applyAlignment="1">
      <alignment horizontal="center" vertical="center"/>
    </xf>
    <xf numFmtId="187" fontId="15" fillId="5" borderId="28" xfId="0" applyNumberFormat="1" applyFont="1" applyFill="1" applyBorder="1" applyAlignment="1">
      <alignment horizontal="center" vertical="center"/>
    </xf>
    <xf numFmtId="187" fontId="15" fillId="5" borderId="25" xfId="0" applyNumberFormat="1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0" fontId="58" fillId="0" borderId="27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shrinkToFit="1"/>
    </xf>
    <xf numFmtId="0" fontId="58" fillId="0" borderId="28" xfId="0" applyFont="1" applyBorder="1" applyAlignment="1">
      <alignment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shrinkToFit="1"/>
    </xf>
    <xf numFmtId="0" fontId="78" fillId="0" borderId="27" xfId="0" applyFont="1" applyBorder="1" applyAlignment="1">
      <alignment shrinkToFit="1"/>
    </xf>
    <xf numFmtId="0" fontId="56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 vertical="center"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 shrinkToFit="1"/>
    </xf>
    <xf numFmtId="0" fontId="29" fillId="0" borderId="37" xfId="11" applyFont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shrinkToFit="1"/>
    </xf>
    <xf numFmtId="0" fontId="65" fillId="0" borderId="22" xfId="11" applyFont="1" applyBorder="1" applyAlignment="1">
      <alignment horizontal="left" vertical="center" wrapText="1"/>
    </xf>
    <xf numFmtId="0" fontId="65" fillId="2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 wrapText="1"/>
    </xf>
    <xf numFmtId="0" fontId="44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9" fillId="2" borderId="27" xfId="11" applyFont="1" applyFill="1" applyBorder="1" applyAlignment="1">
      <alignment horizontal="center" vertical="center" shrinkToFit="1"/>
    </xf>
    <xf numFmtId="0" fontId="29" fillId="2" borderId="28" xfId="11" applyFont="1" applyFill="1" applyBorder="1" applyAlignment="1">
      <alignment horizontal="center" vertical="center" shrinkToFit="1"/>
    </xf>
    <xf numFmtId="0" fontId="29" fillId="2" borderId="25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vertical="center" wrapText="1"/>
    </xf>
    <xf numFmtId="0" fontId="65" fillId="0" borderId="22" xfId="11" applyFont="1" applyBorder="1" applyAlignment="1">
      <alignment vertical="center" wrapText="1"/>
    </xf>
    <xf numFmtId="0" fontId="27" fillId="0" borderId="22" xfId="11" applyFont="1" applyBorder="1" applyAlignment="1">
      <alignment horizontal="center" vertical="center" wrapText="1" shrinkToFit="1"/>
    </xf>
    <xf numFmtId="0" fontId="29" fillId="2" borderId="35" xfId="11" applyFont="1" applyFill="1" applyBorder="1" applyAlignment="1">
      <alignment horizontal="center" vertical="center" shrinkToFit="1"/>
    </xf>
    <xf numFmtId="0" fontId="29" fillId="2" borderId="26" xfId="11" applyFont="1" applyFill="1" applyBorder="1" applyAlignment="1">
      <alignment horizontal="center" vertical="center" shrinkToFit="1"/>
    </xf>
    <xf numFmtId="0" fontId="29" fillId="2" borderId="43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horizontal="left" vertical="center" wrapText="1"/>
    </xf>
    <xf numFmtId="0" fontId="29" fillId="2" borderId="57" xfId="11" applyFont="1" applyFill="1" applyBorder="1" applyAlignment="1">
      <alignment horizontal="center" vertical="center" shrinkToFit="1"/>
    </xf>
    <xf numFmtId="0" fontId="29" fillId="2" borderId="58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36" fillId="0" borderId="27" xfId="11" applyFont="1" applyBorder="1" applyAlignment="1">
      <alignment horizontal="center" vertical="center" shrinkToFit="1"/>
    </xf>
    <xf numFmtId="0" fontId="36" fillId="0" borderId="25" xfId="11" applyFont="1" applyBorder="1" applyAlignment="1">
      <alignment horizontal="center" vertical="center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0" fontId="12" fillId="2" borderId="54" xfId="11" applyFont="1" applyFill="1" applyBorder="1" applyAlignment="1">
      <alignment horizontal="center" vertical="center" shrinkToFit="1"/>
    </xf>
    <xf numFmtId="0" fontId="12" fillId="2" borderId="47" xfId="11" applyFont="1" applyFill="1" applyBorder="1" applyAlignment="1">
      <alignment horizontal="center" vertical="center" shrinkToFit="1"/>
    </xf>
    <xf numFmtId="0" fontId="12" fillId="2" borderId="48" xfId="11" applyFont="1" applyFill="1" applyBorder="1" applyAlignment="1">
      <alignment horizontal="center" vertical="center" shrinkToFit="1"/>
    </xf>
    <xf numFmtId="0" fontId="13" fillId="2" borderId="4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shrinkToFit="1"/>
    </xf>
    <xf numFmtId="0" fontId="25" fillId="0" borderId="29" xfId="11" applyBorder="1" applyAlignment="1">
      <alignment horizontal="center" vertical="center" shrinkToFit="1"/>
    </xf>
    <xf numFmtId="0" fontId="25" fillId="0" borderId="30" xfId="1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wrapText="1" shrinkToFit="1"/>
    </xf>
    <xf numFmtId="0" fontId="25" fillId="0" borderId="29" xfId="11" applyBorder="1" applyAlignment="1">
      <alignment horizontal="center" vertical="center" wrapText="1" shrinkToFit="1"/>
    </xf>
    <xf numFmtId="0" fontId="25" fillId="0" borderId="30" xfId="11" applyBorder="1" applyAlignment="1">
      <alignment horizontal="center" vertical="center" wrapText="1" shrinkToFit="1"/>
    </xf>
    <xf numFmtId="0" fontId="38" fillId="0" borderId="68" xfId="11" applyFont="1" applyBorder="1" applyAlignment="1">
      <alignment horizontal="left" vertical="center" wrapText="1"/>
    </xf>
    <xf numFmtId="0" fontId="38" fillId="0" borderId="61" xfId="11" applyFont="1" applyBorder="1" applyAlignment="1">
      <alignment horizontal="left" vertical="center" wrapTex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78" fillId="4" borderId="4" xfId="11" applyFont="1" applyFill="1" applyBorder="1" applyAlignment="1">
      <alignment horizontal="left" vertical="center" wrapText="1"/>
    </xf>
    <xf numFmtId="0" fontId="78" fillId="4" borderId="3" xfId="11" applyFont="1" applyFill="1" applyBorder="1" applyAlignment="1">
      <alignment horizontal="left" vertical="center" wrapTex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8" fillId="2" borderId="35" xfId="11" applyFont="1" applyFill="1" applyBorder="1" applyAlignment="1">
      <alignment horizontal="center" vertical="center" shrinkToFit="1"/>
    </xf>
    <xf numFmtId="0" fontId="8" fillId="2" borderId="26" xfId="11" applyFont="1" applyFill="1" applyBorder="1" applyAlignment="1">
      <alignment horizontal="center" vertical="center" shrinkToFit="1"/>
    </xf>
    <xf numFmtId="0" fontId="8" fillId="2" borderId="36" xfId="11" applyFont="1" applyFill="1" applyBorder="1" applyAlignment="1">
      <alignment horizontal="center" vertical="center" shrinkToFit="1"/>
    </xf>
    <xf numFmtId="0" fontId="8" fillId="2" borderId="39" xfId="11" applyFont="1" applyFill="1" applyBorder="1" applyAlignment="1">
      <alignment horizontal="center" shrinkToFit="1"/>
    </xf>
    <xf numFmtId="0" fontId="8" fillId="2" borderId="2" xfId="11" applyFont="1" applyFill="1" applyBorder="1" applyAlignment="1">
      <alignment horizontal="center" shrinkToFit="1"/>
    </xf>
    <xf numFmtId="0" fontId="8" fillId="2" borderId="3" xfId="11" applyFont="1" applyFill="1" applyBorder="1" applyAlignment="1">
      <alignment horizontal="center" shrinkToFit="1"/>
    </xf>
    <xf numFmtId="0" fontId="36" fillId="0" borderId="23" xfId="11" applyFont="1" applyBorder="1" applyAlignment="1">
      <alignment horizontal="center" vertical="center" wrapText="1" shrinkToFit="1"/>
    </xf>
    <xf numFmtId="0" fontId="36" fillId="0" borderId="29" xfId="11" applyFont="1" applyBorder="1" applyAlignment="1">
      <alignment horizontal="center" vertical="center" wrapText="1" shrinkToFit="1"/>
    </xf>
    <xf numFmtId="0" fontId="36" fillId="0" borderId="30" xfId="11" applyFont="1" applyBorder="1" applyAlignment="1">
      <alignment horizontal="center" vertical="center" wrapText="1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left" vertical="top" wrapText="1"/>
    </xf>
    <xf numFmtId="0" fontId="78" fillId="0" borderId="3" xfId="11" applyFont="1" applyBorder="1" applyAlignment="1">
      <alignment horizontal="left" vertical="top" wrapTex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78" fillId="4" borderId="4" xfId="11" applyFont="1" applyFill="1" applyBorder="1" applyAlignment="1">
      <alignment vertical="center" wrapText="1"/>
    </xf>
    <xf numFmtId="0" fontId="78" fillId="4" borderId="3" xfId="11" applyFont="1" applyFill="1" applyBorder="1" applyAlignment="1">
      <alignment vertical="center" wrapText="1"/>
    </xf>
    <xf numFmtId="0" fontId="8" fillId="2" borderId="68" xfId="11" applyFont="1" applyFill="1" applyBorder="1" applyAlignment="1">
      <alignment horizontal="center" vertical="center" shrinkToFit="1"/>
    </xf>
    <xf numFmtId="0" fontId="8" fillId="2" borderId="58" xfId="11" applyFont="1" applyFill="1" applyBorder="1" applyAlignment="1">
      <alignment horizontal="center" vertical="center" shrinkToFit="1"/>
    </xf>
    <xf numFmtId="0" fontId="8" fillId="2" borderId="61" xfId="11" applyFont="1" applyFill="1" applyBorder="1" applyAlignment="1">
      <alignment horizontal="center" vertical="center" shrinkToFit="1"/>
    </xf>
    <xf numFmtId="0" fontId="12" fillId="2" borderId="27" xfId="11" applyFont="1" applyFill="1" applyBorder="1" applyAlignment="1">
      <alignment horizontal="center" vertical="center" shrinkToFit="1"/>
    </xf>
    <xf numFmtId="0" fontId="12" fillId="2" borderId="28" xfId="11" applyFont="1" applyFill="1" applyBorder="1" applyAlignment="1">
      <alignment horizontal="center" vertical="center" shrinkToFit="1"/>
    </xf>
    <xf numFmtId="0" fontId="12" fillId="2" borderId="25" xfId="11" applyFont="1" applyFill="1" applyBorder="1" applyAlignment="1">
      <alignment horizontal="center" vertical="center" shrinkToFit="1"/>
    </xf>
    <xf numFmtId="0" fontId="78" fillId="0" borderId="4" xfId="11" applyFont="1" applyBorder="1" applyAlignment="1">
      <alignment vertical="center" wrapText="1" shrinkToFit="1"/>
    </xf>
    <xf numFmtId="0" fontId="78" fillId="0" borderId="3" xfId="11" applyFont="1" applyBorder="1" applyAlignment="1">
      <alignment vertical="center" wrapText="1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9" fillId="2" borderId="46" xfId="11" applyFont="1" applyFill="1" applyBorder="1" applyAlignment="1">
      <alignment horizontal="center" shrinkToFit="1"/>
    </xf>
    <xf numFmtId="0" fontId="29" fillId="2" borderId="47" xfId="11" applyFont="1" applyFill="1" applyBorder="1" applyAlignment="1">
      <alignment horizontal="center" shrinkToFit="1"/>
    </xf>
    <xf numFmtId="0" fontId="29" fillId="2" borderId="63" xfId="11" applyFont="1" applyFill="1" applyBorder="1" applyAlignment="1">
      <alignment horizont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8" fillId="2" borderId="9" xfId="11" applyFont="1" applyFill="1" applyBorder="1" applyAlignment="1">
      <alignment horizontal="center" vertical="center" shrinkToFit="1"/>
    </xf>
    <xf numFmtId="0" fontId="8" fillId="2" borderId="10" xfId="11" applyFont="1" applyFill="1" applyBorder="1" applyAlignment="1">
      <alignment horizontal="center" vertical="center" shrinkToFit="1"/>
    </xf>
    <xf numFmtId="0" fontId="8" fillId="2" borderId="8" xfId="11" applyFont="1" applyFill="1" applyBorder="1" applyAlignment="1">
      <alignment horizontal="center" vertical="center" shrinkToFit="1"/>
    </xf>
    <xf numFmtId="0" fontId="12" fillId="2" borderId="9" xfId="11" applyFont="1" applyFill="1" applyBorder="1" applyAlignment="1">
      <alignment horizontal="center" vertical="center" shrinkToFit="1"/>
    </xf>
    <xf numFmtId="0" fontId="12" fillId="2" borderId="10" xfId="11" applyFont="1" applyFill="1" applyBorder="1" applyAlignment="1">
      <alignment horizontal="center" vertic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vertical="top" wrapText="1" shrinkToFit="1"/>
    </xf>
    <xf numFmtId="0" fontId="78" fillId="0" borderId="3" xfId="11" applyFont="1" applyBorder="1" applyAlignment="1">
      <alignment vertical="top" wrapText="1" shrinkToFit="1"/>
    </xf>
    <xf numFmtId="0" fontId="97" fillId="0" borderId="26" xfId="11" applyFont="1" applyBorder="1" applyAlignment="1">
      <alignment horizontal="center" shrinkToFit="1"/>
    </xf>
    <xf numFmtId="0" fontId="27" fillId="0" borderId="26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/>
    </xf>
    <xf numFmtId="0" fontId="45" fillId="0" borderId="82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30" xfId="11" applyFont="1" applyBorder="1" applyAlignment="1">
      <alignment horizontal="center" vertical="center"/>
    </xf>
    <xf numFmtId="0" fontId="27" fillId="0" borderId="27" xfId="11" applyFont="1" applyBorder="1" applyAlignment="1">
      <alignment horizontal="center" shrinkToFit="1"/>
    </xf>
    <xf numFmtId="0" fontId="27" fillId="0" borderId="25" xfId="11" applyFont="1" applyBorder="1" applyAlignment="1">
      <alignment horizontal="center" shrinkToFit="1"/>
    </xf>
    <xf numFmtId="0" fontId="56" fillId="0" borderId="27" xfId="11" applyFont="1" applyBorder="1" applyAlignment="1">
      <alignment horizontal="center" vertical="center" shrinkToFit="1"/>
    </xf>
    <xf numFmtId="0" fontId="56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29" fillId="2" borderId="61" xfId="11" applyFont="1" applyFill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29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wrapText="1" shrinkToFit="1"/>
    </xf>
    <xf numFmtId="0" fontId="27" fillId="0" borderId="29" xfId="11" applyFont="1" applyBorder="1" applyAlignment="1">
      <alignment horizontal="center" vertical="center" wrapText="1" shrinkToFit="1"/>
    </xf>
    <xf numFmtId="0" fontId="27" fillId="0" borderId="30" xfId="11" applyFont="1" applyBorder="1" applyAlignment="1">
      <alignment horizontal="center" vertical="center" wrapText="1" shrinkToFit="1"/>
    </xf>
    <xf numFmtId="0" fontId="38" fillId="0" borderId="4" xfId="11" applyFont="1" applyBorder="1" applyAlignment="1">
      <alignment horizontal="left" vertical="center" wrapText="1"/>
    </xf>
    <xf numFmtId="0" fontId="38" fillId="0" borderId="62" xfId="11" applyFont="1" applyBorder="1" applyAlignment="1">
      <alignment horizontal="left" vertical="center" wrapText="1"/>
    </xf>
    <xf numFmtId="0" fontId="29" fillId="2" borderId="70" xfId="11" applyFont="1" applyFill="1" applyBorder="1" applyAlignment="1">
      <alignment horizontal="center" vertical="center" shrinkToFit="1"/>
    </xf>
    <xf numFmtId="0" fontId="29" fillId="2" borderId="68" xfId="11" applyFont="1" applyFill="1" applyBorder="1" applyAlignment="1">
      <alignment horizontal="center" vertical="center" shrinkToFit="1"/>
    </xf>
    <xf numFmtId="0" fontId="29" fillId="2" borderId="31" xfId="11" applyFont="1" applyFill="1" applyBorder="1" applyAlignment="1">
      <alignment horizontal="center" vertical="center" shrinkToFit="1"/>
    </xf>
    <xf numFmtId="0" fontId="29" fillId="2" borderId="37" xfId="11" applyFont="1" applyFill="1" applyBorder="1" applyAlignment="1">
      <alignment horizontal="center" vertical="center" shrinkToFit="1"/>
    </xf>
    <xf numFmtId="0" fontId="29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65" fillId="0" borderId="71" xfId="11" applyFont="1" applyBorder="1" applyAlignment="1">
      <alignment horizontal="left" vertical="center" wrapTex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8" fillId="0" borderId="3" xfId="11" applyFont="1" applyBorder="1" applyAlignment="1">
      <alignment horizontal="left" vertical="center" wrapText="1"/>
    </xf>
    <xf numFmtId="0" fontId="29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81" fillId="10" borderId="22" xfId="4" applyFont="1" applyFill="1" applyBorder="1" applyAlignment="1">
      <alignment horizontal="center" vertical="center" wrapText="1"/>
    </xf>
    <xf numFmtId="0" fontId="84" fillId="5" borderId="35" xfId="15" applyFont="1" applyFill="1" applyBorder="1" applyAlignment="1">
      <alignment horizontal="center" vertical="center"/>
    </xf>
    <xf numFmtId="0" fontId="84" fillId="5" borderId="26" xfId="15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/>
    </xf>
    <xf numFmtId="0" fontId="81" fillId="10" borderId="22" xfId="15" applyFont="1" applyFill="1" applyBorder="1" applyAlignment="1">
      <alignment horizontal="center" vertical="center" wrapText="1"/>
    </xf>
    <xf numFmtId="195" fontId="83" fillId="9" borderId="22" xfId="15" applyNumberFormat="1" applyFont="1" applyFill="1" applyBorder="1" applyAlignment="1">
      <alignment horizontal="center" vertical="center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31" xfId="5" applyFont="1" applyFill="1" applyBorder="1" applyAlignment="1">
      <alignment horizontal="center" vertical="center"/>
    </xf>
    <xf numFmtId="0" fontId="37" fillId="5" borderId="37" xfId="5" applyFont="1" applyFill="1" applyBorder="1" applyAlignment="1">
      <alignment horizontal="center" vertical="center"/>
    </xf>
    <xf numFmtId="0" fontId="37" fillId="5" borderId="32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0" xfId="5" applyFont="1" applyFill="1" applyAlignment="1">
      <alignment horizontal="center" vertical="center"/>
    </xf>
    <xf numFmtId="0" fontId="37" fillId="5" borderId="34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6" xfId="5" applyFont="1" applyFill="1" applyBorder="1" applyAlignment="1">
      <alignment horizontal="center" vertical="center"/>
    </xf>
    <xf numFmtId="0" fontId="37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2" fillId="5" borderId="32" xfId="11" applyFont="1" applyFill="1" applyBorder="1" applyAlignment="1">
      <alignment horizontal="center" vertical="center"/>
    </xf>
    <xf numFmtId="0" fontId="32" fillId="5" borderId="33" xfId="11" applyFont="1" applyFill="1" applyBorder="1" applyAlignment="1">
      <alignment horizontal="center" vertical="center"/>
    </xf>
    <xf numFmtId="0" fontId="32" fillId="5" borderId="34" xfId="11" applyFont="1" applyFill="1" applyBorder="1" applyAlignment="1">
      <alignment horizontal="center" vertical="center"/>
    </xf>
    <xf numFmtId="0" fontId="32" fillId="5" borderId="35" xfId="11" applyFont="1" applyFill="1" applyBorder="1" applyAlignment="1">
      <alignment horizontal="center" vertical="center"/>
    </xf>
    <xf numFmtId="0" fontId="32" fillId="5" borderId="36" xfId="1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/>
    </xf>
    <xf numFmtId="0" fontId="41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61" fillId="5" borderId="23" xfId="5" applyFont="1" applyFill="1" applyBorder="1" applyAlignment="1">
      <alignment horizontal="center" vertical="center"/>
    </xf>
    <xf numFmtId="0" fontId="61" fillId="5" borderId="29" xfId="5" applyFont="1" applyFill="1" applyBorder="1" applyAlignment="1">
      <alignment horizontal="center" vertical="center"/>
    </xf>
    <xf numFmtId="0" fontId="61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39" fillId="5" borderId="27" xfId="22" applyFont="1" applyFill="1" applyBorder="1" applyAlignment="1">
      <alignment horizontal="center"/>
    </xf>
    <xf numFmtId="0" fontId="39" fillId="5" borderId="28" xfId="22" applyFont="1" applyFill="1" applyBorder="1" applyAlignment="1">
      <alignment horizontal="center"/>
    </xf>
    <xf numFmtId="0" fontId="39" fillId="5" borderId="25" xfId="22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0" fillId="0" borderId="21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12" fillId="0" borderId="12" xfId="0" applyFont="1" applyBorder="1" applyAlignment="1">
      <alignment shrinkToFit="1"/>
    </xf>
    <xf numFmtId="0" fontId="10" fillId="0" borderId="13" xfId="0" applyFont="1" applyBorder="1" applyAlignment="1">
      <alignment shrinkToFit="1"/>
    </xf>
    <xf numFmtId="0" fontId="10" fillId="0" borderId="11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0" fontId="10" fillId="0" borderId="2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0" borderId="9" xfId="0" applyFont="1" applyBorder="1" applyAlignment="1">
      <alignment shrinkToFit="1"/>
    </xf>
    <xf numFmtId="0" fontId="38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topLeftCell="A19" zoomScale="115" zoomScaleNormal="100" zoomScaleSheetLayoutView="115" workbookViewId="0">
      <selection activeCell="D6" sqref="D6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59" t="s">
        <v>341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99"/>
    </row>
    <row r="2" spans="1:12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</row>
    <row r="3" spans="1:12" ht="21.6" customHeight="1">
      <c r="A3" s="115" t="s">
        <v>332</v>
      </c>
      <c r="B3" s="116">
        <v>2</v>
      </c>
      <c r="C3" s="115" t="s">
        <v>20</v>
      </c>
      <c r="D3" s="461" t="s">
        <v>379</v>
      </c>
      <c r="E3" s="461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'（１）收支狀況'!H10/1000</f>
        <v>41250.450349999999</v>
      </c>
      <c r="C6" s="118">
        <v>146299.93539000006</v>
      </c>
      <c r="D6" s="118">
        <f t="shared" ref="D6:D11" si="0">B6-C6</f>
        <v>-105049.48504000006</v>
      </c>
      <c r="E6" s="108"/>
      <c r="G6" s="107" t="s">
        <v>201</v>
      </c>
      <c r="H6" s="120"/>
      <c r="I6" s="120">
        <f>'（２）ＫＰＩ達成進度'!H7</f>
        <v>0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'（１）收支狀況'!K10</f>
        <v>1326773</v>
      </c>
      <c r="C7" s="118">
        <v>4768701</v>
      </c>
      <c r="D7" s="118">
        <f t="shared" si="0"/>
        <v>-3441928</v>
      </c>
      <c r="E7" s="108"/>
      <c r="G7" s="107" t="s">
        <v>202</v>
      </c>
      <c r="H7" s="119">
        <v>0.8</v>
      </c>
      <c r="I7" s="119">
        <f>'（２）ＫＰＩ達成進度'!K5</f>
        <v>0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>
        <v>93253</v>
      </c>
      <c r="C8" s="118">
        <v>93253</v>
      </c>
      <c r="D8" s="118">
        <f>B8-C8</f>
        <v>0</v>
      </c>
      <c r="E8" s="108"/>
      <c r="G8" s="107" t="s">
        <v>203</v>
      </c>
      <c r="H8" s="119">
        <v>2.5000000000000001E-3</v>
      </c>
      <c r="I8" s="222">
        <f>'（２）ＫＰＩ達成進度'!N5</f>
        <v>0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>
        <v>0.65500000000000003</v>
      </c>
      <c r="C9" s="119">
        <v>0.65500000000000003</v>
      </c>
      <c r="D9" s="119">
        <f t="shared" si="0"/>
        <v>0</v>
      </c>
      <c r="E9" s="119"/>
      <c r="G9" s="107" t="s">
        <v>204</v>
      </c>
      <c r="H9" s="119">
        <v>4.0000000000000001E-3</v>
      </c>
      <c r="I9" s="119">
        <f>'（２）ＫＰＩ達成進度'!Q10</f>
        <v>5.4871638408937537E-3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>
        <v>22378</v>
      </c>
      <c r="C10" s="118">
        <v>22378</v>
      </c>
      <c r="D10" s="118">
        <f t="shared" si="0"/>
        <v>0</v>
      </c>
      <c r="E10" s="108"/>
      <c r="G10" s="107" t="s">
        <v>205</v>
      </c>
      <c r="H10" s="119">
        <v>0.8</v>
      </c>
      <c r="I10" s="119">
        <f>'（２）ＫＰＩ達成進度'!T5</f>
        <v>0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v>0.157</v>
      </c>
      <c r="C11" s="119">
        <v>0.157</v>
      </c>
      <c r="D11" s="119">
        <f t="shared" si="0"/>
        <v>0</v>
      </c>
      <c r="E11" s="119"/>
      <c r="G11" s="107" t="s">
        <v>206</v>
      </c>
      <c r="H11" s="119">
        <v>1</v>
      </c>
      <c r="I11" s="119">
        <f>'（２）ＫＰＩ達成進度'!W5</f>
        <v>0</v>
      </c>
      <c r="J11" s="119">
        <v>5.7692307692307702E-2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2" t="s">
        <v>23</v>
      </c>
      <c r="G13" s="111" t="s">
        <v>154</v>
      </c>
      <c r="K13" s="322" t="s">
        <v>458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18763.537789999998</v>
      </c>
      <c r="C15" s="119">
        <f>IFERROR(B15/$B$6,"")</f>
        <v>0.45486867733069486</v>
      </c>
      <c r="D15" s="119">
        <v>0.36139567422949059</v>
      </c>
      <c r="E15" s="119">
        <f>IFERROR(C15-D15,"")</f>
        <v>9.3473003101204266E-2</v>
      </c>
      <c r="G15" s="107" t="s">
        <v>401</v>
      </c>
      <c r="H15" s="118">
        <f>SUM('（４）訂單數量構成比'!M9:M39)</f>
        <v>992979</v>
      </c>
      <c r="I15" s="119">
        <f t="shared" ref="I15:I23" si="1">IFERROR(H15/$B$7,"")</f>
        <v>0.74841664700743837</v>
      </c>
      <c r="J15" s="119">
        <v>0.58577126139802016</v>
      </c>
      <c r="K15" s="119">
        <f>IFERROR(I15-J15,"")</f>
        <v>0.16264538560941821</v>
      </c>
      <c r="L15" s="99"/>
    </row>
    <row r="16" spans="1:12" ht="18" customHeight="1">
      <c r="A16" s="107" t="s">
        <v>226</v>
      </c>
      <c r="B16" s="118">
        <f>SUM('（３）業績構成比'!S9:S39)/1000</f>
        <v>3713.1687400000001</v>
      </c>
      <c r="C16" s="119">
        <f t="shared" ref="C16:C23" si="2">IFERROR(B16/$B$6,"")</f>
        <v>9.0015229130704519E-2</v>
      </c>
      <c r="D16" s="119">
        <v>6.9633574224369291E-2</v>
      </c>
      <c r="E16" s="119">
        <f t="shared" ref="E16:E23" si="3">IFERROR(C16-D16,"")</f>
        <v>2.0381654906335228E-2</v>
      </c>
      <c r="G16" s="107" t="s">
        <v>261</v>
      </c>
      <c r="H16" s="118">
        <f>SUM('（４）訂單數量構成比'!S9:S39)</f>
        <v>142661</v>
      </c>
      <c r="I16" s="119">
        <f t="shared" si="1"/>
        <v>0.10752479889174713</v>
      </c>
      <c r="J16" s="119">
        <v>8.1693945583923164E-2</v>
      </c>
      <c r="K16" s="119">
        <f t="shared" ref="K16:K23" si="4">IFERROR(I16-J16,"")</f>
        <v>2.5830853307823962E-2</v>
      </c>
      <c r="L16" s="99"/>
    </row>
    <row r="17" spans="1:17" ht="18" customHeight="1">
      <c r="A17" s="107" t="s">
        <v>222</v>
      </c>
      <c r="B17" s="118">
        <f>SUM('（３）業績構成比'!U9:U39)/1000</f>
        <v>1077.9845600000001</v>
      </c>
      <c r="C17" s="119">
        <f t="shared" si="2"/>
        <v>2.6132673724857895E-2</v>
      </c>
      <c r="D17" s="119">
        <v>2.2453221877666876E-2</v>
      </c>
      <c r="E17" s="119">
        <f t="shared" si="3"/>
        <v>3.679451847191019E-3</v>
      </c>
      <c r="G17" s="107" t="s">
        <v>238</v>
      </c>
      <c r="H17" s="118">
        <f>SUM('（４）訂單數量構成比'!U9:U39)</f>
        <v>37692</v>
      </c>
      <c r="I17" s="119">
        <f t="shared" si="1"/>
        <v>2.8408778291388204E-2</v>
      </c>
      <c r="J17" s="119">
        <v>2.4966128092325353E-2</v>
      </c>
      <c r="K17" s="119">
        <f t="shared" si="4"/>
        <v>3.4426501990628515E-3</v>
      </c>
      <c r="L17" s="99"/>
    </row>
    <row r="18" spans="1:17" ht="18" customHeight="1">
      <c r="A18" s="107" t="s">
        <v>224</v>
      </c>
      <c r="B18" s="118">
        <f>SUM('（３）業績構成比'!W9:W39)/1000</f>
        <v>346.94330000000002</v>
      </c>
      <c r="C18" s="119">
        <f t="shared" si="2"/>
        <v>8.4106548427052511E-3</v>
      </c>
      <c r="D18" s="119">
        <v>8.5850389930237133E-3</v>
      </c>
      <c r="E18" s="119">
        <f t="shared" si="3"/>
        <v>-1.7438415031846219E-4</v>
      </c>
      <c r="G18" s="107" t="s">
        <v>223</v>
      </c>
      <c r="H18" s="118">
        <f>SUM('（４）訂單數量構成比'!W9:W39)</f>
        <v>12826</v>
      </c>
      <c r="I18" s="119">
        <f t="shared" si="1"/>
        <v>9.6670643734836324E-3</v>
      </c>
      <c r="J18" s="119">
        <v>9.7963785106258503E-3</v>
      </c>
      <c r="K18" s="119">
        <f t="shared" si="4"/>
        <v>-1.2931413714221789E-4</v>
      </c>
      <c r="L18" s="99"/>
    </row>
    <row r="19" spans="1:17" ht="18" customHeight="1">
      <c r="A19" s="107" t="s">
        <v>228</v>
      </c>
      <c r="B19" s="118">
        <f>SUM('（３）業績構成比'!AC9:AC39)/1000</f>
        <v>8718.0557599999993</v>
      </c>
      <c r="C19" s="119">
        <f t="shared" si="2"/>
        <v>0.21134449893345222</v>
      </c>
      <c r="D19" s="119">
        <v>0.16215294044225204</v>
      </c>
      <c r="E19" s="119">
        <f t="shared" si="3"/>
        <v>4.9191558491200188E-2</v>
      </c>
      <c r="G19" s="107" t="s">
        <v>227</v>
      </c>
      <c r="H19" s="118">
        <f>SUM('（４）訂單數量構成比'!AC9:AC39)</f>
        <v>157522</v>
      </c>
      <c r="I19" s="119">
        <f t="shared" si="1"/>
        <v>0.11872565992826203</v>
      </c>
      <c r="J19" s="119">
        <v>8.9953008167213674E-2</v>
      </c>
      <c r="K19" s="119">
        <f t="shared" si="4"/>
        <v>2.877265176104836E-2</v>
      </c>
      <c r="L19" s="99"/>
    </row>
    <row r="20" spans="1:17" ht="18" customHeight="1">
      <c r="A20" s="107" t="s">
        <v>230</v>
      </c>
      <c r="B20" s="118">
        <f>SUM('（３）業績構成比'!AE9:AE39)/1000</f>
        <v>15225.377130000001</v>
      </c>
      <c r="C20" s="119">
        <f t="shared" si="2"/>
        <v>0.36909602200258163</v>
      </c>
      <c r="D20" s="119">
        <v>0.27057088032525339</v>
      </c>
      <c r="E20" s="119">
        <f t="shared" si="3"/>
        <v>9.8525141677328232E-2</v>
      </c>
      <c r="G20" s="107" t="s">
        <v>229</v>
      </c>
      <c r="H20" s="118">
        <f>SUM('（４）訂單數量構成比'!AE9:AE39)</f>
        <v>252125</v>
      </c>
      <c r="I20" s="119">
        <f t="shared" si="1"/>
        <v>0.19002873890258545</v>
      </c>
      <c r="J20" s="119">
        <v>0.13708177551916129</v>
      </c>
      <c r="K20" s="119">
        <f t="shared" si="4"/>
        <v>5.2946963383424167E-2</v>
      </c>
      <c r="L20" s="99"/>
    </row>
    <row r="21" spans="1:17" ht="18" customHeight="1">
      <c r="A21" s="107" t="s">
        <v>233</v>
      </c>
      <c r="B21" s="118">
        <f>SUM('（３）業績構成比'!AG9:AG39)/1000</f>
        <v>1002.4635000000001</v>
      </c>
      <c r="C21" s="119">
        <f t="shared" si="2"/>
        <v>2.4301880136928009E-2</v>
      </c>
      <c r="D21" s="119">
        <v>2.9234371078829206E-2</v>
      </c>
      <c r="E21" s="119">
        <f t="shared" ref="E21" si="5">IFERROR(C21-D21,"")</f>
        <v>-4.9324909419011971E-3</v>
      </c>
      <c r="G21" s="107" t="s">
        <v>239</v>
      </c>
      <c r="H21" s="118">
        <f>SUM('（４）訂單數量構成比'!AG9:AG39)</f>
        <v>17495</v>
      </c>
      <c r="I21" s="119">
        <f t="shared" ref="I21" si="6">IFERROR(H21/$B$7,"")</f>
        <v>1.3186129051465474E-2</v>
      </c>
      <c r="J21" s="119">
        <v>1.5652480623129864E-2</v>
      </c>
      <c r="K21" s="119">
        <f t="shared" ref="K21" si="7">IFERROR(I21-J21,"")</f>
        <v>-2.4663515716643897E-3</v>
      </c>
      <c r="L21" s="99"/>
    </row>
    <row r="22" spans="1:17" ht="18" customHeight="1">
      <c r="A22" s="107" t="s">
        <v>234</v>
      </c>
      <c r="B22" s="118">
        <f>SUM('（３）業績構成比'!AI9:AI39)/1000</f>
        <v>2484.7272300000004</v>
      </c>
      <c r="C22" s="119">
        <f t="shared" si="2"/>
        <v>6.0235154014506423E-2</v>
      </c>
      <c r="D22" s="119">
        <v>4.0564165966170615E-2</v>
      </c>
      <c r="E22" s="119">
        <f t="shared" si="3"/>
        <v>1.9670988048335808E-2</v>
      </c>
      <c r="G22" s="107" t="s">
        <v>240</v>
      </c>
      <c r="H22" s="118">
        <f>SUM('（４）訂單數量構成比'!AI9:AI39)</f>
        <v>44725</v>
      </c>
      <c r="I22" s="119">
        <f t="shared" si="1"/>
        <v>3.3709609707161664E-2</v>
      </c>
      <c r="J22" s="119">
        <v>2.2004734622699137E-2</v>
      </c>
      <c r="K22" s="119">
        <f t="shared" si="4"/>
        <v>1.1704875084462527E-2</v>
      </c>
      <c r="L22" s="99"/>
    </row>
    <row r="23" spans="1:17" ht="18" customHeight="1">
      <c r="A23" s="107" t="s">
        <v>236</v>
      </c>
      <c r="B23" s="118">
        <f>SUM('（３）業績構成比'!AK9:AK39)/1000</f>
        <v>2034.6142099999997</v>
      </c>
      <c r="C23" s="119">
        <f t="shared" si="2"/>
        <v>4.9323442356066297E-2</v>
      </c>
      <c r="D23" s="119">
        <v>3.5410132862943831E-2</v>
      </c>
      <c r="E23" s="119">
        <f t="shared" si="3"/>
        <v>1.3913309493122465E-2</v>
      </c>
      <c r="G23" s="107" t="s">
        <v>235</v>
      </c>
      <c r="H23" s="118">
        <f>SUM('（４）訂單數量構成比'!AK9:AK39)</f>
        <v>61028</v>
      </c>
      <c r="I23" s="119">
        <f t="shared" si="1"/>
        <v>4.5997318305392103E-2</v>
      </c>
      <c r="J23" s="119">
        <v>3.3080287482901531E-2</v>
      </c>
      <c r="K23" s="119">
        <f t="shared" si="4"/>
        <v>1.2917030822490572E-2</v>
      </c>
      <c r="L23" s="99"/>
    </row>
    <row r="24" spans="1:17" ht="15.75" customHeight="1">
      <c r="C24" s="113">
        <f>SUM(C15:C23)</f>
        <v>1.293728232472497</v>
      </c>
      <c r="D24" s="113">
        <f t="shared" ref="D24" si="8">SUM(D15:D23)</f>
        <v>0.99999999999999944</v>
      </c>
      <c r="I24" s="113">
        <f t="shared" ref="I24:J24" si="9">SUM(I15:I23)</f>
        <v>1.295664744458924</v>
      </c>
      <c r="J24" s="113">
        <f t="shared" si="9"/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774.43680274813096</v>
      </c>
      <c r="C28" s="212">
        <v>768.96508698264131</v>
      </c>
      <c r="D28" s="224">
        <f t="shared" ref="D28:D36" si="10">B28-C28</f>
        <v>5.4717157654896482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308.28365798359187</v>
      </c>
      <c r="C29" s="212">
        <v>280.52357557404559</v>
      </c>
      <c r="D29" s="224">
        <f t="shared" si="10"/>
        <v>27.760082409546271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258.45295510317538</v>
      </c>
      <c r="C30" s="212">
        <v>258.56166578115295</v>
      </c>
      <c r="D30" s="224">
        <f t="shared" si="10"/>
        <v>-0.1087106779775695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493.01674458151126</v>
      </c>
      <c r="C31" s="212">
        <v>486.07170829520021</v>
      </c>
      <c r="D31" s="224">
        <f t="shared" si="10"/>
        <v>6.9450362863110513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81.884984557586122</v>
      </c>
      <c r="C32" s="212">
        <v>68.891235373311801</v>
      </c>
      <c r="D32" s="224">
        <f t="shared" si="10"/>
        <v>12.993749184274321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77.805879687323809</v>
      </c>
      <c r="C33" s="212">
        <v>78.306366965294018</v>
      </c>
      <c r="D33" s="224">
        <f t="shared" si="10"/>
        <v>-0.50048727797020831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72.928814257914809</v>
      </c>
      <c r="C34" s="212">
        <v>76.250132772766719</v>
      </c>
      <c r="D34" s="224">
        <f t="shared" si="10"/>
        <v>-3.3213185148519102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106.79855426542795</v>
      </c>
      <c r="C35" s="212">
        <v>110.80830487807768</v>
      </c>
      <c r="D35" s="224">
        <f t="shared" si="10"/>
        <v>-4.0097506126497251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76.295229740251486</v>
      </c>
      <c r="C36" s="212">
        <v>76.123665150077642</v>
      </c>
      <c r="D36" s="224">
        <f t="shared" si="10"/>
        <v>0.17156459017384407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E22" sqref="E22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59" t="s">
        <v>380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99"/>
    </row>
    <row r="2" spans="1:16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</row>
    <row r="3" spans="1:16" ht="21.6" customHeight="1">
      <c r="A3" s="115" t="s">
        <v>332</v>
      </c>
      <c r="B3" s="116">
        <v>2</v>
      </c>
      <c r="C3" s="159" t="s">
        <v>333</v>
      </c>
      <c r="D3" s="116" t="s">
        <v>694</v>
      </c>
      <c r="E3" s="115" t="s">
        <v>20</v>
      </c>
      <c r="F3" s="462" t="s">
        <v>379</v>
      </c>
      <c r="G3" s="463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'（１）收支狀況'!G12/1000</f>
        <v>31225.639429999999</v>
      </c>
      <c r="C6" s="118">
        <v>31759.62</v>
      </c>
      <c r="D6" s="118">
        <f>B6-C6</f>
        <v>-533.98056999999972</v>
      </c>
      <c r="E6" s="218">
        <f>'（１）收支狀況'!H10:H10/1000</f>
        <v>41250.450349999999</v>
      </c>
      <c r="G6" s="219" t="s">
        <v>425</v>
      </c>
      <c r="H6" s="220"/>
      <c r="I6" s="220">
        <f>'（２）ＫＰＩ達成進度'!G12</f>
        <v>471.89204005609696</v>
      </c>
      <c r="J6" s="220">
        <v>471.15538123467678</v>
      </c>
      <c r="K6" s="220">
        <f>'（２）ＫＰＩ達成進度'!H10</f>
        <v>470.87245555628203</v>
      </c>
      <c r="L6" s="101" t="s">
        <v>197</v>
      </c>
    </row>
    <row r="7" spans="1:16" ht="18" customHeight="1">
      <c r="A7" s="107" t="s">
        <v>25</v>
      </c>
      <c r="B7" s="118">
        <f>'（１）收支狀況'!J12</f>
        <v>1008252</v>
      </c>
      <c r="C7" s="118">
        <v>1022206</v>
      </c>
      <c r="D7" s="118">
        <f t="shared" ref="D7:D11" si="0">B7-C7</f>
        <v>-13954</v>
      </c>
      <c r="E7" s="218">
        <f>'（１）收支狀況'!K10:K10</f>
        <v>1326773</v>
      </c>
      <c r="G7" s="219" t="s">
        <v>426</v>
      </c>
      <c r="H7" s="221">
        <v>0.8</v>
      </c>
      <c r="I7" s="119">
        <f>'（２）ＫＰＩ達成進度'!J12</f>
        <v>0.94833609336032343</v>
      </c>
      <c r="J7" s="119">
        <v>0.94685566968383605</v>
      </c>
      <c r="K7" s="221">
        <f>'（２）ＫＰＩ達成進度'!K10</f>
        <v>0.94628708914043835</v>
      </c>
      <c r="L7" s="101" t="s">
        <v>4</v>
      </c>
    </row>
    <row r="8" spans="1:16" ht="18" customHeight="1">
      <c r="A8" s="107" t="s">
        <v>424</v>
      </c>
      <c r="B8" s="118">
        <f>'（１）收支狀況'!M12/1000</f>
        <v>20602.212202813611</v>
      </c>
      <c r="C8" s="118">
        <v>20915.969659716498</v>
      </c>
      <c r="D8" s="118">
        <f>B8-C8</f>
        <v>-313.7574569028875</v>
      </c>
      <c r="E8" s="218">
        <f>'（１）收支狀況'!N10:N10/1000</f>
        <v>27233.057898228864</v>
      </c>
      <c r="G8" s="219" t="s">
        <v>203</v>
      </c>
      <c r="H8" s="119">
        <v>2.5000000000000001E-3</v>
      </c>
      <c r="I8" s="222">
        <f>'（２）ＫＰＩ達成進度'!M12</f>
        <v>2.4053837536566684E-3</v>
      </c>
      <c r="J8" s="222">
        <v>2.4091777533940492E-3</v>
      </c>
      <c r="K8" s="222">
        <f>'（２）ＫＰＩ達成進度'!N10</f>
        <v>2.4070642387019089E-3</v>
      </c>
      <c r="L8" s="101" t="s">
        <v>55</v>
      </c>
    </row>
    <row r="9" spans="1:16" ht="18" customHeight="1">
      <c r="A9" s="107" t="s">
        <v>6</v>
      </c>
      <c r="B9" s="221">
        <f>'（１）收支狀況'!P12</f>
        <v>0.65978511821987085</v>
      </c>
      <c r="C9" s="221">
        <v>0.65857115606913741</v>
      </c>
      <c r="D9" s="221">
        <f t="shared" si="0"/>
        <v>1.2139621507334386E-3</v>
      </c>
      <c r="E9" s="221">
        <f>'（１）收支狀況'!Q10</f>
        <v>0.66018813533338461</v>
      </c>
      <c r="G9" s="219" t="s">
        <v>204</v>
      </c>
      <c r="H9" s="119">
        <v>4.0000000000000001E-3</v>
      </c>
      <c r="I9" s="119">
        <f>'（２）ＫＰＩ達成進度'!P12</f>
        <v>5.4866418332026557E-3</v>
      </c>
      <c r="J9" s="119">
        <v>5.484379255953931E-3</v>
      </c>
      <c r="K9" s="119">
        <f>'（２）ＫＰＩ達成進度'!Q10</f>
        <v>5.4871638408937537E-3</v>
      </c>
      <c r="L9" s="101" t="s">
        <v>98</v>
      </c>
    </row>
    <row r="10" spans="1:16" ht="18" customHeight="1">
      <c r="A10" s="107" t="s">
        <v>64</v>
      </c>
      <c r="B10" s="118">
        <f>'（１）收支狀況'!S12/1000</f>
        <v>5456.6247460000004</v>
      </c>
      <c r="C10" s="118">
        <v>5357.7818399999996</v>
      </c>
      <c r="D10" s="118">
        <f t="shared" si="0"/>
        <v>98.842906000000767</v>
      </c>
      <c r="E10" s="218">
        <f>'（１）收支狀況'!T10/1000</f>
        <v>9280.6823999999997</v>
      </c>
      <c r="G10" s="219" t="s">
        <v>427</v>
      </c>
      <c r="H10" s="221">
        <v>0.8</v>
      </c>
      <c r="I10" s="221">
        <f>'（２）ＫＰＩ達成進度'!S12</f>
        <v>0.90000000000000013</v>
      </c>
      <c r="J10" s="221">
        <v>0.90000000000000013</v>
      </c>
      <c r="K10" s="221">
        <f>'（２）ＫＰＩ達成進度'!T10</f>
        <v>0.90000000000000013</v>
      </c>
      <c r="L10" s="101" t="s">
        <v>7</v>
      </c>
      <c r="M10" s="323"/>
      <c r="N10" s="323"/>
      <c r="O10" s="323"/>
      <c r="P10" s="323"/>
    </row>
    <row r="11" spans="1:16" ht="18" customHeight="1">
      <c r="A11" s="107" t="s">
        <v>65</v>
      </c>
      <c r="B11" s="221">
        <f>'（１）收支狀況'!V12</f>
        <v>0.17474821478779884</v>
      </c>
      <c r="C11" s="221">
        <v>0.16869792018922139</v>
      </c>
      <c r="D11" s="221">
        <f t="shared" si="0"/>
        <v>6.0502945985774492E-3</v>
      </c>
      <c r="E11" s="221">
        <f>'（１）收支狀況'!W10</f>
        <v>0.22498378372249697</v>
      </c>
      <c r="G11" s="219" t="s">
        <v>428</v>
      </c>
      <c r="H11" s="221">
        <v>1</v>
      </c>
      <c r="I11" s="320">
        <f>6/52*100%</f>
        <v>0.11538461538461539</v>
      </c>
      <c r="J11" s="320">
        <v>9.6153846153846159E-2</v>
      </c>
      <c r="K11" s="320">
        <f>'（２）ＫＰＩ達成進度'!W10</f>
        <v>0.11111111111111113</v>
      </c>
      <c r="L11" s="101" t="s">
        <v>62</v>
      </c>
      <c r="M11" s="324"/>
      <c r="N11" s="324"/>
      <c r="O11" s="324"/>
      <c r="P11" s="324"/>
    </row>
    <row r="12" spans="1:16" ht="9.6" customHeight="1">
      <c r="L12" s="99"/>
    </row>
    <row r="13" spans="1:16" ht="15.75" customHeight="1">
      <c r="A13" s="111" t="s">
        <v>32</v>
      </c>
      <c r="E13" s="322" t="s">
        <v>23</v>
      </c>
      <c r="G13" s="111" t="s">
        <v>33</v>
      </c>
      <c r="K13" s="322" t="s">
        <v>458</v>
      </c>
      <c r="L13" s="99"/>
    </row>
    <row r="14" spans="1:16" s="106" customFormat="1" ht="14.2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SUM('（３）業績構成比'!M14:M20)/1000</f>
        <v>11011.93233</v>
      </c>
      <c r="C15" s="221">
        <f>IFERROR(B15/$B$6,"")</f>
        <v>0.35265674397752439</v>
      </c>
      <c r="D15" s="221">
        <v>0.35296529901806134</v>
      </c>
      <c r="E15" s="221">
        <f>IFERROR(C15-D15,"")</f>
        <v>-3.0855504053695082E-4</v>
      </c>
      <c r="G15" s="107" t="s">
        <v>401</v>
      </c>
      <c r="H15" s="118">
        <f>SUM('（４）訂單數量構成比'!M14:M20)</f>
        <v>583255</v>
      </c>
      <c r="I15" s="221">
        <f>IFERROR(H15/$B$7,"")</f>
        <v>0.57848137172056191</v>
      </c>
      <c r="J15" s="221">
        <v>0.57889896948364616</v>
      </c>
      <c r="K15" s="221">
        <f t="shared" ref="K15:K23" si="1">IFERROR(I15-J15,"")</f>
        <v>-4.1759776308425423E-4</v>
      </c>
      <c r="L15" s="99"/>
    </row>
    <row r="16" spans="1:16" ht="18" customHeight="1">
      <c r="A16" s="107" t="s">
        <v>226</v>
      </c>
      <c r="B16" s="118">
        <f>SUM('（３）業績構成比'!S14:S20)/1000</f>
        <v>2222.3388599999998</v>
      </c>
      <c r="C16" s="221">
        <f t="shared" ref="C16:C23" si="2">IFERROR(B16/$B$6,"")</f>
        <v>7.117032350872822E-2</v>
      </c>
      <c r="D16" s="221">
        <v>6.7718274337035533E-2</v>
      </c>
      <c r="E16" s="221">
        <f t="shared" ref="E16:E23" si="3">IFERROR(C16-D16,"")</f>
        <v>3.4520491716926865E-3</v>
      </c>
      <c r="G16" s="107" t="s">
        <v>261</v>
      </c>
      <c r="H16" s="118">
        <f>SUM('（４）訂單數量構成比'!S14:S20)</f>
        <v>85625</v>
      </c>
      <c r="I16" s="221">
        <f>IFERROR(H16/$B$7,"")</f>
        <v>8.4924205456572366E-2</v>
      </c>
      <c r="J16" s="221">
        <v>8.061682283218842E-2</v>
      </c>
      <c r="K16" s="221">
        <f t="shared" si="1"/>
        <v>4.3073826243839458E-3</v>
      </c>
      <c r="L16" s="99"/>
    </row>
    <row r="17" spans="1:17" ht="18" customHeight="1">
      <c r="A17" s="107" t="s">
        <v>222</v>
      </c>
      <c r="B17" s="118">
        <f>SUM('（３）業績構成比'!U14:U20)/1000</f>
        <v>603.18865000000005</v>
      </c>
      <c r="C17" s="221">
        <f t="shared" si="2"/>
        <v>1.9317095214405351E-2</v>
      </c>
      <c r="D17" s="221">
        <v>2.1460824468302834E-2</v>
      </c>
      <c r="E17" s="221">
        <f t="shared" si="3"/>
        <v>-2.1437292538974834E-3</v>
      </c>
      <c r="G17" s="107" t="s">
        <v>238</v>
      </c>
      <c r="H17" s="118">
        <f>SUM('（４）訂單數量構成比'!U14:U20)</f>
        <v>20782</v>
      </c>
      <c r="I17" s="221">
        <f t="shared" ref="I17:I23" si="4">IFERROR(H17/$B$7,"")</f>
        <v>2.0611910514434884E-2</v>
      </c>
      <c r="J17" s="221">
        <v>2.3775051212769245E-2</v>
      </c>
      <c r="K17" s="221">
        <f t="shared" si="1"/>
        <v>-3.1631406983343609E-3</v>
      </c>
      <c r="L17" s="99"/>
    </row>
    <row r="18" spans="1:17" ht="18" customHeight="1">
      <c r="A18" s="107" t="s">
        <v>224</v>
      </c>
      <c r="B18" s="118">
        <f>SUM('（３）業績構成比'!W14:W20)/1000</f>
        <v>193.05585000000002</v>
      </c>
      <c r="C18" s="221">
        <f t="shared" si="2"/>
        <v>6.1826067784066518E-3</v>
      </c>
      <c r="D18" s="221">
        <v>6.9610294455664141E-3</v>
      </c>
      <c r="E18" s="221">
        <f t="shared" si="3"/>
        <v>-7.784226671597623E-4</v>
      </c>
      <c r="G18" s="107" t="s">
        <v>223</v>
      </c>
      <c r="H18" s="118">
        <f>SUM('（４）訂單數量構成比'!W14:W20)</f>
        <v>7137</v>
      </c>
      <c r="I18" s="221">
        <f t="shared" si="4"/>
        <v>7.0785874959831468E-3</v>
      </c>
      <c r="J18" s="221">
        <v>7.9954529713188935E-3</v>
      </c>
      <c r="K18" s="221">
        <f t="shared" si="1"/>
        <v>-9.1686547533574667E-4</v>
      </c>
      <c r="L18" s="99"/>
    </row>
    <row r="19" spans="1:17" ht="18" customHeight="1">
      <c r="A19" s="107" t="s">
        <v>228</v>
      </c>
      <c r="B19" s="118">
        <f>SUM('（３）業績構成比'!AC14:AC20)/1000</f>
        <v>5132.0835199999992</v>
      </c>
      <c r="C19" s="221">
        <f t="shared" si="2"/>
        <v>0.16435479348644996</v>
      </c>
      <c r="D19" s="221">
        <v>0.16002216556747217</v>
      </c>
      <c r="E19" s="221">
        <f t="shared" si="3"/>
        <v>4.3326279189777883E-3</v>
      </c>
      <c r="G19" s="107" t="s">
        <v>227</v>
      </c>
      <c r="H19" s="118">
        <f>SUM('（４）訂單數量構成比'!AC14:AC20)</f>
        <v>92767</v>
      </c>
      <c r="I19" s="221">
        <f t="shared" si="4"/>
        <v>9.2007752030246401E-2</v>
      </c>
      <c r="J19" s="221">
        <v>8.9784250923982054E-2</v>
      </c>
      <c r="K19" s="221">
        <f t="shared" si="1"/>
        <v>2.2235011062643473E-3</v>
      </c>
      <c r="L19" s="99"/>
    </row>
    <row r="20" spans="1:17" ht="18" customHeight="1">
      <c r="A20" s="107" t="s">
        <v>230</v>
      </c>
      <c r="B20" s="118">
        <f>SUM('（３）業績構成比'!AE14:AE20)/1000</f>
        <v>8911.4947199999988</v>
      </c>
      <c r="C20" s="221">
        <f t="shared" si="2"/>
        <v>0.28539030369505547</v>
      </c>
      <c r="D20" s="221">
        <v>0.28416834332400703</v>
      </c>
      <c r="E20" s="221">
        <f t="shared" si="3"/>
        <v>1.2219603710484361E-3</v>
      </c>
      <c r="G20" s="107" t="s">
        <v>229</v>
      </c>
      <c r="H20" s="118">
        <f>SUM('（４）訂單數量構成比'!AE14:AE20)</f>
        <v>147599</v>
      </c>
      <c r="I20" s="221">
        <f t="shared" si="4"/>
        <v>0.14639098161967445</v>
      </c>
      <c r="J20" s="221">
        <v>0.14615644987409582</v>
      </c>
      <c r="K20" s="221">
        <f t="shared" si="1"/>
        <v>2.3453174557863665E-4</v>
      </c>
      <c r="L20" s="99"/>
    </row>
    <row r="21" spans="1:17" ht="18" customHeight="1">
      <c r="A21" s="107" t="s">
        <v>233</v>
      </c>
      <c r="B21" s="118">
        <f>SUM('（３）業績構成比'!AG14:AG20)/1000</f>
        <v>567.44190000000003</v>
      </c>
      <c r="C21" s="221">
        <f t="shared" si="2"/>
        <v>1.8172306808065902E-2</v>
      </c>
      <c r="D21" s="221">
        <v>1.9355218985617588E-2</v>
      </c>
      <c r="E21" s="221">
        <f t="shared" si="3"/>
        <v>-1.1829121775516864E-3</v>
      </c>
      <c r="G21" s="107" t="s">
        <v>239</v>
      </c>
      <c r="H21" s="118">
        <f>SUM('（４）訂單數量構成比'!AG14:AG20)</f>
        <v>9903</v>
      </c>
      <c r="I21" s="221">
        <f t="shared" si="4"/>
        <v>9.821949274586116E-3</v>
      </c>
      <c r="J21" s="221">
        <v>1.0494949158975784E-2</v>
      </c>
      <c r="K21" s="221">
        <f t="shared" si="1"/>
        <v>-6.7299988438966792E-4</v>
      </c>
      <c r="L21" s="99"/>
    </row>
    <row r="22" spans="1:17" ht="18" customHeight="1">
      <c r="A22" s="107" t="s">
        <v>234</v>
      </c>
      <c r="B22" s="118">
        <f>SUM('（３）業績構成比'!AI14:AI20)/1000</f>
        <v>1345.8874099999998</v>
      </c>
      <c r="C22" s="221">
        <f t="shared" si="2"/>
        <v>4.3101996774706233E-2</v>
      </c>
      <c r="D22" s="221">
        <v>5.154371935180585E-2</v>
      </c>
      <c r="E22" s="221">
        <f t="shared" si="3"/>
        <v>-8.4417225770996168E-3</v>
      </c>
      <c r="G22" s="107" t="s">
        <v>240</v>
      </c>
      <c r="H22" s="118">
        <f>SUM('（４）訂單數量構成比'!AI14:AI20)</f>
        <v>24629</v>
      </c>
      <c r="I22" s="221">
        <f t="shared" si="4"/>
        <v>2.4427424889809295E-2</v>
      </c>
      <c r="J22" s="221">
        <v>2.8274144350551651E-2</v>
      </c>
      <c r="K22" s="221">
        <f t="shared" si="1"/>
        <v>-3.8467194607423559E-3</v>
      </c>
      <c r="L22" s="99"/>
    </row>
    <row r="23" spans="1:17" ht="18" customHeight="1">
      <c r="A23" s="107" t="s">
        <v>236</v>
      </c>
      <c r="B23" s="118">
        <f>SUM('（３）業績構成比'!AK14:AK20)/1000</f>
        <v>1238.2161899999999</v>
      </c>
      <c r="C23" s="221">
        <f t="shared" si="2"/>
        <v>3.9653829756657759E-2</v>
      </c>
      <c r="D23" s="221">
        <v>3.580512550213133E-2</v>
      </c>
      <c r="E23" s="221">
        <f t="shared" si="3"/>
        <v>3.8487042545264291E-3</v>
      </c>
      <c r="G23" s="107" t="s">
        <v>235</v>
      </c>
      <c r="H23" s="118">
        <f>SUM('（４）訂單數量構成比'!AK14:AK20)</f>
        <v>36555</v>
      </c>
      <c r="I23" s="221">
        <f t="shared" si="4"/>
        <v>3.6255816998131421E-2</v>
      </c>
      <c r="J23" s="221">
        <v>3.4003909192471968E-2</v>
      </c>
      <c r="K23" s="221">
        <f t="shared" si="1"/>
        <v>2.2519078056594533E-3</v>
      </c>
      <c r="L23" s="99"/>
    </row>
    <row r="24" spans="1:17" ht="15.75" customHeight="1">
      <c r="B24" s="102"/>
      <c r="C24" s="113">
        <f>SUM(C15:C23)</f>
        <v>1</v>
      </c>
      <c r="D24" s="113">
        <f>SUM(D15:D23)</f>
        <v>1</v>
      </c>
      <c r="I24" s="113">
        <f>SUM(I15:I23)</f>
        <v>1</v>
      </c>
      <c r="J24" s="113">
        <f>SUM(J15:J23)</f>
        <v>0.99999999999999989</v>
      </c>
      <c r="L24" s="99"/>
    </row>
    <row r="25" spans="1:17" ht="9.6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'（５-1）品群別人時生產性(18℃-飯糰)'!L45</f>
        <v>774.43680274813096</v>
      </c>
      <c r="C28" s="212">
        <v>771.63648971883072</v>
      </c>
      <c r="D28" s="223">
        <f>B28-C28</f>
        <v>2.8003130293002414</v>
      </c>
      <c r="E28" s="224">
        <f>'（５-1）品群別人時生產性(18℃-飯糰)'!C1</f>
        <v>774.43680274813096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'（５-2）品群別人時生產性(18℃-壽司手卷)'!L27</f>
        <v>308.28365798359187</v>
      </c>
      <c r="C29" s="212">
        <v>307.88508023534337</v>
      </c>
      <c r="D29" s="223">
        <f>B29-C29</f>
        <v>0.39857774824849912</v>
      </c>
      <c r="E29" s="224">
        <f>'（５-2）品群別人時生產性(18℃-壽司手卷)'!C1</f>
        <v>308.28365798359187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'（５-3）品群別人時生產性(4℃-飯糰)'!L27</f>
        <v>258.45295510317538</v>
      </c>
      <c r="C30" s="212">
        <v>261.26620632289115</v>
      </c>
      <c r="D30" s="223">
        <f t="shared" ref="D30:D36" si="5">B30-C30</f>
        <v>-2.8132512197157666</v>
      </c>
      <c r="E30" s="224">
        <f>'（５-3）品群別人時生產性(4℃-飯糰)'!C1</f>
        <v>258.45295510317538</v>
      </c>
      <c r="L30" s="99"/>
    </row>
    <row r="31" spans="1:17" ht="18" customHeight="1">
      <c r="A31" s="107" t="s">
        <v>223</v>
      </c>
      <c r="B31" s="212">
        <f>'（５-4）品群別人時生產性(4℃-壽司手卷)'!L27</f>
        <v>493.01674458151126</v>
      </c>
      <c r="C31" s="212">
        <v>492.02068859822157</v>
      </c>
      <c r="D31" s="223">
        <f>B31-C31</f>
        <v>0.99605598328969336</v>
      </c>
      <c r="E31" s="224">
        <f>'（５-4）品群別人時生產性(4℃-壽司手卷)'!C1</f>
        <v>493.01674458151126</v>
      </c>
      <c r="L31" s="99"/>
    </row>
    <row r="32" spans="1:17" ht="18" customHeight="1">
      <c r="A32" s="107" t="s">
        <v>228</v>
      </c>
      <c r="B32" s="212">
        <f>'（５-5）品群別人時生產性(微波主食) '!L27</f>
        <v>81.884984557586122</v>
      </c>
      <c r="C32" s="212">
        <v>81.823352265283972</v>
      </c>
      <c r="D32" s="223">
        <f t="shared" si="5"/>
        <v>6.1632292302149949E-2</v>
      </c>
      <c r="E32" s="224">
        <f>'（５-5）品群別人時生產性(微波主食) '!C1</f>
        <v>81.884984557586122</v>
      </c>
      <c r="L32" s="99"/>
    </row>
    <row r="33" spans="1:12" ht="18" customHeight="1">
      <c r="A33" s="107" t="s">
        <v>229</v>
      </c>
      <c r="B33" s="212">
        <f>'（５-6）品群別人時生產性(便當)'!L27</f>
        <v>77.805879687323809</v>
      </c>
      <c r="C33" s="212">
        <v>77.741299801244622</v>
      </c>
      <c r="D33" s="223">
        <f t="shared" si="5"/>
        <v>6.4579886079187077E-2</v>
      </c>
      <c r="E33" s="224">
        <f>'（５-6）品群別人時生產性(便當)'!C1</f>
        <v>77.805879687323809</v>
      </c>
      <c r="L33" s="99"/>
    </row>
    <row r="34" spans="1:12" ht="18" customHeight="1">
      <c r="A34" s="107" t="s">
        <v>239</v>
      </c>
      <c r="B34" s="212">
        <f>'（５-7）品群別人時生產性(熱食義麵) '!L27</f>
        <v>72.928814257914809</v>
      </c>
      <c r="C34" s="212">
        <v>72.911660861008784</v>
      </c>
      <c r="D34" s="223">
        <f t="shared" si="5"/>
        <v>1.7153396906024909E-2</v>
      </c>
      <c r="E34" s="224">
        <f>'（５-7）品群別人時生產性(熱食義麵) '!C1</f>
        <v>72.928814257914809</v>
      </c>
      <c r="L34" s="99"/>
    </row>
    <row r="35" spans="1:12" ht="18" customHeight="1">
      <c r="A35" s="107" t="s">
        <v>240</v>
      </c>
      <c r="B35" s="212">
        <f>'（５-8）品群別人時生產性(季節調理麵) '!L27</f>
        <v>106.79855426542795</v>
      </c>
      <c r="C35" s="212">
        <v>106.72236935052067</v>
      </c>
      <c r="D35" s="223">
        <f t="shared" si="5"/>
        <v>7.6184914907287293E-2</v>
      </c>
      <c r="E35" s="224">
        <f>'（５-8）品群別人時生產性(季節調理麵) '!C1</f>
        <v>106.79855426542795</v>
      </c>
      <c r="L35" s="99"/>
    </row>
    <row r="36" spans="1:12" ht="18" customHeight="1">
      <c r="A36" s="103" t="s">
        <v>235</v>
      </c>
      <c r="B36" s="212">
        <f>'（５-9）品群別人時生產性(微波小吃)'!L27</f>
        <v>76.295229740251486</v>
      </c>
      <c r="C36" s="212">
        <v>76.251802848127099</v>
      </c>
      <c r="D36" s="223">
        <f t="shared" si="5"/>
        <v>4.3426892124386995E-2</v>
      </c>
      <c r="E36" s="225">
        <f>'（５-9）品群別人時生產性(微波小吃)'!C1</f>
        <v>76.295229740251486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68"/>
  <sheetViews>
    <sheetView zoomScale="80" zoomScaleNormal="80" workbookViewId="0">
      <selection activeCell="R12" sqref="R12:R18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0" t="s">
        <v>126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</row>
    <row r="3" spans="2:23" s="77" customFormat="1" ht="23.45" customHeight="1">
      <c r="B3" s="474" t="s">
        <v>122</v>
      </c>
      <c r="C3" s="475" t="s">
        <v>119</v>
      </c>
      <c r="D3" s="476" t="s">
        <v>105</v>
      </c>
      <c r="E3" s="476"/>
      <c r="F3" s="473" t="s">
        <v>123</v>
      </c>
      <c r="G3" s="473"/>
      <c r="H3" s="473"/>
      <c r="I3" s="471" t="s">
        <v>124</v>
      </c>
      <c r="J3" s="471"/>
      <c r="K3" s="471"/>
      <c r="L3" s="472" t="s">
        <v>125</v>
      </c>
      <c r="M3" s="472"/>
      <c r="N3" s="472"/>
      <c r="O3" s="469" t="s">
        <v>127</v>
      </c>
      <c r="P3" s="469"/>
      <c r="Q3" s="469"/>
      <c r="R3" s="477" t="s">
        <v>128</v>
      </c>
      <c r="S3" s="477"/>
      <c r="T3" s="477"/>
      <c r="U3" s="469" t="s">
        <v>129</v>
      </c>
      <c r="V3" s="469"/>
      <c r="W3" s="469"/>
    </row>
    <row r="4" spans="2:23" s="77" customFormat="1" ht="23.45" customHeight="1">
      <c r="B4" s="474"/>
      <c r="C4" s="475"/>
      <c r="D4" s="476"/>
      <c r="E4" s="476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78">
        <v>46057</v>
      </c>
      <c r="C5" s="481"/>
      <c r="D5" s="80">
        <v>46049</v>
      </c>
      <c r="E5" s="80" t="s">
        <v>118</v>
      </c>
      <c r="F5" s="166">
        <v>4884312.03</v>
      </c>
      <c r="G5" s="465">
        <f>SUM(F5:F11)</f>
        <v>31759620</v>
      </c>
      <c r="H5" s="449"/>
      <c r="I5" s="216">
        <v>158031</v>
      </c>
      <c r="J5" s="480">
        <f t="shared" ref="J5" si="0">SUM(I5:I11)</f>
        <v>1022206</v>
      </c>
      <c r="K5" s="449"/>
      <c r="L5" s="166">
        <v>3270172.7884156709</v>
      </c>
      <c r="M5" s="465">
        <f t="shared" ref="M5" si="1">SUM(L5:L11)</f>
        <v>20915969.659716498</v>
      </c>
      <c r="N5" s="465"/>
      <c r="O5" s="156">
        <f t="shared" ref="O5:O11" si="2">L5/F5</f>
        <v>0.66952577319587636</v>
      </c>
      <c r="P5" s="467">
        <f t="shared" ref="P5" si="3">M5/G5</f>
        <v>0.65857115606913741</v>
      </c>
      <c r="Q5" s="465"/>
      <c r="R5" s="167">
        <v>768617.63600000006</v>
      </c>
      <c r="S5" s="468">
        <f t="shared" ref="S5" si="4">SUM(R5:R11)</f>
        <v>5357781.84</v>
      </c>
      <c r="T5" s="465"/>
      <c r="U5" s="156">
        <f t="shared" ref="U5:U11" si="5">R5/F5</f>
        <v>0.15736456460583662</v>
      </c>
      <c r="V5" s="467">
        <f>S5/G5</f>
        <v>0.16869792018922139</v>
      </c>
      <c r="W5" s="465"/>
    </row>
    <row r="6" spans="2:23">
      <c r="B6" s="479"/>
      <c r="C6" s="481"/>
      <c r="D6" s="80">
        <f t="shared" ref="D6:D67" si="6">D5+1</f>
        <v>46050</v>
      </c>
      <c r="E6" s="80" t="s">
        <v>112</v>
      </c>
      <c r="F6" s="166">
        <v>4734075.18</v>
      </c>
      <c r="G6" s="465"/>
      <c r="H6" s="449"/>
      <c r="I6" s="216">
        <v>153374</v>
      </c>
      <c r="J6" s="480"/>
      <c r="K6" s="449"/>
      <c r="L6" s="166">
        <v>3056357.98012701</v>
      </c>
      <c r="M6" s="465"/>
      <c r="N6" s="465"/>
      <c r="O6" s="156">
        <f t="shared" si="2"/>
        <v>0.64560824742268041</v>
      </c>
      <c r="P6" s="467"/>
      <c r="Q6" s="465"/>
      <c r="R6" s="167">
        <v>765106.55</v>
      </c>
      <c r="S6" s="468"/>
      <c r="T6" s="465"/>
      <c r="U6" s="156">
        <f t="shared" si="5"/>
        <v>0.16161689895258488</v>
      </c>
      <c r="V6" s="467"/>
      <c r="W6" s="465"/>
    </row>
    <row r="7" spans="2:23">
      <c r="B7" s="479"/>
      <c r="C7" s="481"/>
      <c r="D7" s="80">
        <f t="shared" si="6"/>
        <v>46051</v>
      </c>
      <c r="E7" s="80" t="s">
        <v>113</v>
      </c>
      <c r="F7" s="166">
        <v>4383675.45</v>
      </c>
      <c r="G7" s="465"/>
      <c r="H7" s="75"/>
      <c r="I7" s="216">
        <v>141591</v>
      </c>
      <c r="J7" s="480"/>
      <c r="K7" s="75"/>
      <c r="L7" s="166">
        <v>2886627.6875597937</v>
      </c>
      <c r="M7" s="465"/>
      <c r="N7" s="465"/>
      <c r="O7" s="156">
        <f t="shared" si="2"/>
        <v>0.6584948453608247</v>
      </c>
      <c r="P7" s="467"/>
      <c r="Q7" s="465"/>
      <c r="R7" s="167">
        <v>749089.25</v>
      </c>
      <c r="S7" s="468"/>
      <c r="T7" s="465"/>
      <c r="U7" s="156">
        <f t="shared" si="5"/>
        <v>0.17088154872414196</v>
      </c>
      <c r="V7" s="467"/>
      <c r="W7" s="465"/>
    </row>
    <row r="8" spans="2:23">
      <c r="B8" s="479"/>
      <c r="C8" s="481"/>
      <c r="D8" s="80">
        <f t="shared" si="6"/>
        <v>46052</v>
      </c>
      <c r="E8" s="80" t="s">
        <v>114</v>
      </c>
      <c r="F8" s="166">
        <v>3724978.02</v>
      </c>
      <c r="G8" s="465"/>
      <c r="H8" s="166"/>
      <c r="I8" s="216">
        <v>121636</v>
      </c>
      <c r="J8" s="480"/>
      <c r="K8" s="166"/>
      <c r="L8" s="166">
        <v>2422541.375398763</v>
      </c>
      <c r="M8" s="465"/>
      <c r="N8" s="465"/>
      <c r="O8" s="156">
        <f t="shared" si="2"/>
        <v>0.65035051546391753</v>
      </c>
      <c r="P8" s="467"/>
      <c r="Q8" s="465"/>
      <c r="R8" s="167">
        <v>710473.81400000001</v>
      </c>
      <c r="S8" s="468"/>
      <c r="T8" s="465"/>
      <c r="U8" s="156">
        <f t="shared" si="5"/>
        <v>0.19073235068377664</v>
      </c>
      <c r="V8" s="467"/>
      <c r="W8" s="465"/>
    </row>
    <row r="9" spans="2:23">
      <c r="B9" s="479"/>
      <c r="C9" s="481"/>
      <c r="D9" s="80">
        <f t="shared" si="6"/>
        <v>46053</v>
      </c>
      <c r="E9" s="80" t="s">
        <v>115</v>
      </c>
      <c r="F9" s="166">
        <v>4007768.4000000004</v>
      </c>
      <c r="G9" s="465"/>
      <c r="H9" s="166"/>
      <c r="I9" s="216">
        <v>129053</v>
      </c>
      <c r="J9" s="480"/>
      <c r="K9" s="166"/>
      <c r="L9" s="166">
        <v>2649424.1328000007</v>
      </c>
      <c r="M9" s="465"/>
      <c r="N9" s="465"/>
      <c r="O9" s="156">
        <f t="shared" si="2"/>
        <v>0.66107216494845378</v>
      </c>
      <c r="P9" s="467"/>
      <c r="Q9" s="465"/>
      <c r="R9" s="167">
        <v>749349.554</v>
      </c>
      <c r="S9" s="468"/>
      <c r="T9" s="465"/>
      <c r="U9" s="156">
        <f t="shared" si="5"/>
        <v>0.18697426577843168</v>
      </c>
      <c r="V9" s="467"/>
      <c r="W9" s="465"/>
    </row>
    <row r="10" spans="2:23">
      <c r="B10" s="479"/>
      <c r="C10" s="466" t="s">
        <v>118</v>
      </c>
      <c r="D10" s="80">
        <v>46054</v>
      </c>
      <c r="E10" s="80" t="s">
        <v>116</v>
      </c>
      <c r="F10" s="166">
        <v>5128838.0100000007</v>
      </c>
      <c r="G10" s="465"/>
      <c r="H10" s="465">
        <f>SUM(F10:F37)</f>
        <v>41250450.350000001</v>
      </c>
      <c r="I10" s="216">
        <v>162127</v>
      </c>
      <c r="J10" s="480"/>
      <c r="K10" s="480">
        <f>SUM(I10:I37)</f>
        <v>1326773</v>
      </c>
      <c r="L10" s="166">
        <v>3450280.3660261864</v>
      </c>
      <c r="M10" s="465"/>
      <c r="N10" s="465">
        <f>SUM(L10:L37)</f>
        <v>27233057.898228865</v>
      </c>
      <c r="O10" s="156">
        <f t="shared" si="2"/>
        <v>0.67272164948453617</v>
      </c>
      <c r="P10" s="467"/>
      <c r="Q10" s="464">
        <f>N10/H10</f>
        <v>0.66018813533338461</v>
      </c>
      <c r="R10" s="167">
        <v>816738.48400000005</v>
      </c>
      <c r="S10" s="468"/>
      <c r="T10" s="465">
        <f>SUM(R7:R37)</f>
        <v>9280682.4000000004</v>
      </c>
      <c r="U10" s="156">
        <f t="shared" si="5"/>
        <v>0.15924435172402723</v>
      </c>
      <c r="V10" s="467"/>
      <c r="W10" s="464">
        <f>T10/H10</f>
        <v>0.22498378372249697</v>
      </c>
    </row>
    <row r="11" spans="2:23">
      <c r="B11" s="479"/>
      <c r="C11" s="466"/>
      <c r="D11" s="80">
        <f t="shared" si="6"/>
        <v>46055</v>
      </c>
      <c r="E11" s="80" t="s">
        <v>117</v>
      </c>
      <c r="F11" s="166">
        <v>4895972.91</v>
      </c>
      <c r="G11" s="465"/>
      <c r="H11" s="465"/>
      <c r="I11" s="216">
        <v>156394</v>
      </c>
      <c r="J11" s="480"/>
      <c r="K11" s="480"/>
      <c r="L11" s="166">
        <v>3180565.3293890725</v>
      </c>
      <c r="M11" s="465"/>
      <c r="N11" s="465"/>
      <c r="O11" s="156">
        <f t="shared" si="2"/>
        <v>0.64962886597938152</v>
      </c>
      <c r="P11" s="467"/>
      <c r="Q11" s="464"/>
      <c r="R11" s="167">
        <v>798406.55200000003</v>
      </c>
      <c r="S11" s="468"/>
      <c r="T11" s="465"/>
      <c r="U11" s="156">
        <f t="shared" si="5"/>
        <v>0.1630741359637139</v>
      </c>
      <c r="V11" s="467"/>
      <c r="W11" s="464"/>
    </row>
    <row r="12" spans="2:23">
      <c r="B12" s="478">
        <f>B5+7</f>
        <v>46064</v>
      </c>
      <c r="C12" s="466"/>
      <c r="D12" s="80">
        <f t="shared" si="6"/>
        <v>46056</v>
      </c>
      <c r="E12" s="80" t="s">
        <v>118</v>
      </c>
      <c r="F12" s="166">
        <v>4840106.0000000009</v>
      </c>
      <c r="G12" s="465">
        <f>SUM(F12:F18)</f>
        <v>31225639.43</v>
      </c>
      <c r="H12" s="465"/>
      <c r="I12" s="216">
        <v>156238</v>
      </c>
      <c r="J12" s="480">
        <f t="shared" ref="J12" si="7">SUM(I12:I18)</f>
        <v>1008252</v>
      </c>
      <c r="K12" s="480"/>
      <c r="L12" s="166">
        <v>3163732.7920000004</v>
      </c>
      <c r="M12" s="465">
        <f t="shared" ref="M12" si="8">SUM(L12:L18)</f>
        <v>20602212.20281361</v>
      </c>
      <c r="N12" s="465"/>
      <c r="O12" s="156">
        <f t="shared" ref="O12:O18" si="9">L12/F12</f>
        <v>0.6536494845360824</v>
      </c>
      <c r="P12" s="467">
        <f t="shared" ref="P12" si="10">M12/G12</f>
        <v>0.65978511821987085</v>
      </c>
      <c r="Q12" s="464"/>
      <c r="R12" s="167">
        <v>815557.196</v>
      </c>
      <c r="S12" s="468">
        <f t="shared" ref="S12" si="11">SUM(R12:R18)</f>
        <v>5456624.7460000003</v>
      </c>
      <c r="T12" s="465"/>
      <c r="U12" s="156">
        <f t="shared" ref="U12:U15" si="12">R12/F12</f>
        <v>0.16849986260631478</v>
      </c>
      <c r="V12" s="467">
        <f>S12/G12</f>
        <v>0.17474821478779884</v>
      </c>
      <c r="W12" s="464"/>
    </row>
    <row r="13" spans="2:23">
      <c r="B13" s="478"/>
      <c r="C13" s="466"/>
      <c r="D13" s="80">
        <f t="shared" si="6"/>
        <v>46057</v>
      </c>
      <c r="E13" s="80" t="s">
        <v>112</v>
      </c>
      <c r="F13" s="166">
        <v>4730102.72</v>
      </c>
      <c r="G13" s="465"/>
      <c r="H13" s="465"/>
      <c r="I13" s="216">
        <v>152389</v>
      </c>
      <c r="J13" s="480"/>
      <c r="K13" s="480"/>
      <c r="L13" s="166">
        <v>3110359.5040461859</v>
      </c>
      <c r="M13" s="465"/>
      <c r="N13" s="465"/>
      <c r="O13" s="156">
        <f t="shared" si="9"/>
        <v>0.65756701030927844</v>
      </c>
      <c r="P13" s="467"/>
      <c r="Q13" s="464"/>
      <c r="R13" s="167">
        <v>776077.20400000003</v>
      </c>
      <c r="S13" s="468"/>
      <c r="T13" s="465"/>
      <c r="U13" s="156">
        <f t="shared" si="12"/>
        <v>0.16407195571431482</v>
      </c>
      <c r="V13" s="467"/>
      <c r="W13" s="464"/>
    </row>
    <row r="14" spans="2:23">
      <c r="B14" s="478"/>
      <c r="C14" s="466"/>
      <c r="D14" s="80">
        <f t="shared" si="6"/>
        <v>46058</v>
      </c>
      <c r="E14" s="80" t="s">
        <v>113</v>
      </c>
      <c r="F14" s="166">
        <v>4380960.53</v>
      </c>
      <c r="G14" s="465"/>
      <c r="H14" s="465"/>
      <c r="I14" s="216">
        <v>141990</v>
      </c>
      <c r="J14" s="480"/>
      <c r="K14" s="480"/>
      <c r="L14" s="166">
        <v>3009494.0614022682</v>
      </c>
      <c r="M14" s="465"/>
      <c r="N14" s="465"/>
      <c r="O14" s="156">
        <f t="shared" si="9"/>
        <v>0.68694845360824741</v>
      </c>
      <c r="P14" s="467"/>
      <c r="Q14" s="464"/>
      <c r="R14" s="167">
        <v>800406.52800000005</v>
      </c>
      <c r="S14" s="468"/>
      <c r="T14" s="465"/>
      <c r="U14" s="156">
        <f t="shared" si="12"/>
        <v>0.18270115024295824</v>
      </c>
      <c r="V14" s="467"/>
      <c r="W14" s="464"/>
    </row>
    <row r="15" spans="2:23">
      <c r="B15" s="478"/>
      <c r="C15" s="466"/>
      <c r="D15" s="80">
        <f t="shared" si="6"/>
        <v>46059</v>
      </c>
      <c r="E15" s="80" t="s">
        <v>114</v>
      </c>
      <c r="F15" s="166">
        <v>3638268.6499999994</v>
      </c>
      <c r="G15" s="465"/>
      <c r="H15" s="465"/>
      <c r="I15" s="216">
        <v>119260</v>
      </c>
      <c r="J15" s="480"/>
      <c r="K15" s="480"/>
      <c r="L15" s="166">
        <v>2380777.9823721647</v>
      </c>
      <c r="M15" s="465"/>
      <c r="N15" s="465"/>
      <c r="O15" s="156">
        <f t="shared" si="9"/>
        <v>0.65437113402061864</v>
      </c>
      <c r="P15" s="467"/>
      <c r="Q15" s="464"/>
      <c r="R15" s="167">
        <v>739184.12199999997</v>
      </c>
      <c r="S15" s="468"/>
      <c r="T15" s="465"/>
      <c r="U15" s="156">
        <f t="shared" si="12"/>
        <v>0.20316919752476226</v>
      </c>
      <c r="V15" s="467"/>
      <c r="W15" s="464"/>
    </row>
    <row r="16" spans="2:23">
      <c r="B16" s="478"/>
      <c r="C16" s="466"/>
      <c r="D16" s="80">
        <f t="shared" si="6"/>
        <v>46060</v>
      </c>
      <c r="E16" s="80" t="s">
        <v>115</v>
      </c>
      <c r="F16" s="166">
        <v>3904128.8</v>
      </c>
      <c r="G16" s="465"/>
      <c r="H16" s="465"/>
      <c r="I16" s="216">
        <v>126462</v>
      </c>
      <c r="J16" s="480"/>
      <c r="K16" s="480"/>
      <c r="L16" s="166">
        <v>2545089.4900948456</v>
      </c>
      <c r="M16" s="465"/>
      <c r="N16" s="465"/>
      <c r="O16" s="156">
        <f t="shared" si="9"/>
        <v>0.65189690721649496</v>
      </c>
      <c r="P16" s="467"/>
      <c r="Q16" s="464"/>
      <c r="R16" s="167">
        <v>753512.37199999997</v>
      </c>
      <c r="S16" s="468"/>
      <c r="T16" s="465"/>
      <c r="U16" s="156">
        <f t="shared" ref="U16:U22" si="13">R16/F16</f>
        <v>0.19300397363939428</v>
      </c>
      <c r="V16" s="467"/>
      <c r="W16" s="464"/>
    </row>
    <row r="17" spans="2:23">
      <c r="B17" s="478"/>
      <c r="C17" s="466"/>
      <c r="D17" s="80">
        <f t="shared" si="6"/>
        <v>46061</v>
      </c>
      <c r="E17" s="80" t="s">
        <v>116</v>
      </c>
      <c r="F17" s="166">
        <v>4998806.51</v>
      </c>
      <c r="G17" s="465"/>
      <c r="H17" s="465"/>
      <c r="I17" s="216">
        <v>158901</v>
      </c>
      <c r="J17" s="480"/>
      <c r="K17" s="480"/>
      <c r="L17" s="166">
        <v>3270559.343821031</v>
      </c>
      <c r="M17" s="465"/>
      <c r="N17" s="465"/>
      <c r="O17" s="156">
        <f t="shared" si="9"/>
        <v>0.65426804123711346</v>
      </c>
      <c r="P17" s="467"/>
      <c r="Q17" s="464"/>
      <c r="R17" s="167">
        <v>796234.76599999995</v>
      </c>
      <c r="S17" s="468"/>
      <c r="T17" s="465"/>
      <c r="U17" s="156">
        <f t="shared" si="13"/>
        <v>0.15928497420477272</v>
      </c>
      <c r="V17" s="467"/>
      <c r="W17" s="464"/>
    </row>
    <row r="18" spans="2:23">
      <c r="B18" s="478"/>
      <c r="C18" s="466"/>
      <c r="D18" s="80">
        <f t="shared" si="6"/>
        <v>46062</v>
      </c>
      <c r="E18" s="80" t="s">
        <v>117</v>
      </c>
      <c r="F18" s="166">
        <v>4733266.2200000007</v>
      </c>
      <c r="G18" s="465"/>
      <c r="H18" s="465"/>
      <c r="I18" s="216">
        <v>153012</v>
      </c>
      <c r="J18" s="480"/>
      <c r="K18" s="480"/>
      <c r="L18" s="166">
        <v>3122199.0290771136</v>
      </c>
      <c r="M18" s="465"/>
      <c r="N18" s="465"/>
      <c r="O18" s="156">
        <f t="shared" si="9"/>
        <v>0.65962886597938142</v>
      </c>
      <c r="P18" s="467"/>
      <c r="Q18" s="464"/>
      <c r="R18" s="167">
        <v>775652.55799999996</v>
      </c>
      <c r="S18" s="468"/>
      <c r="T18" s="465"/>
      <c r="U18" s="156">
        <f t="shared" si="13"/>
        <v>0.16387258226096563</v>
      </c>
      <c r="V18" s="467"/>
      <c r="W18" s="464"/>
    </row>
    <row r="19" spans="2:23">
      <c r="B19" s="478">
        <f>B12+7</f>
        <v>46071</v>
      </c>
      <c r="C19" s="466"/>
      <c r="D19" s="80">
        <f t="shared" si="6"/>
        <v>46063</v>
      </c>
      <c r="E19" s="80" t="s">
        <v>118</v>
      </c>
      <c r="F19" s="166"/>
      <c r="G19" s="465">
        <f>SUM(F19:F25)</f>
        <v>0</v>
      </c>
      <c r="H19" s="465"/>
      <c r="I19" s="216"/>
      <c r="J19" s="480">
        <f t="shared" ref="J19" si="14">SUM(I19:I25)</f>
        <v>0</v>
      </c>
      <c r="K19" s="480"/>
      <c r="L19" s="166"/>
      <c r="M19" s="465">
        <f t="shared" ref="M19" si="15">SUM(L19:L25)</f>
        <v>0</v>
      </c>
      <c r="N19" s="465"/>
      <c r="O19" s="156" t="e">
        <f t="shared" ref="O19:O25" si="16">L19/F19</f>
        <v>#DIV/0!</v>
      </c>
      <c r="P19" s="467" t="e">
        <f t="shared" ref="P19" si="17">M19/G19</f>
        <v>#DIV/0!</v>
      </c>
      <c r="Q19" s="464"/>
      <c r="R19" s="167"/>
      <c r="S19" s="468">
        <f t="shared" ref="S19" si="18">SUM(R19:R25)</f>
        <v>0</v>
      </c>
      <c r="T19" s="465"/>
      <c r="U19" s="156" t="e">
        <f t="shared" si="13"/>
        <v>#DIV/0!</v>
      </c>
      <c r="V19" s="467" t="e">
        <f>S19/G19</f>
        <v>#DIV/0!</v>
      </c>
      <c r="W19" s="464"/>
    </row>
    <row r="20" spans="2:23">
      <c r="B20" s="478"/>
      <c r="C20" s="466"/>
      <c r="D20" s="80">
        <f t="shared" si="6"/>
        <v>46064</v>
      </c>
      <c r="E20" s="80" t="s">
        <v>112</v>
      </c>
      <c r="F20" s="166"/>
      <c r="G20" s="465"/>
      <c r="H20" s="465"/>
      <c r="I20" s="216"/>
      <c r="J20" s="480"/>
      <c r="K20" s="480"/>
      <c r="L20" s="166"/>
      <c r="M20" s="465"/>
      <c r="N20" s="465"/>
      <c r="O20" s="156" t="e">
        <f t="shared" si="16"/>
        <v>#DIV/0!</v>
      </c>
      <c r="P20" s="467"/>
      <c r="Q20" s="464"/>
      <c r="R20" s="167"/>
      <c r="S20" s="468"/>
      <c r="T20" s="465"/>
      <c r="U20" s="156" t="e">
        <f t="shared" si="13"/>
        <v>#DIV/0!</v>
      </c>
      <c r="V20" s="467"/>
      <c r="W20" s="464"/>
    </row>
    <row r="21" spans="2:23">
      <c r="B21" s="478"/>
      <c r="C21" s="466"/>
      <c r="D21" s="80">
        <f t="shared" si="6"/>
        <v>46065</v>
      </c>
      <c r="E21" s="80" t="s">
        <v>113</v>
      </c>
      <c r="F21" s="166"/>
      <c r="G21" s="465"/>
      <c r="H21" s="465"/>
      <c r="I21" s="216"/>
      <c r="J21" s="480"/>
      <c r="K21" s="480"/>
      <c r="L21" s="166"/>
      <c r="M21" s="465"/>
      <c r="N21" s="465"/>
      <c r="O21" s="156" t="e">
        <f t="shared" si="16"/>
        <v>#DIV/0!</v>
      </c>
      <c r="P21" s="467"/>
      <c r="Q21" s="464"/>
      <c r="R21" s="167"/>
      <c r="S21" s="468"/>
      <c r="T21" s="465"/>
      <c r="U21" s="156" t="e">
        <f t="shared" si="13"/>
        <v>#DIV/0!</v>
      </c>
      <c r="V21" s="467"/>
      <c r="W21" s="464"/>
    </row>
    <row r="22" spans="2:23">
      <c r="B22" s="478"/>
      <c r="C22" s="466"/>
      <c r="D22" s="80">
        <f t="shared" si="6"/>
        <v>46066</v>
      </c>
      <c r="E22" s="80" t="s">
        <v>114</v>
      </c>
      <c r="F22" s="166"/>
      <c r="G22" s="465"/>
      <c r="H22" s="465"/>
      <c r="I22" s="216"/>
      <c r="J22" s="480"/>
      <c r="K22" s="480"/>
      <c r="L22" s="166"/>
      <c r="M22" s="465"/>
      <c r="N22" s="465"/>
      <c r="O22" s="156" t="e">
        <f t="shared" si="16"/>
        <v>#DIV/0!</v>
      </c>
      <c r="P22" s="467"/>
      <c r="Q22" s="464"/>
      <c r="R22" s="167"/>
      <c r="S22" s="468"/>
      <c r="T22" s="465"/>
      <c r="U22" s="156" t="e">
        <f t="shared" si="13"/>
        <v>#DIV/0!</v>
      </c>
      <c r="V22" s="467"/>
      <c r="W22" s="464"/>
    </row>
    <row r="23" spans="2:23">
      <c r="B23" s="478"/>
      <c r="C23" s="466"/>
      <c r="D23" s="80">
        <f t="shared" si="6"/>
        <v>46067</v>
      </c>
      <c r="E23" s="80" t="s">
        <v>115</v>
      </c>
      <c r="F23" s="166"/>
      <c r="G23" s="465"/>
      <c r="H23" s="465"/>
      <c r="I23" s="216"/>
      <c r="J23" s="480"/>
      <c r="K23" s="480"/>
      <c r="L23" s="166"/>
      <c r="M23" s="465"/>
      <c r="N23" s="465"/>
      <c r="O23" s="156" t="e">
        <f t="shared" si="16"/>
        <v>#DIV/0!</v>
      </c>
      <c r="P23" s="467"/>
      <c r="Q23" s="464"/>
      <c r="R23" s="167"/>
      <c r="S23" s="468"/>
      <c r="T23" s="465"/>
      <c r="U23" s="156" t="e">
        <f t="shared" ref="U23:U29" si="19">R23/F23</f>
        <v>#DIV/0!</v>
      </c>
      <c r="V23" s="467"/>
      <c r="W23" s="464"/>
    </row>
    <row r="24" spans="2:23">
      <c r="B24" s="478"/>
      <c r="C24" s="466"/>
      <c r="D24" s="80">
        <f t="shared" si="6"/>
        <v>46068</v>
      </c>
      <c r="E24" s="80" t="s">
        <v>116</v>
      </c>
      <c r="F24" s="166"/>
      <c r="G24" s="465"/>
      <c r="H24" s="465"/>
      <c r="I24" s="216"/>
      <c r="J24" s="480"/>
      <c r="K24" s="480"/>
      <c r="L24" s="166"/>
      <c r="M24" s="465"/>
      <c r="N24" s="465"/>
      <c r="O24" s="156" t="e">
        <f t="shared" si="16"/>
        <v>#DIV/0!</v>
      </c>
      <c r="P24" s="467"/>
      <c r="Q24" s="464"/>
      <c r="R24" s="167"/>
      <c r="S24" s="468"/>
      <c r="T24" s="465"/>
      <c r="U24" s="156" t="e">
        <f t="shared" si="19"/>
        <v>#DIV/0!</v>
      </c>
      <c r="V24" s="467"/>
      <c r="W24" s="464"/>
    </row>
    <row r="25" spans="2:23">
      <c r="B25" s="478"/>
      <c r="C25" s="466"/>
      <c r="D25" s="80">
        <f t="shared" si="6"/>
        <v>46069</v>
      </c>
      <c r="E25" s="80" t="s">
        <v>117</v>
      </c>
      <c r="F25" s="166"/>
      <c r="G25" s="465"/>
      <c r="H25" s="465"/>
      <c r="I25" s="216"/>
      <c r="J25" s="480"/>
      <c r="K25" s="480"/>
      <c r="L25" s="166"/>
      <c r="M25" s="465"/>
      <c r="N25" s="465"/>
      <c r="O25" s="156" t="e">
        <f t="shared" si="16"/>
        <v>#DIV/0!</v>
      </c>
      <c r="P25" s="467"/>
      <c r="Q25" s="464"/>
      <c r="R25" s="167"/>
      <c r="S25" s="468"/>
      <c r="T25" s="465"/>
      <c r="U25" s="156" t="e">
        <f t="shared" si="19"/>
        <v>#DIV/0!</v>
      </c>
      <c r="V25" s="467"/>
      <c r="W25" s="464"/>
    </row>
    <row r="26" spans="2:23">
      <c r="B26" s="478">
        <f>B19+7</f>
        <v>46078</v>
      </c>
      <c r="C26" s="466"/>
      <c r="D26" s="80">
        <f t="shared" si="6"/>
        <v>46070</v>
      </c>
      <c r="E26" s="80" t="s">
        <v>118</v>
      </c>
      <c r="F26" s="166"/>
      <c r="G26" s="465">
        <f>SUM(F26:F32)</f>
        <v>0</v>
      </c>
      <c r="H26" s="465"/>
      <c r="I26" s="216"/>
      <c r="J26" s="480">
        <f t="shared" ref="J26" si="20">SUM(I26:I32)</f>
        <v>0</v>
      </c>
      <c r="K26" s="480"/>
      <c r="L26" s="166"/>
      <c r="M26" s="465">
        <f t="shared" ref="M26" si="21">SUM(L26:L32)</f>
        <v>0</v>
      </c>
      <c r="N26" s="465"/>
      <c r="O26" s="156" t="e">
        <f t="shared" ref="O26:O32" si="22">L26/F26</f>
        <v>#DIV/0!</v>
      </c>
      <c r="P26" s="467" t="e">
        <f t="shared" ref="P26" si="23">M26/G26</f>
        <v>#DIV/0!</v>
      </c>
      <c r="Q26" s="464"/>
      <c r="R26" s="167"/>
      <c r="S26" s="468">
        <f t="shared" ref="S26" si="24">SUM(R26:R32)</f>
        <v>0</v>
      </c>
      <c r="T26" s="465"/>
      <c r="U26" s="156" t="e">
        <f t="shared" si="19"/>
        <v>#DIV/0!</v>
      </c>
      <c r="V26" s="467" t="e">
        <f>S26/G26</f>
        <v>#DIV/0!</v>
      </c>
      <c r="W26" s="464"/>
    </row>
    <row r="27" spans="2:23">
      <c r="B27" s="478"/>
      <c r="C27" s="466"/>
      <c r="D27" s="80">
        <f t="shared" si="6"/>
        <v>46071</v>
      </c>
      <c r="E27" s="80" t="s">
        <v>112</v>
      </c>
      <c r="F27" s="166"/>
      <c r="G27" s="465"/>
      <c r="H27" s="465"/>
      <c r="I27" s="216"/>
      <c r="J27" s="480"/>
      <c r="K27" s="480"/>
      <c r="L27" s="166"/>
      <c r="M27" s="465"/>
      <c r="N27" s="465"/>
      <c r="O27" s="156" t="e">
        <f t="shared" si="22"/>
        <v>#DIV/0!</v>
      </c>
      <c r="P27" s="467"/>
      <c r="Q27" s="464"/>
      <c r="R27" s="167"/>
      <c r="S27" s="468"/>
      <c r="T27" s="465"/>
      <c r="U27" s="156" t="e">
        <f t="shared" si="19"/>
        <v>#DIV/0!</v>
      </c>
      <c r="V27" s="467"/>
      <c r="W27" s="464"/>
    </row>
    <row r="28" spans="2:23">
      <c r="B28" s="478"/>
      <c r="C28" s="466"/>
      <c r="D28" s="80">
        <f t="shared" si="6"/>
        <v>46072</v>
      </c>
      <c r="E28" s="80" t="s">
        <v>113</v>
      </c>
      <c r="F28" s="166"/>
      <c r="G28" s="465"/>
      <c r="H28" s="465"/>
      <c r="I28" s="216"/>
      <c r="J28" s="480"/>
      <c r="K28" s="480"/>
      <c r="L28" s="166"/>
      <c r="M28" s="465"/>
      <c r="N28" s="465"/>
      <c r="O28" s="156" t="e">
        <f t="shared" si="22"/>
        <v>#DIV/0!</v>
      </c>
      <c r="P28" s="467"/>
      <c r="Q28" s="464"/>
      <c r="R28" s="167"/>
      <c r="S28" s="468"/>
      <c r="T28" s="465"/>
      <c r="U28" s="156" t="e">
        <f t="shared" si="19"/>
        <v>#DIV/0!</v>
      </c>
      <c r="V28" s="467"/>
      <c r="W28" s="464"/>
    </row>
    <row r="29" spans="2:23">
      <c r="B29" s="478"/>
      <c r="C29" s="466"/>
      <c r="D29" s="80">
        <f t="shared" si="6"/>
        <v>46073</v>
      </c>
      <c r="E29" s="80" t="s">
        <v>114</v>
      </c>
      <c r="F29" s="166"/>
      <c r="G29" s="465"/>
      <c r="H29" s="465"/>
      <c r="I29" s="216"/>
      <c r="J29" s="480"/>
      <c r="K29" s="480"/>
      <c r="L29" s="166"/>
      <c r="M29" s="465"/>
      <c r="N29" s="465"/>
      <c r="O29" s="156" t="e">
        <f t="shared" si="22"/>
        <v>#DIV/0!</v>
      </c>
      <c r="P29" s="467"/>
      <c r="Q29" s="464"/>
      <c r="R29" s="167"/>
      <c r="S29" s="468"/>
      <c r="T29" s="465"/>
      <c r="U29" s="156" t="e">
        <f t="shared" si="19"/>
        <v>#DIV/0!</v>
      </c>
      <c r="V29" s="467"/>
      <c r="W29" s="464"/>
    </row>
    <row r="30" spans="2:23">
      <c r="B30" s="478"/>
      <c r="C30" s="466"/>
      <c r="D30" s="80">
        <f t="shared" si="6"/>
        <v>46074</v>
      </c>
      <c r="E30" s="80" t="s">
        <v>115</v>
      </c>
      <c r="F30" s="166"/>
      <c r="G30" s="465"/>
      <c r="H30" s="465"/>
      <c r="I30" s="216"/>
      <c r="J30" s="480"/>
      <c r="K30" s="480"/>
      <c r="L30" s="166"/>
      <c r="M30" s="465"/>
      <c r="N30" s="465"/>
      <c r="O30" s="156" t="e">
        <f t="shared" si="22"/>
        <v>#DIV/0!</v>
      </c>
      <c r="P30" s="467"/>
      <c r="Q30" s="464"/>
      <c r="R30" s="167"/>
      <c r="S30" s="468"/>
      <c r="T30" s="465"/>
      <c r="U30" s="156" t="e">
        <f t="shared" ref="U30:U36" si="25">R30/F30</f>
        <v>#DIV/0!</v>
      </c>
      <c r="V30" s="467"/>
      <c r="W30" s="464"/>
    </row>
    <row r="31" spans="2:23">
      <c r="B31" s="478"/>
      <c r="C31" s="466"/>
      <c r="D31" s="80">
        <f t="shared" si="6"/>
        <v>46075</v>
      </c>
      <c r="E31" s="80" t="s">
        <v>116</v>
      </c>
      <c r="F31" s="166"/>
      <c r="G31" s="465"/>
      <c r="H31" s="465"/>
      <c r="I31" s="216"/>
      <c r="J31" s="480"/>
      <c r="K31" s="480"/>
      <c r="L31" s="166"/>
      <c r="M31" s="465"/>
      <c r="N31" s="465"/>
      <c r="O31" s="156" t="e">
        <f t="shared" si="22"/>
        <v>#DIV/0!</v>
      </c>
      <c r="P31" s="467"/>
      <c r="Q31" s="464"/>
      <c r="R31" s="167"/>
      <c r="S31" s="468"/>
      <c r="T31" s="465"/>
      <c r="U31" s="156" t="e">
        <f t="shared" si="25"/>
        <v>#DIV/0!</v>
      </c>
      <c r="V31" s="467"/>
      <c r="W31" s="464"/>
    </row>
    <row r="32" spans="2:23">
      <c r="B32" s="478"/>
      <c r="C32" s="466"/>
      <c r="D32" s="80">
        <f t="shared" si="6"/>
        <v>46076</v>
      </c>
      <c r="E32" s="80" t="s">
        <v>117</v>
      </c>
      <c r="F32" s="166"/>
      <c r="G32" s="465"/>
      <c r="H32" s="465"/>
      <c r="I32" s="216"/>
      <c r="J32" s="480"/>
      <c r="K32" s="480"/>
      <c r="L32" s="166"/>
      <c r="M32" s="465"/>
      <c r="N32" s="465"/>
      <c r="O32" s="156" t="e">
        <f t="shared" si="22"/>
        <v>#DIV/0!</v>
      </c>
      <c r="P32" s="467"/>
      <c r="Q32" s="464"/>
      <c r="R32" s="167"/>
      <c r="S32" s="468"/>
      <c r="T32" s="465"/>
      <c r="U32" s="156" t="e">
        <f t="shared" si="25"/>
        <v>#DIV/0!</v>
      </c>
      <c r="V32" s="467"/>
      <c r="W32" s="464"/>
    </row>
    <row r="33" spans="2:23">
      <c r="B33" s="478">
        <f>B26+7</f>
        <v>46085</v>
      </c>
      <c r="C33" s="466"/>
      <c r="D33" s="80">
        <f t="shared" si="6"/>
        <v>46077</v>
      </c>
      <c r="E33" s="80" t="s">
        <v>118</v>
      </c>
      <c r="F33" s="166"/>
      <c r="G33" s="465">
        <f>SUM(F33:F39)</f>
        <v>0</v>
      </c>
      <c r="H33" s="465"/>
      <c r="I33" s="216"/>
      <c r="J33" s="480">
        <f t="shared" ref="J33" si="26">SUM(I33:I39)</f>
        <v>0</v>
      </c>
      <c r="K33" s="480"/>
      <c r="L33" s="166"/>
      <c r="M33" s="465">
        <f t="shared" ref="M33" si="27">SUM(L33:L39)</f>
        <v>0</v>
      </c>
      <c r="N33" s="465"/>
      <c r="O33" s="156" t="e">
        <f t="shared" ref="O33:O39" si="28">L33/F33</f>
        <v>#DIV/0!</v>
      </c>
      <c r="P33" s="467" t="e">
        <f t="shared" ref="P33" si="29">M33/G33</f>
        <v>#DIV/0!</v>
      </c>
      <c r="Q33" s="464"/>
      <c r="R33" s="167"/>
      <c r="S33" s="468">
        <f t="shared" ref="S33" si="30">SUM(R33:R39)</f>
        <v>0</v>
      </c>
      <c r="T33" s="465"/>
      <c r="U33" s="156" t="e">
        <f t="shared" si="25"/>
        <v>#DIV/0!</v>
      </c>
      <c r="V33" s="467" t="e">
        <f>S33/G33</f>
        <v>#DIV/0!</v>
      </c>
      <c r="W33" s="464"/>
    </row>
    <row r="34" spans="2:23">
      <c r="B34" s="479"/>
      <c r="C34" s="466"/>
      <c r="D34" s="80">
        <f t="shared" si="6"/>
        <v>46078</v>
      </c>
      <c r="E34" s="80" t="s">
        <v>112</v>
      </c>
      <c r="F34" s="166"/>
      <c r="G34" s="465"/>
      <c r="H34" s="465"/>
      <c r="I34" s="216"/>
      <c r="J34" s="480"/>
      <c r="K34" s="480"/>
      <c r="L34" s="166"/>
      <c r="M34" s="465"/>
      <c r="N34" s="465"/>
      <c r="O34" s="156" t="e">
        <f t="shared" si="28"/>
        <v>#DIV/0!</v>
      </c>
      <c r="P34" s="467"/>
      <c r="Q34" s="464"/>
      <c r="R34" s="167"/>
      <c r="S34" s="468"/>
      <c r="T34" s="465"/>
      <c r="U34" s="156" t="e">
        <f t="shared" si="25"/>
        <v>#DIV/0!</v>
      </c>
      <c r="V34" s="467"/>
      <c r="W34" s="464"/>
    </row>
    <row r="35" spans="2:23">
      <c r="B35" s="479"/>
      <c r="C35" s="466"/>
      <c r="D35" s="80">
        <f t="shared" si="6"/>
        <v>46079</v>
      </c>
      <c r="E35" s="80" t="s">
        <v>113</v>
      </c>
      <c r="F35" s="166"/>
      <c r="G35" s="465"/>
      <c r="H35" s="465"/>
      <c r="I35" s="216"/>
      <c r="J35" s="480"/>
      <c r="K35" s="480"/>
      <c r="L35" s="166"/>
      <c r="M35" s="465"/>
      <c r="N35" s="465"/>
      <c r="O35" s="156" t="e">
        <f t="shared" si="28"/>
        <v>#DIV/0!</v>
      </c>
      <c r="P35" s="467"/>
      <c r="Q35" s="464"/>
      <c r="R35" s="167"/>
      <c r="S35" s="468"/>
      <c r="T35" s="465"/>
      <c r="U35" s="156" t="e">
        <f t="shared" si="25"/>
        <v>#DIV/0!</v>
      </c>
      <c r="V35" s="467"/>
      <c r="W35" s="464"/>
    </row>
    <row r="36" spans="2:23">
      <c r="B36" s="479"/>
      <c r="C36" s="466"/>
      <c r="D36" s="80">
        <f t="shared" si="6"/>
        <v>46080</v>
      </c>
      <c r="E36" s="80" t="s">
        <v>114</v>
      </c>
      <c r="F36" s="166"/>
      <c r="G36" s="465"/>
      <c r="H36" s="465"/>
      <c r="I36" s="216"/>
      <c r="J36" s="480"/>
      <c r="K36" s="480"/>
      <c r="L36" s="166"/>
      <c r="M36" s="465"/>
      <c r="N36" s="465"/>
      <c r="O36" s="156" t="e">
        <f t="shared" si="28"/>
        <v>#DIV/0!</v>
      </c>
      <c r="P36" s="467"/>
      <c r="Q36" s="464"/>
      <c r="R36" s="167"/>
      <c r="S36" s="468"/>
      <c r="T36" s="465"/>
      <c r="U36" s="156" t="e">
        <f t="shared" si="25"/>
        <v>#DIV/0!</v>
      </c>
      <c r="V36" s="467"/>
      <c r="W36" s="464"/>
    </row>
    <row r="37" spans="2:23">
      <c r="B37" s="479"/>
      <c r="C37" s="466"/>
      <c r="D37" s="80">
        <f t="shared" si="6"/>
        <v>46081</v>
      </c>
      <c r="E37" s="80" t="s">
        <v>115</v>
      </c>
      <c r="F37" s="166"/>
      <c r="G37" s="465"/>
      <c r="H37" s="465">
        <f>SUM(F38:F67)</f>
        <v>0</v>
      </c>
      <c r="I37" s="216"/>
      <c r="J37" s="480"/>
      <c r="K37" s="480">
        <f>SUM(I38:I67)</f>
        <v>0</v>
      </c>
      <c r="L37" s="166"/>
      <c r="M37" s="465"/>
      <c r="N37" s="465"/>
      <c r="O37" s="156" t="e">
        <f t="shared" si="28"/>
        <v>#DIV/0!</v>
      </c>
      <c r="P37" s="467"/>
      <c r="Q37" s="464"/>
      <c r="R37" s="167"/>
      <c r="S37" s="468"/>
      <c r="T37" s="465"/>
      <c r="U37" s="156" t="e">
        <f t="shared" ref="U37:U43" si="31">R37/F37</f>
        <v>#DIV/0!</v>
      </c>
      <c r="V37" s="467"/>
      <c r="W37" s="464"/>
    </row>
    <row r="38" spans="2:23">
      <c r="B38" s="479"/>
      <c r="C38" s="466"/>
      <c r="D38" s="80">
        <f t="shared" si="6"/>
        <v>46082</v>
      </c>
      <c r="E38" s="80" t="s">
        <v>116</v>
      </c>
      <c r="F38" s="166"/>
      <c r="G38" s="465"/>
      <c r="H38" s="465"/>
      <c r="I38" s="216"/>
      <c r="J38" s="480"/>
      <c r="K38" s="480"/>
      <c r="L38" s="166"/>
      <c r="M38" s="465"/>
      <c r="N38" s="465">
        <f>SUM(L38:L65)</f>
        <v>0</v>
      </c>
      <c r="O38" s="156" t="e">
        <f t="shared" si="28"/>
        <v>#DIV/0!</v>
      </c>
      <c r="P38" s="467"/>
      <c r="Q38" s="464" t="e">
        <f>N38/H37</f>
        <v>#DIV/0!</v>
      </c>
      <c r="R38" s="167"/>
      <c r="S38" s="468"/>
      <c r="T38" s="465">
        <f>SUM(R38:R65)</f>
        <v>0</v>
      </c>
      <c r="U38" s="156" t="e">
        <f t="shared" si="31"/>
        <v>#DIV/0!</v>
      </c>
      <c r="V38" s="467"/>
      <c r="W38" s="464" t="e">
        <f>T38/H38</f>
        <v>#DIV/0!</v>
      </c>
    </row>
    <row r="39" spans="2:23">
      <c r="B39" s="479"/>
      <c r="C39" s="466"/>
      <c r="D39" s="80">
        <f t="shared" si="6"/>
        <v>46083</v>
      </c>
      <c r="E39" s="80" t="s">
        <v>117</v>
      </c>
      <c r="F39" s="166"/>
      <c r="G39" s="465"/>
      <c r="H39" s="465"/>
      <c r="I39" s="216"/>
      <c r="J39" s="480"/>
      <c r="K39" s="480"/>
      <c r="L39" s="166"/>
      <c r="M39" s="465"/>
      <c r="N39" s="465"/>
      <c r="O39" s="156" t="e">
        <f t="shared" si="28"/>
        <v>#DIV/0!</v>
      </c>
      <c r="P39" s="467"/>
      <c r="Q39" s="464"/>
      <c r="R39" s="167"/>
      <c r="S39" s="468"/>
      <c r="T39" s="465"/>
      <c r="U39" s="156" t="e">
        <f t="shared" si="31"/>
        <v>#DIV/0!</v>
      </c>
      <c r="V39" s="467"/>
      <c r="W39" s="464"/>
    </row>
    <row r="40" spans="2:23">
      <c r="B40" s="478">
        <f>B33+7</f>
        <v>46092</v>
      </c>
      <c r="C40" s="466"/>
      <c r="D40" s="80">
        <f t="shared" si="6"/>
        <v>46084</v>
      </c>
      <c r="E40" s="80" t="s">
        <v>118</v>
      </c>
      <c r="F40" s="166"/>
      <c r="G40" s="465">
        <f>SUM(F40:F46)</f>
        <v>0</v>
      </c>
      <c r="H40" s="465"/>
      <c r="I40" s="216"/>
      <c r="J40" s="480">
        <f t="shared" ref="J40" si="32">SUM(I40:I46)</f>
        <v>0</v>
      </c>
      <c r="K40" s="480"/>
      <c r="L40" s="166"/>
      <c r="M40" s="465">
        <f t="shared" ref="M40" si="33">SUM(L40:L46)</f>
        <v>0</v>
      </c>
      <c r="N40" s="465"/>
      <c r="O40" s="156" t="e">
        <f t="shared" ref="O40:O46" si="34">L40/F40</f>
        <v>#DIV/0!</v>
      </c>
      <c r="P40" s="467" t="e">
        <f t="shared" ref="P40" si="35">M40/G40</f>
        <v>#DIV/0!</v>
      </c>
      <c r="Q40" s="464"/>
      <c r="R40" s="167"/>
      <c r="S40" s="468">
        <f t="shared" ref="S40" si="36">SUM(R40:R46)</f>
        <v>0</v>
      </c>
      <c r="T40" s="465"/>
      <c r="U40" s="156" t="e">
        <f t="shared" si="31"/>
        <v>#DIV/0!</v>
      </c>
      <c r="V40" s="467" t="e">
        <f>S40/G40</f>
        <v>#DIV/0!</v>
      </c>
      <c r="W40" s="464"/>
    </row>
    <row r="41" spans="2:23">
      <c r="B41" s="479"/>
      <c r="C41" s="466"/>
      <c r="D41" s="80">
        <f t="shared" si="6"/>
        <v>46085</v>
      </c>
      <c r="E41" s="80" t="s">
        <v>112</v>
      </c>
      <c r="F41" s="166"/>
      <c r="G41" s="465"/>
      <c r="H41" s="465"/>
      <c r="I41" s="216"/>
      <c r="J41" s="480"/>
      <c r="K41" s="480"/>
      <c r="L41" s="166"/>
      <c r="M41" s="465"/>
      <c r="N41" s="465"/>
      <c r="O41" s="156" t="e">
        <f t="shared" si="34"/>
        <v>#DIV/0!</v>
      </c>
      <c r="P41" s="467"/>
      <c r="Q41" s="464"/>
      <c r="R41" s="167"/>
      <c r="S41" s="468"/>
      <c r="T41" s="465"/>
      <c r="U41" s="156" t="e">
        <f t="shared" si="31"/>
        <v>#DIV/0!</v>
      </c>
      <c r="V41" s="467"/>
      <c r="W41" s="464"/>
    </row>
    <row r="42" spans="2:23">
      <c r="B42" s="479"/>
      <c r="C42" s="466"/>
      <c r="D42" s="80">
        <f t="shared" si="6"/>
        <v>46086</v>
      </c>
      <c r="E42" s="80" t="s">
        <v>113</v>
      </c>
      <c r="F42" s="166"/>
      <c r="G42" s="465"/>
      <c r="H42" s="465"/>
      <c r="I42" s="216"/>
      <c r="J42" s="480"/>
      <c r="K42" s="480"/>
      <c r="L42" s="166"/>
      <c r="M42" s="465"/>
      <c r="N42" s="465"/>
      <c r="O42" s="156" t="e">
        <f t="shared" si="34"/>
        <v>#DIV/0!</v>
      </c>
      <c r="P42" s="467"/>
      <c r="Q42" s="464"/>
      <c r="R42" s="167"/>
      <c r="S42" s="468"/>
      <c r="T42" s="465"/>
      <c r="U42" s="156" t="e">
        <f t="shared" si="31"/>
        <v>#DIV/0!</v>
      </c>
      <c r="V42" s="467"/>
      <c r="W42" s="464"/>
    </row>
    <row r="43" spans="2:23">
      <c r="B43" s="479"/>
      <c r="C43" s="466"/>
      <c r="D43" s="80">
        <f t="shared" si="6"/>
        <v>46087</v>
      </c>
      <c r="E43" s="80" t="s">
        <v>114</v>
      </c>
      <c r="F43" s="166"/>
      <c r="G43" s="465"/>
      <c r="H43" s="465"/>
      <c r="I43" s="216"/>
      <c r="J43" s="480"/>
      <c r="K43" s="480"/>
      <c r="L43" s="166"/>
      <c r="M43" s="465"/>
      <c r="N43" s="465"/>
      <c r="O43" s="156" t="e">
        <f t="shared" si="34"/>
        <v>#DIV/0!</v>
      </c>
      <c r="P43" s="467"/>
      <c r="Q43" s="464"/>
      <c r="R43" s="167"/>
      <c r="S43" s="468"/>
      <c r="T43" s="465"/>
      <c r="U43" s="156" t="e">
        <f t="shared" si="31"/>
        <v>#DIV/0!</v>
      </c>
      <c r="V43" s="467"/>
      <c r="W43" s="464"/>
    </row>
    <row r="44" spans="2:23">
      <c r="B44" s="479"/>
      <c r="C44" s="466"/>
      <c r="D44" s="80">
        <f t="shared" si="6"/>
        <v>46088</v>
      </c>
      <c r="E44" s="80" t="s">
        <v>115</v>
      </c>
      <c r="F44" s="166"/>
      <c r="G44" s="465"/>
      <c r="H44" s="465"/>
      <c r="I44" s="216"/>
      <c r="J44" s="480"/>
      <c r="K44" s="480"/>
      <c r="L44" s="166"/>
      <c r="M44" s="465"/>
      <c r="N44" s="465"/>
      <c r="O44" s="156" t="e">
        <f t="shared" si="34"/>
        <v>#DIV/0!</v>
      </c>
      <c r="P44" s="467"/>
      <c r="Q44" s="464"/>
      <c r="R44" s="167"/>
      <c r="S44" s="468"/>
      <c r="T44" s="465"/>
      <c r="U44" s="156" t="e">
        <f t="shared" ref="U44:U50" si="37">R44/F44</f>
        <v>#DIV/0!</v>
      </c>
      <c r="V44" s="467"/>
      <c r="W44" s="464"/>
    </row>
    <row r="45" spans="2:23">
      <c r="B45" s="479"/>
      <c r="C45" s="466"/>
      <c r="D45" s="80">
        <f t="shared" si="6"/>
        <v>46089</v>
      </c>
      <c r="E45" s="80" t="s">
        <v>116</v>
      </c>
      <c r="F45" s="166"/>
      <c r="G45" s="465"/>
      <c r="H45" s="465"/>
      <c r="I45" s="216"/>
      <c r="J45" s="480"/>
      <c r="K45" s="480"/>
      <c r="L45" s="166"/>
      <c r="M45" s="465"/>
      <c r="N45" s="465"/>
      <c r="O45" s="156" t="e">
        <f t="shared" si="34"/>
        <v>#DIV/0!</v>
      </c>
      <c r="P45" s="467"/>
      <c r="Q45" s="464"/>
      <c r="R45" s="167"/>
      <c r="S45" s="468"/>
      <c r="T45" s="465"/>
      <c r="U45" s="156" t="e">
        <f t="shared" si="37"/>
        <v>#DIV/0!</v>
      </c>
      <c r="V45" s="467"/>
      <c r="W45" s="464"/>
    </row>
    <row r="46" spans="2:23">
      <c r="B46" s="479"/>
      <c r="C46" s="466"/>
      <c r="D46" s="80">
        <f t="shared" si="6"/>
        <v>46090</v>
      </c>
      <c r="E46" s="80" t="s">
        <v>117</v>
      </c>
      <c r="F46" s="166"/>
      <c r="G46" s="465"/>
      <c r="H46" s="465"/>
      <c r="I46" s="216"/>
      <c r="J46" s="480"/>
      <c r="K46" s="480"/>
      <c r="L46" s="166"/>
      <c r="M46" s="465"/>
      <c r="N46" s="465"/>
      <c r="O46" s="156" t="e">
        <f t="shared" si="34"/>
        <v>#DIV/0!</v>
      </c>
      <c r="P46" s="467"/>
      <c r="Q46" s="464"/>
      <c r="R46" s="167"/>
      <c r="S46" s="468"/>
      <c r="T46" s="465"/>
      <c r="U46" s="156" t="e">
        <f t="shared" si="37"/>
        <v>#DIV/0!</v>
      </c>
      <c r="V46" s="467"/>
      <c r="W46" s="464"/>
    </row>
    <row r="47" spans="2:23">
      <c r="B47" s="478">
        <f>B40+7</f>
        <v>46099</v>
      </c>
      <c r="C47" s="466"/>
      <c r="D47" s="80">
        <f t="shared" si="6"/>
        <v>46091</v>
      </c>
      <c r="E47" s="80" t="s">
        <v>118</v>
      </c>
      <c r="F47" s="166"/>
      <c r="G47" s="465">
        <f>SUM(F47:F53)</f>
        <v>0</v>
      </c>
      <c r="H47" s="465"/>
      <c r="I47" s="216"/>
      <c r="J47" s="480">
        <f t="shared" ref="J47" si="38">SUM(I47:I53)</f>
        <v>0</v>
      </c>
      <c r="K47" s="480"/>
      <c r="L47" s="166"/>
      <c r="M47" s="465">
        <f t="shared" ref="M47" si="39">SUM(L47:L53)</f>
        <v>0</v>
      </c>
      <c r="N47" s="465"/>
      <c r="O47" s="156" t="e">
        <f t="shared" ref="O47:O67" si="40">L47/F47</f>
        <v>#DIV/0!</v>
      </c>
      <c r="P47" s="467" t="e">
        <f t="shared" ref="P47" si="41">M47/G47</f>
        <v>#DIV/0!</v>
      </c>
      <c r="Q47" s="464"/>
      <c r="R47" s="167"/>
      <c r="S47" s="468">
        <f t="shared" ref="S47" si="42">SUM(R47:R53)</f>
        <v>0</v>
      </c>
      <c r="T47" s="465"/>
      <c r="U47" s="156" t="e">
        <f t="shared" si="37"/>
        <v>#DIV/0!</v>
      </c>
      <c r="V47" s="467" t="e">
        <f>S47/G47</f>
        <v>#DIV/0!</v>
      </c>
      <c r="W47" s="464"/>
    </row>
    <row r="48" spans="2:23">
      <c r="B48" s="479"/>
      <c r="C48" s="466"/>
      <c r="D48" s="80">
        <f t="shared" si="6"/>
        <v>46092</v>
      </c>
      <c r="E48" s="80" t="s">
        <v>112</v>
      </c>
      <c r="F48" s="166"/>
      <c r="G48" s="465"/>
      <c r="H48" s="465"/>
      <c r="I48" s="216"/>
      <c r="J48" s="480"/>
      <c r="K48" s="480"/>
      <c r="L48" s="166"/>
      <c r="M48" s="465"/>
      <c r="N48" s="465"/>
      <c r="O48" s="156" t="e">
        <f t="shared" si="40"/>
        <v>#DIV/0!</v>
      </c>
      <c r="P48" s="467"/>
      <c r="Q48" s="464"/>
      <c r="R48" s="167"/>
      <c r="S48" s="468"/>
      <c r="T48" s="465"/>
      <c r="U48" s="156" t="e">
        <f t="shared" si="37"/>
        <v>#DIV/0!</v>
      </c>
      <c r="V48" s="467"/>
      <c r="W48" s="464"/>
    </row>
    <row r="49" spans="2:23">
      <c r="B49" s="479"/>
      <c r="C49" s="466"/>
      <c r="D49" s="80">
        <f t="shared" si="6"/>
        <v>46093</v>
      </c>
      <c r="E49" s="80" t="s">
        <v>113</v>
      </c>
      <c r="F49" s="166"/>
      <c r="G49" s="465"/>
      <c r="H49" s="465"/>
      <c r="I49" s="216"/>
      <c r="J49" s="480"/>
      <c r="K49" s="480"/>
      <c r="L49" s="166"/>
      <c r="M49" s="465"/>
      <c r="N49" s="465"/>
      <c r="O49" s="156" t="e">
        <f t="shared" si="40"/>
        <v>#DIV/0!</v>
      </c>
      <c r="P49" s="467"/>
      <c r="Q49" s="464"/>
      <c r="R49" s="167"/>
      <c r="S49" s="468"/>
      <c r="T49" s="465"/>
      <c r="U49" s="156" t="e">
        <f t="shared" si="37"/>
        <v>#DIV/0!</v>
      </c>
      <c r="V49" s="467"/>
      <c r="W49" s="464"/>
    </row>
    <row r="50" spans="2:23">
      <c r="B50" s="479"/>
      <c r="C50" s="466"/>
      <c r="D50" s="80">
        <f t="shared" si="6"/>
        <v>46094</v>
      </c>
      <c r="E50" s="80" t="s">
        <v>114</v>
      </c>
      <c r="F50" s="166"/>
      <c r="G50" s="465"/>
      <c r="H50" s="465"/>
      <c r="I50" s="216"/>
      <c r="J50" s="480"/>
      <c r="K50" s="480"/>
      <c r="L50" s="166"/>
      <c r="M50" s="465"/>
      <c r="N50" s="465"/>
      <c r="O50" s="156" t="e">
        <f t="shared" si="40"/>
        <v>#DIV/0!</v>
      </c>
      <c r="P50" s="467"/>
      <c r="Q50" s="464"/>
      <c r="R50" s="167"/>
      <c r="S50" s="468"/>
      <c r="T50" s="465"/>
      <c r="U50" s="156" t="e">
        <f t="shared" si="37"/>
        <v>#DIV/0!</v>
      </c>
      <c r="V50" s="467"/>
      <c r="W50" s="464"/>
    </row>
    <row r="51" spans="2:23">
      <c r="B51" s="479"/>
      <c r="C51" s="466"/>
      <c r="D51" s="80">
        <f t="shared" si="6"/>
        <v>46095</v>
      </c>
      <c r="E51" s="80" t="s">
        <v>115</v>
      </c>
      <c r="F51" s="166"/>
      <c r="G51" s="465"/>
      <c r="H51" s="465"/>
      <c r="I51" s="216"/>
      <c r="J51" s="480"/>
      <c r="K51" s="480"/>
      <c r="L51" s="166"/>
      <c r="M51" s="465"/>
      <c r="N51" s="465"/>
      <c r="O51" s="156" t="e">
        <f t="shared" si="40"/>
        <v>#DIV/0!</v>
      </c>
      <c r="P51" s="467"/>
      <c r="Q51" s="464"/>
      <c r="R51" s="167"/>
      <c r="S51" s="468"/>
      <c r="T51" s="465"/>
      <c r="U51" s="156" t="e">
        <f t="shared" ref="U51:U67" si="43">R51/F51</f>
        <v>#DIV/0!</v>
      </c>
      <c r="V51" s="467"/>
      <c r="W51" s="464"/>
    </row>
    <row r="52" spans="2:23">
      <c r="B52" s="479"/>
      <c r="C52" s="466"/>
      <c r="D52" s="80">
        <f t="shared" si="6"/>
        <v>46096</v>
      </c>
      <c r="E52" s="80" t="s">
        <v>116</v>
      </c>
      <c r="F52" s="166"/>
      <c r="G52" s="465"/>
      <c r="H52" s="465"/>
      <c r="I52" s="216"/>
      <c r="J52" s="480"/>
      <c r="K52" s="480"/>
      <c r="L52" s="166"/>
      <c r="M52" s="465"/>
      <c r="N52" s="465"/>
      <c r="O52" s="156" t="e">
        <f t="shared" si="40"/>
        <v>#DIV/0!</v>
      </c>
      <c r="P52" s="467"/>
      <c r="Q52" s="464"/>
      <c r="R52" s="167"/>
      <c r="S52" s="468"/>
      <c r="T52" s="465"/>
      <c r="U52" s="156" t="e">
        <f t="shared" si="43"/>
        <v>#DIV/0!</v>
      </c>
      <c r="V52" s="467"/>
      <c r="W52" s="464"/>
    </row>
    <row r="53" spans="2:23">
      <c r="B53" s="479"/>
      <c r="C53" s="466"/>
      <c r="D53" s="80">
        <f t="shared" si="6"/>
        <v>46097</v>
      </c>
      <c r="E53" s="80" t="s">
        <v>117</v>
      </c>
      <c r="F53" s="166"/>
      <c r="G53" s="465"/>
      <c r="H53" s="465"/>
      <c r="I53" s="216"/>
      <c r="J53" s="480"/>
      <c r="K53" s="480"/>
      <c r="L53" s="166"/>
      <c r="M53" s="465"/>
      <c r="N53" s="465"/>
      <c r="O53" s="156" t="e">
        <f t="shared" si="40"/>
        <v>#DIV/0!</v>
      </c>
      <c r="P53" s="467"/>
      <c r="Q53" s="464"/>
      <c r="R53" s="167"/>
      <c r="S53" s="468"/>
      <c r="T53" s="465"/>
      <c r="U53" s="156" t="e">
        <f t="shared" si="43"/>
        <v>#DIV/0!</v>
      </c>
      <c r="V53" s="467"/>
      <c r="W53" s="464"/>
    </row>
    <row r="54" spans="2:23">
      <c r="B54" s="478">
        <f>B47+7</f>
        <v>46106</v>
      </c>
      <c r="C54" s="466"/>
      <c r="D54" s="80">
        <f t="shared" si="6"/>
        <v>46098</v>
      </c>
      <c r="E54" s="80" t="s">
        <v>118</v>
      </c>
      <c r="F54" s="166"/>
      <c r="G54" s="465">
        <f>SUM(F54:F60)</f>
        <v>0</v>
      </c>
      <c r="H54" s="465"/>
      <c r="I54" s="216"/>
      <c r="J54" s="480">
        <f t="shared" ref="J54" si="44">SUM(I54:I60)</f>
        <v>0</v>
      </c>
      <c r="K54" s="480"/>
      <c r="L54" s="166"/>
      <c r="M54" s="465">
        <f t="shared" ref="M54" si="45">SUM(L54:L60)</f>
        <v>0</v>
      </c>
      <c r="N54" s="465"/>
      <c r="O54" s="156" t="e">
        <f t="shared" si="40"/>
        <v>#DIV/0!</v>
      </c>
      <c r="P54" s="467" t="e">
        <f t="shared" ref="P54" si="46">M54/G54</f>
        <v>#DIV/0!</v>
      </c>
      <c r="Q54" s="464"/>
      <c r="R54" s="167"/>
      <c r="S54" s="468">
        <f t="shared" ref="S54" si="47">SUM(R54:R60)</f>
        <v>0</v>
      </c>
      <c r="T54" s="465"/>
      <c r="U54" s="156" t="e">
        <f t="shared" si="43"/>
        <v>#DIV/0!</v>
      </c>
      <c r="V54" s="467" t="e">
        <f>S54/G54</f>
        <v>#DIV/0!</v>
      </c>
      <c r="W54" s="464"/>
    </row>
    <row r="55" spans="2:23">
      <c r="B55" s="479"/>
      <c r="C55" s="466"/>
      <c r="D55" s="80">
        <f t="shared" si="6"/>
        <v>46099</v>
      </c>
      <c r="E55" s="80" t="s">
        <v>112</v>
      </c>
      <c r="F55" s="166"/>
      <c r="G55" s="465"/>
      <c r="H55" s="465"/>
      <c r="I55" s="216"/>
      <c r="J55" s="480"/>
      <c r="K55" s="480"/>
      <c r="L55" s="166"/>
      <c r="M55" s="465"/>
      <c r="N55" s="465"/>
      <c r="O55" s="156" t="e">
        <f t="shared" si="40"/>
        <v>#DIV/0!</v>
      </c>
      <c r="P55" s="467"/>
      <c r="Q55" s="464"/>
      <c r="R55" s="167"/>
      <c r="S55" s="468"/>
      <c r="T55" s="465"/>
      <c r="U55" s="156" t="e">
        <f t="shared" si="43"/>
        <v>#DIV/0!</v>
      </c>
      <c r="V55" s="467"/>
      <c r="W55" s="464"/>
    </row>
    <row r="56" spans="2:23">
      <c r="B56" s="479"/>
      <c r="C56" s="466"/>
      <c r="D56" s="80">
        <f t="shared" si="6"/>
        <v>46100</v>
      </c>
      <c r="E56" s="80" t="s">
        <v>113</v>
      </c>
      <c r="F56" s="166"/>
      <c r="G56" s="465"/>
      <c r="H56" s="465"/>
      <c r="I56" s="216"/>
      <c r="J56" s="480"/>
      <c r="K56" s="480"/>
      <c r="L56" s="166"/>
      <c r="M56" s="465"/>
      <c r="N56" s="465"/>
      <c r="O56" s="156" t="e">
        <f t="shared" si="40"/>
        <v>#DIV/0!</v>
      </c>
      <c r="P56" s="467"/>
      <c r="Q56" s="464"/>
      <c r="R56" s="167"/>
      <c r="S56" s="468"/>
      <c r="T56" s="465"/>
      <c r="U56" s="156" t="e">
        <f t="shared" si="43"/>
        <v>#DIV/0!</v>
      </c>
      <c r="V56" s="467"/>
      <c r="W56" s="464"/>
    </row>
    <row r="57" spans="2:23">
      <c r="B57" s="479"/>
      <c r="C57" s="466"/>
      <c r="D57" s="80">
        <f t="shared" si="6"/>
        <v>46101</v>
      </c>
      <c r="E57" s="80" t="s">
        <v>114</v>
      </c>
      <c r="F57" s="166"/>
      <c r="G57" s="465"/>
      <c r="H57" s="465"/>
      <c r="I57" s="216"/>
      <c r="J57" s="480"/>
      <c r="K57" s="480"/>
      <c r="L57" s="166"/>
      <c r="M57" s="465"/>
      <c r="N57" s="465"/>
      <c r="O57" s="156" t="e">
        <f t="shared" si="40"/>
        <v>#DIV/0!</v>
      </c>
      <c r="P57" s="467"/>
      <c r="Q57" s="464"/>
      <c r="R57" s="167"/>
      <c r="S57" s="468"/>
      <c r="T57" s="465"/>
      <c r="U57" s="156" t="e">
        <f t="shared" si="43"/>
        <v>#DIV/0!</v>
      </c>
      <c r="V57" s="467"/>
      <c r="W57" s="464"/>
    </row>
    <row r="58" spans="2:23">
      <c r="B58" s="479"/>
      <c r="C58" s="466"/>
      <c r="D58" s="80">
        <f t="shared" si="6"/>
        <v>46102</v>
      </c>
      <c r="E58" s="80" t="s">
        <v>115</v>
      </c>
      <c r="F58" s="166"/>
      <c r="G58" s="465"/>
      <c r="H58" s="465"/>
      <c r="I58" s="216"/>
      <c r="J58" s="480"/>
      <c r="K58" s="480"/>
      <c r="L58" s="166"/>
      <c r="M58" s="465"/>
      <c r="N58" s="465"/>
      <c r="O58" s="156" t="e">
        <f t="shared" si="40"/>
        <v>#DIV/0!</v>
      </c>
      <c r="P58" s="467"/>
      <c r="Q58" s="464"/>
      <c r="R58" s="167"/>
      <c r="S58" s="468"/>
      <c r="T58" s="465"/>
      <c r="U58" s="156" t="e">
        <f t="shared" si="43"/>
        <v>#DIV/0!</v>
      </c>
      <c r="V58" s="467"/>
      <c r="W58" s="464"/>
    </row>
    <row r="59" spans="2:23">
      <c r="B59" s="479"/>
      <c r="C59" s="466"/>
      <c r="D59" s="80">
        <f t="shared" si="6"/>
        <v>46103</v>
      </c>
      <c r="E59" s="80" t="s">
        <v>116</v>
      </c>
      <c r="F59" s="166"/>
      <c r="G59" s="465"/>
      <c r="H59" s="465"/>
      <c r="I59" s="216"/>
      <c r="J59" s="480"/>
      <c r="K59" s="480"/>
      <c r="L59" s="166"/>
      <c r="M59" s="465"/>
      <c r="N59" s="465"/>
      <c r="O59" s="156" t="e">
        <f t="shared" si="40"/>
        <v>#DIV/0!</v>
      </c>
      <c r="P59" s="467"/>
      <c r="Q59" s="464"/>
      <c r="R59" s="167"/>
      <c r="S59" s="468"/>
      <c r="T59" s="465"/>
      <c r="U59" s="156" t="e">
        <f t="shared" si="43"/>
        <v>#DIV/0!</v>
      </c>
      <c r="V59" s="467"/>
      <c r="W59" s="464"/>
    </row>
    <row r="60" spans="2:23">
      <c r="B60" s="479"/>
      <c r="C60" s="466"/>
      <c r="D60" s="80">
        <f t="shared" si="6"/>
        <v>46104</v>
      </c>
      <c r="E60" s="80" t="s">
        <v>117</v>
      </c>
      <c r="F60" s="166"/>
      <c r="G60" s="465"/>
      <c r="H60" s="465"/>
      <c r="I60" s="216"/>
      <c r="J60" s="480"/>
      <c r="K60" s="480"/>
      <c r="L60" s="166"/>
      <c r="M60" s="465"/>
      <c r="N60" s="465"/>
      <c r="O60" s="156" t="e">
        <f t="shared" si="40"/>
        <v>#DIV/0!</v>
      </c>
      <c r="P60" s="467"/>
      <c r="Q60" s="464"/>
      <c r="R60" s="167"/>
      <c r="S60" s="468"/>
      <c r="T60" s="465"/>
      <c r="U60" s="156" t="e">
        <f t="shared" si="43"/>
        <v>#DIV/0!</v>
      </c>
      <c r="V60" s="467"/>
      <c r="W60" s="464"/>
    </row>
    <row r="61" spans="2:23">
      <c r="B61" s="478">
        <f>B54+7</f>
        <v>46113</v>
      </c>
      <c r="C61" s="466"/>
      <c r="D61" s="80">
        <f t="shared" si="6"/>
        <v>46105</v>
      </c>
      <c r="E61" s="80" t="s">
        <v>118</v>
      </c>
      <c r="F61" s="166"/>
      <c r="G61" s="465">
        <f>SUM(F61:F67)</f>
        <v>0</v>
      </c>
      <c r="H61" s="465"/>
      <c r="I61" s="216"/>
      <c r="J61" s="480">
        <f t="shared" ref="J61" si="48">SUM(I61:I67)</f>
        <v>0</v>
      </c>
      <c r="K61" s="480"/>
      <c r="L61" s="166"/>
      <c r="M61" s="465">
        <f t="shared" ref="M61" si="49">SUM(L61:L67)</f>
        <v>0</v>
      </c>
      <c r="N61" s="465"/>
      <c r="O61" s="156" t="e">
        <f t="shared" si="40"/>
        <v>#DIV/0!</v>
      </c>
      <c r="P61" s="467" t="e">
        <f t="shared" ref="P61" si="50">M61/G61</f>
        <v>#DIV/0!</v>
      </c>
      <c r="Q61" s="464"/>
      <c r="R61" s="167"/>
      <c r="S61" s="468">
        <f t="shared" ref="S61" si="51">SUM(R61:R67)</f>
        <v>0</v>
      </c>
      <c r="T61" s="465"/>
      <c r="U61" s="156" t="e">
        <f t="shared" si="43"/>
        <v>#DIV/0!</v>
      </c>
      <c r="V61" s="467" t="e">
        <f>S61/G61</f>
        <v>#DIV/0!</v>
      </c>
      <c r="W61" s="464"/>
    </row>
    <row r="62" spans="2:23">
      <c r="B62" s="479"/>
      <c r="C62" s="466"/>
      <c r="D62" s="80">
        <f t="shared" si="6"/>
        <v>46106</v>
      </c>
      <c r="E62" s="80" t="s">
        <v>112</v>
      </c>
      <c r="F62" s="166"/>
      <c r="G62" s="465"/>
      <c r="H62" s="465"/>
      <c r="I62" s="216"/>
      <c r="J62" s="480"/>
      <c r="K62" s="480"/>
      <c r="L62" s="166"/>
      <c r="M62" s="465"/>
      <c r="N62" s="465"/>
      <c r="O62" s="156" t="e">
        <f t="shared" si="40"/>
        <v>#DIV/0!</v>
      </c>
      <c r="P62" s="467"/>
      <c r="Q62" s="464"/>
      <c r="R62" s="167"/>
      <c r="S62" s="468"/>
      <c r="T62" s="465"/>
      <c r="U62" s="156" t="e">
        <f t="shared" si="43"/>
        <v>#DIV/0!</v>
      </c>
      <c r="V62" s="467"/>
      <c r="W62" s="464"/>
    </row>
    <row r="63" spans="2:23">
      <c r="B63" s="479"/>
      <c r="C63" s="466"/>
      <c r="D63" s="80">
        <f t="shared" si="6"/>
        <v>46107</v>
      </c>
      <c r="E63" s="80" t="s">
        <v>113</v>
      </c>
      <c r="F63" s="166"/>
      <c r="G63" s="465"/>
      <c r="H63" s="465"/>
      <c r="I63" s="216"/>
      <c r="J63" s="480"/>
      <c r="K63" s="480"/>
      <c r="L63" s="166"/>
      <c r="M63" s="465"/>
      <c r="N63" s="465"/>
      <c r="O63" s="156" t="e">
        <f t="shared" si="40"/>
        <v>#DIV/0!</v>
      </c>
      <c r="P63" s="467"/>
      <c r="Q63" s="464"/>
      <c r="R63" s="167"/>
      <c r="S63" s="468"/>
      <c r="T63" s="465"/>
      <c r="U63" s="156" t="e">
        <f t="shared" si="43"/>
        <v>#DIV/0!</v>
      </c>
      <c r="V63" s="467"/>
      <c r="W63" s="464"/>
    </row>
    <row r="64" spans="2:23">
      <c r="B64" s="479"/>
      <c r="C64" s="466"/>
      <c r="D64" s="80">
        <f t="shared" si="6"/>
        <v>46108</v>
      </c>
      <c r="E64" s="80" t="s">
        <v>114</v>
      </c>
      <c r="F64" s="166"/>
      <c r="G64" s="465"/>
      <c r="H64" s="465"/>
      <c r="I64" s="216"/>
      <c r="J64" s="480"/>
      <c r="K64" s="480"/>
      <c r="L64" s="166"/>
      <c r="M64" s="465"/>
      <c r="N64" s="465"/>
      <c r="O64" s="156" t="e">
        <f t="shared" si="40"/>
        <v>#DIV/0!</v>
      </c>
      <c r="P64" s="467"/>
      <c r="Q64" s="464"/>
      <c r="R64" s="167"/>
      <c r="S64" s="468"/>
      <c r="T64" s="465"/>
      <c r="U64" s="156" t="e">
        <f t="shared" si="43"/>
        <v>#DIV/0!</v>
      </c>
      <c r="V64" s="467"/>
      <c r="W64" s="464"/>
    </row>
    <row r="65" spans="2:23">
      <c r="B65" s="479"/>
      <c r="C65" s="466"/>
      <c r="D65" s="80">
        <f t="shared" si="6"/>
        <v>46109</v>
      </c>
      <c r="E65" s="80" t="s">
        <v>115</v>
      </c>
      <c r="F65" s="166"/>
      <c r="G65" s="465"/>
      <c r="H65" s="465"/>
      <c r="I65" s="216"/>
      <c r="J65" s="480"/>
      <c r="K65" s="480"/>
      <c r="L65" s="166"/>
      <c r="M65" s="465"/>
      <c r="N65" s="465"/>
      <c r="O65" s="156" t="e">
        <f t="shared" si="40"/>
        <v>#DIV/0!</v>
      </c>
      <c r="P65" s="467"/>
      <c r="Q65" s="464"/>
      <c r="R65" s="167"/>
      <c r="S65" s="468"/>
      <c r="T65" s="465"/>
      <c r="U65" s="156" t="e">
        <f t="shared" si="43"/>
        <v>#DIV/0!</v>
      </c>
      <c r="V65" s="467"/>
      <c r="W65" s="464"/>
    </row>
    <row r="66" spans="2:23">
      <c r="B66" s="479"/>
      <c r="D66" s="80">
        <f t="shared" si="6"/>
        <v>46110</v>
      </c>
      <c r="E66" s="80" t="s">
        <v>116</v>
      </c>
      <c r="F66" s="166"/>
      <c r="G66" s="465"/>
      <c r="H66" s="465"/>
      <c r="I66" s="216"/>
      <c r="J66" s="480"/>
      <c r="K66" s="480"/>
      <c r="L66" s="166"/>
      <c r="M66" s="465"/>
      <c r="N66" s="465"/>
      <c r="O66" s="156" t="e">
        <f t="shared" si="40"/>
        <v>#DIV/0!</v>
      </c>
      <c r="P66" s="467"/>
      <c r="Q66" s="464"/>
      <c r="R66" s="167"/>
      <c r="S66" s="468"/>
      <c r="T66" s="465"/>
      <c r="U66" s="156" t="e">
        <f t="shared" si="43"/>
        <v>#DIV/0!</v>
      </c>
      <c r="V66" s="467"/>
      <c r="W66" s="464"/>
    </row>
    <row r="67" spans="2:23">
      <c r="B67" s="479"/>
      <c r="D67" s="80">
        <f t="shared" si="6"/>
        <v>46111</v>
      </c>
      <c r="E67" s="80" t="s">
        <v>117</v>
      </c>
      <c r="F67" s="166"/>
      <c r="G67" s="465"/>
      <c r="H67" s="465"/>
      <c r="I67" s="216"/>
      <c r="J67" s="480"/>
      <c r="K67" s="480"/>
      <c r="L67" s="166"/>
      <c r="M67" s="465"/>
      <c r="N67" s="465"/>
      <c r="O67" s="156" t="e">
        <f t="shared" si="40"/>
        <v>#DIV/0!</v>
      </c>
      <c r="P67" s="467"/>
      <c r="Q67" s="464"/>
      <c r="R67" s="167"/>
      <c r="S67" s="468"/>
      <c r="T67" s="465"/>
      <c r="U67" s="156" t="e">
        <f t="shared" si="43"/>
        <v>#DIV/0!</v>
      </c>
      <c r="V67" s="467"/>
      <c r="W67" s="464"/>
    </row>
    <row r="68" spans="2:23">
      <c r="H68" s="166"/>
      <c r="K68" s="166"/>
      <c r="N68" s="166"/>
      <c r="Q68" s="450"/>
      <c r="T68" s="166"/>
      <c r="W68" s="450"/>
    </row>
  </sheetData>
  <mergeCells count="92">
    <mergeCell ref="W38:W67"/>
    <mergeCell ref="H37:H67"/>
    <mergeCell ref="K37:K67"/>
    <mergeCell ref="V61:V67"/>
    <mergeCell ref="N38:N67"/>
    <mergeCell ref="M61:M67"/>
    <mergeCell ref="P61:P67"/>
    <mergeCell ref="V47:V53"/>
    <mergeCell ref="M54:M60"/>
    <mergeCell ref="P54:P60"/>
    <mergeCell ref="S54:S60"/>
    <mergeCell ref="V54:V60"/>
    <mergeCell ref="N10:N37"/>
    <mergeCell ref="Q10:Q37"/>
    <mergeCell ref="Q38:Q67"/>
    <mergeCell ref="M47:M53"/>
    <mergeCell ref="B47:B53"/>
    <mergeCell ref="G47:G53"/>
    <mergeCell ref="J47:J53"/>
    <mergeCell ref="B5:B11"/>
    <mergeCell ref="G5:G11"/>
    <mergeCell ref="J5:J11"/>
    <mergeCell ref="C5:C9"/>
    <mergeCell ref="B61:B67"/>
    <mergeCell ref="G61:G67"/>
    <mergeCell ref="J61:J67"/>
    <mergeCell ref="B54:B60"/>
    <mergeCell ref="G54:G60"/>
    <mergeCell ref="J54:J60"/>
    <mergeCell ref="B40:B46"/>
    <mergeCell ref="G40:G46"/>
    <mergeCell ref="J40:J46"/>
    <mergeCell ref="M40:M46"/>
    <mergeCell ref="H10:H36"/>
    <mergeCell ref="K10:K36"/>
    <mergeCell ref="C10:C37"/>
    <mergeCell ref="M5:M11"/>
    <mergeCell ref="B33:B39"/>
    <mergeCell ref="G33:G39"/>
    <mergeCell ref="J33:J39"/>
    <mergeCell ref="B26:B32"/>
    <mergeCell ref="G26:G32"/>
    <mergeCell ref="J26:J32"/>
    <mergeCell ref="M26:M32"/>
    <mergeCell ref="B12:B18"/>
    <mergeCell ref="G12:G18"/>
    <mergeCell ref="J12:J18"/>
    <mergeCell ref="M12:M18"/>
    <mergeCell ref="B19:B25"/>
    <mergeCell ref="G19:G25"/>
    <mergeCell ref="J19:J25"/>
    <mergeCell ref="M19:M25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P5:P11"/>
    <mergeCell ref="P26:P32"/>
    <mergeCell ref="S12:S18"/>
    <mergeCell ref="S19:S25"/>
    <mergeCell ref="N5:N9"/>
    <mergeCell ref="Q5:Q9"/>
    <mergeCell ref="V19:V25"/>
    <mergeCell ref="P19:P25"/>
    <mergeCell ref="V12:V18"/>
    <mergeCell ref="S26:S32"/>
    <mergeCell ref="V33:V39"/>
    <mergeCell ref="V26:V32"/>
    <mergeCell ref="T38:T67"/>
    <mergeCell ref="P47:P53"/>
    <mergeCell ref="W10:W37"/>
    <mergeCell ref="W5:W9"/>
    <mergeCell ref="C38:C65"/>
    <mergeCell ref="P40:P46"/>
    <mergeCell ref="S40:S46"/>
    <mergeCell ref="S47:S53"/>
    <mergeCell ref="S61:S67"/>
    <mergeCell ref="V40:V46"/>
    <mergeCell ref="M33:M39"/>
    <mergeCell ref="P33:P39"/>
    <mergeCell ref="S33:S39"/>
    <mergeCell ref="T5:T9"/>
    <mergeCell ref="T10:T37"/>
    <mergeCell ref="P12:P18"/>
    <mergeCell ref="S5:S11"/>
    <mergeCell ref="V5:V11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6"/>
  <sheetViews>
    <sheetView zoomScale="85" zoomScaleNormal="85" workbookViewId="0">
      <selection activeCell="U18" sqref="U18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372</v>
      </c>
      <c r="C1" s="168">
        <v>497.6</v>
      </c>
    </row>
    <row r="2" spans="2:23" ht="38.1" customHeight="1">
      <c r="B2" s="470" t="s">
        <v>131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</row>
    <row r="3" spans="2:23" s="71" customFormat="1" ht="23.45" customHeight="1">
      <c r="B3" s="474" t="s">
        <v>122</v>
      </c>
      <c r="C3" s="475" t="s">
        <v>119</v>
      </c>
      <c r="D3" s="476" t="s">
        <v>105</v>
      </c>
      <c r="E3" s="476"/>
      <c r="F3" s="487" t="s">
        <v>107</v>
      </c>
      <c r="G3" s="487"/>
      <c r="H3" s="487"/>
      <c r="I3" s="488" t="s">
        <v>108</v>
      </c>
      <c r="J3" s="488"/>
      <c r="K3" s="488"/>
      <c r="L3" s="485" t="s">
        <v>331</v>
      </c>
      <c r="M3" s="485"/>
      <c r="N3" s="485"/>
      <c r="O3" s="485" t="s">
        <v>106</v>
      </c>
      <c r="P3" s="485"/>
      <c r="Q3" s="485"/>
      <c r="R3" s="485" t="s">
        <v>371</v>
      </c>
      <c r="S3" s="485"/>
      <c r="T3" s="485"/>
      <c r="U3" s="485" t="s">
        <v>461</v>
      </c>
      <c r="V3" s="485"/>
      <c r="W3" s="485"/>
    </row>
    <row r="4" spans="2:23" ht="15.75">
      <c r="B4" s="474"/>
      <c r="C4" s="475"/>
      <c r="D4" s="476"/>
      <c r="E4" s="476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78">
        <v>46057</v>
      </c>
      <c r="C5" s="481"/>
      <c r="D5" s="80">
        <v>46049</v>
      </c>
      <c r="E5" s="80" t="s">
        <v>118</v>
      </c>
      <c r="F5" s="87">
        <v>464.4470509433886</v>
      </c>
      <c r="G5" s="483">
        <f>AVERAGE(F5:F11)</f>
        <v>471.15538123467678</v>
      </c>
      <c r="H5" s="481"/>
      <c r="I5" s="156">
        <f>F5/$C$1</f>
        <v>0.93337429851967157</v>
      </c>
      <c r="J5" s="467">
        <f t="shared" ref="J5" si="0">AVERAGE(I5:I11)</f>
        <v>0.94685566968383605</v>
      </c>
      <c r="K5" s="483"/>
      <c r="L5" s="164">
        <v>2.4116968423903099E-3</v>
      </c>
      <c r="M5" s="484">
        <f t="shared" ref="M5" si="1">AVERAGE(L5:L11)</f>
        <v>2.4091777533940492E-3</v>
      </c>
      <c r="N5" s="484"/>
      <c r="O5" s="84">
        <v>5.4938914498466225E-3</v>
      </c>
      <c r="P5" s="482">
        <f t="shared" ref="P5" si="2">AVERAGE(O5:O11)</f>
        <v>5.484379255953931E-3</v>
      </c>
      <c r="Q5" s="481"/>
      <c r="R5" s="156">
        <v>0.9</v>
      </c>
      <c r="S5" s="467">
        <f t="shared" ref="S5" si="3">AVERAGE(R5:R11)</f>
        <v>0.90000000000000013</v>
      </c>
      <c r="T5" s="482"/>
      <c r="U5" s="156">
        <f>5/52*100%</f>
        <v>9.6153846153846159E-2</v>
      </c>
      <c r="V5" s="467">
        <f t="shared" ref="V5" si="4">AVERAGE(U5:U11)</f>
        <v>9.6153846153846159E-2</v>
      </c>
      <c r="W5" s="482"/>
    </row>
    <row r="6" spans="2:23">
      <c r="B6" s="478"/>
      <c r="C6" s="481"/>
      <c r="D6" s="80">
        <f t="shared" ref="D6:D18" si="5">D5+1</f>
        <v>46050</v>
      </c>
      <c r="E6" s="80" t="s">
        <v>112</v>
      </c>
      <c r="F6" s="87">
        <v>464.47506046864356</v>
      </c>
      <c r="G6" s="483"/>
      <c r="H6" s="481"/>
      <c r="I6" s="156">
        <f t="shared" ref="I6:I11" si="6">F6/$C$1</f>
        <v>0.93343058775852805</v>
      </c>
      <c r="J6" s="467"/>
      <c r="K6" s="483"/>
      <c r="L6" s="164">
        <v>2.4101400307715436E-3</v>
      </c>
      <c r="M6" s="484"/>
      <c r="N6" s="484"/>
      <c r="O6" s="84">
        <v>5.4977047280436332E-3</v>
      </c>
      <c r="P6" s="482"/>
      <c r="Q6" s="481"/>
      <c r="R6" s="156">
        <v>0.9</v>
      </c>
      <c r="S6" s="467"/>
      <c r="T6" s="482"/>
      <c r="U6" s="156">
        <f t="shared" ref="U6:U11" si="7">5/52*100%</f>
        <v>9.6153846153846159E-2</v>
      </c>
      <c r="V6" s="467"/>
      <c r="W6" s="482"/>
    </row>
    <row r="7" spans="2:23">
      <c r="B7" s="478"/>
      <c r="C7" s="481"/>
      <c r="D7" s="80">
        <f t="shared" si="5"/>
        <v>46051</v>
      </c>
      <c r="E7" s="80" t="s">
        <v>113</v>
      </c>
      <c r="F7" s="87">
        <v>463.28112507208476</v>
      </c>
      <c r="G7" s="483"/>
      <c r="H7" s="481"/>
      <c r="I7" s="156">
        <f t="shared" si="6"/>
        <v>0.93103119990370731</v>
      </c>
      <c r="J7" s="467"/>
      <c r="K7" s="483"/>
      <c r="L7" s="164">
        <v>2.4038368305755839E-3</v>
      </c>
      <c r="M7" s="484"/>
      <c r="N7" s="484"/>
      <c r="O7" s="84">
        <v>5.4877594781794293E-3</v>
      </c>
      <c r="P7" s="482"/>
      <c r="Q7" s="481"/>
      <c r="R7" s="156">
        <v>0.9</v>
      </c>
      <c r="S7" s="467"/>
      <c r="T7" s="482"/>
      <c r="U7" s="156">
        <f t="shared" si="7"/>
        <v>9.6153846153846159E-2</v>
      </c>
      <c r="V7" s="467"/>
      <c r="W7" s="482"/>
    </row>
    <row r="8" spans="2:23">
      <c r="B8" s="478"/>
      <c r="C8" s="481"/>
      <c r="D8" s="80">
        <f t="shared" si="5"/>
        <v>46052</v>
      </c>
      <c r="E8" s="80" t="s">
        <v>114</v>
      </c>
      <c r="F8" s="87">
        <v>485.61791829084297</v>
      </c>
      <c r="G8" s="483"/>
      <c r="H8" s="481"/>
      <c r="I8" s="156">
        <f t="shared" si="6"/>
        <v>0.97592025379992553</v>
      </c>
      <c r="J8" s="467"/>
      <c r="K8" s="483"/>
      <c r="L8" s="164">
        <v>2.4044941075920755E-3</v>
      </c>
      <c r="M8" s="484"/>
      <c r="N8" s="484"/>
      <c r="O8" s="84">
        <v>5.4453131779821926E-3</v>
      </c>
      <c r="P8" s="482"/>
      <c r="Q8" s="481"/>
      <c r="R8" s="156">
        <v>0.9</v>
      </c>
      <c r="S8" s="467"/>
      <c r="T8" s="482"/>
      <c r="U8" s="156">
        <f t="shared" si="7"/>
        <v>9.6153846153846159E-2</v>
      </c>
      <c r="V8" s="467"/>
      <c r="W8" s="482"/>
    </row>
    <row r="9" spans="2:23">
      <c r="B9" s="478"/>
      <c r="C9" s="481"/>
      <c r="D9" s="80">
        <f t="shared" si="5"/>
        <v>46053</v>
      </c>
      <c r="E9" s="80" t="s">
        <v>115</v>
      </c>
      <c r="F9" s="87">
        <v>485.65869425391793</v>
      </c>
      <c r="G9" s="483"/>
      <c r="H9" s="481"/>
      <c r="I9" s="156">
        <f t="shared" si="6"/>
        <v>0.97600219906333985</v>
      </c>
      <c r="J9" s="467"/>
      <c r="K9" s="483"/>
      <c r="L9" s="164">
        <v>2.4081845897083272E-3</v>
      </c>
      <c r="M9" s="484"/>
      <c r="N9" s="484"/>
      <c r="O9" s="84">
        <v>5.4880042220004496E-3</v>
      </c>
      <c r="P9" s="482"/>
      <c r="Q9" s="481"/>
      <c r="R9" s="156">
        <v>0.9</v>
      </c>
      <c r="S9" s="467"/>
      <c r="T9" s="482"/>
      <c r="U9" s="156">
        <f t="shared" si="7"/>
        <v>9.6153846153846159E-2</v>
      </c>
      <c r="V9" s="467"/>
      <c r="W9" s="482"/>
    </row>
    <row r="10" spans="2:23">
      <c r="B10" s="478"/>
      <c r="C10" s="466" t="s">
        <v>118</v>
      </c>
      <c r="D10" s="80">
        <f t="shared" si="5"/>
        <v>46054</v>
      </c>
      <c r="E10" s="80" t="s">
        <v>116</v>
      </c>
      <c r="F10" s="87">
        <v>467.59643520057693</v>
      </c>
      <c r="G10" s="483"/>
      <c r="H10" s="483">
        <f>AVERAGEIF(F10:F37,"&lt;&gt;0")</f>
        <v>470.87245555628203</v>
      </c>
      <c r="I10" s="156">
        <f t="shared" si="6"/>
        <v>0.93970344694649699</v>
      </c>
      <c r="J10" s="467"/>
      <c r="K10" s="482">
        <f>AVERAGEIF(I10:I37,"&lt;&gt;0")</f>
        <v>0.94628708914043835</v>
      </c>
      <c r="L10" s="164">
        <v>2.413540820720911E-3</v>
      </c>
      <c r="M10" s="484"/>
      <c r="N10" s="484">
        <f>AVERAGEIF(L10:L37,"&lt;&gt;0")</f>
        <v>2.4070642387019089E-3</v>
      </c>
      <c r="O10" s="84">
        <v>5.502152172671174E-3</v>
      </c>
      <c r="P10" s="482"/>
      <c r="Q10" s="482">
        <f>AVERAGEIF(O10:O37,"&lt;&gt;0")</f>
        <v>5.4871638408937537E-3</v>
      </c>
      <c r="R10" s="156">
        <v>0.9</v>
      </c>
      <c r="S10" s="467"/>
      <c r="T10" s="482">
        <f>AVERAGEIF(R10:R37,"&lt;&gt;0")</f>
        <v>0.90000000000000013</v>
      </c>
      <c r="U10" s="156">
        <f t="shared" si="7"/>
        <v>9.6153846153846159E-2</v>
      </c>
      <c r="V10" s="467"/>
      <c r="W10" s="482">
        <f>AVERAGEIF(U10:U37,"&lt;&gt;0")</f>
        <v>0.11111111111111113</v>
      </c>
    </row>
    <row r="11" spans="2:23">
      <c r="B11" s="478"/>
      <c r="C11" s="466"/>
      <c r="D11" s="80">
        <f t="shared" si="5"/>
        <v>46055</v>
      </c>
      <c r="E11" s="80" t="s">
        <v>117</v>
      </c>
      <c r="F11" s="87">
        <v>467.01138441328305</v>
      </c>
      <c r="G11" s="483"/>
      <c r="H11" s="483"/>
      <c r="I11" s="156">
        <f t="shared" si="6"/>
        <v>0.93852770179518297</v>
      </c>
      <c r="J11" s="467"/>
      <c r="K11" s="482"/>
      <c r="L11" s="164">
        <v>2.4123510519995926E-3</v>
      </c>
      <c r="M11" s="484"/>
      <c r="N11" s="484"/>
      <c r="O11" s="84">
        <v>5.4758295629540156E-3</v>
      </c>
      <c r="P11" s="482"/>
      <c r="Q11" s="482"/>
      <c r="R11" s="156">
        <v>0.9</v>
      </c>
      <c r="S11" s="467"/>
      <c r="T11" s="482"/>
      <c r="U11" s="156">
        <f t="shared" si="7"/>
        <v>9.6153846153846159E-2</v>
      </c>
      <c r="V11" s="467"/>
      <c r="W11" s="482"/>
    </row>
    <row r="12" spans="2:23">
      <c r="B12" s="478">
        <f t="shared" ref="B12" si="8">B5+7</f>
        <v>46064</v>
      </c>
      <c r="C12" s="466"/>
      <c r="D12" s="80">
        <f t="shared" si="5"/>
        <v>46056</v>
      </c>
      <c r="E12" s="80" t="s">
        <v>118</v>
      </c>
      <c r="F12" s="87">
        <v>467.06787573804536</v>
      </c>
      <c r="G12" s="483">
        <f t="shared" ref="G12" si="9">AVERAGE(F12:F18)</f>
        <v>471.89204005609696</v>
      </c>
      <c r="H12" s="483"/>
      <c r="I12" s="156">
        <f>F12/$C$1</f>
        <v>0.93864122937710071</v>
      </c>
      <c r="J12" s="467">
        <f t="shared" ref="J12" si="10">AVERAGE(I12:I18)</f>
        <v>0.94833609336032343</v>
      </c>
      <c r="K12" s="482"/>
      <c r="L12" s="164">
        <v>2.4099596165869106E-3</v>
      </c>
      <c r="M12" s="484">
        <f t="shared" ref="M12" si="11">AVERAGE(L12:L18)</f>
        <v>2.4053837536566684E-3</v>
      </c>
      <c r="N12" s="484"/>
      <c r="O12" s="84">
        <v>5.4563540137344052E-3</v>
      </c>
      <c r="P12" s="467">
        <f t="shared" ref="P12" si="12">AVERAGE(O12:O18)</f>
        <v>5.4866418332026557E-3</v>
      </c>
      <c r="Q12" s="482"/>
      <c r="R12" s="156">
        <v>0.9</v>
      </c>
      <c r="S12" s="467">
        <f t="shared" ref="S12" si="13">AVERAGE(R12:R18)</f>
        <v>0.90000000000000013</v>
      </c>
      <c r="T12" s="482"/>
      <c r="U12" s="156">
        <f>6/52*100%</f>
        <v>0.11538461538461539</v>
      </c>
      <c r="V12" s="467">
        <f t="shared" ref="V12" si="14">AVERAGE(U12:U18)</f>
        <v>0.1153846153846154</v>
      </c>
      <c r="W12" s="482"/>
    </row>
    <row r="13" spans="2:23">
      <c r="B13" s="478"/>
      <c r="C13" s="466"/>
      <c r="D13" s="80">
        <f t="shared" si="5"/>
        <v>46057</v>
      </c>
      <c r="E13" s="80" t="s">
        <v>112</v>
      </c>
      <c r="F13" s="87">
        <v>467.08348187143656</v>
      </c>
      <c r="G13" s="483"/>
      <c r="H13" s="483"/>
      <c r="I13" s="156">
        <f t="shared" ref="I13:I18" si="15">F13/$C$1</f>
        <v>0.93867259218536281</v>
      </c>
      <c r="J13" s="467"/>
      <c r="K13" s="482"/>
      <c r="L13" s="164">
        <v>2.4057725748501298E-3</v>
      </c>
      <c r="M13" s="484"/>
      <c r="N13" s="484"/>
      <c r="O13" s="84">
        <v>5.4342784758805458E-3</v>
      </c>
      <c r="P13" s="467"/>
      <c r="Q13" s="482"/>
      <c r="R13" s="156">
        <v>0.9</v>
      </c>
      <c r="S13" s="467"/>
      <c r="T13" s="482"/>
      <c r="U13" s="156">
        <f t="shared" ref="U13:U18" si="16">6/52*100%</f>
        <v>0.11538461538461539</v>
      </c>
      <c r="V13" s="467"/>
      <c r="W13" s="482"/>
    </row>
    <row r="14" spans="2:23">
      <c r="B14" s="478"/>
      <c r="C14" s="466"/>
      <c r="D14" s="80">
        <f t="shared" si="5"/>
        <v>46058</v>
      </c>
      <c r="E14" s="80" t="s">
        <v>113</v>
      </c>
      <c r="F14" s="87">
        <v>464.03002289697281</v>
      </c>
      <c r="G14" s="483"/>
      <c r="H14" s="483"/>
      <c r="I14" s="156">
        <f t="shared" si="15"/>
        <v>0.93253621964825717</v>
      </c>
      <c r="J14" s="467"/>
      <c r="K14" s="482"/>
      <c r="L14" s="164">
        <v>2.4042543473907999E-3</v>
      </c>
      <c r="M14" s="484"/>
      <c r="N14" s="484"/>
      <c r="O14" s="84">
        <v>5.6361359183484828E-3</v>
      </c>
      <c r="P14" s="467"/>
      <c r="Q14" s="482"/>
      <c r="R14" s="156">
        <v>0.9</v>
      </c>
      <c r="S14" s="467"/>
      <c r="T14" s="482"/>
      <c r="U14" s="156">
        <f t="shared" si="16"/>
        <v>0.11538461538461539</v>
      </c>
      <c r="V14" s="467"/>
      <c r="W14" s="482"/>
    </row>
    <row r="15" spans="2:23">
      <c r="B15" s="478"/>
      <c r="C15" s="466"/>
      <c r="D15" s="80">
        <f t="shared" si="5"/>
        <v>46059</v>
      </c>
      <c r="E15" s="80" t="s">
        <v>114</v>
      </c>
      <c r="F15" s="87">
        <v>484.44025018378358</v>
      </c>
      <c r="G15" s="483"/>
      <c r="H15" s="483"/>
      <c r="I15" s="156">
        <f t="shared" si="15"/>
        <v>0.97355355744329497</v>
      </c>
      <c r="J15" s="467"/>
      <c r="K15" s="482"/>
      <c r="L15" s="164">
        <v>2.4039703335266343E-3</v>
      </c>
      <c r="M15" s="484"/>
      <c r="N15" s="484"/>
      <c r="O15" s="84">
        <v>5.6098774619075982E-3</v>
      </c>
      <c r="P15" s="467"/>
      <c r="Q15" s="482"/>
      <c r="R15" s="156">
        <v>0.9</v>
      </c>
      <c r="S15" s="467"/>
      <c r="T15" s="482"/>
      <c r="U15" s="156">
        <f t="shared" si="16"/>
        <v>0.11538461538461539</v>
      </c>
      <c r="V15" s="467"/>
      <c r="W15" s="482"/>
    </row>
    <row r="16" spans="2:23">
      <c r="B16" s="478"/>
      <c r="C16" s="466"/>
      <c r="D16" s="80">
        <f t="shared" si="5"/>
        <v>46060</v>
      </c>
      <c r="E16" s="80" t="s">
        <v>115</v>
      </c>
      <c r="F16" s="87">
        <v>488.9690482521039</v>
      </c>
      <c r="G16" s="483"/>
      <c r="H16" s="483"/>
      <c r="I16" s="156">
        <f t="shared" si="15"/>
        <v>0.9826548397349355</v>
      </c>
      <c r="J16" s="467"/>
      <c r="K16" s="482"/>
      <c r="L16" s="164">
        <v>2.3935393729838015E-3</v>
      </c>
      <c r="M16" s="484"/>
      <c r="N16" s="484"/>
      <c r="O16" s="84">
        <v>5.4016522713082578E-3</v>
      </c>
      <c r="P16" s="467"/>
      <c r="Q16" s="482"/>
      <c r="R16" s="156">
        <v>0.9</v>
      </c>
      <c r="S16" s="467"/>
      <c r="T16" s="482"/>
      <c r="U16" s="156">
        <f t="shared" si="16"/>
        <v>0.11538461538461539</v>
      </c>
      <c r="V16" s="467"/>
      <c r="W16" s="482"/>
    </row>
    <row r="17" spans="2:23">
      <c r="B17" s="478"/>
      <c r="C17" s="466"/>
      <c r="D17" s="80">
        <f t="shared" si="5"/>
        <v>46061</v>
      </c>
      <c r="E17" s="80" t="s">
        <v>116</v>
      </c>
      <c r="F17" s="87">
        <v>465.70358954895318</v>
      </c>
      <c r="G17" s="483"/>
      <c r="H17" s="483"/>
      <c r="I17" s="156">
        <f t="shared" si="15"/>
        <v>0.9358994966819798</v>
      </c>
      <c r="J17" s="467"/>
      <c r="K17" s="482"/>
      <c r="L17" s="164">
        <v>2.4099821379163565E-3</v>
      </c>
      <c r="M17" s="484"/>
      <c r="N17" s="484"/>
      <c r="O17" s="84">
        <v>5.4364217029876536E-3</v>
      </c>
      <c r="P17" s="467"/>
      <c r="Q17" s="482"/>
      <c r="R17" s="156">
        <v>0.9</v>
      </c>
      <c r="S17" s="467"/>
      <c r="T17" s="482"/>
      <c r="U17" s="156">
        <f t="shared" si="16"/>
        <v>0.11538461538461539</v>
      </c>
      <c r="V17" s="467"/>
      <c r="W17" s="482"/>
    </row>
    <row r="18" spans="2:23">
      <c r="B18" s="478"/>
      <c r="C18" s="466"/>
      <c r="D18" s="80">
        <f t="shared" si="5"/>
        <v>46062</v>
      </c>
      <c r="E18" s="80" t="s">
        <v>117</v>
      </c>
      <c r="F18" s="87">
        <v>465.9500119013835</v>
      </c>
      <c r="G18" s="483"/>
      <c r="H18" s="483"/>
      <c r="I18" s="156">
        <f t="shared" si="15"/>
        <v>0.93639471845133337</v>
      </c>
      <c r="J18" s="467"/>
      <c r="K18" s="482"/>
      <c r="L18" s="164">
        <v>2.410207892342045E-3</v>
      </c>
      <c r="M18" s="484"/>
      <c r="N18" s="484"/>
      <c r="O18" s="84">
        <v>5.4317729882516529E-3</v>
      </c>
      <c r="P18" s="467"/>
      <c r="Q18" s="482"/>
      <c r="R18" s="156">
        <v>0.9</v>
      </c>
      <c r="S18" s="467"/>
      <c r="T18" s="482"/>
      <c r="U18" s="156">
        <f t="shared" si="16"/>
        <v>0.11538461538461539</v>
      </c>
      <c r="V18" s="467"/>
      <c r="W18" s="482"/>
    </row>
    <row r="19" spans="2:23">
      <c r="B19" s="478">
        <f t="shared" ref="B19" si="17">B12+7</f>
        <v>46071</v>
      </c>
      <c r="C19" s="466"/>
      <c r="D19" s="80">
        <f t="shared" ref="D19:D21" si="18">D18+1</f>
        <v>46063</v>
      </c>
      <c r="E19" s="80" t="s">
        <v>118</v>
      </c>
      <c r="F19" s="87"/>
      <c r="G19" s="483" t="e">
        <f t="shared" ref="G19" si="19">AVERAGE(F19:F25)</f>
        <v>#DIV/0!</v>
      </c>
      <c r="H19" s="483"/>
      <c r="I19" s="156">
        <f>F19/$C$1</f>
        <v>0</v>
      </c>
      <c r="J19" s="467">
        <f t="shared" ref="J19" si="20">AVERAGE(I19:I25)</f>
        <v>0</v>
      </c>
      <c r="K19" s="482"/>
      <c r="L19" s="164"/>
      <c r="M19" s="484" t="e">
        <f t="shared" ref="M19" si="21">AVERAGE(L19:L25)</f>
        <v>#DIV/0!</v>
      </c>
      <c r="N19" s="484"/>
      <c r="O19" s="84"/>
      <c r="P19" s="482" t="e">
        <f t="shared" ref="P19" si="22">AVERAGE(O19:O25)</f>
        <v>#DIV/0!</v>
      </c>
      <c r="Q19" s="482"/>
      <c r="R19" s="156"/>
      <c r="S19" s="467" t="e">
        <f t="shared" ref="S19" si="23">AVERAGE(R19:R25)</f>
        <v>#DIV/0!</v>
      </c>
      <c r="T19" s="482"/>
      <c r="U19" s="156"/>
      <c r="V19" s="467" t="e">
        <f t="shared" ref="V19" si="24">AVERAGE(U19:U25)</f>
        <v>#DIV/0!</v>
      </c>
      <c r="W19" s="482"/>
    </row>
    <row r="20" spans="2:23">
      <c r="B20" s="478"/>
      <c r="C20" s="466"/>
      <c r="D20" s="80">
        <f t="shared" si="18"/>
        <v>46064</v>
      </c>
      <c r="E20" s="80" t="s">
        <v>112</v>
      </c>
      <c r="F20" s="87"/>
      <c r="G20" s="483"/>
      <c r="H20" s="483"/>
      <c r="I20" s="156">
        <f t="shared" ref="I20:I25" si="25">F20/$C$1</f>
        <v>0</v>
      </c>
      <c r="J20" s="467"/>
      <c r="K20" s="482"/>
      <c r="L20" s="164"/>
      <c r="M20" s="484"/>
      <c r="N20" s="484"/>
      <c r="O20" s="84"/>
      <c r="P20" s="482"/>
      <c r="Q20" s="482"/>
      <c r="R20" s="156"/>
      <c r="S20" s="467"/>
      <c r="T20" s="482"/>
      <c r="U20" s="156"/>
      <c r="V20" s="467"/>
      <c r="W20" s="482"/>
    </row>
    <row r="21" spans="2:23">
      <c r="B21" s="478"/>
      <c r="C21" s="466"/>
      <c r="D21" s="80">
        <f t="shared" si="18"/>
        <v>46065</v>
      </c>
      <c r="E21" s="80" t="s">
        <v>113</v>
      </c>
      <c r="F21" s="87"/>
      <c r="G21" s="483"/>
      <c r="H21" s="483"/>
      <c r="I21" s="156">
        <f t="shared" si="25"/>
        <v>0</v>
      </c>
      <c r="J21" s="467"/>
      <c r="K21" s="482"/>
      <c r="L21" s="164"/>
      <c r="M21" s="484"/>
      <c r="N21" s="484"/>
      <c r="O21" s="84"/>
      <c r="P21" s="482"/>
      <c r="Q21" s="482"/>
      <c r="R21" s="156"/>
      <c r="S21" s="467"/>
      <c r="T21" s="482"/>
      <c r="U21" s="156"/>
      <c r="V21" s="467"/>
      <c r="W21" s="482"/>
    </row>
    <row r="22" spans="2:23">
      <c r="B22" s="478"/>
      <c r="C22" s="466"/>
      <c r="D22" s="80">
        <f t="shared" ref="D22:D46" si="26">D21+1</f>
        <v>46066</v>
      </c>
      <c r="E22" s="80" t="s">
        <v>114</v>
      </c>
      <c r="F22" s="87"/>
      <c r="G22" s="483"/>
      <c r="H22" s="483"/>
      <c r="I22" s="156">
        <f t="shared" si="25"/>
        <v>0</v>
      </c>
      <c r="J22" s="467"/>
      <c r="K22" s="482"/>
      <c r="L22" s="164"/>
      <c r="M22" s="484"/>
      <c r="N22" s="484"/>
      <c r="O22" s="84"/>
      <c r="P22" s="482"/>
      <c r="Q22" s="482"/>
      <c r="R22" s="156"/>
      <c r="S22" s="467"/>
      <c r="T22" s="482"/>
      <c r="U22" s="156"/>
      <c r="V22" s="467"/>
      <c r="W22" s="482"/>
    </row>
    <row r="23" spans="2:23">
      <c r="B23" s="478"/>
      <c r="C23" s="466"/>
      <c r="D23" s="80">
        <f t="shared" si="26"/>
        <v>46067</v>
      </c>
      <c r="E23" s="80" t="s">
        <v>115</v>
      </c>
      <c r="F23" s="87"/>
      <c r="G23" s="483"/>
      <c r="H23" s="483"/>
      <c r="I23" s="156">
        <f t="shared" si="25"/>
        <v>0</v>
      </c>
      <c r="J23" s="467"/>
      <c r="K23" s="482"/>
      <c r="L23" s="164"/>
      <c r="M23" s="484"/>
      <c r="N23" s="484"/>
      <c r="O23" s="84"/>
      <c r="P23" s="482"/>
      <c r="Q23" s="482"/>
      <c r="R23" s="156"/>
      <c r="S23" s="467"/>
      <c r="T23" s="482"/>
      <c r="U23" s="156"/>
      <c r="V23" s="467"/>
      <c r="W23" s="482"/>
    </row>
    <row r="24" spans="2:23">
      <c r="B24" s="478"/>
      <c r="C24" s="466"/>
      <c r="D24" s="80">
        <f t="shared" si="26"/>
        <v>46068</v>
      </c>
      <c r="E24" s="80" t="s">
        <v>116</v>
      </c>
      <c r="F24" s="87"/>
      <c r="G24" s="483"/>
      <c r="H24" s="483"/>
      <c r="I24" s="156">
        <f t="shared" si="25"/>
        <v>0</v>
      </c>
      <c r="J24" s="467"/>
      <c r="K24" s="482"/>
      <c r="L24" s="164"/>
      <c r="M24" s="484"/>
      <c r="N24" s="484"/>
      <c r="O24" s="84"/>
      <c r="P24" s="482"/>
      <c r="Q24" s="482"/>
      <c r="R24" s="156"/>
      <c r="S24" s="467"/>
      <c r="T24" s="482"/>
      <c r="U24" s="156"/>
      <c r="V24" s="467"/>
      <c r="W24" s="482"/>
    </row>
    <row r="25" spans="2:23">
      <c r="B25" s="478"/>
      <c r="C25" s="466"/>
      <c r="D25" s="80">
        <f t="shared" si="26"/>
        <v>46069</v>
      </c>
      <c r="E25" s="80" t="s">
        <v>117</v>
      </c>
      <c r="F25" s="87"/>
      <c r="G25" s="483"/>
      <c r="H25" s="483"/>
      <c r="I25" s="156">
        <f t="shared" si="25"/>
        <v>0</v>
      </c>
      <c r="J25" s="467"/>
      <c r="K25" s="482"/>
      <c r="L25" s="164"/>
      <c r="M25" s="484"/>
      <c r="N25" s="484"/>
      <c r="O25" s="84"/>
      <c r="P25" s="482"/>
      <c r="Q25" s="482"/>
      <c r="R25" s="156"/>
      <c r="S25" s="467"/>
      <c r="T25" s="482"/>
      <c r="U25" s="156"/>
      <c r="V25" s="467"/>
      <c r="W25" s="482"/>
    </row>
    <row r="26" spans="2:23">
      <c r="B26" s="478">
        <f t="shared" ref="B26" si="27">B19+7</f>
        <v>46078</v>
      </c>
      <c r="C26" s="466"/>
      <c r="D26" s="80">
        <f t="shared" si="26"/>
        <v>46070</v>
      </c>
      <c r="E26" s="80" t="s">
        <v>118</v>
      </c>
      <c r="F26" s="87"/>
      <c r="G26" s="483" t="e">
        <f t="shared" ref="G26" si="28">AVERAGE(F26:F32)</f>
        <v>#DIV/0!</v>
      </c>
      <c r="H26" s="483"/>
      <c r="I26" s="156">
        <f>F26/$C$1</f>
        <v>0</v>
      </c>
      <c r="J26" s="467">
        <f t="shared" ref="J26" si="29">AVERAGE(I26:I32)</f>
        <v>0</v>
      </c>
      <c r="K26" s="482"/>
      <c r="L26" s="164"/>
      <c r="M26" s="484" t="e">
        <f t="shared" ref="M26" si="30">AVERAGE(L26:L32)</f>
        <v>#DIV/0!</v>
      </c>
      <c r="N26" s="484"/>
      <c r="O26" s="84"/>
      <c r="P26" s="482" t="e">
        <f t="shared" ref="P26" si="31">AVERAGE(O26:O32)</f>
        <v>#DIV/0!</v>
      </c>
      <c r="Q26" s="482"/>
      <c r="R26" s="156"/>
      <c r="S26" s="467" t="e">
        <f t="shared" ref="S26" si="32">AVERAGE(R26:R32)</f>
        <v>#DIV/0!</v>
      </c>
      <c r="T26" s="482"/>
      <c r="U26" s="156"/>
      <c r="V26" s="467" t="e">
        <f t="shared" ref="V26" si="33">AVERAGE(U26:U32)</f>
        <v>#DIV/0!</v>
      </c>
      <c r="W26" s="482"/>
    </row>
    <row r="27" spans="2:23">
      <c r="B27" s="478"/>
      <c r="C27" s="466"/>
      <c r="D27" s="80">
        <f t="shared" si="26"/>
        <v>46071</v>
      </c>
      <c r="E27" s="80" t="s">
        <v>112</v>
      </c>
      <c r="F27" s="87"/>
      <c r="G27" s="483"/>
      <c r="H27" s="483"/>
      <c r="I27" s="156">
        <f t="shared" ref="I27:I32" si="34">F27/$C$1</f>
        <v>0</v>
      </c>
      <c r="J27" s="467"/>
      <c r="K27" s="482"/>
      <c r="L27" s="164"/>
      <c r="M27" s="484"/>
      <c r="N27" s="484"/>
      <c r="O27" s="84"/>
      <c r="P27" s="482"/>
      <c r="Q27" s="482"/>
      <c r="R27" s="156"/>
      <c r="S27" s="467"/>
      <c r="T27" s="482"/>
      <c r="U27" s="156"/>
      <c r="V27" s="467"/>
      <c r="W27" s="482"/>
    </row>
    <row r="28" spans="2:23">
      <c r="B28" s="478"/>
      <c r="C28" s="466"/>
      <c r="D28" s="80">
        <f t="shared" si="26"/>
        <v>46072</v>
      </c>
      <c r="E28" s="80" t="s">
        <v>113</v>
      </c>
      <c r="F28" s="87"/>
      <c r="G28" s="483"/>
      <c r="H28" s="483"/>
      <c r="I28" s="156">
        <f t="shared" si="34"/>
        <v>0</v>
      </c>
      <c r="J28" s="467"/>
      <c r="K28" s="482"/>
      <c r="L28" s="164"/>
      <c r="M28" s="484"/>
      <c r="N28" s="484"/>
      <c r="O28" s="84"/>
      <c r="P28" s="482"/>
      <c r="Q28" s="482"/>
      <c r="R28" s="156"/>
      <c r="S28" s="467"/>
      <c r="T28" s="482"/>
      <c r="U28" s="156"/>
      <c r="V28" s="467"/>
      <c r="W28" s="482"/>
    </row>
    <row r="29" spans="2:23">
      <c r="B29" s="478"/>
      <c r="C29" s="466"/>
      <c r="D29" s="80">
        <f t="shared" si="26"/>
        <v>46073</v>
      </c>
      <c r="E29" s="80" t="s">
        <v>114</v>
      </c>
      <c r="F29" s="87"/>
      <c r="G29" s="483"/>
      <c r="H29" s="483"/>
      <c r="I29" s="156">
        <f t="shared" si="34"/>
        <v>0</v>
      </c>
      <c r="J29" s="467"/>
      <c r="K29" s="482"/>
      <c r="L29" s="164"/>
      <c r="M29" s="484"/>
      <c r="N29" s="484"/>
      <c r="O29" s="84"/>
      <c r="P29" s="482"/>
      <c r="Q29" s="482"/>
      <c r="R29" s="156"/>
      <c r="S29" s="467"/>
      <c r="T29" s="482"/>
      <c r="U29" s="156"/>
      <c r="V29" s="467"/>
      <c r="W29" s="482"/>
    </row>
    <row r="30" spans="2:23">
      <c r="B30" s="478"/>
      <c r="C30" s="466"/>
      <c r="D30" s="80">
        <f t="shared" si="26"/>
        <v>46074</v>
      </c>
      <c r="E30" s="80" t="s">
        <v>115</v>
      </c>
      <c r="F30" s="87"/>
      <c r="G30" s="483"/>
      <c r="H30" s="483"/>
      <c r="I30" s="156">
        <f t="shared" si="34"/>
        <v>0</v>
      </c>
      <c r="J30" s="467"/>
      <c r="K30" s="482"/>
      <c r="L30" s="164"/>
      <c r="M30" s="484"/>
      <c r="N30" s="484"/>
      <c r="O30" s="84"/>
      <c r="P30" s="482"/>
      <c r="Q30" s="482"/>
      <c r="R30" s="156"/>
      <c r="S30" s="467"/>
      <c r="T30" s="482"/>
      <c r="U30" s="156"/>
      <c r="V30" s="467"/>
      <c r="W30" s="482"/>
    </row>
    <row r="31" spans="2:23">
      <c r="B31" s="478"/>
      <c r="C31" s="466"/>
      <c r="D31" s="80">
        <f t="shared" si="26"/>
        <v>46075</v>
      </c>
      <c r="E31" s="80" t="s">
        <v>116</v>
      </c>
      <c r="F31" s="87"/>
      <c r="G31" s="483"/>
      <c r="H31" s="483"/>
      <c r="I31" s="156">
        <f t="shared" si="34"/>
        <v>0</v>
      </c>
      <c r="J31" s="467"/>
      <c r="K31" s="482"/>
      <c r="L31" s="164"/>
      <c r="M31" s="484"/>
      <c r="N31" s="484"/>
      <c r="O31" s="84"/>
      <c r="P31" s="482"/>
      <c r="Q31" s="482"/>
      <c r="R31" s="156"/>
      <c r="S31" s="467"/>
      <c r="T31" s="482"/>
      <c r="U31" s="156"/>
      <c r="V31" s="467"/>
      <c r="W31" s="482"/>
    </row>
    <row r="32" spans="2:23">
      <c r="B32" s="478"/>
      <c r="C32" s="466"/>
      <c r="D32" s="80">
        <f t="shared" si="26"/>
        <v>46076</v>
      </c>
      <c r="E32" s="80" t="s">
        <v>117</v>
      </c>
      <c r="F32" s="87"/>
      <c r="G32" s="483"/>
      <c r="H32" s="483"/>
      <c r="I32" s="156">
        <f t="shared" si="34"/>
        <v>0</v>
      </c>
      <c r="J32" s="467"/>
      <c r="K32" s="482"/>
      <c r="L32" s="164"/>
      <c r="M32" s="484"/>
      <c r="N32" s="484"/>
      <c r="O32" s="84"/>
      <c r="P32" s="482"/>
      <c r="Q32" s="482"/>
      <c r="R32" s="156"/>
      <c r="S32" s="467"/>
      <c r="T32" s="482"/>
      <c r="U32" s="156"/>
      <c r="V32" s="467"/>
      <c r="W32" s="482"/>
    </row>
    <row r="33" spans="2:23">
      <c r="B33" s="478">
        <f t="shared" ref="B33" si="35">B26+7</f>
        <v>46085</v>
      </c>
      <c r="C33" s="466"/>
      <c r="D33" s="80">
        <f t="shared" si="26"/>
        <v>46077</v>
      </c>
      <c r="E33" s="80" t="s">
        <v>118</v>
      </c>
      <c r="F33" s="87"/>
      <c r="G33" s="483" t="e">
        <f t="shared" ref="G33" si="36">AVERAGE(F33:F39)</f>
        <v>#DIV/0!</v>
      </c>
      <c r="H33" s="483"/>
      <c r="I33" s="156">
        <f>F33/$C$1</f>
        <v>0</v>
      </c>
      <c r="J33" s="467">
        <f t="shared" ref="J33" si="37">AVERAGE(I33:I39)</f>
        <v>0</v>
      </c>
      <c r="K33" s="482"/>
      <c r="L33" s="164"/>
      <c r="M33" s="484" t="e">
        <f t="shared" ref="M33" si="38">AVERAGE(L33:L39)</f>
        <v>#DIV/0!</v>
      </c>
      <c r="N33" s="484"/>
      <c r="O33" s="84"/>
      <c r="P33" s="482" t="e">
        <f t="shared" ref="P33" si="39">AVERAGE(O33:O39)</f>
        <v>#DIV/0!</v>
      </c>
      <c r="Q33" s="482"/>
      <c r="R33" s="156"/>
      <c r="S33" s="467" t="e">
        <f t="shared" ref="S33" si="40">AVERAGE(R33:R39)</f>
        <v>#DIV/0!</v>
      </c>
      <c r="T33" s="482"/>
      <c r="U33" s="156"/>
      <c r="V33" s="467" t="e">
        <f t="shared" ref="V33" si="41">AVERAGE(U33:U39)</f>
        <v>#DIV/0!</v>
      </c>
      <c r="W33" s="482"/>
    </row>
    <row r="34" spans="2:23">
      <c r="B34" s="478"/>
      <c r="C34" s="466"/>
      <c r="D34" s="80">
        <f t="shared" si="26"/>
        <v>46078</v>
      </c>
      <c r="E34" s="80" t="s">
        <v>112</v>
      </c>
      <c r="F34" s="87"/>
      <c r="G34" s="483"/>
      <c r="H34" s="483"/>
      <c r="I34" s="156">
        <f t="shared" ref="I34:I39" si="42">F34/$C$1</f>
        <v>0</v>
      </c>
      <c r="J34" s="467"/>
      <c r="K34" s="482"/>
      <c r="L34" s="164"/>
      <c r="M34" s="484"/>
      <c r="N34" s="484"/>
      <c r="O34" s="84"/>
      <c r="P34" s="482"/>
      <c r="Q34" s="482"/>
      <c r="R34" s="156"/>
      <c r="S34" s="467"/>
      <c r="T34" s="482"/>
      <c r="U34" s="156"/>
      <c r="V34" s="467"/>
      <c r="W34" s="482"/>
    </row>
    <row r="35" spans="2:23">
      <c r="B35" s="478"/>
      <c r="C35" s="466"/>
      <c r="D35" s="80">
        <f t="shared" si="26"/>
        <v>46079</v>
      </c>
      <c r="E35" s="80" t="s">
        <v>113</v>
      </c>
      <c r="F35" s="87"/>
      <c r="G35" s="483"/>
      <c r="H35" s="483"/>
      <c r="I35" s="156">
        <f t="shared" si="42"/>
        <v>0</v>
      </c>
      <c r="J35" s="467"/>
      <c r="K35" s="482"/>
      <c r="L35" s="164"/>
      <c r="M35" s="484"/>
      <c r="N35" s="484"/>
      <c r="O35" s="84"/>
      <c r="P35" s="482"/>
      <c r="Q35" s="482"/>
      <c r="R35" s="156"/>
      <c r="S35" s="467"/>
      <c r="T35" s="482"/>
      <c r="U35" s="156"/>
      <c r="V35" s="467"/>
      <c r="W35" s="482"/>
    </row>
    <row r="36" spans="2:23">
      <c r="B36" s="478"/>
      <c r="C36" s="466"/>
      <c r="D36" s="80">
        <f t="shared" si="26"/>
        <v>46080</v>
      </c>
      <c r="E36" s="80" t="s">
        <v>114</v>
      </c>
      <c r="F36" s="87"/>
      <c r="G36" s="483"/>
      <c r="H36" s="483"/>
      <c r="I36" s="156">
        <f t="shared" si="42"/>
        <v>0</v>
      </c>
      <c r="J36" s="467"/>
      <c r="K36" s="482"/>
      <c r="L36" s="164"/>
      <c r="M36" s="484"/>
      <c r="N36" s="484"/>
      <c r="O36" s="84"/>
      <c r="P36" s="482"/>
      <c r="Q36" s="482"/>
      <c r="R36" s="156"/>
      <c r="S36" s="467"/>
      <c r="T36" s="482"/>
      <c r="U36" s="156"/>
      <c r="V36" s="467"/>
      <c r="W36" s="482"/>
    </row>
    <row r="37" spans="2:23">
      <c r="B37" s="478"/>
      <c r="C37" s="466"/>
      <c r="D37" s="80">
        <f t="shared" si="26"/>
        <v>46081</v>
      </c>
      <c r="E37" s="80" t="s">
        <v>115</v>
      </c>
      <c r="F37" s="87"/>
      <c r="G37" s="483"/>
      <c r="H37" s="483"/>
      <c r="I37" s="156">
        <f t="shared" si="42"/>
        <v>0</v>
      </c>
      <c r="J37" s="467"/>
      <c r="K37" s="482"/>
      <c r="L37" s="164"/>
      <c r="M37" s="484"/>
      <c r="N37" s="484"/>
      <c r="O37" s="84"/>
      <c r="P37" s="482"/>
      <c r="Q37" s="482"/>
      <c r="R37" s="156"/>
      <c r="S37" s="467"/>
      <c r="T37" s="482"/>
      <c r="U37" s="156"/>
      <c r="V37" s="467"/>
      <c r="W37" s="482"/>
    </row>
    <row r="38" spans="2:23">
      <c r="B38" s="478"/>
      <c r="D38" s="80">
        <f t="shared" si="26"/>
        <v>46082</v>
      </c>
      <c r="E38" s="80" t="s">
        <v>116</v>
      </c>
      <c r="F38" s="87"/>
      <c r="G38" s="483"/>
      <c r="H38" s="87"/>
      <c r="I38" s="156">
        <f t="shared" si="42"/>
        <v>0</v>
      </c>
      <c r="J38" s="467"/>
      <c r="K38" s="482"/>
      <c r="L38" s="164"/>
      <c r="M38" s="484"/>
      <c r="O38" s="84"/>
      <c r="P38" s="482"/>
      <c r="Q38" s="482"/>
      <c r="R38" s="156"/>
      <c r="S38" s="467"/>
      <c r="T38" s="482"/>
      <c r="U38" s="156"/>
      <c r="V38" s="467"/>
      <c r="W38" s="482"/>
    </row>
    <row r="39" spans="2:23">
      <c r="B39" s="478"/>
      <c r="D39" s="80">
        <f t="shared" si="26"/>
        <v>46083</v>
      </c>
      <c r="E39" s="80" t="s">
        <v>117</v>
      </c>
      <c r="F39" s="87"/>
      <c r="G39" s="483"/>
      <c r="H39" s="87"/>
      <c r="I39" s="156">
        <f t="shared" si="42"/>
        <v>0</v>
      </c>
      <c r="J39" s="467"/>
      <c r="K39" s="482"/>
      <c r="L39" s="164"/>
      <c r="M39" s="484"/>
      <c r="O39" s="84"/>
      <c r="P39" s="482"/>
      <c r="Q39" s="482"/>
      <c r="R39" s="156"/>
      <c r="S39" s="467"/>
      <c r="T39" s="482"/>
      <c r="U39" s="156"/>
      <c r="V39" s="467"/>
    </row>
    <row r="40" spans="2:23">
      <c r="B40" s="478">
        <f t="shared" ref="B40" si="43">B33+7</f>
        <v>46092</v>
      </c>
      <c r="D40" s="80">
        <f t="shared" si="26"/>
        <v>46084</v>
      </c>
      <c r="E40" s="80" t="s">
        <v>118</v>
      </c>
      <c r="F40" s="87"/>
      <c r="G40" s="483" t="e">
        <f t="shared" ref="G40" si="44">AVERAGE(F40:F46)</f>
        <v>#DIV/0!</v>
      </c>
      <c r="I40" s="156">
        <f>F40/$C$1</f>
        <v>0</v>
      </c>
      <c r="J40" s="467">
        <f t="shared" ref="J40" si="45">AVERAGE(I40:I46)</f>
        <v>0</v>
      </c>
      <c r="K40" s="482"/>
      <c r="L40" s="164"/>
      <c r="M40" s="484" t="e">
        <f t="shared" ref="M40" si="46">AVERAGE(L40:L46)</f>
        <v>#DIV/0!</v>
      </c>
      <c r="O40" s="84"/>
      <c r="P40" s="467" t="e">
        <f t="shared" ref="P40" si="47">AVERAGE(O40:O46)</f>
        <v>#DIV/0!</v>
      </c>
      <c r="R40" s="156"/>
      <c r="S40" s="467" t="e">
        <f t="shared" ref="S40" si="48">AVERAGE(R40:R46)</f>
        <v>#DIV/0!</v>
      </c>
      <c r="U40" s="156"/>
      <c r="V40" s="467" t="e">
        <f t="shared" ref="V40" si="49">AVERAGE(U40:U46)</f>
        <v>#DIV/0!</v>
      </c>
    </row>
    <row r="41" spans="2:23">
      <c r="B41" s="478"/>
      <c r="D41" s="80">
        <f t="shared" si="26"/>
        <v>46085</v>
      </c>
      <c r="E41" s="80" t="s">
        <v>112</v>
      </c>
      <c r="F41" s="87"/>
      <c r="G41" s="483"/>
      <c r="I41" s="156">
        <f t="shared" ref="I41:I46" si="50">F41/$C$1</f>
        <v>0</v>
      </c>
      <c r="J41" s="467"/>
      <c r="L41" s="164"/>
      <c r="M41" s="484"/>
      <c r="O41" s="84"/>
      <c r="P41" s="467"/>
      <c r="R41" s="156"/>
      <c r="S41" s="467"/>
      <c r="U41" s="156"/>
      <c r="V41" s="467"/>
    </row>
    <row r="42" spans="2:23">
      <c r="B42" s="478"/>
      <c r="D42" s="80">
        <f t="shared" si="26"/>
        <v>46086</v>
      </c>
      <c r="E42" s="80" t="s">
        <v>113</v>
      </c>
      <c r="F42" s="87"/>
      <c r="G42" s="483"/>
      <c r="I42" s="156">
        <f t="shared" si="50"/>
        <v>0</v>
      </c>
      <c r="J42" s="467"/>
      <c r="L42" s="164"/>
      <c r="M42" s="484"/>
      <c r="O42" s="84"/>
      <c r="P42" s="467"/>
      <c r="R42" s="156"/>
      <c r="S42" s="467"/>
      <c r="U42" s="156"/>
      <c r="V42" s="467"/>
    </row>
    <row r="43" spans="2:23">
      <c r="B43" s="478"/>
      <c r="D43" s="80">
        <f t="shared" si="26"/>
        <v>46087</v>
      </c>
      <c r="E43" s="80" t="s">
        <v>114</v>
      </c>
      <c r="F43" s="87"/>
      <c r="G43" s="483"/>
      <c r="I43" s="156">
        <f t="shared" si="50"/>
        <v>0</v>
      </c>
      <c r="J43" s="467"/>
      <c r="L43" s="164"/>
      <c r="M43" s="484"/>
      <c r="O43" s="84"/>
      <c r="P43" s="467"/>
      <c r="R43" s="156"/>
      <c r="S43" s="467"/>
      <c r="U43" s="156"/>
      <c r="V43" s="467"/>
    </row>
    <row r="44" spans="2:23">
      <c r="B44" s="478"/>
      <c r="D44" s="80">
        <f t="shared" si="26"/>
        <v>46088</v>
      </c>
      <c r="E44" s="80" t="s">
        <v>115</v>
      </c>
      <c r="F44" s="87"/>
      <c r="G44" s="483"/>
      <c r="I44" s="156">
        <f t="shared" si="50"/>
        <v>0</v>
      </c>
      <c r="J44" s="467"/>
      <c r="L44" s="164"/>
      <c r="M44" s="484"/>
      <c r="O44" s="84"/>
      <c r="P44" s="467"/>
      <c r="R44" s="156"/>
      <c r="S44" s="467"/>
      <c r="U44" s="156"/>
      <c r="V44" s="467"/>
    </row>
    <row r="45" spans="2:23">
      <c r="B45" s="478"/>
      <c r="D45" s="80">
        <f t="shared" si="26"/>
        <v>46089</v>
      </c>
      <c r="E45" s="80" t="s">
        <v>116</v>
      </c>
      <c r="F45" s="87"/>
      <c r="G45" s="483"/>
      <c r="I45" s="156">
        <f t="shared" si="50"/>
        <v>0</v>
      </c>
      <c r="J45" s="467"/>
      <c r="L45" s="164"/>
      <c r="M45" s="484"/>
      <c r="O45" s="84"/>
      <c r="P45" s="467"/>
      <c r="R45" s="156"/>
      <c r="S45" s="467"/>
      <c r="U45" s="156"/>
      <c r="V45" s="467"/>
    </row>
    <row r="46" spans="2:23">
      <c r="B46" s="478"/>
      <c r="D46" s="80">
        <f t="shared" si="26"/>
        <v>46090</v>
      </c>
      <c r="E46" s="80" t="s">
        <v>117</v>
      </c>
      <c r="F46" s="87"/>
      <c r="G46" s="483"/>
      <c r="I46" s="156">
        <f t="shared" si="50"/>
        <v>0</v>
      </c>
      <c r="J46" s="467"/>
      <c r="L46" s="164"/>
      <c r="M46" s="484"/>
      <c r="O46" s="84"/>
      <c r="P46" s="467"/>
      <c r="R46" s="156"/>
      <c r="S46" s="467"/>
      <c r="U46" s="156"/>
      <c r="V46" s="467"/>
    </row>
  </sheetData>
  <mergeCells count="66">
    <mergeCell ref="B5:B11"/>
    <mergeCell ref="G5:G11"/>
    <mergeCell ref="J5:J11"/>
    <mergeCell ref="M5:M11"/>
    <mergeCell ref="P5:P11"/>
    <mergeCell ref="C5:C9"/>
    <mergeCell ref="C10:C37"/>
    <mergeCell ref="H10:H37"/>
    <mergeCell ref="H5:H9"/>
    <mergeCell ref="K5:K9"/>
    <mergeCell ref="K10:K40"/>
    <mergeCell ref="N10:N37"/>
    <mergeCell ref="N5:N9"/>
    <mergeCell ref="B19:B25"/>
    <mergeCell ref="G19:G25"/>
    <mergeCell ref="J19:J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M19:M25"/>
    <mergeCell ref="P19:P25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S40:S46"/>
    <mergeCell ref="V40:V46"/>
    <mergeCell ref="S26:S32"/>
    <mergeCell ref="V26:V32"/>
    <mergeCell ref="S33:S39"/>
    <mergeCell ref="V33:V39"/>
    <mergeCell ref="B40:B46"/>
    <mergeCell ref="G40:G46"/>
    <mergeCell ref="J40:J46"/>
    <mergeCell ref="M40:M46"/>
    <mergeCell ref="P40:P46"/>
    <mergeCell ref="W5:W9"/>
    <mergeCell ref="W10:W38"/>
    <mergeCell ref="S5:S11"/>
    <mergeCell ref="V5:V11"/>
    <mergeCell ref="Q10:Q39"/>
    <mergeCell ref="T10:T39"/>
    <mergeCell ref="T5:T9"/>
    <mergeCell ref="Q5:Q9"/>
    <mergeCell ref="S12:S18"/>
    <mergeCell ref="V12:V18"/>
    <mergeCell ref="S19:S25"/>
    <mergeCell ref="V19:V25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69"/>
  <sheetViews>
    <sheetView zoomScale="85" zoomScaleNormal="85" workbookViewId="0">
      <selection activeCell="B7" sqref="B7:B20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6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0" t="s">
        <v>329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40" ht="25.35" customHeight="1">
      <c r="B3" s="504" t="s">
        <v>152</v>
      </c>
      <c r="C3" s="505" t="s">
        <v>145</v>
      </c>
      <c r="D3" s="506" t="s">
        <v>105</v>
      </c>
      <c r="E3" s="506"/>
      <c r="F3" s="508" t="s">
        <v>136</v>
      </c>
      <c r="G3" s="508"/>
      <c r="H3" s="508"/>
      <c r="I3" s="509" t="s">
        <v>109</v>
      </c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</row>
    <row r="4" spans="1:40" ht="25.35" customHeight="1">
      <c r="B4" s="504"/>
      <c r="C4" s="505"/>
      <c r="D4" s="506"/>
      <c r="E4" s="506"/>
      <c r="F4" s="508"/>
      <c r="G4" s="508"/>
      <c r="H4" s="508"/>
      <c r="I4" s="502" t="s">
        <v>146</v>
      </c>
      <c r="J4" s="502"/>
      <c r="K4" s="502"/>
      <c r="L4" s="502"/>
      <c r="M4" s="502"/>
      <c r="N4" s="502"/>
      <c r="O4" s="502" t="s">
        <v>147</v>
      </c>
      <c r="P4" s="502"/>
      <c r="Q4" s="502"/>
      <c r="R4" s="502"/>
      <c r="S4" s="502"/>
      <c r="T4" s="502"/>
      <c r="U4" s="502" t="s">
        <v>148</v>
      </c>
      <c r="V4" s="502"/>
      <c r="W4" s="502" t="s">
        <v>149</v>
      </c>
      <c r="X4" s="502"/>
      <c r="Y4" s="502" t="s">
        <v>140</v>
      </c>
      <c r="Z4" s="502"/>
      <c r="AA4" s="502"/>
      <c r="AB4" s="502"/>
      <c r="AC4" s="502"/>
      <c r="AD4" s="502"/>
      <c r="AE4" s="502" t="s">
        <v>138</v>
      </c>
      <c r="AF4" s="502"/>
      <c r="AG4" s="502" t="s">
        <v>150</v>
      </c>
      <c r="AH4" s="502"/>
      <c r="AI4" s="502" t="s">
        <v>151</v>
      </c>
      <c r="AJ4" s="502"/>
      <c r="AK4" s="502" t="s">
        <v>144</v>
      </c>
      <c r="AL4" s="502"/>
    </row>
    <row r="5" spans="1:40" ht="25.35" customHeight="1">
      <c r="B5" s="504"/>
      <c r="C5" s="505"/>
      <c r="D5" s="506"/>
      <c r="E5" s="506"/>
      <c r="F5" s="510" t="s">
        <v>116</v>
      </c>
      <c r="G5" s="512" t="s">
        <v>120</v>
      </c>
      <c r="H5" s="512" t="s">
        <v>121</v>
      </c>
      <c r="I5" s="502" t="s">
        <v>134</v>
      </c>
      <c r="J5" s="502"/>
      <c r="K5" s="502" t="s">
        <v>135</v>
      </c>
      <c r="L5" s="502"/>
      <c r="M5" s="503" t="s">
        <v>153</v>
      </c>
      <c r="N5" s="502"/>
      <c r="O5" s="502" t="s">
        <v>134</v>
      </c>
      <c r="P5" s="502"/>
      <c r="Q5" s="502" t="s">
        <v>135</v>
      </c>
      <c r="R5" s="502"/>
      <c r="S5" s="503" t="s">
        <v>153</v>
      </c>
      <c r="T5" s="502"/>
      <c r="U5" s="502" t="s">
        <v>134</v>
      </c>
      <c r="V5" s="502"/>
      <c r="W5" s="502" t="s">
        <v>134</v>
      </c>
      <c r="X5" s="502"/>
      <c r="Y5" s="502" t="s">
        <v>134</v>
      </c>
      <c r="Z5" s="502"/>
      <c r="AA5" s="502" t="s">
        <v>135</v>
      </c>
      <c r="AB5" s="502"/>
      <c r="AC5" s="503" t="s">
        <v>153</v>
      </c>
      <c r="AD5" s="502"/>
      <c r="AE5" s="502" t="s">
        <v>134</v>
      </c>
      <c r="AF5" s="502"/>
      <c r="AG5" s="502" t="s">
        <v>134</v>
      </c>
      <c r="AH5" s="502"/>
      <c r="AI5" s="502" t="s">
        <v>134</v>
      </c>
      <c r="AJ5" s="502"/>
      <c r="AK5" s="502" t="s">
        <v>134</v>
      </c>
      <c r="AL5" s="502"/>
    </row>
    <row r="6" spans="1:40" s="77" customFormat="1" ht="23.45" customHeight="1">
      <c r="B6" s="504"/>
      <c r="C6" s="505"/>
      <c r="D6" s="507"/>
      <c r="E6" s="507"/>
      <c r="F6" s="511"/>
      <c r="G6" s="512"/>
      <c r="H6" s="512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499">
        <v>46057</v>
      </c>
      <c r="C7" s="481"/>
      <c r="D7" s="173">
        <v>46049</v>
      </c>
      <c r="E7" s="173" t="s">
        <v>118</v>
      </c>
      <c r="F7" s="337">
        <f t="shared" ref="F7:F20" si="0">SUM(M7,S7,U7,W7,AC7,AE7,AG7,AI7,AK7)</f>
        <v>4884312.03</v>
      </c>
      <c r="G7" s="489">
        <f>SUM(F7:F13)</f>
        <v>31759620</v>
      </c>
      <c r="H7" s="490"/>
      <c r="I7" s="174">
        <v>853494.19</v>
      </c>
      <c r="J7" s="175">
        <f t="shared" ref="J7:J20" si="1">I7/$F7</f>
        <v>0.17474194620608624</v>
      </c>
      <c r="K7" s="174">
        <v>910330.83000000019</v>
      </c>
      <c r="L7" s="175">
        <f t="shared" ref="L7:L20" si="2">K7/$F7</f>
        <v>0.18637851644379896</v>
      </c>
      <c r="M7" s="174">
        <f t="shared" ref="M7:M20" si="3">I7+K7</f>
        <v>1763825.02</v>
      </c>
      <c r="N7" s="175">
        <f t="shared" ref="N7" si="4">M7/$F7</f>
        <v>0.36112046264988518</v>
      </c>
      <c r="O7" s="174">
        <v>181062.83000000005</v>
      </c>
      <c r="P7" s="175">
        <f t="shared" ref="P7:P20" si="5">O7/$F7</f>
        <v>3.7070283161250051E-2</v>
      </c>
      <c r="Q7" s="174">
        <v>139548.29999999999</v>
      </c>
      <c r="R7" s="175">
        <f t="shared" ref="R7:R20" si="6">Q7/$F7</f>
        <v>2.8570717665636111E-2</v>
      </c>
      <c r="S7" s="174">
        <f t="shared" ref="S7:S20" si="7">O7+Q7</f>
        <v>320611.13</v>
      </c>
      <c r="T7" s="175">
        <f t="shared" ref="T7" si="8">S7/$F7</f>
        <v>6.5641000826886148E-2</v>
      </c>
      <c r="U7" s="174">
        <v>106504.18000000001</v>
      </c>
      <c r="V7" s="175">
        <f t="shared" ref="V7" si="9">U7/$F7</f>
        <v>2.1805359556440952E-2</v>
      </c>
      <c r="W7" s="174">
        <v>32784.6</v>
      </c>
      <c r="X7" s="175">
        <f t="shared" ref="X7:X20" si="10">W7/$F7</f>
        <v>6.7122247306546463E-3</v>
      </c>
      <c r="Y7" s="174">
        <v>199716.86000000002</v>
      </c>
      <c r="Z7" s="175">
        <f t="shared" ref="Z7:Z20" si="11">Y7/$F7</f>
        <v>4.0889455623088031E-2</v>
      </c>
      <c r="AA7" s="174">
        <v>564421.27</v>
      </c>
      <c r="AB7" s="175">
        <f t="shared" ref="AB7:AB20" si="12">AA7/$F7</f>
        <v>0.11555798780529589</v>
      </c>
      <c r="AC7" s="174">
        <f t="shared" ref="AC7:AC20" si="13">Y7+AA7</f>
        <v>764138.13</v>
      </c>
      <c r="AD7" s="175">
        <f t="shared" ref="AD7:AD20" si="14">AC7/$F7</f>
        <v>0.1564474434283839</v>
      </c>
      <c r="AE7" s="174">
        <v>1395175.1500000001</v>
      </c>
      <c r="AF7" s="175">
        <f t="shared" ref="AF7:AF20" si="15">AE7/F7</f>
        <v>0.28564414833259538</v>
      </c>
      <c r="AG7" s="174">
        <v>88700.4</v>
      </c>
      <c r="AH7" s="175">
        <f t="shared" ref="AH7:AH20" si="16">AG7/$F7</f>
        <v>1.8160264834677236E-2</v>
      </c>
      <c r="AI7" s="174">
        <v>245515.77</v>
      </c>
      <c r="AJ7" s="175">
        <f t="shared" ref="AJ7:AJ20" si="17">AI7/$F7</f>
        <v>5.0266192760006774E-2</v>
      </c>
      <c r="AK7" s="174">
        <v>167057.65</v>
      </c>
      <c r="AL7" s="175">
        <f t="shared" ref="AL7:AL20" si="18">AK7/$F7</f>
        <v>3.4202902880469739E-2</v>
      </c>
      <c r="AN7" s="72"/>
    </row>
    <row r="8" spans="1:40" s="73" customFormat="1" ht="14.25" customHeight="1">
      <c r="B8" s="500"/>
      <c r="C8" s="481"/>
      <c r="D8" s="173">
        <v>46050</v>
      </c>
      <c r="E8" s="173" t="s">
        <v>112</v>
      </c>
      <c r="F8" s="337">
        <f t="shared" si="0"/>
        <v>4734075.18</v>
      </c>
      <c r="G8" s="489"/>
      <c r="H8" s="491"/>
      <c r="I8" s="174">
        <v>831988.56</v>
      </c>
      <c r="J8" s="175">
        <f t="shared" si="1"/>
        <v>0.17574468684293268</v>
      </c>
      <c r="K8" s="174">
        <v>862624.7300000001</v>
      </c>
      <c r="L8" s="175">
        <f t="shared" si="2"/>
        <v>0.18221610287143775</v>
      </c>
      <c r="M8" s="174">
        <f t="shared" si="3"/>
        <v>1694613.29</v>
      </c>
      <c r="N8" s="175">
        <f t="shared" ref="N8" si="19">M8/F8</f>
        <v>0.3579607897143704</v>
      </c>
      <c r="O8" s="174">
        <v>194239.53</v>
      </c>
      <c r="P8" s="175">
        <f t="shared" si="5"/>
        <v>4.1030089851678275E-2</v>
      </c>
      <c r="Q8" s="174">
        <v>145026.12</v>
      </c>
      <c r="R8" s="175">
        <f t="shared" si="6"/>
        <v>3.0634519834558269E-2</v>
      </c>
      <c r="S8" s="174">
        <f t="shared" si="7"/>
        <v>339265.65</v>
      </c>
      <c r="T8" s="175">
        <f t="shared" ref="T8" si="20">S8/F8</f>
        <v>7.1664609686236558E-2</v>
      </c>
      <c r="U8" s="174">
        <v>100287.54</v>
      </c>
      <c r="V8" s="175">
        <f t="shared" ref="V8" si="21">U8/F8</f>
        <v>2.1184188291661223E-2</v>
      </c>
      <c r="W8" s="174">
        <v>34407.599999999999</v>
      </c>
      <c r="X8" s="175">
        <f t="shared" si="10"/>
        <v>7.2680721559643677E-3</v>
      </c>
      <c r="Y8" s="174">
        <v>190576.89</v>
      </c>
      <c r="Z8" s="175">
        <f t="shared" si="11"/>
        <v>4.0256413925391026E-2</v>
      </c>
      <c r="AA8" s="174">
        <v>541555.91</v>
      </c>
      <c r="AB8" s="175">
        <f t="shared" si="12"/>
        <v>0.11439529145796119</v>
      </c>
      <c r="AC8" s="174">
        <f t="shared" si="13"/>
        <v>732132.8</v>
      </c>
      <c r="AD8" s="175">
        <f t="shared" si="14"/>
        <v>0.15465170538335221</v>
      </c>
      <c r="AE8" s="174">
        <v>1316021.04</v>
      </c>
      <c r="AF8" s="175">
        <f t="shared" si="15"/>
        <v>0.27798904537042018</v>
      </c>
      <c r="AG8" s="174">
        <v>90992.4</v>
      </c>
      <c r="AH8" s="175">
        <f t="shared" si="16"/>
        <v>1.9220734048418724E-2</v>
      </c>
      <c r="AI8" s="174">
        <v>252653.35</v>
      </c>
      <c r="AJ8" s="175">
        <f t="shared" si="17"/>
        <v>5.3369103867928015E-2</v>
      </c>
      <c r="AK8" s="174">
        <v>173701.50999999998</v>
      </c>
      <c r="AL8" s="175">
        <f t="shared" si="18"/>
        <v>3.6691751481648417E-2</v>
      </c>
      <c r="AN8" s="72"/>
    </row>
    <row r="9" spans="1:40" s="73" customFormat="1" ht="14.25" customHeight="1">
      <c r="B9" s="500"/>
      <c r="C9" s="481"/>
      <c r="D9" s="173">
        <v>46051</v>
      </c>
      <c r="E9" s="173" t="s">
        <v>113</v>
      </c>
      <c r="F9" s="337">
        <f t="shared" si="0"/>
        <v>4383675.45</v>
      </c>
      <c r="G9" s="489"/>
      <c r="H9" s="491"/>
      <c r="I9" s="174">
        <v>781634.2</v>
      </c>
      <c r="J9" s="175">
        <f t="shared" si="1"/>
        <v>0.17830567269755335</v>
      </c>
      <c r="K9" s="174">
        <v>765589.37999999989</v>
      </c>
      <c r="L9" s="175">
        <f t="shared" si="2"/>
        <v>0.1746455431594508</v>
      </c>
      <c r="M9" s="174">
        <f t="shared" si="3"/>
        <v>1547223.5799999998</v>
      </c>
      <c r="N9" s="175">
        <f t="shared" ref="N9" si="22">M9/$F9</f>
        <v>0.35295121585700412</v>
      </c>
      <c r="O9" s="174">
        <v>187197.26999999996</v>
      </c>
      <c r="P9" s="175">
        <f t="shared" si="5"/>
        <v>4.2703268555157284E-2</v>
      </c>
      <c r="Q9" s="174">
        <v>149643.08000000002</v>
      </c>
      <c r="R9" s="175">
        <f t="shared" si="6"/>
        <v>3.4136441373642294E-2</v>
      </c>
      <c r="S9" s="174">
        <f t="shared" si="7"/>
        <v>336840.35</v>
      </c>
      <c r="T9" s="175">
        <f t="shared" ref="T9" si="23">S9/$F9</f>
        <v>7.6839709928799585E-2</v>
      </c>
      <c r="U9" s="174">
        <v>99056.26999999999</v>
      </c>
      <c r="V9" s="175">
        <f t="shared" ref="V9" si="24">U9/$F9</f>
        <v>2.2596624939467173E-2</v>
      </c>
      <c r="W9" s="174">
        <v>33190.35</v>
      </c>
      <c r="X9" s="175">
        <f t="shared" si="10"/>
        <v>7.5713520260720941E-3</v>
      </c>
      <c r="Y9" s="174">
        <v>179620.28</v>
      </c>
      <c r="Z9" s="175">
        <f t="shared" si="11"/>
        <v>4.0974812585635186E-2</v>
      </c>
      <c r="AA9" s="174">
        <v>446540.55</v>
      </c>
      <c r="AB9" s="175">
        <f t="shared" si="12"/>
        <v>0.10186441836153723</v>
      </c>
      <c r="AC9" s="174">
        <f t="shared" si="13"/>
        <v>626160.82999999996</v>
      </c>
      <c r="AD9" s="175">
        <f t="shared" si="14"/>
        <v>0.14283923094717241</v>
      </c>
      <c r="AE9" s="174">
        <v>1223384.53</v>
      </c>
      <c r="AF9" s="175">
        <f t="shared" si="15"/>
        <v>0.27907735049135535</v>
      </c>
      <c r="AG9" s="174">
        <v>93628.2</v>
      </c>
      <c r="AH9" s="175">
        <f t="shared" si="16"/>
        <v>2.1358378618106865E-2</v>
      </c>
      <c r="AI9" s="174">
        <v>254604.91</v>
      </c>
      <c r="AJ9" s="175">
        <f t="shared" si="17"/>
        <v>5.8080237212816473E-2</v>
      </c>
      <c r="AK9" s="174">
        <v>169586.43</v>
      </c>
      <c r="AL9" s="175">
        <f t="shared" si="18"/>
        <v>3.8685899979205803E-2</v>
      </c>
      <c r="AN9" s="72"/>
    </row>
    <row r="10" spans="1:40" s="73" customFormat="1" ht="14.25" customHeight="1">
      <c r="B10" s="500"/>
      <c r="C10" s="481"/>
      <c r="D10" s="173">
        <v>46052</v>
      </c>
      <c r="E10" s="173" t="s">
        <v>114</v>
      </c>
      <c r="F10" s="337">
        <f t="shared" si="0"/>
        <v>3724978.02</v>
      </c>
      <c r="G10" s="489"/>
      <c r="H10" s="491"/>
      <c r="I10" s="174">
        <v>613209.18999999994</v>
      </c>
      <c r="J10" s="175">
        <f t="shared" si="1"/>
        <v>0.1646208881522474</v>
      </c>
      <c r="K10" s="174">
        <v>738110.29</v>
      </c>
      <c r="L10" s="175">
        <f t="shared" si="2"/>
        <v>0.19815158265014407</v>
      </c>
      <c r="M10" s="174">
        <f t="shared" si="3"/>
        <v>1351319.48</v>
      </c>
      <c r="N10" s="175">
        <f t="shared" ref="N10" si="25">M10/F10</f>
        <v>0.36277247080239144</v>
      </c>
      <c r="O10" s="174">
        <v>132952.62999999998</v>
      </c>
      <c r="P10" s="175">
        <f t="shared" si="5"/>
        <v>3.569219181593989E-2</v>
      </c>
      <c r="Q10" s="174">
        <v>118971.19</v>
      </c>
      <c r="R10" s="175">
        <f t="shared" si="6"/>
        <v>3.193876295678115E-2</v>
      </c>
      <c r="S10" s="174">
        <f t="shared" si="7"/>
        <v>251923.81999999998</v>
      </c>
      <c r="T10" s="175">
        <f t="shared" ref="T10" si="26">S10/F10</f>
        <v>6.7630954772721047E-2</v>
      </c>
      <c r="U10" s="174">
        <v>79282.880000000005</v>
      </c>
      <c r="V10" s="175">
        <f t="shared" ref="V10" si="27">U10/F10</f>
        <v>2.1284120221466436E-2</v>
      </c>
      <c r="W10" s="174">
        <v>25886.850000000002</v>
      </c>
      <c r="X10" s="175">
        <f t="shared" si="10"/>
        <v>6.9495309397825658E-3</v>
      </c>
      <c r="Y10" s="174">
        <v>174056.82</v>
      </c>
      <c r="Z10" s="175">
        <f t="shared" si="11"/>
        <v>4.6726938807547649E-2</v>
      </c>
      <c r="AA10" s="174">
        <v>463375.92999999993</v>
      </c>
      <c r="AB10" s="175">
        <f t="shared" si="12"/>
        <v>0.1243969568443252</v>
      </c>
      <c r="AC10" s="174">
        <f t="shared" si="13"/>
        <v>637432.75</v>
      </c>
      <c r="AD10" s="175">
        <f t="shared" si="14"/>
        <v>0.17112389565187286</v>
      </c>
      <c r="AE10" s="174">
        <v>961597.17</v>
      </c>
      <c r="AF10" s="175">
        <f t="shared" si="15"/>
        <v>0.25814841452406745</v>
      </c>
      <c r="AG10" s="174">
        <v>72541.8</v>
      </c>
      <c r="AH10" s="175">
        <f t="shared" si="16"/>
        <v>1.9474423637001758E-2</v>
      </c>
      <c r="AI10" s="174">
        <v>209875.57</v>
      </c>
      <c r="AJ10" s="175">
        <f t="shared" si="17"/>
        <v>5.6342767359470219E-2</v>
      </c>
      <c r="AK10" s="174">
        <v>135117.70000000001</v>
      </c>
      <c r="AL10" s="175">
        <f t="shared" si="18"/>
        <v>3.6273422091226193E-2</v>
      </c>
      <c r="AN10" s="72"/>
    </row>
    <row r="11" spans="1:40" s="73" customFormat="1" ht="14.25" customHeight="1">
      <c r="B11" s="500"/>
      <c r="C11" s="481"/>
      <c r="D11" s="173">
        <v>46053</v>
      </c>
      <c r="E11" s="173" t="s">
        <v>115</v>
      </c>
      <c r="F11" s="337">
        <f t="shared" si="0"/>
        <v>4007768.4000000004</v>
      </c>
      <c r="G11" s="489"/>
      <c r="H11" s="492"/>
      <c r="I11" s="174">
        <v>579928.7300000001</v>
      </c>
      <c r="J11" s="175">
        <f t="shared" si="1"/>
        <v>0.14470115838030961</v>
      </c>
      <c r="K11" s="174">
        <v>832680.8899999999</v>
      </c>
      <c r="L11" s="175">
        <f t="shared" si="2"/>
        <v>0.2077667187555049</v>
      </c>
      <c r="M11" s="174">
        <f t="shared" si="3"/>
        <v>1412609.62</v>
      </c>
      <c r="N11" s="175">
        <f t="shared" ref="N11" si="28">M11/$F11</f>
        <v>0.35246787713581451</v>
      </c>
      <c r="O11" s="174">
        <v>125493.32</v>
      </c>
      <c r="P11" s="175">
        <f t="shared" si="5"/>
        <v>3.131251795887207E-2</v>
      </c>
      <c r="Q11" s="174">
        <v>113295.76</v>
      </c>
      <c r="R11" s="175">
        <f t="shared" si="6"/>
        <v>2.8269038699940841E-2</v>
      </c>
      <c r="S11" s="174">
        <f t="shared" si="7"/>
        <v>238789.08000000002</v>
      </c>
      <c r="T11" s="175">
        <f t="shared" ref="T11" si="29">S11/$F11</f>
        <v>5.9581556658812915E-2</v>
      </c>
      <c r="U11" s="174">
        <v>86337.3</v>
      </c>
      <c r="V11" s="175">
        <f t="shared" ref="V11" si="30">U11/$F11</f>
        <v>2.1542487335346024E-2</v>
      </c>
      <c r="W11" s="174">
        <v>26563.100000000002</v>
      </c>
      <c r="X11" s="175">
        <f t="shared" si="10"/>
        <v>6.6279029496814235E-3</v>
      </c>
      <c r="Y11" s="174">
        <v>193756.01</v>
      </c>
      <c r="Z11" s="175">
        <f t="shared" si="11"/>
        <v>4.8345111459035403E-2</v>
      </c>
      <c r="AA11" s="174">
        <v>524242.37000000011</v>
      </c>
      <c r="AB11" s="175">
        <f t="shared" si="12"/>
        <v>0.13080655309323763</v>
      </c>
      <c r="AC11" s="174">
        <f t="shared" si="13"/>
        <v>717998.38000000012</v>
      </c>
      <c r="AD11" s="175">
        <f t="shared" si="14"/>
        <v>0.17915166455227305</v>
      </c>
      <c r="AE11" s="174">
        <v>1049859.3800000001</v>
      </c>
      <c r="AF11" s="175">
        <f t="shared" si="15"/>
        <v>0.26195610005807723</v>
      </c>
      <c r="AG11" s="174">
        <v>87038.7</v>
      </c>
      <c r="AH11" s="175">
        <f t="shared" si="16"/>
        <v>2.1717497448205836E-2</v>
      </c>
      <c r="AI11" s="174">
        <v>224467.83000000002</v>
      </c>
      <c r="AJ11" s="175">
        <f t="shared" si="17"/>
        <v>5.6008184005842253E-2</v>
      </c>
      <c r="AK11" s="174">
        <v>164105.00999999998</v>
      </c>
      <c r="AL11" s="175">
        <f t="shared" si="18"/>
        <v>4.0946729855946759E-2</v>
      </c>
      <c r="AN11" s="72"/>
    </row>
    <row r="12" spans="1:40" s="73" customFormat="1" ht="14.25" customHeight="1">
      <c r="B12" s="500"/>
      <c r="C12" s="496" t="s">
        <v>118</v>
      </c>
      <c r="D12" s="173">
        <v>46054</v>
      </c>
      <c r="E12" s="173" t="s">
        <v>116</v>
      </c>
      <c r="F12" s="337">
        <f t="shared" si="0"/>
        <v>5128838.0100000007</v>
      </c>
      <c r="G12" s="489"/>
      <c r="H12" s="490">
        <f>SUM(F12:F39)</f>
        <v>41250450.350000001</v>
      </c>
      <c r="I12" s="174">
        <v>822588.93</v>
      </c>
      <c r="J12" s="175">
        <f t="shared" si="1"/>
        <v>0.16038504791848551</v>
      </c>
      <c r="K12" s="174">
        <v>921629.34000000008</v>
      </c>
      <c r="L12" s="175">
        <f t="shared" si="2"/>
        <v>0.1796955447224195</v>
      </c>
      <c r="M12" s="174">
        <f t="shared" si="3"/>
        <v>1744218.27</v>
      </c>
      <c r="N12" s="175">
        <f t="shared" ref="N12" si="31">M12/F12</f>
        <v>0.34008059264090501</v>
      </c>
      <c r="O12" s="174">
        <v>196730.21999999997</v>
      </c>
      <c r="P12" s="175">
        <f t="shared" si="5"/>
        <v>3.835765910649222E-2</v>
      </c>
      <c r="Q12" s="174">
        <v>140075.05000000002</v>
      </c>
      <c r="R12" s="175">
        <f t="shared" si="6"/>
        <v>2.7311264213626431E-2</v>
      </c>
      <c r="S12" s="174">
        <f t="shared" si="7"/>
        <v>336805.27</v>
      </c>
      <c r="T12" s="175">
        <f t="shared" ref="T12" si="32">S12/F12</f>
        <v>6.5668923320118658E-2</v>
      </c>
      <c r="U12" s="174">
        <v>111357.12</v>
      </c>
      <c r="V12" s="175">
        <f t="shared" ref="V12" si="33">U12/F12</f>
        <v>2.17119588848157E-2</v>
      </c>
      <c r="W12" s="174">
        <v>34786.300000000003</v>
      </c>
      <c r="X12" s="175">
        <f t="shared" si="10"/>
        <v>6.7824914595031238E-3</v>
      </c>
      <c r="Y12" s="174">
        <v>212944.27000000002</v>
      </c>
      <c r="Z12" s="175">
        <f t="shared" si="11"/>
        <v>4.1519008708173252E-2</v>
      </c>
      <c r="AA12" s="174">
        <v>608050.05000000005</v>
      </c>
      <c r="AB12" s="175">
        <f t="shared" si="12"/>
        <v>0.11855512863039322</v>
      </c>
      <c r="AC12" s="174">
        <f t="shared" si="13"/>
        <v>820994.32000000007</v>
      </c>
      <c r="AD12" s="175">
        <f t="shared" si="14"/>
        <v>0.16007413733856646</v>
      </c>
      <c r="AE12" s="174">
        <v>1637542.53</v>
      </c>
      <c r="AF12" s="175">
        <f t="shared" si="15"/>
        <v>0.3192813902110353</v>
      </c>
      <c r="AG12" s="174">
        <v>85606.2</v>
      </c>
      <c r="AH12" s="175">
        <f t="shared" si="16"/>
        <v>1.6691149112740254E-2</v>
      </c>
      <c r="AI12" s="174">
        <v>207174.87</v>
      </c>
      <c r="AJ12" s="175">
        <f t="shared" si="17"/>
        <v>4.0394114533556881E-2</v>
      </c>
      <c r="AK12" s="174">
        <v>150353.12999999998</v>
      </c>
      <c r="AL12" s="175">
        <f t="shared" si="18"/>
        <v>2.9315242498758498E-2</v>
      </c>
      <c r="AN12" s="72"/>
    </row>
    <row r="13" spans="1:40" s="73" customFormat="1" ht="14.25" customHeight="1">
      <c r="B13" s="501"/>
      <c r="C13" s="497"/>
      <c r="D13" s="173">
        <v>46055</v>
      </c>
      <c r="E13" s="173" t="s">
        <v>117</v>
      </c>
      <c r="F13" s="337">
        <f t="shared" si="0"/>
        <v>4895972.91</v>
      </c>
      <c r="G13" s="489"/>
      <c r="H13" s="491"/>
      <c r="I13" s="174">
        <v>795637.69000000006</v>
      </c>
      <c r="J13" s="175">
        <f t="shared" si="1"/>
        <v>0.16250859729532288</v>
      </c>
      <c r="K13" s="174">
        <v>900596.82000000018</v>
      </c>
      <c r="L13" s="175">
        <f t="shared" si="2"/>
        <v>0.18394644671348889</v>
      </c>
      <c r="M13" s="174">
        <f t="shared" si="3"/>
        <v>1696234.5100000002</v>
      </c>
      <c r="N13" s="175">
        <f t="shared" ref="N13:N14" si="34">M13/$F13</f>
        <v>0.34645504400881177</v>
      </c>
      <c r="O13" s="174">
        <v>185830.12999999998</v>
      </c>
      <c r="P13" s="175">
        <f t="shared" si="5"/>
        <v>3.7955710420791516E-2</v>
      </c>
      <c r="Q13" s="174">
        <v>140641.23000000001</v>
      </c>
      <c r="R13" s="175">
        <f t="shared" si="6"/>
        <v>2.8725900364509983E-2</v>
      </c>
      <c r="S13" s="174">
        <f t="shared" si="7"/>
        <v>326471.36</v>
      </c>
      <c r="T13" s="175">
        <f t="shared" ref="T13:T14" si="35">S13/$F13</f>
        <v>6.6681610785301507E-2</v>
      </c>
      <c r="U13" s="174">
        <v>98762.34</v>
      </c>
      <c r="V13" s="175">
        <f t="shared" ref="V13:V14" si="36">U13/$F13</f>
        <v>2.0172158182958571E-2</v>
      </c>
      <c r="W13" s="174">
        <v>33460.85</v>
      </c>
      <c r="X13" s="175">
        <f t="shared" si="10"/>
        <v>6.834361753035108E-3</v>
      </c>
      <c r="Y13" s="174">
        <v>212149.49000000002</v>
      </c>
      <c r="Z13" s="175">
        <f t="shared" si="11"/>
        <v>4.3331426439612387E-2</v>
      </c>
      <c r="AA13" s="174">
        <v>571236.47000000009</v>
      </c>
      <c r="AB13" s="175">
        <f t="shared" si="12"/>
        <v>0.1166747611763236</v>
      </c>
      <c r="AC13" s="174">
        <f t="shared" si="13"/>
        <v>783385.96000000008</v>
      </c>
      <c r="AD13" s="175">
        <f t="shared" si="14"/>
        <v>0.16000618761593599</v>
      </c>
      <c r="AE13" s="174">
        <v>1441498.8</v>
      </c>
      <c r="AF13" s="175">
        <f t="shared" si="15"/>
        <v>0.29442540359154068</v>
      </c>
      <c r="AG13" s="174">
        <v>96206.7</v>
      </c>
      <c r="AH13" s="175">
        <f t="shared" si="16"/>
        <v>1.9650170000634255E-2</v>
      </c>
      <c r="AI13" s="174">
        <v>242716.63999999998</v>
      </c>
      <c r="AJ13" s="175">
        <f t="shared" si="17"/>
        <v>4.9574751425656885E-2</v>
      </c>
      <c r="AK13" s="174">
        <v>177235.75</v>
      </c>
      <c r="AL13" s="175">
        <f t="shared" si="18"/>
        <v>3.6200312636125269E-2</v>
      </c>
      <c r="AN13" s="72"/>
    </row>
    <row r="14" spans="1:40" s="73" customFormat="1" ht="14.25" customHeight="1">
      <c r="B14" s="499">
        <v>46058</v>
      </c>
      <c r="C14" s="497"/>
      <c r="D14" s="173">
        <v>46056</v>
      </c>
      <c r="E14" s="173" t="s">
        <v>118</v>
      </c>
      <c r="F14" s="337">
        <f t="shared" si="0"/>
        <v>4840106.0000000009</v>
      </c>
      <c r="G14" s="489">
        <f t="shared" ref="G14" si="37">SUM(F14:F20)</f>
        <v>31225639.43</v>
      </c>
      <c r="H14" s="491"/>
      <c r="I14" s="174">
        <v>805654.1100000001</v>
      </c>
      <c r="J14" s="175">
        <f t="shared" si="1"/>
        <v>0.16645381526768213</v>
      </c>
      <c r="K14" s="174">
        <v>903998.27000000014</v>
      </c>
      <c r="L14" s="175">
        <f t="shared" si="2"/>
        <v>0.18677241159594438</v>
      </c>
      <c r="M14" s="174">
        <f t="shared" si="3"/>
        <v>1709652.3800000004</v>
      </c>
      <c r="N14" s="175">
        <f t="shared" si="34"/>
        <v>0.35322622686362654</v>
      </c>
      <c r="O14" s="174">
        <v>189898.68000000002</v>
      </c>
      <c r="P14" s="175">
        <f t="shared" si="5"/>
        <v>3.9234405196910974E-2</v>
      </c>
      <c r="Q14" s="174">
        <v>148484.16</v>
      </c>
      <c r="R14" s="175">
        <f t="shared" si="6"/>
        <v>3.067787358376035E-2</v>
      </c>
      <c r="S14" s="174">
        <f t="shared" si="7"/>
        <v>338382.84</v>
      </c>
      <c r="T14" s="175">
        <f t="shared" si="35"/>
        <v>6.9912278780671328E-2</v>
      </c>
      <c r="U14" s="174">
        <v>98046.38</v>
      </c>
      <c r="V14" s="175">
        <f t="shared" si="36"/>
        <v>2.0257072882288112E-2</v>
      </c>
      <c r="W14" s="174">
        <v>34353.5</v>
      </c>
      <c r="X14" s="175">
        <f t="shared" si="10"/>
        <v>7.0976751335611234E-3</v>
      </c>
      <c r="Y14" s="174">
        <v>203577.22</v>
      </c>
      <c r="Z14" s="175">
        <f t="shared" si="11"/>
        <v>4.2060487931462651E-2</v>
      </c>
      <c r="AA14" s="174">
        <v>596197.07000000007</v>
      </c>
      <c r="AB14" s="175">
        <f t="shared" si="12"/>
        <v>0.12317851509863625</v>
      </c>
      <c r="AC14" s="174">
        <f t="shared" si="13"/>
        <v>799774.29</v>
      </c>
      <c r="AD14" s="175">
        <f t="shared" si="14"/>
        <v>0.16523900303009889</v>
      </c>
      <c r="AE14" s="174">
        <v>1378129.2000000002</v>
      </c>
      <c r="AF14" s="175">
        <f t="shared" si="15"/>
        <v>0.28473120216788639</v>
      </c>
      <c r="AG14" s="174">
        <v>84975.9</v>
      </c>
      <c r="AH14" s="175">
        <f t="shared" si="16"/>
        <v>1.755661962775195E-2</v>
      </c>
      <c r="AI14" s="174">
        <v>226898.62</v>
      </c>
      <c r="AJ14" s="175">
        <f t="shared" si="17"/>
        <v>4.6878853479655189E-2</v>
      </c>
      <c r="AK14" s="174">
        <v>169892.89</v>
      </c>
      <c r="AL14" s="175">
        <f t="shared" si="18"/>
        <v>3.5101068034460399E-2</v>
      </c>
      <c r="AN14" s="72"/>
    </row>
    <row r="15" spans="1:40" s="73" customFormat="1" ht="14.25" customHeight="1">
      <c r="B15" s="500"/>
      <c r="C15" s="497"/>
      <c r="D15" s="173">
        <v>46057</v>
      </c>
      <c r="E15" s="173" t="s">
        <v>112</v>
      </c>
      <c r="F15" s="337">
        <f t="shared" si="0"/>
        <v>4730102.72</v>
      </c>
      <c r="G15" s="489"/>
      <c r="H15" s="491"/>
      <c r="I15" s="174">
        <v>798741.86999999988</v>
      </c>
      <c r="J15" s="175">
        <f t="shared" si="1"/>
        <v>0.16886353580076163</v>
      </c>
      <c r="K15" s="174">
        <v>860524.78999999992</v>
      </c>
      <c r="L15" s="175">
        <f t="shared" si="2"/>
        <v>0.18192518026331572</v>
      </c>
      <c r="M15" s="174">
        <f t="shared" si="3"/>
        <v>1659266.6599999997</v>
      </c>
      <c r="N15" s="175">
        <f t="shared" ref="N15" si="38">M15/F15</f>
        <v>0.3507887160640773</v>
      </c>
      <c r="O15" s="174">
        <v>204275.72</v>
      </c>
      <c r="P15" s="175">
        <f t="shared" si="5"/>
        <v>4.31863179495603E-2</v>
      </c>
      <c r="Q15" s="174">
        <v>151374.66</v>
      </c>
      <c r="R15" s="175">
        <f t="shared" si="6"/>
        <v>3.2002404379074458E-2</v>
      </c>
      <c r="S15" s="174">
        <f t="shared" si="7"/>
        <v>355650.38</v>
      </c>
      <c r="T15" s="175">
        <f t="shared" ref="T15" si="39">S15/F15</f>
        <v>7.5188722328634758E-2</v>
      </c>
      <c r="U15" s="174">
        <v>97169.36</v>
      </c>
      <c r="V15" s="175">
        <f t="shared" ref="V15" si="40">U15/F15</f>
        <v>2.0542758953023332E-2</v>
      </c>
      <c r="W15" s="174">
        <v>33379.700000000004</v>
      </c>
      <c r="X15" s="175">
        <f t="shared" si="10"/>
        <v>7.0568657756337281E-3</v>
      </c>
      <c r="Y15" s="174">
        <v>197446.06</v>
      </c>
      <c r="Z15" s="175">
        <f t="shared" si="11"/>
        <v>4.1742446557270538E-2</v>
      </c>
      <c r="AA15" s="174">
        <v>555977.33999999985</v>
      </c>
      <c r="AB15" s="175">
        <f t="shared" si="12"/>
        <v>0.1175402254266478</v>
      </c>
      <c r="AC15" s="174">
        <f t="shared" si="13"/>
        <v>753423.39999999991</v>
      </c>
      <c r="AD15" s="175">
        <f t="shared" si="14"/>
        <v>0.15928267198391835</v>
      </c>
      <c r="AE15" s="174">
        <v>1302867.9499999997</v>
      </c>
      <c r="AF15" s="175">
        <f t="shared" si="15"/>
        <v>0.27544178786882662</v>
      </c>
      <c r="AG15" s="174">
        <v>82683.899999999994</v>
      </c>
      <c r="AH15" s="175">
        <f t="shared" si="16"/>
        <v>1.7480360341942003E-2</v>
      </c>
      <c r="AI15" s="174">
        <v>248743.80000000002</v>
      </c>
      <c r="AJ15" s="175">
        <f t="shared" si="17"/>
        <v>5.2587399201343352E-2</v>
      </c>
      <c r="AK15" s="174">
        <v>196917.57</v>
      </c>
      <c r="AL15" s="175">
        <f t="shared" si="18"/>
        <v>4.1630717482600464E-2</v>
      </c>
      <c r="AN15" s="72"/>
    </row>
    <row r="16" spans="1:40" s="73" customFormat="1" ht="14.25" customHeight="1">
      <c r="B16" s="500"/>
      <c r="C16" s="497"/>
      <c r="D16" s="173">
        <v>46058</v>
      </c>
      <c r="E16" s="173" t="s">
        <v>113</v>
      </c>
      <c r="F16" s="337">
        <f t="shared" si="0"/>
        <v>4380960.53</v>
      </c>
      <c r="G16" s="489"/>
      <c r="H16" s="491"/>
      <c r="I16" s="174">
        <v>759713.44000000006</v>
      </c>
      <c r="J16" s="175">
        <f t="shared" si="1"/>
        <v>0.17341252786863159</v>
      </c>
      <c r="K16" s="174">
        <v>781752.3899999999</v>
      </c>
      <c r="L16" s="175">
        <f t="shared" si="2"/>
        <v>0.17844314840243489</v>
      </c>
      <c r="M16" s="174">
        <f t="shared" si="3"/>
        <v>1541465.83</v>
      </c>
      <c r="N16" s="175">
        <f t="shared" ref="N16" si="41">M16/$F16</f>
        <v>0.35185567627106651</v>
      </c>
      <c r="O16" s="174">
        <v>200678.65</v>
      </c>
      <c r="P16" s="175">
        <f t="shared" si="5"/>
        <v>4.5806997946178707E-2</v>
      </c>
      <c r="Q16" s="174">
        <v>150870.35</v>
      </c>
      <c r="R16" s="175">
        <f t="shared" si="6"/>
        <v>3.4437733224681667E-2</v>
      </c>
      <c r="S16" s="174">
        <f t="shared" si="7"/>
        <v>351549</v>
      </c>
      <c r="T16" s="175">
        <f t="shared" ref="T16" si="42">S16/$F16</f>
        <v>8.0244731170860367E-2</v>
      </c>
      <c r="U16" s="174">
        <v>87760.73</v>
      </c>
      <c r="V16" s="175">
        <f t="shared" ref="V16" si="43">U16/$F16</f>
        <v>2.0032303281216732E-2</v>
      </c>
      <c r="W16" s="174">
        <v>32730.5</v>
      </c>
      <c r="X16" s="175">
        <f t="shared" si="10"/>
        <v>7.4710784942862742E-3</v>
      </c>
      <c r="Y16" s="174">
        <v>184672.81</v>
      </c>
      <c r="Z16" s="175">
        <f t="shared" si="11"/>
        <v>4.2153497785564389E-2</v>
      </c>
      <c r="AA16" s="174">
        <v>447847.86</v>
      </c>
      <c r="AB16" s="175">
        <f t="shared" si="12"/>
        <v>0.10222595180513985</v>
      </c>
      <c r="AC16" s="174">
        <f t="shared" si="13"/>
        <v>632520.66999999993</v>
      </c>
      <c r="AD16" s="175">
        <f t="shared" si="14"/>
        <v>0.14437944959070423</v>
      </c>
      <c r="AE16" s="174">
        <v>1223663.8999999999</v>
      </c>
      <c r="AF16" s="175">
        <f t="shared" si="15"/>
        <v>0.27931406631504163</v>
      </c>
      <c r="AG16" s="174">
        <v>85262.399999999994</v>
      </c>
      <c r="AH16" s="175">
        <f t="shared" si="16"/>
        <v>1.9462033363719895E-2</v>
      </c>
      <c r="AI16" s="174">
        <v>229490.12000000002</v>
      </c>
      <c r="AJ16" s="175">
        <f t="shared" si="17"/>
        <v>5.2383516908790777E-2</v>
      </c>
      <c r="AK16" s="174">
        <v>196517.38</v>
      </c>
      <c r="AL16" s="175">
        <f t="shared" si="18"/>
        <v>4.4857144604313517E-2</v>
      </c>
      <c r="AN16" s="72"/>
    </row>
    <row r="17" spans="2:40" s="73" customFormat="1" ht="14.25" customHeight="1">
      <c r="B17" s="500"/>
      <c r="C17" s="497"/>
      <c r="D17" s="173">
        <v>46059</v>
      </c>
      <c r="E17" s="173" t="s">
        <v>114</v>
      </c>
      <c r="F17" s="337">
        <f t="shared" si="0"/>
        <v>3638268.6499999994</v>
      </c>
      <c r="G17" s="489"/>
      <c r="H17" s="491"/>
      <c r="I17" s="174">
        <v>589942.58000000007</v>
      </c>
      <c r="J17" s="175">
        <f t="shared" si="1"/>
        <v>0.16214926294681406</v>
      </c>
      <c r="K17" s="174">
        <v>731719.3899999999</v>
      </c>
      <c r="L17" s="175">
        <f t="shared" si="2"/>
        <v>0.20111747108064712</v>
      </c>
      <c r="M17" s="174">
        <f t="shared" si="3"/>
        <v>1321661.97</v>
      </c>
      <c r="N17" s="175">
        <f t="shared" ref="N17" si="44">M17/F17</f>
        <v>0.36326673402746118</v>
      </c>
      <c r="O17" s="174">
        <v>135346.12999999998</v>
      </c>
      <c r="P17" s="175">
        <f t="shared" si="5"/>
        <v>3.720069709530658E-2</v>
      </c>
      <c r="Q17" s="174">
        <v>121416.47</v>
      </c>
      <c r="R17" s="175">
        <f t="shared" si="6"/>
        <v>3.3372046344076325E-2</v>
      </c>
      <c r="S17" s="174">
        <f t="shared" si="7"/>
        <v>256762.59999999998</v>
      </c>
      <c r="T17" s="175">
        <f t="shared" ref="T17" si="45">S17/F17</f>
        <v>7.0572743439382912E-2</v>
      </c>
      <c r="U17" s="174">
        <v>69068.22</v>
      </c>
      <c r="V17" s="175">
        <f t="shared" ref="V17" si="46">U17/F17</f>
        <v>1.8983815282579534E-2</v>
      </c>
      <c r="W17" s="174">
        <v>21450.65</v>
      </c>
      <c r="X17" s="175">
        <f t="shared" si="10"/>
        <v>5.8958400446871909E-3</v>
      </c>
      <c r="Y17" s="174">
        <v>169004.29</v>
      </c>
      <c r="Z17" s="175">
        <f t="shared" si="11"/>
        <v>4.645184461570754E-2</v>
      </c>
      <c r="AA17" s="174">
        <v>468514.79000000004</v>
      </c>
      <c r="AB17" s="175">
        <f t="shared" si="12"/>
        <v>0.12877410523271834</v>
      </c>
      <c r="AC17" s="174">
        <f t="shared" si="13"/>
        <v>637519.08000000007</v>
      </c>
      <c r="AD17" s="175">
        <f t="shared" si="14"/>
        <v>0.1752259498484259</v>
      </c>
      <c r="AE17" s="174">
        <v>965034.65</v>
      </c>
      <c r="AF17" s="175">
        <f t="shared" si="15"/>
        <v>0.26524557223117656</v>
      </c>
      <c r="AG17" s="174">
        <v>62915.399999999994</v>
      </c>
      <c r="AH17" s="175">
        <f t="shared" si="16"/>
        <v>1.7292675734651975E-2</v>
      </c>
      <c r="AI17" s="174">
        <v>150301.77000000002</v>
      </c>
      <c r="AJ17" s="175">
        <f t="shared" si="17"/>
        <v>4.1311344614422589E-2</v>
      </c>
      <c r="AK17" s="174">
        <v>153554.31</v>
      </c>
      <c r="AL17" s="175">
        <f t="shared" si="18"/>
        <v>4.2205324777212373E-2</v>
      </c>
      <c r="AN17" s="72"/>
    </row>
    <row r="18" spans="2:40" s="73" customFormat="1" ht="14.25" customHeight="1">
      <c r="B18" s="500"/>
      <c r="C18" s="497"/>
      <c r="D18" s="173">
        <v>46060</v>
      </c>
      <c r="E18" s="173" t="s">
        <v>115</v>
      </c>
      <c r="F18" s="337">
        <f t="shared" si="0"/>
        <v>3904128.8</v>
      </c>
      <c r="G18" s="489"/>
      <c r="H18" s="491"/>
      <c r="I18" s="174">
        <v>550717.77</v>
      </c>
      <c r="J18" s="175">
        <f t="shared" si="1"/>
        <v>0.14106034872619982</v>
      </c>
      <c r="K18" s="174">
        <v>836143.75999999989</v>
      </c>
      <c r="L18" s="175">
        <f t="shared" si="2"/>
        <v>0.21416910220789845</v>
      </c>
      <c r="M18" s="174">
        <f t="shared" si="3"/>
        <v>1386861.5299999998</v>
      </c>
      <c r="N18" s="175">
        <f t="shared" ref="N18" si="47">M18/$F18</f>
        <v>0.35522945093409825</v>
      </c>
      <c r="O18" s="174">
        <v>125007.97000000002</v>
      </c>
      <c r="P18" s="175">
        <f t="shared" si="5"/>
        <v>3.2019427740191363E-2</v>
      </c>
      <c r="Q18" s="174">
        <v>114762.48</v>
      </c>
      <c r="R18" s="175">
        <f t="shared" si="6"/>
        <v>2.9395157249934991E-2</v>
      </c>
      <c r="S18" s="174">
        <f t="shared" si="7"/>
        <v>239770.45</v>
      </c>
      <c r="T18" s="175">
        <f t="shared" ref="T18" si="48">S18/$F18</f>
        <v>6.1414584990126357E-2</v>
      </c>
      <c r="U18" s="174">
        <v>73242.040000000008</v>
      </c>
      <c r="V18" s="175">
        <f t="shared" ref="V18" si="49">U18/$F18</f>
        <v>1.8760149511460794E-2</v>
      </c>
      <c r="W18" s="174">
        <v>21071.95</v>
      </c>
      <c r="X18" s="175">
        <f t="shared" si="10"/>
        <v>5.3973501079165216E-3</v>
      </c>
      <c r="Y18" s="174">
        <v>192563.84</v>
      </c>
      <c r="Z18" s="175">
        <f t="shared" si="11"/>
        <v>4.9323126839462883E-2</v>
      </c>
      <c r="AA18" s="174">
        <v>512199.32999999996</v>
      </c>
      <c r="AB18" s="175">
        <f t="shared" si="12"/>
        <v>0.13119427053738594</v>
      </c>
      <c r="AC18" s="174">
        <f t="shared" si="13"/>
        <v>704763.16999999993</v>
      </c>
      <c r="AD18" s="175">
        <f t="shared" si="14"/>
        <v>0.18051739737684883</v>
      </c>
      <c r="AE18" s="174">
        <v>1046882.63</v>
      </c>
      <c r="AF18" s="175">
        <f t="shared" si="15"/>
        <v>0.26814756470124657</v>
      </c>
      <c r="AG18" s="174">
        <v>80391.899999999994</v>
      </c>
      <c r="AH18" s="175">
        <f t="shared" si="16"/>
        <v>2.0591508149013935E-2</v>
      </c>
      <c r="AI18" s="174">
        <v>152212.68</v>
      </c>
      <c r="AJ18" s="175">
        <f t="shared" si="17"/>
        <v>3.8987617416720473E-2</v>
      </c>
      <c r="AK18" s="174">
        <v>198932.44999999998</v>
      </c>
      <c r="AL18" s="175">
        <f t="shared" si="18"/>
        <v>5.0954376812568272E-2</v>
      </c>
      <c r="AN18" s="72"/>
    </row>
    <row r="19" spans="2:40" s="73" customFormat="1" ht="14.25" customHeight="1">
      <c r="B19" s="500"/>
      <c r="C19" s="497"/>
      <c r="D19" s="173">
        <v>46061</v>
      </c>
      <c r="E19" s="173" t="s">
        <v>116</v>
      </c>
      <c r="F19" s="337">
        <f t="shared" si="0"/>
        <v>4998806.51</v>
      </c>
      <c r="G19" s="489"/>
      <c r="H19" s="491"/>
      <c r="I19" s="174">
        <v>795904.07000000007</v>
      </c>
      <c r="J19" s="175">
        <f t="shared" si="1"/>
        <v>0.1592188192137087</v>
      </c>
      <c r="K19" s="174">
        <v>919470.56</v>
      </c>
      <c r="L19" s="175">
        <f t="shared" si="2"/>
        <v>0.18393801763693393</v>
      </c>
      <c r="M19" s="174">
        <f t="shared" si="3"/>
        <v>1715374.6300000001</v>
      </c>
      <c r="N19" s="175">
        <f t="shared" ref="N19" si="50">M19/F19</f>
        <v>0.34315683685064263</v>
      </c>
      <c r="O19" s="174">
        <v>201984.05000000002</v>
      </c>
      <c r="P19" s="175">
        <f t="shared" si="5"/>
        <v>4.0406454939981268E-2</v>
      </c>
      <c r="Q19" s="174">
        <v>143487.91999999998</v>
      </c>
      <c r="R19" s="175">
        <f t="shared" si="6"/>
        <v>2.870443569139066E-2</v>
      </c>
      <c r="S19" s="174">
        <f t="shared" si="7"/>
        <v>345471.97</v>
      </c>
      <c r="T19" s="175">
        <f t="shared" ref="T19" si="51">S19/F19</f>
        <v>6.9110890631371921E-2</v>
      </c>
      <c r="U19" s="174">
        <v>94255.65</v>
      </c>
      <c r="V19" s="175">
        <f t="shared" ref="V19" si="52">U19/F19</f>
        <v>1.8855630801361024E-2</v>
      </c>
      <c r="W19" s="174">
        <v>23722.850000000002</v>
      </c>
      <c r="X19" s="175">
        <f t="shared" si="10"/>
        <v>4.7457027897645117E-3</v>
      </c>
      <c r="Y19" s="174">
        <v>216577.55000000002</v>
      </c>
      <c r="Z19" s="175">
        <f t="shared" si="11"/>
        <v>4.3325851794171567E-2</v>
      </c>
      <c r="AA19" s="174">
        <v>605602.38</v>
      </c>
      <c r="AB19" s="175">
        <f t="shared" si="12"/>
        <v>0.12114939411807721</v>
      </c>
      <c r="AC19" s="174">
        <f t="shared" si="13"/>
        <v>822179.93</v>
      </c>
      <c r="AD19" s="175">
        <f t="shared" si="14"/>
        <v>0.16447524591224877</v>
      </c>
      <c r="AE19" s="174">
        <v>1586999.3599999999</v>
      </c>
      <c r="AF19" s="175">
        <f t="shared" si="15"/>
        <v>0.31747565280337287</v>
      </c>
      <c r="AG19" s="174">
        <v>79990.8</v>
      </c>
      <c r="AH19" s="175">
        <f t="shared" si="16"/>
        <v>1.6001979640536238E-2</v>
      </c>
      <c r="AI19" s="174">
        <v>156005.13999999998</v>
      </c>
      <c r="AJ19" s="175">
        <f t="shared" si="17"/>
        <v>3.1208477401138697E-2</v>
      </c>
      <c r="AK19" s="174">
        <v>174806.18</v>
      </c>
      <c r="AL19" s="175">
        <f t="shared" si="18"/>
        <v>3.496958316956341E-2</v>
      </c>
      <c r="AN19" s="72"/>
    </row>
    <row r="20" spans="2:40" s="73" customFormat="1" ht="14.25" customHeight="1">
      <c r="B20" s="501"/>
      <c r="C20" s="497"/>
      <c r="D20" s="173">
        <v>46062</v>
      </c>
      <c r="E20" s="173" t="s">
        <v>117</v>
      </c>
      <c r="F20" s="337">
        <f t="shared" si="0"/>
        <v>4733266.2200000007</v>
      </c>
      <c r="G20" s="489"/>
      <c r="H20" s="491"/>
      <c r="I20" s="174">
        <v>775970.3</v>
      </c>
      <c r="J20" s="175">
        <f t="shared" si="1"/>
        <v>0.16393971180433622</v>
      </c>
      <c r="K20" s="174">
        <v>901679.02999999991</v>
      </c>
      <c r="L20" s="175">
        <f t="shared" si="2"/>
        <v>0.19049827076914339</v>
      </c>
      <c r="M20" s="174">
        <f t="shared" si="3"/>
        <v>1677649.33</v>
      </c>
      <c r="N20" s="175">
        <f t="shared" ref="N20" si="53">M20/$F20</f>
        <v>0.35443798257347964</v>
      </c>
      <c r="O20" s="174">
        <v>191473.16000000003</v>
      </c>
      <c r="P20" s="175">
        <f t="shared" si="5"/>
        <v>4.0452649629329325E-2</v>
      </c>
      <c r="Q20" s="174">
        <v>143278.46</v>
      </c>
      <c r="R20" s="175">
        <f t="shared" si="6"/>
        <v>3.0270526385055091E-2</v>
      </c>
      <c r="S20" s="174">
        <f t="shared" si="7"/>
        <v>334751.62</v>
      </c>
      <c r="T20" s="175">
        <f t="shared" ref="T20" si="54">S20/$F20</f>
        <v>7.0723176014384409E-2</v>
      </c>
      <c r="U20" s="174">
        <v>83646.27</v>
      </c>
      <c r="V20" s="175">
        <f t="shared" ref="V20" si="55">U20/$F20</f>
        <v>1.7671997752114605E-2</v>
      </c>
      <c r="W20" s="174">
        <v>26346.7</v>
      </c>
      <c r="X20" s="175">
        <f t="shared" si="10"/>
        <v>5.5662831489752965E-3</v>
      </c>
      <c r="Y20" s="174">
        <v>213852.59000000003</v>
      </c>
      <c r="Z20" s="175">
        <f t="shared" si="11"/>
        <v>4.5180765260230807E-2</v>
      </c>
      <c r="AA20" s="174">
        <v>568050.39</v>
      </c>
      <c r="AB20" s="175">
        <f t="shared" si="12"/>
        <v>0.12001234741450903</v>
      </c>
      <c r="AC20" s="174">
        <f t="shared" si="13"/>
        <v>781902.98</v>
      </c>
      <c r="AD20" s="175">
        <f t="shared" si="14"/>
        <v>0.16519311267473982</v>
      </c>
      <c r="AE20" s="174">
        <v>1407917.03</v>
      </c>
      <c r="AF20" s="175">
        <f t="shared" si="15"/>
        <v>0.29745147738594763</v>
      </c>
      <c r="AG20" s="174">
        <v>91221.599999999991</v>
      </c>
      <c r="AH20" s="175">
        <f t="shared" si="16"/>
        <v>1.9272442275600543E-2</v>
      </c>
      <c r="AI20" s="174">
        <v>182235.28000000003</v>
      </c>
      <c r="AJ20" s="175">
        <f t="shared" si="17"/>
        <v>3.8500957167796911E-2</v>
      </c>
      <c r="AK20" s="174">
        <v>147595.41</v>
      </c>
      <c r="AL20" s="175">
        <f t="shared" si="18"/>
        <v>3.1182571006961021E-2</v>
      </c>
      <c r="AN20" s="72"/>
    </row>
    <row r="21" spans="2:40" s="73" customFormat="1" ht="14.25" customHeight="1">
      <c r="B21" s="499">
        <f>B14+7</f>
        <v>46065</v>
      </c>
      <c r="C21" s="497"/>
      <c r="D21" s="173">
        <v>46063</v>
      </c>
      <c r="E21" s="173" t="s">
        <v>118</v>
      </c>
      <c r="F21" s="337"/>
      <c r="G21" s="489">
        <f t="shared" ref="G21" si="56">SUM(F21:F27)</f>
        <v>0</v>
      </c>
      <c r="H21" s="491"/>
      <c r="I21" s="174"/>
      <c r="J21" s="175" t="e">
        <f t="shared" ref="J21:J41" si="57">I21/$F21</f>
        <v>#DIV/0!</v>
      </c>
      <c r="K21" s="174"/>
      <c r="L21" s="175" t="e">
        <f t="shared" ref="L21:L41" si="58">K21/$F21</f>
        <v>#DIV/0!</v>
      </c>
      <c r="M21" s="174">
        <f t="shared" ref="M21:M41" si="59">I21+K21</f>
        <v>0</v>
      </c>
      <c r="N21" s="175" t="e">
        <f t="shared" ref="N21" si="60">M21/$F21</f>
        <v>#DIV/0!</v>
      </c>
      <c r="O21" s="174"/>
      <c r="P21" s="175" t="e">
        <f t="shared" ref="P21:P41" si="61">O21/$F21</f>
        <v>#DIV/0!</v>
      </c>
      <c r="Q21" s="174"/>
      <c r="R21" s="175" t="e">
        <f t="shared" ref="R21:R41" si="62">Q21/$F21</f>
        <v>#DIV/0!</v>
      </c>
      <c r="S21" s="174">
        <f t="shared" ref="S21:S41" si="63">O21+Q21</f>
        <v>0</v>
      </c>
      <c r="T21" s="175" t="e">
        <f t="shared" ref="T21" si="64">S21/$F21</f>
        <v>#DIV/0!</v>
      </c>
      <c r="U21" s="174"/>
      <c r="V21" s="175" t="e">
        <f t="shared" ref="V21" si="65">U21/$F21</f>
        <v>#DIV/0!</v>
      </c>
      <c r="W21" s="174"/>
      <c r="X21" s="175" t="e">
        <f t="shared" ref="X21:X41" si="66">W21/$F21</f>
        <v>#DIV/0!</v>
      </c>
      <c r="Y21" s="174"/>
      <c r="Z21" s="175" t="e">
        <f t="shared" ref="Z21:Z41" si="67">Y21/$F21</f>
        <v>#DIV/0!</v>
      </c>
      <c r="AA21" s="174"/>
      <c r="AB21" s="175" t="e">
        <f t="shared" ref="AB21:AB41" si="68">AA21/$F21</f>
        <v>#DIV/0!</v>
      </c>
      <c r="AC21" s="174">
        <f t="shared" ref="AC21:AC41" si="69">Y21+AA21</f>
        <v>0</v>
      </c>
      <c r="AD21" s="175" t="e">
        <f t="shared" ref="AD21:AD41" si="70">AC21/$F21</f>
        <v>#DIV/0!</v>
      </c>
      <c r="AE21" s="174"/>
      <c r="AF21" s="175" t="e">
        <f t="shared" ref="AF21:AF41" si="71">AE21/F21</f>
        <v>#DIV/0!</v>
      </c>
      <c r="AG21" s="174"/>
      <c r="AH21" s="175" t="e">
        <f t="shared" ref="AH21:AH41" si="72">AG21/$F21</f>
        <v>#DIV/0!</v>
      </c>
      <c r="AI21" s="174"/>
      <c r="AJ21" s="175" t="e">
        <f t="shared" ref="AJ21:AJ41" si="73">AI21/$F21</f>
        <v>#DIV/0!</v>
      </c>
      <c r="AK21" s="174"/>
      <c r="AL21" s="175" t="e">
        <f t="shared" ref="AL21:AL41" si="74">AK21/$F21</f>
        <v>#DIV/0!</v>
      </c>
      <c r="AN21" s="72"/>
    </row>
    <row r="22" spans="2:40" s="73" customFormat="1" ht="14.25" customHeight="1">
      <c r="B22" s="500"/>
      <c r="C22" s="497"/>
      <c r="D22" s="173">
        <v>46064</v>
      </c>
      <c r="E22" s="173" t="s">
        <v>112</v>
      </c>
      <c r="F22" s="337"/>
      <c r="G22" s="489"/>
      <c r="H22" s="491"/>
      <c r="I22" s="174"/>
      <c r="J22" s="175" t="e">
        <f t="shared" si="57"/>
        <v>#DIV/0!</v>
      </c>
      <c r="K22" s="174"/>
      <c r="L22" s="175" t="e">
        <f t="shared" si="58"/>
        <v>#DIV/0!</v>
      </c>
      <c r="M22" s="174">
        <f t="shared" si="59"/>
        <v>0</v>
      </c>
      <c r="N22" s="175" t="e">
        <f t="shared" ref="N22" si="75">M22/F22</f>
        <v>#DIV/0!</v>
      </c>
      <c r="O22" s="174"/>
      <c r="P22" s="175" t="e">
        <f t="shared" si="61"/>
        <v>#DIV/0!</v>
      </c>
      <c r="Q22" s="174"/>
      <c r="R22" s="175" t="e">
        <f t="shared" si="62"/>
        <v>#DIV/0!</v>
      </c>
      <c r="S22" s="174">
        <f t="shared" si="63"/>
        <v>0</v>
      </c>
      <c r="T22" s="175" t="e">
        <f t="shared" ref="T22" si="76">S22/F22</f>
        <v>#DIV/0!</v>
      </c>
      <c r="U22" s="174"/>
      <c r="V22" s="175" t="e">
        <f t="shared" ref="V22" si="77">U22/F22</f>
        <v>#DIV/0!</v>
      </c>
      <c r="W22" s="174"/>
      <c r="X22" s="175" t="e">
        <f t="shared" si="66"/>
        <v>#DIV/0!</v>
      </c>
      <c r="Y22" s="174"/>
      <c r="Z22" s="175" t="e">
        <f t="shared" si="67"/>
        <v>#DIV/0!</v>
      </c>
      <c r="AA22" s="174"/>
      <c r="AB22" s="175" t="e">
        <f t="shared" si="68"/>
        <v>#DIV/0!</v>
      </c>
      <c r="AC22" s="174">
        <f t="shared" si="69"/>
        <v>0</v>
      </c>
      <c r="AD22" s="175" t="e">
        <f t="shared" si="70"/>
        <v>#DIV/0!</v>
      </c>
      <c r="AE22" s="174"/>
      <c r="AF22" s="175" t="e">
        <f t="shared" si="71"/>
        <v>#DIV/0!</v>
      </c>
      <c r="AG22" s="174"/>
      <c r="AH22" s="175" t="e">
        <f t="shared" si="72"/>
        <v>#DIV/0!</v>
      </c>
      <c r="AI22" s="174"/>
      <c r="AJ22" s="175" t="e">
        <f t="shared" si="73"/>
        <v>#DIV/0!</v>
      </c>
      <c r="AK22" s="174"/>
      <c r="AL22" s="175" t="e">
        <f t="shared" si="74"/>
        <v>#DIV/0!</v>
      </c>
      <c r="AN22" s="72"/>
    </row>
    <row r="23" spans="2:40" s="73" customFormat="1" ht="14.25" customHeight="1">
      <c r="B23" s="500"/>
      <c r="C23" s="497"/>
      <c r="D23" s="173">
        <v>46065</v>
      </c>
      <c r="E23" s="173" t="s">
        <v>113</v>
      </c>
      <c r="F23" s="337"/>
      <c r="G23" s="489"/>
      <c r="H23" s="491"/>
      <c r="I23" s="174"/>
      <c r="J23" s="175" t="e">
        <f t="shared" si="57"/>
        <v>#DIV/0!</v>
      </c>
      <c r="K23" s="174"/>
      <c r="L23" s="175" t="e">
        <f t="shared" si="58"/>
        <v>#DIV/0!</v>
      </c>
      <c r="M23" s="174">
        <f t="shared" si="59"/>
        <v>0</v>
      </c>
      <c r="N23" s="175" t="e">
        <f t="shared" ref="N23" si="78">M23/$F23</f>
        <v>#DIV/0!</v>
      </c>
      <c r="O23" s="174"/>
      <c r="P23" s="175" t="e">
        <f t="shared" si="61"/>
        <v>#DIV/0!</v>
      </c>
      <c r="Q23" s="174"/>
      <c r="R23" s="175" t="e">
        <f t="shared" si="62"/>
        <v>#DIV/0!</v>
      </c>
      <c r="S23" s="174">
        <f t="shared" si="63"/>
        <v>0</v>
      </c>
      <c r="T23" s="175" t="e">
        <f t="shared" ref="T23" si="79">S23/$F23</f>
        <v>#DIV/0!</v>
      </c>
      <c r="U23" s="174"/>
      <c r="V23" s="175" t="e">
        <f t="shared" ref="V23" si="80">U23/$F23</f>
        <v>#DIV/0!</v>
      </c>
      <c r="W23" s="174"/>
      <c r="X23" s="175" t="e">
        <f t="shared" si="66"/>
        <v>#DIV/0!</v>
      </c>
      <c r="Y23" s="174"/>
      <c r="Z23" s="175" t="e">
        <f t="shared" si="67"/>
        <v>#DIV/0!</v>
      </c>
      <c r="AA23" s="174"/>
      <c r="AB23" s="175" t="e">
        <f t="shared" si="68"/>
        <v>#DIV/0!</v>
      </c>
      <c r="AC23" s="174">
        <f t="shared" si="69"/>
        <v>0</v>
      </c>
      <c r="AD23" s="175" t="e">
        <f t="shared" si="70"/>
        <v>#DIV/0!</v>
      </c>
      <c r="AE23" s="174"/>
      <c r="AF23" s="175" t="e">
        <f t="shared" si="71"/>
        <v>#DIV/0!</v>
      </c>
      <c r="AG23" s="174"/>
      <c r="AH23" s="175" t="e">
        <f t="shared" si="72"/>
        <v>#DIV/0!</v>
      </c>
      <c r="AI23" s="174"/>
      <c r="AJ23" s="175" t="e">
        <f t="shared" si="73"/>
        <v>#DIV/0!</v>
      </c>
      <c r="AK23" s="174"/>
      <c r="AL23" s="175" t="e">
        <f t="shared" si="74"/>
        <v>#DIV/0!</v>
      </c>
      <c r="AN23" s="72"/>
    </row>
    <row r="24" spans="2:40" s="73" customFormat="1" ht="14.25" customHeight="1">
      <c r="B24" s="500"/>
      <c r="C24" s="497"/>
      <c r="D24" s="173">
        <v>46066</v>
      </c>
      <c r="E24" s="173" t="s">
        <v>114</v>
      </c>
      <c r="F24" s="337"/>
      <c r="G24" s="489"/>
      <c r="H24" s="491"/>
      <c r="I24" s="174"/>
      <c r="J24" s="175" t="e">
        <f t="shared" si="57"/>
        <v>#DIV/0!</v>
      </c>
      <c r="K24" s="174"/>
      <c r="L24" s="175" t="e">
        <f t="shared" si="58"/>
        <v>#DIV/0!</v>
      </c>
      <c r="M24" s="174">
        <f t="shared" si="59"/>
        <v>0</v>
      </c>
      <c r="N24" s="175" t="e">
        <f t="shared" ref="N24" si="81">M24/F24</f>
        <v>#DIV/0!</v>
      </c>
      <c r="O24" s="174"/>
      <c r="P24" s="175" t="e">
        <f t="shared" si="61"/>
        <v>#DIV/0!</v>
      </c>
      <c r="Q24" s="174"/>
      <c r="R24" s="175" t="e">
        <f t="shared" si="62"/>
        <v>#DIV/0!</v>
      </c>
      <c r="S24" s="174">
        <f t="shared" si="63"/>
        <v>0</v>
      </c>
      <c r="T24" s="175" t="e">
        <f t="shared" ref="T24" si="82">S24/F24</f>
        <v>#DIV/0!</v>
      </c>
      <c r="U24" s="174"/>
      <c r="V24" s="175" t="e">
        <f t="shared" ref="V24" si="83">U24/F24</f>
        <v>#DIV/0!</v>
      </c>
      <c r="W24" s="174"/>
      <c r="X24" s="175" t="e">
        <f t="shared" si="66"/>
        <v>#DIV/0!</v>
      </c>
      <c r="Y24" s="174"/>
      <c r="Z24" s="175" t="e">
        <f t="shared" si="67"/>
        <v>#DIV/0!</v>
      </c>
      <c r="AA24" s="174"/>
      <c r="AB24" s="175" t="e">
        <f t="shared" si="68"/>
        <v>#DIV/0!</v>
      </c>
      <c r="AC24" s="174">
        <f t="shared" si="69"/>
        <v>0</v>
      </c>
      <c r="AD24" s="175" t="e">
        <f t="shared" si="70"/>
        <v>#DIV/0!</v>
      </c>
      <c r="AE24" s="174"/>
      <c r="AF24" s="175" t="e">
        <f t="shared" si="71"/>
        <v>#DIV/0!</v>
      </c>
      <c r="AG24" s="174"/>
      <c r="AH24" s="175" t="e">
        <f t="shared" si="72"/>
        <v>#DIV/0!</v>
      </c>
      <c r="AI24" s="174"/>
      <c r="AJ24" s="175" t="e">
        <f t="shared" si="73"/>
        <v>#DIV/0!</v>
      </c>
      <c r="AK24" s="174"/>
      <c r="AL24" s="175" t="e">
        <f t="shared" si="74"/>
        <v>#DIV/0!</v>
      </c>
      <c r="AN24" s="72"/>
    </row>
    <row r="25" spans="2:40" s="73" customFormat="1" ht="14.25" customHeight="1">
      <c r="B25" s="500"/>
      <c r="C25" s="497"/>
      <c r="D25" s="173">
        <v>46067</v>
      </c>
      <c r="E25" s="173" t="s">
        <v>115</v>
      </c>
      <c r="F25" s="337"/>
      <c r="G25" s="489"/>
      <c r="H25" s="491"/>
      <c r="I25" s="174"/>
      <c r="J25" s="175" t="e">
        <f t="shared" si="57"/>
        <v>#DIV/0!</v>
      </c>
      <c r="K25" s="174"/>
      <c r="L25" s="175" t="e">
        <f t="shared" si="58"/>
        <v>#DIV/0!</v>
      </c>
      <c r="M25" s="174">
        <f t="shared" si="59"/>
        <v>0</v>
      </c>
      <c r="N25" s="175" t="e">
        <f t="shared" ref="N25" si="84">M25/$F25</f>
        <v>#DIV/0!</v>
      </c>
      <c r="O25" s="174"/>
      <c r="P25" s="175" t="e">
        <f t="shared" si="61"/>
        <v>#DIV/0!</v>
      </c>
      <c r="Q25" s="174"/>
      <c r="R25" s="175" t="e">
        <f t="shared" si="62"/>
        <v>#DIV/0!</v>
      </c>
      <c r="S25" s="174">
        <f t="shared" si="63"/>
        <v>0</v>
      </c>
      <c r="T25" s="175" t="e">
        <f t="shared" ref="T25" si="85">S25/$F25</f>
        <v>#DIV/0!</v>
      </c>
      <c r="U25" s="174"/>
      <c r="V25" s="175" t="e">
        <f t="shared" ref="V25" si="86">U25/$F25</f>
        <v>#DIV/0!</v>
      </c>
      <c r="W25" s="174"/>
      <c r="X25" s="175" t="e">
        <f t="shared" si="66"/>
        <v>#DIV/0!</v>
      </c>
      <c r="Y25" s="174"/>
      <c r="Z25" s="175" t="e">
        <f t="shared" si="67"/>
        <v>#DIV/0!</v>
      </c>
      <c r="AA25" s="174"/>
      <c r="AB25" s="175" t="e">
        <f t="shared" si="68"/>
        <v>#DIV/0!</v>
      </c>
      <c r="AC25" s="174">
        <f t="shared" si="69"/>
        <v>0</v>
      </c>
      <c r="AD25" s="175" t="e">
        <f t="shared" si="70"/>
        <v>#DIV/0!</v>
      </c>
      <c r="AE25" s="174"/>
      <c r="AF25" s="175" t="e">
        <f t="shared" si="71"/>
        <v>#DIV/0!</v>
      </c>
      <c r="AG25" s="174"/>
      <c r="AH25" s="175" t="e">
        <f t="shared" si="72"/>
        <v>#DIV/0!</v>
      </c>
      <c r="AI25" s="174"/>
      <c r="AJ25" s="175" t="e">
        <f t="shared" si="73"/>
        <v>#DIV/0!</v>
      </c>
      <c r="AK25" s="174"/>
      <c r="AL25" s="175" t="e">
        <f t="shared" si="74"/>
        <v>#DIV/0!</v>
      </c>
      <c r="AN25" s="72"/>
    </row>
    <row r="26" spans="2:40" s="73" customFormat="1" ht="14.25" customHeight="1">
      <c r="B26" s="500"/>
      <c r="C26" s="497"/>
      <c r="D26" s="173">
        <v>46068</v>
      </c>
      <c r="E26" s="173" t="s">
        <v>116</v>
      </c>
      <c r="F26" s="337"/>
      <c r="G26" s="489"/>
      <c r="H26" s="491"/>
      <c r="I26" s="174"/>
      <c r="J26" s="175" t="e">
        <f t="shared" si="57"/>
        <v>#DIV/0!</v>
      </c>
      <c r="K26" s="174"/>
      <c r="L26" s="175" t="e">
        <f t="shared" si="58"/>
        <v>#DIV/0!</v>
      </c>
      <c r="M26" s="174">
        <f t="shared" si="59"/>
        <v>0</v>
      </c>
      <c r="N26" s="175" t="e">
        <f t="shared" ref="N26" si="87">M26/F26</f>
        <v>#DIV/0!</v>
      </c>
      <c r="O26" s="174"/>
      <c r="P26" s="175" t="e">
        <f t="shared" si="61"/>
        <v>#DIV/0!</v>
      </c>
      <c r="Q26" s="174"/>
      <c r="R26" s="175" t="e">
        <f t="shared" si="62"/>
        <v>#DIV/0!</v>
      </c>
      <c r="S26" s="174">
        <f t="shared" si="63"/>
        <v>0</v>
      </c>
      <c r="T26" s="175" t="e">
        <f t="shared" ref="T26" si="88">S26/F26</f>
        <v>#DIV/0!</v>
      </c>
      <c r="U26" s="174"/>
      <c r="V26" s="175" t="e">
        <f t="shared" ref="V26" si="89">U26/F26</f>
        <v>#DIV/0!</v>
      </c>
      <c r="W26" s="174"/>
      <c r="X26" s="175" t="e">
        <f t="shared" si="66"/>
        <v>#DIV/0!</v>
      </c>
      <c r="Y26" s="174"/>
      <c r="Z26" s="175" t="e">
        <f t="shared" si="67"/>
        <v>#DIV/0!</v>
      </c>
      <c r="AA26" s="174"/>
      <c r="AB26" s="175" t="e">
        <f t="shared" si="68"/>
        <v>#DIV/0!</v>
      </c>
      <c r="AC26" s="174">
        <f t="shared" si="69"/>
        <v>0</v>
      </c>
      <c r="AD26" s="175" t="e">
        <f t="shared" si="70"/>
        <v>#DIV/0!</v>
      </c>
      <c r="AE26" s="174"/>
      <c r="AF26" s="175" t="e">
        <f t="shared" si="71"/>
        <v>#DIV/0!</v>
      </c>
      <c r="AG26" s="174"/>
      <c r="AH26" s="175" t="e">
        <f t="shared" si="72"/>
        <v>#DIV/0!</v>
      </c>
      <c r="AI26" s="174"/>
      <c r="AJ26" s="175" t="e">
        <f t="shared" si="73"/>
        <v>#DIV/0!</v>
      </c>
      <c r="AK26" s="174"/>
      <c r="AL26" s="175" t="e">
        <f t="shared" si="74"/>
        <v>#DIV/0!</v>
      </c>
      <c r="AN26" s="72"/>
    </row>
    <row r="27" spans="2:40" s="73" customFormat="1" ht="14.25" customHeight="1">
      <c r="B27" s="501"/>
      <c r="C27" s="497"/>
      <c r="D27" s="173">
        <v>46069</v>
      </c>
      <c r="E27" s="173" t="s">
        <v>117</v>
      </c>
      <c r="F27" s="337"/>
      <c r="G27" s="489"/>
      <c r="H27" s="491"/>
      <c r="I27" s="174"/>
      <c r="J27" s="175" t="e">
        <f t="shared" si="57"/>
        <v>#DIV/0!</v>
      </c>
      <c r="K27" s="174"/>
      <c r="L27" s="175" t="e">
        <f t="shared" si="58"/>
        <v>#DIV/0!</v>
      </c>
      <c r="M27" s="174">
        <f t="shared" si="59"/>
        <v>0</v>
      </c>
      <c r="N27" s="175" t="e">
        <f t="shared" ref="N27:N28" si="90">M27/$F27</f>
        <v>#DIV/0!</v>
      </c>
      <c r="O27" s="174"/>
      <c r="P27" s="175" t="e">
        <f t="shared" si="61"/>
        <v>#DIV/0!</v>
      </c>
      <c r="Q27" s="174"/>
      <c r="R27" s="175" t="e">
        <f t="shared" si="62"/>
        <v>#DIV/0!</v>
      </c>
      <c r="S27" s="174">
        <f t="shared" si="63"/>
        <v>0</v>
      </c>
      <c r="T27" s="175" t="e">
        <f t="shared" ref="T27:T28" si="91">S27/$F27</f>
        <v>#DIV/0!</v>
      </c>
      <c r="U27" s="174"/>
      <c r="V27" s="175" t="e">
        <f t="shared" ref="V27:V28" si="92">U27/$F27</f>
        <v>#DIV/0!</v>
      </c>
      <c r="W27" s="174"/>
      <c r="X27" s="175" t="e">
        <f t="shared" si="66"/>
        <v>#DIV/0!</v>
      </c>
      <c r="Y27" s="174"/>
      <c r="Z27" s="175" t="e">
        <f t="shared" si="67"/>
        <v>#DIV/0!</v>
      </c>
      <c r="AA27" s="174"/>
      <c r="AB27" s="175" t="e">
        <f t="shared" si="68"/>
        <v>#DIV/0!</v>
      </c>
      <c r="AC27" s="174">
        <f t="shared" si="69"/>
        <v>0</v>
      </c>
      <c r="AD27" s="175" t="e">
        <f t="shared" si="70"/>
        <v>#DIV/0!</v>
      </c>
      <c r="AE27" s="174"/>
      <c r="AF27" s="175" t="e">
        <f t="shared" si="71"/>
        <v>#DIV/0!</v>
      </c>
      <c r="AG27" s="174"/>
      <c r="AH27" s="175" t="e">
        <f t="shared" si="72"/>
        <v>#DIV/0!</v>
      </c>
      <c r="AI27" s="174"/>
      <c r="AJ27" s="175" t="e">
        <f t="shared" si="73"/>
        <v>#DIV/0!</v>
      </c>
      <c r="AK27" s="174"/>
      <c r="AL27" s="175" t="e">
        <f t="shared" si="74"/>
        <v>#DIV/0!</v>
      </c>
      <c r="AN27" s="72"/>
    </row>
    <row r="28" spans="2:40" s="73" customFormat="1" ht="14.25" customHeight="1">
      <c r="B28" s="499">
        <f>B21+7</f>
        <v>46072</v>
      </c>
      <c r="C28" s="497"/>
      <c r="D28" s="173">
        <v>46070</v>
      </c>
      <c r="E28" s="173" t="s">
        <v>118</v>
      </c>
      <c r="F28" s="337"/>
      <c r="G28" s="489">
        <f t="shared" ref="G28" si="93">SUM(F28:F34)</f>
        <v>0</v>
      </c>
      <c r="H28" s="491"/>
      <c r="I28" s="174"/>
      <c r="J28" s="175" t="e">
        <f t="shared" si="57"/>
        <v>#DIV/0!</v>
      </c>
      <c r="K28" s="174"/>
      <c r="L28" s="175" t="e">
        <f t="shared" si="58"/>
        <v>#DIV/0!</v>
      </c>
      <c r="M28" s="174">
        <f t="shared" si="59"/>
        <v>0</v>
      </c>
      <c r="N28" s="175" t="e">
        <f t="shared" si="90"/>
        <v>#DIV/0!</v>
      </c>
      <c r="O28" s="174"/>
      <c r="P28" s="175" t="e">
        <f t="shared" si="61"/>
        <v>#DIV/0!</v>
      </c>
      <c r="Q28" s="174"/>
      <c r="R28" s="175" t="e">
        <f t="shared" si="62"/>
        <v>#DIV/0!</v>
      </c>
      <c r="S28" s="174">
        <f t="shared" si="63"/>
        <v>0</v>
      </c>
      <c r="T28" s="175" t="e">
        <f t="shared" si="91"/>
        <v>#DIV/0!</v>
      </c>
      <c r="U28" s="174"/>
      <c r="V28" s="175" t="e">
        <f t="shared" si="92"/>
        <v>#DIV/0!</v>
      </c>
      <c r="W28" s="174"/>
      <c r="X28" s="175" t="e">
        <f t="shared" si="66"/>
        <v>#DIV/0!</v>
      </c>
      <c r="Y28" s="174"/>
      <c r="Z28" s="175" t="e">
        <f t="shared" si="67"/>
        <v>#DIV/0!</v>
      </c>
      <c r="AA28" s="174"/>
      <c r="AB28" s="175" t="e">
        <f t="shared" si="68"/>
        <v>#DIV/0!</v>
      </c>
      <c r="AC28" s="174">
        <f t="shared" si="69"/>
        <v>0</v>
      </c>
      <c r="AD28" s="175" t="e">
        <f t="shared" si="70"/>
        <v>#DIV/0!</v>
      </c>
      <c r="AE28" s="174"/>
      <c r="AF28" s="175" t="e">
        <f t="shared" si="71"/>
        <v>#DIV/0!</v>
      </c>
      <c r="AG28" s="174"/>
      <c r="AH28" s="175" t="e">
        <f t="shared" si="72"/>
        <v>#DIV/0!</v>
      </c>
      <c r="AI28" s="174"/>
      <c r="AJ28" s="175" t="e">
        <f t="shared" si="73"/>
        <v>#DIV/0!</v>
      </c>
      <c r="AK28" s="174"/>
      <c r="AL28" s="175" t="e">
        <f t="shared" si="74"/>
        <v>#DIV/0!</v>
      </c>
      <c r="AN28" s="72"/>
    </row>
    <row r="29" spans="2:40" s="73" customFormat="1" ht="14.25" customHeight="1">
      <c r="B29" s="500"/>
      <c r="C29" s="497"/>
      <c r="D29" s="173">
        <v>46071</v>
      </c>
      <c r="E29" s="173" t="s">
        <v>112</v>
      </c>
      <c r="F29" s="337"/>
      <c r="G29" s="489"/>
      <c r="H29" s="491"/>
      <c r="I29" s="174"/>
      <c r="J29" s="175" t="e">
        <f t="shared" si="57"/>
        <v>#DIV/0!</v>
      </c>
      <c r="K29" s="174"/>
      <c r="L29" s="175" t="e">
        <f t="shared" si="58"/>
        <v>#DIV/0!</v>
      </c>
      <c r="M29" s="174">
        <f t="shared" si="59"/>
        <v>0</v>
      </c>
      <c r="N29" s="175" t="e">
        <f t="shared" ref="N29" si="94">M29/F29</f>
        <v>#DIV/0!</v>
      </c>
      <c r="O29" s="174"/>
      <c r="P29" s="175" t="e">
        <f t="shared" si="61"/>
        <v>#DIV/0!</v>
      </c>
      <c r="Q29" s="174"/>
      <c r="R29" s="175" t="e">
        <f t="shared" si="62"/>
        <v>#DIV/0!</v>
      </c>
      <c r="S29" s="174">
        <f t="shared" si="63"/>
        <v>0</v>
      </c>
      <c r="T29" s="175" t="e">
        <f t="shared" ref="T29" si="95">S29/F29</f>
        <v>#DIV/0!</v>
      </c>
      <c r="U29" s="174"/>
      <c r="V29" s="175" t="e">
        <f t="shared" ref="V29" si="96">U29/F29</f>
        <v>#DIV/0!</v>
      </c>
      <c r="W29" s="174"/>
      <c r="X29" s="175" t="e">
        <f t="shared" si="66"/>
        <v>#DIV/0!</v>
      </c>
      <c r="Y29" s="174"/>
      <c r="Z29" s="175" t="e">
        <f t="shared" si="67"/>
        <v>#DIV/0!</v>
      </c>
      <c r="AA29" s="174"/>
      <c r="AB29" s="175" t="e">
        <f t="shared" si="68"/>
        <v>#DIV/0!</v>
      </c>
      <c r="AC29" s="174">
        <f t="shared" si="69"/>
        <v>0</v>
      </c>
      <c r="AD29" s="175" t="e">
        <f t="shared" si="70"/>
        <v>#DIV/0!</v>
      </c>
      <c r="AE29" s="174"/>
      <c r="AF29" s="175" t="e">
        <f t="shared" si="71"/>
        <v>#DIV/0!</v>
      </c>
      <c r="AG29" s="174"/>
      <c r="AH29" s="175" t="e">
        <f t="shared" si="72"/>
        <v>#DIV/0!</v>
      </c>
      <c r="AI29" s="174"/>
      <c r="AJ29" s="175" t="e">
        <f t="shared" si="73"/>
        <v>#DIV/0!</v>
      </c>
      <c r="AK29" s="174"/>
      <c r="AL29" s="175" t="e">
        <f t="shared" si="74"/>
        <v>#DIV/0!</v>
      </c>
      <c r="AN29" s="72"/>
    </row>
    <row r="30" spans="2:40" s="73" customFormat="1" ht="14.25" customHeight="1">
      <c r="B30" s="500"/>
      <c r="C30" s="497"/>
      <c r="D30" s="173">
        <v>46072</v>
      </c>
      <c r="E30" s="173" t="s">
        <v>113</v>
      </c>
      <c r="F30" s="337"/>
      <c r="G30" s="489"/>
      <c r="H30" s="491"/>
      <c r="I30" s="174"/>
      <c r="J30" s="175" t="e">
        <f t="shared" si="57"/>
        <v>#DIV/0!</v>
      </c>
      <c r="K30" s="174"/>
      <c r="L30" s="175" t="e">
        <f t="shared" si="58"/>
        <v>#DIV/0!</v>
      </c>
      <c r="M30" s="174">
        <f t="shared" si="59"/>
        <v>0</v>
      </c>
      <c r="N30" s="175" t="e">
        <f t="shared" ref="N30" si="97">M30/$F30</f>
        <v>#DIV/0!</v>
      </c>
      <c r="O30" s="174"/>
      <c r="P30" s="175" t="e">
        <f t="shared" si="61"/>
        <v>#DIV/0!</v>
      </c>
      <c r="Q30" s="174"/>
      <c r="R30" s="175" t="e">
        <f t="shared" si="62"/>
        <v>#DIV/0!</v>
      </c>
      <c r="S30" s="174">
        <f t="shared" si="63"/>
        <v>0</v>
      </c>
      <c r="T30" s="175" t="e">
        <f t="shared" ref="T30" si="98">S30/$F30</f>
        <v>#DIV/0!</v>
      </c>
      <c r="U30" s="174"/>
      <c r="V30" s="175" t="e">
        <f t="shared" ref="V30" si="99">U30/$F30</f>
        <v>#DIV/0!</v>
      </c>
      <c r="W30" s="174"/>
      <c r="X30" s="175" t="e">
        <f t="shared" si="66"/>
        <v>#DIV/0!</v>
      </c>
      <c r="Y30" s="174"/>
      <c r="Z30" s="175" t="e">
        <f t="shared" si="67"/>
        <v>#DIV/0!</v>
      </c>
      <c r="AA30" s="174"/>
      <c r="AB30" s="175" t="e">
        <f t="shared" si="68"/>
        <v>#DIV/0!</v>
      </c>
      <c r="AC30" s="174">
        <f t="shared" si="69"/>
        <v>0</v>
      </c>
      <c r="AD30" s="175" t="e">
        <f t="shared" si="70"/>
        <v>#DIV/0!</v>
      </c>
      <c r="AE30" s="174"/>
      <c r="AF30" s="175" t="e">
        <f t="shared" si="71"/>
        <v>#DIV/0!</v>
      </c>
      <c r="AG30" s="174"/>
      <c r="AH30" s="175" t="e">
        <f t="shared" si="72"/>
        <v>#DIV/0!</v>
      </c>
      <c r="AI30" s="174"/>
      <c r="AJ30" s="175" t="e">
        <f t="shared" si="73"/>
        <v>#DIV/0!</v>
      </c>
      <c r="AK30" s="174"/>
      <c r="AL30" s="175" t="e">
        <f t="shared" si="74"/>
        <v>#DIV/0!</v>
      </c>
      <c r="AN30" s="72"/>
    </row>
    <row r="31" spans="2:40" s="73" customFormat="1" ht="14.25" customHeight="1">
      <c r="B31" s="500"/>
      <c r="C31" s="497"/>
      <c r="D31" s="173">
        <v>46073</v>
      </c>
      <c r="E31" s="173" t="s">
        <v>114</v>
      </c>
      <c r="F31" s="337"/>
      <c r="G31" s="489"/>
      <c r="H31" s="491"/>
      <c r="I31" s="174"/>
      <c r="J31" s="175" t="e">
        <f t="shared" si="57"/>
        <v>#DIV/0!</v>
      </c>
      <c r="K31" s="174"/>
      <c r="L31" s="175" t="e">
        <f t="shared" si="58"/>
        <v>#DIV/0!</v>
      </c>
      <c r="M31" s="174">
        <f t="shared" si="59"/>
        <v>0</v>
      </c>
      <c r="N31" s="175" t="e">
        <f t="shared" ref="N31" si="100">M31/F31</f>
        <v>#DIV/0!</v>
      </c>
      <c r="O31" s="174"/>
      <c r="P31" s="175" t="e">
        <f t="shared" si="61"/>
        <v>#DIV/0!</v>
      </c>
      <c r="Q31" s="174"/>
      <c r="R31" s="175" t="e">
        <f t="shared" si="62"/>
        <v>#DIV/0!</v>
      </c>
      <c r="S31" s="174">
        <f t="shared" si="63"/>
        <v>0</v>
      </c>
      <c r="T31" s="175" t="e">
        <f t="shared" ref="T31" si="101">S31/F31</f>
        <v>#DIV/0!</v>
      </c>
      <c r="U31" s="174"/>
      <c r="V31" s="175" t="e">
        <f t="shared" ref="V31" si="102">U31/F31</f>
        <v>#DIV/0!</v>
      </c>
      <c r="W31" s="174"/>
      <c r="X31" s="175" t="e">
        <f t="shared" si="66"/>
        <v>#DIV/0!</v>
      </c>
      <c r="Y31" s="174"/>
      <c r="Z31" s="175" t="e">
        <f t="shared" si="67"/>
        <v>#DIV/0!</v>
      </c>
      <c r="AA31" s="174"/>
      <c r="AB31" s="175" t="e">
        <f t="shared" si="68"/>
        <v>#DIV/0!</v>
      </c>
      <c r="AC31" s="174">
        <f t="shared" si="69"/>
        <v>0</v>
      </c>
      <c r="AD31" s="175" t="e">
        <f t="shared" si="70"/>
        <v>#DIV/0!</v>
      </c>
      <c r="AE31" s="174"/>
      <c r="AF31" s="175" t="e">
        <f t="shared" si="71"/>
        <v>#DIV/0!</v>
      </c>
      <c r="AG31" s="174"/>
      <c r="AH31" s="175" t="e">
        <f t="shared" si="72"/>
        <v>#DIV/0!</v>
      </c>
      <c r="AI31" s="174"/>
      <c r="AJ31" s="175" t="e">
        <f t="shared" si="73"/>
        <v>#DIV/0!</v>
      </c>
      <c r="AK31" s="174"/>
      <c r="AL31" s="175" t="e">
        <f t="shared" si="74"/>
        <v>#DIV/0!</v>
      </c>
      <c r="AN31" s="72"/>
    </row>
    <row r="32" spans="2:40" s="73" customFormat="1" ht="14.25" customHeight="1">
      <c r="B32" s="500"/>
      <c r="C32" s="497"/>
      <c r="D32" s="173">
        <v>46074</v>
      </c>
      <c r="E32" s="173" t="s">
        <v>115</v>
      </c>
      <c r="F32" s="337"/>
      <c r="G32" s="489"/>
      <c r="H32" s="491"/>
      <c r="I32" s="174"/>
      <c r="J32" s="175" t="e">
        <f t="shared" si="57"/>
        <v>#DIV/0!</v>
      </c>
      <c r="K32" s="174"/>
      <c r="L32" s="175" t="e">
        <f t="shared" si="58"/>
        <v>#DIV/0!</v>
      </c>
      <c r="M32" s="174">
        <f t="shared" si="59"/>
        <v>0</v>
      </c>
      <c r="N32" s="175" t="e">
        <f t="shared" ref="N32" si="103">M32/$F32</f>
        <v>#DIV/0!</v>
      </c>
      <c r="O32" s="174"/>
      <c r="P32" s="175" t="e">
        <f t="shared" si="61"/>
        <v>#DIV/0!</v>
      </c>
      <c r="Q32" s="174"/>
      <c r="R32" s="175" t="e">
        <f t="shared" si="62"/>
        <v>#DIV/0!</v>
      </c>
      <c r="S32" s="174">
        <f t="shared" si="63"/>
        <v>0</v>
      </c>
      <c r="T32" s="175" t="e">
        <f t="shared" ref="T32" si="104">S32/$F32</f>
        <v>#DIV/0!</v>
      </c>
      <c r="U32" s="174"/>
      <c r="V32" s="175" t="e">
        <f t="shared" ref="V32" si="105">U32/$F32</f>
        <v>#DIV/0!</v>
      </c>
      <c r="W32" s="174"/>
      <c r="X32" s="175" t="e">
        <f t="shared" si="66"/>
        <v>#DIV/0!</v>
      </c>
      <c r="Y32" s="174"/>
      <c r="Z32" s="175" t="e">
        <f t="shared" si="67"/>
        <v>#DIV/0!</v>
      </c>
      <c r="AA32" s="174"/>
      <c r="AB32" s="175" t="e">
        <f t="shared" si="68"/>
        <v>#DIV/0!</v>
      </c>
      <c r="AC32" s="174">
        <f t="shared" si="69"/>
        <v>0</v>
      </c>
      <c r="AD32" s="175" t="e">
        <f t="shared" si="70"/>
        <v>#DIV/0!</v>
      </c>
      <c r="AE32" s="174"/>
      <c r="AF32" s="175" t="e">
        <f t="shared" si="71"/>
        <v>#DIV/0!</v>
      </c>
      <c r="AG32" s="174"/>
      <c r="AH32" s="175" t="e">
        <f t="shared" si="72"/>
        <v>#DIV/0!</v>
      </c>
      <c r="AI32" s="174"/>
      <c r="AJ32" s="175" t="e">
        <f t="shared" si="73"/>
        <v>#DIV/0!</v>
      </c>
      <c r="AK32" s="174"/>
      <c r="AL32" s="175" t="e">
        <f t="shared" si="74"/>
        <v>#DIV/0!</v>
      </c>
      <c r="AN32" s="72"/>
    </row>
    <row r="33" spans="2:40" s="73" customFormat="1" ht="14.25" customHeight="1">
      <c r="B33" s="500"/>
      <c r="C33" s="497"/>
      <c r="D33" s="173">
        <v>46075</v>
      </c>
      <c r="E33" s="173" t="s">
        <v>116</v>
      </c>
      <c r="F33" s="337"/>
      <c r="G33" s="489"/>
      <c r="H33" s="491"/>
      <c r="I33" s="174"/>
      <c r="J33" s="175" t="e">
        <f t="shared" si="57"/>
        <v>#DIV/0!</v>
      </c>
      <c r="K33" s="174"/>
      <c r="L33" s="175" t="e">
        <f t="shared" si="58"/>
        <v>#DIV/0!</v>
      </c>
      <c r="M33" s="174">
        <f t="shared" si="59"/>
        <v>0</v>
      </c>
      <c r="N33" s="175" t="e">
        <f t="shared" ref="N33" si="106">M33/F33</f>
        <v>#DIV/0!</v>
      </c>
      <c r="O33" s="174"/>
      <c r="P33" s="175" t="e">
        <f t="shared" si="61"/>
        <v>#DIV/0!</v>
      </c>
      <c r="Q33" s="174"/>
      <c r="R33" s="175" t="e">
        <f t="shared" si="62"/>
        <v>#DIV/0!</v>
      </c>
      <c r="S33" s="174">
        <f t="shared" si="63"/>
        <v>0</v>
      </c>
      <c r="T33" s="175" t="e">
        <f t="shared" ref="T33" si="107">S33/F33</f>
        <v>#DIV/0!</v>
      </c>
      <c r="U33" s="174"/>
      <c r="V33" s="175" t="e">
        <f t="shared" ref="V33" si="108">U33/F33</f>
        <v>#DIV/0!</v>
      </c>
      <c r="W33" s="174"/>
      <c r="X33" s="175" t="e">
        <f t="shared" si="66"/>
        <v>#DIV/0!</v>
      </c>
      <c r="Y33" s="174"/>
      <c r="Z33" s="175" t="e">
        <f t="shared" si="67"/>
        <v>#DIV/0!</v>
      </c>
      <c r="AA33" s="174"/>
      <c r="AB33" s="175" t="e">
        <f t="shared" si="68"/>
        <v>#DIV/0!</v>
      </c>
      <c r="AC33" s="174">
        <f t="shared" si="69"/>
        <v>0</v>
      </c>
      <c r="AD33" s="175" t="e">
        <f t="shared" si="70"/>
        <v>#DIV/0!</v>
      </c>
      <c r="AE33" s="174"/>
      <c r="AF33" s="175" t="e">
        <f t="shared" si="71"/>
        <v>#DIV/0!</v>
      </c>
      <c r="AG33" s="174"/>
      <c r="AH33" s="175" t="e">
        <f t="shared" si="72"/>
        <v>#DIV/0!</v>
      </c>
      <c r="AI33" s="174"/>
      <c r="AJ33" s="175" t="e">
        <f t="shared" si="73"/>
        <v>#DIV/0!</v>
      </c>
      <c r="AK33" s="174"/>
      <c r="AL33" s="175" t="e">
        <f t="shared" si="74"/>
        <v>#DIV/0!</v>
      </c>
      <c r="AN33" s="72"/>
    </row>
    <row r="34" spans="2:40" s="73" customFormat="1" ht="14.25" customHeight="1">
      <c r="B34" s="501"/>
      <c r="C34" s="497"/>
      <c r="D34" s="173">
        <v>46076</v>
      </c>
      <c r="E34" s="173" t="s">
        <v>117</v>
      </c>
      <c r="F34" s="337"/>
      <c r="G34" s="489"/>
      <c r="H34" s="491"/>
      <c r="I34" s="174"/>
      <c r="J34" s="175" t="e">
        <f t="shared" si="57"/>
        <v>#DIV/0!</v>
      </c>
      <c r="K34" s="174"/>
      <c r="L34" s="175" t="e">
        <f t="shared" si="58"/>
        <v>#DIV/0!</v>
      </c>
      <c r="M34" s="174">
        <f t="shared" si="59"/>
        <v>0</v>
      </c>
      <c r="N34" s="175" t="e">
        <f t="shared" ref="N34:N35" si="109">M34/$F34</f>
        <v>#DIV/0!</v>
      </c>
      <c r="O34" s="174"/>
      <c r="P34" s="175" t="e">
        <f t="shared" si="61"/>
        <v>#DIV/0!</v>
      </c>
      <c r="Q34" s="174"/>
      <c r="R34" s="175" t="e">
        <f t="shared" si="62"/>
        <v>#DIV/0!</v>
      </c>
      <c r="S34" s="174">
        <f t="shared" si="63"/>
        <v>0</v>
      </c>
      <c r="T34" s="175" t="e">
        <f t="shared" ref="T34:T35" si="110">S34/$F34</f>
        <v>#DIV/0!</v>
      </c>
      <c r="U34" s="174"/>
      <c r="V34" s="175" t="e">
        <f t="shared" ref="V34:V35" si="111">U34/$F34</f>
        <v>#DIV/0!</v>
      </c>
      <c r="W34" s="174"/>
      <c r="X34" s="175" t="e">
        <f t="shared" si="66"/>
        <v>#DIV/0!</v>
      </c>
      <c r="Y34" s="174"/>
      <c r="Z34" s="175" t="e">
        <f t="shared" si="67"/>
        <v>#DIV/0!</v>
      </c>
      <c r="AA34" s="174"/>
      <c r="AB34" s="175" t="e">
        <f t="shared" si="68"/>
        <v>#DIV/0!</v>
      </c>
      <c r="AC34" s="174">
        <f t="shared" si="69"/>
        <v>0</v>
      </c>
      <c r="AD34" s="175" t="e">
        <f t="shared" si="70"/>
        <v>#DIV/0!</v>
      </c>
      <c r="AE34" s="174"/>
      <c r="AF34" s="175" t="e">
        <f t="shared" si="71"/>
        <v>#DIV/0!</v>
      </c>
      <c r="AG34" s="174"/>
      <c r="AH34" s="175" t="e">
        <f t="shared" si="72"/>
        <v>#DIV/0!</v>
      </c>
      <c r="AI34" s="174"/>
      <c r="AJ34" s="175" t="e">
        <f t="shared" si="73"/>
        <v>#DIV/0!</v>
      </c>
      <c r="AK34" s="174"/>
      <c r="AL34" s="175" t="e">
        <f t="shared" si="74"/>
        <v>#DIV/0!</v>
      </c>
      <c r="AN34" s="72"/>
    </row>
    <row r="35" spans="2:40" s="73" customFormat="1" ht="14.25" customHeight="1">
      <c r="B35" s="499">
        <f>B28+7</f>
        <v>46079</v>
      </c>
      <c r="C35" s="497"/>
      <c r="D35" s="173">
        <v>46077</v>
      </c>
      <c r="E35" s="173" t="s">
        <v>118</v>
      </c>
      <c r="F35" s="337"/>
      <c r="G35" s="489">
        <f t="shared" ref="G35" si="112">SUM(F35:F41)</f>
        <v>0</v>
      </c>
      <c r="H35" s="491"/>
      <c r="I35" s="174"/>
      <c r="J35" s="175" t="e">
        <f t="shared" si="57"/>
        <v>#DIV/0!</v>
      </c>
      <c r="K35" s="174"/>
      <c r="L35" s="175" t="e">
        <f t="shared" si="58"/>
        <v>#DIV/0!</v>
      </c>
      <c r="M35" s="174">
        <f t="shared" si="59"/>
        <v>0</v>
      </c>
      <c r="N35" s="175" t="e">
        <f t="shared" si="109"/>
        <v>#DIV/0!</v>
      </c>
      <c r="O35" s="174"/>
      <c r="P35" s="175" t="e">
        <f t="shared" si="61"/>
        <v>#DIV/0!</v>
      </c>
      <c r="Q35" s="174"/>
      <c r="R35" s="175" t="e">
        <f t="shared" si="62"/>
        <v>#DIV/0!</v>
      </c>
      <c r="S35" s="174">
        <f t="shared" si="63"/>
        <v>0</v>
      </c>
      <c r="T35" s="175" t="e">
        <f t="shared" si="110"/>
        <v>#DIV/0!</v>
      </c>
      <c r="U35" s="174"/>
      <c r="V35" s="175" t="e">
        <f t="shared" si="111"/>
        <v>#DIV/0!</v>
      </c>
      <c r="W35" s="174"/>
      <c r="X35" s="175" t="e">
        <f t="shared" si="66"/>
        <v>#DIV/0!</v>
      </c>
      <c r="Y35" s="174"/>
      <c r="Z35" s="175" t="e">
        <f t="shared" si="67"/>
        <v>#DIV/0!</v>
      </c>
      <c r="AA35" s="174"/>
      <c r="AB35" s="175" t="e">
        <f t="shared" si="68"/>
        <v>#DIV/0!</v>
      </c>
      <c r="AC35" s="174">
        <f t="shared" si="69"/>
        <v>0</v>
      </c>
      <c r="AD35" s="175" t="e">
        <f t="shared" si="70"/>
        <v>#DIV/0!</v>
      </c>
      <c r="AE35" s="174"/>
      <c r="AF35" s="175" t="e">
        <f t="shared" si="71"/>
        <v>#DIV/0!</v>
      </c>
      <c r="AG35" s="174"/>
      <c r="AH35" s="175" t="e">
        <f t="shared" si="72"/>
        <v>#DIV/0!</v>
      </c>
      <c r="AI35" s="174"/>
      <c r="AJ35" s="175" t="e">
        <f t="shared" si="73"/>
        <v>#DIV/0!</v>
      </c>
      <c r="AK35" s="174"/>
      <c r="AL35" s="175" t="e">
        <f t="shared" si="74"/>
        <v>#DIV/0!</v>
      </c>
      <c r="AN35" s="72"/>
    </row>
    <row r="36" spans="2:40" s="73" customFormat="1" ht="14.25" customHeight="1">
      <c r="B36" s="500"/>
      <c r="C36" s="497"/>
      <c r="D36" s="173">
        <v>46078</v>
      </c>
      <c r="E36" s="173" t="s">
        <v>112</v>
      </c>
      <c r="F36" s="337"/>
      <c r="G36" s="489"/>
      <c r="H36" s="491"/>
      <c r="I36" s="174"/>
      <c r="J36" s="175" t="e">
        <f t="shared" si="57"/>
        <v>#DIV/0!</v>
      </c>
      <c r="K36" s="174"/>
      <c r="L36" s="175" t="e">
        <f t="shared" si="58"/>
        <v>#DIV/0!</v>
      </c>
      <c r="M36" s="174">
        <f t="shared" si="59"/>
        <v>0</v>
      </c>
      <c r="N36" s="175" t="e">
        <f t="shared" ref="N36" si="113">M36/F36</f>
        <v>#DIV/0!</v>
      </c>
      <c r="O36" s="174"/>
      <c r="P36" s="175" t="e">
        <f t="shared" si="61"/>
        <v>#DIV/0!</v>
      </c>
      <c r="Q36" s="174"/>
      <c r="R36" s="175" t="e">
        <f t="shared" si="62"/>
        <v>#DIV/0!</v>
      </c>
      <c r="S36" s="174">
        <f t="shared" si="63"/>
        <v>0</v>
      </c>
      <c r="T36" s="175" t="e">
        <f t="shared" ref="T36" si="114">S36/F36</f>
        <v>#DIV/0!</v>
      </c>
      <c r="U36" s="174"/>
      <c r="V36" s="175" t="e">
        <f t="shared" ref="V36" si="115">U36/F36</f>
        <v>#DIV/0!</v>
      </c>
      <c r="W36" s="174"/>
      <c r="X36" s="175" t="e">
        <f t="shared" si="66"/>
        <v>#DIV/0!</v>
      </c>
      <c r="Y36" s="174"/>
      <c r="Z36" s="175" t="e">
        <f t="shared" si="67"/>
        <v>#DIV/0!</v>
      </c>
      <c r="AA36" s="174"/>
      <c r="AB36" s="175" t="e">
        <f t="shared" si="68"/>
        <v>#DIV/0!</v>
      </c>
      <c r="AC36" s="174">
        <f t="shared" si="69"/>
        <v>0</v>
      </c>
      <c r="AD36" s="175" t="e">
        <f t="shared" si="70"/>
        <v>#DIV/0!</v>
      </c>
      <c r="AE36" s="174"/>
      <c r="AF36" s="175" t="e">
        <f t="shared" si="71"/>
        <v>#DIV/0!</v>
      </c>
      <c r="AG36" s="174"/>
      <c r="AH36" s="175" t="e">
        <f t="shared" si="72"/>
        <v>#DIV/0!</v>
      </c>
      <c r="AI36" s="174"/>
      <c r="AJ36" s="175" t="e">
        <f t="shared" si="73"/>
        <v>#DIV/0!</v>
      </c>
      <c r="AK36" s="174"/>
      <c r="AL36" s="175" t="e">
        <f t="shared" si="74"/>
        <v>#DIV/0!</v>
      </c>
      <c r="AN36" s="72"/>
    </row>
    <row r="37" spans="2:40" s="73" customFormat="1" ht="14.25" customHeight="1">
      <c r="B37" s="500"/>
      <c r="C37" s="497"/>
      <c r="D37" s="173">
        <v>46079</v>
      </c>
      <c r="E37" s="173" t="s">
        <v>113</v>
      </c>
      <c r="F37" s="337"/>
      <c r="G37" s="489"/>
      <c r="H37" s="491"/>
      <c r="I37" s="174"/>
      <c r="J37" s="175" t="e">
        <f t="shared" si="57"/>
        <v>#DIV/0!</v>
      </c>
      <c r="K37" s="174"/>
      <c r="L37" s="175" t="e">
        <f t="shared" si="58"/>
        <v>#DIV/0!</v>
      </c>
      <c r="M37" s="174">
        <f t="shared" si="59"/>
        <v>0</v>
      </c>
      <c r="N37" s="175" t="e">
        <f t="shared" ref="N37" si="116">M37/$F37</f>
        <v>#DIV/0!</v>
      </c>
      <c r="O37" s="174"/>
      <c r="P37" s="175" t="e">
        <f t="shared" si="61"/>
        <v>#DIV/0!</v>
      </c>
      <c r="Q37" s="174"/>
      <c r="R37" s="175" t="e">
        <f t="shared" si="62"/>
        <v>#DIV/0!</v>
      </c>
      <c r="S37" s="174">
        <f t="shared" si="63"/>
        <v>0</v>
      </c>
      <c r="T37" s="175" t="e">
        <f t="shared" ref="T37" si="117">S37/$F37</f>
        <v>#DIV/0!</v>
      </c>
      <c r="U37" s="174"/>
      <c r="V37" s="175" t="e">
        <f t="shared" ref="V37" si="118">U37/$F37</f>
        <v>#DIV/0!</v>
      </c>
      <c r="W37" s="174"/>
      <c r="X37" s="175" t="e">
        <f t="shared" si="66"/>
        <v>#DIV/0!</v>
      </c>
      <c r="Y37" s="174"/>
      <c r="Z37" s="175" t="e">
        <f t="shared" si="67"/>
        <v>#DIV/0!</v>
      </c>
      <c r="AA37" s="174"/>
      <c r="AB37" s="175" t="e">
        <f t="shared" si="68"/>
        <v>#DIV/0!</v>
      </c>
      <c r="AC37" s="174">
        <f t="shared" si="69"/>
        <v>0</v>
      </c>
      <c r="AD37" s="175" t="e">
        <f t="shared" si="70"/>
        <v>#DIV/0!</v>
      </c>
      <c r="AE37" s="174"/>
      <c r="AF37" s="175" t="e">
        <f t="shared" si="71"/>
        <v>#DIV/0!</v>
      </c>
      <c r="AG37" s="174"/>
      <c r="AH37" s="175" t="e">
        <f t="shared" si="72"/>
        <v>#DIV/0!</v>
      </c>
      <c r="AI37" s="174"/>
      <c r="AJ37" s="175" t="e">
        <f t="shared" si="73"/>
        <v>#DIV/0!</v>
      </c>
      <c r="AK37" s="174"/>
      <c r="AL37" s="175" t="e">
        <f t="shared" si="74"/>
        <v>#DIV/0!</v>
      </c>
      <c r="AN37" s="72"/>
    </row>
    <row r="38" spans="2:40" s="73" customFormat="1" ht="14.25" customHeight="1">
      <c r="B38" s="500"/>
      <c r="C38" s="497"/>
      <c r="D38" s="173">
        <v>46080</v>
      </c>
      <c r="E38" s="173" t="s">
        <v>114</v>
      </c>
      <c r="F38" s="337"/>
      <c r="G38" s="489"/>
      <c r="H38" s="491"/>
      <c r="I38" s="174"/>
      <c r="J38" s="175" t="e">
        <f t="shared" si="57"/>
        <v>#DIV/0!</v>
      </c>
      <c r="K38" s="174"/>
      <c r="L38" s="175" t="e">
        <f t="shared" si="58"/>
        <v>#DIV/0!</v>
      </c>
      <c r="M38" s="174">
        <f t="shared" si="59"/>
        <v>0</v>
      </c>
      <c r="N38" s="175" t="e">
        <f t="shared" ref="N38" si="119">M38/F38</f>
        <v>#DIV/0!</v>
      </c>
      <c r="O38" s="174"/>
      <c r="P38" s="175" t="e">
        <f t="shared" si="61"/>
        <v>#DIV/0!</v>
      </c>
      <c r="Q38" s="174"/>
      <c r="R38" s="175" t="e">
        <f t="shared" si="62"/>
        <v>#DIV/0!</v>
      </c>
      <c r="S38" s="174">
        <f t="shared" si="63"/>
        <v>0</v>
      </c>
      <c r="T38" s="175" t="e">
        <f t="shared" ref="T38" si="120">S38/F38</f>
        <v>#DIV/0!</v>
      </c>
      <c r="U38" s="174"/>
      <c r="V38" s="175" t="e">
        <f t="shared" ref="V38" si="121">U38/F38</f>
        <v>#DIV/0!</v>
      </c>
      <c r="W38" s="174"/>
      <c r="X38" s="175" t="e">
        <f t="shared" si="66"/>
        <v>#DIV/0!</v>
      </c>
      <c r="Y38" s="174"/>
      <c r="Z38" s="175" t="e">
        <f t="shared" si="67"/>
        <v>#DIV/0!</v>
      </c>
      <c r="AA38" s="174"/>
      <c r="AB38" s="175" t="e">
        <f t="shared" si="68"/>
        <v>#DIV/0!</v>
      </c>
      <c r="AC38" s="174">
        <f t="shared" si="69"/>
        <v>0</v>
      </c>
      <c r="AD38" s="175" t="e">
        <f t="shared" si="70"/>
        <v>#DIV/0!</v>
      </c>
      <c r="AE38" s="174"/>
      <c r="AF38" s="175" t="e">
        <f t="shared" si="71"/>
        <v>#DIV/0!</v>
      </c>
      <c r="AG38" s="174"/>
      <c r="AH38" s="175" t="e">
        <f t="shared" si="72"/>
        <v>#DIV/0!</v>
      </c>
      <c r="AI38" s="174"/>
      <c r="AJ38" s="175" t="e">
        <f t="shared" si="73"/>
        <v>#DIV/0!</v>
      </c>
      <c r="AK38" s="174"/>
      <c r="AL38" s="175" t="e">
        <f t="shared" si="74"/>
        <v>#DIV/0!</v>
      </c>
      <c r="AN38" s="72"/>
    </row>
    <row r="39" spans="2:40" s="73" customFormat="1" ht="14.25" customHeight="1">
      <c r="B39" s="500"/>
      <c r="C39" s="498"/>
      <c r="D39" s="173">
        <v>46081</v>
      </c>
      <c r="E39" s="173" t="s">
        <v>115</v>
      </c>
      <c r="F39" s="337"/>
      <c r="G39" s="489"/>
      <c r="H39" s="492"/>
      <c r="I39" s="174"/>
      <c r="J39" s="175" t="e">
        <f t="shared" si="57"/>
        <v>#DIV/0!</v>
      </c>
      <c r="K39" s="174"/>
      <c r="L39" s="175" t="e">
        <f t="shared" si="58"/>
        <v>#DIV/0!</v>
      </c>
      <c r="M39" s="174">
        <f t="shared" si="59"/>
        <v>0</v>
      </c>
      <c r="N39" s="175" t="e">
        <f t="shared" ref="N39" si="122">M39/$F39</f>
        <v>#DIV/0!</v>
      </c>
      <c r="O39" s="174"/>
      <c r="P39" s="175" t="e">
        <f t="shared" si="61"/>
        <v>#DIV/0!</v>
      </c>
      <c r="Q39" s="174"/>
      <c r="R39" s="175" t="e">
        <f t="shared" si="62"/>
        <v>#DIV/0!</v>
      </c>
      <c r="S39" s="174">
        <f t="shared" si="63"/>
        <v>0</v>
      </c>
      <c r="T39" s="175" t="e">
        <f t="shared" ref="T39" si="123">S39/$F39</f>
        <v>#DIV/0!</v>
      </c>
      <c r="U39" s="174"/>
      <c r="V39" s="175" t="e">
        <f t="shared" ref="V39" si="124">U39/$F39</f>
        <v>#DIV/0!</v>
      </c>
      <c r="W39" s="174"/>
      <c r="X39" s="175" t="e">
        <f t="shared" si="66"/>
        <v>#DIV/0!</v>
      </c>
      <c r="Y39" s="174"/>
      <c r="Z39" s="175" t="e">
        <f t="shared" si="67"/>
        <v>#DIV/0!</v>
      </c>
      <c r="AA39" s="174"/>
      <c r="AB39" s="175" t="e">
        <f t="shared" si="68"/>
        <v>#DIV/0!</v>
      </c>
      <c r="AC39" s="174">
        <f t="shared" si="69"/>
        <v>0</v>
      </c>
      <c r="AD39" s="175" t="e">
        <f t="shared" si="70"/>
        <v>#DIV/0!</v>
      </c>
      <c r="AE39" s="174"/>
      <c r="AF39" s="175" t="e">
        <f t="shared" si="71"/>
        <v>#DIV/0!</v>
      </c>
      <c r="AG39" s="174"/>
      <c r="AH39" s="175" t="e">
        <f t="shared" si="72"/>
        <v>#DIV/0!</v>
      </c>
      <c r="AI39" s="174"/>
      <c r="AJ39" s="175" t="e">
        <f t="shared" si="73"/>
        <v>#DIV/0!</v>
      </c>
      <c r="AK39" s="174"/>
      <c r="AL39" s="175" t="e">
        <f t="shared" si="74"/>
        <v>#DIV/0!</v>
      </c>
      <c r="AN39" s="72"/>
    </row>
    <row r="40" spans="2:40" s="73" customFormat="1" ht="14.25" customHeight="1">
      <c r="B40" s="500"/>
      <c r="C40" s="496" t="s">
        <v>112</v>
      </c>
      <c r="D40" s="173">
        <v>46082</v>
      </c>
      <c r="E40" s="173" t="s">
        <v>116</v>
      </c>
      <c r="F40" s="337"/>
      <c r="G40" s="489"/>
      <c r="H40" s="490">
        <f>SUM(F40:F69)</f>
        <v>0</v>
      </c>
      <c r="I40" s="174"/>
      <c r="J40" s="175" t="e">
        <f t="shared" si="57"/>
        <v>#DIV/0!</v>
      </c>
      <c r="K40" s="174"/>
      <c r="L40" s="175" t="e">
        <f t="shared" si="58"/>
        <v>#DIV/0!</v>
      </c>
      <c r="M40" s="174">
        <f t="shared" si="59"/>
        <v>0</v>
      </c>
      <c r="N40" s="175" t="e">
        <f t="shared" ref="N40" si="125">M40/F40</f>
        <v>#DIV/0!</v>
      </c>
      <c r="O40" s="174"/>
      <c r="P40" s="175" t="e">
        <f t="shared" si="61"/>
        <v>#DIV/0!</v>
      </c>
      <c r="Q40" s="174"/>
      <c r="R40" s="175" t="e">
        <f t="shared" si="62"/>
        <v>#DIV/0!</v>
      </c>
      <c r="S40" s="174">
        <f t="shared" si="63"/>
        <v>0</v>
      </c>
      <c r="T40" s="175" t="e">
        <f t="shared" ref="T40" si="126">S40/F40</f>
        <v>#DIV/0!</v>
      </c>
      <c r="U40" s="174"/>
      <c r="V40" s="175" t="e">
        <f t="shared" ref="V40" si="127">U40/F40</f>
        <v>#DIV/0!</v>
      </c>
      <c r="W40" s="174"/>
      <c r="X40" s="175" t="e">
        <f t="shared" si="66"/>
        <v>#DIV/0!</v>
      </c>
      <c r="Y40" s="174"/>
      <c r="Z40" s="175" t="e">
        <f t="shared" si="67"/>
        <v>#DIV/0!</v>
      </c>
      <c r="AA40" s="174"/>
      <c r="AB40" s="175" t="e">
        <f t="shared" si="68"/>
        <v>#DIV/0!</v>
      </c>
      <c r="AC40" s="174">
        <f t="shared" si="69"/>
        <v>0</v>
      </c>
      <c r="AD40" s="175" t="e">
        <f t="shared" si="70"/>
        <v>#DIV/0!</v>
      </c>
      <c r="AE40" s="174"/>
      <c r="AF40" s="175" t="e">
        <f t="shared" si="71"/>
        <v>#DIV/0!</v>
      </c>
      <c r="AG40" s="174"/>
      <c r="AH40" s="175" t="e">
        <f t="shared" si="72"/>
        <v>#DIV/0!</v>
      </c>
      <c r="AI40" s="174"/>
      <c r="AJ40" s="175" t="e">
        <f t="shared" si="73"/>
        <v>#DIV/0!</v>
      </c>
      <c r="AK40" s="174"/>
      <c r="AL40" s="175" t="e">
        <f t="shared" si="74"/>
        <v>#DIV/0!</v>
      </c>
      <c r="AN40" s="72"/>
    </row>
    <row r="41" spans="2:40" s="73" customFormat="1" ht="14.25" customHeight="1">
      <c r="B41" s="501"/>
      <c r="C41" s="497"/>
      <c r="D41" s="173">
        <v>46083</v>
      </c>
      <c r="E41" s="173" t="s">
        <v>117</v>
      </c>
      <c r="F41" s="337"/>
      <c r="G41" s="489"/>
      <c r="H41" s="491"/>
      <c r="I41" s="174"/>
      <c r="J41" s="175" t="e">
        <f t="shared" si="57"/>
        <v>#DIV/0!</v>
      </c>
      <c r="K41" s="174"/>
      <c r="L41" s="175" t="e">
        <f t="shared" si="58"/>
        <v>#DIV/0!</v>
      </c>
      <c r="M41" s="174">
        <f t="shared" si="59"/>
        <v>0</v>
      </c>
      <c r="N41" s="175" t="e">
        <f t="shared" ref="N41" si="128">M41/$F41</f>
        <v>#DIV/0!</v>
      </c>
      <c r="O41" s="174"/>
      <c r="P41" s="175" t="e">
        <f t="shared" si="61"/>
        <v>#DIV/0!</v>
      </c>
      <c r="Q41" s="174"/>
      <c r="R41" s="175" t="e">
        <f t="shared" si="62"/>
        <v>#DIV/0!</v>
      </c>
      <c r="S41" s="174">
        <f t="shared" si="63"/>
        <v>0</v>
      </c>
      <c r="T41" s="175" t="e">
        <f t="shared" ref="T41" si="129">S41/$F41</f>
        <v>#DIV/0!</v>
      </c>
      <c r="U41" s="174"/>
      <c r="V41" s="175" t="e">
        <f t="shared" ref="V41" si="130">U41/$F41</f>
        <v>#DIV/0!</v>
      </c>
      <c r="W41" s="174"/>
      <c r="X41" s="175" t="e">
        <f t="shared" si="66"/>
        <v>#DIV/0!</v>
      </c>
      <c r="Y41" s="174"/>
      <c r="Z41" s="175" t="e">
        <f t="shared" si="67"/>
        <v>#DIV/0!</v>
      </c>
      <c r="AA41" s="174"/>
      <c r="AB41" s="175" t="e">
        <f t="shared" si="68"/>
        <v>#DIV/0!</v>
      </c>
      <c r="AC41" s="174">
        <f t="shared" si="69"/>
        <v>0</v>
      </c>
      <c r="AD41" s="175" t="e">
        <f t="shared" si="70"/>
        <v>#DIV/0!</v>
      </c>
      <c r="AE41" s="174"/>
      <c r="AF41" s="175" t="e">
        <f t="shared" si="71"/>
        <v>#DIV/0!</v>
      </c>
      <c r="AG41" s="174"/>
      <c r="AH41" s="175" t="e">
        <f t="shared" si="72"/>
        <v>#DIV/0!</v>
      </c>
      <c r="AI41" s="174"/>
      <c r="AJ41" s="175" t="e">
        <f t="shared" si="73"/>
        <v>#DIV/0!</v>
      </c>
      <c r="AK41" s="174"/>
      <c r="AL41" s="175" t="e">
        <f t="shared" si="74"/>
        <v>#DIV/0!</v>
      </c>
      <c r="AN41" s="72"/>
    </row>
    <row r="42" spans="2:40" s="73" customFormat="1" ht="14.25" customHeight="1">
      <c r="B42" s="499">
        <f>B35+7</f>
        <v>46086</v>
      </c>
      <c r="C42" s="497"/>
      <c r="D42" s="173">
        <v>46084</v>
      </c>
      <c r="E42" s="173" t="s">
        <v>118</v>
      </c>
      <c r="F42" s="337"/>
      <c r="G42" s="493">
        <f t="shared" ref="G42" si="131">SUM(F42:F48)</f>
        <v>0</v>
      </c>
      <c r="H42" s="491"/>
      <c r="I42" s="174"/>
      <c r="J42" s="175" t="e">
        <f t="shared" ref="J42:J69" si="132">I42/$F42</f>
        <v>#DIV/0!</v>
      </c>
      <c r="K42" s="174"/>
      <c r="L42" s="175" t="e">
        <f t="shared" ref="L42:L69" si="133">K42/$F42</f>
        <v>#DIV/0!</v>
      </c>
      <c r="M42" s="174">
        <f t="shared" ref="M42:M69" si="134">I42+K42</f>
        <v>0</v>
      </c>
      <c r="N42" s="175" t="e">
        <f t="shared" ref="N42" si="135">M42/F42</f>
        <v>#DIV/0!</v>
      </c>
      <c r="O42" s="174"/>
      <c r="P42" s="175" t="e">
        <f t="shared" ref="P42:P69" si="136">O42/$F42</f>
        <v>#DIV/0!</v>
      </c>
      <c r="Q42" s="174"/>
      <c r="R42" s="175" t="e">
        <f t="shared" ref="R42:R69" si="137">Q42/$F42</f>
        <v>#DIV/0!</v>
      </c>
      <c r="S42" s="174">
        <f t="shared" ref="S42:S69" si="138">O42+Q42</f>
        <v>0</v>
      </c>
      <c r="T42" s="175" t="e">
        <f t="shared" ref="T42:T44" si="139">S42/F42</f>
        <v>#DIV/0!</v>
      </c>
      <c r="U42" s="174"/>
      <c r="V42" s="175" t="e">
        <f t="shared" ref="V42:V44" si="140">U42/F42</f>
        <v>#DIV/0!</v>
      </c>
      <c r="W42" s="174"/>
      <c r="X42" s="175" t="e">
        <f t="shared" ref="X42:X69" si="141">W42/$F42</f>
        <v>#DIV/0!</v>
      </c>
      <c r="Y42" s="174"/>
      <c r="Z42" s="175" t="e">
        <f t="shared" ref="Z42:Z69" si="142">Y42/$F42</f>
        <v>#DIV/0!</v>
      </c>
      <c r="AA42" s="174"/>
      <c r="AB42" s="175" t="e">
        <f t="shared" ref="AB42:AB69" si="143">AA42/$F42</f>
        <v>#DIV/0!</v>
      </c>
      <c r="AC42" s="174">
        <f t="shared" ref="AC42:AC69" si="144">Y42+AA42</f>
        <v>0</v>
      </c>
      <c r="AD42" s="175" t="e">
        <f t="shared" ref="AD42:AD69" si="145">AC42/$F42</f>
        <v>#DIV/0!</v>
      </c>
      <c r="AE42" s="174"/>
      <c r="AF42" s="175" t="e">
        <f t="shared" ref="AF42:AF69" si="146">AE42/F42</f>
        <v>#DIV/0!</v>
      </c>
      <c r="AG42" s="174"/>
      <c r="AH42" s="175" t="e">
        <f t="shared" ref="AH42:AH69" si="147">AG42/$F42</f>
        <v>#DIV/0!</v>
      </c>
      <c r="AI42" s="174"/>
      <c r="AJ42" s="175" t="e">
        <f t="shared" ref="AJ42:AJ69" si="148">AI42/$F42</f>
        <v>#DIV/0!</v>
      </c>
      <c r="AK42" s="174"/>
      <c r="AL42" s="175" t="e">
        <f t="shared" ref="AL42:AL69" si="149">AK42/$F42</f>
        <v>#DIV/0!</v>
      </c>
      <c r="AN42" s="72"/>
    </row>
    <row r="43" spans="2:40" s="73" customFormat="1" ht="14.25" customHeight="1">
      <c r="B43" s="500"/>
      <c r="C43" s="497"/>
      <c r="D43" s="173">
        <v>46085</v>
      </c>
      <c r="E43" s="173" t="s">
        <v>112</v>
      </c>
      <c r="F43" s="337"/>
      <c r="G43" s="494"/>
      <c r="H43" s="491"/>
      <c r="I43" s="174"/>
      <c r="J43" s="175" t="e">
        <f t="shared" si="132"/>
        <v>#DIV/0!</v>
      </c>
      <c r="K43" s="174"/>
      <c r="L43" s="175" t="e">
        <f t="shared" si="133"/>
        <v>#DIV/0!</v>
      </c>
      <c r="M43" s="174">
        <f t="shared" si="134"/>
        <v>0</v>
      </c>
      <c r="N43" s="175" t="e">
        <f t="shared" ref="N43" si="150">M43/$F43</f>
        <v>#DIV/0!</v>
      </c>
      <c r="O43" s="174"/>
      <c r="P43" s="175" t="e">
        <f t="shared" si="136"/>
        <v>#DIV/0!</v>
      </c>
      <c r="Q43" s="174"/>
      <c r="R43" s="175" t="e">
        <f t="shared" si="137"/>
        <v>#DIV/0!</v>
      </c>
      <c r="S43" s="174">
        <f t="shared" si="138"/>
        <v>0</v>
      </c>
      <c r="T43" s="175" t="e">
        <f t="shared" ref="T43" si="151">S43/$F43</f>
        <v>#DIV/0!</v>
      </c>
      <c r="U43" s="174"/>
      <c r="V43" s="175" t="e">
        <f t="shared" ref="V43" si="152">U43/$F43</f>
        <v>#DIV/0!</v>
      </c>
      <c r="W43" s="174"/>
      <c r="X43" s="175" t="e">
        <f t="shared" si="141"/>
        <v>#DIV/0!</v>
      </c>
      <c r="Y43" s="174"/>
      <c r="Z43" s="175" t="e">
        <f t="shared" si="142"/>
        <v>#DIV/0!</v>
      </c>
      <c r="AA43" s="174"/>
      <c r="AB43" s="175" t="e">
        <f t="shared" si="143"/>
        <v>#DIV/0!</v>
      </c>
      <c r="AC43" s="174">
        <f t="shared" si="144"/>
        <v>0</v>
      </c>
      <c r="AD43" s="175" t="e">
        <f t="shared" si="145"/>
        <v>#DIV/0!</v>
      </c>
      <c r="AE43" s="174"/>
      <c r="AF43" s="175" t="e">
        <f t="shared" si="146"/>
        <v>#DIV/0!</v>
      </c>
      <c r="AG43" s="174"/>
      <c r="AH43" s="175" t="e">
        <f t="shared" si="147"/>
        <v>#DIV/0!</v>
      </c>
      <c r="AI43" s="174"/>
      <c r="AJ43" s="175" t="e">
        <f t="shared" si="148"/>
        <v>#DIV/0!</v>
      </c>
      <c r="AK43" s="174"/>
      <c r="AL43" s="175" t="e">
        <f t="shared" si="149"/>
        <v>#DIV/0!</v>
      </c>
      <c r="AN43" s="72"/>
    </row>
    <row r="44" spans="2:40" s="73" customFormat="1" ht="14.25" customHeight="1">
      <c r="B44" s="500"/>
      <c r="C44" s="497"/>
      <c r="D44" s="173">
        <v>46086</v>
      </c>
      <c r="E44" s="173" t="s">
        <v>113</v>
      </c>
      <c r="F44" s="337"/>
      <c r="G44" s="494"/>
      <c r="H44" s="491"/>
      <c r="I44" s="174"/>
      <c r="J44" s="175" t="e">
        <f t="shared" si="132"/>
        <v>#DIV/0!</v>
      </c>
      <c r="K44" s="174"/>
      <c r="L44" s="175" t="e">
        <f t="shared" si="133"/>
        <v>#DIV/0!</v>
      </c>
      <c r="M44" s="174">
        <f t="shared" si="134"/>
        <v>0</v>
      </c>
      <c r="N44" s="175" t="e">
        <f t="shared" ref="N44" si="153">M44/F44</f>
        <v>#DIV/0!</v>
      </c>
      <c r="O44" s="174"/>
      <c r="P44" s="175" t="e">
        <f t="shared" si="136"/>
        <v>#DIV/0!</v>
      </c>
      <c r="Q44" s="174"/>
      <c r="R44" s="175" t="e">
        <f t="shared" si="137"/>
        <v>#DIV/0!</v>
      </c>
      <c r="S44" s="174">
        <f t="shared" si="138"/>
        <v>0</v>
      </c>
      <c r="T44" s="175" t="e">
        <f t="shared" si="139"/>
        <v>#DIV/0!</v>
      </c>
      <c r="U44" s="174"/>
      <c r="V44" s="175" t="e">
        <f t="shared" si="140"/>
        <v>#DIV/0!</v>
      </c>
      <c r="W44" s="174"/>
      <c r="X44" s="175" t="e">
        <f t="shared" si="141"/>
        <v>#DIV/0!</v>
      </c>
      <c r="Y44" s="174"/>
      <c r="Z44" s="175" t="e">
        <f t="shared" si="142"/>
        <v>#DIV/0!</v>
      </c>
      <c r="AA44" s="174"/>
      <c r="AB44" s="175" t="e">
        <f t="shared" si="143"/>
        <v>#DIV/0!</v>
      </c>
      <c r="AC44" s="174">
        <f t="shared" si="144"/>
        <v>0</v>
      </c>
      <c r="AD44" s="175" t="e">
        <f t="shared" si="145"/>
        <v>#DIV/0!</v>
      </c>
      <c r="AE44" s="174"/>
      <c r="AF44" s="175" t="e">
        <f t="shared" si="146"/>
        <v>#DIV/0!</v>
      </c>
      <c r="AG44" s="174"/>
      <c r="AH44" s="175" t="e">
        <f t="shared" si="147"/>
        <v>#DIV/0!</v>
      </c>
      <c r="AI44" s="174"/>
      <c r="AJ44" s="175" t="e">
        <f t="shared" si="148"/>
        <v>#DIV/0!</v>
      </c>
      <c r="AK44" s="174"/>
      <c r="AL44" s="175" t="e">
        <f t="shared" si="149"/>
        <v>#DIV/0!</v>
      </c>
      <c r="AN44" s="72"/>
    </row>
    <row r="45" spans="2:40" s="73" customFormat="1" ht="14.25" customHeight="1">
      <c r="B45" s="500"/>
      <c r="C45" s="497"/>
      <c r="D45" s="173">
        <v>46087</v>
      </c>
      <c r="E45" s="173" t="s">
        <v>114</v>
      </c>
      <c r="F45" s="337"/>
      <c r="G45" s="494"/>
      <c r="H45" s="491"/>
      <c r="I45" s="174"/>
      <c r="J45" s="175" t="e">
        <f t="shared" si="132"/>
        <v>#DIV/0!</v>
      </c>
      <c r="K45" s="174"/>
      <c r="L45" s="175" t="e">
        <f t="shared" si="133"/>
        <v>#DIV/0!</v>
      </c>
      <c r="M45" s="174">
        <f t="shared" si="134"/>
        <v>0</v>
      </c>
      <c r="N45" s="175" t="e">
        <f t="shared" ref="N45:N46" si="154">M45/$F45</f>
        <v>#DIV/0!</v>
      </c>
      <c r="O45" s="174"/>
      <c r="P45" s="175" t="e">
        <f t="shared" si="136"/>
        <v>#DIV/0!</v>
      </c>
      <c r="Q45" s="174"/>
      <c r="R45" s="175" t="e">
        <f t="shared" si="137"/>
        <v>#DIV/0!</v>
      </c>
      <c r="S45" s="174">
        <f t="shared" si="138"/>
        <v>0</v>
      </c>
      <c r="T45" s="175" t="e">
        <f t="shared" ref="T45:T46" si="155">S45/$F45</f>
        <v>#DIV/0!</v>
      </c>
      <c r="U45" s="174"/>
      <c r="V45" s="175" t="e">
        <f t="shared" ref="V45:V46" si="156">U45/$F45</f>
        <v>#DIV/0!</v>
      </c>
      <c r="W45" s="174"/>
      <c r="X45" s="175" t="e">
        <f t="shared" si="141"/>
        <v>#DIV/0!</v>
      </c>
      <c r="Y45" s="174"/>
      <c r="Z45" s="175" t="e">
        <f t="shared" si="142"/>
        <v>#DIV/0!</v>
      </c>
      <c r="AA45" s="174"/>
      <c r="AB45" s="175" t="e">
        <f t="shared" si="143"/>
        <v>#DIV/0!</v>
      </c>
      <c r="AC45" s="174">
        <f t="shared" si="144"/>
        <v>0</v>
      </c>
      <c r="AD45" s="175" t="e">
        <f t="shared" si="145"/>
        <v>#DIV/0!</v>
      </c>
      <c r="AE45" s="174"/>
      <c r="AF45" s="175" t="e">
        <f t="shared" si="146"/>
        <v>#DIV/0!</v>
      </c>
      <c r="AG45" s="174"/>
      <c r="AH45" s="175" t="e">
        <f t="shared" si="147"/>
        <v>#DIV/0!</v>
      </c>
      <c r="AI45" s="174"/>
      <c r="AJ45" s="175" t="e">
        <f t="shared" si="148"/>
        <v>#DIV/0!</v>
      </c>
      <c r="AK45" s="174"/>
      <c r="AL45" s="175" t="e">
        <f t="shared" si="149"/>
        <v>#DIV/0!</v>
      </c>
      <c r="AN45" s="72"/>
    </row>
    <row r="46" spans="2:40" s="73" customFormat="1" ht="14.25" customHeight="1" collapsed="1">
      <c r="B46" s="500"/>
      <c r="C46" s="497"/>
      <c r="D46" s="173">
        <v>46088</v>
      </c>
      <c r="E46" s="173" t="s">
        <v>115</v>
      </c>
      <c r="F46" s="337"/>
      <c r="G46" s="494"/>
      <c r="H46" s="491"/>
      <c r="I46" s="174"/>
      <c r="J46" s="175" t="e">
        <f t="shared" si="132"/>
        <v>#DIV/0!</v>
      </c>
      <c r="K46" s="174"/>
      <c r="L46" s="175" t="e">
        <f t="shared" si="133"/>
        <v>#DIV/0!</v>
      </c>
      <c r="M46" s="174">
        <f t="shared" si="134"/>
        <v>0</v>
      </c>
      <c r="N46" s="175" t="e">
        <f t="shared" si="154"/>
        <v>#DIV/0!</v>
      </c>
      <c r="O46" s="174"/>
      <c r="P46" s="175" t="e">
        <f t="shared" si="136"/>
        <v>#DIV/0!</v>
      </c>
      <c r="Q46" s="174"/>
      <c r="R46" s="175" t="e">
        <f t="shared" si="137"/>
        <v>#DIV/0!</v>
      </c>
      <c r="S46" s="174">
        <f t="shared" si="138"/>
        <v>0</v>
      </c>
      <c r="T46" s="175" t="e">
        <f t="shared" si="155"/>
        <v>#DIV/0!</v>
      </c>
      <c r="U46" s="174"/>
      <c r="V46" s="175" t="e">
        <f t="shared" si="156"/>
        <v>#DIV/0!</v>
      </c>
      <c r="W46" s="174"/>
      <c r="X46" s="175" t="e">
        <f t="shared" si="141"/>
        <v>#DIV/0!</v>
      </c>
      <c r="Y46" s="174"/>
      <c r="Z46" s="175" t="e">
        <f t="shared" si="142"/>
        <v>#DIV/0!</v>
      </c>
      <c r="AA46" s="174"/>
      <c r="AB46" s="175" t="e">
        <f t="shared" si="143"/>
        <v>#DIV/0!</v>
      </c>
      <c r="AC46" s="174">
        <f t="shared" si="144"/>
        <v>0</v>
      </c>
      <c r="AD46" s="175" t="e">
        <f t="shared" si="145"/>
        <v>#DIV/0!</v>
      </c>
      <c r="AE46" s="174"/>
      <c r="AF46" s="175" t="e">
        <f t="shared" si="146"/>
        <v>#DIV/0!</v>
      </c>
      <c r="AG46" s="174"/>
      <c r="AH46" s="175" t="e">
        <f t="shared" si="147"/>
        <v>#DIV/0!</v>
      </c>
      <c r="AI46" s="174"/>
      <c r="AJ46" s="175" t="e">
        <f t="shared" si="148"/>
        <v>#DIV/0!</v>
      </c>
      <c r="AK46" s="174"/>
      <c r="AL46" s="175" t="e">
        <f t="shared" si="149"/>
        <v>#DIV/0!</v>
      </c>
      <c r="AN46" s="72"/>
    </row>
    <row r="47" spans="2:40" s="73" customFormat="1" ht="14.25" customHeight="1">
      <c r="B47" s="500"/>
      <c r="C47" s="497"/>
      <c r="D47" s="173">
        <v>46089</v>
      </c>
      <c r="E47" s="173" t="s">
        <v>116</v>
      </c>
      <c r="F47" s="337"/>
      <c r="G47" s="494"/>
      <c r="H47" s="491"/>
      <c r="I47" s="174"/>
      <c r="J47" s="175" t="e">
        <f t="shared" si="132"/>
        <v>#DIV/0!</v>
      </c>
      <c r="K47" s="174"/>
      <c r="L47" s="175" t="e">
        <f t="shared" si="133"/>
        <v>#DIV/0!</v>
      </c>
      <c r="M47" s="174">
        <f t="shared" si="134"/>
        <v>0</v>
      </c>
      <c r="N47" s="175" t="e">
        <f t="shared" ref="N47" si="157">M47/F47</f>
        <v>#DIV/0!</v>
      </c>
      <c r="O47" s="174"/>
      <c r="P47" s="175" t="e">
        <f t="shared" si="136"/>
        <v>#DIV/0!</v>
      </c>
      <c r="Q47" s="174"/>
      <c r="R47" s="175" t="e">
        <f t="shared" si="137"/>
        <v>#DIV/0!</v>
      </c>
      <c r="S47" s="174">
        <f t="shared" si="138"/>
        <v>0</v>
      </c>
      <c r="T47" s="175" t="e">
        <f t="shared" ref="T47" si="158">S47/F47</f>
        <v>#DIV/0!</v>
      </c>
      <c r="U47" s="174"/>
      <c r="V47" s="175" t="e">
        <f t="shared" ref="V47" si="159">U47/F47</f>
        <v>#DIV/0!</v>
      </c>
      <c r="W47" s="174"/>
      <c r="X47" s="175" t="e">
        <f t="shared" si="141"/>
        <v>#DIV/0!</v>
      </c>
      <c r="Y47" s="174"/>
      <c r="Z47" s="175" t="e">
        <f t="shared" si="142"/>
        <v>#DIV/0!</v>
      </c>
      <c r="AA47" s="174"/>
      <c r="AB47" s="175" t="e">
        <f t="shared" si="143"/>
        <v>#DIV/0!</v>
      </c>
      <c r="AC47" s="174">
        <f t="shared" si="144"/>
        <v>0</v>
      </c>
      <c r="AD47" s="175" t="e">
        <f t="shared" si="145"/>
        <v>#DIV/0!</v>
      </c>
      <c r="AE47" s="174"/>
      <c r="AF47" s="175" t="e">
        <f t="shared" si="146"/>
        <v>#DIV/0!</v>
      </c>
      <c r="AG47" s="174"/>
      <c r="AH47" s="175" t="e">
        <f t="shared" si="147"/>
        <v>#DIV/0!</v>
      </c>
      <c r="AI47" s="174"/>
      <c r="AJ47" s="175" t="e">
        <f t="shared" si="148"/>
        <v>#DIV/0!</v>
      </c>
      <c r="AK47" s="174"/>
      <c r="AL47" s="175" t="e">
        <f t="shared" si="149"/>
        <v>#DIV/0!</v>
      </c>
      <c r="AN47" s="72"/>
    </row>
    <row r="48" spans="2:40" s="73" customFormat="1" ht="14.25" customHeight="1">
      <c r="B48" s="501"/>
      <c r="C48" s="497"/>
      <c r="D48" s="173">
        <v>46090</v>
      </c>
      <c r="E48" s="173" t="s">
        <v>117</v>
      </c>
      <c r="F48" s="337"/>
      <c r="G48" s="495"/>
      <c r="H48" s="491"/>
      <c r="I48" s="174"/>
      <c r="J48" s="175" t="e">
        <f t="shared" si="132"/>
        <v>#DIV/0!</v>
      </c>
      <c r="K48" s="174"/>
      <c r="L48" s="175" t="e">
        <f t="shared" si="133"/>
        <v>#DIV/0!</v>
      </c>
      <c r="M48" s="174">
        <f t="shared" si="134"/>
        <v>0</v>
      </c>
      <c r="N48" s="175" t="e">
        <f t="shared" ref="N48" si="160">M48/$F48</f>
        <v>#DIV/0!</v>
      </c>
      <c r="O48" s="174"/>
      <c r="P48" s="175" t="e">
        <f t="shared" si="136"/>
        <v>#DIV/0!</v>
      </c>
      <c r="Q48" s="174"/>
      <c r="R48" s="175" t="e">
        <f t="shared" si="137"/>
        <v>#DIV/0!</v>
      </c>
      <c r="S48" s="174">
        <f t="shared" si="138"/>
        <v>0</v>
      </c>
      <c r="T48" s="175" t="e">
        <f t="shared" ref="T48" si="161">S48/$F48</f>
        <v>#DIV/0!</v>
      </c>
      <c r="U48" s="174"/>
      <c r="V48" s="175" t="e">
        <f t="shared" ref="V48" si="162">U48/$F48</f>
        <v>#DIV/0!</v>
      </c>
      <c r="W48" s="174"/>
      <c r="X48" s="175" t="e">
        <f t="shared" si="141"/>
        <v>#DIV/0!</v>
      </c>
      <c r="Y48" s="174"/>
      <c r="Z48" s="175" t="e">
        <f t="shared" si="142"/>
        <v>#DIV/0!</v>
      </c>
      <c r="AA48" s="174"/>
      <c r="AB48" s="175" t="e">
        <f t="shared" si="143"/>
        <v>#DIV/0!</v>
      </c>
      <c r="AC48" s="174">
        <f t="shared" si="144"/>
        <v>0</v>
      </c>
      <c r="AD48" s="175" t="e">
        <f t="shared" si="145"/>
        <v>#DIV/0!</v>
      </c>
      <c r="AE48" s="174"/>
      <c r="AF48" s="175" t="e">
        <f t="shared" si="146"/>
        <v>#DIV/0!</v>
      </c>
      <c r="AG48" s="174"/>
      <c r="AH48" s="175" t="e">
        <f t="shared" si="147"/>
        <v>#DIV/0!</v>
      </c>
      <c r="AI48" s="174"/>
      <c r="AJ48" s="175" t="e">
        <f t="shared" si="148"/>
        <v>#DIV/0!</v>
      </c>
      <c r="AK48" s="174"/>
      <c r="AL48" s="175" t="e">
        <f t="shared" si="149"/>
        <v>#DIV/0!</v>
      </c>
      <c r="AN48" s="72"/>
    </row>
    <row r="49" spans="2:40" s="73" customFormat="1" ht="14.25" customHeight="1">
      <c r="B49" s="499">
        <f>B42+7</f>
        <v>46093</v>
      </c>
      <c r="C49" s="497"/>
      <c r="D49" s="173">
        <v>46091</v>
      </c>
      <c r="E49" s="173" t="s">
        <v>118</v>
      </c>
      <c r="F49" s="337"/>
      <c r="G49" s="493">
        <f t="shared" ref="G49" si="163">SUM(F49:F55)</f>
        <v>0</v>
      </c>
      <c r="H49" s="491"/>
      <c r="I49" s="174"/>
      <c r="J49" s="175" t="e">
        <f t="shared" si="132"/>
        <v>#DIV/0!</v>
      </c>
      <c r="K49" s="174"/>
      <c r="L49" s="175" t="e">
        <f t="shared" si="133"/>
        <v>#DIV/0!</v>
      </c>
      <c r="M49" s="174">
        <f t="shared" si="134"/>
        <v>0</v>
      </c>
      <c r="N49" s="175" t="e">
        <f t="shared" ref="N49" si="164">M49/F49</f>
        <v>#DIV/0!</v>
      </c>
      <c r="O49" s="174"/>
      <c r="P49" s="175" t="e">
        <f t="shared" si="136"/>
        <v>#DIV/0!</v>
      </c>
      <c r="Q49" s="174"/>
      <c r="R49" s="175" t="e">
        <f t="shared" si="137"/>
        <v>#DIV/0!</v>
      </c>
      <c r="S49" s="174">
        <f t="shared" si="138"/>
        <v>0</v>
      </c>
      <c r="T49" s="175" t="e">
        <f t="shared" ref="T49" si="165">S49/F49</f>
        <v>#DIV/0!</v>
      </c>
      <c r="U49" s="174"/>
      <c r="V49" s="175" t="e">
        <f t="shared" ref="V49" si="166">U49/F49</f>
        <v>#DIV/0!</v>
      </c>
      <c r="W49" s="174"/>
      <c r="X49" s="175" t="e">
        <f t="shared" si="141"/>
        <v>#DIV/0!</v>
      </c>
      <c r="Y49" s="174"/>
      <c r="Z49" s="175" t="e">
        <f t="shared" si="142"/>
        <v>#DIV/0!</v>
      </c>
      <c r="AA49" s="174"/>
      <c r="AB49" s="175" t="e">
        <f t="shared" si="143"/>
        <v>#DIV/0!</v>
      </c>
      <c r="AC49" s="174">
        <f t="shared" si="144"/>
        <v>0</v>
      </c>
      <c r="AD49" s="175" t="e">
        <f t="shared" si="145"/>
        <v>#DIV/0!</v>
      </c>
      <c r="AE49" s="174"/>
      <c r="AF49" s="175" t="e">
        <f t="shared" si="146"/>
        <v>#DIV/0!</v>
      </c>
      <c r="AG49" s="174"/>
      <c r="AH49" s="175" t="e">
        <f t="shared" si="147"/>
        <v>#DIV/0!</v>
      </c>
      <c r="AI49" s="174"/>
      <c r="AJ49" s="175" t="e">
        <f t="shared" si="148"/>
        <v>#DIV/0!</v>
      </c>
      <c r="AK49" s="174"/>
      <c r="AL49" s="175" t="e">
        <f t="shared" si="149"/>
        <v>#DIV/0!</v>
      </c>
      <c r="AN49" s="72"/>
    </row>
    <row r="50" spans="2:40" s="73" customFormat="1" ht="14.25" customHeight="1">
      <c r="B50" s="500"/>
      <c r="C50" s="497"/>
      <c r="D50" s="173">
        <v>46092</v>
      </c>
      <c r="E50" s="173" t="s">
        <v>112</v>
      </c>
      <c r="F50" s="337"/>
      <c r="G50" s="494"/>
      <c r="H50" s="491"/>
      <c r="I50" s="174"/>
      <c r="J50" s="175" t="e">
        <f t="shared" si="132"/>
        <v>#DIV/0!</v>
      </c>
      <c r="K50" s="174"/>
      <c r="L50" s="175" t="e">
        <f t="shared" si="133"/>
        <v>#DIV/0!</v>
      </c>
      <c r="M50" s="174">
        <f t="shared" si="134"/>
        <v>0</v>
      </c>
      <c r="N50" s="175" t="e">
        <f t="shared" ref="N50" si="167">M50/$F50</f>
        <v>#DIV/0!</v>
      </c>
      <c r="O50" s="174"/>
      <c r="P50" s="175" t="e">
        <f t="shared" si="136"/>
        <v>#DIV/0!</v>
      </c>
      <c r="Q50" s="174"/>
      <c r="R50" s="175" t="e">
        <f t="shared" si="137"/>
        <v>#DIV/0!</v>
      </c>
      <c r="S50" s="174">
        <f t="shared" si="138"/>
        <v>0</v>
      </c>
      <c r="T50" s="175" t="e">
        <f t="shared" ref="T50" si="168">S50/$F50</f>
        <v>#DIV/0!</v>
      </c>
      <c r="U50" s="174"/>
      <c r="V50" s="175" t="e">
        <f t="shared" ref="V50" si="169">U50/$F50</f>
        <v>#DIV/0!</v>
      </c>
      <c r="W50" s="174"/>
      <c r="X50" s="175" t="e">
        <f t="shared" si="141"/>
        <v>#DIV/0!</v>
      </c>
      <c r="Y50" s="174"/>
      <c r="Z50" s="175" t="e">
        <f t="shared" si="142"/>
        <v>#DIV/0!</v>
      </c>
      <c r="AA50" s="174"/>
      <c r="AB50" s="175" t="e">
        <f t="shared" si="143"/>
        <v>#DIV/0!</v>
      </c>
      <c r="AC50" s="174">
        <f t="shared" si="144"/>
        <v>0</v>
      </c>
      <c r="AD50" s="175" t="e">
        <f t="shared" si="145"/>
        <v>#DIV/0!</v>
      </c>
      <c r="AE50" s="174"/>
      <c r="AF50" s="175" t="e">
        <f t="shared" si="146"/>
        <v>#DIV/0!</v>
      </c>
      <c r="AG50" s="174"/>
      <c r="AH50" s="175" t="e">
        <f t="shared" si="147"/>
        <v>#DIV/0!</v>
      </c>
      <c r="AI50" s="174"/>
      <c r="AJ50" s="175" t="e">
        <f t="shared" si="148"/>
        <v>#DIV/0!</v>
      </c>
      <c r="AK50" s="174"/>
      <c r="AL50" s="175" t="e">
        <f t="shared" si="149"/>
        <v>#DIV/0!</v>
      </c>
      <c r="AN50" s="72"/>
    </row>
    <row r="51" spans="2:40" s="73" customFormat="1" ht="14.25" customHeight="1">
      <c r="B51" s="500"/>
      <c r="C51" s="497"/>
      <c r="D51" s="173">
        <v>46093</v>
      </c>
      <c r="E51" s="173" t="s">
        <v>113</v>
      </c>
      <c r="F51" s="337"/>
      <c r="G51" s="494"/>
      <c r="H51" s="491"/>
      <c r="I51" s="174"/>
      <c r="J51" s="175" t="e">
        <f t="shared" si="132"/>
        <v>#DIV/0!</v>
      </c>
      <c r="K51" s="174"/>
      <c r="L51" s="175" t="e">
        <f t="shared" si="133"/>
        <v>#DIV/0!</v>
      </c>
      <c r="M51" s="174">
        <f t="shared" si="134"/>
        <v>0</v>
      </c>
      <c r="N51" s="175" t="e">
        <f t="shared" ref="N51" si="170">M51/F51</f>
        <v>#DIV/0!</v>
      </c>
      <c r="O51" s="174"/>
      <c r="P51" s="175" t="e">
        <f t="shared" si="136"/>
        <v>#DIV/0!</v>
      </c>
      <c r="Q51" s="174"/>
      <c r="R51" s="175" t="e">
        <f t="shared" si="137"/>
        <v>#DIV/0!</v>
      </c>
      <c r="S51" s="174">
        <f t="shared" si="138"/>
        <v>0</v>
      </c>
      <c r="T51" s="175" t="e">
        <f t="shared" ref="T51" si="171">S51/F51</f>
        <v>#DIV/0!</v>
      </c>
      <c r="U51" s="174"/>
      <c r="V51" s="175" t="e">
        <f t="shared" ref="V51" si="172">U51/F51</f>
        <v>#DIV/0!</v>
      </c>
      <c r="W51" s="174"/>
      <c r="X51" s="175" t="e">
        <f t="shared" si="141"/>
        <v>#DIV/0!</v>
      </c>
      <c r="Y51" s="174"/>
      <c r="Z51" s="175" t="e">
        <f t="shared" si="142"/>
        <v>#DIV/0!</v>
      </c>
      <c r="AA51" s="174"/>
      <c r="AB51" s="175" t="e">
        <f t="shared" si="143"/>
        <v>#DIV/0!</v>
      </c>
      <c r="AC51" s="174">
        <f t="shared" si="144"/>
        <v>0</v>
      </c>
      <c r="AD51" s="175" t="e">
        <f t="shared" si="145"/>
        <v>#DIV/0!</v>
      </c>
      <c r="AE51" s="174"/>
      <c r="AF51" s="175" t="e">
        <f t="shared" si="146"/>
        <v>#DIV/0!</v>
      </c>
      <c r="AG51" s="174"/>
      <c r="AH51" s="175" t="e">
        <f t="shared" si="147"/>
        <v>#DIV/0!</v>
      </c>
      <c r="AI51" s="174"/>
      <c r="AJ51" s="175" t="e">
        <f t="shared" si="148"/>
        <v>#DIV/0!</v>
      </c>
      <c r="AK51" s="174"/>
      <c r="AL51" s="175" t="e">
        <f t="shared" si="149"/>
        <v>#DIV/0!</v>
      </c>
      <c r="AN51" s="72"/>
    </row>
    <row r="52" spans="2:40" s="73" customFormat="1" ht="14.25" customHeight="1">
      <c r="B52" s="500"/>
      <c r="C52" s="497"/>
      <c r="D52" s="173">
        <v>46094</v>
      </c>
      <c r="E52" s="173" t="s">
        <v>114</v>
      </c>
      <c r="F52" s="337"/>
      <c r="G52" s="494"/>
      <c r="H52" s="491"/>
      <c r="I52" s="174"/>
      <c r="J52" s="175" t="e">
        <f t="shared" si="132"/>
        <v>#DIV/0!</v>
      </c>
      <c r="K52" s="174"/>
      <c r="L52" s="175" t="e">
        <f t="shared" si="133"/>
        <v>#DIV/0!</v>
      </c>
      <c r="M52" s="174">
        <f t="shared" si="134"/>
        <v>0</v>
      </c>
      <c r="N52" s="175" t="e">
        <f t="shared" ref="N52:N53" si="173">M52/$F52</f>
        <v>#DIV/0!</v>
      </c>
      <c r="O52" s="174"/>
      <c r="P52" s="175" t="e">
        <f t="shared" si="136"/>
        <v>#DIV/0!</v>
      </c>
      <c r="Q52" s="174"/>
      <c r="R52" s="175" t="e">
        <f t="shared" si="137"/>
        <v>#DIV/0!</v>
      </c>
      <c r="S52" s="174">
        <f t="shared" si="138"/>
        <v>0</v>
      </c>
      <c r="T52" s="175" t="e">
        <f t="shared" ref="T52:T53" si="174">S52/$F52</f>
        <v>#DIV/0!</v>
      </c>
      <c r="U52" s="174"/>
      <c r="V52" s="175" t="e">
        <f t="shared" ref="V52:V53" si="175">U52/$F52</f>
        <v>#DIV/0!</v>
      </c>
      <c r="W52" s="174"/>
      <c r="X52" s="175" t="e">
        <f t="shared" si="141"/>
        <v>#DIV/0!</v>
      </c>
      <c r="Y52" s="174"/>
      <c r="Z52" s="175" t="e">
        <f t="shared" si="142"/>
        <v>#DIV/0!</v>
      </c>
      <c r="AA52" s="174"/>
      <c r="AB52" s="175" t="e">
        <f t="shared" si="143"/>
        <v>#DIV/0!</v>
      </c>
      <c r="AC52" s="174">
        <f t="shared" si="144"/>
        <v>0</v>
      </c>
      <c r="AD52" s="175" t="e">
        <f t="shared" si="145"/>
        <v>#DIV/0!</v>
      </c>
      <c r="AE52" s="174"/>
      <c r="AF52" s="175" t="e">
        <f t="shared" si="146"/>
        <v>#DIV/0!</v>
      </c>
      <c r="AG52" s="174"/>
      <c r="AH52" s="175" t="e">
        <f t="shared" si="147"/>
        <v>#DIV/0!</v>
      </c>
      <c r="AI52" s="174"/>
      <c r="AJ52" s="175" t="e">
        <f t="shared" si="148"/>
        <v>#DIV/0!</v>
      </c>
      <c r="AK52" s="174"/>
      <c r="AL52" s="175" t="e">
        <f t="shared" si="149"/>
        <v>#DIV/0!</v>
      </c>
      <c r="AN52" s="72"/>
    </row>
    <row r="53" spans="2:40" s="73" customFormat="1" ht="14.25" customHeight="1" collapsed="1">
      <c r="B53" s="500"/>
      <c r="C53" s="497"/>
      <c r="D53" s="173">
        <v>46095</v>
      </c>
      <c r="E53" s="173" t="s">
        <v>115</v>
      </c>
      <c r="F53" s="337"/>
      <c r="G53" s="494"/>
      <c r="H53" s="491"/>
      <c r="I53" s="174"/>
      <c r="J53" s="175" t="e">
        <f t="shared" si="132"/>
        <v>#DIV/0!</v>
      </c>
      <c r="K53" s="174"/>
      <c r="L53" s="175" t="e">
        <f t="shared" si="133"/>
        <v>#DIV/0!</v>
      </c>
      <c r="M53" s="174">
        <f t="shared" si="134"/>
        <v>0</v>
      </c>
      <c r="N53" s="175" t="e">
        <f t="shared" si="173"/>
        <v>#DIV/0!</v>
      </c>
      <c r="O53" s="174"/>
      <c r="P53" s="175" t="e">
        <f t="shared" si="136"/>
        <v>#DIV/0!</v>
      </c>
      <c r="Q53" s="174"/>
      <c r="R53" s="175" t="e">
        <f t="shared" si="137"/>
        <v>#DIV/0!</v>
      </c>
      <c r="S53" s="174">
        <f t="shared" si="138"/>
        <v>0</v>
      </c>
      <c r="T53" s="175" t="e">
        <f t="shared" si="174"/>
        <v>#DIV/0!</v>
      </c>
      <c r="U53" s="174"/>
      <c r="V53" s="175" t="e">
        <f t="shared" si="175"/>
        <v>#DIV/0!</v>
      </c>
      <c r="W53" s="174"/>
      <c r="X53" s="175" t="e">
        <f t="shared" si="141"/>
        <v>#DIV/0!</v>
      </c>
      <c r="Y53" s="174"/>
      <c r="Z53" s="175" t="e">
        <f t="shared" si="142"/>
        <v>#DIV/0!</v>
      </c>
      <c r="AA53" s="174"/>
      <c r="AB53" s="175" t="e">
        <f t="shared" si="143"/>
        <v>#DIV/0!</v>
      </c>
      <c r="AC53" s="174">
        <f t="shared" si="144"/>
        <v>0</v>
      </c>
      <c r="AD53" s="175" t="e">
        <f t="shared" si="145"/>
        <v>#DIV/0!</v>
      </c>
      <c r="AE53" s="174"/>
      <c r="AF53" s="175" t="e">
        <f t="shared" si="146"/>
        <v>#DIV/0!</v>
      </c>
      <c r="AG53" s="174"/>
      <c r="AH53" s="175" t="e">
        <f t="shared" si="147"/>
        <v>#DIV/0!</v>
      </c>
      <c r="AI53" s="174"/>
      <c r="AJ53" s="175" t="e">
        <f t="shared" si="148"/>
        <v>#DIV/0!</v>
      </c>
      <c r="AK53" s="174"/>
      <c r="AL53" s="175" t="e">
        <f t="shared" si="149"/>
        <v>#DIV/0!</v>
      </c>
      <c r="AN53" s="72"/>
    </row>
    <row r="54" spans="2:40" s="73" customFormat="1" ht="14.25" customHeight="1">
      <c r="B54" s="500"/>
      <c r="C54" s="497"/>
      <c r="D54" s="173">
        <v>46096</v>
      </c>
      <c r="E54" s="173" t="s">
        <v>116</v>
      </c>
      <c r="F54" s="337"/>
      <c r="G54" s="494"/>
      <c r="H54" s="491"/>
      <c r="I54" s="174"/>
      <c r="J54" s="175" t="e">
        <f t="shared" si="132"/>
        <v>#DIV/0!</v>
      </c>
      <c r="K54" s="174"/>
      <c r="L54" s="175" t="e">
        <f t="shared" si="133"/>
        <v>#DIV/0!</v>
      </c>
      <c r="M54" s="174">
        <f t="shared" si="134"/>
        <v>0</v>
      </c>
      <c r="N54" s="175" t="e">
        <f t="shared" ref="N54" si="176">M54/F54</f>
        <v>#DIV/0!</v>
      </c>
      <c r="O54" s="174"/>
      <c r="P54" s="175" t="e">
        <f t="shared" si="136"/>
        <v>#DIV/0!</v>
      </c>
      <c r="Q54" s="174"/>
      <c r="R54" s="175" t="e">
        <f t="shared" si="137"/>
        <v>#DIV/0!</v>
      </c>
      <c r="S54" s="174">
        <f t="shared" si="138"/>
        <v>0</v>
      </c>
      <c r="T54" s="175" t="e">
        <f t="shared" ref="T54" si="177">S54/F54</f>
        <v>#DIV/0!</v>
      </c>
      <c r="U54" s="174"/>
      <c r="V54" s="175" t="e">
        <f t="shared" ref="V54" si="178">U54/F54</f>
        <v>#DIV/0!</v>
      </c>
      <c r="W54" s="174"/>
      <c r="X54" s="175" t="e">
        <f t="shared" si="141"/>
        <v>#DIV/0!</v>
      </c>
      <c r="Y54" s="174"/>
      <c r="Z54" s="175" t="e">
        <f t="shared" si="142"/>
        <v>#DIV/0!</v>
      </c>
      <c r="AA54" s="174"/>
      <c r="AB54" s="175" t="e">
        <f t="shared" si="143"/>
        <v>#DIV/0!</v>
      </c>
      <c r="AC54" s="174">
        <f t="shared" si="144"/>
        <v>0</v>
      </c>
      <c r="AD54" s="175" t="e">
        <f t="shared" si="145"/>
        <v>#DIV/0!</v>
      </c>
      <c r="AE54" s="174"/>
      <c r="AF54" s="175" t="e">
        <f t="shared" si="146"/>
        <v>#DIV/0!</v>
      </c>
      <c r="AG54" s="174"/>
      <c r="AH54" s="175" t="e">
        <f t="shared" si="147"/>
        <v>#DIV/0!</v>
      </c>
      <c r="AI54" s="174"/>
      <c r="AJ54" s="175" t="e">
        <f t="shared" si="148"/>
        <v>#DIV/0!</v>
      </c>
      <c r="AK54" s="174"/>
      <c r="AL54" s="175" t="e">
        <f t="shared" si="149"/>
        <v>#DIV/0!</v>
      </c>
      <c r="AN54" s="72"/>
    </row>
    <row r="55" spans="2:40" s="73" customFormat="1" ht="14.25" customHeight="1">
      <c r="B55" s="501"/>
      <c r="C55" s="497"/>
      <c r="D55" s="173">
        <v>46097</v>
      </c>
      <c r="E55" s="173" t="s">
        <v>117</v>
      </c>
      <c r="F55" s="337"/>
      <c r="G55" s="495"/>
      <c r="H55" s="491"/>
      <c r="I55" s="174"/>
      <c r="J55" s="175" t="e">
        <f t="shared" si="132"/>
        <v>#DIV/0!</v>
      </c>
      <c r="K55" s="174"/>
      <c r="L55" s="175" t="e">
        <f t="shared" si="133"/>
        <v>#DIV/0!</v>
      </c>
      <c r="M55" s="174">
        <f t="shared" si="134"/>
        <v>0</v>
      </c>
      <c r="N55" s="175" t="e">
        <f t="shared" ref="N55" si="179">M55/$F55</f>
        <v>#DIV/0!</v>
      </c>
      <c r="O55" s="174"/>
      <c r="P55" s="175" t="e">
        <f t="shared" si="136"/>
        <v>#DIV/0!</v>
      </c>
      <c r="Q55" s="174"/>
      <c r="R55" s="175" t="e">
        <f t="shared" si="137"/>
        <v>#DIV/0!</v>
      </c>
      <c r="S55" s="174">
        <f t="shared" si="138"/>
        <v>0</v>
      </c>
      <c r="T55" s="175" t="e">
        <f t="shared" ref="T55" si="180">S55/$F55</f>
        <v>#DIV/0!</v>
      </c>
      <c r="U55" s="174"/>
      <c r="V55" s="175" t="e">
        <f t="shared" ref="V55" si="181">U55/$F55</f>
        <v>#DIV/0!</v>
      </c>
      <c r="W55" s="174"/>
      <c r="X55" s="175" t="e">
        <f t="shared" si="141"/>
        <v>#DIV/0!</v>
      </c>
      <c r="Y55" s="174"/>
      <c r="Z55" s="175" t="e">
        <f t="shared" si="142"/>
        <v>#DIV/0!</v>
      </c>
      <c r="AA55" s="174"/>
      <c r="AB55" s="175" t="e">
        <f t="shared" si="143"/>
        <v>#DIV/0!</v>
      </c>
      <c r="AC55" s="174">
        <f t="shared" si="144"/>
        <v>0</v>
      </c>
      <c r="AD55" s="175" t="e">
        <f t="shared" si="145"/>
        <v>#DIV/0!</v>
      </c>
      <c r="AE55" s="174"/>
      <c r="AF55" s="175" t="e">
        <f t="shared" si="146"/>
        <v>#DIV/0!</v>
      </c>
      <c r="AG55" s="174"/>
      <c r="AH55" s="175" t="e">
        <f t="shared" si="147"/>
        <v>#DIV/0!</v>
      </c>
      <c r="AI55" s="174"/>
      <c r="AJ55" s="175" t="e">
        <f t="shared" si="148"/>
        <v>#DIV/0!</v>
      </c>
      <c r="AK55" s="174"/>
      <c r="AL55" s="175" t="e">
        <f t="shared" si="149"/>
        <v>#DIV/0!</v>
      </c>
      <c r="AN55" s="72"/>
    </row>
    <row r="56" spans="2:40" s="73" customFormat="1" ht="14.25" customHeight="1">
      <c r="B56" s="499">
        <f>B49+7</f>
        <v>46100</v>
      </c>
      <c r="C56" s="497"/>
      <c r="D56" s="173">
        <v>46098</v>
      </c>
      <c r="E56" s="173" t="s">
        <v>118</v>
      </c>
      <c r="F56" s="337"/>
      <c r="G56" s="493">
        <f t="shared" ref="G56" si="182">SUM(F56:F62)</f>
        <v>0</v>
      </c>
      <c r="H56" s="491"/>
      <c r="I56" s="174"/>
      <c r="J56" s="175" t="e">
        <f t="shared" si="132"/>
        <v>#DIV/0!</v>
      </c>
      <c r="K56" s="174"/>
      <c r="L56" s="175" t="e">
        <f t="shared" si="133"/>
        <v>#DIV/0!</v>
      </c>
      <c r="M56" s="174">
        <f t="shared" si="134"/>
        <v>0</v>
      </c>
      <c r="N56" s="175" t="e">
        <f t="shared" ref="N56" si="183">M56/F56</f>
        <v>#DIV/0!</v>
      </c>
      <c r="O56" s="174"/>
      <c r="P56" s="175" t="e">
        <f t="shared" si="136"/>
        <v>#DIV/0!</v>
      </c>
      <c r="Q56" s="174"/>
      <c r="R56" s="175" t="e">
        <f t="shared" si="137"/>
        <v>#DIV/0!</v>
      </c>
      <c r="S56" s="174">
        <f t="shared" si="138"/>
        <v>0</v>
      </c>
      <c r="T56" s="175" t="e">
        <f t="shared" ref="T56" si="184">S56/F56</f>
        <v>#DIV/0!</v>
      </c>
      <c r="U56" s="174"/>
      <c r="V56" s="175" t="e">
        <f t="shared" ref="V56" si="185">U56/F56</f>
        <v>#DIV/0!</v>
      </c>
      <c r="W56" s="174"/>
      <c r="X56" s="175" t="e">
        <f t="shared" si="141"/>
        <v>#DIV/0!</v>
      </c>
      <c r="Y56" s="174"/>
      <c r="Z56" s="175" t="e">
        <f t="shared" si="142"/>
        <v>#DIV/0!</v>
      </c>
      <c r="AA56" s="174"/>
      <c r="AB56" s="175" t="e">
        <f t="shared" si="143"/>
        <v>#DIV/0!</v>
      </c>
      <c r="AC56" s="174">
        <f t="shared" si="144"/>
        <v>0</v>
      </c>
      <c r="AD56" s="175" t="e">
        <f t="shared" si="145"/>
        <v>#DIV/0!</v>
      </c>
      <c r="AE56" s="174"/>
      <c r="AF56" s="175" t="e">
        <f t="shared" si="146"/>
        <v>#DIV/0!</v>
      </c>
      <c r="AG56" s="174"/>
      <c r="AH56" s="175" t="e">
        <f t="shared" si="147"/>
        <v>#DIV/0!</v>
      </c>
      <c r="AI56" s="174"/>
      <c r="AJ56" s="175" t="e">
        <f t="shared" si="148"/>
        <v>#DIV/0!</v>
      </c>
      <c r="AK56" s="174"/>
      <c r="AL56" s="175" t="e">
        <f t="shared" si="149"/>
        <v>#DIV/0!</v>
      </c>
      <c r="AN56" s="72"/>
    </row>
    <row r="57" spans="2:40" s="73" customFormat="1" ht="14.25" customHeight="1">
      <c r="B57" s="500"/>
      <c r="C57" s="497"/>
      <c r="D57" s="173">
        <v>46099</v>
      </c>
      <c r="E57" s="173" t="s">
        <v>112</v>
      </c>
      <c r="F57" s="337"/>
      <c r="G57" s="494"/>
      <c r="H57" s="491"/>
      <c r="I57" s="174"/>
      <c r="J57" s="175" t="e">
        <f t="shared" si="132"/>
        <v>#DIV/0!</v>
      </c>
      <c r="K57" s="174"/>
      <c r="L57" s="175" t="e">
        <f t="shared" si="133"/>
        <v>#DIV/0!</v>
      </c>
      <c r="M57" s="174">
        <f t="shared" si="134"/>
        <v>0</v>
      </c>
      <c r="N57" s="175" t="e">
        <f t="shared" ref="N57" si="186">M57/$F57</f>
        <v>#DIV/0!</v>
      </c>
      <c r="O57" s="174"/>
      <c r="P57" s="175" t="e">
        <f t="shared" si="136"/>
        <v>#DIV/0!</v>
      </c>
      <c r="Q57" s="174"/>
      <c r="R57" s="175" t="e">
        <f t="shared" si="137"/>
        <v>#DIV/0!</v>
      </c>
      <c r="S57" s="174">
        <f t="shared" si="138"/>
        <v>0</v>
      </c>
      <c r="T57" s="175" t="e">
        <f t="shared" ref="T57" si="187">S57/$F57</f>
        <v>#DIV/0!</v>
      </c>
      <c r="U57" s="174"/>
      <c r="V57" s="175" t="e">
        <f t="shared" ref="V57" si="188">U57/$F57</f>
        <v>#DIV/0!</v>
      </c>
      <c r="W57" s="174"/>
      <c r="X57" s="175" t="e">
        <f t="shared" si="141"/>
        <v>#DIV/0!</v>
      </c>
      <c r="Y57" s="174"/>
      <c r="Z57" s="175" t="e">
        <f t="shared" si="142"/>
        <v>#DIV/0!</v>
      </c>
      <c r="AA57" s="174"/>
      <c r="AB57" s="175" t="e">
        <f t="shared" si="143"/>
        <v>#DIV/0!</v>
      </c>
      <c r="AC57" s="174">
        <f t="shared" si="144"/>
        <v>0</v>
      </c>
      <c r="AD57" s="175" t="e">
        <f t="shared" si="145"/>
        <v>#DIV/0!</v>
      </c>
      <c r="AE57" s="174"/>
      <c r="AF57" s="175" t="e">
        <f t="shared" si="146"/>
        <v>#DIV/0!</v>
      </c>
      <c r="AG57" s="174"/>
      <c r="AH57" s="175" t="e">
        <f t="shared" si="147"/>
        <v>#DIV/0!</v>
      </c>
      <c r="AI57" s="174"/>
      <c r="AJ57" s="175" t="e">
        <f t="shared" si="148"/>
        <v>#DIV/0!</v>
      </c>
      <c r="AK57" s="174"/>
      <c r="AL57" s="175" t="e">
        <f t="shared" si="149"/>
        <v>#DIV/0!</v>
      </c>
      <c r="AN57" s="72"/>
    </row>
    <row r="58" spans="2:40" s="73" customFormat="1" ht="14.25" customHeight="1">
      <c r="B58" s="500"/>
      <c r="C58" s="497"/>
      <c r="D58" s="173">
        <v>46100</v>
      </c>
      <c r="E58" s="173" t="s">
        <v>113</v>
      </c>
      <c r="F58" s="337"/>
      <c r="G58" s="494"/>
      <c r="H58" s="491"/>
      <c r="I58" s="174"/>
      <c r="J58" s="175" t="e">
        <f t="shared" si="132"/>
        <v>#DIV/0!</v>
      </c>
      <c r="K58" s="174"/>
      <c r="L58" s="175" t="e">
        <f t="shared" si="133"/>
        <v>#DIV/0!</v>
      </c>
      <c r="M58" s="174">
        <f t="shared" si="134"/>
        <v>0</v>
      </c>
      <c r="N58" s="175" t="e">
        <f t="shared" ref="N58" si="189">M58/F58</f>
        <v>#DIV/0!</v>
      </c>
      <c r="O58" s="174"/>
      <c r="P58" s="175" t="e">
        <f t="shared" si="136"/>
        <v>#DIV/0!</v>
      </c>
      <c r="Q58" s="174"/>
      <c r="R58" s="175" t="e">
        <f t="shared" si="137"/>
        <v>#DIV/0!</v>
      </c>
      <c r="S58" s="174">
        <f t="shared" si="138"/>
        <v>0</v>
      </c>
      <c r="T58" s="175" t="e">
        <f t="shared" ref="T58" si="190">S58/F58</f>
        <v>#DIV/0!</v>
      </c>
      <c r="U58" s="174"/>
      <c r="V58" s="175" t="e">
        <f t="shared" ref="V58" si="191">U58/F58</f>
        <v>#DIV/0!</v>
      </c>
      <c r="W58" s="174"/>
      <c r="X58" s="175" t="e">
        <f t="shared" si="141"/>
        <v>#DIV/0!</v>
      </c>
      <c r="Y58" s="174"/>
      <c r="Z58" s="175" t="e">
        <f t="shared" si="142"/>
        <v>#DIV/0!</v>
      </c>
      <c r="AA58" s="174"/>
      <c r="AB58" s="175" t="e">
        <f t="shared" si="143"/>
        <v>#DIV/0!</v>
      </c>
      <c r="AC58" s="174">
        <f t="shared" si="144"/>
        <v>0</v>
      </c>
      <c r="AD58" s="175" t="e">
        <f t="shared" si="145"/>
        <v>#DIV/0!</v>
      </c>
      <c r="AE58" s="174"/>
      <c r="AF58" s="175" t="e">
        <f t="shared" si="146"/>
        <v>#DIV/0!</v>
      </c>
      <c r="AG58" s="174"/>
      <c r="AH58" s="175" t="e">
        <f t="shared" si="147"/>
        <v>#DIV/0!</v>
      </c>
      <c r="AI58" s="174"/>
      <c r="AJ58" s="175" t="e">
        <f t="shared" si="148"/>
        <v>#DIV/0!</v>
      </c>
      <c r="AK58" s="174"/>
      <c r="AL58" s="175" t="e">
        <f t="shared" si="149"/>
        <v>#DIV/0!</v>
      </c>
      <c r="AN58" s="72"/>
    </row>
    <row r="59" spans="2:40" s="73" customFormat="1" ht="14.25" customHeight="1">
      <c r="B59" s="500"/>
      <c r="C59" s="497"/>
      <c r="D59" s="173">
        <v>46101</v>
      </c>
      <c r="E59" s="173" t="s">
        <v>114</v>
      </c>
      <c r="F59" s="337"/>
      <c r="G59" s="494"/>
      <c r="H59" s="491"/>
      <c r="I59" s="174"/>
      <c r="J59" s="175" t="e">
        <f t="shared" si="132"/>
        <v>#DIV/0!</v>
      </c>
      <c r="K59" s="174"/>
      <c r="L59" s="175" t="e">
        <f t="shared" si="133"/>
        <v>#DIV/0!</v>
      </c>
      <c r="M59" s="174">
        <f t="shared" si="134"/>
        <v>0</v>
      </c>
      <c r="N59" s="175" t="e">
        <f t="shared" ref="N59:N60" si="192">M59/$F59</f>
        <v>#DIV/0!</v>
      </c>
      <c r="O59" s="174"/>
      <c r="P59" s="175" t="e">
        <f t="shared" si="136"/>
        <v>#DIV/0!</v>
      </c>
      <c r="Q59" s="174"/>
      <c r="R59" s="175" t="e">
        <f t="shared" si="137"/>
        <v>#DIV/0!</v>
      </c>
      <c r="S59" s="174">
        <f t="shared" si="138"/>
        <v>0</v>
      </c>
      <c r="T59" s="175" t="e">
        <f t="shared" ref="T59:T60" si="193">S59/$F59</f>
        <v>#DIV/0!</v>
      </c>
      <c r="U59" s="174"/>
      <c r="V59" s="175" t="e">
        <f t="shared" ref="V59:V60" si="194">U59/$F59</f>
        <v>#DIV/0!</v>
      </c>
      <c r="W59" s="174"/>
      <c r="X59" s="175" t="e">
        <f t="shared" si="141"/>
        <v>#DIV/0!</v>
      </c>
      <c r="Y59" s="174"/>
      <c r="Z59" s="175" t="e">
        <f t="shared" si="142"/>
        <v>#DIV/0!</v>
      </c>
      <c r="AA59" s="174"/>
      <c r="AB59" s="175" t="e">
        <f t="shared" si="143"/>
        <v>#DIV/0!</v>
      </c>
      <c r="AC59" s="174">
        <f t="shared" si="144"/>
        <v>0</v>
      </c>
      <c r="AD59" s="175" t="e">
        <f t="shared" si="145"/>
        <v>#DIV/0!</v>
      </c>
      <c r="AE59" s="174"/>
      <c r="AF59" s="175" t="e">
        <f t="shared" si="146"/>
        <v>#DIV/0!</v>
      </c>
      <c r="AG59" s="174"/>
      <c r="AH59" s="175" t="e">
        <f t="shared" si="147"/>
        <v>#DIV/0!</v>
      </c>
      <c r="AI59" s="174"/>
      <c r="AJ59" s="175" t="e">
        <f t="shared" si="148"/>
        <v>#DIV/0!</v>
      </c>
      <c r="AK59" s="174"/>
      <c r="AL59" s="175" t="e">
        <f t="shared" si="149"/>
        <v>#DIV/0!</v>
      </c>
      <c r="AN59" s="72"/>
    </row>
    <row r="60" spans="2:40" s="73" customFormat="1" ht="14.25" customHeight="1" collapsed="1">
      <c r="B60" s="500"/>
      <c r="C60" s="497"/>
      <c r="D60" s="173">
        <v>46102</v>
      </c>
      <c r="E60" s="173" t="s">
        <v>115</v>
      </c>
      <c r="F60" s="337"/>
      <c r="G60" s="494"/>
      <c r="H60" s="491"/>
      <c r="I60" s="174"/>
      <c r="J60" s="175" t="e">
        <f t="shared" si="132"/>
        <v>#DIV/0!</v>
      </c>
      <c r="K60" s="174"/>
      <c r="L60" s="175" t="e">
        <f t="shared" si="133"/>
        <v>#DIV/0!</v>
      </c>
      <c r="M60" s="174">
        <f t="shared" si="134"/>
        <v>0</v>
      </c>
      <c r="N60" s="175" t="e">
        <f t="shared" si="192"/>
        <v>#DIV/0!</v>
      </c>
      <c r="O60" s="174"/>
      <c r="P60" s="175" t="e">
        <f t="shared" si="136"/>
        <v>#DIV/0!</v>
      </c>
      <c r="Q60" s="174"/>
      <c r="R60" s="175" t="e">
        <f t="shared" si="137"/>
        <v>#DIV/0!</v>
      </c>
      <c r="S60" s="174">
        <f t="shared" si="138"/>
        <v>0</v>
      </c>
      <c r="T60" s="175" t="e">
        <f t="shared" si="193"/>
        <v>#DIV/0!</v>
      </c>
      <c r="U60" s="174"/>
      <c r="V60" s="175" t="e">
        <f t="shared" si="194"/>
        <v>#DIV/0!</v>
      </c>
      <c r="W60" s="174"/>
      <c r="X60" s="175" t="e">
        <f t="shared" si="141"/>
        <v>#DIV/0!</v>
      </c>
      <c r="Y60" s="174"/>
      <c r="Z60" s="175" t="e">
        <f t="shared" si="142"/>
        <v>#DIV/0!</v>
      </c>
      <c r="AA60" s="174"/>
      <c r="AB60" s="175" t="e">
        <f t="shared" si="143"/>
        <v>#DIV/0!</v>
      </c>
      <c r="AC60" s="174">
        <f t="shared" si="144"/>
        <v>0</v>
      </c>
      <c r="AD60" s="175" t="e">
        <f t="shared" si="145"/>
        <v>#DIV/0!</v>
      </c>
      <c r="AE60" s="174"/>
      <c r="AF60" s="175" t="e">
        <f t="shared" si="146"/>
        <v>#DIV/0!</v>
      </c>
      <c r="AG60" s="174"/>
      <c r="AH60" s="175" t="e">
        <f t="shared" si="147"/>
        <v>#DIV/0!</v>
      </c>
      <c r="AI60" s="174"/>
      <c r="AJ60" s="175" t="e">
        <f t="shared" si="148"/>
        <v>#DIV/0!</v>
      </c>
      <c r="AK60" s="174"/>
      <c r="AL60" s="175" t="e">
        <f t="shared" si="149"/>
        <v>#DIV/0!</v>
      </c>
      <c r="AN60" s="72"/>
    </row>
    <row r="61" spans="2:40" s="73" customFormat="1" ht="14.25" customHeight="1">
      <c r="B61" s="500"/>
      <c r="C61" s="497"/>
      <c r="D61" s="173">
        <v>46103</v>
      </c>
      <c r="E61" s="173" t="s">
        <v>116</v>
      </c>
      <c r="F61" s="337"/>
      <c r="G61" s="494"/>
      <c r="H61" s="491"/>
      <c r="I61" s="174"/>
      <c r="J61" s="175" t="e">
        <f t="shared" si="132"/>
        <v>#DIV/0!</v>
      </c>
      <c r="K61" s="174"/>
      <c r="L61" s="175" t="e">
        <f t="shared" si="133"/>
        <v>#DIV/0!</v>
      </c>
      <c r="M61" s="174">
        <f t="shared" si="134"/>
        <v>0</v>
      </c>
      <c r="N61" s="175" t="e">
        <f t="shared" ref="N61" si="195">M61/F61</f>
        <v>#DIV/0!</v>
      </c>
      <c r="O61" s="174"/>
      <c r="P61" s="175" t="e">
        <f t="shared" si="136"/>
        <v>#DIV/0!</v>
      </c>
      <c r="Q61" s="174"/>
      <c r="R61" s="175" t="e">
        <f t="shared" si="137"/>
        <v>#DIV/0!</v>
      </c>
      <c r="S61" s="174">
        <f t="shared" si="138"/>
        <v>0</v>
      </c>
      <c r="T61" s="175" t="e">
        <f t="shared" ref="T61" si="196">S61/F61</f>
        <v>#DIV/0!</v>
      </c>
      <c r="U61" s="174"/>
      <c r="V61" s="175" t="e">
        <f t="shared" ref="V61" si="197">U61/F61</f>
        <v>#DIV/0!</v>
      </c>
      <c r="W61" s="174"/>
      <c r="X61" s="175" t="e">
        <f t="shared" si="141"/>
        <v>#DIV/0!</v>
      </c>
      <c r="Y61" s="174"/>
      <c r="Z61" s="175" t="e">
        <f t="shared" si="142"/>
        <v>#DIV/0!</v>
      </c>
      <c r="AA61" s="174"/>
      <c r="AB61" s="175" t="e">
        <f t="shared" si="143"/>
        <v>#DIV/0!</v>
      </c>
      <c r="AC61" s="174">
        <f t="shared" si="144"/>
        <v>0</v>
      </c>
      <c r="AD61" s="175" t="e">
        <f t="shared" si="145"/>
        <v>#DIV/0!</v>
      </c>
      <c r="AE61" s="174"/>
      <c r="AF61" s="175" t="e">
        <f t="shared" si="146"/>
        <v>#DIV/0!</v>
      </c>
      <c r="AG61" s="174"/>
      <c r="AH61" s="175" t="e">
        <f t="shared" si="147"/>
        <v>#DIV/0!</v>
      </c>
      <c r="AI61" s="174"/>
      <c r="AJ61" s="175" t="e">
        <f t="shared" si="148"/>
        <v>#DIV/0!</v>
      </c>
      <c r="AK61" s="174"/>
      <c r="AL61" s="175" t="e">
        <f t="shared" si="149"/>
        <v>#DIV/0!</v>
      </c>
      <c r="AN61" s="72"/>
    </row>
    <row r="62" spans="2:40" s="73" customFormat="1" ht="14.25" customHeight="1">
      <c r="B62" s="501"/>
      <c r="C62" s="497"/>
      <c r="D62" s="173">
        <v>46104</v>
      </c>
      <c r="E62" s="173" t="s">
        <v>117</v>
      </c>
      <c r="F62" s="337"/>
      <c r="G62" s="495"/>
      <c r="H62" s="491"/>
      <c r="I62" s="174"/>
      <c r="J62" s="175" t="e">
        <f t="shared" si="132"/>
        <v>#DIV/0!</v>
      </c>
      <c r="K62" s="174"/>
      <c r="L62" s="175" t="e">
        <f t="shared" si="133"/>
        <v>#DIV/0!</v>
      </c>
      <c r="M62" s="174">
        <f t="shared" si="134"/>
        <v>0</v>
      </c>
      <c r="N62" s="175" t="e">
        <f t="shared" ref="N62" si="198">M62/$F62</f>
        <v>#DIV/0!</v>
      </c>
      <c r="O62" s="174"/>
      <c r="P62" s="175" t="e">
        <f t="shared" si="136"/>
        <v>#DIV/0!</v>
      </c>
      <c r="Q62" s="174"/>
      <c r="R62" s="175" t="e">
        <f t="shared" si="137"/>
        <v>#DIV/0!</v>
      </c>
      <c r="S62" s="174">
        <f t="shared" si="138"/>
        <v>0</v>
      </c>
      <c r="T62" s="175" t="e">
        <f t="shared" ref="T62" si="199">S62/$F62</f>
        <v>#DIV/0!</v>
      </c>
      <c r="U62" s="174"/>
      <c r="V62" s="175" t="e">
        <f t="shared" ref="V62" si="200">U62/$F62</f>
        <v>#DIV/0!</v>
      </c>
      <c r="W62" s="174"/>
      <c r="X62" s="175" t="e">
        <f t="shared" si="141"/>
        <v>#DIV/0!</v>
      </c>
      <c r="Y62" s="174"/>
      <c r="Z62" s="175" t="e">
        <f t="shared" si="142"/>
        <v>#DIV/0!</v>
      </c>
      <c r="AA62" s="174"/>
      <c r="AB62" s="175" t="e">
        <f t="shared" si="143"/>
        <v>#DIV/0!</v>
      </c>
      <c r="AC62" s="174">
        <f t="shared" si="144"/>
        <v>0</v>
      </c>
      <c r="AD62" s="175" t="e">
        <f t="shared" si="145"/>
        <v>#DIV/0!</v>
      </c>
      <c r="AE62" s="174"/>
      <c r="AF62" s="175" t="e">
        <f t="shared" si="146"/>
        <v>#DIV/0!</v>
      </c>
      <c r="AG62" s="174"/>
      <c r="AH62" s="175" t="e">
        <f t="shared" si="147"/>
        <v>#DIV/0!</v>
      </c>
      <c r="AI62" s="174"/>
      <c r="AJ62" s="175" t="e">
        <f t="shared" si="148"/>
        <v>#DIV/0!</v>
      </c>
      <c r="AK62" s="174"/>
      <c r="AL62" s="175" t="e">
        <f t="shared" si="149"/>
        <v>#DIV/0!</v>
      </c>
      <c r="AN62" s="72"/>
    </row>
    <row r="63" spans="2:40" s="73" customFormat="1" ht="14.25" customHeight="1">
      <c r="B63" s="499">
        <f>B56+7</f>
        <v>46107</v>
      </c>
      <c r="C63" s="497"/>
      <c r="D63" s="173">
        <v>46105</v>
      </c>
      <c r="E63" s="173" t="s">
        <v>118</v>
      </c>
      <c r="F63" s="337"/>
      <c r="G63" s="493">
        <f t="shared" ref="G63" si="201">SUM(F63:F69)</f>
        <v>0</v>
      </c>
      <c r="H63" s="491"/>
      <c r="I63" s="174"/>
      <c r="J63" s="175" t="e">
        <f t="shared" si="132"/>
        <v>#DIV/0!</v>
      </c>
      <c r="K63" s="174"/>
      <c r="L63" s="175" t="e">
        <f t="shared" si="133"/>
        <v>#DIV/0!</v>
      </c>
      <c r="M63" s="174">
        <f t="shared" si="134"/>
        <v>0</v>
      </c>
      <c r="N63" s="175" t="e">
        <f t="shared" ref="N63" si="202">M63/F63</f>
        <v>#DIV/0!</v>
      </c>
      <c r="O63" s="174"/>
      <c r="P63" s="175" t="e">
        <f t="shared" si="136"/>
        <v>#DIV/0!</v>
      </c>
      <c r="Q63" s="174"/>
      <c r="R63" s="175" t="e">
        <f t="shared" si="137"/>
        <v>#DIV/0!</v>
      </c>
      <c r="S63" s="174">
        <f t="shared" si="138"/>
        <v>0</v>
      </c>
      <c r="T63" s="175" t="e">
        <f t="shared" ref="T63" si="203">S63/F63</f>
        <v>#DIV/0!</v>
      </c>
      <c r="U63" s="174"/>
      <c r="V63" s="175" t="e">
        <f t="shared" ref="V63" si="204">U63/F63</f>
        <v>#DIV/0!</v>
      </c>
      <c r="W63" s="174"/>
      <c r="X63" s="175" t="e">
        <f t="shared" si="141"/>
        <v>#DIV/0!</v>
      </c>
      <c r="Y63" s="174"/>
      <c r="Z63" s="175" t="e">
        <f t="shared" si="142"/>
        <v>#DIV/0!</v>
      </c>
      <c r="AA63" s="174"/>
      <c r="AB63" s="175" t="e">
        <f t="shared" si="143"/>
        <v>#DIV/0!</v>
      </c>
      <c r="AC63" s="174">
        <f t="shared" si="144"/>
        <v>0</v>
      </c>
      <c r="AD63" s="175" t="e">
        <f t="shared" si="145"/>
        <v>#DIV/0!</v>
      </c>
      <c r="AE63" s="174"/>
      <c r="AF63" s="175" t="e">
        <f t="shared" si="146"/>
        <v>#DIV/0!</v>
      </c>
      <c r="AG63" s="174"/>
      <c r="AH63" s="175" t="e">
        <f t="shared" si="147"/>
        <v>#DIV/0!</v>
      </c>
      <c r="AI63" s="174"/>
      <c r="AJ63" s="175" t="e">
        <f t="shared" si="148"/>
        <v>#DIV/0!</v>
      </c>
      <c r="AK63" s="174"/>
      <c r="AL63" s="175" t="e">
        <f t="shared" si="149"/>
        <v>#DIV/0!</v>
      </c>
      <c r="AN63" s="72"/>
    </row>
    <row r="64" spans="2:40" s="73" customFormat="1" ht="14.25" customHeight="1">
      <c r="B64" s="500"/>
      <c r="C64" s="497"/>
      <c r="D64" s="173">
        <v>46106</v>
      </c>
      <c r="E64" s="173" t="s">
        <v>112</v>
      </c>
      <c r="F64" s="337"/>
      <c r="G64" s="494"/>
      <c r="H64" s="491"/>
      <c r="I64" s="174"/>
      <c r="J64" s="175" t="e">
        <f t="shared" si="132"/>
        <v>#DIV/0!</v>
      </c>
      <c r="K64" s="174"/>
      <c r="L64" s="175" t="e">
        <f t="shared" si="133"/>
        <v>#DIV/0!</v>
      </c>
      <c r="M64" s="174">
        <f t="shared" si="134"/>
        <v>0</v>
      </c>
      <c r="N64" s="175" t="e">
        <f t="shared" ref="N64" si="205">M64/$F64</f>
        <v>#DIV/0!</v>
      </c>
      <c r="O64" s="174"/>
      <c r="P64" s="175" t="e">
        <f t="shared" si="136"/>
        <v>#DIV/0!</v>
      </c>
      <c r="Q64" s="174"/>
      <c r="R64" s="175" t="e">
        <f t="shared" si="137"/>
        <v>#DIV/0!</v>
      </c>
      <c r="S64" s="174">
        <f t="shared" si="138"/>
        <v>0</v>
      </c>
      <c r="T64" s="175" t="e">
        <f t="shared" ref="T64" si="206">S64/$F64</f>
        <v>#DIV/0!</v>
      </c>
      <c r="U64" s="174"/>
      <c r="V64" s="175" t="e">
        <f t="shared" ref="V64" si="207">U64/$F64</f>
        <v>#DIV/0!</v>
      </c>
      <c r="W64" s="174"/>
      <c r="X64" s="175" t="e">
        <f t="shared" si="141"/>
        <v>#DIV/0!</v>
      </c>
      <c r="Y64" s="174"/>
      <c r="Z64" s="175" t="e">
        <f t="shared" si="142"/>
        <v>#DIV/0!</v>
      </c>
      <c r="AA64" s="174"/>
      <c r="AB64" s="175" t="e">
        <f t="shared" si="143"/>
        <v>#DIV/0!</v>
      </c>
      <c r="AC64" s="174">
        <f t="shared" si="144"/>
        <v>0</v>
      </c>
      <c r="AD64" s="175" t="e">
        <f t="shared" si="145"/>
        <v>#DIV/0!</v>
      </c>
      <c r="AE64" s="174"/>
      <c r="AF64" s="175" t="e">
        <f t="shared" si="146"/>
        <v>#DIV/0!</v>
      </c>
      <c r="AG64" s="174"/>
      <c r="AH64" s="175" t="e">
        <f t="shared" si="147"/>
        <v>#DIV/0!</v>
      </c>
      <c r="AI64" s="174"/>
      <c r="AJ64" s="175" t="e">
        <f t="shared" si="148"/>
        <v>#DIV/0!</v>
      </c>
      <c r="AK64" s="174"/>
      <c r="AL64" s="175" t="e">
        <f t="shared" si="149"/>
        <v>#DIV/0!</v>
      </c>
      <c r="AN64" s="72"/>
    </row>
    <row r="65" spans="2:40" s="73" customFormat="1" ht="14.25" customHeight="1">
      <c r="B65" s="500"/>
      <c r="C65" s="497"/>
      <c r="D65" s="173">
        <v>46107</v>
      </c>
      <c r="E65" s="173" t="s">
        <v>113</v>
      </c>
      <c r="F65" s="337"/>
      <c r="G65" s="494"/>
      <c r="H65" s="491"/>
      <c r="I65" s="174"/>
      <c r="J65" s="175" t="e">
        <f t="shared" si="132"/>
        <v>#DIV/0!</v>
      </c>
      <c r="K65" s="174"/>
      <c r="L65" s="175" t="e">
        <f t="shared" si="133"/>
        <v>#DIV/0!</v>
      </c>
      <c r="M65" s="174">
        <f t="shared" si="134"/>
        <v>0</v>
      </c>
      <c r="N65" s="175" t="e">
        <f t="shared" ref="N65" si="208">M65/F65</f>
        <v>#DIV/0!</v>
      </c>
      <c r="O65" s="174"/>
      <c r="P65" s="175" t="e">
        <f t="shared" si="136"/>
        <v>#DIV/0!</v>
      </c>
      <c r="Q65" s="174"/>
      <c r="R65" s="175" t="e">
        <f t="shared" si="137"/>
        <v>#DIV/0!</v>
      </c>
      <c r="S65" s="174">
        <f t="shared" si="138"/>
        <v>0</v>
      </c>
      <c r="T65" s="175" t="e">
        <f t="shared" ref="T65" si="209">S65/F65</f>
        <v>#DIV/0!</v>
      </c>
      <c r="U65" s="174"/>
      <c r="V65" s="175" t="e">
        <f t="shared" ref="V65" si="210">U65/F65</f>
        <v>#DIV/0!</v>
      </c>
      <c r="W65" s="174"/>
      <c r="X65" s="175" t="e">
        <f t="shared" si="141"/>
        <v>#DIV/0!</v>
      </c>
      <c r="Y65" s="174"/>
      <c r="Z65" s="175" t="e">
        <f t="shared" si="142"/>
        <v>#DIV/0!</v>
      </c>
      <c r="AA65" s="174"/>
      <c r="AB65" s="175" t="e">
        <f t="shared" si="143"/>
        <v>#DIV/0!</v>
      </c>
      <c r="AC65" s="174">
        <f t="shared" si="144"/>
        <v>0</v>
      </c>
      <c r="AD65" s="175" t="e">
        <f t="shared" si="145"/>
        <v>#DIV/0!</v>
      </c>
      <c r="AE65" s="174"/>
      <c r="AF65" s="175" t="e">
        <f t="shared" si="146"/>
        <v>#DIV/0!</v>
      </c>
      <c r="AG65" s="174"/>
      <c r="AH65" s="175" t="e">
        <f t="shared" si="147"/>
        <v>#DIV/0!</v>
      </c>
      <c r="AI65" s="174"/>
      <c r="AJ65" s="175" t="e">
        <f t="shared" si="148"/>
        <v>#DIV/0!</v>
      </c>
      <c r="AK65" s="174"/>
      <c r="AL65" s="175" t="e">
        <f t="shared" si="149"/>
        <v>#DIV/0!</v>
      </c>
      <c r="AN65" s="72"/>
    </row>
    <row r="66" spans="2:40" s="73" customFormat="1" ht="14.25" customHeight="1">
      <c r="B66" s="500"/>
      <c r="C66" s="497"/>
      <c r="D66" s="173">
        <v>46108</v>
      </c>
      <c r="E66" s="173" t="s">
        <v>114</v>
      </c>
      <c r="F66" s="337"/>
      <c r="G66" s="494"/>
      <c r="H66" s="491"/>
      <c r="I66" s="174"/>
      <c r="J66" s="175" t="e">
        <f t="shared" si="132"/>
        <v>#DIV/0!</v>
      </c>
      <c r="K66" s="174"/>
      <c r="L66" s="175" t="e">
        <f t="shared" si="133"/>
        <v>#DIV/0!</v>
      </c>
      <c r="M66" s="174">
        <f t="shared" si="134"/>
        <v>0</v>
      </c>
      <c r="N66" s="175" t="e">
        <f t="shared" ref="N66:N67" si="211">M66/$F66</f>
        <v>#DIV/0!</v>
      </c>
      <c r="O66" s="174"/>
      <c r="P66" s="175" t="e">
        <f t="shared" si="136"/>
        <v>#DIV/0!</v>
      </c>
      <c r="Q66" s="174"/>
      <c r="R66" s="175" t="e">
        <f t="shared" si="137"/>
        <v>#DIV/0!</v>
      </c>
      <c r="S66" s="174">
        <f t="shared" si="138"/>
        <v>0</v>
      </c>
      <c r="T66" s="175" t="e">
        <f t="shared" ref="T66:T67" si="212">S66/$F66</f>
        <v>#DIV/0!</v>
      </c>
      <c r="U66" s="174"/>
      <c r="V66" s="175" t="e">
        <f t="shared" ref="V66:V67" si="213">U66/$F66</f>
        <v>#DIV/0!</v>
      </c>
      <c r="W66" s="174"/>
      <c r="X66" s="175" t="e">
        <f t="shared" si="141"/>
        <v>#DIV/0!</v>
      </c>
      <c r="Y66" s="174"/>
      <c r="Z66" s="175" t="e">
        <f t="shared" si="142"/>
        <v>#DIV/0!</v>
      </c>
      <c r="AA66" s="174"/>
      <c r="AB66" s="175" t="e">
        <f t="shared" si="143"/>
        <v>#DIV/0!</v>
      </c>
      <c r="AC66" s="174">
        <f t="shared" si="144"/>
        <v>0</v>
      </c>
      <c r="AD66" s="175" t="e">
        <f t="shared" si="145"/>
        <v>#DIV/0!</v>
      </c>
      <c r="AE66" s="174"/>
      <c r="AF66" s="175" t="e">
        <f t="shared" si="146"/>
        <v>#DIV/0!</v>
      </c>
      <c r="AG66" s="174"/>
      <c r="AH66" s="175" t="e">
        <f t="shared" si="147"/>
        <v>#DIV/0!</v>
      </c>
      <c r="AI66" s="174"/>
      <c r="AJ66" s="175" t="e">
        <f t="shared" si="148"/>
        <v>#DIV/0!</v>
      </c>
      <c r="AK66" s="174"/>
      <c r="AL66" s="175" t="e">
        <f t="shared" si="149"/>
        <v>#DIV/0!</v>
      </c>
      <c r="AN66" s="72"/>
    </row>
    <row r="67" spans="2:40" s="73" customFormat="1" ht="14.25" customHeight="1" collapsed="1">
      <c r="B67" s="500"/>
      <c r="C67" s="497"/>
      <c r="D67" s="173">
        <v>46109</v>
      </c>
      <c r="E67" s="173" t="s">
        <v>115</v>
      </c>
      <c r="F67" s="337"/>
      <c r="G67" s="494"/>
      <c r="H67" s="491"/>
      <c r="I67" s="174"/>
      <c r="J67" s="175" t="e">
        <f t="shared" si="132"/>
        <v>#DIV/0!</v>
      </c>
      <c r="K67" s="174"/>
      <c r="L67" s="175" t="e">
        <f t="shared" si="133"/>
        <v>#DIV/0!</v>
      </c>
      <c r="M67" s="174">
        <f t="shared" si="134"/>
        <v>0</v>
      </c>
      <c r="N67" s="175" t="e">
        <f t="shared" si="211"/>
        <v>#DIV/0!</v>
      </c>
      <c r="O67" s="174"/>
      <c r="P67" s="175" t="e">
        <f t="shared" si="136"/>
        <v>#DIV/0!</v>
      </c>
      <c r="Q67" s="174"/>
      <c r="R67" s="175" t="e">
        <f t="shared" si="137"/>
        <v>#DIV/0!</v>
      </c>
      <c r="S67" s="174">
        <f t="shared" si="138"/>
        <v>0</v>
      </c>
      <c r="T67" s="175" t="e">
        <f t="shared" si="212"/>
        <v>#DIV/0!</v>
      </c>
      <c r="U67" s="174"/>
      <c r="V67" s="175" t="e">
        <f t="shared" si="213"/>
        <v>#DIV/0!</v>
      </c>
      <c r="W67" s="174"/>
      <c r="X67" s="175" t="e">
        <f t="shared" si="141"/>
        <v>#DIV/0!</v>
      </c>
      <c r="Y67" s="174"/>
      <c r="Z67" s="175" t="e">
        <f t="shared" si="142"/>
        <v>#DIV/0!</v>
      </c>
      <c r="AA67" s="174"/>
      <c r="AB67" s="175" t="e">
        <f t="shared" si="143"/>
        <v>#DIV/0!</v>
      </c>
      <c r="AC67" s="174">
        <f t="shared" si="144"/>
        <v>0</v>
      </c>
      <c r="AD67" s="175" t="e">
        <f t="shared" si="145"/>
        <v>#DIV/0!</v>
      </c>
      <c r="AE67" s="174"/>
      <c r="AF67" s="175" t="e">
        <f t="shared" si="146"/>
        <v>#DIV/0!</v>
      </c>
      <c r="AG67" s="174"/>
      <c r="AH67" s="175" t="e">
        <f t="shared" si="147"/>
        <v>#DIV/0!</v>
      </c>
      <c r="AI67" s="174"/>
      <c r="AJ67" s="175" t="e">
        <f t="shared" si="148"/>
        <v>#DIV/0!</v>
      </c>
      <c r="AK67" s="174"/>
      <c r="AL67" s="175" t="e">
        <f t="shared" si="149"/>
        <v>#DIV/0!</v>
      </c>
      <c r="AN67" s="72"/>
    </row>
    <row r="68" spans="2:40" s="73" customFormat="1" ht="14.25" customHeight="1" collapsed="1">
      <c r="B68" s="500"/>
      <c r="C68" s="497"/>
      <c r="D68" s="173">
        <v>46110</v>
      </c>
      <c r="E68" s="173" t="s">
        <v>116</v>
      </c>
      <c r="F68" s="337"/>
      <c r="G68" s="494"/>
      <c r="H68" s="491"/>
      <c r="I68" s="174"/>
      <c r="J68" s="175" t="e">
        <f t="shared" si="132"/>
        <v>#DIV/0!</v>
      </c>
      <c r="K68" s="174"/>
      <c r="L68" s="175" t="e">
        <f t="shared" si="133"/>
        <v>#DIV/0!</v>
      </c>
      <c r="M68" s="174">
        <f t="shared" si="134"/>
        <v>0</v>
      </c>
      <c r="N68" s="175" t="e">
        <f t="shared" ref="N68" si="214">M68/F68</f>
        <v>#DIV/0!</v>
      </c>
      <c r="O68" s="174"/>
      <c r="P68" s="175" t="e">
        <f t="shared" si="136"/>
        <v>#DIV/0!</v>
      </c>
      <c r="Q68" s="174"/>
      <c r="R68" s="175" t="e">
        <f t="shared" si="137"/>
        <v>#DIV/0!</v>
      </c>
      <c r="S68" s="174">
        <f t="shared" si="138"/>
        <v>0</v>
      </c>
      <c r="T68" s="175" t="e">
        <f t="shared" ref="T68" si="215">S68/F68</f>
        <v>#DIV/0!</v>
      </c>
      <c r="U68" s="174"/>
      <c r="V68" s="175" t="e">
        <f t="shared" ref="V68" si="216">U68/F68</f>
        <v>#DIV/0!</v>
      </c>
      <c r="W68" s="174"/>
      <c r="X68" s="175" t="e">
        <f t="shared" si="141"/>
        <v>#DIV/0!</v>
      </c>
      <c r="Y68" s="174"/>
      <c r="Z68" s="175" t="e">
        <f t="shared" si="142"/>
        <v>#DIV/0!</v>
      </c>
      <c r="AA68" s="174"/>
      <c r="AB68" s="175" t="e">
        <f t="shared" si="143"/>
        <v>#DIV/0!</v>
      </c>
      <c r="AC68" s="174">
        <f t="shared" si="144"/>
        <v>0</v>
      </c>
      <c r="AD68" s="175" t="e">
        <f t="shared" si="145"/>
        <v>#DIV/0!</v>
      </c>
      <c r="AE68" s="174"/>
      <c r="AF68" s="175" t="e">
        <f t="shared" si="146"/>
        <v>#DIV/0!</v>
      </c>
      <c r="AG68" s="174"/>
      <c r="AH68" s="175" t="e">
        <f t="shared" si="147"/>
        <v>#DIV/0!</v>
      </c>
      <c r="AI68" s="174"/>
      <c r="AJ68" s="175" t="e">
        <f t="shared" si="148"/>
        <v>#DIV/0!</v>
      </c>
      <c r="AK68" s="174"/>
      <c r="AL68" s="175" t="e">
        <f t="shared" si="149"/>
        <v>#DIV/0!</v>
      </c>
      <c r="AN68" s="72"/>
    </row>
    <row r="69" spans="2:40" s="73" customFormat="1" ht="14.25" customHeight="1">
      <c r="B69" s="501"/>
      <c r="C69" s="498"/>
      <c r="D69" s="173">
        <v>46111</v>
      </c>
      <c r="E69" s="173" t="s">
        <v>117</v>
      </c>
      <c r="F69" s="337"/>
      <c r="G69" s="495"/>
      <c r="H69" s="492"/>
      <c r="I69" s="174"/>
      <c r="J69" s="175" t="e">
        <f t="shared" si="132"/>
        <v>#DIV/0!</v>
      </c>
      <c r="K69" s="174"/>
      <c r="L69" s="175" t="e">
        <f t="shared" si="133"/>
        <v>#DIV/0!</v>
      </c>
      <c r="M69" s="174">
        <f t="shared" si="134"/>
        <v>0</v>
      </c>
      <c r="N69" s="175" t="e">
        <f t="shared" ref="N69" si="217">M69/$F69</f>
        <v>#DIV/0!</v>
      </c>
      <c r="O69" s="174"/>
      <c r="P69" s="175" t="e">
        <f t="shared" si="136"/>
        <v>#DIV/0!</v>
      </c>
      <c r="Q69" s="174"/>
      <c r="R69" s="175" t="e">
        <f t="shared" si="137"/>
        <v>#DIV/0!</v>
      </c>
      <c r="S69" s="174">
        <f t="shared" si="138"/>
        <v>0</v>
      </c>
      <c r="T69" s="175" t="e">
        <f t="shared" ref="T69" si="218">S69/$F69</f>
        <v>#DIV/0!</v>
      </c>
      <c r="U69" s="174"/>
      <c r="V69" s="175" t="e">
        <f t="shared" ref="V69" si="219">U69/$F69</f>
        <v>#DIV/0!</v>
      </c>
      <c r="W69" s="174"/>
      <c r="X69" s="175" t="e">
        <f t="shared" si="141"/>
        <v>#DIV/0!</v>
      </c>
      <c r="Y69" s="174"/>
      <c r="Z69" s="175" t="e">
        <f t="shared" si="142"/>
        <v>#DIV/0!</v>
      </c>
      <c r="AA69" s="174"/>
      <c r="AB69" s="175" t="e">
        <f t="shared" si="143"/>
        <v>#DIV/0!</v>
      </c>
      <c r="AC69" s="174">
        <f t="shared" si="144"/>
        <v>0</v>
      </c>
      <c r="AD69" s="175" t="e">
        <f t="shared" si="145"/>
        <v>#DIV/0!</v>
      </c>
      <c r="AE69" s="174"/>
      <c r="AF69" s="175" t="e">
        <f t="shared" si="146"/>
        <v>#DIV/0!</v>
      </c>
      <c r="AG69" s="174"/>
      <c r="AH69" s="175" t="e">
        <f t="shared" si="147"/>
        <v>#DIV/0!</v>
      </c>
      <c r="AI69" s="174"/>
      <c r="AJ69" s="175" t="e">
        <f t="shared" si="148"/>
        <v>#DIV/0!</v>
      </c>
      <c r="AK69" s="174"/>
      <c r="AL69" s="175" t="e">
        <f t="shared" si="149"/>
        <v>#DIV/0!</v>
      </c>
      <c r="AN69" s="72"/>
    </row>
  </sheetData>
  <mergeCells count="57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7:C11"/>
    <mergeCell ref="C12:C39"/>
    <mergeCell ref="C40:C69"/>
    <mergeCell ref="B49:B55"/>
    <mergeCell ref="B56:B62"/>
    <mergeCell ref="B63:B69"/>
    <mergeCell ref="B28:B34"/>
    <mergeCell ref="B35:B41"/>
    <mergeCell ref="B42:B48"/>
    <mergeCell ref="B7:B13"/>
    <mergeCell ref="B14:B20"/>
    <mergeCell ref="B21:B27"/>
    <mergeCell ref="G7:G13"/>
    <mergeCell ref="H7:H11"/>
    <mergeCell ref="H12:H39"/>
    <mergeCell ref="H40:H69"/>
    <mergeCell ref="G49:G55"/>
    <mergeCell ref="G56:G62"/>
    <mergeCell ref="G63:G69"/>
    <mergeCell ref="G14:G20"/>
    <mergeCell ref="G21:G27"/>
    <mergeCell ref="G28:G34"/>
    <mergeCell ref="G35:G41"/>
    <mergeCell ref="G42:G48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70"/>
  <sheetViews>
    <sheetView zoomScale="85" zoomScaleNormal="85" workbookViewId="0">
      <selection activeCell="G14" sqref="G14:G20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0" t="s">
        <v>330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38" ht="25.35" customHeight="1">
      <c r="B3" s="504" t="s">
        <v>430</v>
      </c>
      <c r="C3" s="505" t="s">
        <v>431</v>
      </c>
      <c r="D3" s="506" t="s">
        <v>105</v>
      </c>
      <c r="E3" s="506"/>
      <c r="F3" s="521" t="s">
        <v>155</v>
      </c>
      <c r="G3" s="521"/>
      <c r="H3" s="521"/>
      <c r="I3" s="519" t="s">
        <v>328</v>
      </c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D3" s="519"/>
      <c r="AE3" s="519"/>
      <c r="AF3" s="519"/>
      <c r="AG3" s="519"/>
      <c r="AH3" s="519"/>
      <c r="AI3" s="519"/>
      <c r="AJ3" s="519"/>
      <c r="AK3" s="519"/>
      <c r="AL3" s="519"/>
    </row>
    <row r="4" spans="1:38" ht="25.35" customHeight="1">
      <c r="B4" s="504"/>
      <c r="C4" s="505"/>
      <c r="D4" s="506"/>
      <c r="E4" s="506"/>
      <c r="F4" s="521"/>
      <c r="G4" s="521"/>
      <c r="H4" s="521"/>
      <c r="I4" s="515" t="s">
        <v>432</v>
      </c>
      <c r="J4" s="515"/>
      <c r="K4" s="515"/>
      <c r="L4" s="515"/>
      <c r="M4" s="515"/>
      <c r="N4" s="515"/>
      <c r="O4" s="515" t="s">
        <v>433</v>
      </c>
      <c r="P4" s="515"/>
      <c r="Q4" s="515"/>
      <c r="R4" s="515"/>
      <c r="S4" s="515"/>
      <c r="T4" s="515"/>
      <c r="U4" s="515" t="s">
        <v>434</v>
      </c>
      <c r="V4" s="515"/>
      <c r="W4" s="515" t="s">
        <v>435</v>
      </c>
      <c r="X4" s="515"/>
      <c r="Y4" s="515" t="s">
        <v>140</v>
      </c>
      <c r="Z4" s="515"/>
      <c r="AA4" s="515"/>
      <c r="AB4" s="515"/>
      <c r="AC4" s="515"/>
      <c r="AD4" s="515"/>
      <c r="AE4" s="515" t="s">
        <v>138</v>
      </c>
      <c r="AF4" s="515"/>
      <c r="AG4" s="515" t="s">
        <v>436</v>
      </c>
      <c r="AH4" s="515"/>
      <c r="AI4" s="515" t="s">
        <v>437</v>
      </c>
      <c r="AJ4" s="515"/>
      <c r="AK4" s="515" t="s">
        <v>144</v>
      </c>
      <c r="AL4" s="515"/>
    </row>
    <row r="5" spans="1:38" ht="25.35" customHeight="1">
      <c r="B5" s="504"/>
      <c r="C5" s="505"/>
      <c r="D5" s="506"/>
      <c r="E5" s="506"/>
      <c r="F5" s="518" t="s">
        <v>116</v>
      </c>
      <c r="G5" s="518" t="s">
        <v>120</v>
      </c>
      <c r="H5" s="518" t="s">
        <v>121</v>
      </c>
      <c r="I5" s="515" t="s">
        <v>134</v>
      </c>
      <c r="J5" s="515"/>
      <c r="K5" s="515" t="s">
        <v>135</v>
      </c>
      <c r="L5" s="515"/>
      <c r="M5" s="515" t="s">
        <v>153</v>
      </c>
      <c r="N5" s="515"/>
      <c r="O5" s="515" t="s">
        <v>134</v>
      </c>
      <c r="P5" s="515"/>
      <c r="Q5" s="515" t="s">
        <v>135</v>
      </c>
      <c r="R5" s="515"/>
      <c r="S5" s="515" t="s">
        <v>153</v>
      </c>
      <c r="T5" s="515"/>
      <c r="U5" s="515" t="s">
        <v>134</v>
      </c>
      <c r="V5" s="515"/>
      <c r="W5" s="515" t="s">
        <v>134</v>
      </c>
      <c r="X5" s="515"/>
      <c r="Y5" s="515" t="s">
        <v>134</v>
      </c>
      <c r="Z5" s="515"/>
      <c r="AA5" s="515" t="s">
        <v>135</v>
      </c>
      <c r="AB5" s="515"/>
      <c r="AC5" s="515" t="s">
        <v>153</v>
      </c>
      <c r="AD5" s="515"/>
      <c r="AE5" s="515" t="s">
        <v>134</v>
      </c>
      <c r="AF5" s="515"/>
      <c r="AG5" s="515" t="s">
        <v>134</v>
      </c>
      <c r="AH5" s="515"/>
      <c r="AI5" s="515" t="s">
        <v>134</v>
      </c>
      <c r="AJ5" s="515"/>
      <c r="AK5" s="515" t="s">
        <v>134</v>
      </c>
      <c r="AL5" s="515"/>
    </row>
    <row r="6" spans="1:38" s="77" customFormat="1" ht="23.45" customHeight="1">
      <c r="B6" s="504"/>
      <c r="C6" s="517"/>
      <c r="D6" s="507"/>
      <c r="E6" s="507"/>
      <c r="F6" s="520"/>
      <c r="G6" s="518"/>
      <c r="H6" s="518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13">
        <f t="shared" ref="B7" si="0">D15</f>
        <v>46057</v>
      </c>
      <c r="C7" s="481"/>
      <c r="D7" s="173">
        <v>46049</v>
      </c>
      <c r="E7" s="173" t="s">
        <v>118</v>
      </c>
      <c r="F7" s="338">
        <f t="shared" ref="F7:F20" si="1">SUM(M7,S7,U7,W7,AC7,AE7,AG7,AI7,AK7)</f>
        <v>158031</v>
      </c>
      <c r="G7" s="516">
        <f t="shared" ref="G7" si="2">SUM(F7:F13)</f>
        <v>1022206</v>
      </c>
      <c r="H7" s="522"/>
      <c r="I7" s="321">
        <v>42547</v>
      </c>
      <c r="J7" s="241">
        <f t="shared" ref="J7:J20" si="3">I7/$F7</f>
        <v>0.26923198612930377</v>
      </c>
      <c r="K7" s="321">
        <v>50369</v>
      </c>
      <c r="L7" s="241">
        <f t="shared" ref="L7:L20" si="4">K7/$F7</f>
        <v>0.31872860388151691</v>
      </c>
      <c r="M7" s="321">
        <f t="shared" ref="M7:M20" si="5">I7+K7</f>
        <v>92916</v>
      </c>
      <c r="N7" s="241">
        <f t="shared" ref="N7:N20" si="6">M7/$F7</f>
        <v>0.58796059001082068</v>
      </c>
      <c r="O7" s="321">
        <v>7410</v>
      </c>
      <c r="P7" s="241">
        <f t="shared" ref="P7:P20" si="7">O7/$F7</f>
        <v>4.6889534331871596E-2</v>
      </c>
      <c r="Q7" s="321">
        <v>4888</v>
      </c>
      <c r="R7" s="241">
        <f t="shared" ref="R7:R20" si="8">Q7/$F7</f>
        <v>3.0930640190848631E-2</v>
      </c>
      <c r="S7" s="321">
        <f t="shared" ref="S7:S20" si="9">O7+Q7</f>
        <v>12298</v>
      </c>
      <c r="T7" s="241">
        <f t="shared" ref="T7:T20" si="10">S7/$F7</f>
        <v>7.782017452272022E-2</v>
      </c>
      <c r="U7" s="321">
        <v>3795</v>
      </c>
      <c r="V7" s="241">
        <f t="shared" ref="V7:V20" si="11">U7/$F7</f>
        <v>2.4014275680088085E-2</v>
      </c>
      <c r="W7" s="321">
        <v>1212</v>
      </c>
      <c r="X7" s="241">
        <f t="shared" ref="X7:X20" si="12">W7/$F7</f>
        <v>7.6693813239174591E-3</v>
      </c>
      <c r="Y7" s="321">
        <v>3518</v>
      </c>
      <c r="Z7" s="241">
        <f t="shared" ref="Z7:Z20" si="13">Y7/$F7</f>
        <v>2.2261455030974934E-2</v>
      </c>
      <c r="AA7" s="321">
        <v>10270</v>
      </c>
      <c r="AB7" s="241">
        <f t="shared" ref="AB7:AB20" si="14">AA7/$F7</f>
        <v>6.498724933715537E-2</v>
      </c>
      <c r="AC7" s="321">
        <f t="shared" ref="AC7:AC20" si="15">Y7+AA7</f>
        <v>13788</v>
      </c>
      <c r="AD7" s="241">
        <f t="shared" ref="AD7:AD20" si="16">AC7/$F7</f>
        <v>8.72487043681303E-2</v>
      </c>
      <c r="AE7" s="321">
        <v>23127</v>
      </c>
      <c r="AF7" s="241">
        <f t="shared" ref="AF7:AF20" si="17">AE7/$F7</f>
        <v>0.14634470451999923</v>
      </c>
      <c r="AG7" s="321">
        <v>1548</v>
      </c>
      <c r="AH7" s="241">
        <f t="shared" ref="AH7:AH20" si="18">AG7/$F7</f>
        <v>9.7955464434193295E-3</v>
      </c>
      <c r="AI7" s="321">
        <v>4390</v>
      </c>
      <c r="AJ7" s="241">
        <f t="shared" ref="AJ7:AJ20" si="19">AI7/$F7</f>
        <v>2.7779359745872645E-2</v>
      </c>
      <c r="AK7" s="321">
        <v>4957</v>
      </c>
      <c r="AL7" s="241">
        <f t="shared" ref="AL7:AL20" si="20">AK7/$F7</f>
        <v>3.1367263385032047E-2</v>
      </c>
    </row>
    <row r="8" spans="1:38" s="73" customFormat="1" ht="14.25" customHeight="1">
      <c r="B8" s="514"/>
      <c r="C8" s="481"/>
      <c r="D8" s="173">
        <v>46050</v>
      </c>
      <c r="E8" s="173" t="s">
        <v>112</v>
      </c>
      <c r="F8" s="338">
        <f t="shared" si="1"/>
        <v>153374</v>
      </c>
      <c r="G8" s="516"/>
      <c r="H8" s="523"/>
      <c r="I8" s="321">
        <v>41368</v>
      </c>
      <c r="J8" s="241">
        <f t="shared" si="3"/>
        <v>0.26971976997405034</v>
      </c>
      <c r="K8" s="321">
        <v>47746</v>
      </c>
      <c r="L8" s="241">
        <f t="shared" si="4"/>
        <v>0.31130439318267766</v>
      </c>
      <c r="M8" s="321">
        <f t="shared" si="5"/>
        <v>89114</v>
      </c>
      <c r="N8" s="241">
        <f t="shared" si="6"/>
        <v>0.581024163156728</v>
      </c>
      <c r="O8" s="321">
        <v>7989</v>
      </c>
      <c r="P8" s="241">
        <f t="shared" si="7"/>
        <v>5.2088359174305945E-2</v>
      </c>
      <c r="Q8" s="321">
        <v>5084</v>
      </c>
      <c r="R8" s="241">
        <f t="shared" si="8"/>
        <v>3.3147730384550184E-2</v>
      </c>
      <c r="S8" s="321">
        <f t="shared" si="9"/>
        <v>13073</v>
      </c>
      <c r="T8" s="241">
        <f t="shared" si="10"/>
        <v>8.5236089558856129E-2</v>
      </c>
      <c r="U8" s="321">
        <v>3598</v>
      </c>
      <c r="V8" s="241">
        <f t="shared" si="11"/>
        <v>2.3458995657673398E-2</v>
      </c>
      <c r="W8" s="321">
        <v>1272</v>
      </c>
      <c r="X8" s="241">
        <f t="shared" si="12"/>
        <v>8.2934526060479616E-3</v>
      </c>
      <c r="Y8" s="321">
        <v>3357</v>
      </c>
      <c r="Z8" s="241">
        <f t="shared" si="13"/>
        <v>2.1887673269263368E-2</v>
      </c>
      <c r="AA8" s="321">
        <v>9878</v>
      </c>
      <c r="AB8" s="241">
        <f t="shared" si="14"/>
        <v>6.440465789508E-2</v>
      </c>
      <c r="AC8" s="321">
        <f t="shared" si="15"/>
        <v>13235</v>
      </c>
      <c r="AD8" s="241">
        <f t="shared" si="16"/>
        <v>8.6292331164343372E-2</v>
      </c>
      <c r="AE8" s="321">
        <v>21749</v>
      </c>
      <c r="AF8" s="241">
        <f t="shared" si="17"/>
        <v>0.14180369554161723</v>
      </c>
      <c r="AG8" s="321">
        <v>1588</v>
      </c>
      <c r="AH8" s="241">
        <f t="shared" si="18"/>
        <v>1.0353775737739121E-2</v>
      </c>
      <c r="AI8" s="321">
        <v>4416</v>
      </c>
      <c r="AJ8" s="241">
        <f t="shared" si="19"/>
        <v>2.8792363764392922E-2</v>
      </c>
      <c r="AK8" s="321">
        <v>5329</v>
      </c>
      <c r="AL8" s="241">
        <f t="shared" si="20"/>
        <v>3.4745132812601873E-2</v>
      </c>
    </row>
    <row r="9" spans="1:38" s="73" customFormat="1" ht="14.25" customHeight="1">
      <c r="B9" s="514"/>
      <c r="C9" s="481"/>
      <c r="D9" s="173">
        <v>46051</v>
      </c>
      <c r="E9" s="173" t="s">
        <v>113</v>
      </c>
      <c r="F9" s="338">
        <f t="shared" si="1"/>
        <v>141591</v>
      </c>
      <c r="G9" s="516"/>
      <c r="H9" s="523"/>
      <c r="I9" s="321">
        <v>38709</v>
      </c>
      <c r="J9" s="241">
        <f t="shared" si="3"/>
        <v>0.27338602029790027</v>
      </c>
      <c r="K9" s="321">
        <v>42389</v>
      </c>
      <c r="L9" s="241">
        <f t="shared" si="4"/>
        <v>0.29937637279205598</v>
      </c>
      <c r="M9" s="321">
        <f t="shared" si="5"/>
        <v>81098</v>
      </c>
      <c r="N9" s="241">
        <f t="shared" si="6"/>
        <v>0.57276239308995625</v>
      </c>
      <c r="O9" s="321">
        <v>7671</v>
      </c>
      <c r="P9" s="241">
        <f t="shared" si="7"/>
        <v>5.4177172277899019E-2</v>
      </c>
      <c r="Q9" s="321">
        <v>5232</v>
      </c>
      <c r="R9" s="241">
        <f t="shared" si="8"/>
        <v>3.695150115473441E-2</v>
      </c>
      <c r="S9" s="321">
        <f t="shared" si="9"/>
        <v>12903</v>
      </c>
      <c r="T9" s="241">
        <f t="shared" si="10"/>
        <v>9.1128673432633436E-2</v>
      </c>
      <c r="U9" s="321">
        <v>3548</v>
      </c>
      <c r="V9" s="241">
        <f t="shared" si="11"/>
        <v>2.5058089850343596E-2</v>
      </c>
      <c r="W9" s="321">
        <v>1227</v>
      </c>
      <c r="X9" s="241">
        <f t="shared" si="12"/>
        <v>8.6658050299807197E-3</v>
      </c>
      <c r="Y9" s="321">
        <v>3164</v>
      </c>
      <c r="Z9" s="241">
        <f t="shared" si="13"/>
        <v>2.2346053068344741E-2</v>
      </c>
      <c r="AA9" s="321">
        <v>8144</v>
      </c>
      <c r="AB9" s="241">
        <f t="shared" si="14"/>
        <v>5.7517780084892403E-2</v>
      </c>
      <c r="AC9" s="321">
        <f t="shared" si="15"/>
        <v>11308</v>
      </c>
      <c r="AD9" s="241">
        <f t="shared" si="16"/>
        <v>7.986383315323714E-2</v>
      </c>
      <c r="AE9" s="321">
        <v>20259</v>
      </c>
      <c r="AF9" s="241">
        <f t="shared" si="17"/>
        <v>0.14308112803779902</v>
      </c>
      <c r="AG9" s="321">
        <v>1634</v>
      </c>
      <c r="AH9" s="241">
        <f t="shared" si="18"/>
        <v>1.1540281515068048E-2</v>
      </c>
      <c r="AI9" s="321">
        <v>4463</v>
      </c>
      <c r="AJ9" s="241">
        <f t="shared" si="19"/>
        <v>3.1520364994950242E-2</v>
      </c>
      <c r="AK9" s="321">
        <v>5151</v>
      </c>
      <c r="AL9" s="241">
        <f t="shared" si="20"/>
        <v>3.6379430896031524E-2</v>
      </c>
    </row>
    <row r="10" spans="1:38" s="73" customFormat="1" ht="14.25" customHeight="1">
      <c r="B10" s="514"/>
      <c r="C10" s="481"/>
      <c r="D10" s="173">
        <v>46052</v>
      </c>
      <c r="E10" s="173" t="s">
        <v>114</v>
      </c>
      <c r="F10" s="338">
        <f t="shared" si="1"/>
        <v>121636</v>
      </c>
      <c r="G10" s="516"/>
      <c r="H10" s="523"/>
      <c r="I10" s="321">
        <v>30481</v>
      </c>
      <c r="J10" s="241">
        <f t="shared" si="3"/>
        <v>0.25059193002071756</v>
      </c>
      <c r="K10" s="321">
        <v>40864</v>
      </c>
      <c r="L10" s="241">
        <f t="shared" si="4"/>
        <v>0.33595317175836104</v>
      </c>
      <c r="M10" s="321">
        <f t="shared" si="5"/>
        <v>71345</v>
      </c>
      <c r="N10" s="241">
        <f t="shared" si="6"/>
        <v>0.58654510177907859</v>
      </c>
      <c r="O10" s="321">
        <v>5445</v>
      </c>
      <c r="P10" s="241">
        <f t="shared" si="7"/>
        <v>4.4764707816764775E-2</v>
      </c>
      <c r="Q10" s="321">
        <v>4164</v>
      </c>
      <c r="R10" s="241">
        <f t="shared" si="8"/>
        <v>3.4233286198165014E-2</v>
      </c>
      <c r="S10" s="321">
        <f t="shared" si="9"/>
        <v>9609</v>
      </c>
      <c r="T10" s="241">
        <f t="shared" si="10"/>
        <v>7.8997994014929795E-2</v>
      </c>
      <c r="U10" s="321">
        <v>2795</v>
      </c>
      <c r="V10" s="241">
        <f t="shared" si="11"/>
        <v>2.297839455424381E-2</v>
      </c>
      <c r="W10" s="321">
        <v>957</v>
      </c>
      <c r="X10" s="241">
        <f t="shared" si="12"/>
        <v>7.8677365253707783E-3</v>
      </c>
      <c r="Y10" s="321">
        <v>3066</v>
      </c>
      <c r="Z10" s="241">
        <f t="shared" si="13"/>
        <v>2.5206353382222369E-2</v>
      </c>
      <c r="AA10" s="321">
        <v>8457</v>
      </c>
      <c r="AB10" s="241">
        <f t="shared" si="14"/>
        <v>6.9527113683448979E-2</v>
      </c>
      <c r="AC10" s="321">
        <f t="shared" si="15"/>
        <v>11523</v>
      </c>
      <c r="AD10" s="241">
        <f t="shared" si="16"/>
        <v>9.4733467065671345E-2</v>
      </c>
      <c r="AE10" s="321">
        <v>15962</v>
      </c>
      <c r="AF10" s="241">
        <f t="shared" si="17"/>
        <v>0.13122759709296589</v>
      </c>
      <c r="AG10" s="321">
        <v>1266</v>
      </c>
      <c r="AH10" s="241">
        <f t="shared" si="18"/>
        <v>1.04081028642836E-2</v>
      </c>
      <c r="AI10" s="321">
        <v>3714</v>
      </c>
      <c r="AJ10" s="241">
        <f t="shared" si="19"/>
        <v>3.0533723568680324E-2</v>
      </c>
      <c r="AK10" s="321">
        <v>4465</v>
      </c>
      <c r="AL10" s="241">
        <f t="shared" si="20"/>
        <v>3.6707882534775887E-2</v>
      </c>
    </row>
    <row r="11" spans="1:38" s="73" customFormat="1" ht="14.25" customHeight="1">
      <c r="B11" s="514"/>
      <c r="C11" s="481"/>
      <c r="D11" s="173">
        <v>46053</v>
      </c>
      <c r="E11" s="173" t="s">
        <v>115</v>
      </c>
      <c r="F11" s="338">
        <f t="shared" si="1"/>
        <v>129053</v>
      </c>
      <c r="G11" s="516"/>
      <c r="H11" s="524"/>
      <c r="I11" s="321">
        <v>28921</v>
      </c>
      <c r="J11" s="241">
        <f t="shared" si="3"/>
        <v>0.22410172564760214</v>
      </c>
      <c r="K11" s="321">
        <v>46125</v>
      </c>
      <c r="L11" s="241">
        <f t="shared" si="4"/>
        <v>0.35741129613414646</v>
      </c>
      <c r="M11" s="321">
        <f t="shared" si="5"/>
        <v>75046</v>
      </c>
      <c r="N11" s="241">
        <f t="shared" si="6"/>
        <v>0.58151302178174857</v>
      </c>
      <c r="O11" s="321">
        <v>5099</v>
      </c>
      <c r="P11" s="241">
        <f t="shared" si="7"/>
        <v>3.9510898623046346E-2</v>
      </c>
      <c r="Q11" s="321">
        <v>3970</v>
      </c>
      <c r="R11" s="241">
        <f t="shared" si="8"/>
        <v>3.0762554919296723E-2</v>
      </c>
      <c r="S11" s="321">
        <f t="shared" si="9"/>
        <v>9069</v>
      </c>
      <c r="T11" s="241">
        <f t="shared" si="10"/>
        <v>7.0273453542343073E-2</v>
      </c>
      <c r="U11" s="321">
        <v>3096</v>
      </c>
      <c r="V11" s="241">
        <f t="shared" si="11"/>
        <v>2.3990143584418804E-2</v>
      </c>
      <c r="W11" s="321">
        <v>982</v>
      </c>
      <c r="X11" s="241">
        <f t="shared" si="12"/>
        <v>7.6092768087529933E-3</v>
      </c>
      <c r="Y11" s="321">
        <v>3413</v>
      </c>
      <c r="Z11" s="241">
        <f t="shared" si="13"/>
        <v>2.6446498725329903E-2</v>
      </c>
      <c r="AA11" s="321">
        <v>9550</v>
      </c>
      <c r="AB11" s="241">
        <f t="shared" si="14"/>
        <v>7.4000604402842243E-2</v>
      </c>
      <c r="AC11" s="321">
        <f t="shared" si="15"/>
        <v>12963</v>
      </c>
      <c r="AD11" s="241">
        <f t="shared" si="16"/>
        <v>0.10044710312817215</v>
      </c>
      <c r="AE11" s="321">
        <v>17425</v>
      </c>
      <c r="AF11" s="241">
        <f t="shared" si="17"/>
        <v>0.13502204520623309</v>
      </c>
      <c r="AG11" s="321">
        <v>1519</v>
      </c>
      <c r="AH11" s="241">
        <f t="shared" si="18"/>
        <v>1.177035791496517E-2</v>
      </c>
      <c r="AI11" s="321">
        <v>3976</v>
      </c>
      <c r="AJ11" s="241">
        <f t="shared" si="19"/>
        <v>3.0809047445623117E-2</v>
      </c>
      <c r="AK11" s="321">
        <v>4977</v>
      </c>
      <c r="AL11" s="241">
        <f t="shared" si="20"/>
        <v>3.8565550587743018E-2</v>
      </c>
    </row>
    <row r="12" spans="1:38" s="73" customFormat="1" ht="14.25" customHeight="1">
      <c r="B12" s="514"/>
      <c r="C12" s="496" t="s">
        <v>118</v>
      </c>
      <c r="D12" s="173">
        <v>46054</v>
      </c>
      <c r="E12" s="173" t="s">
        <v>116</v>
      </c>
      <c r="F12" s="338">
        <f t="shared" si="1"/>
        <v>162127</v>
      </c>
      <c r="G12" s="516"/>
      <c r="H12" s="522">
        <f>SUM(F12:F39)</f>
        <v>1326773</v>
      </c>
      <c r="I12" s="321">
        <v>41113</v>
      </c>
      <c r="J12" s="241">
        <f t="shared" si="3"/>
        <v>0.25358515238054119</v>
      </c>
      <c r="K12" s="321">
        <v>51186</v>
      </c>
      <c r="L12" s="241">
        <f t="shared" si="4"/>
        <v>0.31571545763506387</v>
      </c>
      <c r="M12" s="321">
        <f t="shared" si="5"/>
        <v>92299</v>
      </c>
      <c r="N12" s="241">
        <f t="shared" si="6"/>
        <v>0.56930061001560506</v>
      </c>
      <c r="O12" s="321">
        <v>8035</v>
      </c>
      <c r="P12" s="241">
        <f t="shared" si="7"/>
        <v>4.9559912907782173E-2</v>
      </c>
      <c r="Q12" s="321">
        <v>4908</v>
      </c>
      <c r="R12" s="241">
        <f t="shared" si="8"/>
        <v>3.0272564100982564E-2</v>
      </c>
      <c r="S12" s="321">
        <f t="shared" si="9"/>
        <v>12943</v>
      </c>
      <c r="T12" s="241">
        <f t="shared" si="10"/>
        <v>7.9832477008764738E-2</v>
      </c>
      <c r="U12" s="321">
        <v>3922</v>
      </c>
      <c r="V12" s="241">
        <f t="shared" si="11"/>
        <v>2.4190912062765611E-2</v>
      </c>
      <c r="W12" s="321">
        <v>1286</v>
      </c>
      <c r="X12" s="241">
        <f t="shared" si="12"/>
        <v>7.9320532668833692E-3</v>
      </c>
      <c r="Y12" s="321">
        <v>3751</v>
      </c>
      <c r="Z12" s="241">
        <f t="shared" si="13"/>
        <v>2.3136183362425754E-2</v>
      </c>
      <c r="AA12" s="321">
        <v>11082</v>
      </c>
      <c r="AB12" s="241">
        <f t="shared" si="14"/>
        <v>6.8353821386937408E-2</v>
      </c>
      <c r="AC12" s="321">
        <f t="shared" si="15"/>
        <v>14833</v>
      </c>
      <c r="AD12" s="241">
        <f t="shared" si="16"/>
        <v>9.1490004749363155E-2</v>
      </c>
      <c r="AE12" s="321">
        <v>27031</v>
      </c>
      <c r="AF12" s="241">
        <f t="shared" si="17"/>
        <v>0.16672731870693963</v>
      </c>
      <c r="AG12" s="321">
        <v>1494</v>
      </c>
      <c r="AH12" s="241">
        <f t="shared" si="18"/>
        <v>9.2149981187587514E-3</v>
      </c>
      <c r="AI12" s="321">
        <v>3681</v>
      </c>
      <c r="AJ12" s="241">
        <f t="shared" si="19"/>
        <v>2.2704423075736922E-2</v>
      </c>
      <c r="AK12" s="321">
        <v>4638</v>
      </c>
      <c r="AL12" s="241">
        <f t="shared" si="20"/>
        <v>2.8607202995182789E-2</v>
      </c>
    </row>
    <row r="13" spans="1:38" s="73" customFormat="1" ht="14.25" customHeight="1">
      <c r="B13" s="514"/>
      <c r="C13" s="497"/>
      <c r="D13" s="173">
        <v>46055</v>
      </c>
      <c r="E13" s="173" t="s">
        <v>117</v>
      </c>
      <c r="F13" s="338">
        <f t="shared" si="1"/>
        <v>156394</v>
      </c>
      <c r="G13" s="516"/>
      <c r="H13" s="523"/>
      <c r="I13" s="321">
        <v>39864</v>
      </c>
      <c r="J13" s="241">
        <f t="shared" si="3"/>
        <v>0.2548946890545673</v>
      </c>
      <c r="K13" s="321">
        <v>50072</v>
      </c>
      <c r="L13" s="241">
        <f t="shared" si="4"/>
        <v>0.32016573525838588</v>
      </c>
      <c r="M13" s="321">
        <f t="shared" si="5"/>
        <v>89936</v>
      </c>
      <c r="N13" s="241">
        <f t="shared" si="6"/>
        <v>0.57506042431295323</v>
      </c>
      <c r="O13" s="321">
        <v>7588</v>
      </c>
      <c r="P13" s="241">
        <f t="shared" si="7"/>
        <v>4.8518485363888642E-2</v>
      </c>
      <c r="Q13" s="321">
        <v>4924</v>
      </c>
      <c r="R13" s="241">
        <f t="shared" si="8"/>
        <v>3.1484583807562951E-2</v>
      </c>
      <c r="S13" s="321">
        <f t="shared" si="9"/>
        <v>12512</v>
      </c>
      <c r="T13" s="241">
        <f t="shared" si="10"/>
        <v>8.0003069171451585E-2</v>
      </c>
      <c r="U13" s="321">
        <v>3549</v>
      </c>
      <c r="V13" s="241">
        <f t="shared" si="11"/>
        <v>2.269268642019515E-2</v>
      </c>
      <c r="W13" s="321">
        <v>1237</v>
      </c>
      <c r="X13" s="241">
        <f t="shared" si="12"/>
        <v>7.9095105950356143E-3</v>
      </c>
      <c r="Y13" s="321">
        <v>3737</v>
      </c>
      <c r="Z13" s="241">
        <f t="shared" si="13"/>
        <v>2.3894778572067982E-2</v>
      </c>
      <c r="AA13" s="321">
        <v>10391</v>
      </c>
      <c r="AB13" s="241">
        <f t="shared" si="14"/>
        <v>6.6441167819737329E-2</v>
      </c>
      <c r="AC13" s="321">
        <f t="shared" si="15"/>
        <v>14128</v>
      </c>
      <c r="AD13" s="241">
        <f t="shared" si="16"/>
        <v>9.0335946391805311E-2</v>
      </c>
      <c r="AE13" s="321">
        <v>23849</v>
      </c>
      <c r="AF13" s="241">
        <f t="shared" si="17"/>
        <v>0.15249306239369798</v>
      </c>
      <c r="AG13" s="321">
        <v>1679</v>
      </c>
      <c r="AH13" s="241">
        <f t="shared" si="18"/>
        <v>1.0735705973374938E-2</v>
      </c>
      <c r="AI13" s="321">
        <v>4262</v>
      </c>
      <c r="AJ13" s="241">
        <f t="shared" si="19"/>
        <v>2.725168484724478E-2</v>
      </c>
      <c r="AK13" s="321">
        <v>5242</v>
      </c>
      <c r="AL13" s="241">
        <f t="shared" si="20"/>
        <v>3.3517909894241464E-2</v>
      </c>
    </row>
    <row r="14" spans="1:38" s="73" customFormat="1" ht="14.25" customHeight="1">
      <c r="B14" s="513">
        <f t="shared" ref="B14" si="21">D22</f>
        <v>46064</v>
      </c>
      <c r="C14" s="497"/>
      <c r="D14" s="173">
        <v>46056</v>
      </c>
      <c r="E14" s="173" t="s">
        <v>118</v>
      </c>
      <c r="F14" s="338">
        <f t="shared" si="1"/>
        <v>156238</v>
      </c>
      <c r="G14" s="516">
        <f t="shared" ref="G14" si="22">SUM(F14:F20)</f>
        <v>1008252</v>
      </c>
      <c r="H14" s="523"/>
      <c r="I14" s="321">
        <v>40290</v>
      </c>
      <c r="J14" s="241">
        <f t="shared" si="3"/>
        <v>0.25787580486181338</v>
      </c>
      <c r="K14" s="321">
        <v>50139</v>
      </c>
      <c r="L14" s="241">
        <f t="shared" si="4"/>
        <v>0.32091424621410924</v>
      </c>
      <c r="M14" s="321">
        <f t="shared" si="5"/>
        <v>90429</v>
      </c>
      <c r="N14" s="241">
        <f t="shared" si="6"/>
        <v>0.57879005107592263</v>
      </c>
      <c r="O14" s="321">
        <v>7848</v>
      </c>
      <c r="P14" s="241">
        <f t="shared" si="7"/>
        <v>5.0231057745234835E-2</v>
      </c>
      <c r="Q14" s="321">
        <v>5201</v>
      </c>
      <c r="R14" s="241">
        <f t="shared" si="8"/>
        <v>3.3288956591866252E-2</v>
      </c>
      <c r="S14" s="321">
        <f t="shared" si="9"/>
        <v>13049</v>
      </c>
      <c r="T14" s="241">
        <f t="shared" si="10"/>
        <v>8.3520014337101087E-2</v>
      </c>
      <c r="U14" s="321">
        <v>3482</v>
      </c>
      <c r="V14" s="241">
        <f t="shared" si="11"/>
        <v>2.2286511604091196E-2</v>
      </c>
      <c r="W14" s="321">
        <v>1270</v>
      </c>
      <c r="X14" s="241">
        <f t="shared" si="12"/>
        <v>8.1286242783445775E-3</v>
      </c>
      <c r="Y14" s="321">
        <v>3586</v>
      </c>
      <c r="Z14" s="241">
        <f t="shared" si="13"/>
        <v>2.2952162726097364E-2</v>
      </c>
      <c r="AA14" s="321">
        <v>10856</v>
      </c>
      <c r="AB14" s="241">
        <f t="shared" si="14"/>
        <v>6.9483736350951758E-2</v>
      </c>
      <c r="AC14" s="321">
        <f t="shared" si="15"/>
        <v>14442</v>
      </c>
      <c r="AD14" s="241">
        <f t="shared" si="16"/>
        <v>9.2435899077049119E-2</v>
      </c>
      <c r="AE14" s="321">
        <v>22871</v>
      </c>
      <c r="AF14" s="241">
        <f t="shared" si="17"/>
        <v>0.14638564241733765</v>
      </c>
      <c r="AG14" s="321">
        <v>1483</v>
      </c>
      <c r="AH14" s="241">
        <f t="shared" si="18"/>
        <v>9.4919289801456749E-3</v>
      </c>
      <c r="AI14" s="321">
        <v>4030</v>
      </c>
      <c r="AJ14" s="241">
        <f t="shared" si="19"/>
        <v>2.5793980977739089E-2</v>
      </c>
      <c r="AK14" s="321">
        <v>5182</v>
      </c>
      <c r="AL14" s="241">
        <f t="shared" si="20"/>
        <v>3.3167347252268976E-2</v>
      </c>
    </row>
    <row r="15" spans="1:38" s="73" customFormat="1" ht="14.25" customHeight="1">
      <c r="B15" s="514"/>
      <c r="C15" s="497"/>
      <c r="D15" s="173">
        <v>46057</v>
      </c>
      <c r="E15" s="173" t="s">
        <v>112</v>
      </c>
      <c r="F15" s="338">
        <f t="shared" si="1"/>
        <v>152389</v>
      </c>
      <c r="G15" s="516"/>
      <c r="H15" s="523"/>
      <c r="I15" s="321">
        <v>39672</v>
      </c>
      <c r="J15" s="241">
        <f t="shared" si="3"/>
        <v>0.26033375112376878</v>
      </c>
      <c r="K15" s="321">
        <v>47565</v>
      </c>
      <c r="L15" s="241">
        <f t="shared" si="4"/>
        <v>0.31212882819626087</v>
      </c>
      <c r="M15" s="321">
        <f t="shared" si="5"/>
        <v>87237</v>
      </c>
      <c r="N15" s="241">
        <f t="shared" si="6"/>
        <v>0.57246257932002964</v>
      </c>
      <c r="O15" s="321">
        <v>8493</v>
      </c>
      <c r="P15" s="241">
        <f t="shared" si="7"/>
        <v>5.5732369134255097E-2</v>
      </c>
      <c r="Q15" s="321">
        <v>5308</v>
      </c>
      <c r="R15" s="241">
        <f t="shared" si="8"/>
        <v>3.4831910439729899E-2</v>
      </c>
      <c r="S15" s="321">
        <f t="shared" si="9"/>
        <v>13801</v>
      </c>
      <c r="T15" s="241">
        <f t="shared" si="10"/>
        <v>9.0564279573984996E-2</v>
      </c>
      <c r="U15" s="321">
        <v>3467</v>
      </c>
      <c r="V15" s="241">
        <f t="shared" si="11"/>
        <v>2.2750985963553801E-2</v>
      </c>
      <c r="W15" s="321">
        <v>1234</v>
      </c>
      <c r="X15" s="241">
        <f t="shared" si="12"/>
        <v>8.0976973403592122E-3</v>
      </c>
      <c r="Y15" s="321">
        <v>3478</v>
      </c>
      <c r="Z15" s="241">
        <f t="shared" si="13"/>
        <v>2.2823169651352788E-2</v>
      </c>
      <c r="AA15" s="321">
        <v>10158</v>
      </c>
      <c r="AB15" s="241">
        <f t="shared" si="14"/>
        <v>6.6658354605647382E-2</v>
      </c>
      <c r="AC15" s="321">
        <f t="shared" si="15"/>
        <v>13636</v>
      </c>
      <c r="AD15" s="241">
        <f t="shared" si="16"/>
        <v>8.9481524257000178E-2</v>
      </c>
      <c r="AE15" s="321">
        <v>21537</v>
      </c>
      <c r="AF15" s="241">
        <f t="shared" si="17"/>
        <v>0.14132909855698245</v>
      </c>
      <c r="AG15" s="321">
        <v>1443</v>
      </c>
      <c r="AH15" s="241">
        <f t="shared" si="18"/>
        <v>9.469187408539987E-3</v>
      </c>
      <c r="AI15" s="321">
        <v>4457</v>
      </c>
      <c r="AJ15" s="241">
        <f t="shared" si="19"/>
        <v>2.924751786546273E-2</v>
      </c>
      <c r="AK15" s="321">
        <v>5577</v>
      </c>
      <c r="AL15" s="241">
        <f t="shared" si="20"/>
        <v>3.6597129714086976E-2</v>
      </c>
    </row>
    <row r="16" spans="1:38" s="73" customFormat="1" ht="14.25" customHeight="1">
      <c r="B16" s="514"/>
      <c r="C16" s="497"/>
      <c r="D16" s="173">
        <v>46058</v>
      </c>
      <c r="E16" s="173" t="s">
        <v>113</v>
      </c>
      <c r="F16" s="338">
        <f t="shared" si="1"/>
        <v>141990</v>
      </c>
      <c r="G16" s="516"/>
      <c r="H16" s="523"/>
      <c r="I16" s="321">
        <v>37921</v>
      </c>
      <c r="J16" s="241">
        <f t="shared" si="3"/>
        <v>0.26706810338756248</v>
      </c>
      <c r="K16" s="321">
        <v>43213</v>
      </c>
      <c r="L16" s="241">
        <f t="shared" si="4"/>
        <v>0.30433833368547081</v>
      </c>
      <c r="M16" s="321">
        <f t="shared" si="5"/>
        <v>81134</v>
      </c>
      <c r="N16" s="241">
        <f t="shared" si="6"/>
        <v>0.57140643707303329</v>
      </c>
      <c r="O16" s="321">
        <v>8339</v>
      </c>
      <c r="P16" s="241">
        <f t="shared" si="7"/>
        <v>5.8729487992112119E-2</v>
      </c>
      <c r="Q16" s="321">
        <v>5281</v>
      </c>
      <c r="R16" s="241">
        <f t="shared" si="8"/>
        <v>3.7192760053524898E-2</v>
      </c>
      <c r="S16" s="321">
        <f t="shared" si="9"/>
        <v>13620</v>
      </c>
      <c r="T16" s="241">
        <f t="shared" si="10"/>
        <v>9.5922248045637024E-2</v>
      </c>
      <c r="U16" s="321">
        <v>3009</v>
      </c>
      <c r="V16" s="241">
        <f t="shared" si="11"/>
        <v>2.1191633213606592E-2</v>
      </c>
      <c r="W16" s="321">
        <v>1210</v>
      </c>
      <c r="X16" s="241">
        <f t="shared" si="12"/>
        <v>8.5217268821748005E-3</v>
      </c>
      <c r="Y16" s="321">
        <v>3253</v>
      </c>
      <c r="Z16" s="241">
        <f t="shared" si="13"/>
        <v>2.2910064089020354E-2</v>
      </c>
      <c r="AA16" s="321">
        <v>8183</v>
      </c>
      <c r="AB16" s="241">
        <f t="shared" si="14"/>
        <v>5.7630819071765614E-2</v>
      </c>
      <c r="AC16" s="321">
        <f t="shared" si="15"/>
        <v>11436</v>
      </c>
      <c r="AD16" s="241">
        <f t="shared" si="16"/>
        <v>8.0540883160785975E-2</v>
      </c>
      <c r="AE16" s="321">
        <v>20274</v>
      </c>
      <c r="AF16" s="241">
        <f t="shared" si="17"/>
        <v>0.14278470314810901</v>
      </c>
      <c r="AG16" s="321">
        <v>1488</v>
      </c>
      <c r="AH16" s="241">
        <f t="shared" si="18"/>
        <v>1.0479611240228184E-2</v>
      </c>
      <c r="AI16" s="321">
        <v>4160</v>
      </c>
      <c r="AJ16" s="241">
        <f t="shared" si="19"/>
        <v>2.9297837875906754E-2</v>
      </c>
      <c r="AK16" s="321">
        <v>5659</v>
      </c>
      <c r="AL16" s="241">
        <f t="shared" si="20"/>
        <v>3.9854919360518347E-2</v>
      </c>
    </row>
    <row r="17" spans="2:38" s="73" customFormat="1" ht="14.25" customHeight="1">
      <c r="B17" s="514"/>
      <c r="C17" s="497"/>
      <c r="D17" s="173">
        <v>46059</v>
      </c>
      <c r="E17" s="173" t="s">
        <v>114</v>
      </c>
      <c r="F17" s="338">
        <f t="shared" si="1"/>
        <v>119260</v>
      </c>
      <c r="G17" s="516"/>
      <c r="H17" s="523"/>
      <c r="I17" s="321">
        <v>29522</v>
      </c>
      <c r="J17" s="241">
        <f t="shared" si="3"/>
        <v>0.24754318296159653</v>
      </c>
      <c r="K17" s="321">
        <v>40622</v>
      </c>
      <c r="L17" s="241">
        <f t="shared" si="4"/>
        <v>0.34061713902398122</v>
      </c>
      <c r="M17" s="321">
        <f t="shared" si="5"/>
        <v>70144</v>
      </c>
      <c r="N17" s="241">
        <f t="shared" si="6"/>
        <v>0.58816032198557777</v>
      </c>
      <c r="O17" s="321">
        <v>5561</v>
      </c>
      <c r="P17" s="241">
        <f t="shared" si="7"/>
        <v>4.6629213483146068E-2</v>
      </c>
      <c r="Q17" s="321">
        <v>4252</v>
      </c>
      <c r="R17" s="241">
        <f t="shared" si="8"/>
        <v>3.5653194700654034E-2</v>
      </c>
      <c r="S17" s="321">
        <f t="shared" si="9"/>
        <v>9813</v>
      </c>
      <c r="T17" s="241">
        <f t="shared" si="10"/>
        <v>8.2282408183800101E-2</v>
      </c>
      <c r="U17" s="321">
        <v>2366</v>
      </c>
      <c r="V17" s="241">
        <f t="shared" si="11"/>
        <v>1.9839007211135334E-2</v>
      </c>
      <c r="W17" s="321">
        <v>793</v>
      </c>
      <c r="X17" s="241">
        <f t="shared" si="12"/>
        <v>6.6493375817541509E-3</v>
      </c>
      <c r="Y17" s="321">
        <v>2977</v>
      </c>
      <c r="Z17" s="241">
        <f t="shared" si="13"/>
        <v>2.4962267315109844E-2</v>
      </c>
      <c r="AA17" s="321">
        <v>8561</v>
      </c>
      <c r="AB17" s="241">
        <f t="shared" si="14"/>
        <v>7.1784336743250035E-2</v>
      </c>
      <c r="AC17" s="321">
        <f t="shared" si="15"/>
        <v>11538</v>
      </c>
      <c r="AD17" s="241">
        <f t="shared" si="16"/>
        <v>9.6746604058359886E-2</v>
      </c>
      <c r="AE17" s="321">
        <v>16022</v>
      </c>
      <c r="AF17" s="241">
        <f t="shared" si="17"/>
        <v>0.13434512829112863</v>
      </c>
      <c r="AG17" s="321">
        <v>1098</v>
      </c>
      <c r="AH17" s="241">
        <f t="shared" si="18"/>
        <v>9.2067751131980555E-3</v>
      </c>
      <c r="AI17" s="321">
        <v>2755</v>
      </c>
      <c r="AJ17" s="241">
        <f t="shared" si="19"/>
        <v>2.3100788193862149E-2</v>
      </c>
      <c r="AK17" s="321">
        <v>4731</v>
      </c>
      <c r="AL17" s="241">
        <f t="shared" si="20"/>
        <v>3.9669629381183971E-2</v>
      </c>
    </row>
    <row r="18" spans="2:38" s="73" customFormat="1" ht="14.25" customHeight="1">
      <c r="B18" s="514"/>
      <c r="C18" s="497"/>
      <c r="D18" s="173">
        <v>46060</v>
      </c>
      <c r="E18" s="173" t="s">
        <v>115</v>
      </c>
      <c r="F18" s="338">
        <f t="shared" si="1"/>
        <v>126462</v>
      </c>
      <c r="G18" s="516"/>
      <c r="H18" s="523"/>
      <c r="I18" s="321">
        <v>27664</v>
      </c>
      <c r="J18" s="241">
        <f t="shared" si="3"/>
        <v>0.21875345953725231</v>
      </c>
      <c r="K18" s="321">
        <v>46342</v>
      </c>
      <c r="L18" s="241">
        <f t="shared" si="4"/>
        <v>0.36645000079075135</v>
      </c>
      <c r="M18" s="321">
        <f t="shared" si="5"/>
        <v>74006</v>
      </c>
      <c r="N18" s="241">
        <f t="shared" si="6"/>
        <v>0.58520346032800363</v>
      </c>
      <c r="O18" s="321">
        <v>5103</v>
      </c>
      <c r="P18" s="241">
        <f t="shared" si="7"/>
        <v>4.0352042510793759E-2</v>
      </c>
      <c r="Q18" s="321">
        <v>4016</v>
      </c>
      <c r="R18" s="241">
        <f t="shared" si="8"/>
        <v>3.1756575097657794E-2</v>
      </c>
      <c r="S18" s="321">
        <f t="shared" si="9"/>
        <v>9119</v>
      </c>
      <c r="T18" s="241">
        <f t="shared" si="10"/>
        <v>7.2108617608451553E-2</v>
      </c>
      <c r="U18" s="321">
        <v>2522</v>
      </c>
      <c r="V18" s="241">
        <f t="shared" si="11"/>
        <v>1.9942749600670558E-2</v>
      </c>
      <c r="W18" s="321">
        <v>779</v>
      </c>
      <c r="X18" s="241">
        <f t="shared" si="12"/>
        <v>6.1599531875187801E-3</v>
      </c>
      <c r="Y18" s="321">
        <v>3392</v>
      </c>
      <c r="Z18" s="241">
        <f t="shared" si="13"/>
        <v>2.6822286536667142E-2</v>
      </c>
      <c r="AA18" s="321">
        <v>9340</v>
      </c>
      <c r="AB18" s="241">
        <f t="shared" si="14"/>
        <v>7.3856178140469075E-2</v>
      </c>
      <c r="AC18" s="321">
        <f t="shared" si="15"/>
        <v>12732</v>
      </c>
      <c r="AD18" s="241">
        <f t="shared" si="16"/>
        <v>0.10067846467713622</v>
      </c>
      <c r="AE18" s="321">
        <v>17369</v>
      </c>
      <c r="AF18" s="241">
        <f t="shared" si="17"/>
        <v>0.13734560579462604</v>
      </c>
      <c r="AG18" s="321">
        <v>1403</v>
      </c>
      <c r="AH18" s="241">
        <f t="shared" si="18"/>
        <v>1.1094241748509434E-2</v>
      </c>
      <c r="AI18" s="321">
        <v>2845</v>
      </c>
      <c r="AJ18" s="241">
        <f t="shared" si="19"/>
        <v>2.2496876532080785E-2</v>
      </c>
      <c r="AK18" s="321">
        <v>5687</v>
      </c>
      <c r="AL18" s="241">
        <f t="shared" si="20"/>
        <v>4.4970030523002955E-2</v>
      </c>
    </row>
    <row r="19" spans="2:38" s="73" customFormat="1" ht="14.25" customHeight="1">
      <c r="B19" s="514"/>
      <c r="C19" s="497"/>
      <c r="D19" s="173">
        <v>46061</v>
      </c>
      <c r="E19" s="173" t="s">
        <v>116</v>
      </c>
      <c r="F19" s="338">
        <f t="shared" si="1"/>
        <v>158901</v>
      </c>
      <c r="G19" s="516"/>
      <c r="H19" s="523"/>
      <c r="I19" s="321">
        <v>40022</v>
      </c>
      <c r="J19" s="241">
        <f t="shared" si="3"/>
        <v>0.25186751499361237</v>
      </c>
      <c r="K19" s="321">
        <v>51103</v>
      </c>
      <c r="L19" s="241">
        <f t="shared" si="4"/>
        <v>0.32160275895054152</v>
      </c>
      <c r="M19" s="321">
        <f t="shared" si="5"/>
        <v>91125</v>
      </c>
      <c r="N19" s="241">
        <f t="shared" si="6"/>
        <v>0.57347027394415395</v>
      </c>
      <c r="O19" s="321">
        <v>8326</v>
      </c>
      <c r="P19" s="241">
        <f t="shared" si="7"/>
        <v>5.2397404673350072E-2</v>
      </c>
      <c r="Q19" s="321">
        <v>5023</v>
      </c>
      <c r="R19" s="241">
        <f t="shared" si="8"/>
        <v>3.1610877212855805E-2</v>
      </c>
      <c r="S19" s="321">
        <f t="shared" si="9"/>
        <v>13349</v>
      </c>
      <c r="T19" s="241">
        <f t="shared" si="10"/>
        <v>8.4008281886205877E-2</v>
      </c>
      <c r="U19" s="321">
        <v>3145</v>
      </c>
      <c r="V19" s="241">
        <f t="shared" si="11"/>
        <v>1.9792197657661059E-2</v>
      </c>
      <c r="W19" s="321">
        <v>877</v>
      </c>
      <c r="X19" s="241">
        <f t="shared" si="12"/>
        <v>5.5191597283843399E-3</v>
      </c>
      <c r="Y19" s="321">
        <v>3815</v>
      </c>
      <c r="Z19" s="241">
        <f t="shared" si="13"/>
        <v>2.4008659479801891E-2</v>
      </c>
      <c r="AA19" s="321">
        <v>11052</v>
      </c>
      <c r="AB19" s="241">
        <f t="shared" si="14"/>
        <v>6.955274038552306E-2</v>
      </c>
      <c r="AC19" s="321">
        <f t="shared" si="15"/>
        <v>14867</v>
      </c>
      <c r="AD19" s="241">
        <f t="shared" si="16"/>
        <v>9.3561399865324954E-2</v>
      </c>
      <c r="AE19" s="321">
        <v>26223</v>
      </c>
      <c r="AF19" s="241">
        <f t="shared" si="17"/>
        <v>0.16502728113731191</v>
      </c>
      <c r="AG19" s="321">
        <v>1396</v>
      </c>
      <c r="AH19" s="241">
        <f t="shared" si="18"/>
        <v>8.7853443338934308E-3</v>
      </c>
      <c r="AI19" s="321">
        <v>2976</v>
      </c>
      <c r="AJ19" s="241">
        <f t="shared" si="19"/>
        <v>1.8728642362225538E-2</v>
      </c>
      <c r="AK19" s="321">
        <v>4943</v>
      </c>
      <c r="AL19" s="241">
        <f t="shared" si="20"/>
        <v>3.1107419084838987E-2</v>
      </c>
    </row>
    <row r="20" spans="2:38" s="73" customFormat="1" ht="14.25" customHeight="1">
      <c r="B20" s="514"/>
      <c r="C20" s="497"/>
      <c r="D20" s="173">
        <v>46062</v>
      </c>
      <c r="E20" s="173" t="s">
        <v>117</v>
      </c>
      <c r="F20" s="338">
        <f t="shared" si="1"/>
        <v>153012</v>
      </c>
      <c r="G20" s="516"/>
      <c r="H20" s="523"/>
      <c r="I20" s="321">
        <v>39063</v>
      </c>
      <c r="J20" s="241">
        <f t="shared" si="3"/>
        <v>0.25529370245470945</v>
      </c>
      <c r="K20" s="321">
        <v>50117</v>
      </c>
      <c r="L20" s="241">
        <f t="shared" si="4"/>
        <v>0.32753640237367004</v>
      </c>
      <c r="M20" s="321">
        <f t="shared" si="5"/>
        <v>89180</v>
      </c>
      <c r="N20" s="241">
        <f t="shared" si="6"/>
        <v>0.58283010482837949</v>
      </c>
      <c r="O20" s="321">
        <v>7865</v>
      </c>
      <c r="P20" s="241">
        <f t="shared" si="7"/>
        <v>5.1401197291715682E-2</v>
      </c>
      <c r="Q20" s="321">
        <v>5009</v>
      </c>
      <c r="R20" s="241">
        <f t="shared" si="8"/>
        <v>3.2735994562517974E-2</v>
      </c>
      <c r="S20" s="321">
        <f t="shared" si="9"/>
        <v>12874</v>
      </c>
      <c r="T20" s="241">
        <f t="shared" si="10"/>
        <v>8.4137191854233656E-2</v>
      </c>
      <c r="U20" s="321">
        <v>2791</v>
      </c>
      <c r="V20" s="241">
        <f t="shared" si="11"/>
        <v>1.82403994457951E-2</v>
      </c>
      <c r="W20" s="321">
        <v>974</v>
      </c>
      <c r="X20" s="241">
        <f t="shared" si="12"/>
        <v>6.3655138159098637E-3</v>
      </c>
      <c r="Y20" s="321">
        <v>3767</v>
      </c>
      <c r="Z20" s="241">
        <f t="shared" si="13"/>
        <v>2.4618984131963506E-2</v>
      </c>
      <c r="AA20" s="321">
        <v>10349</v>
      </c>
      <c r="AB20" s="241">
        <f t="shared" si="14"/>
        <v>6.7635218152824611E-2</v>
      </c>
      <c r="AC20" s="321">
        <f t="shared" si="15"/>
        <v>14116</v>
      </c>
      <c r="AD20" s="241">
        <f t="shared" si="16"/>
        <v>9.2254202284788117E-2</v>
      </c>
      <c r="AE20" s="321">
        <v>23303</v>
      </c>
      <c r="AF20" s="241">
        <f t="shared" si="17"/>
        <v>0.15229524481739995</v>
      </c>
      <c r="AG20" s="321">
        <v>1592</v>
      </c>
      <c r="AH20" s="241">
        <f t="shared" si="18"/>
        <v>1.0404412725799284E-2</v>
      </c>
      <c r="AI20" s="321">
        <v>3406</v>
      </c>
      <c r="AJ20" s="241">
        <f t="shared" si="19"/>
        <v>2.2259692050296709E-2</v>
      </c>
      <c r="AK20" s="321">
        <v>4776</v>
      </c>
      <c r="AL20" s="241">
        <f t="shared" si="20"/>
        <v>3.1213238177397851E-2</v>
      </c>
    </row>
    <row r="21" spans="2:38" s="73" customFormat="1" ht="14.25" customHeight="1">
      <c r="B21" s="513">
        <f t="shared" ref="B21:B28" si="23">D29</f>
        <v>46071</v>
      </c>
      <c r="C21" s="497"/>
      <c r="D21" s="173">
        <v>46063</v>
      </c>
      <c r="E21" s="173" t="s">
        <v>118</v>
      </c>
      <c r="F21" s="338"/>
      <c r="G21" s="516">
        <f t="shared" ref="G21" si="24">SUM(F21:F27)</f>
        <v>0</v>
      </c>
      <c r="H21" s="523"/>
      <c r="I21" s="321"/>
      <c r="J21" s="241" t="e">
        <f t="shared" ref="J21:J41" si="25">I21/$F21</f>
        <v>#DIV/0!</v>
      </c>
      <c r="K21" s="321"/>
      <c r="L21" s="241" t="e">
        <f t="shared" ref="L21:L41" si="26">K21/$F21</f>
        <v>#DIV/0!</v>
      </c>
      <c r="M21" s="226">
        <f t="shared" ref="M21:M41" si="27">I21+K21</f>
        <v>0</v>
      </c>
      <c r="N21" s="241" t="e">
        <f t="shared" ref="N21:N41" si="28">M21/$F21</f>
        <v>#DIV/0!</v>
      </c>
      <c r="O21" s="321"/>
      <c r="P21" s="241" t="e">
        <f t="shared" ref="P21:P41" si="29">O21/$F21</f>
        <v>#DIV/0!</v>
      </c>
      <c r="Q21" s="321"/>
      <c r="R21" s="241" t="e">
        <f t="shared" ref="R21:R41" si="30">Q21/$F21</f>
        <v>#DIV/0!</v>
      </c>
      <c r="S21" s="226">
        <f t="shared" ref="S21:S41" si="31">O21+Q21</f>
        <v>0</v>
      </c>
      <c r="T21" s="241" t="e">
        <f t="shared" ref="T21:T41" si="32">S21/$F21</f>
        <v>#DIV/0!</v>
      </c>
      <c r="U21" s="321"/>
      <c r="V21" s="241" t="e">
        <f t="shared" ref="V21:V41" si="33">U21/$F21</f>
        <v>#DIV/0!</v>
      </c>
      <c r="W21" s="321"/>
      <c r="X21" s="241" t="e">
        <f t="shared" ref="X21:X41" si="34">W21/$F21</f>
        <v>#DIV/0!</v>
      </c>
      <c r="Y21" s="321"/>
      <c r="Z21" s="241" t="e">
        <f t="shared" ref="Z21:Z41" si="35">Y21/$F21</f>
        <v>#DIV/0!</v>
      </c>
      <c r="AA21" s="321"/>
      <c r="AB21" s="241" t="e">
        <f t="shared" ref="AB21:AB41" si="36">AA21/$F21</f>
        <v>#DIV/0!</v>
      </c>
      <c r="AC21" s="226">
        <f t="shared" ref="AC21:AC41" si="37">Y21+AA21</f>
        <v>0</v>
      </c>
      <c r="AD21" s="241" t="e">
        <f t="shared" ref="AD21:AD41" si="38">AC21/$F21</f>
        <v>#DIV/0!</v>
      </c>
      <c r="AE21" s="321"/>
      <c r="AF21" s="241" t="e">
        <f t="shared" ref="AF21:AF41" si="39">AE21/$F21</f>
        <v>#DIV/0!</v>
      </c>
      <c r="AG21" s="321"/>
      <c r="AH21" s="241" t="e">
        <f t="shared" ref="AH21:AH41" si="40">AG21/$F21</f>
        <v>#DIV/0!</v>
      </c>
      <c r="AI21" s="321"/>
      <c r="AJ21" s="241" t="e">
        <f t="shared" ref="AJ21:AJ41" si="41">AI21/$F21</f>
        <v>#DIV/0!</v>
      </c>
      <c r="AK21" s="321"/>
      <c r="AL21" s="241" t="e">
        <f t="shared" ref="AL21:AL41" si="42">AK21/$F21</f>
        <v>#DIV/0!</v>
      </c>
    </row>
    <row r="22" spans="2:38" s="73" customFormat="1" ht="14.25" customHeight="1">
      <c r="B22" s="514"/>
      <c r="C22" s="497"/>
      <c r="D22" s="173">
        <v>46064</v>
      </c>
      <c r="E22" s="173" t="s">
        <v>112</v>
      </c>
      <c r="F22" s="338"/>
      <c r="G22" s="516"/>
      <c r="H22" s="523"/>
      <c r="I22" s="321"/>
      <c r="J22" s="241" t="e">
        <f t="shared" si="25"/>
        <v>#DIV/0!</v>
      </c>
      <c r="K22" s="321"/>
      <c r="L22" s="241" t="e">
        <f t="shared" si="26"/>
        <v>#DIV/0!</v>
      </c>
      <c r="M22" s="226">
        <f t="shared" si="27"/>
        <v>0</v>
      </c>
      <c r="N22" s="241" t="e">
        <f t="shared" si="28"/>
        <v>#DIV/0!</v>
      </c>
      <c r="O22" s="321"/>
      <c r="P22" s="241" t="e">
        <f t="shared" si="29"/>
        <v>#DIV/0!</v>
      </c>
      <c r="Q22" s="321"/>
      <c r="R22" s="241" t="e">
        <f t="shared" si="30"/>
        <v>#DIV/0!</v>
      </c>
      <c r="S22" s="226">
        <f t="shared" si="31"/>
        <v>0</v>
      </c>
      <c r="T22" s="241" t="e">
        <f t="shared" si="32"/>
        <v>#DIV/0!</v>
      </c>
      <c r="U22" s="321"/>
      <c r="V22" s="241" t="e">
        <f t="shared" si="33"/>
        <v>#DIV/0!</v>
      </c>
      <c r="W22" s="321"/>
      <c r="X22" s="241" t="e">
        <f t="shared" si="34"/>
        <v>#DIV/0!</v>
      </c>
      <c r="Y22" s="321"/>
      <c r="Z22" s="241" t="e">
        <f t="shared" si="35"/>
        <v>#DIV/0!</v>
      </c>
      <c r="AA22" s="321"/>
      <c r="AB22" s="241" t="e">
        <f t="shared" si="36"/>
        <v>#DIV/0!</v>
      </c>
      <c r="AC22" s="226">
        <f t="shared" si="37"/>
        <v>0</v>
      </c>
      <c r="AD22" s="241" t="e">
        <f t="shared" si="38"/>
        <v>#DIV/0!</v>
      </c>
      <c r="AE22" s="321"/>
      <c r="AF22" s="241" t="e">
        <f t="shared" si="39"/>
        <v>#DIV/0!</v>
      </c>
      <c r="AG22" s="321"/>
      <c r="AH22" s="241" t="e">
        <f t="shared" si="40"/>
        <v>#DIV/0!</v>
      </c>
      <c r="AI22" s="321"/>
      <c r="AJ22" s="241" t="e">
        <f t="shared" si="41"/>
        <v>#DIV/0!</v>
      </c>
      <c r="AK22" s="321"/>
      <c r="AL22" s="241" t="e">
        <f t="shared" si="42"/>
        <v>#DIV/0!</v>
      </c>
    </row>
    <row r="23" spans="2:38" s="73" customFormat="1" ht="14.25" customHeight="1">
      <c r="B23" s="514"/>
      <c r="C23" s="497"/>
      <c r="D23" s="173">
        <v>46065</v>
      </c>
      <c r="E23" s="173" t="s">
        <v>113</v>
      </c>
      <c r="F23" s="338"/>
      <c r="G23" s="516"/>
      <c r="H23" s="523"/>
      <c r="I23" s="321"/>
      <c r="J23" s="241" t="e">
        <f t="shared" si="25"/>
        <v>#DIV/0!</v>
      </c>
      <c r="K23" s="321"/>
      <c r="L23" s="241" t="e">
        <f t="shared" si="26"/>
        <v>#DIV/0!</v>
      </c>
      <c r="M23" s="226">
        <f t="shared" si="27"/>
        <v>0</v>
      </c>
      <c r="N23" s="241" t="e">
        <f t="shared" si="28"/>
        <v>#DIV/0!</v>
      </c>
      <c r="O23" s="321"/>
      <c r="P23" s="241" t="e">
        <f t="shared" si="29"/>
        <v>#DIV/0!</v>
      </c>
      <c r="Q23" s="321"/>
      <c r="R23" s="241" t="e">
        <f t="shared" si="30"/>
        <v>#DIV/0!</v>
      </c>
      <c r="S23" s="226">
        <f t="shared" si="31"/>
        <v>0</v>
      </c>
      <c r="T23" s="241" t="e">
        <f t="shared" si="32"/>
        <v>#DIV/0!</v>
      </c>
      <c r="U23" s="321"/>
      <c r="V23" s="241" t="e">
        <f t="shared" si="33"/>
        <v>#DIV/0!</v>
      </c>
      <c r="W23" s="321"/>
      <c r="X23" s="241" t="e">
        <f t="shared" si="34"/>
        <v>#DIV/0!</v>
      </c>
      <c r="Y23" s="321"/>
      <c r="Z23" s="241" t="e">
        <f t="shared" si="35"/>
        <v>#DIV/0!</v>
      </c>
      <c r="AA23" s="321"/>
      <c r="AB23" s="241" t="e">
        <f t="shared" si="36"/>
        <v>#DIV/0!</v>
      </c>
      <c r="AC23" s="226">
        <f t="shared" si="37"/>
        <v>0</v>
      </c>
      <c r="AD23" s="241" t="e">
        <f t="shared" si="38"/>
        <v>#DIV/0!</v>
      </c>
      <c r="AE23" s="321"/>
      <c r="AF23" s="241" t="e">
        <f t="shared" si="39"/>
        <v>#DIV/0!</v>
      </c>
      <c r="AG23" s="321"/>
      <c r="AH23" s="241" t="e">
        <f t="shared" si="40"/>
        <v>#DIV/0!</v>
      </c>
      <c r="AI23" s="321"/>
      <c r="AJ23" s="241" t="e">
        <f t="shared" si="41"/>
        <v>#DIV/0!</v>
      </c>
      <c r="AK23" s="321"/>
      <c r="AL23" s="241" t="e">
        <f t="shared" si="42"/>
        <v>#DIV/0!</v>
      </c>
    </row>
    <row r="24" spans="2:38" s="73" customFormat="1" ht="14.25" customHeight="1">
      <c r="B24" s="514"/>
      <c r="C24" s="497"/>
      <c r="D24" s="173">
        <v>46066</v>
      </c>
      <c r="E24" s="173" t="s">
        <v>114</v>
      </c>
      <c r="F24" s="338"/>
      <c r="G24" s="516"/>
      <c r="H24" s="523"/>
      <c r="I24" s="321"/>
      <c r="J24" s="241" t="e">
        <f t="shared" si="25"/>
        <v>#DIV/0!</v>
      </c>
      <c r="K24" s="321"/>
      <c r="L24" s="241" t="e">
        <f t="shared" si="26"/>
        <v>#DIV/0!</v>
      </c>
      <c r="M24" s="226">
        <f t="shared" si="27"/>
        <v>0</v>
      </c>
      <c r="N24" s="241" t="e">
        <f t="shared" si="28"/>
        <v>#DIV/0!</v>
      </c>
      <c r="O24" s="321"/>
      <c r="P24" s="241" t="e">
        <f t="shared" si="29"/>
        <v>#DIV/0!</v>
      </c>
      <c r="Q24" s="321"/>
      <c r="R24" s="241" t="e">
        <f t="shared" si="30"/>
        <v>#DIV/0!</v>
      </c>
      <c r="S24" s="226">
        <f t="shared" si="31"/>
        <v>0</v>
      </c>
      <c r="T24" s="241" t="e">
        <f t="shared" si="32"/>
        <v>#DIV/0!</v>
      </c>
      <c r="U24" s="321"/>
      <c r="V24" s="241" t="e">
        <f t="shared" si="33"/>
        <v>#DIV/0!</v>
      </c>
      <c r="W24" s="321"/>
      <c r="X24" s="241" t="e">
        <f t="shared" si="34"/>
        <v>#DIV/0!</v>
      </c>
      <c r="Y24" s="321"/>
      <c r="Z24" s="241" t="e">
        <f t="shared" si="35"/>
        <v>#DIV/0!</v>
      </c>
      <c r="AA24" s="321"/>
      <c r="AB24" s="241" t="e">
        <f t="shared" si="36"/>
        <v>#DIV/0!</v>
      </c>
      <c r="AC24" s="226">
        <f t="shared" si="37"/>
        <v>0</v>
      </c>
      <c r="AD24" s="241" t="e">
        <f t="shared" si="38"/>
        <v>#DIV/0!</v>
      </c>
      <c r="AE24" s="321"/>
      <c r="AF24" s="241" t="e">
        <f t="shared" si="39"/>
        <v>#DIV/0!</v>
      </c>
      <c r="AG24" s="321"/>
      <c r="AH24" s="241" t="e">
        <f t="shared" si="40"/>
        <v>#DIV/0!</v>
      </c>
      <c r="AI24" s="321"/>
      <c r="AJ24" s="241" t="e">
        <f t="shared" si="41"/>
        <v>#DIV/0!</v>
      </c>
      <c r="AK24" s="321"/>
      <c r="AL24" s="241" t="e">
        <f t="shared" si="42"/>
        <v>#DIV/0!</v>
      </c>
    </row>
    <row r="25" spans="2:38" s="73" customFormat="1" ht="14.25" customHeight="1">
      <c r="B25" s="514"/>
      <c r="C25" s="497"/>
      <c r="D25" s="173">
        <v>46067</v>
      </c>
      <c r="E25" s="173" t="s">
        <v>115</v>
      </c>
      <c r="F25" s="338"/>
      <c r="G25" s="516"/>
      <c r="H25" s="523"/>
      <c r="I25" s="321"/>
      <c r="J25" s="241" t="e">
        <f t="shared" si="25"/>
        <v>#DIV/0!</v>
      </c>
      <c r="K25" s="321"/>
      <c r="L25" s="241" t="e">
        <f t="shared" si="26"/>
        <v>#DIV/0!</v>
      </c>
      <c r="M25" s="226">
        <f t="shared" si="27"/>
        <v>0</v>
      </c>
      <c r="N25" s="241" t="e">
        <f t="shared" si="28"/>
        <v>#DIV/0!</v>
      </c>
      <c r="O25" s="321"/>
      <c r="P25" s="241" t="e">
        <f t="shared" si="29"/>
        <v>#DIV/0!</v>
      </c>
      <c r="Q25" s="321"/>
      <c r="R25" s="241" t="e">
        <f t="shared" si="30"/>
        <v>#DIV/0!</v>
      </c>
      <c r="S25" s="226">
        <f t="shared" si="31"/>
        <v>0</v>
      </c>
      <c r="T25" s="241" t="e">
        <f t="shared" si="32"/>
        <v>#DIV/0!</v>
      </c>
      <c r="U25" s="321"/>
      <c r="V25" s="241" t="e">
        <f t="shared" si="33"/>
        <v>#DIV/0!</v>
      </c>
      <c r="W25" s="321"/>
      <c r="X25" s="241" t="e">
        <f t="shared" si="34"/>
        <v>#DIV/0!</v>
      </c>
      <c r="Y25" s="321"/>
      <c r="Z25" s="241" t="e">
        <f t="shared" si="35"/>
        <v>#DIV/0!</v>
      </c>
      <c r="AA25" s="321"/>
      <c r="AB25" s="241" t="e">
        <f t="shared" si="36"/>
        <v>#DIV/0!</v>
      </c>
      <c r="AC25" s="226">
        <f t="shared" si="37"/>
        <v>0</v>
      </c>
      <c r="AD25" s="241" t="e">
        <f t="shared" si="38"/>
        <v>#DIV/0!</v>
      </c>
      <c r="AE25" s="321"/>
      <c r="AF25" s="241" t="e">
        <f t="shared" si="39"/>
        <v>#DIV/0!</v>
      </c>
      <c r="AG25" s="321"/>
      <c r="AH25" s="241" t="e">
        <f t="shared" si="40"/>
        <v>#DIV/0!</v>
      </c>
      <c r="AI25" s="321"/>
      <c r="AJ25" s="241" t="e">
        <f t="shared" si="41"/>
        <v>#DIV/0!</v>
      </c>
      <c r="AK25" s="321"/>
      <c r="AL25" s="241" t="e">
        <f t="shared" si="42"/>
        <v>#DIV/0!</v>
      </c>
    </row>
    <row r="26" spans="2:38" s="73" customFormat="1" ht="14.25" customHeight="1">
      <c r="B26" s="514"/>
      <c r="C26" s="497"/>
      <c r="D26" s="173">
        <v>46068</v>
      </c>
      <c r="E26" s="173" t="s">
        <v>116</v>
      </c>
      <c r="F26" s="338"/>
      <c r="G26" s="516"/>
      <c r="H26" s="523"/>
      <c r="I26" s="321"/>
      <c r="J26" s="241" t="e">
        <f t="shared" si="25"/>
        <v>#DIV/0!</v>
      </c>
      <c r="K26" s="321"/>
      <c r="L26" s="241" t="e">
        <f t="shared" si="26"/>
        <v>#DIV/0!</v>
      </c>
      <c r="M26" s="226">
        <f t="shared" si="27"/>
        <v>0</v>
      </c>
      <c r="N26" s="241" t="e">
        <f t="shared" si="28"/>
        <v>#DIV/0!</v>
      </c>
      <c r="O26" s="321"/>
      <c r="P26" s="241" t="e">
        <f t="shared" si="29"/>
        <v>#DIV/0!</v>
      </c>
      <c r="Q26" s="321"/>
      <c r="R26" s="241" t="e">
        <f t="shared" si="30"/>
        <v>#DIV/0!</v>
      </c>
      <c r="S26" s="226">
        <f t="shared" si="31"/>
        <v>0</v>
      </c>
      <c r="T26" s="241" t="e">
        <f t="shared" si="32"/>
        <v>#DIV/0!</v>
      </c>
      <c r="U26" s="321"/>
      <c r="V26" s="241" t="e">
        <f t="shared" si="33"/>
        <v>#DIV/0!</v>
      </c>
      <c r="W26" s="321"/>
      <c r="X26" s="241" t="e">
        <f t="shared" si="34"/>
        <v>#DIV/0!</v>
      </c>
      <c r="Y26" s="321"/>
      <c r="Z26" s="241" t="e">
        <f t="shared" si="35"/>
        <v>#DIV/0!</v>
      </c>
      <c r="AA26" s="321"/>
      <c r="AB26" s="241" t="e">
        <f t="shared" si="36"/>
        <v>#DIV/0!</v>
      </c>
      <c r="AC26" s="226">
        <f t="shared" si="37"/>
        <v>0</v>
      </c>
      <c r="AD26" s="241" t="e">
        <f t="shared" si="38"/>
        <v>#DIV/0!</v>
      </c>
      <c r="AE26" s="321"/>
      <c r="AF26" s="241" t="e">
        <f t="shared" si="39"/>
        <v>#DIV/0!</v>
      </c>
      <c r="AG26" s="321"/>
      <c r="AH26" s="241" t="e">
        <f t="shared" si="40"/>
        <v>#DIV/0!</v>
      </c>
      <c r="AI26" s="321"/>
      <c r="AJ26" s="241" t="e">
        <f t="shared" si="41"/>
        <v>#DIV/0!</v>
      </c>
      <c r="AK26" s="321"/>
      <c r="AL26" s="241" t="e">
        <f t="shared" si="42"/>
        <v>#DIV/0!</v>
      </c>
    </row>
    <row r="27" spans="2:38" s="73" customFormat="1" ht="14.25" customHeight="1">
      <c r="B27" s="514"/>
      <c r="C27" s="497"/>
      <c r="D27" s="173">
        <v>46069</v>
      </c>
      <c r="E27" s="173" t="s">
        <v>117</v>
      </c>
      <c r="F27" s="338"/>
      <c r="G27" s="516"/>
      <c r="H27" s="523"/>
      <c r="I27" s="321"/>
      <c r="J27" s="241" t="e">
        <f t="shared" si="25"/>
        <v>#DIV/0!</v>
      </c>
      <c r="K27" s="321"/>
      <c r="L27" s="241" t="e">
        <f t="shared" si="26"/>
        <v>#DIV/0!</v>
      </c>
      <c r="M27" s="226">
        <f t="shared" si="27"/>
        <v>0</v>
      </c>
      <c r="N27" s="241" t="e">
        <f t="shared" si="28"/>
        <v>#DIV/0!</v>
      </c>
      <c r="O27" s="321"/>
      <c r="P27" s="241" t="e">
        <f t="shared" si="29"/>
        <v>#DIV/0!</v>
      </c>
      <c r="Q27" s="321"/>
      <c r="R27" s="241" t="e">
        <f t="shared" si="30"/>
        <v>#DIV/0!</v>
      </c>
      <c r="S27" s="226">
        <f t="shared" si="31"/>
        <v>0</v>
      </c>
      <c r="T27" s="241" t="e">
        <f t="shared" si="32"/>
        <v>#DIV/0!</v>
      </c>
      <c r="U27" s="321"/>
      <c r="V27" s="241" t="e">
        <f t="shared" si="33"/>
        <v>#DIV/0!</v>
      </c>
      <c r="W27" s="321"/>
      <c r="X27" s="241" t="e">
        <f t="shared" si="34"/>
        <v>#DIV/0!</v>
      </c>
      <c r="Y27" s="321"/>
      <c r="Z27" s="241" t="e">
        <f t="shared" si="35"/>
        <v>#DIV/0!</v>
      </c>
      <c r="AA27" s="321"/>
      <c r="AB27" s="241" t="e">
        <f t="shared" si="36"/>
        <v>#DIV/0!</v>
      </c>
      <c r="AC27" s="226">
        <f t="shared" si="37"/>
        <v>0</v>
      </c>
      <c r="AD27" s="241" t="e">
        <f t="shared" si="38"/>
        <v>#DIV/0!</v>
      </c>
      <c r="AE27" s="321"/>
      <c r="AF27" s="241" t="e">
        <f t="shared" si="39"/>
        <v>#DIV/0!</v>
      </c>
      <c r="AG27" s="321"/>
      <c r="AH27" s="241" t="e">
        <f t="shared" si="40"/>
        <v>#DIV/0!</v>
      </c>
      <c r="AI27" s="321"/>
      <c r="AJ27" s="241" t="e">
        <f t="shared" si="41"/>
        <v>#DIV/0!</v>
      </c>
      <c r="AK27" s="321"/>
      <c r="AL27" s="241" t="e">
        <f t="shared" si="42"/>
        <v>#DIV/0!</v>
      </c>
    </row>
    <row r="28" spans="2:38" s="73" customFormat="1" ht="14.25" customHeight="1">
      <c r="B28" s="513">
        <f t="shared" si="23"/>
        <v>46078</v>
      </c>
      <c r="C28" s="497"/>
      <c r="D28" s="173">
        <v>46070</v>
      </c>
      <c r="E28" s="173" t="s">
        <v>118</v>
      </c>
      <c r="F28" s="338"/>
      <c r="G28" s="516">
        <f>SUM(F28:F34)</f>
        <v>0</v>
      </c>
      <c r="H28" s="523"/>
      <c r="I28" s="321"/>
      <c r="J28" s="241" t="e">
        <f t="shared" si="25"/>
        <v>#DIV/0!</v>
      </c>
      <c r="K28" s="321"/>
      <c r="L28" s="241" t="e">
        <f t="shared" si="26"/>
        <v>#DIV/0!</v>
      </c>
      <c r="M28" s="226">
        <f t="shared" si="27"/>
        <v>0</v>
      </c>
      <c r="N28" s="241" t="e">
        <f t="shared" si="28"/>
        <v>#DIV/0!</v>
      </c>
      <c r="O28" s="321"/>
      <c r="P28" s="241" t="e">
        <f t="shared" si="29"/>
        <v>#DIV/0!</v>
      </c>
      <c r="Q28" s="321"/>
      <c r="R28" s="241" t="e">
        <f t="shared" si="30"/>
        <v>#DIV/0!</v>
      </c>
      <c r="S28" s="226">
        <f t="shared" si="31"/>
        <v>0</v>
      </c>
      <c r="T28" s="241" t="e">
        <f t="shared" si="32"/>
        <v>#DIV/0!</v>
      </c>
      <c r="U28" s="321"/>
      <c r="V28" s="241" t="e">
        <f t="shared" si="33"/>
        <v>#DIV/0!</v>
      </c>
      <c r="W28" s="321"/>
      <c r="X28" s="241" t="e">
        <f t="shared" si="34"/>
        <v>#DIV/0!</v>
      </c>
      <c r="Y28" s="321"/>
      <c r="Z28" s="241" t="e">
        <f t="shared" si="35"/>
        <v>#DIV/0!</v>
      </c>
      <c r="AA28" s="321"/>
      <c r="AB28" s="241" t="e">
        <f t="shared" si="36"/>
        <v>#DIV/0!</v>
      </c>
      <c r="AC28" s="226">
        <f t="shared" si="37"/>
        <v>0</v>
      </c>
      <c r="AD28" s="241" t="e">
        <f t="shared" si="38"/>
        <v>#DIV/0!</v>
      </c>
      <c r="AE28" s="321"/>
      <c r="AF28" s="241" t="e">
        <f t="shared" si="39"/>
        <v>#DIV/0!</v>
      </c>
      <c r="AG28" s="321"/>
      <c r="AH28" s="241" t="e">
        <f t="shared" si="40"/>
        <v>#DIV/0!</v>
      </c>
      <c r="AI28" s="321"/>
      <c r="AJ28" s="241" t="e">
        <f t="shared" si="41"/>
        <v>#DIV/0!</v>
      </c>
      <c r="AK28" s="321"/>
      <c r="AL28" s="241" t="e">
        <f t="shared" si="42"/>
        <v>#DIV/0!</v>
      </c>
    </row>
    <row r="29" spans="2:38" s="73" customFormat="1" ht="14.25" customHeight="1">
      <c r="B29" s="514"/>
      <c r="C29" s="497"/>
      <c r="D29" s="173">
        <v>46071</v>
      </c>
      <c r="E29" s="173" t="s">
        <v>112</v>
      </c>
      <c r="F29" s="338"/>
      <c r="G29" s="516"/>
      <c r="H29" s="523"/>
      <c r="I29" s="321"/>
      <c r="J29" s="241" t="e">
        <f t="shared" si="25"/>
        <v>#DIV/0!</v>
      </c>
      <c r="K29" s="321"/>
      <c r="L29" s="241" t="e">
        <f t="shared" si="26"/>
        <v>#DIV/0!</v>
      </c>
      <c r="M29" s="226">
        <f t="shared" si="27"/>
        <v>0</v>
      </c>
      <c r="N29" s="241" t="e">
        <f t="shared" si="28"/>
        <v>#DIV/0!</v>
      </c>
      <c r="O29" s="321"/>
      <c r="P29" s="241" t="e">
        <f t="shared" si="29"/>
        <v>#DIV/0!</v>
      </c>
      <c r="Q29" s="321"/>
      <c r="R29" s="241" t="e">
        <f t="shared" si="30"/>
        <v>#DIV/0!</v>
      </c>
      <c r="S29" s="226">
        <f t="shared" si="31"/>
        <v>0</v>
      </c>
      <c r="T29" s="241" t="e">
        <f t="shared" si="32"/>
        <v>#DIV/0!</v>
      </c>
      <c r="U29" s="321"/>
      <c r="V29" s="241" t="e">
        <f t="shared" si="33"/>
        <v>#DIV/0!</v>
      </c>
      <c r="W29" s="321"/>
      <c r="X29" s="241" t="e">
        <f t="shared" si="34"/>
        <v>#DIV/0!</v>
      </c>
      <c r="Y29" s="321"/>
      <c r="Z29" s="241" t="e">
        <f t="shared" si="35"/>
        <v>#DIV/0!</v>
      </c>
      <c r="AA29" s="321"/>
      <c r="AB29" s="241" t="e">
        <f t="shared" si="36"/>
        <v>#DIV/0!</v>
      </c>
      <c r="AC29" s="226">
        <f t="shared" si="37"/>
        <v>0</v>
      </c>
      <c r="AD29" s="241" t="e">
        <f t="shared" si="38"/>
        <v>#DIV/0!</v>
      </c>
      <c r="AE29" s="321"/>
      <c r="AF29" s="241" t="e">
        <f t="shared" si="39"/>
        <v>#DIV/0!</v>
      </c>
      <c r="AG29" s="321"/>
      <c r="AH29" s="241" t="e">
        <f t="shared" si="40"/>
        <v>#DIV/0!</v>
      </c>
      <c r="AI29" s="321"/>
      <c r="AJ29" s="241" t="e">
        <f t="shared" si="41"/>
        <v>#DIV/0!</v>
      </c>
      <c r="AK29" s="321"/>
      <c r="AL29" s="241" t="e">
        <f t="shared" si="42"/>
        <v>#DIV/0!</v>
      </c>
    </row>
    <row r="30" spans="2:38" s="73" customFormat="1" ht="14.25" customHeight="1">
      <c r="B30" s="514"/>
      <c r="C30" s="497"/>
      <c r="D30" s="173">
        <v>46072</v>
      </c>
      <c r="E30" s="173" t="s">
        <v>113</v>
      </c>
      <c r="F30" s="338"/>
      <c r="G30" s="516"/>
      <c r="H30" s="523"/>
      <c r="I30" s="321"/>
      <c r="J30" s="241" t="e">
        <f t="shared" si="25"/>
        <v>#DIV/0!</v>
      </c>
      <c r="K30" s="321"/>
      <c r="L30" s="241" t="e">
        <f t="shared" si="26"/>
        <v>#DIV/0!</v>
      </c>
      <c r="M30" s="226">
        <f t="shared" si="27"/>
        <v>0</v>
      </c>
      <c r="N30" s="241" t="e">
        <f t="shared" si="28"/>
        <v>#DIV/0!</v>
      </c>
      <c r="O30" s="321"/>
      <c r="P30" s="241" t="e">
        <f t="shared" si="29"/>
        <v>#DIV/0!</v>
      </c>
      <c r="Q30" s="321"/>
      <c r="R30" s="241" t="e">
        <f t="shared" si="30"/>
        <v>#DIV/0!</v>
      </c>
      <c r="S30" s="226">
        <f t="shared" si="31"/>
        <v>0</v>
      </c>
      <c r="T30" s="241" t="e">
        <f t="shared" si="32"/>
        <v>#DIV/0!</v>
      </c>
      <c r="U30" s="321"/>
      <c r="V30" s="241" t="e">
        <f t="shared" si="33"/>
        <v>#DIV/0!</v>
      </c>
      <c r="W30" s="321"/>
      <c r="X30" s="241" t="e">
        <f t="shared" si="34"/>
        <v>#DIV/0!</v>
      </c>
      <c r="Y30" s="321"/>
      <c r="Z30" s="241" t="e">
        <f t="shared" si="35"/>
        <v>#DIV/0!</v>
      </c>
      <c r="AA30" s="321"/>
      <c r="AB30" s="241" t="e">
        <f t="shared" si="36"/>
        <v>#DIV/0!</v>
      </c>
      <c r="AC30" s="226">
        <f t="shared" si="37"/>
        <v>0</v>
      </c>
      <c r="AD30" s="241" t="e">
        <f t="shared" si="38"/>
        <v>#DIV/0!</v>
      </c>
      <c r="AE30" s="321"/>
      <c r="AF30" s="241" t="e">
        <f t="shared" si="39"/>
        <v>#DIV/0!</v>
      </c>
      <c r="AG30" s="321"/>
      <c r="AH30" s="241" t="e">
        <f t="shared" si="40"/>
        <v>#DIV/0!</v>
      </c>
      <c r="AI30" s="321"/>
      <c r="AJ30" s="241" t="e">
        <f t="shared" si="41"/>
        <v>#DIV/0!</v>
      </c>
      <c r="AK30" s="321"/>
      <c r="AL30" s="241" t="e">
        <f t="shared" si="42"/>
        <v>#DIV/0!</v>
      </c>
    </row>
    <row r="31" spans="2:38" s="73" customFormat="1" ht="14.25" customHeight="1">
      <c r="B31" s="514"/>
      <c r="C31" s="497"/>
      <c r="D31" s="173">
        <v>46073</v>
      </c>
      <c r="E31" s="173" t="s">
        <v>114</v>
      </c>
      <c r="F31" s="338"/>
      <c r="G31" s="516"/>
      <c r="H31" s="523"/>
      <c r="I31" s="321"/>
      <c r="J31" s="241" t="e">
        <f t="shared" si="25"/>
        <v>#DIV/0!</v>
      </c>
      <c r="K31" s="321"/>
      <c r="L31" s="241" t="e">
        <f t="shared" si="26"/>
        <v>#DIV/0!</v>
      </c>
      <c r="M31" s="226">
        <f t="shared" si="27"/>
        <v>0</v>
      </c>
      <c r="N31" s="241" t="e">
        <f t="shared" si="28"/>
        <v>#DIV/0!</v>
      </c>
      <c r="O31" s="321"/>
      <c r="P31" s="241" t="e">
        <f t="shared" si="29"/>
        <v>#DIV/0!</v>
      </c>
      <c r="Q31" s="321"/>
      <c r="R31" s="241" t="e">
        <f t="shared" si="30"/>
        <v>#DIV/0!</v>
      </c>
      <c r="S31" s="226">
        <f t="shared" si="31"/>
        <v>0</v>
      </c>
      <c r="T31" s="241" t="e">
        <f t="shared" si="32"/>
        <v>#DIV/0!</v>
      </c>
      <c r="U31" s="321"/>
      <c r="V31" s="241" t="e">
        <f t="shared" si="33"/>
        <v>#DIV/0!</v>
      </c>
      <c r="W31" s="321"/>
      <c r="X31" s="241" t="e">
        <f t="shared" si="34"/>
        <v>#DIV/0!</v>
      </c>
      <c r="Y31" s="321"/>
      <c r="Z31" s="241" t="e">
        <f t="shared" si="35"/>
        <v>#DIV/0!</v>
      </c>
      <c r="AA31" s="321"/>
      <c r="AB31" s="241" t="e">
        <f t="shared" si="36"/>
        <v>#DIV/0!</v>
      </c>
      <c r="AC31" s="226">
        <f t="shared" si="37"/>
        <v>0</v>
      </c>
      <c r="AD31" s="241" t="e">
        <f t="shared" si="38"/>
        <v>#DIV/0!</v>
      </c>
      <c r="AE31" s="321"/>
      <c r="AF31" s="241" t="e">
        <f t="shared" si="39"/>
        <v>#DIV/0!</v>
      </c>
      <c r="AG31" s="321"/>
      <c r="AH31" s="241" t="e">
        <f t="shared" si="40"/>
        <v>#DIV/0!</v>
      </c>
      <c r="AI31" s="321"/>
      <c r="AJ31" s="241" t="e">
        <f t="shared" si="41"/>
        <v>#DIV/0!</v>
      </c>
      <c r="AK31" s="321"/>
      <c r="AL31" s="241" t="e">
        <f t="shared" si="42"/>
        <v>#DIV/0!</v>
      </c>
    </row>
    <row r="32" spans="2:38" s="73" customFormat="1" ht="14.25" customHeight="1">
      <c r="B32" s="514"/>
      <c r="C32" s="497"/>
      <c r="D32" s="173">
        <v>46074</v>
      </c>
      <c r="E32" s="173" t="s">
        <v>115</v>
      </c>
      <c r="F32" s="338"/>
      <c r="G32" s="516"/>
      <c r="H32" s="523"/>
      <c r="I32" s="321"/>
      <c r="J32" s="241" t="e">
        <f t="shared" si="25"/>
        <v>#DIV/0!</v>
      </c>
      <c r="K32" s="321"/>
      <c r="L32" s="241" t="e">
        <f t="shared" si="26"/>
        <v>#DIV/0!</v>
      </c>
      <c r="M32" s="226">
        <f t="shared" si="27"/>
        <v>0</v>
      </c>
      <c r="N32" s="241" t="e">
        <f t="shared" si="28"/>
        <v>#DIV/0!</v>
      </c>
      <c r="O32" s="321"/>
      <c r="P32" s="241" t="e">
        <f t="shared" si="29"/>
        <v>#DIV/0!</v>
      </c>
      <c r="Q32" s="321"/>
      <c r="R32" s="241" t="e">
        <f t="shared" si="30"/>
        <v>#DIV/0!</v>
      </c>
      <c r="S32" s="226">
        <f t="shared" si="31"/>
        <v>0</v>
      </c>
      <c r="T32" s="241" t="e">
        <f t="shared" si="32"/>
        <v>#DIV/0!</v>
      </c>
      <c r="U32" s="321"/>
      <c r="V32" s="241" t="e">
        <f t="shared" si="33"/>
        <v>#DIV/0!</v>
      </c>
      <c r="W32" s="321"/>
      <c r="X32" s="241" t="e">
        <f t="shared" si="34"/>
        <v>#DIV/0!</v>
      </c>
      <c r="Y32" s="321"/>
      <c r="Z32" s="241" t="e">
        <f t="shared" si="35"/>
        <v>#DIV/0!</v>
      </c>
      <c r="AA32" s="321"/>
      <c r="AB32" s="241" t="e">
        <f t="shared" si="36"/>
        <v>#DIV/0!</v>
      </c>
      <c r="AC32" s="226">
        <f t="shared" si="37"/>
        <v>0</v>
      </c>
      <c r="AD32" s="241" t="e">
        <f t="shared" si="38"/>
        <v>#DIV/0!</v>
      </c>
      <c r="AE32" s="321"/>
      <c r="AF32" s="241" t="e">
        <f t="shared" si="39"/>
        <v>#DIV/0!</v>
      </c>
      <c r="AG32" s="321"/>
      <c r="AH32" s="241" t="e">
        <f t="shared" si="40"/>
        <v>#DIV/0!</v>
      </c>
      <c r="AI32" s="321"/>
      <c r="AJ32" s="241" t="e">
        <f t="shared" si="41"/>
        <v>#DIV/0!</v>
      </c>
      <c r="AK32" s="321"/>
      <c r="AL32" s="241" t="e">
        <f t="shared" si="42"/>
        <v>#DIV/0!</v>
      </c>
    </row>
    <row r="33" spans="2:38" s="73" customFormat="1" ht="14.25" customHeight="1">
      <c r="B33" s="514"/>
      <c r="C33" s="497"/>
      <c r="D33" s="173">
        <v>46075</v>
      </c>
      <c r="E33" s="173" t="s">
        <v>116</v>
      </c>
      <c r="F33" s="338"/>
      <c r="G33" s="516"/>
      <c r="H33" s="523"/>
      <c r="I33" s="321"/>
      <c r="J33" s="241" t="e">
        <f t="shared" si="25"/>
        <v>#DIV/0!</v>
      </c>
      <c r="K33" s="321"/>
      <c r="L33" s="241" t="e">
        <f t="shared" si="26"/>
        <v>#DIV/0!</v>
      </c>
      <c r="M33" s="226">
        <f t="shared" si="27"/>
        <v>0</v>
      </c>
      <c r="N33" s="241" t="e">
        <f t="shared" si="28"/>
        <v>#DIV/0!</v>
      </c>
      <c r="O33" s="321"/>
      <c r="P33" s="241" t="e">
        <f t="shared" si="29"/>
        <v>#DIV/0!</v>
      </c>
      <c r="Q33" s="321"/>
      <c r="R33" s="241" t="e">
        <f t="shared" si="30"/>
        <v>#DIV/0!</v>
      </c>
      <c r="S33" s="226">
        <f t="shared" si="31"/>
        <v>0</v>
      </c>
      <c r="T33" s="241" t="e">
        <f t="shared" si="32"/>
        <v>#DIV/0!</v>
      </c>
      <c r="U33" s="321"/>
      <c r="V33" s="241" t="e">
        <f t="shared" si="33"/>
        <v>#DIV/0!</v>
      </c>
      <c r="W33" s="321"/>
      <c r="X33" s="241" t="e">
        <f t="shared" si="34"/>
        <v>#DIV/0!</v>
      </c>
      <c r="Y33" s="321"/>
      <c r="Z33" s="241" t="e">
        <f t="shared" si="35"/>
        <v>#DIV/0!</v>
      </c>
      <c r="AA33" s="321"/>
      <c r="AB33" s="241" t="e">
        <f t="shared" si="36"/>
        <v>#DIV/0!</v>
      </c>
      <c r="AC33" s="226">
        <f t="shared" si="37"/>
        <v>0</v>
      </c>
      <c r="AD33" s="241" t="e">
        <f t="shared" si="38"/>
        <v>#DIV/0!</v>
      </c>
      <c r="AE33" s="321"/>
      <c r="AF33" s="241" t="e">
        <f t="shared" si="39"/>
        <v>#DIV/0!</v>
      </c>
      <c r="AG33" s="321"/>
      <c r="AH33" s="241" t="e">
        <f t="shared" si="40"/>
        <v>#DIV/0!</v>
      </c>
      <c r="AI33" s="321"/>
      <c r="AJ33" s="241" t="e">
        <f t="shared" si="41"/>
        <v>#DIV/0!</v>
      </c>
      <c r="AK33" s="321"/>
      <c r="AL33" s="241" t="e">
        <f t="shared" si="42"/>
        <v>#DIV/0!</v>
      </c>
    </row>
    <row r="34" spans="2:38" s="73" customFormat="1" ht="14.25" customHeight="1">
      <c r="B34" s="514"/>
      <c r="C34" s="497"/>
      <c r="D34" s="173">
        <v>46076</v>
      </c>
      <c r="E34" s="173" t="s">
        <v>117</v>
      </c>
      <c r="F34" s="338"/>
      <c r="G34" s="516"/>
      <c r="H34" s="523"/>
      <c r="I34" s="321"/>
      <c r="J34" s="241" t="e">
        <f t="shared" si="25"/>
        <v>#DIV/0!</v>
      </c>
      <c r="K34" s="321"/>
      <c r="L34" s="241" t="e">
        <f t="shared" si="26"/>
        <v>#DIV/0!</v>
      </c>
      <c r="M34" s="226">
        <f t="shared" si="27"/>
        <v>0</v>
      </c>
      <c r="N34" s="241" t="e">
        <f t="shared" si="28"/>
        <v>#DIV/0!</v>
      </c>
      <c r="O34" s="321"/>
      <c r="P34" s="241" t="e">
        <f t="shared" si="29"/>
        <v>#DIV/0!</v>
      </c>
      <c r="Q34" s="321"/>
      <c r="R34" s="241" t="e">
        <f t="shared" si="30"/>
        <v>#DIV/0!</v>
      </c>
      <c r="S34" s="226">
        <f t="shared" si="31"/>
        <v>0</v>
      </c>
      <c r="T34" s="241" t="e">
        <f t="shared" si="32"/>
        <v>#DIV/0!</v>
      </c>
      <c r="U34" s="321"/>
      <c r="V34" s="241" t="e">
        <f t="shared" si="33"/>
        <v>#DIV/0!</v>
      </c>
      <c r="W34" s="321"/>
      <c r="X34" s="241" t="e">
        <f t="shared" si="34"/>
        <v>#DIV/0!</v>
      </c>
      <c r="Y34" s="321"/>
      <c r="Z34" s="241" t="e">
        <f t="shared" si="35"/>
        <v>#DIV/0!</v>
      </c>
      <c r="AA34" s="321"/>
      <c r="AB34" s="241" t="e">
        <f t="shared" si="36"/>
        <v>#DIV/0!</v>
      </c>
      <c r="AC34" s="226">
        <f t="shared" si="37"/>
        <v>0</v>
      </c>
      <c r="AD34" s="241" t="e">
        <f t="shared" si="38"/>
        <v>#DIV/0!</v>
      </c>
      <c r="AE34" s="321"/>
      <c r="AF34" s="241" t="e">
        <f t="shared" si="39"/>
        <v>#DIV/0!</v>
      </c>
      <c r="AG34" s="321"/>
      <c r="AH34" s="241" t="e">
        <f t="shared" si="40"/>
        <v>#DIV/0!</v>
      </c>
      <c r="AI34" s="321"/>
      <c r="AJ34" s="241" t="e">
        <f t="shared" si="41"/>
        <v>#DIV/0!</v>
      </c>
      <c r="AK34" s="321"/>
      <c r="AL34" s="241" t="e">
        <f t="shared" si="42"/>
        <v>#DIV/0!</v>
      </c>
    </row>
    <row r="35" spans="2:38" s="73" customFormat="1" ht="14.25" customHeight="1">
      <c r="B35" s="513">
        <f t="shared" ref="B35" si="43">D43</f>
        <v>46085</v>
      </c>
      <c r="C35" s="497"/>
      <c r="D35" s="173">
        <v>46077</v>
      </c>
      <c r="E35" s="173" t="s">
        <v>118</v>
      </c>
      <c r="F35" s="338"/>
      <c r="G35" s="516">
        <f t="shared" ref="G35" si="44">SUM(F35:F41)</f>
        <v>0</v>
      </c>
      <c r="H35" s="523"/>
      <c r="I35" s="321"/>
      <c r="J35" s="241" t="e">
        <f t="shared" si="25"/>
        <v>#DIV/0!</v>
      </c>
      <c r="K35" s="321"/>
      <c r="L35" s="241" t="e">
        <f t="shared" si="26"/>
        <v>#DIV/0!</v>
      </c>
      <c r="M35" s="226">
        <f t="shared" si="27"/>
        <v>0</v>
      </c>
      <c r="N35" s="241" t="e">
        <f t="shared" si="28"/>
        <v>#DIV/0!</v>
      </c>
      <c r="O35" s="321"/>
      <c r="P35" s="241" t="e">
        <f t="shared" si="29"/>
        <v>#DIV/0!</v>
      </c>
      <c r="Q35" s="321"/>
      <c r="R35" s="241" t="e">
        <f t="shared" si="30"/>
        <v>#DIV/0!</v>
      </c>
      <c r="S35" s="226">
        <f t="shared" si="31"/>
        <v>0</v>
      </c>
      <c r="T35" s="241" t="e">
        <f t="shared" si="32"/>
        <v>#DIV/0!</v>
      </c>
      <c r="U35" s="321"/>
      <c r="V35" s="241" t="e">
        <f t="shared" si="33"/>
        <v>#DIV/0!</v>
      </c>
      <c r="W35" s="321"/>
      <c r="X35" s="241" t="e">
        <f t="shared" si="34"/>
        <v>#DIV/0!</v>
      </c>
      <c r="Y35" s="321"/>
      <c r="Z35" s="241" t="e">
        <f t="shared" si="35"/>
        <v>#DIV/0!</v>
      </c>
      <c r="AA35" s="321"/>
      <c r="AB35" s="241" t="e">
        <f t="shared" si="36"/>
        <v>#DIV/0!</v>
      </c>
      <c r="AC35" s="226">
        <f t="shared" si="37"/>
        <v>0</v>
      </c>
      <c r="AD35" s="241" t="e">
        <f t="shared" si="38"/>
        <v>#DIV/0!</v>
      </c>
      <c r="AE35" s="321"/>
      <c r="AF35" s="241" t="e">
        <f t="shared" si="39"/>
        <v>#DIV/0!</v>
      </c>
      <c r="AG35" s="321"/>
      <c r="AH35" s="241" t="e">
        <f t="shared" si="40"/>
        <v>#DIV/0!</v>
      </c>
      <c r="AI35" s="321"/>
      <c r="AJ35" s="241" t="e">
        <f t="shared" si="41"/>
        <v>#DIV/0!</v>
      </c>
      <c r="AK35" s="321"/>
      <c r="AL35" s="241" t="e">
        <f t="shared" si="42"/>
        <v>#DIV/0!</v>
      </c>
    </row>
    <row r="36" spans="2:38" s="73" customFormat="1" ht="14.25" customHeight="1">
      <c r="B36" s="514"/>
      <c r="C36" s="497"/>
      <c r="D36" s="173">
        <v>46078</v>
      </c>
      <c r="E36" s="173" t="s">
        <v>112</v>
      </c>
      <c r="F36" s="338"/>
      <c r="G36" s="516"/>
      <c r="H36" s="523"/>
      <c r="I36" s="321"/>
      <c r="J36" s="241" t="e">
        <f t="shared" si="25"/>
        <v>#DIV/0!</v>
      </c>
      <c r="K36" s="321"/>
      <c r="L36" s="241" t="e">
        <f t="shared" si="26"/>
        <v>#DIV/0!</v>
      </c>
      <c r="M36" s="226">
        <f t="shared" si="27"/>
        <v>0</v>
      </c>
      <c r="N36" s="241" t="e">
        <f t="shared" si="28"/>
        <v>#DIV/0!</v>
      </c>
      <c r="O36" s="321"/>
      <c r="P36" s="241" t="e">
        <f t="shared" si="29"/>
        <v>#DIV/0!</v>
      </c>
      <c r="Q36" s="321"/>
      <c r="R36" s="241" t="e">
        <f t="shared" si="30"/>
        <v>#DIV/0!</v>
      </c>
      <c r="S36" s="226">
        <f t="shared" si="31"/>
        <v>0</v>
      </c>
      <c r="T36" s="241" t="e">
        <f t="shared" si="32"/>
        <v>#DIV/0!</v>
      </c>
      <c r="U36" s="321"/>
      <c r="V36" s="241" t="e">
        <f t="shared" si="33"/>
        <v>#DIV/0!</v>
      </c>
      <c r="W36" s="321"/>
      <c r="X36" s="241" t="e">
        <f t="shared" si="34"/>
        <v>#DIV/0!</v>
      </c>
      <c r="Y36" s="321"/>
      <c r="Z36" s="241" t="e">
        <f t="shared" si="35"/>
        <v>#DIV/0!</v>
      </c>
      <c r="AA36" s="321"/>
      <c r="AB36" s="241" t="e">
        <f t="shared" si="36"/>
        <v>#DIV/0!</v>
      </c>
      <c r="AC36" s="226">
        <f t="shared" si="37"/>
        <v>0</v>
      </c>
      <c r="AD36" s="241" t="e">
        <f t="shared" si="38"/>
        <v>#DIV/0!</v>
      </c>
      <c r="AE36" s="321"/>
      <c r="AF36" s="241" t="e">
        <f t="shared" si="39"/>
        <v>#DIV/0!</v>
      </c>
      <c r="AG36" s="321"/>
      <c r="AH36" s="241" t="e">
        <f t="shared" si="40"/>
        <v>#DIV/0!</v>
      </c>
      <c r="AI36" s="321"/>
      <c r="AJ36" s="241" t="e">
        <f t="shared" si="41"/>
        <v>#DIV/0!</v>
      </c>
      <c r="AK36" s="321"/>
      <c r="AL36" s="241" t="e">
        <f t="shared" si="42"/>
        <v>#DIV/0!</v>
      </c>
    </row>
    <row r="37" spans="2:38" s="73" customFormat="1" ht="14.25" customHeight="1">
      <c r="B37" s="514"/>
      <c r="C37" s="497"/>
      <c r="D37" s="173">
        <v>46079</v>
      </c>
      <c r="E37" s="173" t="s">
        <v>113</v>
      </c>
      <c r="F37" s="338"/>
      <c r="G37" s="516"/>
      <c r="H37" s="523"/>
      <c r="I37" s="321"/>
      <c r="J37" s="241" t="e">
        <f t="shared" si="25"/>
        <v>#DIV/0!</v>
      </c>
      <c r="K37" s="321"/>
      <c r="L37" s="241" t="e">
        <f t="shared" si="26"/>
        <v>#DIV/0!</v>
      </c>
      <c r="M37" s="226">
        <f t="shared" si="27"/>
        <v>0</v>
      </c>
      <c r="N37" s="241" t="e">
        <f t="shared" si="28"/>
        <v>#DIV/0!</v>
      </c>
      <c r="O37" s="321"/>
      <c r="P37" s="241" t="e">
        <f t="shared" si="29"/>
        <v>#DIV/0!</v>
      </c>
      <c r="Q37" s="321"/>
      <c r="R37" s="241" t="e">
        <f t="shared" si="30"/>
        <v>#DIV/0!</v>
      </c>
      <c r="S37" s="226">
        <f t="shared" si="31"/>
        <v>0</v>
      </c>
      <c r="T37" s="241" t="e">
        <f t="shared" si="32"/>
        <v>#DIV/0!</v>
      </c>
      <c r="U37" s="321"/>
      <c r="V37" s="241" t="e">
        <f t="shared" si="33"/>
        <v>#DIV/0!</v>
      </c>
      <c r="W37" s="321"/>
      <c r="X37" s="241" t="e">
        <f t="shared" si="34"/>
        <v>#DIV/0!</v>
      </c>
      <c r="Y37" s="321"/>
      <c r="Z37" s="241" t="e">
        <f t="shared" si="35"/>
        <v>#DIV/0!</v>
      </c>
      <c r="AA37" s="321"/>
      <c r="AB37" s="241" t="e">
        <f t="shared" si="36"/>
        <v>#DIV/0!</v>
      </c>
      <c r="AC37" s="226">
        <f t="shared" si="37"/>
        <v>0</v>
      </c>
      <c r="AD37" s="241" t="e">
        <f t="shared" si="38"/>
        <v>#DIV/0!</v>
      </c>
      <c r="AE37" s="321"/>
      <c r="AF37" s="241" t="e">
        <f t="shared" si="39"/>
        <v>#DIV/0!</v>
      </c>
      <c r="AG37" s="321"/>
      <c r="AH37" s="241" t="e">
        <f t="shared" si="40"/>
        <v>#DIV/0!</v>
      </c>
      <c r="AI37" s="321"/>
      <c r="AJ37" s="241" t="e">
        <f t="shared" si="41"/>
        <v>#DIV/0!</v>
      </c>
      <c r="AK37" s="321"/>
      <c r="AL37" s="241" t="e">
        <f t="shared" si="42"/>
        <v>#DIV/0!</v>
      </c>
    </row>
    <row r="38" spans="2:38" s="73" customFormat="1" ht="14.25" customHeight="1">
      <c r="B38" s="514"/>
      <c r="C38" s="497"/>
      <c r="D38" s="173">
        <v>46080</v>
      </c>
      <c r="E38" s="173" t="s">
        <v>114</v>
      </c>
      <c r="F38" s="338"/>
      <c r="G38" s="516"/>
      <c r="H38" s="523"/>
      <c r="I38" s="321"/>
      <c r="J38" s="241" t="e">
        <f t="shared" si="25"/>
        <v>#DIV/0!</v>
      </c>
      <c r="K38" s="321"/>
      <c r="L38" s="241" t="e">
        <f t="shared" si="26"/>
        <v>#DIV/0!</v>
      </c>
      <c r="M38" s="226">
        <f t="shared" si="27"/>
        <v>0</v>
      </c>
      <c r="N38" s="241" t="e">
        <f t="shared" si="28"/>
        <v>#DIV/0!</v>
      </c>
      <c r="O38" s="321"/>
      <c r="P38" s="241" t="e">
        <f t="shared" si="29"/>
        <v>#DIV/0!</v>
      </c>
      <c r="Q38" s="321"/>
      <c r="R38" s="241" t="e">
        <f t="shared" si="30"/>
        <v>#DIV/0!</v>
      </c>
      <c r="S38" s="226">
        <f t="shared" si="31"/>
        <v>0</v>
      </c>
      <c r="T38" s="241" t="e">
        <f t="shared" si="32"/>
        <v>#DIV/0!</v>
      </c>
      <c r="U38" s="321"/>
      <c r="V38" s="241" t="e">
        <f t="shared" si="33"/>
        <v>#DIV/0!</v>
      </c>
      <c r="W38" s="321"/>
      <c r="X38" s="241" t="e">
        <f t="shared" si="34"/>
        <v>#DIV/0!</v>
      </c>
      <c r="Y38" s="321"/>
      <c r="Z38" s="241" t="e">
        <f t="shared" si="35"/>
        <v>#DIV/0!</v>
      </c>
      <c r="AA38" s="321"/>
      <c r="AB38" s="241" t="e">
        <f t="shared" si="36"/>
        <v>#DIV/0!</v>
      </c>
      <c r="AC38" s="226">
        <f t="shared" si="37"/>
        <v>0</v>
      </c>
      <c r="AD38" s="241" t="e">
        <f t="shared" si="38"/>
        <v>#DIV/0!</v>
      </c>
      <c r="AE38" s="321"/>
      <c r="AF38" s="241" t="e">
        <f t="shared" si="39"/>
        <v>#DIV/0!</v>
      </c>
      <c r="AG38" s="321"/>
      <c r="AH38" s="241" t="e">
        <f t="shared" si="40"/>
        <v>#DIV/0!</v>
      </c>
      <c r="AI38" s="321"/>
      <c r="AJ38" s="241" t="e">
        <f t="shared" si="41"/>
        <v>#DIV/0!</v>
      </c>
      <c r="AK38" s="321"/>
      <c r="AL38" s="241" t="e">
        <f t="shared" si="42"/>
        <v>#DIV/0!</v>
      </c>
    </row>
    <row r="39" spans="2:38" s="73" customFormat="1" ht="14.25" customHeight="1">
      <c r="B39" s="514"/>
      <c r="C39" s="498"/>
      <c r="D39" s="173">
        <v>46081</v>
      </c>
      <c r="E39" s="173" t="s">
        <v>115</v>
      </c>
      <c r="F39" s="338"/>
      <c r="G39" s="516"/>
      <c r="H39" s="524"/>
      <c r="I39" s="321"/>
      <c r="J39" s="241" t="e">
        <f t="shared" si="25"/>
        <v>#DIV/0!</v>
      </c>
      <c r="K39" s="321"/>
      <c r="L39" s="241" t="e">
        <f t="shared" si="26"/>
        <v>#DIV/0!</v>
      </c>
      <c r="M39" s="226">
        <f t="shared" si="27"/>
        <v>0</v>
      </c>
      <c r="N39" s="241" t="e">
        <f t="shared" si="28"/>
        <v>#DIV/0!</v>
      </c>
      <c r="O39" s="321"/>
      <c r="P39" s="241" t="e">
        <f t="shared" si="29"/>
        <v>#DIV/0!</v>
      </c>
      <c r="Q39" s="321"/>
      <c r="R39" s="241" t="e">
        <f t="shared" si="30"/>
        <v>#DIV/0!</v>
      </c>
      <c r="S39" s="226">
        <f t="shared" si="31"/>
        <v>0</v>
      </c>
      <c r="T39" s="241" t="e">
        <f t="shared" si="32"/>
        <v>#DIV/0!</v>
      </c>
      <c r="U39" s="321"/>
      <c r="V39" s="241" t="e">
        <f t="shared" si="33"/>
        <v>#DIV/0!</v>
      </c>
      <c r="W39" s="321"/>
      <c r="X39" s="241" t="e">
        <f t="shared" si="34"/>
        <v>#DIV/0!</v>
      </c>
      <c r="Y39" s="321"/>
      <c r="Z39" s="241" t="e">
        <f t="shared" si="35"/>
        <v>#DIV/0!</v>
      </c>
      <c r="AA39" s="321"/>
      <c r="AB39" s="241" t="e">
        <f t="shared" si="36"/>
        <v>#DIV/0!</v>
      </c>
      <c r="AC39" s="226">
        <f t="shared" si="37"/>
        <v>0</v>
      </c>
      <c r="AD39" s="241" t="e">
        <f t="shared" si="38"/>
        <v>#DIV/0!</v>
      </c>
      <c r="AE39" s="321"/>
      <c r="AF39" s="241" t="e">
        <f t="shared" si="39"/>
        <v>#DIV/0!</v>
      </c>
      <c r="AG39" s="321"/>
      <c r="AH39" s="241" t="e">
        <f t="shared" si="40"/>
        <v>#DIV/0!</v>
      </c>
      <c r="AI39" s="321"/>
      <c r="AJ39" s="241" t="e">
        <f t="shared" si="41"/>
        <v>#DIV/0!</v>
      </c>
      <c r="AK39" s="321"/>
      <c r="AL39" s="241" t="e">
        <f t="shared" si="42"/>
        <v>#DIV/0!</v>
      </c>
    </row>
    <row r="40" spans="2:38" s="73" customFormat="1" ht="14.25" customHeight="1">
      <c r="B40" s="514"/>
      <c r="C40" s="496" t="s">
        <v>112</v>
      </c>
      <c r="D40" s="173">
        <v>46082</v>
      </c>
      <c r="E40" s="173" t="s">
        <v>116</v>
      </c>
      <c r="F40" s="338"/>
      <c r="G40" s="516"/>
      <c r="H40" s="522">
        <f>SUM(F40:F67)</f>
        <v>0</v>
      </c>
      <c r="I40" s="321"/>
      <c r="J40" s="241" t="e">
        <f t="shared" si="25"/>
        <v>#DIV/0!</v>
      </c>
      <c r="K40" s="321"/>
      <c r="L40" s="241" t="e">
        <f t="shared" si="26"/>
        <v>#DIV/0!</v>
      </c>
      <c r="M40" s="226">
        <f t="shared" si="27"/>
        <v>0</v>
      </c>
      <c r="N40" s="241" t="e">
        <f t="shared" si="28"/>
        <v>#DIV/0!</v>
      </c>
      <c r="O40" s="321"/>
      <c r="P40" s="241" t="e">
        <f t="shared" si="29"/>
        <v>#DIV/0!</v>
      </c>
      <c r="Q40" s="321"/>
      <c r="R40" s="241" t="e">
        <f t="shared" si="30"/>
        <v>#DIV/0!</v>
      </c>
      <c r="S40" s="226">
        <f t="shared" si="31"/>
        <v>0</v>
      </c>
      <c r="T40" s="241" t="e">
        <f t="shared" si="32"/>
        <v>#DIV/0!</v>
      </c>
      <c r="U40" s="321"/>
      <c r="V40" s="241" t="e">
        <f t="shared" si="33"/>
        <v>#DIV/0!</v>
      </c>
      <c r="W40" s="321"/>
      <c r="X40" s="241" t="e">
        <f t="shared" si="34"/>
        <v>#DIV/0!</v>
      </c>
      <c r="Y40" s="321"/>
      <c r="Z40" s="241" t="e">
        <f t="shared" si="35"/>
        <v>#DIV/0!</v>
      </c>
      <c r="AA40" s="321"/>
      <c r="AB40" s="241" t="e">
        <f t="shared" si="36"/>
        <v>#DIV/0!</v>
      </c>
      <c r="AC40" s="226">
        <f t="shared" si="37"/>
        <v>0</v>
      </c>
      <c r="AD40" s="241" t="e">
        <f t="shared" si="38"/>
        <v>#DIV/0!</v>
      </c>
      <c r="AE40" s="321"/>
      <c r="AF40" s="241" t="e">
        <f t="shared" si="39"/>
        <v>#DIV/0!</v>
      </c>
      <c r="AG40" s="321"/>
      <c r="AH40" s="241" t="e">
        <f t="shared" si="40"/>
        <v>#DIV/0!</v>
      </c>
      <c r="AI40" s="321"/>
      <c r="AJ40" s="241" t="e">
        <f t="shared" si="41"/>
        <v>#DIV/0!</v>
      </c>
      <c r="AK40" s="321"/>
      <c r="AL40" s="241" t="e">
        <f t="shared" si="42"/>
        <v>#DIV/0!</v>
      </c>
    </row>
    <row r="41" spans="2:38" s="73" customFormat="1" ht="14.25" customHeight="1">
      <c r="B41" s="514"/>
      <c r="C41" s="497"/>
      <c r="D41" s="173">
        <v>46083</v>
      </c>
      <c r="E41" s="173" t="s">
        <v>117</v>
      </c>
      <c r="F41" s="338"/>
      <c r="G41" s="516"/>
      <c r="H41" s="523"/>
      <c r="I41" s="321"/>
      <c r="J41" s="241" t="e">
        <f t="shared" si="25"/>
        <v>#DIV/0!</v>
      </c>
      <c r="K41" s="321"/>
      <c r="L41" s="241" t="e">
        <f t="shared" si="26"/>
        <v>#DIV/0!</v>
      </c>
      <c r="M41" s="226">
        <f t="shared" si="27"/>
        <v>0</v>
      </c>
      <c r="N41" s="241" t="e">
        <f t="shared" si="28"/>
        <v>#DIV/0!</v>
      </c>
      <c r="O41" s="321"/>
      <c r="P41" s="241" t="e">
        <f t="shared" si="29"/>
        <v>#DIV/0!</v>
      </c>
      <c r="Q41" s="321"/>
      <c r="R41" s="241" t="e">
        <f t="shared" si="30"/>
        <v>#DIV/0!</v>
      </c>
      <c r="S41" s="226">
        <f t="shared" si="31"/>
        <v>0</v>
      </c>
      <c r="T41" s="241" t="e">
        <f t="shared" si="32"/>
        <v>#DIV/0!</v>
      </c>
      <c r="U41" s="321"/>
      <c r="V41" s="241" t="e">
        <f t="shared" si="33"/>
        <v>#DIV/0!</v>
      </c>
      <c r="W41" s="321"/>
      <c r="X41" s="241" t="e">
        <f t="shared" si="34"/>
        <v>#DIV/0!</v>
      </c>
      <c r="Y41" s="321"/>
      <c r="Z41" s="241" t="e">
        <f t="shared" si="35"/>
        <v>#DIV/0!</v>
      </c>
      <c r="AA41" s="321"/>
      <c r="AB41" s="241" t="e">
        <f t="shared" si="36"/>
        <v>#DIV/0!</v>
      </c>
      <c r="AC41" s="226">
        <f t="shared" si="37"/>
        <v>0</v>
      </c>
      <c r="AD41" s="241" t="e">
        <f t="shared" si="38"/>
        <v>#DIV/0!</v>
      </c>
      <c r="AE41" s="321"/>
      <c r="AF41" s="241" t="e">
        <f t="shared" si="39"/>
        <v>#DIV/0!</v>
      </c>
      <c r="AG41" s="321"/>
      <c r="AH41" s="241" t="e">
        <f t="shared" si="40"/>
        <v>#DIV/0!</v>
      </c>
      <c r="AI41" s="321"/>
      <c r="AJ41" s="241" t="e">
        <f t="shared" si="41"/>
        <v>#DIV/0!</v>
      </c>
      <c r="AK41" s="321"/>
      <c r="AL41" s="241" t="e">
        <f t="shared" si="42"/>
        <v>#DIV/0!</v>
      </c>
    </row>
    <row r="42" spans="2:38" s="73" customFormat="1" ht="14.25">
      <c r="B42" s="499">
        <f>B35+7</f>
        <v>46092</v>
      </c>
      <c r="C42" s="497"/>
      <c r="D42" s="173">
        <v>46084</v>
      </c>
      <c r="E42" s="173" t="s">
        <v>118</v>
      </c>
      <c r="F42" s="338"/>
      <c r="G42" s="525">
        <f>SUM(F42:F48)</f>
        <v>0</v>
      </c>
      <c r="H42" s="523"/>
      <c r="I42" s="432"/>
      <c r="J42" s="241" t="e">
        <f t="shared" ref="J42:J69" si="45">I42/$F42</f>
        <v>#DIV/0!</v>
      </c>
      <c r="K42" s="321"/>
      <c r="L42" s="241" t="e">
        <f t="shared" ref="L42:L69" si="46">K42/$F42</f>
        <v>#DIV/0!</v>
      </c>
      <c r="M42" s="226">
        <f t="shared" ref="M42:M69" si="47">I42+K42</f>
        <v>0</v>
      </c>
      <c r="N42" s="241" t="e">
        <f t="shared" ref="N42:N69" si="48">M42/$F42</f>
        <v>#DIV/0!</v>
      </c>
      <c r="O42" s="321"/>
      <c r="P42" s="241" t="e">
        <f t="shared" ref="P42:P69" si="49">O42/$F42</f>
        <v>#DIV/0!</v>
      </c>
      <c r="Q42" s="321"/>
      <c r="R42" s="241" t="e">
        <f t="shared" ref="R42:R69" si="50">Q42/$F42</f>
        <v>#DIV/0!</v>
      </c>
      <c r="S42" s="226">
        <f t="shared" ref="S42:S69" si="51">O42+Q42</f>
        <v>0</v>
      </c>
      <c r="T42" s="241" t="e">
        <f t="shared" ref="T42:T69" si="52">S42/$F42</f>
        <v>#DIV/0!</v>
      </c>
      <c r="U42" s="321"/>
      <c r="V42" s="241" t="e">
        <f t="shared" ref="V42:V69" si="53">U42/$F42</f>
        <v>#DIV/0!</v>
      </c>
      <c r="W42" s="321"/>
      <c r="X42" s="241" t="e">
        <f t="shared" ref="X42:X69" si="54">W42/$F42</f>
        <v>#DIV/0!</v>
      </c>
      <c r="Y42" s="321"/>
      <c r="Z42" s="241" t="e">
        <f t="shared" ref="Z42:Z69" si="55">Y42/$F42</f>
        <v>#DIV/0!</v>
      </c>
      <c r="AA42" s="321"/>
      <c r="AB42" s="241" t="e">
        <f t="shared" ref="AB42:AB69" si="56">AA42/$F42</f>
        <v>#DIV/0!</v>
      </c>
      <c r="AC42" s="226">
        <f t="shared" ref="AC42:AC69" si="57">Y42+AA42</f>
        <v>0</v>
      </c>
      <c r="AD42" s="241" t="e">
        <f t="shared" ref="AD42:AD69" si="58">AC42/$F42</f>
        <v>#DIV/0!</v>
      </c>
      <c r="AE42" s="321"/>
      <c r="AF42" s="241" t="e">
        <f t="shared" ref="AF42:AF69" si="59">AE42/$F42</f>
        <v>#DIV/0!</v>
      </c>
      <c r="AG42" s="321"/>
      <c r="AH42" s="241" t="e">
        <f t="shared" ref="AH42:AH69" si="60">AG42/$F42</f>
        <v>#DIV/0!</v>
      </c>
      <c r="AI42" s="321"/>
      <c r="AJ42" s="241" t="e">
        <f t="shared" ref="AJ42:AJ69" si="61">AI42/$F42</f>
        <v>#DIV/0!</v>
      </c>
      <c r="AK42" s="321"/>
      <c r="AL42" s="241" t="e">
        <f t="shared" ref="AL42:AL69" si="62">AK42/$F42</f>
        <v>#DIV/0!</v>
      </c>
    </row>
    <row r="43" spans="2:38" s="73" customFormat="1" ht="14.25">
      <c r="B43" s="500"/>
      <c r="C43" s="497"/>
      <c r="D43" s="173">
        <v>46085</v>
      </c>
      <c r="E43" s="173" t="s">
        <v>112</v>
      </c>
      <c r="F43" s="338"/>
      <c r="G43" s="525"/>
      <c r="H43" s="523"/>
      <c r="I43" s="432"/>
      <c r="J43" s="241" t="e">
        <f t="shared" si="45"/>
        <v>#DIV/0!</v>
      </c>
      <c r="K43" s="321"/>
      <c r="L43" s="241" t="e">
        <f t="shared" si="46"/>
        <v>#DIV/0!</v>
      </c>
      <c r="M43" s="226">
        <f t="shared" si="47"/>
        <v>0</v>
      </c>
      <c r="N43" s="241" t="e">
        <f t="shared" si="48"/>
        <v>#DIV/0!</v>
      </c>
      <c r="O43" s="321"/>
      <c r="P43" s="241" t="e">
        <f t="shared" si="49"/>
        <v>#DIV/0!</v>
      </c>
      <c r="Q43" s="321"/>
      <c r="R43" s="241" t="e">
        <f t="shared" si="50"/>
        <v>#DIV/0!</v>
      </c>
      <c r="S43" s="226">
        <f t="shared" si="51"/>
        <v>0</v>
      </c>
      <c r="T43" s="241" t="e">
        <f t="shared" si="52"/>
        <v>#DIV/0!</v>
      </c>
      <c r="U43" s="321"/>
      <c r="V43" s="241" t="e">
        <f t="shared" si="53"/>
        <v>#DIV/0!</v>
      </c>
      <c r="W43" s="321"/>
      <c r="X43" s="241" t="e">
        <f t="shared" si="54"/>
        <v>#DIV/0!</v>
      </c>
      <c r="Y43" s="321"/>
      <c r="Z43" s="241" t="e">
        <f t="shared" si="55"/>
        <v>#DIV/0!</v>
      </c>
      <c r="AA43" s="321"/>
      <c r="AB43" s="241" t="e">
        <f t="shared" si="56"/>
        <v>#DIV/0!</v>
      </c>
      <c r="AC43" s="226">
        <f t="shared" si="57"/>
        <v>0</v>
      </c>
      <c r="AD43" s="241" t="e">
        <f t="shared" si="58"/>
        <v>#DIV/0!</v>
      </c>
      <c r="AE43" s="321"/>
      <c r="AF43" s="241" t="e">
        <f t="shared" si="59"/>
        <v>#DIV/0!</v>
      </c>
      <c r="AG43" s="321"/>
      <c r="AH43" s="241" t="e">
        <f t="shared" si="60"/>
        <v>#DIV/0!</v>
      </c>
      <c r="AI43" s="321"/>
      <c r="AJ43" s="241" t="e">
        <f t="shared" si="61"/>
        <v>#DIV/0!</v>
      </c>
      <c r="AK43" s="321"/>
      <c r="AL43" s="241" t="e">
        <f t="shared" si="62"/>
        <v>#DIV/0!</v>
      </c>
    </row>
    <row r="44" spans="2:38" s="73" customFormat="1" ht="14.25">
      <c r="B44" s="500"/>
      <c r="C44" s="497"/>
      <c r="D44" s="173">
        <v>46086</v>
      </c>
      <c r="E44" s="173" t="s">
        <v>113</v>
      </c>
      <c r="F44" s="338"/>
      <c r="G44" s="525"/>
      <c r="H44" s="523"/>
      <c r="I44" s="432"/>
      <c r="J44" s="241" t="e">
        <f t="shared" si="45"/>
        <v>#DIV/0!</v>
      </c>
      <c r="K44" s="321"/>
      <c r="L44" s="241" t="e">
        <f t="shared" si="46"/>
        <v>#DIV/0!</v>
      </c>
      <c r="M44" s="226">
        <f t="shared" si="47"/>
        <v>0</v>
      </c>
      <c r="N44" s="241" t="e">
        <f t="shared" si="48"/>
        <v>#DIV/0!</v>
      </c>
      <c r="O44" s="321"/>
      <c r="P44" s="241" t="e">
        <f t="shared" si="49"/>
        <v>#DIV/0!</v>
      </c>
      <c r="Q44" s="321"/>
      <c r="R44" s="241" t="e">
        <f t="shared" si="50"/>
        <v>#DIV/0!</v>
      </c>
      <c r="S44" s="226">
        <f t="shared" si="51"/>
        <v>0</v>
      </c>
      <c r="T44" s="241" t="e">
        <f t="shared" si="52"/>
        <v>#DIV/0!</v>
      </c>
      <c r="U44" s="321"/>
      <c r="V44" s="241" t="e">
        <f t="shared" si="53"/>
        <v>#DIV/0!</v>
      </c>
      <c r="W44" s="321"/>
      <c r="X44" s="241" t="e">
        <f t="shared" si="54"/>
        <v>#DIV/0!</v>
      </c>
      <c r="Y44" s="321"/>
      <c r="Z44" s="241" t="e">
        <f t="shared" si="55"/>
        <v>#DIV/0!</v>
      </c>
      <c r="AA44" s="321"/>
      <c r="AB44" s="241" t="e">
        <f t="shared" si="56"/>
        <v>#DIV/0!</v>
      </c>
      <c r="AC44" s="226">
        <f t="shared" si="57"/>
        <v>0</v>
      </c>
      <c r="AD44" s="241" t="e">
        <f t="shared" si="58"/>
        <v>#DIV/0!</v>
      </c>
      <c r="AE44" s="321"/>
      <c r="AF44" s="241" t="e">
        <f t="shared" si="59"/>
        <v>#DIV/0!</v>
      </c>
      <c r="AG44" s="321"/>
      <c r="AH44" s="241" t="e">
        <f t="shared" si="60"/>
        <v>#DIV/0!</v>
      </c>
      <c r="AI44" s="321"/>
      <c r="AJ44" s="241" t="e">
        <f t="shared" si="61"/>
        <v>#DIV/0!</v>
      </c>
      <c r="AK44" s="321"/>
      <c r="AL44" s="241" t="e">
        <f t="shared" si="62"/>
        <v>#DIV/0!</v>
      </c>
    </row>
    <row r="45" spans="2:38" s="73" customFormat="1" ht="14.25">
      <c r="B45" s="500"/>
      <c r="C45" s="497"/>
      <c r="D45" s="173">
        <v>46087</v>
      </c>
      <c r="E45" s="173" t="s">
        <v>114</v>
      </c>
      <c r="F45" s="338"/>
      <c r="G45" s="525"/>
      <c r="H45" s="523"/>
      <c r="I45" s="432"/>
      <c r="J45" s="241" t="e">
        <f t="shared" si="45"/>
        <v>#DIV/0!</v>
      </c>
      <c r="K45" s="321"/>
      <c r="L45" s="241" t="e">
        <f t="shared" si="46"/>
        <v>#DIV/0!</v>
      </c>
      <c r="M45" s="226">
        <f t="shared" si="47"/>
        <v>0</v>
      </c>
      <c r="N45" s="241" t="e">
        <f t="shared" si="48"/>
        <v>#DIV/0!</v>
      </c>
      <c r="O45" s="321"/>
      <c r="P45" s="241" t="e">
        <f t="shared" si="49"/>
        <v>#DIV/0!</v>
      </c>
      <c r="Q45" s="321"/>
      <c r="R45" s="241" t="e">
        <f t="shared" si="50"/>
        <v>#DIV/0!</v>
      </c>
      <c r="S45" s="226">
        <f t="shared" si="51"/>
        <v>0</v>
      </c>
      <c r="T45" s="241" t="e">
        <f t="shared" si="52"/>
        <v>#DIV/0!</v>
      </c>
      <c r="U45" s="321"/>
      <c r="V45" s="241" t="e">
        <f t="shared" si="53"/>
        <v>#DIV/0!</v>
      </c>
      <c r="W45" s="321"/>
      <c r="X45" s="241" t="e">
        <f t="shared" si="54"/>
        <v>#DIV/0!</v>
      </c>
      <c r="Y45" s="321"/>
      <c r="Z45" s="241" t="e">
        <f t="shared" si="55"/>
        <v>#DIV/0!</v>
      </c>
      <c r="AA45" s="321"/>
      <c r="AB45" s="241" t="e">
        <f t="shared" si="56"/>
        <v>#DIV/0!</v>
      </c>
      <c r="AC45" s="226">
        <f t="shared" si="57"/>
        <v>0</v>
      </c>
      <c r="AD45" s="241" t="e">
        <f t="shared" si="58"/>
        <v>#DIV/0!</v>
      </c>
      <c r="AE45" s="321"/>
      <c r="AF45" s="241" t="e">
        <f t="shared" si="59"/>
        <v>#DIV/0!</v>
      </c>
      <c r="AG45" s="321"/>
      <c r="AH45" s="241" t="e">
        <f t="shared" si="60"/>
        <v>#DIV/0!</v>
      </c>
      <c r="AI45" s="321"/>
      <c r="AJ45" s="241" t="e">
        <f t="shared" si="61"/>
        <v>#DIV/0!</v>
      </c>
      <c r="AK45" s="321"/>
      <c r="AL45" s="241" t="e">
        <f t="shared" si="62"/>
        <v>#DIV/0!</v>
      </c>
    </row>
    <row r="46" spans="2:38" s="73" customFormat="1" ht="14.25" collapsed="1">
      <c r="B46" s="500"/>
      <c r="C46" s="497"/>
      <c r="D46" s="173">
        <v>46088</v>
      </c>
      <c r="E46" s="173" t="s">
        <v>115</v>
      </c>
      <c r="F46" s="338"/>
      <c r="G46" s="525"/>
      <c r="H46" s="523"/>
      <c r="I46" s="432"/>
      <c r="J46" s="241" t="e">
        <f t="shared" si="45"/>
        <v>#DIV/0!</v>
      </c>
      <c r="K46" s="321"/>
      <c r="L46" s="241" t="e">
        <f t="shared" si="46"/>
        <v>#DIV/0!</v>
      </c>
      <c r="M46" s="226">
        <f t="shared" si="47"/>
        <v>0</v>
      </c>
      <c r="N46" s="241" t="e">
        <f t="shared" si="48"/>
        <v>#DIV/0!</v>
      </c>
      <c r="O46" s="321"/>
      <c r="P46" s="241" t="e">
        <f t="shared" si="49"/>
        <v>#DIV/0!</v>
      </c>
      <c r="Q46" s="321"/>
      <c r="R46" s="241" t="e">
        <f t="shared" si="50"/>
        <v>#DIV/0!</v>
      </c>
      <c r="S46" s="226">
        <f t="shared" si="51"/>
        <v>0</v>
      </c>
      <c r="T46" s="241" t="e">
        <f t="shared" si="52"/>
        <v>#DIV/0!</v>
      </c>
      <c r="U46" s="321"/>
      <c r="V46" s="241" t="e">
        <f t="shared" si="53"/>
        <v>#DIV/0!</v>
      </c>
      <c r="W46" s="321"/>
      <c r="X46" s="241" t="e">
        <f t="shared" si="54"/>
        <v>#DIV/0!</v>
      </c>
      <c r="Y46" s="321"/>
      <c r="Z46" s="241" t="e">
        <f t="shared" si="55"/>
        <v>#DIV/0!</v>
      </c>
      <c r="AA46" s="321"/>
      <c r="AB46" s="241" t="e">
        <f t="shared" si="56"/>
        <v>#DIV/0!</v>
      </c>
      <c r="AC46" s="226">
        <f t="shared" si="57"/>
        <v>0</v>
      </c>
      <c r="AD46" s="241" t="e">
        <f t="shared" si="58"/>
        <v>#DIV/0!</v>
      </c>
      <c r="AE46" s="321"/>
      <c r="AF46" s="241" t="e">
        <f t="shared" si="59"/>
        <v>#DIV/0!</v>
      </c>
      <c r="AG46" s="321"/>
      <c r="AH46" s="241" t="e">
        <f t="shared" si="60"/>
        <v>#DIV/0!</v>
      </c>
      <c r="AI46" s="321"/>
      <c r="AJ46" s="241" t="e">
        <f t="shared" si="61"/>
        <v>#DIV/0!</v>
      </c>
      <c r="AK46" s="321"/>
      <c r="AL46" s="241" t="e">
        <f t="shared" si="62"/>
        <v>#DIV/0!</v>
      </c>
    </row>
    <row r="47" spans="2:38" s="73" customFormat="1" ht="14.25">
      <c r="B47" s="500"/>
      <c r="C47" s="497"/>
      <c r="D47" s="173">
        <v>46089</v>
      </c>
      <c r="E47" s="173" t="s">
        <v>116</v>
      </c>
      <c r="F47" s="338"/>
      <c r="G47" s="525"/>
      <c r="H47" s="523"/>
      <c r="I47" s="432"/>
      <c r="J47" s="241" t="e">
        <f t="shared" si="45"/>
        <v>#DIV/0!</v>
      </c>
      <c r="K47" s="321"/>
      <c r="L47" s="241" t="e">
        <f t="shared" si="46"/>
        <v>#DIV/0!</v>
      </c>
      <c r="M47" s="226">
        <f t="shared" si="47"/>
        <v>0</v>
      </c>
      <c r="N47" s="241" t="e">
        <f t="shared" si="48"/>
        <v>#DIV/0!</v>
      </c>
      <c r="O47" s="321"/>
      <c r="P47" s="241" t="e">
        <f t="shared" si="49"/>
        <v>#DIV/0!</v>
      </c>
      <c r="Q47" s="321"/>
      <c r="R47" s="241" t="e">
        <f t="shared" si="50"/>
        <v>#DIV/0!</v>
      </c>
      <c r="S47" s="226">
        <f t="shared" si="51"/>
        <v>0</v>
      </c>
      <c r="T47" s="241" t="e">
        <f t="shared" si="52"/>
        <v>#DIV/0!</v>
      </c>
      <c r="U47" s="321"/>
      <c r="V47" s="241" t="e">
        <f t="shared" si="53"/>
        <v>#DIV/0!</v>
      </c>
      <c r="W47" s="321"/>
      <c r="X47" s="241" t="e">
        <f t="shared" si="54"/>
        <v>#DIV/0!</v>
      </c>
      <c r="Y47" s="321"/>
      <c r="Z47" s="241" t="e">
        <f t="shared" si="55"/>
        <v>#DIV/0!</v>
      </c>
      <c r="AA47" s="321"/>
      <c r="AB47" s="241" t="e">
        <f t="shared" si="56"/>
        <v>#DIV/0!</v>
      </c>
      <c r="AC47" s="226">
        <f t="shared" si="57"/>
        <v>0</v>
      </c>
      <c r="AD47" s="241" t="e">
        <f t="shared" si="58"/>
        <v>#DIV/0!</v>
      </c>
      <c r="AE47" s="321"/>
      <c r="AF47" s="241" t="e">
        <f t="shared" si="59"/>
        <v>#DIV/0!</v>
      </c>
      <c r="AG47" s="321"/>
      <c r="AH47" s="241" t="e">
        <f t="shared" si="60"/>
        <v>#DIV/0!</v>
      </c>
      <c r="AI47" s="321"/>
      <c r="AJ47" s="241" t="e">
        <f t="shared" si="61"/>
        <v>#DIV/0!</v>
      </c>
      <c r="AK47" s="321"/>
      <c r="AL47" s="241" t="e">
        <f t="shared" si="62"/>
        <v>#DIV/0!</v>
      </c>
    </row>
    <row r="48" spans="2:38" s="73" customFormat="1" ht="14.25">
      <c r="B48" s="501"/>
      <c r="C48" s="497"/>
      <c r="D48" s="173">
        <v>46090</v>
      </c>
      <c r="E48" s="173" t="s">
        <v>117</v>
      </c>
      <c r="F48" s="338"/>
      <c r="G48" s="525"/>
      <c r="H48" s="523"/>
      <c r="I48" s="432"/>
      <c r="J48" s="241" t="e">
        <f t="shared" si="45"/>
        <v>#DIV/0!</v>
      </c>
      <c r="K48" s="321"/>
      <c r="L48" s="241" t="e">
        <f t="shared" si="46"/>
        <v>#DIV/0!</v>
      </c>
      <c r="M48" s="226">
        <f t="shared" si="47"/>
        <v>0</v>
      </c>
      <c r="N48" s="241" t="e">
        <f t="shared" si="48"/>
        <v>#DIV/0!</v>
      </c>
      <c r="O48" s="321"/>
      <c r="P48" s="241" t="e">
        <f t="shared" si="49"/>
        <v>#DIV/0!</v>
      </c>
      <c r="Q48" s="321"/>
      <c r="R48" s="241" t="e">
        <f t="shared" si="50"/>
        <v>#DIV/0!</v>
      </c>
      <c r="S48" s="226">
        <f t="shared" si="51"/>
        <v>0</v>
      </c>
      <c r="T48" s="241" t="e">
        <f t="shared" si="52"/>
        <v>#DIV/0!</v>
      </c>
      <c r="U48" s="321"/>
      <c r="V48" s="241" t="e">
        <f t="shared" si="53"/>
        <v>#DIV/0!</v>
      </c>
      <c r="W48" s="321"/>
      <c r="X48" s="241" t="e">
        <f t="shared" si="54"/>
        <v>#DIV/0!</v>
      </c>
      <c r="Y48" s="321"/>
      <c r="Z48" s="241" t="e">
        <f t="shared" si="55"/>
        <v>#DIV/0!</v>
      </c>
      <c r="AA48" s="321"/>
      <c r="AB48" s="241" t="e">
        <f t="shared" si="56"/>
        <v>#DIV/0!</v>
      </c>
      <c r="AC48" s="226">
        <f t="shared" si="57"/>
        <v>0</v>
      </c>
      <c r="AD48" s="241" t="e">
        <f t="shared" si="58"/>
        <v>#DIV/0!</v>
      </c>
      <c r="AE48" s="321"/>
      <c r="AF48" s="241" t="e">
        <f t="shared" si="59"/>
        <v>#DIV/0!</v>
      </c>
      <c r="AG48" s="321"/>
      <c r="AH48" s="241" t="e">
        <f t="shared" si="60"/>
        <v>#DIV/0!</v>
      </c>
      <c r="AI48" s="321"/>
      <c r="AJ48" s="241" t="e">
        <f t="shared" si="61"/>
        <v>#DIV/0!</v>
      </c>
      <c r="AK48" s="321"/>
      <c r="AL48" s="241" t="e">
        <f t="shared" si="62"/>
        <v>#DIV/0!</v>
      </c>
    </row>
    <row r="49" spans="2:38" s="73" customFormat="1" ht="14.25">
      <c r="B49" s="499">
        <f>B42+7</f>
        <v>46099</v>
      </c>
      <c r="C49" s="497"/>
      <c r="D49" s="173">
        <v>46091</v>
      </c>
      <c r="E49" s="173" t="s">
        <v>118</v>
      </c>
      <c r="F49" s="338"/>
      <c r="G49" s="525">
        <f t="shared" ref="G49" si="63">SUM(F49:F55)</f>
        <v>0</v>
      </c>
      <c r="H49" s="523"/>
      <c r="I49" s="432"/>
      <c r="J49" s="241" t="e">
        <f t="shared" si="45"/>
        <v>#DIV/0!</v>
      </c>
      <c r="K49" s="321"/>
      <c r="L49" s="241" t="e">
        <f t="shared" si="46"/>
        <v>#DIV/0!</v>
      </c>
      <c r="M49" s="226">
        <f t="shared" si="47"/>
        <v>0</v>
      </c>
      <c r="N49" s="241" t="e">
        <f t="shared" si="48"/>
        <v>#DIV/0!</v>
      </c>
      <c r="O49" s="321"/>
      <c r="P49" s="241" t="e">
        <f t="shared" si="49"/>
        <v>#DIV/0!</v>
      </c>
      <c r="Q49" s="321"/>
      <c r="R49" s="241" t="e">
        <f t="shared" si="50"/>
        <v>#DIV/0!</v>
      </c>
      <c r="S49" s="226">
        <f t="shared" si="51"/>
        <v>0</v>
      </c>
      <c r="T49" s="241" t="e">
        <f t="shared" si="52"/>
        <v>#DIV/0!</v>
      </c>
      <c r="U49" s="321"/>
      <c r="V49" s="241" t="e">
        <f t="shared" si="53"/>
        <v>#DIV/0!</v>
      </c>
      <c r="W49" s="321"/>
      <c r="X49" s="241" t="e">
        <f t="shared" si="54"/>
        <v>#DIV/0!</v>
      </c>
      <c r="Y49" s="321"/>
      <c r="Z49" s="241" t="e">
        <f t="shared" si="55"/>
        <v>#DIV/0!</v>
      </c>
      <c r="AA49" s="321"/>
      <c r="AB49" s="241" t="e">
        <f t="shared" si="56"/>
        <v>#DIV/0!</v>
      </c>
      <c r="AC49" s="226">
        <f t="shared" si="57"/>
        <v>0</v>
      </c>
      <c r="AD49" s="241" t="e">
        <f t="shared" si="58"/>
        <v>#DIV/0!</v>
      </c>
      <c r="AE49" s="321"/>
      <c r="AF49" s="241" t="e">
        <f t="shared" si="59"/>
        <v>#DIV/0!</v>
      </c>
      <c r="AG49" s="321"/>
      <c r="AH49" s="241" t="e">
        <f t="shared" si="60"/>
        <v>#DIV/0!</v>
      </c>
      <c r="AI49" s="321"/>
      <c r="AJ49" s="241" t="e">
        <f t="shared" si="61"/>
        <v>#DIV/0!</v>
      </c>
      <c r="AK49" s="321"/>
      <c r="AL49" s="241" t="e">
        <f t="shared" si="62"/>
        <v>#DIV/0!</v>
      </c>
    </row>
    <row r="50" spans="2:38" s="73" customFormat="1" ht="14.25">
      <c r="B50" s="500"/>
      <c r="C50" s="497"/>
      <c r="D50" s="173">
        <v>46092</v>
      </c>
      <c r="E50" s="173" t="s">
        <v>112</v>
      </c>
      <c r="F50" s="338"/>
      <c r="G50" s="525"/>
      <c r="H50" s="523"/>
      <c r="I50" s="432"/>
      <c r="J50" s="241" t="e">
        <f t="shared" si="45"/>
        <v>#DIV/0!</v>
      </c>
      <c r="K50" s="321"/>
      <c r="L50" s="241" t="e">
        <f t="shared" si="46"/>
        <v>#DIV/0!</v>
      </c>
      <c r="M50" s="226">
        <f t="shared" si="47"/>
        <v>0</v>
      </c>
      <c r="N50" s="241" t="e">
        <f t="shared" si="48"/>
        <v>#DIV/0!</v>
      </c>
      <c r="O50" s="321"/>
      <c r="P50" s="241" t="e">
        <f t="shared" si="49"/>
        <v>#DIV/0!</v>
      </c>
      <c r="Q50" s="321"/>
      <c r="R50" s="241" t="e">
        <f t="shared" si="50"/>
        <v>#DIV/0!</v>
      </c>
      <c r="S50" s="226">
        <f t="shared" si="51"/>
        <v>0</v>
      </c>
      <c r="T50" s="241" t="e">
        <f t="shared" si="52"/>
        <v>#DIV/0!</v>
      </c>
      <c r="U50" s="321"/>
      <c r="V50" s="241" t="e">
        <f t="shared" si="53"/>
        <v>#DIV/0!</v>
      </c>
      <c r="W50" s="321"/>
      <c r="X50" s="241" t="e">
        <f t="shared" si="54"/>
        <v>#DIV/0!</v>
      </c>
      <c r="Y50" s="321"/>
      <c r="Z50" s="241" t="e">
        <f t="shared" si="55"/>
        <v>#DIV/0!</v>
      </c>
      <c r="AA50" s="321"/>
      <c r="AB50" s="241" t="e">
        <f t="shared" si="56"/>
        <v>#DIV/0!</v>
      </c>
      <c r="AC50" s="226">
        <f t="shared" si="57"/>
        <v>0</v>
      </c>
      <c r="AD50" s="241" t="e">
        <f t="shared" si="58"/>
        <v>#DIV/0!</v>
      </c>
      <c r="AE50" s="321"/>
      <c r="AF50" s="241" t="e">
        <f t="shared" si="59"/>
        <v>#DIV/0!</v>
      </c>
      <c r="AG50" s="321"/>
      <c r="AH50" s="241" t="e">
        <f t="shared" si="60"/>
        <v>#DIV/0!</v>
      </c>
      <c r="AI50" s="321"/>
      <c r="AJ50" s="241" t="e">
        <f t="shared" si="61"/>
        <v>#DIV/0!</v>
      </c>
      <c r="AK50" s="321"/>
      <c r="AL50" s="241" t="e">
        <f t="shared" si="62"/>
        <v>#DIV/0!</v>
      </c>
    </row>
    <row r="51" spans="2:38" s="73" customFormat="1" ht="14.25">
      <c r="B51" s="500"/>
      <c r="C51" s="497"/>
      <c r="D51" s="173">
        <v>46093</v>
      </c>
      <c r="E51" s="173" t="s">
        <v>113</v>
      </c>
      <c r="F51" s="338"/>
      <c r="G51" s="525"/>
      <c r="H51" s="523"/>
      <c r="I51" s="432"/>
      <c r="J51" s="241" t="e">
        <f t="shared" si="45"/>
        <v>#DIV/0!</v>
      </c>
      <c r="K51" s="321"/>
      <c r="L51" s="241" t="e">
        <f t="shared" si="46"/>
        <v>#DIV/0!</v>
      </c>
      <c r="M51" s="226">
        <f t="shared" si="47"/>
        <v>0</v>
      </c>
      <c r="N51" s="241" t="e">
        <f t="shared" si="48"/>
        <v>#DIV/0!</v>
      </c>
      <c r="O51" s="321"/>
      <c r="P51" s="241" t="e">
        <f t="shared" si="49"/>
        <v>#DIV/0!</v>
      </c>
      <c r="Q51" s="321"/>
      <c r="R51" s="241" t="e">
        <f t="shared" si="50"/>
        <v>#DIV/0!</v>
      </c>
      <c r="S51" s="226">
        <f t="shared" si="51"/>
        <v>0</v>
      </c>
      <c r="T51" s="241" t="e">
        <f t="shared" si="52"/>
        <v>#DIV/0!</v>
      </c>
      <c r="U51" s="321"/>
      <c r="V51" s="241" t="e">
        <f t="shared" si="53"/>
        <v>#DIV/0!</v>
      </c>
      <c r="W51" s="321"/>
      <c r="X51" s="241" t="e">
        <f t="shared" si="54"/>
        <v>#DIV/0!</v>
      </c>
      <c r="Y51" s="321"/>
      <c r="Z51" s="241" t="e">
        <f t="shared" si="55"/>
        <v>#DIV/0!</v>
      </c>
      <c r="AA51" s="321"/>
      <c r="AB51" s="241" t="e">
        <f t="shared" si="56"/>
        <v>#DIV/0!</v>
      </c>
      <c r="AC51" s="226">
        <f t="shared" si="57"/>
        <v>0</v>
      </c>
      <c r="AD51" s="241" t="e">
        <f t="shared" si="58"/>
        <v>#DIV/0!</v>
      </c>
      <c r="AE51" s="321"/>
      <c r="AF51" s="241" t="e">
        <f t="shared" si="59"/>
        <v>#DIV/0!</v>
      </c>
      <c r="AG51" s="321"/>
      <c r="AH51" s="241" t="e">
        <f t="shared" si="60"/>
        <v>#DIV/0!</v>
      </c>
      <c r="AI51" s="321"/>
      <c r="AJ51" s="241" t="e">
        <f t="shared" si="61"/>
        <v>#DIV/0!</v>
      </c>
      <c r="AK51" s="321"/>
      <c r="AL51" s="241" t="e">
        <f t="shared" si="62"/>
        <v>#DIV/0!</v>
      </c>
    </row>
    <row r="52" spans="2:38" s="73" customFormat="1" ht="14.25">
      <c r="B52" s="500"/>
      <c r="C52" s="497"/>
      <c r="D52" s="173">
        <v>46094</v>
      </c>
      <c r="E52" s="173" t="s">
        <v>114</v>
      </c>
      <c r="F52" s="338"/>
      <c r="G52" s="525"/>
      <c r="H52" s="523"/>
      <c r="I52" s="432"/>
      <c r="J52" s="241" t="e">
        <f t="shared" si="45"/>
        <v>#DIV/0!</v>
      </c>
      <c r="K52" s="321"/>
      <c r="L52" s="241" t="e">
        <f t="shared" si="46"/>
        <v>#DIV/0!</v>
      </c>
      <c r="M52" s="226">
        <f t="shared" si="47"/>
        <v>0</v>
      </c>
      <c r="N52" s="241" t="e">
        <f t="shared" si="48"/>
        <v>#DIV/0!</v>
      </c>
      <c r="O52" s="321"/>
      <c r="P52" s="241" t="e">
        <f t="shared" si="49"/>
        <v>#DIV/0!</v>
      </c>
      <c r="Q52" s="321"/>
      <c r="R52" s="241" t="e">
        <f t="shared" si="50"/>
        <v>#DIV/0!</v>
      </c>
      <c r="S52" s="226">
        <f t="shared" si="51"/>
        <v>0</v>
      </c>
      <c r="T52" s="241" t="e">
        <f t="shared" si="52"/>
        <v>#DIV/0!</v>
      </c>
      <c r="U52" s="321"/>
      <c r="V52" s="241" t="e">
        <f t="shared" si="53"/>
        <v>#DIV/0!</v>
      </c>
      <c r="W52" s="321"/>
      <c r="X52" s="241" t="e">
        <f t="shared" si="54"/>
        <v>#DIV/0!</v>
      </c>
      <c r="Y52" s="321"/>
      <c r="Z52" s="241" t="e">
        <f t="shared" si="55"/>
        <v>#DIV/0!</v>
      </c>
      <c r="AA52" s="321"/>
      <c r="AB52" s="241" t="e">
        <f t="shared" si="56"/>
        <v>#DIV/0!</v>
      </c>
      <c r="AC52" s="226">
        <f t="shared" si="57"/>
        <v>0</v>
      </c>
      <c r="AD52" s="241" t="e">
        <f t="shared" si="58"/>
        <v>#DIV/0!</v>
      </c>
      <c r="AE52" s="321"/>
      <c r="AF52" s="241" t="e">
        <f t="shared" si="59"/>
        <v>#DIV/0!</v>
      </c>
      <c r="AG52" s="321"/>
      <c r="AH52" s="241" t="e">
        <f t="shared" si="60"/>
        <v>#DIV/0!</v>
      </c>
      <c r="AI52" s="321"/>
      <c r="AJ52" s="241" t="e">
        <f t="shared" si="61"/>
        <v>#DIV/0!</v>
      </c>
      <c r="AK52" s="321"/>
      <c r="AL52" s="241" t="e">
        <f t="shared" si="62"/>
        <v>#DIV/0!</v>
      </c>
    </row>
    <row r="53" spans="2:38" s="73" customFormat="1" ht="14.25" collapsed="1">
      <c r="B53" s="500"/>
      <c r="C53" s="497"/>
      <c r="D53" s="173">
        <v>46095</v>
      </c>
      <c r="E53" s="173" t="s">
        <v>115</v>
      </c>
      <c r="F53" s="338"/>
      <c r="G53" s="525"/>
      <c r="H53" s="523"/>
      <c r="I53" s="432"/>
      <c r="J53" s="241" t="e">
        <f t="shared" si="45"/>
        <v>#DIV/0!</v>
      </c>
      <c r="K53" s="321"/>
      <c r="L53" s="241" t="e">
        <f t="shared" si="46"/>
        <v>#DIV/0!</v>
      </c>
      <c r="M53" s="226">
        <f t="shared" si="47"/>
        <v>0</v>
      </c>
      <c r="N53" s="241" t="e">
        <f t="shared" si="48"/>
        <v>#DIV/0!</v>
      </c>
      <c r="O53" s="321"/>
      <c r="P53" s="241" t="e">
        <f t="shared" si="49"/>
        <v>#DIV/0!</v>
      </c>
      <c r="Q53" s="321"/>
      <c r="R53" s="241" t="e">
        <f t="shared" si="50"/>
        <v>#DIV/0!</v>
      </c>
      <c r="S53" s="226">
        <f t="shared" si="51"/>
        <v>0</v>
      </c>
      <c r="T53" s="241" t="e">
        <f t="shared" si="52"/>
        <v>#DIV/0!</v>
      </c>
      <c r="U53" s="321"/>
      <c r="V53" s="241" t="e">
        <f t="shared" si="53"/>
        <v>#DIV/0!</v>
      </c>
      <c r="W53" s="321"/>
      <c r="X53" s="241" t="e">
        <f t="shared" si="54"/>
        <v>#DIV/0!</v>
      </c>
      <c r="Y53" s="321"/>
      <c r="Z53" s="241" t="e">
        <f t="shared" si="55"/>
        <v>#DIV/0!</v>
      </c>
      <c r="AA53" s="321"/>
      <c r="AB53" s="241" t="e">
        <f t="shared" si="56"/>
        <v>#DIV/0!</v>
      </c>
      <c r="AC53" s="226">
        <f t="shared" si="57"/>
        <v>0</v>
      </c>
      <c r="AD53" s="241" t="e">
        <f t="shared" si="58"/>
        <v>#DIV/0!</v>
      </c>
      <c r="AE53" s="321"/>
      <c r="AF53" s="241" t="e">
        <f t="shared" si="59"/>
        <v>#DIV/0!</v>
      </c>
      <c r="AG53" s="321"/>
      <c r="AH53" s="241" t="e">
        <f t="shared" si="60"/>
        <v>#DIV/0!</v>
      </c>
      <c r="AI53" s="321"/>
      <c r="AJ53" s="241" t="e">
        <f t="shared" si="61"/>
        <v>#DIV/0!</v>
      </c>
      <c r="AK53" s="321"/>
      <c r="AL53" s="241" t="e">
        <f t="shared" si="62"/>
        <v>#DIV/0!</v>
      </c>
    </row>
    <row r="54" spans="2:38" s="73" customFormat="1" ht="14.25">
      <c r="B54" s="500"/>
      <c r="C54" s="497"/>
      <c r="D54" s="173">
        <v>46096</v>
      </c>
      <c r="E54" s="173" t="s">
        <v>116</v>
      </c>
      <c r="F54" s="338"/>
      <c r="G54" s="525"/>
      <c r="H54" s="523"/>
      <c r="I54" s="432"/>
      <c r="J54" s="241" t="e">
        <f t="shared" si="45"/>
        <v>#DIV/0!</v>
      </c>
      <c r="K54" s="321"/>
      <c r="L54" s="241" t="e">
        <f t="shared" si="46"/>
        <v>#DIV/0!</v>
      </c>
      <c r="M54" s="226">
        <f t="shared" si="47"/>
        <v>0</v>
      </c>
      <c r="N54" s="241" t="e">
        <f t="shared" si="48"/>
        <v>#DIV/0!</v>
      </c>
      <c r="O54" s="321"/>
      <c r="P54" s="241" t="e">
        <f t="shared" si="49"/>
        <v>#DIV/0!</v>
      </c>
      <c r="Q54" s="321"/>
      <c r="R54" s="241" t="e">
        <f t="shared" si="50"/>
        <v>#DIV/0!</v>
      </c>
      <c r="S54" s="226">
        <f t="shared" si="51"/>
        <v>0</v>
      </c>
      <c r="T54" s="241" t="e">
        <f t="shared" si="52"/>
        <v>#DIV/0!</v>
      </c>
      <c r="U54" s="321"/>
      <c r="V54" s="241" t="e">
        <f t="shared" si="53"/>
        <v>#DIV/0!</v>
      </c>
      <c r="W54" s="321"/>
      <c r="X54" s="241" t="e">
        <f t="shared" si="54"/>
        <v>#DIV/0!</v>
      </c>
      <c r="Y54" s="321"/>
      <c r="Z54" s="241" t="e">
        <f t="shared" si="55"/>
        <v>#DIV/0!</v>
      </c>
      <c r="AA54" s="321"/>
      <c r="AB54" s="241" t="e">
        <f t="shared" si="56"/>
        <v>#DIV/0!</v>
      </c>
      <c r="AC54" s="226">
        <f t="shared" si="57"/>
        <v>0</v>
      </c>
      <c r="AD54" s="241" t="e">
        <f t="shared" si="58"/>
        <v>#DIV/0!</v>
      </c>
      <c r="AE54" s="321"/>
      <c r="AF54" s="241" t="e">
        <f t="shared" si="59"/>
        <v>#DIV/0!</v>
      </c>
      <c r="AG54" s="321"/>
      <c r="AH54" s="241" t="e">
        <f t="shared" si="60"/>
        <v>#DIV/0!</v>
      </c>
      <c r="AI54" s="321"/>
      <c r="AJ54" s="241" t="e">
        <f t="shared" si="61"/>
        <v>#DIV/0!</v>
      </c>
      <c r="AK54" s="321"/>
      <c r="AL54" s="241" t="e">
        <f t="shared" si="62"/>
        <v>#DIV/0!</v>
      </c>
    </row>
    <row r="55" spans="2:38" s="73" customFormat="1" ht="14.25">
      <c r="B55" s="501"/>
      <c r="C55" s="497"/>
      <c r="D55" s="173">
        <v>46097</v>
      </c>
      <c r="E55" s="173" t="s">
        <v>117</v>
      </c>
      <c r="F55" s="338"/>
      <c r="G55" s="525"/>
      <c r="H55" s="523"/>
      <c r="I55" s="432"/>
      <c r="J55" s="241" t="e">
        <f t="shared" si="45"/>
        <v>#DIV/0!</v>
      </c>
      <c r="K55" s="321"/>
      <c r="L55" s="241" t="e">
        <f t="shared" si="46"/>
        <v>#DIV/0!</v>
      </c>
      <c r="M55" s="226">
        <f t="shared" si="47"/>
        <v>0</v>
      </c>
      <c r="N55" s="241" t="e">
        <f t="shared" si="48"/>
        <v>#DIV/0!</v>
      </c>
      <c r="O55" s="321"/>
      <c r="P55" s="241" t="e">
        <f t="shared" si="49"/>
        <v>#DIV/0!</v>
      </c>
      <c r="Q55" s="321"/>
      <c r="R55" s="241" t="e">
        <f t="shared" si="50"/>
        <v>#DIV/0!</v>
      </c>
      <c r="S55" s="226">
        <f t="shared" si="51"/>
        <v>0</v>
      </c>
      <c r="T55" s="241" t="e">
        <f t="shared" si="52"/>
        <v>#DIV/0!</v>
      </c>
      <c r="U55" s="321"/>
      <c r="V55" s="241" t="e">
        <f t="shared" si="53"/>
        <v>#DIV/0!</v>
      </c>
      <c r="W55" s="321"/>
      <c r="X55" s="241" t="e">
        <f t="shared" si="54"/>
        <v>#DIV/0!</v>
      </c>
      <c r="Y55" s="321"/>
      <c r="Z55" s="241" t="e">
        <f t="shared" si="55"/>
        <v>#DIV/0!</v>
      </c>
      <c r="AA55" s="321"/>
      <c r="AB55" s="241" t="e">
        <f t="shared" si="56"/>
        <v>#DIV/0!</v>
      </c>
      <c r="AC55" s="226">
        <f t="shared" si="57"/>
        <v>0</v>
      </c>
      <c r="AD55" s="241" t="e">
        <f t="shared" si="58"/>
        <v>#DIV/0!</v>
      </c>
      <c r="AE55" s="321"/>
      <c r="AF55" s="241" t="e">
        <f t="shared" si="59"/>
        <v>#DIV/0!</v>
      </c>
      <c r="AG55" s="321"/>
      <c r="AH55" s="241" t="e">
        <f t="shared" si="60"/>
        <v>#DIV/0!</v>
      </c>
      <c r="AI55" s="321"/>
      <c r="AJ55" s="241" t="e">
        <f t="shared" si="61"/>
        <v>#DIV/0!</v>
      </c>
      <c r="AK55" s="321"/>
      <c r="AL55" s="241" t="e">
        <f t="shared" si="62"/>
        <v>#DIV/0!</v>
      </c>
    </row>
    <row r="56" spans="2:38" s="73" customFormat="1" ht="14.25">
      <c r="B56" s="499">
        <f>B49+7</f>
        <v>46106</v>
      </c>
      <c r="C56" s="497"/>
      <c r="D56" s="173">
        <v>46098</v>
      </c>
      <c r="E56" s="173" t="s">
        <v>118</v>
      </c>
      <c r="F56" s="338"/>
      <c r="G56" s="525">
        <f t="shared" ref="G56" si="64">SUM(F56:F62)</f>
        <v>0</v>
      </c>
      <c r="H56" s="523"/>
      <c r="I56" s="432"/>
      <c r="J56" s="241" t="e">
        <f t="shared" si="45"/>
        <v>#DIV/0!</v>
      </c>
      <c r="K56" s="321"/>
      <c r="L56" s="241" t="e">
        <f t="shared" si="46"/>
        <v>#DIV/0!</v>
      </c>
      <c r="M56" s="226">
        <f t="shared" si="47"/>
        <v>0</v>
      </c>
      <c r="N56" s="241" t="e">
        <f t="shared" si="48"/>
        <v>#DIV/0!</v>
      </c>
      <c r="O56" s="321"/>
      <c r="P56" s="241" t="e">
        <f t="shared" si="49"/>
        <v>#DIV/0!</v>
      </c>
      <c r="Q56" s="321"/>
      <c r="R56" s="241" t="e">
        <f t="shared" si="50"/>
        <v>#DIV/0!</v>
      </c>
      <c r="S56" s="226">
        <f t="shared" si="51"/>
        <v>0</v>
      </c>
      <c r="T56" s="241" t="e">
        <f t="shared" si="52"/>
        <v>#DIV/0!</v>
      </c>
      <c r="U56" s="321"/>
      <c r="V56" s="241" t="e">
        <f t="shared" si="53"/>
        <v>#DIV/0!</v>
      </c>
      <c r="W56" s="321"/>
      <c r="X56" s="241" t="e">
        <f t="shared" si="54"/>
        <v>#DIV/0!</v>
      </c>
      <c r="Y56" s="321"/>
      <c r="Z56" s="241" t="e">
        <f t="shared" si="55"/>
        <v>#DIV/0!</v>
      </c>
      <c r="AA56" s="321"/>
      <c r="AB56" s="241" t="e">
        <f t="shared" si="56"/>
        <v>#DIV/0!</v>
      </c>
      <c r="AC56" s="226">
        <f t="shared" si="57"/>
        <v>0</v>
      </c>
      <c r="AD56" s="241" t="e">
        <f t="shared" si="58"/>
        <v>#DIV/0!</v>
      </c>
      <c r="AE56" s="321"/>
      <c r="AF56" s="241" t="e">
        <f t="shared" si="59"/>
        <v>#DIV/0!</v>
      </c>
      <c r="AG56" s="321"/>
      <c r="AH56" s="241" t="e">
        <f t="shared" si="60"/>
        <v>#DIV/0!</v>
      </c>
      <c r="AI56" s="321"/>
      <c r="AJ56" s="241" t="e">
        <f t="shared" si="61"/>
        <v>#DIV/0!</v>
      </c>
      <c r="AK56" s="321"/>
      <c r="AL56" s="241" t="e">
        <f t="shared" si="62"/>
        <v>#DIV/0!</v>
      </c>
    </row>
    <row r="57" spans="2:38" s="73" customFormat="1" ht="14.25">
      <c r="B57" s="500"/>
      <c r="C57" s="497"/>
      <c r="D57" s="173">
        <v>46099</v>
      </c>
      <c r="E57" s="173" t="s">
        <v>112</v>
      </c>
      <c r="F57" s="338"/>
      <c r="G57" s="525"/>
      <c r="H57" s="523"/>
      <c r="I57" s="432"/>
      <c r="J57" s="241" t="e">
        <f t="shared" si="45"/>
        <v>#DIV/0!</v>
      </c>
      <c r="K57" s="321"/>
      <c r="L57" s="241" t="e">
        <f t="shared" si="46"/>
        <v>#DIV/0!</v>
      </c>
      <c r="M57" s="226">
        <f t="shared" si="47"/>
        <v>0</v>
      </c>
      <c r="N57" s="241" t="e">
        <f t="shared" si="48"/>
        <v>#DIV/0!</v>
      </c>
      <c r="O57" s="321"/>
      <c r="P57" s="241" t="e">
        <f t="shared" si="49"/>
        <v>#DIV/0!</v>
      </c>
      <c r="Q57" s="321"/>
      <c r="R57" s="241" t="e">
        <f t="shared" si="50"/>
        <v>#DIV/0!</v>
      </c>
      <c r="S57" s="226">
        <f t="shared" si="51"/>
        <v>0</v>
      </c>
      <c r="T57" s="241" t="e">
        <f t="shared" si="52"/>
        <v>#DIV/0!</v>
      </c>
      <c r="U57" s="321"/>
      <c r="V57" s="241" t="e">
        <f t="shared" si="53"/>
        <v>#DIV/0!</v>
      </c>
      <c r="W57" s="321"/>
      <c r="X57" s="241" t="e">
        <f t="shared" si="54"/>
        <v>#DIV/0!</v>
      </c>
      <c r="Y57" s="321"/>
      <c r="Z57" s="241" t="e">
        <f t="shared" si="55"/>
        <v>#DIV/0!</v>
      </c>
      <c r="AA57" s="321"/>
      <c r="AB57" s="241" t="e">
        <f t="shared" si="56"/>
        <v>#DIV/0!</v>
      </c>
      <c r="AC57" s="226">
        <f t="shared" si="57"/>
        <v>0</v>
      </c>
      <c r="AD57" s="241" t="e">
        <f t="shared" si="58"/>
        <v>#DIV/0!</v>
      </c>
      <c r="AE57" s="321"/>
      <c r="AF57" s="241" t="e">
        <f t="shared" si="59"/>
        <v>#DIV/0!</v>
      </c>
      <c r="AG57" s="321"/>
      <c r="AH57" s="241" t="e">
        <f t="shared" si="60"/>
        <v>#DIV/0!</v>
      </c>
      <c r="AI57" s="321"/>
      <c r="AJ57" s="241" t="e">
        <f t="shared" si="61"/>
        <v>#DIV/0!</v>
      </c>
      <c r="AK57" s="321"/>
      <c r="AL57" s="241" t="e">
        <f t="shared" si="62"/>
        <v>#DIV/0!</v>
      </c>
    </row>
    <row r="58" spans="2:38" s="73" customFormat="1" ht="14.25">
      <c r="B58" s="500"/>
      <c r="C58" s="497"/>
      <c r="D58" s="173">
        <v>46100</v>
      </c>
      <c r="E58" s="173" t="s">
        <v>113</v>
      </c>
      <c r="F58" s="338"/>
      <c r="G58" s="525"/>
      <c r="H58" s="523"/>
      <c r="I58" s="432"/>
      <c r="J58" s="241" t="e">
        <f t="shared" si="45"/>
        <v>#DIV/0!</v>
      </c>
      <c r="K58" s="321"/>
      <c r="L58" s="241" t="e">
        <f t="shared" si="46"/>
        <v>#DIV/0!</v>
      </c>
      <c r="M58" s="226">
        <f t="shared" si="47"/>
        <v>0</v>
      </c>
      <c r="N58" s="241" t="e">
        <f t="shared" si="48"/>
        <v>#DIV/0!</v>
      </c>
      <c r="O58" s="321"/>
      <c r="P58" s="241" t="e">
        <f t="shared" si="49"/>
        <v>#DIV/0!</v>
      </c>
      <c r="Q58" s="321"/>
      <c r="R58" s="241" t="e">
        <f t="shared" si="50"/>
        <v>#DIV/0!</v>
      </c>
      <c r="S58" s="226">
        <f t="shared" si="51"/>
        <v>0</v>
      </c>
      <c r="T58" s="241" t="e">
        <f t="shared" si="52"/>
        <v>#DIV/0!</v>
      </c>
      <c r="U58" s="321"/>
      <c r="V58" s="241" t="e">
        <f t="shared" si="53"/>
        <v>#DIV/0!</v>
      </c>
      <c r="W58" s="321"/>
      <c r="X58" s="241" t="e">
        <f t="shared" si="54"/>
        <v>#DIV/0!</v>
      </c>
      <c r="Y58" s="321"/>
      <c r="Z58" s="241" t="e">
        <f t="shared" si="55"/>
        <v>#DIV/0!</v>
      </c>
      <c r="AA58" s="321"/>
      <c r="AB58" s="241" t="e">
        <f t="shared" si="56"/>
        <v>#DIV/0!</v>
      </c>
      <c r="AC58" s="226">
        <f t="shared" si="57"/>
        <v>0</v>
      </c>
      <c r="AD58" s="241" t="e">
        <f t="shared" si="58"/>
        <v>#DIV/0!</v>
      </c>
      <c r="AE58" s="321"/>
      <c r="AF58" s="241" t="e">
        <f t="shared" si="59"/>
        <v>#DIV/0!</v>
      </c>
      <c r="AG58" s="321"/>
      <c r="AH58" s="241" t="e">
        <f t="shared" si="60"/>
        <v>#DIV/0!</v>
      </c>
      <c r="AI58" s="321"/>
      <c r="AJ58" s="241" t="e">
        <f t="shared" si="61"/>
        <v>#DIV/0!</v>
      </c>
      <c r="AK58" s="321"/>
      <c r="AL58" s="241" t="e">
        <f t="shared" si="62"/>
        <v>#DIV/0!</v>
      </c>
    </row>
    <row r="59" spans="2:38" s="73" customFormat="1" ht="14.25">
      <c r="B59" s="500"/>
      <c r="C59" s="497"/>
      <c r="D59" s="173">
        <v>46101</v>
      </c>
      <c r="E59" s="173" t="s">
        <v>114</v>
      </c>
      <c r="F59" s="338"/>
      <c r="G59" s="525"/>
      <c r="H59" s="523"/>
      <c r="I59" s="432"/>
      <c r="J59" s="241" t="e">
        <f t="shared" si="45"/>
        <v>#DIV/0!</v>
      </c>
      <c r="K59" s="321"/>
      <c r="L59" s="241" t="e">
        <f t="shared" si="46"/>
        <v>#DIV/0!</v>
      </c>
      <c r="M59" s="226">
        <f t="shared" si="47"/>
        <v>0</v>
      </c>
      <c r="N59" s="241" t="e">
        <f t="shared" si="48"/>
        <v>#DIV/0!</v>
      </c>
      <c r="O59" s="321"/>
      <c r="P59" s="241" t="e">
        <f t="shared" si="49"/>
        <v>#DIV/0!</v>
      </c>
      <c r="Q59" s="321"/>
      <c r="R59" s="241" t="e">
        <f t="shared" si="50"/>
        <v>#DIV/0!</v>
      </c>
      <c r="S59" s="226">
        <f t="shared" si="51"/>
        <v>0</v>
      </c>
      <c r="T59" s="241" t="e">
        <f t="shared" si="52"/>
        <v>#DIV/0!</v>
      </c>
      <c r="U59" s="321"/>
      <c r="V59" s="241" t="e">
        <f t="shared" si="53"/>
        <v>#DIV/0!</v>
      </c>
      <c r="W59" s="321"/>
      <c r="X59" s="241" t="e">
        <f t="shared" si="54"/>
        <v>#DIV/0!</v>
      </c>
      <c r="Y59" s="321"/>
      <c r="Z59" s="241" t="e">
        <f t="shared" si="55"/>
        <v>#DIV/0!</v>
      </c>
      <c r="AA59" s="321"/>
      <c r="AB59" s="241" t="e">
        <f t="shared" si="56"/>
        <v>#DIV/0!</v>
      </c>
      <c r="AC59" s="226">
        <f t="shared" si="57"/>
        <v>0</v>
      </c>
      <c r="AD59" s="241" t="e">
        <f t="shared" si="58"/>
        <v>#DIV/0!</v>
      </c>
      <c r="AE59" s="321"/>
      <c r="AF59" s="241" t="e">
        <f t="shared" si="59"/>
        <v>#DIV/0!</v>
      </c>
      <c r="AG59" s="321"/>
      <c r="AH59" s="241" t="e">
        <f t="shared" si="60"/>
        <v>#DIV/0!</v>
      </c>
      <c r="AI59" s="321"/>
      <c r="AJ59" s="241" t="e">
        <f t="shared" si="61"/>
        <v>#DIV/0!</v>
      </c>
      <c r="AK59" s="321"/>
      <c r="AL59" s="241" t="e">
        <f t="shared" si="62"/>
        <v>#DIV/0!</v>
      </c>
    </row>
    <row r="60" spans="2:38" s="73" customFormat="1" ht="14.25" collapsed="1">
      <c r="B60" s="500"/>
      <c r="C60" s="497"/>
      <c r="D60" s="173">
        <v>46102</v>
      </c>
      <c r="E60" s="173" t="s">
        <v>115</v>
      </c>
      <c r="F60" s="338"/>
      <c r="G60" s="525"/>
      <c r="H60" s="523"/>
      <c r="I60" s="432"/>
      <c r="J60" s="241" t="e">
        <f t="shared" si="45"/>
        <v>#DIV/0!</v>
      </c>
      <c r="K60" s="321"/>
      <c r="L60" s="241" t="e">
        <f t="shared" si="46"/>
        <v>#DIV/0!</v>
      </c>
      <c r="M60" s="226">
        <f t="shared" si="47"/>
        <v>0</v>
      </c>
      <c r="N60" s="241" t="e">
        <f t="shared" si="48"/>
        <v>#DIV/0!</v>
      </c>
      <c r="O60" s="321"/>
      <c r="P60" s="241" t="e">
        <f t="shared" si="49"/>
        <v>#DIV/0!</v>
      </c>
      <c r="Q60" s="321"/>
      <c r="R60" s="241" t="e">
        <f t="shared" si="50"/>
        <v>#DIV/0!</v>
      </c>
      <c r="S60" s="226">
        <f t="shared" si="51"/>
        <v>0</v>
      </c>
      <c r="T60" s="241" t="e">
        <f t="shared" si="52"/>
        <v>#DIV/0!</v>
      </c>
      <c r="U60" s="321"/>
      <c r="V60" s="241" t="e">
        <f t="shared" si="53"/>
        <v>#DIV/0!</v>
      </c>
      <c r="W60" s="321"/>
      <c r="X60" s="241" t="e">
        <f t="shared" si="54"/>
        <v>#DIV/0!</v>
      </c>
      <c r="Y60" s="321"/>
      <c r="Z60" s="241" t="e">
        <f t="shared" si="55"/>
        <v>#DIV/0!</v>
      </c>
      <c r="AA60" s="321"/>
      <c r="AB60" s="241" t="e">
        <f t="shared" si="56"/>
        <v>#DIV/0!</v>
      </c>
      <c r="AC60" s="226">
        <f t="shared" si="57"/>
        <v>0</v>
      </c>
      <c r="AD60" s="241" t="e">
        <f t="shared" si="58"/>
        <v>#DIV/0!</v>
      </c>
      <c r="AE60" s="321"/>
      <c r="AF60" s="241" t="e">
        <f t="shared" si="59"/>
        <v>#DIV/0!</v>
      </c>
      <c r="AG60" s="321"/>
      <c r="AH60" s="241" t="e">
        <f t="shared" si="60"/>
        <v>#DIV/0!</v>
      </c>
      <c r="AI60" s="321"/>
      <c r="AJ60" s="241" t="e">
        <f t="shared" si="61"/>
        <v>#DIV/0!</v>
      </c>
      <c r="AK60" s="321"/>
      <c r="AL60" s="241" t="e">
        <f t="shared" si="62"/>
        <v>#DIV/0!</v>
      </c>
    </row>
    <row r="61" spans="2:38" s="73" customFormat="1" ht="14.25">
      <c r="B61" s="500"/>
      <c r="C61" s="497"/>
      <c r="D61" s="173">
        <v>46103</v>
      </c>
      <c r="E61" s="173" t="s">
        <v>116</v>
      </c>
      <c r="F61" s="338"/>
      <c r="G61" s="525"/>
      <c r="H61" s="523"/>
      <c r="I61" s="432"/>
      <c r="J61" s="241" t="e">
        <f t="shared" si="45"/>
        <v>#DIV/0!</v>
      </c>
      <c r="K61" s="321"/>
      <c r="L61" s="241" t="e">
        <f t="shared" si="46"/>
        <v>#DIV/0!</v>
      </c>
      <c r="M61" s="226">
        <f t="shared" si="47"/>
        <v>0</v>
      </c>
      <c r="N61" s="241" t="e">
        <f t="shared" si="48"/>
        <v>#DIV/0!</v>
      </c>
      <c r="O61" s="321"/>
      <c r="P61" s="241" t="e">
        <f t="shared" si="49"/>
        <v>#DIV/0!</v>
      </c>
      <c r="Q61" s="321"/>
      <c r="R61" s="241" t="e">
        <f t="shared" si="50"/>
        <v>#DIV/0!</v>
      </c>
      <c r="S61" s="226">
        <f t="shared" si="51"/>
        <v>0</v>
      </c>
      <c r="T61" s="241" t="e">
        <f t="shared" si="52"/>
        <v>#DIV/0!</v>
      </c>
      <c r="U61" s="321"/>
      <c r="V61" s="241" t="e">
        <f t="shared" si="53"/>
        <v>#DIV/0!</v>
      </c>
      <c r="W61" s="321"/>
      <c r="X61" s="241" t="e">
        <f t="shared" si="54"/>
        <v>#DIV/0!</v>
      </c>
      <c r="Y61" s="321"/>
      <c r="Z61" s="241" t="e">
        <f t="shared" si="55"/>
        <v>#DIV/0!</v>
      </c>
      <c r="AA61" s="321"/>
      <c r="AB61" s="241" t="e">
        <f t="shared" si="56"/>
        <v>#DIV/0!</v>
      </c>
      <c r="AC61" s="226">
        <f t="shared" si="57"/>
        <v>0</v>
      </c>
      <c r="AD61" s="241" t="e">
        <f t="shared" si="58"/>
        <v>#DIV/0!</v>
      </c>
      <c r="AE61" s="321"/>
      <c r="AF61" s="241" t="e">
        <f t="shared" si="59"/>
        <v>#DIV/0!</v>
      </c>
      <c r="AG61" s="321"/>
      <c r="AH61" s="241" t="e">
        <f t="shared" si="60"/>
        <v>#DIV/0!</v>
      </c>
      <c r="AI61" s="321"/>
      <c r="AJ61" s="241" t="e">
        <f t="shared" si="61"/>
        <v>#DIV/0!</v>
      </c>
      <c r="AK61" s="321"/>
      <c r="AL61" s="241" t="e">
        <f t="shared" si="62"/>
        <v>#DIV/0!</v>
      </c>
    </row>
    <row r="62" spans="2:38" s="73" customFormat="1" ht="14.25">
      <c r="B62" s="501"/>
      <c r="C62" s="497"/>
      <c r="D62" s="173">
        <v>46104</v>
      </c>
      <c r="E62" s="173" t="s">
        <v>117</v>
      </c>
      <c r="F62" s="338"/>
      <c r="G62" s="525"/>
      <c r="H62" s="523"/>
      <c r="I62" s="432"/>
      <c r="J62" s="241" t="e">
        <f t="shared" si="45"/>
        <v>#DIV/0!</v>
      </c>
      <c r="K62" s="321"/>
      <c r="L62" s="241" t="e">
        <f t="shared" si="46"/>
        <v>#DIV/0!</v>
      </c>
      <c r="M62" s="226">
        <f t="shared" si="47"/>
        <v>0</v>
      </c>
      <c r="N62" s="241" t="e">
        <f t="shared" si="48"/>
        <v>#DIV/0!</v>
      </c>
      <c r="O62" s="321"/>
      <c r="P62" s="241" t="e">
        <f t="shared" si="49"/>
        <v>#DIV/0!</v>
      </c>
      <c r="Q62" s="321"/>
      <c r="R62" s="241" t="e">
        <f t="shared" si="50"/>
        <v>#DIV/0!</v>
      </c>
      <c r="S62" s="226">
        <f t="shared" si="51"/>
        <v>0</v>
      </c>
      <c r="T62" s="241" t="e">
        <f t="shared" si="52"/>
        <v>#DIV/0!</v>
      </c>
      <c r="U62" s="321"/>
      <c r="V62" s="241" t="e">
        <f t="shared" si="53"/>
        <v>#DIV/0!</v>
      </c>
      <c r="W62" s="321"/>
      <c r="X62" s="241" t="e">
        <f t="shared" si="54"/>
        <v>#DIV/0!</v>
      </c>
      <c r="Y62" s="321"/>
      <c r="Z62" s="241" t="e">
        <f t="shared" si="55"/>
        <v>#DIV/0!</v>
      </c>
      <c r="AA62" s="321"/>
      <c r="AB62" s="241" t="e">
        <f t="shared" si="56"/>
        <v>#DIV/0!</v>
      </c>
      <c r="AC62" s="226">
        <f t="shared" si="57"/>
        <v>0</v>
      </c>
      <c r="AD62" s="241" t="e">
        <f t="shared" si="58"/>
        <v>#DIV/0!</v>
      </c>
      <c r="AE62" s="321"/>
      <c r="AF62" s="241" t="e">
        <f t="shared" si="59"/>
        <v>#DIV/0!</v>
      </c>
      <c r="AG62" s="321"/>
      <c r="AH62" s="241" t="e">
        <f t="shared" si="60"/>
        <v>#DIV/0!</v>
      </c>
      <c r="AI62" s="321"/>
      <c r="AJ62" s="241" t="e">
        <f t="shared" si="61"/>
        <v>#DIV/0!</v>
      </c>
      <c r="AK62" s="321"/>
      <c r="AL62" s="241" t="e">
        <f t="shared" si="62"/>
        <v>#DIV/0!</v>
      </c>
    </row>
    <row r="63" spans="2:38" s="73" customFormat="1" ht="14.25">
      <c r="B63" s="499">
        <f>B56+7</f>
        <v>46113</v>
      </c>
      <c r="C63" s="497"/>
      <c r="D63" s="173">
        <v>46105</v>
      </c>
      <c r="E63" s="173" t="s">
        <v>118</v>
      </c>
      <c r="F63" s="338"/>
      <c r="G63" s="525">
        <f>SUM(F63:F69)</f>
        <v>0</v>
      </c>
      <c r="H63" s="523"/>
      <c r="I63" s="432"/>
      <c r="J63" s="241" t="e">
        <f t="shared" si="45"/>
        <v>#DIV/0!</v>
      </c>
      <c r="K63" s="321"/>
      <c r="L63" s="241" t="e">
        <f t="shared" si="46"/>
        <v>#DIV/0!</v>
      </c>
      <c r="M63" s="226">
        <f t="shared" si="47"/>
        <v>0</v>
      </c>
      <c r="N63" s="241" t="e">
        <f t="shared" si="48"/>
        <v>#DIV/0!</v>
      </c>
      <c r="O63" s="321"/>
      <c r="P63" s="241" t="e">
        <f t="shared" si="49"/>
        <v>#DIV/0!</v>
      </c>
      <c r="Q63" s="321"/>
      <c r="R63" s="241" t="e">
        <f t="shared" si="50"/>
        <v>#DIV/0!</v>
      </c>
      <c r="S63" s="226">
        <f t="shared" si="51"/>
        <v>0</v>
      </c>
      <c r="T63" s="241" t="e">
        <f t="shared" si="52"/>
        <v>#DIV/0!</v>
      </c>
      <c r="U63" s="321"/>
      <c r="V63" s="241" t="e">
        <f t="shared" si="53"/>
        <v>#DIV/0!</v>
      </c>
      <c r="W63" s="321"/>
      <c r="X63" s="241" t="e">
        <f t="shared" si="54"/>
        <v>#DIV/0!</v>
      </c>
      <c r="Y63" s="321"/>
      <c r="Z63" s="241" t="e">
        <f t="shared" si="55"/>
        <v>#DIV/0!</v>
      </c>
      <c r="AA63" s="321"/>
      <c r="AB63" s="241" t="e">
        <f t="shared" si="56"/>
        <v>#DIV/0!</v>
      </c>
      <c r="AC63" s="226">
        <f t="shared" si="57"/>
        <v>0</v>
      </c>
      <c r="AD63" s="241" t="e">
        <f t="shared" si="58"/>
        <v>#DIV/0!</v>
      </c>
      <c r="AE63" s="321"/>
      <c r="AF63" s="241" t="e">
        <f t="shared" si="59"/>
        <v>#DIV/0!</v>
      </c>
      <c r="AG63" s="321"/>
      <c r="AH63" s="241" t="e">
        <f t="shared" si="60"/>
        <v>#DIV/0!</v>
      </c>
      <c r="AI63" s="321"/>
      <c r="AJ63" s="241" t="e">
        <f t="shared" si="61"/>
        <v>#DIV/0!</v>
      </c>
      <c r="AK63" s="321"/>
      <c r="AL63" s="241" t="e">
        <f t="shared" si="62"/>
        <v>#DIV/0!</v>
      </c>
    </row>
    <row r="64" spans="2:38" s="73" customFormat="1" ht="14.25">
      <c r="B64" s="500"/>
      <c r="C64" s="497"/>
      <c r="D64" s="173">
        <v>46106</v>
      </c>
      <c r="E64" s="173" t="s">
        <v>112</v>
      </c>
      <c r="F64" s="338"/>
      <c r="G64" s="525"/>
      <c r="H64" s="523"/>
      <c r="I64" s="432"/>
      <c r="J64" s="241" t="e">
        <f t="shared" si="45"/>
        <v>#DIV/0!</v>
      </c>
      <c r="K64" s="321"/>
      <c r="L64" s="241" t="e">
        <f t="shared" si="46"/>
        <v>#DIV/0!</v>
      </c>
      <c r="M64" s="226">
        <f t="shared" si="47"/>
        <v>0</v>
      </c>
      <c r="N64" s="241" t="e">
        <f t="shared" si="48"/>
        <v>#DIV/0!</v>
      </c>
      <c r="O64" s="321"/>
      <c r="P64" s="241" t="e">
        <f t="shared" si="49"/>
        <v>#DIV/0!</v>
      </c>
      <c r="Q64" s="321"/>
      <c r="R64" s="241" t="e">
        <f t="shared" si="50"/>
        <v>#DIV/0!</v>
      </c>
      <c r="S64" s="226">
        <f t="shared" si="51"/>
        <v>0</v>
      </c>
      <c r="T64" s="241" t="e">
        <f t="shared" si="52"/>
        <v>#DIV/0!</v>
      </c>
      <c r="U64" s="321"/>
      <c r="V64" s="241" t="e">
        <f t="shared" si="53"/>
        <v>#DIV/0!</v>
      </c>
      <c r="W64" s="321"/>
      <c r="X64" s="241" t="e">
        <f t="shared" si="54"/>
        <v>#DIV/0!</v>
      </c>
      <c r="Y64" s="321"/>
      <c r="Z64" s="241" t="e">
        <f t="shared" si="55"/>
        <v>#DIV/0!</v>
      </c>
      <c r="AA64" s="321"/>
      <c r="AB64" s="241" t="e">
        <f t="shared" si="56"/>
        <v>#DIV/0!</v>
      </c>
      <c r="AC64" s="226">
        <f t="shared" si="57"/>
        <v>0</v>
      </c>
      <c r="AD64" s="241" t="e">
        <f t="shared" si="58"/>
        <v>#DIV/0!</v>
      </c>
      <c r="AE64" s="321"/>
      <c r="AF64" s="241" t="e">
        <f t="shared" si="59"/>
        <v>#DIV/0!</v>
      </c>
      <c r="AG64" s="321"/>
      <c r="AH64" s="241" t="e">
        <f t="shared" si="60"/>
        <v>#DIV/0!</v>
      </c>
      <c r="AI64" s="321"/>
      <c r="AJ64" s="241" t="e">
        <f t="shared" si="61"/>
        <v>#DIV/0!</v>
      </c>
      <c r="AK64" s="321"/>
      <c r="AL64" s="241" t="e">
        <f t="shared" si="62"/>
        <v>#DIV/0!</v>
      </c>
    </row>
    <row r="65" spans="2:38" s="73" customFormat="1" ht="14.25">
      <c r="B65" s="500"/>
      <c r="C65" s="497"/>
      <c r="D65" s="173">
        <v>46107</v>
      </c>
      <c r="E65" s="173" t="s">
        <v>113</v>
      </c>
      <c r="F65" s="338"/>
      <c r="G65" s="525"/>
      <c r="H65" s="523"/>
      <c r="I65" s="432"/>
      <c r="J65" s="241" t="e">
        <f t="shared" si="45"/>
        <v>#DIV/0!</v>
      </c>
      <c r="K65" s="321"/>
      <c r="L65" s="241" t="e">
        <f t="shared" si="46"/>
        <v>#DIV/0!</v>
      </c>
      <c r="M65" s="226">
        <f t="shared" si="47"/>
        <v>0</v>
      </c>
      <c r="N65" s="241" t="e">
        <f t="shared" si="48"/>
        <v>#DIV/0!</v>
      </c>
      <c r="O65" s="321"/>
      <c r="P65" s="241" t="e">
        <f t="shared" si="49"/>
        <v>#DIV/0!</v>
      </c>
      <c r="Q65" s="321"/>
      <c r="R65" s="241" t="e">
        <f t="shared" si="50"/>
        <v>#DIV/0!</v>
      </c>
      <c r="S65" s="226">
        <f t="shared" si="51"/>
        <v>0</v>
      </c>
      <c r="T65" s="241" t="e">
        <f t="shared" si="52"/>
        <v>#DIV/0!</v>
      </c>
      <c r="U65" s="321"/>
      <c r="V65" s="241" t="e">
        <f t="shared" si="53"/>
        <v>#DIV/0!</v>
      </c>
      <c r="W65" s="321"/>
      <c r="X65" s="241" t="e">
        <f t="shared" si="54"/>
        <v>#DIV/0!</v>
      </c>
      <c r="Y65" s="321"/>
      <c r="Z65" s="241" t="e">
        <f t="shared" si="55"/>
        <v>#DIV/0!</v>
      </c>
      <c r="AA65" s="321"/>
      <c r="AB65" s="241" t="e">
        <f t="shared" si="56"/>
        <v>#DIV/0!</v>
      </c>
      <c r="AC65" s="226">
        <f t="shared" si="57"/>
        <v>0</v>
      </c>
      <c r="AD65" s="241" t="e">
        <f t="shared" si="58"/>
        <v>#DIV/0!</v>
      </c>
      <c r="AE65" s="321"/>
      <c r="AF65" s="241" t="e">
        <f t="shared" si="59"/>
        <v>#DIV/0!</v>
      </c>
      <c r="AG65" s="321"/>
      <c r="AH65" s="241" t="e">
        <f t="shared" si="60"/>
        <v>#DIV/0!</v>
      </c>
      <c r="AI65" s="321"/>
      <c r="AJ65" s="241" t="e">
        <f t="shared" si="61"/>
        <v>#DIV/0!</v>
      </c>
      <c r="AK65" s="321"/>
      <c r="AL65" s="241" t="e">
        <f t="shared" si="62"/>
        <v>#DIV/0!</v>
      </c>
    </row>
    <row r="66" spans="2:38" s="73" customFormat="1" ht="14.25">
      <c r="B66" s="500"/>
      <c r="C66" s="497"/>
      <c r="D66" s="173">
        <v>46108</v>
      </c>
      <c r="E66" s="173" t="s">
        <v>114</v>
      </c>
      <c r="F66" s="338"/>
      <c r="G66" s="525"/>
      <c r="H66" s="523"/>
      <c r="I66" s="432"/>
      <c r="J66" s="241" t="e">
        <f t="shared" si="45"/>
        <v>#DIV/0!</v>
      </c>
      <c r="K66" s="321"/>
      <c r="L66" s="241" t="e">
        <f t="shared" si="46"/>
        <v>#DIV/0!</v>
      </c>
      <c r="M66" s="226">
        <f t="shared" si="47"/>
        <v>0</v>
      </c>
      <c r="N66" s="241" t="e">
        <f t="shared" si="48"/>
        <v>#DIV/0!</v>
      </c>
      <c r="O66" s="321"/>
      <c r="P66" s="241" t="e">
        <f t="shared" si="49"/>
        <v>#DIV/0!</v>
      </c>
      <c r="Q66" s="321"/>
      <c r="R66" s="241" t="e">
        <f t="shared" si="50"/>
        <v>#DIV/0!</v>
      </c>
      <c r="S66" s="226">
        <f t="shared" si="51"/>
        <v>0</v>
      </c>
      <c r="T66" s="241" t="e">
        <f t="shared" si="52"/>
        <v>#DIV/0!</v>
      </c>
      <c r="U66" s="321"/>
      <c r="V66" s="241" t="e">
        <f t="shared" si="53"/>
        <v>#DIV/0!</v>
      </c>
      <c r="W66" s="321"/>
      <c r="X66" s="241" t="e">
        <f t="shared" si="54"/>
        <v>#DIV/0!</v>
      </c>
      <c r="Y66" s="321"/>
      <c r="Z66" s="241" t="e">
        <f t="shared" si="55"/>
        <v>#DIV/0!</v>
      </c>
      <c r="AA66" s="321"/>
      <c r="AB66" s="241" t="e">
        <f t="shared" si="56"/>
        <v>#DIV/0!</v>
      </c>
      <c r="AC66" s="226">
        <f t="shared" si="57"/>
        <v>0</v>
      </c>
      <c r="AD66" s="241" t="e">
        <f t="shared" si="58"/>
        <v>#DIV/0!</v>
      </c>
      <c r="AE66" s="321"/>
      <c r="AF66" s="241" t="e">
        <f t="shared" si="59"/>
        <v>#DIV/0!</v>
      </c>
      <c r="AG66" s="321"/>
      <c r="AH66" s="241" t="e">
        <f t="shared" si="60"/>
        <v>#DIV/0!</v>
      </c>
      <c r="AI66" s="321"/>
      <c r="AJ66" s="241" t="e">
        <f t="shared" si="61"/>
        <v>#DIV/0!</v>
      </c>
      <c r="AK66" s="321"/>
      <c r="AL66" s="241" t="e">
        <f t="shared" si="62"/>
        <v>#DIV/0!</v>
      </c>
    </row>
    <row r="67" spans="2:38" s="73" customFormat="1" ht="14.25" collapsed="1">
      <c r="B67" s="500"/>
      <c r="C67" s="497"/>
      <c r="D67" s="173">
        <v>46109</v>
      </c>
      <c r="E67" s="173" t="s">
        <v>115</v>
      </c>
      <c r="F67" s="338"/>
      <c r="G67" s="525"/>
      <c r="H67" s="523"/>
      <c r="I67" s="432"/>
      <c r="J67" s="241" t="e">
        <f t="shared" si="45"/>
        <v>#DIV/0!</v>
      </c>
      <c r="K67" s="321"/>
      <c r="L67" s="241" t="e">
        <f t="shared" si="46"/>
        <v>#DIV/0!</v>
      </c>
      <c r="M67" s="226">
        <f t="shared" si="47"/>
        <v>0</v>
      </c>
      <c r="N67" s="241" t="e">
        <f t="shared" si="48"/>
        <v>#DIV/0!</v>
      </c>
      <c r="O67" s="321"/>
      <c r="P67" s="241" t="e">
        <f t="shared" si="49"/>
        <v>#DIV/0!</v>
      </c>
      <c r="Q67" s="321"/>
      <c r="R67" s="241" t="e">
        <f t="shared" si="50"/>
        <v>#DIV/0!</v>
      </c>
      <c r="S67" s="226">
        <f t="shared" si="51"/>
        <v>0</v>
      </c>
      <c r="T67" s="241" t="e">
        <f t="shared" si="52"/>
        <v>#DIV/0!</v>
      </c>
      <c r="U67" s="321"/>
      <c r="V67" s="241" t="e">
        <f t="shared" si="53"/>
        <v>#DIV/0!</v>
      </c>
      <c r="W67" s="321"/>
      <c r="X67" s="241" t="e">
        <f t="shared" si="54"/>
        <v>#DIV/0!</v>
      </c>
      <c r="Y67" s="321"/>
      <c r="Z67" s="241" t="e">
        <f t="shared" si="55"/>
        <v>#DIV/0!</v>
      </c>
      <c r="AA67" s="321"/>
      <c r="AB67" s="241" t="e">
        <f t="shared" si="56"/>
        <v>#DIV/0!</v>
      </c>
      <c r="AC67" s="226">
        <f t="shared" si="57"/>
        <v>0</v>
      </c>
      <c r="AD67" s="241" t="e">
        <f t="shared" si="58"/>
        <v>#DIV/0!</v>
      </c>
      <c r="AE67" s="321"/>
      <c r="AF67" s="241" t="e">
        <f t="shared" si="59"/>
        <v>#DIV/0!</v>
      </c>
      <c r="AG67" s="321"/>
      <c r="AH67" s="241" t="e">
        <f t="shared" si="60"/>
        <v>#DIV/0!</v>
      </c>
      <c r="AI67" s="321"/>
      <c r="AJ67" s="241" t="e">
        <f t="shared" si="61"/>
        <v>#DIV/0!</v>
      </c>
      <c r="AK67" s="321"/>
      <c r="AL67" s="241" t="e">
        <f t="shared" si="62"/>
        <v>#DIV/0!</v>
      </c>
    </row>
    <row r="68" spans="2:38" s="73" customFormat="1" ht="14.25">
      <c r="B68" s="500"/>
      <c r="C68" s="497"/>
      <c r="D68" s="173">
        <v>46110</v>
      </c>
      <c r="E68" s="173" t="s">
        <v>116</v>
      </c>
      <c r="F68" s="338"/>
      <c r="G68" s="525"/>
      <c r="H68" s="523"/>
      <c r="I68" s="432"/>
      <c r="J68" s="241" t="e">
        <f t="shared" si="45"/>
        <v>#DIV/0!</v>
      </c>
      <c r="K68" s="321"/>
      <c r="L68" s="241" t="e">
        <f t="shared" si="46"/>
        <v>#DIV/0!</v>
      </c>
      <c r="M68" s="226">
        <f>I68+K68</f>
        <v>0</v>
      </c>
      <c r="N68" s="241" t="e">
        <f t="shared" si="48"/>
        <v>#DIV/0!</v>
      </c>
      <c r="O68" s="321"/>
      <c r="P68" s="241" t="e">
        <f t="shared" si="49"/>
        <v>#DIV/0!</v>
      </c>
      <c r="Q68" s="321"/>
      <c r="R68" s="241" t="e">
        <f t="shared" si="50"/>
        <v>#DIV/0!</v>
      </c>
      <c r="S68" s="226">
        <f t="shared" si="51"/>
        <v>0</v>
      </c>
      <c r="T68" s="241" t="e">
        <f t="shared" si="52"/>
        <v>#DIV/0!</v>
      </c>
      <c r="U68" s="321"/>
      <c r="V68" s="241" t="e">
        <f t="shared" si="53"/>
        <v>#DIV/0!</v>
      </c>
      <c r="W68" s="321"/>
      <c r="X68" s="241" t="e">
        <f t="shared" si="54"/>
        <v>#DIV/0!</v>
      </c>
      <c r="Y68" s="321"/>
      <c r="Z68" s="241" t="e">
        <f t="shared" si="55"/>
        <v>#DIV/0!</v>
      </c>
      <c r="AA68" s="321"/>
      <c r="AB68" s="241" t="e">
        <f t="shared" si="56"/>
        <v>#DIV/0!</v>
      </c>
      <c r="AC68" s="226">
        <f t="shared" si="57"/>
        <v>0</v>
      </c>
      <c r="AD68" s="241" t="e">
        <f t="shared" si="58"/>
        <v>#DIV/0!</v>
      </c>
      <c r="AE68" s="321"/>
      <c r="AF68" s="241" t="e">
        <f t="shared" si="59"/>
        <v>#DIV/0!</v>
      </c>
      <c r="AG68" s="321"/>
      <c r="AH68" s="241" t="e">
        <f t="shared" si="60"/>
        <v>#DIV/0!</v>
      </c>
      <c r="AI68" s="321"/>
      <c r="AJ68" s="241" t="e">
        <f t="shared" si="61"/>
        <v>#DIV/0!</v>
      </c>
      <c r="AK68" s="321"/>
      <c r="AL68" s="241" t="e">
        <f t="shared" si="62"/>
        <v>#DIV/0!</v>
      </c>
    </row>
    <row r="69" spans="2:38" s="73" customFormat="1" ht="14.25">
      <c r="B69" s="501"/>
      <c r="C69" s="498"/>
      <c r="D69" s="173">
        <v>46111</v>
      </c>
      <c r="E69" s="173" t="s">
        <v>117</v>
      </c>
      <c r="F69" s="338"/>
      <c r="G69" s="525"/>
      <c r="H69" s="524"/>
      <c r="I69" s="432"/>
      <c r="J69" s="241" t="e">
        <f t="shared" si="45"/>
        <v>#DIV/0!</v>
      </c>
      <c r="K69" s="321"/>
      <c r="L69" s="241" t="e">
        <f t="shared" si="46"/>
        <v>#DIV/0!</v>
      </c>
      <c r="M69" s="226">
        <f t="shared" si="47"/>
        <v>0</v>
      </c>
      <c r="N69" s="241" t="e">
        <f t="shared" si="48"/>
        <v>#DIV/0!</v>
      </c>
      <c r="O69" s="321"/>
      <c r="P69" s="241" t="e">
        <f t="shared" si="49"/>
        <v>#DIV/0!</v>
      </c>
      <c r="Q69" s="321"/>
      <c r="R69" s="241" t="e">
        <f t="shared" si="50"/>
        <v>#DIV/0!</v>
      </c>
      <c r="S69" s="226">
        <f t="shared" si="51"/>
        <v>0</v>
      </c>
      <c r="T69" s="241" t="e">
        <f t="shared" si="52"/>
        <v>#DIV/0!</v>
      </c>
      <c r="U69" s="321"/>
      <c r="V69" s="241" t="e">
        <f t="shared" si="53"/>
        <v>#DIV/0!</v>
      </c>
      <c r="W69" s="321"/>
      <c r="X69" s="241" t="e">
        <f t="shared" si="54"/>
        <v>#DIV/0!</v>
      </c>
      <c r="Y69" s="321"/>
      <c r="Z69" s="241" t="e">
        <f t="shared" si="55"/>
        <v>#DIV/0!</v>
      </c>
      <c r="AA69" s="321"/>
      <c r="AB69" s="241" t="e">
        <f t="shared" si="56"/>
        <v>#DIV/0!</v>
      </c>
      <c r="AC69" s="226">
        <f t="shared" si="57"/>
        <v>0</v>
      </c>
      <c r="AD69" s="241" t="e">
        <f t="shared" si="58"/>
        <v>#DIV/0!</v>
      </c>
      <c r="AE69" s="321"/>
      <c r="AF69" s="241" t="e">
        <f t="shared" si="59"/>
        <v>#DIV/0!</v>
      </c>
      <c r="AG69" s="321"/>
      <c r="AH69" s="241" t="e">
        <f t="shared" si="60"/>
        <v>#DIV/0!</v>
      </c>
      <c r="AI69" s="321"/>
      <c r="AJ69" s="241" t="e">
        <f t="shared" si="61"/>
        <v>#DIV/0!</v>
      </c>
      <c r="AK69" s="321"/>
      <c r="AL69" s="241" t="e">
        <f t="shared" si="62"/>
        <v>#DIV/0!</v>
      </c>
    </row>
    <row r="70" spans="2:38">
      <c r="H70" s="216"/>
    </row>
  </sheetData>
  <mergeCells count="57">
    <mergeCell ref="C7:C11"/>
    <mergeCell ref="C12:C39"/>
    <mergeCell ref="C40:C69"/>
    <mergeCell ref="H7:H11"/>
    <mergeCell ref="H12:H39"/>
    <mergeCell ref="H40:H69"/>
    <mergeCell ref="G63:G69"/>
    <mergeCell ref="G35:G41"/>
    <mergeCell ref="G42:G48"/>
    <mergeCell ref="G49:G55"/>
    <mergeCell ref="G56:G62"/>
    <mergeCell ref="D3:E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O4:T4"/>
    <mergeCell ref="O5:P5"/>
    <mergeCell ref="I5:J5"/>
    <mergeCell ref="Y4:AD4"/>
    <mergeCell ref="F5:F6"/>
    <mergeCell ref="AI5:AJ5"/>
    <mergeCell ref="K5:L5"/>
    <mergeCell ref="S5:T5"/>
    <mergeCell ref="Q5:R5"/>
    <mergeCell ref="AA5:AB5"/>
    <mergeCell ref="I4:N4"/>
    <mergeCell ref="B7:B13"/>
    <mergeCell ref="B14:B20"/>
    <mergeCell ref="B21:B27"/>
    <mergeCell ref="B28:B34"/>
    <mergeCell ref="G28:G34"/>
    <mergeCell ref="G7:G13"/>
    <mergeCell ref="G14:G20"/>
    <mergeCell ref="G21:G27"/>
    <mergeCell ref="B3:B6"/>
    <mergeCell ref="C3:C6"/>
    <mergeCell ref="G5:G6"/>
    <mergeCell ref="M5:N5"/>
    <mergeCell ref="H5:H6"/>
    <mergeCell ref="I3:AL3"/>
    <mergeCell ref="AI4:AJ4"/>
    <mergeCell ref="B35:B41"/>
    <mergeCell ref="B42:B48"/>
    <mergeCell ref="B49:B55"/>
    <mergeCell ref="B56:B62"/>
    <mergeCell ref="B63:B69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91"/>
  <sheetViews>
    <sheetView zoomScale="85" zoomScaleNormal="85" workbookViewId="0">
      <pane xSplit="13" ySplit="1" topLeftCell="AB36" activePane="bottomRight" state="frozen"/>
      <selection activeCell="E31" sqref="E31"/>
      <selection pane="topRight" activeCell="E31" sqref="E31"/>
      <selection pane="bottomLeft" activeCell="E31" sqref="E31"/>
      <selection pane="bottomRight" activeCell="AW45" sqref="AW45:AW7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9.5703125" style="180" bestFit="1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3" t="s">
        <v>699</v>
      </c>
      <c r="C1" s="177">
        <f>AVERAGE(L45,L83,L121,L159)</f>
        <v>774.43680274813096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45" t="s">
        <v>383</v>
      </c>
      <c r="O2" s="545" t="s">
        <v>105</v>
      </c>
      <c r="P2" s="563">
        <v>46049</v>
      </c>
      <c r="Q2" s="564"/>
      <c r="R2" s="564"/>
      <c r="S2" s="564"/>
      <c r="T2" s="564"/>
      <c r="U2" s="565">
        <f>P2+1</f>
        <v>46050</v>
      </c>
      <c r="V2" s="566"/>
      <c r="W2" s="566"/>
      <c r="X2" s="566"/>
      <c r="Y2" s="566"/>
      <c r="Z2" s="563">
        <f t="shared" ref="Z2" si="0">U2+1</f>
        <v>46051</v>
      </c>
      <c r="AA2" s="564"/>
      <c r="AB2" s="564"/>
      <c r="AC2" s="564"/>
      <c r="AD2" s="564"/>
      <c r="AE2" s="565">
        <f t="shared" ref="AE2" si="1">Z2+1</f>
        <v>46052</v>
      </c>
      <c r="AF2" s="566"/>
      <c r="AG2" s="566"/>
      <c r="AH2" s="566"/>
      <c r="AI2" s="566"/>
      <c r="AJ2" s="547">
        <f t="shared" ref="AJ2" si="2">AE2+1</f>
        <v>46053</v>
      </c>
      <c r="AK2" s="548"/>
      <c r="AL2" s="548"/>
      <c r="AM2" s="548"/>
      <c r="AN2" s="549"/>
      <c r="AO2" s="565">
        <f t="shared" ref="AO2" si="3">AJ2+1</f>
        <v>46054</v>
      </c>
      <c r="AP2" s="566"/>
      <c r="AQ2" s="566"/>
      <c r="AR2" s="566"/>
      <c r="AS2" s="566"/>
      <c r="AT2" s="547">
        <f t="shared" ref="AT2" si="4">AO2+1</f>
        <v>46055</v>
      </c>
      <c r="AU2" s="548"/>
      <c r="AV2" s="548"/>
      <c r="AW2" s="548"/>
      <c r="AX2" s="549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46"/>
      <c r="O3" s="546"/>
      <c r="P3" s="567">
        <f>P2</f>
        <v>46049</v>
      </c>
      <c r="Q3" s="567"/>
      <c r="R3" s="567"/>
      <c r="S3" s="567"/>
      <c r="T3" s="567"/>
      <c r="U3" s="568">
        <f>U2</f>
        <v>46050</v>
      </c>
      <c r="V3" s="568"/>
      <c r="W3" s="568"/>
      <c r="X3" s="568"/>
      <c r="Y3" s="568"/>
      <c r="Z3" s="567">
        <f t="shared" ref="Z3" si="5">Z2</f>
        <v>46051</v>
      </c>
      <c r="AA3" s="567"/>
      <c r="AB3" s="567"/>
      <c r="AC3" s="567"/>
      <c r="AD3" s="567"/>
      <c r="AE3" s="568">
        <f t="shared" ref="AE3" si="6">AE2</f>
        <v>46052</v>
      </c>
      <c r="AF3" s="568"/>
      <c r="AG3" s="568"/>
      <c r="AH3" s="568"/>
      <c r="AI3" s="568"/>
      <c r="AJ3" s="553">
        <f t="shared" ref="AJ3" si="7">AJ2</f>
        <v>46053</v>
      </c>
      <c r="AK3" s="554"/>
      <c r="AL3" s="554"/>
      <c r="AM3" s="554"/>
      <c r="AN3" s="555"/>
      <c r="AO3" s="568">
        <f t="shared" ref="AO3" si="8">AO2</f>
        <v>46054</v>
      </c>
      <c r="AP3" s="568"/>
      <c r="AQ3" s="568"/>
      <c r="AR3" s="568"/>
      <c r="AS3" s="568"/>
      <c r="AT3" s="553">
        <f t="shared" ref="AT3" si="9">AT2</f>
        <v>46055</v>
      </c>
      <c r="AU3" s="554"/>
      <c r="AV3" s="554"/>
      <c r="AW3" s="554"/>
      <c r="AX3" s="555"/>
    </row>
    <row r="4" spans="1:50" ht="14.25" customHeight="1">
      <c r="B4" s="570" t="s">
        <v>164</v>
      </c>
      <c r="C4" s="573" t="s">
        <v>159</v>
      </c>
      <c r="D4" s="574"/>
      <c r="E4" s="535" t="s">
        <v>160</v>
      </c>
      <c r="F4" s="536"/>
      <c r="G4" s="537"/>
      <c r="H4" s="570" t="s">
        <v>165</v>
      </c>
      <c r="I4" s="538" t="s">
        <v>384</v>
      </c>
      <c r="J4" s="539"/>
      <c r="K4" s="540"/>
      <c r="L4" s="579" t="s">
        <v>165</v>
      </c>
      <c r="M4" s="579" t="s">
        <v>167</v>
      </c>
      <c r="N4" s="529"/>
      <c r="O4" s="530" t="s">
        <v>166</v>
      </c>
      <c r="P4" s="532" t="s">
        <v>162</v>
      </c>
      <c r="Q4" s="533"/>
      <c r="R4" s="533"/>
      <c r="S4" s="534"/>
      <c r="T4" s="545" t="s">
        <v>165</v>
      </c>
      <c r="U4" s="532" t="s">
        <v>162</v>
      </c>
      <c r="V4" s="533"/>
      <c r="W4" s="533"/>
      <c r="X4" s="534"/>
      <c r="Y4" s="545" t="s">
        <v>165</v>
      </c>
      <c r="Z4" s="532" t="s">
        <v>162</v>
      </c>
      <c r="AA4" s="533"/>
      <c r="AB4" s="533"/>
      <c r="AC4" s="534"/>
      <c r="AD4" s="545" t="s">
        <v>165</v>
      </c>
      <c r="AE4" s="532" t="s">
        <v>162</v>
      </c>
      <c r="AF4" s="533"/>
      <c r="AG4" s="533"/>
      <c r="AH4" s="534"/>
      <c r="AI4" s="545" t="s">
        <v>165</v>
      </c>
      <c r="AJ4" s="532" t="s">
        <v>162</v>
      </c>
      <c r="AK4" s="533"/>
      <c r="AL4" s="533"/>
      <c r="AM4" s="534"/>
      <c r="AN4" s="545" t="s">
        <v>165</v>
      </c>
      <c r="AO4" s="532" t="s">
        <v>162</v>
      </c>
      <c r="AP4" s="533"/>
      <c r="AQ4" s="533"/>
      <c r="AR4" s="534"/>
      <c r="AS4" s="545" t="s">
        <v>165</v>
      </c>
      <c r="AT4" s="532" t="s">
        <v>162</v>
      </c>
      <c r="AU4" s="533"/>
      <c r="AV4" s="533"/>
      <c r="AW4" s="534"/>
      <c r="AX4" s="545" t="s">
        <v>165</v>
      </c>
    </row>
    <row r="5" spans="1:50" ht="14.25" customHeight="1">
      <c r="B5" s="571"/>
      <c r="C5" s="575"/>
      <c r="D5" s="576"/>
      <c r="E5" s="535" t="s">
        <v>385</v>
      </c>
      <c r="F5" s="536"/>
      <c r="G5" s="537"/>
      <c r="H5" s="571"/>
      <c r="I5" s="538" t="s">
        <v>385</v>
      </c>
      <c r="J5" s="539"/>
      <c r="K5" s="540"/>
      <c r="L5" s="580"/>
      <c r="M5" s="580"/>
      <c r="N5" s="529"/>
      <c r="O5" s="530"/>
      <c r="P5" s="532" t="s">
        <v>386</v>
      </c>
      <c r="Q5" s="533"/>
      <c r="R5" s="533"/>
      <c r="S5" s="534"/>
      <c r="T5" s="569"/>
      <c r="U5" s="532" t="s">
        <v>386</v>
      </c>
      <c r="V5" s="533"/>
      <c r="W5" s="533"/>
      <c r="X5" s="534"/>
      <c r="Y5" s="569"/>
      <c r="Z5" s="532" t="s">
        <v>386</v>
      </c>
      <c r="AA5" s="533"/>
      <c r="AB5" s="533"/>
      <c r="AC5" s="534"/>
      <c r="AD5" s="569"/>
      <c r="AE5" s="532" t="s">
        <v>386</v>
      </c>
      <c r="AF5" s="533"/>
      <c r="AG5" s="533"/>
      <c r="AH5" s="534"/>
      <c r="AI5" s="569"/>
      <c r="AJ5" s="532" t="s">
        <v>386</v>
      </c>
      <c r="AK5" s="533"/>
      <c r="AL5" s="533"/>
      <c r="AM5" s="534"/>
      <c r="AN5" s="569"/>
      <c r="AO5" s="532" t="s">
        <v>386</v>
      </c>
      <c r="AP5" s="533"/>
      <c r="AQ5" s="533"/>
      <c r="AR5" s="534"/>
      <c r="AS5" s="569"/>
      <c r="AT5" s="532" t="s">
        <v>386</v>
      </c>
      <c r="AU5" s="533"/>
      <c r="AV5" s="533"/>
      <c r="AW5" s="534"/>
      <c r="AX5" s="569"/>
    </row>
    <row r="6" spans="1:50" ht="14.25" customHeight="1">
      <c r="A6" s="179"/>
      <c r="B6" s="572"/>
      <c r="C6" s="577"/>
      <c r="D6" s="578"/>
      <c r="E6" s="182" t="s">
        <v>161</v>
      </c>
      <c r="F6" s="182" t="s">
        <v>387</v>
      </c>
      <c r="G6" s="182" t="s">
        <v>163</v>
      </c>
      <c r="H6" s="572"/>
      <c r="I6" s="183" t="s">
        <v>161</v>
      </c>
      <c r="J6" s="183" t="s">
        <v>387</v>
      </c>
      <c r="K6" s="183" t="s">
        <v>163</v>
      </c>
      <c r="L6" s="581"/>
      <c r="M6" s="581"/>
      <c r="N6" s="529"/>
      <c r="O6" s="530"/>
      <c r="P6" s="184" t="s">
        <v>161</v>
      </c>
      <c r="Q6" s="184" t="s">
        <v>387</v>
      </c>
      <c r="R6" s="184" t="s">
        <v>163</v>
      </c>
      <c r="S6" s="184" t="s">
        <v>167</v>
      </c>
      <c r="T6" s="546"/>
      <c r="U6" s="184" t="s">
        <v>161</v>
      </c>
      <c r="V6" s="184" t="s">
        <v>387</v>
      </c>
      <c r="W6" s="184" t="s">
        <v>163</v>
      </c>
      <c r="X6" s="184" t="s">
        <v>167</v>
      </c>
      <c r="Y6" s="546"/>
      <c r="Z6" s="184" t="s">
        <v>161</v>
      </c>
      <c r="AA6" s="184" t="s">
        <v>387</v>
      </c>
      <c r="AB6" s="184" t="s">
        <v>163</v>
      </c>
      <c r="AC6" s="184" t="s">
        <v>167</v>
      </c>
      <c r="AD6" s="546"/>
      <c r="AE6" s="184" t="s">
        <v>161</v>
      </c>
      <c r="AF6" s="184" t="s">
        <v>387</v>
      </c>
      <c r="AG6" s="184" t="s">
        <v>163</v>
      </c>
      <c r="AH6" s="184" t="s">
        <v>167</v>
      </c>
      <c r="AI6" s="546"/>
      <c r="AJ6" s="184" t="s">
        <v>161</v>
      </c>
      <c r="AK6" s="184" t="s">
        <v>387</v>
      </c>
      <c r="AL6" s="184" t="s">
        <v>163</v>
      </c>
      <c r="AM6" s="184" t="s">
        <v>167</v>
      </c>
      <c r="AN6" s="546"/>
      <c r="AO6" s="184" t="s">
        <v>161</v>
      </c>
      <c r="AP6" s="184" t="s">
        <v>387</v>
      </c>
      <c r="AQ6" s="184" t="s">
        <v>163</v>
      </c>
      <c r="AR6" s="184" t="s">
        <v>167</v>
      </c>
      <c r="AS6" s="546"/>
      <c r="AT6" s="184" t="s">
        <v>161</v>
      </c>
      <c r="AU6" s="184" t="s">
        <v>387</v>
      </c>
      <c r="AV6" s="184" t="s">
        <v>163</v>
      </c>
      <c r="AW6" s="184" t="s">
        <v>167</v>
      </c>
      <c r="AX6" s="546"/>
    </row>
    <row r="7" spans="1:50" ht="14.25" customHeight="1">
      <c r="B7" s="514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26">
        <f>AVERAGE(G7:G39)</f>
        <v>870.32258064516134</v>
      </c>
      <c r="I7" s="188">
        <f>AVERAGE(P7,U7,Z7,AE7,AJ7,AO7,AT7)</f>
        <v>4</v>
      </c>
      <c r="J7" s="188">
        <f>AVERAGE(Q7,V7,AA7,AF7,AK7,AP7,AU7)</f>
        <v>2954.4074938023391</v>
      </c>
      <c r="K7" s="189">
        <f>AVERAGE(R7,W7,AB7,AG7,AL7,AQ7,AV7)</f>
        <v>738.60187345058478</v>
      </c>
      <c r="L7" s="527">
        <f>IFERROR(AVERAGE(K7:K39),"-")</f>
        <v>771.63648971883072</v>
      </c>
      <c r="M7" s="188">
        <f>RANK(K7, K$7:$K$39)</f>
        <v>16</v>
      </c>
      <c r="N7" s="529"/>
      <c r="O7" s="530"/>
      <c r="P7" s="190">
        <v>4</v>
      </c>
      <c r="Q7" s="190">
        <v>2953.9782484258749</v>
      </c>
      <c r="R7" s="187">
        <f t="shared" ref="R7:R37" si="10">IFERROR(Q7/P7,"")</f>
        <v>738.49456210646872</v>
      </c>
      <c r="S7" s="184">
        <f>RANK(R7, R$7:R$39)</f>
        <v>15</v>
      </c>
      <c r="T7" s="528">
        <f>AVERAGE(R7:R39)</f>
        <v>771.40035349630853</v>
      </c>
      <c r="U7" s="190">
        <v>4</v>
      </c>
      <c r="V7" s="190">
        <v>2954.0106951871667</v>
      </c>
      <c r="W7" s="187">
        <f t="shared" ref="W7:W37" si="11">IFERROR(V7/U7,"")</f>
        <v>738.50267379679167</v>
      </c>
      <c r="X7" s="184">
        <f>RANK(W7, W$7:W$39)</f>
        <v>16</v>
      </c>
      <c r="Y7" s="528">
        <f>AVERAGE(W7:W39)</f>
        <v>771.47768135920285</v>
      </c>
      <c r="Z7" s="190">
        <v>4</v>
      </c>
      <c r="AA7" s="190">
        <v>2953.9276257722868</v>
      </c>
      <c r="AB7" s="187">
        <f>IFERROR(AA7/Z7,"")</f>
        <v>738.48190644307169</v>
      </c>
      <c r="AC7" s="184">
        <f>RANK(AB7, AB$7:AB$39)</f>
        <v>16</v>
      </c>
      <c r="AD7" s="528">
        <f>AVERAGE(AB7:AB39)</f>
        <v>773.90424263446073</v>
      </c>
      <c r="AE7" s="190">
        <v>4</v>
      </c>
      <c r="AF7" s="190">
        <v>2954.1882876204581</v>
      </c>
      <c r="AG7" s="187">
        <f>IFERROR(AF7/AE7,"")</f>
        <v>738.54707190511454</v>
      </c>
      <c r="AH7" s="184">
        <f>RANK(AG7, AG$7:AG$39)</f>
        <v>16</v>
      </c>
      <c r="AI7" s="528">
        <f>AVERAGE(AG7:AG39)</f>
        <v>773.94742081856123</v>
      </c>
      <c r="AJ7" s="190">
        <v>4</v>
      </c>
      <c r="AK7" s="190">
        <v>2954.9770290964734</v>
      </c>
      <c r="AL7" s="187">
        <f>IFERROR(AK7/AJ7,"")</f>
        <v>738.74425727411835</v>
      </c>
      <c r="AM7" s="184">
        <f>RANK(AL7, AL$7:AL$39)</f>
        <v>16</v>
      </c>
      <c r="AN7" s="528">
        <f>AVERAGE(AL7:AL39)</f>
        <v>773.98573938102913</v>
      </c>
      <c r="AO7" s="190">
        <v>4</v>
      </c>
      <c r="AP7" s="190">
        <v>2954.8456957227945</v>
      </c>
      <c r="AQ7" s="187">
        <f>IFERROR(AP7/AO7,"")</f>
        <v>738.71142393069863</v>
      </c>
      <c r="AR7" s="184">
        <f>RANK(AQ7, AQ$7:AQ$39)</f>
        <v>16</v>
      </c>
      <c r="AS7" s="528">
        <f>AVERAGE(AQ7:AQ39)</f>
        <v>774.09171806304948</v>
      </c>
      <c r="AT7" s="190">
        <v>4</v>
      </c>
      <c r="AU7" s="190">
        <v>2954.9248747913184</v>
      </c>
      <c r="AV7" s="187">
        <f>IFERROR(AU7/AT7,"")</f>
        <v>738.7312186978296</v>
      </c>
      <c r="AW7" s="184">
        <f>RANK(AV7, AV$7:AV$39)</f>
        <v>16</v>
      </c>
      <c r="AX7" s="528">
        <f>AVERAGE(AV7:AV39)</f>
        <v>774.15879164391697</v>
      </c>
    </row>
    <row r="8" spans="1:50" ht="14.25" customHeight="1">
      <c r="B8" s="514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2">F8/E8</f>
        <v>1200</v>
      </c>
      <c r="H8" s="526"/>
      <c r="I8" s="188">
        <f t="shared" ref="I8:I37" si="13">AVERAGE(P8,U8,Z8,AE8,AJ8,AO8,AT8)</f>
        <v>3</v>
      </c>
      <c r="J8" s="188">
        <f t="shared" ref="J8:J37" si="14">AVERAGE(Q8,V8,AA8,AF8,AK8,AP8,AU8)</f>
        <v>3126.3303702965809</v>
      </c>
      <c r="K8" s="189">
        <f t="shared" ref="K8:K37" si="15">AVERAGE(R8,W8,AB8,AG8,AL8,AQ8,AV8)</f>
        <v>1042.1101234321934</v>
      </c>
      <c r="L8" s="527"/>
      <c r="M8" s="188">
        <f>RANK(K8, K$7:$K$39)</f>
        <v>6</v>
      </c>
      <c r="N8" s="529"/>
      <c r="O8" s="530"/>
      <c r="P8" s="190">
        <v>3</v>
      </c>
      <c r="Q8" s="190">
        <v>3123.9440946091217</v>
      </c>
      <c r="R8" s="187">
        <f t="shared" si="10"/>
        <v>1041.3146982030405</v>
      </c>
      <c r="S8" s="184">
        <f t="shared" ref="S8:S37" si="16">RANK(R8, R$7:R$39)</f>
        <v>5</v>
      </c>
      <c r="T8" s="528"/>
      <c r="U8" s="190">
        <v>3</v>
      </c>
      <c r="V8" s="190">
        <v>3124.0425870014305</v>
      </c>
      <c r="W8" s="187">
        <f t="shared" si="11"/>
        <v>1041.3475290004769</v>
      </c>
      <c r="X8" s="184">
        <f t="shared" ref="X8:X37" si="17">RANK(W8, W$7:W$39)</f>
        <v>5</v>
      </c>
      <c r="Y8" s="528"/>
      <c r="Z8" s="190">
        <v>3</v>
      </c>
      <c r="AA8" s="190">
        <v>3126.6593094750119</v>
      </c>
      <c r="AB8" s="187">
        <f t="shared" ref="AB8:AB19" si="18">IFERROR(AA8/Z8,"")</f>
        <v>1042.2197698250041</v>
      </c>
      <c r="AC8" s="184">
        <f t="shared" ref="AC8:AC36" si="19">RANK(AB8, AB$7:AB$39)</f>
        <v>5</v>
      </c>
      <c r="AD8" s="528"/>
      <c r="AE8" s="190">
        <v>3</v>
      </c>
      <c r="AF8" s="190">
        <v>3127.1248474989816</v>
      </c>
      <c r="AG8" s="187">
        <f t="shared" ref="AG8:AG19" si="20">IFERROR(AF8/AE8,"")</f>
        <v>1042.3749491663273</v>
      </c>
      <c r="AH8" s="184">
        <f t="shared" ref="AH8:AH36" si="21">RANK(AG8, AG$7:AG$39)</f>
        <v>6</v>
      </c>
      <c r="AI8" s="528"/>
      <c r="AJ8" s="190">
        <v>3</v>
      </c>
      <c r="AK8" s="190">
        <v>3127.4952521629066</v>
      </c>
      <c r="AL8" s="187">
        <f t="shared" ref="AL8:AL19" si="22">IFERROR(AK8/AJ8,"")</f>
        <v>1042.4984173876355</v>
      </c>
      <c r="AM8" s="184">
        <f t="shared" ref="AM8:AM36" si="23">RANK(AL8, AL$7:AL$39)</f>
        <v>6</v>
      </c>
      <c r="AN8" s="528"/>
      <c r="AO8" s="190">
        <v>3</v>
      </c>
      <c r="AP8" s="190">
        <v>3127.4999999999986</v>
      </c>
      <c r="AQ8" s="187">
        <f t="shared" ref="AQ8:AQ19" si="24">IFERROR(AP8/AO8,"")</f>
        <v>1042.4999999999995</v>
      </c>
      <c r="AR8" s="184">
        <f t="shared" ref="AR8:AR36" si="25">RANK(AQ8, AQ$7:AQ$39)</f>
        <v>6</v>
      </c>
      <c r="AS8" s="528"/>
      <c r="AT8" s="190">
        <v>3</v>
      </c>
      <c r="AU8" s="190">
        <v>3127.5465013286102</v>
      </c>
      <c r="AV8" s="187">
        <f t="shared" ref="AV8:AV19" si="26">IFERROR(AU8/AT8,"")</f>
        <v>1042.51550044287</v>
      </c>
      <c r="AW8" s="184">
        <f t="shared" ref="AW8:AW36" si="27">RANK(AV8, AV$7:AV$39)</f>
        <v>6</v>
      </c>
      <c r="AX8" s="528"/>
    </row>
    <row r="9" spans="1:50" ht="14.25" customHeight="1">
      <c r="B9" s="514"/>
      <c r="C9" s="182">
        <v>3</v>
      </c>
      <c r="D9" s="185" t="s">
        <v>412</v>
      </c>
      <c r="E9" s="186">
        <v>4</v>
      </c>
      <c r="F9" s="182">
        <v>3300</v>
      </c>
      <c r="G9" s="187">
        <f t="shared" si="12"/>
        <v>825</v>
      </c>
      <c r="H9" s="526"/>
      <c r="I9" s="188">
        <f t="shared" si="13"/>
        <v>4</v>
      </c>
      <c r="J9" s="188">
        <f t="shared" si="14"/>
        <v>2953.2804985059952</v>
      </c>
      <c r="K9" s="189">
        <f t="shared" si="15"/>
        <v>738.3201246264988</v>
      </c>
      <c r="L9" s="527"/>
      <c r="M9" s="188">
        <f>RANK(K9, K$7:$K$39)</f>
        <v>18</v>
      </c>
      <c r="N9" s="529"/>
      <c r="O9" s="530"/>
      <c r="P9" s="190">
        <v>4</v>
      </c>
      <c r="Q9" s="190">
        <v>2951.4682039272202</v>
      </c>
      <c r="R9" s="187">
        <f t="shared" si="10"/>
        <v>737.86705098180505</v>
      </c>
      <c r="S9" s="184">
        <f t="shared" si="16"/>
        <v>19</v>
      </c>
      <c r="T9" s="528"/>
      <c r="U9" s="190">
        <v>4</v>
      </c>
      <c r="V9" s="190">
        <v>2952.9234251225948</v>
      </c>
      <c r="W9" s="187">
        <f t="shared" si="11"/>
        <v>738.23085628064871</v>
      </c>
      <c r="X9" s="184">
        <f t="shared" si="17"/>
        <v>17</v>
      </c>
      <c r="Y9" s="528"/>
      <c r="Z9" s="190">
        <v>4</v>
      </c>
      <c r="AA9" s="190">
        <v>2953.3296026860667</v>
      </c>
      <c r="AB9" s="187">
        <f t="shared" si="18"/>
        <v>738.33240067151667</v>
      </c>
      <c r="AC9" s="184">
        <f t="shared" si="19"/>
        <v>17</v>
      </c>
      <c r="AD9" s="528"/>
      <c r="AE9" s="190">
        <v>4</v>
      </c>
      <c r="AF9" s="190">
        <v>2953.3534462752386</v>
      </c>
      <c r="AG9" s="187">
        <f t="shared" si="20"/>
        <v>738.33836156880966</v>
      </c>
      <c r="AH9" s="184">
        <f t="shared" si="21"/>
        <v>17</v>
      </c>
      <c r="AI9" s="528"/>
      <c r="AJ9" s="190">
        <v>4</v>
      </c>
      <c r="AK9" s="190">
        <v>2953.8461538461547</v>
      </c>
      <c r="AL9" s="187">
        <f t="shared" si="22"/>
        <v>738.46153846153868</v>
      </c>
      <c r="AM9" s="184">
        <f t="shared" si="23"/>
        <v>17</v>
      </c>
      <c r="AN9" s="528"/>
      <c r="AO9" s="190">
        <v>4</v>
      </c>
      <c r="AP9" s="190">
        <v>2953.9084923180812</v>
      </c>
      <c r="AQ9" s="187">
        <f t="shared" si="24"/>
        <v>738.47712307952031</v>
      </c>
      <c r="AR9" s="184">
        <f t="shared" si="25"/>
        <v>17</v>
      </c>
      <c r="AS9" s="528"/>
      <c r="AT9" s="190">
        <v>4</v>
      </c>
      <c r="AU9" s="190">
        <v>2954.1341653666141</v>
      </c>
      <c r="AV9" s="187">
        <f t="shared" si="26"/>
        <v>738.53354134165352</v>
      </c>
      <c r="AW9" s="184">
        <f t="shared" si="27"/>
        <v>17</v>
      </c>
      <c r="AX9" s="528"/>
    </row>
    <row r="10" spans="1:50" ht="14.25" customHeight="1">
      <c r="B10" s="514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26"/>
      <c r="I10" s="188">
        <f t="shared" si="13"/>
        <v>5</v>
      </c>
      <c r="J10" s="188">
        <f t="shared" si="14"/>
        <v>2956.7585442775094</v>
      </c>
      <c r="K10" s="189">
        <f t="shared" si="15"/>
        <v>591.35170885550178</v>
      </c>
      <c r="L10" s="527"/>
      <c r="M10" s="188">
        <f>RANK(K10, K$7:$K$39)</f>
        <v>26</v>
      </c>
      <c r="N10" s="529"/>
      <c r="O10" s="530"/>
      <c r="P10" s="190">
        <v>5</v>
      </c>
      <c r="Q10" s="190">
        <v>2957.3257467994358</v>
      </c>
      <c r="R10" s="187">
        <f t="shared" si="10"/>
        <v>591.46514935988716</v>
      </c>
      <c r="S10" s="184">
        <f t="shared" si="16"/>
        <v>26</v>
      </c>
      <c r="T10" s="528"/>
      <c r="U10" s="190">
        <v>5</v>
      </c>
      <c r="V10" s="190">
        <v>2957.0517363571898</v>
      </c>
      <c r="W10" s="187">
        <f t="shared" si="11"/>
        <v>591.41034727143801</v>
      </c>
      <c r="X10" s="184">
        <f t="shared" si="17"/>
        <v>26</v>
      </c>
      <c r="Y10" s="528"/>
      <c r="Z10" s="190">
        <v>5</v>
      </c>
      <c r="AA10" s="190">
        <v>2957.7092511013175</v>
      </c>
      <c r="AB10" s="187">
        <f t="shared" si="18"/>
        <v>591.54185022026354</v>
      </c>
      <c r="AC10" s="184">
        <f t="shared" si="19"/>
        <v>24</v>
      </c>
      <c r="AD10" s="528"/>
      <c r="AE10" s="190">
        <v>5</v>
      </c>
      <c r="AF10" s="190">
        <v>2957.7310155535233</v>
      </c>
      <c r="AG10" s="187">
        <f t="shared" si="20"/>
        <v>591.54620311070471</v>
      </c>
      <c r="AH10" s="184">
        <f t="shared" si="21"/>
        <v>24</v>
      </c>
      <c r="AI10" s="528"/>
      <c r="AJ10" s="190">
        <v>5</v>
      </c>
      <c r="AK10" s="190">
        <v>2955.6420233463145</v>
      </c>
      <c r="AL10" s="187">
        <f t="shared" si="22"/>
        <v>591.12840466926286</v>
      </c>
      <c r="AM10" s="184">
        <f t="shared" si="23"/>
        <v>24</v>
      </c>
      <c r="AN10" s="528"/>
      <c r="AO10" s="190">
        <v>5</v>
      </c>
      <c r="AP10" s="190">
        <v>2955.815554026156</v>
      </c>
      <c r="AQ10" s="187">
        <f t="shared" si="24"/>
        <v>591.16311080523121</v>
      </c>
      <c r="AR10" s="184">
        <f t="shared" si="25"/>
        <v>25</v>
      </c>
      <c r="AS10" s="528"/>
      <c r="AT10" s="190">
        <v>5</v>
      </c>
      <c r="AU10" s="190">
        <v>2956.0344827586273</v>
      </c>
      <c r="AV10" s="187">
        <f t="shared" si="26"/>
        <v>591.20689655172544</v>
      </c>
      <c r="AW10" s="184">
        <f t="shared" si="27"/>
        <v>25</v>
      </c>
      <c r="AX10" s="528"/>
    </row>
    <row r="11" spans="1:50" ht="14.25" customHeight="1">
      <c r="B11" s="514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2"/>
        <v>1200</v>
      </c>
      <c r="H11" s="526"/>
      <c r="I11" s="188">
        <f t="shared" si="13"/>
        <v>3</v>
      </c>
      <c r="J11" s="188">
        <f t="shared" si="14"/>
        <v>3128.185443379693</v>
      </c>
      <c r="K11" s="189">
        <f t="shared" si="15"/>
        <v>1042.728481126564</v>
      </c>
      <c r="L11" s="527"/>
      <c r="M11" s="188">
        <f>RANK(K11, K$7:$K$39)</f>
        <v>4</v>
      </c>
      <c r="N11" s="529"/>
      <c r="O11" s="530"/>
      <c r="P11" s="190">
        <v>3</v>
      </c>
      <c r="Q11" s="190">
        <v>3127.0777479892736</v>
      </c>
      <c r="R11" s="187">
        <f t="shared" si="10"/>
        <v>1042.3592493297579</v>
      </c>
      <c r="S11" s="184">
        <f t="shared" si="16"/>
        <v>4</v>
      </c>
      <c r="T11" s="528"/>
      <c r="U11" s="190">
        <v>3</v>
      </c>
      <c r="V11" s="190">
        <v>3127.6341948310178</v>
      </c>
      <c r="W11" s="187">
        <f t="shared" si="11"/>
        <v>1042.5447316103393</v>
      </c>
      <c r="X11" s="184">
        <f t="shared" si="17"/>
        <v>4</v>
      </c>
      <c r="Y11" s="528"/>
      <c r="Z11" s="190">
        <v>3</v>
      </c>
      <c r="AA11" s="190">
        <v>3127.8688524590216</v>
      </c>
      <c r="AB11" s="187">
        <f t="shared" si="18"/>
        <v>1042.6229508196739</v>
      </c>
      <c r="AC11" s="184">
        <f t="shared" si="19"/>
        <v>4</v>
      </c>
      <c r="AD11" s="528"/>
      <c r="AE11" s="190">
        <v>3</v>
      </c>
      <c r="AF11" s="190">
        <v>3128.1640820410171</v>
      </c>
      <c r="AG11" s="187">
        <f t="shared" si="20"/>
        <v>1042.7213606803391</v>
      </c>
      <c r="AH11" s="184">
        <f t="shared" si="21"/>
        <v>4</v>
      </c>
      <c r="AI11" s="528"/>
      <c r="AJ11" s="190">
        <v>3</v>
      </c>
      <c r="AK11" s="190">
        <v>3128.3924843423788</v>
      </c>
      <c r="AL11" s="187">
        <f t="shared" si="22"/>
        <v>1042.7974947807929</v>
      </c>
      <c r="AM11" s="184">
        <f t="shared" si="23"/>
        <v>4</v>
      </c>
      <c r="AN11" s="528"/>
      <c r="AO11" s="190">
        <v>3</v>
      </c>
      <c r="AP11" s="190">
        <v>3128.9719626168235</v>
      </c>
      <c r="AQ11" s="187">
        <f t="shared" si="24"/>
        <v>1042.9906542056078</v>
      </c>
      <c r="AR11" s="184">
        <f t="shared" si="25"/>
        <v>3</v>
      </c>
      <c r="AS11" s="528"/>
      <c r="AT11" s="190">
        <v>3</v>
      </c>
      <c r="AU11" s="190">
        <v>3129.1887793783153</v>
      </c>
      <c r="AV11" s="187">
        <f t="shared" si="26"/>
        <v>1043.0629264594384</v>
      </c>
      <c r="AW11" s="184">
        <f t="shared" si="27"/>
        <v>3</v>
      </c>
      <c r="AX11" s="528"/>
    </row>
    <row r="12" spans="1:50" ht="14.25" customHeight="1">
      <c r="B12" s="514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2"/>
        <v>1000</v>
      </c>
      <c r="H12" s="526"/>
      <c r="I12" s="188">
        <f t="shared" si="13"/>
        <v>3</v>
      </c>
      <c r="J12" s="188">
        <f t="shared" si="14"/>
        <v>2689.9663000333635</v>
      </c>
      <c r="K12" s="189">
        <f t="shared" si="15"/>
        <v>896.65543334445442</v>
      </c>
      <c r="L12" s="527"/>
      <c r="M12" s="188">
        <f>RANK(K12, K$7:$K$39)</f>
        <v>9</v>
      </c>
      <c r="N12" s="529"/>
      <c r="O12" s="530"/>
      <c r="P12" s="190">
        <v>3</v>
      </c>
      <c r="Q12" s="190">
        <v>2690.0263852242747</v>
      </c>
      <c r="R12" s="187">
        <f t="shared" si="10"/>
        <v>896.6754617414249</v>
      </c>
      <c r="S12" s="184">
        <f t="shared" si="16"/>
        <v>9</v>
      </c>
      <c r="T12" s="528"/>
      <c r="U12" s="190">
        <v>3</v>
      </c>
      <c r="V12" s="190">
        <v>2689.6882494004785</v>
      </c>
      <c r="W12" s="187">
        <f t="shared" si="11"/>
        <v>896.56274980015951</v>
      </c>
      <c r="X12" s="184">
        <f t="shared" si="17"/>
        <v>9</v>
      </c>
      <c r="Y12" s="528"/>
      <c r="Z12" s="190">
        <v>3</v>
      </c>
      <c r="AA12" s="190">
        <v>2689.9841017488075</v>
      </c>
      <c r="AB12" s="187">
        <f t="shared" si="18"/>
        <v>896.66136724960245</v>
      </c>
      <c r="AC12" s="184">
        <f t="shared" si="19"/>
        <v>9</v>
      </c>
      <c r="AD12" s="528"/>
      <c r="AE12" s="190">
        <v>3</v>
      </c>
      <c r="AF12" s="190">
        <v>2689.9219545300289</v>
      </c>
      <c r="AG12" s="187">
        <f t="shared" si="20"/>
        <v>896.64065151000966</v>
      </c>
      <c r="AH12" s="184">
        <f t="shared" si="21"/>
        <v>9</v>
      </c>
      <c r="AI12" s="528"/>
      <c r="AJ12" s="190">
        <v>3</v>
      </c>
      <c r="AK12" s="190">
        <v>2689.6253602305483</v>
      </c>
      <c r="AL12" s="187">
        <f t="shared" si="22"/>
        <v>896.54178674351613</v>
      </c>
      <c r="AM12" s="184">
        <f t="shared" si="23"/>
        <v>9</v>
      </c>
      <c r="AN12" s="528"/>
      <c r="AO12" s="190">
        <v>3</v>
      </c>
      <c r="AP12" s="190">
        <v>2690.0702106318945</v>
      </c>
      <c r="AQ12" s="187">
        <f t="shared" si="24"/>
        <v>896.69007021063146</v>
      </c>
      <c r="AR12" s="184">
        <f t="shared" si="25"/>
        <v>9</v>
      </c>
      <c r="AS12" s="528"/>
      <c r="AT12" s="190">
        <v>3</v>
      </c>
      <c r="AU12" s="190">
        <v>2690.4478384675103</v>
      </c>
      <c r="AV12" s="187">
        <f t="shared" si="26"/>
        <v>896.81594615583674</v>
      </c>
      <c r="AW12" s="184">
        <f t="shared" si="27"/>
        <v>9</v>
      </c>
      <c r="AX12" s="528"/>
    </row>
    <row r="13" spans="1:50" ht="14.25" customHeight="1">
      <c r="B13" s="514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2"/>
        <v>1200</v>
      </c>
      <c r="H13" s="526"/>
      <c r="I13" s="188">
        <f t="shared" si="13"/>
        <v>3</v>
      </c>
      <c r="J13" s="188">
        <f t="shared" si="14"/>
        <v>3132.7671500557772</v>
      </c>
      <c r="K13" s="189">
        <f t="shared" si="15"/>
        <v>1044.2557166852589</v>
      </c>
      <c r="L13" s="527"/>
      <c r="M13" s="188">
        <f>RANK(K13, K$7:$K$39)</f>
        <v>1</v>
      </c>
      <c r="N13" s="529"/>
      <c r="O13" s="530"/>
      <c r="P13" s="190">
        <v>3</v>
      </c>
      <c r="Q13" s="190">
        <v>3131.5985130111508</v>
      </c>
      <c r="R13" s="187">
        <f t="shared" si="10"/>
        <v>1043.866171003717</v>
      </c>
      <c r="S13" s="184">
        <f t="shared" si="16"/>
        <v>1</v>
      </c>
      <c r="T13" s="528"/>
      <c r="U13" s="190">
        <v>3</v>
      </c>
      <c r="V13" s="190">
        <v>3132.1882001493659</v>
      </c>
      <c r="W13" s="187">
        <f t="shared" si="11"/>
        <v>1044.0627333831219</v>
      </c>
      <c r="X13" s="184">
        <f t="shared" si="17"/>
        <v>1</v>
      </c>
      <c r="Y13" s="528"/>
      <c r="Z13" s="190">
        <v>3</v>
      </c>
      <c r="AA13" s="190">
        <v>3131.1500380807265</v>
      </c>
      <c r="AB13" s="187">
        <f t="shared" si="18"/>
        <v>1043.7166793602421</v>
      </c>
      <c r="AC13" s="184">
        <f t="shared" si="19"/>
        <v>2</v>
      </c>
      <c r="AD13" s="528"/>
      <c r="AE13" s="190">
        <v>3</v>
      </c>
      <c r="AF13" s="190">
        <v>3132.2834645669323</v>
      </c>
      <c r="AG13" s="187">
        <f t="shared" si="20"/>
        <v>1044.0944881889775</v>
      </c>
      <c r="AH13" s="184">
        <f t="shared" si="21"/>
        <v>2</v>
      </c>
      <c r="AI13" s="528"/>
      <c r="AJ13" s="190">
        <v>3</v>
      </c>
      <c r="AK13" s="190">
        <v>3133.3333333333344</v>
      </c>
      <c r="AL13" s="187">
        <f t="shared" si="22"/>
        <v>1044.4444444444448</v>
      </c>
      <c r="AM13" s="184">
        <f t="shared" si="23"/>
        <v>1</v>
      </c>
      <c r="AN13" s="528"/>
      <c r="AO13" s="190">
        <v>3</v>
      </c>
      <c r="AP13" s="190">
        <v>3134.2657342657312</v>
      </c>
      <c r="AQ13" s="187">
        <f t="shared" si="24"/>
        <v>1044.7552447552437</v>
      </c>
      <c r="AR13" s="184">
        <f t="shared" si="25"/>
        <v>1</v>
      </c>
      <c r="AS13" s="528"/>
      <c r="AT13" s="190">
        <v>3</v>
      </c>
      <c r="AU13" s="190">
        <v>3134.5507669832</v>
      </c>
      <c r="AV13" s="187">
        <f t="shared" si="26"/>
        <v>1044.8502556610667</v>
      </c>
      <c r="AW13" s="184">
        <f t="shared" si="27"/>
        <v>1</v>
      </c>
      <c r="AX13" s="528"/>
    </row>
    <row r="14" spans="1:50" ht="14.25" customHeight="1">
      <c r="B14" s="514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2"/>
        <v>825</v>
      </c>
      <c r="H14" s="526"/>
      <c r="I14" s="188">
        <f t="shared" si="13"/>
        <v>4</v>
      </c>
      <c r="J14" s="188">
        <f t="shared" si="14"/>
        <v>2928.0850469008478</v>
      </c>
      <c r="K14" s="189">
        <f t="shared" si="15"/>
        <v>732.02126172521196</v>
      </c>
      <c r="L14" s="527"/>
      <c r="M14" s="188">
        <f>RANK(K14, K$7:$K$39)</f>
        <v>21</v>
      </c>
      <c r="N14" s="529"/>
      <c r="O14" s="530"/>
      <c r="P14" s="190">
        <v>4</v>
      </c>
      <c r="Q14" s="190">
        <v>2927.8481012658244</v>
      </c>
      <c r="R14" s="187">
        <f t="shared" si="10"/>
        <v>731.96202531645611</v>
      </c>
      <c r="S14" s="184">
        <f t="shared" si="16"/>
        <v>20</v>
      </c>
      <c r="T14" s="528"/>
      <c r="U14" s="190">
        <v>4</v>
      </c>
      <c r="V14" s="190">
        <v>2928.4578696343438</v>
      </c>
      <c r="W14" s="187">
        <f t="shared" si="11"/>
        <v>732.11446740858594</v>
      </c>
      <c r="X14" s="184">
        <f t="shared" si="17"/>
        <v>20</v>
      </c>
      <c r="Y14" s="528"/>
      <c r="Z14" s="190">
        <v>4</v>
      </c>
      <c r="AA14" s="190">
        <v>2928.6173633440526</v>
      </c>
      <c r="AB14" s="187">
        <f t="shared" si="18"/>
        <v>732.15434083601315</v>
      </c>
      <c r="AC14" s="184">
        <f t="shared" si="19"/>
        <v>19</v>
      </c>
      <c r="AD14" s="528"/>
      <c r="AE14" s="190">
        <v>4</v>
      </c>
      <c r="AF14" s="190">
        <v>2928.5921625544242</v>
      </c>
      <c r="AG14" s="187">
        <f t="shared" si="20"/>
        <v>732.14804063860606</v>
      </c>
      <c r="AH14" s="184">
        <f t="shared" si="21"/>
        <v>18</v>
      </c>
      <c r="AI14" s="528"/>
      <c r="AJ14" s="190">
        <v>4</v>
      </c>
      <c r="AK14" s="190">
        <v>2928.1105990783362</v>
      </c>
      <c r="AL14" s="187">
        <f t="shared" si="22"/>
        <v>732.02764976958406</v>
      </c>
      <c r="AM14" s="184">
        <f t="shared" si="23"/>
        <v>19</v>
      </c>
      <c r="AN14" s="528"/>
      <c r="AO14" s="190">
        <v>4</v>
      </c>
      <c r="AP14" s="190">
        <v>2927.8309008555607</v>
      </c>
      <c r="AQ14" s="187">
        <f t="shared" si="24"/>
        <v>731.95772521389017</v>
      </c>
      <c r="AR14" s="184">
        <f t="shared" si="25"/>
        <v>19</v>
      </c>
      <c r="AS14" s="528"/>
      <c r="AT14" s="190">
        <v>4</v>
      </c>
      <c r="AU14" s="190">
        <v>2927.1383315733897</v>
      </c>
      <c r="AV14" s="187">
        <f t="shared" si="26"/>
        <v>731.78458289334742</v>
      </c>
      <c r="AW14" s="184">
        <f t="shared" si="27"/>
        <v>21</v>
      </c>
      <c r="AX14" s="528"/>
    </row>
    <row r="15" spans="1:50" ht="14.25" customHeight="1">
      <c r="B15" s="514"/>
      <c r="C15" s="182">
        <v>9</v>
      </c>
      <c r="D15" s="185" t="s">
        <v>407</v>
      </c>
      <c r="E15" s="186">
        <v>4</v>
      </c>
      <c r="F15" s="182">
        <v>3300</v>
      </c>
      <c r="G15" s="187">
        <f t="shared" si="12"/>
        <v>825</v>
      </c>
      <c r="H15" s="526"/>
      <c r="I15" s="188">
        <f t="shared" si="13"/>
        <v>4</v>
      </c>
      <c r="J15" s="188">
        <f t="shared" si="14"/>
        <v>2927.6593737710537</v>
      </c>
      <c r="K15" s="189">
        <f t="shared" si="15"/>
        <v>731.91484344276341</v>
      </c>
      <c r="L15" s="527"/>
      <c r="M15" s="188">
        <f>RANK(K15, K$7:$K$39)</f>
        <v>22</v>
      </c>
      <c r="N15" s="529"/>
      <c r="O15" s="530"/>
      <c r="P15" s="190">
        <v>4</v>
      </c>
      <c r="Q15" s="190">
        <v>2927.330031517336</v>
      </c>
      <c r="R15" s="187">
        <f t="shared" si="10"/>
        <v>731.832507879334</v>
      </c>
      <c r="S15" s="184">
        <f t="shared" si="16"/>
        <v>22</v>
      </c>
      <c r="T15" s="528"/>
      <c r="U15" s="190">
        <v>4</v>
      </c>
      <c r="V15" s="190">
        <v>2927.7401894452014</v>
      </c>
      <c r="W15" s="187">
        <f t="shared" si="11"/>
        <v>731.93504736130035</v>
      </c>
      <c r="X15" s="184">
        <f t="shared" si="17"/>
        <v>22</v>
      </c>
      <c r="Y15" s="528"/>
      <c r="Z15" s="190">
        <v>4</v>
      </c>
      <c r="AA15" s="190">
        <v>2928.2456956724095</v>
      </c>
      <c r="AB15" s="187">
        <f t="shared" si="18"/>
        <v>732.06142391810238</v>
      </c>
      <c r="AC15" s="184">
        <f t="shared" si="19"/>
        <v>20</v>
      </c>
      <c r="AD15" s="528"/>
      <c r="AE15" s="190">
        <v>4</v>
      </c>
      <c r="AF15" s="190">
        <v>2927.562642369016</v>
      </c>
      <c r="AG15" s="187">
        <f t="shared" si="20"/>
        <v>731.89066059225399</v>
      </c>
      <c r="AH15" s="184">
        <f t="shared" si="21"/>
        <v>20</v>
      </c>
      <c r="AI15" s="528"/>
      <c r="AJ15" s="190">
        <v>4</v>
      </c>
      <c r="AK15" s="190">
        <v>2927.4969173859386</v>
      </c>
      <c r="AL15" s="187">
        <f t="shared" si="22"/>
        <v>731.87422934648464</v>
      </c>
      <c r="AM15" s="184">
        <f t="shared" si="23"/>
        <v>20</v>
      </c>
      <c r="AN15" s="528"/>
      <c r="AO15" s="190">
        <v>4</v>
      </c>
      <c r="AP15" s="190">
        <v>2927.6447540269946</v>
      </c>
      <c r="AQ15" s="187">
        <f t="shared" si="24"/>
        <v>731.91118850674866</v>
      </c>
      <c r="AR15" s="184">
        <f t="shared" si="25"/>
        <v>20</v>
      </c>
      <c r="AS15" s="528"/>
      <c r="AT15" s="190">
        <v>4</v>
      </c>
      <c r="AU15" s="190">
        <v>2927.5953859804808</v>
      </c>
      <c r="AV15" s="187">
        <f t="shared" si="26"/>
        <v>731.89884649512021</v>
      </c>
      <c r="AW15" s="184">
        <f t="shared" si="27"/>
        <v>20</v>
      </c>
      <c r="AX15" s="528"/>
    </row>
    <row r="16" spans="1:50" ht="14.25" customHeight="1">
      <c r="B16" s="514"/>
      <c r="C16" s="182">
        <v>10</v>
      </c>
      <c r="D16" s="185" t="s">
        <v>470</v>
      </c>
      <c r="E16" s="186">
        <v>4</v>
      </c>
      <c r="F16" s="182">
        <v>3300</v>
      </c>
      <c r="G16" s="187">
        <f t="shared" si="12"/>
        <v>825</v>
      </c>
      <c r="H16" s="526"/>
      <c r="I16" s="188">
        <f t="shared" si="13"/>
        <v>4</v>
      </c>
      <c r="J16" s="188">
        <f t="shared" si="14"/>
        <v>2956.432950055224</v>
      </c>
      <c r="K16" s="189">
        <f t="shared" si="15"/>
        <v>739.10823751380599</v>
      </c>
      <c r="L16" s="527"/>
      <c r="M16" s="188">
        <f>RANK(K16, K$7:$K$39)</f>
        <v>14</v>
      </c>
      <c r="N16" s="529"/>
      <c r="O16" s="530"/>
      <c r="P16" s="190">
        <v>4</v>
      </c>
      <c r="Q16" s="190">
        <v>2955.2521008403382</v>
      </c>
      <c r="R16" s="187">
        <f t="shared" si="10"/>
        <v>738.81302521008456</v>
      </c>
      <c r="S16" s="184">
        <f t="shared" si="16"/>
        <v>14</v>
      </c>
      <c r="T16" s="528"/>
      <c r="U16" s="190">
        <v>4</v>
      </c>
      <c r="V16" s="190">
        <v>2955.8301988178473</v>
      </c>
      <c r="W16" s="187">
        <f t="shared" si="11"/>
        <v>738.95754970446183</v>
      </c>
      <c r="X16" s="184">
        <f t="shared" si="17"/>
        <v>14</v>
      </c>
      <c r="Y16" s="528"/>
      <c r="Z16" s="190">
        <v>4</v>
      </c>
      <c r="AA16" s="190">
        <v>2956.1613958560511</v>
      </c>
      <c r="AB16" s="187">
        <f t="shared" si="18"/>
        <v>739.04034896401276</v>
      </c>
      <c r="AC16" s="184">
        <f t="shared" si="19"/>
        <v>14</v>
      </c>
      <c r="AD16" s="528"/>
      <c r="AE16" s="190">
        <v>4</v>
      </c>
      <c r="AF16" s="190">
        <v>2955.2973342446994</v>
      </c>
      <c r="AG16" s="187">
        <f t="shared" si="20"/>
        <v>738.82433356117485</v>
      </c>
      <c r="AH16" s="184">
        <f t="shared" si="21"/>
        <v>15</v>
      </c>
      <c r="AI16" s="528"/>
      <c r="AJ16" s="190">
        <v>4</v>
      </c>
      <c r="AK16" s="190">
        <v>2956.9465648854921</v>
      </c>
      <c r="AL16" s="187">
        <f t="shared" si="22"/>
        <v>739.23664122137302</v>
      </c>
      <c r="AM16" s="184">
        <f t="shared" si="23"/>
        <v>14</v>
      </c>
      <c r="AN16" s="528"/>
      <c r="AO16" s="190">
        <v>4</v>
      </c>
      <c r="AP16" s="190">
        <v>2957.4803149606296</v>
      </c>
      <c r="AQ16" s="187">
        <f t="shared" si="24"/>
        <v>739.3700787401574</v>
      </c>
      <c r="AR16" s="184">
        <f t="shared" si="25"/>
        <v>14</v>
      </c>
      <c r="AS16" s="528"/>
      <c r="AT16" s="190">
        <v>4</v>
      </c>
      <c r="AU16" s="190">
        <v>2958.0627407815091</v>
      </c>
      <c r="AV16" s="187">
        <f t="shared" si="26"/>
        <v>739.51568519537727</v>
      </c>
      <c r="AW16" s="184">
        <f t="shared" si="27"/>
        <v>14</v>
      </c>
      <c r="AX16" s="528"/>
    </row>
    <row r="17" spans="2:50" ht="14.25" customHeight="1">
      <c r="B17" s="514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26"/>
      <c r="I17" s="188">
        <f t="shared" si="13"/>
        <v>3</v>
      </c>
      <c r="J17" s="188">
        <f t="shared" si="14"/>
        <v>2689.144411874222</v>
      </c>
      <c r="K17" s="189">
        <f t="shared" si="15"/>
        <v>896.3814706247407</v>
      </c>
      <c r="L17" s="527"/>
      <c r="M17" s="188">
        <f>RANK(K17, K$7:$K$39)</f>
        <v>10</v>
      </c>
      <c r="N17" s="529"/>
      <c r="O17" s="530"/>
      <c r="P17" s="190">
        <v>3</v>
      </c>
      <c r="Q17" s="190">
        <v>2688.7156895967478</v>
      </c>
      <c r="R17" s="187">
        <f t="shared" si="10"/>
        <v>896.23856319891593</v>
      </c>
      <c r="S17" s="184">
        <f t="shared" si="16"/>
        <v>10</v>
      </c>
      <c r="T17" s="528"/>
      <c r="U17" s="190">
        <v>3</v>
      </c>
      <c r="V17" s="190">
        <v>2688.8099467140337</v>
      </c>
      <c r="W17" s="187">
        <f t="shared" si="11"/>
        <v>896.26998223801127</v>
      </c>
      <c r="X17" s="184">
        <f t="shared" si="17"/>
        <v>11</v>
      </c>
      <c r="Y17" s="528"/>
      <c r="Z17" s="190">
        <v>3</v>
      </c>
      <c r="AA17" s="190">
        <v>2688.9045438534677</v>
      </c>
      <c r="AB17" s="187">
        <f t="shared" si="18"/>
        <v>896.30151461782259</v>
      </c>
      <c r="AC17" s="184">
        <f t="shared" si="19"/>
        <v>10</v>
      </c>
      <c r="AD17" s="528"/>
      <c r="AE17" s="190">
        <v>3</v>
      </c>
      <c r="AF17" s="190">
        <v>2689.2694558855405</v>
      </c>
      <c r="AG17" s="187">
        <f t="shared" si="20"/>
        <v>896.42315196184688</v>
      </c>
      <c r="AH17" s="184">
        <f t="shared" si="21"/>
        <v>10</v>
      </c>
      <c r="AI17" s="528"/>
      <c r="AJ17" s="190">
        <v>3</v>
      </c>
      <c r="AK17" s="190">
        <v>2689.4594594594605</v>
      </c>
      <c r="AL17" s="187">
        <f t="shared" si="22"/>
        <v>896.4864864864868</v>
      </c>
      <c r="AM17" s="184">
        <f t="shared" si="23"/>
        <v>10</v>
      </c>
      <c r="AN17" s="528"/>
      <c r="AO17" s="190">
        <v>3</v>
      </c>
      <c r="AP17" s="190">
        <v>2689.350815478093</v>
      </c>
      <c r="AQ17" s="187">
        <f t="shared" si="24"/>
        <v>896.45027182603098</v>
      </c>
      <c r="AR17" s="184">
        <f t="shared" si="25"/>
        <v>11</v>
      </c>
      <c r="AS17" s="528"/>
      <c r="AT17" s="190">
        <v>3</v>
      </c>
      <c r="AU17" s="190">
        <v>2689.5009721322108</v>
      </c>
      <c r="AV17" s="187">
        <f t="shared" si="26"/>
        <v>896.50032404407023</v>
      </c>
      <c r="AW17" s="184">
        <f t="shared" si="27"/>
        <v>11</v>
      </c>
      <c r="AX17" s="528"/>
    </row>
    <row r="18" spans="2:50" ht="14.25" customHeight="1">
      <c r="B18" s="514"/>
      <c r="C18" s="182">
        <v>12</v>
      </c>
      <c r="D18" s="185" t="s">
        <v>495</v>
      </c>
      <c r="E18" s="186">
        <v>12</v>
      </c>
      <c r="F18" s="182">
        <v>3600</v>
      </c>
      <c r="G18" s="187">
        <f t="shared" si="12"/>
        <v>300</v>
      </c>
      <c r="H18" s="526"/>
      <c r="I18" s="188">
        <f t="shared" si="13"/>
        <v>12</v>
      </c>
      <c r="J18" s="188">
        <f t="shared" si="14"/>
        <v>3123.1075362016422</v>
      </c>
      <c r="K18" s="189">
        <f t="shared" si="15"/>
        <v>260.25896135013687</v>
      </c>
      <c r="L18" s="527"/>
      <c r="M18" s="188">
        <f>RANK(K18, K$7:$K$39)</f>
        <v>31</v>
      </c>
      <c r="N18" s="529"/>
      <c r="O18" s="530"/>
      <c r="P18" s="190">
        <v>12</v>
      </c>
      <c r="Q18" s="190">
        <v>3121.4906832298093</v>
      </c>
      <c r="R18" s="187">
        <f t="shared" si="10"/>
        <v>260.12422360248411</v>
      </c>
      <c r="S18" s="184">
        <f t="shared" si="16"/>
        <v>31</v>
      </c>
      <c r="T18" s="528"/>
      <c r="U18" s="190">
        <v>12</v>
      </c>
      <c r="V18" s="190">
        <v>3122.0715166461205</v>
      </c>
      <c r="W18" s="187">
        <f t="shared" si="11"/>
        <v>260.17262638717671</v>
      </c>
      <c r="X18" s="184">
        <f t="shared" si="17"/>
        <v>31</v>
      </c>
      <c r="Y18" s="528"/>
      <c r="Z18" s="190">
        <v>12</v>
      </c>
      <c r="AA18" s="190">
        <v>3121.8045112781952</v>
      </c>
      <c r="AB18" s="187">
        <f t="shared" si="18"/>
        <v>260.1503759398496</v>
      </c>
      <c r="AC18" s="184">
        <f t="shared" si="19"/>
        <v>29</v>
      </c>
      <c r="AD18" s="528"/>
      <c r="AE18" s="190">
        <v>12</v>
      </c>
      <c r="AF18" s="190">
        <v>3123.6641221374048</v>
      </c>
      <c r="AG18" s="187">
        <f t="shared" si="20"/>
        <v>260.30534351145042</v>
      </c>
      <c r="AH18" s="184">
        <f t="shared" si="21"/>
        <v>28</v>
      </c>
      <c r="AI18" s="528"/>
      <c r="AJ18" s="190">
        <v>12</v>
      </c>
      <c r="AK18" s="190">
        <v>3123.5859124866615</v>
      </c>
      <c r="AL18" s="187">
        <f t="shared" si="22"/>
        <v>260.29882604055513</v>
      </c>
      <c r="AM18" s="184">
        <f t="shared" si="23"/>
        <v>28</v>
      </c>
      <c r="AN18" s="528"/>
      <c r="AO18" s="190">
        <v>12</v>
      </c>
      <c r="AP18" s="190">
        <v>3124.6353961371738</v>
      </c>
      <c r="AQ18" s="187">
        <f t="shared" si="24"/>
        <v>260.38628301143115</v>
      </c>
      <c r="AR18" s="184">
        <f t="shared" si="25"/>
        <v>28</v>
      </c>
      <c r="AS18" s="528"/>
      <c r="AT18" s="190">
        <v>12</v>
      </c>
      <c r="AU18" s="190">
        <v>3124.5006114961293</v>
      </c>
      <c r="AV18" s="187">
        <f t="shared" si="26"/>
        <v>260.37505095801077</v>
      </c>
      <c r="AW18" s="184">
        <f t="shared" si="27"/>
        <v>29</v>
      </c>
      <c r="AX18" s="528"/>
    </row>
    <row r="19" spans="2:50" ht="14.25" customHeight="1">
      <c r="B19" s="514"/>
      <c r="C19" s="182">
        <v>13</v>
      </c>
      <c r="D19" s="185" t="s">
        <v>543</v>
      </c>
      <c r="E19" s="186">
        <v>3</v>
      </c>
      <c r="F19" s="182">
        <v>3300</v>
      </c>
      <c r="G19" s="187">
        <f t="shared" si="12"/>
        <v>1100</v>
      </c>
      <c r="H19" s="526"/>
      <c r="I19" s="188">
        <f t="shared" si="13"/>
        <v>3</v>
      </c>
      <c r="J19" s="188">
        <f t="shared" si="14"/>
        <v>2953.1306167922658</v>
      </c>
      <c r="K19" s="189">
        <f t="shared" si="15"/>
        <v>984.37687226408855</v>
      </c>
      <c r="L19" s="527"/>
      <c r="M19" s="188">
        <f>RANK(K19, K$7:$K$39)</f>
        <v>8</v>
      </c>
      <c r="N19" s="529"/>
      <c r="O19" s="530"/>
      <c r="P19" s="190">
        <v>3</v>
      </c>
      <c r="Q19" s="190">
        <v>2952.5291828793779</v>
      </c>
      <c r="R19" s="187">
        <f t="shared" si="10"/>
        <v>984.17639429312601</v>
      </c>
      <c r="S19" s="184">
        <f t="shared" si="16"/>
        <v>8</v>
      </c>
      <c r="T19" s="528"/>
      <c r="U19" s="190">
        <v>3</v>
      </c>
      <c r="V19" s="190">
        <v>2952.3851983950085</v>
      </c>
      <c r="W19" s="187">
        <f t="shared" si="11"/>
        <v>984.12839946500287</v>
      </c>
      <c r="X19" s="184">
        <f t="shared" si="17"/>
        <v>8</v>
      </c>
      <c r="Y19" s="528"/>
      <c r="Z19" s="190">
        <v>3</v>
      </c>
      <c r="AA19" s="190">
        <v>2952.717391304348</v>
      </c>
      <c r="AB19" s="187">
        <f t="shared" si="18"/>
        <v>984.23913043478262</v>
      </c>
      <c r="AC19" s="184">
        <f t="shared" si="19"/>
        <v>8</v>
      </c>
      <c r="AD19" s="528"/>
      <c r="AE19" s="190">
        <v>3</v>
      </c>
      <c r="AF19" s="190">
        <v>2953.1723750701881</v>
      </c>
      <c r="AG19" s="187">
        <f t="shared" si="20"/>
        <v>984.39079169006266</v>
      </c>
      <c r="AH19" s="184">
        <f t="shared" si="21"/>
        <v>8</v>
      </c>
      <c r="AI19" s="528"/>
      <c r="AJ19" s="190">
        <v>3</v>
      </c>
      <c r="AK19" s="190">
        <v>2953.3878504672898</v>
      </c>
      <c r="AL19" s="187">
        <f t="shared" si="22"/>
        <v>984.46261682242994</v>
      </c>
      <c r="AM19" s="184">
        <f t="shared" si="23"/>
        <v>8</v>
      </c>
      <c r="AN19" s="528"/>
      <c r="AO19" s="190">
        <v>3</v>
      </c>
      <c r="AP19" s="190">
        <v>2953.6534446764099</v>
      </c>
      <c r="AQ19" s="187">
        <f t="shared" si="24"/>
        <v>984.55114822547</v>
      </c>
      <c r="AR19" s="184">
        <f t="shared" si="25"/>
        <v>8</v>
      </c>
      <c r="AS19" s="528"/>
      <c r="AT19" s="190">
        <v>3</v>
      </c>
      <c r="AU19" s="190">
        <v>2954.0688747532349</v>
      </c>
      <c r="AV19" s="187">
        <f t="shared" si="26"/>
        <v>984.68962491774494</v>
      </c>
      <c r="AW19" s="184">
        <f t="shared" si="27"/>
        <v>8</v>
      </c>
      <c r="AX19" s="528"/>
    </row>
    <row r="20" spans="2:50" ht="14.25" customHeight="1">
      <c r="B20" s="514"/>
      <c r="C20" s="182">
        <v>14</v>
      </c>
      <c r="D20" s="185" t="s">
        <v>584</v>
      </c>
      <c r="E20" s="186">
        <v>4</v>
      </c>
      <c r="F20" s="182">
        <v>3300</v>
      </c>
      <c r="G20" s="187">
        <f t="shared" si="12"/>
        <v>825</v>
      </c>
      <c r="H20" s="526"/>
      <c r="I20" s="188">
        <f t="shared" si="13"/>
        <v>4</v>
      </c>
      <c r="J20" s="188">
        <f t="shared" si="14"/>
        <v>2952.9140086001908</v>
      </c>
      <c r="K20" s="189">
        <f t="shared" si="15"/>
        <v>738.22850215004769</v>
      </c>
      <c r="L20" s="527"/>
      <c r="M20" s="188">
        <f>RANK(K20, K$7:$K$39)</f>
        <v>19</v>
      </c>
      <c r="N20" s="529"/>
      <c r="O20" s="530"/>
      <c r="P20" s="190">
        <v>4</v>
      </c>
      <c r="Q20" s="190">
        <v>2952.9525653436594</v>
      </c>
      <c r="R20" s="187">
        <f t="shared" si="10"/>
        <v>738.23814133591486</v>
      </c>
      <c r="S20" s="184">
        <f t="shared" si="16"/>
        <v>16</v>
      </c>
      <c r="T20" s="528"/>
      <c r="U20" s="190">
        <v>4</v>
      </c>
      <c r="V20" s="190">
        <v>2952.8754518567225</v>
      </c>
      <c r="W20" s="187">
        <f t="shared" si="11"/>
        <v>738.21886296418063</v>
      </c>
      <c r="X20" s="184">
        <f t="shared" si="17"/>
        <v>18</v>
      </c>
      <c r="Y20" s="528"/>
      <c r="Z20" s="190"/>
      <c r="AA20" s="190"/>
      <c r="AB20" s="187"/>
      <c r="AC20" s="184"/>
      <c r="AD20" s="528"/>
      <c r="AE20" s="190"/>
      <c r="AF20" s="190"/>
      <c r="AG20" s="187"/>
      <c r="AH20" s="184"/>
      <c r="AI20" s="528"/>
      <c r="AJ20" s="190"/>
      <c r="AK20" s="190"/>
      <c r="AL20" s="187"/>
      <c r="AM20" s="184"/>
      <c r="AN20" s="528"/>
      <c r="AO20" s="190"/>
      <c r="AP20" s="190"/>
      <c r="AQ20" s="187"/>
      <c r="AR20" s="184"/>
      <c r="AS20" s="528"/>
      <c r="AT20" s="190"/>
      <c r="AU20" s="190"/>
      <c r="AV20" s="187"/>
      <c r="AW20" s="184"/>
      <c r="AX20" s="528"/>
    </row>
    <row r="21" spans="2:50" ht="14.25" customHeight="1">
      <c r="B21" s="514"/>
      <c r="C21" s="182">
        <v>15</v>
      </c>
      <c r="D21" s="185" t="s">
        <v>616</v>
      </c>
      <c r="E21" s="186">
        <v>5</v>
      </c>
      <c r="F21" s="182">
        <v>3300</v>
      </c>
      <c r="G21" s="187">
        <f t="shared" si="12"/>
        <v>660</v>
      </c>
      <c r="H21" s="526"/>
      <c r="I21" s="188">
        <f t="shared" si="13"/>
        <v>5</v>
      </c>
      <c r="J21" s="188">
        <f t="shared" si="14"/>
        <v>2954.8940701060151</v>
      </c>
      <c r="K21" s="189">
        <f t="shared" si="15"/>
        <v>590.97881402120299</v>
      </c>
      <c r="L21" s="527"/>
      <c r="M21" s="188">
        <f>RANK(K21, K$7:$K$39)</f>
        <v>27</v>
      </c>
      <c r="N21" s="529"/>
      <c r="O21" s="530"/>
      <c r="P21" s="190">
        <v>5</v>
      </c>
      <c r="Q21" s="190">
        <v>2953.68782161235</v>
      </c>
      <c r="R21" s="187">
        <f t="shared" si="10"/>
        <v>590.73756432247001</v>
      </c>
      <c r="S21" s="184">
        <f t="shared" si="16"/>
        <v>27</v>
      </c>
      <c r="T21" s="528"/>
      <c r="U21" s="190">
        <v>5</v>
      </c>
      <c r="V21" s="190">
        <v>2953.7176938369762</v>
      </c>
      <c r="W21" s="187">
        <f t="shared" si="11"/>
        <v>590.74353876739519</v>
      </c>
      <c r="X21" s="184">
        <f t="shared" si="17"/>
        <v>28</v>
      </c>
      <c r="Y21" s="528"/>
      <c r="Z21" s="190">
        <v>5</v>
      </c>
      <c r="AA21" s="190">
        <v>2954.1455503750249</v>
      </c>
      <c r="AB21" s="187">
        <f t="shared" ref="AB21:AB36" si="28">IFERROR(AA21/Z21,"")</f>
        <v>590.82911007500502</v>
      </c>
      <c r="AC21" s="184">
        <f t="shared" si="19"/>
        <v>26</v>
      </c>
      <c r="AD21" s="528"/>
      <c r="AE21" s="190">
        <v>5</v>
      </c>
      <c r="AF21" s="190">
        <v>2954.5735997748379</v>
      </c>
      <c r="AG21" s="187">
        <f t="shared" ref="AG21:AG36" si="29">IFERROR(AF21/AE21,"")</f>
        <v>590.91471995496761</v>
      </c>
      <c r="AH21" s="184">
        <f t="shared" si="21"/>
        <v>26</v>
      </c>
      <c r="AI21" s="528"/>
      <c r="AJ21" s="190">
        <v>5</v>
      </c>
      <c r="AK21" s="190">
        <v>2954.9770290964793</v>
      </c>
      <c r="AL21" s="187">
        <f t="shared" ref="AL21:AL36" si="30">IFERROR(AK21/AJ21,"")</f>
        <v>590.99540581929591</v>
      </c>
      <c r="AM21" s="184">
        <f t="shared" si="23"/>
        <v>25</v>
      </c>
      <c r="AN21" s="528"/>
      <c r="AO21" s="190">
        <v>5</v>
      </c>
      <c r="AP21" s="190">
        <v>2956.5060783430872</v>
      </c>
      <c r="AQ21" s="187">
        <f t="shared" ref="AQ21:AQ36" si="31">IFERROR(AP21/AO21,"")</f>
        <v>591.30121566861749</v>
      </c>
      <c r="AR21" s="184">
        <f t="shared" si="25"/>
        <v>24</v>
      </c>
      <c r="AS21" s="528"/>
      <c r="AT21" s="190">
        <v>5</v>
      </c>
      <c r="AU21" s="190">
        <v>2956.6507177033509</v>
      </c>
      <c r="AV21" s="187">
        <f t="shared" ref="AV21:AV36" si="32">IFERROR(AU21/AT21,"")</f>
        <v>591.33014354067018</v>
      </c>
      <c r="AW21" s="184">
        <f t="shared" si="27"/>
        <v>24</v>
      </c>
      <c r="AX21" s="528"/>
    </row>
    <row r="22" spans="2:50" ht="14.25" customHeight="1">
      <c r="B22" s="514"/>
      <c r="C22" s="182">
        <v>16</v>
      </c>
      <c r="D22" s="185" t="s">
        <v>421</v>
      </c>
      <c r="E22" s="186">
        <v>4</v>
      </c>
      <c r="F22" s="182">
        <v>3300</v>
      </c>
      <c r="G22" s="187">
        <f t="shared" si="12"/>
        <v>825</v>
      </c>
      <c r="H22" s="526"/>
      <c r="I22" s="188">
        <f t="shared" si="13"/>
        <v>4</v>
      </c>
      <c r="J22" s="188">
        <f t="shared" si="14"/>
        <v>2955.0178055043843</v>
      </c>
      <c r="K22" s="189">
        <f t="shared" si="15"/>
        <v>738.75445137609609</v>
      </c>
      <c r="L22" s="527"/>
      <c r="M22" s="188">
        <f>RANK(K22, K$7:$K$39)</f>
        <v>15</v>
      </c>
      <c r="N22" s="529"/>
      <c r="O22" s="530"/>
      <c r="P22" s="190">
        <v>4</v>
      </c>
      <c r="Q22" s="190">
        <v>2952.2911051212936</v>
      </c>
      <c r="R22" s="187">
        <f t="shared" si="10"/>
        <v>738.07277628032341</v>
      </c>
      <c r="S22" s="184">
        <f t="shared" si="16"/>
        <v>18</v>
      </c>
      <c r="T22" s="528"/>
      <c r="U22" s="190">
        <v>4</v>
      </c>
      <c r="V22" s="190">
        <v>2952.6205450733755</v>
      </c>
      <c r="W22" s="187">
        <f t="shared" si="11"/>
        <v>738.15513626834388</v>
      </c>
      <c r="X22" s="184">
        <f t="shared" si="17"/>
        <v>19</v>
      </c>
      <c r="Y22" s="528"/>
      <c r="Z22" s="190">
        <v>4</v>
      </c>
      <c r="AA22" s="190">
        <v>2955.7894736842127</v>
      </c>
      <c r="AB22" s="187">
        <f t="shared" si="28"/>
        <v>738.94736842105317</v>
      </c>
      <c r="AC22" s="184">
        <f t="shared" si="19"/>
        <v>15</v>
      </c>
      <c r="AD22" s="528"/>
      <c r="AE22" s="190">
        <v>4</v>
      </c>
      <c r="AF22" s="190">
        <v>2955.6456888656294</v>
      </c>
      <c r="AG22" s="187">
        <f t="shared" si="29"/>
        <v>738.91142221640735</v>
      </c>
      <c r="AH22" s="184">
        <f t="shared" si="21"/>
        <v>14</v>
      </c>
      <c r="AI22" s="528"/>
      <c r="AJ22" s="190">
        <v>4</v>
      </c>
      <c r="AK22" s="190">
        <v>2956.2492637530931</v>
      </c>
      <c r="AL22" s="187">
        <f t="shared" si="30"/>
        <v>739.06231593827329</v>
      </c>
      <c r="AM22" s="184">
        <f t="shared" si="23"/>
        <v>15</v>
      </c>
      <c r="AN22" s="528"/>
      <c r="AO22" s="190">
        <v>4</v>
      </c>
      <c r="AP22" s="190">
        <v>2956.1684210526309</v>
      </c>
      <c r="AQ22" s="187">
        <f t="shared" si="31"/>
        <v>739.04210526315774</v>
      </c>
      <c r="AR22" s="184">
        <f t="shared" si="25"/>
        <v>15</v>
      </c>
      <c r="AS22" s="528"/>
      <c r="AT22" s="190">
        <v>4</v>
      </c>
      <c r="AU22" s="190">
        <v>2956.3601409804564</v>
      </c>
      <c r="AV22" s="187">
        <f t="shared" si="32"/>
        <v>739.09003524511411</v>
      </c>
      <c r="AW22" s="184">
        <f t="shared" si="27"/>
        <v>15</v>
      </c>
      <c r="AX22" s="528"/>
    </row>
    <row r="23" spans="2:50" ht="14.25" customHeight="1">
      <c r="B23" s="514"/>
      <c r="C23" s="182">
        <v>17</v>
      </c>
      <c r="D23" s="185" t="s">
        <v>420</v>
      </c>
      <c r="E23" s="186">
        <v>3</v>
      </c>
      <c r="F23" s="182">
        <v>3600</v>
      </c>
      <c r="G23" s="187">
        <f t="shared" si="12"/>
        <v>1200</v>
      </c>
      <c r="H23" s="526"/>
      <c r="I23" s="188">
        <f t="shared" si="13"/>
        <v>3</v>
      </c>
      <c r="J23" s="188">
        <f t="shared" si="14"/>
        <v>3128.4251328296677</v>
      </c>
      <c r="K23" s="189">
        <f t="shared" si="15"/>
        <v>1042.8083776098892</v>
      </c>
      <c r="L23" s="527"/>
      <c r="M23" s="188">
        <f>RANK(K23, K$7:$K$39)</f>
        <v>3</v>
      </c>
      <c r="N23" s="529"/>
      <c r="O23" s="530"/>
      <c r="P23" s="190">
        <v>3</v>
      </c>
      <c r="Q23" s="190">
        <v>3127.6794357532899</v>
      </c>
      <c r="R23" s="187">
        <f t="shared" si="10"/>
        <v>1042.5598119177632</v>
      </c>
      <c r="S23" s="184">
        <f t="shared" si="16"/>
        <v>3</v>
      </c>
      <c r="T23" s="528"/>
      <c r="U23" s="190">
        <v>3</v>
      </c>
      <c r="V23" s="190">
        <v>3128.2047515934464</v>
      </c>
      <c r="W23" s="187">
        <f t="shared" si="11"/>
        <v>1042.7349171978155</v>
      </c>
      <c r="X23" s="184">
        <f t="shared" si="17"/>
        <v>3</v>
      </c>
      <c r="Y23" s="528"/>
      <c r="Z23" s="190">
        <v>3</v>
      </c>
      <c r="AA23" s="190">
        <v>3128.0913829433284</v>
      </c>
      <c r="AB23" s="187">
        <f t="shared" si="28"/>
        <v>1042.6971276477761</v>
      </c>
      <c r="AC23" s="184">
        <f t="shared" si="19"/>
        <v>3</v>
      </c>
      <c r="AD23" s="528"/>
      <c r="AE23" s="190">
        <v>3</v>
      </c>
      <c r="AF23" s="190">
        <v>3128.5415212840194</v>
      </c>
      <c r="AG23" s="187">
        <f t="shared" si="29"/>
        <v>1042.8471737613397</v>
      </c>
      <c r="AH23" s="184">
        <f t="shared" si="21"/>
        <v>3</v>
      </c>
      <c r="AI23" s="528"/>
      <c r="AJ23" s="190">
        <v>3</v>
      </c>
      <c r="AK23" s="190">
        <v>3128.5582539194588</v>
      </c>
      <c r="AL23" s="187">
        <f t="shared" si="30"/>
        <v>1042.8527513064862</v>
      </c>
      <c r="AM23" s="184">
        <f t="shared" si="23"/>
        <v>3</v>
      </c>
      <c r="AN23" s="528"/>
      <c r="AO23" s="190">
        <v>3</v>
      </c>
      <c r="AP23" s="190">
        <v>3128.8825543363778</v>
      </c>
      <c r="AQ23" s="187">
        <f t="shared" si="31"/>
        <v>1042.9608514454592</v>
      </c>
      <c r="AR23" s="184">
        <f t="shared" si="25"/>
        <v>4</v>
      </c>
      <c r="AS23" s="528"/>
      <c r="AT23" s="190">
        <v>3</v>
      </c>
      <c r="AU23" s="190">
        <v>3129.018029977753</v>
      </c>
      <c r="AV23" s="187">
        <f t="shared" si="32"/>
        <v>1043.0060099925843</v>
      </c>
      <c r="AW23" s="184">
        <f t="shared" si="27"/>
        <v>4</v>
      </c>
      <c r="AX23" s="528"/>
    </row>
    <row r="24" spans="2:50" ht="14.25" customHeight="1">
      <c r="B24" s="514"/>
      <c r="C24" s="182">
        <v>18</v>
      </c>
      <c r="D24" s="185" t="s">
        <v>422</v>
      </c>
      <c r="E24" s="186">
        <v>4</v>
      </c>
      <c r="F24" s="182">
        <v>3300</v>
      </c>
      <c r="G24" s="187">
        <f t="shared" si="12"/>
        <v>825</v>
      </c>
      <c r="H24" s="526"/>
      <c r="I24" s="188">
        <f t="shared" si="13"/>
        <v>4</v>
      </c>
      <c r="J24" s="188">
        <f t="shared" si="14"/>
        <v>2958.6053042695066</v>
      </c>
      <c r="K24" s="189">
        <f t="shared" si="15"/>
        <v>739.65132606737666</v>
      </c>
      <c r="L24" s="527"/>
      <c r="M24" s="188">
        <f>RANK(K24, K$7:$K$39)</f>
        <v>13</v>
      </c>
      <c r="N24" s="529"/>
      <c r="O24" s="530"/>
      <c r="P24" s="190">
        <v>4</v>
      </c>
      <c r="Q24" s="190">
        <v>2958.4957736760389</v>
      </c>
      <c r="R24" s="187">
        <f t="shared" si="10"/>
        <v>739.62394341900972</v>
      </c>
      <c r="S24" s="184">
        <f t="shared" si="16"/>
        <v>12</v>
      </c>
      <c r="T24" s="528"/>
      <c r="U24" s="190">
        <v>4</v>
      </c>
      <c r="V24" s="190">
        <v>2958.6206896551685</v>
      </c>
      <c r="W24" s="187">
        <f t="shared" si="11"/>
        <v>739.65517241379212</v>
      </c>
      <c r="X24" s="184">
        <f t="shared" si="17"/>
        <v>12</v>
      </c>
      <c r="Y24" s="528"/>
      <c r="Z24" s="190">
        <v>4</v>
      </c>
      <c r="AA24" s="190">
        <v>2958.7016034415292</v>
      </c>
      <c r="AB24" s="187">
        <f t="shared" si="28"/>
        <v>739.6754008603823</v>
      </c>
      <c r="AC24" s="184">
        <f t="shared" si="19"/>
        <v>13</v>
      </c>
      <c r="AD24" s="528"/>
      <c r="AE24" s="190">
        <v>4</v>
      </c>
      <c r="AF24" s="190">
        <v>2958.5615038823025</v>
      </c>
      <c r="AG24" s="187">
        <f t="shared" si="29"/>
        <v>739.64037597057563</v>
      </c>
      <c r="AH24" s="184">
        <f t="shared" si="21"/>
        <v>13</v>
      </c>
      <c r="AI24" s="528"/>
      <c r="AJ24" s="190">
        <v>4</v>
      </c>
      <c r="AK24" s="190">
        <v>2958.5547290116901</v>
      </c>
      <c r="AL24" s="187">
        <f t="shared" si="30"/>
        <v>739.63868225292254</v>
      </c>
      <c r="AM24" s="184">
        <f t="shared" si="23"/>
        <v>13</v>
      </c>
      <c r="AN24" s="528"/>
      <c r="AO24" s="190">
        <v>4</v>
      </c>
      <c r="AP24" s="190">
        <v>2958.5182819734978</v>
      </c>
      <c r="AQ24" s="187">
        <f t="shared" si="31"/>
        <v>739.62957049337444</v>
      </c>
      <c r="AR24" s="184">
        <f t="shared" si="25"/>
        <v>13</v>
      </c>
      <c r="AS24" s="528"/>
      <c r="AT24" s="190">
        <v>4</v>
      </c>
      <c r="AU24" s="190">
        <v>2958.7845482463249</v>
      </c>
      <c r="AV24" s="187">
        <f t="shared" si="32"/>
        <v>739.69613706158123</v>
      </c>
      <c r="AW24" s="184">
        <f t="shared" si="27"/>
        <v>13</v>
      </c>
      <c r="AX24" s="528"/>
    </row>
    <row r="25" spans="2:50" ht="14.25" customHeight="1">
      <c r="B25" s="514"/>
      <c r="C25" s="182">
        <v>19</v>
      </c>
      <c r="D25" s="185" t="s">
        <v>354</v>
      </c>
      <c r="E25" s="186">
        <v>5</v>
      </c>
      <c r="F25" s="182">
        <v>3300</v>
      </c>
      <c r="G25" s="187">
        <f t="shared" si="12"/>
        <v>660</v>
      </c>
      <c r="H25" s="526"/>
      <c r="I25" s="188">
        <f t="shared" si="13"/>
        <v>5</v>
      </c>
      <c r="J25" s="188">
        <f t="shared" si="14"/>
        <v>2954.2612360267531</v>
      </c>
      <c r="K25" s="189">
        <f t="shared" si="15"/>
        <v>590.85224720535075</v>
      </c>
      <c r="L25" s="527"/>
      <c r="M25" s="188">
        <f>RANK(K25, K$7:$K$39)</f>
        <v>28</v>
      </c>
      <c r="N25" s="529"/>
      <c r="O25" s="530"/>
      <c r="P25" s="190">
        <v>5</v>
      </c>
      <c r="Q25" s="190">
        <v>2953.5078534031495</v>
      </c>
      <c r="R25" s="187">
        <f t="shared" si="10"/>
        <v>590.70157068062986</v>
      </c>
      <c r="S25" s="184">
        <f t="shared" si="16"/>
        <v>28</v>
      </c>
      <c r="T25" s="528"/>
      <c r="U25" s="190">
        <v>5</v>
      </c>
      <c r="V25" s="190">
        <v>2954.9019607843147</v>
      </c>
      <c r="W25" s="187">
        <f t="shared" si="11"/>
        <v>590.98039215686299</v>
      </c>
      <c r="X25" s="184">
        <f t="shared" si="17"/>
        <v>27</v>
      </c>
      <c r="Y25" s="528"/>
      <c r="Z25" s="190">
        <v>5</v>
      </c>
      <c r="AA25" s="190">
        <v>2955.1304347826072</v>
      </c>
      <c r="AB25" s="187">
        <f t="shared" si="28"/>
        <v>591.02608695652145</v>
      </c>
      <c r="AC25" s="184">
        <f t="shared" si="19"/>
        <v>25</v>
      </c>
      <c r="AD25" s="528"/>
      <c r="AE25" s="190">
        <v>5</v>
      </c>
      <c r="AF25" s="190">
        <v>2954.7374773687443</v>
      </c>
      <c r="AG25" s="187">
        <f t="shared" si="29"/>
        <v>590.94749547374886</v>
      </c>
      <c r="AH25" s="184">
        <f t="shared" si="21"/>
        <v>25</v>
      </c>
      <c r="AI25" s="528"/>
      <c r="AJ25" s="190">
        <v>5</v>
      </c>
      <c r="AK25" s="190">
        <v>2954.048140043772</v>
      </c>
      <c r="AL25" s="187">
        <f t="shared" si="30"/>
        <v>590.80962800875443</v>
      </c>
      <c r="AM25" s="184">
        <f t="shared" si="23"/>
        <v>26</v>
      </c>
      <c r="AN25" s="528"/>
      <c r="AO25" s="190">
        <v>5</v>
      </c>
      <c r="AP25" s="190">
        <v>2953.7990821009789</v>
      </c>
      <c r="AQ25" s="187">
        <f t="shared" si="31"/>
        <v>590.75981642019576</v>
      </c>
      <c r="AR25" s="184">
        <f t="shared" si="25"/>
        <v>26</v>
      </c>
      <c r="AS25" s="528"/>
      <c r="AT25" s="190">
        <v>5</v>
      </c>
      <c r="AU25" s="190">
        <v>2953.703703703708</v>
      </c>
      <c r="AV25" s="187">
        <f t="shared" si="32"/>
        <v>590.74074074074156</v>
      </c>
      <c r="AW25" s="184">
        <f t="shared" si="27"/>
        <v>26</v>
      </c>
      <c r="AX25" s="528"/>
    </row>
    <row r="26" spans="2:50" ht="14.25" customHeight="1">
      <c r="B26" s="514"/>
      <c r="C26" s="182">
        <v>20</v>
      </c>
      <c r="D26" s="185" t="s">
        <v>415</v>
      </c>
      <c r="E26" s="186">
        <v>3</v>
      </c>
      <c r="F26" s="182">
        <v>3600</v>
      </c>
      <c r="G26" s="187">
        <f t="shared" si="12"/>
        <v>1200</v>
      </c>
      <c r="H26" s="526"/>
      <c r="I26" s="188">
        <f t="shared" si="13"/>
        <v>3</v>
      </c>
      <c r="J26" s="188">
        <f t="shared" si="14"/>
        <v>3126.518450865578</v>
      </c>
      <c r="K26" s="189">
        <f t="shared" si="15"/>
        <v>1042.172816955193</v>
      </c>
      <c r="L26" s="527"/>
      <c r="M26" s="188">
        <f>RANK(K26, K$7:$K$39)</f>
        <v>5</v>
      </c>
      <c r="N26" s="529"/>
      <c r="O26" s="530"/>
      <c r="P26" s="190">
        <v>3</v>
      </c>
      <c r="Q26" s="190">
        <v>3123.6951983298527</v>
      </c>
      <c r="R26" s="187">
        <f t="shared" si="10"/>
        <v>1041.2317327766175</v>
      </c>
      <c r="S26" s="184">
        <f t="shared" si="16"/>
        <v>6</v>
      </c>
      <c r="T26" s="528"/>
      <c r="U26" s="190">
        <v>3</v>
      </c>
      <c r="V26" s="190">
        <v>3123.5716183895829</v>
      </c>
      <c r="W26" s="187">
        <f t="shared" si="11"/>
        <v>1041.1905394631942</v>
      </c>
      <c r="X26" s="184">
        <f t="shared" si="17"/>
        <v>6</v>
      </c>
      <c r="Y26" s="528"/>
      <c r="Z26" s="190">
        <v>3</v>
      </c>
      <c r="AA26" s="190">
        <v>3126.5113535830146</v>
      </c>
      <c r="AB26" s="187">
        <f t="shared" si="28"/>
        <v>1042.1704511943383</v>
      </c>
      <c r="AC26" s="184">
        <f t="shared" si="19"/>
        <v>6</v>
      </c>
      <c r="AD26" s="528"/>
      <c r="AE26" s="190">
        <v>3</v>
      </c>
      <c r="AF26" s="190">
        <v>3127.3166314518508</v>
      </c>
      <c r="AG26" s="187">
        <f t="shared" si="29"/>
        <v>1042.4388771506169</v>
      </c>
      <c r="AH26" s="184">
        <f t="shared" si="21"/>
        <v>5</v>
      </c>
      <c r="AI26" s="528"/>
      <c r="AJ26" s="190">
        <v>3</v>
      </c>
      <c r="AK26" s="190">
        <v>3127.710843373487</v>
      </c>
      <c r="AL26" s="187">
        <f t="shared" si="30"/>
        <v>1042.5702811244958</v>
      </c>
      <c r="AM26" s="184">
        <f t="shared" si="23"/>
        <v>5</v>
      </c>
      <c r="AN26" s="528"/>
      <c r="AO26" s="190">
        <v>3</v>
      </c>
      <c r="AP26" s="190">
        <v>3128.2684011847759</v>
      </c>
      <c r="AQ26" s="187">
        <f t="shared" si="31"/>
        <v>1042.7561337282586</v>
      </c>
      <c r="AR26" s="184">
        <f t="shared" si="25"/>
        <v>5</v>
      </c>
      <c r="AS26" s="528"/>
      <c r="AT26" s="190">
        <v>3</v>
      </c>
      <c r="AU26" s="190">
        <v>3128.5551097464868</v>
      </c>
      <c r="AV26" s="187">
        <f t="shared" si="32"/>
        <v>1042.8517032488289</v>
      </c>
      <c r="AW26" s="184">
        <f t="shared" si="27"/>
        <v>5</v>
      </c>
      <c r="AX26" s="528"/>
    </row>
    <row r="27" spans="2:50" ht="14.25" customHeight="1">
      <c r="B27" s="514"/>
      <c r="C27" s="182">
        <v>21</v>
      </c>
      <c r="D27" s="185" t="s">
        <v>419</v>
      </c>
      <c r="E27" s="186">
        <v>3</v>
      </c>
      <c r="F27" s="182">
        <v>3600</v>
      </c>
      <c r="G27" s="187">
        <f t="shared" si="12"/>
        <v>1200</v>
      </c>
      <c r="H27" s="526"/>
      <c r="I27" s="188">
        <f t="shared" si="13"/>
        <v>3</v>
      </c>
      <c r="J27" s="188">
        <f t="shared" si="14"/>
        <v>3131.8723752370311</v>
      </c>
      <c r="K27" s="189">
        <f t="shared" si="15"/>
        <v>1043.9574584123436</v>
      </c>
      <c r="L27" s="527"/>
      <c r="M27" s="188">
        <f>RANK(K27, K$7:$K$39)</f>
        <v>2</v>
      </c>
      <c r="N27" s="529"/>
      <c r="O27" s="530"/>
      <c r="P27" s="190">
        <v>3</v>
      </c>
      <c r="Q27" s="190">
        <v>3129.3764087152513</v>
      </c>
      <c r="R27" s="187">
        <f t="shared" si="10"/>
        <v>1043.1254695717505</v>
      </c>
      <c r="S27" s="184">
        <f t="shared" si="16"/>
        <v>2</v>
      </c>
      <c r="T27" s="528"/>
      <c r="U27" s="190">
        <v>3</v>
      </c>
      <c r="V27" s="190">
        <v>3130.9090909091019</v>
      </c>
      <c r="W27" s="187">
        <f t="shared" si="11"/>
        <v>1043.6363636363674</v>
      </c>
      <c r="X27" s="184">
        <f t="shared" si="17"/>
        <v>2</v>
      </c>
      <c r="Y27" s="528"/>
      <c r="Z27" s="190">
        <v>3</v>
      </c>
      <c r="AA27" s="190">
        <v>3131.6096747289193</v>
      </c>
      <c r="AB27" s="187">
        <f t="shared" si="28"/>
        <v>1043.8698915763064</v>
      </c>
      <c r="AC27" s="184">
        <f t="shared" si="19"/>
        <v>1</v>
      </c>
      <c r="AD27" s="528"/>
      <c r="AE27" s="190">
        <v>3</v>
      </c>
      <c r="AF27" s="190">
        <v>3132.38434163702</v>
      </c>
      <c r="AG27" s="187">
        <f t="shared" si="29"/>
        <v>1044.1281138790066</v>
      </c>
      <c r="AH27" s="184">
        <f t="shared" si="21"/>
        <v>1</v>
      </c>
      <c r="AI27" s="528"/>
      <c r="AJ27" s="190">
        <v>3</v>
      </c>
      <c r="AK27" s="190">
        <v>3131.6614420062588</v>
      </c>
      <c r="AL27" s="187">
        <f t="shared" si="30"/>
        <v>1043.8871473354195</v>
      </c>
      <c r="AM27" s="184">
        <f t="shared" si="23"/>
        <v>2</v>
      </c>
      <c r="AN27" s="528"/>
      <c r="AO27" s="190">
        <v>3</v>
      </c>
      <c r="AP27" s="190">
        <v>3133.3333333333358</v>
      </c>
      <c r="AQ27" s="187">
        <f t="shared" si="31"/>
        <v>1044.4444444444453</v>
      </c>
      <c r="AR27" s="184">
        <f t="shared" si="25"/>
        <v>2</v>
      </c>
      <c r="AS27" s="528"/>
      <c r="AT27" s="190">
        <v>3</v>
      </c>
      <c r="AU27" s="190">
        <v>3133.8323353293313</v>
      </c>
      <c r="AV27" s="187">
        <f t="shared" si="32"/>
        <v>1044.6107784431103</v>
      </c>
      <c r="AW27" s="184">
        <f t="shared" si="27"/>
        <v>2</v>
      </c>
      <c r="AX27" s="528"/>
    </row>
    <row r="28" spans="2:50" ht="14.25" customHeight="1">
      <c r="B28" s="514"/>
      <c r="C28" s="182">
        <v>22</v>
      </c>
      <c r="D28" s="185" t="s">
        <v>418</v>
      </c>
      <c r="E28" s="186">
        <v>4</v>
      </c>
      <c r="F28" s="182">
        <v>3300</v>
      </c>
      <c r="G28" s="187">
        <f>F28/E28</f>
        <v>825</v>
      </c>
      <c r="H28" s="526"/>
      <c r="I28" s="188">
        <f t="shared" si="13"/>
        <v>4</v>
      </c>
      <c r="J28" s="188">
        <f t="shared" si="14"/>
        <v>2928.3780171983658</v>
      </c>
      <c r="K28" s="189">
        <f t="shared" si="15"/>
        <v>732.09450429959145</v>
      </c>
      <c r="L28" s="527"/>
      <c r="M28" s="188">
        <f>RANK(K28, K$7:$K$39)</f>
        <v>20</v>
      </c>
      <c r="N28" s="529"/>
      <c r="O28" s="530"/>
      <c r="P28" s="190">
        <v>4</v>
      </c>
      <c r="Q28" s="190">
        <v>2927.5386544086882</v>
      </c>
      <c r="R28" s="187">
        <f t="shared" si="10"/>
        <v>731.88466360217205</v>
      </c>
      <c r="S28" s="184">
        <f t="shared" si="16"/>
        <v>21</v>
      </c>
      <c r="T28" s="528"/>
      <c r="U28" s="190">
        <v>4</v>
      </c>
      <c r="V28" s="190">
        <v>2927.978817299198</v>
      </c>
      <c r="W28" s="187">
        <f t="shared" si="11"/>
        <v>731.9947043247995</v>
      </c>
      <c r="X28" s="184">
        <f t="shared" si="17"/>
        <v>21</v>
      </c>
      <c r="Y28" s="528"/>
      <c r="Z28" s="190">
        <v>4</v>
      </c>
      <c r="AA28" s="190">
        <v>2928.6343612334758</v>
      </c>
      <c r="AB28" s="187">
        <f t="shared" si="28"/>
        <v>732.15859030836896</v>
      </c>
      <c r="AC28" s="184">
        <f t="shared" si="19"/>
        <v>18</v>
      </c>
      <c r="AD28" s="528"/>
      <c r="AE28" s="190">
        <v>4</v>
      </c>
      <c r="AF28" s="190">
        <v>2928.4403669724775</v>
      </c>
      <c r="AG28" s="187">
        <f t="shared" si="29"/>
        <v>732.11009174311937</v>
      </c>
      <c r="AH28" s="184">
        <f t="shared" si="21"/>
        <v>19</v>
      </c>
      <c r="AI28" s="528"/>
      <c r="AJ28" s="190">
        <v>4</v>
      </c>
      <c r="AK28" s="190">
        <v>2928.3582089552265</v>
      </c>
      <c r="AL28" s="187">
        <f t="shared" si="30"/>
        <v>732.08955223880662</v>
      </c>
      <c r="AM28" s="184">
        <f t="shared" si="23"/>
        <v>18</v>
      </c>
      <c r="AN28" s="528"/>
      <c r="AO28" s="190">
        <v>4</v>
      </c>
      <c r="AP28" s="190">
        <v>2929.1300877893109</v>
      </c>
      <c r="AQ28" s="187">
        <f t="shared" si="31"/>
        <v>732.28252194732772</v>
      </c>
      <c r="AR28" s="184">
        <f t="shared" si="25"/>
        <v>18</v>
      </c>
      <c r="AS28" s="528"/>
      <c r="AT28" s="190">
        <v>4</v>
      </c>
      <c r="AU28" s="190">
        <v>2928.5656237301819</v>
      </c>
      <c r="AV28" s="187">
        <f t="shared" si="32"/>
        <v>732.14140593254547</v>
      </c>
      <c r="AW28" s="184">
        <f t="shared" si="27"/>
        <v>18</v>
      </c>
      <c r="AX28" s="528"/>
    </row>
    <row r="29" spans="2:50" ht="14.25" customHeight="1">
      <c r="B29" s="514"/>
      <c r="C29" s="182">
        <v>23</v>
      </c>
      <c r="D29" s="185" t="s">
        <v>414</v>
      </c>
      <c r="E29" s="186">
        <v>4</v>
      </c>
      <c r="F29" s="182">
        <v>3300</v>
      </c>
      <c r="G29" s="187">
        <f t="shared" ref="G29:G37" si="33">F29/E29</f>
        <v>825</v>
      </c>
      <c r="H29" s="526"/>
      <c r="I29" s="188">
        <f t="shared" si="13"/>
        <v>4</v>
      </c>
      <c r="J29" s="188">
        <f t="shared" si="14"/>
        <v>2926.8244194082117</v>
      </c>
      <c r="K29" s="189">
        <f t="shared" si="15"/>
        <v>731.70610485205293</v>
      </c>
      <c r="L29" s="527"/>
      <c r="M29" s="188">
        <f>RANK(K29, K$7:$K$39)</f>
        <v>23</v>
      </c>
      <c r="N29" s="529"/>
      <c r="O29" s="530"/>
      <c r="P29" s="190">
        <v>4</v>
      </c>
      <c r="Q29" s="190">
        <v>2925.7179323548144</v>
      </c>
      <c r="R29" s="187">
        <f t="shared" si="10"/>
        <v>731.42948308870359</v>
      </c>
      <c r="S29" s="184">
        <f t="shared" si="16"/>
        <v>23</v>
      </c>
      <c r="T29" s="528"/>
      <c r="U29" s="190">
        <v>4</v>
      </c>
      <c r="V29" s="190">
        <v>2925.8964143426379</v>
      </c>
      <c r="W29" s="187">
        <f t="shared" si="11"/>
        <v>731.47410358565946</v>
      </c>
      <c r="X29" s="184">
        <f t="shared" si="17"/>
        <v>23</v>
      </c>
      <c r="Y29" s="528"/>
      <c r="Z29" s="190">
        <v>4</v>
      </c>
      <c r="AA29" s="190">
        <v>2926.5033407572391</v>
      </c>
      <c r="AB29" s="187">
        <f t="shared" si="28"/>
        <v>731.62583518930978</v>
      </c>
      <c r="AC29" s="184">
        <f t="shared" si="19"/>
        <v>21</v>
      </c>
      <c r="AD29" s="528"/>
      <c r="AE29" s="190">
        <v>4</v>
      </c>
      <c r="AF29" s="190">
        <v>2927.0657363202381</v>
      </c>
      <c r="AG29" s="187">
        <f t="shared" si="29"/>
        <v>731.76643408005953</v>
      </c>
      <c r="AH29" s="184">
        <f t="shared" si="21"/>
        <v>21</v>
      </c>
      <c r="AI29" s="528"/>
      <c r="AJ29" s="190">
        <v>4</v>
      </c>
      <c r="AK29" s="190">
        <v>2927.236580516897</v>
      </c>
      <c r="AL29" s="187">
        <f t="shared" si="30"/>
        <v>731.80914512922425</v>
      </c>
      <c r="AM29" s="184">
        <f t="shared" si="23"/>
        <v>21</v>
      </c>
      <c r="AN29" s="528"/>
      <c r="AO29" s="190">
        <v>4</v>
      </c>
      <c r="AP29" s="190">
        <v>2927.3056057866179</v>
      </c>
      <c r="AQ29" s="187">
        <f t="shared" si="31"/>
        <v>731.82640144665447</v>
      </c>
      <c r="AR29" s="184">
        <f t="shared" si="25"/>
        <v>21</v>
      </c>
      <c r="AS29" s="528"/>
      <c r="AT29" s="190">
        <v>4</v>
      </c>
      <c r="AU29" s="190">
        <v>2928.0453257790391</v>
      </c>
      <c r="AV29" s="187">
        <f t="shared" si="32"/>
        <v>732.01133144475978</v>
      </c>
      <c r="AW29" s="184">
        <f t="shared" si="27"/>
        <v>19</v>
      </c>
      <c r="AX29" s="528"/>
    </row>
    <row r="30" spans="2:50" ht="14.25" customHeight="1">
      <c r="B30" s="514"/>
      <c r="C30" s="182">
        <v>24</v>
      </c>
      <c r="D30" s="185" t="s">
        <v>417</v>
      </c>
      <c r="E30" s="186">
        <v>4</v>
      </c>
      <c r="F30" s="182">
        <v>3000</v>
      </c>
      <c r="G30" s="187">
        <f t="shared" si="33"/>
        <v>750</v>
      </c>
      <c r="H30" s="526"/>
      <c r="I30" s="188">
        <f t="shared" si="13"/>
        <v>4</v>
      </c>
      <c r="J30" s="188">
        <f t="shared" si="14"/>
        <v>2688.573110491338</v>
      </c>
      <c r="K30" s="189">
        <f t="shared" si="15"/>
        <v>672.14327762283449</v>
      </c>
      <c r="L30" s="527"/>
      <c r="M30" s="188">
        <f>RANK(K30, K$7:$K$39)</f>
        <v>24</v>
      </c>
      <c r="N30" s="529"/>
      <c r="O30" s="530"/>
      <c r="P30" s="190">
        <v>4</v>
      </c>
      <c r="Q30" s="190">
        <v>2688.7451487710246</v>
      </c>
      <c r="R30" s="187">
        <f t="shared" si="10"/>
        <v>672.18628719275614</v>
      </c>
      <c r="S30" s="184">
        <f t="shared" si="16"/>
        <v>24</v>
      </c>
      <c r="T30" s="528"/>
      <c r="U30" s="190">
        <v>4</v>
      </c>
      <c r="V30" s="190">
        <v>2688.466637207252</v>
      </c>
      <c r="W30" s="187">
        <f t="shared" si="11"/>
        <v>672.116659301813</v>
      </c>
      <c r="X30" s="184">
        <f t="shared" si="17"/>
        <v>24</v>
      </c>
      <c r="Y30" s="528"/>
      <c r="Z30" s="190">
        <v>4</v>
      </c>
      <c r="AA30" s="190">
        <v>2688.518155053976</v>
      </c>
      <c r="AB30" s="187">
        <f t="shared" si="28"/>
        <v>672.129538763494</v>
      </c>
      <c r="AC30" s="184">
        <f t="shared" si="19"/>
        <v>22</v>
      </c>
      <c r="AD30" s="528"/>
      <c r="AE30" s="190">
        <v>4</v>
      </c>
      <c r="AF30" s="190">
        <v>2688.241206030149</v>
      </c>
      <c r="AG30" s="187">
        <f t="shared" si="29"/>
        <v>672.06030150753725</v>
      </c>
      <c r="AH30" s="184">
        <f t="shared" si="21"/>
        <v>22</v>
      </c>
      <c r="AI30" s="528"/>
      <c r="AJ30" s="190">
        <v>4</v>
      </c>
      <c r="AK30" s="190">
        <v>2687.5055978504251</v>
      </c>
      <c r="AL30" s="187">
        <f t="shared" si="30"/>
        <v>671.87639946260629</v>
      </c>
      <c r="AM30" s="184">
        <f t="shared" si="23"/>
        <v>22</v>
      </c>
      <c r="AN30" s="528"/>
      <c r="AO30" s="190">
        <v>4</v>
      </c>
      <c r="AP30" s="190">
        <v>2687.9610863396852</v>
      </c>
      <c r="AQ30" s="187">
        <f t="shared" si="31"/>
        <v>671.99027158492129</v>
      </c>
      <c r="AR30" s="184">
        <f t="shared" si="25"/>
        <v>22</v>
      </c>
      <c r="AS30" s="528"/>
      <c r="AT30" s="190">
        <v>4</v>
      </c>
      <c r="AU30" s="190">
        <v>2690.5739421868539</v>
      </c>
      <c r="AV30" s="187">
        <f t="shared" si="32"/>
        <v>672.64348554671346</v>
      </c>
      <c r="AW30" s="184">
        <f t="shared" si="27"/>
        <v>22</v>
      </c>
      <c r="AX30" s="528"/>
    </row>
    <row r="31" spans="2:50" ht="14.25" customHeight="1">
      <c r="B31" s="514"/>
      <c r="C31" s="182">
        <v>25</v>
      </c>
      <c r="D31" s="185" t="s">
        <v>416</v>
      </c>
      <c r="E31" s="186">
        <v>4</v>
      </c>
      <c r="F31" s="182">
        <v>3300</v>
      </c>
      <c r="G31" s="187">
        <f t="shared" si="33"/>
        <v>825</v>
      </c>
      <c r="H31" s="526"/>
      <c r="I31" s="188">
        <f t="shared" si="13"/>
        <v>4</v>
      </c>
      <c r="J31" s="188">
        <f t="shared" si="14"/>
        <v>2959.2978632191944</v>
      </c>
      <c r="K31" s="189">
        <f t="shared" si="15"/>
        <v>739.82446580479859</v>
      </c>
      <c r="L31" s="527"/>
      <c r="M31" s="188">
        <f>RANK(K31, K$7:$K$39)</f>
        <v>12</v>
      </c>
      <c r="N31" s="529"/>
      <c r="O31" s="530"/>
      <c r="P31" s="190">
        <v>4</v>
      </c>
      <c r="Q31" s="190">
        <v>2958.3333333333308</v>
      </c>
      <c r="R31" s="187">
        <f t="shared" si="10"/>
        <v>739.58333333333269</v>
      </c>
      <c r="S31" s="184">
        <f t="shared" si="16"/>
        <v>13</v>
      </c>
      <c r="T31" s="528"/>
      <c r="U31" s="190">
        <v>4</v>
      </c>
      <c r="V31" s="190">
        <v>2957.2979493365442</v>
      </c>
      <c r="W31" s="187">
        <f t="shared" si="11"/>
        <v>739.32448733413605</v>
      </c>
      <c r="X31" s="184">
        <f t="shared" si="17"/>
        <v>13</v>
      </c>
      <c r="Y31" s="528"/>
      <c r="Z31" s="190">
        <v>4</v>
      </c>
      <c r="AA31" s="190">
        <v>2959.7811217510166</v>
      </c>
      <c r="AB31" s="187">
        <f t="shared" si="28"/>
        <v>739.94528043775415</v>
      </c>
      <c r="AC31" s="184">
        <f t="shared" si="19"/>
        <v>12</v>
      </c>
      <c r="AD31" s="528"/>
      <c r="AE31" s="190">
        <v>4</v>
      </c>
      <c r="AF31" s="190">
        <v>2960.2409638554009</v>
      </c>
      <c r="AG31" s="187">
        <f t="shared" si="29"/>
        <v>740.06024096385022</v>
      </c>
      <c r="AH31" s="184">
        <f t="shared" si="21"/>
        <v>12</v>
      </c>
      <c r="AI31" s="528"/>
      <c r="AJ31" s="190">
        <v>4</v>
      </c>
      <c r="AK31" s="190">
        <v>2959.8991172761812</v>
      </c>
      <c r="AL31" s="187">
        <f t="shared" si="30"/>
        <v>739.9747793190453</v>
      </c>
      <c r="AM31" s="184">
        <f t="shared" si="23"/>
        <v>12</v>
      </c>
      <c r="AN31" s="528"/>
      <c r="AO31" s="190">
        <v>4</v>
      </c>
      <c r="AP31" s="190">
        <v>2959.8152424942446</v>
      </c>
      <c r="AQ31" s="187">
        <f t="shared" si="31"/>
        <v>739.95381062356114</v>
      </c>
      <c r="AR31" s="184">
        <f t="shared" si="25"/>
        <v>12</v>
      </c>
      <c r="AS31" s="528"/>
      <c r="AT31" s="190">
        <v>4</v>
      </c>
      <c r="AU31" s="190">
        <v>2959.7173144876383</v>
      </c>
      <c r="AV31" s="187">
        <f t="shared" si="32"/>
        <v>739.92932862190958</v>
      </c>
      <c r="AW31" s="184">
        <f t="shared" si="27"/>
        <v>12</v>
      </c>
      <c r="AX31" s="528"/>
    </row>
    <row r="32" spans="2:50" ht="14.25" customHeight="1">
      <c r="B32" s="514"/>
      <c r="C32" s="182">
        <v>26</v>
      </c>
      <c r="D32" s="185" t="s">
        <v>480</v>
      </c>
      <c r="E32" s="186">
        <v>3</v>
      </c>
      <c r="F32" s="182">
        <v>3300</v>
      </c>
      <c r="G32" s="187">
        <f t="shared" si="33"/>
        <v>1100</v>
      </c>
      <c r="H32" s="526"/>
      <c r="I32" s="188">
        <f t="shared" si="13"/>
        <v>3</v>
      </c>
      <c r="J32" s="188">
        <f t="shared" si="14"/>
        <v>2957.305706169609</v>
      </c>
      <c r="K32" s="189">
        <f t="shared" si="15"/>
        <v>985.76856872320297</v>
      </c>
      <c r="L32" s="527"/>
      <c r="M32" s="188">
        <f>RANK(K32, K$7:$K$39)</f>
        <v>7</v>
      </c>
      <c r="N32" s="529"/>
      <c r="O32" s="530"/>
      <c r="P32" s="190">
        <v>3</v>
      </c>
      <c r="Q32" s="190">
        <v>2956.4013840830407</v>
      </c>
      <c r="R32" s="187">
        <f t="shared" si="10"/>
        <v>985.46712802768025</v>
      </c>
      <c r="S32" s="184">
        <f t="shared" si="16"/>
        <v>7</v>
      </c>
      <c r="T32" s="528"/>
      <c r="U32" s="190">
        <v>3</v>
      </c>
      <c r="V32" s="190">
        <v>2956.2352941176464</v>
      </c>
      <c r="W32" s="187">
        <f t="shared" si="11"/>
        <v>985.41176470588209</v>
      </c>
      <c r="X32" s="184">
        <f t="shared" si="17"/>
        <v>7</v>
      </c>
      <c r="Y32" s="528"/>
      <c r="Z32" s="190">
        <v>3</v>
      </c>
      <c r="AA32" s="190">
        <v>2957.1428571428614</v>
      </c>
      <c r="AB32" s="187">
        <f t="shared" si="28"/>
        <v>985.71428571428714</v>
      </c>
      <c r="AC32" s="184">
        <f t="shared" si="19"/>
        <v>7</v>
      </c>
      <c r="AD32" s="528"/>
      <c r="AE32" s="190">
        <v>3</v>
      </c>
      <c r="AF32" s="190">
        <v>2958.1804842259744</v>
      </c>
      <c r="AG32" s="187">
        <f t="shared" si="29"/>
        <v>986.06016140865813</v>
      </c>
      <c r="AH32" s="184">
        <f t="shared" si="21"/>
        <v>7</v>
      </c>
      <c r="AI32" s="528"/>
      <c r="AJ32" s="190">
        <v>3</v>
      </c>
      <c r="AK32" s="190">
        <v>2957.545397620544</v>
      </c>
      <c r="AL32" s="187">
        <f t="shared" si="30"/>
        <v>985.84846587351467</v>
      </c>
      <c r="AM32" s="184">
        <f t="shared" si="23"/>
        <v>7</v>
      </c>
      <c r="AN32" s="528"/>
      <c r="AO32" s="190">
        <v>3</v>
      </c>
      <c r="AP32" s="190">
        <v>2957.7272727272725</v>
      </c>
      <c r="AQ32" s="187">
        <f t="shared" si="31"/>
        <v>985.90909090909088</v>
      </c>
      <c r="AR32" s="184">
        <f t="shared" si="25"/>
        <v>7</v>
      </c>
      <c r="AS32" s="528"/>
      <c r="AT32" s="190">
        <v>3</v>
      </c>
      <c r="AU32" s="190">
        <v>2957.9072532699211</v>
      </c>
      <c r="AV32" s="187">
        <f t="shared" si="32"/>
        <v>985.96908442330698</v>
      </c>
      <c r="AW32" s="184">
        <f t="shared" si="27"/>
        <v>7</v>
      </c>
      <c r="AX32" s="528"/>
    </row>
    <row r="33" spans="1:50" ht="14.25" customHeight="1">
      <c r="B33" s="514"/>
      <c r="C33" s="182">
        <v>27</v>
      </c>
      <c r="D33" s="185" t="s">
        <v>498</v>
      </c>
      <c r="E33" s="186">
        <v>4</v>
      </c>
      <c r="F33" s="182">
        <v>3000</v>
      </c>
      <c r="G33" s="187">
        <f t="shared" si="33"/>
        <v>750</v>
      </c>
      <c r="H33" s="526"/>
      <c r="I33" s="188">
        <f t="shared" si="13"/>
        <v>4</v>
      </c>
      <c r="J33" s="188">
        <f t="shared" si="14"/>
        <v>2664.7512933812186</v>
      </c>
      <c r="K33" s="189">
        <f t="shared" si="15"/>
        <v>666.18782334530465</v>
      </c>
      <c r="L33" s="527"/>
      <c r="M33" s="188">
        <f>RANK(K33, K$7:$K$39)</f>
        <v>25</v>
      </c>
      <c r="N33" s="529"/>
      <c r="O33" s="530"/>
      <c r="P33" s="190">
        <v>4</v>
      </c>
      <c r="Q33" s="190">
        <v>2664.6417959722708</v>
      </c>
      <c r="R33" s="187">
        <f t="shared" si="10"/>
        <v>666.16044899306769</v>
      </c>
      <c r="S33" s="184">
        <f t="shared" si="16"/>
        <v>25</v>
      </c>
      <c r="T33" s="528"/>
      <c r="U33" s="190">
        <v>4</v>
      </c>
      <c r="V33" s="190">
        <v>2664.759959141983</v>
      </c>
      <c r="W33" s="187">
        <f t="shared" si="11"/>
        <v>666.18998978549575</v>
      </c>
      <c r="X33" s="184">
        <f t="shared" si="17"/>
        <v>25</v>
      </c>
      <c r="Y33" s="528"/>
      <c r="Z33" s="190">
        <v>4</v>
      </c>
      <c r="AA33" s="190">
        <v>2664.8648648648705</v>
      </c>
      <c r="AB33" s="187">
        <f t="shared" si="28"/>
        <v>666.21621621621762</v>
      </c>
      <c r="AC33" s="184">
        <f t="shared" si="19"/>
        <v>23</v>
      </c>
      <c r="AD33" s="528"/>
      <c r="AE33" s="190">
        <v>4</v>
      </c>
      <c r="AF33" s="190">
        <v>2664.4783118405658</v>
      </c>
      <c r="AG33" s="187">
        <f t="shared" si="29"/>
        <v>666.11957796014144</v>
      </c>
      <c r="AH33" s="184">
        <f t="shared" si="21"/>
        <v>23</v>
      </c>
      <c r="AI33" s="528"/>
      <c r="AJ33" s="190">
        <v>4</v>
      </c>
      <c r="AK33" s="190">
        <v>2664.648648648656</v>
      </c>
      <c r="AL33" s="187">
        <f t="shared" si="30"/>
        <v>666.16216216216401</v>
      </c>
      <c r="AM33" s="184">
        <f t="shared" si="23"/>
        <v>23</v>
      </c>
      <c r="AN33" s="528"/>
      <c r="AO33" s="190">
        <v>4</v>
      </c>
      <c r="AP33" s="190">
        <v>2664.585365853658</v>
      </c>
      <c r="AQ33" s="187">
        <f t="shared" si="31"/>
        <v>666.1463414634145</v>
      </c>
      <c r="AR33" s="184">
        <f t="shared" si="25"/>
        <v>23</v>
      </c>
      <c r="AS33" s="528"/>
      <c r="AT33" s="190">
        <v>4</v>
      </c>
      <c r="AU33" s="190">
        <v>2665.2801073465289</v>
      </c>
      <c r="AV33" s="187">
        <f t="shared" si="32"/>
        <v>666.32002683663222</v>
      </c>
      <c r="AW33" s="184">
        <f t="shared" si="27"/>
        <v>23</v>
      </c>
      <c r="AX33" s="528"/>
    </row>
    <row r="34" spans="1:50" ht="14.25" customHeight="1">
      <c r="B34" s="514"/>
      <c r="C34" s="182">
        <v>28</v>
      </c>
      <c r="D34" s="185" t="s">
        <v>534</v>
      </c>
      <c r="E34" s="186">
        <v>5</v>
      </c>
      <c r="F34" s="182">
        <v>3000</v>
      </c>
      <c r="G34" s="187">
        <f t="shared" si="33"/>
        <v>600</v>
      </c>
      <c r="H34" s="526"/>
      <c r="I34" s="188">
        <f t="shared" si="13"/>
        <v>5</v>
      </c>
      <c r="J34" s="188">
        <f t="shared" si="14"/>
        <v>2663.1570810760809</v>
      </c>
      <c r="K34" s="189">
        <f t="shared" si="15"/>
        <v>532.63141621521618</v>
      </c>
      <c r="L34" s="527"/>
      <c r="M34" s="188">
        <f>RANK(K34, K$7:$K$39)</f>
        <v>29</v>
      </c>
      <c r="N34" s="529"/>
      <c r="O34" s="530"/>
      <c r="P34" s="190">
        <v>5</v>
      </c>
      <c r="Q34" s="190">
        <v>2662.9757785467186</v>
      </c>
      <c r="R34" s="187">
        <f t="shared" si="10"/>
        <v>532.59515570934377</v>
      </c>
      <c r="S34" s="184">
        <f t="shared" si="16"/>
        <v>29</v>
      </c>
      <c r="T34" s="528"/>
      <c r="U34" s="190">
        <v>5</v>
      </c>
      <c r="V34" s="190">
        <v>2662.5306122448956</v>
      </c>
      <c r="W34" s="187">
        <f t="shared" si="11"/>
        <v>532.50612244897911</v>
      </c>
      <c r="X34" s="184">
        <f t="shared" si="17"/>
        <v>29</v>
      </c>
      <c r="Y34" s="528"/>
      <c r="Z34" s="190">
        <v>5</v>
      </c>
      <c r="AA34" s="190">
        <v>2662.6538987688132</v>
      </c>
      <c r="AB34" s="187">
        <f t="shared" si="28"/>
        <v>532.53077975376266</v>
      </c>
      <c r="AC34" s="184">
        <f t="shared" si="19"/>
        <v>27</v>
      </c>
      <c r="AD34" s="528"/>
      <c r="AE34" s="190">
        <v>5</v>
      </c>
      <c r="AF34" s="190">
        <v>2662.6282364435756</v>
      </c>
      <c r="AG34" s="187">
        <f t="shared" si="29"/>
        <v>532.52564728871516</v>
      </c>
      <c r="AH34" s="184">
        <f t="shared" si="21"/>
        <v>27</v>
      </c>
      <c r="AI34" s="528"/>
      <c r="AJ34" s="190">
        <v>5</v>
      </c>
      <c r="AK34" s="190">
        <v>2663.6015325670573</v>
      </c>
      <c r="AL34" s="187">
        <f t="shared" si="30"/>
        <v>532.72030651341151</v>
      </c>
      <c r="AM34" s="184">
        <f t="shared" si="23"/>
        <v>27</v>
      </c>
      <c r="AN34" s="528"/>
      <c r="AO34" s="190">
        <v>5</v>
      </c>
      <c r="AP34" s="190">
        <v>2663.8867033831621</v>
      </c>
      <c r="AQ34" s="187">
        <f t="shared" si="31"/>
        <v>532.77734067663243</v>
      </c>
      <c r="AR34" s="184">
        <f t="shared" si="25"/>
        <v>27</v>
      </c>
      <c r="AS34" s="528"/>
      <c r="AT34" s="190">
        <v>5</v>
      </c>
      <c r="AU34" s="190">
        <v>2663.8228055783425</v>
      </c>
      <c r="AV34" s="187">
        <f t="shared" si="32"/>
        <v>532.76456111566847</v>
      </c>
      <c r="AW34" s="184">
        <f t="shared" si="27"/>
        <v>27</v>
      </c>
      <c r="AX34" s="528"/>
    </row>
    <row r="35" spans="1:50" ht="14.25" customHeight="1">
      <c r="B35" s="514"/>
      <c r="C35" s="182">
        <v>29</v>
      </c>
      <c r="D35" s="185" t="s">
        <v>355</v>
      </c>
      <c r="E35" s="186">
        <v>3</v>
      </c>
      <c r="F35" s="182">
        <v>3000</v>
      </c>
      <c r="G35" s="187">
        <f t="shared" si="33"/>
        <v>1000</v>
      </c>
      <c r="H35" s="526"/>
      <c r="I35" s="188">
        <f t="shared" si="13"/>
        <v>3</v>
      </c>
      <c r="J35" s="188">
        <f t="shared" si="14"/>
        <v>2688.4516593955973</v>
      </c>
      <c r="K35" s="189">
        <f t="shared" si="15"/>
        <v>896.15055313186565</v>
      </c>
      <c r="L35" s="527"/>
      <c r="M35" s="188">
        <f>RANK(K35, K$7:$K$39)</f>
        <v>11</v>
      </c>
      <c r="N35" s="529"/>
      <c r="O35" s="530"/>
      <c r="P35" s="190">
        <v>3</v>
      </c>
      <c r="Q35" s="190">
        <v>2688.5917529529706</v>
      </c>
      <c r="R35" s="187">
        <f t="shared" si="10"/>
        <v>896.19725098432355</v>
      </c>
      <c r="S35" s="184">
        <f t="shared" si="16"/>
        <v>11</v>
      </c>
      <c r="T35" s="528"/>
      <c r="U35" s="190">
        <v>3</v>
      </c>
      <c r="V35" s="190">
        <v>2688.8143986431255</v>
      </c>
      <c r="W35" s="187">
        <f t="shared" si="11"/>
        <v>896.27146621437521</v>
      </c>
      <c r="X35" s="184">
        <f t="shared" si="17"/>
        <v>10</v>
      </c>
      <c r="Y35" s="528"/>
      <c r="Z35" s="190">
        <v>3</v>
      </c>
      <c r="AA35" s="190">
        <v>2687.8228107330774</v>
      </c>
      <c r="AB35" s="187">
        <f t="shared" si="28"/>
        <v>895.9409369110258</v>
      </c>
      <c r="AC35" s="184">
        <f t="shared" si="19"/>
        <v>11</v>
      </c>
      <c r="AD35" s="528"/>
      <c r="AE35" s="190">
        <v>3</v>
      </c>
      <c r="AF35" s="190">
        <v>2686.2612499477827</v>
      </c>
      <c r="AG35" s="187">
        <f t="shared" si="29"/>
        <v>895.42041664926091</v>
      </c>
      <c r="AH35" s="184">
        <f t="shared" si="21"/>
        <v>11</v>
      </c>
      <c r="AI35" s="528"/>
      <c r="AJ35" s="190">
        <v>3</v>
      </c>
      <c r="AK35" s="190">
        <v>2688.0835382407081</v>
      </c>
      <c r="AL35" s="187">
        <f t="shared" si="30"/>
        <v>896.02784608023603</v>
      </c>
      <c r="AM35" s="184">
        <f t="shared" si="23"/>
        <v>11</v>
      </c>
      <c r="AN35" s="528"/>
      <c r="AO35" s="190">
        <v>3</v>
      </c>
      <c r="AP35" s="190">
        <v>2689.8234722842835</v>
      </c>
      <c r="AQ35" s="187">
        <f t="shared" si="31"/>
        <v>896.60782409476121</v>
      </c>
      <c r="AR35" s="184">
        <f t="shared" si="25"/>
        <v>10</v>
      </c>
      <c r="AS35" s="528"/>
      <c r="AT35" s="190">
        <v>3</v>
      </c>
      <c r="AU35" s="190">
        <v>2689.7643929672322</v>
      </c>
      <c r="AV35" s="187">
        <f t="shared" si="32"/>
        <v>896.5881309890774</v>
      </c>
      <c r="AW35" s="184">
        <f t="shared" si="27"/>
        <v>10</v>
      </c>
      <c r="AX35" s="528"/>
    </row>
    <row r="36" spans="1:50" ht="14.25" customHeight="1">
      <c r="B36" s="514"/>
      <c r="C36" s="182">
        <v>30</v>
      </c>
      <c r="D36" s="185" t="s">
        <v>489</v>
      </c>
      <c r="E36" s="186">
        <v>12</v>
      </c>
      <c r="F36" s="182">
        <v>3600</v>
      </c>
      <c r="G36" s="187">
        <f t="shared" si="33"/>
        <v>300</v>
      </c>
      <c r="H36" s="526"/>
      <c r="I36" s="188">
        <f t="shared" si="13"/>
        <v>12</v>
      </c>
      <c r="J36" s="188">
        <f t="shared" si="14"/>
        <v>3123.5270669334591</v>
      </c>
      <c r="K36" s="189">
        <f t="shared" si="15"/>
        <v>260.2939222444549</v>
      </c>
      <c r="L36" s="527"/>
      <c r="M36" s="188">
        <f>RANK(K36, K$7:$K$39)</f>
        <v>30</v>
      </c>
      <c r="N36" s="529"/>
      <c r="O36" s="530"/>
      <c r="P36" s="190">
        <v>12</v>
      </c>
      <c r="Q36" s="190">
        <v>3122.6039783001802</v>
      </c>
      <c r="R36" s="187">
        <f t="shared" si="10"/>
        <v>260.21699819168168</v>
      </c>
      <c r="S36" s="184">
        <f t="shared" si="16"/>
        <v>30</v>
      </c>
      <c r="T36" s="528"/>
      <c r="U36" s="190">
        <v>12</v>
      </c>
      <c r="V36" s="190">
        <v>3123.4972677595656</v>
      </c>
      <c r="W36" s="187">
        <f t="shared" si="11"/>
        <v>260.2914389799638</v>
      </c>
      <c r="X36" s="184">
        <f t="shared" si="17"/>
        <v>30</v>
      </c>
      <c r="Y36" s="528"/>
      <c r="Z36" s="190">
        <v>12</v>
      </c>
      <c r="AA36" s="190">
        <v>3122.6649248856838</v>
      </c>
      <c r="AB36" s="187">
        <f t="shared" si="28"/>
        <v>260.22207707380699</v>
      </c>
      <c r="AC36" s="184">
        <f t="shared" si="19"/>
        <v>28</v>
      </c>
      <c r="AD36" s="528"/>
      <c r="AE36" s="190">
        <v>12</v>
      </c>
      <c r="AF36" s="190">
        <v>3123.3449477351905</v>
      </c>
      <c r="AG36" s="187">
        <f t="shared" si="29"/>
        <v>260.27874564459921</v>
      </c>
      <c r="AH36" s="184">
        <f t="shared" si="21"/>
        <v>29</v>
      </c>
      <c r="AI36" s="528"/>
      <c r="AJ36" s="190">
        <v>12</v>
      </c>
      <c r="AK36" s="190">
        <v>3123.1053604436329</v>
      </c>
      <c r="AL36" s="187">
        <f t="shared" si="30"/>
        <v>260.25878003696943</v>
      </c>
      <c r="AM36" s="184">
        <f t="shared" si="23"/>
        <v>29</v>
      </c>
      <c r="AN36" s="528"/>
      <c r="AO36" s="190">
        <v>12</v>
      </c>
      <c r="AP36" s="190">
        <v>3124.2931332948547</v>
      </c>
      <c r="AQ36" s="187">
        <f t="shared" si="31"/>
        <v>260.35776110790454</v>
      </c>
      <c r="AR36" s="184">
        <f t="shared" si="25"/>
        <v>29</v>
      </c>
      <c r="AS36" s="528"/>
      <c r="AT36" s="190">
        <v>12</v>
      </c>
      <c r="AU36" s="190">
        <v>3125.1798561151045</v>
      </c>
      <c r="AV36" s="187">
        <f t="shared" si="32"/>
        <v>260.43165467625869</v>
      </c>
      <c r="AW36" s="184">
        <f t="shared" si="27"/>
        <v>28</v>
      </c>
      <c r="AX36" s="528"/>
    </row>
    <row r="37" spans="1:50" ht="14.25" customHeight="1">
      <c r="B37" s="514"/>
      <c r="C37" s="182">
        <v>31</v>
      </c>
      <c r="D37" s="185" t="s">
        <v>559</v>
      </c>
      <c r="E37" s="182">
        <v>4</v>
      </c>
      <c r="F37" s="182">
        <v>3300</v>
      </c>
      <c r="G37" s="187">
        <f t="shared" si="33"/>
        <v>825</v>
      </c>
      <c r="H37" s="526"/>
      <c r="I37" s="188">
        <f t="shared" si="13"/>
        <v>4</v>
      </c>
      <c r="J37" s="188">
        <f t="shared" si="14"/>
        <v>2953.7657712204773</v>
      </c>
      <c r="K37" s="189">
        <f t="shared" si="15"/>
        <v>738.44144280511932</v>
      </c>
      <c r="L37" s="527"/>
      <c r="M37" s="188">
        <f>RANK(K37, K$7:$K$39)</f>
        <v>17</v>
      </c>
      <c r="N37" s="529"/>
      <c r="O37" s="530"/>
      <c r="P37" s="190">
        <v>4</v>
      </c>
      <c r="Q37" s="190">
        <v>2952.8404669260672</v>
      </c>
      <c r="R37" s="187">
        <f t="shared" si="10"/>
        <v>738.21011673151679</v>
      </c>
      <c r="S37" s="184">
        <f t="shared" si="16"/>
        <v>17</v>
      </c>
      <c r="T37" s="528"/>
      <c r="U37" s="190">
        <v>4</v>
      </c>
      <c r="V37" s="190">
        <v>2954.6910755148879</v>
      </c>
      <c r="W37" s="187">
        <f t="shared" si="11"/>
        <v>738.67276887872197</v>
      </c>
      <c r="X37" s="184">
        <f t="shared" si="17"/>
        <v>15</v>
      </c>
      <c r="Y37" s="528"/>
      <c r="Z37" s="190"/>
      <c r="AA37" s="190"/>
      <c r="AB37" s="187"/>
      <c r="AC37" s="184"/>
      <c r="AD37" s="528"/>
      <c r="AE37" s="190"/>
      <c r="AF37" s="190"/>
      <c r="AG37" s="187"/>
      <c r="AH37" s="184"/>
      <c r="AI37" s="528"/>
      <c r="AJ37" s="190"/>
      <c r="AK37" s="190"/>
      <c r="AL37" s="187"/>
      <c r="AM37" s="184"/>
      <c r="AN37" s="528"/>
      <c r="AO37" s="190"/>
      <c r="AP37" s="190"/>
      <c r="AQ37" s="187"/>
      <c r="AR37" s="184"/>
      <c r="AS37" s="528"/>
      <c r="AT37" s="190"/>
      <c r="AU37" s="190"/>
      <c r="AV37" s="187"/>
      <c r="AW37" s="184"/>
      <c r="AX37" s="528"/>
    </row>
    <row r="38" spans="1:50" ht="14.25" customHeight="1">
      <c r="B38" s="514"/>
      <c r="C38" s="182">
        <v>32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29"/>
      <c r="O38" s="530"/>
      <c r="P38" s="190"/>
      <c r="Q38" s="190"/>
      <c r="R38" s="187"/>
      <c r="S38" s="184"/>
      <c r="T38" s="528"/>
      <c r="U38" s="190"/>
      <c r="V38" s="190"/>
      <c r="W38" s="187"/>
      <c r="X38" s="184"/>
      <c r="Y38" s="528"/>
      <c r="Z38" s="190"/>
      <c r="AA38" s="190"/>
      <c r="AB38" s="187"/>
      <c r="AC38" s="184"/>
      <c r="AD38" s="528"/>
      <c r="AE38" s="190"/>
      <c r="AF38" s="190"/>
      <c r="AG38" s="187"/>
      <c r="AH38" s="184"/>
      <c r="AI38" s="528"/>
      <c r="AJ38" s="190"/>
      <c r="AK38" s="190"/>
      <c r="AL38" s="187"/>
      <c r="AM38" s="184"/>
      <c r="AN38" s="528"/>
      <c r="AO38" s="190"/>
      <c r="AP38" s="190"/>
      <c r="AQ38" s="187"/>
      <c r="AR38" s="184"/>
      <c r="AS38" s="528"/>
      <c r="AT38" s="190"/>
      <c r="AU38" s="190"/>
      <c r="AV38" s="187"/>
      <c r="AW38" s="184"/>
      <c r="AX38" s="528"/>
    </row>
    <row r="39" spans="1:50" ht="14.25" customHeight="1">
      <c r="B39" s="514"/>
      <c r="C39" s="182">
        <v>33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29"/>
      <c r="O39" s="530"/>
      <c r="P39" s="190"/>
      <c r="Q39" s="190"/>
      <c r="R39" s="187"/>
      <c r="S39" s="184"/>
      <c r="T39" s="528"/>
      <c r="U39" s="190"/>
      <c r="V39" s="190"/>
      <c r="W39" s="187"/>
      <c r="X39" s="184"/>
      <c r="Y39" s="528"/>
      <c r="Z39" s="190"/>
      <c r="AA39" s="190"/>
      <c r="AB39" s="187"/>
      <c r="AC39" s="184"/>
      <c r="AD39" s="528"/>
      <c r="AE39" s="190"/>
      <c r="AF39" s="190"/>
      <c r="AG39" s="187"/>
      <c r="AH39" s="184"/>
      <c r="AI39" s="528"/>
      <c r="AJ39" s="190"/>
      <c r="AK39" s="190"/>
      <c r="AL39" s="187"/>
      <c r="AM39" s="184"/>
      <c r="AN39" s="528"/>
      <c r="AO39" s="190"/>
      <c r="AP39" s="190"/>
      <c r="AQ39" s="187"/>
      <c r="AR39" s="184"/>
      <c r="AS39" s="528"/>
      <c r="AT39" s="190"/>
      <c r="AU39" s="190"/>
      <c r="AV39" s="187"/>
      <c r="AW39" s="184"/>
      <c r="AX39" s="528"/>
    </row>
    <row r="40" spans="1:50" ht="14.25" customHeight="1" collapsed="1">
      <c r="B40" s="541" t="s">
        <v>695</v>
      </c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60"/>
      <c r="N40" s="545" t="s">
        <v>383</v>
      </c>
      <c r="O40" s="545" t="s">
        <v>105</v>
      </c>
      <c r="P40" s="563">
        <f>AT2+1</f>
        <v>46056</v>
      </c>
      <c r="Q40" s="564"/>
      <c r="R40" s="564"/>
      <c r="S40" s="564"/>
      <c r="T40" s="564"/>
      <c r="U40" s="565">
        <f>P40+1</f>
        <v>46057</v>
      </c>
      <c r="V40" s="566"/>
      <c r="W40" s="566"/>
      <c r="X40" s="566"/>
      <c r="Y40" s="566"/>
      <c r="Z40" s="563">
        <f t="shared" ref="Z40" si="34">U40+1</f>
        <v>46058</v>
      </c>
      <c r="AA40" s="564"/>
      <c r="AB40" s="564"/>
      <c r="AC40" s="564"/>
      <c r="AD40" s="564"/>
      <c r="AE40" s="565">
        <f t="shared" ref="AE40" si="35">Z40+1</f>
        <v>46059</v>
      </c>
      <c r="AF40" s="566"/>
      <c r="AG40" s="566"/>
      <c r="AH40" s="566"/>
      <c r="AI40" s="566"/>
      <c r="AJ40" s="547">
        <f t="shared" ref="AJ40" si="36">AE40+1</f>
        <v>46060</v>
      </c>
      <c r="AK40" s="548"/>
      <c r="AL40" s="548"/>
      <c r="AM40" s="548"/>
      <c r="AN40" s="549"/>
      <c r="AO40" s="565">
        <f t="shared" ref="AO40" si="37">AJ40+1</f>
        <v>46061</v>
      </c>
      <c r="AP40" s="566"/>
      <c r="AQ40" s="566"/>
      <c r="AR40" s="566"/>
      <c r="AS40" s="566"/>
      <c r="AT40" s="547">
        <f t="shared" ref="AT40" si="38">AO40+1</f>
        <v>46062</v>
      </c>
      <c r="AU40" s="548"/>
      <c r="AV40" s="548"/>
      <c r="AW40" s="548"/>
      <c r="AX40" s="549"/>
    </row>
    <row r="41" spans="1:50" ht="14.25" customHeight="1">
      <c r="B41" s="561"/>
      <c r="C41" s="561"/>
      <c r="D41" s="561"/>
      <c r="E41" s="561"/>
      <c r="F41" s="561"/>
      <c r="G41" s="561"/>
      <c r="H41" s="561"/>
      <c r="I41" s="561"/>
      <c r="J41" s="561"/>
      <c r="K41" s="561"/>
      <c r="L41" s="561"/>
      <c r="M41" s="562"/>
      <c r="N41" s="546"/>
      <c r="O41" s="546"/>
      <c r="P41" s="567">
        <f>P40</f>
        <v>46056</v>
      </c>
      <c r="Q41" s="567"/>
      <c r="R41" s="567"/>
      <c r="S41" s="567"/>
      <c r="T41" s="567"/>
      <c r="U41" s="568">
        <f>U40</f>
        <v>46057</v>
      </c>
      <c r="V41" s="568"/>
      <c r="W41" s="568"/>
      <c r="X41" s="568"/>
      <c r="Y41" s="568"/>
      <c r="Z41" s="567">
        <f t="shared" ref="Z41" si="39">Z40</f>
        <v>46058</v>
      </c>
      <c r="AA41" s="567"/>
      <c r="AB41" s="567"/>
      <c r="AC41" s="567"/>
      <c r="AD41" s="567"/>
      <c r="AE41" s="568">
        <f t="shared" ref="AE41" si="40">AE40</f>
        <v>46059</v>
      </c>
      <c r="AF41" s="568"/>
      <c r="AG41" s="568"/>
      <c r="AH41" s="568"/>
      <c r="AI41" s="568"/>
      <c r="AJ41" s="553">
        <f t="shared" ref="AJ41" si="41">AJ40</f>
        <v>46060</v>
      </c>
      <c r="AK41" s="554"/>
      <c r="AL41" s="554"/>
      <c r="AM41" s="554"/>
      <c r="AN41" s="555"/>
      <c r="AO41" s="568">
        <f t="shared" ref="AO41" si="42">AO40</f>
        <v>46061</v>
      </c>
      <c r="AP41" s="568"/>
      <c r="AQ41" s="568"/>
      <c r="AR41" s="568"/>
      <c r="AS41" s="568"/>
      <c r="AT41" s="553">
        <f t="shared" ref="AT41" si="43">AT40</f>
        <v>46062</v>
      </c>
      <c r="AU41" s="554"/>
      <c r="AV41" s="554"/>
      <c r="AW41" s="554"/>
      <c r="AX41" s="555"/>
    </row>
    <row r="42" spans="1:50" ht="14.25" customHeight="1">
      <c r="B42" s="514" t="s">
        <v>164</v>
      </c>
      <c r="C42" s="514" t="s">
        <v>159</v>
      </c>
      <c r="D42" s="514"/>
      <c r="E42" s="514" t="s">
        <v>160</v>
      </c>
      <c r="F42" s="514"/>
      <c r="G42" s="514"/>
      <c r="H42" s="514" t="s">
        <v>165</v>
      </c>
      <c r="I42" s="531" t="s">
        <v>384</v>
      </c>
      <c r="J42" s="531"/>
      <c r="K42" s="531"/>
      <c r="L42" s="531" t="s">
        <v>165</v>
      </c>
      <c r="M42" s="531" t="s">
        <v>167</v>
      </c>
      <c r="N42" s="529"/>
      <c r="O42" s="530" t="s">
        <v>166</v>
      </c>
      <c r="P42" s="530" t="s">
        <v>162</v>
      </c>
      <c r="Q42" s="530"/>
      <c r="R42" s="530"/>
      <c r="S42" s="530"/>
      <c r="T42" s="530" t="s">
        <v>165</v>
      </c>
      <c r="U42" s="530" t="s">
        <v>162</v>
      </c>
      <c r="V42" s="530"/>
      <c r="W42" s="530"/>
      <c r="X42" s="530"/>
      <c r="Y42" s="530" t="s">
        <v>165</v>
      </c>
      <c r="Z42" s="530" t="s">
        <v>162</v>
      </c>
      <c r="AA42" s="530"/>
      <c r="AB42" s="530"/>
      <c r="AC42" s="530"/>
      <c r="AD42" s="530" t="s">
        <v>165</v>
      </c>
      <c r="AE42" s="530" t="s">
        <v>162</v>
      </c>
      <c r="AF42" s="530"/>
      <c r="AG42" s="530"/>
      <c r="AH42" s="530"/>
      <c r="AI42" s="530" t="s">
        <v>165</v>
      </c>
      <c r="AJ42" s="530" t="s">
        <v>162</v>
      </c>
      <c r="AK42" s="530"/>
      <c r="AL42" s="530"/>
      <c r="AM42" s="530"/>
      <c r="AN42" s="530" t="s">
        <v>165</v>
      </c>
      <c r="AO42" s="530" t="s">
        <v>162</v>
      </c>
      <c r="AP42" s="530"/>
      <c r="AQ42" s="530"/>
      <c r="AR42" s="530"/>
      <c r="AS42" s="530" t="s">
        <v>165</v>
      </c>
      <c r="AT42" s="530" t="s">
        <v>162</v>
      </c>
      <c r="AU42" s="530"/>
      <c r="AV42" s="530"/>
      <c r="AW42" s="530"/>
      <c r="AX42" s="530" t="s">
        <v>165</v>
      </c>
    </row>
    <row r="43" spans="1:50" ht="14.25" customHeight="1">
      <c r="B43" s="514"/>
      <c r="C43" s="514"/>
      <c r="D43" s="514"/>
      <c r="E43" s="514" t="s">
        <v>385</v>
      </c>
      <c r="F43" s="514"/>
      <c r="G43" s="514"/>
      <c r="H43" s="514"/>
      <c r="I43" s="531" t="s">
        <v>385</v>
      </c>
      <c r="J43" s="531"/>
      <c r="K43" s="531"/>
      <c r="L43" s="531"/>
      <c r="M43" s="531"/>
      <c r="N43" s="529"/>
      <c r="O43" s="530"/>
      <c r="P43" s="530" t="s">
        <v>386</v>
      </c>
      <c r="Q43" s="530"/>
      <c r="R43" s="530"/>
      <c r="S43" s="530"/>
      <c r="T43" s="530"/>
      <c r="U43" s="530" t="s">
        <v>386</v>
      </c>
      <c r="V43" s="530"/>
      <c r="W43" s="530"/>
      <c r="X43" s="530"/>
      <c r="Y43" s="530"/>
      <c r="Z43" s="530" t="s">
        <v>386</v>
      </c>
      <c r="AA43" s="530"/>
      <c r="AB43" s="530"/>
      <c r="AC43" s="530"/>
      <c r="AD43" s="530"/>
      <c r="AE43" s="530" t="s">
        <v>386</v>
      </c>
      <c r="AF43" s="530"/>
      <c r="AG43" s="530"/>
      <c r="AH43" s="530"/>
      <c r="AI43" s="530"/>
      <c r="AJ43" s="530" t="s">
        <v>386</v>
      </c>
      <c r="AK43" s="530"/>
      <c r="AL43" s="530"/>
      <c r="AM43" s="530"/>
      <c r="AN43" s="530"/>
      <c r="AO43" s="530" t="s">
        <v>386</v>
      </c>
      <c r="AP43" s="530"/>
      <c r="AQ43" s="530"/>
      <c r="AR43" s="530"/>
      <c r="AS43" s="530"/>
      <c r="AT43" s="530" t="s">
        <v>386</v>
      </c>
      <c r="AU43" s="530"/>
      <c r="AV43" s="530"/>
      <c r="AW43" s="530"/>
      <c r="AX43" s="530"/>
    </row>
    <row r="44" spans="1:50" ht="14.25" customHeight="1">
      <c r="A44" s="179"/>
      <c r="B44" s="514"/>
      <c r="C44" s="514"/>
      <c r="D44" s="514"/>
      <c r="E44" s="182" t="s">
        <v>161</v>
      </c>
      <c r="F44" s="182" t="s">
        <v>387</v>
      </c>
      <c r="G44" s="182" t="s">
        <v>163</v>
      </c>
      <c r="H44" s="514"/>
      <c r="I44" s="183" t="s">
        <v>161</v>
      </c>
      <c r="J44" s="183" t="s">
        <v>387</v>
      </c>
      <c r="K44" s="183" t="s">
        <v>163</v>
      </c>
      <c r="L44" s="531"/>
      <c r="M44" s="531"/>
      <c r="N44" s="529"/>
      <c r="O44" s="530"/>
      <c r="P44" s="184" t="s">
        <v>161</v>
      </c>
      <c r="Q44" s="184" t="s">
        <v>387</v>
      </c>
      <c r="R44" s="184" t="s">
        <v>163</v>
      </c>
      <c r="S44" s="184" t="s">
        <v>167</v>
      </c>
      <c r="T44" s="530"/>
      <c r="U44" s="184" t="s">
        <v>161</v>
      </c>
      <c r="V44" s="184" t="s">
        <v>387</v>
      </c>
      <c r="W44" s="184" t="s">
        <v>163</v>
      </c>
      <c r="X44" s="184" t="s">
        <v>167</v>
      </c>
      <c r="Y44" s="530"/>
      <c r="Z44" s="184" t="s">
        <v>161</v>
      </c>
      <c r="AA44" s="184" t="s">
        <v>387</v>
      </c>
      <c r="AB44" s="184" t="s">
        <v>163</v>
      </c>
      <c r="AC44" s="184" t="s">
        <v>167</v>
      </c>
      <c r="AD44" s="530"/>
      <c r="AE44" s="184" t="s">
        <v>161</v>
      </c>
      <c r="AF44" s="184" t="s">
        <v>387</v>
      </c>
      <c r="AG44" s="184" t="s">
        <v>163</v>
      </c>
      <c r="AH44" s="184" t="s">
        <v>167</v>
      </c>
      <c r="AI44" s="530"/>
      <c r="AJ44" s="184" t="s">
        <v>161</v>
      </c>
      <c r="AK44" s="184" t="s">
        <v>387</v>
      </c>
      <c r="AL44" s="184" t="s">
        <v>163</v>
      </c>
      <c r="AM44" s="184" t="s">
        <v>167</v>
      </c>
      <c r="AN44" s="530"/>
      <c r="AO44" s="184" t="s">
        <v>161</v>
      </c>
      <c r="AP44" s="184" t="s">
        <v>387</v>
      </c>
      <c r="AQ44" s="184" t="s">
        <v>163</v>
      </c>
      <c r="AR44" s="184" t="s">
        <v>167</v>
      </c>
      <c r="AS44" s="530"/>
      <c r="AT44" s="184" t="s">
        <v>161</v>
      </c>
      <c r="AU44" s="184" t="s">
        <v>387</v>
      </c>
      <c r="AV44" s="184" t="s">
        <v>163</v>
      </c>
      <c r="AW44" s="184" t="s">
        <v>167</v>
      </c>
      <c r="AX44" s="530"/>
    </row>
    <row r="45" spans="1:50" ht="14.25" customHeight="1">
      <c r="B45" s="514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26">
        <f>AVERAGE(G45:G77)</f>
        <v>873.44827586206895</v>
      </c>
      <c r="I45" s="188">
        <f>AVERAGE(P45,U45,Z45,AE45,AJ45,AO45,AT45)</f>
        <v>4</v>
      </c>
      <c r="J45" s="188">
        <f>AVERAGE(Q45,V45,AA45,AF45,AK45,AP45,AU45)</f>
        <v>2955.4153981312897</v>
      </c>
      <c r="K45" s="189">
        <f>AVERAGE(R45,W45,AB45,AG45,AL45,AQ45,AV45)</f>
        <v>738.85384953282244</v>
      </c>
      <c r="L45" s="527">
        <f>IFERROR(AVERAGE(K45:K77),"-")</f>
        <v>774.43680274813096</v>
      </c>
      <c r="M45" s="188">
        <f>RANK(K45, K$45:$K$77)</f>
        <v>16</v>
      </c>
      <c r="N45" s="529"/>
      <c r="O45" s="530"/>
      <c r="P45" s="190">
        <v>4</v>
      </c>
      <c r="Q45" s="190">
        <v>2955.0617283950623</v>
      </c>
      <c r="R45" s="187">
        <f t="shared" ref="R45:R73" si="44">IFERROR(Q45/P45,"")</f>
        <v>738.76543209876559</v>
      </c>
      <c r="S45" s="184">
        <f>RANK(R45, R$45:R$77)</f>
        <v>16</v>
      </c>
      <c r="T45" s="528">
        <f>AVERAGE(R45:R77)</f>
        <v>774.24900086275022</v>
      </c>
      <c r="U45" s="190">
        <v>4</v>
      </c>
      <c r="V45" s="190">
        <v>2955.2536734128089</v>
      </c>
      <c r="W45" s="187">
        <f t="shared" ref="W45:W73" si="45">IFERROR(V45/U45,"")</f>
        <v>738.81341835320222</v>
      </c>
      <c r="X45" s="184">
        <f>RANK(W45, W$45:W$77)</f>
        <v>16</v>
      </c>
      <c r="Y45" s="528">
        <f>AVERAGE(W45:W77)</f>
        <v>774.24783438902614</v>
      </c>
      <c r="Z45" s="190">
        <v>4</v>
      </c>
      <c r="AA45" s="190">
        <v>2955.1466359977012</v>
      </c>
      <c r="AB45" s="187">
        <f>IFERROR(AA45/Z45,"")</f>
        <v>738.7866589994253</v>
      </c>
      <c r="AC45" s="184">
        <f>RANK(AB45, AB$45:AB$77)</f>
        <v>16</v>
      </c>
      <c r="AD45" s="528">
        <f>AVERAGE(AB45:AB77)</f>
        <v>774.34803405601031</v>
      </c>
      <c r="AE45" s="190">
        <v>4</v>
      </c>
      <c r="AF45" s="190">
        <v>2955.704697986575</v>
      </c>
      <c r="AG45" s="187">
        <f>IFERROR(AF45/AE45,"")</f>
        <v>738.92617449664374</v>
      </c>
      <c r="AH45" s="184">
        <f>RANK(AG45, AG$45:AG$77)</f>
        <v>16</v>
      </c>
      <c r="AI45" s="528">
        <f>AVERAGE(AG45:AG77)</f>
        <v>774.43048477543391</v>
      </c>
      <c r="AJ45" s="190">
        <v>4</v>
      </c>
      <c r="AK45" s="190">
        <v>2955.4770318021197</v>
      </c>
      <c r="AL45" s="187">
        <f>IFERROR(AK45/AJ45,"")</f>
        <v>738.86925795052991</v>
      </c>
      <c r="AM45" s="184">
        <f>RANK(AL45, AL$45:AL$77)</f>
        <v>16</v>
      </c>
      <c r="AN45" s="528">
        <f>AVERAGE(AL45:AL77)</f>
        <v>774.53674771635724</v>
      </c>
      <c r="AO45" s="190">
        <v>4</v>
      </c>
      <c r="AP45" s="190">
        <v>2955.6650246305417</v>
      </c>
      <c r="AQ45" s="187">
        <f>IFERROR(AP45/AO45,"")</f>
        <v>738.91625615763542</v>
      </c>
      <c r="AR45" s="184">
        <f>RANK(AQ45, AQ$45:AQ$77)</f>
        <v>16</v>
      </c>
      <c r="AS45" s="528">
        <f>AVERAGE(AQ45:AQ77)</f>
        <v>774.59733291169039</v>
      </c>
      <c r="AT45" s="190">
        <v>4</v>
      </c>
      <c r="AU45" s="190">
        <v>2955.5989946942223</v>
      </c>
      <c r="AV45" s="187">
        <f>IFERROR(AU45/AT45,"")</f>
        <v>738.89974867355556</v>
      </c>
      <c r="AW45" s="184">
        <f>RANK(AV45, AV$45:AV$77)</f>
        <v>16</v>
      </c>
      <c r="AX45" s="528">
        <f>AVERAGE(AV45:AV77)</f>
        <v>774.64818452564896</v>
      </c>
    </row>
    <row r="46" spans="1:50" ht="14.25" customHeight="1">
      <c r="B46" s="514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6">F46/E46</f>
        <v>1200</v>
      </c>
      <c r="H46" s="526"/>
      <c r="I46" s="188">
        <f t="shared" ref="I46:K73" si="47">AVERAGE(P46,U46,Z46,AE46,AJ46,AO46,AT46)</f>
        <v>3</v>
      </c>
      <c r="J46" s="188">
        <f t="shared" si="47"/>
        <v>3130.3104415519556</v>
      </c>
      <c r="K46" s="189">
        <f t="shared" si="47"/>
        <v>1043.4368138506518</v>
      </c>
      <c r="L46" s="527"/>
      <c r="M46" s="188">
        <f>RANK(K46, K$45:$K$77)</f>
        <v>5</v>
      </c>
      <c r="N46" s="529"/>
      <c r="O46" s="530"/>
      <c r="P46" s="190">
        <v>3</v>
      </c>
      <c r="Q46" s="190">
        <v>3127.4832962138098</v>
      </c>
      <c r="R46" s="187">
        <f t="shared" si="44"/>
        <v>1042.49443207127</v>
      </c>
      <c r="S46" s="184">
        <f t="shared" ref="S46:S73" si="48">RANK(R46, R$45:R$77)</f>
        <v>6</v>
      </c>
      <c r="T46" s="528"/>
      <c r="U46" s="190">
        <v>3</v>
      </c>
      <c r="V46" s="190">
        <v>3127.8325123152708</v>
      </c>
      <c r="W46" s="187">
        <f t="shared" si="45"/>
        <v>1042.6108374384237</v>
      </c>
      <c r="X46" s="184">
        <f t="shared" ref="X46:X73" si="49">RANK(W46, W$45:W$77)</f>
        <v>6</v>
      </c>
      <c r="Y46" s="528"/>
      <c r="Z46" s="190">
        <v>3</v>
      </c>
      <c r="AA46" s="190">
        <v>3130.3599872570903</v>
      </c>
      <c r="AB46" s="187">
        <f t="shared" ref="AB46:AB73" si="50">IFERROR(AA46/Z46,"")</f>
        <v>1043.4533290856969</v>
      </c>
      <c r="AC46" s="184">
        <f t="shared" ref="AC46:AC73" si="51">RANK(AB46, AB$45:AB$77)</f>
        <v>5</v>
      </c>
      <c r="AD46" s="528"/>
      <c r="AE46" s="190">
        <v>3</v>
      </c>
      <c r="AF46" s="190">
        <v>3130.4347826086951</v>
      </c>
      <c r="AG46" s="187">
        <f t="shared" ref="AG46:AG73" si="52">IFERROR(AF46/AE46,"")</f>
        <v>1043.478260869565</v>
      </c>
      <c r="AH46" s="184">
        <f t="shared" ref="AH46:AH73" si="53">RANK(AG46, AG$45:AG$77)</f>
        <v>4</v>
      </c>
      <c r="AI46" s="528"/>
      <c r="AJ46" s="190">
        <v>3</v>
      </c>
      <c r="AK46" s="190">
        <v>3132.116004296457</v>
      </c>
      <c r="AL46" s="187">
        <f t="shared" ref="AL46:AL73" si="54">IFERROR(AK46/AJ46,"")</f>
        <v>1044.038668098819</v>
      </c>
      <c r="AM46" s="184">
        <f t="shared" ref="AM46:AM73" si="55">RANK(AL46, AL$45:AL$77)</f>
        <v>4</v>
      </c>
      <c r="AN46" s="528"/>
      <c r="AO46" s="190">
        <v>3</v>
      </c>
      <c r="AP46" s="190">
        <v>3132.0000000000005</v>
      </c>
      <c r="AQ46" s="187">
        <f t="shared" ref="AQ46:AQ73" si="56">IFERROR(AP46/AO46,"")</f>
        <v>1044.0000000000002</v>
      </c>
      <c r="AR46" s="184">
        <f t="shared" ref="AR46:AR73" si="57">RANK(AQ46, AQ$45:AQ$77)</f>
        <v>4</v>
      </c>
      <c r="AS46" s="528"/>
      <c r="AT46" s="190">
        <v>3</v>
      </c>
      <c r="AU46" s="190">
        <v>3131.9465081723633</v>
      </c>
      <c r="AV46" s="187">
        <f t="shared" ref="AV46:AV73" si="58">IFERROR(AU46/AT46,"")</f>
        <v>1043.9821693907877</v>
      </c>
      <c r="AW46" s="184">
        <f t="shared" ref="AW46:AW73" si="59">RANK(AV46, AV$45:AV$77)</f>
        <v>5</v>
      </c>
      <c r="AX46" s="528"/>
    </row>
    <row r="47" spans="1:50" ht="14.25" customHeight="1">
      <c r="B47" s="514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6"/>
        <v>825</v>
      </c>
      <c r="H47" s="526"/>
      <c r="I47" s="188">
        <f t="shared" si="47"/>
        <v>4</v>
      </c>
      <c r="J47" s="188">
        <f t="shared" si="47"/>
        <v>2955.0307003768403</v>
      </c>
      <c r="K47" s="189">
        <f t="shared" si="47"/>
        <v>738.75767509421007</v>
      </c>
      <c r="L47" s="527"/>
      <c r="M47" s="188">
        <f>RANK(K47, K$45:$K$77)</f>
        <v>17</v>
      </c>
      <c r="N47" s="529"/>
      <c r="O47" s="530"/>
      <c r="P47" s="190">
        <v>4</v>
      </c>
      <c r="Q47" s="190">
        <v>2954.3410584572794</v>
      </c>
      <c r="R47" s="187">
        <f t="shared" si="44"/>
        <v>738.58526461431984</v>
      </c>
      <c r="S47" s="184">
        <f t="shared" si="48"/>
        <v>17</v>
      </c>
      <c r="T47" s="528"/>
      <c r="U47" s="190">
        <v>4</v>
      </c>
      <c r="V47" s="190">
        <v>2954.6365458189089</v>
      </c>
      <c r="W47" s="187">
        <f t="shared" si="45"/>
        <v>738.65913645472722</v>
      </c>
      <c r="X47" s="184">
        <f t="shared" si="49"/>
        <v>17</v>
      </c>
      <c r="Y47" s="528"/>
      <c r="Z47" s="190">
        <v>4</v>
      </c>
      <c r="AA47" s="190">
        <v>2954.9211119459046</v>
      </c>
      <c r="AB47" s="187">
        <f t="shared" si="50"/>
        <v>738.73027798647615</v>
      </c>
      <c r="AC47" s="184">
        <f t="shared" si="51"/>
        <v>17</v>
      </c>
      <c r="AD47" s="528"/>
      <c r="AE47" s="190">
        <v>4</v>
      </c>
      <c r="AF47" s="190">
        <v>2955.3508150248049</v>
      </c>
      <c r="AG47" s="187">
        <f t="shared" si="52"/>
        <v>738.83770375620122</v>
      </c>
      <c r="AH47" s="184">
        <f t="shared" si="53"/>
        <v>17</v>
      </c>
      <c r="AI47" s="528"/>
      <c r="AJ47" s="190">
        <v>4</v>
      </c>
      <c r="AK47" s="190">
        <v>2955.2506859565979</v>
      </c>
      <c r="AL47" s="187">
        <f t="shared" si="54"/>
        <v>738.81267148914947</v>
      </c>
      <c r="AM47" s="184">
        <f t="shared" si="55"/>
        <v>17</v>
      </c>
      <c r="AN47" s="528"/>
      <c r="AO47" s="190">
        <v>4</v>
      </c>
      <c r="AP47" s="190">
        <v>2955.4262238959241</v>
      </c>
      <c r="AQ47" s="187">
        <f t="shared" si="56"/>
        <v>738.85655597398102</v>
      </c>
      <c r="AR47" s="184">
        <f t="shared" si="57"/>
        <v>17</v>
      </c>
      <c r="AS47" s="528"/>
      <c r="AT47" s="190">
        <v>4</v>
      </c>
      <c r="AU47" s="190">
        <v>2955.288461538461</v>
      </c>
      <c r="AV47" s="187">
        <f t="shared" si="58"/>
        <v>738.82211538461524</v>
      </c>
      <c r="AW47" s="184">
        <f t="shared" si="59"/>
        <v>17</v>
      </c>
      <c r="AX47" s="528"/>
    </row>
    <row r="48" spans="1:50" ht="14.25" customHeight="1">
      <c r="B48" s="514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6"/>
        <v>660</v>
      </c>
      <c r="H48" s="526"/>
      <c r="I48" s="188">
        <f t="shared" si="47"/>
        <v>5</v>
      </c>
      <c r="J48" s="188">
        <f t="shared" si="47"/>
        <v>2956.5203446313317</v>
      </c>
      <c r="K48" s="189">
        <f t="shared" si="47"/>
        <v>591.30406892626627</v>
      </c>
      <c r="L48" s="527"/>
      <c r="M48" s="188">
        <f>RANK(K48, K$45:$K$77)</f>
        <v>25</v>
      </c>
      <c r="N48" s="529"/>
      <c r="O48" s="530"/>
      <c r="P48" s="190">
        <v>5</v>
      </c>
      <c r="Q48" s="190">
        <v>2957.2285143237909</v>
      </c>
      <c r="R48" s="187">
        <f t="shared" si="44"/>
        <v>591.44570286475823</v>
      </c>
      <c r="S48" s="184">
        <f t="shared" si="48"/>
        <v>24</v>
      </c>
      <c r="T48" s="528"/>
      <c r="U48" s="190">
        <v>5</v>
      </c>
      <c r="V48" s="190">
        <v>2957.560025957172</v>
      </c>
      <c r="W48" s="187">
        <f t="shared" si="45"/>
        <v>591.51200519143435</v>
      </c>
      <c r="X48" s="184">
        <f t="shared" si="49"/>
        <v>24</v>
      </c>
      <c r="Y48" s="528"/>
      <c r="Z48" s="190">
        <v>5</v>
      </c>
      <c r="AA48" s="190">
        <v>2957.3988055739928</v>
      </c>
      <c r="AB48" s="187">
        <f t="shared" si="50"/>
        <v>591.47976111479852</v>
      </c>
      <c r="AC48" s="184">
        <f t="shared" si="51"/>
        <v>24</v>
      </c>
      <c r="AD48" s="528"/>
      <c r="AE48" s="190">
        <v>5</v>
      </c>
      <c r="AF48" s="190">
        <v>2956.3342318059263</v>
      </c>
      <c r="AG48" s="187">
        <f t="shared" si="52"/>
        <v>591.26684636118523</v>
      </c>
      <c r="AH48" s="184">
        <f t="shared" si="53"/>
        <v>25</v>
      </c>
      <c r="AI48" s="528"/>
      <c r="AJ48" s="190">
        <v>5</v>
      </c>
      <c r="AK48" s="190">
        <v>2955.9798994975004</v>
      </c>
      <c r="AL48" s="187">
        <f t="shared" si="54"/>
        <v>591.19597989950012</v>
      </c>
      <c r="AM48" s="184">
        <f t="shared" si="55"/>
        <v>26</v>
      </c>
      <c r="AN48" s="528"/>
      <c r="AO48" s="190">
        <v>5</v>
      </c>
      <c r="AP48" s="190">
        <v>2955.6610169491551</v>
      </c>
      <c r="AQ48" s="187">
        <f t="shared" si="56"/>
        <v>591.13220338983103</v>
      </c>
      <c r="AR48" s="184">
        <f t="shared" si="57"/>
        <v>26</v>
      </c>
      <c r="AS48" s="528"/>
      <c r="AT48" s="190">
        <v>5</v>
      </c>
      <c r="AU48" s="190">
        <v>2955.4799183117811</v>
      </c>
      <c r="AV48" s="187">
        <f t="shared" si="58"/>
        <v>591.09598366235628</v>
      </c>
      <c r="AW48" s="184">
        <f t="shared" si="59"/>
        <v>26</v>
      </c>
      <c r="AX48" s="528"/>
    </row>
    <row r="49" spans="2:50" ht="14.25" customHeight="1">
      <c r="B49" s="514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6"/>
        <v>1200</v>
      </c>
      <c r="H49" s="526"/>
      <c r="I49" s="188">
        <f t="shared" si="47"/>
        <v>3</v>
      </c>
      <c r="J49" s="188">
        <f t="shared" si="47"/>
        <v>3130.9454853595535</v>
      </c>
      <c r="K49" s="189">
        <f t="shared" si="47"/>
        <v>1043.6484951198511</v>
      </c>
      <c r="L49" s="527"/>
      <c r="M49" s="188">
        <f>RANK(K49, K$45:$K$77)</f>
        <v>4</v>
      </c>
      <c r="N49" s="529"/>
      <c r="O49" s="530"/>
      <c r="P49" s="190">
        <v>3</v>
      </c>
      <c r="Q49" s="190">
        <v>3129.7475301866079</v>
      </c>
      <c r="R49" s="187">
        <f t="shared" si="44"/>
        <v>1043.2491767288693</v>
      </c>
      <c r="S49" s="184">
        <f t="shared" si="48"/>
        <v>3</v>
      </c>
      <c r="T49" s="528"/>
      <c r="U49" s="190">
        <v>3</v>
      </c>
      <c r="V49" s="190">
        <v>3129.2914536157787</v>
      </c>
      <c r="W49" s="187">
        <f t="shared" si="45"/>
        <v>1043.0971512052595</v>
      </c>
      <c r="X49" s="184">
        <f t="shared" si="49"/>
        <v>4</v>
      </c>
      <c r="Y49" s="528"/>
      <c r="Z49" s="190">
        <v>3</v>
      </c>
      <c r="AA49" s="190">
        <v>3131.09243697479</v>
      </c>
      <c r="AB49" s="187">
        <f t="shared" si="50"/>
        <v>1043.6974789915967</v>
      </c>
      <c r="AC49" s="184">
        <f t="shared" si="51"/>
        <v>3</v>
      </c>
      <c r="AD49" s="528"/>
      <c r="AE49" s="190">
        <v>3</v>
      </c>
      <c r="AF49" s="190">
        <v>3131.2969454181289</v>
      </c>
      <c r="AG49" s="187">
        <f t="shared" si="52"/>
        <v>1043.7656484727097</v>
      </c>
      <c r="AH49" s="184">
        <f t="shared" si="53"/>
        <v>3</v>
      </c>
      <c r="AI49" s="528"/>
      <c r="AJ49" s="190">
        <v>3</v>
      </c>
      <c r="AK49" s="190">
        <v>3131.4166231050704</v>
      </c>
      <c r="AL49" s="187">
        <f t="shared" si="54"/>
        <v>1043.8055410350235</v>
      </c>
      <c r="AM49" s="184">
        <f t="shared" si="55"/>
        <v>5</v>
      </c>
      <c r="AN49" s="528"/>
      <c r="AO49" s="190">
        <v>3</v>
      </c>
      <c r="AP49" s="190">
        <v>3131.4794215795337</v>
      </c>
      <c r="AQ49" s="187">
        <f t="shared" si="56"/>
        <v>1043.8264738598446</v>
      </c>
      <c r="AR49" s="184">
        <f t="shared" si="57"/>
        <v>5</v>
      </c>
      <c r="AS49" s="528"/>
      <c r="AT49" s="190">
        <v>3</v>
      </c>
      <c r="AU49" s="190">
        <v>3132.2939866369666</v>
      </c>
      <c r="AV49" s="187">
        <f t="shared" si="58"/>
        <v>1044.0979955456555</v>
      </c>
      <c r="AW49" s="184">
        <f t="shared" si="59"/>
        <v>4</v>
      </c>
      <c r="AX49" s="528"/>
    </row>
    <row r="50" spans="2:50" ht="14.25" customHeight="1">
      <c r="B50" s="514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6"/>
        <v>1000</v>
      </c>
      <c r="H50" s="526"/>
      <c r="I50" s="188">
        <f t="shared" si="47"/>
        <v>3</v>
      </c>
      <c r="J50" s="188">
        <f t="shared" si="47"/>
        <v>2690.7255674444596</v>
      </c>
      <c r="K50" s="189">
        <f t="shared" si="47"/>
        <v>896.90852248148656</v>
      </c>
      <c r="L50" s="527"/>
      <c r="M50" s="188">
        <f>RANK(K50, K$45:$K$77)</f>
        <v>9</v>
      </c>
      <c r="N50" s="529"/>
      <c r="O50" s="530"/>
      <c r="P50" s="190">
        <v>3</v>
      </c>
      <c r="Q50" s="190">
        <v>2690.6226175349429</v>
      </c>
      <c r="R50" s="187">
        <f t="shared" si="44"/>
        <v>896.87420584498102</v>
      </c>
      <c r="S50" s="184">
        <f t="shared" si="48"/>
        <v>9</v>
      </c>
      <c r="T50" s="528"/>
      <c r="U50" s="190">
        <v>3</v>
      </c>
      <c r="V50" s="190">
        <v>2690.5956112852673</v>
      </c>
      <c r="W50" s="187">
        <f t="shared" si="45"/>
        <v>896.86520376175577</v>
      </c>
      <c r="X50" s="184">
        <f t="shared" si="49"/>
        <v>9</v>
      </c>
      <c r="Y50" s="528"/>
      <c r="Z50" s="190">
        <v>3</v>
      </c>
      <c r="AA50" s="190">
        <v>2690.353697749194</v>
      </c>
      <c r="AB50" s="187">
        <f t="shared" si="50"/>
        <v>896.78456591639804</v>
      </c>
      <c r="AC50" s="184">
        <f t="shared" si="51"/>
        <v>9</v>
      </c>
      <c r="AD50" s="528"/>
      <c r="AE50" s="190">
        <v>3</v>
      </c>
      <c r="AF50" s="190">
        <v>2690.797546012267</v>
      </c>
      <c r="AG50" s="187">
        <f t="shared" si="52"/>
        <v>896.93251533742239</v>
      </c>
      <c r="AH50" s="184">
        <f t="shared" si="53"/>
        <v>9</v>
      </c>
      <c r="AI50" s="528"/>
      <c r="AJ50" s="190">
        <v>3</v>
      </c>
      <c r="AK50" s="190">
        <v>2691.1860718171929</v>
      </c>
      <c r="AL50" s="187">
        <f t="shared" si="54"/>
        <v>897.06202393906426</v>
      </c>
      <c r="AM50" s="184">
        <f t="shared" si="55"/>
        <v>9</v>
      </c>
      <c r="AN50" s="528"/>
      <c r="AO50" s="190">
        <v>3</v>
      </c>
      <c r="AP50" s="190">
        <v>2690.7541969431209</v>
      </c>
      <c r="AQ50" s="187">
        <f t="shared" si="56"/>
        <v>896.91806564770695</v>
      </c>
      <c r="AR50" s="184">
        <f t="shared" si="57"/>
        <v>9</v>
      </c>
      <c r="AS50" s="528"/>
      <c r="AT50" s="190">
        <v>3</v>
      </c>
      <c r="AU50" s="190">
        <v>2690.7692307692305</v>
      </c>
      <c r="AV50" s="187">
        <f t="shared" si="58"/>
        <v>896.92307692307679</v>
      </c>
      <c r="AW50" s="184">
        <f t="shared" si="59"/>
        <v>9</v>
      </c>
      <c r="AX50" s="528"/>
    </row>
    <row r="51" spans="2:50" ht="14.25" customHeight="1">
      <c r="B51" s="514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6"/>
        <v>1200</v>
      </c>
      <c r="H51" s="526"/>
      <c r="I51" s="188">
        <f t="shared" si="47"/>
        <v>3</v>
      </c>
      <c r="J51" s="188">
        <f t="shared" si="47"/>
        <v>3136.7304194586654</v>
      </c>
      <c r="K51" s="189">
        <f t="shared" si="47"/>
        <v>1045.5768064862218</v>
      </c>
      <c r="L51" s="527"/>
      <c r="M51" s="188">
        <f>RANK(K51, K$45:$K$77)</f>
        <v>1</v>
      </c>
      <c r="N51" s="529"/>
      <c r="O51" s="530"/>
      <c r="P51" s="190">
        <v>3</v>
      </c>
      <c r="Q51" s="190">
        <v>3134.9282296650686</v>
      </c>
      <c r="R51" s="187">
        <f t="shared" si="44"/>
        <v>1044.9760765550229</v>
      </c>
      <c r="S51" s="184">
        <f t="shared" si="48"/>
        <v>2</v>
      </c>
      <c r="T51" s="528"/>
      <c r="U51" s="190">
        <v>3</v>
      </c>
      <c r="V51" s="190">
        <v>3134.2915811088333</v>
      </c>
      <c r="W51" s="187">
        <f t="shared" si="45"/>
        <v>1044.7638603696112</v>
      </c>
      <c r="X51" s="184">
        <f t="shared" si="49"/>
        <v>2</v>
      </c>
      <c r="Y51" s="528"/>
      <c r="Z51" s="190">
        <v>3</v>
      </c>
      <c r="AA51" s="190">
        <v>3135.4838709677442</v>
      </c>
      <c r="AB51" s="187">
        <f t="shared" si="50"/>
        <v>1045.1612903225814</v>
      </c>
      <c r="AC51" s="184">
        <f t="shared" si="51"/>
        <v>2</v>
      </c>
      <c r="AD51" s="528"/>
      <c r="AE51" s="190">
        <v>3</v>
      </c>
      <c r="AF51" s="190">
        <v>3136.6336633663427</v>
      </c>
      <c r="AG51" s="187">
        <f t="shared" si="52"/>
        <v>1045.5445544554475</v>
      </c>
      <c r="AH51" s="184">
        <f t="shared" si="53"/>
        <v>2</v>
      </c>
      <c r="AI51" s="528"/>
      <c r="AJ51" s="190">
        <v>3</v>
      </c>
      <c r="AK51" s="190">
        <v>3138.6637458926602</v>
      </c>
      <c r="AL51" s="187">
        <f t="shared" si="54"/>
        <v>1046.2212486308867</v>
      </c>
      <c r="AM51" s="184">
        <f t="shared" si="55"/>
        <v>1</v>
      </c>
      <c r="AN51" s="528"/>
      <c r="AO51" s="190">
        <v>3</v>
      </c>
      <c r="AP51" s="190">
        <v>3138.6503067484682</v>
      </c>
      <c r="AQ51" s="187">
        <f t="shared" si="56"/>
        <v>1046.2167689161561</v>
      </c>
      <c r="AR51" s="184">
        <f t="shared" si="57"/>
        <v>1</v>
      </c>
      <c r="AS51" s="528"/>
      <c r="AT51" s="190">
        <v>3</v>
      </c>
      <c r="AU51" s="190">
        <v>3138.4615384615408</v>
      </c>
      <c r="AV51" s="187">
        <f t="shared" si="58"/>
        <v>1046.1538461538469</v>
      </c>
      <c r="AW51" s="184">
        <f t="shared" si="59"/>
        <v>1</v>
      </c>
      <c r="AX51" s="528"/>
    </row>
    <row r="52" spans="2:50" ht="14.25" customHeight="1">
      <c r="B52" s="514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6"/>
        <v>825</v>
      </c>
      <c r="H52" s="526"/>
      <c r="I52" s="188">
        <f t="shared" si="47"/>
        <v>4</v>
      </c>
      <c r="J52" s="188">
        <f t="shared" si="47"/>
        <v>2928.0547655592995</v>
      </c>
      <c r="K52" s="189">
        <f t="shared" si="47"/>
        <v>732.01369138982488</v>
      </c>
      <c r="L52" s="527"/>
      <c r="M52" s="188">
        <f>RANK(K52, K$45:$K$77)</f>
        <v>20</v>
      </c>
      <c r="N52" s="529"/>
      <c r="O52" s="530"/>
      <c r="P52" s="190">
        <v>4</v>
      </c>
      <c r="Q52" s="190">
        <v>2928.04816859007</v>
      </c>
      <c r="R52" s="187">
        <f t="shared" si="44"/>
        <v>732.01204214751749</v>
      </c>
      <c r="S52" s="184">
        <f t="shared" si="48"/>
        <v>21</v>
      </c>
      <c r="T52" s="528"/>
      <c r="U52" s="190">
        <v>4</v>
      </c>
      <c r="V52" s="190">
        <v>2928.3316880552857</v>
      </c>
      <c r="W52" s="187">
        <f t="shared" si="45"/>
        <v>732.08292201382142</v>
      </c>
      <c r="X52" s="184">
        <f t="shared" si="49"/>
        <v>20</v>
      </c>
      <c r="Y52" s="528"/>
      <c r="Z52" s="190">
        <v>4</v>
      </c>
      <c r="AA52" s="190">
        <v>2928.5067873303183</v>
      </c>
      <c r="AB52" s="187">
        <f t="shared" si="50"/>
        <v>732.12669683257957</v>
      </c>
      <c r="AC52" s="184">
        <f t="shared" si="51"/>
        <v>19</v>
      </c>
      <c r="AD52" s="528"/>
      <c r="AE52" s="190">
        <v>4</v>
      </c>
      <c r="AF52" s="190">
        <v>2927.8969957081586</v>
      </c>
      <c r="AG52" s="187">
        <f t="shared" si="52"/>
        <v>731.97424892703964</v>
      </c>
      <c r="AH52" s="184">
        <f t="shared" si="53"/>
        <v>21</v>
      </c>
      <c r="AI52" s="528"/>
      <c r="AJ52" s="190">
        <v>4</v>
      </c>
      <c r="AK52" s="190">
        <v>2927.3456295108226</v>
      </c>
      <c r="AL52" s="187">
        <f t="shared" si="54"/>
        <v>731.83640737770565</v>
      </c>
      <c r="AM52" s="184">
        <f t="shared" si="55"/>
        <v>21</v>
      </c>
      <c r="AN52" s="528"/>
      <c r="AO52" s="190">
        <v>4</v>
      </c>
      <c r="AP52" s="190">
        <v>2927.8538812785441</v>
      </c>
      <c r="AQ52" s="187">
        <f t="shared" si="56"/>
        <v>731.96347031963603</v>
      </c>
      <c r="AR52" s="184">
        <f t="shared" si="57"/>
        <v>20</v>
      </c>
      <c r="AS52" s="528"/>
      <c r="AT52" s="190">
        <v>4</v>
      </c>
      <c r="AU52" s="190">
        <v>2928.4002084418953</v>
      </c>
      <c r="AV52" s="187">
        <f t="shared" si="58"/>
        <v>732.10005211047383</v>
      </c>
      <c r="AW52" s="184">
        <f t="shared" si="59"/>
        <v>18</v>
      </c>
      <c r="AX52" s="528"/>
    </row>
    <row r="53" spans="2:50" ht="14.25" customHeight="1">
      <c r="B53" s="514"/>
      <c r="C53" s="182">
        <v>9</v>
      </c>
      <c r="D53" s="185" t="s">
        <v>407</v>
      </c>
      <c r="E53" s="186">
        <v>4</v>
      </c>
      <c r="F53" s="182">
        <v>3300</v>
      </c>
      <c r="G53" s="187">
        <f t="shared" si="46"/>
        <v>825</v>
      </c>
      <c r="H53" s="526"/>
      <c r="I53" s="188">
        <f t="shared" si="47"/>
        <v>4</v>
      </c>
      <c r="J53" s="188">
        <f t="shared" si="47"/>
        <v>2927.90429918885</v>
      </c>
      <c r="K53" s="189">
        <f t="shared" si="47"/>
        <v>731.9760747972125</v>
      </c>
      <c r="L53" s="527"/>
      <c r="M53" s="188">
        <f>RANK(K53, K$45:$K$77)</f>
        <v>21</v>
      </c>
      <c r="N53" s="529"/>
      <c r="O53" s="530"/>
      <c r="P53" s="190">
        <v>4</v>
      </c>
      <c r="Q53" s="190">
        <v>2928.5775676837097</v>
      </c>
      <c r="R53" s="187">
        <f t="shared" si="44"/>
        <v>732.14439192092743</v>
      </c>
      <c r="S53" s="184">
        <f t="shared" si="48"/>
        <v>18</v>
      </c>
      <c r="T53" s="528"/>
      <c r="U53" s="190">
        <v>4</v>
      </c>
      <c r="V53" s="190">
        <v>2927.7944325481772</v>
      </c>
      <c r="W53" s="187">
        <f t="shared" si="45"/>
        <v>731.94860813704429</v>
      </c>
      <c r="X53" s="184">
        <f t="shared" si="49"/>
        <v>21</v>
      </c>
      <c r="Y53" s="528"/>
      <c r="Z53" s="190">
        <v>4</v>
      </c>
      <c r="AA53" s="190">
        <v>2927.4725274725301</v>
      </c>
      <c r="AB53" s="187">
        <f t="shared" si="50"/>
        <v>731.86813186813254</v>
      </c>
      <c r="AC53" s="184">
        <f t="shared" si="51"/>
        <v>21</v>
      </c>
      <c r="AD53" s="528"/>
      <c r="AE53" s="190">
        <v>4</v>
      </c>
      <c r="AF53" s="190">
        <v>2928.2198053806578</v>
      </c>
      <c r="AG53" s="187">
        <f t="shared" si="52"/>
        <v>732.05495134516445</v>
      </c>
      <c r="AH53" s="184">
        <f t="shared" si="53"/>
        <v>20</v>
      </c>
      <c r="AI53" s="528"/>
      <c r="AJ53" s="190">
        <v>4</v>
      </c>
      <c r="AK53" s="190">
        <v>2928.2083075015566</v>
      </c>
      <c r="AL53" s="187">
        <f t="shared" si="54"/>
        <v>732.05207687538916</v>
      </c>
      <c r="AM53" s="184">
        <f t="shared" si="55"/>
        <v>19</v>
      </c>
      <c r="AN53" s="528"/>
      <c r="AO53" s="190">
        <v>4</v>
      </c>
      <c r="AP53" s="190">
        <v>2928.3582089552206</v>
      </c>
      <c r="AQ53" s="187">
        <f t="shared" si="56"/>
        <v>732.08955223880514</v>
      </c>
      <c r="AR53" s="184">
        <f t="shared" si="57"/>
        <v>18</v>
      </c>
      <c r="AS53" s="528"/>
      <c r="AT53" s="190">
        <v>4</v>
      </c>
      <c r="AU53" s="190">
        <v>2926.6992447800994</v>
      </c>
      <c r="AV53" s="187">
        <f t="shared" si="58"/>
        <v>731.67481119502486</v>
      </c>
      <c r="AW53" s="184">
        <f t="shared" si="59"/>
        <v>21</v>
      </c>
      <c r="AX53" s="528"/>
    </row>
    <row r="54" spans="2:50" ht="14.25" customHeight="1">
      <c r="B54" s="514"/>
      <c r="C54" s="182">
        <v>10</v>
      </c>
      <c r="D54" s="185" t="s">
        <v>470</v>
      </c>
      <c r="E54" s="186">
        <v>4</v>
      </c>
      <c r="F54" s="182">
        <v>3300</v>
      </c>
      <c r="G54" s="187">
        <f t="shared" si="46"/>
        <v>825</v>
      </c>
      <c r="H54" s="526"/>
      <c r="I54" s="188">
        <f t="shared" si="47"/>
        <v>4</v>
      </c>
      <c r="J54" s="188">
        <f t="shared" si="47"/>
        <v>2959.5662657046983</v>
      </c>
      <c r="K54" s="189">
        <f t="shared" si="47"/>
        <v>739.89156642617456</v>
      </c>
      <c r="L54" s="527"/>
      <c r="M54" s="188">
        <f>RANK(K54, K$45:$K$77)</f>
        <v>13</v>
      </c>
      <c r="N54" s="529"/>
      <c r="O54" s="530"/>
      <c r="P54" s="190">
        <v>4</v>
      </c>
      <c r="Q54" s="190">
        <v>2958.7500000000036</v>
      </c>
      <c r="R54" s="187">
        <f t="shared" si="44"/>
        <v>739.68750000000091</v>
      </c>
      <c r="S54" s="184">
        <f t="shared" si="48"/>
        <v>13</v>
      </c>
      <c r="T54" s="528"/>
      <c r="U54" s="190">
        <v>4</v>
      </c>
      <c r="V54" s="190">
        <v>2958.4905660377344</v>
      </c>
      <c r="W54" s="187">
        <f t="shared" si="45"/>
        <v>739.62264150943361</v>
      </c>
      <c r="X54" s="184">
        <f t="shared" si="49"/>
        <v>14</v>
      </c>
      <c r="Y54" s="528"/>
      <c r="Z54" s="190">
        <v>4</v>
      </c>
      <c r="AA54" s="190">
        <v>2958.3778014941249</v>
      </c>
      <c r="AB54" s="187">
        <f t="shared" si="50"/>
        <v>739.59445037353123</v>
      </c>
      <c r="AC54" s="184">
        <f t="shared" si="51"/>
        <v>14</v>
      </c>
      <c r="AD54" s="528"/>
      <c r="AE54" s="190">
        <v>4</v>
      </c>
      <c r="AF54" s="190">
        <v>2958.1595974119336</v>
      </c>
      <c r="AG54" s="187">
        <f t="shared" si="52"/>
        <v>739.53989935298341</v>
      </c>
      <c r="AH54" s="184">
        <f t="shared" si="53"/>
        <v>14</v>
      </c>
      <c r="AI54" s="528"/>
      <c r="AJ54" s="190">
        <v>4</v>
      </c>
      <c r="AK54" s="190">
        <v>2960.4344453064432</v>
      </c>
      <c r="AL54" s="187">
        <f t="shared" si="54"/>
        <v>740.1086113266108</v>
      </c>
      <c r="AM54" s="184">
        <f t="shared" si="55"/>
        <v>13</v>
      </c>
      <c r="AN54" s="528"/>
      <c r="AO54" s="190">
        <v>4</v>
      </c>
      <c r="AP54" s="190">
        <v>2960.924369747901</v>
      </c>
      <c r="AQ54" s="187">
        <f t="shared" si="56"/>
        <v>740.23109243697525</v>
      </c>
      <c r="AR54" s="184">
        <f t="shared" si="57"/>
        <v>13</v>
      </c>
      <c r="AS54" s="528"/>
      <c r="AT54" s="190">
        <v>4</v>
      </c>
      <c r="AU54" s="190">
        <v>2961.8270799347474</v>
      </c>
      <c r="AV54" s="187">
        <f t="shared" si="58"/>
        <v>740.45676998368685</v>
      </c>
      <c r="AW54" s="184">
        <f t="shared" si="59"/>
        <v>13</v>
      </c>
      <c r="AX54" s="528"/>
    </row>
    <row r="55" spans="2:50" ht="14.25" customHeight="1">
      <c r="B55" s="514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46"/>
        <v>1000</v>
      </c>
      <c r="H55" s="526"/>
      <c r="I55" s="188">
        <f t="shared" si="47"/>
        <v>3</v>
      </c>
      <c r="J55" s="188">
        <f t="shared" si="47"/>
        <v>2689.9909665306013</v>
      </c>
      <c r="K55" s="189">
        <f t="shared" si="47"/>
        <v>896.66365551020056</v>
      </c>
      <c r="L55" s="527"/>
      <c r="M55" s="188">
        <f>RANK(K55, K$45:$K$77)</f>
        <v>11</v>
      </c>
      <c r="N55" s="529"/>
      <c r="O55" s="530"/>
      <c r="P55" s="190">
        <v>3</v>
      </c>
      <c r="Q55" s="190">
        <v>2689.4641384995889</v>
      </c>
      <c r="R55" s="187">
        <f t="shared" si="44"/>
        <v>896.48804616652967</v>
      </c>
      <c r="S55" s="184">
        <f t="shared" si="48"/>
        <v>11</v>
      </c>
      <c r="T55" s="528"/>
      <c r="U55" s="190">
        <v>3</v>
      </c>
      <c r="V55" s="190">
        <v>2689.7709389753459</v>
      </c>
      <c r="W55" s="187">
        <f t="shared" si="45"/>
        <v>896.59031299178196</v>
      </c>
      <c r="X55" s="184">
        <f t="shared" si="49"/>
        <v>10</v>
      </c>
      <c r="Y55" s="528"/>
      <c r="Z55" s="190">
        <v>3</v>
      </c>
      <c r="AA55" s="190">
        <v>2689.9676375404529</v>
      </c>
      <c r="AB55" s="187">
        <f t="shared" si="50"/>
        <v>896.65587918015092</v>
      </c>
      <c r="AC55" s="184">
        <f t="shared" si="51"/>
        <v>11</v>
      </c>
      <c r="AD55" s="528"/>
      <c r="AE55" s="190">
        <v>3</v>
      </c>
      <c r="AF55" s="190">
        <v>2690.0921141316567</v>
      </c>
      <c r="AG55" s="187">
        <f t="shared" si="52"/>
        <v>896.69737137721893</v>
      </c>
      <c r="AH55" s="184">
        <f t="shared" si="53"/>
        <v>10</v>
      </c>
      <c r="AI55" s="528"/>
      <c r="AJ55" s="190">
        <v>3</v>
      </c>
      <c r="AK55" s="190">
        <v>2690.2588235294111</v>
      </c>
      <c r="AL55" s="187">
        <f t="shared" si="54"/>
        <v>896.75294117647036</v>
      </c>
      <c r="AM55" s="184">
        <f t="shared" si="55"/>
        <v>10</v>
      </c>
      <c r="AN55" s="528"/>
      <c r="AO55" s="190">
        <v>3</v>
      </c>
      <c r="AP55" s="190">
        <v>2690.2398948406176</v>
      </c>
      <c r="AQ55" s="187">
        <f t="shared" si="56"/>
        <v>896.74663161353919</v>
      </c>
      <c r="AR55" s="184">
        <f t="shared" si="57"/>
        <v>11</v>
      </c>
      <c r="AS55" s="528"/>
      <c r="AT55" s="190">
        <v>3</v>
      </c>
      <c r="AU55" s="190">
        <v>2690.1432181971363</v>
      </c>
      <c r="AV55" s="187">
        <f t="shared" si="58"/>
        <v>896.71440606571207</v>
      </c>
      <c r="AW55" s="184">
        <f t="shared" si="59"/>
        <v>11</v>
      </c>
      <c r="AX55" s="528"/>
    </row>
    <row r="56" spans="2:50" ht="14.25" customHeight="1">
      <c r="B56" s="514"/>
      <c r="C56" s="182">
        <v>12</v>
      </c>
      <c r="D56" s="185" t="s">
        <v>495</v>
      </c>
      <c r="E56" s="186">
        <v>12</v>
      </c>
      <c r="F56" s="182">
        <v>3600</v>
      </c>
      <c r="G56" s="187">
        <f t="shared" si="46"/>
        <v>300</v>
      </c>
      <c r="H56" s="526"/>
      <c r="I56" s="188">
        <f t="shared" si="47"/>
        <v>12</v>
      </c>
      <c r="J56" s="188">
        <f t="shared" si="47"/>
        <v>3125.3695994828263</v>
      </c>
      <c r="K56" s="189">
        <f t="shared" si="47"/>
        <v>260.44746662356886</v>
      </c>
      <c r="L56" s="527"/>
      <c r="M56" s="188">
        <f>RANK(K56, K$45:$K$77)</f>
        <v>29</v>
      </c>
      <c r="N56" s="529"/>
      <c r="O56" s="530"/>
      <c r="P56" s="190">
        <v>12</v>
      </c>
      <c r="Q56" s="190">
        <v>3124.2486620008121</v>
      </c>
      <c r="R56" s="187">
        <f t="shared" si="44"/>
        <v>260.35405516673433</v>
      </c>
      <c r="S56" s="184">
        <f t="shared" si="48"/>
        <v>29</v>
      </c>
      <c r="T56" s="528"/>
      <c r="U56" s="190">
        <v>12</v>
      </c>
      <c r="V56" s="190">
        <v>3124.3600330305517</v>
      </c>
      <c r="W56" s="187">
        <f t="shared" si="45"/>
        <v>260.36333608587933</v>
      </c>
      <c r="X56" s="184">
        <f t="shared" si="49"/>
        <v>29</v>
      </c>
      <c r="Y56" s="528"/>
      <c r="Z56" s="190">
        <v>12</v>
      </c>
      <c r="AA56" s="190">
        <v>3124.0572171651484</v>
      </c>
      <c r="AB56" s="187">
        <f t="shared" si="50"/>
        <v>260.33810143042905</v>
      </c>
      <c r="AC56" s="184">
        <f t="shared" si="51"/>
        <v>29</v>
      </c>
      <c r="AD56" s="528"/>
      <c r="AE56" s="190">
        <v>12</v>
      </c>
      <c r="AF56" s="190">
        <v>3124.6712256706946</v>
      </c>
      <c r="AG56" s="187">
        <f t="shared" si="52"/>
        <v>260.38926880589122</v>
      </c>
      <c r="AH56" s="184">
        <f t="shared" si="53"/>
        <v>29</v>
      </c>
      <c r="AI56" s="528"/>
      <c r="AJ56" s="190">
        <v>12</v>
      </c>
      <c r="AK56" s="190">
        <v>3125.5656108597291</v>
      </c>
      <c r="AL56" s="187">
        <f t="shared" si="54"/>
        <v>260.4638009049774</v>
      </c>
      <c r="AM56" s="184">
        <f t="shared" si="55"/>
        <v>28</v>
      </c>
      <c r="AN56" s="528"/>
      <c r="AO56" s="190">
        <v>12</v>
      </c>
      <c r="AP56" s="190">
        <v>3127.2128447920968</v>
      </c>
      <c r="AQ56" s="187">
        <f t="shared" si="56"/>
        <v>260.60107039934138</v>
      </c>
      <c r="AR56" s="184">
        <f t="shared" si="57"/>
        <v>28</v>
      </c>
      <c r="AS56" s="528"/>
      <c r="AT56" s="190">
        <v>12</v>
      </c>
      <c r="AU56" s="190">
        <v>3127.47160286075</v>
      </c>
      <c r="AV56" s="187">
        <f t="shared" si="58"/>
        <v>260.62263357172918</v>
      </c>
      <c r="AW56" s="184">
        <f t="shared" si="59"/>
        <v>28</v>
      </c>
      <c r="AX56" s="528"/>
    </row>
    <row r="57" spans="2:50" ht="14.25" customHeight="1">
      <c r="B57" s="514"/>
      <c r="C57" s="182">
        <v>13</v>
      </c>
      <c r="D57" s="185" t="s">
        <v>543</v>
      </c>
      <c r="E57" s="186">
        <v>3</v>
      </c>
      <c r="F57" s="182">
        <v>3300</v>
      </c>
      <c r="G57" s="187">
        <f t="shared" si="46"/>
        <v>1100</v>
      </c>
      <c r="H57" s="526"/>
      <c r="I57" s="188">
        <f t="shared" si="47"/>
        <v>3</v>
      </c>
      <c r="J57" s="188">
        <f t="shared" si="47"/>
        <v>2955.1214457661695</v>
      </c>
      <c r="K57" s="189">
        <f t="shared" si="47"/>
        <v>985.04048192205653</v>
      </c>
      <c r="L57" s="527"/>
      <c r="M57" s="188">
        <f>RANK(K57, K$45:$K$77)</f>
        <v>8</v>
      </c>
      <c r="N57" s="529"/>
      <c r="O57" s="530"/>
      <c r="P57" s="190">
        <v>3</v>
      </c>
      <c r="Q57" s="190">
        <v>2954.3736263736264</v>
      </c>
      <c r="R57" s="187">
        <f t="shared" si="44"/>
        <v>984.79120879120876</v>
      </c>
      <c r="S57" s="184">
        <f t="shared" si="48"/>
        <v>8</v>
      </c>
      <c r="T57" s="528"/>
      <c r="U57" s="190">
        <v>3</v>
      </c>
      <c r="V57" s="190">
        <v>2954.631119282923</v>
      </c>
      <c r="W57" s="187">
        <f t="shared" si="45"/>
        <v>984.8770397609743</v>
      </c>
      <c r="X57" s="184">
        <f t="shared" si="49"/>
        <v>8</v>
      </c>
      <c r="Y57" s="528"/>
      <c r="Z57" s="190">
        <v>3</v>
      </c>
      <c r="AA57" s="190">
        <v>2954.4592030360536</v>
      </c>
      <c r="AB57" s="187">
        <f t="shared" si="50"/>
        <v>984.81973434535121</v>
      </c>
      <c r="AC57" s="184">
        <f t="shared" si="51"/>
        <v>8</v>
      </c>
      <c r="AD57" s="528"/>
      <c r="AE57" s="190">
        <v>3</v>
      </c>
      <c r="AF57" s="190">
        <v>2955.0085861476791</v>
      </c>
      <c r="AG57" s="187">
        <f t="shared" si="52"/>
        <v>985.00286204922634</v>
      </c>
      <c r="AH57" s="184">
        <f t="shared" si="53"/>
        <v>8</v>
      </c>
      <c r="AI57" s="528"/>
      <c r="AJ57" s="190">
        <v>3</v>
      </c>
      <c r="AK57" s="190">
        <v>2955.7215416791164</v>
      </c>
      <c r="AL57" s="187">
        <f t="shared" si="54"/>
        <v>985.24051389303884</v>
      </c>
      <c r="AM57" s="184">
        <f t="shared" si="55"/>
        <v>8</v>
      </c>
      <c r="AN57" s="528"/>
      <c r="AO57" s="190">
        <v>3</v>
      </c>
      <c r="AP57" s="190">
        <v>2955.7977332170885</v>
      </c>
      <c r="AQ57" s="187">
        <f t="shared" si="56"/>
        <v>985.26591107236288</v>
      </c>
      <c r="AR57" s="184">
        <f t="shared" si="57"/>
        <v>8</v>
      </c>
      <c r="AS57" s="528"/>
      <c r="AT57" s="190">
        <v>3</v>
      </c>
      <c r="AU57" s="190">
        <v>2955.858310626701</v>
      </c>
      <c r="AV57" s="187">
        <f t="shared" si="58"/>
        <v>985.28610354223372</v>
      </c>
      <c r="AW57" s="184">
        <f t="shared" si="59"/>
        <v>8</v>
      </c>
      <c r="AX57" s="528"/>
    </row>
    <row r="58" spans="2:50" ht="14.25" customHeight="1">
      <c r="B58" s="514"/>
      <c r="C58" s="182">
        <v>14</v>
      </c>
      <c r="D58" s="185" t="s">
        <v>616</v>
      </c>
      <c r="E58" s="186">
        <v>5</v>
      </c>
      <c r="F58" s="182">
        <v>3300</v>
      </c>
      <c r="G58" s="187">
        <f t="shared" si="46"/>
        <v>660</v>
      </c>
      <c r="H58" s="526"/>
      <c r="I58" s="188">
        <f t="shared" si="47"/>
        <v>5</v>
      </c>
      <c r="J58" s="188">
        <f t="shared" si="47"/>
        <v>2957.4894672905502</v>
      </c>
      <c r="K58" s="189">
        <f t="shared" si="47"/>
        <v>591.49789345811018</v>
      </c>
      <c r="L58" s="527"/>
      <c r="M58" s="188">
        <f>RANK(K58, K$45:$K$77)</f>
        <v>24</v>
      </c>
      <c r="N58" s="529"/>
      <c r="O58" s="530"/>
      <c r="P58" s="190">
        <v>5</v>
      </c>
      <c r="Q58" s="190">
        <v>2957.1119133573998</v>
      </c>
      <c r="R58" s="187">
        <f t="shared" si="44"/>
        <v>591.42238267147991</v>
      </c>
      <c r="S58" s="184">
        <f t="shared" si="48"/>
        <v>25</v>
      </c>
      <c r="T58" s="528"/>
      <c r="U58" s="190">
        <v>5</v>
      </c>
      <c r="V58" s="190">
        <v>2957.2279849922757</v>
      </c>
      <c r="W58" s="187">
        <f t="shared" si="45"/>
        <v>591.44559699845513</v>
      </c>
      <c r="X58" s="184">
        <f t="shared" si="49"/>
        <v>25</v>
      </c>
      <c r="Y58" s="528"/>
      <c r="Z58" s="190">
        <v>5</v>
      </c>
      <c r="AA58" s="190">
        <v>2957.3840793352979</v>
      </c>
      <c r="AB58" s="187">
        <f t="shared" si="50"/>
        <v>591.4768158670596</v>
      </c>
      <c r="AC58" s="184">
        <f t="shared" si="51"/>
        <v>25</v>
      </c>
      <c r="AD58" s="528"/>
      <c r="AE58" s="190">
        <v>5</v>
      </c>
      <c r="AF58" s="190">
        <v>2957.2808586762089</v>
      </c>
      <c r="AG58" s="187">
        <f t="shared" si="52"/>
        <v>591.45617173524181</v>
      </c>
      <c r="AH58" s="184">
        <f t="shared" si="53"/>
        <v>24</v>
      </c>
      <c r="AI58" s="528"/>
      <c r="AJ58" s="190">
        <v>5</v>
      </c>
      <c r="AK58" s="190">
        <v>2957.6583801122656</v>
      </c>
      <c r="AL58" s="187">
        <f t="shared" si="54"/>
        <v>591.5316760224531</v>
      </c>
      <c r="AM58" s="184">
        <f t="shared" si="55"/>
        <v>24</v>
      </c>
      <c r="AN58" s="528"/>
      <c r="AO58" s="190">
        <v>5</v>
      </c>
      <c r="AP58" s="190">
        <v>2957.8216171158656</v>
      </c>
      <c r="AQ58" s="187">
        <f t="shared" si="56"/>
        <v>591.56432342317316</v>
      </c>
      <c r="AR58" s="184">
        <f t="shared" si="57"/>
        <v>24</v>
      </c>
      <c r="AS58" s="528"/>
      <c r="AT58" s="190">
        <v>5</v>
      </c>
      <c r="AU58" s="190">
        <v>2957.9414374445419</v>
      </c>
      <c r="AV58" s="187">
        <f t="shared" si="58"/>
        <v>591.58828748890835</v>
      </c>
      <c r="AW58" s="184">
        <f t="shared" si="59"/>
        <v>24</v>
      </c>
      <c r="AX58" s="528"/>
    </row>
    <row r="59" spans="2:50" ht="14.25" customHeight="1">
      <c r="B59" s="514"/>
      <c r="C59" s="182">
        <v>15</v>
      </c>
      <c r="D59" s="185" t="s">
        <v>421</v>
      </c>
      <c r="E59" s="186">
        <v>4</v>
      </c>
      <c r="F59" s="182">
        <v>3300</v>
      </c>
      <c r="G59" s="187">
        <f t="shared" si="46"/>
        <v>825</v>
      </c>
      <c r="H59" s="526"/>
      <c r="I59" s="188">
        <f t="shared" si="47"/>
        <v>4</v>
      </c>
      <c r="J59" s="188">
        <f t="shared" si="47"/>
        <v>2956.5415204620626</v>
      </c>
      <c r="K59" s="189">
        <f t="shared" si="47"/>
        <v>739.13538011551566</v>
      </c>
      <c r="L59" s="527"/>
      <c r="M59" s="188">
        <f>RANK(K59, K$45:$K$77)</f>
        <v>15</v>
      </c>
      <c r="N59" s="529"/>
      <c r="O59" s="530"/>
      <c r="P59" s="190">
        <v>4</v>
      </c>
      <c r="Q59" s="190">
        <v>2956.2784645413167</v>
      </c>
      <c r="R59" s="187">
        <f t="shared" si="44"/>
        <v>739.06961613532917</v>
      </c>
      <c r="S59" s="184">
        <f t="shared" si="48"/>
        <v>15</v>
      </c>
      <c r="T59" s="528"/>
      <c r="U59" s="190">
        <v>4</v>
      </c>
      <c r="V59" s="190">
        <v>2956.4222326015883</v>
      </c>
      <c r="W59" s="187">
        <f t="shared" si="45"/>
        <v>739.10555815039709</v>
      </c>
      <c r="X59" s="184">
        <f t="shared" si="49"/>
        <v>15</v>
      </c>
      <c r="Y59" s="528"/>
      <c r="Z59" s="190">
        <v>4</v>
      </c>
      <c r="AA59" s="190">
        <v>2956.4585226535119</v>
      </c>
      <c r="AB59" s="187">
        <f t="shared" si="50"/>
        <v>739.11463066337797</v>
      </c>
      <c r="AC59" s="184">
        <f t="shared" si="51"/>
        <v>15</v>
      </c>
      <c r="AD59" s="528"/>
      <c r="AE59" s="190">
        <v>4</v>
      </c>
      <c r="AF59" s="190">
        <v>2956.6448510751957</v>
      </c>
      <c r="AG59" s="187">
        <f t="shared" si="52"/>
        <v>739.16121276879892</v>
      </c>
      <c r="AH59" s="184">
        <f t="shared" si="53"/>
        <v>15</v>
      </c>
      <c r="AI59" s="528"/>
      <c r="AJ59" s="190">
        <v>4</v>
      </c>
      <c r="AK59" s="190">
        <v>2956.6298990847213</v>
      </c>
      <c r="AL59" s="187">
        <f t="shared" si="54"/>
        <v>739.15747477118032</v>
      </c>
      <c r="AM59" s="184">
        <f t="shared" si="55"/>
        <v>15</v>
      </c>
      <c r="AN59" s="528"/>
      <c r="AO59" s="190">
        <v>4</v>
      </c>
      <c r="AP59" s="190">
        <v>2956.5309360126903</v>
      </c>
      <c r="AQ59" s="187">
        <f t="shared" si="56"/>
        <v>739.13273400317257</v>
      </c>
      <c r="AR59" s="184">
        <f t="shared" si="57"/>
        <v>15</v>
      </c>
      <c r="AS59" s="528"/>
      <c r="AT59" s="190">
        <v>4</v>
      </c>
      <c r="AU59" s="190">
        <v>2956.8257372654166</v>
      </c>
      <c r="AV59" s="187">
        <f t="shared" si="58"/>
        <v>739.20643431635415</v>
      </c>
      <c r="AW59" s="184">
        <f t="shared" si="59"/>
        <v>15</v>
      </c>
      <c r="AX59" s="528"/>
    </row>
    <row r="60" spans="2:50" ht="14.25" customHeight="1">
      <c r="B60" s="514"/>
      <c r="C60" s="182">
        <v>16</v>
      </c>
      <c r="D60" s="185" t="s">
        <v>420</v>
      </c>
      <c r="E60" s="186">
        <v>3</v>
      </c>
      <c r="F60" s="182">
        <v>3600</v>
      </c>
      <c r="G60" s="187">
        <f t="shared" si="46"/>
        <v>1200</v>
      </c>
      <c r="H60" s="526"/>
      <c r="I60" s="188">
        <f t="shared" si="47"/>
        <v>3</v>
      </c>
      <c r="J60" s="188">
        <f t="shared" si="47"/>
        <v>3130.2514718897255</v>
      </c>
      <c r="K60" s="189">
        <f t="shared" si="47"/>
        <v>1043.4171572965752</v>
      </c>
      <c r="L60" s="527"/>
      <c r="M60" s="188">
        <f>RANK(K60, K$45:$K$77)</f>
        <v>6</v>
      </c>
      <c r="N60" s="529"/>
      <c r="O60" s="530"/>
      <c r="P60" s="190">
        <v>3</v>
      </c>
      <c r="Q60" s="190">
        <v>3129.2584863294142</v>
      </c>
      <c r="R60" s="187">
        <f t="shared" si="44"/>
        <v>1043.0861621098047</v>
      </c>
      <c r="S60" s="184">
        <f t="shared" si="48"/>
        <v>4</v>
      </c>
      <c r="T60" s="528"/>
      <c r="U60" s="190">
        <v>3</v>
      </c>
      <c r="V60" s="190">
        <v>3129.4296969474299</v>
      </c>
      <c r="W60" s="187">
        <f t="shared" si="45"/>
        <v>1043.1432323158099</v>
      </c>
      <c r="X60" s="184">
        <f t="shared" si="49"/>
        <v>3</v>
      </c>
      <c r="Y60" s="528"/>
      <c r="Z60" s="190">
        <v>3</v>
      </c>
      <c r="AA60" s="190">
        <v>3130.3697689708561</v>
      </c>
      <c r="AB60" s="187">
        <f t="shared" si="50"/>
        <v>1043.456589656952</v>
      </c>
      <c r="AC60" s="184">
        <f t="shared" si="51"/>
        <v>4</v>
      </c>
      <c r="AD60" s="528"/>
      <c r="AE60" s="190">
        <v>3</v>
      </c>
      <c r="AF60" s="190">
        <v>3130.326737229635</v>
      </c>
      <c r="AG60" s="187">
        <f t="shared" si="52"/>
        <v>1043.4422457432117</v>
      </c>
      <c r="AH60" s="184">
        <f t="shared" si="53"/>
        <v>6</v>
      </c>
      <c r="AI60" s="528"/>
      <c r="AJ60" s="190">
        <v>3</v>
      </c>
      <c r="AK60" s="190">
        <v>3130.4958190067387</v>
      </c>
      <c r="AL60" s="187">
        <f t="shared" si="54"/>
        <v>1043.4986063355796</v>
      </c>
      <c r="AM60" s="184">
        <f t="shared" si="55"/>
        <v>6</v>
      </c>
      <c r="AN60" s="528"/>
      <c r="AO60" s="190">
        <v>3</v>
      </c>
      <c r="AP60" s="190">
        <v>3130.9926218617011</v>
      </c>
      <c r="AQ60" s="187">
        <f t="shared" si="56"/>
        <v>1043.6642072872337</v>
      </c>
      <c r="AR60" s="184">
        <f t="shared" si="57"/>
        <v>6</v>
      </c>
      <c r="AS60" s="528"/>
      <c r="AT60" s="190">
        <v>3</v>
      </c>
      <c r="AU60" s="190">
        <v>3130.8871728823028</v>
      </c>
      <c r="AV60" s="187">
        <f t="shared" si="58"/>
        <v>1043.6290576274343</v>
      </c>
      <c r="AW60" s="184">
        <f t="shared" si="59"/>
        <v>6</v>
      </c>
      <c r="AX60" s="528"/>
    </row>
    <row r="61" spans="2:50" ht="14.25" customHeight="1">
      <c r="B61" s="514"/>
      <c r="C61" s="182">
        <v>17</v>
      </c>
      <c r="D61" s="185" t="s">
        <v>422</v>
      </c>
      <c r="E61" s="186">
        <v>4</v>
      </c>
      <c r="F61" s="182">
        <v>3300</v>
      </c>
      <c r="G61" s="187">
        <f t="shared" si="46"/>
        <v>825</v>
      </c>
      <c r="H61" s="526"/>
      <c r="I61" s="188">
        <f t="shared" si="47"/>
        <v>4</v>
      </c>
      <c r="J61" s="188">
        <f t="shared" si="47"/>
        <v>2958.8785900551075</v>
      </c>
      <c r="K61" s="189">
        <f t="shared" si="47"/>
        <v>739.71964751377686</v>
      </c>
      <c r="L61" s="527"/>
      <c r="M61" s="188">
        <f>RANK(K61, K$45:$K$77)</f>
        <v>14</v>
      </c>
      <c r="N61" s="529"/>
      <c r="O61" s="530"/>
      <c r="P61" s="190">
        <v>4</v>
      </c>
      <c r="Q61" s="190">
        <v>2958.7259891643412</v>
      </c>
      <c r="R61" s="187">
        <f t="shared" si="44"/>
        <v>739.68149729108529</v>
      </c>
      <c r="S61" s="184">
        <f t="shared" si="48"/>
        <v>14</v>
      </c>
      <c r="T61" s="528"/>
      <c r="U61" s="190">
        <v>4</v>
      </c>
      <c r="V61" s="190">
        <v>2958.6967945349447</v>
      </c>
      <c r="W61" s="187">
        <f t="shared" si="45"/>
        <v>739.67419863373618</v>
      </c>
      <c r="X61" s="184">
        <f t="shared" si="49"/>
        <v>13</v>
      </c>
      <c r="Y61" s="528"/>
      <c r="Z61" s="190">
        <v>4</v>
      </c>
      <c r="AA61" s="190">
        <v>2958.6764140053865</v>
      </c>
      <c r="AB61" s="187">
        <f t="shared" si="50"/>
        <v>739.66910350134663</v>
      </c>
      <c r="AC61" s="184">
        <f t="shared" si="51"/>
        <v>13</v>
      </c>
      <c r="AD61" s="528"/>
      <c r="AE61" s="190">
        <v>4</v>
      </c>
      <c r="AF61" s="190">
        <v>2958.9733306597154</v>
      </c>
      <c r="AG61" s="187">
        <f t="shared" si="52"/>
        <v>739.74333266492886</v>
      </c>
      <c r="AH61" s="184">
        <f t="shared" si="53"/>
        <v>13</v>
      </c>
      <c r="AI61" s="528"/>
      <c r="AJ61" s="190">
        <v>4</v>
      </c>
      <c r="AK61" s="190">
        <v>2958.9473684210479</v>
      </c>
      <c r="AL61" s="187">
        <f t="shared" si="54"/>
        <v>739.73684210526199</v>
      </c>
      <c r="AM61" s="184">
        <f t="shared" si="55"/>
        <v>14</v>
      </c>
      <c r="AN61" s="528"/>
      <c r="AO61" s="190">
        <v>4</v>
      </c>
      <c r="AP61" s="190">
        <v>2958.7933247753522</v>
      </c>
      <c r="AQ61" s="187">
        <f t="shared" si="56"/>
        <v>739.69833119383804</v>
      </c>
      <c r="AR61" s="184">
        <f t="shared" si="57"/>
        <v>14</v>
      </c>
      <c r="AS61" s="528"/>
      <c r="AT61" s="190">
        <v>4</v>
      </c>
      <c r="AU61" s="190">
        <v>2959.3369088249624</v>
      </c>
      <c r="AV61" s="187">
        <f t="shared" si="58"/>
        <v>739.8342272062406</v>
      </c>
      <c r="AW61" s="184">
        <f t="shared" si="59"/>
        <v>14</v>
      </c>
      <c r="AX61" s="528"/>
    </row>
    <row r="62" spans="2:50" ht="14.25" customHeight="1">
      <c r="B62" s="514"/>
      <c r="C62" s="182">
        <v>18</v>
      </c>
      <c r="D62" s="185" t="s">
        <v>354</v>
      </c>
      <c r="E62" s="186">
        <v>5</v>
      </c>
      <c r="F62" s="182">
        <v>3300</v>
      </c>
      <c r="G62" s="187">
        <f t="shared" si="46"/>
        <v>660</v>
      </c>
      <c r="H62" s="526"/>
      <c r="I62" s="188">
        <f t="shared" si="47"/>
        <v>5</v>
      </c>
      <c r="J62" s="188">
        <f t="shared" si="47"/>
        <v>2955.2883229916633</v>
      </c>
      <c r="K62" s="189">
        <f t="shared" si="47"/>
        <v>591.05766459833274</v>
      </c>
      <c r="L62" s="527"/>
      <c r="M62" s="188">
        <f>RANK(K62, K$45:$K$77)</f>
        <v>26</v>
      </c>
      <c r="N62" s="529"/>
      <c r="O62" s="530"/>
      <c r="P62" s="190">
        <v>5</v>
      </c>
      <c r="Q62" s="190">
        <v>2954.028670291651</v>
      </c>
      <c r="R62" s="187">
        <f t="shared" si="44"/>
        <v>590.80573405833024</v>
      </c>
      <c r="S62" s="184">
        <f t="shared" si="48"/>
        <v>26</v>
      </c>
      <c r="T62" s="528"/>
      <c r="U62" s="190">
        <v>5</v>
      </c>
      <c r="V62" s="190">
        <v>2954.4072948328389</v>
      </c>
      <c r="W62" s="187">
        <f t="shared" si="45"/>
        <v>590.88145896656783</v>
      </c>
      <c r="X62" s="184">
        <f t="shared" si="49"/>
        <v>26</v>
      </c>
      <c r="Y62" s="528"/>
      <c r="Z62" s="190">
        <v>5</v>
      </c>
      <c r="AA62" s="190">
        <v>2954.1463414634136</v>
      </c>
      <c r="AB62" s="187">
        <f t="shared" si="50"/>
        <v>590.82926829268274</v>
      </c>
      <c r="AC62" s="184">
        <f t="shared" si="51"/>
        <v>26</v>
      </c>
      <c r="AD62" s="528"/>
      <c r="AE62" s="190">
        <v>5</v>
      </c>
      <c r="AF62" s="190">
        <v>2954.2403904820121</v>
      </c>
      <c r="AG62" s="187">
        <f t="shared" si="52"/>
        <v>590.84807809640245</v>
      </c>
      <c r="AH62" s="184">
        <f t="shared" si="53"/>
        <v>26</v>
      </c>
      <c r="AI62" s="528"/>
      <c r="AJ62" s="190">
        <v>5</v>
      </c>
      <c r="AK62" s="190">
        <v>2956.0344827586273</v>
      </c>
      <c r="AL62" s="187">
        <f t="shared" si="54"/>
        <v>591.20689655172544</v>
      </c>
      <c r="AM62" s="184">
        <f t="shared" si="55"/>
        <v>25</v>
      </c>
      <c r="AN62" s="528"/>
      <c r="AO62" s="190">
        <v>5</v>
      </c>
      <c r="AP62" s="190">
        <v>2956.6336633663423</v>
      </c>
      <c r="AQ62" s="187">
        <f t="shared" si="56"/>
        <v>591.32673267326845</v>
      </c>
      <c r="AR62" s="184">
        <f t="shared" si="57"/>
        <v>25</v>
      </c>
      <c r="AS62" s="528"/>
      <c r="AT62" s="190">
        <v>5</v>
      </c>
      <c r="AU62" s="190">
        <v>2957.5274177467595</v>
      </c>
      <c r="AV62" s="187">
        <f t="shared" si="58"/>
        <v>591.50548354935188</v>
      </c>
      <c r="AW62" s="184">
        <f t="shared" si="59"/>
        <v>25</v>
      </c>
      <c r="AX62" s="528"/>
    </row>
    <row r="63" spans="2:50" ht="14.25" customHeight="1">
      <c r="B63" s="514"/>
      <c r="C63" s="182">
        <v>19</v>
      </c>
      <c r="D63" s="185" t="s">
        <v>415</v>
      </c>
      <c r="E63" s="186">
        <v>3</v>
      </c>
      <c r="F63" s="182">
        <v>3600</v>
      </c>
      <c r="G63" s="187">
        <f t="shared" si="46"/>
        <v>1200</v>
      </c>
      <c r="H63" s="526"/>
      <c r="I63" s="188">
        <f t="shared" si="47"/>
        <v>3</v>
      </c>
      <c r="J63" s="188">
        <f t="shared" si="47"/>
        <v>3131.228734006344</v>
      </c>
      <c r="K63" s="189">
        <f t="shared" si="47"/>
        <v>1043.7429113354481</v>
      </c>
      <c r="L63" s="527"/>
      <c r="M63" s="188">
        <f>RANK(K63, K$45:$K$77)</f>
        <v>3</v>
      </c>
      <c r="N63" s="529"/>
      <c r="O63" s="530"/>
      <c r="P63" s="190">
        <v>3</v>
      </c>
      <c r="Q63" s="190">
        <v>3128.7261584218613</v>
      </c>
      <c r="R63" s="187">
        <f t="shared" si="44"/>
        <v>1042.9087194739539</v>
      </c>
      <c r="S63" s="184">
        <f t="shared" si="48"/>
        <v>5</v>
      </c>
      <c r="T63" s="528"/>
      <c r="U63" s="190">
        <v>3</v>
      </c>
      <c r="V63" s="190">
        <v>3128.7848661287635</v>
      </c>
      <c r="W63" s="187">
        <f t="shared" si="45"/>
        <v>1042.9282887095878</v>
      </c>
      <c r="X63" s="184">
        <f t="shared" si="49"/>
        <v>5</v>
      </c>
      <c r="Y63" s="528"/>
      <c r="Z63" s="190">
        <v>3</v>
      </c>
      <c r="AA63" s="190">
        <v>3130.2995391705049</v>
      </c>
      <c r="AB63" s="187">
        <f t="shared" si="50"/>
        <v>1043.4331797235016</v>
      </c>
      <c r="AC63" s="184">
        <f t="shared" si="51"/>
        <v>6</v>
      </c>
      <c r="AD63" s="528"/>
      <c r="AE63" s="190">
        <v>3</v>
      </c>
      <c r="AF63" s="190">
        <v>3130.4347826086946</v>
      </c>
      <c r="AG63" s="187">
        <f t="shared" si="52"/>
        <v>1043.4782608695648</v>
      </c>
      <c r="AH63" s="184">
        <f t="shared" si="53"/>
        <v>5</v>
      </c>
      <c r="AI63" s="528"/>
      <c r="AJ63" s="190">
        <v>3</v>
      </c>
      <c r="AK63" s="190">
        <v>3132.3074405501793</v>
      </c>
      <c r="AL63" s="187">
        <f t="shared" si="54"/>
        <v>1044.102480183393</v>
      </c>
      <c r="AM63" s="184">
        <f t="shared" si="55"/>
        <v>3</v>
      </c>
      <c r="AN63" s="528"/>
      <c r="AO63" s="190">
        <v>3</v>
      </c>
      <c r="AP63" s="190">
        <v>3133.5483562691061</v>
      </c>
      <c r="AQ63" s="187">
        <f t="shared" si="56"/>
        <v>1044.5161187563688</v>
      </c>
      <c r="AR63" s="184">
        <f t="shared" si="57"/>
        <v>3</v>
      </c>
      <c r="AS63" s="528"/>
      <c r="AT63" s="190">
        <v>3</v>
      </c>
      <c r="AU63" s="190">
        <v>3134.4999948952982</v>
      </c>
      <c r="AV63" s="187">
        <f t="shared" si="58"/>
        <v>1044.833331631766</v>
      </c>
      <c r="AW63" s="184">
        <f t="shared" si="59"/>
        <v>3</v>
      </c>
      <c r="AX63" s="528"/>
    </row>
    <row r="64" spans="2:50" ht="14.25" customHeight="1">
      <c r="B64" s="514"/>
      <c r="C64" s="182">
        <v>20</v>
      </c>
      <c r="D64" s="185" t="s">
        <v>419</v>
      </c>
      <c r="E64" s="186">
        <v>3</v>
      </c>
      <c r="F64" s="182">
        <v>3600</v>
      </c>
      <c r="G64" s="187">
        <f t="shared" si="46"/>
        <v>1200</v>
      </c>
      <c r="H64" s="526"/>
      <c r="I64" s="188">
        <f t="shared" si="47"/>
        <v>3</v>
      </c>
      <c r="J64" s="188">
        <f t="shared" si="47"/>
        <v>3136.3145953318713</v>
      </c>
      <c r="K64" s="189">
        <f t="shared" si="47"/>
        <v>1045.4381984439572</v>
      </c>
      <c r="L64" s="527"/>
      <c r="M64" s="188">
        <f>RANK(K64, K$45:$K$77)</f>
        <v>2</v>
      </c>
      <c r="N64" s="529"/>
      <c r="O64" s="530"/>
      <c r="P64" s="190">
        <v>3</v>
      </c>
      <c r="Q64" s="190">
        <v>3135.5648535564774</v>
      </c>
      <c r="R64" s="187">
        <f t="shared" si="44"/>
        <v>1045.1882845188259</v>
      </c>
      <c r="S64" s="184">
        <f t="shared" si="48"/>
        <v>1</v>
      </c>
      <c r="T64" s="528"/>
      <c r="U64" s="190">
        <v>3</v>
      </c>
      <c r="V64" s="190">
        <v>3135.1578947368371</v>
      </c>
      <c r="W64" s="187">
        <f t="shared" si="45"/>
        <v>1045.0526315789457</v>
      </c>
      <c r="X64" s="184">
        <f t="shared" si="49"/>
        <v>1</v>
      </c>
      <c r="Y64" s="528"/>
      <c r="Z64" s="190">
        <v>3</v>
      </c>
      <c r="AA64" s="190">
        <v>3135.7528957529084</v>
      </c>
      <c r="AB64" s="187">
        <f t="shared" si="50"/>
        <v>1045.2509652509696</v>
      </c>
      <c r="AC64" s="184">
        <f t="shared" si="51"/>
        <v>1</v>
      </c>
      <c r="AD64" s="528"/>
      <c r="AE64" s="190">
        <v>3</v>
      </c>
      <c r="AF64" s="190">
        <v>3136.6956521739289</v>
      </c>
      <c r="AG64" s="187">
        <f t="shared" si="52"/>
        <v>1045.5652173913097</v>
      </c>
      <c r="AH64" s="184">
        <f t="shared" si="53"/>
        <v>1</v>
      </c>
      <c r="AI64" s="528"/>
      <c r="AJ64" s="190">
        <v>3</v>
      </c>
      <c r="AK64" s="190">
        <v>3136.3847944142667</v>
      </c>
      <c r="AL64" s="187">
        <f t="shared" si="54"/>
        <v>1045.4615981380889</v>
      </c>
      <c r="AM64" s="184">
        <f t="shared" si="55"/>
        <v>2</v>
      </c>
      <c r="AN64" s="528"/>
      <c r="AO64" s="190">
        <v>3</v>
      </c>
      <c r="AP64" s="190">
        <v>3137.4301675977649</v>
      </c>
      <c r="AQ64" s="187">
        <f t="shared" si="56"/>
        <v>1045.8100558659216</v>
      </c>
      <c r="AR64" s="184">
        <f t="shared" si="57"/>
        <v>2</v>
      </c>
      <c r="AS64" s="528"/>
      <c r="AT64" s="190">
        <v>3</v>
      </c>
      <c r="AU64" s="190">
        <v>3137.2159090909172</v>
      </c>
      <c r="AV64" s="187">
        <f t="shared" si="58"/>
        <v>1045.738636363639</v>
      </c>
      <c r="AW64" s="184">
        <f t="shared" si="59"/>
        <v>2</v>
      </c>
      <c r="AX64" s="528"/>
    </row>
    <row r="65" spans="2:50" ht="14.25" customHeight="1">
      <c r="B65" s="514"/>
      <c r="C65" s="182">
        <v>21</v>
      </c>
      <c r="D65" s="185" t="s">
        <v>418</v>
      </c>
      <c r="E65" s="186">
        <v>4</v>
      </c>
      <c r="F65" s="182">
        <v>3300</v>
      </c>
      <c r="G65" s="187">
        <f t="shared" si="46"/>
        <v>825</v>
      </c>
      <c r="H65" s="526"/>
      <c r="I65" s="188">
        <f t="shared" si="47"/>
        <v>4</v>
      </c>
      <c r="J65" s="188">
        <f t="shared" si="47"/>
        <v>2928.3159496638159</v>
      </c>
      <c r="K65" s="189">
        <f t="shared" si="47"/>
        <v>732.07898741595397</v>
      </c>
      <c r="L65" s="527"/>
      <c r="M65" s="188">
        <f>RANK(K65, K$45:$K$77)</f>
        <v>18</v>
      </c>
      <c r="N65" s="529"/>
      <c r="O65" s="530"/>
      <c r="P65" s="190">
        <v>4</v>
      </c>
      <c r="Q65" s="190">
        <v>2928.4752475247469</v>
      </c>
      <c r="R65" s="187">
        <f t="shared" si="44"/>
        <v>732.11881188118673</v>
      </c>
      <c r="S65" s="184">
        <f t="shared" si="48"/>
        <v>19</v>
      </c>
      <c r="T65" s="528"/>
      <c r="U65" s="190">
        <v>4</v>
      </c>
      <c r="V65" s="190">
        <v>2928.7128712871345</v>
      </c>
      <c r="W65" s="187">
        <f t="shared" si="45"/>
        <v>732.17821782178362</v>
      </c>
      <c r="X65" s="184">
        <f t="shared" si="49"/>
        <v>18</v>
      </c>
      <c r="Y65" s="528"/>
      <c r="Z65" s="190">
        <v>4</v>
      </c>
      <c r="AA65" s="190">
        <v>2928.7292817679509</v>
      </c>
      <c r="AB65" s="187">
        <f t="shared" si="50"/>
        <v>732.18232044198771</v>
      </c>
      <c r="AC65" s="184">
        <f t="shared" si="51"/>
        <v>18</v>
      </c>
      <c r="AD65" s="528"/>
      <c r="AE65" s="190">
        <v>4</v>
      </c>
      <c r="AF65" s="190">
        <v>2928.2208588957074</v>
      </c>
      <c r="AG65" s="187">
        <f t="shared" si="52"/>
        <v>732.05521472392684</v>
      </c>
      <c r="AH65" s="184">
        <f t="shared" si="53"/>
        <v>19</v>
      </c>
      <c r="AI65" s="528"/>
      <c r="AJ65" s="190">
        <v>4</v>
      </c>
      <c r="AK65" s="190">
        <v>2928.4497444633662</v>
      </c>
      <c r="AL65" s="187">
        <f t="shared" si="54"/>
        <v>732.11243611584155</v>
      </c>
      <c r="AM65" s="184">
        <f t="shared" si="55"/>
        <v>18</v>
      </c>
      <c r="AN65" s="528"/>
      <c r="AO65" s="190">
        <v>4</v>
      </c>
      <c r="AP65" s="190">
        <v>2927.6429130775336</v>
      </c>
      <c r="AQ65" s="187">
        <f t="shared" si="56"/>
        <v>731.91072826938341</v>
      </c>
      <c r="AR65" s="184">
        <f t="shared" si="57"/>
        <v>21</v>
      </c>
      <c r="AS65" s="528"/>
      <c r="AT65" s="190">
        <v>4</v>
      </c>
      <c r="AU65" s="190">
        <v>2927.9807306302773</v>
      </c>
      <c r="AV65" s="187">
        <f t="shared" si="58"/>
        <v>731.99518265756933</v>
      </c>
      <c r="AW65" s="184">
        <f t="shared" si="59"/>
        <v>20</v>
      </c>
      <c r="AX65" s="528"/>
    </row>
    <row r="66" spans="2:50" ht="14.25" customHeight="1">
      <c r="B66" s="514"/>
      <c r="C66" s="182">
        <v>22</v>
      </c>
      <c r="D66" s="185" t="s">
        <v>414</v>
      </c>
      <c r="E66" s="186">
        <v>4</v>
      </c>
      <c r="F66" s="182">
        <v>3300</v>
      </c>
      <c r="G66" s="187">
        <f>F66/E66</f>
        <v>825</v>
      </c>
      <c r="H66" s="526"/>
      <c r="I66" s="188">
        <f t="shared" si="47"/>
        <v>4</v>
      </c>
      <c r="J66" s="188">
        <f t="shared" si="47"/>
        <v>2928.2609422864625</v>
      </c>
      <c r="K66" s="189">
        <f t="shared" si="47"/>
        <v>732.06523557161563</v>
      </c>
      <c r="L66" s="527"/>
      <c r="M66" s="188">
        <f>RANK(K66, K$45:$K$77)</f>
        <v>19</v>
      </c>
      <c r="N66" s="529"/>
      <c r="O66" s="530"/>
      <c r="P66" s="190">
        <v>4</v>
      </c>
      <c r="Q66" s="190">
        <v>2928.3829395520115</v>
      </c>
      <c r="R66" s="187">
        <f t="shared" si="44"/>
        <v>732.09573488800288</v>
      </c>
      <c r="S66" s="184">
        <f t="shared" si="48"/>
        <v>20</v>
      </c>
      <c r="T66" s="528"/>
      <c r="U66" s="190">
        <v>4</v>
      </c>
      <c r="V66" s="190">
        <v>2928.4793814432996</v>
      </c>
      <c r="W66" s="187">
        <f t="shared" si="45"/>
        <v>732.11984536082491</v>
      </c>
      <c r="X66" s="184">
        <f t="shared" si="49"/>
        <v>19</v>
      </c>
      <c r="Y66" s="528"/>
      <c r="Z66" s="190">
        <v>4</v>
      </c>
      <c r="AA66" s="190">
        <v>2928.1163434903106</v>
      </c>
      <c r="AB66" s="187">
        <f t="shared" si="50"/>
        <v>732.02908587257764</v>
      </c>
      <c r="AC66" s="184">
        <f t="shared" si="51"/>
        <v>20</v>
      </c>
      <c r="AD66" s="528"/>
      <c r="AE66" s="190">
        <v>4</v>
      </c>
      <c r="AF66" s="190">
        <v>2928.6087280865349</v>
      </c>
      <c r="AG66" s="187">
        <f t="shared" si="52"/>
        <v>732.15218202163373</v>
      </c>
      <c r="AH66" s="184">
        <f t="shared" si="53"/>
        <v>18</v>
      </c>
      <c r="AI66" s="528"/>
      <c r="AJ66" s="190">
        <v>4</v>
      </c>
      <c r="AK66" s="190">
        <v>2928.0622164614424</v>
      </c>
      <c r="AL66" s="187">
        <f t="shared" si="54"/>
        <v>732.0155541153606</v>
      </c>
      <c r="AM66" s="184">
        <f t="shared" si="55"/>
        <v>20</v>
      </c>
      <c r="AN66" s="528"/>
      <c r="AO66" s="190">
        <v>4</v>
      </c>
      <c r="AP66" s="190">
        <v>2928.0432822362554</v>
      </c>
      <c r="AQ66" s="187">
        <f t="shared" si="56"/>
        <v>732.01082055906386</v>
      </c>
      <c r="AR66" s="184">
        <f t="shared" si="57"/>
        <v>19</v>
      </c>
      <c r="AS66" s="528"/>
      <c r="AT66" s="190">
        <v>4</v>
      </c>
      <c r="AU66" s="190">
        <v>2928.1337047353791</v>
      </c>
      <c r="AV66" s="187">
        <f t="shared" si="58"/>
        <v>732.03342618384477</v>
      </c>
      <c r="AW66" s="184">
        <f t="shared" si="59"/>
        <v>19</v>
      </c>
      <c r="AX66" s="528"/>
    </row>
    <row r="67" spans="2:50" ht="14.25" customHeight="1">
      <c r="B67" s="514"/>
      <c r="C67" s="182">
        <v>23</v>
      </c>
      <c r="D67" s="185" t="s">
        <v>417</v>
      </c>
      <c r="E67" s="186">
        <v>4</v>
      </c>
      <c r="F67" s="182">
        <v>3000</v>
      </c>
      <c r="G67" s="187">
        <f t="shared" ref="G67:G73" si="60">F67/E67</f>
        <v>750</v>
      </c>
      <c r="H67" s="526"/>
      <c r="I67" s="188">
        <f t="shared" si="47"/>
        <v>4</v>
      </c>
      <c r="J67" s="188">
        <f t="shared" si="47"/>
        <v>2690.7221810926458</v>
      </c>
      <c r="K67" s="189">
        <f t="shared" si="47"/>
        <v>672.68054527316144</v>
      </c>
      <c r="L67" s="527"/>
      <c r="M67" s="188">
        <f>RANK(K67, K$45:$K$77)</f>
        <v>22</v>
      </c>
      <c r="N67" s="529"/>
      <c r="O67" s="530"/>
      <c r="P67" s="190">
        <v>4</v>
      </c>
      <c r="Q67" s="190">
        <v>2690.6474820143803</v>
      </c>
      <c r="R67" s="187">
        <f t="shared" si="44"/>
        <v>672.66187050359508</v>
      </c>
      <c r="S67" s="184">
        <f t="shared" si="48"/>
        <v>22</v>
      </c>
      <c r="T67" s="528"/>
      <c r="U67" s="190">
        <v>4</v>
      </c>
      <c r="V67" s="190">
        <v>2690.2904564315359</v>
      </c>
      <c r="W67" s="187">
        <f t="shared" si="45"/>
        <v>672.57261410788396</v>
      </c>
      <c r="X67" s="184">
        <f t="shared" si="49"/>
        <v>22</v>
      </c>
      <c r="Y67" s="528"/>
      <c r="Z67" s="190">
        <v>4</v>
      </c>
      <c r="AA67" s="190">
        <v>2690.1789611523386</v>
      </c>
      <c r="AB67" s="187">
        <f t="shared" si="50"/>
        <v>672.54474028808465</v>
      </c>
      <c r="AC67" s="184">
        <f t="shared" si="51"/>
        <v>22</v>
      </c>
      <c r="AD67" s="528"/>
      <c r="AE67" s="190">
        <v>4</v>
      </c>
      <c r="AF67" s="190">
        <v>2690.927419354839</v>
      </c>
      <c r="AG67" s="187">
        <f t="shared" si="52"/>
        <v>672.73185483870975</v>
      </c>
      <c r="AH67" s="184">
        <f t="shared" si="53"/>
        <v>22</v>
      </c>
      <c r="AI67" s="528"/>
      <c r="AJ67" s="190">
        <v>4</v>
      </c>
      <c r="AK67" s="190">
        <v>2690.625000000005</v>
      </c>
      <c r="AL67" s="187">
        <f t="shared" si="54"/>
        <v>672.65625000000125</v>
      </c>
      <c r="AM67" s="184">
        <f t="shared" si="55"/>
        <v>22</v>
      </c>
      <c r="AN67" s="528"/>
      <c r="AO67" s="190">
        <v>4</v>
      </c>
      <c r="AP67" s="190">
        <v>2691.152182461652</v>
      </c>
      <c r="AQ67" s="187">
        <f t="shared" si="56"/>
        <v>672.78804561541301</v>
      </c>
      <c r="AR67" s="184">
        <f t="shared" si="57"/>
        <v>22</v>
      </c>
      <c r="AS67" s="528"/>
      <c r="AT67" s="190">
        <v>4</v>
      </c>
      <c r="AU67" s="190">
        <v>2691.2337662337686</v>
      </c>
      <c r="AV67" s="187">
        <f t="shared" si="58"/>
        <v>672.80844155844215</v>
      </c>
      <c r="AW67" s="184">
        <f t="shared" si="59"/>
        <v>22</v>
      </c>
      <c r="AX67" s="528"/>
    </row>
    <row r="68" spans="2:50" ht="14.25" customHeight="1">
      <c r="B68" s="514"/>
      <c r="C68" s="182">
        <v>24</v>
      </c>
      <c r="D68" s="185" t="s">
        <v>416</v>
      </c>
      <c r="E68" s="186">
        <v>4</v>
      </c>
      <c r="F68" s="182">
        <v>3300</v>
      </c>
      <c r="G68" s="187">
        <f t="shared" si="60"/>
        <v>825</v>
      </c>
      <c r="H68" s="526"/>
      <c r="I68" s="188">
        <f t="shared" si="47"/>
        <v>4</v>
      </c>
      <c r="J68" s="188">
        <f t="shared" si="47"/>
        <v>2961.4274401724469</v>
      </c>
      <c r="K68" s="189">
        <f t="shared" si="47"/>
        <v>740.35686004311174</v>
      </c>
      <c r="L68" s="527"/>
      <c r="M68" s="188">
        <f>RANK(K68, K$45:$K$77)</f>
        <v>12</v>
      </c>
      <c r="N68" s="529"/>
      <c r="O68" s="530"/>
      <c r="P68" s="190">
        <v>4</v>
      </c>
      <c r="Q68" s="190">
        <v>2960.6765327695539</v>
      </c>
      <c r="R68" s="187">
        <f t="shared" si="44"/>
        <v>740.16913319238847</v>
      </c>
      <c r="S68" s="184">
        <f t="shared" si="48"/>
        <v>12</v>
      </c>
      <c r="T68" s="528"/>
      <c r="U68" s="190">
        <v>4</v>
      </c>
      <c r="V68" s="190">
        <v>2960.1713062098538</v>
      </c>
      <c r="W68" s="187">
        <f t="shared" si="45"/>
        <v>740.04282655246345</v>
      </c>
      <c r="X68" s="184">
        <f t="shared" si="49"/>
        <v>12</v>
      </c>
      <c r="Y68" s="528"/>
      <c r="Z68" s="190">
        <v>4</v>
      </c>
      <c r="AA68" s="190">
        <v>2960.1895734597015</v>
      </c>
      <c r="AB68" s="187">
        <f t="shared" si="50"/>
        <v>740.04739336492537</v>
      </c>
      <c r="AC68" s="184">
        <f t="shared" si="51"/>
        <v>12</v>
      </c>
      <c r="AD68" s="528"/>
      <c r="AE68" s="190">
        <v>4</v>
      </c>
      <c r="AF68" s="190">
        <v>2961.8906942393178</v>
      </c>
      <c r="AG68" s="187">
        <f t="shared" si="52"/>
        <v>740.47267355982945</v>
      </c>
      <c r="AH68" s="184">
        <f t="shared" si="53"/>
        <v>12</v>
      </c>
      <c r="AI68" s="528"/>
      <c r="AJ68" s="190">
        <v>4</v>
      </c>
      <c r="AK68" s="190">
        <v>2961.4395886889333</v>
      </c>
      <c r="AL68" s="187">
        <f t="shared" si="54"/>
        <v>740.35989717223333</v>
      </c>
      <c r="AM68" s="184">
        <f t="shared" si="55"/>
        <v>12</v>
      </c>
      <c r="AN68" s="528"/>
      <c r="AO68" s="190">
        <v>4</v>
      </c>
      <c r="AP68" s="190">
        <v>2962.3318385650159</v>
      </c>
      <c r="AQ68" s="187">
        <f t="shared" si="56"/>
        <v>740.58295964125398</v>
      </c>
      <c r="AR68" s="184">
        <f t="shared" si="57"/>
        <v>12</v>
      </c>
      <c r="AS68" s="528"/>
      <c r="AT68" s="190">
        <v>4</v>
      </c>
      <c r="AU68" s="190">
        <v>2963.2925472747502</v>
      </c>
      <c r="AV68" s="187">
        <f t="shared" si="58"/>
        <v>740.82313681868754</v>
      </c>
      <c r="AW68" s="184">
        <f t="shared" si="59"/>
        <v>12</v>
      </c>
      <c r="AX68" s="528"/>
    </row>
    <row r="69" spans="2:50" ht="14.25" customHeight="1">
      <c r="B69" s="514"/>
      <c r="C69" s="182">
        <v>25</v>
      </c>
      <c r="D69" s="185" t="s">
        <v>480</v>
      </c>
      <c r="E69" s="186">
        <v>3</v>
      </c>
      <c r="F69" s="182">
        <v>3300</v>
      </c>
      <c r="G69" s="187">
        <f t="shared" si="60"/>
        <v>1100</v>
      </c>
      <c r="H69" s="526"/>
      <c r="I69" s="188">
        <f t="shared" si="47"/>
        <v>3</v>
      </c>
      <c r="J69" s="188">
        <f t="shared" si="47"/>
        <v>2958.9045323536011</v>
      </c>
      <c r="K69" s="189">
        <f t="shared" si="47"/>
        <v>986.30151078453366</v>
      </c>
      <c r="L69" s="527"/>
      <c r="M69" s="188">
        <f>RANK(K69, K$45:$K$77)</f>
        <v>7</v>
      </c>
      <c r="N69" s="529"/>
      <c r="O69" s="530"/>
      <c r="P69" s="190">
        <v>3</v>
      </c>
      <c r="Q69" s="190">
        <v>2958.1073283323622</v>
      </c>
      <c r="R69" s="187">
        <f t="shared" si="44"/>
        <v>986.03577611078742</v>
      </c>
      <c r="S69" s="184">
        <f t="shared" si="48"/>
        <v>7</v>
      </c>
      <c r="T69" s="528"/>
      <c r="U69" s="190">
        <v>3</v>
      </c>
      <c r="V69" s="190">
        <v>2957.7464788732436</v>
      </c>
      <c r="W69" s="187">
        <f t="shared" si="45"/>
        <v>985.91549295774792</v>
      </c>
      <c r="X69" s="184">
        <f t="shared" si="49"/>
        <v>7</v>
      </c>
      <c r="Y69" s="528"/>
      <c r="Z69" s="190">
        <v>3</v>
      </c>
      <c r="AA69" s="190">
        <v>2958.3011583011707</v>
      </c>
      <c r="AB69" s="187">
        <f t="shared" si="50"/>
        <v>986.10038610039021</v>
      </c>
      <c r="AC69" s="184">
        <f t="shared" si="51"/>
        <v>7</v>
      </c>
      <c r="AD69" s="528"/>
      <c r="AE69" s="190">
        <v>3</v>
      </c>
      <c r="AF69" s="190">
        <v>2958.8692579505223</v>
      </c>
      <c r="AG69" s="187">
        <f t="shared" si="52"/>
        <v>986.28975265017414</v>
      </c>
      <c r="AH69" s="184">
        <f t="shared" si="53"/>
        <v>7</v>
      </c>
      <c r="AI69" s="528"/>
      <c r="AJ69" s="190">
        <v>3</v>
      </c>
      <c r="AK69" s="190">
        <v>2959.341355288168</v>
      </c>
      <c r="AL69" s="187">
        <f t="shared" si="54"/>
        <v>986.44711842938932</v>
      </c>
      <c r="AM69" s="184">
        <f t="shared" si="55"/>
        <v>7</v>
      </c>
      <c r="AN69" s="528"/>
      <c r="AO69" s="190">
        <v>3</v>
      </c>
      <c r="AP69" s="190">
        <v>2959.7315436241588</v>
      </c>
      <c r="AQ69" s="187">
        <f t="shared" si="56"/>
        <v>986.57718120805293</v>
      </c>
      <c r="AR69" s="184">
        <f t="shared" si="57"/>
        <v>7</v>
      </c>
      <c r="AS69" s="528"/>
      <c r="AT69" s="190">
        <v>3</v>
      </c>
      <c r="AU69" s="190">
        <v>2960.2346041055812</v>
      </c>
      <c r="AV69" s="187">
        <f t="shared" si="58"/>
        <v>986.74486803519369</v>
      </c>
      <c r="AW69" s="184">
        <f t="shared" si="59"/>
        <v>7</v>
      </c>
      <c r="AX69" s="528"/>
    </row>
    <row r="70" spans="2:50" ht="14.25" customHeight="1">
      <c r="B70" s="514"/>
      <c r="C70" s="182">
        <v>26</v>
      </c>
      <c r="D70" s="185" t="s">
        <v>498</v>
      </c>
      <c r="E70" s="186">
        <v>4</v>
      </c>
      <c r="F70" s="182">
        <v>3000</v>
      </c>
      <c r="G70" s="187">
        <f t="shared" si="60"/>
        <v>750</v>
      </c>
      <c r="H70" s="526"/>
      <c r="I70" s="188">
        <f t="shared" si="47"/>
        <v>4</v>
      </c>
      <c r="J70" s="188">
        <f t="shared" si="47"/>
        <v>2666.0681088099386</v>
      </c>
      <c r="K70" s="189">
        <f t="shared" si="47"/>
        <v>666.51702720248466</v>
      </c>
      <c r="L70" s="527"/>
      <c r="M70" s="188">
        <f>RANK(K70, K$45:$K$77)</f>
        <v>23</v>
      </c>
      <c r="N70" s="529"/>
      <c r="O70" s="530"/>
      <c r="P70" s="190">
        <v>4</v>
      </c>
      <c r="Q70" s="190">
        <v>2665.9919028340141</v>
      </c>
      <c r="R70" s="187">
        <f t="shared" si="44"/>
        <v>666.49797570850353</v>
      </c>
      <c r="S70" s="184">
        <f t="shared" si="48"/>
        <v>23</v>
      </c>
      <c r="T70" s="528"/>
      <c r="U70" s="190">
        <v>4</v>
      </c>
      <c r="V70" s="190">
        <v>2666.0139860139834</v>
      </c>
      <c r="W70" s="187">
        <f t="shared" si="45"/>
        <v>666.50349650349585</v>
      </c>
      <c r="X70" s="184">
        <f t="shared" si="49"/>
        <v>23</v>
      </c>
      <c r="Y70" s="528"/>
      <c r="Z70" s="190">
        <v>4</v>
      </c>
      <c r="AA70" s="190">
        <v>2665.7342657342665</v>
      </c>
      <c r="AB70" s="187">
        <f t="shared" si="50"/>
        <v>666.43356643356663</v>
      </c>
      <c r="AC70" s="184">
        <f t="shared" si="51"/>
        <v>23</v>
      </c>
      <c r="AD70" s="528"/>
      <c r="AE70" s="190">
        <v>4</v>
      </c>
      <c r="AF70" s="190">
        <v>2665.9949622166264</v>
      </c>
      <c r="AG70" s="187">
        <f t="shared" si="52"/>
        <v>666.4987405541566</v>
      </c>
      <c r="AH70" s="184">
        <f t="shared" si="53"/>
        <v>23</v>
      </c>
      <c r="AI70" s="528"/>
      <c r="AJ70" s="190">
        <v>4</v>
      </c>
      <c r="AK70" s="190">
        <v>2665.9459459459536</v>
      </c>
      <c r="AL70" s="187">
        <f t="shared" si="54"/>
        <v>666.48648648648839</v>
      </c>
      <c r="AM70" s="184">
        <f t="shared" si="55"/>
        <v>23</v>
      </c>
      <c r="AN70" s="528"/>
      <c r="AO70" s="190">
        <v>4</v>
      </c>
      <c r="AP70" s="190">
        <v>2666.1290322580603</v>
      </c>
      <c r="AQ70" s="187">
        <f t="shared" si="56"/>
        <v>666.53225806451508</v>
      </c>
      <c r="AR70" s="184">
        <f t="shared" si="57"/>
        <v>23</v>
      </c>
      <c r="AS70" s="528"/>
      <c r="AT70" s="190">
        <v>4</v>
      </c>
      <c r="AU70" s="190">
        <v>2666.666666666667</v>
      </c>
      <c r="AV70" s="187">
        <f t="shared" si="58"/>
        <v>666.66666666666674</v>
      </c>
      <c r="AW70" s="184">
        <f t="shared" si="59"/>
        <v>23</v>
      </c>
      <c r="AX70" s="528"/>
    </row>
    <row r="71" spans="2:50" ht="14.25" customHeight="1">
      <c r="B71" s="514"/>
      <c r="C71" s="182">
        <v>27</v>
      </c>
      <c r="D71" s="185" t="s">
        <v>534</v>
      </c>
      <c r="E71" s="186">
        <v>5</v>
      </c>
      <c r="F71" s="182">
        <v>3000</v>
      </c>
      <c r="G71" s="187">
        <f t="shared" si="60"/>
        <v>600</v>
      </c>
      <c r="H71" s="526"/>
      <c r="I71" s="188">
        <f t="shared" si="47"/>
        <v>5</v>
      </c>
      <c r="J71" s="188">
        <f t="shared" si="47"/>
        <v>2665.0578901669119</v>
      </c>
      <c r="K71" s="189">
        <f t="shared" si="47"/>
        <v>533.01157803338242</v>
      </c>
      <c r="L71" s="527"/>
      <c r="M71" s="188">
        <f>RANK(K71, K$45:$K$77)</f>
        <v>27</v>
      </c>
      <c r="N71" s="529"/>
      <c r="O71" s="530"/>
      <c r="P71" s="190">
        <v>5</v>
      </c>
      <c r="Q71" s="190">
        <v>2663.4985661614078</v>
      </c>
      <c r="R71" s="187">
        <f t="shared" si="44"/>
        <v>532.69971323228151</v>
      </c>
      <c r="S71" s="184">
        <f t="shared" si="48"/>
        <v>27</v>
      </c>
      <c r="T71" s="528"/>
      <c r="U71" s="190">
        <v>5</v>
      </c>
      <c r="V71" s="190">
        <v>2664.0907181856351</v>
      </c>
      <c r="W71" s="187">
        <f t="shared" si="45"/>
        <v>532.81814363712704</v>
      </c>
      <c r="X71" s="184">
        <f t="shared" si="49"/>
        <v>27</v>
      </c>
      <c r="Y71" s="528"/>
      <c r="Z71" s="190">
        <v>5</v>
      </c>
      <c r="AA71" s="190">
        <v>2664.456362749881</v>
      </c>
      <c r="AB71" s="187">
        <f t="shared" si="50"/>
        <v>532.89127254997618</v>
      </c>
      <c r="AC71" s="184">
        <f t="shared" si="51"/>
        <v>27</v>
      </c>
      <c r="AD71" s="528"/>
      <c r="AE71" s="190">
        <v>5</v>
      </c>
      <c r="AF71" s="190">
        <v>2665.3104925053563</v>
      </c>
      <c r="AG71" s="187">
        <f t="shared" si="52"/>
        <v>533.0620985010712</v>
      </c>
      <c r="AH71" s="184">
        <f t="shared" si="53"/>
        <v>27</v>
      </c>
      <c r="AI71" s="528"/>
      <c r="AJ71" s="190">
        <v>5</v>
      </c>
      <c r="AK71" s="190">
        <v>2665.9279778393434</v>
      </c>
      <c r="AL71" s="187">
        <f t="shared" si="54"/>
        <v>533.18559556786863</v>
      </c>
      <c r="AM71" s="184">
        <f t="shared" si="55"/>
        <v>27</v>
      </c>
      <c r="AN71" s="528"/>
      <c r="AO71" s="190">
        <v>5</v>
      </c>
      <c r="AP71" s="190">
        <v>2665.9793814432883</v>
      </c>
      <c r="AQ71" s="187">
        <f t="shared" si="56"/>
        <v>533.1958762886577</v>
      </c>
      <c r="AR71" s="184">
        <f t="shared" si="57"/>
        <v>27</v>
      </c>
      <c r="AS71" s="528"/>
      <c r="AT71" s="190">
        <v>5</v>
      </c>
      <c r="AU71" s="190">
        <v>2666.1417322834732</v>
      </c>
      <c r="AV71" s="187">
        <f t="shared" si="58"/>
        <v>533.22834645669468</v>
      </c>
      <c r="AW71" s="184">
        <f t="shared" si="59"/>
        <v>27</v>
      </c>
      <c r="AX71" s="528"/>
    </row>
    <row r="72" spans="2:50" ht="14.25" customHeight="1">
      <c r="B72" s="514"/>
      <c r="C72" s="182">
        <v>28</v>
      </c>
      <c r="D72" s="185" t="s">
        <v>355</v>
      </c>
      <c r="E72" s="186">
        <v>3</v>
      </c>
      <c r="F72" s="182">
        <v>3000</v>
      </c>
      <c r="G72" s="187">
        <f t="shared" si="60"/>
        <v>1000</v>
      </c>
      <c r="H72" s="526"/>
      <c r="I72" s="188">
        <f t="shared" si="47"/>
        <v>3</v>
      </c>
      <c r="J72" s="188">
        <f t="shared" si="47"/>
        <v>2690.0243104279084</v>
      </c>
      <c r="K72" s="189">
        <f t="shared" si="47"/>
        <v>896.67477014263625</v>
      </c>
      <c r="L72" s="527"/>
      <c r="M72" s="188">
        <f>RANK(K72, K$45:$K$77)</f>
        <v>10</v>
      </c>
      <c r="N72" s="529"/>
      <c r="O72" s="530"/>
      <c r="P72" s="190">
        <v>3</v>
      </c>
      <c r="Q72" s="190">
        <v>2689.6244595658482</v>
      </c>
      <c r="R72" s="187">
        <f t="shared" si="44"/>
        <v>896.54148652194942</v>
      </c>
      <c r="S72" s="184">
        <f t="shared" si="48"/>
        <v>10</v>
      </c>
      <c r="T72" s="528"/>
      <c r="U72" s="190">
        <v>3</v>
      </c>
      <c r="V72" s="190">
        <v>2689.6553992784648</v>
      </c>
      <c r="W72" s="187">
        <f t="shared" si="45"/>
        <v>896.55179975948829</v>
      </c>
      <c r="X72" s="184">
        <f t="shared" si="49"/>
        <v>11</v>
      </c>
      <c r="Y72" s="528"/>
      <c r="Z72" s="190">
        <v>3</v>
      </c>
      <c r="AA72" s="190">
        <v>2689.9852042907423</v>
      </c>
      <c r="AB72" s="187">
        <f t="shared" si="50"/>
        <v>896.66173476358074</v>
      </c>
      <c r="AC72" s="184">
        <f t="shared" si="51"/>
        <v>10</v>
      </c>
      <c r="AD72" s="528"/>
      <c r="AE72" s="190">
        <v>3</v>
      </c>
      <c r="AF72" s="190">
        <v>2689.9747921195803</v>
      </c>
      <c r="AG72" s="187">
        <f t="shared" si="52"/>
        <v>896.65826403986011</v>
      </c>
      <c r="AH72" s="184">
        <f t="shared" si="53"/>
        <v>11</v>
      </c>
      <c r="AI72" s="528"/>
      <c r="AJ72" s="190">
        <v>3</v>
      </c>
      <c r="AK72" s="190">
        <v>2690.2228134353145</v>
      </c>
      <c r="AL72" s="187">
        <f t="shared" si="54"/>
        <v>896.74093781177146</v>
      </c>
      <c r="AM72" s="184">
        <f t="shared" si="55"/>
        <v>11</v>
      </c>
      <c r="AN72" s="528"/>
      <c r="AO72" s="190">
        <v>3</v>
      </c>
      <c r="AP72" s="190">
        <v>2690.3044076612159</v>
      </c>
      <c r="AQ72" s="187">
        <f t="shared" si="56"/>
        <v>896.76813588707194</v>
      </c>
      <c r="AR72" s="184">
        <f t="shared" si="57"/>
        <v>10</v>
      </c>
      <c r="AS72" s="528"/>
      <c r="AT72" s="190">
        <v>3</v>
      </c>
      <c r="AU72" s="190">
        <v>2690.4030966441946</v>
      </c>
      <c r="AV72" s="187">
        <f t="shared" si="58"/>
        <v>896.80103221473155</v>
      </c>
      <c r="AW72" s="184">
        <f t="shared" si="59"/>
        <v>10</v>
      </c>
      <c r="AX72" s="528"/>
    </row>
    <row r="73" spans="2:50" ht="14.25" customHeight="1">
      <c r="B73" s="514"/>
      <c r="C73" s="182">
        <v>29</v>
      </c>
      <c r="D73" s="185" t="s">
        <v>489</v>
      </c>
      <c r="E73" s="186">
        <v>12</v>
      </c>
      <c r="F73" s="182">
        <v>3600</v>
      </c>
      <c r="G73" s="187">
        <f t="shared" si="60"/>
        <v>300</v>
      </c>
      <c r="H73" s="526"/>
      <c r="I73" s="188">
        <f t="shared" si="47"/>
        <v>12</v>
      </c>
      <c r="J73" s="188">
        <f t="shared" si="47"/>
        <v>3125.4329316798535</v>
      </c>
      <c r="K73" s="189">
        <f t="shared" si="47"/>
        <v>260.45274430665444</v>
      </c>
      <c r="L73" s="527"/>
      <c r="M73" s="188">
        <f>RANK(K73, K$45:$K$77)</f>
        <v>28</v>
      </c>
      <c r="N73" s="529"/>
      <c r="O73" s="530"/>
      <c r="P73" s="190">
        <v>12</v>
      </c>
      <c r="Q73" s="190">
        <v>3124.4471010161278</v>
      </c>
      <c r="R73" s="187">
        <f t="shared" si="44"/>
        <v>260.37059175134397</v>
      </c>
      <c r="S73" s="184">
        <f t="shared" si="48"/>
        <v>28</v>
      </c>
      <c r="T73" s="528"/>
      <c r="U73" s="190">
        <v>12</v>
      </c>
      <c r="V73" s="190">
        <v>3125.3678634490816</v>
      </c>
      <c r="W73" s="187">
        <f t="shared" si="45"/>
        <v>260.44732195409011</v>
      </c>
      <c r="X73" s="184">
        <f t="shared" si="49"/>
        <v>28</v>
      </c>
      <c r="Y73" s="528"/>
      <c r="Z73" s="190">
        <v>12</v>
      </c>
      <c r="AA73" s="190">
        <v>3125.7069408740422</v>
      </c>
      <c r="AB73" s="187">
        <f t="shared" si="50"/>
        <v>260.4755784061702</v>
      </c>
      <c r="AC73" s="184">
        <f t="shared" si="51"/>
        <v>28</v>
      </c>
      <c r="AD73" s="528"/>
      <c r="AE73" s="190">
        <v>12</v>
      </c>
      <c r="AF73" s="190">
        <v>3125.5014326647688</v>
      </c>
      <c r="AG73" s="187">
        <f t="shared" si="52"/>
        <v>260.45845272206407</v>
      </c>
      <c r="AH73" s="184">
        <f t="shared" si="53"/>
        <v>28</v>
      </c>
      <c r="AI73" s="528"/>
      <c r="AJ73" s="190">
        <v>12</v>
      </c>
      <c r="AK73" s="190">
        <v>3124.8730964467131</v>
      </c>
      <c r="AL73" s="187">
        <f t="shared" si="54"/>
        <v>260.40609137055941</v>
      </c>
      <c r="AM73" s="184">
        <f t="shared" si="55"/>
        <v>29</v>
      </c>
      <c r="AN73" s="528"/>
      <c r="AO73" s="190">
        <v>12</v>
      </c>
      <c r="AP73" s="190">
        <v>3125.7611241217714</v>
      </c>
      <c r="AQ73" s="187">
        <f t="shared" si="56"/>
        <v>260.48009367681431</v>
      </c>
      <c r="AR73" s="184">
        <f t="shared" si="57"/>
        <v>29</v>
      </c>
      <c r="AS73" s="528"/>
      <c r="AT73" s="190">
        <v>12</v>
      </c>
      <c r="AU73" s="190">
        <v>3126.3729631864694</v>
      </c>
      <c r="AV73" s="187">
        <f t="shared" si="58"/>
        <v>260.53108026553912</v>
      </c>
      <c r="AW73" s="184">
        <f t="shared" si="59"/>
        <v>29</v>
      </c>
      <c r="AX73" s="528"/>
    </row>
    <row r="74" spans="2:50" ht="14.25" customHeight="1">
      <c r="B74" s="514"/>
      <c r="C74" s="182">
        <v>30</v>
      </c>
      <c r="D74" s="185"/>
      <c r="E74" s="186"/>
      <c r="F74" s="182"/>
      <c r="G74" s="187"/>
      <c r="H74" s="526"/>
      <c r="I74" s="188"/>
      <c r="J74" s="188"/>
      <c r="K74" s="189"/>
      <c r="L74" s="527"/>
      <c r="M74" s="188"/>
      <c r="N74" s="529"/>
      <c r="O74" s="530"/>
      <c r="P74" s="190"/>
      <c r="Q74" s="190"/>
      <c r="R74" s="187"/>
      <c r="S74" s="184"/>
      <c r="T74" s="528"/>
      <c r="U74" s="190"/>
      <c r="V74" s="190"/>
      <c r="W74" s="187"/>
      <c r="X74" s="184"/>
      <c r="Y74" s="528"/>
      <c r="Z74" s="190"/>
      <c r="AA74" s="190"/>
      <c r="AB74" s="187"/>
      <c r="AC74" s="184"/>
      <c r="AD74" s="528"/>
      <c r="AE74" s="190"/>
      <c r="AF74" s="190"/>
      <c r="AG74" s="187"/>
      <c r="AH74" s="184"/>
      <c r="AI74" s="528"/>
      <c r="AJ74" s="190"/>
      <c r="AK74" s="190"/>
      <c r="AL74" s="187"/>
      <c r="AM74" s="184"/>
      <c r="AN74" s="528"/>
      <c r="AO74" s="190"/>
      <c r="AP74" s="190"/>
      <c r="AQ74" s="187"/>
      <c r="AR74" s="184"/>
      <c r="AS74" s="528"/>
      <c r="AT74" s="190"/>
      <c r="AU74" s="190"/>
      <c r="AV74" s="187"/>
      <c r="AW74" s="184"/>
      <c r="AX74" s="528"/>
    </row>
    <row r="75" spans="2:50" ht="14.25" customHeight="1">
      <c r="B75" s="514"/>
      <c r="C75" s="182">
        <v>31</v>
      </c>
      <c r="D75" s="185"/>
      <c r="E75" s="182"/>
      <c r="F75" s="182"/>
      <c r="G75" s="187"/>
      <c r="H75" s="526"/>
      <c r="I75" s="188"/>
      <c r="J75" s="188"/>
      <c r="K75" s="189"/>
      <c r="L75" s="527"/>
      <c r="M75" s="188"/>
      <c r="N75" s="529"/>
      <c r="O75" s="530"/>
      <c r="P75" s="190"/>
      <c r="Q75" s="190"/>
      <c r="R75" s="187"/>
      <c r="S75" s="184"/>
      <c r="T75" s="528"/>
      <c r="U75" s="190"/>
      <c r="V75" s="190"/>
      <c r="W75" s="187"/>
      <c r="X75" s="184"/>
      <c r="Y75" s="528"/>
      <c r="Z75" s="190"/>
      <c r="AA75" s="190"/>
      <c r="AB75" s="187"/>
      <c r="AC75" s="184"/>
      <c r="AD75" s="528"/>
      <c r="AE75" s="190"/>
      <c r="AF75" s="190"/>
      <c r="AG75" s="187"/>
      <c r="AH75" s="184"/>
      <c r="AI75" s="528"/>
      <c r="AJ75" s="190"/>
      <c r="AK75" s="190"/>
      <c r="AL75" s="187"/>
      <c r="AM75" s="184"/>
      <c r="AN75" s="528"/>
      <c r="AO75" s="190"/>
      <c r="AP75" s="190"/>
      <c r="AQ75" s="187"/>
      <c r="AR75" s="184"/>
      <c r="AS75" s="528"/>
      <c r="AT75" s="190"/>
      <c r="AU75" s="190"/>
      <c r="AV75" s="187"/>
      <c r="AW75" s="184"/>
      <c r="AX75" s="528"/>
    </row>
    <row r="76" spans="2:50" ht="14.25" customHeight="1">
      <c r="B76" s="514"/>
      <c r="C76" s="182">
        <v>32</v>
      </c>
      <c r="D76" s="185"/>
      <c r="E76" s="182"/>
      <c r="F76" s="182"/>
      <c r="G76" s="187"/>
      <c r="H76" s="526"/>
      <c r="I76" s="188"/>
      <c r="J76" s="188"/>
      <c r="K76" s="189"/>
      <c r="L76" s="527"/>
      <c r="M76" s="188"/>
      <c r="N76" s="529"/>
      <c r="O76" s="530"/>
      <c r="P76" s="190"/>
      <c r="Q76" s="190"/>
      <c r="R76" s="187"/>
      <c r="S76" s="184"/>
      <c r="T76" s="528"/>
      <c r="U76" s="190"/>
      <c r="V76" s="190"/>
      <c r="W76" s="187"/>
      <c r="X76" s="184"/>
      <c r="Y76" s="528"/>
      <c r="Z76" s="190"/>
      <c r="AA76" s="190"/>
      <c r="AB76" s="187"/>
      <c r="AC76" s="184"/>
      <c r="AD76" s="528"/>
      <c r="AE76" s="190"/>
      <c r="AF76" s="190"/>
      <c r="AG76" s="187"/>
      <c r="AH76" s="184"/>
      <c r="AI76" s="528"/>
      <c r="AJ76" s="190"/>
      <c r="AK76" s="190"/>
      <c r="AL76" s="187"/>
      <c r="AM76" s="184"/>
      <c r="AN76" s="528"/>
      <c r="AO76" s="190"/>
      <c r="AP76" s="190"/>
      <c r="AQ76" s="187"/>
      <c r="AR76" s="184"/>
      <c r="AS76" s="528"/>
      <c r="AT76" s="190"/>
      <c r="AU76" s="190"/>
      <c r="AV76" s="187"/>
      <c r="AW76" s="184"/>
      <c r="AX76" s="528"/>
    </row>
    <row r="77" spans="2:50" ht="14.25" customHeight="1">
      <c r="B77" s="514"/>
      <c r="C77" s="182">
        <v>33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29"/>
      <c r="O77" s="530"/>
      <c r="P77" s="190"/>
      <c r="Q77" s="190"/>
      <c r="R77" s="187"/>
      <c r="S77" s="184"/>
      <c r="T77" s="528"/>
      <c r="U77" s="190"/>
      <c r="V77" s="190"/>
      <c r="W77" s="187"/>
      <c r="X77" s="184"/>
      <c r="Y77" s="528"/>
      <c r="Z77" s="190"/>
      <c r="AA77" s="190"/>
      <c r="AB77" s="187"/>
      <c r="AC77" s="184"/>
      <c r="AD77" s="528"/>
      <c r="AE77" s="190"/>
      <c r="AF77" s="190"/>
      <c r="AG77" s="187"/>
      <c r="AH77" s="184"/>
      <c r="AI77" s="528"/>
      <c r="AJ77" s="190"/>
      <c r="AK77" s="190"/>
      <c r="AL77" s="187"/>
      <c r="AM77" s="184"/>
      <c r="AN77" s="528"/>
      <c r="AO77" s="190"/>
      <c r="AP77" s="190"/>
      <c r="AQ77" s="187"/>
      <c r="AR77" s="184"/>
      <c r="AS77" s="528"/>
      <c r="AT77" s="190"/>
      <c r="AU77" s="190"/>
      <c r="AV77" s="187"/>
      <c r="AW77" s="184"/>
      <c r="AX77" s="528"/>
    </row>
    <row r="78" spans="2:50" ht="14.25" customHeight="1" collapsed="1">
      <c r="B78" s="541" t="s">
        <v>696</v>
      </c>
      <c r="C78" s="541"/>
      <c r="D78" s="541"/>
      <c r="E78" s="541"/>
      <c r="F78" s="541"/>
      <c r="G78" s="541"/>
      <c r="H78" s="541"/>
      <c r="I78" s="541"/>
      <c r="J78" s="541"/>
      <c r="K78" s="541"/>
      <c r="L78" s="541"/>
      <c r="M78" s="542"/>
      <c r="N78" s="545" t="s">
        <v>383</v>
      </c>
      <c r="O78" s="545" t="s">
        <v>105</v>
      </c>
      <c r="P78" s="547">
        <f>AT40+1</f>
        <v>46063</v>
      </c>
      <c r="Q78" s="548"/>
      <c r="R78" s="548"/>
      <c r="S78" s="548"/>
      <c r="T78" s="549"/>
      <c r="U78" s="550">
        <f>P78+1</f>
        <v>46064</v>
      </c>
      <c r="V78" s="551"/>
      <c r="W78" s="551"/>
      <c r="X78" s="551"/>
      <c r="Y78" s="552"/>
      <c r="Z78" s="547">
        <f t="shared" ref="Z78" si="61">U78+1</f>
        <v>46065</v>
      </c>
      <c r="AA78" s="548"/>
      <c r="AB78" s="548"/>
      <c r="AC78" s="548"/>
      <c r="AD78" s="549"/>
      <c r="AE78" s="550">
        <f t="shared" ref="AE78" si="62">Z78+1</f>
        <v>46066</v>
      </c>
      <c r="AF78" s="551"/>
      <c r="AG78" s="551"/>
      <c r="AH78" s="551"/>
      <c r="AI78" s="552"/>
      <c r="AJ78" s="547">
        <f t="shared" ref="AJ78" si="63">AE78+1</f>
        <v>46067</v>
      </c>
      <c r="AK78" s="548"/>
      <c r="AL78" s="548"/>
      <c r="AM78" s="548"/>
      <c r="AN78" s="549"/>
      <c r="AO78" s="550">
        <f t="shared" ref="AO78" si="64">AJ78+1</f>
        <v>46068</v>
      </c>
      <c r="AP78" s="551"/>
      <c r="AQ78" s="551"/>
      <c r="AR78" s="551"/>
      <c r="AS78" s="552"/>
      <c r="AT78" s="547">
        <f t="shared" ref="AT78" si="65">AO78+1</f>
        <v>46069</v>
      </c>
      <c r="AU78" s="548"/>
      <c r="AV78" s="548"/>
      <c r="AW78" s="548"/>
      <c r="AX78" s="549"/>
    </row>
    <row r="79" spans="2:50" ht="14.25" customHeight="1">
      <c r="B79" s="543"/>
      <c r="C79" s="543"/>
      <c r="D79" s="543"/>
      <c r="E79" s="543"/>
      <c r="F79" s="543"/>
      <c r="G79" s="543"/>
      <c r="H79" s="543"/>
      <c r="I79" s="543"/>
      <c r="J79" s="543"/>
      <c r="K79" s="543"/>
      <c r="L79" s="543"/>
      <c r="M79" s="544"/>
      <c r="N79" s="546"/>
      <c r="O79" s="546"/>
      <c r="P79" s="553">
        <f>P78</f>
        <v>46063</v>
      </c>
      <c r="Q79" s="554"/>
      <c r="R79" s="554"/>
      <c r="S79" s="554"/>
      <c r="T79" s="555"/>
      <c r="U79" s="556">
        <f>U78</f>
        <v>46064</v>
      </c>
      <c r="V79" s="557"/>
      <c r="W79" s="557"/>
      <c r="X79" s="557"/>
      <c r="Y79" s="558"/>
      <c r="Z79" s="553">
        <f t="shared" ref="Z79" si="66">Z78</f>
        <v>46065</v>
      </c>
      <c r="AA79" s="554"/>
      <c r="AB79" s="554"/>
      <c r="AC79" s="554"/>
      <c r="AD79" s="555"/>
      <c r="AE79" s="556">
        <f t="shared" ref="AE79" si="67">AE78</f>
        <v>46066</v>
      </c>
      <c r="AF79" s="557"/>
      <c r="AG79" s="557"/>
      <c r="AH79" s="557"/>
      <c r="AI79" s="558"/>
      <c r="AJ79" s="553">
        <f t="shared" ref="AJ79" si="68">AJ78</f>
        <v>46067</v>
      </c>
      <c r="AK79" s="554"/>
      <c r="AL79" s="554"/>
      <c r="AM79" s="554"/>
      <c r="AN79" s="555"/>
      <c r="AO79" s="556">
        <f t="shared" ref="AO79" si="69">AO78</f>
        <v>46068</v>
      </c>
      <c r="AP79" s="557"/>
      <c r="AQ79" s="557"/>
      <c r="AR79" s="557"/>
      <c r="AS79" s="558"/>
      <c r="AT79" s="553">
        <f t="shared" ref="AT79" si="70">AT78</f>
        <v>46069</v>
      </c>
      <c r="AU79" s="554"/>
      <c r="AV79" s="554"/>
      <c r="AW79" s="554"/>
      <c r="AX79" s="555"/>
    </row>
    <row r="80" spans="2:50" ht="14.25" customHeight="1">
      <c r="B80" s="514" t="s">
        <v>164</v>
      </c>
      <c r="C80" s="514" t="s">
        <v>159</v>
      </c>
      <c r="D80" s="514"/>
      <c r="E80" s="535" t="s">
        <v>160</v>
      </c>
      <c r="F80" s="536"/>
      <c r="G80" s="537"/>
      <c r="H80" s="514" t="s">
        <v>165</v>
      </c>
      <c r="I80" s="538" t="s">
        <v>384</v>
      </c>
      <c r="J80" s="539"/>
      <c r="K80" s="540"/>
      <c r="L80" s="531" t="s">
        <v>165</v>
      </c>
      <c r="M80" s="531" t="s">
        <v>167</v>
      </c>
      <c r="N80" s="529"/>
      <c r="O80" s="530" t="s">
        <v>166</v>
      </c>
      <c r="P80" s="532" t="s">
        <v>162</v>
      </c>
      <c r="Q80" s="533"/>
      <c r="R80" s="533"/>
      <c r="S80" s="534"/>
      <c r="T80" s="530" t="s">
        <v>165</v>
      </c>
      <c r="U80" s="532" t="s">
        <v>162</v>
      </c>
      <c r="V80" s="533"/>
      <c r="W80" s="533"/>
      <c r="X80" s="534"/>
      <c r="Y80" s="530" t="s">
        <v>165</v>
      </c>
      <c r="Z80" s="532" t="s">
        <v>162</v>
      </c>
      <c r="AA80" s="533"/>
      <c r="AB80" s="533"/>
      <c r="AC80" s="534"/>
      <c r="AD80" s="530" t="s">
        <v>165</v>
      </c>
      <c r="AE80" s="532" t="s">
        <v>162</v>
      </c>
      <c r="AF80" s="533"/>
      <c r="AG80" s="533"/>
      <c r="AH80" s="534"/>
      <c r="AI80" s="530" t="s">
        <v>165</v>
      </c>
      <c r="AJ80" s="532" t="s">
        <v>162</v>
      </c>
      <c r="AK80" s="533"/>
      <c r="AL80" s="533"/>
      <c r="AM80" s="534"/>
      <c r="AN80" s="530" t="s">
        <v>165</v>
      </c>
      <c r="AO80" s="532" t="s">
        <v>162</v>
      </c>
      <c r="AP80" s="533"/>
      <c r="AQ80" s="533"/>
      <c r="AR80" s="534"/>
      <c r="AS80" s="530" t="s">
        <v>165</v>
      </c>
      <c r="AT80" s="532" t="s">
        <v>162</v>
      </c>
      <c r="AU80" s="533"/>
      <c r="AV80" s="533"/>
      <c r="AW80" s="534"/>
      <c r="AX80" s="530" t="s">
        <v>165</v>
      </c>
    </row>
    <row r="81" spans="1:50" ht="14.25" customHeight="1">
      <c r="B81" s="514"/>
      <c r="C81" s="514"/>
      <c r="D81" s="514"/>
      <c r="E81" s="514" t="s">
        <v>385</v>
      </c>
      <c r="F81" s="514"/>
      <c r="G81" s="514"/>
      <c r="H81" s="514"/>
      <c r="I81" s="531" t="s">
        <v>385</v>
      </c>
      <c r="J81" s="531"/>
      <c r="K81" s="531"/>
      <c r="L81" s="531"/>
      <c r="M81" s="531"/>
      <c r="N81" s="529"/>
      <c r="O81" s="530"/>
      <c r="P81" s="530" t="s">
        <v>386</v>
      </c>
      <c r="Q81" s="530"/>
      <c r="R81" s="530"/>
      <c r="S81" s="530"/>
      <c r="T81" s="530"/>
      <c r="U81" s="530" t="s">
        <v>386</v>
      </c>
      <c r="V81" s="530"/>
      <c r="W81" s="530"/>
      <c r="X81" s="530"/>
      <c r="Y81" s="530"/>
      <c r="Z81" s="530" t="s">
        <v>386</v>
      </c>
      <c r="AA81" s="530"/>
      <c r="AB81" s="530"/>
      <c r="AC81" s="530"/>
      <c r="AD81" s="530"/>
      <c r="AE81" s="530" t="s">
        <v>386</v>
      </c>
      <c r="AF81" s="530"/>
      <c r="AG81" s="530"/>
      <c r="AH81" s="530"/>
      <c r="AI81" s="530"/>
      <c r="AJ81" s="530" t="s">
        <v>386</v>
      </c>
      <c r="AK81" s="530"/>
      <c r="AL81" s="530"/>
      <c r="AM81" s="530"/>
      <c r="AN81" s="530"/>
      <c r="AO81" s="530" t="s">
        <v>386</v>
      </c>
      <c r="AP81" s="530"/>
      <c r="AQ81" s="530"/>
      <c r="AR81" s="530"/>
      <c r="AS81" s="530"/>
      <c r="AT81" s="530" t="s">
        <v>386</v>
      </c>
      <c r="AU81" s="530"/>
      <c r="AV81" s="530"/>
      <c r="AW81" s="530"/>
      <c r="AX81" s="530"/>
    </row>
    <row r="82" spans="1:50" ht="14.25" customHeight="1">
      <c r="A82" s="179"/>
      <c r="B82" s="514"/>
      <c r="C82" s="514"/>
      <c r="D82" s="514"/>
      <c r="E82" s="182" t="s">
        <v>161</v>
      </c>
      <c r="F82" s="182" t="s">
        <v>387</v>
      </c>
      <c r="G82" s="182" t="s">
        <v>163</v>
      </c>
      <c r="H82" s="514"/>
      <c r="I82" s="183" t="s">
        <v>161</v>
      </c>
      <c r="J82" s="183" t="s">
        <v>387</v>
      </c>
      <c r="K82" s="183" t="s">
        <v>163</v>
      </c>
      <c r="L82" s="531"/>
      <c r="M82" s="531"/>
      <c r="N82" s="529"/>
      <c r="O82" s="530"/>
      <c r="P82" s="184" t="s">
        <v>161</v>
      </c>
      <c r="Q82" s="184" t="s">
        <v>387</v>
      </c>
      <c r="R82" s="184" t="s">
        <v>163</v>
      </c>
      <c r="S82" s="184" t="s">
        <v>167</v>
      </c>
      <c r="T82" s="530"/>
      <c r="U82" s="184" t="s">
        <v>161</v>
      </c>
      <c r="V82" s="184" t="s">
        <v>387</v>
      </c>
      <c r="W82" s="184" t="s">
        <v>163</v>
      </c>
      <c r="X82" s="184" t="s">
        <v>167</v>
      </c>
      <c r="Y82" s="530"/>
      <c r="Z82" s="184" t="s">
        <v>161</v>
      </c>
      <c r="AA82" s="184" t="s">
        <v>387</v>
      </c>
      <c r="AB82" s="184" t="s">
        <v>163</v>
      </c>
      <c r="AC82" s="184" t="s">
        <v>167</v>
      </c>
      <c r="AD82" s="530"/>
      <c r="AE82" s="184" t="s">
        <v>161</v>
      </c>
      <c r="AF82" s="184" t="s">
        <v>387</v>
      </c>
      <c r="AG82" s="184" t="s">
        <v>163</v>
      </c>
      <c r="AH82" s="184" t="s">
        <v>167</v>
      </c>
      <c r="AI82" s="530"/>
      <c r="AJ82" s="184" t="s">
        <v>161</v>
      </c>
      <c r="AK82" s="184" t="s">
        <v>387</v>
      </c>
      <c r="AL82" s="184" t="s">
        <v>163</v>
      </c>
      <c r="AM82" s="184" t="s">
        <v>167</v>
      </c>
      <c r="AN82" s="530"/>
      <c r="AO82" s="184" t="s">
        <v>161</v>
      </c>
      <c r="AP82" s="184" t="s">
        <v>387</v>
      </c>
      <c r="AQ82" s="184" t="s">
        <v>163</v>
      </c>
      <c r="AR82" s="184" t="s">
        <v>167</v>
      </c>
      <c r="AS82" s="530"/>
      <c r="AT82" s="184" t="s">
        <v>161</v>
      </c>
      <c r="AU82" s="184" t="s">
        <v>387</v>
      </c>
      <c r="AV82" s="184" t="s">
        <v>163</v>
      </c>
      <c r="AW82" s="184" t="s">
        <v>167</v>
      </c>
      <c r="AX82" s="530"/>
    </row>
    <row r="83" spans="1:50" ht="14.25" customHeight="1">
      <c r="B83" s="514" t="s">
        <v>388</v>
      </c>
      <c r="C83" s="182">
        <v>1</v>
      </c>
      <c r="D83" s="185"/>
      <c r="E83" s="186"/>
      <c r="F83" s="182"/>
      <c r="G83" s="187"/>
      <c r="H83" s="526" t="e">
        <f>AVERAGE(G83:G115)</f>
        <v>#DIV/0!</v>
      </c>
      <c r="I83" s="188"/>
      <c r="J83" s="188"/>
      <c r="K83" s="189"/>
      <c r="L83" s="527" t="str">
        <f>IFERROR(AVERAGE(K83:K115),"-")</f>
        <v>-</v>
      </c>
      <c r="M83" s="188" t="e">
        <f>RANK(K83, K$45:$K$77)</f>
        <v>#N/A</v>
      </c>
      <c r="N83" s="529"/>
      <c r="O83" s="530"/>
      <c r="P83" s="190"/>
      <c r="Q83" s="190"/>
      <c r="R83" s="187"/>
      <c r="S83" s="184"/>
      <c r="T83" s="528" t="e">
        <f>AVERAGE(R83:R115)</f>
        <v>#DIV/0!</v>
      </c>
      <c r="U83" s="190"/>
      <c r="V83" s="190"/>
      <c r="W83" s="187"/>
      <c r="X83" s="184"/>
      <c r="Y83" s="528" t="e">
        <f>AVERAGE(W83:W115)</f>
        <v>#DIV/0!</v>
      </c>
      <c r="Z83" s="190"/>
      <c r="AA83" s="190"/>
      <c r="AB83" s="187"/>
      <c r="AC83" s="184"/>
      <c r="AD83" s="528" t="e">
        <f>AVERAGE(AB83:AB115)</f>
        <v>#DIV/0!</v>
      </c>
      <c r="AE83" s="190"/>
      <c r="AF83" s="190"/>
      <c r="AG83" s="187"/>
      <c r="AH83" s="184"/>
      <c r="AI83" s="528" t="e">
        <f>AVERAGE(AG83:AG115)</f>
        <v>#DIV/0!</v>
      </c>
      <c r="AJ83" s="190"/>
      <c r="AK83" s="190"/>
      <c r="AL83" s="187"/>
      <c r="AM83" s="184"/>
      <c r="AN83" s="528" t="e">
        <f>AVERAGE(AL83:AL115)</f>
        <v>#DIV/0!</v>
      </c>
      <c r="AO83" s="190"/>
      <c r="AP83" s="190"/>
      <c r="AQ83" s="187"/>
      <c r="AR83" s="184"/>
      <c r="AS83" s="528" t="e">
        <f>AVERAGE(AQ83:AQ115)</f>
        <v>#DIV/0!</v>
      </c>
      <c r="AT83" s="190"/>
      <c r="AU83" s="190"/>
      <c r="AV83" s="187"/>
      <c r="AW83" s="184"/>
      <c r="AX83" s="528" t="e">
        <f>AVERAGE(AV83:AV115)</f>
        <v>#DIV/0!</v>
      </c>
    </row>
    <row r="84" spans="1:50" ht="14.25" customHeight="1">
      <c r="B84" s="514"/>
      <c r="C84" s="182">
        <v>2</v>
      </c>
      <c r="D84" s="185"/>
      <c r="E84" s="186"/>
      <c r="F84" s="182"/>
      <c r="G84" s="187"/>
      <c r="H84" s="526"/>
      <c r="I84" s="188"/>
      <c r="J84" s="188"/>
      <c r="K84" s="189"/>
      <c r="L84" s="527"/>
      <c r="M84" s="188" t="e">
        <f>RANK(K84, K$45:$K$77)</f>
        <v>#N/A</v>
      </c>
      <c r="N84" s="529"/>
      <c r="O84" s="530"/>
      <c r="P84" s="190"/>
      <c r="Q84" s="190"/>
      <c r="R84" s="187"/>
      <c r="S84" s="184"/>
      <c r="T84" s="528"/>
      <c r="U84" s="190"/>
      <c r="V84" s="190"/>
      <c r="W84" s="187"/>
      <c r="X84" s="184"/>
      <c r="Y84" s="528"/>
      <c r="Z84" s="190"/>
      <c r="AA84" s="190"/>
      <c r="AB84" s="187"/>
      <c r="AC84" s="184"/>
      <c r="AD84" s="528"/>
      <c r="AE84" s="190"/>
      <c r="AF84" s="190"/>
      <c r="AG84" s="187"/>
      <c r="AH84" s="184"/>
      <c r="AI84" s="528"/>
      <c r="AJ84" s="190"/>
      <c r="AK84" s="190"/>
      <c r="AL84" s="187"/>
      <c r="AM84" s="184"/>
      <c r="AN84" s="528"/>
      <c r="AO84" s="190"/>
      <c r="AP84" s="190"/>
      <c r="AQ84" s="187"/>
      <c r="AR84" s="184"/>
      <c r="AS84" s="528"/>
      <c r="AT84" s="190"/>
      <c r="AU84" s="190"/>
      <c r="AV84" s="187"/>
      <c r="AW84" s="184"/>
      <c r="AX84" s="528"/>
    </row>
    <row r="85" spans="1:50" ht="14.25" customHeight="1">
      <c r="B85" s="514"/>
      <c r="C85" s="182">
        <v>3</v>
      </c>
      <c r="D85" s="185"/>
      <c r="E85" s="186"/>
      <c r="F85" s="182"/>
      <c r="G85" s="187"/>
      <c r="H85" s="526"/>
      <c r="I85" s="188"/>
      <c r="J85" s="188"/>
      <c r="K85" s="189"/>
      <c r="L85" s="527"/>
      <c r="M85" s="188" t="e">
        <f>RANK(K85, K$45:$K$77)</f>
        <v>#N/A</v>
      </c>
      <c r="N85" s="529"/>
      <c r="O85" s="530"/>
      <c r="P85" s="190"/>
      <c r="Q85" s="190"/>
      <c r="R85" s="187"/>
      <c r="S85" s="184"/>
      <c r="T85" s="528"/>
      <c r="U85" s="190"/>
      <c r="V85" s="190"/>
      <c r="W85" s="187"/>
      <c r="X85" s="184"/>
      <c r="Y85" s="528"/>
      <c r="Z85" s="190"/>
      <c r="AA85" s="190"/>
      <c r="AB85" s="187"/>
      <c r="AC85" s="184"/>
      <c r="AD85" s="528"/>
      <c r="AE85" s="190"/>
      <c r="AF85" s="190"/>
      <c r="AG85" s="187"/>
      <c r="AH85" s="184"/>
      <c r="AI85" s="528"/>
      <c r="AJ85" s="190"/>
      <c r="AK85" s="190"/>
      <c r="AL85" s="187"/>
      <c r="AM85" s="184"/>
      <c r="AN85" s="528"/>
      <c r="AO85" s="190"/>
      <c r="AP85" s="190"/>
      <c r="AQ85" s="187"/>
      <c r="AR85" s="184"/>
      <c r="AS85" s="528"/>
      <c r="AT85" s="190"/>
      <c r="AU85" s="190"/>
      <c r="AV85" s="187"/>
      <c r="AW85" s="184"/>
      <c r="AX85" s="528"/>
    </row>
    <row r="86" spans="1:50" ht="14.25" customHeight="1">
      <c r="B86" s="514"/>
      <c r="C86" s="182">
        <v>4</v>
      </c>
      <c r="D86" s="185"/>
      <c r="E86" s="186"/>
      <c r="F86" s="182"/>
      <c r="G86" s="187"/>
      <c r="H86" s="526"/>
      <c r="I86" s="188"/>
      <c r="J86" s="188"/>
      <c r="K86" s="189"/>
      <c r="L86" s="527"/>
      <c r="M86" s="188" t="e">
        <f>RANK(K86, K$45:$K$77)</f>
        <v>#N/A</v>
      </c>
      <c r="N86" s="529"/>
      <c r="O86" s="530"/>
      <c r="P86" s="190"/>
      <c r="Q86" s="190"/>
      <c r="R86" s="187"/>
      <c r="S86" s="184"/>
      <c r="T86" s="528"/>
      <c r="U86" s="190"/>
      <c r="V86" s="190"/>
      <c r="W86" s="187"/>
      <c r="X86" s="184"/>
      <c r="Y86" s="528"/>
      <c r="Z86" s="190"/>
      <c r="AA86" s="190"/>
      <c r="AB86" s="187"/>
      <c r="AC86" s="184"/>
      <c r="AD86" s="528"/>
      <c r="AE86" s="190"/>
      <c r="AF86" s="190"/>
      <c r="AG86" s="187"/>
      <c r="AH86" s="184"/>
      <c r="AI86" s="528"/>
      <c r="AJ86" s="190"/>
      <c r="AK86" s="190"/>
      <c r="AL86" s="187"/>
      <c r="AM86" s="184"/>
      <c r="AN86" s="528"/>
      <c r="AO86" s="190"/>
      <c r="AP86" s="190"/>
      <c r="AQ86" s="187"/>
      <c r="AR86" s="184"/>
      <c r="AS86" s="528"/>
      <c r="AT86" s="190"/>
      <c r="AU86" s="190"/>
      <c r="AV86" s="187"/>
      <c r="AW86" s="184"/>
      <c r="AX86" s="528"/>
    </row>
    <row r="87" spans="1:50" ht="14.25" customHeight="1">
      <c r="B87" s="514"/>
      <c r="C87" s="182">
        <v>5</v>
      </c>
      <c r="D87" s="185"/>
      <c r="E87" s="186"/>
      <c r="F87" s="182"/>
      <c r="G87" s="187"/>
      <c r="H87" s="526"/>
      <c r="I87" s="188"/>
      <c r="J87" s="188"/>
      <c r="K87" s="189"/>
      <c r="L87" s="527"/>
      <c r="M87" s="188" t="e">
        <f>RANK(K87, K$45:$K$77)</f>
        <v>#N/A</v>
      </c>
      <c r="N87" s="529"/>
      <c r="O87" s="530"/>
      <c r="P87" s="190"/>
      <c r="Q87" s="190"/>
      <c r="R87" s="187"/>
      <c r="S87" s="184"/>
      <c r="T87" s="528"/>
      <c r="U87" s="190"/>
      <c r="V87" s="190"/>
      <c r="W87" s="187"/>
      <c r="X87" s="184"/>
      <c r="Y87" s="528"/>
      <c r="Z87" s="190"/>
      <c r="AA87" s="190"/>
      <c r="AB87" s="187"/>
      <c r="AC87" s="184"/>
      <c r="AD87" s="528"/>
      <c r="AE87" s="190"/>
      <c r="AF87" s="190"/>
      <c r="AG87" s="187"/>
      <c r="AH87" s="184"/>
      <c r="AI87" s="528"/>
      <c r="AJ87" s="190"/>
      <c r="AK87" s="190"/>
      <c r="AL87" s="187"/>
      <c r="AM87" s="184"/>
      <c r="AN87" s="528"/>
      <c r="AO87" s="190"/>
      <c r="AP87" s="190"/>
      <c r="AQ87" s="187"/>
      <c r="AR87" s="184"/>
      <c r="AS87" s="528"/>
      <c r="AT87" s="190"/>
      <c r="AU87" s="190"/>
      <c r="AV87" s="187"/>
      <c r="AW87" s="184"/>
      <c r="AX87" s="528"/>
    </row>
    <row r="88" spans="1:50" ht="14.25" customHeight="1">
      <c r="B88" s="514"/>
      <c r="C88" s="182">
        <v>6</v>
      </c>
      <c r="D88" s="185"/>
      <c r="E88" s="186"/>
      <c r="F88" s="182"/>
      <c r="G88" s="187"/>
      <c r="H88" s="526"/>
      <c r="I88" s="188"/>
      <c r="J88" s="188"/>
      <c r="K88" s="189"/>
      <c r="L88" s="527"/>
      <c r="M88" s="188" t="e">
        <f>RANK(K88, K$45:$K$77)</f>
        <v>#N/A</v>
      </c>
      <c r="N88" s="529"/>
      <c r="O88" s="530"/>
      <c r="P88" s="190"/>
      <c r="Q88" s="190"/>
      <c r="R88" s="187"/>
      <c r="S88" s="184"/>
      <c r="T88" s="528"/>
      <c r="U88" s="190"/>
      <c r="V88" s="190"/>
      <c r="W88" s="187"/>
      <c r="X88" s="184"/>
      <c r="Y88" s="528"/>
      <c r="Z88" s="190"/>
      <c r="AA88" s="190"/>
      <c r="AB88" s="187"/>
      <c r="AC88" s="184"/>
      <c r="AD88" s="528"/>
      <c r="AE88" s="190"/>
      <c r="AF88" s="190"/>
      <c r="AG88" s="187"/>
      <c r="AH88" s="184"/>
      <c r="AI88" s="528"/>
      <c r="AJ88" s="190"/>
      <c r="AK88" s="190"/>
      <c r="AL88" s="187"/>
      <c r="AM88" s="184"/>
      <c r="AN88" s="528"/>
      <c r="AO88" s="190"/>
      <c r="AP88" s="190"/>
      <c r="AQ88" s="187"/>
      <c r="AR88" s="184"/>
      <c r="AS88" s="528"/>
      <c r="AT88" s="190"/>
      <c r="AU88" s="190"/>
      <c r="AV88" s="187"/>
      <c r="AW88" s="184"/>
      <c r="AX88" s="528"/>
    </row>
    <row r="89" spans="1:50" ht="14.25" customHeight="1">
      <c r="B89" s="514"/>
      <c r="C89" s="182">
        <v>7</v>
      </c>
      <c r="D89" s="185"/>
      <c r="E89" s="186"/>
      <c r="F89" s="182"/>
      <c r="G89" s="187"/>
      <c r="H89" s="526"/>
      <c r="I89" s="188"/>
      <c r="J89" s="188"/>
      <c r="K89" s="189"/>
      <c r="L89" s="527"/>
      <c r="M89" s="188" t="e">
        <f>RANK(K89, K$45:$K$77)</f>
        <v>#N/A</v>
      </c>
      <c r="N89" s="529"/>
      <c r="O89" s="530"/>
      <c r="P89" s="190"/>
      <c r="Q89" s="190"/>
      <c r="R89" s="187"/>
      <c r="S89" s="184"/>
      <c r="T89" s="528"/>
      <c r="U89" s="190"/>
      <c r="V89" s="190"/>
      <c r="W89" s="187"/>
      <c r="X89" s="184"/>
      <c r="Y89" s="528"/>
      <c r="Z89" s="190"/>
      <c r="AA89" s="190"/>
      <c r="AB89" s="187"/>
      <c r="AC89" s="184"/>
      <c r="AD89" s="528"/>
      <c r="AE89" s="190"/>
      <c r="AF89" s="190"/>
      <c r="AG89" s="187"/>
      <c r="AH89" s="184"/>
      <c r="AI89" s="528"/>
      <c r="AJ89" s="190"/>
      <c r="AK89" s="190"/>
      <c r="AL89" s="187"/>
      <c r="AM89" s="184"/>
      <c r="AN89" s="528"/>
      <c r="AO89" s="190"/>
      <c r="AP89" s="190"/>
      <c r="AQ89" s="187"/>
      <c r="AR89" s="184"/>
      <c r="AS89" s="528"/>
      <c r="AT89" s="190"/>
      <c r="AU89" s="190"/>
      <c r="AV89" s="187"/>
      <c r="AW89" s="184"/>
      <c r="AX89" s="528"/>
    </row>
    <row r="90" spans="1:50" ht="14.25" customHeight="1">
      <c r="B90" s="514"/>
      <c r="C90" s="182">
        <v>8</v>
      </c>
      <c r="D90" s="185"/>
      <c r="E90" s="186"/>
      <c r="F90" s="182"/>
      <c r="G90" s="187"/>
      <c r="H90" s="526"/>
      <c r="I90" s="188"/>
      <c r="J90" s="188"/>
      <c r="K90" s="189"/>
      <c r="L90" s="527"/>
      <c r="M90" s="188" t="e">
        <f>RANK(K90, K$45:$K$77)</f>
        <v>#N/A</v>
      </c>
      <c r="N90" s="529"/>
      <c r="O90" s="530"/>
      <c r="P90" s="190"/>
      <c r="Q90" s="190"/>
      <c r="R90" s="187"/>
      <c r="S90" s="184"/>
      <c r="T90" s="528"/>
      <c r="U90" s="190"/>
      <c r="V90" s="190"/>
      <c r="W90" s="187"/>
      <c r="X90" s="184"/>
      <c r="Y90" s="528"/>
      <c r="Z90" s="190"/>
      <c r="AA90" s="190"/>
      <c r="AB90" s="187"/>
      <c r="AC90" s="184"/>
      <c r="AD90" s="528"/>
      <c r="AE90" s="190"/>
      <c r="AF90" s="190"/>
      <c r="AG90" s="187"/>
      <c r="AH90" s="184"/>
      <c r="AI90" s="528"/>
      <c r="AJ90" s="190"/>
      <c r="AK90" s="190"/>
      <c r="AL90" s="187"/>
      <c r="AM90" s="184"/>
      <c r="AN90" s="528"/>
      <c r="AO90" s="190"/>
      <c r="AP90" s="190"/>
      <c r="AQ90" s="187"/>
      <c r="AR90" s="184"/>
      <c r="AS90" s="528"/>
      <c r="AT90" s="190"/>
      <c r="AU90" s="190"/>
      <c r="AV90" s="187"/>
      <c r="AW90" s="184"/>
      <c r="AX90" s="528"/>
    </row>
    <row r="91" spans="1:50" ht="14.25" customHeight="1">
      <c r="B91" s="514"/>
      <c r="C91" s="182">
        <v>9</v>
      </c>
      <c r="D91" s="185"/>
      <c r="E91" s="186"/>
      <c r="F91" s="182"/>
      <c r="G91" s="187"/>
      <c r="H91" s="526"/>
      <c r="I91" s="188"/>
      <c r="J91" s="188"/>
      <c r="K91" s="189"/>
      <c r="L91" s="527"/>
      <c r="M91" s="188" t="e">
        <f>RANK(K91, K$45:$K$77)</f>
        <v>#N/A</v>
      </c>
      <c r="N91" s="529"/>
      <c r="O91" s="530"/>
      <c r="P91" s="190"/>
      <c r="Q91" s="190"/>
      <c r="R91" s="187"/>
      <c r="S91" s="184"/>
      <c r="T91" s="528"/>
      <c r="U91" s="190"/>
      <c r="V91" s="190"/>
      <c r="W91" s="187"/>
      <c r="X91" s="184"/>
      <c r="Y91" s="528"/>
      <c r="Z91" s="190"/>
      <c r="AA91" s="190"/>
      <c r="AB91" s="187"/>
      <c r="AC91" s="184"/>
      <c r="AD91" s="528"/>
      <c r="AE91" s="190"/>
      <c r="AF91" s="190"/>
      <c r="AG91" s="187"/>
      <c r="AH91" s="184"/>
      <c r="AI91" s="528"/>
      <c r="AJ91" s="190"/>
      <c r="AK91" s="190"/>
      <c r="AL91" s="187"/>
      <c r="AM91" s="184"/>
      <c r="AN91" s="528"/>
      <c r="AO91" s="190"/>
      <c r="AP91" s="190"/>
      <c r="AQ91" s="187"/>
      <c r="AR91" s="184"/>
      <c r="AS91" s="528"/>
      <c r="AT91" s="190"/>
      <c r="AU91" s="190"/>
      <c r="AV91" s="187"/>
      <c r="AW91" s="184"/>
      <c r="AX91" s="528"/>
    </row>
    <row r="92" spans="1:50" ht="14.25" customHeight="1">
      <c r="B92" s="514"/>
      <c r="C92" s="182">
        <v>10</v>
      </c>
      <c r="D92" s="185"/>
      <c r="E92" s="186"/>
      <c r="F92" s="182"/>
      <c r="G92" s="187"/>
      <c r="H92" s="526"/>
      <c r="I92" s="188"/>
      <c r="J92" s="188"/>
      <c r="K92" s="189"/>
      <c r="L92" s="527"/>
      <c r="M92" s="188" t="e">
        <f>RANK(K92, K$45:$K$77)</f>
        <v>#N/A</v>
      </c>
      <c r="N92" s="529"/>
      <c r="O92" s="530"/>
      <c r="P92" s="190"/>
      <c r="Q92" s="190"/>
      <c r="R92" s="187"/>
      <c r="S92" s="184"/>
      <c r="T92" s="528"/>
      <c r="U92" s="190"/>
      <c r="V92" s="190"/>
      <c r="W92" s="187"/>
      <c r="X92" s="184"/>
      <c r="Y92" s="528"/>
      <c r="Z92" s="190"/>
      <c r="AA92" s="190"/>
      <c r="AB92" s="187"/>
      <c r="AC92" s="184"/>
      <c r="AD92" s="528"/>
      <c r="AE92" s="190"/>
      <c r="AF92" s="190"/>
      <c r="AG92" s="187"/>
      <c r="AH92" s="184"/>
      <c r="AI92" s="528"/>
      <c r="AJ92" s="190"/>
      <c r="AK92" s="190"/>
      <c r="AL92" s="187"/>
      <c r="AM92" s="184"/>
      <c r="AN92" s="528"/>
      <c r="AO92" s="190"/>
      <c r="AP92" s="190"/>
      <c r="AQ92" s="187"/>
      <c r="AR92" s="184"/>
      <c r="AS92" s="528"/>
      <c r="AT92" s="190"/>
      <c r="AU92" s="190"/>
      <c r="AV92" s="187"/>
      <c r="AW92" s="184"/>
      <c r="AX92" s="528"/>
    </row>
    <row r="93" spans="1:50" ht="14.25" customHeight="1">
      <c r="B93" s="514"/>
      <c r="C93" s="182">
        <v>11</v>
      </c>
      <c r="D93" s="185"/>
      <c r="E93" s="186"/>
      <c r="F93" s="182"/>
      <c r="G93" s="187"/>
      <c r="H93" s="526"/>
      <c r="I93" s="188"/>
      <c r="J93" s="188"/>
      <c r="K93" s="189"/>
      <c r="L93" s="527"/>
      <c r="M93" s="188" t="e">
        <f>RANK(K93, K$45:$K$77)</f>
        <v>#N/A</v>
      </c>
      <c r="N93" s="529"/>
      <c r="O93" s="530"/>
      <c r="P93" s="190"/>
      <c r="Q93" s="190"/>
      <c r="R93" s="187"/>
      <c r="S93" s="184"/>
      <c r="T93" s="528"/>
      <c r="U93" s="190"/>
      <c r="V93" s="190"/>
      <c r="W93" s="187"/>
      <c r="X93" s="184"/>
      <c r="Y93" s="528"/>
      <c r="Z93" s="190"/>
      <c r="AA93" s="190"/>
      <c r="AB93" s="187"/>
      <c r="AC93" s="184"/>
      <c r="AD93" s="528"/>
      <c r="AE93" s="190"/>
      <c r="AF93" s="190"/>
      <c r="AG93" s="187"/>
      <c r="AH93" s="184"/>
      <c r="AI93" s="528"/>
      <c r="AJ93" s="190"/>
      <c r="AK93" s="190"/>
      <c r="AL93" s="187"/>
      <c r="AM93" s="184"/>
      <c r="AN93" s="528"/>
      <c r="AO93" s="190"/>
      <c r="AP93" s="190"/>
      <c r="AQ93" s="187"/>
      <c r="AR93" s="184"/>
      <c r="AS93" s="528"/>
      <c r="AT93" s="190"/>
      <c r="AU93" s="190"/>
      <c r="AV93" s="187"/>
      <c r="AW93" s="184"/>
      <c r="AX93" s="528"/>
    </row>
    <row r="94" spans="1:50" ht="14.25" customHeight="1">
      <c r="B94" s="514"/>
      <c r="C94" s="182">
        <v>12</v>
      </c>
      <c r="D94" s="185"/>
      <c r="E94" s="186"/>
      <c r="F94" s="182"/>
      <c r="G94" s="187"/>
      <c r="H94" s="526"/>
      <c r="I94" s="188"/>
      <c r="J94" s="188"/>
      <c r="K94" s="189"/>
      <c r="L94" s="527"/>
      <c r="M94" s="188" t="e">
        <f>RANK(K94, K$45:$K$77)</f>
        <v>#N/A</v>
      </c>
      <c r="N94" s="529"/>
      <c r="O94" s="530"/>
      <c r="P94" s="190"/>
      <c r="Q94" s="190"/>
      <c r="R94" s="187"/>
      <c r="S94" s="184"/>
      <c r="T94" s="528"/>
      <c r="U94" s="190"/>
      <c r="V94" s="190"/>
      <c r="W94" s="187"/>
      <c r="X94" s="184"/>
      <c r="Y94" s="528"/>
      <c r="Z94" s="190"/>
      <c r="AA94" s="190"/>
      <c r="AB94" s="187"/>
      <c r="AC94" s="184"/>
      <c r="AD94" s="528"/>
      <c r="AE94" s="190"/>
      <c r="AF94" s="190"/>
      <c r="AG94" s="187"/>
      <c r="AH94" s="184"/>
      <c r="AI94" s="528"/>
      <c r="AJ94" s="190"/>
      <c r="AK94" s="190"/>
      <c r="AL94" s="187"/>
      <c r="AM94" s="184"/>
      <c r="AN94" s="528"/>
      <c r="AO94" s="190"/>
      <c r="AP94" s="190"/>
      <c r="AQ94" s="187"/>
      <c r="AR94" s="184"/>
      <c r="AS94" s="528"/>
      <c r="AT94" s="190"/>
      <c r="AU94" s="190"/>
      <c r="AV94" s="187"/>
      <c r="AW94" s="184"/>
      <c r="AX94" s="528"/>
    </row>
    <row r="95" spans="1:50" ht="14.25" customHeight="1">
      <c r="B95" s="514"/>
      <c r="C95" s="182">
        <v>13</v>
      </c>
      <c r="D95" s="185"/>
      <c r="E95" s="186"/>
      <c r="F95" s="182"/>
      <c r="G95" s="187"/>
      <c r="H95" s="526"/>
      <c r="I95" s="188"/>
      <c r="J95" s="188"/>
      <c r="K95" s="189"/>
      <c r="L95" s="527"/>
      <c r="M95" s="188" t="e">
        <f>RANK(K95, K$45:$K$77)</f>
        <v>#N/A</v>
      </c>
      <c r="N95" s="529"/>
      <c r="O95" s="530"/>
      <c r="P95" s="190"/>
      <c r="Q95" s="190"/>
      <c r="R95" s="187"/>
      <c r="S95" s="184"/>
      <c r="T95" s="528"/>
      <c r="U95" s="190"/>
      <c r="V95" s="190"/>
      <c r="W95" s="187"/>
      <c r="X95" s="184"/>
      <c r="Y95" s="528"/>
      <c r="Z95" s="190"/>
      <c r="AA95" s="190"/>
      <c r="AB95" s="187"/>
      <c r="AC95" s="184"/>
      <c r="AD95" s="528"/>
      <c r="AE95" s="190"/>
      <c r="AF95" s="190"/>
      <c r="AG95" s="187"/>
      <c r="AH95" s="184"/>
      <c r="AI95" s="528"/>
      <c r="AJ95" s="190"/>
      <c r="AK95" s="190"/>
      <c r="AL95" s="187"/>
      <c r="AM95" s="184"/>
      <c r="AN95" s="528"/>
      <c r="AO95" s="190"/>
      <c r="AP95" s="190"/>
      <c r="AQ95" s="187"/>
      <c r="AR95" s="184"/>
      <c r="AS95" s="528"/>
      <c r="AT95" s="190"/>
      <c r="AU95" s="190"/>
      <c r="AV95" s="187"/>
      <c r="AW95" s="184"/>
      <c r="AX95" s="528"/>
    </row>
    <row r="96" spans="1:50" ht="14.25" customHeight="1">
      <c r="B96" s="514"/>
      <c r="C96" s="182">
        <v>14</v>
      </c>
      <c r="D96" s="185"/>
      <c r="E96" s="186"/>
      <c r="F96" s="182"/>
      <c r="G96" s="187"/>
      <c r="H96" s="526"/>
      <c r="I96" s="188"/>
      <c r="J96" s="188"/>
      <c r="K96" s="189"/>
      <c r="L96" s="527"/>
      <c r="M96" s="188" t="e">
        <f>RANK(K96, K$45:$K$77)</f>
        <v>#N/A</v>
      </c>
      <c r="N96" s="529"/>
      <c r="O96" s="530"/>
      <c r="P96" s="190"/>
      <c r="Q96" s="190"/>
      <c r="R96" s="187"/>
      <c r="S96" s="184"/>
      <c r="T96" s="528"/>
      <c r="U96" s="190"/>
      <c r="V96" s="190"/>
      <c r="W96" s="187"/>
      <c r="X96" s="184"/>
      <c r="Y96" s="528"/>
      <c r="Z96" s="190"/>
      <c r="AA96" s="190"/>
      <c r="AB96" s="187"/>
      <c r="AC96" s="184"/>
      <c r="AD96" s="528"/>
      <c r="AE96" s="190"/>
      <c r="AF96" s="190"/>
      <c r="AG96" s="187"/>
      <c r="AH96" s="184"/>
      <c r="AI96" s="528"/>
      <c r="AJ96" s="190"/>
      <c r="AK96" s="190"/>
      <c r="AL96" s="187"/>
      <c r="AM96" s="184"/>
      <c r="AN96" s="528"/>
      <c r="AO96" s="190"/>
      <c r="AP96" s="190"/>
      <c r="AQ96" s="187"/>
      <c r="AR96" s="184"/>
      <c r="AS96" s="528"/>
      <c r="AT96" s="190"/>
      <c r="AU96" s="190"/>
      <c r="AV96" s="187"/>
      <c r="AW96" s="184"/>
      <c r="AX96" s="528"/>
    </row>
    <row r="97" spans="2:50" ht="14.25" customHeight="1">
      <c r="B97" s="514"/>
      <c r="C97" s="182">
        <v>15</v>
      </c>
      <c r="D97" s="185"/>
      <c r="E97" s="186"/>
      <c r="F97" s="182"/>
      <c r="G97" s="187"/>
      <c r="H97" s="526"/>
      <c r="I97" s="188"/>
      <c r="J97" s="188"/>
      <c r="K97" s="189"/>
      <c r="L97" s="527"/>
      <c r="M97" s="188" t="e">
        <f>RANK(K97, K$45:$K$77)</f>
        <v>#N/A</v>
      </c>
      <c r="N97" s="529"/>
      <c r="O97" s="530"/>
      <c r="P97" s="190"/>
      <c r="Q97" s="190"/>
      <c r="R97" s="187"/>
      <c r="S97" s="184"/>
      <c r="T97" s="528"/>
      <c r="U97" s="190"/>
      <c r="V97" s="190"/>
      <c r="W97" s="187"/>
      <c r="X97" s="184"/>
      <c r="Y97" s="528"/>
      <c r="Z97" s="190"/>
      <c r="AA97" s="190"/>
      <c r="AB97" s="187"/>
      <c r="AC97" s="184"/>
      <c r="AD97" s="528"/>
      <c r="AE97" s="190"/>
      <c r="AF97" s="190"/>
      <c r="AG97" s="187"/>
      <c r="AH97" s="184"/>
      <c r="AI97" s="528"/>
      <c r="AJ97" s="190"/>
      <c r="AK97" s="190"/>
      <c r="AL97" s="187"/>
      <c r="AM97" s="184"/>
      <c r="AN97" s="528"/>
      <c r="AO97" s="190"/>
      <c r="AP97" s="190"/>
      <c r="AQ97" s="187"/>
      <c r="AR97" s="184"/>
      <c r="AS97" s="528"/>
      <c r="AT97" s="190"/>
      <c r="AU97" s="190"/>
      <c r="AV97" s="187"/>
      <c r="AW97" s="184"/>
      <c r="AX97" s="528"/>
    </row>
    <row r="98" spans="2:50" ht="14.25" customHeight="1">
      <c r="B98" s="514"/>
      <c r="C98" s="182">
        <v>16</v>
      </c>
      <c r="D98" s="185"/>
      <c r="E98" s="186"/>
      <c r="F98" s="182"/>
      <c r="G98" s="187"/>
      <c r="H98" s="526"/>
      <c r="I98" s="188"/>
      <c r="J98" s="188"/>
      <c r="K98" s="189"/>
      <c r="L98" s="527"/>
      <c r="M98" s="188" t="e">
        <f>RANK(K98, K$45:$K$77)</f>
        <v>#N/A</v>
      </c>
      <c r="N98" s="529"/>
      <c r="O98" s="530"/>
      <c r="P98" s="190"/>
      <c r="Q98" s="190"/>
      <c r="R98" s="187"/>
      <c r="S98" s="184"/>
      <c r="T98" s="528"/>
      <c r="U98" s="190"/>
      <c r="V98" s="190"/>
      <c r="W98" s="187"/>
      <c r="X98" s="184"/>
      <c r="Y98" s="528"/>
      <c r="Z98" s="190"/>
      <c r="AA98" s="190"/>
      <c r="AB98" s="187"/>
      <c r="AC98" s="184"/>
      <c r="AD98" s="528"/>
      <c r="AE98" s="190"/>
      <c r="AF98" s="190"/>
      <c r="AG98" s="187"/>
      <c r="AH98" s="184"/>
      <c r="AI98" s="528"/>
      <c r="AJ98" s="190"/>
      <c r="AK98" s="190"/>
      <c r="AL98" s="187"/>
      <c r="AM98" s="184"/>
      <c r="AN98" s="528"/>
      <c r="AO98" s="190"/>
      <c r="AP98" s="190"/>
      <c r="AQ98" s="187"/>
      <c r="AR98" s="184"/>
      <c r="AS98" s="528"/>
      <c r="AT98" s="190"/>
      <c r="AU98" s="190"/>
      <c r="AV98" s="187"/>
      <c r="AW98" s="184"/>
      <c r="AX98" s="528"/>
    </row>
    <row r="99" spans="2:50" ht="14.25" customHeight="1">
      <c r="B99" s="514"/>
      <c r="C99" s="182">
        <v>17</v>
      </c>
      <c r="D99" s="185"/>
      <c r="E99" s="186"/>
      <c r="F99" s="182"/>
      <c r="G99" s="187"/>
      <c r="H99" s="526"/>
      <c r="I99" s="188"/>
      <c r="J99" s="188"/>
      <c r="K99" s="189"/>
      <c r="L99" s="527"/>
      <c r="M99" s="188" t="e">
        <f>RANK(K99, K$45:$K$77)</f>
        <v>#N/A</v>
      </c>
      <c r="N99" s="529"/>
      <c r="O99" s="530"/>
      <c r="P99" s="190"/>
      <c r="Q99" s="190"/>
      <c r="R99" s="187"/>
      <c r="S99" s="184"/>
      <c r="T99" s="528"/>
      <c r="U99" s="190"/>
      <c r="V99" s="190"/>
      <c r="W99" s="187"/>
      <c r="X99" s="184"/>
      <c r="Y99" s="528"/>
      <c r="Z99" s="190"/>
      <c r="AA99" s="190"/>
      <c r="AB99" s="187"/>
      <c r="AC99" s="184"/>
      <c r="AD99" s="528"/>
      <c r="AE99" s="190"/>
      <c r="AF99" s="190"/>
      <c r="AG99" s="187"/>
      <c r="AH99" s="184"/>
      <c r="AI99" s="528"/>
      <c r="AJ99" s="190"/>
      <c r="AK99" s="190"/>
      <c r="AL99" s="187"/>
      <c r="AM99" s="184"/>
      <c r="AN99" s="528"/>
      <c r="AO99" s="190"/>
      <c r="AP99" s="190"/>
      <c r="AQ99" s="187"/>
      <c r="AR99" s="184"/>
      <c r="AS99" s="528"/>
      <c r="AT99" s="190"/>
      <c r="AU99" s="190"/>
      <c r="AV99" s="187"/>
      <c r="AW99" s="184"/>
      <c r="AX99" s="528"/>
    </row>
    <row r="100" spans="2:50" ht="14.25" customHeight="1">
      <c r="B100" s="514"/>
      <c r="C100" s="182">
        <v>18</v>
      </c>
      <c r="D100" s="185"/>
      <c r="E100" s="186"/>
      <c r="F100" s="182"/>
      <c r="G100" s="187"/>
      <c r="H100" s="526"/>
      <c r="I100" s="188"/>
      <c r="J100" s="188"/>
      <c r="K100" s="189"/>
      <c r="L100" s="527"/>
      <c r="M100" s="188" t="e">
        <f>RANK(K100, K$45:$K$77)</f>
        <v>#N/A</v>
      </c>
      <c r="N100" s="529"/>
      <c r="O100" s="530"/>
      <c r="P100" s="190"/>
      <c r="Q100" s="190"/>
      <c r="R100" s="187"/>
      <c r="S100" s="184"/>
      <c r="T100" s="528"/>
      <c r="U100" s="190"/>
      <c r="V100" s="190"/>
      <c r="W100" s="187"/>
      <c r="X100" s="184"/>
      <c r="Y100" s="528"/>
      <c r="Z100" s="190"/>
      <c r="AA100" s="190"/>
      <c r="AB100" s="187"/>
      <c r="AC100" s="184"/>
      <c r="AD100" s="528"/>
      <c r="AE100" s="190"/>
      <c r="AF100" s="190"/>
      <c r="AG100" s="187"/>
      <c r="AH100" s="184"/>
      <c r="AI100" s="528"/>
      <c r="AJ100" s="190"/>
      <c r="AK100" s="190"/>
      <c r="AL100" s="187"/>
      <c r="AM100" s="184"/>
      <c r="AN100" s="528"/>
      <c r="AO100" s="190"/>
      <c r="AP100" s="190"/>
      <c r="AQ100" s="187"/>
      <c r="AR100" s="184"/>
      <c r="AS100" s="528"/>
      <c r="AT100" s="190"/>
      <c r="AU100" s="190"/>
      <c r="AV100" s="187"/>
      <c r="AW100" s="184"/>
      <c r="AX100" s="528"/>
    </row>
    <row r="101" spans="2:50" ht="14.25" customHeight="1">
      <c r="B101" s="514"/>
      <c r="C101" s="182">
        <v>19</v>
      </c>
      <c r="D101" s="185"/>
      <c r="E101" s="186"/>
      <c r="F101" s="182"/>
      <c r="G101" s="187"/>
      <c r="H101" s="526"/>
      <c r="I101" s="188"/>
      <c r="J101" s="188"/>
      <c r="K101" s="189"/>
      <c r="L101" s="527"/>
      <c r="M101" s="188" t="e">
        <f>RANK(K101, K$45:$K$77)</f>
        <v>#N/A</v>
      </c>
      <c r="N101" s="529"/>
      <c r="O101" s="530"/>
      <c r="P101" s="190"/>
      <c r="Q101" s="190"/>
      <c r="R101" s="187"/>
      <c r="S101" s="184"/>
      <c r="T101" s="528"/>
      <c r="U101" s="190"/>
      <c r="V101" s="190"/>
      <c r="W101" s="187"/>
      <c r="X101" s="184"/>
      <c r="Y101" s="528"/>
      <c r="Z101" s="190"/>
      <c r="AA101" s="190"/>
      <c r="AB101" s="187"/>
      <c r="AC101" s="184"/>
      <c r="AD101" s="528"/>
      <c r="AE101" s="190"/>
      <c r="AF101" s="190"/>
      <c r="AG101" s="187"/>
      <c r="AH101" s="184"/>
      <c r="AI101" s="528"/>
      <c r="AJ101" s="190"/>
      <c r="AK101" s="190"/>
      <c r="AL101" s="187"/>
      <c r="AM101" s="184"/>
      <c r="AN101" s="528"/>
      <c r="AO101" s="190"/>
      <c r="AP101" s="190"/>
      <c r="AQ101" s="187"/>
      <c r="AR101" s="184"/>
      <c r="AS101" s="528"/>
      <c r="AT101" s="190"/>
      <c r="AU101" s="190"/>
      <c r="AV101" s="187"/>
      <c r="AW101" s="184"/>
      <c r="AX101" s="528"/>
    </row>
    <row r="102" spans="2:50" ht="14.25" customHeight="1">
      <c r="B102" s="514"/>
      <c r="C102" s="182">
        <v>20</v>
      </c>
      <c r="D102" s="185"/>
      <c r="E102" s="186"/>
      <c r="F102" s="182"/>
      <c r="G102" s="187"/>
      <c r="H102" s="526"/>
      <c r="I102" s="188"/>
      <c r="J102" s="188"/>
      <c r="K102" s="189"/>
      <c r="L102" s="527"/>
      <c r="M102" s="188" t="e">
        <f>RANK(K102, K$45:$K$77)</f>
        <v>#N/A</v>
      </c>
      <c r="N102" s="529"/>
      <c r="O102" s="530"/>
      <c r="P102" s="190"/>
      <c r="Q102" s="190"/>
      <c r="R102" s="187"/>
      <c r="S102" s="184"/>
      <c r="T102" s="528"/>
      <c r="U102" s="190"/>
      <c r="V102" s="190"/>
      <c r="W102" s="187"/>
      <c r="X102" s="184"/>
      <c r="Y102" s="528"/>
      <c r="Z102" s="190"/>
      <c r="AA102" s="190"/>
      <c r="AB102" s="187"/>
      <c r="AC102" s="184"/>
      <c r="AD102" s="528"/>
      <c r="AE102" s="190"/>
      <c r="AF102" s="190"/>
      <c r="AG102" s="187"/>
      <c r="AH102" s="184"/>
      <c r="AI102" s="528"/>
      <c r="AJ102" s="190"/>
      <c r="AK102" s="190"/>
      <c r="AL102" s="187"/>
      <c r="AM102" s="184"/>
      <c r="AN102" s="528"/>
      <c r="AO102" s="190"/>
      <c r="AP102" s="190"/>
      <c r="AQ102" s="187"/>
      <c r="AR102" s="184"/>
      <c r="AS102" s="528"/>
      <c r="AT102" s="190"/>
      <c r="AU102" s="190"/>
      <c r="AV102" s="187"/>
      <c r="AW102" s="184"/>
      <c r="AX102" s="528"/>
    </row>
    <row r="103" spans="2:50" ht="14.25" customHeight="1">
      <c r="B103" s="514"/>
      <c r="C103" s="182">
        <v>21</v>
      </c>
      <c r="D103" s="185"/>
      <c r="E103" s="186"/>
      <c r="F103" s="182"/>
      <c r="G103" s="187"/>
      <c r="H103" s="526"/>
      <c r="I103" s="188"/>
      <c r="J103" s="188"/>
      <c r="K103" s="189"/>
      <c r="L103" s="527"/>
      <c r="M103" s="188" t="e">
        <f>RANK(K103, K$45:$K$77)</f>
        <v>#N/A</v>
      </c>
      <c r="N103" s="529"/>
      <c r="O103" s="530"/>
      <c r="P103" s="190"/>
      <c r="Q103" s="190"/>
      <c r="R103" s="187"/>
      <c r="S103" s="184"/>
      <c r="T103" s="528"/>
      <c r="U103" s="190"/>
      <c r="V103" s="190"/>
      <c r="W103" s="187"/>
      <c r="X103" s="184"/>
      <c r="Y103" s="528"/>
      <c r="Z103" s="190"/>
      <c r="AA103" s="190"/>
      <c r="AB103" s="187"/>
      <c r="AC103" s="184"/>
      <c r="AD103" s="528"/>
      <c r="AE103" s="190"/>
      <c r="AF103" s="190"/>
      <c r="AG103" s="187"/>
      <c r="AH103" s="184"/>
      <c r="AI103" s="528"/>
      <c r="AJ103" s="190"/>
      <c r="AK103" s="190"/>
      <c r="AL103" s="187"/>
      <c r="AM103" s="184"/>
      <c r="AN103" s="528"/>
      <c r="AO103" s="190"/>
      <c r="AP103" s="190"/>
      <c r="AQ103" s="187"/>
      <c r="AR103" s="184"/>
      <c r="AS103" s="528"/>
      <c r="AT103" s="190"/>
      <c r="AU103" s="190"/>
      <c r="AV103" s="187"/>
      <c r="AW103" s="184"/>
      <c r="AX103" s="528"/>
    </row>
    <row r="104" spans="2:50" ht="14.25" customHeight="1">
      <c r="B104" s="514"/>
      <c r="C104" s="182">
        <v>22</v>
      </c>
      <c r="D104" s="185"/>
      <c r="E104" s="186"/>
      <c r="F104" s="182"/>
      <c r="G104" s="187"/>
      <c r="H104" s="526"/>
      <c r="I104" s="188"/>
      <c r="J104" s="188"/>
      <c r="K104" s="189"/>
      <c r="L104" s="527"/>
      <c r="M104" s="188" t="e">
        <f>RANK(K104, K$45:$K$77)</f>
        <v>#N/A</v>
      </c>
      <c r="N104" s="529"/>
      <c r="O104" s="530"/>
      <c r="P104" s="190"/>
      <c r="Q104" s="190"/>
      <c r="R104" s="187"/>
      <c r="S104" s="184"/>
      <c r="T104" s="528"/>
      <c r="U104" s="190"/>
      <c r="V104" s="190"/>
      <c r="W104" s="187"/>
      <c r="X104" s="184"/>
      <c r="Y104" s="528"/>
      <c r="Z104" s="190"/>
      <c r="AA104" s="190"/>
      <c r="AB104" s="187"/>
      <c r="AC104" s="184"/>
      <c r="AD104" s="528"/>
      <c r="AE104" s="190"/>
      <c r="AF104" s="190"/>
      <c r="AG104" s="187"/>
      <c r="AH104" s="184"/>
      <c r="AI104" s="528"/>
      <c r="AJ104" s="190"/>
      <c r="AK104" s="190"/>
      <c r="AL104" s="187"/>
      <c r="AM104" s="184"/>
      <c r="AN104" s="528"/>
      <c r="AO104" s="190"/>
      <c r="AP104" s="190"/>
      <c r="AQ104" s="187"/>
      <c r="AR104" s="184"/>
      <c r="AS104" s="528"/>
      <c r="AT104" s="190"/>
      <c r="AU104" s="190"/>
      <c r="AV104" s="187"/>
      <c r="AW104" s="184"/>
      <c r="AX104" s="528"/>
    </row>
    <row r="105" spans="2:50" ht="14.25" customHeight="1">
      <c r="B105" s="514"/>
      <c r="C105" s="182">
        <v>23</v>
      </c>
      <c r="D105" s="185"/>
      <c r="E105" s="186"/>
      <c r="F105" s="182"/>
      <c r="G105" s="187"/>
      <c r="H105" s="526"/>
      <c r="I105" s="188"/>
      <c r="J105" s="188"/>
      <c r="K105" s="189"/>
      <c r="L105" s="527"/>
      <c r="M105" s="188" t="e">
        <f>RANK(K105, K$45:$K$77)</f>
        <v>#N/A</v>
      </c>
      <c r="N105" s="529"/>
      <c r="O105" s="530"/>
      <c r="P105" s="190"/>
      <c r="Q105" s="190"/>
      <c r="R105" s="187"/>
      <c r="S105" s="184"/>
      <c r="T105" s="528"/>
      <c r="U105" s="190"/>
      <c r="V105" s="190"/>
      <c r="W105" s="187"/>
      <c r="X105" s="184"/>
      <c r="Y105" s="528"/>
      <c r="Z105" s="190"/>
      <c r="AA105" s="190"/>
      <c r="AB105" s="187"/>
      <c r="AC105" s="184"/>
      <c r="AD105" s="528"/>
      <c r="AE105" s="190"/>
      <c r="AF105" s="190"/>
      <c r="AG105" s="187"/>
      <c r="AH105" s="184"/>
      <c r="AI105" s="528"/>
      <c r="AJ105" s="190"/>
      <c r="AK105" s="190"/>
      <c r="AL105" s="187"/>
      <c r="AM105" s="184"/>
      <c r="AN105" s="528"/>
      <c r="AO105" s="190"/>
      <c r="AP105" s="190"/>
      <c r="AQ105" s="187"/>
      <c r="AR105" s="184"/>
      <c r="AS105" s="528"/>
      <c r="AT105" s="190"/>
      <c r="AU105" s="190"/>
      <c r="AV105" s="187"/>
      <c r="AW105" s="184"/>
      <c r="AX105" s="528"/>
    </row>
    <row r="106" spans="2:50" ht="14.25" customHeight="1">
      <c r="B106" s="514"/>
      <c r="C106" s="182">
        <v>24</v>
      </c>
      <c r="D106" s="185"/>
      <c r="E106" s="186"/>
      <c r="F106" s="182"/>
      <c r="G106" s="187"/>
      <c r="H106" s="526"/>
      <c r="I106" s="188"/>
      <c r="J106" s="188"/>
      <c r="K106" s="189"/>
      <c r="L106" s="527"/>
      <c r="M106" s="188" t="e">
        <f>RANK(K106, K$45:$K$77)</f>
        <v>#N/A</v>
      </c>
      <c r="N106" s="529"/>
      <c r="O106" s="530"/>
      <c r="P106" s="190"/>
      <c r="Q106" s="190"/>
      <c r="R106" s="187"/>
      <c r="S106" s="184"/>
      <c r="T106" s="528"/>
      <c r="U106" s="190"/>
      <c r="V106" s="190"/>
      <c r="W106" s="187"/>
      <c r="X106" s="184"/>
      <c r="Y106" s="528"/>
      <c r="Z106" s="190"/>
      <c r="AA106" s="190"/>
      <c r="AB106" s="187"/>
      <c r="AC106" s="184"/>
      <c r="AD106" s="528"/>
      <c r="AE106" s="190"/>
      <c r="AF106" s="190"/>
      <c r="AG106" s="187"/>
      <c r="AH106" s="184"/>
      <c r="AI106" s="528"/>
      <c r="AJ106" s="190"/>
      <c r="AK106" s="190"/>
      <c r="AL106" s="187"/>
      <c r="AM106" s="184"/>
      <c r="AN106" s="528"/>
      <c r="AO106" s="190"/>
      <c r="AP106" s="190"/>
      <c r="AQ106" s="187"/>
      <c r="AR106" s="184"/>
      <c r="AS106" s="528"/>
      <c r="AT106" s="190"/>
      <c r="AU106" s="190"/>
      <c r="AV106" s="187"/>
      <c r="AW106" s="184"/>
      <c r="AX106" s="528"/>
    </row>
    <row r="107" spans="2:50" ht="14.25" customHeight="1">
      <c r="B107" s="514"/>
      <c r="C107" s="182">
        <v>25</v>
      </c>
      <c r="D107" s="185"/>
      <c r="E107" s="186"/>
      <c r="F107" s="182"/>
      <c r="G107" s="187"/>
      <c r="H107" s="526"/>
      <c r="I107" s="188"/>
      <c r="J107" s="188"/>
      <c r="K107" s="189"/>
      <c r="L107" s="527"/>
      <c r="M107" s="188" t="e">
        <f>RANK(K107, K$45:$K$77)</f>
        <v>#N/A</v>
      </c>
      <c r="N107" s="529"/>
      <c r="O107" s="530"/>
      <c r="P107" s="190"/>
      <c r="Q107" s="190"/>
      <c r="R107" s="187"/>
      <c r="S107" s="184"/>
      <c r="T107" s="528"/>
      <c r="U107" s="190"/>
      <c r="V107" s="190"/>
      <c r="W107" s="187"/>
      <c r="X107" s="184"/>
      <c r="Y107" s="528"/>
      <c r="Z107" s="190"/>
      <c r="AA107" s="190"/>
      <c r="AB107" s="187"/>
      <c r="AC107" s="184"/>
      <c r="AD107" s="528"/>
      <c r="AE107" s="190"/>
      <c r="AF107" s="190"/>
      <c r="AG107" s="187"/>
      <c r="AH107" s="184"/>
      <c r="AI107" s="528"/>
      <c r="AJ107" s="190"/>
      <c r="AK107" s="190"/>
      <c r="AL107" s="187"/>
      <c r="AM107" s="184"/>
      <c r="AN107" s="528"/>
      <c r="AO107" s="190"/>
      <c r="AP107" s="190"/>
      <c r="AQ107" s="187"/>
      <c r="AR107" s="184"/>
      <c r="AS107" s="528"/>
      <c r="AT107" s="190"/>
      <c r="AU107" s="190"/>
      <c r="AV107" s="187"/>
      <c r="AW107" s="184"/>
      <c r="AX107" s="528"/>
    </row>
    <row r="108" spans="2:50" ht="14.25" customHeight="1">
      <c r="B108" s="514"/>
      <c r="C108" s="182">
        <v>26</v>
      </c>
      <c r="D108" s="185"/>
      <c r="E108" s="186"/>
      <c r="F108" s="182"/>
      <c r="G108" s="187"/>
      <c r="H108" s="526"/>
      <c r="I108" s="188"/>
      <c r="J108" s="188"/>
      <c r="K108" s="189"/>
      <c r="L108" s="527"/>
      <c r="M108" s="188" t="e">
        <f>RANK(K108, K$45:$K$77)</f>
        <v>#N/A</v>
      </c>
      <c r="N108" s="529"/>
      <c r="O108" s="530"/>
      <c r="P108" s="190"/>
      <c r="Q108" s="190"/>
      <c r="R108" s="187"/>
      <c r="S108" s="184"/>
      <c r="T108" s="528"/>
      <c r="U108" s="190"/>
      <c r="V108" s="190"/>
      <c r="W108" s="187"/>
      <c r="X108" s="184"/>
      <c r="Y108" s="528"/>
      <c r="Z108" s="190"/>
      <c r="AA108" s="190"/>
      <c r="AB108" s="187"/>
      <c r="AC108" s="184"/>
      <c r="AD108" s="528"/>
      <c r="AE108" s="190"/>
      <c r="AF108" s="190"/>
      <c r="AG108" s="187"/>
      <c r="AH108" s="184"/>
      <c r="AI108" s="528"/>
      <c r="AJ108" s="190"/>
      <c r="AK108" s="190"/>
      <c r="AL108" s="187"/>
      <c r="AM108" s="184"/>
      <c r="AN108" s="528"/>
      <c r="AO108" s="190"/>
      <c r="AP108" s="190"/>
      <c r="AQ108" s="187"/>
      <c r="AR108" s="184"/>
      <c r="AS108" s="528"/>
      <c r="AT108" s="190"/>
      <c r="AU108" s="190"/>
      <c r="AV108" s="187"/>
      <c r="AW108" s="184"/>
      <c r="AX108" s="528"/>
    </row>
    <row r="109" spans="2:50" ht="14.25" customHeight="1">
      <c r="B109" s="514"/>
      <c r="C109" s="182">
        <v>27</v>
      </c>
      <c r="D109" s="185"/>
      <c r="E109" s="186"/>
      <c r="F109" s="182"/>
      <c r="G109" s="187"/>
      <c r="H109" s="526"/>
      <c r="I109" s="188"/>
      <c r="J109" s="188"/>
      <c r="K109" s="189"/>
      <c r="L109" s="527"/>
      <c r="M109" s="188" t="e">
        <f>RANK(K109, K$45:$K$77)</f>
        <v>#N/A</v>
      </c>
      <c r="N109" s="529"/>
      <c r="O109" s="530"/>
      <c r="P109" s="190"/>
      <c r="Q109" s="190"/>
      <c r="R109" s="187"/>
      <c r="S109" s="184"/>
      <c r="T109" s="528"/>
      <c r="U109" s="190"/>
      <c r="V109" s="190"/>
      <c r="W109" s="187"/>
      <c r="X109" s="184"/>
      <c r="Y109" s="528"/>
      <c r="Z109" s="190"/>
      <c r="AA109" s="190"/>
      <c r="AB109" s="187"/>
      <c r="AC109" s="184"/>
      <c r="AD109" s="528"/>
      <c r="AE109" s="190"/>
      <c r="AF109" s="190"/>
      <c r="AG109" s="187"/>
      <c r="AH109" s="184"/>
      <c r="AI109" s="528"/>
      <c r="AJ109" s="190"/>
      <c r="AK109" s="190"/>
      <c r="AL109" s="187"/>
      <c r="AM109" s="184"/>
      <c r="AN109" s="528"/>
      <c r="AO109" s="190"/>
      <c r="AP109" s="190"/>
      <c r="AQ109" s="187"/>
      <c r="AR109" s="184"/>
      <c r="AS109" s="528"/>
      <c r="AT109" s="190"/>
      <c r="AU109" s="190"/>
      <c r="AV109" s="187"/>
      <c r="AW109" s="184"/>
      <c r="AX109" s="528"/>
    </row>
    <row r="110" spans="2:50" ht="14.25" customHeight="1">
      <c r="B110" s="514"/>
      <c r="C110" s="182">
        <v>28</v>
      </c>
      <c r="D110" s="185"/>
      <c r="E110" s="186"/>
      <c r="F110" s="182"/>
      <c r="G110" s="187"/>
      <c r="H110" s="526"/>
      <c r="I110" s="188"/>
      <c r="J110" s="188"/>
      <c r="K110" s="189"/>
      <c r="L110" s="527"/>
      <c r="M110" s="188" t="e">
        <f>RANK(K110, K$45:$K$77)</f>
        <v>#N/A</v>
      </c>
      <c r="N110" s="529"/>
      <c r="O110" s="530"/>
      <c r="P110" s="190"/>
      <c r="Q110" s="190"/>
      <c r="R110" s="187"/>
      <c r="S110" s="184"/>
      <c r="T110" s="528"/>
      <c r="U110" s="190"/>
      <c r="V110" s="190"/>
      <c r="W110" s="187"/>
      <c r="X110" s="184"/>
      <c r="Y110" s="528"/>
      <c r="Z110" s="190"/>
      <c r="AA110" s="190"/>
      <c r="AB110" s="187"/>
      <c r="AC110" s="184"/>
      <c r="AD110" s="528"/>
      <c r="AE110" s="190"/>
      <c r="AF110" s="190"/>
      <c r="AG110" s="187"/>
      <c r="AH110" s="184"/>
      <c r="AI110" s="528"/>
      <c r="AJ110" s="190"/>
      <c r="AK110" s="190"/>
      <c r="AL110" s="187"/>
      <c r="AM110" s="184"/>
      <c r="AN110" s="528"/>
      <c r="AO110" s="190"/>
      <c r="AP110" s="190"/>
      <c r="AQ110" s="187"/>
      <c r="AR110" s="184"/>
      <c r="AS110" s="528"/>
      <c r="AT110" s="190"/>
      <c r="AU110" s="190"/>
      <c r="AV110" s="187"/>
      <c r="AW110" s="184"/>
      <c r="AX110" s="528"/>
    </row>
    <row r="111" spans="2:50" ht="14.25" customHeight="1">
      <c r="B111" s="514"/>
      <c r="C111" s="182">
        <v>29</v>
      </c>
      <c r="D111" s="185"/>
      <c r="E111" s="186"/>
      <c r="F111" s="182"/>
      <c r="G111" s="187"/>
      <c r="H111" s="526"/>
      <c r="I111" s="188"/>
      <c r="J111" s="188"/>
      <c r="K111" s="189"/>
      <c r="L111" s="527"/>
      <c r="M111" s="188" t="e">
        <f>RANK(K111, K$45:$K$77)</f>
        <v>#N/A</v>
      </c>
      <c r="N111" s="529"/>
      <c r="O111" s="530"/>
      <c r="P111" s="190"/>
      <c r="Q111" s="190"/>
      <c r="R111" s="187"/>
      <c r="S111" s="184"/>
      <c r="T111" s="528"/>
      <c r="U111" s="190"/>
      <c r="V111" s="190"/>
      <c r="W111" s="187"/>
      <c r="X111" s="184"/>
      <c r="Y111" s="528"/>
      <c r="Z111" s="190"/>
      <c r="AA111" s="190"/>
      <c r="AB111" s="187"/>
      <c r="AC111" s="184"/>
      <c r="AD111" s="528"/>
      <c r="AE111" s="190"/>
      <c r="AF111" s="190"/>
      <c r="AG111" s="187"/>
      <c r="AH111" s="184"/>
      <c r="AI111" s="528"/>
      <c r="AJ111" s="190"/>
      <c r="AK111" s="190"/>
      <c r="AL111" s="187"/>
      <c r="AM111" s="184"/>
      <c r="AN111" s="528"/>
      <c r="AO111" s="190"/>
      <c r="AP111" s="190"/>
      <c r="AQ111" s="187"/>
      <c r="AR111" s="184"/>
      <c r="AS111" s="528"/>
      <c r="AT111" s="190"/>
      <c r="AU111" s="190"/>
      <c r="AV111" s="187"/>
      <c r="AW111" s="184"/>
      <c r="AX111" s="528"/>
    </row>
    <row r="112" spans="2:50" ht="14.25" customHeight="1">
      <c r="B112" s="514"/>
      <c r="C112" s="182">
        <v>30</v>
      </c>
      <c r="D112" s="185"/>
      <c r="E112" s="186"/>
      <c r="F112" s="182"/>
      <c r="G112" s="187"/>
      <c r="H112" s="526"/>
      <c r="I112" s="188"/>
      <c r="J112" s="188"/>
      <c r="K112" s="189"/>
      <c r="L112" s="527"/>
      <c r="M112" s="188" t="e">
        <f>RANK(K112, K$45:$K$77)</f>
        <v>#N/A</v>
      </c>
      <c r="N112" s="529"/>
      <c r="O112" s="530"/>
      <c r="P112" s="190"/>
      <c r="Q112" s="190"/>
      <c r="R112" s="187"/>
      <c r="S112" s="184"/>
      <c r="T112" s="528"/>
      <c r="U112" s="190"/>
      <c r="V112" s="190"/>
      <c r="W112" s="187"/>
      <c r="X112" s="184"/>
      <c r="Y112" s="528"/>
      <c r="Z112" s="190"/>
      <c r="AA112" s="190"/>
      <c r="AB112" s="187"/>
      <c r="AC112" s="184"/>
      <c r="AD112" s="528"/>
      <c r="AE112" s="190"/>
      <c r="AF112" s="190"/>
      <c r="AG112" s="187"/>
      <c r="AH112" s="184"/>
      <c r="AI112" s="528"/>
      <c r="AJ112" s="190"/>
      <c r="AK112" s="190"/>
      <c r="AL112" s="187"/>
      <c r="AM112" s="184"/>
      <c r="AN112" s="528"/>
      <c r="AO112" s="190"/>
      <c r="AP112" s="190"/>
      <c r="AQ112" s="187"/>
      <c r="AR112" s="184"/>
      <c r="AS112" s="528"/>
      <c r="AT112" s="190"/>
      <c r="AU112" s="190"/>
      <c r="AV112" s="187"/>
      <c r="AW112" s="184"/>
      <c r="AX112" s="528"/>
    </row>
    <row r="113" spans="1:50" ht="14.25" customHeight="1">
      <c r="B113" s="514"/>
      <c r="C113" s="182">
        <v>31</v>
      </c>
      <c r="D113" s="185"/>
      <c r="E113" s="182"/>
      <c r="F113" s="182"/>
      <c r="G113" s="187"/>
      <c r="H113" s="526"/>
      <c r="I113" s="188"/>
      <c r="J113" s="188"/>
      <c r="K113" s="189"/>
      <c r="L113" s="527"/>
      <c r="M113" s="188" t="e">
        <f>RANK(K113, K$45:$K$77)</f>
        <v>#N/A</v>
      </c>
      <c r="N113" s="529"/>
      <c r="O113" s="530"/>
      <c r="P113" s="190"/>
      <c r="Q113" s="190"/>
      <c r="R113" s="187"/>
      <c r="S113" s="184"/>
      <c r="T113" s="528"/>
      <c r="U113" s="190"/>
      <c r="V113" s="190"/>
      <c r="W113" s="187"/>
      <c r="X113" s="184"/>
      <c r="Y113" s="528"/>
      <c r="Z113" s="190"/>
      <c r="AA113" s="190"/>
      <c r="AB113" s="187"/>
      <c r="AC113" s="184"/>
      <c r="AD113" s="528"/>
      <c r="AE113" s="190"/>
      <c r="AF113" s="190"/>
      <c r="AG113" s="187"/>
      <c r="AH113" s="184"/>
      <c r="AI113" s="528"/>
      <c r="AJ113" s="190"/>
      <c r="AK113" s="190"/>
      <c r="AL113" s="187"/>
      <c r="AM113" s="184"/>
      <c r="AN113" s="528"/>
      <c r="AO113" s="190"/>
      <c r="AP113" s="190"/>
      <c r="AQ113" s="187"/>
      <c r="AR113" s="184"/>
      <c r="AS113" s="528"/>
      <c r="AT113" s="190"/>
      <c r="AU113" s="190"/>
      <c r="AV113" s="187"/>
      <c r="AW113" s="184"/>
      <c r="AX113" s="528"/>
    </row>
    <row r="114" spans="1:50" ht="14.25" customHeight="1">
      <c r="B114" s="514"/>
      <c r="C114" s="182">
        <v>32</v>
      </c>
      <c r="D114" s="185"/>
      <c r="E114" s="182"/>
      <c r="F114" s="182"/>
      <c r="G114" s="187"/>
      <c r="H114" s="526"/>
      <c r="I114" s="188"/>
      <c r="J114" s="188"/>
      <c r="K114" s="189"/>
      <c r="L114" s="527"/>
      <c r="M114" s="188"/>
      <c r="N114" s="529"/>
      <c r="O114" s="530"/>
      <c r="P114" s="190"/>
      <c r="Q114" s="190"/>
      <c r="R114" s="187"/>
      <c r="S114" s="184"/>
      <c r="T114" s="528"/>
      <c r="U114" s="190"/>
      <c r="V114" s="190"/>
      <c r="W114" s="187"/>
      <c r="X114" s="184"/>
      <c r="Y114" s="528"/>
      <c r="Z114" s="190"/>
      <c r="AA114" s="190"/>
      <c r="AB114" s="187"/>
      <c r="AC114" s="184"/>
      <c r="AD114" s="528"/>
      <c r="AE114" s="190"/>
      <c r="AF114" s="190"/>
      <c r="AG114" s="187"/>
      <c r="AH114" s="184"/>
      <c r="AI114" s="528"/>
      <c r="AJ114" s="190"/>
      <c r="AK114" s="190"/>
      <c r="AL114" s="187"/>
      <c r="AM114" s="184"/>
      <c r="AN114" s="528"/>
      <c r="AO114" s="190"/>
      <c r="AP114" s="190"/>
      <c r="AQ114" s="187"/>
      <c r="AR114" s="184"/>
      <c r="AS114" s="528"/>
      <c r="AT114" s="190"/>
      <c r="AU114" s="190"/>
      <c r="AV114" s="187"/>
      <c r="AW114" s="184"/>
      <c r="AX114" s="528"/>
    </row>
    <row r="115" spans="1:50" ht="14.25" customHeight="1">
      <c r="B115" s="514"/>
      <c r="C115" s="182">
        <v>33</v>
      </c>
      <c r="D115" s="185"/>
      <c r="E115" s="182"/>
      <c r="F115" s="182"/>
      <c r="G115" s="187"/>
      <c r="H115" s="526"/>
      <c r="I115" s="188"/>
      <c r="J115" s="188"/>
      <c r="K115" s="189"/>
      <c r="L115" s="527"/>
      <c r="M115" s="188"/>
      <c r="N115" s="529"/>
      <c r="O115" s="530"/>
      <c r="P115" s="190"/>
      <c r="Q115" s="190"/>
      <c r="R115" s="187"/>
      <c r="S115" s="184"/>
      <c r="T115" s="528"/>
      <c r="U115" s="190"/>
      <c r="V115" s="190"/>
      <c r="W115" s="187"/>
      <c r="X115" s="184"/>
      <c r="Y115" s="528"/>
      <c r="Z115" s="190"/>
      <c r="AA115" s="190"/>
      <c r="AB115" s="187"/>
      <c r="AC115" s="184"/>
      <c r="AD115" s="528"/>
      <c r="AE115" s="190"/>
      <c r="AF115" s="190"/>
      <c r="AG115" s="187"/>
      <c r="AH115" s="184"/>
      <c r="AI115" s="528"/>
      <c r="AJ115" s="190"/>
      <c r="AK115" s="190"/>
      <c r="AL115" s="187"/>
      <c r="AM115" s="184"/>
      <c r="AN115" s="528"/>
      <c r="AO115" s="190"/>
      <c r="AP115" s="190"/>
      <c r="AQ115" s="187"/>
      <c r="AR115" s="184"/>
      <c r="AS115" s="528"/>
      <c r="AT115" s="190"/>
      <c r="AU115" s="190"/>
      <c r="AV115" s="187"/>
      <c r="AW115" s="184"/>
      <c r="AX115" s="528"/>
    </row>
    <row r="116" spans="1:50" ht="14.25" customHeight="1" collapsed="1">
      <c r="B116" s="541" t="s">
        <v>697</v>
      </c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60"/>
      <c r="N116" s="545" t="s">
        <v>383</v>
      </c>
      <c r="O116" s="545" t="s">
        <v>105</v>
      </c>
      <c r="P116" s="563">
        <f>AT78+1</f>
        <v>46070</v>
      </c>
      <c r="Q116" s="564"/>
      <c r="R116" s="564"/>
      <c r="S116" s="564"/>
      <c r="T116" s="564"/>
      <c r="U116" s="565">
        <f>P116+1</f>
        <v>46071</v>
      </c>
      <c r="V116" s="566"/>
      <c r="W116" s="566"/>
      <c r="X116" s="566"/>
      <c r="Y116" s="566"/>
      <c r="Z116" s="563">
        <f t="shared" ref="Z116" si="71">U116+1</f>
        <v>46072</v>
      </c>
      <c r="AA116" s="564"/>
      <c r="AB116" s="564"/>
      <c r="AC116" s="564"/>
      <c r="AD116" s="564"/>
      <c r="AE116" s="565">
        <f t="shared" ref="AE116" si="72">Z116+1</f>
        <v>46073</v>
      </c>
      <c r="AF116" s="566"/>
      <c r="AG116" s="566"/>
      <c r="AH116" s="566"/>
      <c r="AI116" s="566"/>
      <c r="AJ116" s="547">
        <f t="shared" ref="AJ116" si="73">AE116+1</f>
        <v>46074</v>
      </c>
      <c r="AK116" s="548"/>
      <c r="AL116" s="548"/>
      <c r="AM116" s="548"/>
      <c r="AN116" s="549"/>
      <c r="AO116" s="565">
        <f t="shared" ref="AO116" si="74">AJ116+1</f>
        <v>46075</v>
      </c>
      <c r="AP116" s="566"/>
      <c r="AQ116" s="566"/>
      <c r="AR116" s="566"/>
      <c r="AS116" s="566"/>
      <c r="AT116" s="547">
        <f t="shared" ref="AT116" si="75">AO116+1</f>
        <v>46076</v>
      </c>
      <c r="AU116" s="548"/>
      <c r="AV116" s="548"/>
      <c r="AW116" s="548"/>
      <c r="AX116" s="549"/>
    </row>
    <row r="117" spans="1:50" ht="14.25" customHeight="1">
      <c r="B117" s="561"/>
      <c r="C117" s="561"/>
      <c r="D117" s="561"/>
      <c r="E117" s="561"/>
      <c r="F117" s="561"/>
      <c r="G117" s="561"/>
      <c r="H117" s="561"/>
      <c r="I117" s="561"/>
      <c r="J117" s="561"/>
      <c r="K117" s="561"/>
      <c r="L117" s="561"/>
      <c r="M117" s="562"/>
      <c r="N117" s="546"/>
      <c r="O117" s="546"/>
      <c r="P117" s="567">
        <f>P116</f>
        <v>46070</v>
      </c>
      <c r="Q117" s="567"/>
      <c r="R117" s="567"/>
      <c r="S117" s="567"/>
      <c r="T117" s="567"/>
      <c r="U117" s="568">
        <f>U116</f>
        <v>46071</v>
      </c>
      <c r="V117" s="568"/>
      <c r="W117" s="568"/>
      <c r="X117" s="568"/>
      <c r="Y117" s="568"/>
      <c r="Z117" s="567">
        <f t="shared" ref="Z117" si="76">Z116</f>
        <v>46072</v>
      </c>
      <c r="AA117" s="567"/>
      <c r="AB117" s="567"/>
      <c r="AC117" s="567"/>
      <c r="AD117" s="567"/>
      <c r="AE117" s="568">
        <f t="shared" ref="AE117" si="77">AE116</f>
        <v>46073</v>
      </c>
      <c r="AF117" s="568"/>
      <c r="AG117" s="568"/>
      <c r="AH117" s="568"/>
      <c r="AI117" s="568"/>
      <c r="AJ117" s="553">
        <f t="shared" ref="AJ117" si="78">AJ116</f>
        <v>46074</v>
      </c>
      <c r="AK117" s="554"/>
      <c r="AL117" s="554"/>
      <c r="AM117" s="554"/>
      <c r="AN117" s="555"/>
      <c r="AO117" s="568">
        <f t="shared" ref="AO117" si="79">AO116</f>
        <v>46075</v>
      </c>
      <c r="AP117" s="568"/>
      <c r="AQ117" s="568"/>
      <c r="AR117" s="568"/>
      <c r="AS117" s="568"/>
      <c r="AT117" s="553">
        <f t="shared" ref="AT117" si="80">AT116</f>
        <v>46076</v>
      </c>
      <c r="AU117" s="554"/>
      <c r="AV117" s="554"/>
      <c r="AW117" s="554"/>
      <c r="AX117" s="555"/>
    </row>
    <row r="118" spans="1:50" ht="14.25" customHeight="1">
      <c r="B118" s="514" t="s">
        <v>164</v>
      </c>
      <c r="C118" s="514" t="s">
        <v>159</v>
      </c>
      <c r="D118" s="514"/>
      <c r="E118" s="514" t="s">
        <v>160</v>
      </c>
      <c r="F118" s="514"/>
      <c r="G118" s="514"/>
      <c r="H118" s="514" t="s">
        <v>165</v>
      </c>
      <c r="I118" s="531" t="s">
        <v>384</v>
      </c>
      <c r="J118" s="531"/>
      <c r="K118" s="531"/>
      <c r="L118" s="531" t="s">
        <v>165</v>
      </c>
      <c r="M118" s="531" t="s">
        <v>167</v>
      </c>
      <c r="N118" s="529"/>
      <c r="O118" s="530" t="s">
        <v>166</v>
      </c>
      <c r="P118" s="530" t="s">
        <v>162</v>
      </c>
      <c r="Q118" s="530"/>
      <c r="R118" s="530"/>
      <c r="S118" s="530"/>
      <c r="T118" s="530" t="s">
        <v>165</v>
      </c>
      <c r="U118" s="530" t="s">
        <v>162</v>
      </c>
      <c r="V118" s="530"/>
      <c r="W118" s="530"/>
      <c r="X118" s="530"/>
      <c r="Y118" s="530" t="s">
        <v>165</v>
      </c>
      <c r="Z118" s="530" t="s">
        <v>162</v>
      </c>
      <c r="AA118" s="530"/>
      <c r="AB118" s="530"/>
      <c r="AC118" s="530"/>
      <c r="AD118" s="530" t="s">
        <v>165</v>
      </c>
      <c r="AE118" s="530" t="s">
        <v>162</v>
      </c>
      <c r="AF118" s="530"/>
      <c r="AG118" s="530"/>
      <c r="AH118" s="530"/>
      <c r="AI118" s="530" t="s">
        <v>165</v>
      </c>
      <c r="AJ118" s="530" t="s">
        <v>162</v>
      </c>
      <c r="AK118" s="530"/>
      <c r="AL118" s="530"/>
      <c r="AM118" s="530"/>
      <c r="AN118" s="530" t="s">
        <v>165</v>
      </c>
      <c r="AO118" s="530" t="s">
        <v>162</v>
      </c>
      <c r="AP118" s="530"/>
      <c r="AQ118" s="530"/>
      <c r="AR118" s="530"/>
      <c r="AS118" s="530" t="s">
        <v>165</v>
      </c>
      <c r="AT118" s="530" t="s">
        <v>162</v>
      </c>
      <c r="AU118" s="530"/>
      <c r="AV118" s="530"/>
      <c r="AW118" s="530"/>
      <c r="AX118" s="530" t="s">
        <v>165</v>
      </c>
    </row>
    <row r="119" spans="1:50" ht="14.25" customHeight="1">
      <c r="B119" s="514"/>
      <c r="C119" s="514"/>
      <c r="D119" s="514"/>
      <c r="E119" s="514" t="s">
        <v>385</v>
      </c>
      <c r="F119" s="514"/>
      <c r="G119" s="514"/>
      <c r="H119" s="514"/>
      <c r="I119" s="531" t="s">
        <v>385</v>
      </c>
      <c r="J119" s="531"/>
      <c r="K119" s="531"/>
      <c r="L119" s="531"/>
      <c r="M119" s="531"/>
      <c r="N119" s="529"/>
      <c r="O119" s="530"/>
      <c r="P119" s="530" t="s">
        <v>386</v>
      </c>
      <c r="Q119" s="530"/>
      <c r="R119" s="530"/>
      <c r="S119" s="530"/>
      <c r="T119" s="530"/>
      <c r="U119" s="530" t="s">
        <v>386</v>
      </c>
      <c r="V119" s="530"/>
      <c r="W119" s="530"/>
      <c r="X119" s="530"/>
      <c r="Y119" s="530"/>
      <c r="Z119" s="530" t="s">
        <v>386</v>
      </c>
      <c r="AA119" s="530"/>
      <c r="AB119" s="530"/>
      <c r="AC119" s="530"/>
      <c r="AD119" s="530"/>
      <c r="AE119" s="530" t="s">
        <v>386</v>
      </c>
      <c r="AF119" s="530"/>
      <c r="AG119" s="530"/>
      <c r="AH119" s="530"/>
      <c r="AI119" s="530"/>
      <c r="AJ119" s="530" t="s">
        <v>386</v>
      </c>
      <c r="AK119" s="530"/>
      <c r="AL119" s="530"/>
      <c r="AM119" s="530"/>
      <c r="AN119" s="530"/>
      <c r="AO119" s="530" t="s">
        <v>386</v>
      </c>
      <c r="AP119" s="530"/>
      <c r="AQ119" s="530"/>
      <c r="AR119" s="530"/>
      <c r="AS119" s="530"/>
      <c r="AT119" s="530" t="s">
        <v>386</v>
      </c>
      <c r="AU119" s="530"/>
      <c r="AV119" s="530"/>
      <c r="AW119" s="530"/>
      <c r="AX119" s="530"/>
    </row>
    <row r="120" spans="1:50" ht="14.25" customHeight="1">
      <c r="A120" s="179"/>
      <c r="B120" s="514"/>
      <c r="C120" s="514"/>
      <c r="D120" s="514"/>
      <c r="E120" s="182" t="s">
        <v>161</v>
      </c>
      <c r="F120" s="182" t="s">
        <v>387</v>
      </c>
      <c r="G120" s="182" t="s">
        <v>163</v>
      </c>
      <c r="H120" s="514"/>
      <c r="I120" s="183" t="s">
        <v>161</v>
      </c>
      <c r="J120" s="183" t="s">
        <v>387</v>
      </c>
      <c r="K120" s="183" t="s">
        <v>163</v>
      </c>
      <c r="L120" s="531"/>
      <c r="M120" s="531"/>
      <c r="N120" s="529"/>
      <c r="O120" s="530"/>
      <c r="P120" s="184" t="s">
        <v>161</v>
      </c>
      <c r="Q120" s="184" t="s">
        <v>387</v>
      </c>
      <c r="R120" s="184" t="s">
        <v>163</v>
      </c>
      <c r="S120" s="184" t="s">
        <v>167</v>
      </c>
      <c r="T120" s="530"/>
      <c r="U120" s="184" t="s">
        <v>161</v>
      </c>
      <c r="V120" s="184" t="s">
        <v>387</v>
      </c>
      <c r="W120" s="184" t="s">
        <v>163</v>
      </c>
      <c r="X120" s="184" t="s">
        <v>167</v>
      </c>
      <c r="Y120" s="530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30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30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30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30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30"/>
    </row>
    <row r="121" spans="1:50" ht="14.25" customHeight="1">
      <c r="B121" s="514" t="s">
        <v>388</v>
      </c>
      <c r="C121" s="182">
        <v>1</v>
      </c>
      <c r="D121" s="185"/>
      <c r="E121" s="186"/>
      <c r="F121" s="182"/>
      <c r="G121" s="187"/>
      <c r="H121" s="526" t="e">
        <f>AVERAGE(G121:G153)</f>
        <v>#DIV/0!</v>
      </c>
      <c r="I121" s="188"/>
      <c r="J121" s="188"/>
      <c r="K121" s="189"/>
      <c r="L121" s="527" t="str">
        <f>IFERROR(AVERAGE(K121:K153),"-")</f>
        <v>-</v>
      </c>
      <c r="M121" s="188" t="e">
        <f>RANK(K121, K$45:$K$77)</f>
        <v>#N/A</v>
      </c>
      <c r="N121" s="529"/>
      <c r="O121" s="530"/>
      <c r="P121" s="190"/>
      <c r="Q121" s="190"/>
      <c r="R121" s="187"/>
      <c r="S121" s="184"/>
      <c r="T121" s="528" t="e">
        <f>AVERAGE(R121:R153)</f>
        <v>#DIV/0!</v>
      </c>
      <c r="U121" s="190"/>
      <c r="V121" s="190"/>
      <c r="W121" s="187"/>
      <c r="X121" s="184"/>
      <c r="Y121" s="528" t="e">
        <f>AVERAGE(W121:W153)</f>
        <v>#DIV/0!</v>
      </c>
      <c r="Z121" s="190"/>
      <c r="AA121" s="190"/>
      <c r="AB121" s="187"/>
      <c r="AC121" s="184"/>
      <c r="AD121" s="528" t="e">
        <f>AVERAGE(AB121:AB153)</f>
        <v>#DIV/0!</v>
      </c>
      <c r="AE121" s="190"/>
      <c r="AF121" s="190"/>
      <c r="AG121" s="187"/>
      <c r="AH121" s="184"/>
      <c r="AI121" s="528" t="e">
        <f>AVERAGE(AG121:AG153)</f>
        <v>#DIV/0!</v>
      </c>
      <c r="AJ121" s="190"/>
      <c r="AK121" s="190"/>
      <c r="AL121" s="187"/>
      <c r="AM121" s="184"/>
      <c r="AN121" s="528" t="e">
        <f>AVERAGE(AL121:AL153)</f>
        <v>#DIV/0!</v>
      </c>
      <c r="AO121" s="190"/>
      <c r="AP121" s="190"/>
      <c r="AQ121" s="187"/>
      <c r="AR121" s="184"/>
      <c r="AS121" s="528" t="e">
        <f>AVERAGE(AQ121:AQ153)</f>
        <v>#DIV/0!</v>
      </c>
      <c r="AT121" s="190"/>
      <c r="AU121" s="190"/>
      <c r="AV121" s="187"/>
      <c r="AW121" s="184"/>
      <c r="AX121" s="528" t="e">
        <f>AVERAGE(AV121:AV153)</f>
        <v>#DIV/0!</v>
      </c>
    </row>
    <row r="122" spans="1:50" ht="14.25" customHeight="1">
      <c r="B122" s="514"/>
      <c r="C122" s="182">
        <v>2</v>
      </c>
      <c r="D122" s="185"/>
      <c r="E122" s="186"/>
      <c r="F122" s="182"/>
      <c r="G122" s="187"/>
      <c r="H122" s="526"/>
      <c r="I122" s="188"/>
      <c r="J122" s="188"/>
      <c r="K122" s="189"/>
      <c r="L122" s="527"/>
      <c r="M122" s="188" t="e">
        <f>RANK(K122, K$45:$K$77)</f>
        <v>#N/A</v>
      </c>
      <c r="N122" s="529"/>
      <c r="O122" s="530"/>
      <c r="P122" s="190"/>
      <c r="Q122" s="190"/>
      <c r="R122" s="187"/>
      <c r="S122" s="184"/>
      <c r="T122" s="528"/>
      <c r="U122" s="190"/>
      <c r="V122" s="190"/>
      <c r="W122" s="187"/>
      <c r="X122" s="184"/>
      <c r="Y122" s="528"/>
      <c r="Z122" s="190"/>
      <c r="AA122" s="190"/>
      <c r="AB122" s="187"/>
      <c r="AC122" s="184"/>
      <c r="AD122" s="528"/>
      <c r="AE122" s="190"/>
      <c r="AF122" s="190"/>
      <c r="AG122" s="187"/>
      <c r="AH122" s="184"/>
      <c r="AI122" s="528"/>
      <c r="AJ122" s="190"/>
      <c r="AK122" s="190"/>
      <c r="AL122" s="187"/>
      <c r="AM122" s="184"/>
      <c r="AN122" s="528"/>
      <c r="AO122" s="190"/>
      <c r="AP122" s="190"/>
      <c r="AQ122" s="187"/>
      <c r="AR122" s="184"/>
      <c r="AS122" s="528"/>
      <c r="AT122" s="190"/>
      <c r="AU122" s="190"/>
      <c r="AV122" s="187"/>
      <c r="AW122" s="184"/>
      <c r="AX122" s="528"/>
    </row>
    <row r="123" spans="1:50" ht="14.25" customHeight="1">
      <c r="B123" s="514"/>
      <c r="C123" s="182">
        <v>3</v>
      </c>
      <c r="D123" s="185"/>
      <c r="E123" s="186"/>
      <c r="F123" s="182"/>
      <c r="G123" s="187"/>
      <c r="H123" s="526"/>
      <c r="I123" s="188"/>
      <c r="J123" s="188"/>
      <c r="K123" s="189"/>
      <c r="L123" s="527"/>
      <c r="M123" s="188" t="e">
        <f>RANK(K123, K$45:$K$77)</f>
        <v>#N/A</v>
      </c>
      <c r="N123" s="529"/>
      <c r="O123" s="530"/>
      <c r="P123" s="190"/>
      <c r="Q123" s="190"/>
      <c r="R123" s="187"/>
      <c r="S123" s="184"/>
      <c r="T123" s="528"/>
      <c r="U123" s="190"/>
      <c r="V123" s="190"/>
      <c r="W123" s="187"/>
      <c r="X123" s="184"/>
      <c r="Y123" s="528"/>
      <c r="Z123" s="190"/>
      <c r="AA123" s="190"/>
      <c r="AB123" s="187"/>
      <c r="AC123" s="184"/>
      <c r="AD123" s="528"/>
      <c r="AE123" s="190"/>
      <c r="AF123" s="190"/>
      <c r="AG123" s="187"/>
      <c r="AH123" s="184"/>
      <c r="AI123" s="528"/>
      <c r="AJ123" s="190"/>
      <c r="AK123" s="190"/>
      <c r="AL123" s="187"/>
      <c r="AM123" s="184"/>
      <c r="AN123" s="528"/>
      <c r="AO123" s="190"/>
      <c r="AP123" s="190"/>
      <c r="AQ123" s="187"/>
      <c r="AR123" s="184"/>
      <c r="AS123" s="528"/>
      <c r="AT123" s="190"/>
      <c r="AU123" s="190"/>
      <c r="AV123" s="187"/>
      <c r="AW123" s="184"/>
      <c r="AX123" s="528"/>
    </row>
    <row r="124" spans="1:50" ht="14.25" customHeight="1">
      <c r="B124" s="514"/>
      <c r="C124" s="182">
        <v>4</v>
      </c>
      <c r="D124" s="185"/>
      <c r="E124" s="186"/>
      <c r="F124" s="182"/>
      <c r="G124" s="187"/>
      <c r="H124" s="526"/>
      <c r="I124" s="188"/>
      <c r="J124" s="188"/>
      <c r="K124" s="189"/>
      <c r="L124" s="527"/>
      <c r="M124" s="188" t="e">
        <f>RANK(K124, K$45:$K$77)</f>
        <v>#N/A</v>
      </c>
      <c r="N124" s="529"/>
      <c r="O124" s="530"/>
      <c r="P124" s="190"/>
      <c r="Q124" s="190"/>
      <c r="R124" s="187"/>
      <c r="S124" s="184"/>
      <c r="T124" s="528"/>
      <c r="U124" s="190"/>
      <c r="V124" s="190"/>
      <c r="W124" s="187"/>
      <c r="X124" s="184"/>
      <c r="Y124" s="528"/>
      <c r="Z124" s="190"/>
      <c r="AA124" s="190"/>
      <c r="AB124" s="187"/>
      <c r="AC124" s="184"/>
      <c r="AD124" s="528"/>
      <c r="AE124" s="190"/>
      <c r="AF124" s="190"/>
      <c r="AG124" s="187"/>
      <c r="AH124" s="184"/>
      <c r="AI124" s="528"/>
      <c r="AJ124" s="190"/>
      <c r="AK124" s="190"/>
      <c r="AL124" s="187"/>
      <c r="AM124" s="184"/>
      <c r="AN124" s="528"/>
      <c r="AO124" s="190"/>
      <c r="AP124" s="190"/>
      <c r="AQ124" s="187"/>
      <c r="AR124" s="184"/>
      <c r="AS124" s="528"/>
      <c r="AT124" s="190"/>
      <c r="AU124" s="190"/>
      <c r="AV124" s="187"/>
      <c r="AW124" s="184"/>
      <c r="AX124" s="528"/>
    </row>
    <row r="125" spans="1:50" ht="14.25" customHeight="1">
      <c r="B125" s="514"/>
      <c r="C125" s="182">
        <v>5</v>
      </c>
      <c r="D125" s="185"/>
      <c r="E125" s="186"/>
      <c r="F125" s="182"/>
      <c r="G125" s="187"/>
      <c r="H125" s="526"/>
      <c r="I125" s="188"/>
      <c r="J125" s="188"/>
      <c r="K125" s="189"/>
      <c r="L125" s="527"/>
      <c r="M125" s="188" t="e">
        <f>RANK(K125, K$45:$K$77)</f>
        <v>#N/A</v>
      </c>
      <c r="N125" s="529"/>
      <c r="O125" s="530"/>
      <c r="P125" s="190"/>
      <c r="Q125" s="190"/>
      <c r="R125" s="187"/>
      <c r="S125" s="184"/>
      <c r="T125" s="528"/>
      <c r="U125" s="190"/>
      <c r="V125" s="190"/>
      <c r="W125" s="187"/>
      <c r="X125" s="184"/>
      <c r="Y125" s="528"/>
      <c r="Z125" s="190"/>
      <c r="AA125" s="190"/>
      <c r="AB125" s="187"/>
      <c r="AC125" s="184"/>
      <c r="AD125" s="528"/>
      <c r="AE125" s="190"/>
      <c r="AF125" s="190"/>
      <c r="AG125" s="187"/>
      <c r="AH125" s="184"/>
      <c r="AI125" s="528"/>
      <c r="AJ125" s="190"/>
      <c r="AK125" s="190"/>
      <c r="AL125" s="187"/>
      <c r="AM125" s="184"/>
      <c r="AN125" s="528"/>
      <c r="AO125" s="190"/>
      <c r="AP125" s="190"/>
      <c r="AQ125" s="187"/>
      <c r="AR125" s="184"/>
      <c r="AS125" s="528"/>
      <c r="AT125" s="190"/>
      <c r="AU125" s="190"/>
      <c r="AV125" s="187"/>
      <c r="AW125" s="184"/>
      <c r="AX125" s="528"/>
    </row>
    <row r="126" spans="1:50" ht="14.25" customHeight="1">
      <c r="B126" s="514"/>
      <c r="C126" s="182">
        <v>6</v>
      </c>
      <c r="D126" s="185"/>
      <c r="E126" s="186"/>
      <c r="F126" s="182"/>
      <c r="G126" s="187"/>
      <c r="H126" s="526"/>
      <c r="I126" s="188"/>
      <c r="J126" s="188"/>
      <c r="K126" s="189"/>
      <c r="L126" s="527"/>
      <c r="M126" s="188" t="e">
        <f>RANK(K126, K$45:$K$77)</f>
        <v>#N/A</v>
      </c>
      <c r="N126" s="529"/>
      <c r="O126" s="530"/>
      <c r="P126" s="190"/>
      <c r="Q126" s="190"/>
      <c r="R126" s="187"/>
      <c r="S126" s="184"/>
      <c r="T126" s="528"/>
      <c r="U126" s="190"/>
      <c r="V126" s="190"/>
      <c r="W126" s="187"/>
      <c r="X126" s="184"/>
      <c r="Y126" s="528"/>
      <c r="Z126" s="190"/>
      <c r="AA126" s="190"/>
      <c r="AB126" s="187"/>
      <c r="AC126" s="184"/>
      <c r="AD126" s="528"/>
      <c r="AE126" s="190"/>
      <c r="AF126" s="190"/>
      <c r="AG126" s="187"/>
      <c r="AH126" s="184"/>
      <c r="AI126" s="528"/>
      <c r="AJ126" s="190"/>
      <c r="AK126" s="190"/>
      <c r="AL126" s="187"/>
      <c r="AM126" s="184"/>
      <c r="AN126" s="528"/>
      <c r="AO126" s="190"/>
      <c r="AP126" s="190"/>
      <c r="AQ126" s="187"/>
      <c r="AR126" s="184"/>
      <c r="AS126" s="528"/>
      <c r="AT126" s="190"/>
      <c r="AU126" s="190"/>
      <c r="AV126" s="187"/>
      <c r="AW126" s="184"/>
      <c r="AX126" s="528"/>
    </row>
    <row r="127" spans="1:50" ht="14.25" customHeight="1">
      <c r="B127" s="514"/>
      <c r="C127" s="182">
        <v>7</v>
      </c>
      <c r="D127" s="185"/>
      <c r="E127" s="186"/>
      <c r="F127" s="182"/>
      <c r="G127" s="187"/>
      <c r="H127" s="526"/>
      <c r="I127" s="188"/>
      <c r="J127" s="188"/>
      <c r="K127" s="189"/>
      <c r="L127" s="527"/>
      <c r="M127" s="188" t="e">
        <f>RANK(K127, K$45:$K$77)</f>
        <v>#N/A</v>
      </c>
      <c r="N127" s="529"/>
      <c r="O127" s="530"/>
      <c r="P127" s="190"/>
      <c r="Q127" s="190"/>
      <c r="R127" s="187"/>
      <c r="S127" s="184"/>
      <c r="T127" s="528"/>
      <c r="U127" s="190"/>
      <c r="V127" s="190"/>
      <c r="W127" s="187"/>
      <c r="X127" s="184"/>
      <c r="Y127" s="528"/>
      <c r="Z127" s="190"/>
      <c r="AA127" s="190"/>
      <c r="AB127" s="187"/>
      <c r="AC127" s="184"/>
      <c r="AD127" s="528"/>
      <c r="AE127" s="190"/>
      <c r="AF127" s="190"/>
      <c r="AG127" s="187"/>
      <c r="AH127" s="184"/>
      <c r="AI127" s="528"/>
      <c r="AJ127" s="190"/>
      <c r="AK127" s="190"/>
      <c r="AL127" s="187"/>
      <c r="AM127" s="184"/>
      <c r="AN127" s="528"/>
      <c r="AO127" s="190"/>
      <c r="AP127" s="190"/>
      <c r="AQ127" s="187"/>
      <c r="AR127" s="184"/>
      <c r="AS127" s="528"/>
      <c r="AT127" s="190"/>
      <c r="AU127" s="190"/>
      <c r="AV127" s="187"/>
      <c r="AW127" s="184"/>
      <c r="AX127" s="528"/>
    </row>
    <row r="128" spans="1:50" ht="14.25" customHeight="1">
      <c r="B128" s="514"/>
      <c r="C128" s="182">
        <v>8</v>
      </c>
      <c r="D128" s="185"/>
      <c r="E128" s="186"/>
      <c r="F128" s="182"/>
      <c r="G128" s="187"/>
      <c r="H128" s="526"/>
      <c r="I128" s="188"/>
      <c r="J128" s="188"/>
      <c r="K128" s="189"/>
      <c r="L128" s="527"/>
      <c r="M128" s="188" t="e">
        <f>RANK(K128, K$45:$K$77)</f>
        <v>#N/A</v>
      </c>
      <c r="N128" s="529"/>
      <c r="O128" s="530"/>
      <c r="P128" s="190"/>
      <c r="Q128" s="190"/>
      <c r="R128" s="187"/>
      <c r="S128" s="184"/>
      <c r="T128" s="528"/>
      <c r="U128" s="190"/>
      <c r="V128" s="190"/>
      <c r="W128" s="187"/>
      <c r="X128" s="184"/>
      <c r="Y128" s="528"/>
      <c r="Z128" s="190"/>
      <c r="AA128" s="190"/>
      <c r="AB128" s="187"/>
      <c r="AC128" s="184"/>
      <c r="AD128" s="528"/>
      <c r="AE128" s="190"/>
      <c r="AF128" s="190"/>
      <c r="AG128" s="187"/>
      <c r="AH128" s="184"/>
      <c r="AI128" s="528"/>
      <c r="AJ128" s="190"/>
      <c r="AK128" s="190"/>
      <c r="AL128" s="187"/>
      <c r="AM128" s="184"/>
      <c r="AN128" s="528"/>
      <c r="AO128" s="190"/>
      <c r="AP128" s="190"/>
      <c r="AQ128" s="187"/>
      <c r="AR128" s="184"/>
      <c r="AS128" s="528"/>
      <c r="AT128" s="190"/>
      <c r="AU128" s="190"/>
      <c r="AV128" s="187"/>
      <c r="AW128" s="184"/>
      <c r="AX128" s="528"/>
    </row>
    <row r="129" spans="2:50" ht="14.25" customHeight="1">
      <c r="B129" s="514"/>
      <c r="C129" s="182">
        <v>9</v>
      </c>
      <c r="D129" s="185"/>
      <c r="E129" s="186"/>
      <c r="F129" s="182"/>
      <c r="G129" s="187"/>
      <c r="H129" s="526"/>
      <c r="I129" s="188"/>
      <c r="J129" s="188"/>
      <c r="K129" s="189"/>
      <c r="L129" s="527"/>
      <c r="M129" s="188" t="e">
        <f>RANK(K129, K$45:$K$77)</f>
        <v>#N/A</v>
      </c>
      <c r="N129" s="529"/>
      <c r="O129" s="530"/>
      <c r="P129" s="190"/>
      <c r="Q129" s="190"/>
      <c r="R129" s="187"/>
      <c r="S129" s="184"/>
      <c r="T129" s="528"/>
      <c r="U129" s="190"/>
      <c r="V129" s="190"/>
      <c r="W129" s="187"/>
      <c r="X129" s="184"/>
      <c r="Y129" s="528"/>
      <c r="Z129" s="190"/>
      <c r="AA129" s="190"/>
      <c r="AB129" s="187"/>
      <c r="AC129" s="184"/>
      <c r="AD129" s="528"/>
      <c r="AE129" s="190"/>
      <c r="AF129" s="190"/>
      <c r="AG129" s="187"/>
      <c r="AH129" s="184"/>
      <c r="AI129" s="528"/>
      <c r="AJ129" s="190"/>
      <c r="AK129" s="190"/>
      <c r="AL129" s="187"/>
      <c r="AM129" s="184"/>
      <c r="AN129" s="528"/>
      <c r="AO129" s="190"/>
      <c r="AP129" s="190"/>
      <c r="AQ129" s="187"/>
      <c r="AR129" s="184"/>
      <c r="AS129" s="528"/>
      <c r="AT129" s="190"/>
      <c r="AU129" s="190"/>
      <c r="AV129" s="187"/>
      <c r="AW129" s="184"/>
      <c r="AX129" s="528"/>
    </row>
    <row r="130" spans="2:50" ht="14.25" customHeight="1">
      <c r="B130" s="514"/>
      <c r="C130" s="182">
        <v>10</v>
      </c>
      <c r="D130" s="185"/>
      <c r="E130" s="186"/>
      <c r="F130" s="182"/>
      <c r="G130" s="187"/>
      <c r="H130" s="526"/>
      <c r="I130" s="188"/>
      <c r="J130" s="188"/>
      <c r="K130" s="189"/>
      <c r="L130" s="527"/>
      <c r="M130" s="188" t="e">
        <f>RANK(K130, K$45:$K$77)</f>
        <v>#N/A</v>
      </c>
      <c r="N130" s="529"/>
      <c r="O130" s="530"/>
      <c r="P130" s="190"/>
      <c r="Q130" s="190"/>
      <c r="R130" s="187"/>
      <c r="S130" s="184"/>
      <c r="T130" s="528"/>
      <c r="U130" s="190"/>
      <c r="V130" s="190"/>
      <c r="W130" s="187"/>
      <c r="X130" s="184"/>
      <c r="Y130" s="528"/>
      <c r="Z130" s="190"/>
      <c r="AA130" s="190"/>
      <c r="AB130" s="187"/>
      <c r="AC130" s="184"/>
      <c r="AD130" s="528"/>
      <c r="AE130" s="190"/>
      <c r="AF130" s="190"/>
      <c r="AG130" s="187"/>
      <c r="AH130" s="184"/>
      <c r="AI130" s="528"/>
      <c r="AJ130" s="190"/>
      <c r="AK130" s="190"/>
      <c r="AL130" s="187"/>
      <c r="AM130" s="184"/>
      <c r="AN130" s="528"/>
      <c r="AO130" s="190"/>
      <c r="AP130" s="190"/>
      <c r="AQ130" s="187"/>
      <c r="AR130" s="184"/>
      <c r="AS130" s="528"/>
      <c r="AT130" s="190"/>
      <c r="AU130" s="190"/>
      <c r="AV130" s="187"/>
      <c r="AW130" s="184"/>
      <c r="AX130" s="528"/>
    </row>
    <row r="131" spans="2:50" ht="14.25" customHeight="1">
      <c r="B131" s="514"/>
      <c r="C131" s="182">
        <v>11</v>
      </c>
      <c r="D131" s="185"/>
      <c r="E131" s="186"/>
      <c r="F131" s="182"/>
      <c r="G131" s="187"/>
      <c r="H131" s="526"/>
      <c r="I131" s="188"/>
      <c r="J131" s="188"/>
      <c r="K131" s="189"/>
      <c r="L131" s="527"/>
      <c r="M131" s="188" t="e">
        <f>RANK(K131, K$45:$K$77)</f>
        <v>#N/A</v>
      </c>
      <c r="N131" s="529"/>
      <c r="O131" s="530"/>
      <c r="P131" s="190"/>
      <c r="Q131" s="190"/>
      <c r="R131" s="187"/>
      <c r="S131" s="184"/>
      <c r="T131" s="528"/>
      <c r="U131" s="190"/>
      <c r="V131" s="190"/>
      <c r="W131" s="187"/>
      <c r="X131" s="184"/>
      <c r="Y131" s="528"/>
      <c r="Z131" s="190"/>
      <c r="AA131" s="190"/>
      <c r="AB131" s="187"/>
      <c r="AC131" s="184"/>
      <c r="AD131" s="528"/>
      <c r="AE131" s="190"/>
      <c r="AF131" s="190"/>
      <c r="AG131" s="187"/>
      <c r="AH131" s="184"/>
      <c r="AI131" s="528"/>
      <c r="AJ131" s="190"/>
      <c r="AK131" s="190"/>
      <c r="AL131" s="187"/>
      <c r="AM131" s="184"/>
      <c r="AN131" s="528"/>
      <c r="AO131" s="190"/>
      <c r="AP131" s="190"/>
      <c r="AQ131" s="187"/>
      <c r="AR131" s="184"/>
      <c r="AS131" s="528"/>
      <c r="AT131" s="190"/>
      <c r="AU131" s="190"/>
      <c r="AV131" s="187"/>
      <c r="AW131" s="184"/>
      <c r="AX131" s="528"/>
    </row>
    <row r="132" spans="2:50" ht="14.25" customHeight="1">
      <c r="B132" s="514"/>
      <c r="C132" s="182">
        <v>12</v>
      </c>
      <c r="D132" s="185"/>
      <c r="E132" s="186"/>
      <c r="F132" s="182"/>
      <c r="G132" s="187"/>
      <c r="H132" s="526"/>
      <c r="I132" s="188"/>
      <c r="J132" s="188"/>
      <c r="K132" s="189"/>
      <c r="L132" s="527"/>
      <c r="M132" s="188" t="e">
        <f>RANK(K132, K$45:$K$77)</f>
        <v>#N/A</v>
      </c>
      <c r="N132" s="529"/>
      <c r="O132" s="530"/>
      <c r="P132" s="190"/>
      <c r="Q132" s="190"/>
      <c r="R132" s="187"/>
      <c r="S132" s="184"/>
      <c r="T132" s="528"/>
      <c r="U132" s="190"/>
      <c r="V132" s="190"/>
      <c r="W132" s="187"/>
      <c r="X132" s="184"/>
      <c r="Y132" s="528"/>
      <c r="Z132" s="190"/>
      <c r="AA132" s="190"/>
      <c r="AB132" s="187"/>
      <c r="AC132" s="184"/>
      <c r="AD132" s="528"/>
      <c r="AE132" s="190"/>
      <c r="AF132" s="190"/>
      <c r="AG132" s="187"/>
      <c r="AH132" s="184"/>
      <c r="AI132" s="528"/>
      <c r="AJ132" s="190"/>
      <c r="AK132" s="190"/>
      <c r="AL132" s="187"/>
      <c r="AM132" s="184"/>
      <c r="AN132" s="528"/>
      <c r="AO132" s="190"/>
      <c r="AP132" s="190"/>
      <c r="AQ132" s="187"/>
      <c r="AR132" s="184"/>
      <c r="AS132" s="528"/>
      <c r="AT132" s="190"/>
      <c r="AU132" s="190"/>
      <c r="AV132" s="187"/>
      <c r="AW132" s="184"/>
      <c r="AX132" s="528"/>
    </row>
    <row r="133" spans="2:50" ht="14.25" customHeight="1">
      <c r="B133" s="514"/>
      <c r="C133" s="182">
        <v>13</v>
      </c>
      <c r="D133" s="185"/>
      <c r="E133" s="186"/>
      <c r="F133" s="182"/>
      <c r="G133" s="187"/>
      <c r="H133" s="526"/>
      <c r="I133" s="188"/>
      <c r="J133" s="188"/>
      <c r="K133" s="189"/>
      <c r="L133" s="527"/>
      <c r="M133" s="188" t="e">
        <f>RANK(K133, K$45:$K$77)</f>
        <v>#N/A</v>
      </c>
      <c r="N133" s="529"/>
      <c r="O133" s="530"/>
      <c r="P133" s="190"/>
      <c r="Q133" s="190"/>
      <c r="R133" s="187"/>
      <c r="S133" s="184"/>
      <c r="T133" s="528"/>
      <c r="U133" s="190"/>
      <c r="V133" s="190"/>
      <c r="W133" s="187"/>
      <c r="X133" s="184"/>
      <c r="Y133" s="528"/>
      <c r="Z133" s="190"/>
      <c r="AA133" s="190"/>
      <c r="AB133" s="187"/>
      <c r="AC133" s="184"/>
      <c r="AD133" s="528"/>
      <c r="AE133" s="190"/>
      <c r="AF133" s="190"/>
      <c r="AG133" s="187"/>
      <c r="AH133" s="184"/>
      <c r="AI133" s="528"/>
      <c r="AJ133" s="190"/>
      <c r="AK133" s="190"/>
      <c r="AL133" s="187"/>
      <c r="AM133" s="184"/>
      <c r="AN133" s="528"/>
      <c r="AO133" s="190"/>
      <c r="AP133" s="190"/>
      <c r="AQ133" s="187"/>
      <c r="AR133" s="184"/>
      <c r="AS133" s="528"/>
      <c r="AT133" s="190"/>
      <c r="AU133" s="190"/>
      <c r="AV133" s="187"/>
      <c r="AW133" s="184"/>
      <c r="AX133" s="528"/>
    </row>
    <row r="134" spans="2:50" ht="14.25" customHeight="1">
      <c r="B134" s="514"/>
      <c r="C134" s="182">
        <v>14</v>
      </c>
      <c r="D134" s="185"/>
      <c r="E134" s="186"/>
      <c r="F134" s="182"/>
      <c r="G134" s="187"/>
      <c r="H134" s="526"/>
      <c r="I134" s="188"/>
      <c r="J134" s="188"/>
      <c r="K134" s="189"/>
      <c r="L134" s="527"/>
      <c r="M134" s="188" t="e">
        <f>RANK(K134, K$45:$K$77)</f>
        <v>#N/A</v>
      </c>
      <c r="N134" s="529"/>
      <c r="O134" s="530"/>
      <c r="P134" s="190"/>
      <c r="Q134" s="190"/>
      <c r="R134" s="187"/>
      <c r="S134" s="184"/>
      <c r="T134" s="528"/>
      <c r="U134" s="190"/>
      <c r="V134" s="190"/>
      <c r="W134" s="187"/>
      <c r="X134" s="184"/>
      <c r="Y134" s="528"/>
      <c r="Z134" s="190"/>
      <c r="AA134" s="190"/>
      <c r="AB134" s="187"/>
      <c r="AC134" s="184"/>
      <c r="AD134" s="528"/>
      <c r="AE134" s="190"/>
      <c r="AF134" s="190"/>
      <c r="AG134" s="187"/>
      <c r="AH134" s="184"/>
      <c r="AI134" s="528"/>
      <c r="AJ134" s="190"/>
      <c r="AK134" s="190"/>
      <c r="AL134" s="187"/>
      <c r="AM134" s="184"/>
      <c r="AN134" s="528"/>
      <c r="AO134" s="190"/>
      <c r="AP134" s="190"/>
      <c r="AQ134" s="187"/>
      <c r="AR134" s="184"/>
      <c r="AS134" s="528"/>
      <c r="AT134" s="190"/>
      <c r="AU134" s="190"/>
      <c r="AV134" s="187"/>
      <c r="AW134" s="184"/>
      <c r="AX134" s="528"/>
    </row>
    <row r="135" spans="2:50" ht="14.25" customHeight="1">
      <c r="B135" s="514"/>
      <c r="C135" s="182">
        <v>15</v>
      </c>
      <c r="D135" s="185"/>
      <c r="E135" s="186"/>
      <c r="F135" s="182"/>
      <c r="G135" s="187"/>
      <c r="H135" s="526"/>
      <c r="I135" s="188"/>
      <c r="J135" s="188"/>
      <c r="K135" s="189"/>
      <c r="L135" s="527"/>
      <c r="M135" s="188" t="e">
        <f>RANK(K135, K$45:$K$77)</f>
        <v>#N/A</v>
      </c>
      <c r="N135" s="529"/>
      <c r="O135" s="530"/>
      <c r="P135" s="190"/>
      <c r="Q135" s="190"/>
      <c r="R135" s="187"/>
      <c r="S135" s="184"/>
      <c r="T135" s="528"/>
      <c r="U135" s="190"/>
      <c r="V135" s="190"/>
      <c r="W135" s="187"/>
      <c r="X135" s="184"/>
      <c r="Y135" s="528"/>
      <c r="Z135" s="190"/>
      <c r="AA135" s="190"/>
      <c r="AB135" s="187"/>
      <c r="AC135" s="184"/>
      <c r="AD135" s="528"/>
      <c r="AE135" s="190"/>
      <c r="AF135" s="190"/>
      <c r="AG135" s="187"/>
      <c r="AH135" s="184"/>
      <c r="AI135" s="528"/>
      <c r="AJ135" s="190"/>
      <c r="AK135" s="190"/>
      <c r="AL135" s="187"/>
      <c r="AM135" s="184"/>
      <c r="AN135" s="528"/>
      <c r="AO135" s="190"/>
      <c r="AP135" s="190"/>
      <c r="AQ135" s="187"/>
      <c r="AR135" s="184"/>
      <c r="AS135" s="528"/>
      <c r="AT135" s="190"/>
      <c r="AU135" s="190"/>
      <c r="AV135" s="187"/>
      <c r="AW135" s="184"/>
      <c r="AX135" s="528"/>
    </row>
    <row r="136" spans="2:50" ht="14.25" customHeight="1">
      <c r="B136" s="514"/>
      <c r="C136" s="182">
        <v>16</v>
      </c>
      <c r="D136" s="185"/>
      <c r="E136" s="186"/>
      <c r="F136" s="182"/>
      <c r="G136" s="187"/>
      <c r="H136" s="526"/>
      <c r="I136" s="188"/>
      <c r="J136" s="188"/>
      <c r="K136" s="189"/>
      <c r="L136" s="527"/>
      <c r="M136" s="188" t="e">
        <f>RANK(K136, K$45:$K$77)</f>
        <v>#N/A</v>
      </c>
      <c r="N136" s="529"/>
      <c r="O136" s="530"/>
      <c r="P136" s="190"/>
      <c r="Q136" s="190"/>
      <c r="R136" s="187"/>
      <c r="S136" s="184"/>
      <c r="T136" s="528"/>
      <c r="U136" s="190"/>
      <c r="V136" s="190"/>
      <c r="W136" s="187"/>
      <c r="X136" s="184"/>
      <c r="Y136" s="528"/>
      <c r="Z136" s="190"/>
      <c r="AA136" s="190"/>
      <c r="AB136" s="187"/>
      <c r="AC136" s="184"/>
      <c r="AD136" s="528"/>
      <c r="AE136" s="190"/>
      <c r="AF136" s="190"/>
      <c r="AG136" s="187"/>
      <c r="AH136" s="184"/>
      <c r="AI136" s="528"/>
      <c r="AJ136" s="190"/>
      <c r="AK136" s="190"/>
      <c r="AL136" s="187"/>
      <c r="AM136" s="184"/>
      <c r="AN136" s="528"/>
      <c r="AO136" s="190"/>
      <c r="AP136" s="190"/>
      <c r="AQ136" s="187"/>
      <c r="AR136" s="184"/>
      <c r="AS136" s="528"/>
      <c r="AT136" s="190"/>
      <c r="AU136" s="190"/>
      <c r="AV136" s="187"/>
      <c r="AW136" s="184"/>
      <c r="AX136" s="528"/>
    </row>
    <row r="137" spans="2:50" ht="14.25" customHeight="1">
      <c r="B137" s="514"/>
      <c r="C137" s="182">
        <v>17</v>
      </c>
      <c r="D137" s="185"/>
      <c r="E137" s="186"/>
      <c r="F137" s="182"/>
      <c r="G137" s="187"/>
      <c r="H137" s="526"/>
      <c r="I137" s="188"/>
      <c r="J137" s="188"/>
      <c r="K137" s="189"/>
      <c r="L137" s="527"/>
      <c r="M137" s="188" t="e">
        <f>RANK(K137, K$45:$K$77)</f>
        <v>#N/A</v>
      </c>
      <c r="N137" s="529"/>
      <c r="O137" s="530"/>
      <c r="P137" s="190"/>
      <c r="Q137" s="190"/>
      <c r="R137" s="187"/>
      <c r="S137" s="184"/>
      <c r="T137" s="528"/>
      <c r="U137" s="190"/>
      <c r="V137" s="190"/>
      <c r="W137" s="187"/>
      <c r="X137" s="184"/>
      <c r="Y137" s="528"/>
      <c r="Z137" s="190"/>
      <c r="AA137" s="190"/>
      <c r="AB137" s="187"/>
      <c r="AC137" s="184"/>
      <c r="AD137" s="528"/>
      <c r="AE137" s="190"/>
      <c r="AF137" s="190"/>
      <c r="AG137" s="187"/>
      <c r="AH137" s="184"/>
      <c r="AI137" s="528"/>
      <c r="AJ137" s="190"/>
      <c r="AK137" s="190"/>
      <c r="AL137" s="187"/>
      <c r="AM137" s="184"/>
      <c r="AN137" s="528"/>
      <c r="AO137" s="190"/>
      <c r="AP137" s="190"/>
      <c r="AQ137" s="187"/>
      <c r="AR137" s="184"/>
      <c r="AS137" s="528"/>
      <c r="AT137" s="190"/>
      <c r="AU137" s="190"/>
      <c r="AV137" s="187"/>
      <c r="AW137" s="184"/>
      <c r="AX137" s="528"/>
    </row>
    <row r="138" spans="2:50" ht="14.25" customHeight="1">
      <c r="B138" s="514"/>
      <c r="C138" s="182">
        <v>18</v>
      </c>
      <c r="D138" s="185"/>
      <c r="E138" s="186"/>
      <c r="F138" s="182"/>
      <c r="G138" s="187"/>
      <c r="H138" s="526"/>
      <c r="I138" s="188"/>
      <c r="J138" s="188"/>
      <c r="K138" s="189"/>
      <c r="L138" s="527"/>
      <c r="M138" s="188" t="e">
        <f>RANK(K138, K$45:$K$77)</f>
        <v>#N/A</v>
      </c>
      <c r="N138" s="529"/>
      <c r="O138" s="530"/>
      <c r="P138" s="190"/>
      <c r="Q138" s="190"/>
      <c r="R138" s="187"/>
      <c r="S138" s="184"/>
      <c r="T138" s="528"/>
      <c r="U138" s="190"/>
      <c r="V138" s="190"/>
      <c r="W138" s="187"/>
      <c r="X138" s="184"/>
      <c r="Y138" s="528"/>
      <c r="Z138" s="190"/>
      <c r="AA138" s="190"/>
      <c r="AB138" s="187"/>
      <c r="AC138" s="184"/>
      <c r="AD138" s="528"/>
      <c r="AE138" s="190"/>
      <c r="AF138" s="190"/>
      <c r="AG138" s="187"/>
      <c r="AH138" s="184"/>
      <c r="AI138" s="528"/>
      <c r="AJ138" s="190"/>
      <c r="AK138" s="190"/>
      <c r="AL138" s="187"/>
      <c r="AM138" s="184"/>
      <c r="AN138" s="528"/>
      <c r="AO138" s="190"/>
      <c r="AP138" s="190"/>
      <c r="AQ138" s="187"/>
      <c r="AR138" s="184"/>
      <c r="AS138" s="528"/>
      <c r="AT138" s="190"/>
      <c r="AU138" s="190"/>
      <c r="AV138" s="187"/>
      <c r="AW138" s="184"/>
      <c r="AX138" s="528"/>
    </row>
    <row r="139" spans="2:50" ht="14.25" customHeight="1">
      <c r="B139" s="514"/>
      <c r="C139" s="182">
        <v>19</v>
      </c>
      <c r="D139" s="185"/>
      <c r="E139" s="186"/>
      <c r="F139" s="182"/>
      <c r="G139" s="187"/>
      <c r="H139" s="526"/>
      <c r="I139" s="188"/>
      <c r="J139" s="188"/>
      <c r="K139" s="189"/>
      <c r="L139" s="527"/>
      <c r="M139" s="188" t="e">
        <f>RANK(K139, K$45:$K$77)</f>
        <v>#N/A</v>
      </c>
      <c r="N139" s="529"/>
      <c r="O139" s="530"/>
      <c r="P139" s="190"/>
      <c r="Q139" s="190"/>
      <c r="R139" s="187"/>
      <c r="S139" s="184"/>
      <c r="T139" s="528"/>
      <c r="U139" s="190"/>
      <c r="V139" s="190"/>
      <c r="W139" s="187"/>
      <c r="X139" s="184"/>
      <c r="Y139" s="528"/>
      <c r="Z139" s="190"/>
      <c r="AA139" s="190"/>
      <c r="AB139" s="187"/>
      <c r="AC139" s="184"/>
      <c r="AD139" s="528"/>
      <c r="AE139" s="190"/>
      <c r="AF139" s="190"/>
      <c r="AG139" s="187"/>
      <c r="AH139" s="184"/>
      <c r="AI139" s="528"/>
      <c r="AJ139" s="190"/>
      <c r="AK139" s="190"/>
      <c r="AL139" s="187"/>
      <c r="AM139" s="184"/>
      <c r="AN139" s="528"/>
      <c r="AO139" s="190"/>
      <c r="AP139" s="190"/>
      <c r="AQ139" s="187"/>
      <c r="AR139" s="184"/>
      <c r="AS139" s="528"/>
      <c r="AT139" s="190"/>
      <c r="AU139" s="190"/>
      <c r="AV139" s="187"/>
      <c r="AW139" s="184"/>
      <c r="AX139" s="528"/>
    </row>
    <row r="140" spans="2:50" ht="14.25" customHeight="1">
      <c r="B140" s="514"/>
      <c r="C140" s="182">
        <v>20</v>
      </c>
      <c r="D140" s="185"/>
      <c r="E140" s="186"/>
      <c r="F140" s="182"/>
      <c r="G140" s="187"/>
      <c r="H140" s="526"/>
      <c r="I140" s="188"/>
      <c r="J140" s="188"/>
      <c r="K140" s="189"/>
      <c r="L140" s="527"/>
      <c r="M140" s="188" t="e">
        <f>RANK(K140, K$45:$K$77)</f>
        <v>#N/A</v>
      </c>
      <c r="N140" s="529"/>
      <c r="O140" s="530"/>
      <c r="P140" s="190"/>
      <c r="Q140" s="190"/>
      <c r="R140" s="187"/>
      <c r="S140" s="184"/>
      <c r="T140" s="528"/>
      <c r="U140" s="190"/>
      <c r="V140" s="190"/>
      <c r="W140" s="187"/>
      <c r="X140" s="184"/>
      <c r="Y140" s="528"/>
      <c r="Z140" s="190"/>
      <c r="AA140" s="190"/>
      <c r="AB140" s="187"/>
      <c r="AC140" s="184"/>
      <c r="AD140" s="528"/>
      <c r="AE140" s="190"/>
      <c r="AF140" s="190"/>
      <c r="AG140" s="187"/>
      <c r="AH140" s="184"/>
      <c r="AI140" s="528"/>
      <c r="AJ140" s="190"/>
      <c r="AK140" s="190"/>
      <c r="AL140" s="187"/>
      <c r="AM140" s="184"/>
      <c r="AN140" s="528"/>
      <c r="AO140" s="190"/>
      <c r="AP140" s="190"/>
      <c r="AQ140" s="187"/>
      <c r="AR140" s="184"/>
      <c r="AS140" s="528"/>
      <c r="AT140" s="190"/>
      <c r="AU140" s="190"/>
      <c r="AV140" s="187"/>
      <c r="AW140" s="184"/>
      <c r="AX140" s="528"/>
    </row>
    <row r="141" spans="2:50" ht="14.25" customHeight="1">
      <c r="B141" s="514"/>
      <c r="C141" s="182">
        <v>21</v>
      </c>
      <c r="D141" s="185"/>
      <c r="E141" s="186"/>
      <c r="F141" s="182"/>
      <c r="G141" s="187"/>
      <c r="H141" s="526"/>
      <c r="I141" s="188"/>
      <c r="J141" s="188"/>
      <c r="K141" s="189"/>
      <c r="L141" s="527"/>
      <c r="M141" s="188" t="e">
        <f>RANK(K141, K$45:$K$77)</f>
        <v>#N/A</v>
      </c>
      <c r="N141" s="529"/>
      <c r="O141" s="530"/>
      <c r="P141" s="190"/>
      <c r="Q141" s="190"/>
      <c r="R141" s="187"/>
      <c r="S141" s="184"/>
      <c r="T141" s="528"/>
      <c r="U141" s="190"/>
      <c r="V141" s="190"/>
      <c r="W141" s="187"/>
      <c r="X141" s="184"/>
      <c r="Y141" s="528"/>
      <c r="Z141" s="190"/>
      <c r="AA141" s="190"/>
      <c r="AB141" s="187"/>
      <c r="AC141" s="184"/>
      <c r="AD141" s="528"/>
      <c r="AE141" s="190"/>
      <c r="AF141" s="190"/>
      <c r="AG141" s="187"/>
      <c r="AH141" s="184"/>
      <c r="AI141" s="528"/>
      <c r="AJ141" s="190"/>
      <c r="AK141" s="190"/>
      <c r="AL141" s="187"/>
      <c r="AM141" s="184"/>
      <c r="AN141" s="528"/>
      <c r="AO141" s="190"/>
      <c r="AP141" s="190"/>
      <c r="AQ141" s="187"/>
      <c r="AR141" s="184"/>
      <c r="AS141" s="528"/>
      <c r="AT141" s="190"/>
      <c r="AU141" s="190"/>
      <c r="AV141" s="187"/>
      <c r="AW141" s="184"/>
      <c r="AX141" s="528"/>
    </row>
    <row r="142" spans="2:50" ht="14.25" customHeight="1">
      <c r="B142" s="514"/>
      <c r="C142" s="182">
        <v>22</v>
      </c>
      <c r="D142" s="185"/>
      <c r="E142" s="186"/>
      <c r="F142" s="182"/>
      <c r="G142" s="187"/>
      <c r="H142" s="526"/>
      <c r="I142" s="188"/>
      <c r="J142" s="188"/>
      <c r="K142" s="189"/>
      <c r="L142" s="527"/>
      <c r="M142" s="188" t="e">
        <f>RANK(K142, K$45:$K$77)</f>
        <v>#N/A</v>
      </c>
      <c r="N142" s="529"/>
      <c r="O142" s="530"/>
      <c r="P142" s="190"/>
      <c r="Q142" s="190"/>
      <c r="R142" s="187"/>
      <c r="S142" s="184"/>
      <c r="T142" s="528"/>
      <c r="U142" s="190"/>
      <c r="V142" s="190"/>
      <c r="W142" s="187"/>
      <c r="X142" s="184"/>
      <c r="Y142" s="528"/>
      <c r="Z142" s="190"/>
      <c r="AA142" s="190"/>
      <c r="AB142" s="187"/>
      <c r="AC142" s="184"/>
      <c r="AD142" s="528"/>
      <c r="AE142" s="190"/>
      <c r="AF142" s="190"/>
      <c r="AG142" s="187"/>
      <c r="AH142" s="184"/>
      <c r="AI142" s="528"/>
      <c r="AJ142" s="190"/>
      <c r="AK142" s="190"/>
      <c r="AL142" s="187"/>
      <c r="AM142" s="184"/>
      <c r="AN142" s="528"/>
      <c r="AO142" s="190"/>
      <c r="AP142" s="190"/>
      <c r="AQ142" s="187"/>
      <c r="AR142" s="184"/>
      <c r="AS142" s="528"/>
      <c r="AT142" s="190"/>
      <c r="AU142" s="190"/>
      <c r="AV142" s="187"/>
      <c r="AW142" s="184"/>
      <c r="AX142" s="528"/>
    </row>
    <row r="143" spans="2:50" ht="14.25" customHeight="1">
      <c r="B143" s="514"/>
      <c r="C143" s="182">
        <v>23</v>
      </c>
      <c r="D143" s="185"/>
      <c r="E143" s="186"/>
      <c r="F143" s="182"/>
      <c r="G143" s="187"/>
      <c r="H143" s="526"/>
      <c r="I143" s="188"/>
      <c r="J143" s="188"/>
      <c r="K143" s="189"/>
      <c r="L143" s="527"/>
      <c r="M143" s="188" t="e">
        <f>RANK(K143, K$45:$K$77)</f>
        <v>#N/A</v>
      </c>
      <c r="N143" s="529"/>
      <c r="O143" s="530"/>
      <c r="P143" s="190"/>
      <c r="Q143" s="190"/>
      <c r="R143" s="187"/>
      <c r="S143" s="184"/>
      <c r="T143" s="528"/>
      <c r="U143" s="190"/>
      <c r="V143" s="190"/>
      <c r="W143" s="187"/>
      <c r="X143" s="184"/>
      <c r="Y143" s="528"/>
      <c r="Z143" s="190"/>
      <c r="AA143" s="190"/>
      <c r="AB143" s="187"/>
      <c r="AC143" s="184"/>
      <c r="AD143" s="528"/>
      <c r="AE143" s="190"/>
      <c r="AF143" s="190"/>
      <c r="AG143" s="187"/>
      <c r="AH143" s="184"/>
      <c r="AI143" s="528"/>
      <c r="AJ143" s="190"/>
      <c r="AK143" s="190"/>
      <c r="AL143" s="187"/>
      <c r="AM143" s="184"/>
      <c r="AN143" s="528"/>
      <c r="AO143" s="190"/>
      <c r="AP143" s="190"/>
      <c r="AQ143" s="187"/>
      <c r="AR143" s="184"/>
      <c r="AS143" s="528"/>
      <c r="AT143" s="190"/>
      <c r="AU143" s="190"/>
      <c r="AV143" s="187"/>
      <c r="AW143" s="184"/>
      <c r="AX143" s="528"/>
    </row>
    <row r="144" spans="2:50" ht="14.25" customHeight="1">
      <c r="B144" s="514"/>
      <c r="C144" s="182">
        <v>24</v>
      </c>
      <c r="D144" s="185"/>
      <c r="E144" s="186"/>
      <c r="F144" s="182"/>
      <c r="G144" s="187"/>
      <c r="H144" s="526"/>
      <c r="I144" s="188"/>
      <c r="J144" s="188"/>
      <c r="K144" s="189"/>
      <c r="L144" s="527"/>
      <c r="M144" s="188" t="e">
        <f>RANK(K144, K$45:$K$77)</f>
        <v>#N/A</v>
      </c>
      <c r="N144" s="529"/>
      <c r="O144" s="530"/>
      <c r="P144" s="190"/>
      <c r="Q144" s="190"/>
      <c r="R144" s="187"/>
      <c r="S144" s="184"/>
      <c r="T144" s="528"/>
      <c r="U144" s="190"/>
      <c r="V144" s="190"/>
      <c r="W144" s="187"/>
      <c r="X144" s="184"/>
      <c r="Y144" s="528"/>
      <c r="Z144" s="190"/>
      <c r="AA144" s="190"/>
      <c r="AB144" s="187"/>
      <c r="AC144" s="184"/>
      <c r="AD144" s="528"/>
      <c r="AE144" s="190"/>
      <c r="AF144" s="190"/>
      <c r="AG144" s="187"/>
      <c r="AH144" s="184"/>
      <c r="AI144" s="528"/>
      <c r="AJ144" s="190"/>
      <c r="AK144" s="190"/>
      <c r="AL144" s="187"/>
      <c r="AM144" s="184"/>
      <c r="AN144" s="528"/>
      <c r="AO144" s="190"/>
      <c r="AP144" s="190"/>
      <c r="AQ144" s="187"/>
      <c r="AR144" s="184"/>
      <c r="AS144" s="528"/>
      <c r="AT144" s="190"/>
      <c r="AU144" s="190"/>
      <c r="AV144" s="187"/>
      <c r="AW144" s="184"/>
      <c r="AX144" s="528"/>
    </row>
    <row r="145" spans="1:50" ht="14.25" customHeight="1">
      <c r="B145" s="514"/>
      <c r="C145" s="182">
        <v>25</v>
      </c>
      <c r="D145" s="185"/>
      <c r="E145" s="186"/>
      <c r="F145" s="182"/>
      <c r="G145" s="187"/>
      <c r="H145" s="526"/>
      <c r="I145" s="188"/>
      <c r="J145" s="188"/>
      <c r="K145" s="189"/>
      <c r="L145" s="527"/>
      <c r="M145" s="188" t="e">
        <f>RANK(K145, K$45:$K$77)</f>
        <v>#N/A</v>
      </c>
      <c r="N145" s="529"/>
      <c r="O145" s="530"/>
      <c r="P145" s="190"/>
      <c r="Q145" s="190"/>
      <c r="R145" s="187"/>
      <c r="S145" s="184"/>
      <c r="T145" s="528"/>
      <c r="U145" s="190"/>
      <c r="V145" s="190"/>
      <c r="W145" s="187"/>
      <c r="X145" s="184"/>
      <c r="Y145" s="528"/>
      <c r="Z145" s="190"/>
      <c r="AA145" s="190"/>
      <c r="AB145" s="187"/>
      <c r="AC145" s="184"/>
      <c r="AD145" s="528"/>
      <c r="AE145" s="190"/>
      <c r="AF145" s="190"/>
      <c r="AG145" s="187"/>
      <c r="AH145" s="184"/>
      <c r="AI145" s="528"/>
      <c r="AJ145" s="190"/>
      <c r="AK145" s="190"/>
      <c r="AL145" s="187"/>
      <c r="AM145" s="184"/>
      <c r="AN145" s="528"/>
      <c r="AO145" s="190"/>
      <c r="AP145" s="190"/>
      <c r="AQ145" s="187"/>
      <c r="AR145" s="184"/>
      <c r="AS145" s="528"/>
      <c r="AT145" s="190"/>
      <c r="AU145" s="190"/>
      <c r="AV145" s="187"/>
      <c r="AW145" s="184"/>
      <c r="AX145" s="528"/>
    </row>
    <row r="146" spans="1:50" ht="14.25" customHeight="1">
      <c r="B146" s="514"/>
      <c r="C146" s="182">
        <v>26</v>
      </c>
      <c r="D146" s="185"/>
      <c r="E146" s="186"/>
      <c r="F146" s="182"/>
      <c r="G146" s="187"/>
      <c r="H146" s="526"/>
      <c r="I146" s="188"/>
      <c r="J146" s="188"/>
      <c r="K146" s="189"/>
      <c r="L146" s="527"/>
      <c r="M146" s="188" t="e">
        <f>RANK(K146, K$45:$K$77)</f>
        <v>#N/A</v>
      </c>
      <c r="N146" s="529"/>
      <c r="O146" s="530"/>
      <c r="P146" s="190"/>
      <c r="Q146" s="190"/>
      <c r="R146" s="187"/>
      <c r="S146" s="184"/>
      <c r="T146" s="528"/>
      <c r="U146" s="190"/>
      <c r="V146" s="190"/>
      <c r="W146" s="187"/>
      <c r="X146" s="184"/>
      <c r="Y146" s="528"/>
      <c r="Z146" s="190"/>
      <c r="AA146" s="190"/>
      <c r="AB146" s="187"/>
      <c r="AC146" s="184"/>
      <c r="AD146" s="528"/>
      <c r="AE146" s="190"/>
      <c r="AF146" s="190"/>
      <c r="AG146" s="187"/>
      <c r="AH146" s="184"/>
      <c r="AI146" s="528"/>
      <c r="AJ146" s="190"/>
      <c r="AK146" s="190"/>
      <c r="AL146" s="187"/>
      <c r="AM146" s="184"/>
      <c r="AN146" s="528"/>
      <c r="AO146" s="190"/>
      <c r="AP146" s="190"/>
      <c r="AQ146" s="187"/>
      <c r="AR146" s="184"/>
      <c r="AS146" s="528"/>
      <c r="AT146" s="190"/>
      <c r="AU146" s="190"/>
      <c r="AV146" s="187"/>
      <c r="AW146" s="184"/>
      <c r="AX146" s="528"/>
    </row>
    <row r="147" spans="1:50" ht="14.25" customHeight="1">
      <c r="B147" s="514"/>
      <c r="C147" s="182">
        <v>27</v>
      </c>
      <c r="D147" s="185"/>
      <c r="E147" s="186"/>
      <c r="F147" s="182"/>
      <c r="G147" s="187"/>
      <c r="H147" s="526"/>
      <c r="I147" s="188"/>
      <c r="J147" s="188"/>
      <c r="K147" s="189"/>
      <c r="L147" s="527"/>
      <c r="M147" s="188" t="e">
        <f>RANK(K147, K$45:$K$77)</f>
        <v>#N/A</v>
      </c>
      <c r="N147" s="529"/>
      <c r="O147" s="530"/>
      <c r="P147" s="190"/>
      <c r="Q147" s="190"/>
      <c r="R147" s="187"/>
      <c r="S147" s="184"/>
      <c r="T147" s="528"/>
      <c r="U147" s="190"/>
      <c r="V147" s="190"/>
      <c r="W147" s="187"/>
      <c r="X147" s="184"/>
      <c r="Y147" s="528"/>
      <c r="Z147" s="190"/>
      <c r="AA147" s="190"/>
      <c r="AB147" s="187"/>
      <c r="AC147" s="184"/>
      <c r="AD147" s="528"/>
      <c r="AE147" s="190"/>
      <c r="AF147" s="190"/>
      <c r="AG147" s="187"/>
      <c r="AH147" s="184"/>
      <c r="AI147" s="528"/>
      <c r="AJ147" s="190"/>
      <c r="AK147" s="190"/>
      <c r="AL147" s="187"/>
      <c r="AM147" s="184"/>
      <c r="AN147" s="528"/>
      <c r="AO147" s="190"/>
      <c r="AP147" s="190"/>
      <c r="AQ147" s="187"/>
      <c r="AR147" s="184"/>
      <c r="AS147" s="528"/>
      <c r="AT147" s="190"/>
      <c r="AU147" s="190"/>
      <c r="AV147" s="187"/>
      <c r="AW147" s="184"/>
      <c r="AX147" s="528"/>
    </row>
    <row r="148" spans="1:50" ht="14.25" customHeight="1">
      <c r="B148" s="514"/>
      <c r="C148" s="182">
        <v>28</v>
      </c>
      <c r="D148" s="185"/>
      <c r="E148" s="186"/>
      <c r="F148" s="182"/>
      <c r="G148" s="187"/>
      <c r="H148" s="526"/>
      <c r="I148" s="188"/>
      <c r="J148" s="188"/>
      <c r="K148" s="189"/>
      <c r="L148" s="527"/>
      <c r="M148" s="188" t="e">
        <f>RANK(K148, K$45:$K$77)</f>
        <v>#N/A</v>
      </c>
      <c r="N148" s="529"/>
      <c r="O148" s="530"/>
      <c r="P148" s="190"/>
      <c r="Q148" s="190"/>
      <c r="R148" s="187"/>
      <c r="S148" s="184"/>
      <c r="T148" s="528"/>
      <c r="U148" s="190"/>
      <c r="V148" s="190"/>
      <c r="W148" s="187"/>
      <c r="X148" s="184"/>
      <c r="Y148" s="528"/>
      <c r="Z148" s="190"/>
      <c r="AA148" s="190"/>
      <c r="AB148" s="187"/>
      <c r="AC148" s="184"/>
      <c r="AD148" s="528"/>
      <c r="AE148" s="190"/>
      <c r="AF148" s="190"/>
      <c r="AG148" s="187"/>
      <c r="AH148" s="184"/>
      <c r="AI148" s="528"/>
      <c r="AJ148" s="190"/>
      <c r="AK148" s="190"/>
      <c r="AL148" s="187"/>
      <c r="AM148" s="184"/>
      <c r="AN148" s="528"/>
      <c r="AO148" s="190"/>
      <c r="AP148" s="190"/>
      <c r="AQ148" s="187"/>
      <c r="AR148" s="184"/>
      <c r="AS148" s="528"/>
      <c r="AT148" s="190"/>
      <c r="AU148" s="190"/>
      <c r="AV148" s="187"/>
      <c r="AW148" s="184"/>
      <c r="AX148" s="528"/>
    </row>
    <row r="149" spans="1:50" ht="14.25" customHeight="1">
      <c r="B149" s="514"/>
      <c r="C149" s="182">
        <v>29</v>
      </c>
      <c r="D149" s="185"/>
      <c r="E149" s="186"/>
      <c r="F149" s="182"/>
      <c r="G149" s="187"/>
      <c r="H149" s="526"/>
      <c r="I149" s="188"/>
      <c r="J149" s="188"/>
      <c r="K149" s="189"/>
      <c r="L149" s="527"/>
      <c r="M149" s="188" t="e">
        <f>RANK(K149, K$45:$K$77)</f>
        <v>#N/A</v>
      </c>
      <c r="N149" s="529"/>
      <c r="O149" s="530"/>
      <c r="P149" s="190"/>
      <c r="Q149" s="190"/>
      <c r="R149" s="187"/>
      <c r="S149" s="184"/>
      <c r="T149" s="528"/>
      <c r="U149" s="190"/>
      <c r="V149" s="190"/>
      <c r="W149" s="187"/>
      <c r="X149" s="184"/>
      <c r="Y149" s="528"/>
      <c r="Z149" s="190"/>
      <c r="AA149" s="190"/>
      <c r="AB149" s="187"/>
      <c r="AC149" s="184"/>
      <c r="AD149" s="528"/>
      <c r="AE149" s="190"/>
      <c r="AF149" s="190"/>
      <c r="AG149" s="187"/>
      <c r="AH149" s="184"/>
      <c r="AI149" s="528"/>
      <c r="AJ149" s="190"/>
      <c r="AK149" s="190"/>
      <c r="AL149" s="187"/>
      <c r="AM149" s="184"/>
      <c r="AN149" s="528"/>
      <c r="AO149" s="190"/>
      <c r="AP149" s="190"/>
      <c r="AQ149" s="187"/>
      <c r="AR149" s="184"/>
      <c r="AS149" s="528"/>
      <c r="AT149" s="190"/>
      <c r="AU149" s="190"/>
      <c r="AV149" s="187"/>
      <c r="AW149" s="184"/>
      <c r="AX149" s="528"/>
    </row>
    <row r="150" spans="1:50" ht="14.25" customHeight="1">
      <c r="B150" s="514"/>
      <c r="C150" s="182">
        <v>30</v>
      </c>
      <c r="D150" s="185"/>
      <c r="E150" s="186"/>
      <c r="F150" s="182"/>
      <c r="G150" s="187"/>
      <c r="H150" s="526"/>
      <c r="I150" s="188"/>
      <c r="J150" s="188"/>
      <c r="K150" s="189"/>
      <c r="L150" s="527"/>
      <c r="M150" s="188" t="e">
        <f>RANK(K150, K$45:$K$77)</f>
        <v>#N/A</v>
      </c>
      <c r="N150" s="529"/>
      <c r="O150" s="530"/>
      <c r="P150" s="190"/>
      <c r="Q150" s="190"/>
      <c r="R150" s="187"/>
      <c r="S150" s="184"/>
      <c r="T150" s="528"/>
      <c r="U150" s="190"/>
      <c r="V150" s="190"/>
      <c r="W150" s="187"/>
      <c r="X150" s="184"/>
      <c r="Y150" s="528"/>
      <c r="Z150" s="190"/>
      <c r="AA150" s="190"/>
      <c r="AB150" s="187"/>
      <c r="AC150" s="184"/>
      <c r="AD150" s="528"/>
      <c r="AE150" s="190"/>
      <c r="AF150" s="190"/>
      <c r="AG150" s="187"/>
      <c r="AH150" s="184"/>
      <c r="AI150" s="528"/>
      <c r="AJ150" s="190"/>
      <c r="AK150" s="190"/>
      <c r="AL150" s="187"/>
      <c r="AM150" s="184"/>
      <c r="AN150" s="528"/>
      <c r="AO150" s="190"/>
      <c r="AP150" s="190"/>
      <c r="AQ150" s="187"/>
      <c r="AR150" s="184"/>
      <c r="AS150" s="528"/>
      <c r="AT150" s="190"/>
      <c r="AU150" s="190"/>
      <c r="AV150" s="187"/>
      <c r="AW150" s="184"/>
      <c r="AX150" s="528"/>
    </row>
    <row r="151" spans="1:50" ht="14.25" customHeight="1">
      <c r="B151" s="514"/>
      <c r="C151" s="182">
        <v>31</v>
      </c>
      <c r="D151" s="185"/>
      <c r="E151" s="182"/>
      <c r="F151" s="182"/>
      <c r="G151" s="187"/>
      <c r="H151" s="526"/>
      <c r="I151" s="188"/>
      <c r="J151" s="188"/>
      <c r="K151" s="189"/>
      <c r="L151" s="527"/>
      <c r="M151" s="188" t="e">
        <f>RANK(K151, K$45:$K$77)</f>
        <v>#N/A</v>
      </c>
      <c r="N151" s="529"/>
      <c r="O151" s="530"/>
      <c r="P151" s="190"/>
      <c r="Q151" s="190"/>
      <c r="R151" s="187"/>
      <c r="S151" s="184"/>
      <c r="T151" s="528"/>
      <c r="U151" s="190"/>
      <c r="V151" s="190"/>
      <c r="W151" s="187"/>
      <c r="X151" s="184"/>
      <c r="Y151" s="528"/>
      <c r="Z151" s="190"/>
      <c r="AA151" s="190"/>
      <c r="AB151" s="187"/>
      <c r="AC151" s="184"/>
      <c r="AD151" s="528"/>
      <c r="AE151" s="190"/>
      <c r="AF151" s="190"/>
      <c r="AG151" s="187"/>
      <c r="AH151" s="184"/>
      <c r="AI151" s="528"/>
      <c r="AJ151" s="190"/>
      <c r="AK151" s="190"/>
      <c r="AL151" s="187"/>
      <c r="AM151" s="184"/>
      <c r="AN151" s="528"/>
      <c r="AO151" s="190"/>
      <c r="AP151" s="190"/>
      <c r="AQ151" s="187"/>
      <c r="AR151" s="184"/>
      <c r="AS151" s="528"/>
      <c r="AT151" s="190"/>
      <c r="AU151" s="190"/>
      <c r="AV151" s="187"/>
      <c r="AW151" s="184"/>
      <c r="AX151" s="528"/>
    </row>
    <row r="152" spans="1:50" ht="14.25" customHeight="1">
      <c r="B152" s="514"/>
      <c r="C152" s="182">
        <v>32</v>
      </c>
      <c r="D152" s="185"/>
      <c r="E152" s="182"/>
      <c r="F152" s="182"/>
      <c r="G152" s="187"/>
      <c r="H152" s="526"/>
      <c r="I152" s="188"/>
      <c r="J152" s="188"/>
      <c r="K152" s="189"/>
      <c r="L152" s="527"/>
      <c r="M152" s="188"/>
      <c r="N152" s="529"/>
      <c r="O152" s="530"/>
      <c r="P152" s="190"/>
      <c r="Q152" s="190"/>
      <c r="R152" s="187"/>
      <c r="S152" s="184"/>
      <c r="T152" s="528"/>
      <c r="U152" s="190"/>
      <c r="V152" s="190"/>
      <c r="W152" s="187"/>
      <c r="X152" s="184"/>
      <c r="Y152" s="528"/>
      <c r="Z152" s="190"/>
      <c r="AA152" s="190"/>
      <c r="AB152" s="187"/>
      <c r="AC152" s="184"/>
      <c r="AD152" s="528"/>
      <c r="AE152" s="190"/>
      <c r="AF152" s="190"/>
      <c r="AG152" s="187"/>
      <c r="AH152" s="184"/>
      <c r="AI152" s="528"/>
      <c r="AJ152" s="190"/>
      <c r="AK152" s="190"/>
      <c r="AL152" s="187"/>
      <c r="AM152" s="184"/>
      <c r="AN152" s="528"/>
      <c r="AO152" s="190"/>
      <c r="AP152" s="190"/>
      <c r="AQ152" s="187"/>
      <c r="AR152" s="184"/>
      <c r="AS152" s="528"/>
      <c r="AT152" s="190"/>
      <c r="AU152" s="190"/>
      <c r="AV152" s="187"/>
      <c r="AW152" s="184"/>
      <c r="AX152" s="528"/>
    </row>
    <row r="153" spans="1:50" ht="14.25" customHeight="1">
      <c r="B153" s="514"/>
      <c r="C153" s="182">
        <v>33</v>
      </c>
      <c r="D153" s="185"/>
      <c r="E153" s="182"/>
      <c r="F153" s="182"/>
      <c r="G153" s="187"/>
      <c r="H153" s="526"/>
      <c r="I153" s="188"/>
      <c r="J153" s="188"/>
      <c r="K153" s="189"/>
      <c r="L153" s="527"/>
      <c r="M153" s="188"/>
      <c r="N153" s="529"/>
      <c r="O153" s="530"/>
      <c r="P153" s="190"/>
      <c r="Q153" s="190"/>
      <c r="R153" s="187"/>
      <c r="S153" s="184"/>
      <c r="T153" s="528"/>
      <c r="U153" s="190"/>
      <c r="V153" s="190"/>
      <c r="W153" s="187"/>
      <c r="X153" s="184"/>
      <c r="Y153" s="528"/>
      <c r="Z153" s="190"/>
      <c r="AA153" s="190"/>
      <c r="AB153" s="187"/>
      <c r="AC153" s="184"/>
      <c r="AD153" s="528"/>
      <c r="AE153" s="190"/>
      <c r="AF153" s="190"/>
      <c r="AG153" s="187"/>
      <c r="AH153" s="184"/>
      <c r="AI153" s="528"/>
      <c r="AJ153" s="190"/>
      <c r="AK153" s="190"/>
      <c r="AL153" s="187"/>
      <c r="AM153" s="184"/>
      <c r="AN153" s="528"/>
      <c r="AO153" s="190"/>
      <c r="AP153" s="190"/>
      <c r="AQ153" s="187"/>
      <c r="AR153" s="184"/>
      <c r="AS153" s="528"/>
      <c r="AT153" s="190"/>
      <c r="AU153" s="190"/>
      <c r="AV153" s="187"/>
      <c r="AW153" s="184"/>
      <c r="AX153" s="528"/>
    </row>
    <row r="154" spans="1:50" ht="14.25" customHeight="1" collapsed="1">
      <c r="B154" s="541" t="s">
        <v>698</v>
      </c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60"/>
      <c r="N154" s="545" t="s">
        <v>383</v>
      </c>
      <c r="O154" s="545" t="s">
        <v>105</v>
      </c>
      <c r="P154" s="563">
        <f>AT116+1</f>
        <v>46077</v>
      </c>
      <c r="Q154" s="564"/>
      <c r="R154" s="564"/>
      <c r="S154" s="564"/>
      <c r="T154" s="564"/>
      <c r="U154" s="565">
        <f>P154+1</f>
        <v>46078</v>
      </c>
      <c r="V154" s="566"/>
      <c r="W154" s="566"/>
      <c r="X154" s="566"/>
      <c r="Y154" s="566"/>
      <c r="Z154" s="563">
        <f t="shared" ref="Z154" si="81">U154+1</f>
        <v>46079</v>
      </c>
      <c r="AA154" s="564"/>
      <c r="AB154" s="564"/>
      <c r="AC154" s="564"/>
      <c r="AD154" s="564"/>
      <c r="AE154" s="565">
        <f t="shared" ref="AE154" si="82">Z154+1</f>
        <v>46080</v>
      </c>
      <c r="AF154" s="566"/>
      <c r="AG154" s="566"/>
      <c r="AH154" s="566"/>
      <c r="AI154" s="566"/>
      <c r="AJ154" s="547">
        <f t="shared" ref="AJ154" si="83">AE154+1</f>
        <v>46081</v>
      </c>
      <c r="AK154" s="548"/>
      <c r="AL154" s="548"/>
      <c r="AM154" s="548"/>
      <c r="AN154" s="549"/>
      <c r="AO154" s="565">
        <f t="shared" ref="AO154" si="84">AJ154+1</f>
        <v>46082</v>
      </c>
      <c r="AP154" s="566"/>
      <c r="AQ154" s="566"/>
      <c r="AR154" s="566"/>
      <c r="AS154" s="566"/>
      <c r="AT154" s="547">
        <f t="shared" ref="AT154" si="85">AO154+1</f>
        <v>46083</v>
      </c>
      <c r="AU154" s="548"/>
      <c r="AV154" s="548"/>
      <c r="AW154" s="548"/>
      <c r="AX154" s="549"/>
    </row>
    <row r="155" spans="1:50" ht="14.25" customHeight="1">
      <c r="B155" s="561"/>
      <c r="C155" s="561"/>
      <c r="D155" s="561"/>
      <c r="E155" s="561"/>
      <c r="F155" s="561"/>
      <c r="G155" s="561"/>
      <c r="H155" s="561"/>
      <c r="I155" s="561"/>
      <c r="J155" s="561"/>
      <c r="K155" s="561"/>
      <c r="L155" s="561"/>
      <c r="M155" s="562"/>
      <c r="N155" s="546"/>
      <c r="O155" s="546"/>
      <c r="P155" s="567">
        <f>P154</f>
        <v>46077</v>
      </c>
      <c r="Q155" s="567"/>
      <c r="R155" s="567"/>
      <c r="S155" s="567"/>
      <c r="T155" s="567"/>
      <c r="U155" s="568">
        <f>U154</f>
        <v>46078</v>
      </c>
      <c r="V155" s="568"/>
      <c r="W155" s="568"/>
      <c r="X155" s="568"/>
      <c r="Y155" s="568"/>
      <c r="Z155" s="567">
        <f t="shared" ref="Z155" si="86">Z154</f>
        <v>46079</v>
      </c>
      <c r="AA155" s="567"/>
      <c r="AB155" s="567"/>
      <c r="AC155" s="567"/>
      <c r="AD155" s="567"/>
      <c r="AE155" s="568">
        <f t="shared" ref="AE155" si="87">AE154</f>
        <v>46080</v>
      </c>
      <c r="AF155" s="568"/>
      <c r="AG155" s="568"/>
      <c r="AH155" s="568"/>
      <c r="AI155" s="568"/>
      <c r="AJ155" s="553">
        <f t="shared" ref="AJ155" si="88">AJ154</f>
        <v>46081</v>
      </c>
      <c r="AK155" s="554"/>
      <c r="AL155" s="554"/>
      <c r="AM155" s="554"/>
      <c r="AN155" s="555"/>
      <c r="AO155" s="568">
        <f t="shared" ref="AO155" si="89">AO154</f>
        <v>46082</v>
      </c>
      <c r="AP155" s="568"/>
      <c r="AQ155" s="568"/>
      <c r="AR155" s="568"/>
      <c r="AS155" s="568"/>
      <c r="AT155" s="553">
        <f t="shared" ref="AT155" si="90">AT154</f>
        <v>46083</v>
      </c>
      <c r="AU155" s="554"/>
      <c r="AV155" s="554"/>
      <c r="AW155" s="554"/>
      <c r="AX155" s="555"/>
    </row>
    <row r="156" spans="1:50" ht="14.25" customHeight="1">
      <c r="B156" s="514" t="s">
        <v>164</v>
      </c>
      <c r="C156" s="514" t="s">
        <v>159</v>
      </c>
      <c r="D156" s="514"/>
      <c r="E156" s="514" t="s">
        <v>160</v>
      </c>
      <c r="F156" s="514"/>
      <c r="G156" s="514"/>
      <c r="H156" s="514" t="s">
        <v>165</v>
      </c>
      <c r="I156" s="531" t="s">
        <v>384</v>
      </c>
      <c r="J156" s="531"/>
      <c r="K156" s="531"/>
      <c r="L156" s="531" t="s">
        <v>165</v>
      </c>
      <c r="M156" s="531" t="s">
        <v>167</v>
      </c>
      <c r="N156" s="529"/>
      <c r="O156" s="530" t="s">
        <v>166</v>
      </c>
      <c r="P156" s="530" t="s">
        <v>162</v>
      </c>
      <c r="Q156" s="530"/>
      <c r="R156" s="530"/>
      <c r="S156" s="530"/>
      <c r="T156" s="530" t="s">
        <v>165</v>
      </c>
      <c r="U156" s="530" t="s">
        <v>162</v>
      </c>
      <c r="V156" s="530"/>
      <c r="W156" s="530"/>
      <c r="X156" s="530"/>
      <c r="Y156" s="530" t="s">
        <v>165</v>
      </c>
      <c r="Z156" s="530" t="s">
        <v>162</v>
      </c>
      <c r="AA156" s="530"/>
      <c r="AB156" s="530"/>
      <c r="AC156" s="530"/>
      <c r="AD156" s="530" t="s">
        <v>165</v>
      </c>
      <c r="AE156" s="530" t="s">
        <v>162</v>
      </c>
      <c r="AF156" s="530"/>
      <c r="AG156" s="530"/>
      <c r="AH156" s="530"/>
      <c r="AI156" s="530" t="s">
        <v>165</v>
      </c>
      <c r="AJ156" s="530" t="s">
        <v>162</v>
      </c>
      <c r="AK156" s="530"/>
      <c r="AL156" s="530"/>
      <c r="AM156" s="530"/>
      <c r="AN156" s="530" t="s">
        <v>165</v>
      </c>
      <c r="AO156" s="530" t="s">
        <v>162</v>
      </c>
      <c r="AP156" s="530"/>
      <c r="AQ156" s="530"/>
      <c r="AR156" s="530"/>
      <c r="AS156" s="530" t="s">
        <v>165</v>
      </c>
      <c r="AT156" s="530" t="s">
        <v>162</v>
      </c>
      <c r="AU156" s="530"/>
      <c r="AV156" s="530"/>
      <c r="AW156" s="530"/>
      <c r="AX156" s="530" t="s">
        <v>165</v>
      </c>
    </row>
    <row r="157" spans="1:50" ht="14.25" customHeight="1">
      <c r="B157" s="514"/>
      <c r="C157" s="514"/>
      <c r="D157" s="514"/>
      <c r="E157" s="514" t="s">
        <v>385</v>
      </c>
      <c r="F157" s="514"/>
      <c r="G157" s="514"/>
      <c r="H157" s="514"/>
      <c r="I157" s="531" t="s">
        <v>385</v>
      </c>
      <c r="J157" s="531"/>
      <c r="K157" s="531"/>
      <c r="L157" s="531"/>
      <c r="M157" s="531"/>
      <c r="N157" s="529"/>
      <c r="O157" s="530"/>
      <c r="P157" s="530" t="s">
        <v>386</v>
      </c>
      <c r="Q157" s="530"/>
      <c r="R157" s="530"/>
      <c r="S157" s="530"/>
      <c r="T157" s="530"/>
      <c r="U157" s="530" t="s">
        <v>386</v>
      </c>
      <c r="V157" s="530"/>
      <c r="W157" s="530"/>
      <c r="X157" s="530"/>
      <c r="Y157" s="530"/>
      <c r="Z157" s="530" t="s">
        <v>386</v>
      </c>
      <c r="AA157" s="530"/>
      <c r="AB157" s="530"/>
      <c r="AC157" s="530"/>
      <c r="AD157" s="530"/>
      <c r="AE157" s="530" t="s">
        <v>386</v>
      </c>
      <c r="AF157" s="530"/>
      <c r="AG157" s="530"/>
      <c r="AH157" s="530"/>
      <c r="AI157" s="530"/>
      <c r="AJ157" s="530" t="s">
        <v>386</v>
      </c>
      <c r="AK157" s="530"/>
      <c r="AL157" s="530"/>
      <c r="AM157" s="530"/>
      <c r="AN157" s="530"/>
      <c r="AO157" s="530" t="s">
        <v>386</v>
      </c>
      <c r="AP157" s="530"/>
      <c r="AQ157" s="530"/>
      <c r="AR157" s="530"/>
      <c r="AS157" s="530"/>
      <c r="AT157" s="530" t="s">
        <v>386</v>
      </c>
      <c r="AU157" s="530"/>
      <c r="AV157" s="530"/>
      <c r="AW157" s="530"/>
      <c r="AX157" s="530"/>
    </row>
    <row r="158" spans="1:50" ht="14.25" customHeight="1">
      <c r="A158" s="179"/>
      <c r="B158" s="514"/>
      <c r="C158" s="514"/>
      <c r="D158" s="514"/>
      <c r="E158" s="182" t="s">
        <v>161</v>
      </c>
      <c r="F158" s="182" t="s">
        <v>387</v>
      </c>
      <c r="G158" s="182" t="s">
        <v>163</v>
      </c>
      <c r="H158" s="514"/>
      <c r="I158" s="183" t="s">
        <v>161</v>
      </c>
      <c r="J158" s="183" t="s">
        <v>387</v>
      </c>
      <c r="K158" s="183" t="s">
        <v>163</v>
      </c>
      <c r="L158" s="531"/>
      <c r="M158" s="531"/>
      <c r="N158" s="529"/>
      <c r="O158" s="530"/>
      <c r="P158" s="184" t="s">
        <v>161</v>
      </c>
      <c r="Q158" s="184" t="s">
        <v>387</v>
      </c>
      <c r="R158" s="184" t="s">
        <v>163</v>
      </c>
      <c r="S158" s="184" t="s">
        <v>167</v>
      </c>
      <c r="T158" s="530"/>
      <c r="U158" s="184" t="s">
        <v>161</v>
      </c>
      <c r="V158" s="184" t="s">
        <v>387</v>
      </c>
      <c r="W158" s="184" t="s">
        <v>163</v>
      </c>
      <c r="X158" s="184" t="s">
        <v>167</v>
      </c>
      <c r="Y158" s="530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30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30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30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30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30"/>
    </row>
    <row r="159" spans="1:50" ht="14.25" customHeight="1">
      <c r="B159" s="514" t="s">
        <v>388</v>
      </c>
      <c r="C159" s="182">
        <v>1</v>
      </c>
      <c r="D159" s="185"/>
      <c r="E159" s="186"/>
      <c r="F159" s="182"/>
      <c r="G159" s="187"/>
      <c r="H159" s="526" t="e">
        <f>AVERAGE(G159:G191)</f>
        <v>#DIV/0!</v>
      </c>
      <c r="I159" s="188"/>
      <c r="J159" s="188"/>
      <c r="K159" s="189"/>
      <c r="L159" s="527" t="str">
        <f>IFERROR(AVERAGE(K159:K191),"-")</f>
        <v>-</v>
      </c>
      <c r="M159" s="188" t="e">
        <f>RANK(K159, K$45:$K$77)</f>
        <v>#N/A</v>
      </c>
      <c r="N159" s="529"/>
      <c r="O159" s="530"/>
      <c r="P159" s="190"/>
      <c r="Q159" s="190"/>
      <c r="R159" s="187"/>
      <c r="S159" s="184"/>
      <c r="T159" s="528" t="e">
        <f>AVERAGE(R159:R191)</f>
        <v>#DIV/0!</v>
      </c>
      <c r="U159" s="190"/>
      <c r="V159" s="190"/>
      <c r="W159" s="187"/>
      <c r="X159" s="184"/>
      <c r="Y159" s="528" t="e">
        <f>AVERAGE(W159:W191)</f>
        <v>#DIV/0!</v>
      </c>
      <c r="Z159" s="190"/>
      <c r="AA159" s="190"/>
      <c r="AB159" s="187"/>
      <c r="AC159" s="184"/>
      <c r="AD159" s="528" t="e">
        <f>AVERAGE(AB159:AB191)</f>
        <v>#DIV/0!</v>
      </c>
      <c r="AE159" s="190"/>
      <c r="AF159" s="190"/>
      <c r="AG159" s="187"/>
      <c r="AH159" s="184"/>
      <c r="AI159" s="528" t="e">
        <f>AVERAGE(AG159:AG191)</f>
        <v>#DIV/0!</v>
      </c>
      <c r="AJ159" s="190"/>
      <c r="AK159" s="190"/>
      <c r="AL159" s="187"/>
      <c r="AM159" s="184"/>
      <c r="AN159" s="528" t="e">
        <f>AVERAGE(AL159:AL191)</f>
        <v>#DIV/0!</v>
      </c>
      <c r="AO159" s="190"/>
      <c r="AP159" s="190"/>
      <c r="AQ159" s="187"/>
      <c r="AR159" s="184"/>
      <c r="AS159" s="528" t="e">
        <f>AVERAGE(AQ159:AQ191)</f>
        <v>#DIV/0!</v>
      </c>
      <c r="AT159" s="190"/>
      <c r="AU159" s="190"/>
      <c r="AV159" s="187"/>
      <c r="AW159" s="184"/>
      <c r="AX159" s="528" t="e">
        <f>AVERAGE(AV159:AV191)</f>
        <v>#DIV/0!</v>
      </c>
    </row>
    <row r="160" spans="1:50" ht="14.25" customHeight="1">
      <c r="B160" s="514"/>
      <c r="C160" s="182">
        <v>2</v>
      </c>
      <c r="D160" s="185"/>
      <c r="E160" s="186"/>
      <c r="F160" s="182"/>
      <c r="G160" s="187"/>
      <c r="H160" s="526"/>
      <c r="I160" s="188"/>
      <c r="J160" s="188"/>
      <c r="K160" s="189"/>
      <c r="L160" s="527"/>
      <c r="M160" s="188" t="e">
        <f>RANK(K160, K$45:$K$77)</f>
        <v>#N/A</v>
      </c>
      <c r="N160" s="529"/>
      <c r="O160" s="530"/>
      <c r="P160" s="190"/>
      <c r="Q160" s="190"/>
      <c r="R160" s="187"/>
      <c r="S160" s="184"/>
      <c r="T160" s="528"/>
      <c r="U160" s="190"/>
      <c r="V160" s="190"/>
      <c r="W160" s="187"/>
      <c r="X160" s="184"/>
      <c r="Y160" s="528"/>
      <c r="Z160" s="190"/>
      <c r="AA160" s="190"/>
      <c r="AB160" s="187"/>
      <c r="AC160" s="184"/>
      <c r="AD160" s="528"/>
      <c r="AE160" s="190"/>
      <c r="AF160" s="190"/>
      <c r="AG160" s="187"/>
      <c r="AH160" s="184"/>
      <c r="AI160" s="528"/>
      <c r="AJ160" s="190"/>
      <c r="AK160" s="190"/>
      <c r="AL160" s="187"/>
      <c r="AM160" s="184"/>
      <c r="AN160" s="528"/>
      <c r="AO160" s="190"/>
      <c r="AP160" s="190"/>
      <c r="AQ160" s="187"/>
      <c r="AR160" s="184"/>
      <c r="AS160" s="528"/>
      <c r="AT160" s="190"/>
      <c r="AU160" s="190"/>
      <c r="AV160" s="187"/>
      <c r="AW160" s="184"/>
      <c r="AX160" s="528"/>
    </row>
    <row r="161" spans="2:50" ht="14.25" customHeight="1">
      <c r="B161" s="514"/>
      <c r="C161" s="182">
        <v>3</v>
      </c>
      <c r="D161" s="185"/>
      <c r="E161" s="186"/>
      <c r="F161" s="182"/>
      <c r="G161" s="187"/>
      <c r="H161" s="526"/>
      <c r="I161" s="188"/>
      <c r="J161" s="188"/>
      <c r="K161" s="189"/>
      <c r="L161" s="527"/>
      <c r="M161" s="188" t="e">
        <f>RANK(K161, K$45:$K$77)</f>
        <v>#N/A</v>
      </c>
      <c r="N161" s="529"/>
      <c r="O161" s="530"/>
      <c r="P161" s="190"/>
      <c r="Q161" s="190"/>
      <c r="R161" s="187"/>
      <c r="S161" s="184"/>
      <c r="T161" s="528"/>
      <c r="U161" s="190"/>
      <c r="V161" s="190"/>
      <c r="W161" s="187"/>
      <c r="X161" s="184"/>
      <c r="Y161" s="528"/>
      <c r="Z161" s="190"/>
      <c r="AA161" s="190"/>
      <c r="AB161" s="187"/>
      <c r="AC161" s="184"/>
      <c r="AD161" s="528"/>
      <c r="AE161" s="190"/>
      <c r="AF161" s="190"/>
      <c r="AG161" s="187"/>
      <c r="AH161" s="184"/>
      <c r="AI161" s="528"/>
      <c r="AJ161" s="190"/>
      <c r="AK161" s="190"/>
      <c r="AL161" s="187"/>
      <c r="AM161" s="184"/>
      <c r="AN161" s="528"/>
      <c r="AO161" s="190"/>
      <c r="AP161" s="190"/>
      <c r="AQ161" s="187"/>
      <c r="AR161" s="184"/>
      <c r="AS161" s="528"/>
      <c r="AT161" s="190"/>
      <c r="AU161" s="190"/>
      <c r="AV161" s="187"/>
      <c r="AW161" s="184"/>
      <c r="AX161" s="528"/>
    </row>
    <row r="162" spans="2:50" ht="14.25" customHeight="1">
      <c r="B162" s="514"/>
      <c r="C162" s="182">
        <v>4</v>
      </c>
      <c r="D162" s="185"/>
      <c r="E162" s="186"/>
      <c r="F162" s="182"/>
      <c r="G162" s="187"/>
      <c r="H162" s="526"/>
      <c r="I162" s="188"/>
      <c r="J162" s="188"/>
      <c r="K162" s="189"/>
      <c r="L162" s="527"/>
      <c r="M162" s="188" t="e">
        <f>RANK(K162, K$45:$K$77)</f>
        <v>#N/A</v>
      </c>
      <c r="N162" s="529"/>
      <c r="O162" s="530"/>
      <c r="P162" s="190"/>
      <c r="Q162" s="190"/>
      <c r="R162" s="187"/>
      <c r="S162" s="184"/>
      <c r="T162" s="528"/>
      <c r="U162" s="190"/>
      <c r="V162" s="190"/>
      <c r="W162" s="187"/>
      <c r="X162" s="184"/>
      <c r="Y162" s="528"/>
      <c r="Z162" s="190"/>
      <c r="AA162" s="190"/>
      <c r="AB162" s="187"/>
      <c r="AC162" s="184"/>
      <c r="AD162" s="528"/>
      <c r="AE162" s="190"/>
      <c r="AF162" s="190"/>
      <c r="AG162" s="187"/>
      <c r="AH162" s="184"/>
      <c r="AI162" s="528"/>
      <c r="AJ162" s="190"/>
      <c r="AK162" s="190"/>
      <c r="AL162" s="187"/>
      <c r="AM162" s="184"/>
      <c r="AN162" s="528"/>
      <c r="AO162" s="190"/>
      <c r="AP162" s="190"/>
      <c r="AQ162" s="187"/>
      <c r="AR162" s="184"/>
      <c r="AS162" s="528"/>
      <c r="AT162" s="190"/>
      <c r="AU162" s="190"/>
      <c r="AV162" s="187"/>
      <c r="AW162" s="184"/>
      <c r="AX162" s="528"/>
    </row>
    <row r="163" spans="2:50" ht="14.25" customHeight="1">
      <c r="B163" s="514"/>
      <c r="C163" s="182">
        <v>5</v>
      </c>
      <c r="D163" s="185"/>
      <c r="E163" s="186"/>
      <c r="F163" s="182"/>
      <c r="G163" s="187"/>
      <c r="H163" s="526"/>
      <c r="I163" s="188"/>
      <c r="J163" s="188"/>
      <c r="K163" s="189"/>
      <c r="L163" s="527"/>
      <c r="M163" s="188" t="e">
        <f>RANK(K163, K$45:$K$77)</f>
        <v>#N/A</v>
      </c>
      <c r="N163" s="529"/>
      <c r="O163" s="530"/>
      <c r="P163" s="190"/>
      <c r="Q163" s="190"/>
      <c r="R163" s="187"/>
      <c r="S163" s="184"/>
      <c r="T163" s="528"/>
      <c r="U163" s="190"/>
      <c r="V163" s="190"/>
      <c r="W163" s="187"/>
      <c r="X163" s="184"/>
      <c r="Y163" s="528"/>
      <c r="Z163" s="190"/>
      <c r="AA163" s="190"/>
      <c r="AB163" s="187"/>
      <c r="AC163" s="184"/>
      <c r="AD163" s="528"/>
      <c r="AE163" s="190"/>
      <c r="AF163" s="190"/>
      <c r="AG163" s="187"/>
      <c r="AH163" s="184"/>
      <c r="AI163" s="528"/>
      <c r="AJ163" s="190"/>
      <c r="AK163" s="190"/>
      <c r="AL163" s="187"/>
      <c r="AM163" s="184"/>
      <c r="AN163" s="528"/>
      <c r="AO163" s="190"/>
      <c r="AP163" s="190"/>
      <c r="AQ163" s="187"/>
      <c r="AR163" s="184"/>
      <c r="AS163" s="528"/>
      <c r="AT163" s="190"/>
      <c r="AU163" s="190"/>
      <c r="AV163" s="187"/>
      <c r="AW163" s="184"/>
      <c r="AX163" s="528"/>
    </row>
    <row r="164" spans="2:50" ht="14.25" customHeight="1">
      <c r="B164" s="514"/>
      <c r="C164" s="182">
        <v>6</v>
      </c>
      <c r="D164" s="185"/>
      <c r="E164" s="186"/>
      <c r="F164" s="182"/>
      <c r="G164" s="187"/>
      <c r="H164" s="526"/>
      <c r="I164" s="188"/>
      <c r="J164" s="188"/>
      <c r="K164" s="189"/>
      <c r="L164" s="527"/>
      <c r="M164" s="188" t="e">
        <f>RANK(K164, K$45:$K$77)</f>
        <v>#N/A</v>
      </c>
      <c r="N164" s="529"/>
      <c r="O164" s="530"/>
      <c r="P164" s="190"/>
      <c r="Q164" s="190"/>
      <c r="R164" s="187"/>
      <c r="S164" s="184"/>
      <c r="T164" s="528"/>
      <c r="U164" s="190"/>
      <c r="V164" s="190"/>
      <c r="W164" s="187"/>
      <c r="X164" s="184"/>
      <c r="Y164" s="528"/>
      <c r="Z164" s="190"/>
      <c r="AA164" s="190"/>
      <c r="AB164" s="187"/>
      <c r="AC164" s="184"/>
      <c r="AD164" s="528"/>
      <c r="AE164" s="190"/>
      <c r="AF164" s="190"/>
      <c r="AG164" s="187"/>
      <c r="AH164" s="184"/>
      <c r="AI164" s="528"/>
      <c r="AJ164" s="190"/>
      <c r="AK164" s="190"/>
      <c r="AL164" s="187"/>
      <c r="AM164" s="184"/>
      <c r="AN164" s="528"/>
      <c r="AO164" s="190"/>
      <c r="AP164" s="190"/>
      <c r="AQ164" s="187"/>
      <c r="AR164" s="184"/>
      <c r="AS164" s="528"/>
      <c r="AT164" s="190"/>
      <c r="AU164" s="190"/>
      <c r="AV164" s="187"/>
      <c r="AW164" s="184"/>
      <c r="AX164" s="528"/>
    </row>
    <row r="165" spans="2:50" ht="14.25" customHeight="1">
      <c r="B165" s="514"/>
      <c r="C165" s="182">
        <v>7</v>
      </c>
      <c r="D165" s="185"/>
      <c r="E165" s="186"/>
      <c r="F165" s="182"/>
      <c r="G165" s="187"/>
      <c r="H165" s="526"/>
      <c r="I165" s="188"/>
      <c r="J165" s="188"/>
      <c r="K165" s="189"/>
      <c r="L165" s="527"/>
      <c r="M165" s="188" t="e">
        <f>RANK(K165, K$45:$K$77)</f>
        <v>#N/A</v>
      </c>
      <c r="N165" s="529"/>
      <c r="O165" s="530"/>
      <c r="P165" s="190"/>
      <c r="Q165" s="190"/>
      <c r="R165" s="187"/>
      <c r="S165" s="184"/>
      <c r="T165" s="528"/>
      <c r="U165" s="190"/>
      <c r="V165" s="190"/>
      <c r="W165" s="187"/>
      <c r="X165" s="184"/>
      <c r="Y165" s="528"/>
      <c r="Z165" s="190"/>
      <c r="AA165" s="190"/>
      <c r="AB165" s="187"/>
      <c r="AC165" s="184"/>
      <c r="AD165" s="528"/>
      <c r="AE165" s="190"/>
      <c r="AF165" s="190"/>
      <c r="AG165" s="187"/>
      <c r="AH165" s="184"/>
      <c r="AI165" s="528"/>
      <c r="AJ165" s="190"/>
      <c r="AK165" s="190"/>
      <c r="AL165" s="187"/>
      <c r="AM165" s="184"/>
      <c r="AN165" s="528"/>
      <c r="AO165" s="190"/>
      <c r="AP165" s="190"/>
      <c r="AQ165" s="187"/>
      <c r="AR165" s="184"/>
      <c r="AS165" s="528"/>
      <c r="AT165" s="190"/>
      <c r="AU165" s="190"/>
      <c r="AV165" s="187"/>
      <c r="AW165" s="184"/>
      <c r="AX165" s="528"/>
    </row>
    <row r="166" spans="2:50" ht="14.25" customHeight="1">
      <c r="B166" s="514"/>
      <c r="C166" s="182">
        <v>8</v>
      </c>
      <c r="D166" s="185"/>
      <c r="E166" s="186"/>
      <c r="F166" s="182"/>
      <c r="G166" s="187"/>
      <c r="H166" s="526"/>
      <c r="I166" s="188"/>
      <c r="J166" s="188"/>
      <c r="K166" s="189"/>
      <c r="L166" s="527"/>
      <c r="M166" s="188" t="e">
        <f>RANK(K166, K$45:$K$77)</f>
        <v>#N/A</v>
      </c>
      <c r="N166" s="529"/>
      <c r="O166" s="530"/>
      <c r="P166" s="190"/>
      <c r="Q166" s="190"/>
      <c r="R166" s="187"/>
      <c r="S166" s="184"/>
      <c r="T166" s="528"/>
      <c r="U166" s="190"/>
      <c r="V166" s="190"/>
      <c r="W166" s="187"/>
      <c r="X166" s="184"/>
      <c r="Y166" s="528"/>
      <c r="Z166" s="190"/>
      <c r="AA166" s="190"/>
      <c r="AB166" s="187"/>
      <c r="AC166" s="184"/>
      <c r="AD166" s="528"/>
      <c r="AE166" s="190"/>
      <c r="AF166" s="190"/>
      <c r="AG166" s="187"/>
      <c r="AH166" s="184"/>
      <c r="AI166" s="528"/>
      <c r="AJ166" s="190"/>
      <c r="AK166" s="190"/>
      <c r="AL166" s="187"/>
      <c r="AM166" s="184"/>
      <c r="AN166" s="528"/>
      <c r="AO166" s="190"/>
      <c r="AP166" s="190"/>
      <c r="AQ166" s="187"/>
      <c r="AR166" s="184"/>
      <c r="AS166" s="528"/>
      <c r="AT166" s="190"/>
      <c r="AU166" s="190"/>
      <c r="AV166" s="187"/>
      <c r="AW166" s="184"/>
      <c r="AX166" s="528"/>
    </row>
    <row r="167" spans="2:50" ht="14.25" customHeight="1">
      <c r="B167" s="514"/>
      <c r="C167" s="182">
        <v>9</v>
      </c>
      <c r="D167" s="185"/>
      <c r="E167" s="186"/>
      <c r="F167" s="182"/>
      <c r="G167" s="187"/>
      <c r="H167" s="526"/>
      <c r="I167" s="188"/>
      <c r="J167" s="188"/>
      <c r="K167" s="189"/>
      <c r="L167" s="527"/>
      <c r="M167" s="188" t="e">
        <f>RANK(K167, K$45:$K$77)</f>
        <v>#N/A</v>
      </c>
      <c r="N167" s="529"/>
      <c r="O167" s="530"/>
      <c r="P167" s="190"/>
      <c r="Q167" s="190"/>
      <c r="R167" s="187"/>
      <c r="S167" s="184"/>
      <c r="T167" s="528"/>
      <c r="U167" s="190"/>
      <c r="V167" s="190"/>
      <c r="W167" s="187"/>
      <c r="X167" s="184"/>
      <c r="Y167" s="528"/>
      <c r="Z167" s="190"/>
      <c r="AA167" s="190"/>
      <c r="AB167" s="187"/>
      <c r="AC167" s="184"/>
      <c r="AD167" s="528"/>
      <c r="AE167" s="190"/>
      <c r="AF167" s="190"/>
      <c r="AG167" s="187"/>
      <c r="AH167" s="184"/>
      <c r="AI167" s="528"/>
      <c r="AJ167" s="190"/>
      <c r="AK167" s="190"/>
      <c r="AL167" s="187"/>
      <c r="AM167" s="184"/>
      <c r="AN167" s="528"/>
      <c r="AO167" s="190"/>
      <c r="AP167" s="190"/>
      <c r="AQ167" s="187"/>
      <c r="AR167" s="184"/>
      <c r="AS167" s="528"/>
      <c r="AT167" s="190"/>
      <c r="AU167" s="190"/>
      <c r="AV167" s="187"/>
      <c r="AW167" s="184"/>
      <c r="AX167" s="528"/>
    </row>
    <row r="168" spans="2:50" ht="14.25" customHeight="1">
      <c r="B168" s="514"/>
      <c r="C168" s="182">
        <v>10</v>
      </c>
      <c r="D168" s="185"/>
      <c r="E168" s="186"/>
      <c r="F168" s="182"/>
      <c r="G168" s="187"/>
      <c r="H168" s="526"/>
      <c r="I168" s="188"/>
      <c r="J168" s="188"/>
      <c r="K168" s="189"/>
      <c r="L168" s="527"/>
      <c r="M168" s="188" t="e">
        <f>RANK(K168, K$45:$K$77)</f>
        <v>#N/A</v>
      </c>
      <c r="N168" s="529"/>
      <c r="O168" s="530"/>
      <c r="P168" s="190"/>
      <c r="Q168" s="190"/>
      <c r="R168" s="187"/>
      <c r="S168" s="184"/>
      <c r="T168" s="528"/>
      <c r="U168" s="190"/>
      <c r="V168" s="190"/>
      <c r="W168" s="187"/>
      <c r="X168" s="184"/>
      <c r="Y168" s="528"/>
      <c r="Z168" s="190"/>
      <c r="AA168" s="190"/>
      <c r="AB168" s="187"/>
      <c r="AC168" s="184"/>
      <c r="AD168" s="528"/>
      <c r="AE168" s="190"/>
      <c r="AF168" s="190"/>
      <c r="AG168" s="187"/>
      <c r="AH168" s="184"/>
      <c r="AI168" s="528"/>
      <c r="AJ168" s="190"/>
      <c r="AK168" s="190"/>
      <c r="AL168" s="187"/>
      <c r="AM168" s="184"/>
      <c r="AN168" s="528"/>
      <c r="AO168" s="190"/>
      <c r="AP168" s="190"/>
      <c r="AQ168" s="187"/>
      <c r="AR168" s="184"/>
      <c r="AS168" s="528"/>
      <c r="AT168" s="190"/>
      <c r="AU168" s="190"/>
      <c r="AV168" s="187"/>
      <c r="AW168" s="184"/>
      <c r="AX168" s="528"/>
    </row>
    <row r="169" spans="2:50" ht="14.25" customHeight="1">
      <c r="B169" s="514"/>
      <c r="C169" s="182">
        <v>11</v>
      </c>
      <c r="D169" s="185"/>
      <c r="E169" s="186"/>
      <c r="F169" s="182"/>
      <c r="G169" s="187"/>
      <c r="H169" s="526"/>
      <c r="I169" s="188"/>
      <c r="J169" s="188"/>
      <c r="K169" s="189"/>
      <c r="L169" s="527"/>
      <c r="M169" s="188" t="e">
        <f>RANK(K169, K$45:$K$77)</f>
        <v>#N/A</v>
      </c>
      <c r="N169" s="529"/>
      <c r="O169" s="530"/>
      <c r="P169" s="190"/>
      <c r="Q169" s="190"/>
      <c r="R169" s="187"/>
      <c r="S169" s="184"/>
      <c r="T169" s="528"/>
      <c r="U169" s="190"/>
      <c r="V169" s="190"/>
      <c r="W169" s="187"/>
      <c r="X169" s="184"/>
      <c r="Y169" s="528"/>
      <c r="Z169" s="190"/>
      <c r="AA169" s="190"/>
      <c r="AB169" s="187"/>
      <c r="AC169" s="184"/>
      <c r="AD169" s="528"/>
      <c r="AE169" s="190"/>
      <c r="AF169" s="190"/>
      <c r="AG169" s="187"/>
      <c r="AH169" s="184"/>
      <c r="AI169" s="528"/>
      <c r="AJ169" s="190"/>
      <c r="AK169" s="190"/>
      <c r="AL169" s="187"/>
      <c r="AM169" s="184"/>
      <c r="AN169" s="528"/>
      <c r="AO169" s="190"/>
      <c r="AP169" s="190"/>
      <c r="AQ169" s="187"/>
      <c r="AR169" s="184"/>
      <c r="AS169" s="528"/>
      <c r="AT169" s="190"/>
      <c r="AU169" s="190"/>
      <c r="AV169" s="187"/>
      <c r="AW169" s="184"/>
      <c r="AX169" s="528"/>
    </row>
    <row r="170" spans="2:50" ht="14.25" customHeight="1">
      <c r="B170" s="514"/>
      <c r="C170" s="182">
        <v>12</v>
      </c>
      <c r="D170" s="185"/>
      <c r="E170" s="186"/>
      <c r="F170" s="182"/>
      <c r="G170" s="187"/>
      <c r="H170" s="526"/>
      <c r="I170" s="188"/>
      <c r="J170" s="188"/>
      <c r="K170" s="189"/>
      <c r="L170" s="527"/>
      <c r="M170" s="188" t="e">
        <f>RANK(K170, K$45:$K$77)</f>
        <v>#N/A</v>
      </c>
      <c r="N170" s="529"/>
      <c r="O170" s="530"/>
      <c r="P170" s="190"/>
      <c r="Q170" s="190"/>
      <c r="R170" s="187"/>
      <c r="S170" s="184"/>
      <c r="T170" s="528"/>
      <c r="U170" s="190"/>
      <c r="V170" s="190"/>
      <c r="W170" s="187"/>
      <c r="X170" s="184"/>
      <c r="Y170" s="528"/>
      <c r="Z170" s="190"/>
      <c r="AA170" s="190"/>
      <c r="AB170" s="187"/>
      <c r="AC170" s="184"/>
      <c r="AD170" s="528"/>
      <c r="AE170" s="190"/>
      <c r="AF170" s="190"/>
      <c r="AG170" s="187"/>
      <c r="AH170" s="184"/>
      <c r="AI170" s="528"/>
      <c r="AJ170" s="190"/>
      <c r="AK170" s="190"/>
      <c r="AL170" s="187"/>
      <c r="AM170" s="184"/>
      <c r="AN170" s="528"/>
      <c r="AO170" s="190"/>
      <c r="AP170" s="190"/>
      <c r="AQ170" s="187"/>
      <c r="AR170" s="184"/>
      <c r="AS170" s="528"/>
      <c r="AT170" s="190"/>
      <c r="AU170" s="190"/>
      <c r="AV170" s="187"/>
      <c r="AW170" s="184"/>
      <c r="AX170" s="528"/>
    </row>
    <row r="171" spans="2:50" ht="14.25" customHeight="1">
      <c r="B171" s="514"/>
      <c r="C171" s="182">
        <v>13</v>
      </c>
      <c r="D171" s="185"/>
      <c r="E171" s="186"/>
      <c r="F171" s="182"/>
      <c r="G171" s="187"/>
      <c r="H171" s="526"/>
      <c r="I171" s="188"/>
      <c r="J171" s="188"/>
      <c r="K171" s="189"/>
      <c r="L171" s="527"/>
      <c r="M171" s="188" t="e">
        <f>RANK(K171, K$45:$K$77)</f>
        <v>#N/A</v>
      </c>
      <c r="N171" s="529"/>
      <c r="O171" s="530"/>
      <c r="P171" s="190"/>
      <c r="Q171" s="190"/>
      <c r="R171" s="187"/>
      <c r="S171" s="184"/>
      <c r="T171" s="528"/>
      <c r="U171" s="190"/>
      <c r="V171" s="190"/>
      <c r="W171" s="187"/>
      <c r="X171" s="184"/>
      <c r="Y171" s="528"/>
      <c r="Z171" s="190"/>
      <c r="AA171" s="190"/>
      <c r="AB171" s="187"/>
      <c r="AC171" s="184"/>
      <c r="AD171" s="528"/>
      <c r="AE171" s="190"/>
      <c r="AF171" s="190"/>
      <c r="AG171" s="187"/>
      <c r="AH171" s="184"/>
      <c r="AI171" s="528"/>
      <c r="AJ171" s="190"/>
      <c r="AK171" s="190"/>
      <c r="AL171" s="187"/>
      <c r="AM171" s="184"/>
      <c r="AN171" s="528"/>
      <c r="AO171" s="190"/>
      <c r="AP171" s="190"/>
      <c r="AQ171" s="187"/>
      <c r="AR171" s="184"/>
      <c r="AS171" s="528"/>
      <c r="AT171" s="190"/>
      <c r="AU171" s="190"/>
      <c r="AV171" s="187"/>
      <c r="AW171" s="184"/>
      <c r="AX171" s="528"/>
    </row>
    <row r="172" spans="2:50" ht="14.25" customHeight="1">
      <c r="B172" s="514"/>
      <c r="C172" s="182">
        <v>14</v>
      </c>
      <c r="D172" s="185"/>
      <c r="E172" s="186"/>
      <c r="F172" s="182"/>
      <c r="G172" s="187"/>
      <c r="H172" s="526"/>
      <c r="I172" s="188"/>
      <c r="J172" s="188"/>
      <c r="K172" s="189"/>
      <c r="L172" s="527"/>
      <c r="M172" s="188" t="e">
        <f>RANK(K172, K$45:$K$77)</f>
        <v>#N/A</v>
      </c>
      <c r="N172" s="529"/>
      <c r="O172" s="530"/>
      <c r="P172" s="190"/>
      <c r="Q172" s="190"/>
      <c r="R172" s="187"/>
      <c r="S172" s="184"/>
      <c r="T172" s="528"/>
      <c r="U172" s="190"/>
      <c r="V172" s="190"/>
      <c r="W172" s="187"/>
      <c r="X172" s="184"/>
      <c r="Y172" s="528"/>
      <c r="Z172" s="190"/>
      <c r="AA172" s="190"/>
      <c r="AB172" s="187"/>
      <c r="AC172" s="184"/>
      <c r="AD172" s="528"/>
      <c r="AE172" s="190"/>
      <c r="AF172" s="190"/>
      <c r="AG172" s="187"/>
      <c r="AH172" s="184"/>
      <c r="AI172" s="528"/>
      <c r="AJ172" s="190"/>
      <c r="AK172" s="190"/>
      <c r="AL172" s="187"/>
      <c r="AM172" s="184"/>
      <c r="AN172" s="528"/>
      <c r="AO172" s="190"/>
      <c r="AP172" s="190"/>
      <c r="AQ172" s="187"/>
      <c r="AR172" s="184"/>
      <c r="AS172" s="528"/>
      <c r="AT172" s="190"/>
      <c r="AU172" s="190"/>
      <c r="AV172" s="187"/>
      <c r="AW172" s="184"/>
      <c r="AX172" s="528"/>
    </row>
    <row r="173" spans="2:50" ht="14.25" customHeight="1">
      <c r="B173" s="514"/>
      <c r="C173" s="182">
        <v>15</v>
      </c>
      <c r="D173" s="185"/>
      <c r="E173" s="186"/>
      <c r="F173" s="182"/>
      <c r="G173" s="187"/>
      <c r="H173" s="526"/>
      <c r="I173" s="188"/>
      <c r="J173" s="188"/>
      <c r="K173" s="189"/>
      <c r="L173" s="527"/>
      <c r="M173" s="188" t="e">
        <f>RANK(K173, K$45:$K$77)</f>
        <v>#N/A</v>
      </c>
      <c r="N173" s="529"/>
      <c r="O173" s="530"/>
      <c r="P173" s="190"/>
      <c r="Q173" s="190"/>
      <c r="R173" s="187"/>
      <c r="S173" s="184"/>
      <c r="T173" s="528"/>
      <c r="U173" s="190"/>
      <c r="V173" s="190"/>
      <c r="W173" s="187"/>
      <c r="X173" s="184"/>
      <c r="Y173" s="528"/>
      <c r="Z173" s="190"/>
      <c r="AA173" s="190"/>
      <c r="AB173" s="187"/>
      <c r="AC173" s="184"/>
      <c r="AD173" s="528"/>
      <c r="AE173" s="190"/>
      <c r="AF173" s="190"/>
      <c r="AG173" s="187"/>
      <c r="AH173" s="184"/>
      <c r="AI173" s="528"/>
      <c r="AJ173" s="190"/>
      <c r="AK173" s="190"/>
      <c r="AL173" s="187"/>
      <c r="AM173" s="184"/>
      <c r="AN173" s="528"/>
      <c r="AO173" s="190"/>
      <c r="AP173" s="190"/>
      <c r="AQ173" s="187"/>
      <c r="AR173" s="184"/>
      <c r="AS173" s="528"/>
      <c r="AT173" s="190"/>
      <c r="AU173" s="190"/>
      <c r="AV173" s="187"/>
      <c r="AW173" s="184"/>
      <c r="AX173" s="528"/>
    </row>
    <row r="174" spans="2:50" ht="14.25" customHeight="1">
      <c r="B174" s="514"/>
      <c r="C174" s="182">
        <v>16</v>
      </c>
      <c r="D174" s="185"/>
      <c r="E174" s="186"/>
      <c r="F174" s="182"/>
      <c r="G174" s="187"/>
      <c r="H174" s="526"/>
      <c r="I174" s="188"/>
      <c r="J174" s="188"/>
      <c r="K174" s="189"/>
      <c r="L174" s="527"/>
      <c r="M174" s="188" t="e">
        <f>RANK(K174, K$45:$K$77)</f>
        <v>#N/A</v>
      </c>
      <c r="N174" s="529"/>
      <c r="O174" s="530"/>
      <c r="P174" s="190"/>
      <c r="Q174" s="190"/>
      <c r="R174" s="187"/>
      <c r="S174" s="184"/>
      <c r="T174" s="528"/>
      <c r="U174" s="190"/>
      <c r="V174" s="190"/>
      <c r="W174" s="187"/>
      <c r="X174" s="184"/>
      <c r="Y174" s="528"/>
      <c r="Z174" s="190"/>
      <c r="AA174" s="190"/>
      <c r="AB174" s="187"/>
      <c r="AC174" s="184"/>
      <c r="AD174" s="528"/>
      <c r="AE174" s="190"/>
      <c r="AF174" s="190"/>
      <c r="AG174" s="187"/>
      <c r="AH174" s="184"/>
      <c r="AI174" s="528"/>
      <c r="AJ174" s="190"/>
      <c r="AK174" s="190"/>
      <c r="AL174" s="187"/>
      <c r="AM174" s="184"/>
      <c r="AN174" s="528"/>
      <c r="AO174" s="190"/>
      <c r="AP174" s="190"/>
      <c r="AQ174" s="187"/>
      <c r="AR174" s="184"/>
      <c r="AS174" s="528"/>
      <c r="AT174" s="190"/>
      <c r="AU174" s="190"/>
      <c r="AV174" s="187"/>
      <c r="AW174" s="184"/>
      <c r="AX174" s="528"/>
    </row>
    <row r="175" spans="2:50" ht="14.25" customHeight="1">
      <c r="B175" s="514"/>
      <c r="C175" s="182">
        <v>17</v>
      </c>
      <c r="D175" s="185"/>
      <c r="E175" s="186"/>
      <c r="F175" s="182"/>
      <c r="G175" s="187"/>
      <c r="H175" s="526"/>
      <c r="I175" s="188"/>
      <c r="J175" s="188"/>
      <c r="K175" s="189"/>
      <c r="L175" s="527"/>
      <c r="M175" s="188" t="e">
        <f>RANK(K175, K$45:$K$77)</f>
        <v>#N/A</v>
      </c>
      <c r="N175" s="529"/>
      <c r="O175" s="530"/>
      <c r="P175" s="190"/>
      <c r="Q175" s="190"/>
      <c r="R175" s="187"/>
      <c r="S175" s="184"/>
      <c r="T175" s="528"/>
      <c r="U175" s="190"/>
      <c r="V175" s="190"/>
      <c r="W175" s="187"/>
      <c r="X175" s="184"/>
      <c r="Y175" s="528"/>
      <c r="Z175" s="190"/>
      <c r="AA175" s="190"/>
      <c r="AB175" s="187"/>
      <c r="AC175" s="184"/>
      <c r="AD175" s="528"/>
      <c r="AE175" s="190"/>
      <c r="AF175" s="190"/>
      <c r="AG175" s="187"/>
      <c r="AH175" s="184"/>
      <c r="AI175" s="528"/>
      <c r="AJ175" s="190"/>
      <c r="AK175" s="190"/>
      <c r="AL175" s="187"/>
      <c r="AM175" s="184"/>
      <c r="AN175" s="528"/>
      <c r="AO175" s="190"/>
      <c r="AP175" s="190"/>
      <c r="AQ175" s="187"/>
      <c r="AR175" s="184"/>
      <c r="AS175" s="528"/>
      <c r="AT175" s="190"/>
      <c r="AU175" s="190"/>
      <c r="AV175" s="187"/>
      <c r="AW175" s="184"/>
      <c r="AX175" s="528"/>
    </row>
    <row r="176" spans="2:50" ht="14.25" customHeight="1">
      <c r="B176" s="514"/>
      <c r="C176" s="182">
        <v>18</v>
      </c>
      <c r="D176" s="185"/>
      <c r="E176" s="186"/>
      <c r="F176" s="182"/>
      <c r="G176" s="187"/>
      <c r="H176" s="526"/>
      <c r="I176" s="188"/>
      <c r="J176" s="188"/>
      <c r="K176" s="189"/>
      <c r="L176" s="527"/>
      <c r="M176" s="188" t="e">
        <f>RANK(K176, K$45:$K$77)</f>
        <v>#N/A</v>
      </c>
      <c r="N176" s="529"/>
      <c r="O176" s="530"/>
      <c r="P176" s="190"/>
      <c r="Q176" s="190"/>
      <c r="R176" s="187"/>
      <c r="S176" s="184"/>
      <c r="T176" s="528"/>
      <c r="U176" s="190"/>
      <c r="V176" s="190"/>
      <c r="W176" s="187"/>
      <c r="X176" s="184"/>
      <c r="Y176" s="528"/>
      <c r="Z176" s="190"/>
      <c r="AA176" s="190"/>
      <c r="AB176" s="187"/>
      <c r="AC176" s="184"/>
      <c r="AD176" s="528"/>
      <c r="AE176" s="190"/>
      <c r="AF176" s="190"/>
      <c r="AG176" s="187"/>
      <c r="AH176" s="184"/>
      <c r="AI176" s="528"/>
      <c r="AJ176" s="190"/>
      <c r="AK176" s="190"/>
      <c r="AL176" s="187"/>
      <c r="AM176" s="184"/>
      <c r="AN176" s="528"/>
      <c r="AO176" s="190"/>
      <c r="AP176" s="190"/>
      <c r="AQ176" s="187"/>
      <c r="AR176" s="184"/>
      <c r="AS176" s="528"/>
      <c r="AT176" s="190"/>
      <c r="AU176" s="190"/>
      <c r="AV176" s="187"/>
      <c r="AW176" s="184"/>
      <c r="AX176" s="528"/>
    </row>
    <row r="177" spans="2:50" ht="14.25" customHeight="1">
      <c r="B177" s="514"/>
      <c r="C177" s="182">
        <v>19</v>
      </c>
      <c r="D177" s="185"/>
      <c r="E177" s="186"/>
      <c r="F177" s="182"/>
      <c r="G177" s="187"/>
      <c r="H177" s="526"/>
      <c r="I177" s="188"/>
      <c r="J177" s="188"/>
      <c r="K177" s="189"/>
      <c r="L177" s="527"/>
      <c r="M177" s="188" t="e">
        <f>RANK(K177, K$45:$K$77)</f>
        <v>#N/A</v>
      </c>
      <c r="N177" s="529"/>
      <c r="O177" s="530"/>
      <c r="P177" s="190"/>
      <c r="Q177" s="190"/>
      <c r="R177" s="187"/>
      <c r="S177" s="184"/>
      <c r="T177" s="528"/>
      <c r="U177" s="190"/>
      <c r="V177" s="190"/>
      <c r="W177" s="187"/>
      <c r="X177" s="184"/>
      <c r="Y177" s="528"/>
      <c r="Z177" s="190"/>
      <c r="AA177" s="190"/>
      <c r="AB177" s="187"/>
      <c r="AC177" s="184"/>
      <c r="AD177" s="528"/>
      <c r="AE177" s="190"/>
      <c r="AF177" s="190"/>
      <c r="AG177" s="187"/>
      <c r="AH177" s="184"/>
      <c r="AI177" s="528"/>
      <c r="AJ177" s="190"/>
      <c r="AK177" s="190"/>
      <c r="AL177" s="187"/>
      <c r="AM177" s="184"/>
      <c r="AN177" s="528"/>
      <c r="AO177" s="190"/>
      <c r="AP177" s="190"/>
      <c r="AQ177" s="187"/>
      <c r="AR177" s="184"/>
      <c r="AS177" s="528"/>
      <c r="AT177" s="190"/>
      <c r="AU177" s="190"/>
      <c r="AV177" s="187"/>
      <c r="AW177" s="184"/>
      <c r="AX177" s="528"/>
    </row>
    <row r="178" spans="2:50" ht="14.25" customHeight="1">
      <c r="B178" s="514"/>
      <c r="C178" s="182">
        <v>20</v>
      </c>
      <c r="D178" s="185"/>
      <c r="E178" s="186"/>
      <c r="F178" s="182"/>
      <c r="G178" s="187"/>
      <c r="H178" s="526"/>
      <c r="I178" s="188"/>
      <c r="J178" s="188"/>
      <c r="K178" s="189"/>
      <c r="L178" s="527"/>
      <c r="M178" s="188" t="e">
        <f>RANK(K178, K$45:$K$77)</f>
        <v>#N/A</v>
      </c>
      <c r="N178" s="529"/>
      <c r="O178" s="530"/>
      <c r="P178" s="190"/>
      <c r="Q178" s="190"/>
      <c r="R178" s="187"/>
      <c r="S178" s="184"/>
      <c r="T178" s="528"/>
      <c r="U178" s="190"/>
      <c r="V178" s="190"/>
      <c r="W178" s="187"/>
      <c r="X178" s="184"/>
      <c r="Y178" s="528"/>
      <c r="Z178" s="190"/>
      <c r="AA178" s="190"/>
      <c r="AB178" s="187"/>
      <c r="AC178" s="184"/>
      <c r="AD178" s="528"/>
      <c r="AE178" s="190"/>
      <c r="AF178" s="190"/>
      <c r="AG178" s="187"/>
      <c r="AH178" s="184"/>
      <c r="AI178" s="528"/>
      <c r="AJ178" s="190"/>
      <c r="AK178" s="190"/>
      <c r="AL178" s="187"/>
      <c r="AM178" s="184"/>
      <c r="AN178" s="528"/>
      <c r="AO178" s="190"/>
      <c r="AP178" s="190"/>
      <c r="AQ178" s="187"/>
      <c r="AR178" s="184"/>
      <c r="AS178" s="528"/>
      <c r="AT178" s="190"/>
      <c r="AU178" s="190"/>
      <c r="AV178" s="187"/>
      <c r="AW178" s="184"/>
      <c r="AX178" s="528"/>
    </row>
    <row r="179" spans="2:50" ht="14.25" customHeight="1">
      <c r="B179" s="514"/>
      <c r="C179" s="182">
        <v>21</v>
      </c>
      <c r="D179" s="185"/>
      <c r="E179" s="186"/>
      <c r="F179" s="182"/>
      <c r="G179" s="187"/>
      <c r="H179" s="526"/>
      <c r="I179" s="188"/>
      <c r="J179" s="188"/>
      <c r="K179" s="189"/>
      <c r="L179" s="527"/>
      <c r="M179" s="188" t="e">
        <f>RANK(K179, K$45:$K$77)</f>
        <v>#N/A</v>
      </c>
      <c r="N179" s="529"/>
      <c r="O179" s="530"/>
      <c r="P179" s="190"/>
      <c r="Q179" s="190"/>
      <c r="R179" s="187"/>
      <c r="S179" s="184"/>
      <c r="T179" s="528"/>
      <c r="U179" s="190"/>
      <c r="V179" s="190"/>
      <c r="W179" s="187"/>
      <c r="X179" s="184"/>
      <c r="Y179" s="528"/>
      <c r="Z179" s="190"/>
      <c r="AA179" s="190"/>
      <c r="AB179" s="187"/>
      <c r="AC179" s="184"/>
      <c r="AD179" s="528"/>
      <c r="AE179" s="190"/>
      <c r="AF179" s="190"/>
      <c r="AG179" s="187"/>
      <c r="AH179" s="184"/>
      <c r="AI179" s="528"/>
      <c r="AJ179" s="190"/>
      <c r="AK179" s="190"/>
      <c r="AL179" s="187"/>
      <c r="AM179" s="184"/>
      <c r="AN179" s="528"/>
      <c r="AO179" s="190"/>
      <c r="AP179" s="190"/>
      <c r="AQ179" s="187"/>
      <c r="AR179" s="184"/>
      <c r="AS179" s="528"/>
      <c r="AT179" s="190"/>
      <c r="AU179" s="190"/>
      <c r="AV179" s="187"/>
      <c r="AW179" s="184"/>
      <c r="AX179" s="528"/>
    </row>
    <row r="180" spans="2:50" ht="14.25" customHeight="1">
      <c r="B180" s="514"/>
      <c r="C180" s="182">
        <v>22</v>
      </c>
      <c r="D180" s="185"/>
      <c r="E180" s="186"/>
      <c r="F180" s="182"/>
      <c r="G180" s="187"/>
      <c r="H180" s="526"/>
      <c r="I180" s="188"/>
      <c r="J180" s="188"/>
      <c r="K180" s="189"/>
      <c r="L180" s="527"/>
      <c r="M180" s="188" t="e">
        <f>RANK(K180, K$45:$K$77)</f>
        <v>#N/A</v>
      </c>
      <c r="N180" s="529"/>
      <c r="O180" s="530"/>
      <c r="P180" s="190"/>
      <c r="Q180" s="190"/>
      <c r="R180" s="187"/>
      <c r="S180" s="184"/>
      <c r="T180" s="528"/>
      <c r="U180" s="190"/>
      <c r="V180" s="190"/>
      <c r="W180" s="187"/>
      <c r="X180" s="184"/>
      <c r="Y180" s="528"/>
      <c r="Z180" s="190"/>
      <c r="AA180" s="190"/>
      <c r="AB180" s="187"/>
      <c r="AC180" s="184"/>
      <c r="AD180" s="528"/>
      <c r="AE180" s="190"/>
      <c r="AF180" s="190"/>
      <c r="AG180" s="187"/>
      <c r="AH180" s="184"/>
      <c r="AI180" s="528"/>
      <c r="AJ180" s="190"/>
      <c r="AK180" s="190"/>
      <c r="AL180" s="187"/>
      <c r="AM180" s="184"/>
      <c r="AN180" s="528"/>
      <c r="AO180" s="190"/>
      <c r="AP180" s="190"/>
      <c r="AQ180" s="187"/>
      <c r="AR180" s="184"/>
      <c r="AS180" s="528"/>
      <c r="AT180" s="190"/>
      <c r="AU180" s="190"/>
      <c r="AV180" s="187"/>
      <c r="AW180" s="184"/>
      <c r="AX180" s="528"/>
    </row>
    <row r="181" spans="2:50" ht="14.25" customHeight="1">
      <c r="B181" s="514"/>
      <c r="C181" s="182">
        <v>23</v>
      </c>
      <c r="D181" s="185"/>
      <c r="E181" s="186"/>
      <c r="F181" s="182"/>
      <c r="G181" s="187"/>
      <c r="H181" s="526"/>
      <c r="I181" s="188"/>
      <c r="J181" s="188"/>
      <c r="K181" s="189"/>
      <c r="L181" s="527"/>
      <c r="M181" s="188" t="e">
        <f>RANK(K181, K$45:$K$77)</f>
        <v>#N/A</v>
      </c>
      <c r="N181" s="529"/>
      <c r="O181" s="530"/>
      <c r="P181" s="190"/>
      <c r="Q181" s="190"/>
      <c r="R181" s="187"/>
      <c r="S181" s="184"/>
      <c r="T181" s="528"/>
      <c r="U181" s="190"/>
      <c r="V181" s="190"/>
      <c r="W181" s="187"/>
      <c r="X181" s="184"/>
      <c r="Y181" s="528"/>
      <c r="Z181" s="190"/>
      <c r="AA181" s="190"/>
      <c r="AB181" s="187"/>
      <c r="AC181" s="184"/>
      <c r="AD181" s="528"/>
      <c r="AE181" s="190"/>
      <c r="AF181" s="190"/>
      <c r="AG181" s="187"/>
      <c r="AH181" s="184"/>
      <c r="AI181" s="528"/>
      <c r="AJ181" s="190"/>
      <c r="AK181" s="190"/>
      <c r="AL181" s="187"/>
      <c r="AM181" s="184"/>
      <c r="AN181" s="528"/>
      <c r="AO181" s="190"/>
      <c r="AP181" s="190"/>
      <c r="AQ181" s="187"/>
      <c r="AR181" s="184"/>
      <c r="AS181" s="528"/>
      <c r="AT181" s="190"/>
      <c r="AU181" s="190"/>
      <c r="AV181" s="187"/>
      <c r="AW181" s="184"/>
      <c r="AX181" s="528"/>
    </row>
    <row r="182" spans="2:50" ht="14.25" customHeight="1">
      <c r="B182" s="514"/>
      <c r="C182" s="182">
        <v>24</v>
      </c>
      <c r="D182" s="185"/>
      <c r="E182" s="186"/>
      <c r="F182" s="182"/>
      <c r="G182" s="187"/>
      <c r="H182" s="526"/>
      <c r="I182" s="188"/>
      <c r="J182" s="188"/>
      <c r="K182" s="189"/>
      <c r="L182" s="527"/>
      <c r="M182" s="188" t="e">
        <f>RANK(K182, K$45:$K$77)</f>
        <v>#N/A</v>
      </c>
      <c r="N182" s="529"/>
      <c r="O182" s="530"/>
      <c r="P182" s="190"/>
      <c r="Q182" s="190"/>
      <c r="R182" s="187"/>
      <c r="S182" s="184"/>
      <c r="T182" s="528"/>
      <c r="U182" s="190"/>
      <c r="V182" s="190"/>
      <c r="W182" s="187"/>
      <c r="X182" s="184"/>
      <c r="Y182" s="528"/>
      <c r="Z182" s="190"/>
      <c r="AA182" s="190"/>
      <c r="AB182" s="187"/>
      <c r="AC182" s="184"/>
      <c r="AD182" s="528"/>
      <c r="AE182" s="190"/>
      <c r="AF182" s="190"/>
      <c r="AG182" s="187"/>
      <c r="AH182" s="184"/>
      <c r="AI182" s="528"/>
      <c r="AJ182" s="190"/>
      <c r="AK182" s="190"/>
      <c r="AL182" s="187"/>
      <c r="AM182" s="184"/>
      <c r="AN182" s="528"/>
      <c r="AO182" s="190"/>
      <c r="AP182" s="190"/>
      <c r="AQ182" s="187"/>
      <c r="AR182" s="184"/>
      <c r="AS182" s="528"/>
      <c r="AT182" s="190"/>
      <c r="AU182" s="190"/>
      <c r="AV182" s="187"/>
      <c r="AW182" s="184"/>
      <c r="AX182" s="528"/>
    </row>
    <row r="183" spans="2:50" ht="14.25" customHeight="1">
      <c r="B183" s="514"/>
      <c r="C183" s="182">
        <v>25</v>
      </c>
      <c r="D183" s="185"/>
      <c r="E183" s="186"/>
      <c r="F183" s="182"/>
      <c r="G183" s="187"/>
      <c r="H183" s="526"/>
      <c r="I183" s="188"/>
      <c r="J183" s="188"/>
      <c r="K183" s="189"/>
      <c r="L183" s="527"/>
      <c r="M183" s="188" t="e">
        <f>RANK(K183, K$45:$K$77)</f>
        <v>#N/A</v>
      </c>
      <c r="N183" s="529"/>
      <c r="O183" s="530"/>
      <c r="P183" s="190"/>
      <c r="Q183" s="190"/>
      <c r="R183" s="187"/>
      <c r="S183" s="184"/>
      <c r="T183" s="528"/>
      <c r="U183" s="190"/>
      <c r="V183" s="190"/>
      <c r="W183" s="187"/>
      <c r="X183" s="184"/>
      <c r="Y183" s="528"/>
      <c r="Z183" s="190"/>
      <c r="AA183" s="190"/>
      <c r="AB183" s="187"/>
      <c r="AC183" s="184"/>
      <c r="AD183" s="528"/>
      <c r="AE183" s="190"/>
      <c r="AF183" s="190"/>
      <c r="AG183" s="187"/>
      <c r="AH183" s="184"/>
      <c r="AI183" s="528"/>
      <c r="AJ183" s="190"/>
      <c r="AK183" s="190"/>
      <c r="AL183" s="187"/>
      <c r="AM183" s="184"/>
      <c r="AN183" s="528"/>
      <c r="AO183" s="190"/>
      <c r="AP183" s="190"/>
      <c r="AQ183" s="187"/>
      <c r="AR183" s="184"/>
      <c r="AS183" s="528"/>
      <c r="AT183" s="190"/>
      <c r="AU183" s="190"/>
      <c r="AV183" s="187"/>
      <c r="AW183" s="184"/>
      <c r="AX183" s="528"/>
    </row>
    <row r="184" spans="2:50" ht="14.25" customHeight="1">
      <c r="B184" s="514"/>
      <c r="C184" s="182">
        <v>26</v>
      </c>
      <c r="D184" s="185"/>
      <c r="E184" s="186"/>
      <c r="F184" s="182"/>
      <c r="G184" s="187"/>
      <c r="H184" s="526"/>
      <c r="I184" s="188"/>
      <c r="J184" s="188"/>
      <c r="K184" s="189"/>
      <c r="L184" s="527"/>
      <c r="M184" s="188" t="e">
        <f>RANK(K184, K$45:$K$77)</f>
        <v>#N/A</v>
      </c>
      <c r="N184" s="529"/>
      <c r="O184" s="530"/>
      <c r="P184" s="190"/>
      <c r="Q184" s="190"/>
      <c r="R184" s="187"/>
      <c r="S184" s="184"/>
      <c r="T184" s="528"/>
      <c r="U184" s="190"/>
      <c r="V184" s="190"/>
      <c r="W184" s="187"/>
      <c r="X184" s="184"/>
      <c r="Y184" s="528"/>
      <c r="Z184" s="190"/>
      <c r="AA184" s="190"/>
      <c r="AB184" s="187"/>
      <c r="AC184" s="184"/>
      <c r="AD184" s="528"/>
      <c r="AE184" s="190"/>
      <c r="AF184" s="190"/>
      <c r="AG184" s="187"/>
      <c r="AH184" s="184"/>
      <c r="AI184" s="528"/>
      <c r="AJ184" s="190"/>
      <c r="AK184" s="190"/>
      <c r="AL184" s="187"/>
      <c r="AM184" s="184"/>
      <c r="AN184" s="528"/>
      <c r="AO184" s="190"/>
      <c r="AP184" s="190"/>
      <c r="AQ184" s="187"/>
      <c r="AR184" s="184"/>
      <c r="AS184" s="528"/>
      <c r="AT184" s="190"/>
      <c r="AU184" s="190"/>
      <c r="AV184" s="187"/>
      <c r="AW184" s="184"/>
      <c r="AX184" s="528"/>
    </row>
    <row r="185" spans="2:50" ht="14.25" customHeight="1">
      <c r="B185" s="514"/>
      <c r="C185" s="182">
        <v>27</v>
      </c>
      <c r="D185" s="185"/>
      <c r="E185" s="186"/>
      <c r="F185" s="182"/>
      <c r="G185" s="187"/>
      <c r="H185" s="526"/>
      <c r="I185" s="188"/>
      <c r="J185" s="188"/>
      <c r="K185" s="189"/>
      <c r="L185" s="527"/>
      <c r="M185" s="188" t="e">
        <f>RANK(K185, K$45:$K$77)</f>
        <v>#N/A</v>
      </c>
      <c r="N185" s="529"/>
      <c r="O185" s="530"/>
      <c r="P185" s="190"/>
      <c r="Q185" s="190"/>
      <c r="R185" s="187"/>
      <c r="S185" s="184"/>
      <c r="T185" s="528"/>
      <c r="U185" s="190"/>
      <c r="V185" s="190"/>
      <c r="W185" s="187"/>
      <c r="X185" s="184"/>
      <c r="Y185" s="528"/>
      <c r="Z185" s="190"/>
      <c r="AA185" s="190"/>
      <c r="AB185" s="187"/>
      <c r="AC185" s="184"/>
      <c r="AD185" s="528"/>
      <c r="AE185" s="190"/>
      <c r="AF185" s="190"/>
      <c r="AG185" s="187"/>
      <c r="AH185" s="184"/>
      <c r="AI185" s="528"/>
      <c r="AJ185" s="190"/>
      <c r="AK185" s="190"/>
      <c r="AL185" s="187"/>
      <c r="AM185" s="184"/>
      <c r="AN185" s="528"/>
      <c r="AO185" s="190"/>
      <c r="AP185" s="190"/>
      <c r="AQ185" s="187"/>
      <c r="AR185" s="184"/>
      <c r="AS185" s="528"/>
      <c r="AT185" s="190"/>
      <c r="AU185" s="190"/>
      <c r="AV185" s="187"/>
      <c r="AW185" s="184"/>
      <c r="AX185" s="528"/>
    </row>
    <row r="186" spans="2:50" ht="14.25" customHeight="1">
      <c r="B186" s="514"/>
      <c r="C186" s="182">
        <v>28</v>
      </c>
      <c r="D186" s="185"/>
      <c r="E186" s="186"/>
      <c r="F186" s="182"/>
      <c r="G186" s="187"/>
      <c r="H186" s="526"/>
      <c r="I186" s="188"/>
      <c r="J186" s="188"/>
      <c r="K186" s="189"/>
      <c r="L186" s="527"/>
      <c r="M186" s="188" t="e">
        <f>RANK(K186, K$45:$K$77)</f>
        <v>#N/A</v>
      </c>
      <c r="N186" s="529"/>
      <c r="O186" s="530"/>
      <c r="P186" s="190"/>
      <c r="Q186" s="190"/>
      <c r="R186" s="187"/>
      <c r="S186" s="184"/>
      <c r="T186" s="528"/>
      <c r="U186" s="190"/>
      <c r="V186" s="190"/>
      <c r="W186" s="187"/>
      <c r="X186" s="184"/>
      <c r="Y186" s="528"/>
      <c r="Z186" s="190"/>
      <c r="AA186" s="190"/>
      <c r="AB186" s="187"/>
      <c r="AC186" s="184"/>
      <c r="AD186" s="528"/>
      <c r="AE186" s="190"/>
      <c r="AF186" s="190"/>
      <c r="AG186" s="187"/>
      <c r="AH186" s="184"/>
      <c r="AI186" s="528"/>
      <c r="AJ186" s="190"/>
      <c r="AK186" s="190"/>
      <c r="AL186" s="187"/>
      <c r="AM186" s="184"/>
      <c r="AN186" s="528"/>
      <c r="AO186" s="190"/>
      <c r="AP186" s="190"/>
      <c r="AQ186" s="187"/>
      <c r="AR186" s="184"/>
      <c r="AS186" s="528"/>
      <c r="AT186" s="190"/>
      <c r="AU186" s="190"/>
      <c r="AV186" s="187"/>
      <c r="AW186" s="184"/>
      <c r="AX186" s="528"/>
    </row>
    <row r="187" spans="2:50" ht="14.25" customHeight="1">
      <c r="B187" s="514"/>
      <c r="C187" s="182">
        <v>29</v>
      </c>
      <c r="D187" s="185"/>
      <c r="E187" s="186"/>
      <c r="F187" s="182"/>
      <c r="G187" s="187"/>
      <c r="H187" s="526"/>
      <c r="I187" s="188"/>
      <c r="J187" s="188"/>
      <c r="K187" s="189"/>
      <c r="L187" s="527"/>
      <c r="M187" s="188" t="e">
        <f>RANK(K187, K$45:$K$77)</f>
        <v>#N/A</v>
      </c>
      <c r="N187" s="529"/>
      <c r="O187" s="530"/>
      <c r="P187" s="190"/>
      <c r="Q187" s="190"/>
      <c r="R187" s="187"/>
      <c r="S187" s="184"/>
      <c r="T187" s="528"/>
      <c r="U187" s="190"/>
      <c r="V187" s="190"/>
      <c r="W187" s="187"/>
      <c r="X187" s="184"/>
      <c r="Y187" s="528"/>
      <c r="Z187" s="190"/>
      <c r="AA187" s="190"/>
      <c r="AB187" s="187"/>
      <c r="AC187" s="184"/>
      <c r="AD187" s="528"/>
      <c r="AE187" s="190"/>
      <c r="AF187" s="190"/>
      <c r="AG187" s="187"/>
      <c r="AH187" s="184"/>
      <c r="AI187" s="528"/>
      <c r="AJ187" s="190"/>
      <c r="AK187" s="190"/>
      <c r="AL187" s="187"/>
      <c r="AM187" s="184"/>
      <c r="AN187" s="528"/>
      <c r="AO187" s="190"/>
      <c r="AP187" s="190"/>
      <c r="AQ187" s="187"/>
      <c r="AR187" s="184"/>
      <c r="AS187" s="528"/>
      <c r="AT187" s="190"/>
      <c r="AU187" s="190"/>
      <c r="AV187" s="187"/>
      <c r="AW187" s="184"/>
      <c r="AX187" s="528"/>
    </row>
    <row r="188" spans="2:50" ht="14.25" customHeight="1">
      <c r="B188" s="514"/>
      <c r="C188" s="182">
        <v>30</v>
      </c>
      <c r="D188" s="185"/>
      <c r="E188" s="186"/>
      <c r="F188" s="182"/>
      <c r="G188" s="187"/>
      <c r="H188" s="526"/>
      <c r="I188" s="188"/>
      <c r="J188" s="188"/>
      <c r="K188" s="189"/>
      <c r="L188" s="527"/>
      <c r="M188" s="188" t="e">
        <f>RANK(K188, K$45:$K$77)</f>
        <v>#N/A</v>
      </c>
      <c r="N188" s="529"/>
      <c r="O188" s="530"/>
      <c r="P188" s="190"/>
      <c r="Q188" s="190"/>
      <c r="R188" s="187"/>
      <c r="S188" s="184"/>
      <c r="T188" s="528"/>
      <c r="U188" s="190"/>
      <c r="V188" s="190"/>
      <c r="W188" s="187"/>
      <c r="X188" s="184"/>
      <c r="Y188" s="528"/>
      <c r="Z188" s="190"/>
      <c r="AA188" s="190"/>
      <c r="AB188" s="187"/>
      <c r="AC188" s="184"/>
      <c r="AD188" s="528"/>
      <c r="AE188" s="190"/>
      <c r="AF188" s="190"/>
      <c r="AG188" s="187"/>
      <c r="AH188" s="184"/>
      <c r="AI188" s="528"/>
      <c r="AJ188" s="190"/>
      <c r="AK188" s="190"/>
      <c r="AL188" s="187"/>
      <c r="AM188" s="184"/>
      <c r="AN188" s="528"/>
      <c r="AO188" s="190"/>
      <c r="AP188" s="190"/>
      <c r="AQ188" s="187"/>
      <c r="AR188" s="184"/>
      <c r="AS188" s="528"/>
      <c r="AT188" s="190"/>
      <c r="AU188" s="190"/>
      <c r="AV188" s="187"/>
      <c r="AW188" s="184"/>
      <c r="AX188" s="528"/>
    </row>
    <row r="189" spans="2:50" ht="14.25" customHeight="1">
      <c r="B189" s="514"/>
      <c r="C189" s="182">
        <v>31</v>
      </c>
      <c r="D189" s="185"/>
      <c r="E189" s="182"/>
      <c r="F189" s="182"/>
      <c r="G189" s="187"/>
      <c r="H189" s="526"/>
      <c r="I189" s="188"/>
      <c r="J189" s="188"/>
      <c r="K189" s="189"/>
      <c r="L189" s="527"/>
      <c r="M189" s="188" t="e">
        <f>RANK(K189, K$45:$K$77)</f>
        <v>#N/A</v>
      </c>
      <c r="N189" s="529"/>
      <c r="O189" s="530"/>
      <c r="P189" s="190"/>
      <c r="Q189" s="190"/>
      <c r="R189" s="187"/>
      <c r="S189" s="184"/>
      <c r="T189" s="528"/>
      <c r="U189" s="190"/>
      <c r="V189" s="190"/>
      <c r="W189" s="187"/>
      <c r="X189" s="184"/>
      <c r="Y189" s="528"/>
      <c r="Z189" s="190"/>
      <c r="AA189" s="190"/>
      <c r="AB189" s="187"/>
      <c r="AC189" s="184"/>
      <c r="AD189" s="528"/>
      <c r="AE189" s="190"/>
      <c r="AF189" s="190"/>
      <c r="AG189" s="187"/>
      <c r="AH189" s="184"/>
      <c r="AI189" s="528"/>
      <c r="AJ189" s="190"/>
      <c r="AK189" s="190"/>
      <c r="AL189" s="187"/>
      <c r="AM189" s="184"/>
      <c r="AN189" s="528"/>
      <c r="AO189" s="190"/>
      <c r="AP189" s="190"/>
      <c r="AQ189" s="187"/>
      <c r="AR189" s="184"/>
      <c r="AS189" s="528"/>
      <c r="AT189" s="190"/>
      <c r="AU189" s="190"/>
      <c r="AV189" s="187"/>
      <c r="AW189" s="184"/>
      <c r="AX189" s="528"/>
    </row>
    <row r="190" spans="2:50" ht="14.25" customHeight="1">
      <c r="B190" s="514"/>
      <c r="C190" s="182">
        <v>32</v>
      </c>
      <c r="D190" s="185"/>
      <c r="E190" s="182"/>
      <c r="F190" s="182"/>
      <c r="G190" s="187"/>
      <c r="H190" s="526"/>
      <c r="I190" s="188"/>
      <c r="J190" s="188"/>
      <c r="K190" s="189"/>
      <c r="L190" s="527"/>
      <c r="M190" s="188"/>
      <c r="N190" s="529"/>
      <c r="O190" s="530"/>
      <c r="P190" s="190"/>
      <c r="Q190" s="190"/>
      <c r="R190" s="187"/>
      <c r="S190" s="184"/>
      <c r="T190" s="528"/>
      <c r="U190" s="190"/>
      <c r="V190" s="190"/>
      <c r="W190" s="187"/>
      <c r="X190" s="184"/>
      <c r="Y190" s="528"/>
      <c r="Z190" s="190"/>
      <c r="AA190" s="190"/>
      <c r="AB190" s="187"/>
      <c r="AC190" s="184"/>
      <c r="AD190" s="528"/>
      <c r="AE190" s="190"/>
      <c r="AF190" s="190"/>
      <c r="AG190" s="187"/>
      <c r="AH190" s="184"/>
      <c r="AI190" s="528"/>
      <c r="AJ190" s="190"/>
      <c r="AK190" s="190"/>
      <c r="AL190" s="187"/>
      <c r="AM190" s="184"/>
      <c r="AN190" s="528"/>
      <c r="AO190" s="190"/>
      <c r="AP190" s="190"/>
      <c r="AQ190" s="187"/>
      <c r="AR190" s="184"/>
      <c r="AS190" s="528"/>
      <c r="AT190" s="190"/>
      <c r="AU190" s="190"/>
      <c r="AV190" s="187"/>
      <c r="AW190" s="184"/>
      <c r="AX190" s="528"/>
    </row>
    <row r="191" spans="2:50" ht="14.25" customHeight="1">
      <c r="B191" s="514"/>
      <c r="C191" s="182">
        <v>33</v>
      </c>
      <c r="D191" s="185"/>
      <c r="E191" s="182"/>
      <c r="F191" s="182"/>
      <c r="G191" s="187"/>
      <c r="H191" s="526"/>
      <c r="I191" s="188"/>
      <c r="J191" s="188"/>
      <c r="K191" s="189"/>
      <c r="L191" s="527"/>
      <c r="M191" s="188"/>
      <c r="N191" s="529"/>
      <c r="O191" s="530"/>
      <c r="P191" s="190"/>
      <c r="Q191" s="190"/>
      <c r="R191" s="187"/>
      <c r="S191" s="184"/>
      <c r="T191" s="528"/>
      <c r="U191" s="190"/>
      <c r="V191" s="190"/>
      <c r="W191" s="187"/>
      <c r="X191" s="184"/>
      <c r="Y191" s="528"/>
      <c r="Z191" s="190"/>
      <c r="AA191" s="190"/>
      <c r="AB191" s="187"/>
      <c r="AC191" s="184"/>
      <c r="AD191" s="528"/>
      <c r="AE191" s="190"/>
      <c r="AF191" s="190"/>
      <c r="AG191" s="187"/>
      <c r="AH191" s="184"/>
      <c r="AI191" s="528"/>
      <c r="AJ191" s="190"/>
      <c r="AK191" s="190"/>
      <c r="AL191" s="187"/>
      <c r="AM191" s="184"/>
      <c r="AN191" s="528"/>
      <c r="AO191" s="190"/>
      <c r="AP191" s="190"/>
      <c r="AQ191" s="187"/>
      <c r="AR191" s="184"/>
      <c r="AS191" s="528"/>
      <c r="AT191" s="190"/>
      <c r="AU191" s="190"/>
      <c r="AV191" s="187"/>
      <c r="AW191" s="184"/>
      <c r="AX191" s="528"/>
    </row>
  </sheetData>
  <mergeCells count="295"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AD121:AD153"/>
    <mergeCell ref="AI121:AI153"/>
    <mergeCell ref="AN121:AN153"/>
    <mergeCell ref="AS121:AS153"/>
    <mergeCell ref="AJ118:AM118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2:AX2"/>
    <mergeCell ref="P3:T3"/>
    <mergeCell ref="U3:Y3"/>
    <mergeCell ref="Z3:AD3"/>
    <mergeCell ref="AE3:AI3"/>
    <mergeCell ref="AJ3:AN3"/>
    <mergeCell ref="AO3:AS3"/>
    <mergeCell ref="AT3:AX3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U154:Y154"/>
    <mergeCell ref="Z154:AD15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T156:AW156"/>
    <mergeCell ref="AX156:AX158"/>
    <mergeCell ref="AX159:AX191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N156:N191"/>
    <mergeCell ref="O156:O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14" activePane="bottomRight" state="frozen"/>
      <selection activeCell="E31" sqref="E31"/>
      <selection pane="topRight" activeCell="E31" sqref="E31"/>
      <selection pane="bottomLeft" activeCell="E31" sqref="E31"/>
      <selection pane="bottomRight" activeCell="AW27" sqref="AW27:AW3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700</v>
      </c>
      <c r="C1" s="177">
        <f>AVERAGE(L27,L47,L67,L87)</f>
        <v>308.28365798359187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v>46053</v>
      </c>
      <c r="AK2" s="587"/>
      <c r="AL2" s="587"/>
      <c r="AM2" s="587"/>
      <c r="AN2" s="588"/>
      <c r="AO2" s="584">
        <f t="shared" ref="AO2" si="2">AJ2+1</f>
        <v>46054</v>
      </c>
      <c r="AP2" s="585"/>
      <c r="AQ2" s="585"/>
      <c r="AR2" s="585"/>
      <c r="AS2" s="585"/>
      <c r="AT2" s="586">
        <f t="shared" ref="AT2" si="3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4">Z2</f>
        <v>46051</v>
      </c>
      <c r="AA3" s="589"/>
      <c r="AB3" s="589"/>
      <c r="AC3" s="589"/>
      <c r="AD3" s="589"/>
      <c r="AE3" s="590">
        <f t="shared" ref="AE3" si="5">AE2</f>
        <v>46052</v>
      </c>
      <c r="AF3" s="590"/>
      <c r="AG3" s="590"/>
      <c r="AH3" s="590"/>
      <c r="AI3" s="590"/>
      <c r="AJ3" s="591"/>
      <c r="AK3" s="592"/>
      <c r="AL3" s="592"/>
      <c r="AM3" s="592"/>
      <c r="AN3" s="593"/>
      <c r="AO3" s="590">
        <f t="shared" ref="AO3" si="6">AO2</f>
        <v>46054</v>
      </c>
      <c r="AP3" s="590"/>
      <c r="AQ3" s="590"/>
      <c r="AR3" s="590"/>
      <c r="AS3" s="590"/>
      <c r="AT3" s="591">
        <f t="shared" ref="AT3" si="7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 t="s">
        <v>386</v>
      </c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14" t="s">
        <v>389</v>
      </c>
      <c r="C7" s="182">
        <v>1</v>
      </c>
      <c r="D7" s="185" t="s">
        <v>357</v>
      </c>
      <c r="E7" s="182">
        <v>12</v>
      </c>
      <c r="F7" s="182">
        <v>3600</v>
      </c>
      <c r="G7" s="187">
        <f t="shared" ref="G7:G15" si="8">F7/E7</f>
        <v>300</v>
      </c>
      <c r="H7" s="526">
        <f>AVERAGE(G7:G21)</f>
        <v>348.65319865319867</v>
      </c>
      <c r="I7" s="188">
        <f>AVERAGE(P7,U7,Z7,AE7,AJ7,AO7,AT7)</f>
        <v>12</v>
      </c>
      <c r="J7" s="188">
        <f>AVERAGE(Q7,V7,AA7,AF7,AK7,AP7,AU7)</f>
        <v>3135.5174846663926</v>
      </c>
      <c r="K7" s="189">
        <f>AVERAGE(R7,W7,AB7,AG7,AL7,AQ7,AV7)</f>
        <v>261.29312372219943</v>
      </c>
      <c r="L7" s="527">
        <f>IFERROR(AVERAGE(K7:K21),"-")</f>
        <v>307.88508023534337</v>
      </c>
      <c r="M7" s="188">
        <f>RANK(K7, K$7:$K$21)</f>
        <v>6</v>
      </c>
      <c r="N7" s="514"/>
      <c r="O7" s="514"/>
      <c r="P7" s="190">
        <v>12</v>
      </c>
      <c r="Q7" s="190">
        <v>3131.7073170731696</v>
      </c>
      <c r="R7" s="187">
        <f>IFERROR(Q7/P7,"")</f>
        <v>260.97560975609747</v>
      </c>
      <c r="S7" s="184">
        <f>RANK(R7, R$7:R$21)</f>
        <v>8</v>
      </c>
      <c r="T7" s="526">
        <f>AVERAGE(R7:R21)</f>
        <v>307.65252101063265</v>
      </c>
      <c r="U7" s="190">
        <v>12</v>
      </c>
      <c r="V7" s="190">
        <v>3131.1120726958047</v>
      </c>
      <c r="W7" s="187">
        <f t="shared" ref="W7:W15" si="9">IFERROR(V7/U7,"")</f>
        <v>260.92600605798373</v>
      </c>
      <c r="X7" s="184">
        <f>RANK(W7, W$7:W$21)</f>
        <v>8</v>
      </c>
      <c r="Y7" s="526">
        <f>AVERAGE(W7:W21)</f>
        <v>307.65573118804838</v>
      </c>
      <c r="Z7" s="190">
        <v>12</v>
      </c>
      <c r="AA7" s="190">
        <v>3136.303484781653</v>
      </c>
      <c r="AB7" s="187">
        <f t="shared" ref="AB7:AB15" si="10">IFERROR(AA7/Z7,"")</f>
        <v>261.35862373180441</v>
      </c>
      <c r="AC7" s="184">
        <f>RANK(AB7, AB$7:AB$21)</f>
        <v>6</v>
      </c>
      <c r="AD7" s="526">
        <f>AVERAGE(AB7:AB21)</f>
        <v>307.76142372568279</v>
      </c>
      <c r="AE7" s="190">
        <v>12</v>
      </c>
      <c r="AF7" s="190">
        <v>3136.3636363636397</v>
      </c>
      <c r="AG7" s="187">
        <f>IFERROR(AF7/AE7,"")</f>
        <v>261.36363636363666</v>
      </c>
      <c r="AH7" s="184">
        <f>RANK(AG7, AG$7:AG$21)</f>
        <v>7</v>
      </c>
      <c r="AI7" s="526">
        <f>AVERAGE(AG7:AG21)</f>
        <v>307.9378703271409</v>
      </c>
      <c r="AJ7" s="190">
        <v>12</v>
      </c>
      <c r="AK7" s="190">
        <v>3137.1428571428523</v>
      </c>
      <c r="AL7" s="187">
        <f t="shared" ref="AL7:AL15" si="11">IFERROR(AK7/AJ7,"")</f>
        <v>261.42857142857105</v>
      </c>
      <c r="AM7" s="184">
        <f>RANK(AL7, AL$7:AL$21)</f>
        <v>6</v>
      </c>
      <c r="AN7" s="526">
        <f>AVERAGE(AL7:AL21)</f>
        <v>308.02436037642167</v>
      </c>
      <c r="AO7" s="190">
        <v>12</v>
      </c>
      <c r="AP7" s="190">
        <v>3137.5314861460915</v>
      </c>
      <c r="AQ7" s="187">
        <f t="shared" ref="AQ7:AQ15" si="12">IFERROR(AP7/AO7,"")</f>
        <v>261.46095717884094</v>
      </c>
      <c r="AR7" s="184">
        <f>RANK(AQ7, AQ$7:AQ$21)</f>
        <v>6</v>
      </c>
      <c r="AS7" s="526">
        <f>AVERAGE(AQ7:AQ21)</f>
        <v>308.04047313372416</v>
      </c>
      <c r="AT7" s="190">
        <v>12</v>
      </c>
      <c r="AU7" s="190">
        <v>3138.4615384615404</v>
      </c>
      <c r="AV7" s="187">
        <f t="shared" ref="AV7:AV15" si="13">IFERROR(AU7/AT7,"")</f>
        <v>261.53846153846172</v>
      </c>
      <c r="AW7" s="184">
        <f>RANK(AV7, AV$7:AV$21)</f>
        <v>6</v>
      </c>
      <c r="AX7" s="526">
        <f>AVERAGE(AV7:AV21)</f>
        <v>308.12318188575296</v>
      </c>
    </row>
    <row r="8" spans="1:50" ht="14.25" customHeight="1">
      <c r="B8" s="514"/>
      <c r="C8" s="182">
        <v>2</v>
      </c>
      <c r="D8" s="185" t="s">
        <v>358</v>
      </c>
      <c r="E8" s="182">
        <v>12</v>
      </c>
      <c r="F8" s="182">
        <v>3600</v>
      </c>
      <c r="G8" s="187">
        <f t="shared" si="8"/>
        <v>300</v>
      </c>
      <c r="H8" s="526"/>
      <c r="I8" s="188">
        <f t="shared" ref="I8:I15" si="14">AVERAGE(P8,U8,Z8,AE8,AJ8,AO8,AT8)</f>
        <v>12</v>
      </c>
      <c r="J8" s="188">
        <f t="shared" ref="J8:J15" si="15">AVERAGE(Q8,V8,AA8,AF8,AK8,AP8,AU8)</f>
        <v>3134.8143445815936</v>
      </c>
      <c r="K8" s="189">
        <f t="shared" ref="K8:K15" si="16">AVERAGE(R8,W8,AB8,AG8,AL8,AQ8,AV8)</f>
        <v>261.2345287151328</v>
      </c>
      <c r="L8" s="527"/>
      <c r="M8" s="188">
        <f>RANK(K8, K$7:$K$21)</f>
        <v>9</v>
      </c>
      <c r="N8" s="514"/>
      <c r="O8" s="514"/>
      <c r="P8" s="190">
        <v>12</v>
      </c>
      <c r="Q8" s="190">
        <v>3130.5865244789152</v>
      </c>
      <c r="R8" s="187">
        <f t="shared" ref="R8:R15" si="17">IFERROR(Q8/P8,"")</f>
        <v>260.88221037324291</v>
      </c>
      <c r="S8" s="184">
        <f t="shared" ref="S8:S15" si="18">RANK(R8, R$7:R$21)</f>
        <v>9</v>
      </c>
      <c r="T8" s="526"/>
      <c r="U8" s="190">
        <v>12</v>
      </c>
      <c r="V8" s="190">
        <v>3130.9287646528428</v>
      </c>
      <c r="W8" s="187">
        <f t="shared" si="9"/>
        <v>260.91073038773692</v>
      </c>
      <c r="X8" s="184">
        <f t="shared" ref="X8:X15" si="19">RANK(W8, W$7:W$21)</f>
        <v>9</v>
      </c>
      <c r="Y8" s="526"/>
      <c r="Z8" s="190">
        <v>12</v>
      </c>
      <c r="AA8" s="190">
        <v>3134.9442379182192</v>
      </c>
      <c r="AB8" s="187">
        <f t="shared" si="10"/>
        <v>261.24535315985162</v>
      </c>
      <c r="AC8" s="184">
        <f t="shared" ref="AC8:AC15" si="20">RANK(AB8, AB$7:AB$21)</f>
        <v>8</v>
      </c>
      <c r="AD8" s="526"/>
      <c r="AE8" s="190">
        <v>12</v>
      </c>
      <c r="AF8" s="190">
        <v>3136.3994743758221</v>
      </c>
      <c r="AG8" s="187">
        <f t="shared" ref="AG8:AG15" si="21">IFERROR(AF8/AE8,"")</f>
        <v>261.36662286465184</v>
      </c>
      <c r="AH8" s="184">
        <f t="shared" ref="AH8:AH15" si="22">RANK(AG8, AG$7:AG$21)</f>
        <v>6</v>
      </c>
      <c r="AI8" s="526"/>
      <c r="AJ8" s="190">
        <v>12</v>
      </c>
      <c r="AK8" s="190">
        <v>3136.608996539795</v>
      </c>
      <c r="AL8" s="187">
        <f t="shared" si="11"/>
        <v>261.3840830449829</v>
      </c>
      <c r="AM8" s="184">
        <f t="shared" ref="AM8:AM15" si="23">RANK(AL8, AL$7:AL$21)</f>
        <v>7</v>
      </c>
      <c r="AN8" s="526"/>
      <c r="AO8" s="190">
        <v>12</v>
      </c>
      <c r="AP8" s="190">
        <v>3136.555360281196</v>
      </c>
      <c r="AQ8" s="187">
        <f t="shared" si="12"/>
        <v>261.37961335676636</v>
      </c>
      <c r="AR8" s="184">
        <f t="shared" ref="AR8:AR15" si="24">RANK(AQ8, AQ$7:AQ$21)</f>
        <v>7</v>
      </c>
      <c r="AS8" s="526"/>
      <c r="AT8" s="190">
        <v>12</v>
      </c>
      <c r="AU8" s="190">
        <v>3137.6770538243622</v>
      </c>
      <c r="AV8" s="187">
        <f t="shared" si="13"/>
        <v>261.47308781869685</v>
      </c>
      <c r="AW8" s="184">
        <f t="shared" ref="AW8:AW15" si="25">RANK(AV8, AV$7:AV$21)</f>
        <v>7</v>
      </c>
      <c r="AX8" s="526"/>
    </row>
    <row r="9" spans="1:50" ht="14.25" customHeight="1">
      <c r="B9" s="514"/>
      <c r="C9" s="182">
        <v>3</v>
      </c>
      <c r="D9" s="185" t="s">
        <v>356</v>
      </c>
      <c r="E9" s="182">
        <v>11</v>
      </c>
      <c r="F9" s="182">
        <v>3600</v>
      </c>
      <c r="G9" s="187">
        <f t="shared" si="8"/>
        <v>327.27272727272725</v>
      </c>
      <c r="H9" s="526"/>
      <c r="I9" s="188">
        <f t="shared" si="14"/>
        <v>11</v>
      </c>
      <c r="J9" s="188">
        <f t="shared" si="15"/>
        <v>3171.00351288926</v>
      </c>
      <c r="K9" s="189">
        <f t="shared" si="16"/>
        <v>288.27304662629638</v>
      </c>
      <c r="L9" s="527"/>
      <c r="M9" s="188">
        <f>RANK(K9, K$7:$K$21)</f>
        <v>4</v>
      </c>
      <c r="N9" s="514"/>
      <c r="O9" s="514"/>
      <c r="P9" s="190">
        <v>11</v>
      </c>
      <c r="Q9" s="190">
        <v>3167.9999999999964</v>
      </c>
      <c r="R9" s="187">
        <f t="shared" si="17"/>
        <v>287.99999999999966</v>
      </c>
      <c r="S9" s="184">
        <f t="shared" si="18"/>
        <v>4</v>
      </c>
      <c r="T9" s="526"/>
      <c r="U9" s="190">
        <v>11</v>
      </c>
      <c r="V9" s="190">
        <v>3168.595041322315</v>
      </c>
      <c r="W9" s="187">
        <f t="shared" si="9"/>
        <v>288.05409466566499</v>
      </c>
      <c r="X9" s="184">
        <f t="shared" si="19"/>
        <v>4</v>
      </c>
      <c r="Y9" s="526"/>
      <c r="Z9" s="190">
        <v>11</v>
      </c>
      <c r="AA9" s="190">
        <v>3169.8817672682012</v>
      </c>
      <c r="AB9" s="187">
        <f t="shared" si="10"/>
        <v>288.17106975165467</v>
      </c>
      <c r="AC9" s="184">
        <f t="shared" si="20"/>
        <v>5</v>
      </c>
      <c r="AD9" s="526"/>
      <c r="AE9" s="190">
        <v>11</v>
      </c>
      <c r="AF9" s="190">
        <v>3170.9387755102134</v>
      </c>
      <c r="AG9" s="187">
        <f t="shared" si="21"/>
        <v>288.26716141001941</v>
      </c>
      <c r="AH9" s="184">
        <f t="shared" si="22"/>
        <v>4</v>
      </c>
      <c r="AI9" s="526"/>
      <c r="AJ9" s="190">
        <v>11</v>
      </c>
      <c r="AK9" s="190">
        <v>3172.616984402076</v>
      </c>
      <c r="AL9" s="187">
        <f t="shared" si="11"/>
        <v>288.41972585473417</v>
      </c>
      <c r="AM9" s="184">
        <f t="shared" si="23"/>
        <v>4</v>
      </c>
      <c r="AN9" s="526"/>
      <c r="AO9" s="190">
        <v>11</v>
      </c>
      <c r="AP9" s="190">
        <v>3173.7397420867592</v>
      </c>
      <c r="AQ9" s="187">
        <f t="shared" si="12"/>
        <v>288.52179473515992</v>
      </c>
      <c r="AR9" s="184">
        <f t="shared" si="24"/>
        <v>4</v>
      </c>
      <c r="AS9" s="526"/>
      <c r="AT9" s="190">
        <v>11</v>
      </c>
      <c r="AU9" s="190">
        <v>3173.2522796352587</v>
      </c>
      <c r="AV9" s="187">
        <f t="shared" si="13"/>
        <v>288.47747996684171</v>
      </c>
      <c r="AW9" s="184">
        <f t="shared" si="25"/>
        <v>4</v>
      </c>
      <c r="AX9" s="526"/>
    </row>
    <row r="10" spans="1:50" ht="14.25" customHeight="1">
      <c r="B10" s="514"/>
      <c r="C10" s="182">
        <v>4</v>
      </c>
      <c r="D10" s="185" t="s">
        <v>481</v>
      </c>
      <c r="E10" s="182">
        <v>6</v>
      </c>
      <c r="F10" s="182">
        <v>2600</v>
      </c>
      <c r="G10" s="187">
        <f t="shared" si="8"/>
        <v>433.33333333333331</v>
      </c>
      <c r="H10" s="526"/>
      <c r="I10" s="188">
        <f t="shared" si="14"/>
        <v>6</v>
      </c>
      <c r="J10" s="188">
        <f t="shared" si="15"/>
        <v>2319.6039674427343</v>
      </c>
      <c r="K10" s="189">
        <f t="shared" si="16"/>
        <v>386.60066124045579</v>
      </c>
      <c r="L10" s="527"/>
      <c r="M10" s="188">
        <f>RANK(K10, K$7:$K$21)</f>
        <v>1</v>
      </c>
      <c r="N10" s="514"/>
      <c r="O10" s="514"/>
      <c r="P10" s="190">
        <v>6</v>
      </c>
      <c r="Q10" s="190">
        <v>2318.7577639751612</v>
      </c>
      <c r="R10" s="187">
        <f t="shared" si="17"/>
        <v>386.45962732919355</v>
      </c>
      <c r="S10" s="184">
        <f t="shared" si="18"/>
        <v>1</v>
      </c>
      <c r="T10" s="526"/>
      <c r="U10" s="190">
        <v>6</v>
      </c>
      <c r="V10" s="190">
        <v>2318.136439267882</v>
      </c>
      <c r="W10" s="187">
        <f t="shared" si="9"/>
        <v>386.35607321131369</v>
      </c>
      <c r="X10" s="184">
        <f t="shared" si="19"/>
        <v>2</v>
      </c>
      <c r="Y10" s="526"/>
      <c r="Z10" s="190">
        <v>6</v>
      </c>
      <c r="AA10" s="190">
        <v>2318.7864644107335</v>
      </c>
      <c r="AB10" s="187">
        <f t="shared" si="10"/>
        <v>386.46441073512227</v>
      </c>
      <c r="AC10" s="184">
        <f t="shared" si="20"/>
        <v>1</v>
      </c>
      <c r="AD10" s="526"/>
      <c r="AE10" s="190">
        <v>6</v>
      </c>
      <c r="AF10" s="190">
        <v>2319.9324324324298</v>
      </c>
      <c r="AG10" s="187">
        <f t="shared" si="21"/>
        <v>386.65540540540496</v>
      </c>
      <c r="AH10" s="184">
        <f t="shared" si="22"/>
        <v>1</v>
      </c>
      <c r="AI10" s="526"/>
      <c r="AJ10" s="190">
        <v>6</v>
      </c>
      <c r="AK10" s="190">
        <v>2319.5710455764133</v>
      </c>
      <c r="AL10" s="187">
        <f t="shared" si="11"/>
        <v>386.59517426273555</v>
      </c>
      <c r="AM10" s="184">
        <f t="shared" si="23"/>
        <v>2</v>
      </c>
      <c r="AN10" s="526"/>
      <c r="AO10" s="190">
        <v>6</v>
      </c>
      <c r="AP10" s="190">
        <v>2320.3205495134498</v>
      </c>
      <c r="AQ10" s="187">
        <f t="shared" si="12"/>
        <v>386.72009158557495</v>
      </c>
      <c r="AR10" s="184">
        <f t="shared" si="24"/>
        <v>1</v>
      </c>
      <c r="AS10" s="526"/>
      <c r="AT10" s="190">
        <v>6</v>
      </c>
      <c r="AU10" s="190">
        <v>2321.7230769230723</v>
      </c>
      <c r="AV10" s="187">
        <f t="shared" si="13"/>
        <v>386.9538461538454</v>
      </c>
      <c r="AW10" s="184">
        <f t="shared" si="25"/>
        <v>1</v>
      </c>
      <c r="AX10" s="526"/>
    </row>
    <row r="11" spans="1:50" ht="14.25" customHeight="1">
      <c r="B11" s="514"/>
      <c r="C11" s="182">
        <v>5</v>
      </c>
      <c r="D11" s="185" t="s">
        <v>490</v>
      </c>
      <c r="E11" s="182">
        <v>6</v>
      </c>
      <c r="F11" s="182">
        <v>2500</v>
      </c>
      <c r="G11" s="187">
        <f t="shared" si="8"/>
        <v>416.66666666666669</v>
      </c>
      <c r="H11" s="526"/>
      <c r="I11" s="188">
        <f t="shared" si="14"/>
        <v>6</v>
      </c>
      <c r="J11" s="188">
        <f t="shared" si="15"/>
        <v>2258.3818479964661</v>
      </c>
      <c r="K11" s="189">
        <f t="shared" si="16"/>
        <v>376.39697466607765</v>
      </c>
      <c r="L11" s="527"/>
      <c r="M11" s="188">
        <f>RANK(K11, K$7:$K$21)</f>
        <v>3</v>
      </c>
      <c r="N11" s="514"/>
      <c r="O11" s="514"/>
      <c r="P11" s="190">
        <v>6</v>
      </c>
      <c r="Q11" s="190">
        <v>2255.6249999999964</v>
      </c>
      <c r="R11" s="187">
        <f t="shared" si="17"/>
        <v>375.93749999999937</v>
      </c>
      <c r="S11" s="184">
        <f t="shared" si="18"/>
        <v>3</v>
      </c>
      <c r="T11" s="526"/>
      <c r="U11" s="190">
        <v>6</v>
      </c>
      <c r="V11" s="190">
        <v>2254.2510121457321</v>
      </c>
      <c r="W11" s="187">
        <f t="shared" si="9"/>
        <v>375.70850202428869</v>
      </c>
      <c r="X11" s="184">
        <f t="shared" si="19"/>
        <v>3</v>
      </c>
      <c r="Y11" s="526"/>
      <c r="Z11" s="190">
        <v>6</v>
      </c>
      <c r="AA11" s="190">
        <v>2254.0540540540424</v>
      </c>
      <c r="AB11" s="187">
        <f t="shared" si="10"/>
        <v>375.67567567567374</v>
      </c>
      <c r="AC11" s="184">
        <f t="shared" si="20"/>
        <v>3</v>
      </c>
      <c r="AD11" s="526"/>
      <c r="AE11" s="190">
        <v>6</v>
      </c>
      <c r="AF11" s="190">
        <v>2259.7826086956625</v>
      </c>
      <c r="AG11" s="187">
        <f t="shared" si="21"/>
        <v>376.63043478261039</v>
      </c>
      <c r="AH11" s="184">
        <f t="shared" si="22"/>
        <v>3</v>
      </c>
      <c r="AI11" s="526"/>
      <c r="AJ11" s="190">
        <v>6</v>
      </c>
      <c r="AK11" s="190">
        <v>2261.8421052631852</v>
      </c>
      <c r="AL11" s="187">
        <f t="shared" si="11"/>
        <v>376.97368421053085</v>
      </c>
      <c r="AM11" s="184">
        <f t="shared" si="23"/>
        <v>3</v>
      </c>
      <c r="AN11" s="526"/>
      <c r="AO11" s="190">
        <v>6</v>
      </c>
      <c r="AP11" s="190">
        <v>2261.070911722144</v>
      </c>
      <c r="AQ11" s="187">
        <f t="shared" si="12"/>
        <v>376.84515195369067</v>
      </c>
      <c r="AR11" s="184">
        <f t="shared" si="24"/>
        <v>3</v>
      </c>
      <c r="AS11" s="526"/>
      <c r="AT11" s="190">
        <v>6</v>
      </c>
      <c r="AU11" s="190">
        <v>2262.0472440944991</v>
      </c>
      <c r="AV11" s="187">
        <f t="shared" si="13"/>
        <v>377.00787401574985</v>
      </c>
      <c r="AW11" s="184">
        <f t="shared" si="25"/>
        <v>3</v>
      </c>
      <c r="AX11" s="526"/>
    </row>
    <row r="12" spans="1:50" ht="14.25" customHeight="1">
      <c r="B12" s="514"/>
      <c r="C12" s="182">
        <v>6</v>
      </c>
      <c r="D12" s="185" t="s">
        <v>488</v>
      </c>
      <c r="E12" s="182">
        <v>6</v>
      </c>
      <c r="F12" s="182">
        <v>2600</v>
      </c>
      <c r="G12" s="187">
        <f t="shared" si="8"/>
        <v>433.33333333333331</v>
      </c>
      <c r="H12" s="526"/>
      <c r="I12" s="188">
        <f t="shared" si="14"/>
        <v>6</v>
      </c>
      <c r="J12" s="188">
        <f t="shared" si="15"/>
        <v>2319.2605995557547</v>
      </c>
      <c r="K12" s="189">
        <f t="shared" si="16"/>
        <v>386.5434332592925</v>
      </c>
      <c r="L12" s="527"/>
      <c r="M12" s="188">
        <f>RANK(K12, K$7:$K$21)</f>
        <v>2</v>
      </c>
      <c r="N12" s="514"/>
      <c r="O12" s="514"/>
      <c r="P12" s="190">
        <v>6</v>
      </c>
      <c r="Q12" s="190">
        <v>2317.9182156133816</v>
      </c>
      <c r="R12" s="187">
        <f t="shared" si="17"/>
        <v>386.31970260223028</v>
      </c>
      <c r="S12" s="184">
        <f t="shared" si="18"/>
        <v>2</v>
      </c>
      <c r="T12" s="526"/>
      <c r="U12" s="190">
        <v>6</v>
      </c>
      <c r="V12" s="190">
        <v>2318.8965517241409</v>
      </c>
      <c r="W12" s="187">
        <f t="shared" si="9"/>
        <v>386.48275862069016</v>
      </c>
      <c r="X12" s="184">
        <f t="shared" si="19"/>
        <v>1</v>
      </c>
      <c r="Y12" s="526"/>
      <c r="Z12" s="190">
        <v>6</v>
      </c>
      <c r="AA12" s="190">
        <v>2318.0232558139573</v>
      </c>
      <c r="AB12" s="187">
        <f t="shared" si="10"/>
        <v>386.33720930232624</v>
      </c>
      <c r="AC12" s="184">
        <f t="shared" si="20"/>
        <v>2</v>
      </c>
      <c r="AD12" s="526"/>
      <c r="AE12" s="190">
        <v>6</v>
      </c>
      <c r="AF12" s="190">
        <v>2318.7620889748614</v>
      </c>
      <c r="AG12" s="187">
        <f t="shared" si="21"/>
        <v>386.46034816247692</v>
      </c>
      <c r="AH12" s="184">
        <f t="shared" si="22"/>
        <v>2</v>
      </c>
      <c r="AI12" s="526"/>
      <c r="AJ12" s="190">
        <v>6</v>
      </c>
      <c r="AK12" s="190">
        <v>2319.8187995469975</v>
      </c>
      <c r="AL12" s="187">
        <f t="shared" si="11"/>
        <v>386.63646659116625</v>
      </c>
      <c r="AM12" s="184">
        <f t="shared" si="23"/>
        <v>1</v>
      </c>
      <c r="AN12" s="526"/>
      <c r="AO12" s="190">
        <v>6</v>
      </c>
      <c r="AP12" s="190">
        <v>2320.2826855123694</v>
      </c>
      <c r="AQ12" s="187">
        <f t="shared" si="12"/>
        <v>386.71378091872822</v>
      </c>
      <c r="AR12" s="184">
        <f t="shared" si="24"/>
        <v>2</v>
      </c>
      <c r="AS12" s="526"/>
      <c r="AT12" s="190">
        <v>6</v>
      </c>
      <c r="AU12" s="190">
        <v>2321.1225997045749</v>
      </c>
      <c r="AV12" s="187">
        <f t="shared" si="13"/>
        <v>386.85376661742913</v>
      </c>
      <c r="AW12" s="184">
        <f t="shared" si="25"/>
        <v>2</v>
      </c>
      <c r="AX12" s="526"/>
    </row>
    <row r="13" spans="1:50" ht="14.25" customHeight="1">
      <c r="B13" s="514"/>
      <c r="C13" s="182">
        <v>7</v>
      </c>
      <c r="D13" s="185" t="s">
        <v>360</v>
      </c>
      <c r="E13" s="182">
        <v>12</v>
      </c>
      <c r="F13" s="182">
        <v>3600</v>
      </c>
      <c r="G13" s="187">
        <f t="shared" si="8"/>
        <v>300</v>
      </c>
      <c r="H13" s="526"/>
      <c r="I13" s="188">
        <f t="shared" si="14"/>
        <v>12</v>
      </c>
      <c r="J13" s="188">
        <f t="shared" si="15"/>
        <v>3134.9190788818037</v>
      </c>
      <c r="K13" s="189">
        <f t="shared" si="16"/>
        <v>261.24325657348356</v>
      </c>
      <c r="L13" s="527"/>
      <c r="M13" s="188">
        <f>RANK(K13, K$7:$K$21)</f>
        <v>7</v>
      </c>
      <c r="N13" s="514"/>
      <c r="O13" s="514"/>
      <c r="P13" s="190">
        <v>12</v>
      </c>
      <c r="Q13" s="190">
        <v>3134.1991341991361</v>
      </c>
      <c r="R13" s="187">
        <f t="shared" si="17"/>
        <v>261.18326118326132</v>
      </c>
      <c r="S13" s="184">
        <f t="shared" si="18"/>
        <v>6</v>
      </c>
      <c r="T13" s="526"/>
      <c r="U13" s="190">
        <v>12</v>
      </c>
      <c r="V13" s="190">
        <v>3134.2363381597356</v>
      </c>
      <c r="W13" s="187">
        <f t="shared" si="9"/>
        <v>261.18636151331128</v>
      </c>
      <c r="X13" s="184">
        <f t="shared" si="19"/>
        <v>7</v>
      </c>
      <c r="Y13" s="526"/>
      <c r="Z13" s="190">
        <v>12</v>
      </c>
      <c r="AA13" s="190">
        <v>3134.0364333652974</v>
      </c>
      <c r="AB13" s="187">
        <f t="shared" si="10"/>
        <v>261.16970278044147</v>
      </c>
      <c r="AC13" s="184">
        <f t="shared" si="20"/>
        <v>9</v>
      </c>
      <c r="AD13" s="526"/>
      <c r="AE13" s="190">
        <v>12</v>
      </c>
      <c r="AF13" s="190">
        <v>3134.7075208913666</v>
      </c>
      <c r="AG13" s="187">
        <f t="shared" si="21"/>
        <v>261.22562674094723</v>
      </c>
      <c r="AH13" s="184">
        <f t="shared" si="22"/>
        <v>9</v>
      </c>
      <c r="AI13" s="526"/>
      <c r="AJ13" s="190">
        <v>12</v>
      </c>
      <c r="AK13" s="190">
        <v>3135.6213017751443</v>
      </c>
      <c r="AL13" s="187">
        <f t="shared" si="11"/>
        <v>261.30177514792871</v>
      </c>
      <c r="AM13" s="184">
        <f t="shared" si="23"/>
        <v>8</v>
      </c>
      <c r="AN13" s="526"/>
      <c r="AO13" s="190">
        <v>12</v>
      </c>
      <c r="AP13" s="190">
        <v>3135.7622243528335</v>
      </c>
      <c r="AQ13" s="187">
        <f t="shared" si="12"/>
        <v>261.31351869606948</v>
      </c>
      <c r="AR13" s="184">
        <f t="shared" si="24"/>
        <v>8</v>
      </c>
      <c r="AS13" s="526"/>
      <c r="AT13" s="190">
        <v>12</v>
      </c>
      <c r="AU13" s="190">
        <v>3135.8705994291067</v>
      </c>
      <c r="AV13" s="187">
        <f t="shared" si="13"/>
        <v>261.32254995242556</v>
      </c>
      <c r="AW13" s="184">
        <f t="shared" si="25"/>
        <v>8</v>
      </c>
      <c r="AX13" s="526"/>
    </row>
    <row r="14" spans="1:50" ht="14.25" customHeight="1">
      <c r="B14" s="514"/>
      <c r="C14" s="182">
        <v>8</v>
      </c>
      <c r="D14" s="185" t="s">
        <v>361</v>
      </c>
      <c r="E14" s="182">
        <v>12</v>
      </c>
      <c r="F14" s="182">
        <v>3600</v>
      </c>
      <c r="G14" s="187">
        <f t="shared" si="8"/>
        <v>300</v>
      </c>
      <c r="H14" s="526"/>
      <c r="I14" s="188">
        <f t="shared" si="14"/>
        <v>12</v>
      </c>
      <c r="J14" s="188">
        <f t="shared" si="15"/>
        <v>3134.8512845685168</v>
      </c>
      <c r="K14" s="189">
        <f t="shared" si="16"/>
        <v>261.23760704737634</v>
      </c>
      <c r="L14" s="527"/>
      <c r="M14" s="188">
        <f>RANK(K14, K$7:$K$21)</f>
        <v>8</v>
      </c>
      <c r="N14" s="514"/>
      <c r="O14" s="514"/>
      <c r="P14" s="190">
        <v>12</v>
      </c>
      <c r="Q14" s="190">
        <v>3133.8792221085027</v>
      </c>
      <c r="R14" s="187">
        <f t="shared" si="17"/>
        <v>261.15660184237521</v>
      </c>
      <c r="S14" s="184">
        <f t="shared" si="18"/>
        <v>7</v>
      </c>
      <c r="T14" s="526"/>
      <c r="U14" s="190">
        <v>12</v>
      </c>
      <c r="V14" s="190">
        <v>3134.8514851485211</v>
      </c>
      <c r="W14" s="187">
        <f t="shared" si="9"/>
        <v>261.23762376237676</v>
      </c>
      <c r="X14" s="184">
        <f t="shared" si="19"/>
        <v>6</v>
      </c>
      <c r="Y14" s="526"/>
      <c r="Z14" s="190">
        <v>12</v>
      </c>
      <c r="AA14" s="190">
        <v>3135.0839431769327</v>
      </c>
      <c r="AB14" s="187">
        <f t="shared" si="10"/>
        <v>261.25699526474438</v>
      </c>
      <c r="AC14" s="184">
        <f t="shared" si="20"/>
        <v>7</v>
      </c>
      <c r="AD14" s="526"/>
      <c r="AE14" s="190">
        <v>12</v>
      </c>
      <c r="AF14" s="190">
        <v>3135.1351351351327</v>
      </c>
      <c r="AG14" s="187">
        <f t="shared" si="21"/>
        <v>261.26126126126104</v>
      </c>
      <c r="AH14" s="184">
        <f t="shared" si="22"/>
        <v>8</v>
      </c>
      <c r="AI14" s="526"/>
      <c r="AJ14" s="190">
        <v>12</v>
      </c>
      <c r="AK14" s="190">
        <v>3134.8185868873338</v>
      </c>
      <c r="AL14" s="187">
        <f t="shared" si="11"/>
        <v>261.23488224061117</v>
      </c>
      <c r="AM14" s="184">
        <f t="shared" si="23"/>
        <v>9</v>
      </c>
      <c r="AN14" s="526"/>
      <c r="AO14" s="190">
        <v>12</v>
      </c>
      <c r="AP14" s="190">
        <v>3134.5305284761553</v>
      </c>
      <c r="AQ14" s="187">
        <f t="shared" si="12"/>
        <v>261.21087737301292</v>
      </c>
      <c r="AR14" s="184">
        <f t="shared" si="24"/>
        <v>9</v>
      </c>
      <c r="AS14" s="526"/>
      <c r="AT14" s="190">
        <v>12</v>
      </c>
      <c r="AU14" s="190">
        <v>3135.6600910470379</v>
      </c>
      <c r="AV14" s="187">
        <f t="shared" si="13"/>
        <v>261.30500758725316</v>
      </c>
      <c r="AW14" s="184">
        <f t="shared" si="25"/>
        <v>9</v>
      </c>
      <c r="AX14" s="526"/>
    </row>
    <row r="15" spans="1:50" ht="14.25" customHeight="1">
      <c r="B15" s="514"/>
      <c r="C15" s="182">
        <v>9</v>
      </c>
      <c r="D15" s="185" t="s">
        <v>359</v>
      </c>
      <c r="E15" s="182">
        <v>11</v>
      </c>
      <c r="F15" s="182">
        <v>3600</v>
      </c>
      <c r="G15" s="187">
        <f t="shared" si="8"/>
        <v>327.27272727272725</v>
      </c>
      <c r="H15" s="526"/>
      <c r="I15" s="188">
        <f t="shared" si="14"/>
        <v>11</v>
      </c>
      <c r="J15" s="188">
        <f t="shared" si="15"/>
        <v>3169.5739929455344</v>
      </c>
      <c r="K15" s="189">
        <f t="shared" si="16"/>
        <v>288.14309026777585</v>
      </c>
      <c r="L15" s="527"/>
      <c r="M15" s="188">
        <f>RANK(K15, K$7:$K$21)</f>
        <v>5</v>
      </c>
      <c r="N15" s="514"/>
      <c r="O15" s="514"/>
      <c r="P15" s="190">
        <v>11</v>
      </c>
      <c r="Q15" s="190">
        <v>3167.5399361022396</v>
      </c>
      <c r="R15" s="187">
        <f t="shared" si="17"/>
        <v>287.9581760092945</v>
      </c>
      <c r="S15" s="184">
        <f t="shared" si="18"/>
        <v>5</v>
      </c>
      <c r="T15" s="526"/>
      <c r="U15" s="190">
        <v>11</v>
      </c>
      <c r="V15" s="190">
        <v>3168.4337349397638</v>
      </c>
      <c r="W15" s="187">
        <f t="shared" si="9"/>
        <v>288.03943044906941</v>
      </c>
      <c r="X15" s="184">
        <f t="shared" si="19"/>
        <v>5</v>
      </c>
      <c r="Y15" s="526"/>
      <c r="Z15" s="190">
        <v>11</v>
      </c>
      <c r="AA15" s="190">
        <v>3169.9115044247892</v>
      </c>
      <c r="AB15" s="187">
        <f t="shared" si="10"/>
        <v>288.1737731295263</v>
      </c>
      <c r="AC15" s="184">
        <f t="shared" si="20"/>
        <v>4</v>
      </c>
      <c r="AD15" s="526"/>
      <c r="AE15" s="190">
        <v>11</v>
      </c>
      <c r="AF15" s="190">
        <v>3170.3136954858542</v>
      </c>
      <c r="AG15" s="187">
        <f t="shared" si="21"/>
        <v>288.21033595325946</v>
      </c>
      <c r="AH15" s="184">
        <f t="shared" si="22"/>
        <v>5</v>
      </c>
      <c r="AI15" s="526"/>
      <c r="AJ15" s="190">
        <v>11</v>
      </c>
      <c r="AK15" s="190">
        <v>3170.6936866718806</v>
      </c>
      <c r="AL15" s="187">
        <f t="shared" si="11"/>
        <v>288.24488060653459</v>
      </c>
      <c r="AM15" s="184">
        <f t="shared" si="23"/>
        <v>5</v>
      </c>
      <c r="AN15" s="526"/>
      <c r="AO15" s="190">
        <v>11</v>
      </c>
      <c r="AP15" s="190">
        <v>3170.1831964624107</v>
      </c>
      <c r="AQ15" s="187">
        <f t="shared" si="12"/>
        <v>288.19847240567373</v>
      </c>
      <c r="AR15" s="184">
        <f t="shared" si="24"/>
        <v>5</v>
      </c>
      <c r="AS15" s="526"/>
      <c r="AT15" s="190">
        <v>11</v>
      </c>
      <c r="AU15" s="190">
        <v>3169.9421965318043</v>
      </c>
      <c r="AV15" s="187">
        <f t="shared" si="13"/>
        <v>288.1765633210731</v>
      </c>
      <c r="AW15" s="184">
        <f t="shared" si="25"/>
        <v>5</v>
      </c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26">U22+1</f>
        <v>46058</v>
      </c>
      <c r="AA22" s="583"/>
      <c r="AB22" s="583"/>
      <c r="AC22" s="583"/>
      <c r="AD22" s="583"/>
      <c r="AE22" s="584">
        <f t="shared" ref="AE22" si="27">Z22+1</f>
        <v>46059</v>
      </c>
      <c r="AF22" s="585"/>
      <c r="AG22" s="585"/>
      <c r="AH22" s="585"/>
      <c r="AI22" s="585"/>
      <c r="AJ22" s="586">
        <f t="shared" ref="AJ22" si="28">AE22+1</f>
        <v>46060</v>
      </c>
      <c r="AK22" s="587"/>
      <c r="AL22" s="587"/>
      <c r="AM22" s="587"/>
      <c r="AN22" s="588"/>
      <c r="AO22" s="584">
        <f t="shared" ref="AO22" si="29">AJ22+1</f>
        <v>46061</v>
      </c>
      <c r="AP22" s="585"/>
      <c r="AQ22" s="585"/>
      <c r="AR22" s="585"/>
      <c r="AS22" s="585"/>
      <c r="AT22" s="586">
        <f t="shared" ref="AT22" si="30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31">Z22</f>
        <v>46058</v>
      </c>
      <c r="AA23" s="589"/>
      <c r="AB23" s="589"/>
      <c r="AC23" s="589"/>
      <c r="AD23" s="589"/>
      <c r="AE23" s="590">
        <f t="shared" ref="AE23" si="32">AE22</f>
        <v>46059</v>
      </c>
      <c r="AF23" s="590"/>
      <c r="AG23" s="590"/>
      <c r="AH23" s="590"/>
      <c r="AI23" s="590"/>
      <c r="AJ23" s="591">
        <f t="shared" ref="AJ23" si="33">AJ22</f>
        <v>46060</v>
      </c>
      <c r="AK23" s="592"/>
      <c r="AL23" s="592"/>
      <c r="AM23" s="592"/>
      <c r="AN23" s="593"/>
      <c r="AO23" s="590">
        <f t="shared" ref="AO23" si="34">AO22</f>
        <v>46061</v>
      </c>
      <c r="AP23" s="590"/>
      <c r="AQ23" s="590"/>
      <c r="AR23" s="590"/>
      <c r="AS23" s="590"/>
      <c r="AT23" s="591">
        <f t="shared" ref="AT23" si="35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14" t="s">
        <v>389</v>
      </c>
      <c r="C27" s="182">
        <v>1</v>
      </c>
      <c r="D27" s="185" t="s">
        <v>357</v>
      </c>
      <c r="E27" s="182">
        <v>12</v>
      </c>
      <c r="F27" s="182">
        <v>3600</v>
      </c>
      <c r="G27" s="187">
        <f t="shared" ref="G27:G35" si="36">F27/E27</f>
        <v>300</v>
      </c>
      <c r="H27" s="526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3139.3058684648645</v>
      </c>
      <c r="K27" s="189">
        <f>AVERAGE(R27,W27,AB27,AG27,AL27,AQ27,AV27)</f>
        <v>261.60882237207204</v>
      </c>
      <c r="L27" s="527">
        <f>IFERROR(AVERAGE(K27:K41),"-")</f>
        <v>308.28365798359187</v>
      </c>
      <c r="M27" s="188">
        <f>RANK(K27, K$27:$K$41)</f>
        <v>6</v>
      </c>
      <c r="N27" s="514"/>
      <c r="O27" s="514"/>
      <c r="P27" s="190">
        <v>12</v>
      </c>
      <c r="Q27" s="190">
        <v>3138.088829071321</v>
      </c>
      <c r="R27" s="187">
        <f>IFERROR(Q27/P27,"")</f>
        <v>261.50740242261008</v>
      </c>
      <c r="S27" s="184">
        <f>RANK(R27, R$27:R$41)</f>
        <v>6</v>
      </c>
      <c r="T27" s="526">
        <f>AVERAGE(R27:R41)</f>
        <v>308.16738452187735</v>
      </c>
      <c r="U27" s="190">
        <v>12</v>
      </c>
      <c r="V27" s="190">
        <v>3138.3820998278807</v>
      </c>
      <c r="W27" s="187">
        <f t="shared" ref="W27:W35" si="37">IFERROR(V27/U27,"")</f>
        <v>261.53184165232341</v>
      </c>
      <c r="X27" s="184">
        <f>RANK(W27, W$27:W$41)</f>
        <v>8</v>
      </c>
      <c r="Y27" s="526">
        <f>AVERAGE(W27:W41)</f>
        <v>308.22328165128886</v>
      </c>
      <c r="Z27" s="190">
        <v>12</v>
      </c>
      <c r="AA27" s="190">
        <v>3138.3015597920307</v>
      </c>
      <c r="AB27" s="187">
        <f t="shared" ref="AB27:AB35" si="38">IFERROR(AA27/Z27,"")</f>
        <v>261.52512998266923</v>
      </c>
      <c r="AC27" s="184">
        <f>RANK(AB27, AB$27:AB$41)</f>
        <v>9</v>
      </c>
      <c r="AD27" s="526">
        <f>AVERAGE(AB27:AB41)</f>
        <v>308.2389082876573</v>
      </c>
      <c r="AE27" s="190">
        <v>12</v>
      </c>
      <c r="AF27" s="190">
        <v>3139.5611285266491</v>
      </c>
      <c r="AG27" s="187">
        <f>IFERROR(AF27/AE27,"")</f>
        <v>261.63009404388742</v>
      </c>
      <c r="AH27" s="184">
        <f>RANK(AG27, AG$27:AG$41)</f>
        <v>7</v>
      </c>
      <c r="AI27" s="526">
        <f>AVERAGE(AG27:AG41)</f>
        <v>308.35510468329244</v>
      </c>
      <c r="AJ27" s="190">
        <v>12</v>
      </c>
      <c r="AK27" s="190">
        <v>3139.8135818908063</v>
      </c>
      <c r="AL27" s="187">
        <f t="shared" ref="AL27:AL35" si="39">IFERROR(AK27/AJ27,"")</f>
        <v>261.65113182423386</v>
      </c>
      <c r="AM27" s="184">
        <f>RANK(AL27, AL$27:AL$41)</f>
        <v>7</v>
      </c>
      <c r="AN27" s="526">
        <f>AVERAGE(AL27:AL41)</f>
        <v>308.34111552770031</v>
      </c>
      <c r="AO27" s="190">
        <v>12</v>
      </c>
      <c r="AP27" s="190">
        <v>3140.2337228714478</v>
      </c>
      <c r="AQ27" s="187">
        <f t="shared" ref="AQ27:AQ35" si="40">IFERROR(AP27/AO27,"")</f>
        <v>261.68614357262067</v>
      </c>
      <c r="AR27" s="184">
        <f>RANK(AQ27, AQ$27:AQ$41)</f>
        <v>7</v>
      </c>
      <c r="AS27" s="526">
        <f>AVERAGE(AQ27:AQ41)</f>
        <v>308.3343861542823</v>
      </c>
      <c r="AT27" s="190">
        <v>12</v>
      </c>
      <c r="AU27" s="190">
        <v>3140.7601572739145</v>
      </c>
      <c r="AV27" s="187">
        <f t="shared" ref="AV27:AV35" si="41">IFERROR(AU27/AT27,"")</f>
        <v>261.73001310615956</v>
      </c>
      <c r="AW27" s="184">
        <f>RANK(AV27, AV$27:AV$41)</f>
        <v>6</v>
      </c>
      <c r="AX27" s="526">
        <f>AVERAGE(AV27:AV41)</f>
        <v>308.32542505904496</v>
      </c>
    </row>
    <row r="28" spans="2:50" ht="14.25" customHeight="1">
      <c r="B28" s="514"/>
      <c r="C28" s="182">
        <v>2</v>
      </c>
      <c r="D28" s="185" t="s">
        <v>358</v>
      </c>
      <c r="E28" s="182">
        <v>12</v>
      </c>
      <c r="F28" s="182">
        <v>3600</v>
      </c>
      <c r="G28" s="187">
        <f t="shared" si="36"/>
        <v>300</v>
      </c>
      <c r="H28" s="526"/>
      <c r="I28" s="188">
        <f t="shared" ref="I28:K35" si="42">AVERAGE(P28,U28,Z28,AE28,AJ28,AO28,AT28)</f>
        <v>12</v>
      </c>
      <c r="J28" s="188">
        <f t="shared" si="42"/>
        <v>3138.614644804506</v>
      </c>
      <c r="K28" s="189">
        <f t="shared" si="42"/>
        <v>261.55122040037548</v>
      </c>
      <c r="L28" s="527"/>
      <c r="M28" s="188">
        <f>RANK(K28, K$27:$K$41)</f>
        <v>8</v>
      </c>
      <c r="N28" s="514"/>
      <c r="O28" s="514"/>
      <c r="P28" s="190">
        <v>12</v>
      </c>
      <c r="Q28" s="190">
        <v>3137.6303317535462</v>
      </c>
      <c r="R28" s="187">
        <f t="shared" ref="R28:R35" si="43">IFERROR(Q28/P28,"")</f>
        <v>261.46919431279554</v>
      </c>
      <c r="S28" s="184">
        <f t="shared" ref="S28:S35" si="44">RANK(R28, R$27:R$41)</f>
        <v>7</v>
      </c>
      <c r="T28" s="526"/>
      <c r="U28" s="190">
        <v>12</v>
      </c>
      <c r="V28" s="190">
        <v>3138.5826771653578</v>
      </c>
      <c r="W28" s="187">
        <f t="shared" si="37"/>
        <v>261.54855643044647</v>
      </c>
      <c r="X28" s="184">
        <f t="shared" ref="X28:X35" si="45">RANK(W28, W$27:W$41)</f>
        <v>7</v>
      </c>
      <c r="Y28" s="526"/>
      <c r="Z28" s="190">
        <v>12</v>
      </c>
      <c r="AA28" s="190">
        <v>3138.7096774193565</v>
      </c>
      <c r="AB28" s="187">
        <f t="shared" si="38"/>
        <v>261.55913978494635</v>
      </c>
      <c r="AC28" s="184">
        <f t="shared" ref="AC28:AC35" si="46">RANK(AB28, AB$27:AB$41)</f>
        <v>7</v>
      </c>
      <c r="AD28" s="526"/>
      <c r="AE28" s="190">
        <v>12</v>
      </c>
      <c r="AF28" s="190">
        <v>3138.0952380952353</v>
      </c>
      <c r="AG28" s="187">
        <f t="shared" ref="AG28:AG35" si="47">IFERROR(AF28/AE28,"")</f>
        <v>261.50793650793628</v>
      </c>
      <c r="AH28" s="184">
        <f t="shared" ref="AH28:AH35" si="48">RANK(AG28, AG$27:AG$41)</f>
        <v>9</v>
      </c>
      <c r="AI28" s="526"/>
      <c r="AJ28" s="190">
        <v>12</v>
      </c>
      <c r="AK28" s="190">
        <v>3139.0557939914097</v>
      </c>
      <c r="AL28" s="187">
        <f t="shared" si="39"/>
        <v>261.58798283261746</v>
      </c>
      <c r="AM28" s="184">
        <f t="shared" ref="AM28:AM35" si="49">RANK(AL28, AL$27:AL$41)</f>
        <v>8</v>
      </c>
      <c r="AN28" s="526"/>
      <c r="AO28" s="190">
        <v>12</v>
      </c>
      <c r="AP28" s="190">
        <v>3139.1226499552404</v>
      </c>
      <c r="AQ28" s="187">
        <f t="shared" si="40"/>
        <v>261.5935541629367</v>
      </c>
      <c r="AR28" s="184">
        <f t="shared" ref="AR28:AR35" si="50">RANK(AQ28, AQ$27:AQ$41)</f>
        <v>8</v>
      </c>
      <c r="AS28" s="526"/>
      <c r="AT28" s="190">
        <v>12</v>
      </c>
      <c r="AU28" s="190">
        <v>3139.1061452513968</v>
      </c>
      <c r="AV28" s="187">
        <f t="shared" si="41"/>
        <v>261.59217877094972</v>
      </c>
      <c r="AW28" s="184">
        <f t="shared" ref="AW28:AW35" si="51">RANK(AV28, AV$27:AV$41)</f>
        <v>8</v>
      </c>
      <c r="AX28" s="526"/>
    </row>
    <row r="29" spans="2:50" ht="14.25" customHeight="1">
      <c r="B29" s="514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26"/>
      <c r="I29" s="188">
        <f t="shared" si="42"/>
        <v>11</v>
      </c>
      <c r="J29" s="188">
        <f t="shared" si="42"/>
        <v>3172.1920902997326</v>
      </c>
      <c r="K29" s="189">
        <f t="shared" si="42"/>
        <v>288.38109911815752</v>
      </c>
      <c r="L29" s="527"/>
      <c r="M29" s="188">
        <f>RANK(K29, K$27:$K$41)</f>
        <v>4</v>
      </c>
      <c r="N29" s="514"/>
      <c r="O29" s="514"/>
      <c r="P29" s="190">
        <v>11</v>
      </c>
      <c r="Q29" s="190">
        <v>3173.5191637630651</v>
      </c>
      <c r="R29" s="187">
        <f t="shared" si="43"/>
        <v>288.50174216027864</v>
      </c>
      <c r="S29" s="184">
        <f t="shared" si="44"/>
        <v>4</v>
      </c>
      <c r="T29" s="526"/>
      <c r="U29" s="190">
        <v>11</v>
      </c>
      <c r="V29" s="190">
        <v>3173.2162458836465</v>
      </c>
      <c r="W29" s="187">
        <f t="shared" si="37"/>
        <v>288.47420417124061</v>
      </c>
      <c r="X29" s="184">
        <f t="shared" si="45"/>
        <v>4</v>
      </c>
      <c r="Y29" s="526"/>
      <c r="Z29" s="190">
        <v>11</v>
      </c>
      <c r="AA29" s="190">
        <v>3173.0512249443186</v>
      </c>
      <c r="AB29" s="187">
        <f t="shared" si="38"/>
        <v>288.45920226766532</v>
      </c>
      <c r="AC29" s="184">
        <f t="shared" si="46"/>
        <v>4</v>
      </c>
      <c r="AD29" s="526"/>
      <c r="AE29" s="190">
        <v>11</v>
      </c>
      <c r="AF29" s="190">
        <v>3171.2296983758683</v>
      </c>
      <c r="AG29" s="187">
        <f t="shared" si="47"/>
        <v>288.29360894326078</v>
      </c>
      <c r="AH29" s="184">
        <f t="shared" si="48"/>
        <v>5</v>
      </c>
      <c r="AI29" s="526"/>
      <c r="AJ29" s="190">
        <v>11</v>
      </c>
      <c r="AK29" s="190">
        <v>3171.5702479338747</v>
      </c>
      <c r="AL29" s="187">
        <f t="shared" si="39"/>
        <v>288.32456799398864</v>
      </c>
      <c r="AM29" s="184">
        <f t="shared" si="49"/>
        <v>5</v>
      </c>
      <c r="AN29" s="526"/>
      <c r="AO29" s="190">
        <v>11</v>
      </c>
      <c r="AP29" s="190">
        <v>3171.4285714285697</v>
      </c>
      <c r="AQ29" s="187">
        <f t="shared" si="40"/>
        <v>288.31168831168816</v>
      </c>
      <c r="AR29" s="184">
        <f t="shared" si="50"/>
        <v>5</v>
      </c>
      <c r="AS29" s="526"/>
      <c r="AT29" s="190">
        <v>11</v>
      </c>
      <c r="AU29" s="190">
        <v>3171.3294797687859</v>
      </c>
      <c r="AV29" s="187">
        <f t="shared" si="41"/>
        <v>288.30267997898051</v>
      </c>
      <c r="AW29" s="184">
        <f t="shared" si="51"/>
        <v>5</v>
      </c>
      <c r="AX29" s="526"/>
    </row>
    <row r="30" spans="2:50" ht="14.25" customHeight="1">
      <c r="B30" s="514"/>
      <c r="C30" s="182">
        <v>4</v>
      </c>
      <c r="D30" s="185" t="s">
        <v>481</v>
      </c>
      <c r="E30" s="182">
        <v>6</v>
      </c>
      <c r="F30" s="182">
        <v>2600</v>
      </c>
      <c r="G30" s="187">
        <f t="shared" si="36"/>
        <v>433.33333333333331</v>
      </c>
      <c r="H30" s="526"/>
      <c r="I30" s="188">
        <f t="shared" si="42"/>
        <v>6</v>
      </c>
      <c r="J30" s="188">
        <f t="shared" si="42"/>
        <v>2322.9124764783364</v>
      </c>
      <c r="K30" s="189">
        <f t="shared" si="42"/>
        <v>387.15207941305601</v>
      </c>
      <c r="L30" s="527"/>
      <c r="M30" s="188">
        <f>RANK(K30, K$27:$K$41)</f>
        <v>1</v>
      </c>
      <c r="N30" s="514"/>
      <c r="O30" s="514"/>
      <c r="P30" s="190">
        <v>6</v>
      </c>
      <c r="Q30" s="190">
        <v>2321.8697829716157</v>
      </c>
      <c r="R30" s="187">
        <f t="shared" si="43"/>
        <v>386.97829716193593</v>
      </c>
      <c r="S30" s="184">
        <f t="shared" si="44"/>
        <v>1</v>
      </c>
      <c r="T30" s="526"/>
      <c r="U30" s="190">
        <v>6</v>
      </c>
      <c r="V30" s="190">
        <v>2321.6474133601173</v>
      </c>
      <c r="W30" s="187">
        <f t="shared" si="37"/>
        <v>386.94123556001955</v>
      </c>
      <c r="X30" s="184">
        <f t="shared" si="45"/>
        <v>1</v>
      </c>
      <c r="Y30" s="526"/>
      <c r="Z30" s="190">
        <v>6</v>
      </c>
      <c r="AA30" s="190">
        <v>2321.5125191619823</v>
      </c>
      <c r="AB30" s="187">
        <f t="shared" si="38"/>
        <v>386.91875319366369</v>
      </c>
      <c r="AC30" s="184">
        <f t="shared" si="46"/>
        <v>1</v>
      </c>
      <c r="AD30" s="526"/>
      <c r="AE30" s="190">
        <v>6</v>
      </c>
      <c r="AF30" s="190">
        <v>2323.9775461106628</v>
      </c>
      <c r="AG30" s="187">
        <f t="shared" si="47"/>
        <v>387.32959101844381</v>
      </c>
      <c r="AH30" s="184">
        <f t="shared" si="48"/>
        <v>1</v>
      </c>
      <c r="AI30" s="526"/>
      <c r="AJ30" s="190">
        <v>6</v>
      </c>
      <c r="AK30" s="190">
        <v>2323.6074270557042</v>
      </c>
      <c r="AL30" s="187">
        <f t="shared" si="39"/>
        <v>387.26790450928405</v>
      </c>
      <c r="AM30" s="184">
        <f t="shared" si="49"/>
        <v>2</v>
      </c>
      <c r="AN30" s="526"/>
      <c r="AO30" s="190">
        <v>6</v>
      </c>
      <c r="AP30" s="190">
        <v>2323.6191478169349</v>
      </c>
      <c r="AQ30" s="187">
        <f t="shared" si="40"/>
        <v>387.26985796948912</v>
      </c>
      <c r="AR30" s="184">
        <f t="shared" si="50"/>
        <v>2</v>
      </c>
      <c r="AS30" s="526"/>
      <c r="AT30" s="190">
        <v>6</v>
      </c>
      <c r="AU30" s="190">
        <v>2324.1534988713352</v>
      </c>
      <c r="AV30" s="187">
        <f t="shared" si="41"/>
        <v>387.35891647855584</v>
      </c>
      <c r="AW30" s="184">
        <f t="shared" si="51"/>
        <v>1</v>
      </c>
      <c r="AX30" s="526"/>
    </row>
    <row r="31" spans="2:50" ht="14.25" customHeight="1">
      <c r="B31" s="514"/>
      <c r="C31" s="182">
        <v>5</v>
      </c>
      <c r="D31" s="185" t="s">
        <v>490</v>
      </c>
      <c r="E31" s="182">
        <v>6</v>
      </c>
      <c r="F31" s="182">
        <v>2500</v>
      </c>
      <c r="G31" s="187">
        <f t="shared" si="36"/>
        <v>416.66666666666669</v>
      </c>
      <c r="H31" s="526"/>
      <c r="I31" s="188">
        <f t="shared" si="42"/>
        <v>6</v>
      </c>
      <c r="J31" s="188">
        <f t="shared" si="42"/>
        <v>2263.8111645202716</v>
      </c>
      <c r="K31" s="189">
        <f t="shared" si="42"/>
        <v>377.30186075337861</v>
      </c>
      <c r="L31" s="527"/>
      <c r="M31" s="188">
        <f>RANK(K31, K$27:$K$41)</f>
        <v>3</v>
      </c>
      <c r="N31" s="514"/>
      <c r="O31" s="514"/>
      <c r="P31" s="190">
        <v>6</v>
      </c>
      <c r="Q31" s="190">
        <v>2263.3136094674337</v>
      </c>
      <c r="R31" s="187">
        <f t="shared" si="43"/>
        <v>377.21893491123893</v>
      </c>
      <c r="S31" s="184">
        <f t="shared" si="44"/>
        <v>3</v>
      </c>
      <c r="T31" s="526"/>
      <c r="U31" s="190">
        <v>6</v>
      </c>
      <c r="V31" s="190">
        <v>2264.0963855421592</v>
      </c>
      <c r="W31" s="187">
        <f t="shared" si="37"/>
        <v>377.34939759035984</v>
      </c>
      <c r="X31" s="184">
        <f t="shared" si="45"/>
        <v>3</v>
      </c>
      <c r="Y31" s="526"/>
      <c r="Z31" s="190">
        <v>6</v>
      </c>
      <c r="AA31" s="190">
        <v>2264.5914396887142</v>
      </c>
      <c r="AB31" s="187">
        <f t="shared" si="38"/>
        <v>377.4319066147857</v>
      </c>
      <c r="AC31" s="184">
        <f t="shared" si="46"/>
        <v>3</v>
      </c>
      <c r="AD31" s="526"/>
      <c r="AE31" s="190">
        <v>6</v>
      </c>
      <c r="AF31" s="190">
        <v>2265.940054495934</v>
      </c>
      <c r="AG31" s="187">
        <f t="shared" si="47"/>
        <v>377.65667574932235</v>
      </c>
      <c r="AH31" s="184">
        <f t="shared" si="48"/>
        <v>3</v>
      </c>
      <c r="AI31" s="526"/>
      <c r="AJ31" s="190">
        <v>6</v>
      </c>
      <c r="AK31" s="190">
        <v>2263.192182410447</v>
      </c>
      <c r="AL31" s="187">
        <f t="shared" si="39"/>
        <v>377.19869706840785</v>
      </c>
      <c r="AM31" s="184">
        <f t="shared" si="49"/>
        <v>3</v>
      </c>
      <c r="AN31" s="526"/>
      <c r="AO31" s="190">
        <v>6</v>
      </c>
      <c r="AP31" s="190">
        <v>2263.0057803468171</v>
      </c>
      <c r="AQ31" s="187">
        <f t="shared" si="40"/>
        <v>377.16763005780285</v>
      </c>
      <c r="AR31" s="184">
        <f t="shared" si="50"/>
        <v>3</v>
      </c>
      <c r="AS31" s="526"/>
      <c r="AT31" s="190">
        <v>6</v>
      </c>
      <c r="AU31" s="190">
        <v>2262.5386996903958</v>
      </c>
      <c r="AV31" s="187">
        <f t="shared" si="41"/>
        <v>377.08978328173265</v>
      </c>
      <c r="AW31" s="184">
        <f t="shared" si="51"/>
        <v>3</v>
      </c>
      <c r="AX31" s="526"/>
    </row>
    <row r="32" spans="2:50" ht="14.25" customHeight="1">
      <c r="B32" s="514"/>
      <c r="C32" s="182">
        <v>6</v>
      </c>
      <c r="D32" s="185" t="s">
        <v>488</v>
      </c>
      <c r="E32" s="182">
        <v>6</v>
      </c>
      <c r="F32" s="182">
        <v>2600</v>
      </c>
      <c r="G32" s="187">
        <f t="shared" si="36"/>
        <v>433.33333333333331</v>
      </c>
      <c r="H32" s="526"/>
      <c r="I32" s="188">
        <f t="shared" si="42"/>
        <v>6</v>
      </c>
      <c r="J32" s="188">
        <f t="shared" si="42"/>
        <v>2322.7348147065181</v>
      </c>
      <c r="K32" s="189">
        <f t="shared" si="42"/>
        <v>387.1224691177531</v>
      </c>
      <c r="L32" s="527"/>
      <c r="M32" s="188">
        <f>RANK(K32, K$27:$K$41)</f>
        <v>2</v>
      </c>
      <c r="N32" s="514"/>
      <c r="O32" s="514"/>
      <c r="P32" s="190">
        <v>6</v>
      </c>
      <c r="Q32" s="190">
        <v>2321.3377926421399</v>
      </c>
      <c r="R32" s="187">
        <f t="shared" si="43"/>
        <v>386.88963210702332</v>
      </c>
      <c r="S32" s="184">
        <f t="shared" si="44"/>
        <v>2</v>
      </c>
      <c r="T32" s="526"/>
      <c r="U32" s="190">
        <v>6</v>
      </c>
      <c r="V32" s="190">
        <v>2321.3114754098383</v>
      </c>
      <c r="W32" s="187">
        <f t="shared" si="37"/>
        <v>386.88524590163973</v>
      </c>
      <c r="X32" s="184">
        <f t="shared" si="45"/>
        <v>2</v>
      </c>
      <c r="Y32" s="526"/>
      <c r="Z32" s="190">
        <v>6</v>
      </c>
      <c r="AA32" s="190">
        <v>2321.2269938650275</v>
      </c>
      <c r="AB32" s="187">
        <f t="shared" si="38"/>
        <v>386.87116564417124</v>
      </c>
      <c r="AC32" s="184">
        <f t="shared" si="46"/>
        <v>2</v>
      </c>
      <c r="AD32" s="526"/>
      <c r="AE32" s="190">
        <v>6</v>
      </c>
      <c r="AF32" s="190">
        <v>2323.3555767397538</v>
      </c>
      <c r="AG32" s="187">
        <f t="shared" si="47"/>
        <v>387.22592945662564</v>
      </c>
      <c r="AH32" s="184">
        <f t="shared" si="48"/>
        <v>2</v>
      </c>
      <c r="AI32" s="526"/>
      <c r="AJ32" s="190">
        <v>6</v>
      </c>
      <c r="AK32" s="190">
        <v>2324.5033112582842</v>
      </c>
      <c r="AL32" s="187">
        <f t="shared" si="39"/>
        <v>387.41721854304734</v>
      </c>
      <c r="AM32" s="184">
        <f t="shared" si="49"/>
        <v>1</v>
      </c>
      <c r="AN32" s="526"/>
      <c r="AO32" s="190">
        <v>6</v>
      </c>
      <c r="AP32" s="190">
        <v>2323.9327296248402</v>
      </c>
      <c r="AQ32" s="187">
        <f t="shared" si="40"/>
        <v>387.32212160414002</v>
      </c>
      <c r="AR32" s="184">
        <f t="shared" si="50"/>
        <v>1</v>
      </c>
      <c r="AS32" s="526"/>
      <c r="AT32" s="190">
        <v>6</v>
      </c>
      <c r="AU32" s="190">
        <v>2323.4758234057454</v>
      </c>
      <c r="AV32" s="187">
        <f t="shared" si="41"/>
        <v>387.24597056762423</v>
      </c>
      <c r="AW32" s="184">
        <f t="shared" si="51"/>
        <v>2</v>
      </c>
      <c r="AX32" s="526"/>
    </row>
    <row r="33" spans="2:50" ht="14.25" customHeight="1">
      <c r="B33" s="514"/>
      <c r="C33" s="182">
        <v>7</v>
      </c>
      <c r="D33" s="185" t="s">
        <v>360</v>
      </c>
      <c r="E33" s="182">
        <v>12</v>
      </c>
      <c r="F33" s="182">
        <v>3600</v>
      </c>
      <c r="G33" s="187">
        <f t="shared" si="36"/>
        <v>300</v>
      </c>
      <c r="H33" s="526"/>
      <c r="I33" s="188">
        <f t="shared" si="42"/>
        <v>12</v>
      </c>
      <c r="J33" s="188">
        <f t="shared" si="42"/>
        <v>3139.2834714278238</v>
      </c>
      <c r="K33" s="189">
        <f t="shared" si="42"/>
        <v>261.60695595231869</v>
      </c>
      <c r="L33" s="527"/>
      <c r="M33" s="188">
        <f>RANK(K33, K$27:$K$41)</f>
        <v>7</v>
      </c>
      <c r="N33" s="514"/>
      <c r="O33" s="514"/>
      <c r="P33" s="190">
        <v>12</v>
      </c>
      <c r="Q33" s="190">
        <v>3135.8542141230055</v>
      </c>
      <c r="R33" s="187">
        <f t="shared" si="43"/>
        <v>261.32118451025048</v>
      </c>
      <c r="S33" s="184">
        <f t="shared" si="44"/>
        <v>9</v>
      </c>
      <c r="T33" s="526"/>
      <c r="U33" s="190">
        <v>12</v>
      </c>
      <c r="V33" s="190">
        <v>3138.7096774193496</v>
      </c>
      <c r="W33" s="187">
        <f t="shared" si="37"/>
        <v>261.55913978494578</v>
      </c>
      <c r="X33" s="184">
        <f t="shared" si="45"/>
        <v>6</v>
      </c>
      <c r="Y33" s="526"/>
      <c r="Z33" s="190">
        <v>12</v>
      </c>
      <c r="AA33" s="190">
        <v>3139.4047090182225</v>
      </c>
      <c r="AB33" s="187">
        <f t="shared" si="38"/>
        <v>261.61705908485186</v>
      </c>
      <c r="AC33" s="184">
        <f t="shared" si="46"/>
        <v>6</v>
      </c>
      <c r="AD33" s="526"/>
      <c r="AE33" s="190">
        <v>12</v>
      </c>
      <c r="AF33" s="190">
        <v>3139.8347107438085</v>
      </c>
      <c r="AG33" s="187">
        <f t="shared" si="47"/>
        <v>261.65289256198406</v>
      </c>
      <c r="AH33" s="184">
        <f t="shared" si="48"/>
        <v>6</v>
      </c>
      <c r="AI33" s="526"/>
      <c r="AJ33" s="190">
        <v>12</v>
      </c>
      <c r="AK33" s="190">
        <v>3140.2915451894996</v>
      </c>
      <c r="AL33" s="187">
        <f t="shared" si="39"/>
        <v>261.69096209912499</v>
      </c>
      <c r="AM33" s="184">
        <f t="shared" si="49"/>
        <v>6</v>
      </c>
      <c r="AN33" s="526"/>
      <c r="AO33" s="190">
        <v>12</v>
      </c>
      <c r="AP33" s="190">
        <v>3140.7129455909931</v>
      </c>
      <c r="AQ33" s="187">
        <f t="shared" si="40"/>
        <v>261.72607879924942</v>
      </c>
      <c r="AR33" s="184">
        <f t="shared" si="50"/>
        <v>6</v>
      </c>
      <c r="AS33" s="526"/>
      <c r="AT33" s="190">
        <v>12</v>
      </c>
      <c r="AU33" s="190">
        <v>3140.1764979098875</v>
      </c>
      <c r="AV33" s="187">
        <f t="shared" si="41"/>
        <v>261.68137482582398</v>
      </c>
      <c r="AW33" s="184">
        <f t="shared" si="51"/>
        <v>7</v>
      </c>
      <c r="AX33" s="526"/>
    </row>
    <row r="34" spans="2:50" ht="14.25" customHeight="1">
      <c r="B34" s="514"/>
      <c r="C34" s="182">
        <v>8</v>
      </c>
      <c r="D34" s="185" t="s">
        <v>361</v>
      </c>
      <c r="E34" s="182">
        <v>12</v>
      </c>
      <c r="F34" s="182">
        <v>3600</v>
      </c>
      <c r="G34" s="187">
        <f t="shared" si="36"/>
        <v>300</v>
      </c>
      <c r="H34" s="526"/>
      <c r="I34" s="188">
        <f t="shared" si="42"/>
        <v>12</v>
      </c>
      <c r="J34" s="188">
        <f t="shared" si="42"/>
        <v>3138.2059360020403</v>
      </c>
      <c r="K34" s="189">
        <f t="shared" si="42"/>
        <v>261.51716133350334</v>
      </c>
      <c r="L34" s="527"/>
      <c r="M34" s="188">
        <f>RANK(K34, K$27:$K$41)</f>
        <v>9</v>
      </c>
      <c r="N34" s="514"/>
      <c r="O34" s="514"/>
      <c r="P34" s="190">
        <v>12</v>
      </c>
      <c r="Q34" s="190">
        <v>3136.0381861575206</v>
      </c>
      <c r="R34" s="187">
        <f t="shared" si="43"/>
        <v>261.3365155131267</v>
      </c>
      <c r="S34" s="184">
        <f t="shared" si="44"/>
        <v>8</v>
      </c>
      <c r="T34" s="526"/>
      <c r="U34" s="190">
        <v>12</v>
      </c>
      <c r="V34" s="190">
        <v>3137.7565632458263</v>
      </c>
      <c r="W34" s="187">
        <f t="shared" si="37"/>
        <v>261.47971360381888</v>
      </c>
      <c r="X34" s="184">
        <f t="shared" si="45"/>
        <v>9</v>
      </c>
      <c r="Y34" s="526"/>
      <c r="Z34" s="190">
        <v>12</v>
      </c>
      <c r="AA34" s="190">
        <v>3138.3748238609674</v>
      </c>
      <c r="AB34" s="187">
        <f t="shared" si="38"/>
        <v>261.53123532174726</v>
      </c>
      <c r="AC34" s="184">
        <f t="shared" si="46"/>
        <v>8</v>
      </c>
      <c r="AD34" s="526"/>
      <c r="AE34" s="190">
        <v>12</v>
      </c>
      <c r="AF34" s="190">
        <v>3138.8429752066127</v>
      </c>
      <c r="AG34" s="187">
        <f t="shared" si="47"/>
        <v>261.57024793388439</v>
      </c>
      <c r="AH34" s="184">
        <f t="shared" si="48"/>
        <v>8</v>
      </c>
      <c r="AI34" s="526"/>
      <c r="AJ34" s="190">
        <v>12</v>
      </c>
      <c r="AK34" s="190">
        <v>3138.9162561576327</v>
      </c>
      <c r="AL34" s="187">
        <f t="shared" si="39"/>
        <v>261.57635467980271</v>
      </c>
      <c r="AM34" s="184">
        <f t="shared" si="49"/>
        <v>9</v>
      </c>
      <c r="AN34" s="526"/>
      <c r="AO34" s="190">
        <v>12</v>
      </c>
      <c r="AP34" s="190">
        <v>3138.9162561576441</v>
      </c>
      <c r="AQ34" s="187">
        <f t="shared" si="40"/>
        <v>261.57635467980367</v>
      </c>
      <c r="AR34" s="184">
        <f t="shared" si="50"/>
        <v>9</v>
      </c>
      <c r="AS34" s="526"/>
      <c r="AT34" s="190">
        <v>12</v>
      </c>
      <c r="AU34" s="190">
        <v>3138.5964912280783</v>
      </c>
      <c r="AV34" s="187">
        <f t="shared" si="41"/>
        <v>261.54970760233988</v>
      </c>
      <c r="AW34" s="184">
        <f t="shared" si="51"/>
        <v>9</v>
      </c>
      <c r="AX34" s="526"/>
    </row>
    <row r="35" spans="2:50" ht="14.25" customHeight="1">
      <c r="B35" s="514"/>
      <c r="C35" s="182">
        <v>9</v>
      </c>
      <c r="D35" s="185" t="s">
        <v>359</v>
      </c>
      <c r="E35" s="182">
        <v>11</v>
      </c>
      <c r="F35" s="182">
        <v>3600</v>
      </c>
      <c r="G35" s="187">
        <f t="shared" si="36"/>
        <v>327.27272727272725</v>
      </c>
      <c r="H35" s="526"/>
      <c r="I35" s="188">
        <f t="shared" si="42"/>
        <v>11</v>
      </c>
      <c r="J35" s="188">
        <f t="shared" si="42"/>
        <v>3171.4237873088382</v>
      </c>
      <c r="K35" s="189">
        <f t="shared" si="42"/>
        <v>288.31125339171257</v>
      </c>
      <c r="L35" s="527"/>
      <c r="M35" s="188">
        <f>RANK(K35, K$27:$K$41)</f>
        <v>5</v>
      </c>
      <c r="N35" s="514"/>
      <c r="O35" s="514"/>
      <c r="P35" s="190">
        <v>11</v>
      </c>
      <c r="Q35" s="190">
        <v>3171.1191335740059</v>
      </c>
      <c r="R35" s="187">
        <f t="shared" si="43"/>
        <v>288.2835575976369</v>
      </c>
      <c r="S35" s="184">
        <f t="shared" si="44"/>
        <v>5</v>
      </c>
      <c r="T35" s="526"/>
      <c r="U35" s="190">
        <v>11</v>
      </c>
      <c r="V35" s="190">
        <v>3170.6422018348608</v>
      </c>
      <c r="W35" s="187">
        <f t="shared" si="37"/>
        <v>288.24020016680555</v>
      </c>
      <c r="X35" s="184">
        <f t="shared" si="45"/>
        <v>5</v>
      </c>
      <c r="Y35" s="526"/>
      <c r="Z35" s="190">
        <v>11</v>
      </c>
      <c r="AA35" s="190">
        <v>3170.6024096385595</v>
      </c>
      <c r="AB35" s="187">
        <f t="shared" si="38"/>
        <v>288.23658269441449</v>
      </c>
      <c r="AC35" s="184">
        <f t="shared" si="46"/>
        <v>5</v>
      </c>
      <c r="AD35" s="526"/>
      <c r="AE35" s="190">
        <v>11</v>
      </c>
      <c r="AF35" s="190">
        <v>3171.6186252771608</v>
      </c>
      <c r="AG35" s="187">
        <f t="shared" si="47"/>
        <v>288.32896593428734</v>
      </c>
      <c r="AH35" s="184">
        <f t="shared" si="48"/>
        <v>4</v>
      </c>
      <c r="AI35" s="526"/>
      <c r="AJ35" s="190">
        <v>11</v>
      </c>
      <c r="AK35" s="190">
        <v>3171.9074221867577</v>
      </c>
      <c r="AL35" s="187">
        <f t="shared" si="39"/>
        <v>288.35522019879613</v>
      </c>
      <c r="AM35" s="184">
        <f t="shared" si="49"/>
        <v>4</v>
      </c>
      <c r="AN35" s="526"/>
      <c r="AO35" s="190">
        <v>11</v>
      </c>
      <c r="AP35" s="190">
        <v>3171.9165085389036</v>
      </c>
      <c r="AQ35" s="187">
        <f t="shared" si="40"/>
        <v>288.3560462308094</v>
      </c>
      <c r="AR35" s="184">
        <f t="shared" si="50"/>
        <v>4</v>
      </c>
      <c r="AS35" s="526"/>
      <c r="AT35" s="190">
        <v>11</v>
      </c>
      <c r="AU35" s="190">
        <v>3172.1602101116187</v>
      </c>
      <c r="AV35" s="187">
        <f t="shared" si="41"/>
        <v>288.37820091923805</v>
      </c>
      <c r="AW35" s="184">
        <f t="shared" si="51"/>
        <v>4</v>
      </c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52">U42+1</f>
        <v>46065</v>
      </c>
      <c r="AA42" s="583"/>
      <c r="AB42" s="583"/>
      <c r="AC42" s="583"/>
      <c r="AD42" s="583"/>
      <c r="AE42" s="584">
        <f t="shared" ref="AE42" si="53">Z42+1</f>
        <v>46066</v>
      </c>
      <c r="AF42" s="585"/>
      <c r="AG42" s="585"/>
      <c r="AH42" s="585"/>
      <c r="AI42" s="585"/>
      <c r="AJ42" s="586">
        <f t="shared" ref="AJ42" si="54">AE42+1</f>
        <v>46067</v>
      </c>
      <c r="AK42" s="587"/>
      <c r="AL42" s="587"/>
      <c r="AM42" s="587"/>
      <c r="AN42" s="588"/>
      <c r="AO42" s="584">
        <f t="shared" ref="AO42" si="55">AJ42+1</f>
        <v>46068</v>
      </c>
      <c r="AP42" s="585"/>
      <c r="AQ42" s="585"/>
      <c r="AR42" s="585"/>
      <c r="AS42" s="585"/>
      <c r="AT42" s="586">
        <f t="shared" ref="AT42" si="56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57">Z42</f>
        <v>46065</v>
      </c>
      <c r="AA43" s="589"/>
      <c r="AB43" s="589"/>
      <c r="AC43" s="589"/>
      <c r="AD43" s="589"/>
      <c r="AE43" s="590">
        <f t="shared" ref="AE43" si="58">AE42</f>
        <v>46066</v>
      </c>
      <c r="AF43" s="590"/>
      <c r="AG43" s="590"/>
      <c r="AH43" s="590"/>
      <c r="AI43" s="590"/>
      <c r="AJ43" s="591">
        <f t="shared" ref="AJ43" si="59">AJ42</f>
        <v>46067</v>
      </c>
      <c r="AK43" s="592"/>
      <c r="AL43" s="592"/>
      <c r="AM43" s="592"/>
      <c r="AN43" s="593"/>
      <c r="AO43" s="590">
        <f t="shared" ref="AO43" si="60">AO42</f>
        <v>46068</v>
      </c>
      <c r="AP43" s="590"/>
      <c r="AQ43" s="590"/>
      <c r="AR43" s="590"/>
      <c r="AS43" s="590"/>
      <c r="AT43" s="591">
        <f t="shared" ref="AT43" si="61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14" t="s">
        <v>389</v>
      </c>
      <c r="C47" s="182">
        <v>1</v>
      </c>
      <c r="D47" s="185"/>
      <c r="E47" s="182"/>
      <c r="F47" s="182"/>
      <c r="G47" s="187" t="e">
        <f t="shared" ref="G47:G56" si="62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63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64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62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65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66">IFERROR(AF48/AE48,"")</f>
        <v>183.41069933795009</v>
      </c>
      <c r="AH48" s="184" t="e">
        <f t="shared" ref="AH48:AH56" si="67">RANK(AG48, AG$27:AG$41)</f>
        <v>#N/A</v>
      </c>
      <c r="AI48" s="526"/>
      <c r="AJ48" s="190"/>
      <c r="AK48" s="190"/>
      <c r="AL48" s="187"/>
      <c r="AM48" s="184" t="e">
        <f t="shared" ref="AM48:AM56" si="68">RANK(AL48, AL$27:AL$41)</f>
        <v>#N/A</v>
      </c>
      <c r="AN48" s="526"/>
      <c r="AO48" s="190"/>
      <c r="AP48" s="190"/>
      <c r="AQ48" s="187" t="str">
        <f t="shared" si="63"/>
        <v/>
      </c>
      <c r="AR48" s="184" t="e">
        <f t="shared" ref="AR48:AR56" si="69">RANK(AQ48, AQ$27:AQ$41)</f>
        <v>#VALUE!</v>
      </c>
      <c r="AS48" s="526"/>
      <c r="AT48" s="190"/>
      <c r="AU48" s="190"/>
      <c r="AV48" s="187"/>
      <c r="AW48" s="184" t="e">
        <f t="shared" ref="AW48:AW56" si="70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62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65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66"/>
        <v>286.56852329640265</v>
      </c>
      <c r="AH49" s="184" t="e">
        <f t="shared" si="67"/>
        <v>#N/A</v>
      </c>
      <c r="AI49" s="526"/>
      <c r="AJ49" s="190"/>
      <c r="AK49" s="190"/>
      <c r="AL49" s="187"/>
      <c r="AM49" s="184" t="e">
        <f t="shared" si="68"/>
        <v>#N/A</v>
      </c>
      <c r="AN49" s="526"/>
      <c r="AO49" s="190"/>
      <c r="AP49" s="190"/>
      <c r="AQ49" s="187" t="str">
        <f t="shared" si="63"/>
        <v/>
      </c>
      <c r="AR49" s="184" t="e">
        <f t="shared" si="69"/>
        <v>#VALUE!</v>
      </c>
      <c r="AS49" s="526"/>
      <c r="AT49" s="190"/>
      <c r="AU49" s="190"/>
      <c r="AV49" s="187"/>
      <c r="AW49" s="184" t="e">
        <f t="shared" si="70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62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66"/>
        <v>386.3900414937761</v>
      </c>
      <c r="AH50" s="184" t="e">
        <f t="shared" si="67"/>
        <v>#N/A</v>
      </c>
      <c r="AI50" s="526"/>
      <c r="AJ50" s="190"/>
      <c r="AK50" s="190"/>
      <c r="AL50" s="187"/>
      <c r="AM50" s="184" t="e">
        <f t="shared" si="68"/>
        <v>#N/A</v>
      </c>
      <c r="AN50" s="526"/>
      <c r="AO50" s="190"/>
      <c r="AP50" s="190"/>
      <c r="AQ50" s="187" t="str">
        <f t="shared" si="63"/>
        <v/>
      </c>
      <c r="AR50" s="184" t="e">
        <f t="shared" si="69"/>
        <v>#VALUE!</v>
      </c>
      <c r="AS50" s="526"/>
      <c r="AT50" s="190"/>
      <c r="AU50" s="190"/>
      <c r="AV50" s="187"/>
      <c r="AW50" s="184" t="e">
        <f t="shared" si="70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62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66"/>
        <v>375.74552683896599</v>
      </c>
      <c r="AH51" s="184" t="e">
        <f t="shared" si="67"/>
        <v>#N/A</v>
      </c>
      <c r="AI51" s="526"/>
      <c r="AJ51" s="190"/>
      <c r="AK51" s="190"/>
      <c r="AL51" s="187"/>
      <c r="AM51" s="184" t="e">
        <f t="shared" si="68"/>
        <v>#N/A</v>
      </c>
      <c r="AN51" s="526"/>
      <c r="AO51" s="190"/>
      <c r="AP51" s="190"/>
      <c r="AQ51" s="187" t="str">
        <f t="shared" si="63"/>
        <v/>
      </c>
      <c r="AR51" s="184" t="e">
        <f t="shared" si="69"/>
        <v>#VALUE!</v>
      </c>
      <c r="AS51" s="526"/>
      <c r="AT51" s="190"/>
      <c r="AU51" s="190"/>
      <c r="AV51" s="187"/>
      <c r="AW51" s="184" t="e">
        <f t="shared" si="70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62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66"/>
        <v>386.4406779661013</v>
      </c>
      <c r="AH52" s="184" t="e">
        <f t="shared" si="67"/>
        <v>#N/A</v>
      </c>
      <c r="AI52" s="526"/>
      <c r="AJ52" s="190"/>
      <c r="AK52" s="190"/>
      <c r="AL52" s="187"/>
      <c r="AM52" s="184" t="e">
        <f t="shared" si="68"/>
        <v>#N/A</v>
      </c>
      <c r="AN52" s="526"/>
      <c r="AO52" s="190"/>
      <c r="AP52" s="190"/>
      <c r="AQ52" s="187" t="str">
        <f t="shared" si="63"/>
        <v/>
      </c>
      <c r="AR52" s="184" t="e">
        <f t="shared" si="69"/>
        <v>#VALUE!</v>
      </c>
      <c r="AS52" s="526"/>
      <c r="AT52" s="190"/>
      <c r="AU52" s="190"/>
      <c r="AV52" s="187"/>
      <c r="AW52" s="184" t="e">
        <f t="shared" si="70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62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66"/>
        <v>127.79864763335836</v>
      </c>
      <c r="AH53" s="184" t="e">
        <f t="shared" si="67"/>
        <v>#N/A</v>
      </c>
      <c r="AI53" s="526"/>
      <c r="AJ53" s="190"/>
      <c r="AK53" s="190"/>
      <c r="AL53" s="187"/>
      <c r="AM53" s="184" t="e">
        <f t="shared" si="68"/>
        <v>#N/A</v>
      </c>
      <c r="AN53" s="526"/>
      <c r="AO53" s="190"/>
      <c r="AP53" s="190"/>
      <c r="AQ53" s="187" t="str">
        <f t="shared" si="63"/>
        <v/>
      </c>
      <c r="AR53" s="184" t="e">
        <f t="shared" si="69"/>
        <v>#VALUE!</v>
      </c>
      <c r="AS53" s="526"/>
      <c r="AT53" s="190"/>
      <c r="AU53" s="190"/>
      <c r="AV53" s="187"/>
      <c r="AW53" s="184" t="e">
        <f t="shared" si="70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62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66"/>
        <v>183.34709515473759</v>
      </c>
      <c r="AH54" s="184" t="e">
        <f t="shared" si="67"/>
        <v>#N/A</v>
      </c>
      <c r="AI54" s="526"/>
      <c r="AJ54" s="190"/>
      <c r="AK54" s="190"/>
      <c r="AL54" s="187"/>
      <c r="AM54" s="184" t="e">
        <f t="shared" si="68"/>
        <v>#N/A</v>
      </c>
      <c r="AN54" s="526"/>
      <c r="AO54" s="190"/>
      <c r="AP54" s="190"/>
      <c r="AQ54" s="187" t="str">
        <f t="shared" si="63"/>
        <v/>
      </c>
      <c r="AR54" s="184" t="e">
        <f t="shared" si="69"/>
        <v>#VALUE!</v>
      </c>
      <c r="AS54" s="526"/>
      <c r="AT54" s="190"/>
      <c r="AU54" s="190"/>
      <c r="AV54" s="187"/>
      <c r="AW54" s="184" t="e">
        <f t="shared" si="70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62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66"/>
        <v>183.51228908786049</v>
      </c>
      <c r="AH55" s="184" t="e">
        <f t="shared" si="67"/>
        <v>#N/A</v>
      </c>
      <c r="AI55" s="526"/>
      <c r="AJ55" s="190"/>
      <c r="AK55" s="190"/>
      <c r="AL55" s="187"/>
      <c r="AM55" s="184" t="e">
        <f t="shared" si="68"/>
        <v>#N/A</v>
      </c>
      <c r="AN55" s="526"/>
      <c r="AO55" s="190"/>
      <c r="AP55" s="190"/>
      <c r="AQ55" s="187" t="str">
        <f t="shared" si="63"/>
        <v/>
      </c>
      <c r="AR55" s="184" t="e">
        <f t="shared" si="69"/>
        <v>#VALUE!</v>
      </c>
      <c r="AS55" s="526"/>
      <c r="AT55" s="190"/>
      <c r="AU55" s="190"/>
      <c r="AV55" s="187"/>
      <c r="AW55" s="184" t="e">
        <f t="shared" si="70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62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66"/>
        <v>286.63901543482666</v>
      </c>
      <c r="AH56" s="184" t="e">
        <f t="shared" si="67"/>
        <v>#N/A</v>
      </c>
      <c r="AI56" s="526"/>
      <c r="AJ56" s="190"/>
      <c r="AK56" s="190"/>
      <c r="AL56" s="187"/>
      <c r="AM56" s="184" t="e">
        <f t="shared" si="68"/>
        <v>#N/A</v>
      </c>
      <c r="AN56" s="526"/>
      <c r="AO56" s="190"/>
      <c r="AP56" s="190"/>
      <c r="AQ56" s="187" t="str">
        <f t="shared" si="63"/>
        <v/>
      </c>
      <c r="AR56" s="184" t="e">
        <f t="shared" si="69"/>
        <v>#VALUE!</v>
      </c>
      <c r="AS56" s="526"/>
      <c r="AT56" s="190"/>
      <c r="AU56" s="190"/>
      <c r="AV56" s="187"/>
      <c r="AW56" s="184" t="e">
        <f t="shared" si="70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71">U62+1</f>
        <v>46072</v>
      </c>
      <c r="AA62" s="583"/>
      <c r="AB62" s="583"/>
      <c r="AC62" s="583"/>
      <c r="AD62" s="583"/>
      <c r="AE62" s="584">
        <f t="shared" ref="AE62" si="72">Z62+1</f>
        <v>46073</v>
      </c>
      <c r="AF62" s="585"/>
      <c r="AG62" s="585"/>
      <c r="AH62" s="585"/>
      <c r="AI62" s="585"/>
      <c r="AJ62" s="586">
        <f t="shared" ref="AJ62" si="73">AE62+1</f>
        <v>46074</v>
      </c>
      <c r="AK62" s="587"/>
      <c r="AL62" s="587"/>
      <c r="AM62" s="587"/>
      <c r="AN62" s="588"/>
      <c r="AO62" s="584">
        <f t="shared" ref="AO62" si="74">AJ62+1</f>
        <v>46075</v>
      </c>
      <c r="AP62" s="585"/>
      <c r="AQ62" s="585"/>
      <c r="AR62" s="585"/>
      <c r="AS62" s="585"/>
      <c r="AT62" s="586">
        <f t="shared" ref="AT62" si="75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76">Z62</f>
        <v>46072</v>
      </c>
      <c r="AA63" s="589"/>
      <c r="AB63" s="589"/>
      <c r="AC63" s="589"/>
      <c r="AD63" s="589"/>
      <c r="AE63" s="590">
        <f t="shared" ref="AE63" si="77">AE62</f>
        <v>46073</v>
      </c>
      <c r="AF63" s="590"/>
      <c r="AG63" s="590"/>
      <c r="AH63" s="590"/>
      <c r="AI63" s="590"/>
      <c r="AJ63" s="591">
        <f t="shared" ref="AJ63" si="78">AJ62</f>
        <v>46074</v>
      </c>
      <c r="AK63" s="592"/>
      <c r="AL63" s="592"/>
      <c r="AM63" s="592"/>
      <c r="AN63" s="593"/>
      <c r="AO63" s="590">
        <f t="shared" ref="AO63" si="79">AO62</f>
        <v>46075</v>
      </c>
      <c r="AP63" s="590"/>
      <c r="AQ63" s="590"/>
      <c r="AR63" s="590"/>
      <c r="AS63" s="590"/>
      <c r="AT63" s="591">
        <f t="shared" ref="AT63" si="80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14" t="s">
        <v>389</v>
      </c>
      <c r="C67" s="182">
        <v>1</v>
      </c>
      <c r="D67" s="185"/>
      <c r="E67" s="182"/>
      <c r="F67" s="182"/>
      <c r="G67" s="187" t="e">
        <f t="shared" ref="G67:G76" si="81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82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83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81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84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85">IFERROR(AF68/AE68,"")</f>
        <v>183.41069933795009</v>
      </c>
      <c r="AH68" s="184" t="e">
        <f t="shared" ref="AH68:AH76" si="86">RANK(AG68, AG$27:AG$41)</f>
        <v>#N/A</v>
      </c>
      <c r="AI68" s="526"/>
      <c r="AJ68" s="190"/>
      <c r="AK68" s="190"/>
      <c r="AL68" s="187"/>
      <c r="AM68" s="184" t="e">
        <f t="shared" ref="AM68:AM76" si="87">RANK(AL68, AL$27:AL$41)</f>
        <v>#N/A</v>
      </c>
      <c r="AN68" s="526"/>
      <c r="AO68" s="190"/>
      <c r="AP68" s="190"/>
      <c r="AQ68" s="187" t="str">
        <f t="shared" si="82"/>
        <v/>
      </c>
      <c r="AR68" s="184" t="e">
        <f t="shared" ref="AR68:AR76" si="88">RANK(AQ68, AQ$27:AQ$41)</f>
        <v>#VALUE!</v>
      </c>
      <c r="AS68" s="526"/>
      <c r="AT68" s="190"/>
      <c r="AU68" s="190"/>
      <c r="AV68" s="187"/>
      <c r="AW68" s="184" t="e">
        <f t="shared" ref="AW68:AW76" si="89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81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84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85"/>
        <v>286.56852329640265</v>
      </c>
      <c r="AH69" s="184" t="e">
        <f t="shared" si="86"/>
        <v>#N/A</v>
      </c>
      <c r="AI69" s="526"/>
      <c r="AJ69" s="190"/>
      <c r="AK69" s="190"/>
      <c r="AL69" s="187"/>
      <c r="AM69" s="184" t="e">
        <f t="shared" si="87"/>
        <v>#N/A</v>
      </c>
      <c r="AN69" s="526"/>
      <c r="AO69" s="190"/>
      <c r="AP69" s="190"/>
      <c r="AQ69" s="187" t="str">
        <f t="shared" si="82"/>
        <v/>
      </c>
      <c r="AR69" s="184" t="e">
        <f t="shared" si="88"/>
        <v>#VALUE!</v>
      </c>
      <c r="AS69" s="526"/>
      <c r="AT69" s="190"/>
      <c r="AU69" s="190"/>
      <c r="AV69" s="187"/>
      <c r="AW69" s="184" t="e">
        <f t="shared" si="89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81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85"/>
        <v>386.3900414937761</v>
      </c>
      <c r="AH70" s="184" t="e">
        <f t="shared" si="86"/>
        <v>#N/A</v>
      </c>
      <c r="AI70" s="526"/>
      <c r="AJ70" s="190"/>
      <c r="AK70" s="190"/>
      <c r="AL70" s="187"/>
      <c r="AM70" s="184" t="e">
        <f t="shared" si="87"/>
        <v>#N/A</v>
      </c>
      <c r="AN70" s="526"/>
      <c r="AO70" s="190"/>
      <c r="AP70" s="190"/>
      <c r="AQ70" s="187" t="str">
        <f t="shared" si="82"/>
        <v/>
      </c>
      <c r="AR70" s="184" t="e">
        <f t="shared" si="88"/>
        <v>#VALUE!</v>
      </c>
      <c r="AS70" s="526"/>
      <c r="AT70" s="190"/>
      <c r="AU70" s="190"/>
      <c r="AV70" s="187"/>
      <c r="AW70" s="184" t="e">
        <f t="shared" si="89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81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85"/>
        <v>375.74552683896599</v>
      </c>
      <c r="AH71" s="184" t="e">
        <f t="shared" si="86"/>
        <v>#N/A</v>
      </c>
      <c r="AI71" s="526"/>
      <c r="AJ71" s="190"/>
      <c r="AK71" s="190"/>
      <c r="AL71" s="187"/>
      <c r="AM71" s="184" t="e">
        <f t="shared" si="87"/>
        <v>#N/A</v>
      </c>
      <c r="AN71" s="526"/>
      <c r="AO71" s="190"/>
      <c r="AP71" s="190"/>
      <c r="AQ71" s="187" t="str">
        <f t="shared" si="82"/>
        <v/>
      </c>
      <c r="AR71" s="184" t="e">
        <f t="shared" si="88"/>
        <v>#VALUE!</v>
      </c>
      <c r="AS71" s="526"/>
      <c r="AT71" s="190"/>
      <c r="AU71" s="190"/>
      <c r="AV71" s="187"/>
      <c r="AW71" s="184" t="e">
        <f t="shared" si="89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81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85"/>
        <v>386.4406779661013</v>
      </c>
      <c r="AH72" s="184" t="e">
        <f t="shared" si="86"/>
        <v>#N/A</v>
      </c>
      <c r="AI72" s="526"/>
      <c r="AJ72" s="190"/>
      <c r="AK72" s="190"/>
      <c r="AL72" s="187"/>
      <c r="AM72" s="184" t="e">
        <f t="shared" si="87"/>
        <v>#N/A</v>
      </c>
      <c r="AN72" s="526"/>
      <c r="AO72" s="190"/>
      <c r="AP72" s="190"/>
      <c r="AQ72" s="187" t="str">
        <f t="shared" si="82"/>
        <v/>
      </c>
      <c r="AR72" s="184" t="e">
        <f t="shared" si="88"/>
        <v>#VALUE!</v>
      </c>
      <c r="AS72" s="526"/>
      <c r="AT72" s="190"/>
      <c r="AU72" s="190"/>
      <c r="AV72" s="187"/>
      <c r="AW72" s="184" t="e">
        <f t="shared" si="89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81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85"/>
        <v>127.79864763335836</v>
      </c>
      <c r="AH73" s="184" t="e">
        <f t="shared" si="86"/>
        <v>#N/A</v>
      </c>
      <c r="AI73" s="526"/>
      <c r="AJ73" s="190"/>
      <c r="AK73" s="190"/>
      <c r="AL73" s="187"/>
      <c r="AM73" s="184" t="e">
        <f t="shared" si="87"/>
        <v>#N/A</v>
      </c>
      <c r="AN73" s="526"/>
      <c r="AO73" s="190"/>
      <c r="AP73" s="190"/>
      <c r="AQ73" s="187" t="str">
        <f t="shared" si="82"/>
        <v/>
      </c>
      <c r="AR73" s="184" t="e">
        <f t="shared" si="88"/>
        <v>#VALUE!</v>
      </c>
      <c r="AS73" s="526"/>
      <c r="AT73" s="190"/>
      <c r="AU73" s="190"/>
      <c r="AV73" s="187"/>
      <c r="AW73" s="184" t="e">
        <f t="shared" si="89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81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85"/>
        <v>183.34709515473759</v>
      </c>
      <c r="AH74" s="184" t="e">
        <f t="shared" si="86"/>
        <v>#N/A</v>
      </c>
      <c r="AI74" s="526"/>
      <c r="AJ74" s="190"/>
      <c r="AK74" s="190"/>
      <c r="AL74" s="187"/>
      <c r="AM74" s="184" t="e">
        <f t="shared" si="87"/>
        <v>#N/A</v>
      </c>
      <c r="AN74" s="526"/>
      <c r="AO74" s="190"/>
      <c r="AP74" s="190"/>
      <c r="AQ74" s="187" t="str">
        <f t="shared" si="82"/>
        <v/>
      </c>
      <c r="AR74" s="184" t="e">
        <f t="shared" si="88"/>
        <v>#VALUE!</v>
      </c>
      <c r="AS74" s="526"/>
      <c r="AT74" s="190"/>
      <c r="AU74" s="190"/>
      <c r="AV74" s="187"/>
      <c r="AW74" s="184" t="e">
        <f t="shared" si="89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81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85"/>
        <v>183.51228908786049</v>
      </c>
      <c r="AH75" s="184" t="e">
        <f t="shared" si="86"/>
        <v>#N/A</v>
      </c>
      <c r="AI75" s="526"/>
      <c r="AJ75" s="190"/>
      <c r="AK75" s="190"/>
      <c r="AL75" s="187"/>
      <c r="AM75" s="184" t="e">
        <f t="shared" si="87"/>
        <v>#N/A</v>
      </c>
      <c r="AN75" s="526"/>
      <c r="AO75" s="190"/>
      <c r="AP75" s="190"/>
      <c r="AQ75" s="187" t="str">
        <f t="shared" si="82"/>
        <v/>
      </c>
      <c r="AR75" s="184" t="e">
        <f t="shared" si="88"/>
        <v>#VALUE!</v>
      </c>
      <c r="AS75" s="526"/>
      <c r="AT75" s="190"/>
      <c r="AU75" s="190"/>
      <c r="AV75" s="187"/>
      <c r="AW75" s="184" t="e">
        <f t="shared" si="89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81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85"/>
        <v>286.63901543482666</v>
      </c>
      <c r="AH76" s="184" t="e">
        <f t="shared" si="86"/>
        <v>#N/A</v>
      </c>
      <c r="AI76" s="526"/>
      <c r="AJ76" s="190"/>
      <c r="AK76" s="190"/>
      <c r="AL76" s="187"/>
      <c r="AM76" s="184" t="e">
        <f t="shared" si="87"/>
        <v>#N/A</v>
      </c>
      <c r="AN76" s="526"/>
      <c r="AO76" s="190"/>
      <c r="AP76" s="190"/>
      <c r="AQ76" s="187" t="str">
        <f t="shared" si="82"/>
        <v/>
      </c>
      <c r="AR76" s="184" t="e">
        <f t="shared" si="88"/>
        <v>#VALUE!</v>
      </c>
      <c r="AS76" s="526"/>
      <c r="AT76" s="190"/>
      <c r="AU76" s="190"/>
      <c r="AV76" s="187"/>
      <c r="AW76" s="184" t="e">
        <f t="shared" si="89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90">U82+1</f>
        <v>46079</v>
      </c>
      <c r="AA82" s="583"/>
      <c r="AB82" s="583"/>
      <c r="AC82" s="583"/>
      <c r="AD82" s="583"/>
      <c r="AE82" s="584">
        <f t="shared" ref="AE82" si="91">Z82+1</f>
        <v>46080</v>
      </c>
      <c r="AF82" s="585"/>
      <c r="AG82" s="585"/>
      <c r="AH82" s="585"/>
      <c r="AI82" s="585"/>
      <c r="AJ82" s="586">
        <f t="shared" ref="AJ82" si="92">AE82+1</f>
        <v>46081</v>
      </c>
      <c r="AK82" s="587"/>
      <c r="AL82" s="587"/>
      <c r="AM82" s="587"/>
      <c r="AN82" s="588"/>
      <c r="AO82" s="584">
        <f t="shared" ref="AO82" si="93">AJ82+1</f>
        <v>46082</v>
      </c>
      <c r="AP82" s="585"/>
      <c r="AQ82" s="585"/>
      <c r="AR82" s="585"/>
      <c r="AS82" s="585"/>
      <c r="AT82" s="586">
        <f t="shared" ref="AT82" si="94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95">Z82</f>
        <v>46079</v>
      </c>
      <c r="AA83" s="589"/>
      <c r="AB83" s="589"/>
      <c r="AC83" s="589"/>
      <c r="AD83" s="589"/>
      <c r="AE83" s="590">
        <f t="shared" ref="AE83" si="96">AE82</f>
        <v>46080</v>
      </c>
      <c r="AF83" s="590"/>
      <c r="AG83" s="590"/>
      <c r="AH83" s="590"/>
      <c r="AI83" s="590"/>
      <c r="AJ83" s="591">
        <f t="shared" ref="AJ83" si="97">AJ82</f>
        <v>46081</v>
      </c>
      <c r="AK83" s="592"/>
      <c r="AL83" s="592"/>
      <c r="AM83" s="592"/>
      <c r="AN83" s="593"/>
      <c r="AO83" s="590">
        <f t="shared" ref="AO83" si="98">AO82</f>
        <v>46082</v>
      </c>
      <c r="AP83" s="590"/>
      <c r="AQ83" s="590"/>
      <c r="AR83" s="590"/>
      <c r="AS83" s="590"/>
      <c r="AT83" s="591">
        <f t="shared" ref="AT83" si="99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14" t="s">
        <v>389</v>
      </c>
      <c r="C87" s="182">
        <v>1</v>
      </c>
      <c r="D87" s="185"/>
      <c r="E87" s="182"/>
      <c r="F87" s="182"/>
      <c r="G87" s="187" t="e">
        <f t="shared" ref="G87:G96" si="100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101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102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100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103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104">IFERROR(AF88/AE88,"")</f>
        <v>183.41069933795009</v>
      </c>
      <c r="AH88" s="184" t="e">
        <f t="shared" ref="AH88:AH96" si="105">RANK(AG88, AG$27:AG$41)</f>
        <v>#N/A</v>
      </c>
      <c r="AI88" s="526"/>
      <c r="AJ88" s="190"/>
      <c r="AK88" s="190"/>
      <c r="AL88" s="187"/>
      <c r="AM88" s="184" t="e">
        <f t="shared" ref="AM88:AM96" si="106">RANK(AL88, AL$27:AL$41)</f>
        <v>#N/A</v>
      </c>
      <c r="AN88" s="526"/>
      <c r="AO88" s="190"/>
      <c r="AP88" s="190"/>
      <c r="AQ88" s="187" t="str">
        <f t="shared" si="101"/>
        <v/>
      </c>
      <c r="AR88" s="184" t="e">
        <f t="shared" ref="AR88:AR96" si="107">RANK(AQ88, AQ$27:AQ$41)</f>
        <v>#VALUE!</v>
      </c>
      <c r="AS88" s="526"/>
      <c r="AT88" s="190"/>
      <c r="AU88" s="190"/>
      <c r="AV88" s="187"/>
      <c r="AW88" s="184" t="e">
        <f t="shared" ref="AW88:AW96" si="108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100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103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104"/>
        <v>286.56852329640265</v>
      </c>
      <c r="AH89" s="184" t="e">
        <f t="shared" si="105"/>
        <v>#N/A</v>
      </c>
      <c r="AI89" s="526"/>
      <c r="AJ89" s="190"/>
      <c r="AK89" s="190"/>
      <c r="AL89" s="187"/>
      <c r="AM89" s="184" t="e">
        <f t="shared" si="106"/>
        <v>#N/A</v>
      </c>
      <c r="AN89" s="526"/>
      <c r="AO89" s="190"/>
      <c r="AP89" s="190"/>
      <c r="AQ89" s="187" t="str">
        <f t="shared" si="101"/>
        <v/>
      </c>
      <c r="AR89" s="184" t="e">
        <f t="shared" si="107"/>
        <v>#VALUE!</v>
      </c>
      <c r="AS89" s="526"/>
      <c r="AT89" s="190"/>
      <c r="AU89" s="190"/>
      <c r="AV89" s="187"/>
      <c r="AW89" s="184" t="e">
        <f t="shared" si="108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100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104"/>
        <v>386.3900414937761</v>
      </c>
      <c r="AH90" s="184" t="e">
        <f t="shared" si="105"/>
        <v>#N/A</v>
      </c>
      <c r="AI90" s="526"/>
      <c r="AJ90" s="190"/>
      <c r="AK90" s="190"/>
      <c r="AL90" s="187"/>
      <c r="AM90" s="184" t="e">
        <f t="shared" si="106"/>
        <v>#N/A</v>
      </c>
      <c r="AN90" s="526"/>
      <c r="AO90" s="190"/>
      <c r="AP90" s="190"/>
      <c r="AQ90" s="187" t="str">
        <f t="shared" si="101"/>
        <v/>
      </c>
      <c r="AR90" s="184" t="e">
        <f t="shared" si="107"/>
        <v>#VALUE!</v>
      </c>
      <c r="AS90" s="526"/>
      <c r="AT90" s="190"/>
      <c r="AU90" s="190"/>
      <c r="AV90" s="187"/>
      <c r="AW90" s="184" t="e">
        <f t="shared" si="108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100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104"/>
        <v>375.74552683896599</v>
      </c>
      <c r="AH91" s="184" t="e">
        <f t="shared" si="105"/>
        <v>#N/A</v>
      </c>
      <c r="AI91" s="526"/>
      <c r="AJ91" s="190"/>
      <c r="AK91" s="190"/>
      <c r="AL91" s="187"/>
      <c r="AM91" s="184" t="e">
        <f t="shared" si="106"/>
        <v>#N/A</v>
      </c>
      <c r="AN91" s="526"/>
      <c r="AO91" s="190"/>
      <c r="AP91" s="190"/>
      <c r="AQ91" s="187" t="str">
        <f t="shared" si="101"/>
        <v/>
      </c>
      <c r="AR91" s="184" t="e">
        <f t="shared" si="107"/>
        <v>#VALUE!</v>
      </c>
      <c r="AS91" s="526"/>
      <c r="AT91" s="190"/>
      <c r="AU91" s="190"/>
      <c r="AV91" s="187"/>
      <c r="AW91" s="184" t="e">
        <f t="shared" si="108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100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104"/>
        <v>386.4406779661013</v>
      </c>
      <c r="AH92" s="184" t="e">
        <f t="shared" si="105"/>
        <v>#N/A</v>
      </c>
      <c r="AI92" s="526"/>
      <c r="AJ92" s="190"/>
      <c r="AK92" s="190"/>
      <c r="AL92" s="187"/>
      <c r="AM92" s="184" t="e">
        <f t="shared" si="106"/>
        <v>#N/A</v>
      </c>
      <c r="AN92" s="526"/>
      <c r="AO92" s="190"/>
      <c r="AP92" s="190"/>
      <c r="AQ92" s="187" t="str">
        <f t="shared" si="101"/>
        <v/>
      </c>
      <c r="AR92" s="184" t="e">
        <f t="shared" si="107"/>
        <v>#VALUE!</v>
      </c>
      <c r="AS92" s="526"/>
      <c r="AT92" s="190"/>
      <c r="AU92" s="190"/>
      <c r="AV92" s="187"/>
      <c r="AW92" s="184" t="e">
        <f t="shared" si="108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100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104"/>
        <v>127.79864763335836</v>
      </c>
      <c r="AH93" s="184" t="e">
        <f t="shared" si="105"/>
        <v>#N/A</v>
      </c>
      <c r="AI93" s="526"/>
      <c r="AJ93" s="190"/>
      <c r="AK93" s="190"/>
      <c r="AL93" s="187"/>
      <c r="AM93" s="184" t="e">
        <f t="shared" si="106"/>
        <v>#N/A</v>
      </c>
      <c r="AN93" s="526"/>
      <c r="AO93" s="190"/>
      <c r="AP93" s="190"/>
      <c r="AQ93" s="187" t="str">
        <f t="shared" si="101"/>
        <v/>
      </c>
      <c r="AR93" s="184" t="e">
        <f t="shared" si="107"/>
        <v>#VALUE!</v>
      </c>
      <c r="AS93" s="526"/>
      <c r="AT93" s="190"/>
      <c r="AU93" s="190"/>
      <c r="AV93" s="187"/>
      <c r="AW93" s="184" t="e">
        <f t="shared" si="108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100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104"/>
        <v>183.34709515473759</v>
      </c>
      <c r="AH94" s="184" t="e">
        <f t="shared" si="105"/>
        <v>#N/A</v>
      </c>
      <c r="AI94" s="526"/>
      <c r="AJ94" s="190"/>
      <c r="AK94" s="190"/>
      <c r="AL94" s="187"/>
      <c r="AM94" s="184" t="e">
        <f t="shared" si="106"/>
        <v>#N/A</v>
      </c>
      <c r="AN94" s="526"/>
      <c r="AO94" s="190"/>
      <c r="AP94" s="190"/>
      <c r="AQ94" s="187" t="str">
        <f t="shared" si="101"/>
        <v/>
      </c>
      <c r="AR94" s="184" t="e">
        <f t="shared" si="107"/>
        <v>#VALUE!</v>
      </c>
      <c r="AS94" s="526"/>
      <c r="AT94" s="190"/>
      <c r="AU94" s="190"/>
      <c r="AV94" s="187"/>
      <c r="AW94" s="184" t="e">
        <f t="shared" si="108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100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104"/>
        <v>183.51228908786049</v>
      </c>
      <c r="AH95" s="184" t="e">
        <f t="shared" si="105"/>
        <v>#N/A</v>
      </c>
      <c r="AI95" s="526"/>
      <c r="AJ95" s="190"/>
      <c r="AK95" s="190"/>
      <c r="AL95" s="187"/>
      <c r="AM95" s="184" t="e">
        <f t="shared" si="106"/>
        <v>#N/A</v>
      </c>
      <c r="AN95" s="526"/>
      <c r="AO95" s="190"/>
      <c r="AP95" s="190"/>
      <c r="AQ95" s="187" t="str">
        <f t="shared" si="101"/>
        <v/>
      </c>
      <c r="AR95" s="184" t="e">
        <f t="shared" si="107"/>
        <v>#VALUE!</v>
      </c>
      <c r="AS95" s="526"/>
      <c r="AT95" s="190"/>
      <c r="AU95" s="190"/>
      <c r="AV95" s="187"/>
      <c r="AW95" s="184" t="e">
        <f t="shared" si="108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100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104"/>
        <v>286.63901543482666</v>
      </c>
      <c r="AH96" s="184" t="e">
        <f t="shared" si="105"/>
        <v>#N/A</v>
      </c>
      <c r="AI96" s="526"/>
      <c r="AJ96" s="190"/>
      <c r="AK96" s="190"/>
      <c r="AL96" s="187"/>
      <c r="AM96" s="184" t="e">
        <f t="shared" si="106"/>
        <v>#N/A</v>
      </c>
      <c r="AN96" s="526"/>
      <c r="AO96" s="190"/>
      <c r="AP96" s="190"/>
      <c r="AQ96" s="187" t="str">
        <f t="shared" si="101"/>
        <v/>
      </c>
      <c r="AR96" s="184" t="e">
        <f t="shared" si="107"/>
        <v>#VALUE!</v>
      </c>
      <c r="AS96" s="526"/>
      <c r="AT96" s="190"/>
      <c r="AU96" s="190"/>
      <c r="AV96" s="187"/>
      <c r="AW96" s="184" t="e">
        <f t="shared" si="108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8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699</v>
      </c>
      <c r="C1" s="177">
        <f>AVERAGE(L27,L47,L67,L87)</f>
        <v>258.45295510317538</v>
      </c>
    </row>
    <row r="2" spans="1:50" ht="14.25" customHeight="1" collapsed="1">
      <c r="A2" s="451">
        <v>46024</v>
      </c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v>46053</v>
      </c>
      <c r="AK2" s="587"/>
      <c r="AL2" s="587"/>
      <c r="AM2" s="587"/>
      <c r="AN2" s="588"/>
      <c r="AO2" s="584">
        <f t="shared" ref="AO2" si="2">AJ2+1</f>
        <v>46054</v>
      </c>
      <c r="AP2" s="585"/>
      <c r="AQ2" s="585"/>
      <c r="AR2" s="585"/>
      <c r="AS2" s="585"/>
      <c r="AT2" s="586">
        <f t="shared" ref="AT2" si="3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4">Z2</f>
        <v>46051</v>
      </c>
      <c r="AA3" s="589"/>
      <c r="AB3" s="589"/>
      <c r="AC3" s="589"/>
      <c r="AD3" s="589"/>
      <c r="AE3" s="590">
        <f t="shared" ref="AE3" si="5">AE2</f>
        <v>46052</v>
      </c>
      <c r="AF3" s="590"/>
      <c r="AG3" s="590"/>
      <c r="AH3" s="590"/>
      <c r="AI3" s="590"/>
      <c r="AJ3" s="591">
        <f t="shared" ref="AJ3" si="6">AJ2</f>
        <v>46053</v>
      </c>
      <c r="AK3" s="592"/>
      <c r="AL3" s="592"/>
      <c r="AM3" s="592"/>
      <c r="AN3" s="593"/>
      <c r="AO3" s="590">
        <f t="shared" ref="AO3" si="7">AO2</f>
        <v>46054</v>
      </c>
      <c r="AP3" s="590"/>
      <c r="AQ3" s="590"/>
      <c r="AR3" s="590"/>
      <c r="AS3" s="590"/>
      <c r="AT3" s="591">
        <f t="shared" ref="AT3" si="8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 t="s">
        <v>386</v>
      </c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94" t="s">
        <v>462</v>
      </c>
      <c r="C7" s="182">
        <v>1</v>
      </c>
      <c r="D7" s="185" t="s">
        <v>362</v>
      </c>
      <c r="E7" s="182">
        <v>21</v>
      </c>
      <c r="F7" s="182">
        <v>2790</v>
      </c>
      <c r="G7" s="187">
        <f t="shared" ref="G7:G9" si="9">F7/E7</f>
        <v>132.85714285714286</v>
      </c>
      <c r="H7" s="526">
        <f>AVERAGE(G7:G21)</f>
        <v>288.57142857142861</v>
      </c>
      <c r="I7" s="188">
        <f>AVERAGE(P7,U7,Z7,AE7,AJ7,AO7,AT7)</f>
        <v>22.714285714285715</v>
      </c>
      <c r="J7" s="188">
        <f>AVERAGE(Q7,V7,AA7,AF7,AK7,AP7,AU7)</f>
        <v>2743.9601388674678</v>
      </c>
      <c r="K7" s="189">
        <f>AVERAGE(R7,W7,AB7,AG7,AL7,AQ7,AV7)</f>
        <v>120.77222739898691</v>
      </c>
      <c r="L7" s="527">
        <f>IFERROR(AVERAGE(K7:K21),"-")</f>
        <v>261.26620632289115</v>
      </c>
      <c r="M7" s="188">
        <f>RANK(K7, K$7:$K$21)</f>
        <v>2</v>
      </c>
      <c r="N7" s="514"/>
      <c r="O7" s="514"/>
      <c r="P7" s="190">
        <v>23</v>
      </c>
      <c r="Q7" s="190">
        <v>2787.6769358867596</v>
      </c>
      <c r="R7" s="187">
        <f>IFERROR(Q7/P7,"")</f>
        <v>121.20334503855476</v>
      </c>
      <c r="S7" s="184">
        <f>RANK(R7, R$7:R$21)</f>
        <v>2</v>
      </c>
      <c r="T7" s="526">
        <f>AVERAGE(R7:R21)</f>
        <v>261.70581460480304</v>
      </c>
      <c r="U7" s="190">
        <v>23</v>
      </c>
      <c r="V7" s="190">
        <v>2787.450502589094</v>
      </c>
      <c r="W7" s="187">
        <f t="shared" ref="W7:W9" si="10">IFERROR(V7/U7,"")</f>
        <v>121.1935001125693</v>
      </c>
      <c r="X7" s="184">
        <f>RANK(W7, W$7:W$21)</f>
        <v>3</v>
      </c>
      <c r="Y7" s="526">
        <f>AVERAGE(W7:W21)</f>
        <v>261.88173557238287</v>
      </c>
      <c r="Z7" s="190">
        <v>23</v>
      </c>
      <c r="AA7" s="190">
        <v>2787.6301285976724</v>
      </c>
      <c r="AB7" s="187">
        <f t="shared" ref="AB7:AB9" si="11">IFERROR(AA7/Z7,"")</f>
        <v>121.20130993902923</v>
      </c>
      <c r="AC7" s="184">
        <f>RANK(AB7, AB$7:AB$21)</f>
        <v>2</v>
      </c>
      <c r="AD7" s="526">
        <f>AVERAGE(AB7:AB21)</f>
        <v>261.7821969856862</v>
      </c>
      <c r="AE7" s="190">
        <v>23</v>
      </c>
      <c r="AF7" s="190">
        <v>2784.7360912981458</v>
      </c>
      <c r="AG7" s="187">
        <f>IFERROR(AF7/AE7,"")</f>
        <v>121.07548223035417</v>
      </c>
      <c r="AH7" s="184">
        <f>RANK(AG7, AG$7:AG$21)</f>
        <v>3</v>
      </c>
      <c r="AI7" s="526">
        <f>AVERAGE(AG7:AG21)</f>
        <v>261.51944567645563</v>
      </c>
      <c r="AJ7" s="190">
        <v>23</v>
      </c>
      <c r="AK7" s="190">
        <v>2787.8359264497931</v>
      </c>
      <c r="AL7" s="187">
        <f t="shared" ref="AL7:AL9" si="12">IFERROR(AK7/AJ7,"")</f>
        <v>121.21025767173013</v>
      </c>
      <c r="AM7" s="184">
        <f>RANK(AL7, AL$7:AL$21)</f>
        <v>2</v>
      </c>
      <c r="AN7" s="526">
        <f>AVERAGE(AL7:AL21)</f>
        <v>261.36755466770865</v>
      </c>
      <c r="AO7" s="190">
        <v>23</v>
      </c>
      <c r="AP7" s="190">
        <v>2788.0111760223526</v>
      </c>
      <c r="AQ7" s="187">
        <f t="shared" ref="AQ7:AQ9" si="13">IFERROR(AP7/AO7,"")</f>
        <v>121.21787721836316</v>
      </c>
      <c r="AR7" s="184">
        <f>RANK(AQ7, AQ$7:AQ$21)</f>
        <v>2</v>
      </c>
      <c r="AS7" s="526">
        <f>AVERAGE(AQ7:AQ21)</f>
        <v>261.29558470111124</v>
      </c>
      <c r="AT7" s="190">
        <v>21</v>
      </c>
      <c r="AU7" s="190">
        <v>2484.3802112284584</v>
      </c>
      <c r="AV7" s="187">
        <f t="shared" ref="AV7:AV9" si="14">IFERROR(AU7/AT7,"")</f>
        <v>118.30381958230754</v>
      </c>
      <c r="AW7" s="184">
        <f>RANK(AV7, AV$7:AV$21)</f>
        <v>2</v>
      </c>
      <c r="AX7" s="526">
        <f>AVERAGE(AV7:AV21)</f>
        <v>259.31111205209049</v>
      </c>
    </row>
    <row r="8" spans="1:50" ht="14.25" customHeight="1">
      <c r="B8" s="514"/>
      <c r="C8" s="182">
        <v>2</v>
      </c>
      <c r="D8" s="185" t="s">
        <v>496</v>
      </c>
      <c r="E8" s="182">
        <v>21</v>
      </c>
      <c r="F8" s="182">
        <v>2790</v>
      </c>
      <c r="G8" s="187">
        <f t="shared" si="9"/>
        <v>132.85714285714286</v>
      </c>
      <c r="H8" s="526"/>
      <c r="I8" s="188">
        <f t="shared" ref="I8:I9" si="15">AVERAGE(P8,U8,Z8,AE8,AJ8,AO8,AT8)</f>
        <v>22.714285714285715</v>
      </c>
      <c r="J8" s="188">
        <f t="shared" ref="J8:J9" si="16">AVERAGE(Q8,V8,AA8,AF8,AK8,AP8,AU8)</f>
        <v>2743.8302122315881</v>
      </c>
      <c r="K8" s="189">
        <f t="shared" ref="K8:K9" si="17">AVERAGE(R8,W8,AB8,AG8,AL8,AQ8,AV8)</f>
        <v>120.76632429240206</v>
      </c>
      <c r="L8" s="527"/>
      <c r="M8" s="188">
        <f>RANK(K8, K$7:$K$21)</f>
        <v>3</v>
      </c>
      <c r="N8" s="514"/>
      <c r="O8" s="514"/>
      <c r="P8" s="190">
        <v>23</v>
      </c>
      <c r="Q8" s="190">
        <v>2787.5000000000055</v>
      </c>
      <c r="R8" s="187">
        <f t="shared" ref="R8:R9" si="18">IFERROR(Q8/P8,"")</f>
        <v>121.19565217391327</v>
      </c>
      <c r="S8" s="184">
        <f t="shared" ref="S8:S9" si="19">RANK(R8, R$7:R$21)</f>
        <v>3</v>
      </c>
      <c r="T8" s="526"/>
      <c r="U8" s="190">
        <v>23</v>
      </c>
      <c r="V8" s="190">
        <v>2789.2913385826905</v>
      </c>
      <c r="W8" s="187">
        <f t="shared" si="10"/>
        <v>121.27353646011697</v>
      </c>
      <c r="X8" s="184">
        <f t="shared" ref="X8:X9" si="20">RANK(W8, W$7:W$21)</f>
        <v>2</v>
      </c>
      <c r="Y8" s="526"/>
      <c r="Z8" s="190">
        <v>23</v>
      </c>
      <c r="AA8" s="190">
        <v>2786.3414634146334</v>
      </c>
      <c r="AB8" s="187">
        <f t="shared" si="11"/>
        <v>121.14528101802753</v>
      </c>
      <c r="AC8" s="184">
        <f t="shared" ref="AC8:AC9" si="21">RANK(AB8, AB$7:AB$21)</f>
        <v>3</v>
      </c>
      <c r="AD8" s="526"/>
      <c r="AE8" s="190">
        <v>23</v>
      </c>
      <c r="AF8" s="190">
        <v>2784.9056603773311</v>
      </c>
      <c r="AG8" s="187">
        <f t="shared" ref="AG8:AG9" si="22">IFERROR(AF8/AE8,"")</f>
        <v>121.0828547990144</v>
      </c>
      <c r="AH8" s="184">
        <f t="shared" ref="AH8:AH9" si="23">RANK(AG8, AG$7:AG$21)</f>
        <v>2</v>
      </c>
      <c r="AI8" s="526"/>
      <c r="AJ8" s="190">
        <v>23</v>
      </c>
      <c r="AK8" s="190">
        <v>2787.0967741935438</v>
      </c>
      <c r="AL8" s="187">
        <f t="shared" si="12"/>
        <v>121.17812061711059</v>
      </c>
      <c r="AM8" s="184">
        <f t="shared" ref="AM8:AM9" si="24">RANK(AL8, AL$7:AL$21)</f>
        <v>3</v>
      </c>
      <c r="AN8" s="526"/>
      <c r="AO8" s="190">
        <v>23</v>
      </c>
      <c r="AP8" s="190">
        <v>2787.7256317689598</v>
      </c>
      <c r="AQ8" s="187">
        <f t="shared" si="13"/>
        <v>121.20546225082434</v>
      </c>
      <c r="AR8" s="184">
        <f t="shared" ref="AR8:AR9" si="25">RANK(AQ8, AQ$7:AQ$21)</f>
        <v>3</v>
      </c>
      <c r="AS8" s="526"/>
      <c r="AT8" s="190">
        <v>21</v>
      </c>
      <c r="AU8" s="190">
        <v>2483.9506172839547</v>
      </c>
      <c r="AV8" s="187">
        <f t="shared" si="14"/>
        <v>118.28336272780737</v>
      </c>
      <c r="AW8" s="184">
        <f t="shared" ref="AW8:AW9" si="26">RANK(AV8, AV$7:AV$21)</f>
        <v>3</v>
      </c>
      <c r="AX8" s="526"/>
    </row>
    <row r="9" spans="1:50" ht="14.25" customHeight="1">
      <c r="B9" s="514"/>
      <c r="C9" s="182">
        <v>3</v>
      </c>
      <c r="D9" s="185" t="s">
        <v>504</v>
      </c>
      <c r="E9" s="182">
        <v>6</v>
      </c>
      <c r="F9" s="182">
        <v>3600</v>
      </c>
      <c r="G9" s="187">
        <f t="shared" si="9"/>
        <v>600</v>
      </c>
      <c r="H9" s="526"/>
      <c r="I9" s="188">
        <f t="shared" si="15"/>
        <v>6</v>
      </c>
      <c r="J9" s="188">
        <f t="shared" si="16"/>
        <v>3253.5604036637073</v>
      </c>
      <c r="K9" s="189">
        <f t="shared" si="17"/>
        <v>542.26006727728452</v>
      </c>
      <c r="L9" s="527"/>
      <c r="M9" s="188">
        <f>RANK(K9, K$7:$K$21)</f>
        <v>1</v>
      </c>
      <c r="N9" s="514"/>
      <c r="O9" s="514"/>
      <c r="P9" s="190">
        <v>6</v>
      </c>
      <c r="Q9" s="190">
        <v>3256.3106796116467</v>
      </c>
      <c r="R9" s="187">
        <f t="shared" si="18"/>
        <v>542.71844660194108</v>
      </c>
      <c r="S9" s="184">
        <f t="shared" si="19"/>
        <v>1</v>
      </c>
      <c r="T9" s="526"/>
      <c r="U9" s="190">
        <v>6</v>
      </c>
      <c r="V9" s="190">
        <v>3259.0690208667743</v>
      </c>
      <c r="W9" s="187">
        <f t="shared" si="10"/>
        <v>543.17817014446234</v>
      </c>
      <c r="X9" s="184">
        <f t="shared" si="20"/>
        <v>1</v>
      </c>
      <c r="Y9" s="526"/>
      <c r="Z9" s="190">
        <v>6</v>
      </c>
      <c r="AA9" s="190">
        <v>3258.0000000000118</v>
      </c>
      <c r="AB9" s="187">
        <f t="shared" si="11"/>
        <v>543.00000000000193</v>
      </c>
      <c r="AC9" s="184">
        <f t="shared" si="21"/>
        <v>1</v>
      </c>
      <c r="AD9" s="526"/>
      <c r="AE9" s="190">
        <v>6</v>
      </c>
      <c r="AF9" s="190">
        <v>3254.3999999999905</v>
      </c>
      <c r="AG9" s="187">
        <f t="shared" si="22"/>
        <v>542.39999999999839</v>
      </c>
      <c r="AH9" s="184">
        <f t="shared" si="23"/>
        <v>1</v>
      </c>
      <c r="AI9" s="526"/>
      <c r="AJ9" s="190">
        <v>6</v>
      </c>
      <c r="AK9" s="190">
        <v>3250.285714285711</v>
      </c>
      <c r="AL9" s="187">
        <f t="shared" si="12"/>
        <v>541.71428571428521</v>
      </c>
      <c r="AM9" s="184">
        <f t="shared" si="24"/>
        <v>1</v>
      </c>
      <c r="AN9" s="526"/>
      <c r="AO9" s="190">
        <v>6</v>
      </c>
      <c r="AP9" s="190">
        <v>3248.7804878048769</v>
      </c>
      <c r="AQ9" s="187">
        <f t="shared" si="13"/>
        <v>541.46341463414615</v>
      </c>
      <c r="AR9" s="184">
        <f t="shared" si="25"/>
        <v>1</v>
      </c>
      <c r="AS9" s="526"/>
      <c r="AT9" s="190">
        <v>6</v>
      </c>
      <c r="AU9" s="190">
        <v>3248.0769230769392</v>
      </c>
      <c r="AV9" s="187">
        <f t="shared" si="14"/>
        <v>541.34615384615654</v>
      </c>
      <c r="AW9" s="184">
        <f t="shared" si="26"/>
        <v>1</v>
      </c>
      <c r="AX9" s="526"/>
    </row>
    <row r="10" spans="1:50" ht="14.25" customHeight="1">
      <c r="B10" s="514"/>
      <c r="C10" s="182">
        <v>4</v>
      </c>
      <c r="D10" s="185"/>
      <c r="E10" s="182"/>
      <c r="F10" s="182"/>
      <c r="G10" s="187"/>
      <c r="H10" s="526"/>
      <c r="I10" s="188"/>
      <c r="J10" s="188"/>
      <c r="K10" s="189"/>
      <c r="L10" s="527"/>
      <c r="M10" s="188"/>
      <c r="N10" s="514"/>
      <c r="O10" s="514"/>
      <c r="P10" s="190"/>
      <c r="Q10" s="190"/>
      <c r="R10" s="187"/>
      <c r="S10" s="184"/>
      <c r="T10" s="526"/>
      <c r="U10" s="190"/>
      <c r="V10" s="190"/>
      <c r="W10" s="187"/>
      <c r="X10" s="184"/>
      <c r="Y10" s="526"/>
      <c r="Z10" s="190"/>
      <c r="AA10" s="190"/>
      <c r="AB10" s="187"/>
      <c r="AC10" s="184"/>
      <c r="AD10" s="526"/>
      <c r="AE10" s="190"/>
      <c r="AF10" s="190"/>
      <c r="AG10" s="187"/>
      <c r="AH10" s="184"/>
      <c r="AI10" s="526"/>
      <c r="AJ10" s="190"/>
      <c r="AK10" s="190"/>
      <c r="AL10" s="187"/>
      <c r="AM10" s="184"/>
      <c r="AN10" s="526"/>
      <c r="AO10" s="190"/>
      <c r="AP10" s="190"/>
      <c r="AQ10" s="187"/>
      <c r="AR10" s="184"/>
      <c r="AS10" s="526"/>
      <c r="AT10" s="190"/>
      <c r="AU10" s="190"/>
      <c r="AV10" s="187"/>
      <c r="AW10" s="184"/>
      <c r="AX10" s="526"/>
    </row>
    <row r="11" spans="1:50" ht="14.25" customHeight="1">
      <c r="B11" s="514"/>
      <c r="C11" s="182">
        <v>5</v>
      </c>
      <c r="D11" s="185"/>
      <c r="E11" s="182"/>
      <c r="F11" s="182"/>
      <c r="G11" s="187"/>
      <c r="H11" s="526"/>
      <c r="I11" s="188"/>
      <c r="J11" s="188"/>
      <c r="K11" s="189"/>
      <c r="L11" s="527"/>
      <c r="M11" s="188"/>
      <c r="N11" s="514"/>
      <c r="O11" s="514"/>
      <c r="P11" s="190"/>
      <c r="Q11" s="190"/>
      <c r="R11" s="187"/>
      <c r="S11" s="184"/>
      <c r="T11" s="526"/>
      <c r="U11" s="190"/>
      <c r="V11" s="190"/>
      <c r="W11" s="187"/>
      <c r="X11" s="184"/>
      <c r="Y11" s="526"/>
      <c r="Z11" s="190"/>
      <c r="AA11" s="190"/>
      <c r="AB11" s="187"/>
      <c r="AC11" s="184"/>
      <c r="AD11" s="526"/>
      <c r="AE11" s="190"/>
      <c r="AF11" s="190"/>
      <c r="AG11" s="187"/>
      <c r="AH11" s="184"/>
      <c r="AI11" s="526"/>
      <c r="AJ11" s="190"/>
      <c r="AK11" s="190"/>
      <c r="AL11" s="187"/>
      <c r="AM11" s="184"/>
      <c r="AN11" s="526"/>
      <c r="AO11" s="190"/>
      <c r="AP11" s="190"/>
      <c r="AQ11" s="187"/>
      <c r="AR11" s="184"/>
      <c r="AS11" s="526"/>
      <c r="AT11" s="190"/>
      <c r="AU11" s="190"/>
      <c r="AV11" s="187"/>
      <c r="AW11" s="184"/>
      <c r="AX11" s="526"/>
    </row>
    <row r="12" spans="1:50" ht="14.25" customHeight="1">
      <c r="B12" s="514"/>
      <c r="C12" s="182">
        <v>6</v>
      </c>
      <c r="D12" s="185"/>
      <c r="E12" s="182"/>
      <c r="F12" s="182"/>
      <c r="G12" s="187"/>
      <c r="H12" s="526"/>
      <c r="I12" s="188"/>
      <c r="J12" s="188"/>
      <c r="K12" s="189"/>
      <c r="L12" s="527"/>
      <c r="M12" s="188"/>
      <c r="N12" s="514"/>
      <c r="O12" s="514"/>
      <c r="P12" s="190"/>
      <c r="Q12" s="190"/>
      <c r="R12" s="187"/>
      <c r="S12" s="184"/>
      <c r="T12" s="526"/>
      <c r="U12" s="190"/>
      <c r="V12" s="190"/>
      <c r="W12" s="187"/>
      <c r="X12" s="184"/>
      <c r="Y12" s="526"/>
      <c r="Z12" s="190"/>
      <c r="AA12" s="190"/>
      <c r="AB12" s="187"/>
      <c r="AC12" s="184"/>
      <c r="AD12" s="526"/>
      <c r="AE12" s="190"/>
      <c r="AF12" s="190"/>
      <c r="AG12" s="187"/>
      <c r="AH12" s="184"/>
      <c r="AI12" s="526"/>
      <c r="AJ12" s="190"/>
      <c r="AK12" s="190"/>
      <c r="AL12" s="187"/>
      <c r="AM12" s="184"/>
      <c r="AN12" s="526"/>
      <c r="AO12" s="190"/>
      <c r="AP12" s="190"/>
      <c r="AQ12" s="187"/>
      <c r="AR12" s="184"/>
      <c r="AS12" s="526"/>
      <c r="AT12" s="190"/>
      <c r="AU12" s="190"/>
      <c r="AV12" s="187"/>
      <c r="AW12" s="184"/>
      <c r="AX12" s="526"/>
    </row>
    <row r="13" spans="1:50" ht="14.25" customHeight="1">
      <c r="B13" s="514"/>
      <c r="C13" s="182">
        <v>7</v>
      </c>
      <c r="D13" s="185"/>
      <c r="E13" s="182"/>
      <c r="F13" s="182"/>
      <c r="G13" s="187"/>
      <c r="H13" s="526"/>
      <c r="I13" s="188"/>
      <c r="J13" s="188"/>
      <c r="K13" s="189"/>
      <c r="L13" s="527"/>
      <c r="M13" s="188"/>
      <c r="N13" s="514"/>
      <c r="O13" s="514"/>
      <c r="P13" s="190"/>
      <c r="Q13" s="190"/>
      <c r="R13" s="187"/>
      <c r="S13" s="184"/>
      <c r="T13" s="526"/>
      <c r="U13" s="190"/>
      <c r="V13" s="190"/>
      <c r="W13" s="187"/>
      <c r="X13" s="184"/>
      <c r="Y13" s="526"/>
      <c r="Z13" s="190"/>
      <c r="AA13" s="190"/>
      <c r="AB13" s="187"/>
      <c r="AC13" s="184"/>
      <c r="AD13" s="526"/>
      <c r="AE13" s="190"/>
      <c r="AF13" s="190"/>
      <c r="AG13" s="187"/>
      <c r="AH13" s="184"/>
      <c r="AI13" s="526"/>
      <c r="AJ13" s="190"/>
      <c r="AK13" s="190"/>
      <c r="AL13" s="187"/>
      <c r="AM13" s="184"/>
      <c r="AN13" s="526"/>
      <c r="AO13" s="190"/>
      <c r="AP13" s="190"/>
      <c r="AQ13" s="187"/>
      <c r="AR13" s="184"/>
      <c r="AS13" s="526"/>
      <c r="AT13" s="190"/>
      <c r="AU13" s="190"/>
      <c r="AV13" s="187"/>
      <c r="AW13" s="184"/>
      <c r="AX13" s="526"/>
    </row>
    <row r="14" spans="1:50" ht="14.25" customHeight="1">
      <c r="B14" s="514"/>
      <c r="C14" s="182">
        <v>8</v>
      </c>
      <c r="D14" s="185"/>
      <c r="E14" s="182"/>
      <c r="F14" s="182"/>
      <c r="G14" s="187"/>
      <c r="H14" s="526"/>
      <c r="I14" s="188"/>
      <c r="J14" s="188"/>
      <c r="K14" s="189"/>
      <c r="L14" s="527"/>
      <c r="M14" s="188"/>
      <c r="N14" s="514"/>
      <c r="O14" s="514"/>
      <c r="P14" s="190"/>
      <c r="Q14" s="190"/>
      <c r="R14" s="187"/>
      <c r="S14" s="184"/>
      <c r="T14" s="526"/>
      <c r="U14" s="190"/>
      <c r="V14" s="190"/>
      <c r="W14" s="187"/>
      <c r="X14" s="184"/>
      <c r="Y14" s="526"/>
      <c r="Z14" s="190"/>
      <c r="AA14" s="190"/>
      <c r="AB14" s="187"/>
      <c r="AC14" s="184"/>
      <c r="AD14" s="526"/>
      <c r="AE14" s="190"/>
      <c r="AF14" s="190"/>
      <c r="AG14" s="187"/>
      <c r="AH14" s="184"/>
      <c r="AI14" s="526"/>
      <c r="AJ14" s="190"/>
      <c r="AK14" s="190"/>
      <c r="AL14" s="187"/>
      <c r="AM14" s="184"/>
      <c r="AN14" s="526"/>
      <c r="AO14" s="190"/>
      <c r="AP14" s="190"/>
      <c r="AQ14" s="187"/>
      <c r="AR14" s="184"/>
      <c r="AS14" s="526"/>
      <c r="AT14" s="190"/>
      <c r="AU14" s="190"/>
      <c r="AV14" s="187"/>
      <c r="AW14" s="184"/>
      <c r="AX14" s="526"/>
    </row>
    <row r="15" spans="1:50" ht="14.25" customHeight="1">
      <c r="B15" s="514"/>
      <c r="C15" s="182">
        <v>9</v>
      </c>
      <c r="D15" s="185"/>
      <c r="E15" s="182"/>
      <c r="F15" s="182"/>
      <c r="G15" s="187"/>
      <c r="H15" s="526"/>
      <c r="I15" s="188"/>
      <c r="J15" s="188"/>
      <c r="K15" s="189"/>
      <c r="L15" s="527"/>
      <c r="M15" s="188"/>
      <c r="N15" s="514"/>
      <c r="O15" s="514"/>
      <c r="P15" s="190"/>
      <c r="Q15" s="190"/>
      <c r="R15" s="187"/>
      <c r="S15" s="184"/>
      <c r="T15" s="526"/>
      <c r="U15" s="190"/>
      <c r="V15" s="190"/>
      <c r="W15" s="187"/>
      <c r="X15" s="184"/>
      <c r="Y15" s="526"/>
      <c r="Z15" s="190"/>
      <c r="AA15" s="190"/>
      <c r="AB15" s="187"/>
      <c r="AC15" s="184"/>
      <c r="AD15" s="526"/>
      <c r="AE15" s="190"/>
      <c r="AF15" s="190"/>
      <c r="AG15" s="187"/>
      <c r="AH15" s="184"/>
      <c r="AI15" s="526"/>
      <c r="AJ15" s="190"/>
      <c r="AK15" s="190"/>
      <c r="AL15" s="187"/>
      <c r="AM15" s="184"/>
      <c r="AN15" s="526"/>
      <c r="AO15" s="190"/>
      <c r="AP15" s="190"/>
      <c r="AQ15" s="187"/>
      <c r="AR15" s="184"/>
      <c r="AS15" s="526"/>
      <c r="AT15" s="190"/>
      <c r="AU15" s="190"/>
      <c r="AV15" s="187"/>
      <c r="AW15" s="184"/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27">U22+1</f>
        <v>46058</v>
      </c>
      <c r="AA22" s="583"/>
      <c r="AB22" s="583"/>
      <c r="AC22" s="583"/>
      <c r="AD22" s="583"/>
      <c r="AE22" s="584">
        <f t="shared" ref="AE22" si="28">Z22+1</f>
        <v>46059</v>
      </c>
      <c r="AF22" s="585"/>
      <c r="AG22" s="585"/>
      <c r="AH22" s="585"/>
      <c r="AI22" s="585"/>
      <c r="AJ22" s="586">
        <f t="shared" ref="AJ22" si="29">AE22+1</f>
        <v>46060</v>
      </c>
      <c r="AK22" s="587"/>
      <c r="AL22" s="587"/>
      <c r="AM22" s="587"/>
      <c r="AN22" s="588"/>
      <c r="AO22" s="584">
        <f t="shared" ref="AO22" si="30">AJ22+1</f>
        <v>46061</v>
      </c>
      <c r="AP22" s="585"/>
      <c r="AQ22" s="585"/>
      <c r="AR22" s="585"/>
      <c r="AS22" s="585"/>
      <c r="AT22" s="586">
        <f t="shared" ref="AT22" si="31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32">Z22</f>
        <v>46058</v>
      </c>
      <c r="AA23" s="589"/>
      <c r="AB23" s="589"/>
      <c r="AC23" s="589"/>
      <c r="AD23" s="589"/>
      <c r="AE23" s="590">
        <f t="shared" ref="AE23" si="33">AE22</f>
        <v>46059</v>
      </c>
      <c r="AF23" s="590"/>
      <c r="AG23" s="590"/>
      <c r="AH23" s="590"/>
      <c r="AI23" s="590"/>
      <c r="AJ23" s="591">
        <f t="shared" ref="AJ23" si="34">AJ22</f>
        <v>46060</v>
      </c>
      <c r="AK23" s="592"/>
      <c r="AL23" s="592"/>
      <c r="AM23" s="592"/>
      <c r="AN23" s="593"/>
      <c r="AO23" s="590">
        <f t="shared" ref="AO23" si="35">AO22</f>
        <v>46061</v>
      </c>
      <c r="AP23" s="590"/>
      <c r="AQ23" s="590"/>
      <c r="AR23" s="590"/>
      <c r="AS23" s="590"/>
      <c r="AT23" s="591">
        <f t="shared" ref="AT23" si="36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94" t="s">
        <v>462</v>
      </c>
      <c r="C27" s="182">
        <v>1</v>
      </c>
      <c r="D27" s="185" t="s">
        <v>362</v>
      </c>
      <c r="E27" s="182">
        <v>21</v>
      </c>
      <c r="F27" s="182">
        <v>2790</v>
      </c>
      <c r="G27" s="187">
        <f t="shared" ref="G27:G29" si="37">F27/E27</f>
        <v>132.85714285714286</v>
      </c>
      <c r="H27" s="526">
        <f>AVERAGE(G27:G41)</f>
        <v>288.57142857142861</v>
      </c>
      <c r="I27" s="188">
        <f>AVERAGE(P27,U27,Z27,AE27,AJ27,AO27,AT27)</f>
        <v>21.285714285714285</v>
      </c>
      <c r="J27" s="188">
        <f>AVERAGE(Q27,V27,AA27,AF27,AK27,AP27,AU27)</f>
        <v>2491.1695707857966</v>
      </c>
      <c r="K27" s="189">
        <f>AVERAGE(R27,W27,AB27,AG27,AL27,AQ27,AV27)</f>
        <v>117.07519198333515</v>
      </c>
      <c r="L27" s="527">
        <f>IFERROR(AVERAGE(K27:K41),"-")</f>
        <v>258.45295510317538</v>
      </c>
      <c r="M27" s="188">
        <f>RANK(K27, K$27:$K$41)</f>
        <v>2</v>
      </c>
      <c r="N27" s="514"/>
      <c r="O27" s="514"/>
      <c r="P27" s="190">
        <v>21</v>
      </c>
      <c r="Q27" s="190">
        <v>2484.3054082714762</v>
      </c>
      <c r="R27" s="187">
        <f>IFERROR(Q27/P27,"")</f>
        <v>118.30025753673696</v>
      </c>
      <c r="S27" s="184">
        <f>RANK(R27, R$27:R$41)</f>
        <v>3</v>
      </c>
      <c r="T27" s="526">
        <f>AVERAGE(R27:R41)</f>
        <v>259.41117989727019</v>
      </c>
      <c r="U27" s="190">
        <v>21</v>
      </c>
      <c r="V27" s="190">
        <v>2484.2162752594213</v>
      </c>
      <c r="W27" s="187">
        <f t="shared" ref="W27:W29" si="38">IFERROR(V27/U27,"")</f>
        <v>118.29601310759149</v>
      </c>
      <c r="X27" s="184">
        <f>RANK(W27, W$27:W$41)</f>
        <v>3</v>
      </c>
      <c r="Y27" s="526">
        <f>AVERAGE(W27:W41)</f>
        <v>259.47287573899746</v>
      </c>
      <c r="Z27" s="190">
        <v>21</v>
      </c>
      <c r="AA27" s="190">
        <v>2485.099601593623</v>
      </c>
      <c r="AB27" s="187">
        <f t="shared" ref="AB27:AB28" si="39">IFERROR(AA27/Z27,"")</f>
        <v>118.338076266363</v>
      </c>
      <c r="AC27" s="184">
        <f>RANK(AB27, AB$27:AB$41)</f>
        <v>1</v>
      </c>
      <c r="AD27" s="526">
        <f>AVERAGE(AB27:AB41)</f>
        <v>118.33209729624097</v>
      </c>
      <c r="AE27" s="190">
        <v>22</v>
      </c>
      <c r="AF27" s="190">
        <v>2508.2767978290381</v>
      </c>
      <c r="AG27" s="187">
        <f>IFERROR(AF27/AE27,"")</f>
        <v>114.01258171950172</v>
      </c>
      <c r="AH27" s="184">
        <f>RANK(AG27, AG$27:AG$41)</f>
        <v>1</v>
      </c>
      <c r="AI27" s="526">
        <f>AVERAGE(AG27:AG41)</f>
        <v>113.98681034027038</v>
      </c>
      <c r="AJ27" s="190">
        <v>22</v>
      </c>
      <c r="AK27" s="190">
        <v>2510.6662290777817</v>
      </c>
      <c r="AL27" s="187">
        <f t="shared" ref="AL27:AL28" si="40">IFERROR(AK27/AJ27,"")</f>
        <v>114.12119223080826</v>
      </c>
      <c r="AM27" s="184">
        <f>RANK(AL27, AL$27:AL$41)</f>
        <v>2</v>
      </c>
      <c r="AN27" s="526">
        <f>AVERAGE(AL27:AL41)</f>
        <v>114.14639256851154</v>
      </c>
      <c r="AO27" s="190">
        <v>21</v>
      </c>
      <c r="AP27" s="190">
        <v>2482.8947368421032</v>
      </c>
      <c r="AQ27" s="187">
        <f t="shared" ref="AQ27" si="41">IFERROR(AP27/AO27,"")</f>
        <v>118.23308270676682</v>
      </c>
      <c r="AR27" s="184">
        <f>RANK(AQ27, AQ$27:AQ$41)</f>
        <v>1</v>
      </c>
      <c r="AS27" s="526">
        <f>AVERAGE(AQ27:AQ41)</f>
        <v>118.23308270676682</v>
      </c>
      <c r="AT27" s="190">
        <v>21</v>
      </c>
      <c r="AU27" s="190">
        <v>2482.7279466271316</v>
      </c>
      <c r="AV27" s="187">
        <f t="shared" ref="AV27" si="42">IFERROR(AU27/AT27,"")</f>
        <v>118.22514031557769</v>
      </c>
      <c r="AW27" s="184">
        <f>RANK(AV27, AV$27:AV$41)</f>
        <v>1</v>
      </c>
      <c r="AX27" s="526">
        <f>AVERAGE(AV27:AV41)</f>
        <v>118.22514031557769</v>
      </c>
    </row>
    <row r="28" spans="2:50" ht="14.25" customHeight="1">
      <c r="B28" s="514"/>
      <c r="C28" s="182">
        <v>2</v>
      </c>
      <c r="D28" s="185" t="s">
        <v>496</v>
      </c>
      <c r="E28" s="182">
        <v>21</v>
      </c>
      <c r="F28" s="182">
        <v>2790</v>
      </c>
      <c r="G28" s="187">
        <f t="shared" si="37"/>
        <v>132.85714285714286</v>
      </c>
      <c r="H28" s="526"/>
      <c r="I28" s="188">
        <f t="shared" ref="I28:K29" si="43">AVERAGE(P28,U28,Z28,AE28,AJ28,AO28,AT28)</f>
        <v>21.4</v>
      </c>
      <c r="J28" s="188">
        <f t="shared" si="43"/>
        <v>2495.2576250117054</v>
      </c>
      <c r="K28" s="189">
        <f t="shared" si="43"/>
        <v>116.64909993515498</v>
      </c>
      <c r="L28" s="527"/>
      <c r="M28" s="188">
        <f>RANK(K28, K$27:$K$41)</f>
        <v>3</v>
      </c>
      <c r="N28" s="514"/>
      <c r="O28" s="514"/>
      <c r="P28" s="190">
        <v>21</v>
      </c>
      <c r="Q28" s="190">
        <v>2485.5652173913168</v>
      </c>
      <c r="R28" s="187">
        <f t="shared" ref="R28:R29" si="44">IFERROR(Q28/P28,"")</f>
        <v>118.36024844720556</v>
      </c>
      <c r="S28" s="184">
        <f t="shared" ref="S28:S29" si="45">RANK(R28, R$27:R$41)</f>
        <v>2</v>
      </c>
      <c r="T28" s="526"/>
      <c r="U28" s="190">
        <v>21</v>
      </c>
      <c r="V28" s="190">
        <v>2486.9565217391259</v>
      </c>
      <c r="W28" s="187">
        <f t="shared" si="38"/>
        <v>118.42650103519648</v>
      </c>
      <c r="X28" s="184">
        <f t="shared" ref="X28:X29" si="46">RANK(W28, W$27:W$41)</f>
        <v>2</v>
      </c>
      <c r="Y28" s="526"/>
      <c r="Z28" s="190">
        <v>21</v>
      </c>
      <c r="AA28" s="190">
        <v>2484.8484848484977</v>
      </c>
      <c r="AB28" s="187">
        <f t="shared" si="39"/>
        <v>118.32611832611894</v>
      </c>
      <c r="AC28" s="184">
        <f t="shared" ref="AC28" si="47">RANK(AB28, AB$27:AB$41)</f>
        <v>2</v>
      </c>
      <c r="AD28" s="526"/>
      <c r="AE28" s="190">
        <v>22</v>
      </c>
      <c r="AF28" s="190">
        <v>2507.1428571428587</v>
      </c>
      <c r="AG28" s="187">
        <f t="shared" ref="AG28" si="48">IFERROR(AF28/AE28,"")</f>
        <v>113.96103896103904</v>
      </c>
      <c r="AH28" s="184">
        <f t="shared" ref="AH28" si="49">RANK(AG28, AG$27:AG$41)</f>
        <v>2</v>
      </c>
      <c r="AI28" s="526"/>
      <c r="AJ28" s="190">
        <v>22</v>
      </c>
      <c r="AK28" s="190">
        <v>2511.7750439367264</v>
      </c>
      <c r="AL28" s="187">
        <f t="shared" si="40"/>
        <v>114.17159290621484</v>
      </c>
      <c r="AM28" s="184">
        <f t="shared" ref="AM28" si="50">RANK(AL28, AL$27:AL$41)</f>
        <v>1</v>
      </c>
      <c r="AN28" s="526"/>
      <c r="AO28" s="190"/>
      <c r="AP28" s="190"/>
      <c r="AQ28" s="187"/>
      <c r="AR28" s="184"/>
      <c r="AS28" s="526"/>
      <c r="AT28" s="190"/>
      <c r="AU28" s="190"/>
      <c r="AV28" s="187"/>
      <c r="AW28" s="184"/>
      <c r="AX28" s="526"/>
    </row>
    <row r="29" spans="2:50" ht="14.25" customHeight="1">
      <c r="B29" s="514"/>
      <c r="C29" s="182">
        <v>3</v>
      </c>
      <c r="D29" s="185" t="s">
        <v>504</v>
      </c>
      <c r="E29" s="182">
        <v>6</v>
      </c>
      <c r="F29" s="182">
        <v>3600</v>
      </c>
      <c r="G29" s="187">
        <f t="shared" si="37"/>
        <v>600</v>
      </c>
      <c r="H29" s="526"/>
      <c r="I29" s="188">
        <f t="shared" si="43"/>
        <v>6</v>
      </c>
      <c r="J29" s="188">
        <f t="shared" si="43"/>
        <v>3249.8074403462174</v>
      </c>
      <c r="K29" s="189">
        <f t="shared" si="43"/>
        <v>541.63457339103616</v>
      </c>
      <c r="L29" s="527"/>
      <c r="M29" s="188">
        <f>RANK(K29, K$27:$K$41)</f>
        <v>1</v>
      </c>
      <c r="N29" s="514"/>
      <c r="O29" s="514"/>
      <c r="P29" s="190">
        <v>6</v>
      </c>
      <c r="Q29" s="190">
        <v>3249.4382022472082</v>
      </c>
      <c r="R29" s="187">
        <f t="shared" si="44"/>
        <v>541.57303370786803</v>
      </c>
      <c r="S29" s="184">
        <f t="shared" si="45"/>
        <v>1</v>
      </c>
      <c r="T29" s="526"/>
      <c r="U29" s="190">
        <v>6</v>
      </c>
      <c r="V29" s="190">
        <v>3250.1766784452266</v>
      </c>
      <c r="W29" s="187">
        <f t="shared" si="38"/>
        <v>541.69611307420439</v>
      </c>
      <c r="X29" s="184">
        <f t="shared" si="46"/>
        <v>1</v>
      </c>
      <c r="Y29" s="526"/>
      <c r="Z29" s="190"/>
      <c r="AA29" s="190"/>
      <c r="AB29" s="187"/>
      <c r="AC29" s="184"/>
      <c r="AD29" s="526"/>
      <c r="AE29" s="190"/>
      <c r="AF29" s="190"/>
      <c r="AG29" s="187"/>
      <c r="AH29" s="184"/>
      <c r="AI29" s="526"/>
      <c r="AJ29" s="190"/>
      <c r="AK29" s="190"/>
      <c r="AL29" s="187"/>
      <c r="AM29" s="184"/>
      <c r="AN29" s="526"/>
      <c r="AO29" s="190"/>
      <c r="AP29" s="190"/>
      <c r="AQ29" s="187"/>
      <c r="AR29" s="184"/>
      <c r="AS29" s="526"/>
      <c r="AT29" s="190"/>
      <c r="AU29" s="190"/>
      <c r="AV29" s="187"/>
      <c r="AW29" s="184"/>
      <c r="AX29" s="526"/>
    </row>
    <row r="30" spans="2:50" ht="14.25" customHeight="1">
      <c r="B30" s="514"/>
      <c r="C30" s="182">
        <v>4</v>
      </c>
      <c r="D30" s="185"/>
      <c r="E30" s="182"/>
      <c r="F30" s="182"/>
      <c r="G30" s="187"/>
      <c r="H30" s="526"/>
      <c r="I30" s="188"/>
      <c r="J30" s="188"/>
      <c r="K30" s="189"/>
      <c r="L30" s="527"/>
      <c r="M30" s="188"/>
      <c r="N30" s="514"/>
      <c r="O30" s="514"/>
      <c r="P30" s="190"/>
      <c r="Q30" s="190"/>
      <c r="R30" s="187"/>
      <c r="S30" s="184"/>
      <c r="T30" s="526"/>
      <c r="U30" s="190"/>
      <c r="V30" s="190"/>
      <c r="W30" s="187"/>
      <c r="X30" s="184"/>
      <c r="Y30" s="526"/>
      <c r="Z30" s="190"/>
      <c r="AA30" s="190"/>
      <c r="AB30" s="187"/>
      <c r="AC30" s="184"/>
      <c r="AD30" s="526"/>
      <c r="AE30" s="190"/>
      <c r="AF30" s="190"/>
      <c r="AG30" s="187"/>
      <c r="AH30" s="184"/>
      <c r="AI30" s="526"/>
      <c r="AJ30" s="190"/>
      <c r="AK30" s="190"/>
      <c r="AL30" s="187"/>
      <c r="AM30" s="184"/>
      <c r="AN30" s="526"/>
      <c r="AO30" s="190"/>
      <c r="AP30" s="190"/>
      <c r="AQ30" s="187"/>
      <c r="AR30" s="184"/>
      <c r="AS30" s="526"/>
      <c r="AT30" s="190"/>
      <c r="AU30" s="190"/>
      <c r="AV30" s="187"/>
      <c r="AW30" s="184"/>
      <c r="AX30" s="526"/>
    </row>
    <row r="31" spans="2:50" ht="14.25" customHeight="1">
      <c r="B31" s="514"/>
      <c r="C31" s="182">
        <v>5</v>
      </c>
      <c r="D31" s="185"/>
      <c r="E31" s="182"/>
      <c r="F31" s="182"/>
      <c r="G31" s="187"/>
      <c r="H31" s="526"/>
      <c r="I31" s="188"/>
      <c r="J31" s="188"/>
      <c r="K31" s="189"/>
      <c r="L31" s="527"/>
      <c r="M31" s="188"/>
      <c r="N31" s="514"/>
      <c r="O31" s="514"/>
      <c r="P31" s="190"/>
      <c r="Q31" s="190"/>
      <c r="R31" s="187"/>
      <c r="S31" s="184"/>
      <c r="T31" s="526"/>
      <c r="U31" s="190"/>
      <c r="V31" s="190"/>
      <c r="W31" s="187"/>
      <c r="X31" s="184"/>
      <c r="Y31" s="526"/>
      <c r="Z31" s="190"/>
      <c r="AA31" s="190"/>
      <c r="AB31" s="187"/>
      <c r="AC31" s="184"/>
      <c r="AD31" s="526"/>
      <c r="AE31" s="190"/>
      <c r="AF31" s="190"/>
      <c r="AG31" s="187"/>
      <c r="AH31" s="184"/>
      <c r="AI31" s="526"/>
      <c r="AJ31" s="190"/>
      <c r="AK31" s="190"/>
      <c r="AL31" s="187"/>
      <c r="AM31" s="184"/>
      <c r="AN31" s="526"/>
      <c r="AO31" s="190"/>
      <c r="AP31" s="190"/>
      <c r="AQ31" s="187"/>
      <c r="AR31" s="184"/>
      <c r="AS31" s="526"/>
      <c r="AT31" s="190"/>
      <c r="AU31" s="190"/>
      <c r="AV31" s="187"/>
      <c r="AW31" s="184"/>
      <c r="AX31" s="526"/>
    </row>
    <row r="32" spans="2:50" ht="14.25" customHeight="1">
      <c r="B32" s="514"/>
      <c r="C32" s="182">
        <v>6</v>
      </c>
      <c r="D32" s="185"/>
      <c r="E32" s="182"/>
      <c r="F32" s="182"/>
      <c r="G32" s="187"/>
      <c r="H32" s="526"/>
      <c r="I32" s="188"/>
      <c r="J32" s="188"/>
      <c r="K32" s="189"/>
      <c r="L32" s="527"/>
      <c r="M32" s="188"/>
      <c r="N32" s="514"/>
      <c r="O32" s="514"/>
      <c r="P32" s="190"/>
      <c r="Q32" s="190"/>
      <c r="R32" s="187"/>
      <c r="S32" s="184"/>
      <c r="T32" s="526"/>
      <c r="U32" s="190"/>
      <c r="V32" s="190"/>
      <c r="W32" s="187"/>
      <c r="X32" s="184"/>
      <c r="Y32" s="526"/>
      <c r="Z32" s="190"/>
      <c r="AA32" s="190"/>
      <c r="AB32" s="187"/>
      <c r="AC32" s="184"/>
      <c r="AD32" s="526"/>
      <c r="AE32" s="190"/>
      <c r="AF32" s="190"/>
      <c r="AG32" s="187"/>
      <c r="AH32" s="184"/>
      <c r="AI32" s="526"/>
      <c r="AJ32" s="190"/>
      <c r="AK32" s="190"/>
      <c r="AL32" s="187"/>
      <c r="AM32" s="184"/>
      <c r="AN32" s="526"/>
      <c r="AO32" s="190"/>
      <c r="AP32" s="190"/>
      <c r="AQ32" s="187"/>
      <c r="AR32" s="184"/>
      <c r="AS32" s="526"/>
      <c r="AT32" s="190"/>
      <c r="AU32" s="190"/>
      <c r="AV32" s="187"/>
      <c r="AW32" s="184"/>
      <c r="AX32" s="526"/>
    </row>
    <row r="33" spans="2:50" ht="14.25" customHeight="1">
      <c r="B33" s="514"/>
      <c r="C33" s="182">
        <v>7</v>
      </c>
      <c r="D33" s="185"/>
      <c r="E33" s="182"/>
      <c r="F33" s="182"/>
      <c r="G33" s="187"/>
      <c r="H33" s="526"/>
      <c r="I33" s="188"/>
      <c r="J33" s="188"/>
      <c r="K33" s="189"/>
      <c r="L33" s="527"/>
      <c r="M33" s="188"/>
      <c r="N33" s="514"/>
      <c r="O33" s="514"/>
      <c r="P33" s="190"/>
      <c r="Q33" s="190"/>
      <c r="R33" s="187"/>
      <c r="S33" s="184"/>
      <c r="T33" s="526"/>
      <c r="U33" s="190"/>
      <c r="V33" s="190"/>
      <c r="W33" s="187"/>
      <c r="X33" s="184"/>
      <c r="Y33" s="526"/>
      <c r="Z33" s="190"/>
      <c r="AA33" s="190"/>
      <c r="AB33" s="187"/>
      <c r="AC33" s="184"/>
      <c r="AD33" s="526"/>
      <c r="AE33" s="190"/>
      <c r="AF33" s="190"/>
      <c r="AG33" s="187"/>
      <c r="AH33" s="184"/>
      <c r="AI33" s="526"/>
      <c r="AJ33" s="190"/>
      <c r="AK33" s="190"/>
      <c r="AL33" s="187"/>
      <c r="AM33" s="184"/>
      <c r="AN33" s="526"/>
      <c r="AO33" s="190"/>
      <c r="AP33" s="190"/>
      <c r="AQ33" s="187"/>
      <c r="AR33" s="184"/>
      <c r="AS33" s="526"/>
      <c r="AT33" s="190"/>
      <c r="AU33" s="190"/>
      <c r="AV33" s="187"/>
      <c r="AW33" s="184"/>
      <c r="AX33" s="526"/>
    </row>
    <row r="34" spans="2:50" ht="14.25" customHeight="1">
      <c r="B34" s="514"/>
      <c r="C34" s="182">
        <v>8</v>
      </c>
      <c r="D34" s="185"/>
      <c r="E34" s="182"/>
      <c r="F34" s="182"/>
      <c r="G34" s="187"/>
      <c r="H34" s="526"/>
      <c r="I34" s="188"/>
      <c r="J34" s="188"/>
      <c r="K34" s="189"/>
      <c r="L34" s="527"/>
      <c r="M34" s="188"/>
      <c r="N34" s="514"/>
      <c r="O34" s="514"/>
      <c r="P34" s="190"/>
      <c r="Q34" s="190"/>
      <c r="R34" s="187"/>
      <c r="S34" s="184"/>
      <c r="T34" s="526"/>
      <c r="U34" s="190"/>
      <c r="V34" s="190"/>
      <c r="W34" s="187"/>
      <c r="X34" s="184"/>
      <c r="Y34" s="526"/>
      <c r="Z34" s="190"/>
      <c r="AA34" s="190"/>
      <c r="AB34" s="187"/>
      <c r="AC34" s="184"/>
      <c r="AD34" s="526"/>
      <c r="AE34" s="190"/>
      <c r="AF34" s="190"/>
      <c r="AG34" s="187"/>
      <c r="AH34" s="184"/>
      <c r="AI34" s="526"/>
      <c r="AJ34" s="190"/>
      <c r="AK34" s="190"/>
      <c r="AL34" s="187"/>
      <c r="AM34" s="184"/>
      <c r="AN34" s="526"/>
      <c r="AO34" s="190"/>
      <c r="AP34" s="190"/>
      <c r="AQ34" s="187"/>
      <c r="AR34" s="184"/>
      <c r="AS34" s="526"/>
      <c r="AT34" s="190"/>
      <c r="AU34" s="190"/>
      <c r="AV34" s="187"/>
      <c r="AW34" s="184"/>
      <c r="AX34" s="526"/>
    </row>
    <row r="35" spans="2:50" ht="14.25" customHeight="1">
      <c r="B35" s="514"/>
      <c r="C35" s="182">
        <v>9</v>
      </c>
      <c r="D35" s="185"/>
      <c r="E35" s="182"/>
      <c r="F35" s="182"/>
      <c r="G35" s="187"/>
      <c r="H35" s="526"/>
      <c r="I35" s="188"/>
      <c r="J35" s="188"/>
      <c r="K35" s="189"/>
      <c r="L35" s="527"/>
      <c r="M35" s="188"/>
      <c r="N35" s="514"/>
      <c r="O35" s="514"/>
      <c r="P35" s="190"/>
      <c r="Q35" s="190"/>
      <c r="R35" s="187"/>
      <c r="S35" s="184"/>
      <c r="T35" s="526"/>
      <c r="U35" s="190"/>
      <c r="V35" s="190"/>
      <c r="W35" s="187"/>
      <c r="X35" s="184"/>
      <c r="Y35" s="526"/>
      <c r="Z35" s="190"/>
      <c r="AA35" s="190"/>
      <c r="AB35" s="187"/>
      <c r="AC35" s="184"/>
      <c r="AD35" s="526"/>
      <c r="AE35" s="190"/>
      <c r="AF35" s="190"/>
      <c r="AG35" s="187"/>
      <c r="AH35" s="184"/>
      <c r="AI35" s="526"/>
      <c r="AJ35" s="190"/>
      <c r="AK35" s="190"/>
      <c r="AL35" s="187"/>
      <c r="AM35" s="184"/>
      <c r="AN35" s="526"/>
      <c r="AO35" s="190"/>
      <c r="AP35" s="190"/>
      <c r="AQ35" s="187"/>
      <c r="AR35" s="184"/>
      <c r="AS35" s="526"/>
      <c r="AT35" s="190"/>
      <c r="AU35" s="190"/>
      <c r="AV35" s="187"/>
      <c r="AW35" s="184"/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51">U42+1</f>
        <v>46065</v>
      </c>
      <c r="AA42" s="583"/>
      <c r="AB42" s="583"/>
      <c r="AC42" s="583"/>
      <c r="AD42" s="583"/>
      <c r="AE42" s="584">
        <f t="shared" ref="AE42" si="52">Z42+1</f>
        <v>46066</v>
      </c>
      <c r="AF42" s="585"/>
      <c r="AG42" s="585"/>
      <c r="AH42" s="585"/>
      <c r="AI42" s="585"/>
      <c r="AJ42" s="586">
        <f t="shared" ref="AJ42" si="53">AE42+1</f>
        <v>46067</v>
      </c>
      <c r="AK42" s="587"/>
      <c r="AL42" s="587"/>
      <c r="AM42" s="587"/>
      <c r="AN42" s="588"/>
      <c r="AO42" s="584">
        <f t="shared" ref="AO42" si="54">AJ42+1</f>
        <v>46068</v>
      </c>
      <c r="AP42" s="585"/>
      <c r="AQ42" s="585"/>
      <c r="AR42" s="585"/>
      <c r="AS42" s="585"/>
      <c r="AT42" s="586">
        <f t="shared" ref="AT42" si="55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56">Z42</f>
        <v>46065</v>
      </c>
      <c r="AA43" s="589"/>
      <c r="AB43" s="589"/>
      <c r="AC43" s="589"/>
      <c r="AD43" s="589"/>
      <c r="AE43" s="590">
        <f t="shared" ref="AE43" si="57">AE42</f>
        <v>46066</v>
      </c>
      <c r="AF43" s="590"/>
      <c r="AG43" s="590"/>
      <c r="AH43" s="590"/>
      <c r="AI43" s="590"/>
      <c r="AJ43" s="591">
        <f t="shared" ref="AJ43" si="58">AJ42</f>
        <v>46067</v>
      </c>
      <c r="AK43" s="592"/>
      <c r="AL43" s="592"/>
      <c r="AM43" s="592"/>
      <c r="AN43" s="593"/>
      <c r="AO43" s="590">
        <f t="shared" ref="AO43" si="59">AO42</f>
        <v>46068</v>
      </c>
      <c r="AP43" s="590"/>
      <c r="AQ43" s="590"/>
      <c r="AR43" s="590"/>
      <c r="AS43" s="590"/>
      <c r="AT43" s="591">
        <f t="shared" ref="AT43" si="60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94" t="s">
        <v>462</v>
      </c>
      <c r="C47" s="182">
        <v>1</v>
      </c>
      <c r="D47" s="185"/>
      <c r="E47" s="182"/>
      <c r="F47" s="182"/>
      <c r="G47" s="187" t="e">
        <f t="shared" ref="G47:G56" si="61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62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63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61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64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65">IFERROR(AF48/AE48,"")</f>
        <v>183.41069933795009</v>
      </c>
      <c r="AH48" s="184" t="e">
        <f t="shared" ref="AH48:AH56" si="66">RANK(AG48, AG$27:AG$41)</f>
        <v>#N/A</v>
      </c>
      <c r="AI48" s="526"/>
      <c r="AJ48" s="190"/>
      <c r="AK48" s="190"/>
      <c r="AL48" s="187"/>
      <c r="AM48" s="184" t="e">
        <f t="shared" ref="AM48:AM56" si="67">RANK(AL48, AL$27:AL$41)</f>
        <v>#N/A</v>
      </c>
      <c r="AN48" s="526"/>
      <c r="AO48" s="190"/>
      <c r="AP48" s="190"/>
      <c r="AQ48" s="187" t="str">
        <f t="shared" si="62"/>
        <v/>
      </c>
      <c r="AR48" s="184" t="e">
        <f t="shared" ref="AR48:AR56" si="68">RANK(AQ48, AQ$27:AQ$41)</f>
        <v>#VALUE!</v>
      </c>
      <c r="AS48" s="526"/>
      <c r="AT48" s="190"/>
      <c r="AU48" s="190"/>
      <c r="AV48" s="187"/>
      <c r="AW48" s="184" t="e">
        <f t="shared" ref="AW48:AW56" si="69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61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64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65"/>
        <v>286.56852329640265</v>
      </c>
      <c r="AH49" s="184" t="e">
        <f t="shared" si="66"/>
        <v>#N/A</v>
      </c>
      <c r="AI49" s="526"/>
      <c r="AJ49" s="190"/>
      <c r="AK49" s="190"/>
      <c r="AL49" s="187"/>
      <c r="AM49" s="184" t="e">
        <f t="shared" si="67"/>
        <v>#N/A</v>
      </c>
      <c r="AN49" s="526"/>
      <c r="AO49" s="190"/>
      <c r="AP49" s="190"/>
      <c r="AQ49" s="187" t="str">
        <f t="shared" si="62"/>
        <v/>
      </c>
      <c r="AR49" s="184" t="e">
        <f t="shared" si="68"/>
        <v>#VALUE!</v>
      </c>
      <c r="AS49" s="526"/>
      <c r="AT49" s="190"/>
      <c r="AU49" s="190"/>
      <c r="AV49" s="187"/>
      <c r="AW49" s="184" t="e">
        <f t="shared" si="69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61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65"/>
        <v>386.3900414937761</v>
      </c>
      <c r="AH50" s="184" t="e">
        <f t="shared" si="66"/>
        <v>#N/A</v>
      </c>
      <c r="AI50" s="526"/>
      <c r="AJ50" s="190"/>
      <c r="AK50" s="190"/>
      <c r="AL50" s="187"/>
      <c r="AM50" s="184" t="e">
        <f t="shared" si="67"/>
        <v>#N/A</v>
      </c>
      <c r="AN50" s="526"/>
      <c r="AO50" s="190"/>
      <c r="AP50" s="190"/>
      <c r="AQ50" s="187" t="str">
        <f t="shared" si="62"/>
        <v/>
      </c>
      <c r="AR50" s="184" t="e">
        <f t="shared" si="68"/>
        <v>#VALUE!</v>
      </c>
      <c r="AS50" s="526"/>
      <c r="AT50" s="190"/>
      <c r="AU50" s="190"/>
      <c r="AV50" s="187"/>
      <c r="AW50" s="184" t="e">
        <f t="shared" si="69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61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65"/>
        <v>375.74552683896599</v>
      </c>
      <c r="AH51" s="184" t="e">
        <f t="shared" si="66"/>
        <v>#N/A</v>
      </c>
      <c r="AI51" s="526"/>
      <c r="AJ51" s="190"/>
      <c r="AK51" s="190"/>
      <c r="AL51" s="187"/>
      <c r="AM51" s="184" t="e">
        <f t="shared" si="67"/>
        <v>#N/A</v>
      </c>
      <c r="AN51" s="526"/>
      <c r="AO51" s="190"/>
      <c r="AP51" s="190"/>
      <c r="AQ51" s="187" t="str">
        <f t="shared" si="62"/>
        <v/>
      </c>
      <c r="AR51" s="184" t="e">
        <f t="shared" si="68"/>
        <v>#VALUE!</v>
      </c>
      <c r="AS51" s="526"/>
      <c r="AT51" s="190"/>
      <c r="AU51" s="190"/>
      <c r="AV51" s="187"/>
      <c r="AW51" s="184" t="e">
        <f t="shared" si="69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61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65"/>
        <v>386.4406779661013</v>
      </c>
      <c r="AH52" s="184" t="e">
        <f t="shared" si="66"/>
        <v>#N/A</v>
      </c>
      <c r="AI52" s="526"/>
      <c r="AJ52" s="190"/>
      <c r="AK52" s="190"/>
      <c r="AL52" s="187"/>
      <c r="AM52" s="184" t="e">
        <f t="shared" si="67"/>
        <v>#N/A</v>
      </c>
      <c r="AN52" s="526"/>
      <c r="AO52" s="190"/>
      <c r="AP52" s="190"/>
      <c r="AQ52" s="187" t="str">
        <f t="shared" si="62"/>
        <v/>
      </c>
      <c r="AR52" s="184" t="e">
        <f t="shared" si="68"/>
        <v>#VALUE!</v>
      </c>
      <c r="AS52" s="526"/>
      <c r="AT52" s="190"/>
      <c r="AU52" s="190"/>
      <c r="AV52" s="187"/>
      <c r="AW52" s="184" t="e">
        <f t="shared" si="69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61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65"/>
        <v>127.79864763335836</v>
      </c>
      <c r="AH53" s="184" t="e">
        <f t="shared" si="66"/>
        <v>#N/A</v>
      </c>
      <c r="AI53" s="526"/>
      <c r="AJ53" s="190"/>
      <c r="AK53" s="190"/>
      <c r="AL53" s="187"/>
      <c r="AM53" s="184" t="e">
        <f t="shared" si="67"/>
        <v>#N/A</v>
      </c>
      <c r="AN53" s="526"/>
      <c r="AO53" s="190"/>
      <c r="AP53" s="190"/>
      <c r="AQ53" s="187" t="str">
        <f t="shared" si="62"/>
        <v/>
      </c>
      <c r="AR53" s="184" t="e">
        <f t="shared" si="68"/>
        <v>#VALUE!</v>
      </c>
      <c r="AS53" s="526"/>
      <c r="AT53" s="190"/>
      <c r="AU53" s="190"/>
      <c r="AV53" s="187"/>
      <c r="AW53" s="184" t="e">
        <f t="shared" si="69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61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65"/>
        <v>183.34709515473759</v>
      </c>
      <c r="AH54" s="184" t="e">
        <f t="shared" si="66"/>
        <v>#N/A</v>
      </c>
      <c r="AI54" s="526"/>
      <c r="AJ54" s="190"/>
      <c r="AK54" s="190"/>
      <c r="AL54" s="187"/>
      <c r="AM54" s="184" t="e">
        <f t="shared" si="67"/>
        <v>#N/A</v>
      </c>
      <c r="AN54" s="526"/>
      <c r="AO54" s="190"/>
      <c r="AP54" s="190"/>
      <c r="AQ54" s="187" t="str">
        <f t="shared" si="62"/>
        <v/>
      </c>
      <c r="AR54" s="184" t="e">
        <f t="shared" si="68"/>
        <v>#VALUE!</v>
      </c>
      <c r="AS54" s="526"/>
      <c r="AT54" s="190"/>
      <c r="AU54" s="190"/>
      <c r="AV54" s="187"/>
      <c r="AW54" s="184" t="e">
        <f t="shared" si="69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61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65"/>
        <v>183.51228908786049</v>
      </c>
      <c r="AH55" s="184" t="e">
        <f t="shared" si="66"/>
        <v>#N/A</v>
      </c>
      <c r="AI55" s="526"/>
      <c r="AJ55" s="190"/>
      <c r="AK55" s="190"/>
      <c r="AL55" s="187"/>
      <c r="AM55" s="184" t="e">
        <f t="shared" si="67"/>
        <v>#N/A</v>
      </c>
      <c r="AN55" s="526"/>
      <c r="AO55" s="190"/>
      <c r="AP55" s="190"/>
      <c r="AQ55" s="187" t="str">
        <f t="shared" si="62"/>
        <v/>
      </c>
      <c r="AR55" s="184" t="e">
        <f t="shared" si="68"/>
        <v>#VALUE!</v>
      </c>
      <c r="AS55" s="526"/>
      <c r="AT55" s="190"/>
      <c r="AU55" s="190"/>
      <c r="AV55" s="187"/>
      <c r="AW55" s="184" t="e">
        <f t="shared" si="69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61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65"/>
        <v>286.63901543482666</v>
      </c>
      <c r="AH56" s="184" t="e">
        <f t="shared" si="66"/>
        <v>#N/A</v>
      </c>
      <c r="AI56" s="526"/>
      <c r="AJ56" s="190"/>
      <c r="AK56" s="190"/>
      <c r="AL56" s="187"/>
      <c r="AM56" s="184" t="e">
        <f t="shared" si="67"/>
        <v>#N/A</v>
      </c>
      <c r="AN56" s="526"/>
      <c r="AO56" s="190"/>
      <c r="AP56" s="190"/>
      <c r="AQ56" s="187" t="str">
        <f t="shared" si="62"/>
        <v/>
      </c>
      <c r="AR56" s="184" t="e">
        <f t="shared" si="68"/>
        <v>#VALUE!</v>
      </c>
      <c r="AS56" s="526"/>
      <c r="AT56" s="190"/>
      <c r="AU56" s="190"/>
      <c r="AV56" s="187"/>
      <c r="AW56" s="184" t="e">
        <f t="shared" si="69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70">U62+1</f>
        <v>46072</v>
      </c>
      <c r="AA62" s="583"/>
      <c r="AB62" s="583"/>
      <c r="AC62" s="583"/>
      <c r="AD62" s="583"/>
      <c r="AE62" s="584">
        <f t="shared" ref="AE62" si="71">Z62+1</f>
        <v>46073</v>
      </c>
      <c r="AF62" s="585"/>
      <c r="AG62" s="585"/>
      <c r="AH62" s="585"/>
      <c r="AI62" s="585"/>
      <c r="AJ62" s="586">
        <f t="shared" ref="AJ62" si="72">AE62+1</f>
        <v>46074</v>
      </c>
      <c r="AK62" s="587"/>
      <c r="AL62" s="587"/>
      <c r="AM62" s="587"/>
      <c r="AN62" s="588"/>
      <c r="AO62" s="584">
        <f t="shared" ref="AO62" si="73">AJ62+1</f>
        <v>46075</v>
      </c>
      <c r="AP62" s="585"/>
      <c r="AQ62" s="585"/>
      <c r="AR62" s="585"/>
      <c r="AS62" s="585"/>
      <c r="AT62" s="586">
        <f t="shared" ref="AT62" si="74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75">Z62</f>
        <v>46072</v>
      </c>
      <c r="AA63" s="589"/>
      <c r="AB63" s="589"/>
      <c r="AC63" s="589"/>
      <c r="AD63" s="589"/>
      <c r="AE63" s="590">
        <f t="shared" ref="AE63" si="76">AE62</f>
        <v>46073</v>
      </c>
      <c r="AF63" s="590"/>
      <c r="AG63" s="590"/>
      <c r="AH63" s="590"/>
      <c r="AI63" s="590"/>
      <c r="AJ63" s="591">
        <f t="shared" ref="AJ63" si="77">AJ62</f>
        <v>46074</v>
      </c>
      <c r="AK63" s="592"/>
      <c r="AL63" s="592"/>
      <c r="AM63" s="592"/>
      <c r="AN63" s="593"/>
      <c r="AO63" s="590">
        <f t="shared" ref="AO63" si="78">AO62</f>
        <v>46075</v>
      </c>
      <c r="AP63" s="590"/>
      <c r="AQ63" s="590"/>
      <c r="AR63" s="590"/>
      <c r="AS63" s="590"/>
      <c r="AT63" s="591">
        <f t="shared" ref="AT63" si="79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94" t="s">
        <v>462</v>
      </c>
      <c r="C67" s="182">
        <v>1</v>
      </c>
      <c r="D67" s="185"/>
      <c r="E67" s="182"/>
      <c r="F67" s="182"/>
      <c r="G67" s="187" t="e">
        <f t="shared" ref="G67:G76" si="80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81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82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80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83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84">IFERROR(AF68/AE68,"")</f>
        <v>183.41069933795009</v>
      </c>
      <c r="AH68" s="184" t="e">
        <f t="shared" ref="AH68:AH76" si="85">RANK(AG68, AG$27:AG$41)</f>
        <v>#N/A</v>
      </c>
      <c r="AI68" s="526"/>
      <c r="AJ68" s="190"/>
      <c r="AK68" s="190"/>
      <c r="AL68" s="187"/>
      <c r="AM68" s="184" t="e">
        <f t="shared" ref="AM68:AM76" si="86">RANK(AL68, AL$27:AL$41)</f>
        <v>#N/A</v>
      </c>
      <c r="AN68" s="526"/>
      <c r="AO68" s="190"/>
      <c r="AP68" s="190"/>
      <c r="AQ68" s="187" t="str">
        <f t="shared" si="81"/>
        <v/>
      </c>
      <c r="AR68" s="184" t="e">
        <f t="shared" ref="AR68:AR76" si="87">RANK(AQ68, AQ$27:AQ$41)</f>
        <v>#VALUE!</v>
      </c>
      <c r="AS68" s="526"/>
      <c r="AT68" s="190"/>
      <c r="AU68" s="190"/>
      <c r="AV68" s="187"/>
      <c r="AW68" s="184" t="e">
        <f t="shared" ref="AW68:AW76" si="88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80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83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84"/>
        <v>286.56852329640265</v>
      </c>
      <c r="AH69" s="184" t="e">
        <f t="shared" si="85"/>
        <v>#N/A</v>
      </c>
      <c r="AI69" s="526"/>
      <c r="AJ69" s="190"/>
      <c r="AK69" s="190"/>
      <c r="AL69" s="187"/>
      <c r="AM69" s="184" t="e">
        <f t="shared" si="86"/>
        <v>#N/A</v>
      </c>
      <c r="AN69" s="526"/>
      <c r="AO69" s="190"/>
      <c r="AP69" s="190"/>
      <c r="AQ69" s="187" t="str">
        <f t="shared" si="81"/>
        <v/>
      </c>
      <c r="AR69" s="184" t="e">
        <f t="shared" si="87"/>
        <v>#VALUE!</v>
      </c>
      <c r="AS69" s="526"/>
      <c r="AT69" s="190"/>
      <c r="AU69" s="190"/>
      <c r="AV69" s="187"/>
      <c r="AW69" s="184" t="e">
        <f t="shared" si="88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80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84"/>
        <v>386.3900414937761</v>
      </c>
      <c r="AH70" s="184" t="e">
        <f t="shared" si="85"/>
        <v>#N/A</v>
      </c>
      <c r="AI70" s="526"/>
      <c r="AJ70" s="190"/>
      <c r="AK70" s="190"/>
      <c r="AL70" s="187"/>
      <c r="AM70" s="184" t="e">
        <f t="shared" si="86"/>
        <v>#N/A</v>
      </c>
      <c r="AN70" s="526"/>
      <c r="AO70" s="190"/>
      <c r="AP70" s="190"/>
      <c r="AQ70" s="187" t="str">
        <f t="shared" si="81"/>
        <v/>
      </c>
      <c r="AR70" s="184" t="e">
        <f t="shared" si="87"/>
        <v>#VALUE!</v>
      </c>
      <c r="AS70" s="526"/>
      <c r="AT70" s="190"/>
      <c r="AU70" s="190"/>
      <c r="AV70" s="187"/>
      <c r="AW70" s="184" t="e">
        <f t="shared" si="88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80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84"/>
        <v>375.74552683896599</v>
      </c>
      <c r="AH71" s="184" t="e">
        <f t="shared" si="85"/>
        <v>#N/A</v>
      </c>
      <c r="AI71" s="526"/>
      <c r="AJ71" s="190"/>
      <c r="AK71" s="190"/>
      <c r="AL71" s="187"/>
      <c r="AM71" s="184" t="e">
        <f t="shared" si="86"/>
        <v>#N/A</v>
      </c>
      <c r="AN71" s="526"/>
      <c r="AO71" s="190"/>
      <c r="AP71" s="190"/>
      <c r="AQ71" s="187" t="str">
        <f t="shared" si="81"/>
        <v/>
      </c>
      <c r="AR71" s="184" t="e">
        <f t="shared" si="87"/>
        <v>#VALUE!</v>
      </c>
      <c r="AS71" s="526"/>
      <c r="AT71" s="190"/>
      <c r="AU71" s="190"/>
      <c r="AV71" s="187"/>
      <c r="AW71" s="184" t="e">
        <f t="shared" si="88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80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84"/>
        <v>386.4406779661013</v>
      </c>
      <c r="AH72" s="184" t="e">
        <f t="shared" si="85"/>
        <v>#N/A</v>
      </c>
      <c r="AI72" s="526"/>
      <c r="AJ72" s="190"/>
      <c r="AK72" s="190"/>
      <c r="AL72" s="187"/>
      <c r="AM72" s="184" t="e">
        <f t="shared" si="86"/>
        <v>#N/A</v>
      </c>
      <c r="AN72" s="526"/>
      <c r="AO72" s="190"/>
      <c r="AP72" s="190"/>
      <c r="AQ72" s="187" t="str">
        <f t="shared" si="81"/>
        <v/>
      </c>
      <c r="AR72" s="184" t="e">
        <f t="shared" si="87"/>
        <v>#VALUE!</v>
      </c>
      <c r="AS72" s="526"/>
      <c r="AT72" s="190"/>
      <c r="AU72" s="190"/>
      <c r="AV72" s="187"/>
      <c r="AW72" s="184" t="e">
        <f t="shared" si="88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80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84"/>
        <v>127.79864763335836</v>
      </c>
      <c r="AH73" s="184" t="e">
        <f t="shared" si="85"/>
        <v>#N/A</v>
      </c>
      <c r="AI73" s="526"/>
      <c r="AJ73" s="190"/>
      <c r="AK73" s="190"/>
      <c r="AL73" s="187"/>
      <c r="AM73" s="184" t="e">
        <f t="shared" si="86"/>
        <v>#N/A</v>
      </c>
      <c r="AN73" s="526"/>
      <c r="AO73" s="190"/>
      <c r="AP73" s="190"/>
      <c r="AQ73" s="187" t="str">
        <f t="shared" si="81"/>
        <v/>
      </c>
      <c r="AR73" s="184" t="e">
        <f t="shared" si="87"/>
        <v>#VALUE!</v>
      </c>
      <c r="AS73" s="526"/>
      <c r="AT73" s="190"/>
      <c r="AU73" s="190"/>
      <c r="AV73" s="187"/>
      <c r="AW73" s="184" t="e">
        <f t="shared" si="88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80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84"/>
        <v>183.34709515473759</v>
      </c>
      <c r="AH74" s="184" t="e">
        <f t="shared" si="85"/>
        <v>#N/A</v>
      </c>
      <c r="AI74" s="526"/>
      <c r="AJ74" s="190"/>
      <c r="AK74" s="190"/>
      <c r="AL74" s="187"/>
      <c r="AM74" s="184" t="e">
        <f t="shared" si="86"/>
        <v>#N/A</v>
      </c>
      <c r="AN74" s="526"/>
      <c r="AO74" s="190"/>
      <c r="AP74" s="190"/>
      <c r="AQ74" s="187" t="str">
        <f t="shared" si="81"/>
        <v/>
      </c>
      <c r="AR74" s="184" t="e">
        <f t="shared" si="87"/>
        <v>#VALUE!</v>
      </c>
      <c r="AS74" s="526"/>
      <c r="AT74" s="190"/>
      <c r="AU74" s="190"/>
      <c r="AV74" s="187"/>
      <c r="AW74" s="184" t="e">
        <f t="shared" si="88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80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84"/>
        <v>183.51228908786049</v>
      </c>
      <c r="AH75" s="184" t="e">
        <f t="shared" si="85"/>
        <v>#N/A</v>
      </c>
      <c r="AI75" s="526"/>
      <c r="AJ75" s="190"/>
      <c r="AK75" s="190"/>
      <c r="AL75" s="187"/>
      <c r="AM75" s="184" t="e">
        <f t="shared" si="86"/>
        <v>#N/A</v>
      </c>
      <c r="AN75" s="526"/>
      <c r="AO75" s="190"/>
      <c r="AP75" s="190"/>
      <c r="AQ75" s="187" t="str">
        <f t="shared" si="81"/>
        <v/>
      </c>
      <c r="AR75" s="184" t="e">
        <f t="shared" si="87"/>
        <v>#VALUE!</v>
      </c>
      <c r="AS75" s="526"/>
      <c r="AT75" s="190"/>
      <c r="AU75" s="190"/>
      <c r="AV75" s="187"/>
      <c r="AW75" s="184" t="e">
        <f t="shared" si="88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80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84"/>
        <v>286.63901543482666</v>
      </c>
      <c r="AH76" s="184" t="e">
        <f t="shared" si="85"/>
        <v>#N/A</v>
      </c>
      <c r="AI76" s="526"/>
      <c r="AJ76" s="190"/>
      <c r="AK76" s="190"/>
      <c r="AL76" s="187"/>
      <c r="AM76" s="184" t="e">
        <f t="shared" si="86"/>
        <v>#N/A</v>
      </c>
      <c r="AN76" s="526"/>
      <c r="AO76" s="190"/>
      <c r="AP76" s="190"/>
      <c r="AQ76" s="187" t="str">
        <f t="shared" si="81"/>
        <v/>
      </c>
      <c r="AR76" s="184" t="e">
        <f t="shared" si="87"/>
        <v>#VALUE!</v>
      </c>
      <c r="AS76" s="526"/>
      <c r="AT76" s="190"/>
      <c r="AU76" s="190"/>
      <c r="AV76" s="187"/>
      <c r="AW76" s="184" t="e">
        <f t="shared" si="88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89">U82+1</f>
        <v>46079</v>
      </c>
      <c r="AA82" s="583"/>
      <c r="AB82" s="583"/>
      <c r="AC82" s="583"/>
      <c r="AD82" s="583"/>
      <c r="AE82" s="584">
        <f t="shared" ref="AE82" si="90">Z82+1</f>
        <v>46080</v>
      </c>
      <c r="AF82" s="585"/>
      <c r="AG82" s="585"/>
      <c r="AH82" s="585"/>
      <c r="AI82" s="585"/>
      <c r="AJ82" s="586">
        <f t="shared" ref="AJ82" si="91">AE82+1</f>
        <v>46081</v>
      </c>
      <c r="AK82" s="587"/>
      <c r="AL82" s="587"/>
      <c r="AM82" s="587"/>
      <c r="AN82" s="588"/>
      <c r="AO82" s="584">
        <f t="shared" ref="AO82" si="92">AJ82+1</f>
        <v>46082</v>
      </c>
      <c r="AP82" s="585"/>
      <c r="AQ82" s="585"/>
      <c r="AR82" s="585"/>
      <c r="AS82" s="585"/>
      <c r="AT82" s="586">
        <f t="shared" ref="AT82" si="93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94">Z82</f>
        <v>46079</v>
      </c>
      <c r="AA83" s="589"/>
      <c r="AB83" s="589"/>
      <c r="AC83" s="589"/>
      <c r="AD83" s="589"/>
      <c r="AE83" s="590">
        <f t="shared" ref="AE83" si="95">AE82</f>
        <v>46080</v>
      </c>
      <c r="AF83" s="590"/>
      <c r="AG83" s="590"/>
      <c r="AH83" s="590"/>
      <c r="AI83" s="590"/>
      <c r="AJ83" s="591">
        <f t="shared" ref="AJ83" si="96">AJ82</f>
        <v>46081</v>
      </c>
      <c r="AK83" s="592"/>
      <c r="AL83" s="592"/>
      <c r="AM83" s="592"/>
      <c r="AN83" s="593"/>
      <c r="AO83" s="590">
        <f t="shared" ref="AO83" si="97">AO82</f>
        <v>46082</v>
      </c>
      <c r="AP83" s="590"/>
      <c r="AQ83" s="590"/>
      <c r="AR83" s="590"/>
      <c r="AS83" s="590"/>
      <c r="AT83" s="591">
        <f t="shared" ref="AT83" si="98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94" t="s">
        <v>462</v>
      </c>
      <c r="C87" s="182">
        <v>1</v>
      </c>
      <c r="D87" s="185"/>
      <c r="E87" s="182"/>
      <c r="F87" s="182"/>
      <c r="G87" s="187" t="e">
        <f t="shared" ref="G87:G96" si="99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100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101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99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102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103">IFERROR(AF88/AE88,"")</f>
        <v>183.41069933795009</v>
      </c>
      <c r="AH88" s="184" t="e">
        <f t="shared" ref="AH88:AH96" si="104">RANK(AG88, AG$27:AG$41)</f>
        <v>#N/A</v>
      </c>
      <c r="AI88" s="526"/>
      <c r="AJ88" s="190"/>
      <c r="AK88" s="190"/>
      <c r="AL88" s="187"/>
      <c r="AM88" s="184" t="e">
        <f t="shared" ref="AM88:AM96" si="105">RANK(AL88, AL$27:AL$41)</f>
        <v>#N/A</v>
      </c>
      <c r="AN88" s="526"/>
      <c r="AO88" s="190"/>
      <c r="AP88" s="190"/>
      <c r="AQ88" s="187" t="str">
        <f t="shared" si="100"/>
        <v/>
      </c>
      <c r="AR88" s="184" t="e">
        <f t="shared" ref="AR88:AR96" si="106">RANK(AQ88, AQ$27:AQ$41)</f>
        <v>#VALUE!</v>
      </c>
      <c r="AS88" s="526"/>
      <c r="AT88" s="190"/>
      <c r="AU88" s="190"/>
      <c r="AV88" s="187"/>
      <c r="AW88" s="184" t="e">
        <f t="shared" ref="AW88:AW96" si="107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99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102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103"/>
        <v>286.56852329640265</v>
      </c>
      <c r="AH89" s="184" t="e">
        <f t="shared" si="104"/>
        <v>#N/A</v>
      </c>
      <c r="AI89" s="526"/>
      <c r="AJ89" s="190"/>
      <c r="AK89" s="190"/>
      <c r="AL89" s="187"/>
      <c r="AM89" s="184" t="e">
        <f t="shared" si="105"/>
        <v>#N/A</v>
      </c>
      <c r="AN89" s="526"/>
      <c r="AO89" s="190"/>
      <c r="AP89" s="190"/>
      <c r="AQ89" s="187" t="str">
        <f t="shared" si="100"/>
        <v/>
      </c>
      <c r="AR89" s="184" t="e">
        <f t="shared" si="106"/>
        <v>#VALUE!</v>
      </c>
      <c r="AS89" s="526"/>
      <c r="AT89" s="190"/>
      <c r="AU89" s="190"/>
      <c r="AV89" s="187"/>
      <c r="AW89" s="184" t="e">
        <f t="shared" si="107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99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103"/>
        <v>386.3900414937761</v>
      </c>
      <c r="AH90" s="184" t="e">
        <f t="shared" si="104"/>
        <v>#N/A</v>
      </c>
      <c r="AI90" s="526"/>
      <c r="AJ90" s="190"/>
      <c r="AK90" s="190"/>
      <c r="AL90" s="187"/>
      <c r="AM90" s="184" t="e">
        <f t="shared" si="105"/>
        <v>#N/A</v>
      </c>
      <c r="AN90" s="526"/>
      <c r="AO90" s="190"/>
      <c r="AP90" s="190"/>
      <c r="AQ90" s="187" t="str">
        <f t="shared" si="100"/>
        <v/>
      </c>
      <c r="AR90" s="184" t="e">
        <f t="shared" si="106"/>
        <v>#VALUE!</v>
      </c>
      <c r="AS90" s="526"/>
      <c r="AT90" s="190"/>
      <c r="AU90" s="190"/>
      <c r="AV90" s="187"/>
      <c r="AW90" s="184" t="e">
        <f t="shared" si="107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99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103"/>
        <v>375.74552683896599</v>
      </c>
      <c r="AH91" s="184" t="e">
        <f t="shared" si="104"/>
        <v>#N/A</v>
      </c>
      <c r="AI91" s="526"/>
      <c r="AJ91" s="190"/>
      <c r="AK91" s="190"/>
      <c r="AL91" s="187"/>
      <c r="AM91" s="184" t="e">
        <f t="shared" si="105"/>
        <v>#N/A</v>
      </c>
      <c r="AN91" s="526"/>
      <c r="AO91" s="190"/>
      <c r="AP91" s="190"/>
      <c r="AQ91" s="187" t="str">
        <f t="shared" si="100"/>
        <v/>
      </c>
      <c r="AR91" s="184" t="e">
        <f t="shared" si="106"/>
        <v>#VALUE!</v>
      </c>
      <c r="AS91" s="526"/>
      <c r="AT91" s="190"/>
      <c r="AU91" s="190"/>
      <c r="AV91" s="187"/>
      <c r="AW91" s="184" t="e">
        <f t="shared" si="107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99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103"/>
        <v>386.4406779661013</v>
      </c>
      <c r="AH92" s="184" t="e">
        <f t="shared" si="104"/>
        <v>#N/A</v>
      </c>
      <c r="AI92" s="526"/>
      <c r="AJ92" s="190"/>
      <c r="AK92" s="190"/>
      <c r="AL92" s="187"/>
      <c r="AM92" s="184" t="e">
        <f t="shared" si="105"/>
        <v>#N/A</v>
      </c>
      <c r="AN92" s="526"/>
      <c r="AO92" s="190"/>
      <c r="AP92" s="190"/>
      <c r="AQ92" s="187" t="str">
        <f t="shared" si="100"/>
        <v/>
      </c>
      <c r="AR92" s="184" t="e">
        <f t="shared" si="106"/>
        <v>#VALUE!</v>
      </c>
      <c r="AS92" s="526"/>
      <c r="AT92" s="190"/>
      <c r="AU92" s="190"/>
      <c r="AV92" s="187"/>
      <c r="AW92" s="184" t="e">
        <f t="shared" si="107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99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103"/>
        <v>127.79864763335836</v>
      </c>
      <c r="AH93" s="184" t="e">
        <f t="shared" si="104"/>
        <v>#N/A</v>
      </c>
      <c r="AI93" s="526"/>
      <c r="AJ93" s="190"/>
      <c r="AK93" s="190"/>
      <c r="AL93" s="187"/>
      <c r="AM93" s="184" t="e">
        <f t="shared" si="105"/>
        <v>#N/A</v>
      </c>
      <c r="AN93" s="526"/>
      <c r="AO93" s="190"/>
      <c r="AP93" s="190"/>
      <c r="AQ93" s="187" t="str">
        <f t="shared" si="100"/>
        <v/>
      </c>
      <c r="AR93" s="184" t="e">
        <f t="shared" si="106"/>
        <v>#VALUE!</v>
      </c>
      <c r="AS93" s="526"/>
      <c r="AT93" s="190"/>
      <c r="AU93" s="190"/>
      <c r="AV93" s="187"/>
      <c r="AW93" s="184" t="e">
        <f t="shared" si="107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99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103"/>
        <v>183.34709515473759</v>
      </c>
      <c r="AH94" s="184" t="e">
        <f t="shared" si="104"/>
        <v>#N/A</v>
      </c>
      <c r="AI94" s="526"/>
      <c r="AJ94" s="190"/>
      <c r="AK94" s="190"/>
      <c r="AL94" s="187"/>
      <c r="AM94" s="184" t="e">
        <f t="shared" si="105"/>
        <v>#N/A</v>
      </c>
      <c r="AN94" s="526"/>
      <c r="AO94" s="190"/>
      <c r="AP94" s="190"/>
      <c r="AQ94" s="187" t="str">
        <f t="shared" si="100"/>
        <v/>
      </c>
      <c r="AR94" s="184" t="e">
        <f t="shared" si="106"/>
        <v>#VALUE!</v>
      </c>
      <c r="AS94" s="526"/>
      <c r="AT94" s="190"/>
      <c r="AU94" s="190"/>
      <c r="AV94" s="187"/>
      <c r="AW94" s="184" t="e">
        <f t="shared" si="107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99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103"/>
        <v>183.51228908786049</v>
      </c>
      <c r="AH95" s="184" t="e">
        <f t="shared" si="104"/>
        <v>#N/A</v>
      </c>
      <c r="AI95" s="526"/>
      <c r="AJ95" s="190"/>
      <c r="AK95" s="190"/>
      <c r="AL95" s="187"/>
      <c r="AM95" s="184" t="e">
        <f t="shared" si="105"/>
        <v>#N/A</v>
      </c>
      <c r="AN95" s="526"/>
      <c r="AO95" s="190"/>
      <c r="AP95" s="190"/>
      <c r="AQ95" s="187" t="str">
        <f t="shared" si="100"/>
        <v/>
      </c>
      <c r="AR95" s="184" t="e">
        <f t="shared" si="106"/>
        <v>#VALUE!</v>
      </c>
      <c r="AS95" s="526"/>
      <c r="AT95" s="190"/>
      <c r="AU95" s="190"/>
      <c r="AV95" s="187"/>
      <c r="AW95" s="184" t="e">
        <f t="shared" si="107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99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103"/>
        <v>286.63901543482666</v>
      </c>
      <c r="AH96" s="184" t="e">
        <f t="shared" si="104"/>
        <v>#N/A</v>
      </c>
      <c r="AI96" s="526"/>
      <c r="AJ96" s="190"/>
      <c r="AK96" s="190"/>
      <c r="AL96" s="187"/>
      <c r="AM96" s="184" t="e">
        <f t="shared" si="105"/>
        <v>#N/A</v>
      </c>
      <c r="AN96" s="526"/>
      <c r="AO96" s="190"/>
      <c r="AP96" s="190"/>
      <c r="AQ96" s="187" t="str">
        <f t="shared" si="100"/>
        <v/>
      </c>
      <c r="AR96" s="184" t="e">
        <f t="shared" si="106"/>
        <v>#VALUE!</v>
      </c>
      <c r="AS96" s="526"/>
      <c r="AT96" s="190"/>
      <c r="AU96" s="190"/>
      <c r="AV96" s="187"/>
      <c r="AW96" s="184" t="e">
        <f t="shared" si="107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Z14" activePane="bottomRight" state="frozen"/>
      <selection activeCell="L95" sqref="L95"/>
      <selection pane="topRight" activeCell="L95" sqref="L95"/>
      <selection pane="bottomLeft" activeCell="L95" sqref="L95"/>
      <selection pane="bottomRight" activeCell="AH27" sqref="AH2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699</v>
      </c>
      <c r="C1" s="177">
        <f>AVERAGE(L27,L47,L67,L87)</f>
        <v>493.01674458151126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f t="shared" ref="AJ2" si="2">AE2+1</f>
        <v>46053</v>
      </c>
      <c r="AK2" s="587"/>
      <c r="AL2" s="587"/>
      <c r="AM2" s="587"/>
      <c r="AN2" s="588"/>
      <c r="AO2" s="584">
        <f t="shared" ref="AO2" si="3">AJ2+1</f>
        <v>46054</v>
      </c>
      <c r="AP2" s="585"/>
      <c r="AQ2" s="585"/>
      <c r="AR2" s="585"/>
      <c r="AS2" s="585"/>
      <c r="AT2" s="586">
        <f t="shared" ref="AT2" si="4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5">Z2</f>
        <v>46051</v>
      </c>
      <c r="AA3" s="589"/>
      <c r="AB3" s="589"/>
      <c r="AC3" s="589"/>
      <c r="AD3" s="589"/>
      <c r="AE3" s="590">
        <f t="shared" ref="AE3" si="6">AE2</f>
        <v>46052</v>
      </c>
      <c r="AF3" s="590"/>
      <c r="AG3" s="590"/>
      <c r="AH3" s="590"/>
      <c r="AI3" s="590"/>
      <c r="AJ3" s="591">
        <f t="shared" ref="AJ3" si="7">AJ2</f>
        <v>46053</v>
      </c>
      <c r="AK3" s="592"/>
      <c r="AL3" s="592"/>
      <c r="AM3" s="592"/>
      <c r="AN3" s="593"/>
      <c r="AO3" s="590">
        <f t="shared" ref="AO3" si="8">AO2</f>
        <v>46054</v>
      </c>
      <c r="AP3" s="590"/>
      <c r="AQ3" s="590"/>
      <c r="AR3" s="590"/>
      <c r="AS3" s="590"/>
      <c r="AT3" s="591">
        <f t="shared" ref="AT3" si="9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 t="s">
        <v>386</v>
      </c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14" t="s">
        <v>390</v>
      </c>
      <c r="C7" s="182">
        <v>1</v>
      </c>
      <c r="D7" s="185" t="s">
        <v>585</v>
      </c>
      <c r="E7" s="182">
        <v>6</v>
      </c>
      <c r="F7" s="182">
        <v>3273</v>
      </c>
      <c r="G7" s="187">
        <f t="shared" ref="G7" si="10">F7/E7</f>
        <v>545.5</v>
      </c>
      <c r="H7" s="526">
        <f>AVERAGE(G7:G21)</f>
        <v>545.5</v>
      </c>
      <c r="I7" s="188">
        <f>AVERAGE(P7,U7,Z7,AE7,AJ7,AO7,AT7)</f>
        <v>6</v>
      </c>
      <c r="J7" s="188">
        <f>AVERAGE(Q7,V7,AA7,AF7,AK7,AP7,AU7)</f>
        <v>2952.1241315893299</v>
      </c>
      <c r="K7" s="189">
        <f>AVERAGE(R7,W7,AB7,AG7,AL7,AQ7,AV7)</f>
        <v>492.02068859822157</v>
      </c>
      <c r="L7" s="527">
        <f>IFERROR(AVERAGE(K7:K21),"-")</f>
        <v>492.02068859822157</v>
      </c>
      <c r="M7" s="188">
        <f>RANK(K7, K$7:$K$21)</f>
        <v>1</v>
      </c>
      <c r="N7" s="514"/>
      <c r="O7" s="514"/>
      <c r="P7" s="190">
        <v>6</v>
      </c>
      <c r="Q7" s="190">
        <v>2946.11748818366</v>
      </c>
      <c r="R7" s="187">
        <f>IFERROR(Q7/P7,"")</f>
        <v>491.01958136394336</v>
      </c>
      <c r="S7" s="184">
        <f>RANK(R7, R$7:R$21)</f>
        <v>1</v>
      </c>
      <c r="T7" s="526">
        <f>AVERAGE(R7:R21)</f>
        <v>491.01958136394336</v>
      </c>
      <c r="U7" s="190">
        <v>6</v>
      </c>
      <c r="V7" s="190">
        <v>2946.7181467181499</v>
      </c>
      <c r="W7" s="187">
        <f t="shared" ref="W7" si="11">IFERROR(V7/U7,"")</f>
        <v>491.11969111969165</v>
      </c>
      <c r="X7" s="184">
        <f>RANK(W7, W$7:W$21)</f>
        <v>1</v>
      </c>
      <c r="Y7" s="526">
        <f>AVERAGE(W7:W21)</f>
        <v>491.11969111969165</v>
      </c>
      <c r="Z7" s="190">
        <v>6</v>
      </c>
      <c r="AA7" s="190">
        <v>2950.7014028056037</v>
      </c>
      <c r="AB7" s="187">
        <f t="shared" ref="AB7" si="12">IFERROR(AA7/Z7,"")</f>
        <v>491.78356713426729</v>
      </c>
      <c r="AC7" s="184">
        <f>RANK(AB7, AB$7:AB$21)</f>
        <v>1</v>
      </c>
      <c r="AD7" s="526">
        <f>AVERAGE(AB7:AB21)</f>
        <v>491.78356713426729</v>
      </c>
      <c r="AE7" s="190">
        <v>6</v>
      </c>
      <c r="AF7" s="190">
        <v>2952.1850899742926</v>
      </c>
      <c r="AG7" s="187">
        <f>IFERROR(AF7/AE7,"")</f>
        <v>492.03084832904875</v>
      </c>
      <c r="AH7" s="184">
        <f>RANK(AG7, AG$7:AG$21)</f>
        <v>1</v>
      </c>
      <c r="AI7" s="526">
        <f>AVERAGE(AG7:AG21)</f>
        <v>492.03084832904875</v>
      </c>
      <c r="AJ7" s="190">
        <v>6</v>
      </c>
      <c r="AK7" s="190">
        <v>2955.8528428093564</v>
      </c>
      <c r="AL7" s="187">
        <f t="shared" ref="AL7" si="13">IFERROR(AK7/AJ7,"")</f>
        <v>492.64214046822605</v>
      </c>
      <c r="AM7" s="184">
        <f>RANK(AL7, AL$7:AL$21)</f>
        <v>1</v>
      </c>
      <c r="AN7" s="526">
        <f>AVERAGE(AL7:AL21)</f>
        <v>492.64214046822605</v>
      </c>
      <c r="AO7" s="190">
        <v>6</v>
      </c>
      <c r="AP7" s="190">
        <v>2956.3218390804595</v>
      </c>
      <c r="AQ7" s="187">
        <f t="shared" ref="AQ7" si="14">IFERROR(AP7/AO7,"")</f>
        <v>492.72030651340992</v>
      </c>
      <c r="AR7" s="184">
        <f>RANK(AQ7, AQ$7:AQ$21)</f>
        <v>1</v>
      </c>
      <c r="AS7" s="526">
        <f>AVERAGE(AQ7:AQ21)</f>
        <v>492.72030651340992</v>
      </c>
      <c r="AT7" s="190">
        <v>6</v>
      </c>
      <c r="AU7" s="190">
        <v>2956.9721115537836</v>
      </c>
      <c r="AV7" s="187">
        <f t="shared" ref="AV7" si="15">IFERROR(AU7/AT7,"")</f>
        <v>492.82868525896396</v>
      </c>
      <c r="AW7" s="184">
        <f>RANK(AV7, AV$7:AV$21)</f>
        <v>1</v>
      </c>
      <c r="AX7" s="526">
        <f>AVERAGE(AV7:AV21)</f>
        <v>492.82868525896396</v>
      </c>
    </row>
    <row r="8" spans="1:50" ht="14.25" customHeight="1">
      <c r="B8" s="514"/>
      <c r="C8" s="182">
        <v>2</v>
      </c>
      <c r="D8" s="185"/>
      <c r="E8" s="182"/>
      <c r="F8" s="182"/>
      <c r="G8" s="187"/>
      <c r="H8" s="526"/>
      <c r="I8" s="188"/>
      <c r="J8" s="188"/>
      <c r="K8" s="189"/>
      <c r="L8" s="527"/>
      <c r="M8" s="188"/>
      <c r="N8" s="514"/>
      <c r="O8" s="514"/>
      <c r="P8" s="190"/>
      <c r="Q8" s="190"/>
      <c r="R8" s="187"/>
      <c r="S8" s="184"/>
      <c r="T8" s="526"/>
      <c r="U8" s="190"/>
      <c r="V8" s="190"/>
      <c r="W8" s="187"/>
      <c r="X8" s="184"/>
      <c r="Y8" s="526"/>
      <c r="Z8" s="190"/>
      <c r="AA8" s="190"/>
      <c r="AB8" s="187"/>
      <c r="AC8" s="184"/>
      <c r="AD8" s="526"/>
      <c r="AE8" s="190"/>
      <c r="AF8" s="190"/>
      <c r="AG8" s="187"/>
      <c r="AH8" s="184"/>
      <c r="AI8" s="526"/>
      <c r="AJ8" s="190"/>
      <c r="AK8" s="190"/>
      <c r="AL8" s="187"/>
      <c r="AM8" s="184"/>
      <c r="AN8" s="526"/>
      <c r="AO8" s="190"/>
      <c r="AP8" s="190"/>
      <c r="AQ8" s="187"/>
      <c r="AR8" s="184"/>
      <c r="AS8" s="526"/>
      <c r="AT8" s="190"/>
      <c r="AU8" s="190"/>
      <c r="AV8" s="187"/>
      <c r="AW8" s="184"/>
      <c r="AX8" s="526"/>
    </row>
    <row r="9" spans="1:50" ht="14.25" customHeight="1">
      <c r="B9" s="514"/>
      <c r="C9" s="182">
        <v>3</v>
      </c>
      <c r="D9" s="185"/>
      <c r="E9" s="182"/>
      <c r="F9" s="182"/>
      <c r="G9" s="187"/>
      <c r="H9" s="526"/>
      <c r="I9" s="188"/>
      <c r="J9" s="188"/>
      <c r="K9" s="189"/>
      <c r="L9" s="527"/>
      <c r="M9" s="188"/>
      <c r="N9" s="514"/>
      <c r="O9" s="514"/>
      <c r="P9" s="190"/>
      <c r="Q9" s="190"/>
      <c r="R9" s="187"/>
      <c r="S9" s="184"/>
      <c r="T9" s="526"/>
      <c r="U9" s="190"/>
      <c r="V9" s="190"/>
      <c r="W9" s="187"/>
      <c r="X9" s="184"/>
      <c r="Y9" s="526"/>
      <c r="Z9" s="190"/>
      <c r="AA9" s="190"/>
      <c r="AB9" s="187"/>
      <c r="AC9" s="184"/>
      <c r="AD9" s="526"/>
      <c r="AE9" s="190"/>
      <c r="AF9" s="190"/>
      <c r="AG9" s="187"/>
      <c r="AH9" s="184"/>
      <c r="AI9" s="526"/>
      <c r="AJ9" s="190"/>
      <c r="AK9" s="190"/>
      <c r="AL9" s="187"/>
      <c r="AM9" s="184"/>
      <c r="AN9" s="526"/>
      <c r="AO9" s="190"/>
      <c r="AP9" s="190"/>
      <c r="AQ9" s="187"/>
      <c r="AR9" s="184"/>
      <c r="AS9" s="526"/>
      <c r="AT9" s="190"/>
      <c r="AU9" s="190"/>
      <c r="AV9" s="187"/>
      <c r="AW9" s="184"/>
      <c r="AX9" s="526"/>
    </row>
    <row r="10" spans="1:50" ht="14.25" customHeight="1">
      <c r="B10" s="514"/>
      <c r="C10" s="182">
        <v>4</v>
      </c>
      <c r="D10" s="185"/>
      <c r="E10" s="182"/>
      <c r="F10" s="182"/>
      <c r="G10" s="187"/>
      <c r="H10" s="526"/>
      <c r="I10" s="188"/>
      <c r="J10" s="188"/>
      <c r="K10" s="189"/>
      <c r="L10" s="527"/>
      <c r="M10" s="188"/>
      <c r="N10" s="514"/>
      <c r="O10" s="514"/>
      <c r="P10" s="190"/>
      <c r="Q10" s="190"/>
      <c r="R10" s="187"/>
      <c r="S10" s="184"/>
      <c r="T10" s="526"/>
      <c r="U10" s="190"/>
      <c r="V10" s="190"/>
      <c r="W10" s="187"/>
      <c r="X10" s="184"/>
      <c r="Y10" s="526"/>
      <c r="Z10" s="190"/>
      <c r="AA10" s="190"/>
      <c r="AB10" s="187"/>
      <c r="AC10" s="184"/>
      <c r="AD10" s="526"/>
      <c r="AE10" s="190"/>
      <c r="AF10" s="190"/>
      <c r="AG10" s="187"/>
      <c r="AH10" s="184"/>
      <c r="AI10" s="526"/>
      <c r="AJ10" s="190"/>
      <c r="AK10" s="190"/>
      <c r="AL10" s="187"/>
      <c r="AM10" s="184"/>
      <c r="AN10" s="526"/>
      <c r="AO10" s="190"/>
      <c r="AP10" s="190"/>
      <c r="AQ10" s="187"/>
      <c r="AR10" s="184"/>
      <c r="AS10" s="526"/>
      <c r="AT10" s="190"/>
      <c r="AU10" s="190"/>
      <c r="AV10" s="187"/>
      <c r="AW10" s="184"/>
      <c r="AX10" s="526"/>
    </row>
    <row r="11" spans="1:50" ht="14.25" customHeight="1">
      <c r="B11" s="514"/>
      <c r="C11" s="182">
        <v>5</v>
      </c>
      <c r="D11" s="185"/>
      <c r="E11" s="182"/>
      <c r="F11" s="182"/>
      <c r="G11" s="187"/>
      <c r="H11" s="526"/>
      <c r="I11" s="188"/>
      <c r="J11" s="188"/>
      <c r="K11" s="189"/>
      <c r="L11" s="527"/>
      <c r="M11" s="188"/>
      <c r="N11" s="514"/>
      <c r="O11" s="514"/>
      <c r="P11" s="190"/>
      <c r="Q11" s="190"/>
      <c r="R11" s="187"/>
      <c r="S11" s="184"/>
      <c r="T11" s="526"/>
      <c r="U11" s="190"/>
      <c r="V11" s="190"/>
      <c r="W11" s="187"/>
      <c r="X11" s="184"/>
      <c r="Y11" s="526"/>
      <c r="Z11" s="190"/>
      <c r="AA11" s="190"/>
      <c r="AB11" s="187"/>
      <c r="AC11" s="184"/>
      <c r="AD11" s="526"/>
      <c r="AE11" s="190"/>
      <c r="AF11" s="190"/>
      <c r="AG11" s="187"/>
      <c r="AH11" s="184"/>
      <c r="AI11" s="526"/>
      <c r="AJ11" s="190"/>
      <c r="AK11" s="190"/>
      <c r="AL11" s="187"/>
      <c r="AM11" s="184"/>
      <c r="AN11" s="526"/>
      <c r="AO11" s="190"/>
      <c r="AP11" s="190"/>
      <c r="AQ11" s="187"/>
      <c r="AR11" s="184"/>
      <c r="AS11" s="526"/>
      <c r="AT11" s="190"/>
      <c r="AU11" s="190"/>
      <c r="AV11" s="187"/>
      <c r="AW11" s="184"/>
      <c r="AX11" s="526"/>
    </row>
    <row r="12" spans="1:50" ht="14.25" customHeight="1">
      <c r="B12" s="514"/>
      <c r="C12" s="182">
        <v>6</v>
      </c>
      <c r="D12" s="185"/>
      <c r="E12" s="182"/>
      <c r="F12" s="182"/>
      <c r="G12" s="187"/>
      <c r="H12" s="526"/>
      <c r="I12" s="188"/>
      <c r="J12" s="188"/>
      <c r="K12" s="189"/>
      <c r="L12" s="527"/>
      <c r="M12" s="188"/>
      <c r="N12" s="514"/>
      <c r="O12" s="514"/>
      <c r="P12" s="190"/>
      <c r="Q12" s="190"/>
      <c r="R12" s="187"/>
      <c r="S12" s="184"/>
      <c r="T12" s="526"/>
      <c r="U12" s="190"/>
      <c r="V12" s="190"/>
      <c r="W12" s="187"/>
      <c r="X12" s="184"/>
      <c r="Y12" s="526"/>
      <c r="Z12" s="190"/>
      <c r="AA12" s="190"/>
      <c r="AB12" s="187"/>
      <c r="AC12" s="184"/>
      <c r="AD12" s="526"/>
      <c r="AE12" s="190"/>
      <c r="AF12" s="190"/>
      <c r="AG12" s="187"/>
      <c r="AH12" s="184"/>
      <c r="AI12" s="526"/>
      <c r="AJ12" s="190"/>
      <c r="AK12" s="190"/>
      <c r="AL12" s="187"/>
      <c r="AM12" s="184"/>
      <c r="AN12" s="526"/>
      <c r="AO12" s="190"/>
      <c r="AP12" s="190"/>
      <c r="AQ12" s="187"/>
      <c r="AR12" s="184"/>
      <c r="AS12" s="526"/>
      <c r="AT12" s="190"/>
      <c r="AU12" s="190"/>
      <c r="AV12" s="187"/>
      <c r="AW12" s="184"/>
      <c r="AX12" s="526"/>
    </row>
    <row r="13" spans="1:50" ht="14.25" customHeight="1">
      <c r="B13" s="514"/>
      <c r="C13" s="182">
        <v>7</v>
      </c>
      <c r="D13" s="185"/>
      <c r="E13" s="182"/>
      <c r="F13" s="182"/>
      <c r="G13" s="187"/>
      <c r="H13" s="526"/>
      <c r="I13" s="188"/>
      <c r="J13" s="188"/>
      <c r="K13" s="189"/>
      <c r="L13" s="527"/>
      <c r="M13" s="188"/>
      <c r="N13" s="514"/>
      <c r="O13" s="514"/>
      <c r="P13" s="190"/>
      <c r="Q13" s="190"/>
      <c r="R13" s="187"/>
      <c r="S13" s="184"/>
      <c r="T13" s="526"/>
      <c r="U13" s="190"/>
      <c r="V13" s="190"/>
      <c r="W13" s="187"/>
      <c r="X13" s="184"/>
      <c r="Y13" s="526"/>
      <c r="Z13" s="190"/>
      <c r="AA13" s="190"/>
      <c r="AB13" s="187"/>
      <c r="AC13" s="184"/>
      <c r="AD13" s="526"/>
      <c r="AE13" s="190"/>
      <c r="AF13" s="190"/>
      <c r="AG13" s="187"/>
      <c r="AH13" s="184"/>
      <c r="AI13" s="526"/>
      <c r="AJ13" s="190"/>
      <c r="AK13" s="190"/>
      <c r="AL13" s="187"/>
      <c r="AM13" s="184"/>
      <c r="AN13" s="526"/>
      <c r="AO13" s="190"/>
      <c r="AP13" s="190"/>
      <c r="AQ13" s="187"/>
      <c r="AR13" s="184"/>
      <c r="AS13" s="526"/>
      <c r="AT13" s="190"/>
      <c r="AU13" s="190"/>
      <c r="AV13" s="187"/>
      <c r="AW13" s="184"/>
      <c r="AX13" s="526"/>
    </row>
    <row r="14" spans="1:50" ht="14.25" customHeight="1">
      <c r="B14" s="514"/>
      <c r="C14" s="182">
        <v>8</v>
      </c>
      <c r="D14" s="185"/>
      <c r="E14" s="182"/>
      <c r="F14" s="182"/>
      <c r="G14" s="187"/>
      <c r="H14" s="526"/>
      <c r="I14" s="188"/>
      <c r="J14" s="188"/>
      <c r="K14" s="189"/>
      <c r="L14" s="527"/>
      <c r="M14" s="188"/>
      <c r="N14" s="514"/>
      <c r="O14" s="514"/>
      <c r="P14" s="190"/>
      <c r="Q14" s="190"/>
      <c r="R14" s="187"/>
      <c r="S14" s="184"/>
      <c r="T14" s="526"/>
      <c r="U14" s="190"/>
      <c r="V14" s="190"/>
      <c r="W14" s="187"/>
      <c r="X14" s="184"/>
      <c r="Y14" s="526"/>
      <c r="Z14" s="190"/>
      <c r="AA14" s="190"/>
      <c r="AB14" s="187"/>
      <c r="AC14" s="184"/>
      <c r="AD14" s="526"/>
      <c r="AE14" s="190"/>
      <c r="AF14" s="190"/>
      <c r="AG14" s="187"/>
      <c r="AH14" s="184"/>
      <c r="AI14" s="526"/>
      <c r="AJ14" s="190"/>
      <c r="AK14" s="190"/>
      <c r="AL14" s="187"/>
      <c r="AM14" s="184"/>
      <c r="AN14" s="526"/>
      <c r="AO14" s="190"/>
      <c r="AP14" s="190"/>
      <c r="AQ14" s="187"/>
      <c r="AR14" s="184"/>
      <c r="AS14" s="526"/>
      <c r="AT14" s="190"/>
      <c r="AU14" s="190"/>
      <c r="AV14" s="187"/>
      <c r="AW14" s="184"/>
      <c r="AX14" s="526"/>
    </row>
    <row r="15" spans="1:50" ht="14.25" customHeight="1">
      <c r="B15" s="514"/>
      <c r="C15" s="182">
        <v>9</v>
      </c>
      <c r="D15" s="185"/>
      <c r="E15" s="182"/>
      <c r="F15" s="182"/>
      <c r="G15" s="187"/>
      <c r="H15" s="526"/>
      <c r="I15" s="188"/>
      <c r="J15" s="188"/>
      <c r="K15" s="189"/>
      <c r="L15" s="527"/>
      <c r="M15" s="188"/>
      <c r="N15" s="514"/>
      <c r="O15" s="514"/>
      <c r="P15" s="190"/>
      <c r="Q15" s="190"/>
      <c r="R15" s="187"/>
      <c r="S15" s="184"/>
      <c r="T15" s="526"/>
      <c r="U15" s="190"/>
      <c r="V15" s="190"/>
      <c r="W15" s="187"/>
      <c r="X15" s="184"/>
      <c r="Y15" s="526"/>
      <c r="Z15" s="190"/>
      <c r="AA15" s="190"/>
      <c r="AB15" s="187"/>
      <c r="AC15" s="184"/>
      <c r="AD15" s="526"/>
      <c r="AE15" s="190"/>
      <c r="AF15" s="190"/>
      <c r="AG15" s="187"/>
      <c r="AH15" s="184"/>
      <c r="AI15" s="526"/>
      <c r="AJ15" s="190"/>
      <c r="AK15" s="190"/>
      <c r="AL15" s="187"/>
      <c r="AM15" s="184"/>
      <c r="AN15" s="526"/>
      <c r="AO15" s="190"/>
      <c r="AP15" s="190"/>
      <c r="AQ15" s="187"/>
      <c r="AR15" s="184"/>
      <c r="AS15" s="526"/>
      <c r="AT15" s="190"/>
      <c r="AU15" s="190"/>
      <c r="AV15" s="187"/>
      <c r="AW15" s="184"/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16">U22+1</f>
        <v>46058</v>
      </c>
      <c r="AA22" s="583"/>
      <c r="AB22" s="583"/>
      <c r="AC22" s="583"/>
      <c r="AD22" s="583"/>
      <c r="AE22" s="584">
        <f t="shared" ref="AE22" si="17">Z22+1</f>
        <v>46059</v>
      </c>
      <c r="AF22" s="585"/>
      <c r="AG22" s="585"/>
      <c r="AH22" s="585"/>
      <c r="AI22" s="585"/>
      <c r="AJ22" s="586">
        <f t="shared" ref="AJ22" si="18">AE22+1</f>
        <v>46060</v>
      </c>
      <c r="AK22" s="587"/>
      <c r="AL22" s="587"/>
      <c r="AM22" s="587"/>
      <c r="AN22" s="588"/>
      <c r="AO22" s="584">
        <f t="shared" ref="AO22" si="19">AJ22+1</f>
        <v>46061</v>
      </c>
      <c r="AP22" s="585"/>
      <c r="AQ22" s="585"/>
      <c r="AR22" s="585"/>
      <c r="AS22" s="585"/>
      <c r="AT22" s="586">
        <f t="shared" ref="AT22" si="20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21">Z22</f>
        <v>46058</v>
      </c>
      <c r="AA23" s="589"/>
      <c r="AB23" s="589"/>
      <c r="AC23" s="589"/>
      <c r="AD23" s="589"/>
      <c r="AE23" s="590">
        <f t="shared" ref="AE23" si="22">AE22</f>
        <v>46059</v>
      </c>
      <c r="AF23" s="590"/>
      <c r="AG23" s="590"/>
      <c r="AH23" s="590"/>
      <c r="AI23" s="590"/>
      <c r="AJ23" s="591">
        <f t="shared" ref="AJ23" si="23">AJ22</f>
        <v>46060</v>
      </c>
      <c r="AK23" s="592"/>
      <c r="AL23" s="592"/>
      <c r="AM23" s="592"/>
      <c r="AN23" s="593"/>
      <c r="AO23" s="590">
        <f t="shared" ref="AO23" si="24">AO22</f>
        <v>46061</v>
      </c>
      <c r="AP23" s="590"/>
      <c r="AQ23" s="590"/>
      <c r="AR23" s="590"/>
      <c r="AS23" s="590"/>
      <c r="AT23" s="591">
        <f t="shared" ref="AT23" si="25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14" t="s">
        <v>390</v>
      </c>
      <c r="C27" s="182">
        <v>1</v>
      </c>
      <c r="D27" s="185" t="s">
        <v>585</v>
      </c>
      <c r="E27" s="182">
        <v>6</v>
      </c>
      <c r="F27" s="182">
        <v>3273</v>
      </c>
      <c r="G27" s="187">
        <f t="shared" ref="G27" si="26">F27/E27</f>
        <v>545.5</v>
      </c>
      <c r="H27" s="526">
        <f>AVERAGE(G27:G41)</f>
        <v>545.5</v>
      </c>
      <c r="I27" s="188">
        <f>AVERAGE(P27,U27,Z27,AE27,AJ27,AO27,AT27)</f>
        <v>6</v>
      </c>
      <c r="J27" s="188">
        <f>AVERAGE(Q27,V27,AA27,AF27,AK27,AP27,AU27)</f>
        <v>2958.1004674890678</v>
      </c>
      <c r="K27" s="189">
        <f>AVERAGE(R27,W27,AB27,AG27,AL27,AQ27,AV27)</f>
        <v>493.01674458151126</v>
      </c>
      <c r="L27" s="527">
        <f>IFERROR(AVERAGE(K27:K41),"-")</f>
        <v>493.01674458151126</v>
      </c>
      <c r="M27" s="188">
        <f>RANK(K27, K$27:$K$41)</f>
        <v>1</v>
      </c>
      <c r="N27" s="514"/>
      <c r="O27" s="514"/>
      <c r="P27" s="190">
        <v>6</v>
      </c>
      <c r="Q27" s="190">
        <v>2957.3091849935254</v>
      </c>
      <c r="R27" s="187">
        <f>IFERROR(Q27/P27,"")</f>
        <v>492.88486416558754</v>
      </c>
      <c r="S27" s="184">
        <f>RANK(R27, R$27:R$41)</f>
        <v>1</v>
      </c>
      <c r="T27" s="526">
        <f>AVERAGE(R27:R41)</f>
        <v>492.88486416558754</v>
      </c>
      <c r="U27" s="190">
        <v>6</v>
      </c>
      <c r="V27" s="190">
        <v>2957.6564580559293</v>
      </c>
      <c r="W27" s="187">
        <f t="shared" ref="W27" si="27">IFERROR(V27/U27,"")</f>
        <v>492.94274300932153</v>
      </c>
      <c r="X27" s="184">
        <f>RANK(W27, W$27:W$41)</f>
        <v>1</v>
      </c>
      <c r="Y27" s="526">
        <f>AVERAGE(W27:W41)</f>
        <v>492.94274300932153</v>
      </c>
      <c r="Z27" s="190">
        <v>6</v>
      </c>
      <c r="AA27" s="190">
        <v>2957.2301425661913</v>
      </c>
      <c r="AB27" s="187">
        <f t="shared" ref="AB27" si="28">IFERROR(AA27/Z27,"")</f>
        <v>492.87169042769852</v>
      </c>
      <c r="AC27" s="184">
        <f>RANK(AB27, AB$27:AB$41)</f>
        <v>1</v>
      </c>
      <c r="AD27" s="526">
        <f>AVERAGE(AB27:AB41)</f>
        <v>492.87169042769852</v>
      </c>
      <c r="AE27" s="190">
        <v>6</v>
      </c>
      <c r="AF27" s="190">
        <v>2958.341968911915</v>
      </c>
      <c r="AG27" s="187">
        <f>IFERROR(AF27/AE27,"")</f>
        <v>493.05699481865253</v>
      </c>
      <c r="AH27" s="184">
        <f>RANK(AG27, AG$27:AG$41)</f>
        <v>1</v>
      </c>
      <c r="AI27" s="526">
        <f>AVERAGE(AG27:AG41)</f>
        <v>493.05699481865253</v>
      </c>
      <c r="AJ27" s="190">
        <v>6</v>
      </c>
      <c r="AK27" s="190">
        <v>2958.2278481012672</v>
      </c>
      <c r="AL27" s="187">
        <f t="shared" ref="AL27" si="29">IFERROR(AK27/AJ27,"")</f>
        <v>493.03797468354452</v>
      </c>
      <c r="AM27" s="184">
        <f>RANK(AL27, AL$27:AL$41)</f>
        <v>1</v>
      </c>
      <c r="AN27" s="526">
        <f>AVERAGE(AL27:AL41)</f>
        <v>493.03797468354452</v>
      </c>
      <c r="AO27" s="190">
        <v>6</v>
      </c>
      <c r="AP27" s="190">
        <v>2958.9503280224876</v>
      </c>
      <c r="AQ27" s="187">
        <f t="shared" ref="AQ27" si="30">IFERROR(AP27/AO27,"")</f>
        <v>493.15838800374792</v>
      </c>
      <c r="AR27" s="184">
        <f>RANK(AQ27, AQ$27:AQ$41)</f>
        <v>1</v>
      </c>
      <c r="AS27" s="526">
        <f>AVERAGE(AQ27:AQ41)</f>
        <v>493.15838800374792</v>
      </c>
      <c r="AT27" s="190">
        <v>6</v>
      </c>
      <c r="AU27" s="190">
        <v>2958.987341772156</v>
      </c>
      <c r="AV27" s="187">
        <f t="shared" ref="AV27" si="31">IFERROR(AU27/AT27,"")</f>
        <v>493.16455696202598</v>
      </c>
      <c r="AW27" s="184">
        <f>RANK(AV27, AV$27:AV$41)</f>
        <v>1</v>
      </c>
      <c r="AX27" s="526">
        <f>AVERAGE(AV27:AV41)</f>
        <v>493.16455696202598</v>
      </c>
    </row>
    <row r="28" spans="2:50" ht="14.25" customHeight="1">
      <c r="B28" s="514"/>
      <c r="C28" s="182">
        <v>2</v>
      </c>
      <c r="D28" s="185"/>
      <c r="E28" s="182"/>
      <c r="F28" s="182"/>
      <c r="G28" s="187"/>
      <c r="H28" s="526"/>
      <c r="I28" s="188"/>
      <c r="J28" s="188"/>
      <c r="K28" s="189"/>
      <c r="L28" s="527"/>
      <c r="M28" s="188"/>
      <c r="N28" s="514"/>
      <c r="O28" s="514"/>
      <c r="P28" s="190"/>
      <c r="Q28" s="190"/>
      <c r="R28" s="187"/>
      <c r="S28" s="184"/>
      <c r="T28" s="526"/>
      <c r="U28" s="190"/>
      <c r="V28" s="190"/>
      <c r="W28" s="187"/>
      <c r="X28" s="184"/>
      <c r="Y28" s="526"/>
      <c r="Z28" s="190"/>
      <c r="AA28" s="190"/>
      <c r="AB28" s="187"/>
      <c r="AC28" s="184"/>
      <c r="AD28" s="526"/>
      <c r="AE28" s="190"/>
      <c r="AF28" s="190"/>
      <c r="AG28" s="187"/>
      <c r="AH28" s="184"/>
      <c r="AI28" s="526"/>
      <c r="AJ28" s="190"/>
      <c r="AK28" s="190"/>
      <c r="AL28" s="187"/>
      <c r="AM28" s="184"/>
      <c r="AN28" s="526"/>
      <c r="AO28" s="190"/>
      <c r="AP28" s="190"/>
      <c r="AQ28" s="187"/>
      <c r="AR28" s="184"/>
      <c r="AS28" s="526"/>
      <c r="AT28" s="190"/>
      <c r="AU28" s="190"/>
      <c r="AV28" s="187"/>
      <c r="AW28" s="184"/>
      <c r="AX28" s="526"/>
    </row>
    <row r="29" spans="2:50" ht="14.25" customHeight="1">
      <c r="B29" s="514"/>
      <c r="C29" s="182">
        <v>3</v>
      </c>
      <c r="D29" s="185"/>
      <c r="E29" s="182"/>
      <c r="F29" s="182"/>
      <c r="G29" s="187"/>
      <c r="H29" s="526"/>
      <c r="I29" s="188"/>
      <c r="J29" s="188"/>
      <c r="K29" s="189"/>
      <c r="L29" s="527"/>
      <c r="M29" s="188"/>
      <c r="N29" s="514"/>
      <c r="O29" s="514"/>
      <c r="P29" s="190"/>
      <c r="Q29" s="190"/>
      <c r="R29" s="187"/>
      <c r="S29" s="184"/>
      <c r="T29" s="526"/>
      <c r="U29" s="190"/>
      <c r="V29" s="190"/>
      <c r="W29" s="187"/>
      <c r="X29" s="184"/>
      <c r="Y29" s="526"/>
      <c r="Z29" s="190"/>
      <c r="AA29" s="190"/>
      <c r="AB29" s="187"/>
      <c r="AC29" s="184"/>
      <c r="AD29" s="526"/>
      <c r="AE29" s="190"/>
      <c r="AF29" s="190"/>
      <c r="AG29" s="187"/>
      <c r="AH29" s="184"/>
      <c r="AI29" s="526"/>
      <c r="AJ29" s="190"/>
      <c r="AK29" s="190"/>
      <c r="AL29" s="187"/>
      <c r="AM29" s="184"/>
      <c r="AN29" s="526"/>
      <c r="AO29" s="190"/>
      <c r="AP29" s="190"/>
      <c r="AQ29" s="187"/>
      <c r="AR29" s="184"/>
      <c r="AS29" s="526"/>
      <c r="AT29" s="190"/>
      <c r="AU29" s="190"/>
      <c r="AV29" s="187"/>
      <c r="AW29" s="184"/>
      <c r="AX29" s="526"/>
    </row>
    <row r="30" spans="2:50" ht="14.25" customHeight="1">
      <c r="B30" s="514"/>
      <c r="C30" s="182">
        <v>4</v>
      </c>
      <c r="D30" s="185"/>
      <c r="E30" s="182"/>
      <c r="F30" s="182"/>
      <c r="G30" s="187"/>
      <c r="H30" s="526"/>
      <c r="I30" s="188"/>
      <c r="J30" s="188"/>
      <c r="K30" s="189"/>
      <c r="L30" s="527"/>
      <c r="M30" s="188"/>
      <c r="N30" s="514"/>
      <c r="O30" s="514"/>
      <c r="P30" s="190"/>
      <c r="Q30" s="190"/>
      <c r="R30" s="187"/>
      <c r="S30" s="184"/>
      <c r="T30" s="526"/>
      <c r="U30" s="190"/>
      <c r="V30" s="190"/>
      <c r="W30" s="187"/>
      <c r="X30" s="184"/>
      <c r="Y30" s="526"/>
      <c r="Z30" s="190"/>
      <c r="AA30" s="190"/>
      <c r="AB30" s="187"/>
      <c r="AC30" s="184"/>
      <c r="AD30" s="526"/>
      <c r="AE30" s="190"/>
      <c r="AF30" s="190"/>
      <c r="AG30" s="187"/>
      <c r="AH30" s="184"/>
      <c r="AI30" s="526"/>
      <c r="AJ30" s="190"/>
      <c r="AK30" s="190"/>
      <c r="AL30" s="187"/>
      <c r="AM30" s="184"/>
      <c r="AN30" s="526"/>
      <c r="AO30" s="190"/>
      <c r="AP30" s="190"/>
      <c r="AQ30" s="187"/>
      <c r="AR30" s="184"/>
      <c r="AS30" s="526"/>
      <c r="AT30" s="190"/>
      <c r="AU30" s="190"/>
      <c r="AV30" s="187"/>
      <c r="AW30" s="184"/>
      <c r="AX30" s="526"/>
    </row>
    <row r="31" spans="2:50" ht="14.25" customHeight="1">
      <c r="B31" s="514"/>
      <c r="C31" s="182">
        <v>5</v>
      </c>
      <c r="D31" s="185"/>
      <c r="E31" s="182"/>
      <c r="F31" s="182"/>
      <c r="G31" s="187"/>
      <c r="H31" s="526"/>
      <c r="I31" s="188"/>
      <c r="J31" s="188"/>
      <c r="K31" s="189"/>
      <c r="L31" s="527"/>
      <c r="M31" s="188"/>
      <c r="N31" s="514"/>
      <c r="O31" s="514"/>
      <c r="P31" s="190"/>
      <c r="Q31" s="190"/>
      <c r="R31" s="187"/>
      <c r="S31" s="184"/>
      <c r="T31" s="526"/>
      <c r="U31" s="190"/>
      <c r="V31" s="190"/>
      <c r="W31" s="187"/>
      <c r="X31" s="184"/>
      <c r="Y31" s="526"/>
      <c r="Z31" s="190"/>
      <c r="AA31" s="190"/>
      <c r="AB31" s="187"/>
      <c r="AC31" s="184"/>
      <c r="AD31" s="526"/>
      <c r="AE31" s="190"/>
      <c r="AF31" s="190"/>
      <c r="AG31" s="187"/>
      <c r="AH31" s="184"/>
      <c r="AI31" s="526"/>
      <c r="AJ31" s="190"/>
      <c r="AK31" s="190"/>
      <c r="AL31" s="187"/>
      <c r="AM31" s="184"/>
      <c r="AN31" s="526"/>
      <c r="AO31" s="190"/>
      <c r="AP31" s="190"/>
      <c r="AQ31" s="187"/>
      <c r="AR31" s="184"/>
      <c r="AS31" s="526"/>
      <c r="AT31" s="190"/>
      <c r="AU31" s="190"/>
      <c r="AV31" s="187"/>
      <c r="AW31" s="184"/>
      <c r="AX31" s="526"/>
    </row>
    <row r="32" spans="2:50" ht="14.25" customHeight="1">
      <c r="B32" s="514"/>
      <c r="C32" s="182">
        <v>6</v>
      </c>
      <c r="D32" s="185"/>
      <c r="E32" s="182"/>
      <c r="F32" s="182"/>
      <c r="G32" s="187"/>
      <c r="H32" s="526"/>
      <c r="I32" s="188"/>
      <c r="J32" s="188"/>
      <c r="K32" s="189"/>
      <c r="L32" s="527"/>
      <c r="M32" s="188"/>
      <c r="N32" s="514"/>
      <c r="O32" s="514"/>
      <c r="P32" s="190"/>
      <c r="Q32" s="190"/>
      <c r="R32" s="187"/>
      <c r="S32" s="184"/>
      <c r="T32" s="526"/>
      <c r="U32" s="190"/>
      <c r="V32" s="190"/>
      <c r="W32" s="187"/>
      <c r="X32" s="184"/>
      <c r="Y32" s="526"/>
      <c r="Z32" s="190"/>
      <c r="AA32" s="190"/>
      <c r="AB32" s="187"/>
      <c r="AC32" s="184"/>
      <c r="AD32" s="526"/>
      <c r="AE32" s="190"/>
      <c r="AF32" s="190"/>
      <c r="AG32" s="187"/>
      <c r="AH32" s="184"/>
      <c r="AI32" s="526"/>
      <c r="AJ32" s="190"/>
      <c r="AK32" s="190"/>
      <c r="AL32" s="187"/>
      <c r="AM32" s="184"/>
      <c r="AN32" s="526"/>
      <c r="AO32" s="190"/>
      <c r="AP32" s="190"/>
      <c r="AQ32" s="187"/>
      <c r="AR32" s="184"/>
      <c r="AS32" s="526"/>
      <c r="AT32" s="190"/>
      <c r="AU32" s="190"/>
      <c r="AV32" s="187"/>
      <c r="AW32" s="184"/>
      <c r="AX32" s="526"/>
    </row>
    <row r="33" spans="2:50" ht="14.25" customHeight="1">
      <c r="B33" s="514"/>
      <c r="C33" s="182">
        <v>7</v>
      </c>
      <c r="D33" s="185"/>
      <c r="E33" s="182"/>
      <c r="F33" s="182"/>
      <c r="G33" s="187"/>
      <c r="H33" s="526"/>
      <c r="I33" s="188"/>
      <c r="J33" s="188"/>
      <c r="K33" s="189"/>
      <c r="L33" s="527"/>
      <c r="M33" s="188"/>
      <c r="N33" s="514"/>
      <c r="O33" s="514"/>
      <c r="P33" s="190"/>
      <c r="Q33" s="190"/>
      <c r="R33" s="187"/>
      <c r="S33" s="184"/>
      <c r="T33" s="526"/>
      <c r="U33" s="190"/>
      <c r="V33" s="190"/>
      <c r="W33" s="187"/>
      <c r="X33" s="184"/>
      <c r="Y33" s="526"/>
      <c r="Z33" s="190"/>
      <c r="AA33" s="190"/>
      <c r="AB33" s="187"/>
      <c r="AC33" s="184"/>
      <c r="AD33" s="526"/>
      <c r="AE33" s="190"/>
      <c r="AF33" s="190"/>
      <c r="AG33" s="187"/>
      <c r="AH33" s="184"/>
      <c r="AI33" s="526"/>
      <c r="AJ33" s="190"/>
      <c r="AK33" s="190"/>
      <c r="AL33" s="187"/>
      <c r="AM33" s="184"/>
      <c r="AN33" s="526"/>
      <c r="AO33" s="190"/>
      <c r="AP33" s="190"/>
      <c r="AQ33" s="187"/>
      <c r="AR33" s="184"/>
      <c r="AS33" s="526"/>
      <c r="AT33" s="190"/>
      <c r="AU33" s="190"/>
      <c r="AV33" s="187"/>
      <c r="AW33" s="184"/>
      <c r="AX33" s="526"/>
    </row>
    <row r="34" spans="2:50" ht="14.25" customHeight="1">
      <c r="B34" s="514"/>
      <c r="C34" s="182">
        <v>8</v>
      </c>
      <c r="D34" s="185"/>
      <c r="E34" s="182"/>
      <c r="F34" s="182"/>
      <c r="G34" s="187"/>
      <c r="H34" s="526"/>
      <c r="I34" s="188"/>
      <c r="J34" s="188"/>
      <c r="K34" s="189"/>
      <c r="L34" s="527"/>
      <c r="M34" s="188"/>
      <c r="N34" s="514"/>
      <c r="O34" s="514"/>
      <c r="P34" s="190"/>
      <c r="Q34" s="190"/>
      <c r="R34" s="187"/>
      <c r="S34" s="184"/>
      <c r="T34" s="526"/>
      <c r="U34" s="190"/>
      <c r="V34" s="190"/>
      <c r="W34" s="187"/>
      <c r="X34" s="184"/>
      <c r="Y34" s="526"/>
      <c r="Z34" s="190"/>
      <c r="AA34" s="190"/>
      <c r="AB34" s="187"/>
      <c r="AC34" s="184"/>
      <c r="AD34" s="526"/>
      <c r="AE34" s="190"/>
      <c r="AF34" s="190"/>
      <c r="AG34" s="187"/>
      <c r="AH34" s="184"/>
      <c r="AI34" s="526"/>
      <c r="AJ34" s="190"/>
      <c r="AK34" s="190"/>
      <c r="AL34" s="187"/>
      <c r="AM34" s="184"/>
      <c r="AN34" s="526"/>
      <c r="AO34" s="190"/>
      <c r="AP34" s="190"/>
      <c r="AQ34" s="187"/>
      <c r="AR34" s="184"/>
      <c r="AS34" s="526"/>
      <c r="AT34" s="190"/>
      <c r="AU34" s="190"/>
      <c r="AV34" s="187"/>
      <c r="AW34" s="184"/>
      <c r="AX34" s="526"/>
    </row>
    <row r="35" spans="2:50" ht="14.25" customHeight="1">
      <c r="B35" s="514"/>
      <c r="C35" s="182">
        <v>9</v>
      </c>
      <c r="D35" s="185"/>
      <c r="E35" s="182"/>
      <c r="F35" s="182"/>
      <c r="G35" s="187"/>
      <c r="H35" s="526"/>
      <c r="I35" s="188"/>
      <c r="J35" s="188"/>
      <c r="K35" s="189"/>
      <c r="L35" s="527"/>
      <c r="M35" s="188"/>
      <c r="N35" s="514"/>
      <c r="O35" s="514"/>
      <c r="P35" s="190"/>
      <c r="Q35" s="190"/>
      <c r="R35" s="187"/>
      <c r="S35" s="184"/>
      <c r="T35" s="526"/>
      <c r="U35" s="190"/>
      <c r="V35" s="190"/>
      <c r="W35" s="187"/>
      <c r="X35" s="184"/>
      <c r="Y35" s="526"/>
      <c r="Z35" s="190"/>
      <c r="AA35" s="190"/>
      <c r="AB35" s="187"/>
      <c r="AC35" s="184"/>
      <c r="AD35" s="526"/>
      <c r="AE35" s="190"/>
      <c r="AF35" s="190"/>
      <c r="AG35" s="187"/>
      <c r="AH35" s="184"/>
      <c r="AI35" s="526"/>
      <c r="AJ35" s="190"/>
      <c r="AK35" s="190"/>
      <c r="AL35" s="187"/>
      <c r="AM35" s="184"/>
      <c r="AN35" s="526"/>
      <c r="AO35" s="190"/>
      <c r="AP35" s="190"/>
      <c r="AQ35" s="187"/>
      <c r="AR35" s="184"/>
      <c r="AS35" s="526"/>
      <c r="AT35" s="190"/>
      <c r="AU35" s="190"/>
      <c r="AV35" s="187"/>
      <c r="AW35" s="184"/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32">U42+1</f>
        <v>46065</v>
      </c>
      <c r="AA42" s="583"/>
      <c r="AB42" s="583"/>
      <c r="AC42" s="583"/>
      <c r="AD42" s="583"/>
      <c r="AE42" s="584">
        <f t="shared" ref="AE42" si="33">Z42+1</f>
        <v>46066</v>
      </c>
      <c r="AF42" s="585"/>
      <c r="AG42" s="585"/>
      <c r="AH42" s="585"/>
      <c r="AI42" s="585"/>
      <c r="AJ42" s="586">
        <f t="shared" ref="AJ42" si="34">AE42+1</f>
        <v>46067</v>
      </c>
      <c r="AK42" s="587"/>
      <c r="AL42" s="587"/>
      <c r="AM42" s="587"/>
      <c r="AN42" s="588"/>
      <c r="AO42" s="584">
        <f t="shared" ref="AO42" si="35">AJ42+1</f>
        <v>46068</v>
      </c>
      <c r="AP42" s="585"/>
      <c r="AQ42" s="585"/>
      <c r="AR42" s="585"/>
      <c r="AS42" s="585"/>
      <c r="AT42" s="586">
        <f t="shared" ref="AT42" si="36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37">Z42</f>
        <v>46065</v>
      </c>
      <c r="AA43" s="589"/>
      <c r="AB43" s="589"/>
      <c r="AC43" s="589"/>
      <c r="AD43" s="589"/>
      <c r="AE43" s="590">
        <f t="shared" ref="AE43" si="38">AE42</f>
        <v>46066</v>
      </c>
      <c r="AF43" s="590"/>
      <c r="AG43" s="590"/>
      <c r="AH43" s="590"/>
      <c r="AI43" s="590"/>
      <c r="AJ43" s="591">
        <f t="shared" ref="AJ43" si="39">AJ42</f>
        <v>46067</v>
      </c>
      <c r="AK43" s="592"/>
      <c r="AL43" s="592"/>
      <c r="AM43" s="592"/>
      <c r="AN43" s="593"/>
      <c r="AO43" s="590">
        <f t="shared" ref="AO43" si="40">AO42</f>
        <v>46068</v>
      </c>
      <c r="AP43" s="590"/>
      <c r="AQ43" s="590"/>
      <c r="AR43" s="590"/>
      <c r="AS43" s="590"/>
      <c r="AT43" s="591">
        <f t="shared" ref="AT43" si="41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14" t="s">
        <v>390</v>
      </c>
      <c r="C47" s="182">
        <v>1</v>
      </c>
      <c r="D47" s="185"/>
      <c r="E47" s="182"/>
      <c r="F47" s="182"/>
      <c r="G47" s="187" t="e">
        <f t="shared" ref="G47:G56" si="42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43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44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42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45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46">IFERROR(AF48/AE48,"")</f>
        <v>183.41069933795009</v>
      </c>
      <c r="AH48" s="184" t="e">
        <f t="shared" ref="AH48:AH56" si="47">RANK(AG48, AG$27:AG$41)</f>
        <v>#N/A</v>
      </c>
      <c r="AI48" s="526"/>
      <c r="AJ48" s="190"/>
      <c r="AK48" s="190"/>
      <c r="AL48" s="187"/>
      <c r="AM48" s="184" t="e">
        <f t="shared" ref="AM48:AM56" si="48">RANK(AL48, AL$27:AL$41)</f>
        <v>#N/A</v>
      </c>
      <c r="AN48" s="526"/>
      <c r="AO48" s="190"/>
      <c r="AP48" s="190"/>
      <c r="AQ48" s="187" t="str">
        <f t="shared" si="43"/>
        <v/>
      </c>
      <c r="AR48" s="184" t="e">
        <f t="shared" ref="AR48:AR56" si="49">RANK(AQ48, AQ$27:AQ$41)</f>
        <v>#VALUE!</v>
      </c>
      <c r="AS48" s="526"/>
      <c r="AT48" s="190"/>
      <c r="AU48" s="190"/>
      <c r="AV48" s="187"/>
      <c r="AW48" s="184" t="e">
        <f t="shared" ref="AW48:AW56" si="50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42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45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46"/>
        <v>286.56852329640265</v>
      </c>
      <c r="AH49" s="184" t="e">
        <f t="shared" si="47"/>
        <v>#N/A</v>
      </c>
      <c r="AI49" s="526"/>
      <c r="AJ49" s="190"/>
      <c r="AK49" s="190"/>
      <c r="AL49" s="187"/>
      <c r="AM49" s="184" t="e">
        <f t="shared" si="48"/>
        <v>#N/A</v>
      </c>
      <c r="AN49" s="526"/>
      <c r="AO49" s="190"/>
      <c r="AP49" s="190"/>
      <c r="AQ49" s="187" t="str">
        <f t="shared" si="43"/>
        <v/>
      </c>
      <c r="AR49" s="184" t="e">
        <f t="shared" si="49"/>
        <v>#VALUE!</v>
      </c>
      <c r="AS49" s="526"/>
      <c r="AT49" s="190"/>
      <c r="AU49" s="190"/>
      <c r="AV49" s="187"/>
      <c r="AW49" s="184" t="e">
        <f t="shared" si="50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42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46"/>
        <v>386.3900414937761</v>
      </c>
      <c r="AH50" s="184" t="e">
        <f t="shared" si="47"/>
        <v>#N/A</v>
      </c>
      <c r="AI50" s="526"/>
      <c r="AJ50" s="190"/>
      <c r="AK50" s="190"/>
      <c r="AL50" s="187"/>
      <c r="AM50" s="184" t="e">
        <f t="shared" si="48"/>
        <v>#N/A</v>
      </c>
      <c r="AN50" s="526"/>
      <c r="AO50" s="190"/>
      <c r="AP50" s="190"/>
      <c r="AQ50" s="187" t="str">
        <f t="shared" si="43"/>
        <v/>
      </c>
      <c r="AR50" s="184" t="e">
        <f t="shared" si="49"/>
        <v>#VALUE!</v>
      </c>
      <c r="AS50" s="526"/>
      <c r="AT50" s="190"/>
      <c r="AU50" s="190"/>
      <c r="AV50" s="187"/>
      <c r="AW50" s="184" t="e">
        <f t="shared" si="50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42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46"/>
        <v>375.74552683896599</v>
      </c>
      <c r="AH51" s="184" t="e">
        <f t="shared" si="47"/>
        <v>#N/A</v>
      </c>
      <c r="AI51" s="526"/>
      <c r="AJ51" s="190"/>
      <c r="AK51" s="190"/>
      <c r="AL51" s="187"/>
      <c r="AM51" s="184" t="e">
        <f t="shared" si="48"/>
        <v>#N/A</v>
      </c>
      <c r="AN51" s="526"/>
      <c r="AO51" s="190"/>
      <c r="AP51" s="190"/>
      <c r="AQ51" s="187" t="str">
        <f t="shared" si="43"/>
        <v/>
      </c>
      <c r="AR51" s="184" t="e">
        <f t="shared" si="49"/>
        <v>#VALUE!</v>
      </c>
      <c r="AS51" s="526"/>
      <c r="AT51" s="190"/>
      <c r="AU51" s="190"/>
      <c r="AV51" s="187"/>
      <c r="AW51" s="184" t="e">
        <f t="shared" si="50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42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46"/>
        <v>386.4406779661013</v>
      </c>
      <c r="AH52" s="184" t="e">
        <f t="shared" si="47"/>
        <v>#N/A</v>
      </c>
      <c r="AI52" s="526"/>
      <c r="AJ52" s="190"/>
      <c r="AK52" s="190"/>
      <c r="AL52" s="187"/>
      <c r="AM52" s="184" t="e">
        <f t="shared" si="48"/>
        <v>#N/A</v>
      </c>
      <c r="AN52" s="526"/>
      <c r="AO52" s="190"/>
      <c r="AP52" s="190"/>
      <c r="AQ52" s="187" t="str">
        <f t="shared" si="43"/>
        <v/>
      </c>
      <c r="AR52" s="184" t="e">
        <f t="shared" si="49"/>
        <v>#VALUE!</v>
      </c>
      <c r="AS52" s="526"/>
      <c r="AT52" s="190"/>
      <c r="AU52" s="190"/>
      <c r="AV52" s="187"/>
      <c r="AW52" s="184" t="e">
        <f t="shared" si="50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42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46"/>
        <v>127.79864763335836</v>
      </c>
      <c r="AH53" s="184" t="e">
        <f t="shared" si="47"/>
        <v>#N/A</v>
      </c>
      <c r="AI53" s="526"/>
      <c r="AJ53" s="190"/>
      <c r="AK53" s="190"/>
      <c r="AL53" s="187"/>
      <c r="AM53" s="184" t="e">
        <f t="shared" si="48"/>
        <v>#N/A</v>
      </c>
      <c r="AN53" s="526"/>
      <c r="AO53" s="190"/>
      <c r="AP53" s="190"/>
      <c r="AQ53" s="187" t="str">
        <f t="shared" si="43"/>
        <v/>
      </c>
      <c r="AR53" s="184" t="e">
        <f t="shared" si="49"/>
        <v>#VALUE!</v>
      </c>
      <c r="AS53" s="526"/>
      <c r="AT53" s="190"/>
      <c r="AU53" s="190"/>
      <c r="AV53" s="187"/>
      <c r="AW53" s="184" t="e">
        <f t="shared" si="50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42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46"/>
        <v>183.34709515473759</v>
      </c>
      <c r="AH54" s="184" t="e">
        <f t="shared" si="47"/>
        <v>#N/A</v>
      </c>
      <c r="AI54" s="526"/>
      <c r="AJ54" s="190"/>
      <c r="AK54" s="190"/>
      <c r="AL54" s="187"/>
      <c r="AM54" s="184" t="e">
        <f t="shared" si="48"/>
        <v>#N/A</v>
      </c>
      <c r="AN54" s="526"/>
      <c r="AO54" s="190"/>
      <c r="AP54" s="190"/>
      <c r="AQ54" s="187" t="str">
        <f t="shared" si="43"/>
        <v/>
      </c>
      <c r="AR54" s="184" t="e">
        <f t="shared" si="49"/>
        <v>#VALUE!</v>
      </c>
      <c r="AS54" s="526"/>
      <c r="AT54" s="190"/>
      <c r="AU54" s="190"/>
      <c r="AV54" s="187"/>
      <c r="AW54" s="184" t="e">
        <f t="shared" si="50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42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46"/>
        <v>183.51228908786049</v>
      </c>
      <c r="AH55" s="184" t="e">
        <f t="shared" si="47"/>
        <v>#N/A</v>
      </c>
      <c r="AI55" s="526"/>
      <c r="AJ55" s="190"/>
      <c r="AK55" s="190"/>
      <c r="AL55" s="187"/>
      <c r="AM55" s="184" t="e">
        <f t="shared" si="48"/>
        <v>#N/A</v>
      </c>
      <c r="AN55" s="526"/>
      <c r="AO55" s="190"/>
      <c r="AP55" s="190"/>
      <c r="AQ55" s="187" t="str">
        <f t="shared" si="43"/>
        <v/>
      </c>
      <c r="AR55" s="184" t="e">
        <f t="shared" si="49"/>
        <v>#VALUE!</v>
      </c>
      <c r="AS55" s="526"/>
      <c r="AT55" s="190"/>
      <c r="AU55" s="190"/>
      <c r="AV55" s="187"/>
      <c r="AW55" s="184" t="e">
        <f t="shared" si="50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42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46"/>
        <v>286.63901543482666</v>
      </c>
      <c r="AH56" s="184" t="e">
        <f t="shared" si="47"/>
        <v>#N/A</v>
      </c>
      <c r="AI56" s="526"/>
      <c r="AJ56" s="190"/>
      <c r="AK56" s="190"/>
      <c r="AL56" s="187"/>
      <c r="AM56" s="184" t="e">
        <f t="shared" si="48"/>
        <v>#N/A</v>
      </c>
      <c r="AN56" s="526"/>
      <c r="AO56" s="190"/>
      <c r="AP56" s="190"/>
      <c r="AQ56" s="187" t="str">
        <f t="shared" si="43"/>
        <v/>
      </c>
      <c r="AR56" s="184" t="e">
        <f t="shared" si="49"/>
        <v>#VALUE!</v>
      </c>
      <c r="AS56" s="526"/>
      <c r="AT56" s="190"/>
      <c r="AU56" s="190"/>
      <c r="AV56" s="187"/>
      <c r="AW56" s="184" t="e">
        <f t="shared" si="50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51">U62+1</f>
        <v>46072</v>
      </c>
      <c r="AA62" s="583"/>
      <c r="AB62" s="583"/>
      <c r="AC62" s="583"/>
      <c r="AD62" s="583"/>
      <c r="AE62" s="584">
        <f t="shared" ref="AE62" si="52">Z62+1</f>
        <v>46073</v>
      </c>
      <c r="AF62" s="585"/>
      <c r="AG62" s="585"/>
      <c r="AH62" s="585"/>
      <c r="AI62" s="585"/>
      <c r="AJ62" s="586">
        <f t="shared" ref="AJ62" si="53">AE62+1</f>
        <v>46074</v>
      </c>
      <c r="AK62" s="587"/>
      <c r="AL62" s="587"/>
      <c r="AM62" s="587"/>
      <c r="AN62" s="588"/>
      <c r="AO62" s="584">
        <f t="shared" ref="AO62" si="54">AJ62+1</f>
        <v>46075</v>
      </c>
      <c r="AP62" s="585"/>
      <c r="AQ62" s="585"/>
      <c r="AR62" s="585"/>
      <c r="AS62" s="585"/>
      <c r="AT62" s="586">
        <f t="shared" ref="AT62" si="55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56">Z62</f>
        <v>46072</v>
      </c>
      <c r="AA63" s="589"/>
      <c r="AB63" s="589"/>
      <c r="AC63" s="589"/>
      <c r="AD63" s="589"/>
      <c r="AE63" s="590">
        <f t="shared" ref="AE63" si="57">AE62</f>
        <v>46073</v>
      </c>
      <c r="AF63" s="590"/>
      <c r="AG63" s="590"/>
      <c r="AH63" s="590"/>
      <c r="AI63" s="590"/>
      <c r="AJ63" s="591">
        <f t="shared" ref="AJ63" si="58">AJ62</f>
        <v>46074</v>
      </c>
      <c r="AK63" s="592"/>
      <c r="AL63" s="592"/>
      <c r="AM63" s="592"/>
      <c r="AN63" s="593"/>
      <c r="AO63" s="590">
        <f t="shared" ref="AO63" si="59">AO62</f>
        <v>46075</v>
      </c>
      <c r="AP63" s="590"/>
      <c r="AQ63" s="590"/>
      <c r="AR63" s="590"/>
      <c r="AS63" s="590"/>
      <c r="AT63" s="591">
        <f t="shared" ref="AT63" si="60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14" t="s">
        <v>390</v>
      </c>
      <c r="C67" s="182">
        <v>1</v>
      </c>
      <c r="D67" s="185"/>
      <c r="E67" s="182"/>
      <c r="F67" s="182"/>
      <c r="G67" s="187" t="e">
        <f t="shared" ref="G67:G76" si="61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62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63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61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64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65">IFERROR(AF68/AE68,"")</f>
        <v>183.41069933795009</v>
      </c>
      <c r="AH68" s="184" t="e">
        <f t="shared" ref="AH68:AH76" si="66">RANK(AG68, AG$27:AG$41)</f>
        <v>#N/A</v>
      </c>
      <c r="AI68" s="526"/>
      <c r="AJ68" s="190"/>
      <c r="AK68" s="190"/>
      <c r="AL68" s="187"/>
      <c r="AM68" s="184" t="e">
        <f t="shared" ref="AM68:AM76" si="67">RANK(AL68, AL$27:AL$41)</f>
        <v>#N/A</v>
      </c>
      <c r="AN68" s="526"/>
      <c r="AO68" s="190"/>
      <c r="AP68" s="190"/>
      <c r="AQ68" s="187" t="str">
        <f t="shared" si="62"/>
        <v/>
      </c>
      <c r="AR68" s="184" t="e">
        <f t="shared" ref="AR68:AR76" si="68">RANK(AQ68, AQ$27:AQ$41)</f>
        <v>#VALUE!</v>
      </c>
      <c r="AS68" s="526"/>
      <c r="AT68" s="190"/>
      <c r="AU68" s="190"/>
      <c r="AV68" s="187"/>
      <c r="AW68" s="184" t="e">
        <f t="shared" ref="AW68:AW76" si="69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61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64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65"/>
        <v>286.56852329640265</v>
      </c>
      <c r="AH69" s="184" t="e">
        <f t="shared" si="66"/>
        <v>#N/A</v>
      </c>
      <c r="AI69" s="526"/>
      <c r="AJ69" s="190"/>
      <c r="AK69" s="190"/>
      <c r="AL69" s="187"/>
      <c r="AM69" s="184" t="e">
        <f t="shared" si="67"/>
        <v>#N/A</v>
      </c>
      <c r="AN69" s="526"/>
      <c r="AO69" s="190"/>
      <c r="AP69" s="190"/>
      <c r="AQ69" s="187" t="str">
        <f t="shared" si="62"/>
        <v/>
      </c>
      <c r="AR69" s="184" t="e">
        <f t="shared" si="68"/>
        <v>#VALUE!</v>
      </c>
      <c r="AS69" s="526"/>
      <c r="AT69" s="190"/>
      <c r="AU69" s="190"/>
      <c r="AV69" s="187"/>
      <c r="AW69" s="184" t="e">
        <f t="shared" si="69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61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65"/>
        <v>386.3900414937761</v>
      </c>
      <c r="AH70" s="184" t="e">
        <f t="shared" si="66"/>
        <v>#N/A</v>
      </c>
      <c r="AI70" s="526"/>
      <c r="AJ70" s="190"/>
      <c r="AK70" s="190"/>
      <c r="AL70" s="187"/>
      <c r="AM70" s="184" t="e">
        <f t="shared" si="67"/>
        <v>#N/A</v>
      </c>
      <c r="AN70" s="526"/>
      <c r="AO70" s="190"/>
      <c r="AP70" s="190"/>
      <c r="AQ70" s="187" t="str">
        <f t="shared" si="62"/>
        <v/>
      </c>
      <c r="AR70" s="184" t="e">
        <f t="shared" si="68"/>
        <v>#VALUE!</v>
      </c>
      <c r="AS70" s="526"/>
      <c r="AT70" s="190"/>
      <c r="AU70" s="190"/>
      <c r="AV70" s="187"/>
      <c r="AW70" s="184" t="e">
        <f t="shared" si="69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61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65"/>
        <v>375.74552683896599</v>
      </c>
      <c r="AH71" s="184" t="e">
        <f t="shared" si="66"/>
        <v>#N/A</v>
      </c>
      <c r="AI71" s="526"/>
      <c r="AJ71" s="190"/>
      <c r="AK71" s="190"/>
      <c r="AL71" s="187"/>
      <c r="AM71" s="184" t="e">
        <f t="shared" si="67"/>
        <v>#N/A</v>
      </c>
      <c r="AN71" s="526"/>
      <c r="AO71" s="190"/>
      <c r="AP71" s="190"/>
      <c r="AQ71" s="187" t="str">
        <f t="shared" si="62"/>
        <v/>
      </c>
      <c r="AR71" s="184" t="e">
        <f t="shared" si="68"/>
        <v>#VALUE!</v>
      </c>
      <c r="AS71" s="526"/>
      <c r="AT71" s="190"/>
      <c r="AU71" s="190"/>
      <c r="AV71" s="187"/>
      <c r="AW71" s="184" t="e">
        <f t="shared" si="69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61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65"/>
        <v>386.4406779661013</v>
      </c>
      <c r="AH72" s="184" t="e">
        <f t="shared" si="66"/>
        <v>#N/A</v>
      </c>
      <c r="AI72" s="526"/>
      <c r="AJ72" s="190"/>
      <c r="AK72" s="190"/>
      <c r="AL72" s="187"/>
      <c r="AM72" s="184" t="e">
        <f t="shared" si="67"/>
        <v>#N/A</v>
      </c>
      <c r="AN72" s="526"/>
      <c r="AO72" s="190"/>
      <c r="AP72" s="190"/>
      <c r="AQ72" s="187" t="str">
        <f t="shared" si="62"/>
        <v/>
      </c>
      <c r="AR72" s="184" t="e">
        <f t="shared" si="68"/>
        <v>#VALUE!</v>
      </c>
      <c r="AS72" s="526"/>
      <c r="AT72" s="190"/>
      <c r="AU72" s="190"/>
      <c r="AV72" s="187"/>
      <c r="AW72" s="184" t="e">
        <f t="shared" si="69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61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65"/>
        <v>127.79864763335836</v>
      </c>
      <c r="AH73" s="184" t="e">
        <f t="shared" si="66"/>
        <v>#N/A</v>
      </c>
      <c r="AI73" s="526"/>
      <c r="AJ73" s="190"/>
      <c r="AK73" s="190"/>
      <c r="AL73" s="187"/>
      <c r="AM73" s="184" t="e">
        <f t="shared" si="67"/>
        <v>#N/A</v>
      </c>
      <c r="AN73" s="526"/>
      <c r="AO73" s="190"/>
      <c r="AP73" s="190"/>
      <c r="AQ73" s="187" t="str">
        <f t="shared" si="62"/>
        <v/>
      </c>
      <c r="AR73" s="184" t="e">
        <f t="shared" si="68"/>
        <v>#VALUE!</v>
      </c>
      <c r="AS73" s="526"/>
      <c r="AT73" s="190"/>
      <c r="AU73" s="190"/>
      <c r="AV73" s="187"/>
      <c r="AW73" s="184" t="e">
        <f t="shared" si="69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61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65"/>
        <v>183.34709515473759</v>
      </c>
      <c r="AH74" s="184" t="e">
        <f t="shared" si="66"/>
        <v>#N/A</v>
      </c>
      <c r="AI74" s="526"/>
      <c r="AJ74" s="190"/>
      <c r="AK74" s="190"/>
      <c r="AL74" s="187"/>
      <c r="AM74" s="184" t="e">
        <f t="shared" si="67"/>
        <v>#N/A</v>
      </c>
      <c r="AN74" s="526"/>
      <c r="AO74" s="190"/>
      <c r="AP74" s="190"/>
      <c r="AQ74" s="187" t="str">
        <f t="shared" si="62"/>
        <v/>
      </c>
      <c r="AR74" s="184" t="e">
        <f t="shared" si="68"/>
        <v>#VALUE!</v>
      </c>
      <c r="AS74" s="526"/>
      <c r="AT74" s="190"/>
      <c r="AU74" s="190"/>
      <c r="AV74" s="187"/>
      <c r="AW74" s="184" t="e">
        <f t="shared" si="69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61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65"/>
        <v>183.51228908786049</v>
      </c>
      <c r="AH75" s="184" t="e">
        <f t="shared" si="66"/>
        <v>#N/A</v>
      </c>
      <c r="AI75" s="526"/>
      <c r="AJ75" s="190"/>
      <c r="AK75" s="190"/>
      <c r="AL75" s="187"/>
      <c r="AM75" s="184" t="e">
        <f t="shared" si="67"/>
        <v>#N/A</v>
      </c>
      <c r="AN75" s="526"/>
      <c r="AO75" s="190"/>
      <c r="AP75" s="190"/>
      <c r="AQ75" s="187" t="str">
        <f t="shared" si="62"/>
        <v/>
      </c>
      <c r="AR75" s="184" t="e">
        <f t="shared" si="68"/>
        <v>#VALUE!</v>
      </c>
      <c r="AS75" s="526"/>
      <c r="AT75" s="190"/>
      <c r="AU75" s="190"/>
      <c r="AV75" s="187"/>
      <c r="AW75" s="184" t="e">
        <f t="shared" si="69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61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65"/>
        <v>286.63901543482666</v>
      </c>
      <c r="AH76" s="184" t="e">
        <f t="shared" si="66"/>
        <v>#N/A</v>
      </c>
      <c r="AI76" s="526"/>
      <c r="AJ76" s="190"/>
      <c r="AK76" s="190"/>
      <c r="AL76" s="187"/>
      <c r="AM76" s="184" t="e">
        <f t="shared" si="67"/>
        <v>#N/A</v>
      </c>
      <c r="AN76" s="526"/>
      <c r="AO76" s="190"/>
      <c r="AP76" s="190"/>
      <c r="AQ76" s="187" t="str">
        <f t="shared" si="62"/>
        <v/>
      </c>
      <c r="AR76" s="184" t="e">
        <f t="shared" si="68"/>
        <v>#VALUE!</v>
      </c>
      <c r="AS76" s="526"/>
      <c r="AT76" s="190"/>
      <c r="AU76" s="190"/>
      <c r="AV76" s="187"/>
      <c r="AW76" s="184" t="e">
        <f t="shared" si="69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70">U82+1</f>
        <v>46079</v>
      </c>
      <c r="AA82" s="583"/>
      <c r="AB82" s="583"/>
      <c r="AC82" s="583"/>
      <c r="AD82" s="583"/>
      <c r="AE82" s="584">
        <f t="shared" ref="AE82" si="71">Z82+1</f>
        <v>46080</v>
      </c>
      <c r="AF82" s="585"/>
      <c r="AG82" s="585"/>
      <c r="AH82" s="585"/>
      <c r="AI82" s="585"/>
      <c r="AJ82" s="586">
        <f t="shared" ref="AJ82" si="72">AE82+1</f>
        <v>46081</v>
      </c>
      <c r="AK82" s="587"/>
      <c r="AL82" s="587"/>
      <c r="AM82" s="587"/>
      <c r="AN82" s="588"/>
      <c r="AO82" s="584">
        <f t="shared" ref="AO82" si="73">AJ82+1</f>
        <v>46082</v>
      </c>
      <c r="AP82" s="585"/>
      <c r="AQ82" s="585"/>
      <c r="AR82" s="585"/>
      <c r="AS82" s="585"/>
      <c r="AT82" s="586">
        <f t="shared" ref="AT82" si="74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75">Z82</f>
        <v>46079</v>
      </c>
      <c r="AA83" s="589"/>
      <c r="AB83" s="589"/>
      <c r="AC83" s="589"/>
      <c r="AD83" s="589"/>
      <c r="AE83" s="590">
        <f t="shared" ref="AE83" si="76">AE82</f>
        <v>46080</v>
      </c>
      <c r="AF83" s="590"/>
      <c r="AG83" s="590"/>
      <c r="AH83" s="590"/>
      <c r="AI83" s="590"/>
      <c r="AJ83" s="591">
        <f t="shared" ref="AJ83" si="77">AJ82</f>
        <v>46081</v>
      </c>
      <c r="AK83" s="592"/>
      <c r="AL83" s="592"/>
      <c r="AM83" s="592"/>
      <c r="AN83" s="593"/>
      <c r="AO83" s="590">
        <f t="shared" ref="AO83" si="78">AO82</f>
        <v>46082</v>
      </c>
      <c r="AP83" s="590"/>
      <c r="AQ83" s="590"/>
      <c r="AR83" s="590"/>
      <c r="AS83" s="590"/>
      <c r="AT83" s="591">
        <f t="shared" ref="AT83" si="79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14" t="s">
        <v>390</v>
      </c>
      <c r="C87" s="182">
        <v>1</v>
      </c>
      <c r="D87" s="185"/>
      <c r="E87" s="182"/>
      <c r="F87" s="182"/>
      <c r="G87" s="187" t="e">
        <f t="shared" ref="G87:G96" si="80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81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82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80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83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84">IFERROR(AF88/AE88,"")</f>
        <v>183.41069933795009</v>
      </c>
      <c r="AH88" s="184" t="e">
        <f t="shared" ref="AH88:AH96" si="85">RANK(AG88, AG$27:AG$41)</f>
        <v>#N/A</v>
      </c>
      <c r="AI88" s="526"/>
      <c r="AJ88" s="190"/>
      <c r="AK88" s="190"/>
      <c r="AL88" s="187"/>
      <c r="AM88" s="184" t="e">
        <f t="shared" ref="AM88:AM96" si="86">RANK(AL88, AL$27:AL$41)</f>
        <v>#N/A</v>
      </c>
      <c r="AN88" s="526"/>
      <c r="AO88" s="190"/>
      <c r="AP88" s="190"/>
      <c r="AQ88" s="187" t="str">
        <f t="shared" si="81"/>
        <v/>
      </c>
      <c r="AR88" s="184" t="e">
        <f t="shared" ref="AR88:AR96" si="87">RANK(AQ88, AQ$27:AQ$41)</f>
        <v>#VALUE!</v>
      </c>
      <c r="AS88" s="526"/>
      <c r="AT88" s="190"/>
      <c r="AU88" s="190"/>
      <c r="AV88" s="187"/>
      <c r="AW88" s="184" t="e">
        <f t="shared" ref="AW88:AW96" si="88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80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83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84"/>
        <v>286.56852329640265</v>
      </c>
      <c r="AH89" s="184" t="e">
        <f t="shared" si="85"/>
        <v>#N/A</v>
      </c>
      <c r="AI89" s="526"/>
      <c r="AJ89" s="190"/>
      <c r="AK89" s="190"/>
      <c r="AL89" s="187"/>
      <c r="AM89" s="184" t="e">
        <f t="shared" si="86"/>
        <v>#N/A</v>
      </c>
      <c r="AN89" s="526"/>
      <c r="AO89" s="190"/>
      <c r="AP89" s="190"/>
      <c r="AQ89" s="187" t="str">
        <f t="shared" si="81"/>
        <v/>
      </c>
      <c r="AR89" s="184" t="e">
        <f t="shared" si="87"/>
        <v>#VALUE!</v>
      </c>
      <c r="AS89" s="526"/>
      <c r="AT89" s="190"/>
      <c r="AU89" s="190"/>
      <c r="AV89" s="187"/>
      <c r="AW89" s="184" t="e">
        <f t="shared" si="88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80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84"/>
        <v>386.3900414937761</v>
      </c>
      <c r="AH90" s="184" t="e">
        <f t="shared" si="85"/>
        <v>#N/A</v>
      </c>
      <c r="AI90" s="526"/>
      <c r="AJ90" s="190"/>
      <c r="AK90" s="190"/>
      <c r="AL90" s="187"/>
      <c r="AM90" s="184" t="e">
        <f t="shared" si="86"/>
        <v>#N/A</v>
      </c>
      <c r="AN90" s="526"/>
      <c r="AO90" s="190"/>
      <c r="AP90" s="190"/>
      <c r="AQ90" s="187" t="str">
        <f t="shared" si="81"/>
        <v/>
      </c>
      <c r="AR90" s="184" t="e">
        <f t="shared" si="87"/>
        <v>#VALUE!</v>
      </c>
      <c r="AS90" s="526"/>
      <c r="AT90" s="190"/>
      <c r="AU90" s="190"/>
      <c r="AV90" s="187"/>
      <c r="AW90" s="184" t="e">
        <f t="shared" si="88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80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84"/>
        <v>375.74552683896599</v>
      </c>
      <c r="AH91" s="184" t="e">
        <f t="shared" si="85"/>
        <v>#N/A</v>
      </c>
      <c r="AI91" s="526"/>
      <c r="AJ91" s="190"/>
      <c r="AK91" s="190"/>
      <c r="AL91" s="187"/>
      <c r="AM91" s="184" t="e">
        <f t="shared" si="86"/>
        <v>#N/A</v>
      </c>
      <c r="AN91" s="526"/>
      <c r="AO91" s="190"/>
      <c r="AP91" s="190"/>
      <c r="AQ91" s="187" t="str">
        <f t="shared" si="81"/>
        <v/>
      </c>
      <c r="AR91" s="184" t="e">
        <f t="shared" si="87"/>
        <v>#VALUE!</v>
      </c>
      <c r="AS91" s="526"/>
      <c r="AT91" s="190"/>
      <c r="AU91" s="190"/>
      <c r="AV91" s="187"/>
      <c r="AW91" s="184" t="e">
        <f t="shared" si="88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80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84"/>
        <v>386.4406779661013</v>
      </c>
      <c r="AH92" s="184" t="e">
        <f t="shared" si="85"/>
        <v>#N/A</v>
      </c>
      <c r="AI92" s="526"/>
      <c r="AJ92" s="190"/>
      <c r="AK92" s="190"/>
      <c r="AL92" s="187"/>
      <c r="AM92" s="184" t="e">
        <f t="shared" si="86"/>
        <v>#N/A</v>
      </c>
      <c r="AN92" s="526"/>
      <c r="AO92" s="190"/>
      <c r="AP92" s="190"/>
      <c r="AQ92" s="187" t="str">
        <f t="shared" si="81"/>
        <v/>
      </c>
      <c r="AR92" s="184" t="e">
        <f t="shared" si="87"/>
        <v>#VALUE!</v>
      </c>
      <c r="AS92" s="526"/>
      <c r="AT92" s="190"/>
      <c r="AU92" s="190"/>
      <c r="AV92" s="187"/>
      <c r="AW92" s="184" t="e">
        <f t="shared" si="88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80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84"/>
        <v>127.79864763335836</v>
      </c>
      <c r="AH93" s="184" t="e">
        <f t="shared" si="85"/>
        <v>#N/A</v>
      </c>
      <c r="AI93" s="526"/>
      <c r="AJ93" s="190"/>
      <c r="AK93" s="190"/>
      <c r="AL93" s="187"/>
      <c r="AM93" s="184" t="e">
        <f t="shared" si="86"/>
        <v>#N/A</v>
      </c>
      <c r="AN93" s="526"/>
      <c r="AO93" s="190"/>
      <c r="AP93" s="190"/>
      <c r="AQ93" s="187" t="str">
        <f t="shared" si="81"/>
        <v/>
      </c>
      <c r="AR93" s="184" t="e">
        <f t="shared" si="87"/>
        <v>#VALUE!</v>
      </c>
      <c r="AS93" s="526"/>
      <c r="AT93" s="190"/>
      <c r="AU93" s="190"/>
      <c r="AV93" s="187"/>
      <c r="AW93" s="184" t="e">
        <f t="shared" si="88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80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84"/>
        <v>183.34709515473759</v>
      </c>
      <c r="AH94" s="184" t="e">
        <f t="shared" si="85"/>
        <v>#N/A</v>
      </c>
      <c r="AI94" s="526"/>
      <c r="AJ94" s="190"/>
      <c r="AK94" s="190"/>
      <c r="AL94" s="187"/>
      <c r="AM94" s="184" t="e">
        <f t="shared" si="86"/>
        <v>#N/A</v>
      </c>
      <c r="AN94" s="526"/>
      <c r="AO94" s="190"/>
      <c r="AP94" s="190"/>
      <c r="AQ94" s="187" t="str">
        <f t="shared" si="81"/>
        <v/>
      </c>
      <c r="AR94" s="184" t="e">
        <f t="shared" si="87"/>
        <v>#VALUE!</v>
      </c>
      <c r="AS94" s="526"/>
      <c r="AT94" s="190"/>
      <c r="AU94" s="190"/>
      <c r="AV94" s="187"/>
      <c r="AW94" s="184" t="e">
        <f t="shared" si="88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80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84"/>
        <v>183.51228908786049</v>
      </c>
      <c r="AH95" s="184" t="e">
        <f t="shared" si="85"/>
        <v>#N/A</v>
      </c>
      <c r="AI95" s="526"/>
      <c r="AJ95" s="190"/>
      <c r="AK95" s="190"/>
      <c r="AL95" s="187"/>
      <c r="AM95" s="184" t="e">
        <f t="shared" si="86"/>
        <v>#N/A</v>
      </c>
      <c r="AN95" s="526"/>
      <c r="AO95" s="190"/>
      <c r="AP95" s="190"/>
      <c r="AQ95" s="187" t="str">
        <f t="shared" si="81"/>
        <v/>
      </c>
      <c r="AR95" s="184" t="e">
        <f t="shared" si="87"/>
        <v>#VALUE!</v>
      </c>
      <c r="AS95" s="526"/>
      <c r="AT95" s="190"/>
      <c r="AU95" s="190"/>
      <c r="AV95" s="187"/>
      <c r="AW95" s="184" t="e">
        <f t="shared" si="88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80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84"/>
        <v>286.63901543482666</v>
      </c>
      <c r="AH96" s="184" t="e">
        <f t="shared" si="85"/>
        <v>#N/A</v>
      </c>
      <c r="AI96" s="526"/>
      <c r="AJ96" s="190"/>
      <c r="AK96" s="190"/>
      <c r="AL96" s="187"/>
      <c r="AM96" s="184" t="e">
        <f t="shared" si="86"/>
        <v>#N/A</v>
      </c>
      <c r="AN96" s="526"/>
      <c r="AO96" s="190"/>
      <c r="AP96" s="190"/>
      <c r="AQ96" s="187" t="str">
        <f t="shared" si="81"/>
        <v/>
      </c>
      <c r="AR96" s="184" t="e">
        <f t="shared" si="87"/>
        <v>#VALUE!</v>
      </c>
      <c r="AS96" s="526"/>
      <c r="AT96" s="190"/>
      <c r="AU96" s="190"/>
      <c r="AV96" s="187"/>
      <c r="AW96" s="184" t="e">
        <f t="shared" si="88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E14" activePane="bottomRight" state="frozen"/>
      <selection activeCell="L95" sqref="L95"/>
      <selection pane="topRight" activeCell="L95" sqref="L95"/>
      <selection pane="bottomLeft" activeCell="L95" sqref="L95"/>
      <selection pane="bottomRight" activeCell="AI27" sqref="AI27:AI4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699</v>
      </c>
      <c r="C1" s="177">
        <f>AVERAGE(L27,L47,L67,L87)</f>
        <v>81.884984557586122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f t="shared" ref="AJ2" si="2">AE2+1</f>
        <v>46053</v>
      </c>
      <c r="AK2" s="587"/>
      <c r="AL2" s="587"/>
      <c r="AM2" s="587"/>
      <c r="AN2" s="588"/>
      <c r="AO2" s="584">
        <f t="shared" ref="AO2" si="3">AJ2+1</f>
        <v>46054</v>
      </c>
      <c r="AP2" s="585"/>
      <c r="AQ2" s="585"/>
      <c r="AR2" s="585"/>
      <c r="AS2" s="585"/>
      <c r="AT2" s="586">
        <f t="shared" ref="AT2" si="4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5">Z2</f>
        <v>46051</v>
      </c>
      <c r="AA3" s="589"/>
      <c r="AB3" s="589"/>
      <c r="AC3" s="589"/>
      <c r="AD3" s="589"/>
      <c r="AE3" s="590">
        <f t="shared" ref="AE3" si="6">AE2</f>
        <v>46052</v>
      </c>
      <c r="AF3" s="590"/>
      <c r="AG3" s="590"/>
      <c r="AH3" s="590"/>
      <c r="AI3" s="590"/>
      <c r="AJ3" s="591">
        <f t="shared" ref="AJ3" si="7">AJ2</f>
        <v>46053</v>
      </c>
      <c r="AK3" s="592"/>
      <c r="AL3" s="592"/>
      <c r="AM3" s="592"/>
      <c r="AN3" s="593"/>
      <c r="AO3" s="590">
        <f t="shared" ref="AO3" si="8">AO2</f>
        <v>46054</v>
      </c>
      <c r="AP3" s="590"/>
      <c r="AQ3" s="590"/>
      <c r="AR3" s="590"/>
      <c r="AS3" s="590"/>
      <c r="AT3" s="591">
        <f t="shared" ref="AT3" si="9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 t="s">
        <v>386</v>
      </c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14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4" si="10">F7/E7</f>
        <v>80</v>
      </c>
      <c r="H7" s="526">
        <f>AVERAGE(G7:G21)</f>
        <v>92.013457556935819</v>
      </c>
      <c r="I7" s="188">
        <f>AVERAGE(P7,U7,Z7,AE7,AJ7,AO7,AT7)</f>
        <v>25</v>
      </c>
      <c r="J7" s="188">
        <f>AVERAGE(Q7,V7,AA7,AF7,AK7,AP7,AU7)</f>
        <v>1777.516778384901</v>
      </c>
      <c r="K7" s="189">
        <f>AVERAGE(R7,W7,AB7,AG7,AL7,AQ7,AV7)</f>
        <v>71.100671135396041</v>
      </c>
      <c r="L7" s="527">
        <f>IFERROR(AVERAGE(K7:K21),"-")</f>
        <v>81.823352265283972</v>
      </c>
      <c r="M7" s="188">
        <f>RANK(K7, K$7:$K$21)</f>
        <v>8</v>
      </c>
      <c r="N7" s="514"/>
      <c r="O7" s="514"/>
      <c r="P7" s="190">
        <v>25</v>
      </c>
      <c r="Q7" s="190">
        <v>1777.0169776904729</v>
      </c>
      <c r="R7" s="187">
        <f>IFERROR(Q7/P7,"")</f>
        <v>71.08067910761892</v>
      </c>
      <c r="S7" s="184">
        <f>RANK(R7, R$7:R$21)</f>
        <v>8</v>
      </c>
      <c r="T7" s="526">
        <f>AVERAGE(R7:R21)</f>
        <v>81.781742218154392</v>
      </c>
      <c r="U7" s="190">
        <v>25</v>
      </c>
      <c r="V7" s="190">
        <v>1776.9739744155263</v>
      </c>
      <c r="W7" s="187">
        <f t="shared" ref="W7:W14" si="11">IFERROR(V7/U7,"")</f>
        <v>71.078958976621053</v>
      </c>
      <c r="X7" s="184">
        <f>RANK(W7, W$7:W$21)</f>
        <v>8</v>
      </c>
      <c r="Y7" s="526">
        <f>AVERAGE(W7:W21)</f>
        <v>81.794498133632359</v>
      </c>
      <c r="Z7" s="190">
        <v>25</v>
      </c>
      <c r="AA7" s="190">
        <v>1777.2507411452641</v>
      </c>
      <c r="AB7" s="187">
        <f t="shared" ref="AB7:AB14" si="12">IFERROR(AA7/Z7,"")</f>
        <v>71.09002964581056</v>
      </c>
      <c r="AC7" s="184">
        <v>8</v>
      </c>
      <c r="AD7" s="526">
        <f>AVERAGE(AB7:AB21)</f>
        <v>81.815710527504351</v>
      </c>
      <c r="AE7" s="190">
        <v>25</v>
      </c>
      <c r="AF7" s="190">
        <v>1777.6775648252535</v>
      </c>
      <c r="AG7" s="187">
        <f>IFERROR(AF7/AE7,"")</f>
        <v>71.10710259301014</v>
      </c>
      <c r="AH7" s="184">
        <f>RANK(AG7, AG$7:AG$21)</f>
        <v>8</v>
      </c>
      <c r="AI7" s="526">
        <f>AVERAGE(AG7:AG21)</f>
        <v>81.831107700667545</v>
      </c>
      <c r="AJ7" s="190">
        <v>25</v>
      </c>
      <c r="AK7" s="190">
        <v>1777.8613804080453</v>
      </c>
      <c r="AL7" s="187">
        <f t="shared" ref="AL7:AL14" si="13">IFERROR(AK7/AJ7,"")</f>
        <v>71.114455216321815</v>
      </c>
      <c r="AM7" s="184">
        <f>RANK(AL7, AL$7:AL$21)</f>
        <v>8</v>
      </c>
      <c r="AN7" s="526">
        <f>AVERAGE(AL7:AL21)</f>
        <v>81.837011705723427</v>
      </c>
      <c r="AO7" s="190">
        <v>25</v>
      </c>
      <c r="AP7" s="190">
        <v>1777.9591836734694</v>
      </c>
      <c r="AQ7" s="187">
        <f t="shared" ref="AQ7:AQ14" si="14">IFERROR(AP7/AO7,"")</f>
        <v>71.118367346938783</v>
      </c>
      <c r="AR7" s="184">
        <f>RANK(AQ7, AQ$7:AQ$21)</f>
        <v>8</v>
      </c>
      <c r="AS7" s="526">
        <f>AVERAGE(AQ7:AQ21)</f>
        <v>81.846394095026596</v>
      </c>
      <c r="AT7" s="190">
        <v>25</v>
      </c>
      <c r="AU7" s="190">
        <v>1777.877626536276</v>
      </c>
      <c r="AV7" s="187">
        <f t="shared" ref="AV7:AV14" si="15">IFERROR(AU7/AT7,"")</f>
        <v>71.115105061451047</v>
      </c>
      <c r="AW7" s="184">
        <f>RANK(AV7, AV$7:AV$21)</f>
        <v>8</v>
      </c>
      <c r="AX7" s="526">
        <f>AVERAGE(AV7:AV21)</f>
        <v>81.857001476279081</v>
      </c>
    </row>
    <row r="8" spans="1:50" ht="14.25" customHeight="1">
      <c r="B8" s="514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26"/>
      <c r="I8" s="188">
        <f t="shared" ref="I8:I14" si="16">AVERAGE(P8,U8,Z8,AE8,AJ8,AO8,AT8)</f>
        <v>23</v>
      </c>
      <c r="J8" s="188">
        <f t="shared" ref="J8:J14" si="17">AVERAGE(Q8,V8,AA8,AF8,AK8,AP8,AU8)</f>
        <v>1778.4179655591065</v>
      </c>
      <c r="K8" s="189">
        <f t="shared" ref="K8:K14" si="18">AVERAGE(R8,W8,AB8,AG8,AL8,AQ8,AV8)</f>
        <v>77.322520241700303</v>
      </c>
      <c r="L8" s="527"/>
      <c r="M8" s="188">
        <f>RANK(K8, K$7:$K$21)</f>
        <v>5</v>
      </c>
      <c r="N8" s="514"/>
      <c r="O8" s="514"/>
      <c r="P8" s="190">
        <v>23</v>
      </c>
      <c r="Q8" s="190">
        <v>1777.4999999999998</v>
      </c>
      <c r="R8" s="187">
        <f t="shared" ref="R8:R14" si="19">IFERROR(Q8/P8,"")</f>
        <v>77.282608695652158</v>
      </c>
      <c r="S8" s="184">
        <f t="shared" ref="S8:S14" si="20">RANK(R8, R$7:R$21)</f>
        <v>5</v>
      </c>
      <c r="T8" s="526"/>
      <c r="U8" s="190">
        <v>23</v>
      </c>
      <c r="V8" s="190">
        <v>1777.5800711743777</v>
      </c>
      <c r="W8" s="187">
        <f t="shared" si="11"/>
        <v>77.286090051059901</v>
      </c>
      <c r="X8" s="184">
        <f t="shared" ref="X8:X14" si="21">RANK(W8, W$7:W$21)</f>
        <v>5</v>
      </c>
      <c r="Y8" s="526"/>
      <c r="Z8" s="190">
        <v>23</v>
      </c>
      <c r="AA8" s="190">
        <v>1777.3853989813224</v>
      </c>
      <c r="AB8" s="187">
        <f t="shared" si="12"/>
        <v>77.277626042666185</v>
      </c>
      <c r="AC8" s="184">
        <v>6</v>
      </c>
      <c r="AD8" s="526"/>
      <c r="AE8" s="190">
        <v>23</v>
      </c>
      <c r="AF8" s="190">
        <v>1778.9086039504518</v>
      </c>
      <c r="AG8" s="187">
        <f t="shared" ref="AG8:AG14" si="22">IFERROR(AF8/AE8,"")</f>
        <v>77.34385234567182</v>
      </c>
      <c r="AH8" s="184">
        <f t="shared" ref="AH8:AH14" si="23">RANK(AG8, AG$7:AG$21)</f>
        <v>5</v>
      </c>
      <c r="AI8" s="526"/>
      <c r="AJ8" s="190">
        <v>23</v>
      </c>
      <c r="AK8" s="190">
        <v>1778.9378937893825</v>
      </c>
      <c r="AL8" s="187">
        <f t="shared" si="13"/>
        <v>77.345125816929681</v>
      </c>
      <c r="AM8" s="184">
        <f t="shared" ref="AM8:AM14" si="24">RANK(AL8, AL$7:AL$21)</f>
        <v>6</v>
      </c>
      <c r="AN8" s="526"/>
      <c r="AO8" s="190">
        <v>23</v>
      </c>
      <c r="AP8" s="190">
        <v>1779.1934240945254</v>
      </c>
      <c r="AQ8" s="187">
        <f t="shared" si="14"/>
        <v>77.356235830196752</v>
      </c>
      <c r="AR8" s="184">
        <f t="shared" ref="AR8:AR14" si="25">RANK(AQ8, AQ$7:AQ$21)</f>
        <v>6</v>
      </c>
      <c r="AS8" s="526"/>
      <c r="AT8" s="190">
        <v>23</v>
      </c>
      <c r="AU8" s="190">
        <v>1779.4203669236877</v>
      </c>
      <c r="AV8" s="187">
        <f t="shared" si="15"/>
        <v>77.366102909725555</v>
      </c>
      <c r="AW8" s="184">
        <f t="shared" ref="AW8:AW14" si="26">RANK(AV8, AV$7:AV$21)</f>
        <v>6</v>
      </c>
      <c r="AX8" s="526"/>
    </row>
    <row r="9" spans="1:50" ht="14.25" customHeight="1">
      <c r="B9" s="514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26"/>
      <c r="I9" s="188">
        <f t="shared" si="16"/>
        <v>23</v>
      </c>
      <c r="J9" s="188">
        <f t="shared" si="17"/>
        <v>1778.3306787978483</v>
      </c>
      <c r="K9" s="189">
        <f t="shared" si="18"/>
        <v>77.318725165123837</v>
      </c>
      <c r="L9" s="527"/>
      <c r="M9" s="188">
        <f>RANK(K9, K$7:$K$21)</f>
        <v>6</v>
      </c>
      <c r="N9" s="514"/>
      <c r="O9" s="514"/>
      <c r="P9" s="190">
        <v>23</v>
      </c>
      <c r="Q9" s="190">
        <v>1776.9751693002302</v>
      </c>
      <c r="R9" s="187">
        <f t="shared" si="19"/>
        <v>77.259789969575223</v>
      </c>
      <c r="S9" s="184">
        <f t="shared" si="20"/>
        <v>6</v>
      </c>
      <c r="T9" s="526"/>
      <c r="U9" s="190">
        <v>23</v>
      </c>
      <c r="V9" s="190">
        <v>1777.5085195001848</v>
      </c>
      <c r="W9" s="187">
        <f t="shared" si="11"/>
        <v>77.282979108703685</v>
      </c>
      <c r="X9" s="184">
        <f t="shared" si="21"/>
        <v>6</v>
      </c>
      <c r="Y9" s="526"/>
      <c r="Z9" s="190">
        <v>23</v>
      </c>
      <c r="AA9" s="190">
        <v>1777.5601068566345</v>
      </c>
      <c r="AB9" s="187">
        <f t="shared" si="12"/>
        <v>77.285222037244978</v>
      </c>
      <c r="AC9" s="184">
        <v>5</v>
      </c>
      <c r="AD9" s="526"/>
      <c r="AE9" s="190">
        <v>23</v>
      </c>
      <c r="AF9" s="190">
        <v>1777.7018368218653</v>
      </c>
      <c r="AG9" s="187">
        <f t="shared" si="22"/>
        <v>77.291384209646324</v>
      </c>
      <c r="AH9" s="184">
        <f t="shared" si="23"/>
        <v>6</v>
      </c>
      <c r="AI9" s="526"/>
      <c r="AJ9" s="190">
        <v>23</v>
      </c>
      <c r="AK9" s="190">
        <v>1779.6445880452343</v>
      </c>
      <c r="AL9" s="187">
        <f t="shared" si="13"/>
        <v>77.375851654140618</v>
      </c>
      <c r="AM9" s="184">
        <f t="shared" si="24"/>
        <v>5</v>
      </c>
      <c r="AN9" s="526"/>
      <c r="AO9" s="190">
        <v>23</v>
      </c>
      <c r="AP9" s="190">
        <v>1779.3645594497211</v>
      </c>
      <c r="AQ9" s="187">
        <f t="shared" si="14"/>
        <v>77.363676497813955</v>
      </c>
      <c r="AR9" s="184">
        <f t="shared" si="25"/>
        <v>5</v>
      </c>
      <c r="AS9" s="526"/>
      <c r="AT9" s="190">
        <v>23</v>
      </c>
      <c r="AU9" s="190">
        <v>1779.559971611068</v>
      </c>
      <c r="AV9" s="187">
        <f t="shared" si="15"/>
        <v>77.372172678742089</v>
      </c>
      <c r="AW9" s="184">
        <f t="shared" si="26"/>
        <v>5</v>
      </c>
      <c r="AX9" s="526"/>
    </row>
    <row r="10" spans="1:50" ht="14.25" customHeight="1">
      <c r="B10" s="514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26"/>
      <c r="I10" s="188">
        <f t="shared" si="16"/>
        <v>23</v>
      </c>
      <c r="J10" s="188">
        <f t="shared" si="17"/>
        <v>1777.1735461732044</v>
      </c>
      <c r="K10" s="189">
        <f t="shared" si="18"/>
        <v>77.268415051008887</v>
      </c>
      <c r="L10" s="527"/>
      <c r="M10" s="188">
        <f>RANK(K10, K$7:$K$21)</f>
        <v>7</v>
      </c>
      <c r="N10" s="514"/>
      <c r="O10" s="514"/>
      <c r="P10" s="190">
        <v>23</v>
      </c>
      <c r="Q10" s="190">
        <v>1776.330619912339</v>
      </c>
      <c r="R10" s="187">
        <f t="shared" si="19"/>
        <v>77.231766083145175</v>
      </c>
      <c r="S10" s="184">
        <f t="shared" si="20"/>
        <v>7</v>
      </c>
      <c r="T10" s="526"/>
      <c r="U10" s="190">
        <v>23</v>
      </c>
      <c r="V10" s="190">
        <v>1776.8240343347595</v>
      </c>
      <c r="W10" s="187">
        <f t="shared" si="11"/>
        <v>77.253218884119974</v>
      </c>
      <c r="X10" s="184">
        <f t="shared" si="21"/>
        <v>7</v>
      </c>
      <c r="Y10" s="526"/>
      <c r="Z10" s="190">
        <v>23</v>
      </c>
      <c r="AA10" s="190">
        <v>1777.2321428571443</v>
      </c>
      <c r="AB10" s="187">
        <f t="shared" si="12"/>
        <v>77.270962732919315</v>
      </c>
      <c r="AC10" s="184">
        <v>7</v>
      </c>
      <c r="AD10" s="526"/>
      <c r="AE10" s="190">
        <v>23</v>
      </c>
      <c r="AF10" s="190">
        <v>1777.1830985915458</v>
      </c>
      <c r="AG10" s="187">
        <f t="shared" si="22"/>
        <v>77.26883037354547</v>
      </c>
      <c r="AH10" s="184">
        <f t="shared" si="23"/>
        <v>7</v>
      </c>
      <c r="AI10" s="526"/>
      <c r="AJ10" s="190">
        <v>23</v>
      </c>
      <c r="AK10" s="190">
        <v>1777.3621412447549</v>
      </c>
      <c r="AL10" s="187">
        <f t="shared" si="13"/>
        <v>77.27661483672847</v>
      </c>
      <c r="AM10" s="184">
        <f t="shared" si="24"/>
        <v>7</v>
      </c>
      <c r="AN10" s="526"/>
      <c r="AO10" s="190">
        <v>23</v>
      </c>
      <c r="AP10" s="190">
        <v>1777.5187343880114</v>
      </c>
      <c r="AQ10" s="187">
        <f t="shared" si="14"/>
        <v>77.283423234261363</v>
      </c>
      <c r="AR10" s="184">
        <f t="shared" si="25"/>
        <v>7</v>
      </c>
      <c r="AS10" s="526"/>
      <c r="AT10" s="190">
        <v>23</v>
      </c>
      <c r="AU10" s="190">
        <v>1777.7640518838766</v>
      </c>
      <c r="AV10" s="187">
        <f t="shared" si="15"/>
        <v>77.294089212342456</v>
      </c>
      <c r="AW10" s="184">
        <f t="shared" si="26"/>
        <v>7</v>
      </c>
      <c r="AX10" s="526"/>
    </row>
    <row r="11" spans="1:50" ht="14.25" customHeight="1">
      <c r="B11" s="514"/>
      <c r="C11" s="182">
        <v>5</v>
      </c>
      <c r="D11" s="185" t="s">
        <v>460</v>
      </c>
      <c r="E11" s="182">
        <v>20</v>
      </c>
      <c r="F11" s="182">
        <v>2000</v>
      </c>
      <c r="G11" s="187">
        <f t="shared" si="10"/>
        <v>100</v>
      </c>
      <c r="H11" s="526"/>
      <c r="I11" s="188">
        <f t="shared" si="16"/>
        <v>20</v>
      </c>
      <c r="J11" s="188">
        <f t="shared" si="17"/>
        <v>1779.7850713702653</v>
      </c>
      <c r="K11" s="189">
        <f t="shared" si="18"/>
        <v>88.989253568513277</v>
      </c>
      <c r="L11" s="527"/>
      <c r="M11" s="188">
        <f>RANK(K11, K$7:$K$21)</f>
        <v>2</v>
      </c>
      <c r="N11" s="514"/>
      <c r="O11" s="514"/>
      <c r="P11" s="190">
        <v>20</v>
      </c>
      <c r="Q11" s="190">
        <v>1778.5288270377723</v>
      </c>
      <c r="R11" s="187">
        <f t="shared" si="19"/>
        <v>88.926441351888613</v>
      </c>
      <c r="S11" s="184">
        <f t="shared" si="20"/>
        <v>2</v>
      </c>
      <c r="T11" s="526"/>
      <c r="U11" s="190">
        <v>20</v>
      </c>
      <c r="V11" s="190">
        <v>1778.8617886178856</v>
      </c>
      <c r="W11" s="187">
        <f t="shared" si="11"/>
        <v>88.943089430894275</v>
      </c>
      <c r="X11" s="184">
        <f t="shared" si="21"/>
        <v>2</v>
      </c>
      <c r="Y11" s="526"/>
      <c r="Z11" s="190">
        <v>20</v>
      </c>
      <c r="AA11" s="190">
        <v>1780.2197802197729</v>
      </c>
      <c r="AB11" s="187">
        <f t="shared" si="12"/>
        <v>89.010989010988652</v>
      </c>
      <c r="AC11" s="184">
        <v>2</v>
      </c>
      <c r="AD11" s="526"/>
      <c r="AE11" s="190">
        <v>20</v>
      </c>
      <c r="AF11" s="190">
        <v>1780.434782608708</v>
      </c>
      <c r="AG11" s="187">
        <f t="shared" si="22"/>
        <v>89.021739130435407</v>
      </c>
      <c r="AH11" s="184">
        <f t="shared" si="23"/>
        <v>2</v>
      </c>
      <c r="AI11" s="526"/>
      <c r="AJ11" s="190">
        <v>20</v>
      </c>
      <c r="AK11" s="190">
        <v>1779.1666666666649</v>
      </c>
      <c r="AL11" s="187">
        <f t="shared" si="13"/>
        <v>88.958333333333243</v>
      </c>
      <c r="AM11" s="184">
        <f t="shared" si="24"/>
        <v>2</v>
      </c>
      <c r="AN11" s="526"/>
      <c r="AO11" s="190">
        <v>20</v>
      </c>
      <c r="AP11" s="190">
        <v>1780.4511278195557</v>
      </c>
      <c r="AQ11" s="187">
        <f t="shared" si="14"/>
        <v>89.022556390977783</v>
      </c>
      <c r="AR11" s="184">
        <f t="shared" si="25"/>
        <v>2</v>
      </c>
      <c r="AS11" s="526"/>
      <c r="AT11" s="190">
        <v>20</v>
      </c>
      <c r="AU11" s="190">
        <v>1780.832526621499</v>
      </c>
      <c r="AV11" s="187">
        <f t="shared" si="15"/>
        <v>89.041626331074951</v>
      </c>
      <c r="AW11" s="184">
        <f t="shared" si="26"/>
        <v>2</v>
      </c>
      <c r="AX11" s="526"/>
    </row>
    <row r="12" spans="1:50" ht="14.25" customHeight="1">
      <c r="B12" s="514"/>
      <c r="C12" s="182">
        <v>6</v>
      </c>
      <c r="D12" s="185" t="s">
        <v>482</v>
      </c>
      <c r="E12" s="182">
        <v>21</v>
      </c>
      <c r="F12" s="182">
        <v>2000</v>
      </c>
      <c r="G12" s="187">
        <f t="shared" si="10"/>
        <v>95.238095238095241</v>
      </c>
      <c r="H12" s="526"/>
      <c r="I12" s="188">
        <f t="shared" si="16"/>
        <v>21</v>
      </c>
      <c r="J12" s="188">
        <f t="shared" si="17"/>
        <v>1780.3519497654859</v>
      </c>
      <c r="K12" s="189">
        <f t="shared" si="18"/>
        <v>84.778664274546955</v>
      </c>
      <c r="L12" s="527"/>
      <c r="M12" s="188">
        <f>RANK(K12, K$7:$K$21)</f>
        <v>3</v>
      </c>
      <c r="N12" s="514"/>
      <c r="O12" s="514"/>
      <c r="P12" s="190">
        <v>21</v>
      </c>
      <c r="Q12" s="190">
        <v>1779.4453507340988</v>
      </c>
      <c r="R12" s="187">
        <f t="shared" si="19"/>
        <v>84.735492892099941</v>
      </c>
      <c r="S12" s="184">
        <f t="shared" si="20"/>
        <v>3</v>
      </c>
      <c r="T12" s="526"/>
      <c r="U12" s="190">
        <v>21</v>
      </c>
      <c r="V12" s="190">
        <v>1780</v>
      </c>
      <c r="W12" s="187">
        <f t="shared" si="11"/>
        <v>84.761904761904759</v>
      </c>
      <c r="X12" s="184">
        <f t="shared" si="21"/>
        <v>3</v>
      </c>
      <c r="Y12" s="526"/>
      <c r="Z12" s="190">
        <v>21</v>
      </c>
      <c r="AA12" s="190">
        <v>1780.3493449781736</v>
      </c>
      <c r="AB12" s="187">
        <f t="shared" si="12"/>
        <v>84.778540237055878</v>
      </c>
      <c r="AC12" s="184">
        <v>3</v>
      </c>
      <c r="AD12" s="526"/>
      <c r="AE12" s="190">
        <v>21</v>
      </c>
      <c r="AF12" s="190">
        <v>1780.6888763410548</v>
      </c>
      <c r="AG12" s="187">
        <f t="shared" si="22"/>
        <v>84.794708397193091</v>
      </c>
      <c r="AH12" s="184">
        <f t="shared" si="23"/>
        <v>3</v>
      </c>
      <c r="AI12" s="526"/>
      <c r="AJ12" s="190">
        <v>21</v>
      </c>
      <c r="AK12" s="190">
        <v>1780.6130903065477</v>
      </c>
      <c r="AL12" s="187">
        <f t="shared" si="13"/>
        <v>84.791099538407039</v>
      </c>
      <c r="AM12" s="184">
        <f t="shared" si="24"/>
        <v>3</v>
      </c>
      <c r="AN12" s="526"/>
      <c r="AO12" s="190">
        <v>21</v>
      </c>
      <c r="AP12" s="190">
        <v>1780.4347826086978</v>
      </c>
      <c r="AQ12" s="187">
        <f t="shared" si="14"/>
        <v>84.782608695652272</v>
      </c>
      <c r="AR12" s="184">
        <f t="shared" si="25"/>
        <v>3</v>
      </c>
      <c r="AS12" s="526"/>
      <c r="AT12" s="190">
        <v>21</v>
      </c>
      <c r="AU12" s="190">
        <v>1780.9322033898297</v>
      </c>
      <c r="AV12" s="187">
        <f t="shared" si="15"/>
        <v>84.806295399515705</v>
      </c>
      <c r="AW12" s="184">
        <f t="shared" si="26"/>
        <v>3</v>
      </c>
      <c r="AX12" s="526"/>
    </row>
    <row r="13" spans="1:50" ht="14.25" customHeight="1">
      <c r="B13" s="514"/>
      <c r="C13" s="182">
        <v>7</v>
      </c>
      <c r="D13" s="185" t="s">
        <v>537</v>
      </c>
      <c r="E13" s="182">
        <v>19</v>
      </c>
      <c r="F13" s="182">
        <v>1800</v>
      </c>
      <c r="G13" s="187">
        <f t="shared" si="10"/>
        <v>94.736842105263165</v>
      </c>
      <c r="H13" s="526"/>
      <c r="I13" s="188">
        <f t="shared" si="16"/>
        <v>19</v>
      </c>
      <c r="J13" s="188">
        <f t="shared" si="17"/>
        <v>1601.533383040078</v>
      </c>
      <c r="K13" s="189">
        <f t="shared" si="18"/>
        <v>84.291230686319906</v>
      </c>
      <c r="L13" s="527"/>
      <c r="M13" s="188">
        <f>RANK(K13, K$7:$K$21)</f>
        <v>4</v>
      </c>
      <c r="N13" s="514"/>
      <c r="O13" s="514"/>
      <c r="P13" s="190">
        <v>19</v>
      </c>
      <c r="Q13" s="190">
        <v>1601.2348610781289</v>
      </c>
      <c r="R13" s="187">
        <f t="shared" si="19"/>
        <v>84.275519004112041</v>
      </c>
      <c r="S13" s="184">
        <f t="shared" si="20"/>
        <v>4</v>
      </c>
      <c r="T13" s="526"/>
      <c r="U13" s="190">
        <v>19</v>
      </c>
      <c r="V13" s="190">
        <v>1601.3164556961999</v>
      </c>
      <c r="W13" s="187">
        <f t="shared" si="11"/>
        <v>84.279813457694729</v>
      </c>
      <c r="X13" s="184">
        <f t="shared" si="21"/>
        <v>4</v>
      </c>
      <c r="Y13" s="526"/>
      <c r="Z13" s="190">
        <v>19</v>
      </c>
      <c r="AA13" s="190">
        <v>1601.1876484560605</v>
      </c>
      <c r="AB13" s="187">
        <f t="shared" si="12"/>
        <v>84.27303412926635</v>
      </c>
      <c r="AC13" s="184">
        <v>4</v>
      </c>
      <c r="AD13" s="526"/>
      <c r="AE13" s="190">
        <v>19</v>
      </c>
      <c r="AF13" s="190">
        <v>1601.4340871483755</v>
      </c>
      <c r="AG13" s="187">
        <f t="shared" si="22"/>
        <v>84.286004586756604</v>
      </c>
      <c r="AH13" s="184">
        <f t="shared" si="23"/>
        <v>4</v>
      </c>
      <c r="AI13" s="526"/>
      <c r="AJ13" s="190">
        <v>19</v>
      </c>
      <c r="AK13" s="190">
        <v>1601.6687116564412</v>
      </c>
      <c r="AL13" s="187">
        <f t="shared" si="13"/>
        <v>84.298353245075859</v>
      </c>
      <c r="AM13" s="184">
        <f t="shared" si="24"/>
        <v>4</v>
      </c>
      <c r="AN13" s="526"/>
      <c r="AO13" s="190">
        <v>19</v>
      </c>
      <c r="AP13" s="190">
        <v>1601.8754186202277</v>
      </c>
      <c r="AQ13" s="187">
        <f t="shared" si="14"/>
        <v>84.309232558959351</v>
      </c>
      <c r="AR13" s="184">
        <f t="shared" si="25"/>
        <v>4</v>
      </c>
      <c r="AS13" s="526"/>
      <c r="AT13" s="190">
        <v>19</v>
      </c>
      <c r="AU13" s="190">
        <v>1602.0164986251129</v>
      </c>
      <c r="AV13" s="187">
        <f t="shared" si="15"/>
        <v>84.316657822374367</v>
      </c>
      <c r="AW13" s="184">
        <f t="shared" si="26"/>
        <v>4</v>
      </c>
      <c r="AX13" s="526"/>
    </row>
    <row r="14" spans="1:50" ht="14.25" customHeight="1">
      <c r="B14" s="514"/>
      <c r="C14" s="182">
        <v>8</v>
      </c>
      <c r="D14" s="185" t="s">
        <v>509</v>
      </c>
      <c r="E14" s="182">
        <v>19</v>
      </c>
      <c r="F14" s="182">
        <v>2000</v>
      </c>
      <c r="G14" s="187">
        <f t="shared" si="10"/>
        <v>105.26315789473684</v>
      </c>
      <c r="H14" s="526"/>
      <c r="I14" s="188">
        <f t="shared" si="16"/>
        <v>19</v>
      </c>
      <c r="J14" s="188">
        <f t="shared" si="17"/>
        <v>1776.8294219935883</v>
      </c>
      <c r="K14" s="189">
        <f t="shared" si="18"/>
        <v>93.51733799966253</v>
      </c>
      <c r="L14" s="527"/>
      <c r="M14" s="188">
        <f>RANK(K14, K$7:$K$21)</f>
        <v>1</v>
      </c>
      <c r="N14" s="514"/>
      <c r="O14" s="514"/>
      <c r="P14" s="190">
        <v>19</v>
      </c>
      <c r="Q14" s="190">
        <v>1775.7711721817188</v>
      </c>
      <c r="R14" s="187">
        <f t="shared" si="19"/>
        <v>93.461640641143092</v>
      </c>
      <c r="S14" s="184">
        <f t="shared" si="20"/>
        <v>1</v>
      </c>
      <c r="T14" s="526"/>
      <c r="U14" s="190">
        <v>19</v>
      </c>
      <c r="V14" s="190">
        <v>1775.9286775631492</v>
      </c>
      <c r="W14" s="187">
        <f t="shared" si="11"/>
        <v>93.469930398060484</v>
      </c>
      <c r="X14" s="184">
        <f t="shared" si="21"/>
        <v>1</v>
      </c>
      <c r="Y14" s="526"/>
      <c r="Z14" s="190">
        <v>19</v>
      </c>
      <c r="AA14" s="190">
        <v>1777.246327297574</v>
      </c>
      <c r="AB14" s="187">
        <f t="shared" si="12"/>
        <v>93.539280384082844</v>
      </c>
      <c r="AC14" s="184">
        <v>1</v>
      </c>
      <c r="AD14" s="526"/>
      <c r="AE14" s="190">
        <v>19</v>
      </c>
      <c r="AF14" s="190">
        <v>1777.1695594125492</v>
      </c>
      <c r="AG14" s="187">
        <f t="shared" si="22"/>
        <v>93.535239969081545</v>
      </c>
      <c r="AH14" s="184">
        <f t="shared" si="23"/>
        <v>1</v>
      </c>
      <c r="AI14" s="526"/>
      <c r="AJ14" s="190">
        <v>19</v>
      </c>
      <c r="AK14" s="190">
        <v>1777.1889400921648</v>
      </c>
      <c r="AL14" s="187">
        <f t="shared" si="13"/>
        <v>93.536260004850774</v>
      </c>
      <c r="AM14" s="184">
        <f t="shared" si="24"/>
        <v>1</v>
      </c>
      <c r="AN14" s="526"/>
      <c r="AO14" s="190">
        <v>19</v>
      </c>
      <c r="AP14" s="190">
        <v>1777.165991902837</v>
      </c>
      <c r="AQ14" s="187">
        <f t="shared" si="14"/>
        <v>93.53505220541247</v>
      </c>
      <c r="AR14" s="184">
        <f t="shared" si="25"/>
        <v>1</v>
      </c>
      <c r="AS14" s="526"/>
      <c r="AT14" s="190">
        <v>19</v>
      </c>
      <c r="AU14" s="190">
        <v>1777.335285505123</v>
      </c>
      <c r="AV14" s="187">
        <f t="shared" si="15"/>
        <v>93.543962395006474</v>
      </c>
      <c r="AW14" s="184">
        <f t="shared" si="26"/>
        <v>1</v>
      </c>
      <c r="AX14" s="526"/>
    </row>
    <row r="15" spans="1:50" ht="14.25" customHeight="1">
      <c r="B15" s="514"/>
      <c r="C15" s="182">
        <v>9</v>
      </c>
      <c r="D15" s="185"/>
      <c r="E15" s="182"/>
      <c r="F15" s="182"/>
      <c r="G15" s="187"/>
      <c r="H15" s="526"/>
      <c r="I15" s="188"/>
      <c r="J15" s="188"/>
      <c r="K15" s="189"/>
      <c r="L15" s="527"/>
      <c r="M15" s="188"/>
      <c r="N15" s="514"/>
      <c r="O15" s="514"/>
      <c r="P15" s="190"/>
      <c r="Q15" s="190"/>
      <c r="R15" s="187"/>
      <c r="S15" s="184"/>
      <c r="T15" s="526"/>
      <c r="U15" s="190"/>
      <c r="V15" s="190"/>
      <c r="W15" s="187"/>
      <c r="X15" s="184"/>
      <c r="Y15" s="526"/>
      <c r="Z15" s="190"/>
      <c r="AA15" s="190"/>
      <c r="AB15" s="187"/>
      <c r="AC15" s="184"/>
      <c r="AD15" s="526"/>
      <c r="AE15" s="190"/>
      <c r="AF15" s="190"/>
      <c r="AG15" s="187"/>
      <c r="AH15" s="184"/>
      <c r="AI15" s="526"/>
      <c r="AJ15" s="190"/>
      <c r="AK15" s="190"/>
      <c r="AL15" s="187"/>
      <c r="AM15" s="184"/>
      <c r="AN15" s="526"/>
      <c r="AO15" s="190"/>
      <c r="AP15" s="190"/>
      <c r="AQ15" s="187"/>
      <c r="AR15" s="184"/>
      <c r="AS15" s="526"/>
      <c r="AT15" s="190"/>
      <c r="AU15" s="190"/>
      <c r="AV15" s="187"/>
      <c r="AW15" s="184"/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27">U22+1</f>
        <v>46058</v>
      </c>
      <c r="AA22" s="583"/>
      <c r="AB22" s="583"/>
      <c r="AC22" s="583"/>
      <c r="AD22" s="583"/>
      <c r="AE22" s="584">
        <f t="shared" ref="AE22" si="28">Z22+1</f>
        <v>46059</v>
      </c>
      <c r="AF22" s="585"/>
      <c r="AG22" s="585"/>
      <c r="AH22" s="585"/>
      <c r="AI22" s="585"/>
      <c r="AJ22" s="586">
        <f t="shared" ref="AJ22" si="29">AE22+1</f>
        <v>46060</v>
      </c>
      <c r="AK22" s="587"/>
      <c r="AL22" s="587"/>
      <c r="AM22" s="587"/>
      <c r="AN22" s="588"/>
      <c r="AO22" s="584">
        <f t="shared" ref="AO22" si="30">AJ22+1</f>
        <v>46061</v>
      </c>
      <c r="AP22" s="585"/>
      <c r="AQ22" s="585"/>
      <c r="AR22" s="585"/>
      <c r="AS22" s="585"/>
      <c r="AT22" s="586">
        <f t="shared" ref="AT22" si="31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32">Z22</f>
        <v>46058</v>
      </c>
      <c r="AA23" s="589"/>
      <c r="AB23" s="589"/>
      <c r="AC23" s="589"/>
      <c r="AD23" s="589"/>
      <c r="AE23" s="590">
        <f t="shared" ref="AE23" si="33">AE22</f>
        <v>46059</v>
      </c>
      <c r="AF23" s="590"/>
      <c r="AG23" s="590"/>
      <c r="AH23" s="590"/>
      <c r="AI23" s="590"/>
      <c r="AJ23" s="591">
        <f t="shared" ref="AJ23" si="34">AJ22</f>
        <v>46060</v>
      </c>
      <c r="AK23" s="592"/>
      <c r="AL23" s="592"/>
      <c r="AM23" s="592"/>
      <c r="AN23" s="593"/>
      <c r="AO23" s="590">
        <f t="shared" ref="AO23" si="35">AO22</f>
        <v>46061</v>
      </c>
      <c r="AP23" s="590"/>
      <c r="AQ23" s="590"/>
      <c r="AR23" s="590"/>
      <c r="AS23" s="590"/>
      <c r="AT23" s="591">
        <f t="shared" ref="AT23" si="36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14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4" si="37">F27/E27</f>
        <v>80</v>
      </c>
      <c r="H27" s="526">
        <f>AVERAGE(G27:G41)</f>
        <v>92.013457556935819</v>
      </c>
      <c r="I27" s="188">
        <f>AVERAGE(P27,U27,Z27,AE27,AJ27,AO27,AT27)</f>
        <v>25</v>
      </c>
      <c r="J27" s="188">
        <f>AVERAGE(Q27,V27,AA27,AF27,AK27,AP27,AU27)</f>
        <v>1778.8991271652642</v>
      </c>
      <c r="K27" s="189">
        <f>AVERAGE(R27,W27,AB27,AG27,AL27,AQ27,AV27)</f>
        <v>71.155965086610564</v>
      </c>
      <c r="L27" s="527">
        <f>IFERROR(AVERAGE(K27:K41),"-")</f>
        <v>81.884984557586122</v>
      </c>
      <c r="M27" s="188">
        <f>RANK(K27, K$27:$K$41)</f>
        <v>8</v>
      </c>
      <c r="N27" s="514"/>
      <c r="O27" s="514"/>
      <c r="P27" s="190">
        <v>25</v>
      </c>
      <c r="Q27" s="190">
        <v>1777.9369232888032</v>
      </c>
      <c r="R27" s="187">
        <f>IFERROR(Q27/P27,"")</f>
        <v>71.117476931552133</v>
      </c>
      <c r="S27" s="184">
        <f>RANK(R27, R$27:R$41)</f>
        <v>8</v>
      </c>
      <c r="T27" s="526">
        <f>AVERAGE(R27:R41)</f>
        <v>81.861206895815172</v>
      </c>
      <c r="U27" s="190">
        <v>25</v>
      </c>
      <c r="V27" s="190">
        <v>1778.0176086339109</v>
      </c>
      <c r="W27" s="187">
        <f t="shared" ref="W27:W34" si="38">IFERROR(V27/U27,"")</f>
        <v>71.12070434535643</v>
      </c>
      <c r="X27" s="184">
        <f>RANK(W27, W$27:W$41)</f>
        <v>8</v>
      </c>
      <c r="Y27" s="526">
        <f>AVERAGE(W27:W41)</f>
        <v>81.862777281675676</v>
      </c>
      <c r="Z27" s="190">
        <v>25</v>
      </c>
      <c r="AA27" s="190">
        <v>1779.2160437556968</v>
      </c>
      <c r="AB27" s="187">
        <f t="shared" ref="AB27:AB34" si="39">IFERROR(AA27/Z27,"")</f>
        <v>71.168641750227877</v>
      </c>
      <c r="AC27" s="184">
        <f>RANK(AB27, AB$27:AB$41)</f>
        <v>8</v>
      </c>
      <c r="AD27" s="526">
        <f>AVERAGE(AB27:AB41)</f>
        <v>81.887322680451973</v>
      </c>
      <c r="AE27" s="190">
        <v>25</v>
      </c>
      <c r="AF27" s="190">
        <v>1779.3790469865517</v>
      </c>
      <c r="AG27" s="187">
        <f>IFERROR(AF27/AE27,"")</f>
        <v>71.175161879462067</v>
      </c>
      <c r="AH27" s="184">
        <f>RANK(AG27, AG$27:AG$41)</f>
        <v>8</v>
      </c>
      <c r="AI27" s="526">
        <f>AVERAGE(AG27:AG41)</f>
        <v>81.893524155648521</v>
      </c>
      <c r="AJ27" s="190">
        <v>25</v>
      </c>
      <c r="AK27" s="190">
        <v>1779.2801981640678</v>
      </c>
      <c r="AL27" s="187">
        <f t="shared" ref="AL27:AL34" si="40">IFERROR(AK27/AJ27,"")</f>
        <v>71.171207926562715</v>
      </c>
      <c r="AM27" s="184">
        <f>RANK(AL27, AL$27:AL$41)</f>
        <v>8</v>
      </c>
      <c r="AN27" s="526">
        <f>AVERAGE(AL27:AL41)</f>
        <v>81.900247695263644</v>
      </c>
      <c r="AO27" s="190">
        <v>25</v>
      </c>
      <c r="AP27" s="190">
        <v>1779.2460163233582</v>
      </c>
      <c r="AQ27" s="187">
        <f t="shared" ref="AQ27:AQ34" si="41">IFERROR(AP27/AO27,"")</f>
        <v>71.169840652934326</v>
      </c>
      <c r="AR27" s="184">
        <f>RANK(AQ27, AQ$27:AQ$41)</f>
        <v>8</v>
      </c>
      <c r="AS27" s="526">
        <f>AVERAGE(AQ27:AQ41)</f>
        <v>81.895037901113824</v>
      </c>
      <c r="AT27" s="190">
        <v>25</v>
      </c>
      <c r="AU27" s="190">
        <v>1779.2180530044607</v>
      </c>
      <c r="AV27" s="187">
        <f t="shared" ref="AV27:AV34" si="42">IFERROR(AU27/AT27,"")</f>
        <v>71.16872212017843</v>
      </c>
      <c r="AW27" s="184">
        <f>RANK(AV27, AV$27:AV$41)</f>
        <v>8</v>
      </c>
      <c r="AX27" s="526">
        <f>AVERAGE(AV27:AV41)</f>
        <v>81.894775293134003</v>
      </c>
    </row>
    <row r="28" spans="2:50" ht="14.25" customHeight="1">
      <c r="B28" s="514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7"/>
        <v>86.956521739130437</v>
      </c>
      <c r="H28" s="526"/>
      <c r="I28" s="188">
        <f t="shared" ref="I28:K34" si="43">AVERAGE(P28,U28,Z28,AE28,AJ28,AO28,AT28)</f>
        <v>23</v>
      </c>
      <c r="J28" s="188">
        <f t="shared" si="43"/>
        <v>1779.4252478146789</v>
      </c>
      <c r="K28" s="189">
        <f t="shared" si="43"/>
        <v>77.366315122377358</v>
      </c>
      <c r="L28" s="527"/>
      <c r="M28" s="188">
        <f>RANK(K28, K$27:$K$41)</f>
        <v>6</v>
      </c>
      <c r="N28" s="514"/>
      <c r="O28" s="514"/>
      <c r="P28" s="190">
        <v>23</v>
      </c>
      <c r="Q28" s="190">
        <v>1779.3434747798235</v>
      </c>
      <c r="R28" s="187">
        <f t="shared" ref="R28:R34" si="44">IFERROR(Q28/P28,"")</f>
        <v>77.362759773035805</v>
      </c>
      <c r="S28" s="184">
        <f t="shared" ref="S28:S34" si="45">RANK(R28, R$27:R$41)</f>
        <v>6</v>
      </c>
      <c r="T28" s="526"/>
      <c r="U28" s="190">
        <v>23</v>
      </c>
      <c r="V28" s="190">
        <v>1779.1850220264291</v>
      </c>
      <c r="W28" s="187">
        <f t="shared" si="38"/>
        <v>77.355870522888225</v>
      </c>
      <c r="X28" s="184">
        <f t="shared" ref="X28:X34" si="46">RANK(W28, W$27:W$41)</f>
        <v>6</v>
      </c>
      <c r="Y28" s="526"/>
      <c r="Z28" s="190">
        <v>23</v>
      </c>
      <c r="AA28" s="190">
        <v>1779.0767186981047</v>
      </c>
      <c r="AB28" s="187">
        <f t="shared" si="39"/>
        <v>77.351161682526296</v>
      </c>
      <c r="AC28" s="184">
        <f t="shared" ref="AC28:AC34" si="47">RANK(AB28, AB$27:AB$41)</f>
        <v>7</v>
      </c>
      <c r="AD28" s="526"/>
      <c r="AE28" s="190">
        <v>23</v>
      </c>
      <c r="AF28" s="190">
        <v>1779.3499043977047</v>
      </c>
      <c r="AG28" s="187">
        <f t="shared" ref="AG28:AG34" si="48">IFERROR(AF28/AE28,"")</f>
        <v>77.363039321639334</v>
      </c>
      <c r="AH28" s="184">
        <f t="shared" ref="AH28:AH34" si="49">RANK(AG28, AG$27:AG$41)</f>
        <v>6</v>
      </c>
      <c r="AI28" s="526"/>
      <c r="AJ28" s="190">
        <v>23</v>
      </c>
      <c r="AK28" s="190">
        <v>1779.5752109397763</v>
      </c>
      <c r="AL28" s="187">
        <f t="shared" si="40"/>
        <v>77.372835258251143</v>
      </c>
      <c r="AM28" s="184">
        <f t="shared" ref="AM28:AM34" si="50">RANK(AL28, AL$27:AL$41)</f>
        <v>6</v>
      </c>
      <c r="AN28" s="526"/>
      <c r="AO28" s="190">
        <v>23</v>
      </c>
      <c r="AP28" s="190">
        <v>1779.7145003756571</v>
      </c>
      <c r="AQ28" s="187">
        <f t="shared" si="41"/>
        <v>77.378891320680736</v>
      </c>
      <c r="AR28" s="184">
        <f t="shared" ref="AR28:AR34" si="51">RANK(AQ28, AQ$27:AQ$41)</f>
        <v>5</v>
      </c>
      <c r="AS28" s="526"/>
      <c r="AT28" s="190">
        <v>23</v>
      </c>
      <c r="AU28" s="190">
        <v>1779.7319034852574</v>
      </c>
      <c r="AV28" s="187">
        <f t="shared" si="42"/>
        <v>77.379647977619882</v>
      </c>
      <c r="AW28" s="184">
        <f t="shared" ref="AW28:AW34" si="52">RANK(AV28, AV$27:AV$41)</f>
        <v>5</v>
      </c>
      <c r="AX28" s="526"/>
    </row>
    <row r="29" spans="2:50" ht="14.25" customHeight="1">
      <c r="B29" s="514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7"/>
        <v>86.956521739130437</v>
      </c>
      <c r="H29" s="526"/>
      <c r="I29" s="188">
        <f t="shared" si="43"/>
        <v>23</v>
      </c>
      <c r="J29" s="188">
        <f t="shared" si="43"/>
        <v>1779.6727661997622</v>
      </c>
      <c r="K29" s="189">
        <f t="shared" si="43"/>
        <v>77.377076791294016</v>
      </c>
      <c r="L29" s="527"/>
      <c r="M29" s="188">
        <f>RANK(K29, K$27:$K$41)</f>
        <v>5</v>
      </c>
      <c r="N29" s="514"/>
      <c r="O29" s="514"/>
      <c r="P29" s="190">
        <v>23</v>
      </c>
      <c r="Q29" s="190">
        <v>1779.4818652849729</v>
      </c>
      <c r="R29" s="187">
        <f t="shared" si="44"/>
        <v>77.368776751520556</v>
      </c>
      <c r="S29" s="184">
        <f t="shared" si="45"/>
        <v>5</v>
      </c>
      <c r="T29" s="526"/>
      <c r="U29" s="190">
        <v>23</v>
      </c>
      <c r="V29" s="190">
        <v>1779.6033994334296</v>
      </c>
      <c r="W29" s="187">
        <f t="shared" si="38"/>
        <v>77.374060844931719</v>
      </c>
      <c r="X29" s="184">
        <f t="shared" si="46"/>
        <v>5</v>
      </c>
      <c r="Y29" s="526"/>
      <c r="Z29" s="190">
        <v>23</v>
      </c>
      <c r="AA29" s="190">
        <v>1779.9141630901263</v>
      </c>
      <c r="AB29" s="187">
        <f t="shared" si="39"/>
        <v>77.387572308266357</v>
      </c>
      <c r="AC29" s="184">
        <f t="shared" si="47"/>
        <v>5</v>
      </c>
      <c r="AD29" s="526"/>
      <c r="AE29" s="190">
        <v>23</v>
      </c>
      <c r="AF29" s="190">
        <v>1779.7101449275397</v>
      </c>
      <c r="AG29" s="187">
        <f t="shared" si="48"/>
        <v>77.378701953371291</v>
      </c>
      <c r="AH29" s="184">
        <f t="shared" si="49"/>
        <v>5</v>
      </c>
      <c r="AI29" s="526"/>
      <c r="AJ29" s="190">
        <v>23</v>
      </c>
      <c r="AK29" s="190">
        <v>1779.8065764023181</v>
      </c>
      <c r="AL29" s="187">
        <f t="shared" si="40"/>
        <v>77.382894626187749</v>
      </c>
      <c r="AM29" s="184">
        <f t="shared" si="50"/>
        <v>5</v>
      </c>
      <c r="AN29" s="526"/>
      <c r="AO29" s="190">
        <v>23</v>
      </c>
      <c r="AP29" s="190">
        <v>1779.6407185628746</v>
      </c>
      <c r="AQ29" s="187">
        <f t="shared" si="41"/>
        <v>77.375683415777161</v>
      </c>
      <c r="AR29" s="184">
        <f t="shared" si="51"/>
        <v>6</v>
      </c>
      <c r="AS29" s="526"/>
      <c r="AT29" s="190">
        <v>23</v>
      </c>
      <c r="AU29" s="190">
        <v>1779.5524956970739</v>
      </c>
      <c r="AV29" s="187">
        <f t="shared" si="42"/>
        <v>77.371847639003221</v>
      </c>
      <c r="AW29" s="184">
        <f t="shared" si="52"/>
        <v>6</v>
      </c>
      <c r="AX29" s="526"/>
    </row>
    <row r="30" spans="2:50" ht="14.25" customHeight="1">
      <c r="B30" s="514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7"/>
        <v>86.956521739130437</v>
      </c>
      <c r="H30" s="526"/>
      <c r="I30" s="188">
        <f t="shared" si="43"/>
        <v>23</v>
      </c>
      <c r="J30" s="188">
        <f t="shared" si="43"/>
        <v>1778.8976564628385</v>
      </c>
      <c r="K30" s="189">
        <f t="shared" si="43"/>
        <v>77.343376367949503</v>
      </c>
      <c r="L30" s="527"/>
      <c r="M30" s="188">
        <f>RANK(K30, K$27:$K$41)</f>
        <v>7</v>
      </c>
      <c r="N30" s="514"/>
      <c r="O30" s="514"/>
      <c r="P30" s="190">
        <v>23</v>
      </c>
      <c r="Q30" s="190">
        <v>1777.984857309259</v>
      </c>
      <c r="R30" s="187">
        <f t="shared" si="44"/>
        <v>77.303689448228653</v>
      </c>
      <c r="S30" s="184">
        <f t="shared" si="45"/>
        <v>7</v>
      </c>
      <c r="T30" s="526"/>
      <c r="U30" s="190">
        <v>23</v>
      </c>
      <c r="V30" s="190">
        <v>1778.1123335263464</v>
      </c>
      <c r="W30" s="187">
        <f t="shared" si="38"/>
        <v>77.309231892449844</v>
      </c>
      <c r="X30" s="184">
        <f t="shared" si="46"/>
        <v>7</v>
      </c>
      <c r="Y30" s="526"/>
      <c r="Z30" s="190">
        <v>23</v>
      </c>
      <c r="AA30" s="190">
        <v>1779.1798107255549</v>
      </c>
      <c r="AB30" s="187">
        <f t="shared" si="39"/>
        <v>77.355643944589346</v>
      </c>
      <c r="AC30" s="184">
        <f t="shared" si="47"/>
        <v>6</v>
      </c>
      <c r="AD30" s="526"/>
      <c r="AE30" s="190">
        <v>23</v>
      </c>
      <c r="AF30" s="190">
        <v>1779.1268758526576</v>
      </c>
      <c r="AG30" s="187">
        <f t="shared" si="48"/>
        <v>77.353342428376422</v>
      </c>
      <c r="AH30" s="184">
        <f t="shared" si="49"/>
        <v>7</v>
      </c>
      <c r="AI30" s="526"/>
      <c r="AJ30" s="190">
        <v>23</v>
      </c>
      <c r="AK30" s="190">
        <v>1779.3499043977047</v>
      </c>
      <c r="AL30" s="187">
        <f t="shared" si="40"/>
        <v>77.363039321639334</v>
      </c>
      <c r="AM30" s="184">
        <f t="shared" si="50"/>
        <v>7</v>
      </c>
      <c r="AN30" s="526"/>
      <c r="AO30" s="190">
        <v>23</v>
      </c>
      <c r="AP30" s="190">
        <v>1779.3544945318779</v>
      </c>
      <c r="AQ30" s="187">
        <f t="shared" si="41"/>
        <v>77.363238892690347</v>
      </c>
      <c r="AR30" s="184">
        <f t="shared" si="51"/>
        <v>7</v>
      </c>
      <c r="AS30" s="526"/>
      <c r="AT30" s="190">
        <v>23</v>
      </c>
      <c r="AU30" s="190">
        <v>1779.1753188964685</v>
      </c>
      <c r="AV30" s="187">
        <f t="shared" si="42"/>
        <v>77.355448647672546</v>
      </c>
      <c r="AW30" s="184">
        <f t="shared" si="52"/>
        <v>7</v>
      </c>
      <c r="AX30" s="526"/>
    </row>
    <row r="31" spans="2:50" ht="14.25" customHeight="1">
      <c r="B31" s="514"/>
      <c r="C31" s="182">
        <v>5</v>
      </c>
      <c r="D31" s="185" t="s">
        <v>460</v>
      </c>
      <c r="E31" s="182">
        <v>20</v>
      </c>
      <c r="F31" s="182">
        <v>2000</v>
      </c>
      <c r="G31" s="187">
        <f t="shared" si="37"/>
        <v>100</v>
      </c>
      <c r="H31" s="526"/>
      <c r="I31" s="188">
        <f t="shared" si="43"/>
        <v>20</v>
      </c>
      <c r="J31" s="188">
        <f t="shared" si="43"/>
        <v>1780.8612041670024</v>
      </c>
      <c r="K31" s="189">
        <f t="shared" si="43"/>
        <v>89.043060208350113</v>
      </c>
      <c r="L31" s="527"/>
      <c r="M31" s="188">
        <f>RANK(K31, K$27:$K$41)</f>
        <v>2</v>
      </c>
      <c r="N31" s="514"/>
      <c r="O31" s="514"/>
      <c r="P31" s="190">
        <v>20</v>
      </c>
      <c r="Q31" s="190">
        <v>1781.5068493150729</v>
      </c>
      <c r="R31" s="187">
        <f t="shared" si="44"/>
        <v>89.07534246575365</v>
      </c>
      <c r="S31" s="184">
        <f t="shared" si="45"/>
        <v>2</v>
      </c>
      <c r="T31" s="526"/>
      <c r="U31" s="190">
        <v>20</v>
      </c>
      <c r="V31" s="190">
        <v>1781.1745776347557</v>
      </c>
      <c r="W31" s="187">
        <f t="shared" si="38"/>
        <v>89.058728881737778</v>
      </c>
      <c r="X31" s="184">
        <f t="shared" si="46"/>
        <v>2</v>
      </c>
      <c r="Y31" s="526"/>
      <c r="Z31" s="190">
        <v>20</v>
      </c>
      <c r="AA31" s="190">
        <v>1781.1846689895465</v>
      </c>
      <c r="AB31" s="187">
        <f t="shared" si="39"/>
        <v>89.059233449477318</v>
      </c>
      <c r="AC31" s="184">
        <f t="shared" si="47"/>
        <v>2</v>
      </c>
      <c r="AD31" s="526"/>
      <c r="AE31" s="190">
        <v>20</v>
      </c>
      <c r="AF31" s="190">
        <v>1780.795344325895</v>
      </c>
      <c r="AG31" s="187">
        <f t="shared" si="48"/>
        <v>89.039767216294749</v>
      </c>
      <c r="AH31" s="184">
        <f t="shared" si="49"/>
        <v>2</v>
      </c>
      <c r="AI31" s="526"/>
      <c r="AJ31" s="190">
        <v>20</v>
      </c>
      <c r="AK31" s="190">
        <v>1780.8102345415848</v>
      </c>
      <c r="AL31" s="187">
        <f t="shared" si="40"/>
        <v>89.040511727079235</v>
      </c>
      <c r="AM31" s="184">
        <f t="shared" si="50"/>
        <v>2</v>
      </c>
      <c r="AN31" s="526"/>
      <c r="AO31" s="190">
        <v>20</v>
      </c>
      <c r="AP31" s="190">
        <v>1780.1574803149692</v>
      </c>
      <c r="AQ31" s="187">
        <f t="shared" si="41"/>
        <v>89.007874015748456</v>
      </c>
      <c r="AR31" s="184">
        <f t="shared" si="51"/>
        <v>2</v>
      </c>
      <c r="AS31" s="526"/>
      <c r="AT31" s="190">
        <v>20</v>
      </c>
      <c r="AU31" s="190">
        <v>1780.3992740471926</v>
      </c>
      <c r="AV31" s="187">
        <f t="shared" si="42"/>
        <v>89.019963702359632</v>
      </c>
      <c r="AW31" s="184">
        <f t="shared" si="52"/>
        <v>2</v>
      </c>
      <c r="AX31" s="526"/>
    </row>
    <row r="32" spans="2:50" ht="14.25" customHeight="1">
      <c r="B32" s="514"/>
      <c r="C32" s="182">
        <v>6</v>
      </c>
      <c r="D32" s="185" t="s">
        <v>482</v>
      </c>
      <c r="E32" s="182">
        <v>21</v>
      </c>
      <c r="F32" s="182">
        <v>2000</v>
      </c>
      <c r="G32" s="187">
        <f t="shared" si="37"/>
        <v>95.238095238095241</v>
      </c>
      <c r="H32" s="526"/>
      <c r="I32" s="188">
        <f t="shared" si="43"/>
        <v>21</v>
      </c>
      <c r="J32" s="188">
        <f t="shared" si="43"/>
        <v>1781.4528719087041</v>
      </c>
      <c r="K32" s="189">
        <f t="shared" si="43"/>
        <v>84.831089138509711</v>
      </c>
      <c r="L32" s="527"/>
      <c r="M32" s="188">
        <f>RANK(K32, K$27:$K$41)</f>
        <v>3</v>
      </c>
      <c r="N32" s="514"/>
      <c r="O32" s="514"/>
      <c r="P32" s="190">
        <v>21</v>
      </c>
      <c r="Q32" s="190">
        <v>1780.754716981133</v>
      </c>
      <c r="R32" s="187">
        <f t="shared" si="44"/>
        <v>84.797843665768241</v>
      </c>
      <c r="S32" s="184">
        <f t="shared" si="45"/>
        <v>3</v>
      </c>
      <c r="T32" s="526"/>
      <c r="U32" s="190">
        <v>21</v>
      </c>
      <c r="V32" s="190">
        <v>1780.6748466257723</v>
      </c>
      <c r="W32" s="187">
        <f t="shared" si="38"/>
        <v>84.794040315512959</v>
      </c>
      <c r="X32" s="184">
        <f t="shared" si="46"/>
        <v>3</v>
      </c>
      <c r="Y32" s="526"/>
      <c r="Z32" s="190">
        <v>21</v>
      </c>
      <c r="AA32" s="190">
        <v>1781.3012575177679</v>
      </c>
      <c r="AB32" s="187">
        <f t="shared" si="39"/>
        <v>84.823869405607994</v>
      </c>
      <c r="AC32" s="184">
        <f t="shared" si="47"/>
        <v>3</v>
      </c>
      <c r="AD32" s="526"/>
      <c r="AE32" s="190">
        <v>21</v>
      </c>
      <c r="AF32" s="190">
        <v>1781.7977528089918</v>
      </c>
      <c r="AG32" s="187">
        <f t="shared" si="48"/>
        <v>84.847512038523419</v>
      </c>
      <c r="AH32" s="184">
        <f t="shared" si="49"/>
        <v>3</v>
      </c>
      <c r="AI32" s="526"/>
      <c r="AJ32" s="190">
        <v>21</v>
      </c>
      <c r="AK32" s="190">
        <v>1781.9921705089157</v>
      </c>
      <c r="AL32" s="187">
        <f t="shared" si="40"/>
        <v>84.856770024234081</v>
      </c>
      <c r="AM32" s="184">
        <f t="shared" si="50"/>
        <v>3</v>
      </c>
      <c r="AN32" s="526"/>
      <c r="AO32" s="190">
        <v>21</v>
      </c>
      <c r="AP32" s="190">
        <v>1781.8574514038921</v>
      </c>
      <c r="AQ32" s="187">
        <f t="shared" si="41"/>
        <v>84.850354828756764</v>
      </c>
      <c r="AR32" s="184">
        <f t="shared" si="51"/>
        <v>3</v>
      </c>
      <c r="AS32" s="526"/>
      <c r="AT32" s="190">
        <v>21</v>
      </c>
      <c r="AU32" s="190">
        <v>1781.7919075144546</v>
      </c>
      <c r="AV32" s="187">
        <f t="shared" si="42"/>
        <v>84.847233691164504</v>
      </c>
      <c r="AW32" s="184">
        <f t="shared" si="52"/>
        <v>3</v>
      </c>
      <c r="AX32" s="526"/>
    </row>
    <row r="33" spans="2:50" ht="14.25" customHeight="1">
      <c r="B33" s="514"/>
      <c r="C33" s="182">
        <v>7</v>
      </c>
      <c r="D33" s="185" t="s">
        <v>537</v>
      </c>
      <c r="E33" s="182">
        <v>19</v>
      </c>
      <c r="F33" s="182">
        <v>1800</v>
      </c>
      <c r="G33" s="187">
        <f t="shared" si="37"/>
        <v>94.736842105263165</v>
      </c>
      <c r="H33" s="526"/>
      <c r="I33" s="188">
        <f t="shared" si="43"/>
        <v>19</v>
      </c>
      <c r="J33" s="188">
        <f t="shared" si="43"/>
        <v>1602.3104037769008</v>
      </c>
      <c r="K33" s="189">
        <f t="shared" si="43"/>
        <v>84.332126514573716</v>
      </c>
      <c r="L33" s="527"/>
      <c r="M33" s="188">
        <f>RANK(K33, K$27:$K$41)</f>
        <v>4</v>
      </c>
      <c r="N33" s="514"/>
      <c r="O33" s="514"/>
      <c r="P33" s="190">
        <v>19</v>
      </c>
      <c r="Q33" s="190">
        <v>1601.917808219177</v>
      </c>
      <c r="R33" s="187">
        <f t="shared" si="44"/>
        <v>84.311463590483001</v>
      </c>
      <c r="S33" s="184">
        <f t="shared" si="45"/>
        <v>4</v>
      </c>
      <c r="T33" s="526"/>
      <c r="U33" s="190">
        <v>19</v>
      </c>
      <c r="V33" s="190">
        <v>1602.1242697822622</v>
      </c>
      <c r="W33" s="187">
        <f t="shared" si="38"/>
        <v>84.322329988540119</v>
      </c>
      <c r="X33" s="184">
        <f t="shared" si="46"/>
        <v>4</v>
      </c>
      <c r="Y33" s="526"/>
      <c r="Z33" s="190">
        <v>19</v>
      </c>
      <c r="AA33" s="190">
        <v>1602.0343293070587</v>
      </c>
      <c r="AB33" s="187">
        <f t="shared" si="39"/>
        <v>84.317596279318877</v>
      </c>
      <c r="AC33" s="184">
        <f t="shared" si="47"/>
        <v>4</v>
      </c>
      <c r="AD33" s="526"/>
      <c r="AE33" s="190">
        <v>19</v>
      </c>
      <c r="AF33" s="190">
        <v>1602.3550191345303</v>
      </c>
      <c r="AG33" s="187">
        <f t="shared" si="48"/>
        <v>84.334474691291064</v>
      </c>
      <c r="AH33" s="184">
        <f t="shared" si="49"/>
        <v>4</v>
      </c>
      <c r="AI33" s="526"/>
      <c r="AJ33" s="190">
        <v>19</v>
      </c>
      <c r="AK33" s="190">
        <v>1602.6483050847464</v>
      </c>
      <c r="AL33" s="187">
        <f t="shared" si="40"/>
        <v>84.349910793934029</v>
      </c>
      <c r="AM33" s="184">
        <f t="shared" si="50"/>
        <v>4</v>
      </c>
      <c r="AN33" s="526"/>
      <c r="AO33" s="190">
        <v>19</v>
      </c>
      <c r="AP33" s="190">
        <v>1602.6014801525027</v>
      </c>
      <c r="AQ33" s="187">
        <f t="shared" si="41"/>
        <v>84.34744632381593</v>
      </c>
      <c r="AR33" s="184">
        <f t="shared" si="51"/>
        <v>4</v>
      </c>
      <c r="AS33" s="526"/>
      <c r="AT33" s="190">
        <v>19</v>
      </c>
      <c r="AU33" s="190">
        <v>1602.491614758027</v>
      </c>
      <c r="AV33" s="187">
        <f t="shared" si="42"/>
        <v>84.341663934633004</v>
      </c>
      <c r="AW33" s="184">
        <f t="shared" si="52"/>
        <v>4</v>
      </c>
      <c r="AX33" s="526"/>
    </row>
    <row r="34" spans="2:50" ht="14.25" customHeight="1">
      <c r="B34" s="514"/>
      <c r="C34" s="182">
        <v>8</v>
      </c>
      <c r="D34" s="185" t="s">
        <v>509</v>
      </c>
      <c r="E34" s="182">
        <v>19</v>
      </c>
      <c r="F34" s="182">
        <v>2000</v>
      </c>
      <c r="G34" s="187">
        <f t="shared" si="37"/>
        <v>105.26315789473684</v>
      </c>
      <c r="H34" s="526"/>
      <c r="I34" s="188">
        <f t="shared" si="43"/>
        <v>19</v>
      </c>
      <c r="J34" s="188">
        <f t="shared" si="43"/>
        <v>1778.9864773894551</v>
      </c>
      <c r="K34" s="189">
        <f t="shared" si="43"/>
        <v>93.63086723102397</v>
      </c>
      <c r="L34" s="527"/>
      <c r="M34" s="188">
        <f>RANK(K34, K$27:$K$41)</f>
        <v>1</v>
      </c>
      <c r="N34" s="514"/>
      <c r="O34" s="514"/>
      <c r="P34" s="190">
        <v>19</v>
      </c>
      <c r="Q34" s="190">
        <v>1777.4937482634064</v>
      </c>
      <c r="R34" s="187">
        <f t="shared" si="44"/>
        <v>93.552302540179284</v>
      </c>
      <c r="S34" s="184">
        <f t="shared" si="45"/>
        <v>1</v>
      </c>
      <c r="T34" s="526"/>
      <c r="U34" s="190">
        <v>19</v>
      </c>
      <c r="V34" s="190">
        <v>1777.7777777777756</v>
      </c>
      <c r="W34" s="187">
        <f t="shared" si="38"/>
        <v>93.567251461988192</v>
      </c>
      <c r="X34" s="184">
        <f t="shared" si="46"/>
        <v>1</v>
      </c>
      <c r="Y34" s="526"/>
      <c r="Z34" s="190">
        <v>19</v>
      </c>
      <c r="AA34" s="190">
        <v>1779.0623898484341</v>
      </c>
      <c r="AB34" s="187">
        <f t="shared" si="39"/>
        <v>93.634862623601791</v>
      </c>
      <c r="AC34" s="184">
        <f t="shared" si="47"/>
        <v>1</v>
      </c>
      <c r="AD34" s="526"/>
      <c r="AE34" s="190">
        <v>19</v>
      </c>
      <c r="AF34" s="190">
        <v>1779.467680608366</v>
      </c>
      <c r="AG34" s="187">
        <f t="shared" si="48"/>
        <v>93.656193716229794</v>
      </c>
      <c r="AH34" s="184">
        <f t="shared" si="49"/>
        <v>1</v>
      </c>
      <c r="AI34" s="526"/>
      <c r="AJ34" s="190">
        <v>19</v>
      </c>
      <c r="AK34" s="190">
        <v>1779.6314258001971</v>
      </c>
      <c r="AL34" s="187">
        <f t="shared" si="40"/>
        <v>93.664811884220896</v>
      </c>
      <c r="AM34" s="184">
        <f t="shared" si="50"/>
        <v>1</v>
      </c>
      <c r="AN34" s="526"/>
      <c r="AO34" s="190">
        <v>19</v>
      </c>
      <c r="AP34" s="190">
        <v>1779.6725014116314</v>
      </c>
      <c r="AQ34" s="187">
        <f t="shared" si="41"/>
        <v>93.666973758506913</v>
      </c>
      <c r="AR34" s="184">
        <f t="shared" si="51"/>
        <v>1</v>
      </c>
      <c r="AS34" s="526"/>
      <c r="AT34" s="190">
        <v>19</v>
      </c>
      <c r="AU34" s="190">
        <v>1779.799818016375</v>
      </c>
      <c r="AV34" s="187">
        <f t="shared" si="42"/>
        <v>93.673674632440793</v>
      </c>
      <c r="AW34" s="184">
        <f t="shared" si="52"/>
        <v>1</v>
      </c>
      <c r="AX34" s="526"/>
    </row>
    <row r="35" spans="2:50" ht="14.25" customHeight="1">
      <c r="B35" s="514"/>
      <c r="C35" s="182">
        <v>9</v>
      </c>
      <c r="D35" s="185"/>
      <c r="E35" s="182"/>
      <c r="F35" s="182"/>
      <c r="G35" s="187"/>
      <c r="H35" s="526"/>
      <c r="I35" s="188"/>
      <c r="J35" s="188"/>
      <c r="K35" s="189"/>
      <c r="L35" s="527"/>
      <c r="M35" s="188"/>
      <c r="N35" s="514"/>
      <c r="O35" s="514"/>
      <c r="P35" s="190"/>
      <c r="Q35" s="190"/>
      <c r="R35" s="187"/>
      <c r="S35" s="184"/>
      <c r="T35" s="526"/>
      <c r="U35" s="190"/>
      <c r="V35" s="190"/>
      <c r="W35" s="187"/>
      <c r="X35" s="184"/>
      <c r="Y35" s="526"/>
      <c r="Z35" s="190"/>
      <c r="AA35" s="190"/>
      <c r="AB35" s="187"/>
      <c r="AC35" s="184"/>
      <c r="AD35" s="526"/>
      <c r="AE35" s="190"/>
      <c r="AF35" s="190"/>
      <c r="AG35" s="187"/>
      <c r="AH35" s="184"/>
      <c r="AI35" s="526"/>
      <c r="AJ35" s="190"/>
      <c r="AK35" s="190"/>
      <c r="AL35" s="187"/>
      <c r="AM35" s="184"/>
      <c r="AN35" s="526"/>
      <c r="AO35" s="190"/>
      <c r="AP35" s="190"/>
      <c r="AQ35" s="187"/>
      <c r="AR35" s="184"/>
      <c r="AS35" s="526"/>
      <c r="AT35" s="190"/>
      <c r="AU35" s="190"/>
      <c r="AV35" s="187"/>
      <c r="AW35" s="184"/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53">U42+1</f>
        <v>46065</v>
      </c>
      <c r="AA42" s="583"/>
      <c r="AB42" s="583"/>
      <c r="AC42" s="583"/>
      <c r="AD42" s="583"/>
      <c r="AE42" s="584">
        <f t="shared" ref="AE42" si="54">Z42+1</f>
        <v>46066</v>
      </c>
      <c r="AF42" s="585"/>
      <c r="AG42" s="585"/>
      <c r="AH42" s="585"/>
      <c r="AI42" s="585"/>
      <c r="AJ42" s="586">
        <f t="shared" ref="AJ42" si="55">AE42+1</f>
        <v>46067</v>
      </c>
      <c r="AK42" s="587"/>
      <c r="AL42" s="587"/>
      <c r="AM42" s="587"/>
      <c r="AN42" s="588"/>
      <c r="AO42" s="584">
        <f t="shared" ref="AO42" si="56">AJ42+1</f>
        <v>46068</v>
      </c>
      <c r="AP42" s="585"/>
      <c r="AQ42" s="585"/>
      <c r="AR42" s="585"/>
      <c r="AS42" s="585"/>
      <c r="AT42" s="586">
        <f t="shared" ref="AT42" si="57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58">Z42</f>
        <v>46065</v>
      </c>
      <c r="AA43" s="589"/>
      <c r="AB43" s="589"/>
      <c r="AC43" s="589"/>
      <c r="AD43" s="589"/>
      <c r="AE43" s="590">
        <f t="shared" ref="AE43" si="59">AE42</f>
        <v>46066</v>
      </c>
      <c r="AF43" s="590"/>
      <c r="AG43" s="590"/>
      <c r="AH43" s="590"/>
      <c r="AI43" s="590"/>
      <c r="AJ43" s="591">
        <f t="shared" ref="AJ43" si="60">AJ42</f>
        <v>46067</v>
      </c>
      <c r="AK43" s="592"/>
      <c r="AL43" s="592"/>
      <c r="AM43" s="592"/>
      <c r="AN43" s="593"/>
      <c r="AO43" s="590">
        <f t="shared" ref="AO43" si="61">AO42</f>
        <v>46068</v>
      </c>
      <c r="AP43" s="590"/>
      <c r="AQ43" s="590"/>
      <c r="AR43" s="590"/>
      <c r="AS43" s="590"/>
      <c r="AT43" s="591">
        <f t="shared" ref="AT43" si="62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14" t="s">
        <v>363</v>
      </c>
      <c r="C47" s="182">
        <v>1</v>
      </c>
      <c r="D47" s="185"/>
      <c r="E47" s="182"/>
      <c r="F47" s="182"/>
      <c r="G47" s="187" t="e">
        <f t="shared" ref="G47:G56" si="63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64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65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63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66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67">IFERROR(AF48/AE48,"")</f>
        <v>183.41069933795009</v>
      </c>
      <c r="AH48" s="184" t="e">
        <f t="shared" ref="AH48:AH56" si="68">RANK(AG48, AG$27:AG$41)</f>
        <v>#N/A</v>
      </c>
      <c r="AI48" s="526"/>
      <c r="AJ48" s="190"/>
      <c r="AK48" s="190"/>
      <c r="AL48" s="187"/>
      <c r="AM48" s="184" t="e">
        <f t="shared" ref="AM48:AM56" si="69">RANK(AL48, AL$27:AL$41)</f>
        <v>#N/A</v>
      </c>
      <c r="AN48" s="526"/>
      <c r="AO48" s="190"/>
      <c r="AP48" s="190"/>
      <c r="AQ48" s="187" t="str">
        <f t="shared" si="64"/>
        <v/>
      </c>
      <c r="AR48" s="184" t="e">
        <f t="shared" ref="AR48:AR56" si="70">RANK(AQ48, AQ$27:AQ$41)</f>
        <v>#VALUE!</v>
      </c>
      <c r="AS48" s="526"/>
      <c r="AT48" s="190"/>
      <c r="AU48" s="190"/>
      <c r="AV48" s="187"/>
      <c r="AW48" s="184" t="e">
        <f t="shared" ref="AW48:AW56" si="71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63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66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67"/>
        <v>286.56852329640265</v>
      </c>
      <c r="AH49" s="184" t="e">
        <f t="shared" si="68"/>
        <v>#N/A</v>
      </c>
      <c r="AI49" s="526"/>
      <c r="AJ49" s="190"/>
      <c r="AK49" s="190"/>
      <c r="AL49" s="187"/>
      <c r="AM49" s="184" t="e">
        <f t="shared" si="69"/>
        <v>#N/A</v>
      </c>
      <c r="AN49" s="526"/>
      <c r="AO49" s="190"/>
      <c r="AP49" s="190"/>
      <c r="AQ49" s="187" t="str">
        <f t="shared" si="64"/>
        <v/>
      </c>
      <c r="AR49" s="184" t="e">
        <f t="shared" si="70"/>
        <v>#VALUE!</v>
      </c>
      <c r="AS49" s="526"/>
      <c r="AT49" s="190"/>
      <c r="AU49" s="190"/>
      <c r="AV49" s="187"/>
      <c r="AW49" s="184" t="e">
        <f t="shared" si="71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63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67"/>
        <v>386.3900414937761</v>
      </c>
      <c r="AH50" s="184" t="e">
        <f t="shared" si="68"/>
        <v>#N/A</v>
      </c>
      <c r="AI50" s="526"/>
      <c r="AJ50" s="190"/>
      <c r="AK50" s="190"/>
      <c r="AL50" s="187"/>
      <c r="AM50" s="184" t="e">
        <f t="shared" si="69"/>
        <v>#N/A</v>
      </c>
      <c r="AN50" s="526"/>
      <c r="AO50" s="190"/>
      <c r="AP50" s="190"/>
      <c r="AQ50" s="187" t="str">
        <f t="shared" si="64"/>
        <v/>
      </c>
      <c r="AR50" s="184" t="e">
        <f t="shared" si="70"/>
        <v>#VALUE!</v>
      </c>
      <c r="AS50" s="526"/>
      <c r="AT50" s="190"/>
      <c r="AU50" s="190"/>
      <c r="AV50" s="187"/>
      <c r="AW50" s="184" t="e">
        <f t="shared" si="71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63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67"/>
        <v>375.74552683896599</v>
      </c>
      <c r="AH51" s="184" t="e">
        <f t="shared" si="68"/>
        <v>#N/A</v>
      </c>
      <c r="AI51" s="526"/>
      <c r="AJ51" s="190"/>
      <c r="AK51" s="190"/>
      <c r="AL51" s="187"/>
      <c r="AM51" s="184" t="e">
        <f t="shared" si="69"/>
        <v>#N/A</v>
      </c>
      <c r="AN51" s="526"/>
      <c r="AO51" s="190"/>
      <c r="AP51" s="190"/>
      <c r="AQ51" s="187" t="str">
        <f t="shared" si="64"/>
        <v/>
      </c>
      <c r="AR51" s="184" t="e">
        <f t="shared" si="70"/>
        <v>#VALUE!</v>
      </c>
      <c r="AS51" s="526"/>
      <c r="AT51" s="190"/>
      <c r="AU51" s="190"/>
      <c r="AV51" s="187"/>
      <c r="AW51" s="184" t="e">
        <f t="shared" si="71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63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67"/>
        <v>386.4406779661013</v>
      </c>
      <c r="AH52" s="184" t="e">
        <f t="shared" si="68"/>
        <v>#N/A</v>
      </c>
      <c r="AI52" s="526"/>
      <c r="AJ52" s="190"/>
      <c r="AK52" s="190"/>
      <c r="AL52" s="187"/>
      <c r="AM52" s="184" t="e">
        <f t="shared" si="69"/>
        <v>#N/A</v>
      </c>
      <c r="AN52" s="526"/>
      <c r="AO52" s="190"/>
      <c r="AP52" s="190"/>
      <c r="AQ52" s="187" t="str">
        <f t="shared" si="64"/>
        <v/>
      </c>
      <c r="AR52" s="184" t="e">
        <f t="shared" si="70"/>
        <v>#VALUE!</v>
      </c>
      <c r="AS52" s="526"/>
      <c r="AT52" s="190"/>
      <c r="AU52" s="190"/>
      <c r="AV52" s="187"/>
      <c r="AW52" s="184" t="e">
        <f t="shared" si="71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63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67"/>
        <v>127.79864763335836</v>
      </c>
      <c r="AH53" s="184" t="e">
        <f t="shared" si="68"/>
        <v>#N/A</v>
      </c>
      <c r="AI53" s="526"/>
      <c r="AJ53" s="190"/>
      <c r="AK53" s="190"/>
      <c r="AL53" s="187"/>
      <c r="AM53" s="184" t="e">
        <f t="shared" si="69"/>
        <v>#N/A</v>
      </c>
      <c r="AN53" s="526"/>
      <c r="AO53" s="190"/>
      <c r="AP53" s="190"/>
      <c r="AQ53" s="187" t="str">
        <f t="shared" si="64"/>
        <v/>
      </c>
      <c r="AR53" s="184" t="e">
        <f t="shared" si="70"/>
        <v>#VALUE!</v>
      </c>
      <c r="AS53" s="526"/>
      <c r="AT53" s="190"/>
      <c r="AU53" s="190"/>
      <c r="AV53" s="187"/>
      <c r="AW53" s="184" t="e">
        <f t="shared" si="71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63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67"/>
        <v>183.34709515473759</v>
      </c>
      <c r="AH54" s="184" t="e">
        <f t="shared" si="68"/>
        <v>#N/A</v>
      </c>
      <c r="AI54" s="526"/>
      <c r="AJ54" s="190"/>
      <c r="AK54" s="190"/>
      <c r="AL54" s="187"/>
      <c r="AM54" s="184" t="e">
        <f t="shared" si="69"/>
        <v>#N/A</v>
      </c>
      <c r="AN54" s="526"/>
      <c r="AO54" s="190"/>
      <c r="AP54" s="190"/>
      <c r="AQ54" s="187" t="str">
        <f t="shared" si="64"/>
        <v/>
      </c>
      <c r="AR54" s="184" t="e">
        <f t="shared" si="70"/>
        <v>#VALUE!</v>
      </c>
      <c r="AS54" s="526"/>
      <c r="AT54" s="190"/>
      <c r="AU54" s="190"/>
      <c r="AV54" s="187"/>
      <c r="AW54" s="184" t="e">
        <f t="shared" si="71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63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67"/>
        <v>183.51228908786049</v>
      </c>
      <c r="AH55" s="184" t="e">
        <f t="shared" si="68"/>
        <v>#N/A</v>
      </c>
      <c r="AI55" s="526"/>
      <c r="AJ55" s="190"/>
      <c r="AK55" s="190"/>
      <c r="AL55" s="187"/>
      <c r="AM55" s="184" t="e">
        <f t="shared" si="69"/>
        <v>#N/A</v>
      </c>
      <c r="AN55" s="526"/>
      <c r="AO55" s="190"/>
      <c r="AP55" s="190"/>
      <c r="AQ55" s="187" t="str">
        <f t="shared" si="64"/>
        <v/>
      </c>
      <c r="AR55" s="184" t="e">
        <f t="shared" si="70"/>
        <v>#VALUE!</v>
      </c>
      <c r="AS55" s="526"/>
      <c r="AT55" s="190"/>
      <c r="AU55" s="190"/>
      <c r="AV55" s="187"/>
      <c r="AW55" s="184" t="e">
        <f t="shared" si="71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63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67"/>
        <v>286.63901543482666</v>
      </c>
      <c r="AH56" s="184" t="e">
        <f t="shared" si="68"/>
        <v>#N/A</v>
      </c>
      <c r="AI56" s="526"/>
      <c r="AJ56" s="190"/>
      <c r="AK56" s="190"/>
      <c r="AL56" s="187"/>
      <c r="AM56" s="184" t="e">
        <f t="shared" si="69"/>
        <v>#N/A</v>
      </c>
      <c r="AN56" s="526"/>
      <c r="AO56" s="190"/>
      <c r="AP56" s="190"/>
      <c r="AQ56" s="187" t="str">
        <f t="shared" si="64"/>
        <v/>
      </c>
      <c r="AR56" s="184" t="e">
        <f t="shared" si="70"/>
        <v>#VALUE!</v>
      </c>
      <c r="AS56" s="526"/>
      <c r="AT56" s="190"/>
      <c r="AU56" s="190"/>
      <c r="AV56" s="187"/>
      <c r="AW56" s="184" t="e">
        <f t="shared" si="71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72">U62+1</f>
        <v>46072</v>
      </c>
      <c r="AA62" s="583"/>
      <c r="AB62" s="583"/>
      <c r="AC62" s="583"/>
      <c r="AD62" s="583"/>
      <c r="AE62" s="584">
        <f t="shared" ref="AE62" si="73">Z62+1</f>
        <v>46073</v>
      </c>
      <c r="AF62" s="585"/>
      <c r="AG62" s="585"/>
      <c r="AH62" s="585"/>
      <c r="AI62" s="585"/>
      <c r="AJ62" s="586">
        <f t="shared" ref="AJ62" si="74">AE62+1</f>
        <v>46074</v>
      </c>
      <c r="AK62" s="587"/>
      <c r="AL62" s="587"/>
      <c r="AM62" s="587"/>
      <c r="AN62" s="588"/>
      <c r="AO62" s="584">
        <f t="shared" ref="AO62" si="75">AJ62+1</f>
        <v>46075</v>
      </c>
      <c r="AP62" s="585"/>
      <c r="AQ62" s="585"/>
      <c r="AR62" s="585"/>
      <c r="AS62" s="585"/>
      <c r="AT62" s="586">
        <f t="shared" ref="AT62" si="76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77">Z62</f>
        <v>46072</v>
      </c>
      <c r="AA63" s="589"/>
      <c r="AB63" s="589"/>
      <c r="AC63" s="589"/>
      <c r="AD63" s="589"/>
      <c r="AE63" s="590">
        <f t="shared" ref="AE63" si="78">AE62</f>
        <v>46073</v>
      </c>
      <c r="AF63" s="590"/>
      <c r="AG63" s="590"/>
      <c r="AH63" s="590"/>
      <c r="AI63" s="590"/>
      <c r="AJ63" s="591">
        <f t="shared" ref="AJ63" si="79">AJ62</f>
        <v>46074</v>
      </c>
      <c r="AK63" s="592"/>
      <c r="AL63" s="592"/>
      <c r="AM63" s="592"/>
      <c r="AN63" s="593"/>
      <c r="AO63" s="590">
        <f t="shared" ref="AO63" si="80">AO62</f>
        <v>46075</v>
      </c>
      <c r="AP63" s="590"/>
      <c r="AQ63" s="590"/>
      <c r="AR63" s="590"/>
      <c r="AS63" s="590"/>
      <c r="AT63" s="591">
        <f t="shared" ref="AT63" si="81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14" t="s">
        <v>363</v>
      </c>
      <c r="C67" s="182">
        <v>1</v>
      </c>
      <c r="D67" s="185"/>
      <c r="E67" s="182"/>
      <c r="F67" s="182"/>
      <c r="G67" s="187" t="e">
        <f t="shared" ref="G67:G76" si="82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83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84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82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85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86">IFERROR(AF68/AE68,"")</f>
        <v>183.41069933795009</v>
      </c>
      <c r="AH68" s="184" t="e">
        <f t="shared" ref="AH68:AH76" si="87">RANK(AG68, AG$27:AG$41)</f>
        <v>#N/A</v>
      </c>
      <c r="AI68" s="526"/>
      <c r="AJ68" s="190"/>
      <c r="AK68" s="190"/>
      <c r="AL68" s="187"/>
      <c r="AM68" s="184" t="e">
        <f t="shared" ref="AM68:AM76" si="88">RANK(AL68, AL$27:AL$41)</f>
        <v>#N/A</v>
      </c>
      <c r="AN68" s="526"/>
      <c r="AO68" s="190"/>
      <c r="AP68" s="190"/>
      <c r="AQ68" s="187" t="str">
        <f t="shared" si="83"/>
        <v/>
      </c>
      <c r="AR68" s="184" t="e">
        <f t="shared" ref="AR68:AR76" si="89">RANK(AQ68, AQ$27:AQ$41)</f>
        <v>#VALUE!</v>
      </c>
      <c r="AS68" s="526"/>
      <c r="AT68" s="190"/>
      <c r="AU68" s="190"/>
      <c r="AV68" s="187"/>
      <c r="AW68" s="184" t="e">
        <f t="shared" ref="AW68:AW76" si="90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82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85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86"/>
        <v>286.56852329640265</v>
      </c>
      <c r="AH69" s="184" t="e">
        <f t="shared" si="87"/>
        <v>#N/A</v>
      </c>
      <c r="AI69" s="526"/>
      <c r="AJ69" s="190"/>
      <c r="AK69" s="190"/>
      <c r="AL69" s="187"/>
      <c r="AM69" s="184" t="e">
        <f t="shared" si="88"/>
        <v>#N/A</v>
      </c>
      <c r="AN69" s="526"/>
      <c r="AO69" s="190"/>
      <c r="AP69" s="190"/>
      <c r="AQ69" s="187" t="str">
        <f t="shared" si="83"/>
        <v/>
      </c>
      <c r="AR69" s="184" t="e">
        <f t="shared" si="89"/>
        <v>#VALUE!</v>
      </c>
      <c r="AS69" s="526"/>
      <c r="AT69" s="190"/>
      <c r="AU69" s="190"/>
      <c r="AV69" s="187"/>
      <c r="AW69" s="184" t="e">
        <f t="shared" si="90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82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86"/>
        <v>386.3900414937761</v>
      </c>
      <c r="AH70" s="184" t="e">
        <f t="shared" si="87"/>
        <v>#N/A</v>
      </c>
      <c r="AI70" s="526"/>
      <c r="AJ70" s="190"/>
      <c r="AK70" s="190"/>
      <c r="AL70" s="187"/>
      <c r="AM70" s="184" t="e">
        <f t="shared" si="88"/>
        <v>#N/A</v>
      </c>
      <c r="AN70" s="526"/>
      <c r="AO70" s="190"/>
      <c r="AP70" s="190"/>
      <c r="AQ70" s="187" t="str">
        <f t="shared" si="83"/>
        <v/>
      </c>
      <c r="AR70" s="184" t="e">
        <f t="shared" si="89"/>
        <v>#VALUE!</v>
      </c>
      <c r="AS70" s="526"/>
      <c r="AT70" s="190"/>
      <c r="AU70" s="190"/>
      <c r="AV70" s="187"/>
      <c r="AW70" s="184" t="e">
        <f t="shared" si="90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82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86"/>
        <v>375.74552683896599</v>
      </c>
      <c r="AH71" s="184" t="e">
        <f t="shared" si="87"/>
        <v>#N/A</v>
      </c>
      <c r="AI71" s="526"/>
      <c r="AJ71" s="190"/>
      <c r="AK71" s="190"/>
      <c r="AL71" s="187"/>
      <c r="AM71" s="184" t="e">
        <f t="shared" si="88"/>
        <v>#N/A</v>
      </c>
      <c r="AN71" s="526"/>
      <c r="AO71" s="190"/>
      <c r="AP71" s="190"/>
      <c r="AQ71" s="187" t="str">
        <f t="shared" si="83"/>
        <v/>
      </c>
      <c r="AR71" s="184" t="e">
        <f t="shared" si="89"/>
        <v>#VALUE!</v>
      </c>
      <c r="AS71" s="526"/>
      <c r="AT71" s="190"/>
      <c r="AU71" s="190"/>
      <c r="AV71" s="187"/>
      <c r="AW71" s="184" t="e">
        <f t="shared" si="90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82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86"/>
        <v>386.4406779661013</v>
      </c>
      <c r="AH72" s="184" t="e">
        <f t="shared" si="87"/>
        <v>#N/A</v>
      </c>
      <c r="AI72" s="526"/>
      <c r="AJ72" s="190"/>
      <c r="AK72" s="190"/>
      <c r="AL72" s="187"/>
      <c r="AM72" s="184" t="e">
        <f t="shared" si="88"/>
        <v>#N/A</v>
      </c>
      <c r="AN72" s="526"/>
      <c r="AO72" s="190"/>
      <c r="AP72" s="190"/>
      <c r="AQ72" s="187" t="str">
        <f t="shared" si="83"/>
        <v/>
      </c>
      <c r="AR72" s="184" t="e">
        <f t="shared" si="89"/>
        <v>#VALUE!</v>
      </c>
      <c r="AS72" s="526"/>
      <c r="AT72" s="190"/>
      <c r="AU72" s="190"/>
      <c r="AV72" s="187"/>
      <c r="AW72" s="184" t="e">
        <f t="shared" si="90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82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86"/>
        <v>127.79864763335836</v>
      </c>
      <c r="AH73" s="184" t="e">
        <f t="shared" si="87"/>
        <v>#N/A</v>
      </c>
      <c r="AI73" s="526"/>
      <c r="AJ73" s="190"/>
      <c r="AK73" s="190"/>
      <c r="AL73" s="187"/>
      <c r="AM73" s="184" t="e">
        <f t="shared" si="88"/>
        <v>#N/A</v>
      </c>
      <c r="AN73" s="526"/>
      <c r="AO73" s="190"/>
      <c r="AP73" s="190"/>
      <c r="AQ73" s="187" t="str">
        <f t="shared" si="83"/>
        <v/>
      </c>
      <c r="AR73" s="184" t="e">
        <f t="shared" si="89"/>
        <v>#VALUE!</v>
      </c>
      <c r="AS73" s="526"/>
      <c r="AT73" s="190"/>
      <c r="AU73" s="190"/>
      <c r="AV73" s="187"/>
      <c r="AW73" s="184" t="e">
        <f t="shared" si="90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82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86"/>
        <v>183.34709515473759</v>
      </c>
      <c r="AH74" s="184" t="e">
        <f t="shared" si="87"/>
        <v>#N/A</v>
      </c>
      <c r="AI74" s="526"/>
      <c r="AJ74" s="190"/>
      <c r="AK74" s="190"/>
      <c r="AL74" s="187"/>
      <c r="AM74" s="184" t="e">
        <f t="shared" si="88"/>
        <v>#N/A</v>
      </c>
      <c r="AN74" s="526"/>
      <c r="AO74" s="190"/>
      <c r="AP74" s="190"/>
      <c r="AQ74" s="187" t="str">
        <f t="shared" si="83"/>
        <v/>
      </c>
      <c r="AR74" s="184" t="e">
        <f t="shared" si="89"/>
        <v>#VALUE!</v>
      </c>
      <c r="AS74" s="526"/>
      <c r="AT74" s="190"/>
      <c r="AU74" s="190"/>
      <c r="AV74" s="187"/>
      <c r="AW74" s="184" t="e">
        <f t="shared" si="90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82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86"/>
        <v>183.51228908786049</v>
      </c>
      <c r="AH75" s="184" t="e">
        <f t="shared" si="87"/>
        <v>#N/A</v>
      </c>
      <c r="AI75" s="526"/>
      <c r="AJ75" s="190"/>
      <c r="AK75" s="190"/>
      <c r="AL75" s="187"/>
      <c r="AM75" s="184" t="e">
        <f t="shared" si="88"/>
        <v>#N/A</v>
      </c>
      <c r="AN75" s="526"/>
      <c r="AO75" s="190"/>
      <c r="AP75" s="190"/>
      <c r="AQ75" s="187" t="str">
        <f t="shared" si="83"/>
        <v/>
      </c>
      <c r="AR75" s="184" t="e">
        <f t="shared" si="89"/>
        <v>#VALUE!</v>
      </c>
      <c r="AS75" s="526"/>
      <c r="AT75" s="190"/>
      <c r="AU75" s="190"/>
      <c r="AV75" s="187"/>
      <c r="AW75" s="184" t="e">
        <f t="shared" si="90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82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86"/>
        <v>286.63901543482666</v>
      </c>
      <c r="AH76" s="184" t="e">
        <f t="shared" si="87"/>
        <v>#N/A</v>
      </c>
      <c r="AI76" s="526"/>
      <c r="AJ76" s="190"/>
      <c r="AK76" s="190"/>
      <c r="AL76" s="187"/>
      <c r="AM76" s="184" t="e">
        <f t="shared" si="88"/>
        <v>#N/A</v>
      </c>
      <c r="AN76" s="526"/>
      <c r="AO76" s="190"/>
      <c r="AP76" s="190"/>
      <c r="AQ76" s="187" t="str">
        <f t="shared" si="83"/>
        <v/>
      </c>
      <c r="AR76" s="184" t="e">
        <f t="shared" si="89"/>
        <v>#VALUE!</v>
      </c>
      <c r="AS76" s="526"/>
      <c r="AT76" s="190"/>
      <c r="AU76" s="190"/>
      <c r="AV76" s="187"/>
      <c r="AW76" s="184" t="e">
        <f t="shared" si="90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91">U82+1</f>
        <v>46079</v>
      </c>
      <c r="AA82" s="583"/>
      <c r="AB82" s="583"/>
      <c r="AC82" s="583"/>
      <c r="AD82" s="583"/>
      <c r="AE82" s="584">
        <f t="shared" ref="AE82" si="92">Z82+1</f>
        <v>46080</v>
      </c>
      <c r="AF82" s="585"/>
      <c r="AG82" s="585"/>
      <c r="AH82" s="585"/>
      <c r="AI82" s="585"/>
      <c r="AJ82" s="586">
        <f t="shared" ref="AJ82" si="93">AE82+1</f>
        <v>46081</v>
      </c>
      <c r="AK82" s="587"/>
      <c r="AL82" s="587"/>
      <c r="AM82" s="587"/>
      <c r="AN82" s="588"/>
      <c r="AO82" s="584">
        <f t="shared" ref="AO82" si="94">AJ82+1</f>
        <v>46082</v>
      </c>
      <c r="AP82" s="585"/>
      <c r="AQ82" s="585"/>
      <c r="AR82" s="585"/>
      <c r="AS82" s="585"/>
      <c r="AT82" s="586">
        <f t="shared" ref="AT82" si="95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96">Z82</f>
        <v>46079</v>
      </c>
      <c r="AA83" s="589"/>
      <c r="AB83" s="589"/>
      <c r="AC83" s="589"/>
      <c r="AD83" s="589"/>
      <c r="AE83" s="590">
        <f t="shared" ref="AE83" si="97">AE82</f>
        <v>46080</v>
      </c>
      <c r="AF83" s="590"/>
      <c r="AG83" s="590"/>
      <c r="AH83" s="590"/>
      <c r="AI83" s="590"/>
      <c r="AJ83" s="591">
        <f t="shared" ref="AJ83" si="98">AJ82</f>
        <v>46081</v>
      </c>
      <c r="AK83" s="592"/>
      <c r="AL83" s="592"/>
      <c r="AM83" s="592"/>
      <c r="AN83" s="593"/>
      <c r="AO83" s="590">
        <f t="shared" ref="AO83" si="99">AO82</f>
        <v>46082</v>
      </c>
      <c r="AP83" s="590"/>
      <c r="AQ83" s="590"/>
      <c r="AR83" s="590"/>
      <c r="AS83" s="590"/>
      <c r="AT83" s="591">
        <f t="shared" ref="AT83" si="100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14" t="s">
        <v>363</v>
      </c>
      <c r="C87" s="182">
        <v>1</v>
      </c>
      <c r="D87" s="185"/>
      <c r="E87" s="182"/>
      <c r="F87" s="182"/>
      <c r="G87" s="187" t="e">
        <f t="shared" ref="G87:G96" si="101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102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103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101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104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105">IFERROR(AF88/AE88,"")</f>
        <v>183.41069933795009</v>
      </c>
      <c r="AH88" s="184" t="e">
        <f t="shared" ref="AH88:AH96" si="106">RANK(AG88, AG$27:AG$41)</f>
        <v>#N/A</v>
      </c>
      <c r="AI88" s="526"/>
      <c r="AJ88" s="190"/>
      <c r="AK88" s="190"/>
      <c r="AL88" s="187"/>
      <c r="AM88" s="184" t="e">
        <f t="shared" ref="AM88:AM96" si="107">RANK(AL88, AL$27:AL$41)</f>
        <v>#N/A</v>
      </c>
      <c r="AN88" s="526"/>
      <c r="AO88" s="190"/>
      <c r="AP88" s="190"/>
      <c r="AQ88" s="187" t="str">
        <f t="shared" si="102"/>
        <v/>
      </c>
      <c r="AR88" s="184" t="e">
        <f t="shared" ref="AR88:AR96" si="108">RANK(AQ88, AQ$27:AQ$41)</f>
        <v>#VALUE!</v>
      </c>
      <c r="AS88" s="526"/>
      <c r="AT88" s="190"/>
      <c r="AU88" s="190"/>
      <c r="AV88" s="187"/>
      <c r="AW88" s="184" t="e">
        <f t="shared" ref="AW88:AW96" si="109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101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104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105"/>
        <v>286.56852329640265</v>
      </c>
      <c r="AH89" s="184" t="e">
        <f t="shared" si="106"/>
        <v>#N/A</v>
      </c>
      <c r="AI89" s="526"/>
      <c r="AJ89" s="190"/>
      <c r="AK89" s="190"/>
      <c r="AL89" s="187"/>
      <c r="AM89" s="184" t="e">
        <f t="shared" si="107"/>
        <v>#N/A</v>
      </c>
      <c r="AN89" s="526"/>
      <c r="AO89" s="190"/>
      <c r="AP89" s="190"/>
      <c r="AQ89" s="187" t="str">
        <f t="shared" si="102"/>
        <v/>
      </c>
      <c r="AR89" s="184" t="e">
        <f t="shared" si="108"/>
        <v>#VALUE!</v>
      </c>
      <c r="AS89" s="526"/>
      <c r="AT89" s="190"/>
      <c r="AU89" s="190"/>
      <c r="AV89" s="187"/>
      <c r="AW89" s="184" t="e">
        <f t="shared" si="109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101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105"/>
        <v>386.3900414937761</v>
      </c>
      <c r="AH90" s="184" t="e">
        <f t="shared" si="106"/>
        <v>#N/A</v>
      </c>
      <c r="AI90" s="526"/>
      <c r="AJ90" s="190"/>
      <c r="AK90" s="190"/>
      <c r="AL90" s="187"/>
      <c r="AM90" s="184" t="e">
        <f t="shared" si="107"/>
        <v>#N/A</v>
      </c>
      <c r="AN90" s="526"/>
      <c r="AO90" s="190"/>
      <c r="AP90" s="190"/>
      <c r="AQ90" s="187" t="str">
        <f t="shared" si="102"/>
        <v/>
      </c>
      <c r="AR90" s="184" t="e">
        <f t="shared" si="108"/>
        <v>#VALUE!</v>
      </c>
      <c r="AS90" s="526"/>
      <c r="AT90" s="190"/>
      <c r="AU90" s="190"/>
      <c r="AV90" s="187"/>
      <c r="AW90" s="184" t="e">
        <f t="shared" si="109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101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105"/>
        <v>375.74552683896599</v>
      </c>
      <c r="AH91" s="184" t="e">
        <f t="shared" si="106"/>
        <v>#N/A</v>
      </c>
      <c r="AI91" s="526"/>
      <c r="AJ91" s="190"/>
      <c r="AK91" s="190"/>
      <c r="AL91" s="187"/>
      <c r="AM91" s="184" t="e">
        <f t="shared" si="107"/>
        <v>#N/A</v>
      </c>
      <c r="AN91" s="526"/>
      <c r="AO91" s="190"/>
      <c r="AP91" s="190"/>
      <c r="AQ91" s="187" t="str">
        <f t="shared" si="102"/>
        <v/>
      </c>
      <c r="AR91" s="184" t="e">
        <f t="shared" si="108"/>
        <v>#VALUE!</v>
      </c>
      <c r="AS91" s="526"/>
      <c r="AT91" s="190"/>
      <c r="AU91" s="190"/>
      <c r="AV91" s="187"/>
      <c r="AW91" s="184" t="e">
        <f t="shared" si="109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101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105"/>
        <v>386.4406779661013</v>
      </c>
      <c r="AH92" s="184" t="e">
        <f t="shared" si="106"/>
        <v>#N/A</v>
      </c>
      <c r="AI92" s="526"/>
      <c r="AJ92" s="190"/>
      <c r="AK92" s="190"/>
      <c r="AL92" s="187"/>
      <c r="AM92" s="184" t="e">
        <f t="shared" si="107"/>
        <v>#N/A</v>
      </c>
      <c r="AN92" s="526"/>
      <c r="AO92" s="190"/>
      <c r="AP92" s="190"/>
      <c r="AQ92" s="187" t="str">
        <f t="shared" si="102"/>
        <v/>
      </c>
      <c r="AR92" s="184" t="e">
        <f t="shared" si="108"/>
        <v>#VALUE!</v>
      </c>
      <c r="AS92" s="526"/>
      <c r="AT92" s="190"/>
      <c r="AU92" s="190"/>
      <c r="AV92" s="187"/>
      <c r="AW92" s="184" t="e">
        <f t="shared" si="109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101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105"/>
        <v>127.79864763335836</v>
      </c>
      <c r="AH93" s="184" t="e">
        <f t="shared" si="106"/>
        <v>#N/A</v>
      </c>
      <c r="AI93" s="526"/>
      <c r="AJ93" s="190"/>
      <c r="AK93" s="190"/>
      <c r="AL93" s="187"/>
      <c r="AM93" s="184" t="e">
        <f t="shared" si="107"/>
        <v>#N/A</v>
      </c>
      <c r="AN93" s="526"/>
      <c r="AO93" s="190"/>
      <c r="AP93" s="190"/>
      <c r="AQ93" s="187" t="str">
        <f t="shared" si="102"/>
        <v/>
      </c>
      <c r="AR93" s="184" t="e">
        <f t="shared" si="108"/>
        <v>#VALUE!</v>
      </c>
      <c r="AS93" s="526"/>
      <c r="AT93" s="190"/>
      <c r="AU93" s="190"/>
      <c r="AV93" s="187"/>
      <c r="AW93" s="184" t="e">
        <f t="shared" si="109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101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105"/>
        <v>183.34709515473759</v>
      </c>
      <c r="AH94" s="184" t="e">
        <f t="shared" si="106"/>
        <v>#N/A</v>
      </c>
      <c r="AI94" s="526"/>
      <c r="AJ94" s="190"/>
      <c r="AK94" s="190"/>
      <c r="AL94" s="187"/>
      <c r="AM94" s="184" t="e">
        <f t="shared" si="107"/>
        <v>#N/A</v>
      </c>
      <c r="AN94" s="526"/>
      <c r="AO94" s="190"/>
      <c r="AP94" s="190"/>
      <c r="AQ94" s="187" t="str">
        <f t="shared" si="102"/>
        <v/>
      </c>
      <c r="AR94" s="184" t="e">
        <f t="shared" si="108"/>
        <v>#VALUE!</v>
      </c>
      <c r="AS94" s="526"/>
      <c r="AT94" s="190"/>
      <c r="AU94" s="190"/>
      <c r="AV94" s="187"/>
      <c r="AW94" s="184" t="e">
        <f t="shared" si="109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101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105"/>
        <v>183.51228908786049</v>
      </c>
      <c r="AH95" s="184" t="e">
        <f t="shared" si="106"/>
        <v>#N/A</v>
      </c>
      <c r="AI95" s="526"/>
      <c r="AJ95" s="190"/>
      <c r="AK95" s="190"/>
      <c r="AL95" s="187"/>
      <c r="AM95" s="184" t="e">
        <f t="shared" si="107"/>
        <v>#N/A</v>
      </c>
      <c r="AN95" s="526"/>
      <c r="AO95" s="190"/>
      <c r="AP95" s="190"/>
      <c r="AQ95" s="187" t="str">
        <f t="shared" si="102"/>
        <v/>
      </c>
      <c r="AR95" s="184" t="e">
        <f t="shared" si="108"/>
        <v>#VALUE!</v>
      </c>
      <c r="AS95" s="526"/>
      <c r="AT95" s="190"/>
      <c r="AU95" s="190"/>
      <c r="AV95" s="187"/>
      <c r="AW95" s="184" t="e">
        <f t="shared" si="109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101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105"/>
        <v>286.63901543482666</v>
      </c>
      <c r="AH96" s="184" t="e">
        <f t="shared" si="106"/>
        <v>#N/A</v>
      </c>
      <c r="AI96" s="526"/>
      <c r="AJ96" s="190"/>
      <c r="AK96" s="190"/>
      <c r="AL96" s="187"/>
      <c r="AM96" s="184" t="e">
        <f t="shared" si="107"/>
        <v>#N/A</v>
      </c>
      <c r="AN96" s="526"/>
      <c r="AO96" s="190"/>
      <c r="AP96" s="190"/>
      <c r="AQ96" s="187" t="str">
        <f t="shared" si="102"/>
        <v/>
      </c>
      <c r="AR96" s="184" t="e">
        <f t="shared" si="108"/>
        <v>#VALUE!</v>
      </c>
      <c r="AS96" s="526"/>
      <c r="AT96" s="190"/>
      <c r="AU96" s="190"/>
      <c r="AV96" s="187"/>
      <c r="AW96" s="184" t="e">
        <f t="shared" si="109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8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:AW3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701</v>
      </c>
      <c r="C1" s="177">
        <f>AVERAGE(L27,L47,L67,L87)</f>
        <v>77.805879687323809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f>AE2+1</f>
        <v>46053</v>
      </c>
      <c r="AK2" s="587"/>
      <c r="AL2" s="587"/>
      <c r="AM2" s="587"/>
      <c r="AN2" s="588"/>
      <c r="AO2" s="584">
        <f t="shared" ref="AO2" si="2">AJ2+1</f>
        <v>46054</v>
      </c>
      <c r="AP2" s="585"/>
      <c r="AQ2" s="585"/>
      <c r="AR2" s="585"/>
      <c r="AS2" s="585"/>
      <c r="AT2" s="586">
        <f t="shared" ref="AT2" si="3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4">Z2</f>
        <v>46051</v>
      </c>
      <c r="AA3" s="589"/>
      <c r="AB3" s="589"/>
      <c r="AC3" s="589"/>
      <c r="AD3" s="589"/>
      <c r="AE3" s="590">
        <f t="shared" ref="AE3" si="5">AE2</f>
        <v>46052</v>
      </c>
      <c r="AF3" s="590"/>
      <c r="AG3" s="590"/>
      <c r="AH3" s="590"/>
      <c r="AI3" s="590"/>
      <c r="AJ3" s="591">
        <f t="shared" ref="AJ3" si="6">AJ2</f>
        <v>46053</v>
      </c>
      <c r="AK3" s="592"/>
      <c r="AL3" s="592"/>
      <c r="AM3" s="592"/>
      <c r="AN3" s="593"/>
      <c r="AO3" s="590">
        <f t="shared" ref="AO3" si="7">AO2</f>
        <v>46054</v>
      </c>
      <c r="AP3" s="590"/>
      <c r="AQ3" s="590"/>
      <c r="AR3" s="590"/>
      <c r="AS3" s="590"/>
      <c r="AT3" s="591">
        <f t="shared" ref="AT3" si="8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 t="s">
        <v>386</v>
      </c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14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9">F7/E7</f>
        <v>95.238095238095241</v>
      </c>
      <c r="H7" s="526">
        <f>AVERAGE(G7:G21)</f>
        <v>87.414099588012633</v>
      </c>
      <c r="I7" s="188">
        <f>AVERAGE(P7,U7,Z7,AE7,AJ7,AO7,AT7)</f>
        <v>21</v>
      </c>
      <c r="J7" s="188">
        <f>AVERAGE(Q7,V7,AA7,AF7,AK7,AP7,AU7)</f>
        <v>1777.3375261915148</v>
      </c>
      <c r="K7" s="189">
        <f>AVERAGE(R7,W7,AB7,AG7,AL7,AQ7,AV7)</f>
        <v>84.635120294834024</v>
      </c>
      <c r="L7" s="527">
        <f>IFERROR(AVERAGE(K7:K21),"-")</f>
        <v>77.741299801244622</v>
      </c>
      <c r="M7" s="188">
        <f>RANK(K7, K$7:$K$21)</f>
        <v>2</v>
      </c>
      <c r="N7" s="514"/>
      <c r="O7" s="514"/>
      <c r="P7" s="190">
        <v>21</v>
      </c>
      <c r="Q7" s="190">
        <v>1775.0182615047481</v>
      </c>
      <c r="R7" s="187">
        <f>IFERROR(Q7/P7,"")</f>
        <v>84.524679119273713</v>
      </c>
      <c r="S7" s="184">
        <f>RANK(R7, R$7:R$21)</f>
        <v>2</v>
      </c>
      <c r="T7" s="526">
        <f>AVERAGE(R7:R21)</f>
        <v>77.699950586189914</v>
      </c>
      <c r="U7" s="190">
        <v>21</v>
      </c>
      <c r="V7" s="190">
        <v>1775.3299492385793</v>
      </c>
      <c r="W7" s="187">
        <f t="shared" ref="W7:W15" si="10">IFERROR(V7/U7,"")</f>
        <v>84.539521392313304</v>
      </c>
      <c r="X7" s="184">
        <f>RANK(W7, W$7:W$21)</f>
        <v>2</v>
      </c>
      <c r="Y7" s="526">
        <f>AVERAGE(W7:W21)</f>
        <v>77.712497689858779</v>
      </c>
      <c r="Z7" s="190">
        <v>21</v>
      </c>
      <c r="AA7" s="190">
        <v>1777.651319192965</v>
      </c>
      <c r="AB7" s="187">
        <f t="shared" ref="AB7:AB15" si="11">IFERROR(AA7/Z7,"")</f>
        <v>84.650062818712627</v>
      </c>
      <c r="AC7" s="184">
        <f>RANK(AB7, AB$7:AB$21)</f>
        <v>2</v>
      </c>
      <c r="AD7" s="526">
        <f>AVERAGE(AB7:AB21)</f>
        <v>77.739041672533091</v>
      </c>
      <c r="AE7" s="190">
        <v>21</v>
      </c>
      <c r="AF7" s="190">
        <v>1777.6178010471199</v>
      </c>
      <c r="AG7" s="187">
        <f>IFERROR(AF7/AE7,"")</f>
        <v>84.648466716529512</v>
      </c>
      <c r="AH7" s="184">
        <f>RANK(AG7, AG$7:AG$21)</f>
        <v>2</v>
      </c>
      <c r="AI7" s="526">
        <f>AVERAGE(AG7:AG21)</f>
        <v>77.743005537229976</v>
      </c>
      <c r="AJ7" s="190">
        <v>21</v>
      </c>
      <c r="AK7" s="190">
        <v>1778.5598267460753</v>
      </c>
      <c r="AL7" s="187">
        <f t="shared" ref="AL7:AL15" si="12">IFERROR(AK7/AJ7,"")</f>
        <v>84.693325083146448</v>
      </c>
      <c r="AM7" s="184">
        <f>RANK(AL7, AL$7:AL$21)</f>
        <v>2</v>
      </c>
      <c r="AN7" s="526">
        <f>AVERAGE(AL7:AL21)</f>
        <v>77.764629797669713</v>
      </c>
      <c r="AO7" s="190">
        <v>21</v>
      </c>
      <c r="AP7" s="190">
        <v>1778.4601490178356</v>
      </c>
      <c r="AQ7" s="187">
        <f t="shared" ref="AQ7:AQ15" si="13">IFERROR(AP7/AO7,"")</f>
        <v>84.688578524658837</v>
      </c>
      <c r="AR7" s="184">
        <f>RANK(AQ7, AQ$7:AQ$21)</f>
        <v>2</v>
      </c>
      <c r="AS7" s="526">
        <f>AVERAGE(AQ7:AQ21)</f>
        <v>77.76278761045198</v>
      </c>
      <c r="AT7" s="190">
        <v>21</v>
      </c>
      <c r="AU7" s="190">
        <v>1778.7253765932794</v>
      </c>
      <c r="AV7" s="187">
        <f t="shared" ref="AV7:AV15" si="14">IFERROR(AU7/AT7,"")</f>
        <v>84.701208409203787</v>
      </c>
      <c r="AW7" s="184">
        <f>RANK(AV7, AV$7:AV$21)</f>
        <v>2</v>
      </c>
      <c r="AX7" s="526">
        <f>AVERAGE(AV7:AV21)</f>
        <v>77.767185714778861</v>
      </c>
    </row>
    <row r="8" spans="1:50" ht="14.25" customHeight="1">
      <c r="B8" s="514"/>
      <c r="C8" s="182">
        <v>2</v>
      </c>
      <c r="D8" s="185" t="s">
        <v>367</v>
      </c>
      <c r="E8" s="182">
        <v>25</v>
      </c>
      <c r="F8" s="182">
        <v>2000</v>
      </c>
      <c r="G8" s="187">
        <f t="shared" si="9"/>
        <v>80</v>
      </c>
      <c r="H8" s="526"/>
      <c r="I8" s="188">
        <f t="shared" ref="I8:I15" si="15">AVERAGE(P8,U8,Z8,AE8,AJ8,AO8,AT8)</f>
        <v>25</v>
      </c>
      <c r="J8" s="188">
        <f t="shared" ref="J8:J15" si="16">AVERAGE(Q8,V8,AA8,AF8,AK8,AP8,AU8)</f>
        <v>1782.0098782461807</v>
      </c>
      <c r="K8" s="189">
        <f t="shared" ref="K8:K15" si="17">AVERAGE(R8,W8,AB8,AG8,AL8,AQ8,AV8)</f>
        <v>71.280395129847221</v>
      </c>
      <c r="L8" s="527"/>
      <c r="M8" s="188">
        <f>RANK(K8, K$7:$K$21)</f>
        <v>8</v>
      </c>
      <c r="N8" s="514"/>
      <c r="O8" s="514"/>
      <c r="P8" s="190">
        <v>25</v>
      </c>
      <c r="Q8" s="190">
        <v>1781.8829943384355</v>
      </c>
      <c r="R8" s="187">
        <f t="shared" ref="R8:R15" si="18">IFERROR(Q8/P8,"")</f>
        <v>71.275319773537419</v>
      </c>
      <c r="S8" s="184">
        <f t="shared" ref="S8:S15" si="19">RANK(R8, R$7:R$21)</f>
        <v>8</v>
      </c>
      <c r="T8" s="526"/>
      <c r="U8" s="190">
        <v>25</v>
      </c>
      <c r="V8" s="190">
        <v>1781.8598259276212</v>
      </c>
      <c r="W8" s="187">
        <f t="shared" si="10"/>
        <v>71.274393037104844</v>
      </c>
      <c r="X8" s="184">
        <f t="shared" ref="X8:X15" si="20">RANK(W8, W$7:W$21)</f>
        <v>8</v>
      </c>
      <c r="Y8" s="526"/>
      <c r="Z8" s="190">
        <v>25</v>
      </c>
      <c r="AA8" s="190">
        <v>1781.8506700701976</v>
      </c>
      <c r="AB8" s="187">
        <f t="shared" si="11"/>
        <v>71.274026802807896</v>
      </c>
      <c r="AC8" s="184">
        <f t="shared" ref="AC8:AC15" si="21">RANK(AB8, AB$7:AB$21)</f>
        <v>8</v>
      </c>
      <c r="AD8" s="526"/>
      <c r="AE8" s="190">
        <v>25</v>
      </c>
      <c r="AF8" s="190">
        <v>1781.9726858877093</v>
      </c>
      <c r="AG8" s="187">
        <f t="shared" ref="AG8:AG15" si="22">IFERROR(AF8/AE8,"")</f>
        <v>71.278907435508373</v>
      </c>
      <c r="AH8" s="184">
        <f t="shared" ref="AH8:AH15" si="23">RANK(AG8, AG$7:AG$21)</f>
        <v>8</v>
      </c>
      <c r="AI8" s="526"/>
      <c r="AJ8" s="190">
        <v>25</v>
      </c>
      <c r="AK8" s="190">
        <v>1782.1261682242991</v>
      </c>
      <c r="AL8" s="187">
        <f t="shared" si="12"/>
        <v>71.285046728971963</v>
      </c>
      <c r="AM8" s="184">
        <f t="shared" ref="AM8:AM15" si="24">RANK(AL8, AL$7:AL$21)</f>
        <v>8</v>
      </c>
      <c r="AN8" s="526"/>
      <c r="AO8" s="190">
        <v>25</v>
      </c>
      <c r="AP8" s="190">
        <v>1782.1594596965172</v>
      </c>
      <c r="AQ8" s="187">
        <f t="shared" si="13"/>
        <v>71.28637838786068</v>
      </c>
      <c r="AR8" s="184">
        <f t="shared" ref="AR8:AR15" si="25">RANK(AQ8, AQ$7:AQ$21)</f>
        <v>8</v>
      </c>
      <c r="AS8" s="526"/>
      <c r="AT8" s="190">
        <v>25</v>
      </c>
      <c r="AU8" s="190">
        <v>1782.2173435784853</v>
      </c>
      <c r="AV8" s="187">
        <f t="shared" si="14"/>
        <v>71.288693743139405</v>
      </c>
      <c r="AW8" s="184">
        <f t="shared" ref="AW8:AW15" si="26">RANK(AV8, AV$7:AV$21)</f>
        <v>8</v>
      </c>
      <c r="AX8" s="526"/>
    </row>
    <row r="9" spans="1:50" ht="14.25" customHeight="1">
      <c r="B9" s="514"/>
      <c r="C9" s="182">
        <v>3</v>
      </c>
      <c r="D9" s="185" t="s">
        <v>368</v>
      </c>
      <c r="E9" s="182">
        <v>23</v>
      </c>
      <c r="F9" s="182">
        <v>2000</v>
      </c>
      <c r="G9" s="187">
        <f t="shared" si="9"/>
        <v>86.956521739130437</v>
      </c>
      <c r="H9" s="526"/>
      <c r="I9" s="188">
        <f t="shared" si="15"/>
        <v>23</v>
      </c>
      <c r="J9" s="188">
        <f t="shared" si="16"/>
        <v>1778.9306329269712</v>
      </c>
      <c r="K9" s="189">
        <f t="shared" si="17"/>
        <v>77.344810127259606</v>
      </c>
      <c r="L9" s="527"/>
      <c r="M9" s="188">
        <f>RANK(K9, K$7:$K$21)</f>
        <v>4</v>
      </c>
      <c r="N9" s="514"/>
      <c r="O9" s="514"/>
      <c r="P9" s="190">
        <v>23</v>
      </c>
      <c r="Q9" s="190">
        <v>1778.5316724092231</v>
      </c>
      <c r="R9" s="187">
        <f t="shared" si="18"/>
        <v>77.327464017792309</v>
      </c>
      <c r="S9" s="184">
        <f t="shared" si="19"/>
        <v>4</v>
      </c>
      <c r="T9" s="526"/>
      <c r="U9" s="190">
        <v>23</v>
      </c>
      <c r="V9" s="190">
        <v>1778.5589773387564</v>
      </c>
      <c r="W9" s="187">
        <f t="shared" si="10"/>
        <v>77.328651188641587</v>
      </c>
      <c r="X9" s="184">
        <f t="shared" si="20"/>
        <v>4</v>
      </c>
      <c r="Y9" s="526"/>
      <c r="Z9" s="190">
        <v>23</v>
      </c>
      <c r="AA9" s="190">
        <v>1779.2083782535037</v>
      </c>
      <c r="AB9" s="187">
        <f t="shared" si="11"/>
        <v>77.356886011021899</v>
      </c>
      <c r="AC9" s="184">
        <f t="shared" si="21"/>
        <v>4</v>
      </c>
      <c r="AD9" s="526"/>
      <c r="AE9" s="190">
        <v>23</v>
      </c>
      <c r="AF9" s="190">
        <v>1779.1143736680081</v>
      </c>
      <c r="AG9" s="187">
        <f t="shared" si="22"/>
        <v>77.352798855130786</v>
      </c>
      <c r="AH9" s="184">
        <f t="shared" si="23"/>
        <v>4</v>
      </c>
      <c r="AI9" s="526"/>
      <c r="AJ9" s="190">
        <v>23</v>
      </c>
      <c r="AK9" s="190">
        <v>1779.0408525754899</v>
      </c>
      <c r="AL9" s="187">
        <f t="shared" si="12"/>
        <v>77.349602285890867</v>
      </c>
      <c r="AM9" s="184">
        <f t="shared" si="24"/>
        <v>4</v>
      </c>
      <c r="AN9" s="526"/>
      <c r="AO9" s="190">
        <v>23</v>
      </c>
      <c r="AP9" s="190">
        <v>1779.0426908150071</v>
      </c>
      <c r="AQ9" s="187">
        <f t="shared" si="13"/>
        <v>77.349682209348131</v>
      </c>
      <c r="AR9" s="184">
        <f t="shared" si="25"/>
        <v>4</v>
      </c>
      <c r="AS9" s="526"/>
      <c r="AT9" s="190">
        <v>23</v>
      </c>
      <c r="AU9" s="190">
        <v>1779.0174854288093</v>
      </c>
      <c r="AV9" s="187">
        <f t="shared" si="14"/>
        <v>77.348586322991707</v>
      </c>
      <c r="AW9" s="184">
        <f t="shared" si="26"/>
        <v>5</v>
      </c>
      <c r="AX9" s="526"/>
    </row>
    <row r="10" spans="1:50" ht="14.25" customHeight="1">
      <c r="B10" s="514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9"/>
        <v>83.333333333333329</v>
      </c>
      <c r="H10" s="526"/>
      <c r="I10" s="188">
        <f t="shared" si="15"/>
        <v>24</v>
      </c>
      <c r="J10" s="188">
        <f t="shared" si="16"/>
        <v>1778.0690597642508</v>
      </c>
      <c r="K10" s="189">
        <f t="shared" si="17"/>
        <v>74.086210823510456</v>
      </c>
      <c r="L10" s="527"/>
      <c r="M10" s="188">
        <f>RANK(K10, K$7:$K$21)</f>
        <v>7</v>
      </c>
      <c r="N10" s="514"/>
      <c r="O10" s="514"/>
      <c r="P10" s="190">
        <v>24</v>
      </c>
      <c r="Q10" s="190">
        <v>1776.6397755173616</v>
      </c>
      <c r="R10" s="187">
        <f t="shared" si="18"/>
        <v>74.026657313223396</v>
      </c>
      <c r="S10" s="184">
        <f t="shared" si="19"/>
        <v>7</v>
      </c>
      <c r="T10" s="526"/>
      <c r="U10" s="190">
        <v>24</v>
      </c>
      <c r="V10" s="190">
        <v>1776.7539267015725</v>
      </c>
      <c r="W10" s="187">
        <f t="shared" si="10"/>
        <v>74.031413612565515</v>
      </c>
      <c r="X10" s="184">
        <f t="shared" si="20"/>
        <v>7</v>
      </c>
      <c r="Y10" s="526"/>
      <c r="Z10" s="190">
        <v>24</v>
      </c>
      <c r="AA10" s="190">
        <v>1777.0212765957449</v>
      </c>
      <c r="AB10" s="187">
        <f t="shared" si="11"/>
        <v>74.042553191489375</v>
      </c>
      <c r="AC10" s="184">
        <f t="shared" si="21"/>
        <v>7</v>
      </c>
      <c r="AD10" s="526"/>
      <c r="AE10" s="190">
        <v>24</v>
      </c>
      <c r="AF10" s="190">
        <v>1777.6628748707358</v>
      </c>
      <c r="AG10" s="187">
        <f t="shared" si="22"/>
        <v>74.069286452947324</v>
      </c>
      <c r="AH10" s="184">
        <f t="shared" si="23"/>
        <v>7</v>
      </c>
      <c r="AI10" s="526"/>
      <c r="AJ10" s="190">
        <v>24</v>
      </c>
      <c r="AK10" s="190">
        <v>1779.3103448275874</v>
      </c>
      <c r="AL10" s="187">
        <f t="shared" si="12"/>
        <v>74.137931034482804</v>
      </c>
      <c r="AM10" s="184">
        <f t="shared" si="24"/>
        <v>7</v>
      </c>
      <c r="AN10" s="526"/>
      <c r="AO10" s="190">
        <v>24</v>
      </c>
      <c r="AP10" s="190">
        <v>1779.3832599118944</v>
      </c>
      <c r="AQ10" s="187">
        <f t="shared" si="13"/>
        <v>74.140969162995603</v>
      </c>
      <c r="AR10" s="184">
        <f t="shared" si="25"/>
        <v>7</v>
      </c>
      <c r="AS10" s="526"/>
      <c r="AT10" s="190">
        <v>24</v>
      </c>
      <c r="AU10" s="190">
        <v>1779.7119599248599</v>
      </c>
      <c r="AV10" s="187">
        <f t="shared" si="14"/>
        <v>74.154664996869158</v>
      </c>
      <c r="AW10" s="184">
        <f t="shared" si="26"/>
        <v>7</v>
      </c>
      <c r="AX10" s="526"/>
    </row>
    <row r="11" spans="1:50" ht="14.25" customHeight="1">
      <c r="B11" s="514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9"/>
        <v>80</v>
      </c>
      <c r="H11" s="526"/>
      <c r="I11" s="188">
        <f t="shared" si="15"/>
        <v>25</v>
      </c>
      <c r="J11" s="188">
        <f t="shared" si="16"/>
        <v>1779.6844513454416</v>
      </c>
      <c r="K11" s="189">
        <f t="shared" si="17"/>
        <v>71.187378053817667</v>
      </c>
      <c r="L11" s="527"/>
      <c r="M11" s="188">
        <f>RANK(K11, K$7:$K$21)</f>
        <v>9</v>
      </c>
      <c r="N11" s="514"/>
      <c r="O11" s="514"/>
      <c r="P11" s="190">
        <v>25</v>
      </c>
      <c r="Q11" s="190">
        <v>1779.2407496395965</v>
      </c>
      <c r="R11" s="187">
        <f t="shared" si="18"/>
        <v>71.169629985583867</v>
      </c>
      <c r="S11" s="184">
        <f t="shared" si="19"/>
        <v>9</v>
      </c>
      <c r="T11" s="526"/>
      <c r="U11" s="190">
        <v>25</v>
      </c>
      <c r="V11" s="190">
        <v>1779.4110489170123</v>
      </c>
      <c r="W11" s="187">
        <f t="shared" si="10"/>
        <v>71.176441956680492</v>
      </c>
      <c r="X11" s="184">
        <f t="shared" si="20"/>
        <v>9</v>
      </c>
      <c r="Y11" s="526"/>
      <c r="Z11" s="190">
        <v>25</v>
      </c>
      <c r="AA11" s="190">
        <v>1779.7752808988757</v>
      </c>
      <c r="AB11" s="187">
        <f t="shared" si="11"/>
        <v>71.191011235955031</v>
      </c>
      <c r="AC11" s="184">
        <f t="shared" si="21"/>
        <v>9</v>
      </c>
      <c r="AD11" s="526"/>
      <c r="AE11" s="190">
        <v>25</v>
      </c>
      <c r="AF11" s="190">
        <v>1779.8177995795365</v>
      </c>
      <c r="AG11" s="187">
        <f t="shared" si="22"/>
        <v>71.192711983181468</v>
      </c>
      <c r="AH11" s="184">
        <f t="shared" si="23"/>
        <v>9</v>
      </c>
      <c r="AI11" s="526"/>
      <c r="AJ11" s="190">
        <v>25</v>
      </c>
      <c r="AK11" s="190">
        <v>1779.8632691112477</v>
      </c>
      <c r="AL11" s="187">
        <f t="shared" si="12"/>
        <v>71.194530764449908</v>
      </c>
      <c r="AM11" s="184">
        <f t="shared" si="24"/>
        <v>9</v>
      </c>
      <c r="AN11" s="526"/>
      <c r="AO11" s="190">
        <v>25</v>
      </c>
      <c r="AP11" s="190">
        <v>1779.8533384793511</v>
      </c>
      <c r="AQ11" s="187">
        <f t="shared" si="13"/>
        <v>71.194133539174047</v>
      </c>
      <c r="AR11" s="184">
        <f t="shared" si="25"/>
        <v>9</v>
      </c>
      <c r="AS11" s="526"/>
      <c r="AT11" s="190">
        <v>25</v>
      </c>
      <c r="AU11" s="190">
        <v>1779.8296727924703</v>
      </c>
      <c r="AV11" s="187">
        <f t="shared" si="14"/>
        <v>71.193186911698817</v>
      </c>
      <c r="AW11" s="184">
        <f t="shared" si="26"/>
        <v>9</v>
      </c>
      <c r="AX11" s="526"/>
    </row>
    <row r="12" spans="1:50" ht="14.25" customHeight="1">
      <c r="B12" s="514"/>
      <c r="C12" s="182">
        <v>6</v>
      </c>
      <c r="D12" s="185" t="s">
        <v>479</v>
      </c>
      <c r="E12" s="182">
        <v>23</v>
      </c>
      <c r="F12" s="182">
        <v>2000</v>
      </c>
      <c r="G12" s="187">
        <f t="shared" si="9"/>
        <v>86.956521739130437</v>
      </c>
      <c r="H12" s="526"/>
      <c r="I12" s="188">
        <f t="shared" si="15"/>
        <v>23</v>
      </c>
      <c r="J12" s="188">
        <f t="shared" si="16"/>
        <v>1778.6376212279943</v>
      </c>
      <c r="K12" s="189">
        <f t="shared" si="17"/>
        <v>77.33207048817367</v>
      </c>
      <c r="L12" s="527"/>
      <c r="M12" s="188">
        <f>RANK(K12, K$7:$K$21)</f>
        <v>5</v>
      </c>
      <c r="N12" s="514"/>
      <c r="O12" s="514"/>
      <c r="P12" s="190">
        <v>23</v>
      </c>
      <c r="Q12" s="190">
        <v>1778.0270537776307</v>
      </c>
      <c r="R12" s="187">
        <f t="shared" si="18"/>
        <v>77.305524077288297</v>
      </c>
      <c r="S12" s="184">
        <f t="shared" si="19"/>
        <v>5</v>
      </c>
      <c r="T12" s="526"/>
      <c r="U12" s="190">
        <v>23</v>
      </c>
      <c r="V12" s="190">
        <v>1778.3288409703498</v>
      </c>
      <c r="W12" s="187">
        <f t="shared" si="10"/>
        <v>77.318645259580421</v>
      </c>
      <c r="X12" s="184">
        <f t="shared" si="20"/>
        <v>5</v>
      </c>
      <c r="Y12" s="526"/>
      <c r="Z12" s="190">
        <v>23</v>
      </c>
      <c r="AA12" s="190">
        <v>1778.4914115011206</v>
      </c>
      <c r="AB12" s="187">
        <f t="shared" si="11"/>
        <v>77.325713543526987</v>
      </c>
      <c r="AC12" s="184">
        <f t="shared" si="21"/>
        <v>5</v>
      </c>
      <c r="AD12" s="526"/>
      <c r="AE12" s="190">
        <v>23</v>
      </c>
      <c r="AF12" s="190">
        <v>1778.7435049598482</v>
      </c>
      <c r="AG12" s="187">
        <f t="shared" si="22"/>
        <v>77.336674128689054</v>
      </c>
      <c r="AH12" s="184">
        <f t="shared" si="23"/>
        <v>5</v>
      </c>
      <c r="AI12" s="526"/>
      <c r="AJ12" s="190">
        <v>23</v>
      </c>
      <c r="AK12" s="190">
        <v>1778.9284106258453</v>
      </c>
      <c r="AL12" s="187">
        <f t="shared" si="12"/>
        <v>77.344713505471532</v>
      </c>
      <c r="AM12" s="184">
        <f t="shared" si="24"/>
        <v>5</v>
      </c>
      <c r="AN12" s="526"/>
      <c r="AO12" s="190">
        <v>23</v>
      </c>
      <c r="AP12" s="190">
        <v>1778.8977226788836</v>
      </c>
      <c r="AQ12" s="187">
        <f t="shared" si="13"/>
        <v>77.343379246907986</v>
      </c>
      <c r="AR12" s="184">
        <f t="shared" si="25"/>
        <v>5</v>
      </c>
      <c r="AS12" s="526"/>
      <c r="AT12" s="190">
        <v>23</v>
      </c>
      <c r="AU12" s="190">
        <v>1779.0464040822826</v>
      </c>
      <c r="AV12" s="187">
        <f t="shared" si="14"/>
        <v>77.349843655751414</v>
      </c>
      <c r="AW12" s="184">
        <f t="shared" si="26"/>
        <v>4</v>
      </c>
      <c r="AX12" s="526"/>
    </row>
    <row r="13" spans="1:50" ht="14.25" customHeight="1">
      <c r="B13" s="514"/>
      <c r="C13" s="182">
        <v>7</v>
      </c>
      <c r="D13" s="185" t="s">
        <v>483</v>
      </c>
      <c r="E13" s="182">
        <v>22</v>
      </c>
      <c r="F13" s="182">
        <v>2000</v>
      </c>
      <c r="G13" s="187">
        <f t="shared" si="9"/>
        <v>90.909090909090907</v>
      </c>
      <c r="H13" s="526"/>
      <c r="I13" s="188">
        <f t="shared" si="15"/>
        <v>22</v>
      </c>
      <c r="J13" s="188">
        <f t="shared" si="16"/>
        <v>1776.6778190766829</v>
      </c>
      <c r="K13" s="189">
        <f t="shared" si="17"/>
        <v>80.758082685303762</v>
      </c>
      <c r="L13" s="527"/>
      <c r="M13" s="188">
        <f>RANK(K13, K$7:$K$21)</f>
        <v>3</v>
      </c>
      <c r="N13" s="514"/>
      <c r="O13" s="514"/>
      <c r="P13" s="190">
        <v>22</v>
      </c>
      <c r="Q13" s="190">
        <v>1776.0348583878003</v>
      </c>
      <c r="R13" s="187">
        <f t="shared" si="18"/>
        <v>80.728857199445471</v>
      </c>
      <c r="S13" s="184">
        <f t="shared" si="19"/>
        <v>3</v>
      </c>
      <c r="T13" s="526"/>
      <c r="U13" s="190">
        <v>22</v>
      </c>
      <c r="V13" s="190">
        <v>1776.2981366459633</v>
      </c>
      <c r="W13" s="187">
        <f t="shared" si="10"/>
        <v>80.740824392998334</v>
      </c>
      <c r="X13" s="184">
        <f t="shared" si="20"/>
        <v>3</v>
      </c>
      <c r="Y13" s="526"/>
      <c r="Z13" s="190">
        <v>22</v>
      </c>
      <c r="AA13" s="190">
        <v>1776.2974438419826</v>
      </c>
      <c r="AB13" s="187">
        <f t="shared" si="11"/>
        <v>80.740792901908307</v>
      </c>
      <c r="AC13" s="184">
        <f t="shared" si="21"/>
        <v>3</v>
      </c>
      <c r="AD13" s="526"/>
      <c r="AE13" s="190">
        <v>22</v>
      </c>
      <c r="AF13" s="190">
        <v>1776.2917933130684</v>
      </c>
      <c r="AG13" s="187">
        <f t="shared" si="22"/>
        <v>80.740536059684928</v>
      </c>
      <c r="AH13" s="184">
        <f t="shared" si="23"/>
        <v>3</v>
      </c>
      <c r="AI13" s="526"/>
      <c r="AJ13" s="190">
        <v>22</v>
      </c>
      <c r="AK13" s="190">
        <v>1777.2713273791212</v>
      </c>
      <c r="AL13" s="187">
        <f t="shared" si="12"/>
        <v>80.785060335414599</v>
      </c>
      <c r="AM13" s="184">
        <f t="shared" si="24"/>
        <v>3</v>
      </c>
      <c r="AN13" s="526"/>
      <c r="AO13" s="190">
        <v>22</v>
      </c>
      <c r="AP13" s="190">
        <v>1777.2151898734173</v>
      </c>
      <c r="AQ13" s="187">
        <f t="shared" si="13"/>
        <v>80.782508630609883</v>
      </c>
      <c r="AR13" s="184">
        <f t="shared" si="25"/>
        <v>3</v>
      </c>
      <c r="AS13" s="526"/>
      <c r="AT13" s="190">
        <v>22</v>
      </c>
      <c r="AU13" s="190">
        <v>1777.3359840954265</v>
      </c>
      <c r="AV13" s="187">
        <f t="shared" si="14"/>
        <v>80.787999277064841</v>
      </c>
      <c r="AW13" s="184">
        <f t="shared" si="26"/>
        <v>3</v>
      </c>
      <c r="AX13" s="526"/>
    </row>
    <row r="14" spans="1:50" ht="14.25" customHeight="1">
      <c r="B14" s="514"/>
      <c r="C14" s="182">
        <v>8</v>
      </c>
      <c r="D14" s="185" t="s">
        <v>491</v>
      </c>
      <c r="E14" s="182">
        <v>20</v>
      </c>
      <c r="F14" s="182">
        <v>2000</v>
      </c>
      <c r="G14" s="187">
        <f t="shared" si="9"/>
        <v>100</v>
      </c>
      <c r="H14" s="526"/>
      <c r="I14" s="188">
        <f t="shared" si="15"/>
        <v>20</v>
      </c>
      <c r="J14" s="188">
        <f t="shared" si="16"/>
        <v>1777.7166669668727</v>
      </c>
      <c r="K14" s="189">
        <f t="shared" si="17"/>
        <v>88.885833348343652</v>
      </c>
      <c r="L14" s="527"/>
      <c r="M14" s="188">
        <f>RANK(K14, K$7:$K$21)</f>
        <v>1</v>
      </c>
      <c r="N14" s="514"/>
      <c r="O14" s="514"/>
      <c r="P14" s="190">
        <v>20</v>
      </c>
      <c r="Q14" s="190">
        <v>1777.188328912468</v>
      </c>
      <c r="R14" s="187">
        <f t="shared" si="18"/>
        <v>88.859416445623395</v>
      </c>
      <c r="S14" s="184">
        <f t="shared" si="19"/>
        <v>1</v>
      </c>
      <c r="T14" s="526"/>
      <c r="U14" s="190">
        <v>20</v>
      </c>
      <c r="V14" s="190">
        <v>1777.1249381085984</v>
      </c>
      <c r="W14" s="187">
        <f t="shared" si="10"/>
        <v>88.856246905429913</v>
      </c>
      <c r="X14" s="184">
        <f t="shared" si="20"/>
        <v>1</v>
      </c>
      <c r="Y14" s="526"/>
      <c r="Z14" s="190">
        <v>20</v>
      </c>
      <c r="AA14" s="190">
        <v>1777.9102384291737</v>
      </c>
      <c r="AB14" s="187">
        <f t="shared" si="11"/>
        <v>88.895511921458677</v>
      </c>
      <c r="AC14" s="184">
        <f t="shared" si="21"/>
        <v>1</v>
      </c>
      <c r="AD14" s="526"/>
      <c r="AE14" s="190">
        <v>20</v>
      </c>
      <c r="AF14" s="190">
        <v>1777.6830685780706</v>
      </c>
      <c r="AG14" s="187">
        <f t="shared" si="22"/>
        <v>88.884153428903531</v>
      </c>
      <c r="AH14" s="184">
        <f t="shared" si="23"/>
        <v>1</v>
      </c>
      <c r="AI14" s="526"/>
      <c r="AJ14" s="190">
        <v>20</v>
      </c>
      <c r="AK14" s="190">
        <v>1778.0746561886058</v>
      </c>
      <c r="AL14" s="187">
        <f t="shared" si="12"/>
        <v>88.903732809430295</v>
      </c>
      <c r="AM14" s="184">
        <f t="shared" si="24"/>
        <v>1</v>
      </c>
      <c r="AN14" s="526"/>
      <c r="AO14" s="190">
        <v>20</v>
      </c>
      <c r="AP14" s="190">
        <v>1778.0545984627624</v>
      </c>
      <c r="AQ14" s="187">
        <f t="shared" si="13"/>
        <v>88.902729923138125</v>
      </c>
      <c r="AR14" s="184">
        <f t="shared" si="25"/>
        <v>1</v>
      </c>
      <c r="AS14" s="526"/>
      <c r="AT14" s="190">
        <v>20</v>
      </c>
      <c r="AU14" s="190">
        <v>1777.9808400884306</v>
      </c>
      <c r="AV14" s="187">
        <f t="shared" si="14"/>
        <v>88.899042004421531</v>
      </c>
      <c r="AW14" s="184">
        <f t="shared" si="26"/>
        <v>1</v>
      </c>
      <c r="AX14" s="526"/>
    </row>
    <row r="15" spans="1:50" ht="14.25" customHeight="1">
      <c r="B15" s="514"/>
      <c r="C15" s="182">
        <v>9</v>
      </c>
      <c r="D15" s="185" t="s">
        <v>617</v>
      </c>
      <c r="E15" s="182">
        <v>24</v>
      </c>
      <c r="F15" s="182">
        <v>2000</v>
      </c>
      <c r="G15" s="187">
        <f t="shared" si="9"/>
        <v>83.333333333333329</v>
      </c>
      <c r="H15" s="526"/>
      <c r="I15" s="188">
        <f t="shared" si="15"/>
        <v>24</v>
      </c>
      <c r="J15" s="188">
        <f t="shared" si="16"/>
        <v>1779.8831342426745</v>
      </c>
      <c r="K15" s="189">
        <f t="shared" si="17"/>
        <v>74.161797260111442</v>
      </c>
      <c r="L15" s="527"/>
      <c r="M15" s="188">
        <f>RANK(K15, K$7:$K$21)</f>
        <v>6</v>
      </c>
      <c r="N15" s="514"/>
      <c r="O15" s="514"/>
      <c r="P15" s="190">
        <v>24</v>
      </c>
      <c r="Q15" s="190">
        <v>1777.9681762545904</v>
      </c>
      <c r="R15" s="187">
        <f t="shared" si="18"/>
        <v>74.082007343941271</v>
      </c>
      <c r="S15" s="184">
        <f t="shared" si="19"/>
        <v>6</v>
      </c>
      <c r="T15" s="526"/>
      <c r="U15" s="190">
        <v>24</v>
      </c>
      <c r="V15" s="190">
        <v>1779.5121951219508</v>
      </c>
      <c r="W15" s="187">
        <f t="shared" si="10"/>
        <v>74.146341463414615</v>
      </c>
      <c r="X15" s="184">
        <f t="shared" si="20"/>
        <v>6</v>
      </c>
      <c r="Y15" s="526"/>
      <c r="Z15" s="190">
        <v>24</v>
      </c>
      <c r="AA15" s="190">
        <v>1780.1955990220067</v>
      </c>
      <c r="AB15" s="187">
        <f t="shared" si="11"/>
        <v>74.174816625916947</v>
      </c>
      <c r="AC15" s="184">
        <f t="shared" si="21"/>
        <v>6</v>
      </c>
      <c r="AD15" s="526"/>
      <c r="AE15" s="190">
        <v>24</v>
      </c>
      <c r="AF15" s="190">
        <v>1780.4043545878721</v>
      </c>
      <c r="AG15" s="187">
        <f t="shared" si="22"/>
        <v>74.183514774494668</v>
      </c>
      <c r="AH15" s="184">
        <f t="shared" si="23"/>
        <v>6</v>
      </c>
      <c r="AI15" s="526"/>
      <c r="AJ15" s="190">
        <v>24</v>
      </c>
      <c r="AK15" s="190">
        <v>1780.5054151624561</v>
      </c>
      <c r="AL15" s="187">
        <f t="shared" si="12"/>
        <v>74.187725631768998</v>
      </c>
      <c r="AM15" s="184">
        <f t="shared" si="24"/>
        <v>6</v>
      </c>
      <c r="AN15" s="526"/>
      <c r="AO15" s="190">
        <v>24</v>
      </c>
      <c r="AP15" s="190">
        <v>1780.2414928649848</v>
      </c>
      <c r="AQ15" s="187">
        <f t="shared" si="13"/>
        <v>74.176728869374372</v>
      </c>
      <c r="AR15" s="184">
        <f t="shared" si="25"/>
        <v>6</v>
      </c>
      <c r="AS15" s="526"/>
      <c r="AT15" s="190">
        <v>24</v>
      </c>
      <c r="AU15" s="190">
        <v>1780.35470668486</v>
      </c>
      <c r="AV15" s="187">
        <f t="shared" si="14"/>
        <v>74.181446111869164</v>
      </c>
      <c r="AW15" s="184">
        <f t="shared" si="26"/>
        <v>6</v>
      </c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27">U22+1</f>
        <v>46058</v>
      </c>
      <c r="AA22" s="583"/>
      <c r="AB22" s="583"/>
      <c r="AC22" s="583"/>
      <c r="AD22" s="583"/>
      <c r="AE22" s="584">
        <f t="shared" ref="AE22" si="28">Z22+1</f>
        <v>46059</v>
      </c>
      <c r="AF22" s="585"/>
      <c r="AG22" s="585"/>
      <c r="AH22" s="585"/>
      <c r="AI22" s="585"/>
      <c r="AJ22" s="586">
        <f t="shared" ref="AJ22" si="29">AE22+1</f>
        <v>46060</v>
      </c>
      <c r="AK22" s="587"/>
      <c r="AL22" s="587"/>
      <c r="AM22" s="587"/>
      <c r="AN22" s="588"/>
      <c r="AO22" s="584">
        <f t="shared" ref="AO22" si="30">AJ22+1</f>
        <v>46061</v>
      </c>
      <c r="AP22" s="585"/>
      <c r="AQ22" s="585"/>
      <c r="AR22" s="585"/>
      <c r="AS22" s="585"/>
      <c r="AT22" s="586">
        <f t="shared" ref="AT22" si="31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32">Z22</f>
        <v>46058</v>
      </c>
      <c r="AA23" s="589"/>
      <c r="AB23" s="589"/>
      <c r="AC23" s="589"/>
      <c r="AD23" s="589"/>
      <c r="AE23" s="590">
        <f t="shared" ref="AE23" si="33">AE22</f>
        <v>46059</v>
      </c>
      <c r="AF23" s="590"/>
      <c r="AG23" s="590"/>
      <c r="AH23" s="590"/>
      <c r="AI23" s="590"/>
      <c r="AJ23" s="591">
        <f t="shared" ref="AJ23" si="34">AJ22</f>
        <v>46060</v>
      </c>
      <c r="AK23" s="592"/>
      <c r="AL23" s="592"/>
      <c r="AM23" s="592"/>
      <c r="AN23" s="593"/>
      <c r="AO23" s="590">
        <f t="shared" ref="AO23" si="35">AO22</f>
        <v>46061</v>
      </c>
      <c r="AP23" s="590"/>
      <c r="AQ23" s="590"/>
      <c r="AR23" s="590"/>
      <c r="AS23" s="590"/>
      <c r="AT23" s="591">
        <f t="shared" ref="AT23" si="36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14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7">F27/E27</f>
        <v>95.238095238095241</v>
      </c>
      <c r="H27" s="526">
        <f>AVERAGE(G27:G41)</f>
        <v>87.414099588012633</v>
      </c>
      <c r="I27" s="188">
        <f>AVERAGE(P27,U27,Z27,AE27,AJ27,AO27,AT27)</f>
        <v>21</v>
      </c>
      <c r="J27" s="188">
        <f>AVERAGE(Q27,V27,AA27,AF27,AK27,AP27,AU27)</f>
        <v>1779.651861752847</v>
      </c>
      <c r="K27" s="189">
        <f>AVERAGE(R27,W27,AB27,AG27,AL27,AQ27,AV27)</f>
        <v>84.745326750135561</v>
      </c>
      <c r="L27" s="527">
        <f>IFERROR(AVERAGE(K27:K41),"-")</f>
        <v>77.805879687323809</v>
      </c>
      <c r="M27" s="188">
        <f>RANK(K27, K$27:$K$41)</f>
        <v>2</v>
      </c>
      <c r="N27" s="514"/>
      <c r="O27" s="514"/>
      <c r="P27" s="190">
        <v>21</v>
      </c>
      <c r="Q27" s="190">
        <v>1778.6729857819903</v>
      </c>
      <c r="R27" s="187">
        <f>IFERROR(Q27/P27,"")</f>
        <v>84.69871360866621</v>
      </c>
      <c r="S27" s="184">
        <f>RANK(R27, R$27:R$41)</f>
        <v>2</v>
      </c>
      <c r="T27" s="526">
        <f>AVERAGE(R27:R41)</f>
        <v>77.775309117774469</v>
      </c>
      <c r="U27" s="190">
        <v>21</v>
      </c>
      <c r="V27" s="190">
        <v>1778.7383764765018</v>
      </c>
      <c r="W27" s="187">
        <f t="shared" ref="W27:W35" si="38">IFERROR(V27/U27,"")</f>
        <v>84.701827451261991</v>
      </c>
      <c r="X27" s="184">
        <f>RANK(W27, W$27:W$41)</f>
        <v>2</v>
      </c>
      <c r="Y27" s="526">
        <f>AVERAGE(W27:W41)</f>
        <v>77.779336713663653</v>
      </c>
      <c r="Z27" s="190">
        <v>21</v>
      </c>
      <c r="AA27" s="190">
        <v>1779.7435226380524</v>
      </c>
      <c r="AB27" s="187">
        <f t="shared" ref="AB27:AB35" si="39">IFERROR(AA27/Z27,"")</f>
        <v>84.749691554192964</v>
      </c>
      <c r="AC27" s="184">
        <f>RANK(AB27, AB$27:AB$41)</f>
        <v>2</v>
      </c>
      <c r="AD27" s="526">
        <f>AVERAGE(AB27:AB41)</f>
        <v>77.808449993288491</v>
      </c>
      <c r="AE27" s="190">
        <v>21</v>
      </c>
      <c r="AF27" s="190">
        <v>1779.9392097264424</v>
      </c>
      <c r="AG27" s="187">
        <f>IFERROR(AF27/AE27,"")</f>
        <v>84.759009986973453</v>
      </c>
      <c r="AH27" s="184">
        <f>RANK(AG27, AG$27:AG$41)</f>
        <v>2</v>
      </c>
      <c r="AI27" s="526">
        <f>AVERAGE(AG27:AG41)</f>
        <v>77.816471823857157</v>
      </c>
      <c r="AJ27" s="190">
        <v>21</v>
      </c>
      <c r="AK27" s="190">
        <v>1780.0284495021331</v>
      </c>
      <c r="AL27" s="187">
        <f t="shared" ref="AL27:AL35" si="40">IFERROR(AK27/AJ27,"")</f>
        <v>84.763259500101569</v>
      </c>
      <c r="AM27" s="184">
        <f>RANK(AL27, AL$27:AL$41)</f>
        <v>2</v>
      </c>
      <c r="AN27" s="526">
        <f>AVERAGE(AL27:AL41)</f>
        <v>77.820362333127989</v>
      </c>
      <c r="AO27" s="190">
        <v>21</v>
      </c>
      <c r="AP27" s="190">
        <v>1780.2775748721699</v>
      </c>
      <c r="AQ27" s="187">
        <f t="shared" ref="AQ27:AQ35" si="41">IFERROR(AP27/AO27,"")</f>
        <v>84.775122612960473</v>
      </c>
      <c r="AR27" s="184">
        <f>RANK(AQ27, AQ$27:AQ$41)</f>
        <v>2</v>
      </c>
      <c r="AS27" s="526">
        <f>AVERAGE(AQ27:AQ41)</f>
        <v>77.820508797093311</v>
      </c>
      <c r="AT27" s="190">
        <v>21</v>
      </c>
      <c r="AU27" s="190">
        <v>1780.1629132726396</v>
      </c>
      <c r="AV27" s="187">
        <f t="shared" ref="AV27:AV35" si="42">IFERROR(AU27/AT27,"")</f>
        <v>84.769662536792367</v>
      </c>
      <c r="AW27" s="184">
        <f>RANK(AV27, AV$27:AV$41)</f>
        <v>2</v>
      </c>
      <c r="AX27" s="526">
        <f>AVERAGE(AV27:AV41)</f>
        <v>77.820719032461582</v>
      </c>
    </row>
    <row r="28" spans="2:50" ht="14.25" customHeight="1">
      <c r="B28" s="514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7"/>
        <v>80</v>
      </c>
      <c r="H28" s="526"/>
      <c r="I28" s="188">
        <f t="shared" ref="I28:K35" si="43">AVERAGE(P28,U28,Z28,AE28,AJ28,AO28,AT28)</f>
        <v>25</v>
      </c>
      <c r="J28" s="188">
        <f t="shared" si="43"/>
        <v>1782.3812081119684</v>
      </c>
      <c r="K28" s="189">
        <f t="shared" si="43"/>
        <v>71.29524832447872</v>
      </c>
      <c r="L28" s="527"/>
      <c r="M28" s="188">
        <f>RANK(K28, K$27:$K$41)</f>
        <v>8</v>
      </c>
      <c r="N28" s="514"/>
      <c r="O28" s="514"/>
      <c r="P28" s="190">
        <v>25</v>
      </c>
      <c r="Q28" s="190">
        <v>1782.1708625670651</v>
      </c>
      <c r="R28" s="187">
        <f t="shared" ref="R28:R35" si="44">IFERROR(Q28/P28,"")</f>
        <v>71.286834502682609</v>
      </c>
      <c r="S28" s="184">
        <f t="shared" ref="S28:S35" si="45">RANK(R28, R$27:R$41)</f>
        <v>8</v>
      </c>
      <c r="T28" s="526"/>
      <c r="U28" s="190">
        <v>25</v>
      </c>
      <c r="V28" s="190">
        <v>1782.0733363512891</v>
      </c>
      <c r="W28" s="187">
        <f t="shared" si="38"/>
        <v>71.282933454051559</v>
      </c>
      <c r="X28" s="184">
        <f t="shared" ref="X28:X35" si="46">RANK(W28, W$27:W$41)</f>
        <v>8</v>
      </c>
      <c r="Y28" s="526"/>
      <c r="Z28" s="190">
        <v>25</v>
      </c>
      <c r="AA28" s="190">
        <v>1782.2143400050666</v>
      </c>
      <c r="AB28" s="187">
        <f t="shared" si="39"/>
        <v>71.288573600202668</v>
      </c>
      <c r="AC28" s="184">
        <f t="shared" ref="AC28:AC35" si="47">RANK(AB28, AB$27:AB$41)</f>
        <v>8</v>
      </c>
      <c r="AD28" s="526"/>
      <c r="AE28" s="190">
        <v>25</v>
      </c>
      <c r="AF28" s="190">
        <v>1782.256297918949</v>
      </c>
      <c r="AG28" s="187">
        <f t="shared" ref="AG28:AG35" si="48">IFERROR(AF28/AE28,"")</f>
        <v>71.290251916757967</v>
      </c>
      <c r="AH28" s="184">
        <f t="shared" ref="AH28:AH35" si="49">RANK(AG28, AG$27:AG$41)</f>
        <v>8</v>
      </c>
      <c r="AI28" s="526"/>
      <c r="AJ28" s="190">
        <v>25</v>
      </c>
      <c r="AK28" s="190">
        <v>1782.6640983849479</v>
      </c>
      <c r="AL28" s="187">
        <f t="shared" si="40"/>
        <v>71.306563935397918</v>
      </c>
      <c r="AM28" s="184">
        <f t="shared" ref="AM28:AM35" si="50">RANK(AL28, AL$27:AL$41)</f>
        <v>8</v>
      </c>
      <c r="AN28" s="526"/>
      <c r="AO28" s="190">
        <v>25</v>
      </c>
      <c r="AP28" s="190">
        <v>1782.6540535761642</v>
      </c>
      <c r="AQ28" s="187">
        <f t="shared" si="41"/>
        <v>71.306162143046564</v>
      </c>
      <c r="AR28" s="184">
        <f t="shared" ref="AR28:AR35" si="51">RANK(AQ28, AQ$27:AQ$41)</f>
        <v>8</v>
      </c>
      <c r="AS28" s="526"/>
      <c r="AT28" s="190">
        <v>25</v>
      </c>
      <c r="AU28" s="190">
        <v>1782.6354679802957</v>
      </c>
      <c r="AV28" s="187">
        <f t="shared" si="42"/>
        <v>71.305418719211829</v>
      </c>
      <c r="AW28" s="184">
        <f t="shared" ref="AW28:AW35" si="52">RANK(AV28, AV$27:AV$41)</f>
        <v>8</v>
      </c>
      <c r="AX28" s="526"/>
    </row>
    <row r="29" spans="2:50" ht="14.25" customHeight="1">
      <c r="B29" s="514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7"/>
        <v>86.956521739130437</v>
      </c>
      <c r="H29" s="526"/>
      <c r="I29" s="188">
        <f t="shared" si="43"/>
        <v>23</v>
      </c>
      <c r="J29" s="188">
        <f t="shared" si="43"/>
        <v>1779.3250609946622</v>
      </c>
      <c r="K29" s="189">
        <f t="shared" si="43"/>
        <v>77.361959173680944</v>
      </c>
      <c r="L29" s="527"/>
      <c r="M29" s="188">
        <f>RANK(K29, K$27:$K$41)</f>
        <v>5</v>
      </c>
      <c r="N29" s="514"/>
      <c r="O29" s="514"/>
      <c r="P29" s="190">
        <v>23</v>
      </c>
      <c r="Q29" s="190">
        <v>1779.016206994598</v>
      </c>
      <c r="R29" s="187">
        <f t="shared" si="44"/>
        <v>77.348530738895562</v>
      </c>
      <c r="S29" s="184">
        <f t="shared" si="45"/>
        <v>5</v>
      </c>
      <c r="T29" s="526"/>
      <c r="U29" s="190">
        <v>23</v>
      </c>
      <c r="V29" s="190">
        <v>1779.0397192534695</v>
      </c>
      <c r="W29" s="187">
        <f t="shared" si="38"/>
        <v>77.349553011020404</v>
      </c>
      <c r="X29" s="184">
        <f t="shared" si="46"/>
        <v>5</v>
      </c>
      <c r="Y29" s="526"/>
      <c r="Z29" s="190">
        <v>23</v>
      </c>
      <c r="AA29" s="190">
        <v>1779.0635252013126</v>
      </c>
      <c r="AB29" s="187">
        <f t="shared" si="39"/>
        <v>77.350588052230975</v>
      </c>
      <c r="AC29" s="184">
        <f t="shared" si="47"/>
        <v>5</v>
      </c>
      <c r="AD29" s="526"/>
      <c r="AE29" s="190">
        <v>23</v>
      </c>
      <c r="AF29" s="190">
        <v>1779.3181390092284</v>
      </c>
      <c r="AG29" s="187">
        <f t="shared" si="48"/>
        <v>77.361658217792538</v>
      </c>
      <c r="AH29" s="184">
        <f t="shared" si="49"/>
        <v>4</v>
      </c>
      <c r="AI29" s="526"/>
      <c r="AJ29" s="190">
        <v>23</v>
      </c>
      <c r="AK29" s="190">
        <v>1779.615315477261</v>
      </c>
      <c r="AL29" s="187">
        <f t="shared" si="40"/>
        <v>77.374578933793956</v>
      </c>
      <c r="AM29" s="184">
        <f t="shared" si="50"/>
        <v>4</v>
      </c>
      <c r="AN29" s="526"/>
      <c r="AO29" s="190">
        <v>23</v>
      </c>
      <c r="AP29" s="190">
        <v>1779.5385481148001</v>
      </c>
      <c r="AQ29" s="187">
        <f t="shared" si="41"/>
        <v>77.371241222382608</v>
      </c>
      <c r="AR29" s="184">
        <f t="shared" si="51"/>
        <v>5</v>
      </c>
      <c r="AS29" s="526"/>
      <c r="AT29" s="190">
        <v>23</v>
      </c>
      <c r="AU29" s="190">
        <v>1779.683972911964</v>
      </c>
      <c r="AV29" s="187">
        <f t="shared" si="42"/>
        <v>77.377564039650608</v>
      </c>
      <c r="AW29" s="184">
        <f t="shared" si="52"/>
        <v>4</v>
      </c>
      <c r="AX29" s="526"/>
    </row>
    <row r="30" spans="2:50" ht="14.25" customHeight="1">
      <c r="B30" s="514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7"/>
        <v>83.333333333333329</v>
      </c>
      <c r="H30" s="526"/>
      <c r="I30" s="188">
        <f t="shared" si="43"/>
        <v>24</v>
      </c>
      <c r="J30" s="188">
        <f t="shared" si="43"/>
        <v>1780.7080738013608</v>
      </c>
      <c r="K30" s="189">
        <f t="shared" si="43"/>
        <v>74.196169741723367</v>
      </c>
      <c r="L30" s="527"/>
      <c r="M30" s="188">
        <f>RANK(K30, K$27:$K$41)</f>
        <v>7</v>
      </c>
      <c r="N30" s="514"/>
      <c r="O30" s="514"/>
      <c r="P30" s="190">
        <v>24</v>
      </c>
      <c r="Q30" s="190">
        <v>1779.8742138364769</v>
      </c>
      <c r="R30" s="187">
        <f t="shared" si="44"/>
        <v>74.161425576519875</v>
      </c>
      <c r="S30" s="184">
        <f t="shared" si="45"/>
        <v>7</v>
      </c>
      <c r="T30" s="526"/>
      <c r="U30" s="190">
        <v>24</v>
      </c>
      <c r="V30" s="190">
        <v>1779.8918918918935</v>
      </c>
      <c r="W30" s="187">
        <f t="shared" si="38"/>
        <v>74.162162162162232</v>
      </c>
      <c r="X30" s="184">
        <f t="shared" si="46"/>
        <v>7</v>
      </c>
      <c r="Y30" s="526"/>
      <c r="Z30" s="190">
        <v>24</v>
      </c>
      <c r="AA30" s="190">
        <v>1781.4705882352962</v>
      </c>
      <c r="AB30" s="187">
        <f t="shared" si="39"/>
        <v>74.227941176470679</v>
      </c>
      <c r="AC30" s="184">
        <f t="shared" si="47"/>
        <v>7</v>
      </c>
      <c r="AD30" s="526"/>
      <c r="AE30" s="190">
        <v>24</v>
      </c>
      <c r="AF30" s="190">
        <v>1781.7405232247713</v>
      </c>
      <c r="AG30" s="187">
        <f t="shared" si="48"/>
        <v>74.23918846769881</v>
      </c>
      <c r="AH30" s="184">
        <f t="shared" si="49"/>
        <v>7</v>
      </c>
      <c r="AI30" s="526"/>
      <c r="AJ30" s="190">
        <v>24</v>
      </c>
      <c r="AK30" s="190">
        <v>1781.4751286449386</v>
      </c>
      <c r="AL30" s="187">
        <f t="shared" si="40"/>
        <v>74.228130360205782</v>
      </c>
      <c r="AM30" s="184">
        <f t="shared" si="50"/>
        <v>7</v>
      </c>
      <c r="AN30" s="526"/>
      <c r="AO30" s="190">
        <v>24</v>
      </c>
      <c r="AP30" s="190">
        <v>1780.1226993865032</v>
      </c>
      <c r="AQ30" s="187">
        <f t="shared" si="41"/>
        <v>74.171779141104295</v>
      </c>
      <c r="AR30" s="184">
        <f t="shared" si="51"/>
        <v>7</v>
      </c>
      <c r="AS30" s="526"/>
      <c r="AT30" s="190">
        <v>24</v>
      </c>
      <c r="AU30" s="190">
        <v>1780.3814713896447</v>
      </c>
      <c r="AV30" s="187">
        <f t="shared" si="42"/>
        <v>74.182561307901864</v>
      </c>
      <c r="AW30" s="184">
        <f t="shared" si="52"/>
        <v>7</v>
      </c>
      <c r="AX30" s="526"/>
    </row>
    <row r="31" spans="2:50" ht="14.25" customHeight="1">
      <c r="B31" s="514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7"/>
        <v>80</v>
      </c>
      <c r="H31" s="526"/>
      <c r="I31" s="188">
        <f t="shared" si="43"/>
        <v>25</v>
      </c>
      <c r="J31" s="188">
        <f t="shared" si="43"/>
        <v>1780.4935447430485</v>
      </c>
      <c r="K31" s="189">
        <f t="shared" si="43"/>
        <v>71.219741789721937</v>
      </c>
      <c r="L31" s="527"/>
      <c r="M31" s="188">
        <f>RANK(K31, K$27:$K$41)</f>
        <v>9</v>
      </c>
      <c r="N31" s="514"/>
      <c r="O31" s="514"/>
      <c r="P31" s="190">
        <v>25</v>
      </c>
      <c r="Q31" s="190">
        <v>1780.0769971126085</v>
      </c>
      <c r="R31" s="187">
        <f t="shared" si="44"/>
        <v>71.203079884504348</v>
      </c>
      <c r="S31" s="184">
        <f t="shared" si="45"/>
        <v>9</v>
      </c>
      <c r="T31" s="526"/>
      <c r="U31" s="190">
        <v>25</v>
      </c>
      <c r="V31" s="190">
        <v>1780.070457976849</v>
      </c>
      <c r="W31" s="187">
        <f t="shared" si="38"/>
        <v>71.202818319073955</v>
      </c>
      <c r="X31" s="184">
        <f t="shared" si="46"/>
        <v>9</v>
      </c>
      <c r="Y31" s="526"/>
      <c r="Z31" s="190">
        <v>25</v>
      </c>
      <c r="AA31" s="190">
        <v>1780.3965372800883</v>
      </c>
      <c r="AB31" s="187">
        <f t="shared" si="39"/>
        <v>71.215861491203526</v>
      </c>
      <c r="AC31" s="184">
        <f t="shared" si="47"/>
        <v>9</v>
      </c>
      <c r="AD31" s="526"/>
      <c r="AE31" s="190">
        <v>25</v>
      </c>
      <c r="AF31" s="190">
        <v>1780.4963299545584</v>
      </c>
      <c r="AG31" s="187">
        <f t="shared" si="48"/>
        <v>71.219853198182335</v>
      </c>
      <c r="AH31" s="184">
        <f t="shared" si="49"/>
        <v>9</v>
      </c>
      <c r="AI31" s="526"/>
      <c r="AJ31" s="190">
        <v>25</v>
      </c>
      <c r="AK31" s="190">
        <v>1780.7044410413484</v>
      </c>
      <c r="AL31" s="187">
        <f t="shared" si="40"/>
        <v>71.228177641653943</v>
      </c>
      <c r="AM31" s="184">
        <f t="shared" si="50"/>
        <v>9</v>
      </c>
      <c r="AN31" s="526"/>
      <c r="AO31" s="190">
        <v>25</v>
      </c>
      <c r="AP31" s="190">
        <v>1780.8855940693259</v>
      </c>
      <c r="AQ31" s="187">
        <f t="shared" si="41"/>
        <v>71.235423762773038</v>
      </c>
      <c r="AR31" s="184">
        <f t="shared" si="51"/>
        <v>9</v>
      </c>
      <c r="AS31" s="526"/>
      <c r="AT31" s="190">
        <v>25</v>
      </c>
      <c r="AU31" s="190">
        <v>1780.8244557665585</v>
      </c>
      <c r="AV31" s="187">
        <f t="shared" si="42"/>
        <v>71.23297823066234</v>
      </c>
      <c r="AW31" s="184">
        <f t="shared" si="52"/>
        <v>9</v>
      </c>
      <c r="AX31" s="526"/>
    </row>
    <row r="32" spans="2:50" ht="14.25" customHeight="1">
      <c r="B32" s="514"/>
      <c r="C32" s="182">
        <v>6</v>
      </c>
      <c r="D32" s="185" t="s">
        <v>479</v>
      </c>
      <c r="E32" s="182">
        <v>23</v>
      </c>
      <c r="F32" s="182">
        <v>2000</v>
      </c>
      <c r="G32" s="187">
        <f t="shared" si="37"/>
        <v>86.956521739130437</v>
      </c>
      <c r="H32" s="526"/>
      <c r="I32" s="188">
        <f t="shared" si="43"/>
        <v>23</v>
      </c>
      <c r="J32" s="188">
        <f t="shared" si="43"/>
        <v>1779.444608126799</v>
      </c>
      <c r="K32" s="189">
        <f t="shared" si="43"/>
        <v>77.367156875078209</v>
      </c>
      <c r="L32" s="527"/>
      <c r="M32" s="188">
        <f>RANK(K32, K$27:$K$41)</f>
        <v>4</v>
      </c>
      <c r="N32" s="514"/>
      <c r="O32" s="514"/>
      <c r="P32" s="190">
        <v>23</v>
      </c>
      <c r="Q32" s="190">
        <v>1779.323734023621</v>
      </c>
      <c r="R32" s="187">
        <f t="shared" si="44"/>
        <v>77.361901479287866</v>
      </c>
      <c r="S32" s="184">
        <f t="shared" si="45"/>
        <v>4</v>
      </c>
      <c r="T32" s="526"/>
      <c r="U32" s="190">
        <v>23</v>
      </c>
      <c r="V32" s="190">
        <v>1779.3880232776417</v>
      </c>
      <c r="W32" s="187">
        <f t="shared" si="38"/>
        <v>77.364696664245287</v>
      </c>
      <c r="X32" s="184">
        <f t="shared" si="46"/>
        <v>4</v>
      </c>
      <c r="Y32" s="526"/>
      <c r="Z32" s="190">
        <v>23</v>
      </c>
      <c r="AA32" s="190">
        <v>1779.4477890803412</v>
      </c>
      <c r="AB32" s="187">
        <f t="shared" si="39"/>
        <v>77.367295177406135</v>
      </c>
      <c r="AC32" s="184">
        <f t="shared" si="47"/>
        <v>4</v>
      </c>
      <c r="AD32" s="526"/>
      <c r="AE32" s="190">
        <v>23</v>
      </c>
      <c r="AF32" s="190">
        <v>1779.2030181560956</v>
      </c>
      <c r="AG32" s="187">
        <f t="shared" si="48"/>
        <v>77.356652963308505</v>
      </c>
      <c r="AH32" s="184">
        <f t="shared" si="49"/>
        <v>5</v>
      </c>
      <c r="AI32" s="526"/>
      <c r="AJ32" s="190">
        <v>23</v>
      </c>
      <c r="AK32" s="190">
        <v>1779.452054794521</v>
      </c>
      <c r="AL32" s="187">
        <f t="shared" si="40"/>
        <v>77.367480643240043</v>
      </c>
      <c r="AM32" s="184">
        <f t="shared" si="50"/>
        <v>5</v>
      </c>
      <c r="AN32" s="526"/>
      <c r="AO32" s="190">
        <v>23</v>
      </c>
      <c r="AP32" s="190">
        <v>1779.6933757593288</v>
      </c>
      <c r="AQ32" s="187">
        <f t="shared" si="41"/>
        <v>77.377972859101249</v>
      </c>
      <c r="AR32" s="184">
        <f t="shared" si="51"/>
        <v>4</v>
      </c>
      <c r="AS32" s="526"/>
      <c r="AT32" s="190">
        <v>23</v>
      </c>
      <c r="AU32" s="190">
        <v>1779.6042617960429</v>
      </c>
      <c r="AV32" s="187">
        <f t="shared" si="42"/>
        <v>77.37409833895839</v>
      </c>
      <c r="AW32" s="184">
        <f t="shared" si="52"/>
        <v>5</v>
      </c>
      <c r="AX32" s="526"/>
    </row>
    <row r="33" spans="2:50" ht="14.25" customHeight="1">
      <c r="B33" s="514"/>
      <c r="C33" s="182">
        <v>7</v>
      </c>
      <c r="D33" s="185" t="s">
        <v>483</v>
      </c>
      <c r="E33" s="182">
        <v>22</v>
      </c>
      <c r="F33" s="182">
        <v>2000</v>
      </c>
      <c r="G33" s="187">
        <f t="shared" si="37"/>
        <v>90.909090909090907</v>
      </c>
      <c r="H33" s="526"/>
      <c r="I33" s="188">
        <f t="shared" si="43"/>
        <v>22</v>
      </c>
      <c r="J33" s="188">
        <f t="shared" si="43"/>
        <v>1778.9487589120006</v>
      </c>
      <c r="K33" s="189">
        <f t="shared" si="43"/>
        <v>80.86130722327276</v>
      </c>
      <c r="L33" s="527"/>
      <c r="M33" s="188">
        <f>RANK(K33, K$27:$K$41)</f>
        <v>3</v>
      </c>
      <c r="N33" s="514"/>
      <c r="O33" s="514"/>
      <c r="P33" s="190">
        <v>22</v>
      </c>
      <c r="Q33" s="190">
        <v>1777.5108121095607</v>
      </c>
      <c r="R33" s="187">
        <f t="shared" si="44"/>
        <v>80.795946004980024</v>
      </c>
      <c r="S33" s="184">
        <f t="shared" si="45"/>
        <v>3</v>
      </c>
      <c r="T33" s="526"/>
      <c r="U33" s="190">
        <v>22</v>
      </c>
      <c r="V33" s="190">
        <v>1777.445783132529</v>
      </c>
      <c r="W33" s="187">
        <f t="shared" si="38"/>
        <v>80.79299014238768</v>
      </c>
      <c r="X33" s="184">
        <f t="shared" si="46"/>
        <v>3</v>
      </c>
      <c r="Y33" s="526"/>
      <c r="Z33" s="190">
        <v>22</v>
      </c>
      <c r="AA33" s="190">
        <v>1779.3211488250643</v>
      </c>
      <c r="AB33" s="187">
        <f t="shared" si="39"/>
        <v>80.878234037502921</v>
      </c>
      <c r="AC33" s="184">
        <f t="shared" si="47"/>
        <v>3</v>
      </c>
      <c r="AD33" s="526"/>
      <c r="AE33" s="190">
        <v>22</v>
      </c>
      <c r="AF33" s="190">
        <v>1779.3103448275845</v>
      </c>
      <c r="AG33" s="187">
        <f t="shared" si="48"/>
        <v>80.877742946708381</v>
      </c>
      <c r="AH33" s="184">
        <f t="shared" si="49"/>
        <v>3</v>
      </c>
      <c r="AI33" s="526"/>
      <c r="AJ33" s="190">
        <v>22</v>
      </c>
      <c r="AK33" s="190">
        <v>1779.6354494028906</v>
      </c>
      <c r="AL33" s="187">
        <f t="shared" si="40"/>
        <v>80.892520427404122</v>
      </c>
      <c r="AM33" s="184">
        <f t="shared" si="50"/>
        <v>3</v>
      </c>
      <c r="AN33" s="526"/>
      <c r="AO33" s="190">
        <v>22</v>
      </c>
      <c r="AP33" s="190">
        <v>1779.7499999999995</v>
      </c>
      <c r="AQ33" s="187">
        <f t="shared" si="41"/>
        <v>80.897727272727252</v>
      </c>
      <c r="AR33" s="184">
        <f t="shared" si="51"/>
        <v>3</v>
      </c>
      <c r="AS33" s="526"/>
      <c r="AT33" s="190">
        <v>22</v>
      </c>
      <c r="AU33" s="190">
        <v>1779.6677740863768</v>
      </c>
      <c r="AV33" s="187">
        <f t="shared" si="42"/>
        <v>80.893989731198943</v>
      </c>
      <c r="AW33" s="184">
        <f t="shared" si="52"/>
        <v>3</v>
      </c>
      <c r="AX33" s="526"/>
    </row>
    <row r="34" spans="2:50" ht="14.25" customHeight="1">
      <c r="B34" s="514"/>
      <c r="C34" s="182">
        <v>8</v>
      </c>
      <c r="D34" s="185" t="s">
        <v>491</v>
      </c>
      <c r="E34" s="182">
        <v>20</v>
      </c>
      <c r="F34" s="182">
        <v>2000</v>
      </c>
      <c r="G34" s="187">
        <f t="shared" si="37"/>
        <v>100</v>
      </c>
      <c r="H34" s="526"/>
      <c r="I34" s="188">
        <f t="shared" si="43"/>
        <v>20</v>
      </c>
      <c r="J34" s="188">
        <f t="shared" si="43"/>
        <v>1778.9095555260535</v>
      </c>
      <c r="K34" s="189">
        <f t="shared" si="43"/>
        <v>88.945477776302681</v>
      </c>
      <c r="L34" s="527"/>
      <c r="M34" s="188">
        <f>RANK(K34, K$27:$K$41)</f>
        <v>1</v>
      </c>
      <c r="N34" s="514"/>
      <c r="O34" s="514"/>
      <c r="P34" s="190">
        <v>20</v>
      </c>
      <c r="Q34" s="190">
        <v>1778.0520052886736</v>
      </c>
      <c r="R34" s="187">
        <f t="shared" si="44"/>
        <v>88.902600264433687</v>
      </c>
      <c r="S34" s="184">
        <f t="shared" si="45"/>
        <v>1</v>
      </c>
      <c r="T34" s="526"/>
      <c r="U34" s="190">
        <v>20</v>
      </c>
      <c r="V34" s="190">
        <v>1778.1259993604099</v>
      </c>
      <c r="W34" s="187">
        <f t="shared" si="38"/>
        <v>88.906299968020491</v>
      </c>
      <c r="X34" s="184">
        <f t="shared" si="46"/>
        <v>1</v>
      </c>
      <c r="Y34" s="526"/>
      <c r="Z34" s="190">
        <v>20</v>
      </c>
      <c r="AA34" s="190">
        <v>1779.041095890411</v>
      </c>
      <c r="AB34" s="187">
        <f t="shared" si="39"/>
        <v>88.952054794520549</v>
      </c>
      <c r="AC34" s="184">
        <f t="shared" si="47"/>
        <v>1</v>
      </c>
      <c r="AD34" s="526"/>
      <c r="AE34" s="190">
        <v>20</v>
      </c>
      <c r="AF34" s="190">
        <v>1779.1907514450875</v>
      </c>
      <c r="AG34" s="187">
        <f t="shared" si="48"/>
        <v>88.959537572254376</v>
      </c>
      <c r="AH34" s="184">
        <f t="shared" si="49"/>
        <v>1</v>
      </c>
      <c r="AI34" s="526"/>
      <c r="AJ34" s="190">
        <v>20</v>
      </c>
      <c r="AK34" s="190">
        <v>1779.1699920191541</v>
      </c>
      <c r="AL34" s="187">
        <f t="shared" si="40"/>
        <v>88.958499600957708</v>
      </c>
      <c r="AM34" s="184">
        <f t="shared" si="50"/>
        <v>1</v>
      </c>
      <c r="AN34" s="526"/>
      <c r="AO34" s="190">
        <v>20</v>
      </c>
      <c r="AP34" s="190">
        <v>1779.3599999999994</v>
      </c>
      <c r="AQ34" s="187">
        <f t="shared" si="41"/>
        <v>88.967999999999975</v>
      </c>
      <c r="AR34" s="184">
        <f t="shared" si="51"/>
        <v>1</v>
      </c>
      <c r="AS34" s="526"/>
      <c r="AT34" s="190">
        <v>20</v>
      </c>
      <c r="AU34" s="190">
        <v>1779.42704467864</v>
      </c>
      <c r="AV34" s="187">
        <f t="shared" si="42"/>
        <v>88.971352233931995</v>
      </c>
      <c r="AW34" s="184">
        <f t="shared" si="52"/>
        <v>1</v>
      </c>
      <c r="AX34" s="526"/>
    </row>
    <row r="35" spans="2:50" ht="14.25" customHeight="1">
      <c r="B35" s="514"/>
      <c r="C35" s="182">
        <v>9</v>
      </c>
      <c r="D35" s="185" t="s">
        <v>617</v>
      </c>
      <c r="E35" s="182">
        <v>24</v>
      </c>
      <c r="F35" s="182">
        <v>2000</v>
      </c>
      <c r="G35" s="187">
        <f t="shared" si="37"/>
        <v>83.333333333333329</v>
      </c>
      <c r="H35" s="526"/>
      <c r="I35" s="188">
        <f t="shared" si="43"/>
        <v>24</v>
      </c>
      <c r="J35" s="188">
        <f t="shared" si="43"/>
        <v>1782.252708756482</v>
      </c>
      <c r="K35" s="189">
        <f t="shared" si="43"/>
        <v>74.260529531520078</v>
      </c>
      <c r="L35" s="527"/>
      <c r="M35" s="188">
        <f>RANK(K35, K$27:$K$41)</f>
        <v>6</v>
      </c>
      <c r="N35" s="514"/>
      <c r="O35" s="514"/>
      <c r="P35" s="190">
        <v>24</v>
      </c>
      <c r="Q35" s="190">
        <v>1781.2500000000034</v>
      </c>
      <c r="R35" s="187">
        <f t="shared" si="44"/>
        <v>74.218750000000142</v>
      </c>
      <c r="S35" s="184">
        <f t="shared" si="45"/>
        <v>6</v>
      </c>
      <c r="T35" s="526"/>
      <c r="U35" s="190">
        <v>24</v>
      </c>
      <c r="V35" s="190">
        <v>1782.0179820179837</v>
      </c>
      <c r="W35" s="187">
        <f t="shared" si="38"/>
        <v>74.250749250749323</v>
      </c>
      <c r="X35" s="184">
        <f t="shared" si="46"/>
        <v>6</v>
      </c>
      <c r="Y35" s="526"/>
      <c r="Z35" s="190">
        <v>24</v>
      </c>
      <c r="AA35" s="190">
        <v>1781.899441340782</v>
      </c>
      <c r="AB35" s="187">
        <f t="shared" si="39"/>
        <v>74.245810055865917</v>
      </c>
      <c r="AC35" s="184">
        <f t="shared" si="47"/>
        <v>6</v>
      </c>
      <c r="AD35" s="526"/>
      <c r="AE35" s="190">
        <v>24</v>
      </c>
      <c r="AF35" s="190">
        <v>1782.8244274809122</v>
      </c>
      <c r="AG35" s="187">
        <f t="shared" si="48"/>
        <v>74.284351145038002</v>
      </c>
      <c r="AH35" s="184">
        <f t="shared" si="49"/>
        <v>6</v>
      </c>
      <c r="AI35" s="526"/>
      <c r="AJ35" s="190">
        <v>24</v>
      </c>
      <c r="AK35" s="190">
        <v>1782.3371989295256</v>
      </c>
      <c r="AL35" s="187">
        <f t="shared" si="40"/>
        <v>74.264049955396899</v>
      </c>
      <c r="AM35" s="184">
        <f t="shared" si="50"/>
        <v>6</v>
      </c>
      <c r="AN35" s="526"/>
      <c r="AO35" s="190">
        <v>24</v>
      </c>
      <c r="AP35" s="190">
        <v>1782.7476038338648</v>
      </c>
      <c r="AQ35" s="187">
        <f t="shared" si="41"/>
        <v>74.281150159744371</v>
      </c>
      <c r="AR35" s="184">
        <f t="shared" si="51"/>
        <v>6</v>
      </c>
      <c r="AS35" s="526"/>
      <c r="AT35" s="190">
        <v>24</v>
      </c>
      <c r="AU35" s="190">
        <v>1782.6923076923031</v>
      </c>
      <c r="AV35" s="187">
        <f t="shared" si="42"/>
        <v>74.278846153845961</v>
      </c>
      <c r="AW35" s="184">
        <f t="shared" si="52"/>
        <v>6</v>
      </c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53">U42+1</f>
        <v>46065</v>
      </c>
      <c r="AA42" s="583"/>
      <c r="AB42" s="583"/>
      <c r="AC42" s="583"/>
      <c r="AD42" s="583"/>
      <c r="AE42" s="584">
        <f t="shared" ref="AE42" si="54">Z42+1</f>
        <v>46066</v>
      </c>
      <c r="AF42" s="585"/>
      <c r="AG42" s="585"/>
      <c r="AH42" s="585"/>
      <c r="AI42" s="585"/>
      <c r="AJ42" s="586">
        <f t="shared" ref="AJ42" si="55">AE42+1</f>
        <v>46067</v>
      </c>
      <c r="AK42" s="587"/>
      <c r="AL42" s="587"/>
      <c r="AM42" s="587"/>
      <c r="AN42" s="588"/>
      <c r="AO42" s="584">
        <f t="shared" ref="AO42" si="56">AJ42+1</f>
        <v>46068</v>
      </c>
      <c r="AP42" s="585"/>
      <c r="AQ42" s="585"/>
      <c r="AR42" s="585"/>
      <c r="AS42" s="585"/>
      <c r="AT42" s="586">
        <f t="shared" ref="AT42" si="57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58">Z42</f>
        <v>46065</v>
      </c>
      <c r="AA43" s="589"/>
      <c r="AB43" s="589"/>
      <c r="AC43" s="589"/>
      <c r="AD43" s="589"/>
      <c r="AE43" s="590">
        <f t="shared" ref="AE43" si="59">AE42</f>
        <v>46066</v>
      </c>
      <c r="AF43" s="590"/>
      <c r="AG43" s="590"/>
      <c r="AH43" s="590"/>
      <c r="AI43" s="590"/>
      <c r="AJ43" s="591">
        <f t="shared" ref="AJ43" si="60">AJ42</f>
        <v>46067</v>
      </c>
      <c r="AK43" s="592"/>
      <c r="AL43" s="592"/>
      <c r="AM43" s="592"/>
      <c r="AN43" s="593"/>
      <c r="AO43" s="590">
        <f t="shared" ref="AO43" si="61">AO42</f>
        <v>46068</v>
      </c>
      <c r="AP43" s="590"/>
      <c r="AQ43" s="590"/>
      <c r="AR43" s="590"/>
      <c r="AS43" s="590"/>
      <c r="AT43" s="591">
        <f t="shared" ref="AT43" si="62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14" t="s">
        <v>138</v>
      </c>
      <c r="C47" s="182">
        <v>1</v>
      </c>
      <c r="D47" s="185"/>
      <c r="E47" s="182"/>
      <c r="F47" s="182"/>
      <c r="G47" s="187" t="e">
        <f t="shared" ref="G47:G56" si="63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64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65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63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66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67">IFERROR(AF48/AE48,"")</f>
        <v>183.41069933795009</v>
      </c>
      <c r="AH48" s="184" t="e">
        <f t="shared" ref="AH48:AH56" si="68">RANK(AG48, AG$27:AG$41)</f>
        <v>#N/A</v>
      </c>
      <c r="AI48" s="526"/>
      <c r="AJ48" s="190"/>
      <c r="AK48" s="190"/>
      <c r="AL48" s="187"/>
      <c r="AM48" s="184" t="e">
        <f t="shared" ref="AM48:AM56" si="69">RANK(AL48, AL$27:AL$41)</f>
        <v>#N/A</v>
      </c>
      <c r="AN48" s="526"/>
      <c r="AO48" s="190"/>
      <c r="AP48" s="190"/>
      <c r="AQ48" s="187" t="str">
        <f t="shared" si="64"/>
        <v/>
      </c>
      <c r="AR48" s="184" t="e">
        <f t="shared" ref="AR48:AR56" si="70">RANK(AQ48, AQ$27:AQ$41)</f>
        <v>#VALUE!</v>
      </c>
      <c r="AS48" s="526"/>
      <c r="AT48" s="190"/>
      <c r="AU48" s="190"/>
      <c r="AV48" s="187"/>
      <c r="AW48" s="184" t="e">
        <f t="shared" ref="AW48:AW56" si="71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63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66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67"/>
        <v>286.56852329640265</v>
      </c>
      <c r="AH49" s="184" t="e">
        <f t="shared" si="68"/>
        <v>#N/A</v>
      </c>
      <c r="AI49" s="526"/>
      <c r="AJ49" s="190"/>
      <c r="AK49" s="190"/>
      <c r="AL49" s="187"/>
      <c r="AM49" s="184" t="e">
        <f t="shared" si="69"/>
        <v>#N/A</v>
      </c>
      <c r="AN49" s="526"/>
      <c r="AO49" s="190"/>
      <c r="AP49" s="190"/>
      <c r="AQ49" s="187" t="str">
        <f t="shared" si="64"/>
        <v/>
      </c>
      <c r="AR49" s="184" t="e">
        <f t="shared" si="70"/>
        <v>#VALUE!</v>
      </c>
      <c r="AS49" s="526"/>
      <c r="AT49" s="190"/>
      <c r="AU49" s="190"/>
      <c r="AV49" s="187"/>
      <c r="AW49" s="184" t="e">
        <f t="shared" si="71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63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67"/>
        <v>386.3900414937761</v>
      </c>
      <c r="AH50" s="184" t="e">
        <f t="shared" si="68"/>
        <v>#N/A</v>
      </c>
      <c r="AI50" s="526"/>
      <c r="AJ50" s="190"/>
      <c r="AK50" s="190"/>
      <c r="AL50" s="187"/>
      <c r="AM50" s="184" t="e">
        <f t="shared" si="69"/>
        <v>#N/A</v>
      </c>
      <c r="AN50" s="526"/>
      <c r="AO50" s="190"/>
      <c r="AP50" s="190"/>
      <c r="AQ50" s="187" t="str">
        <f t="shared" si="64"/>
        <v/>
      </c>
      <c r="AR50" s="184" t="e">
        <f t="shared" si="70"/>
        <v>#VALUE!</v>
      </c>
      <c r="AS50" s="526"/>
      <c r="AT50" s="190"/>
      <c r="AU50" s="190"/>
      <c r="AV50" s="187"/>
      <c r="AW50" s="184" t="e">
        <f t="shared" si="71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63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67"/>
        <v>375.74552683896599</v>
      </c>
      <c r="AH51" s="184" t="e">
        <f t="shared" si="68"/>
        <v>#N/A</v>
      </c>
      <c r="AI51" s="526"/>
      <c r="AJ51" s="190"/>
      <c r="AK51" s="190"/>
      <c r="AL51" s="187"/>
      <c r="AM51" s="184" t="e">
        <f t="shared" si="69"/>
        <v>#N/A</v>
      </c>
      <c r="AN51" s="526"/>
      <c r="AO51" s="190"/>
      <c r="AP51" s="190"/>
      <c r="AQ51" s="187" t="str">
        <f t="shared" si="64"/>
        <v/>
      </c>
      <c r="AR51" s="184" t="e">
        <f t="shared" si="70"/>
        <v>#VALUE!</v>
      </c>
      <c r="AS51" s="526"/>
      <c r="AT51" s="190"/>
      <c r="AU51" s="190"/>
      <c r="AV51" s="187"/>
      <c r="AW51" s="184" t="e">
        <f t="shared" si="71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63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67"/>
        <v>386.4406779661013</v>
      </c>
      <c r="AH52" s="184" t="e">
        <f t="shared" si="68"/>
        <v>#N/A</v>
      </c>
      <c r="AI52" s="526"/>
      <c r="AJ52" s="190"/>
      <c r="AK52" s="190"/>
      <c r="AL52" s="187"/>
      <c r="AM52" s="184" t="e">
        <f t="shared" si="69"/>
        <v>#N/A</v>
      </c>
      <c r="AN52" s="526"/>
      <c r="AO52" s="190"/>
      <c r="AP52" s="190"/>
      <c r="AQ52" s="187" t="str">
        <f t="shared" si="64"/>
        <v/>
      </c>
      <c r="AR52" s="184" t="e">
        <f t="shared" si="70"/>
        <v>#VALUE!</v>
      </c>
      <c r="AS52" s="526"/>
      <c r="AT52" s="190"/>
      <c r="AU52" s="190"/>
      <c r="AV52" s="187"/>
      <c r="AW52" s="184" t="e">
        <f t="shared" si="71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63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67"/>
        <v>127.79864763335836</v>
      </c>
      <c r="AH53" s="184" t="e">
        <f t="shared" si="68"/>
        <v>#N/A</v>
      </c>
      <c r="AI53" s="526"/>
      <c r="AJ53" s="190"/>
      <c r="AK53" s="190"/>
      <c r="AL53" s="187"/>
      <c r="AM53" s="184" t="e">
        <f t="shared" si="69"/>
        <v>#N/A</v>
      </c>
      <c r="AN53" s="526"/>
      <c r="AO53" s="190"/>
      <c r="AP53" s="190"/>
      <c r="AQ53" s="187" t="str">
        <f t="shared" si="64"/>
        <v/>
      </c>
      <c r="AR53" s="184" t="e">
        <f t="shared" si="70"/>
        <v>#VALUE!</v>
      </c>
      <c r="AS53" s="526"/>
      <c r="AT53" s="190"/>
      <c r="AU53" s="190"/>
      <c r="AV53" s="187"/>
      <c r="AW53" s="184" t="e">
        <f t="shared" si="71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63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67"/>
        <v>183.34709515473759</v>
      </c>
      <c r="AH54" s="184" t="e">
        <f t="shared" si="68"/>
        <v>#N/A</v>
      </c>
      <c r="AI54" s="526"/>
      <c r="AJ54" s="190"/>
      <c r="AK54" s="190"/>
      <c r="AL54" s="187"/>
      <c r="AM54" s="184" t="e">
        <f t="shared" si="69"/>
        <v>#N/A</v>
      </c>
      <c r="AN54" s="526"/>
      <c r="AO54" s="190"/>
      <c r="AP54" s="190"/>
      <c r="AQ54" s="187" t="str">
        <f t="shared" si="64"/>
        <v/>
      </c>
      <c r="AR54" s="184" t="e">
        <f t="shared" si="70"/>
        <v>#VALUE!</v>
      </c>
      <c r="AS54" s="526"/>
      <c r="AT54" s="190"/>
      <c r="AU54" s="190"/>
      <c r="AV54" s="187"/>
      <c r="AW54" s="184" t="e">
        <f t="shared" si="71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63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67"/>
        <v>183.51228908786049</v>
      </c>
      <c r="AH55" s="184" t="e">
        <f t="shared" si="68"/>
        <v>#N/A</v>
      </c>
      <c r="AI55" s="526"/>
      <c r="AJ55" s="190"/>
      <c r="AK55" s="190"/>
      <c r="AL55" s="187"/>
      <c r="AM55" s="184" t="e">
        <f t="shared" si="69"/>
        <v>#N/A</v>
      </c>
      <c r="AN55" s="526"/>
      <c r="AO55" s="190"/>
      <c r="AP55" s="190"/>
      <c r="AQ55" s="187" t="str">
        <f t="shared" si="64"/>
        <v/>
      </c>
      <c r="AR55" s="184" t="e">
        <f t="shared" si="70"/>
        <v>#VALUE!</v>
      </c>
      <c r="AS55" s="526"/>
      <c r="AT55" s="190"/>
      <c r="AU55" s="190"/>
      <c r="AV55" s="187"/>
      <c r="AW55" s="184" t="e">
        <f t="shared" si="71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63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67"/>
        <v>286.63901543482666</v>
      </c>
      <c r="AH56" s="184" t="e">
        <f t="shared" si="68"/>
        <v>#N/A</v>
      </c>
      <c r="AI56" s="526"/>
      <c r="AJ56" s="190"/>
      <c r="AK56" s="190"/>
      <c r="AL56" s="187"/>
      <c r="AM56" s="184" t="e">
        <f t="shared" si="69"/>
        <v>#N/A</v>
      </c>
      <c r="AN56" s="526"/>
      <c r="AO56" s="190"/>
      <c r="AP56" s="190"/>
      <c r="AQ56" s="187" t="str">
        <f t="shared" si="64"/>
        <v/>
      </c>
      <c r="AR56" s="184" t="e">
        <f t="shared" si="70"/>
        <v>#VALUE!</v>
      </c>
      <c r="AS56" s="526"/>
      <c r="AT56" s="190"/>
      <c r="AU56" s="190"/>
      <c r="AV56" s="187"/>
      <c r="AW56" s="184" t="e">
        <f t="shared" si="71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72">U62+1</f>
        <v>46072</v>
      </c>
      <c r="AA62" s="583"/>
      <c r="AB62" s="583"/>
      <c r="AC62" s="583"/>
      <c r="AD62" s="583"/>
      <c r="AE62" s="584">
        <f t="shared" ref="AE62" si="73">Z62+1</f>
        <v>46073</v>
      </c>
      <c r="AF62" s="585"/>
      <c r="AG62" s="585"/>
      <c r="AH62" s="585"/>
      <c r="AI62" s="585"/>
      <c r="AJ62" s="586">
        <f t="shared" ref="AJ62" si="74">AE62+1</f>
        <v>46074</v>
      </c>
      <c r="AK62" s="587"/>
      <c r="AL62" s="587"/>
      <c r="AM62" s="587"/>
      <c r="AN62" s="588"/>
      <c r="AO62" s="584">
        <f t="shared" ref="AO62" si="75">AJ62+1</f>
        <v>46075</v>
      </c>
      <c r="AP62" s="585"/>
      <c r="AQ62" s="585"/>
      <c r="AR62" s="585"/>
      <c r="AS62" s="585"/>
      <c r="AT62" s="586">
        <f t="shared" ref="AT62" si="76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77">Z62</f>
        <v>46072</v>
      </c>
      <c r="AA63" s="589"/>
      <c r="AB63" s="589"/>
      <c r="AC63" s="589"/>
      <c r="AD63" s="589"/>
      <c r="AE63" s="590">
        <f t="shared" ref="AE63" si="78">AE62</f>
        <v>46073</v>
      </c>
      <c r="AF63" s="590"/>
      <c r="AG63" s="590"/>
      <c r="AH63" s="590"/>
      <c r="AI63" s="590"/>
      <c r="AJ63" s="591">
        <f t="shared" ref="AJ63" si="79">AJ62</f>
        <v>46074</v>
      </c>
      <c r="AK63" s="592"/>
      <c r="AL63" s="592"/>
      <c r="AM63" s="592"/>
      <c r="AN63" s="593"/>
      <c r="AO63" s="590">
        <f t="shared" ref="AO63" si="80">AO62</f>
        <v>46075</v>
      </c>
      <c r="AP63" s="590"/>
      <c r="AQ63" s="590"/>
      <c r="AR63" s="590"/>
      <c r="AS63" s="590"/>
      <c r="AT63" s="591">
        <f t="shared" ref="AT63" si="81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14" t="s">
        <v>138</v>
      </c>
      <c r="C67" s="182">
        <v>1</v>
      </c>
      <c r="D67" s="185"/>
      <c r="E67" s="182"/>
      <c r="F67" s="182"/>
      <c r="G67" s="187" t="e">
        <f t="shared" ref="G67:G76" si="82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83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84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82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85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86">IFERROR(AF68/AE68,"")</f>
        <v>183.41069933795009</v>
      </c>
      <c r="AH68" s="184" t="e">
        <f t="shared" ref="AH68:AH76" si="87">RANK(AG68, AG$27:AG$41)</f>
        <v>#N/A</v>
      </c>
      <c r="AI68" s="526"/>
      <c r="AJ68" s="190"/>
      <c r="AK68" s="190"/>
      <c r="AL68" s="187"/>
      <c r="AM68" s="184" t="e">
        <f t="shared" ref="AM68:AM76" si="88">RANK(AL68, AL$27:AL$41)</f>
        <v>#N/A</v>
      </c>
      <c r="AN68" s="526"/>
      <c r="AO68" s="190"/>
      <c r="AP68" s="190"/>
      <c r="AQ68" s="187" t="str">
        <f t="shared" si="83"/>
        <v/>
      </c>
      <c r="AR68" s="184" t="e">
        <f t="shared" ref="AR68:AR76" si="89">RANK(AQ68, AQ$27:AQ$41)</f>
        <v>#VALUE!</v>
      </c>
      <c r="AS68" s="526"/>
      <c r="AT68" s="190"/>
      <c r="AU68" s="190"/>
      <c r="AV68" s="187"/>
      <c r="AW68" s="184" t="e">
        <f t="shared" ref="AW68:AW76" si="90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82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85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86"/>
        <v>286.56852329640265</v>
      </c>
      <c r="AH69" s="184" t="e">
        <f t="shared" si="87"/>
        <v>#N/A</v>
      </c>
      <c r="AI69" s="526"/>
      <c r="AJ69" s="190"/>
      <c r="AK69" s="190"/>
      <c r="AL69" s="187"/>
      <c r="AM69" s="184" t="e">
        <f t="shared" si="88"/>
        <v>#N/A</v>
      </c>
      <c r="AN69" s="526"/>
      <c r="AO69" s="190"/>
      <c r="AP69" s="190"/>
      <c r="AQ69" s="187" t="str">
        <f t="shared" si="83"/>
        <v/>
      </c>
      <c r="AR69" s="184" t="e">
        <f t="shared" si="89"/>
        <v>#VALUE!</v>
      </c>
      <c r="AS69" s="526"/>
      <c r="AT69" s="190"/>
      <c r="AU69" s="190"/>
      <c r="AV69" s="187"/>
      <c r="AW69" s="184" t="e">
        <f t="shared" si="90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82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86"/>
        <v>386.3900414937761</v>
      </c>
      <c r="AH70" s="184" t="e">
        <f t="shared" si="87"/>
        <v>#N/A</v>
      </c>
      <c r="AI70" s="526"/>
      <c r="AJ70" s="190"/>
      <c r="AK70" s="190"/>
      <c r="AL70" s="187"/>
      <c r="AM70" s="184" t="e">
        <f t="shared" si="88"/>
        <v>#N/A</v>
      </c>
      <c r="AN70" s="526"/>
      <c r="AO70" s="190"/>
      <c r="AP70" s="190"/>
      <c r="AQ70" s="187" t="str">
        <f t="shared" si="83"/>
        <v/>
      </c>
      <c r="AR70" s="184" t="e">
        <f t="shared" si="89"/>
        <v>#VALUE!</v>
      </c>
      <c r="AS70" s="526"/>
      <c r="AT70" s="190"/>
      <c r="AU70" s="190"/>
      <c r="AV70" s="187"/>
      <c r="AW70" s="184" t="e">
        <f t="shared" si="90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82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86"/>
        <v>375.74552683896599</v>
      </c>
      <c r="AH71" s="184" t="e">
        <f t="shared" si="87"/>
        <v>#N/A</v>
      </c>
      <c r="AI71" s="526"/>
      <c r="AJ71" s="190"/>
      <c r="AK71" s="190"/>
      <c r="AL71" s="187"/>
      <c r="AM71" s="184" t="e">
        <f t="shared" si="88"/>
        <v>#N/A</v>
      </c>
      <c r="AN71" s="526"/>
      <c r="AO71" s="190"/>
      <c r="AP71" s="190"/>
      <c r="AQ71" s="187" t="str">
        <f t="shared" si="83"/>
        <v/>
      </c>
      <c r="AR71" s="184" t="e">
        <f t="shared" si="89"/>
        <v>#VALUE!</v>
      </c>
      <c r="AS71" s="526"/>
      <c r="AT71" s="190"/>
      <c r="AU71" s="190"/>
      <c r="AV71" s="187"/>
      <c r="AW71" s="184" t="e">
        <f t="shared" si="90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82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86"/>
        <v>386.4406779661013</v>
      </c>
      <c r="AH72" s="184" t="e">
        <f t="shared" si="87"/>
        <v>#N/A</v>
      </c>
      <c r="AI72" s="526"/>
      <c r="AJ72" s="190"/>
      <c r="AK72" s="190"/>
      <c r="AL72" s="187"/>
      <c r="AM72" s="184" t="e">
        <f t="shared" si="88"/>
        <v>#N/A</v>
      </c>
      <c r="AN72" s="526"/>
      <c r="AO72" s="190"/>
      <c r="AP72" s="190"/>
      <c r="AQ72" s="187" t="str">
        <f t="shared" si="83"/>
        <v/>
      </c>
      <c r="AR72" s="184" t="e">
        <f t="shared" si="89"/>
        <v>#VALUE!</v>
      </c>
      <c r="AS72" s="526"/>
      <c r="AT72" s="190"/>
      <c r="AU72" s="190"/>
      <c r="AV72" s="187"/>
      <c r="AW72" s="184" t="e">
        <f t="shared" si="90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82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86"/>
        <v>127.79864763335836</v>
      </c>
      <c r="AH73" s="184" t="e">
        <f t="shared" si="87"/>
        <v>#N/A</v>
      </c>
      <c r="AI73" s="526"/>
      <c r="AJ73" s="190"/>
      <c r="AK73" s="190"/>
      <c r="AL73" s="187"/>
      <c r="AM73" s="184" t="e">
        <f t="shared" si="88"/>
        <v>#N/A</v>
      </c>
      <c r="AN73" s="526"/>
      <c r="AO73" s="190"/>
      <c r="AP73" s="190"/>
      <c r="AQ73" s="187" t="str">
        <f t="shared" si="83"/>
        <v/>
      </c>
      <c r="AR73" s="184" t="e">
        <f t="shared" si="89"/>
        <v>#VALUE!</v>
      </c>
      <c r="AS73" s="526"/>
      <c r="AT73" s="190"/>
      <c r="AU73" s="190"/>
      <c r="AV73" s="187"/>
      <c r="AW73" s="184" t="e">
        <f t="shared" si="90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82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86"/>
        <v>183.34709515473759</v>
      </c>
      <c r="AH74" s="184" t="e">
        <f t="shared" si="87"/>
        <v>#N/A</v>
      </c>
      <c r="AI74" s="526"/>
      <c r="AJ74" s="190"/>
      <c r="AK74" s="190"/>
      <c r="AL74" s="187"/>
      <c r="AM74" s="184" t="e">
        <f t="shared" si="88"/>
        <v>#N/A</v>
      </c>
      <c r="AN74" s="526"/>
      <c r="AO74" s="190"/>
      <c r="AP74" s="190"/>
      <c r="AQ74" s="187" t="str">
        <f t="shared" si="83"/>
        <v/>
      </c>
      <c r="AR74" s="184" t="e">
        <f t="shared" si="89"/>
        <v>#VALUE!</v>
      </c>
      <c r="AS74" s="526"/>
      <c r="AT74" s="190"/>
      <c r="AU74" s="190"/>
      <c r="AV74" s="187"/>
      <c r="AW74" s="184" t="e">
        <f t="shared" si="90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82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86"/>
        <v>183.51228908786049</v>
      </c>
      <c r="AH75" s="184" t="e">
        <f t="shared" si="87"/>
        <v>#N/A</v>
      </c>
      <c r="AI75" s="526"/>
      <c r="AJ75" s="190"/>
      <c r="AK75" s="190"/>
      <c r="AL75" s="187"/>
      <c r="AM75" s="184" t="e">
        <f t="shared" si="88"/>
        <v>#N/A</v>
      </c>
      <c r="AN75" s="526"/>
      <c r="AO75" s="190"/>
      <c r="AP75" s="190"/>
      <c r="AQ75" s="187" t="str">
        <f t="shared" si="83"/>
        <v/>
      </c>
      <c r="AR75" s="184" t="e">
        <f t="shared" si="89"/>
        <v>#VALUE!</v>
      </c>
      <c r="AS75" s="526"/>
      <c r="AT75" s="190"/>
      <c r="AU75" s="190"/>
      <c r="AV75" s="187"/>
      <c r="AW75" s="184" t="e">
        <f t="shared" si="90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82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86"/>
        <v>286.63901543482666</v>
      </c>
      <c r="AH76" s="184" t="e">
        <f t="shared" si="87"/>
        <v>#N/A</v>
      </c>
      <c r="AI76" s="526"/>
      <c r="AJ76" s="190"/>
      <c r="AK76" s="190"/>
      <c r="AL76" s="187"/>
      <c r="AM76" s="184" t="e">
        <f t="shared" si="88"/>
        <v>#N/A</v>
      </c>
      <c r="AN76" s="526"/>
      <c r="AO76" s="190"/>
      <c r="AP76" s="190"/>
      <c r="AQ76" s="187" t="str">
        <f t="shared" si="83"/>
        <v/>
      </c>
      <c r="AR76" s="184" t="e">
        <f t="shared" si="89"/>
        <v>#VALUE!</v>
      </c>
      <c r="AS76" s="526"/>
      <c r="AT76" s="190"/>
      <c r="AU76" s="190"/>
      <c r="AV76" s="187"/>
      <c r="AW76" s="184" t="e">
        <f t="shared" si="90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91">U82+1</f>
        <v>46079</v>
      </c>
      <c r="AA82" s="583"/>
      <c r="AB82" s="583"/>
      <c r="AC82" s="583"/>
      <c r="AD82" s="583"/>
      <c r="AE82" s="584">
        <f t="shared" ref="AE82" si="92">Z82+1</f>
        <v>46080</v>
      </c>
      <c r="AF82" s="585"/>
      <c r="AG82" s="585"/>
      <c r="AH82" s="585"/>
      <c r="AI82" s="585"/>
      <c r="AJ82" s="586">
        <f t="shared" ref="AJ82" si="93">AE82+1</f>
        <v>46081</v>
      </c>
      <c r="AK82" s="587"/>
      <c r="AL82" s="587"/>
      <c r="AM82" s="587"/>
      <c r="AN82" s="588"/>
      <c r="AO82" s="584">
        <f t="shared" ref="AO82" si="94">AJ82+1</f>
        <v>46082</v>
      </c>
      <c r="AP82" s="585"/>
      <c r="AQ82" s="585"/>
      <c r="AR82" s="585"/>
      <c r="AS82" s="585"/>
      <c r="AT82" s="586">
        <f t="shared" ref="AT82" si="95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96">Z82</f>
        <v>46079</v>
      </c>
      <c r="AA83" s="589"/>
      <c r="AB83" s="589"/>
      <c r="AC83" s="589"/>
      <c r="AD83" s="589"/>
      <c r="AE83" s="590">
        <f t="shared" ref="AE83" si="97">AE82</f>
        <v>46080</v>
      </c>
      <c r="AF83" s="590"/>
      <c r="AG83" s="590"/>
      <c r="AH83" s="590"/>
      <c r="AI83" s="590"/>
      <c r="AJ83" s="591">
        <f t="shared" ref="AJ83" si="98">AJ82</f>
        <v>46081</v>
      </c>
      <c r="AK83" s="592"/>
      <c r="AL83" s="592"/>
      <c r="AM83" s="592"/>
      <c r="AN83" s="593"/>
      <c r="AO83" s="590">
        <f t="shared" ref="AO83" si="99">AO82</f>
        <v>46082</v>
      </c>
      <c r="AP83" s="590"/>
      <c r="AQ83" s="590"/>
      <c r="AR83" s="590"/>
      <c r="AS83" s="590"/>
      <c r="AT83" s="591">
        <f t="shared" ref="AT83" si="100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14" t="s">
        <v>138</v>
      </c>
      <c r="C87" s="182">
        <v>1</v>
      </c>
      <c r="D87" s="185"/>
      <c r="E87" s="182"/>
      <c r="F87" s="182"/>
      <c r="G87" s="187" t="e">
        <f t="shared" ref="G87:G96" si="101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102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103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101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104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105">IFERROR(AF88/AE88,"")</f>
        <v>183.41069933795009</v>
      </c>
      <c r="AH88" s="184" t="e">
        <f t="shared" ref="AH88:AH96" si="106">RANK(AG88, AG$27:AG$41)</f>
        <v>#N/A</v>
      </c>
      <c r="AI88" s="526"/>
      <c r="AJ88" s="190"/>
      <c r="AK88" s="190"/>
      <c r="AL88" s="187"/>
      <c r="AM88" s="184" t="e">
        <f t="shared" ref="AM88:AM96" si="107">RANK(AL88, AL$27:AL$41)</f>
        <v>#N/A</v>
      </c>
      <c r="AN88" s="526"/>
      <c r="AO88" s="190"/>
      <c r="AP88" s="190"/>
      <c r="AQ88" s="187" t="str">
        <f t="shared" si="102"/>
        <v/>
      </c>
      <c r="AR88" s="184" t="e">
        <f t="shared" ref="AR88:AR96" si="108">RANK(AQ88, AQ$27:AQ$41)</f>
        <v>#VALUE!</v>
      </c>
      <c r="AS88" s="526"/>
      <c r="AT88" s="190"/>
      <c r="AU88" s="190"/>
      <c r="AV88" s="187"/>
      <c r="AW88" s="184" t="e">
        <f t="shared" ref="AW88:AW96" si="109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101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104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105"/>
        <v>286.56852329640265</v>
      </c>
      <c r="AH89" s="184" t="e">
        <f t="shared" si="106"/>
        <v>#N/A</v>
      </c>
      <c r="AI89" s="526"/>
      <c r="AJ89" s="190"/>
      <c r="AK89" s="190"/>
      <c r="AL89" s="187"/>
      <c r="AM89" s="184" t="e">
        <f t="shared" si="107"/>
        <v>#N/A</v>
      </c>
      <c r="AN89" s="526"/>
      <c r="AO89" s="190"/>
      <c r="AP89" s="190"/>
      <c r="AQ89" s="187" t="str">
        <f t="shared" si="102"/>
        <v/>
      </c>
      <c r="AR89" s="184" t="e">
        <f t="shared" si="108"/>
        <v>#VALUE!</v>
      </c>
      <c r="AS89" s="526"/>
      <c r="AT89" s="190"/>
      <c r="AU89" s="190"/>
      <c r="AV89" s="187"/>
      <c r="AW89" s="184" t="e">
        <f t="shared" si="109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101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105"/>
        <v>386.3900414937761</v>
      </c>
      <c r="AH90" s="184" t="e">
        <f t="shared" si="106"/>
        <v>#N/A</v>
      </c>
      <c r="AI90" s="526"/>
      <c r="AJ90" s="190"/>
      <c r="AK90" s="190"/>
      <c r="AL90" s="187"/>
      <c r="AM90" s="184" t="e">
        <f t="shared" si="107"/>
        <v>#N/A</v>
      </c>
      <c r="AN90" s="526"/>
      <c r="AO90" s="190"/>
      <c r="AP90" s="190"/>
      <c r="AQ90" s="187" t="str">
        <f t="shared" si="102"/>
        <v/>
      </c>
      <c r="AR90" s="184" t="e">
        <f t="shared" si="108"/>
        <v>#VALUE!</v>
      </c>
      <c r="AS90" s="526"/>
      <c r="AT90" s="190"/>
      <c r="AU90" s="190"/>
      <c r="AV90" s="187"/>
      <c r="AW90" s="184" t="e">
        <f t="shared" si="109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101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105"/>
        <v>375.74552683896599</v>
      </c>
      <c r="AH91" s="184" t="e">
        <f t="shared" si="106"/>
        <v>#N/A</v>
      </c>
      <c r="AI91" s="526"/>
      <c r="AJ91" s="190"/>
      <c r="AK91" s="190"/>
      <c r="AL91" s="187"/>
      <c r="AM91" s="184" t="e">
        <f t="shared" si="107"/>
        <v>#N/A</v>
      </c>
      <c r="AN91" s="526"/>
      <c r="AO91" s="190"/>
      <c r="AP91" s="190"/>
      <c r="AQ91" s="187" t="str">
        <f t="shared" si="102"/>
        <v/>
      </c>
      <c r="AR91" s="184" t="e">
        <f t="shared" si="108"/>
        <v>#VALUE!</v>
      </c>
      <c r="AS91" s="526"/>
      <c r="AT91" s="190"/>
      <c r="AU91" s="190"/>
      <c r="AV91" s="187"/>
      <c r="AW91" s="184" t="e">
        <f t="shared" si="109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101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105"/>
        <v>386.4406779661013</v>
      </c>
      <c r="AH92" s="184" t="e">
        <f t="shared" si="106"/>
        <v>#N/A</v>
      </c>
      <c r="AI92" s="526"/>
      <c r="AJ92" s="190"/>
      <c r="AK92" s="190"/>
      <c r="AL92" s="187"/>
      <c r="AM92" s="184" t="e">
        <f t="shared" si="107"/>
        <v>#N/A</v>
      </c>
      <c r="AN92" s="526"/>
      <c r="AO92" s="190"/>
      <c r="AP92" s="190"/>
      <c r="AQ92" s="187" t="str">
        <f t="shared" si="102"/>
        <v/>
      </c>
      <c r="AR92" s="184" t="e">
        <f t="shared" si="108"/>
        <v>#VALUE!</v>
      </c>
      <c r="AS92" s="526"/>
      <c r="AT92" s="190"/>
      <c r="AU92" s="190"/>
      <c r="AV92" s="187"/>
      <c r="AW92" s="184" t="e">
        <f t="shared" si="109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101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105"/>
        <v>127.79864763335836</v>
      </c>
      <c r="AH93" s="184" t="e">
        <f t="shared" si="106"/>
        <v>#N/A</v>
      </c>
      <c r="AI93" s="526"/>
      <c r="AJ93" s="190"/>
      <c r="AK93" s="190"/>
      <c r="AL93" s="187"/>
      <c r="AM93" s="184" t="e">
        <f t="shared" si="107"/>
        <v>#N/A</v>
      </c>
      <c r="AN93" s="526"/>
      <c r="AO93" s="190"/>
      <c r="AP93" s="190"/>
      <c r="AQ93" s="187" t="str">
        <f t="shared" si="102"/>
        <v/>
      </c>
      <c r="AR93" s="184" t="e">
        <f t="shared" si="108"/>
        <v>#VALUE!</v>
      </c>
      <c r="AS93" s="526"/>
      <c r="AT93" s="190"/>
      <c r="AU93" s="190"/>
      <c r="AV93" s="187"/>
      <c r="AW93" s="184" t="e">
        <f t="shared" si="109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101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105"/>
        <v>183.34709515473759</v>
      </c>
      <c r="AH94" s="184" t="e">
        <f t="shared" si="106"/>
        <v>#N/A</v>
      </c>
      <c r="AI94" s="526"/>
      <c r="AJ94" s="190"/>
      <c r="AK94" s="190"/>
      <c r="AL94" s="187"/>
      <c r="AM94" s="184" t="e">
        <f t="shared" si="107"/>
        <v>#N/A</v>
      </c>
      <c r="AN94" s="526"/>
      <c r="AO94" s="190"/>
      <c r="AP94" s="190"/>
      <c r="AQ94" s="187" t="str">
        <f t="shared" si="102"/>
        <v/>
      </c>
      <c r="AR94" s="184" t="e">
        <f t="shared" si="108"/>
        <v>#VALUE!</v>
      </c>
      <c r="AS94" s="526"/>
      <c r="AT94" s="190"/>
      <c r="AU94" s="190"/>
      <c r="AV94" s="187"/>
      <c r="AW94" s="184" t="e">
        <f t="shared" si="109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101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105"/>
        <v>183.51228908786049</v>
      </c>
      <c r="AH95" s="184" t="e">
        <f t="shared" si="106"/>
        <v>#N/A</v>
      </c>
      <c r="AI95" s="526"/>
      <c r="AJ95" s="190"/>
      <c r="AK95" s="190"/>
      <c r="AL95" s="187"/>
      <c r="AM95" s="184" t="e">
        <f t="shared" si="107"/>
        <v>#N/A</v>
      </c>
      <c r="AN95" s="526"/>
      <c r="AO95" s="190"/>
      <c r="AP95" s="190"/>
      <c r="AQ95" s="187" t="str">
        <f t="shared" si="102"/>
        <v/>
      </c>
      <c r="AR95" s="184" t="e">
        <f t="shared" si="108"/>
        <v>#VALUE!</v>
      </c>
      <c r="AS95" s="526"/>
      <c r="AT95" s="190"/>
      <c r="AU95" s="190"/>
      <c r="AV95" s="187"/>
      <c r="AW95" s="184" t="e">
        <f t="shared" si="109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101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105"/>
        <v>286.63901543482666</v>
      </c>
      <c r="AH96" s="184" t="e">
        <f t="shared" si="106"/>
        <v>#N/A</v>
      </c>
      <c r="AI96" s="526"/>
      <c r="AJ96" s="190"/>
      <c r="AK96" s="190"/>
      <c r="AL96" s="187"/>
      <c r="AM96" s="184" t="e">
        <f t="shared" si="107"/>
        <v>#N/A</v>
      </c>
      <c r="AN96" s="526"/>
      <c r="AO96" s="190"/>
      <c r="AP96" s="190"/>
      <c r="AQ96" s="187" t="str">
        <f t="shared" si="102"/>
        <v/>
      </c>
      <c r="AR96" s="184" t="e">
        <f t="shared" si="108"/>
        <v>#VALUE!</v>
      </c>
      <c r="AS96" s="526"/>
      <c r="AT96" s="190"/>
      <c r="AU96" s="190"/>
      <c r="AV96" s="187"/>
      <c r="AW96" s="184" t="e">
        <f t="shared" si="109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8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701</v>
      </c>
      <c r="C1" s="177">
        <f>AVERAGE(L27,L47,L67,L87)</f>
        <v>72.928814257914809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f>AE2+1</f>
        <v>46053</v>
      </c>
      <c r="AK2" s="587"/>
      <c r="AL2" s="587"/>
      <c r="AM2" s="587"/>
      <c r="AN2" s="588"/>
      <c r="AO2" s="584">
        <f t="shared" ref="AO2" si="2">AJ2+1</f>
        <v>46054</v>
      </c>
      <c r="AP2" s="585"/>
      <c r="AQ2" s="585"/>
      <c r="AR2" s="585"/>
      <c r="AS2" s="585"/>
      <c r="AT2" s="586">
        <f t="shared" ref="AT2" si="3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4">Z2</f>
        <v>46051</v>
      </c>
      <c r="AA3" s="589"/>
      <c r="AB3" s="589"/>
      <c r="AC3" s="589"/>
      <c r="AD3" s="589"/>
      <c r="AE3" s="590">
        <f t="shared" ref="AE3" si="5">AE2</f>
        <v>46052</v>
      </c>
      <c r="AF3" s="590"/>
      <c r="AG3" s="590"/>
      <c r="AH3" s="590"/>
      <c r="AI3" s="590"/>
      <c r="AJ3" s="591">
        <f t="shared" ref="AJ3" si="6">AJ2</f>
        <v>46053</v>
      </c>
      <c r="AK3" s="592"/>
      <c r="AL3" s="592"/>
      <c r="AM3" s="592"/>
      <c r="AN3" s="593"/>
      <c r="AO3" s="590">
        <f t="shared" ref="AO3" si="7">AO2</f>
        <v>46054</v>
      </c>
      <c r="AP3" s="590"/>
      <c r="AQ3" s="590"/>
      <c r="AR3" s="590"/>
      <c r="AS3" s="590"/>
      <c r="AT3" s="591">
        <f t="shared" ref="AT3" si="8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 t="s">
        <v>386</v>
      </c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14" t="s">
        <v>463</v>
      </c>
      <c r="C7" s="182">
        <v>1</v>
      </c>
      <c r="D7" s="185" t="s">
        <v>487</v>
      </c>
      <c r="E7" s="182">
        <v>22</v>
      </c>
      <c r="F7" s="182">
        <v>1800</v>
      </c>
      <c r="G7" s="187">
        <f t="shared" ref="G7" si="9">F7/E7</f>
        <v>81.818181818181813</v>
      </c>
      <c r="H7" s="526">
        <f>AVERAGE(G7:G21)</f>
        <v>81.818181818181813</v>
      </c>
      <c r="I7" s="188">
        <f>AVERAGE(P7,U7,Z7,AE7,AJ7,AO7,AT7)</f>
        <v>22</v>
      </c>
      <c r="J7" s="188">
        <f>AVERAGE(Q7,V7,AA7,AF7,AK7,AP7,AU7)</f>
        <v>1604.0565389421931</v>
      </c>
      <c r="K7" s="189">
        <f>AVERAGE(R7,W7,AB7,AG7,AL7,AQ7,AV7)</f>
        <v>72.911660861008784</v>
      </c>
      <c r="L7" s="527">
        <f>IFERROR(AVERAGE(K7:K21),"-")</f>
        <v>72.911660861008784</v>
      </c>
      <c r="M7" s="188">
        <f>RANK(K7, K$7:$K$21)</f>
        <v>1</v>
      </c>
      <c r="N7" s="514"/>
      <c r="O7" s="514"/>
      <c r="P7" s="190">
        <v>22</v>
      </c>
      <c r="Q7" s="190">
        <v>1603.683453237411</v>
      </c>
      <c r="R7" s="187">
        <f>IFERROR(Q7/P7,"")</f>
        <v>72.894702419882321</v>
      </c>
      <c r="S7" s="184">
        <f>RANK(R7, R$7:R$21)</f>
        <v>1</v>
      </c>
      <c r="T7" s="526">
        <f>AVERAGE(R7:R21)</f>
        <v>72.894702419882321</v>
      </c>
      <c r="U7" s="190">
        <v>22</v>
      </c>
      <c r="V7" s="190">
        <v>1604.0404040404037</v>
      </c>
      <c r="W7" s="187">
        <f t="shared" ref="W7" si="10">IFERROR(V7/U7,"")</f>
        <v>72.910927456381984</v>
      </c>
      <c r="X7" s="184">
        <f>RANK(W7, W$7:W$21)</f>
        <v>1</v>
      </c>
      <c r="Y7" s="526">
        <f>AVERAGE(W7:W21)</f>
        <v>72.910927456381984</v>
      </c>
      <c r="Z7" s="190">
        <v>22</v>
      </c>
      <c r="AA7" s="190">
        <v>1604.1450777202076</v>
      </c>
      <c r="AB7" s="187">
        <f t="shared" ref="AB7" si="11">IFERROR(AA7/Z7,"")</f>
        <v>72.915685350918523</v>
      </c>
      <c r="AC7" s="184">
        <f>RANK(AB7, AB$7:AB$21)</f>
        <v>1</v>
      </c>
      <c r="AD7" s="526">
        <f>AVERAGE(AB7:AB21)</f>
        <v>72.915685350918523</v>
      </c>
      <c r="AE7" s="190">
        <v>22</v>
      </c>
      <c r="AF7" s="190">
        <v>1604.2238648363266</v>
      </c>
      <c r="AG7" s="187">
        <f>IFERROR(AF7/AE7,"")</f>
        <v>72.919266583469394</v>
      </c>
      <c r="AH7" s="184">
        <f>RANK(AG7, AG$7:AG$21)</f>
        <v>1</v>
      </c>
      <c r="AI7" s="526">
        <f>AVERAGE(AG7:AG21)</f>
        <v>72.919266583469394</v>
      </c>
      <c r="AJ7" s="190">
        <v>22</v>
      </c>
      <c r="AK7" s="190">
        <v>1604.1067761806994</v>
      </c>
      <c r="AL7" s="187">
        <f t="shared" ref="AL7" si="12">IFERROR(AK7/AJ7,"")</f>
        <v>72.913944371849979</v>
      </c>
      <c r="AM7" s="184">
        <f>RANK(AL7, AL$7:AL$21)</f>
        <v>1</v>
      </c>
      <c r="AN7" s="526">
        <f>AVERAGE(AL7:AL21)</f>
        <v>72.913944371849979</v>
      </c>
      <c r="AO7" s="190">
        <v>22</v>
      </c>
      <c r="AP7" s="190">
        <v>1604.0560691917688</v>
      </c>
      <c r="AQ7" s="187">
        <f t="shared" ref="AQ7" si="13">IFERROR(AP7/AO7,"")</f>
        <v>72.91163950871676</v>
      </c>
      <c r="AR7" s="184">
        <f>RANK(AQ7, AQ$7:AQ$21)</f>
        <v>1</v>
      </c>
      <c r="AS7" s="526">
        <f>AVERAGE(AQ7:AQ21)</f>
        <v>72.91163950871676</v>
      </c>
      <c r="AT7" s="190">
        <v>22</v>
      </c>
      <c r="AU7" s="190">
        <v>1604.1401273885353</v>
      </c>
      <c r="AV7" s="187">
        <f t="shared" ref="AV7" si="14">IFERROR(AU7/AT7,"")</f>
        <v>72.915460335842511</v>
      </c>
      <c r="AW7" s="184" t="e">
        <f>RANK(AV7, AV$87:AV$101)</f>
        <v>#N/A</v>
      </c>
      <c r="AX7" s="526">
        <f>AVERAGE(AV7:AV21)</f>
        <v>72.915460335842511</v>
      </c>
    </row>
    <row r="8" spans="1:50" ht="14.25" customHeight="1">
      <c r="B8" s="514"/>
      <c r="C8" s="182">
        <v>2</v>
      </c>
      <c r="D8" s="185"/>
      <c r="E8" s="182"/>
      <c r="F8" s="182"/>
      <c r="G8" s="187"/>
      <c r="H8" s="526"/>
      <c r="I8" s="188"/>
      <c r="J8" s="188"/>
      <c r="K8" s="189"/>
      <c r="L8" s="527"/>
      <c r="M8" s="188"/>
      <c r="N8" s="514"/>
      <c r="O8" s="514"/>
      <c r="P8" s="190"/>
      <c r="Q8" s="190"/>
      <c r="R8" s="187"/>
      <c r="S8" s="184"/>
      <c r="T8" s="526"/>
      <c r="U8" s="190"/>
      <c r="V8" s="190"/>
      <c r="W8" s="187"/>
      <c r="X8" s="184"/>
      <c r="Y8" s="526"/>
      <c r="Z8" s="190"/>
      <c r="AA8" s="190"/>
      <c r="AB8" s="187"/>
      <c r="AC8" s="184"/>
      <c r="AD8" s="526"/>
      <c r="AE8" s="190"/>
      <c r="AF8" s="190"/>
      <c r="AG8" s="187"/>
      <c r="AH8" s="184"/>
      <c r="AI8" s="526"/>
      <c r="AJ8" s="190"/>
      <c r="AK8" s="190"/>
      <c r="AL8" s="187"/>
      <c r="AM8" s="184"/>
      <c r="AN8" s="526"/>
      <c r="AO8" s="190"/>
      <c r="AP8" s="190"/>
      <c r="AQ8" s="187"/>
      <c r="AR8" s="184"/>
      <c r="AS8" s="526"/>
      <c r="AT8" s="190"/>
      <c r="AU8" s="190"/>
      <c r="AV8" s="187"/>
      <c r="AW8" s="184"/>
      <c r="AX8" s="526"/>
    </row>
    <row r="9" spans="1:50" ht="14.25" customHeight="1">
      <c r="B9" s="514"/>
      <c r="C9" s="182">
        <v>3</v>
      </c>
      <c r="D9" s="185"/>
      <c r="E9" s="182"/>
      <c r="F9" s="182"/>
      <c r="G9" s="187"/>
      <c r="H9" s="526"/>
      <c r="I9" s="188"/>
      <c r="J9" s="188"/>
      <c r="K9" s="189"/>
      <c r="L9" s="527"/>
      <c r="M9" s="188"/>
      <c r="N9" s="514"/>
      <c r="O9" s="514"/>
      <c r="P9" s="190"/>
      <c r="Q9" s="190"/>
      <c r="R9" s="187"/>
      <c r="S9" s="184"/>
      <c r="T9" s="526"/>
      <c r="U9" s="190"/>
      <c r="V9" s="190"/>
      <c r="W9" s="187"/>
      <c r="X9" s="184"/>
      <c r="Y9" s="526"/>
      <c r="Z9" s="190"/>
      <c r="AA9" s="190"/>
      <c r="AB9" s="187"/>
      <c r="AC9" s="184"/>
      <c r="AD9" s="526"/>
      <c r="AE9" s="190"/>
      <c r="AF9" s="190"/>
      <c r="AG9" s="187"/>
      <c r="AH9" s="184"/>
      <c r="AI9" s="526"/>
      <c r="AJ9" s="190"/>
      <c r="AK9" s="190"/>
      <c r="AL9" s="187"/>
      <c r="AM9" s="184"/>
      <c r="AN9" s="526"/>
      <c r="AO9" s="190"/>
      <c r="AP9" s="190"/>
      <c r="AQ9" s="187"/>
      <c r="AR9" s="184"/>
      <c r="AS9" s="526"/>
      <c r="AT9" s="190"/>
      <c r="AU9" s="190"/>
      <c r="AV9" s="187"/>
      <c r="AW9" s="184"/>
      <c r="AX9" s="526"/>
    </row>
    <row r="10" spans="1:50" ht="14.25" customHeight="1">
      <c r="B10" s="514"/>
      <c r="C10" s="182">
        <v>4</v>
      </c>
      <c r="D10" s="185"/>
      <c r="E10" s="182"/>
      <c r="F10" s="182"/>
      <c r="G10" s="187"/>
      <c r="H10" s="526"/>
      <c r="I10" s="188"/>
      <c r="J10" s="188"/>
      <c r="K10" s="189"/>
      <c r="L10" s="527"/>
      <c r="M10" s="188"/>
      <c r="N10" s="514"/>
      <c r="O10" s="514"/>
      <c r="P10" s="190"/>
      <c r="Q10" s="190"/>
      <c r="R10" s="187"/>
      <c r="S10" s="184"/>
      <c r="T10" s="526"/>
      <c r="U10" s="190"/>
      <c r="V10" s="190"/>
      <c r="W10" s="187"/>
      <c r="X10" s="184"/>
      <c r="Y10" s="526"/>
      <c r="Z10" s="190"/>
      <c r="AA10" s="190"/>
      <c r="AB10" s="187"/>
      <c r="AC10" s="184"/>
      <c r="AD10" s="526"/>
      <c r="AE10" s="190"/>
      <c r="AF10" s="190"/>
      <c r="AG10" s="187"/>
      <c r="AH10" s="184"/>
      <c r="AI10" s="526"/>
      <c r="AJ10" s="190"/>
      <c r="AK10" s="190"/>
      <c r="AL10" s="187"/>
      <c r="AM10" s="184"/>
      <c r="AN10" s="526"/>
      <c r="AO10" s="190"/>
      <c r="AP10" s="190"/>
      <c r="AQ10" s="187"/>
      <c r="AR10" s="184"/>
      <c r="AS10" s="526"/>
      <c r="AT10" s="190"/>
      <c r="AU10" s="190"/>
      <c r="AV10" s="187"/>
      <c r="AW10" s="184"/>
      <c r="AX10" s="526"/>
    </row>
    <row r="11" spans="1:50" ht="14.25" customHeight="1">
      <c r="B11" s="514"/>
      <c r="C11" s="182">
        <v>5</v>
      </c>
      <c r="D11" s="185"/>
      <c r="E11" s="182"/>
      <c r="F11" s="182"/>
      <c r="G11" s="187"/>
      <c r="H11" s="526"/>
      <c r="I11" s="188"/>
      <c r="J11" s="188"/>
      <c r="K11" s="189"/>
      <c r="L11" s="527"/>
      <c r="M11" s="188"/>
      <c r="N11" s="514"/>
      <c r="O11" s="514"/>
      <c r="P11" s="190"/>
      <c r="Q11" s="190"/>
      <c r="R11" s="187"/>
      <c r="S11" s="184"/>
      <c r="T11" s="526"/>
      <c r="U11" s="190"/>
      <c r="V11" s="190"/>
      <c r="W11" s="187"/>
      <c r="X11" s="184"/>
      <c r="Y11" s="526"/>
      <c r="Z11" s="190"/>
      <c r="AA11" s="190"/>
      <c r="AB11" s="187"/>
      <c r="AC11" s="184"/>
      <c r="AD11" s="526"/>
      <c r="AE11" s="190"/>
      <c r="AF11" s="190"/>
      <c r="AG11" s="187"/>
      <c r="AH11" s="184"/>
      <c r="AI11" s="526"/>
      <c r="AJ11" s="190"/>
      <c r="AK11" s="190"/>
      <c r="AL11" s="187"/>
      <c r="AM11" s="184"/>
      <c r="AN11" s="526"/>
      <c r="AO11" s="190"/>
      <c r="AP11" s="190"/>
      <c r="AQ11" s="187"/>
      <c r="AR11" s="184"/>
      <c r="AS11" s="526"/>
      <c r="AT11" s="190"/>
      <c r="AU11" s="190"/>
      <c r="AV11" s="187"/>
      <c r="AW11" s="184"/>
      <c r="AX11" s="526"/>
    </row>
    <row r="12" spans="1:50" ht="14.25" customHeight="1">
      <c r="B12" s="514"/>
      <c r="C12" s="182">
        <v>6</v>
      </c>
      <c r="D12" s="185"/>
      <c r="E12" s="182"/>
      <c r="F12" s="182"/>
      <c r="G12" s="187"/>
      <c r="H12" s="526"/>
      <c r="I12" s="188"/>
      <c r="J12" s="188"/>
      <c r="K12" s="189"/>
      <c r="L12" s="527"/>
      <c r="M12" s="188"/>
      <c r="N12" s="514"/>
      <c r="O12" s="514"/>
      <c r="P12" s="190"/>
      <c r="Q12" s="190"/>
      <c r="R12" s="187"/>
      <c r="S12" s="184"/>
      <c r="T12" s="526"/>
      <c r="U12" s="190"/>
      <c r="V12" s="190"/>
      <c r="W12" s="187"/>
      <c r="X12" s="184"/>
      <c r="Y12" s="526"/>
      <c r="Z12" s="190"/>
      <c r="AA12" s="190"/>
      <c r="AB12" s="187"/>
      <c r="AC12" s="184"/>
      <c r="AD12" s="526"/>
      <c r="AE12" s="190"/>
      <c r="AF12" s="190"/>
      <c r="AG12" s="187"/>
      <c r="AH12" s="184"/>
      <c r="AI12" s="526"/>
      <c r="AJ12" s="190"/>
      <c r="AK12" s="190"/>
      <c r="AL12" s="187"/>
      <c r="AM12" s="184"/>
      <c r="AN12" s="526"/>
      <c r="AO12" s="190"/>
      <c r="AP12" s="190"/>
      <c r="AQ12" s="187"/>
      <c r="AR12" s="184"/>
      <c r="AS12" s="526"/>
      <c r="AT12" s="190"/>
      <c r="AU12" s="190"/>
      <c r="AV12" s="187"/>
      <c r="AW12" s="184"/>
      <c r="AX12" s="526"/>
    </row>
    <row r="13" spans="1:50" ht="14.25" customHeight="1">
      <c r="B13" s="514"/>
      <c r="C13" s="182">
        <v>7</v>
      </c>
      <c r="D13" s="185"/>
      <c r="E13" s="182"/>
      <c r="F13" s="182"/>
      <c r="G13" s="187"/>
      <c r="H13" s="526"/>
      <c r="I13" s="188"/>
      <c r="J13" s="188"/>
      <c r="K13" s="189"/>
      <c r="L13" s="527"/>
      <c r="M13" s="188"/>
      <c r="N13" s="514"/>
      <c r="O13" s="514"/>
      <c r="P13" s="190"/>
      <c r="Q13" s="190"/>
      <c r="R13" s="187"/>
      <c r="S13" s="184"/>
      <c r="T13" s="526"/>
      <c r="U13" s="190"/>
      <c r="V13" s="190"/>
      <c r="W13" s="187"/>
      <c r="X13" s="184"/>
      <c r="Y13" s="526"/>
      <c r="Z13" s="190"/>
      <c r="AA13" s="190"/>
      <c r="AB13" s="187"/>
      <c r="AC13" s="184"/>
      <c r="AD13" s="526"/>
      <c r="AE13" s="190"/>
      <c r="AF13" s="190"/>
      <c r="AG13" s="187"/>
      <c r="AH13" s="184"/>
      <c r="AI13" s="526"/>
      <c r="AJ13" s="190"/>
      <c r="AK13" s="190"/>
      <c r="AL13" s="187"/>
      <c r="AM13" s="184"/>
      <c r="AN13" s="526"/>
      <c r="AO13" s="190"/>
      <c r="AP13" s="190"/>
      <c r="AQ13" s="187"/>
      <c r="AR13" s="184"/>
      <c r="AS13" s="526"/>
      <c r="AT13" s="190"/>
      <c r="AU13" s="190"/>
      <c r="AV13" s="187"/>
      <c r="AW13" s="184"/>
      <c r="AX13" s="526"/>
    </row>
    <row r="14" spans="1:50" ht="14.25" customHeight="1">
      <c r="B14" s="514"/>
      <c r="C14" s="182">
        <v>8</v>
      </c>
      <c r="D14" s="185"/>
      <c r="E14" s="182"/>
      <c r="F14" s="182"/>
      <c r="G14" s="187"/>
      <c r="H14" s="526"/>
      <c r="I14" s="188"/>
      <c r="J14" s="188"/>
      <c r="K14" s="189"/>
      <c r="L14" s="527"/>
      <c r="M14" s="188"/>
      <c r="N14" s="514"/>
      <c r="O14" s="514"/>
      <c r="P14" s="190"/>
      <c r="Q14" s="190"/>
      <c r="R14" s="187"/>
      <c r="S14" s="184"/>
      <c r="T14" s="526"/>
      <c r="U14" s="190"/>
      <c r="V14" s="190"/>
      <c r="W14" s="187"/>
      <c r="X14" s="184"/>
      <c r="Y14" s="526"/>
      <c r="Z14" s="190"/>
      <c r="AA14" s="190"/>
      <c r="AB14" s="187"/>
      <c r="AC14" s="184"/>
      <c r="AD14" s="526"/>
      <c r="AE14" s="190"/>
      <c r="AF14" s="190"/>
      <c r="AG14" s="187"/>
      <c r="AH14" s="184"/>
      <c r="AI14" s="526"/>
      <c r="AJ14" s="190"/>
      <c r="AK14" s="190"/>
      <c r="AL14" s="187"/>
      <c r="AM14" s="184"/>
      <c r="AN14" s="526"/>
      <c r="AO14" s="190"/>
      <c r="AP14" s="190"/>
      <c r="AQ14" s="187"/>
      <c r="AR14" s="184"/>
      <c r="AS14" s="526"/>
      <c r="AT14" s="190"/>
      <c r="AU14" s="190"/>
      <c r="AV14" s="187"/>
      <c r="AW14" s="184"/>
      <c r="AX14" s="526"/>
    </row>
    <row r="15" spans="1:50" ht="14.25" customHeight="1">
      <c r="B15" s="514"/>
      <c r="C15" s="182">
        <v>9</v>
      </c>
      <c r="D15" s="185"/>
      <c r="E15" s="182"/>
      <c r="F15" s="182"/>
      <c r="G15" s="187"/>
      <c r="H15" s="526"/>
      <c r="I15" s="188"/>
      <c r="J15" s="188"/>
      <c r="K15" s="189"/>
      <c r="L15" s="527"/>
      <c r="M15" s="188"/>
      <c r="N15" s="514"/>
      <c r="O15" s="514"/>
      <c r="P15" s="190"/>
      <c r="Q15" s="190"/>
      <c r="R15" s="187"/>
      <c r="S15" s="184"/>
      <c r="T15" s="526"/>
      <c r="U15" s="190"/>
      <c r="V15" s="190"/>
      <c r="W15" s="187"/>
      <c r="X15" s="184"/>
      <c r="Y15" s="526"/>
      <c r="Z15" s="190"/>
      <c r="AA15" s="190"/>
      <c r="AB15" s="187"/>
      <c r="AC15" s="184"/>
      <c r="AD15" s="526"/>
      <c r="AE15" s="190"/>
      <c r="AF15" s="190"/>
      <c r="AG15" s="187"/>
      <c r="AH15" s="184"/>
      <c r="AI15" s="526"/>
      <c r="AJ15" s="190"/>
      <c r="AK15" s="190"/>
      <c r="AL15" s="187"/>
      <c r="AM15" s="184"/>
      <c r="AN15" s="526"/>
      <c r="AO15" s="190"/>
      <c r="AP15" s="190"/>
      <c r="AQ15" s="187"/>
      <c r="AR15" s="184"/>
      <c r="AS15" s="526"/>
      <c r="AT15" s="190"/>
      <c r="AU15" s="190"/>
      <c r="AV15" s="187"/>
      <c r="AW15" s="184"/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15">U22+1</f>
        <v>46058</v>
      </c>
      <c r="AA22" s="583"/>
      <c r="AB22" s="583"/>
      <c r="AC22" s="583"/>
      <c r="AD22" s="583"/>
      <c r="AE22" s="584">
        <f t="shared" ref="AE22" si="16">Z22+1</f>
        <v>46059</v>
      </c>
      <c r="AF22" s="585"/>
      <c r="AG22" s="585"/>
      <c r="AH22" s="585"/>
      <c r="AI22" s="585"/>
      <c r="AJ22" s="586">
        <f t="shared" ref="AJ22" si="17">AE22+1</f>
        <v>46060</v>
      </c>
      <c r="AK22" s="587"/>
      <c r="AL22" s="587"/>
      <c r="AM22" s="587"/>
      <c r="AN22" s="588"/>
      <c r="AO22" s="584">
        <f t="shared" ref="AO22" si="18">AJ22+1</f>
        <v>46061</v>
      </c>
      <c r="AP22" s="585"/>
      <c r="AQ22" s="585"/>
      <c r="AR22" s="585"/>
      <c r="AS22" s="585"/>
      <c r="AT22" s="586">
        <f t="shared" ref="AT22" si="19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20">Z22</f>
        <v>46058</v>
      </c>
      <c r="AA23" s="589"/>
      <c r="AB23" s="589"/>
      <c r="AC23" s="589"/>
      <c r="AD23" s="589"/>
      <c r="AE23" s="590">
        <f t="shared" ref="AE23" si="21">AE22</f>
        <v>46059</v>
      </c>
      <c r="AF23" s="590"/>
      <c r="AG23" s="590"/>
      <c r="AH23" s="590"/>
      <c r="AI23" s="590"/>
      <c r="AJ23" s="591">
        <f t="shared" ref="AJ23" si="22">AJ22</f>
        <v>46060</v>
      </c>
      <c r="AK23" s="592"/>
      <c r="AL23" s="592"/>
      <c r="AM23" s="592"/>
      <c r="AN23" s="593"/>
      <c r="AO23" s="590">
        <f t="shared" ref="AO23" si="23">AO22</f>
        <v>46061</v>
      </c>
      <c r="AP23" s="590"/>
      <c r="AQ23" s="590"/>
      <c r="AR23" s="590"/>
      <c r="AS23" s="590"/>
      <c r="AT23" s="591">
        <f t="shared" ref="AT23" si="24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14" t="s">
        <v>463</v>
      </c>
      <c r="C27" s="182">
        <v>1</v>
      </c>
      <c r="D27" s="185" t="s">
        <v>487</v>
      </c>
      <c r="E27" s="182">
        <v>22</v>
      </c>
      <c r="F27" s="182">
        <v>1800</v>
      </c>
      <c r="G27" s="187">
        <f t="shared" ref="G27" si="25">F27/E27</f>
        <v>81.818181818181813</v>
      </c>
      <c r="H27" s="526">
        <f>AVERAGE(G27:G41)</f>
        <v>81.818181818181813</v>
      </c>
      <c r="I27" s="188">
        <f>AVERAGE(P27,U27,Z27,AE27,AJ27,AO27,AT27)</f>
        <v>22</v>
      </c>
      <c r="J27" s="188">
        <f>AVERAGE(Q27,V27,AA27,AF27,AK27,AP27,AU27)</f>
        <v>1604.433913674126</v>
      </c>
      <c r="K27" s="189">
        <f>AVERAGE(R27,W27,AB27,AG27,AL27,AQ27,AV27)</f>
        <v>72.928814257914809</v>
      </c>
      <c r="L27" s="527">
        <f>IFERROR(AVERAGE(K27:K41),"-")</f>
        <v>72.928814257914809</v>
      </c>
      <c r="M27" s="188">
        <f>RANK(K27, K$27:$K$41)</f>
        <v>1</v>
      </c>
      <c r="N27" s="514"/>
      <c r="O27" s="514"/>
      <c r="P27" s="190">
        <v>22</v>
      </c>
      <c r="Q27" s="190">
        <v>1604.2067307692312</v>
      </c>
      <c r="R27" s="187">
        <f>IFERROR(Q27/P27,"")</f>
        <v>72.918487762237774</v>
      </c>
      <c r="S27" s="184">
        <f>RANK(R27, R$27:R$41)</f>
        <v>1</v>
      </c>
      <c r="T27" s="526">
        <f>AVERAGE(R27:R41)</f>
        <v>72.918487762237774</v>
      </c>
      <c r="U27" s="190">
        <v>22</v>
      </c>
      <c r="V27" s="190">
        <v>1604.3236565781326</v>
      </c>
      <c r="W27" s="187">
        <f t="shared" ref="W27" si="26">IFERROR(V27/U27,"")</f>
        <v>72.923802571733304</v>
      </c>
      <c r="X27" s="184">
        <f>RANK(W27, W$27:W$41)</f>
        <v>1</v>
      </c>
      <c r="Y27" s="526">
        <f>AVERAGE(W27:W41)</f>
        <v>72.923802571733304</v>
      </c>
      <c r="Z27" s="190">
        <v>22</v>
      </c>
      <c r="AA27" s="190">
        <v>1604.31266846361</v>
      </c>
      <c r="AB27" s="187">
        <f t="shared" ref="AB27" si="27">IFERROR(AA27/Z27,"")</f>
        <v>72.923303111982264</v>
      </c>
      <c r="AC27" s="184">
        <f>RANK(AB27, AB$27:AB$41)</f>
        <v>1</v>
      </c>
      <c r="AD27" s="526">
        <f>AVERAGE(AB27:AB41)</f>
        <v>72.923303111982264</v>
      </c>
      <c r="AE27" s="190">
        <v>22</v>
      </c>
      <c r="AF27" s="190">
        <v>1604.2207792207771</v>
      </c>
      <c r="AG27" s="187">
        <f>IFERROR(AF27/AE27,"")</f>
        <v>72.919126328217146</v>
      </c>
      <c r="AH27" s="184">
        <f>RANK(AG27, AG$27:AG$41)</f>
        <v>1</v>
      </c>
      <c r="AI27" s="526">
        <f>AVERAGE(AG27:AG41)</f>
        <v>72.919126328217146</v>
      </c>
      <c r="AJ27" s="190">
        <v>22</v>
      </c>
      <c r="AK27" s="190">
        <v>1604.4472681067346</v>
      </c>
      <c r="AL27" s="187">
        <f t="shared" ref="AL27" si="28">IFERROR(AK27/AJ27,"")</f>
        <v>72.92942127757884</v>
      </c>
      <c r="AM27" s="184">
        <f>RANK(AL27, AL$27:AL$41)</f>
        <v>1</v>
      </c>
      <c r="AN27" s="526">
        <f>AVERAGE(AL27:AL41)</f>
        <v>72.92942127757884</v>
      </c>
      <c r="AO27" s="190">
        <v>22</v>
      </c>
      <c r="AP27" s="190">
        <v>1604.5977011494253</v>
      </c>
      <c r="AQ27" s="187">
        <f t="shared" ref="AQ27" si="29">IFERROR(AP27/AO27,"")</f>
        <v>72.936259143155695</v>
      </c>
      <c r="AR27" s="184">
        <f>RANK(AQ27, AQ$27:AQ$41)</f>
        <v>1</v>
      </c>
      <c r="AS27" s="526">
        <f>AVERAGE(AQ27:AQ41)</f>
        <v>72.936259143155695</v>
      </c>
      <c r="AT27" s="190">
        <v>22</v>
      </c>
      <c r="AU27" s="190">
        <v>1604.9285914309703</v>
      </c>
      <c r="AV27" s="187">
        <f t="shared" ref="AV27" si="30">IFERROR(AU27/AT27,"")</f>
        <v>72.951299610498651</v>
      </c>
      <c r="AW27" s="184">
        <f>RANK(AV27, AV$27:AV$41)</f>
        <v>1</v>
      </c>
      <c r="AX27" s="526">
        <f>AVERAGE(AV27:AV41)</f>
        <v>72.951299610498651</v>
      </c>
    </row>
    <row r="28" spans="2:50" ht="14.25" customHeight="1">
      <c r="B28" s="514"/>
      <c r="C28" s="182">
        <v>2</v>
      </c>
      <c r="D28" s="185"/>
      <c r="E28" s="182"/>
      <c r="F28" s="182"/>
      <c r="G28" s="187"/>
      <c r="H28" s="526"/>
      <c r="I28" s="188"/>
      <c r="J28" s="188"/>
      <c r="K28" s="189"/>
      <c r="L28" s="527"/>
      <c r="M28" s="188"/>
      <c r="N28" s="514"/>
      <c r="O28" s="514"/>
      <c r="P28" s="190"/>
      <c r="Q28" s="190"/>
      <c r="R28" s="187"/>
      <c r="S28" s="184"/>
      <c r="T28" s="526"/>
      <c r="U28" s="190"/>
      <c r="V28" s="190"/>
      <c r="W28" s="187"/>
      <c r="X28" s="184"/>
      <c r="Y28" s="526"/>
      <c r="Z28" s="190"/>
      <c r="AA28" s="190"/>
      <c r="AB28" s="187"/>
      <c r="AC28" s="184"/>
      <c r="AD28" s="526"/>
      <c r="AE28" s="190"/>
      <c r="AF28" s="190"/>
      <c r="AG28" s="187"/>
      <c r="AH28" s="184"/>
      <c r="AI28" s="526"/>
      <c r="AJ28" s="190"/>
      <c r="AK28" s="190"/>
      <c r="AL28" s="187"/>
      <c r="AM28" s="184"/>
      <c r="AN28" s="526"/>
      <c r="AO28" s="190"/>
      <c r="AP28" s="190"/>
      <c r="AQ28" s="187"/>
      <c r="AR28" s="184"/>
      <c r="AS28" s="526"/>
      <c r="AT28" s="190"/>
      <c r="AU28" s="190"/>
      <c r="AV28" s="187"/>
      <c r="AW28" s="184"/>
      <c r="AX28" s="526"/>
    </row>
    <row r="29" spans="2:50" ht="14.25" customHeight="1">
      <c r="B29" s="514"/>
      <c r="C29" s="182">
        <v>3</v>
      </c>
      <c r="D29" s="185"/>
      <c r="E29" s="182"/>
      <c r="F29" s="182"/>
      <c r="G29" s="187"/>
      <c r="H29" s="526"/>
      <c r="I29" s="188"/>
      <c r="J29" s="188"/>
      <c r="K29" s="189"/>
      <c r="L29" s="527"/>
      <c r="M29" s="188"/>
      <c r="N29" s="514"/>
      <c r="O29" s="514"/>
      <c r="P29" s="190"/>
      <c r="Q29" s="190"/>
      <c r="R29" s="187"/>
      <c r="S29" s="184"/>
      <c r="T29" s="526"/>
      <c r="U29" s="190"/>
      <c r="V29" s="190"/>
      <c r="W29" s="187"/>
      <c r="X29" s="184"/>
      <c r="Y29" s="526"/>
      <c r="Z29" s="190"/>
      <c r="AA29" s="190"/>
      <c r="AB29" s="187"/>
      <c r="AC29" s="184"/>
      <c r="AD29" s="526"/>
      <c r="AE29" s="190"/>
      <c r="AF29" s="190"/>
      <c r="AG29" s="187"/>
      <c r="AH29" s="184"/>
      <c r="AI29" s="526"/>
      <c r="AJ29" s="190"/>
      <c r="AK29" s="190"/>
      <c r="AL29" s="187"/>
      <c r="AM29" s="184"/>
      <c r="AN29" s="526"/>
      <c r="AO29" s="190"/>
      <c r="AP29" s="190"/>
      <c r="AQ29" s="187"/>
      <c r="AR29" s="184"/>
      <c r="AS29" s="526"/>
      <c r="AT29" s="190"/>
      <c r="AU29" s="190"/>
      <c r="AV29" s="187"/>
      <c r="AW29" s="184"/>
      <c r="AX29" s="526"/>
    </row>
    <row r="30" spans="2:50" ht="14.25" customHeight="1">
      <c r="B30" s="514"/>
      <c r="C30" s="182">
        <v>4</v>
      </c>
      <c r="D30" s="185"/>
      <c r="E30" s="182"/>
      <c r="F30" s="182"/>
      <c r="G30" s="187"/>
      <c r="H30" s="526"/>
      <c r="I30" s="188"/>
      <c r="J30" s="188"/>
      <c r="K30" s="189"/>
      <c r="L30" s="527"/>
      <c r="M30" s="188"/>
      <c r="N30" s="514"/>
      <c r="O30" s="514"/>
      <c r="P30" s="190"/>
      <c r="Q30" s="190"/>
      <c r="R30" s="187"/>
      <c r="S30" s="184"/>
      <c r="T30" s="526"/>
      <c r="U30" s="190"/>
      <c r="V30" s="190"/>
      <c r="W30" s="187"/>
      <c r="X30" s="184"/>
      <c r="Y30" s="526"/>
      <c r="Z30" s="190"/>
      <c r="AA30" s="190"/>
      <c r="AB30" s="187"/>
      <c r="AC30" s="184"/>
      <c r="AD30" s="526"/>
      <c r="AE30" s="190"/>
      <c r="AF30" s="190"/>
      <c r="AG30" s="187"/>
      <c r="AH30" s="184"/>
      <c r="AI30" s="526"/>
      <c r="AJ30" s="190"/>
      <c r="AK30" s="190"/>
      <c r="AL30" s="187"/>
      <c r="AM30" s="184"/>
      <c r="AN30" s="526"/>
      <c r="AO30" s="190"/>
      <c r="AP30" s="190"/>
      <c r="AQ30" s="187"/>
      <c r="AR30" s="184"/>
      <c r="AS30" s="526"/>
      <c r="AT30" s="190"/>
      <c r="AU30" s="190"/>
      <c r="AV30" s="187"/>
      <c r="AW30" s="184"/>
      <c r="AX30" s="526"/>
    </row>
    <row r="31" spans="2:50" ht="14.25" customHeight="1">
      <c r="B31" s="514"/>
      <c r="C31" s="182">
        <v>5</v>
      </c>
      <c r="D31" s="185"/>
      <c r="E31" s="182"/>
      <c r="F31" s="182"/>
      <c r="G31" s="187"/>
      <c r="H31" s="526"/>
      <c r="I31" s="188"/>
      <c r="J31" s="188"/>
      <c r="K31" s="189"/>
      <c r="L31" s="527"/>
      <c r="M31" s="188"/>
      <c r="N31" s="514"/>
      <c r="O31" s="514"/>
      <c r="P31" s="190"/>
      <c r="Q31" s="190"/>
      <c r="R31" s="187"/>
      <c r="S31" s="184"/>
      <c r="T31" s="526"/>
      <c r="U31" s="190"/>
      <c r="V31" s="190"/>
      <c r="W31" s="187"/>
      <c r="X31" s="184"/>
      <c r="Y31" s="526"/>
      <c r="Z31" s="190"/>
      <c r="AA31" s="190"/>
      <c r="AB31" s="187"/>
      <c r="AC31" s="184"/>
      <c r="AD31" s="526"/>
      <c r="AE31" s="190"/>
      <c r="AF31" s="190"/>
      <c r="AG31" s="187"/>
      <c r="AH31" s="184"/>
      <c r="AI31" s="526"/>
      <c r="AJ31" s="190"/>
      <c r="AK31" s="190"/>
      <c r="AL31" s="187"/>
      <c r="AM31" s="184"/>
      <c r="AN31" s="526"/>
      <c r="AO31" s="190"/>
      <c r="AP31" s="190"/>
      <c r="AQ31" s="187"/>
      <c r="AR31" s="184"/>
      <c r="AS31" s="526"/>
      <c r="AT31" s="190"/>
      <c r="AU31" s="190"/>
      <c r="AV31" s="187"/>
      <c r="AW31" s="184"/>
      <c r="AX31" s="526"/>
    </row>
    <row r="32" spans="2:50" ht="14.25" customHeight="1">
      <c r="B32" s="514"/>
      <c r="C32" s="182">
        <v>6</v>
      </c>
      <c r="D32" s="185"/>
      <c r="E32" s="182"/>
      <c r="F32" s="182"/>
      <c r="G32" s="187"/>
      <c r="H32" s="526"/>
      <c r="I32" s="188"/>
      <c r="J32" s="188"/>
      <c r="K32" s="189"/>
      <c r="L32" s="527"/>
      <c r="M32" s="188"/>
      <c r="N32" s="514"/>
      <c r="O32" s="514"/>
      <c r="P32" s="190"/>
      <c r="Q32" s="190"/>
      <c r="R32" s="187"/>
      <c r="S32" s="184"/>
      <c r="T32" s="526"/>
      <c r="U32" s="190"/>
      <c r="V32" s="190"/>
      <c r="W32" s="187"/>
      <c r="X32" s="184"/>
      <c r="Y32" s="526"/>
      <c r="Z32" s="190"/>
      <c r="AA32" s="190"/>
      <c r="AB32" s="187"/>
      <c r="AC32" s="184"/>
      <c r="AD32" s="526"/>
      <c r="AE32" s="190"/>
      <c r="AF32" s="190"/>
      <c r="AG32" s="187"/>
      <c r="AH32" s="184"/>
      <c r="AI32" s="526"/>
      <c r="AJ32" s="190"/>
      <c r="AK32" s="190"/>
      <c r="AL32" s="187"/>
      <c r="AM32" s="184"/>
      <c r="AN32" s="526"/>
      <c r="AO32" s="190"/>
      <c r="AP32" s="190"/>
      <c r="AQ32" s="187"/>
      <c r="AR32" s="184"/>
      <c r="AS32" s="526"/>
      <c r="AT32" s="190"/>
      <c r="AU32" s="190"/>
      <c r="AV32" s="187"/>
      <c r="AW32" s="184"/>
      <c r="AX32" s="526"/>
    </row>
    <row r="33" spans="2:50" ht="14.25" customHeight="1">
      <c r="B33" s="514"/>
      <c r="C33" s="182">
        <v>7</v>
      </c>
      <c r="D33" s="185"/>
      <c r="E33" s="182"/>
      <c r="F33" s="182"/>
      <c r="G33" s="187"/>
      <c r="H33" s="526"/>
      <c r="I33" s="188"/>
      <c r="J33" s="188"/>
      <c r="K33" s="189"/>
      <c r="L33" s="527"/>
      <c r="M33" s="188"/>
      <c r="N33" s="514"/>
      <c r="O33" s="514"/>
      <c r="P33" s="190"/>
      <c r="Q33" s="190"/>
      <c r="R33" s="187"/>
      <c r="S33" s="184"/>
      <c r="T33" s="526"/>
      <c r="U33" s="190"/>
      <c r="V33" s="190"/>
      <c r="W33" s="187"/>
      <c r="X33" s="184"/>
      <c r="Y33" s="526"/>
      <c r="Z33" s="190"/>
      <c r="AA33" s="190"/>
      <c r="AB33" s="187"/>
      <c r="AC33" s="184"/>
      <c r="AD33" s="526"/>
      <c r="AE33" s="190"/>
      <c r="AF33" s="190"/>
      <c r="AG33" s="187"/>
      <c r="AH33" s="184"/>
      <c r="AI33" s="526"/>
      <c r="AJ33" s="190"/>
      <c r="AK33" s="190"/>
      <c r="AL33" s="187"/>
      <c r="AM33" s="184"/>
      <c r="AN33" s="526"/>
      <c r="AO33" s="190"/>
      <c r="AP33" s="190"/>
      <c r="AQ33" s="187"/>
      <c r="AR33" s="184"/>
      <c r="AS33" s="526"/>
      <c r="AT33" s="190"/>
      <c r="AU33" s="190"/>
      <c r="AV33" s="187"/>
      <c r="AW33" s="184"/>
      <c r="AX33" s="526"/>
    </row>
    <row r="34" spans="2:50" ht="14.25" customHeight="1">
      <c r="B34" s="514"/>
      <c r="C34" s="182">
        <v>8</v>
      </c>
      <c r="D34" s="185"/>
      <c r="E34" s="182"/>
      <c r="F34" s="182"/>
      <c r="G34" s="187"/>
      <c r="H34" s="526"/>
      <c r="I34" s="188"/>
      <c r="J34" s="188"/>
      <c r="K34" s="189"/>
      <c r="L34" s="527"/>
      <c r="M34" s="188"/>
      <c r="N34" s="514"/>
      <c r="O34" s="514"/>
      <c r="P34" s="190"/>
      <c r="Q34" s="190"/>
      <c r="R34" s="187"/>
      <c r="S34" s="184"/>
      <c r="T34" s="526"/>
      <c r="U34" s="190"/>
      <c r="V34" s="190"/>
      <c r="W34" s="187"/>
      <c r="X34" s="184"/>
      <c r="Y34" s="526"/>
      <c r="Z34" s="190"/>
      <c r="AA34" s="190"/>
      <c r="AB34" s="187"/>
      <c r="AC34" s="184"/>
      <c r="AD34" s="526"/>
      <c r="AE34" s="190"/>
      <c r="AF34" s="190"/>
      <c r="AG34" s="187"/>
      <c r="AH34" s="184"/>
      <c r="AI34" s="526"/>
      <c r="AJ34" s="190"/>
      <c r="AK34" s="190"/>
      <c r="AL34" s="187"/>
      <c r="AM34" s="184"/>
      <c r="AN34" s="526"/>
      <c r="AO34" s="190"/>
      <c r="AP34" s="190"/>
      <c r="AQ34" s="187"/>
      <c r="AR34" s="184"/>
      <c r="AS34" s="526"/>
      <c r="AT34" s="190"/>
      <c r="AU34" s="190"/>
      <c r="AV34" s="187"/>
      <c r="AW34" s="184"/>
      <c r="AX34" s="526"/>
    </row>
    <row r="35" spans="2:50" ht="14.25" customHeight="1">
      <c r="B35" s="514"/>
      <c r="C35" s="182">
        <v>9</v>
      </c>
      <c r="D35" s="185"/>
      <c r="E35" s="182"/>
      <c r="F35" s="182"/>
      <c r="G35" s="187"/>
      <c r="H35" s="526"/>
      <c r="I35" s="188"/>
      <c r="J35" s="188"/>
      <c r="K35" s="189"/>
      <c r="L35" s="527"/>
      <c r="M35" s="188"/>
      <c r="N35" s="514"/>
      <c r="O35" s="514"/>
      <c r="P35" s="190"/>
      <c r="Q35" s="190"/>
      <c r="R35" s="187"/>
      <c r="S35" s="184"/>
      <c r="T35" s="526"/>
      <c r="U35" s="190"/>
      <c r="V35" s="190"/>
      <c r="W35" s="187"/>
      <c r="X35" s="184"/>
      <c r="Y35" s="526"/>
      <c r="Z35" s="190"/>
      <c r="AA35" s="190"/>
      <c r="AB35" s="187"/>
      <c r="AC35" s="184"/>
      <c r="AD35" s="526"/>
      <c r="AE35" s="190"/>
      <c r="AF35" s="190"/>
      <c r="AG35" s="187"/>
      <c r="AH35" s="184"/>
      <c r="AI35" s="526"/>
      <c r="AJ35" s="190"/>
      <c r="AK35" s="190"/>
      <c r="AL35" s="187"/>
      <c r="AM35" s="184"/>
      <c r="AN35" s="526"/>
      <c r="AO35" s="190"/>
      <c r="AP35" s="190"/>
      <c r="AQ35" s="187"/>
      <c r="AR35" s="184"/>
      <c r="AS35" s="526"/>
      <c r="AT35" s="190"/>
      <c r="AU35" s="190"/>
      <c r="AV35" s="187"/>
      <c r="AW35" s="184"/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31">U42+1</f>
        <v>46065</v>
      </c>
      <c r="AA42" s="583"/>
      <c r="AB42" s="583"/>
      <c r="AC42" s="583"/>
      <c r="AD42" s="583"/>
      <c r="AE42" s="584">
        <f t="shared" ref="AE42" si="32">Z42+1</f>
        <v>46066</v>
      </c>
      <c r="AF42" s="585"/>
      <c r="AG42" s="585"/>
      <c r="AH42" s="585"/>
      <c r="AI42" s="585"/>
      <c r="AJ42" s="586">
        <f t="shared" ref="AJ42" si="33">AE42+1</f>
        <v>46067</v>
      </c>
      <c r="AK42" s="587"/>
      <c r="AL42" s="587"/>
      <c r="AM42" s="587"/>
      <c r="AN42" s="588"/>
      <c r="AO42" s="584">
        <f t="shared" ref="AO42" si="34">AJ42+1</f>
        <v>46068</v>
      </c>
      <c r="AP42" s="585"/>
      <c r="AQ42" s="585"/>
      <c r="AR42" s="585"/>
      <c r="AS42" s="585"/>
      <c r="AT42" s="586">
        <f t="shared" ref="AT42" si="35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36">Z42</f>
        <v>46065</v>
      </c>
      <c r="AA43" s="589"/>
      <c r="AB43" s="589"/>
      <c r="AC43" s="589"/>
      <c r="AD43" s="589"/>
      <c r="AE43" s="590">
        <f t="shared" ref="AE43" si="37">AE42</f>
        <v>46066</v>
      </c>
      <c r="AF43" s="590"/>
      <c r="AG43" s="590"/>
      <c r="AH43" s="590"/>
      <c r="AI43" s="590"/>
      <c r="AJ43" s="591">
        <f t="shared" ref="AJ43" si="38">AJ42</f>
        <v>46067</v>
      </c>
      <c r="AK43" s="592"/>
      <c r="AL43" s="592"/>
      <c r="AM43" s="592"/>
      <c r="AN43" s="593"/>
      <c r="AO43" s="590">
        <f t="shared" ref="AO43" si="39">AO42</f>
        <v>46068</v>
      </c>
      <c r="AP43" s="590"/>
      <c r="AQ43" s="590"/>
      <c r="AR43" s="590"/>
      <c r="AS43" s="590"/>
      <c r="AT43" s="591">
        <f t="shared" ref="AT43" si="40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14" t="s">
        <v>463</v>
      </c>
      <c r="C47" s="182">
        <v>1</v>
      </c>
      <c r="D47" s="185"/>
      <c r="E47" s="182"/>
      <c r="F47" s="182"/>
      <c r="G47" s="187" t="e">
        <f t="shared" ref="G47:G56" si="41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42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43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41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44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45">IFERROR(AF48/AE48,"")</f>
        <v>183.41069933795009</v>
      </c>
      <c r="AH48" s="184" t="e">
        <f t="shared" ref="AH48:AH56" si="46">RANK(AG48, AG$27:AG$41)</f>
        <v>#N/A</v>
      </c>
      <c r="AI48" s="526"/>
      <c r="AJ48" s="190"/>
      <c r="AK48" s="190"/>
      <c r="AL48" s="187"/>
      <c r="AM48" s="184" t="e">
        <f t="shared" ref="AM48:AM56" si="47">RANK(AL48, AL$27:AL$41)</f>
        <v>#N/A</v>
      </c>
      <c r="AN48" s="526"/>
      <c r="AO48" s="190"/>
      <c r="AP48" s="190"/>
      <c r="AQ48" s="187" t="str">
        <f t="shared" si="42"/>
        <v/>
      </c>
      <c r="AR48" s="184" t="e">
        <f t="shared" ref="AR48:AR56" si="48">RANK(AQ48, AQ$27:AQ$41)</f>
        <v>#VALUE!</v>
      </c>
      <c r="AS48" s="526"/>
      <c r="AT48" s="190"/>
      <c r="AU48" s="190"/>
      <c r="AV48" s="187"/>
      <c r="AW48" s="184" t="e">
        <f t="shared" ref="AW48:AW56" si="49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41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44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45"/>
        <v>286.56852329640265</v>
      </c>
      <c r="AH49" s="184" t="e">
        <f t="shared" si="46"/>
        <v>#N/A</v>
      </c>
      <c r="AI49" s="526"/>
      <c r="AJ49" s="190"/>
      <c r="AK49" s="190"/>
      <c r="AL49" s="187"/>
      <c r="AM49" s="184" t="e">
        <f t="shared" si="47"/>
        <v>#N/A</v>
      </c>
      <c r="AN49" s="526"/>
      <c r="AO49" s="190"/>
      <c r="AP49" s="190"/>
      <c r="AQ49" s="187" t="str">
        <f t="shared" si="42"/>
        <v/>
      </c>
      <c r="AR49" s="184" t="e">
        <f t="shared" si="48"/>
        <v>#VALUE!</v>
      </c>
      <c r="AS49" s="526"/>
      <c r="AT49" s="190"/>
      <c r="AU49" s="190"/>
      <c r="AV49" s="187"/>
      <c r="AW49" s="184" t="e">
        <f t="shared" si="49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41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45"/>
        <v>386.3900414937761</v>
      </c>
      <c r="AH50" s="184" t="e">
        <f t="shared" si="46"/>
        <v>#N/A</v>
      </c>
      <c r="AI50" s="526"/>
      <c r="AJ50" s="190"/>
      <c r="AK50" s="190"/>
      <c r="AL50" s="187"/>
      <c r="AM50" s="184" t="e">
        <f t="shared" si="47"/>
        <v>#N/A</v>
      </c>
      <c r="AN50" s="526"/>
      <c r="AO50" s="190"/>
      <c r="AP50" s="190"/>
      <c r="AQ50" s="187" t="str">
        <f t="shared" si="42"/>
        <v/>
      </c>
      <c r="AR50" s="184" t="e">
        <f t="shared" si="48"/>
        <v>#VALUE!</v>
      </c>
      <c r="AS50" s="526"/>
      <c r="AT50" s="190"/>
      <c r="AU50" s="190"/>
      <c r="AV50" s="187"/>
      <c r="AW50" s="184" t="e">
        <f t="shared" si="49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41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45"/>
        <v>375.74552683896599</v>
      </c>
      <c r="AH51" s="184" t="e">
        <f t="shared" si="46"/>
        <v>#N/A</v>
      </c>
      <c r="AI51" s="526"/>
      <c r="AJ51" s="190"/>
      <c r="AK51" s="190"/>
      <c r="AL51" s="187"/>
      <c r="AM51" s="184" t="e">
        <f t="shared" si="47"/>
        <v>#N/A</v>
      </c>
      <c r="AN51" s="526"/>
      <c r="AO51" s="190"/>
      <c r="AP51" s="190"/>
      <c r="AQ51" s="187" t="str">
        <f t="shared" si="42"/>
        <v/>
      </c>
      <c r="AR51" s="184" t="e">
        <f t="shared" si="48"/>
        <v>#VALUE!</v>
      </c>
      <c r="AS51" s="526"/>
      <c r="AT51" s="190"/>
      <c r="AU51" s="190"/>
      <c r="AV51" s="187"/>
      <c r="AW51" s="184" t="e">
        <f t="shared" si="49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41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45"/>
        <v>386.4406779661013</v>
      </c>
      <c r="AH52" s="184" t="e">
        <f t="shared" si="46"/>
        <v>#N/A</v>
      </c>
      <c r="AI52" s="526"/>
      <c r="AJ52" s="190"/>
      <c r="AK52" s="190"/>
      <c r="AL52" s="187"/>
      <c r="AM52" s="184" t="e">
        <f t="shared" si="47"/>
        <v>#N/A</v>
      </c>
      <c r="AN52" s="526"/>
      <c r="AO52" s="190"/>
      <c r="AP52" s="190"/>
      <c r="AQ52" s="187" t="str">
        <f t="shared" si="42"/>
        <v/>
      </c>
      <c r="AR52" s="184" t="e">
        <f t="shared" si="48"/>
        <v>#VALUE!</v>
      </c>
      <c r="AS52" s="526"/>
      <c r="AT52" s="190"/>
      <c r="AU52" s="190"/>
      <c r="AV52" s="187"/>
      <c r="AW52" s="184" t="e">
        <f t="shared" si="49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41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45"/>
        <v>127.79864763335836</v>
      </c>
      <c r="AH53" s="184" t="e">
        <f t="shared" si="46"/>
        <v>#N/A</v>
      </c>
      <c r="AI53" s="526"/>
      <c r="AJ53" s="190"/>
      <c r="AK53" s="190"/>
      <c r="AL53" s="187"/>
      <c r="AM53" s="184" t="e">
        <f t="shared" si="47"/>
        <v>#N/A</v>
      </c>
      <c r="AN53" s="526"/>
      <c r="AO53" s="190"/>
      <c r="AP53" s="190"/>
      <c r="AQ53" s="187" t="str">
        <f t="shared" si="42"/>
        <v/>
      </c>
      <c r="AR53" s="184" t="e">
        <f t="shared" si="48"/>
        <v>#VALUE!</v>
      </c>
      <c r="AS53" s="526"/>
      <c r="AT53" s="190"/>
      <c r="AU53" s="190"/>
      <c r="AV53" s="187"/>
      <c r="AW53" s="184" t="e">
        <f t="shared" si="49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41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45"/>
        <v>183.34709515473759</v>
      </c>
      <c r="AH54" s="184" t="e">
        <f t="shared" si="46"/>
        <v>#N/A</v>
      </c>
      <c r="AI54" s="526"/>
      <c r="AJ54" s="190"/>
      <c r="AK54" s="190"/>
      <c r="AL54" s="187"/>
      <c r="AM54" s="184" t="e">
        <f t="shared" si="47"/>
        <v>#N/A</v>
      </c>
      <c r="AN54" s="526"/>
      <c r="AO54" s="190"/>
      <c r="AP54" s="190"/>
      <c r="AQ54" s="187" t="str">
        <f t="shared" si="42"/>
        <v/>
      </c>
      <c r="AR54" s="184" t="e">
        <f t="shared" si="48"/>
        <v>#VALUE!</v>
      </c>
      <c r="AS54" s="526"/>
      <c r="AT54" s="190"/>
      <c r="AU54" s="190"/>
      <c r="AV54" s="187"/>
      <c r="AW54" s="184" t="e">
        <f t="shared" si="49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41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45"/>
        <v>183.51228908786049</v>
      </c>
      <c r="AH55" s="184" t="e">
        <f t="shared" si="46"/>
        <v>#N/A</v>
      </c>
      <c r="AI55" s="526"/>
      <c r="AJ55" s="190"/>
      <c r="AK55" s="190"/>
      <c r="AL55" s="187"/>
      <c r="AM55" s="184" t="e">
        <f t="shared" si="47"/>
        <v>#N/A</v>
      </c>
      <c r="AN55" s="526"/>
      <c r="AO55" s="190"/>
      <c r="AP55" s="190"/>
      <c r="AQ55" s="187" t="str">
        <f t="shared" si="42"/>
        <v/>
      </c>
      <c r="AR55" s="184" t="e">
        <f t="shared" si="48"/>
        <v>#VALUE!</v>
      </c>
      <c r="AS55" s="526"/>
      <c r="AT55" s="190"/>
      <c r="AU55" s="190"/>
      <c r="AV55" s="187"/>
      <c r="AW55" s="184" t="e">
        <f t="shared" si="49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41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45"/>
        <v>286.63901543482666</v>
      </c>
      <c r="AH56" s="184" t="e">
        <f t="shared" si="46"/>
        <v>#N/A</v>
      </c>
      <c r="AI56" s="526"/>
      <c r="AJ56" s="190"/>
      <c r="AK56" s="190"/>
      <c r="AL56" s="187"/>
      <c r="AM56" s="184" t="e">
        <f t="shared" si="47"/>
        <v>#N/A</v>
      </c>
      <c r="AN56" s="526"/>
      <c r="AO56" s="190"/>
      <c r="AP56" s="190"/>
      <c r="AQ56" s="187" t="str">
        <f t="shared" si="42"/>
        <v/>
      </c>
      <c r="AR56" s="184" t="e">
        <f t="shared" si="48"/>
        <v>#VALUE!</v>
      </c>
      <c r="AS56" s="526"/>
      <c r="AT56" s="190"/>
      <c r="AU56" s="190"/>
      <c r="AV56" s="187"/>
      <c r="AW56" s="184" t="e">
        <f t="shared" si="49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50">U62+1</f>
        <v>46072</v>
      </c>
      <c r="AA62" s="583"/>
      <c r="AB62" s="583"/>
      <c r="AC62" s="583"/>
      <c r="AD62" s="583"/>
      <c r="AE62" s="584">
        <f t="shared" ref="AE62" si="51">Z62+1</f>
        <v>46073</v>
      </c>
      <c r="AF62" s="585"/>
      <c r="AG62" s="585"/>
      <c r="AH62" s="585"/>
      <c r="AI62" s="585"/>
      <c r="AJ62" s="586">
        <f t="shared" ref="AJ62" si="52">AE62+1</f>
        <v>46074</v>
      </c>
      <c r="AK62" s="587"/>
      <c r="AL62" s="587"/>
      <c r="AM62" s="587"/>
      <c r="AN62" s="588"/>
      <c r="AO62" s="584">
        <f t="shared" ref="AO62" si="53">AJ62+1</f>
        <v>46075</v>
      </c>
      <c r="AP62" s="585"/>
      <c r="AQ62" s="585"/>
      <c r="AR62" s="585"/>
      <c r="AS62" s="585"/>
      <c r="AT62" s="586">
        <f t="shared" ref="AT62" si="54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55">Z62</f>
        <v>46072</v>
      </c>
      <c r="AA63" s="589"/>
      <c r="AB63" s="589"/>
      <c r="AC63" s="589"/>
      <c r="AD63" s="589"/>
      <c r="AE63" s="590">
        <f t="shared" ref="AE63" si="56">AE62</f>
        <v>46073</v>
      </c>
      <c r="AF63" s="590"/>
      <c r="AG63" s="590"/>
      <c r="AH63" s="590"/>
      <c r="AI63" s="590"/>
      <c r="AJ63" s="591">
        <f t="shared" ref="AJ63" si="57">AJ62</f>
        <v>46074</v>
      </c>
      <c r="AK63" s="592"/>
      <c r="AL63" s="592"/>
      <c r="AM63" s="592"/>
      <c r="AN63" s="593"/>
      <c r="AO63" s="590">
        <f t="shared" ref="AO63" si="58">AO62</f>
        <v>46075</v>
      </c>
      <c r="AP63" s="590"/>
      <c r="AQ63" s="590"/>
      <c r="AR63" s="590"/>
      <c r="AS63" s="590"/>
      <c r="AT63" s="591">
        <f t="shared" ref="AT63" si="59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14" t="s">
        <v>463</v>
      </c>
      <c r="C67" s="182">
        <v>1</v>
      </c>
      <c r="D67" s="185"/>
      <c r="E67" s="182"/>
      <c r="F67" s="182"/>
      <c r="G67" s="187" t="e">
        <f t="shared" ref="G67:G76" si="60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61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62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60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63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64">IFERROR(AF68/AE68,"")</f>
        <v>183.41069933795009</v>
      </c>
      <c r="AH68" s="184" t="e">
        <f t="shared" ref="AH68:AH76" si="65">RANK(AG68, AG$27:AG$41)</f>
        <v>#N/A</v>
      </c>
      <c r="AI68" s="526"/>
      <c r="AJ68" s="190"/>
      <c r="AK68" s="190"/>
      <c r="AL68" s="187"/>
      <c r="AM68" s="184" t="e">
        <f t="shared" ref="AM68:AM76" si="66">RANK(AL68, AL$27:AL$41)</f>
        <v>#N/A</v>
      </c>
      <c r="AN68" s="526"/>
      <c r="AO68" s="190"/>
      <c r="AP68" s="190"/>
      <c r="AQ68" s="187" t="str">
        <f t="shared" si="61"/>
        <v/>
      </c>
      <c r="AR68" s="184" t="e">
        <f t="shared" ref="AR68:AR76" si="67">RANK(AQ68, AQ$27:AQ$41)</f>
        <v>#VALUE!</v>
      </c>
      <c r="AS68" s="526"/>
      <c r="AT68" s="190"/>
      <c r="AU68" s="190"/>
      <c r="AV68" s="187"/>
      <c r="AW68" s="184" t="e">
        <f t="shared" ref="AW68:AW76" si="68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60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63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64"/>
        <v>286.56852329640265</v>
      </c>
      <c r="AH69" s="184" t="e">
        <f t="shared" si="65"/>
        <v>#N/A</v>
      </c>
      <c r="AI69" s="526"/>
      <c r="AJ69" s="190"/>
      <c r="AK69" s="190"/>
      <c r="AL69" s="187"/>
      <c r="AM69" s="184" t="e">
        <f t="shared" si="66"/>
        <v>#N/A</v>
      </c>
      <c r="AN69" s="526"/>
      <c r="AO69" s="190"/>
      <c r="AP69" s="190"/>
      <c r="AQ69" s="187" t="str">
        <f t="shared" si="61"/>
        <v/>
      </c>
      <c r="AR69" s="184" t="e">
        <f t="shared" si="67"/>
        <v>#VALUE!</v>
      </c>
      <c r="AS69" s="526"/>
      <c r="AT69" s="190"/>
      <c r="AU69" s="190"/>
      <c r="AV69" s="187"/>
      <c r="AW69" s="184" t="e">
        <f t="shared" si="68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60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64"/>
        <v>386.3900414937761</v>
      </c>
      <c r="AH70" s="184" t="e">
        <f t="shared" si="65"/>
        <v>#N/A</v>
      </c>
      <c r="AI70" s="526"/>
      <c r="AJ70" s="190"/>
      <c r="AK70" s="190"/>
      <c r="AL70" s="187"/>
      <c r="AM70" s="184" t="e">
        <f t="shared" si="66"/>
        <v>#N/A</v>
      </c>
      <c r="AN70" s="526"/>
      <c r="AO70" s="190"/>
      <c r="AP70" s="190"/>
      <c r="AQ70" s="187" t="str">
        <f t="shared" si="61"/>
        <v/>
      </c>
      <c r="AR70" s="184" t="e">
        <f t="shared" si="67"/>
        <v>#VALUE!</v>
      </c>
      <c r="AS70" s="526"/>
      <c r="AT70" s="190"/>
      <c r="AU70" s="190"/>
      <c r="AV70" s="187"/>
      <c r="AW70" s="184" t="e">
        <f t="shared" si="68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60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64"/>
        <v>375.74552683896599</v>
      </c>
      <c r="AH71" s="184" t="e">
        <f t="shared" si="65"/>
        <v>#N/A</v>
      </c>
      <c r="AI71" s="526"/>
      <c r="AJ71" s="190"/>
      <c r="AK71" s="190"/>
      <c r="AL71" s="187"/>
      <c r="AM71" s="184" t="e">
        <f t="shared" si="66"/>
        <v>#N/A</v>
      </c>
      <c r="AN71" s="526"/>
      <c r="AO71" s="190"/>
      <c r="AP71" s="190"/>
      <c r="AQ71" s="187" t="str">
        <f t="shared" si="61"/>
        <v/>
      </c>
      <c r="AR71" s="184" t="e">
        <f t="shared" si="67"/>
        <v>#VALUE!</v>
      </c>
      <c r="AS71" s="526"/>
      <c r="AT71" s="190"/>
      <c r="AU71" s="190"/>
      <c r="AV71" s="187"/>
      <c r="AW71" s="184" t="e">
        <f t="shared" si="68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60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64"/>
        <v>386.4406779661013</v>
      </c>
      <c r="AH72" s="184" t="e">
        <f t="shared" si="65"/>
        <v>#N/A</v>
      </c>
      <c r="AI72" s="526"/>
      <c r="AJ72" s="190"/>
      <c r="AK72" s="190"/>
      <c r="AL72" s="187"/>
      <c r="AM72" s="184" t="e">
        <f t="shared" si="66"/>
        <v>#N/A</v>
      </c>
      <c r="AN72" s="526"/>
      <c r="AO72" s="190"/>
      <c r="AP72" s="190"/>
      <c r="AQ72" s="187" t="str">
        <f t="shared" si="61"/>
        <v/>
      </c>
      <c r="AR72" s="184" t="e">
        <f t="shared" si="67"/>
        <v>#VALUE!</v>
      </c>
      <c r="AS72" s="526"/>
      <c r="AT72" s="190"/>
      <c r="AU72" s="190"/>
      <c r="AV72" s="187"/>
      <c r="AW72" s="184" t="e">
        <f t="shared" si="68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60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64"/>
        <v>127.79864763335836</v>
      </c>
      <c r="AH73" s="184" t="e">
        <f t="shared" si="65"/>
        <v>#N/A</v>
      </c>
      <c r="AI73" s="526"/>
      <c r="AJ73" s="190"/>
      <c r="AK73" s="190"/>
      <c r="AL73" s="187"/>
      <c r="AM73" s="184" t="e">
        <f t="shared" si="66"/>
        <v>#N/A</v>
      </c>
      <c r="AN73" s="526"/>
      <c r="AO73" s="190"/>
      <c r="AP73" s="190"/>
      <c r="AQ73" s="187" t="str">
        <f t="shared" si="61"/>
        <v/>
      </c>
      <c r="AR73" s="184" t="e">
        <f t="shared" si="67"/>
        <v>#VALUE!</v>
      </c>
      <c r="AS73" s="526"/>
      <c r="AT73" s="190"/>
      <c r="AU73" s="190"/>
      <c r="AV73" s="187"/>
      <c r="AW73" s="184" t="e">
        <f t="shared" si="68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60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64"/>
        <v>183.34709515473759</v>
      </c>
      <c r="AH74" s="184" t="e">
        <f t="shared" si="65"/>
        <v>#N/A</v>
      </c>
      <c r="AI74" s="526"/>
      <c r="AJ74" s="190"/>
      <c r="AK74" s="190"/>
      <c r="AL74" s="187"/>
      <c r="AM74" s="184" t="e">
        <f t="shared" si="66"/>
        <v>#N/A</v>
      </c>
      <c r="AN74" s="526"/>
      <c r="AO74" s="190"/>
      <c r="AP74" s="190"/>
      <c r="AQ74" s="187" t="str">
        <f t="shared" si="61"/>
        <v/>
      </c>
      <c r="AR74" s="184" t="e">
        <f t="shared" si="67"/>
        <v>#VALUE!</v>
      </c>
      <c r="AS74" s="526"/>
      <c r="AT74" s="190"/>
      <c r="AU74" s="190"/>
      <c r="AV74" s="187"/>
      <c r="AW74" s="184" t="e">
        <f t="shared" si="68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60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64"/>
        <v>183.51228908786049</v>
      </c>
      <c r="AH75" s="184" t="e">
        <f t="shared" si="65"/>
        <v>#N/A</v>
      </c>
      <c r="AI75" s="526"/>
      <c r="AJ75" s="190"/>
      <c r="AK75" s="190"/>
      <c r="AL75" s="187"/>
      <c r="AM75" s="184" t="e">
        <f t="shared" si="66"/>
        <v>#N/A</v>
      </c>
      <c r="AN75" s="526"/>
      <c r="AO75" s="190"/>
      <c r="AP75" s="190"/>
      <c r="AQ75" s="187" t="str">
        <f t="shared" si="61"/>
        <v/>
      </c>
      <c r="AR75" s="184" t="e">
        <f t="shared" si="67"/>
        <v>#VALUE!</v>
      </c>
      <c r="AS75" s="526"/>
      <c r="AT75" s="190"/>
      <c r="AU75" s="190"/>
      <c r="AV75" s="187"/>
      <c r="AW75" s="184" t="e">
        <f t="shared" si="68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60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64"/>
        <v>286.63901543482666</v>
      </c>
      <c r="AH76" s="184" t="e">
        <f t="shared" si="65"/>
        <v>#N/A</v>
      </c>
      <c r="AI76" s="526"/>
      <c r="AJ76" s="190"/>
      <c r="AK76" s="190"/>
      <c r="AL76" s="187"/>
      <c r="AM76" s="184" t="e">
        <f t="shared" si="66"/>
        <v>#N/A</v>
      </c>
      <c r="AN76" s="526"/>
      <c r="AO76" s="190"/>
      <c r="AP76" s="190"/>
      <c r="AQ76" s="187" t="str">
        <f t="shared" si="61"/>
        <v/>
      </c>
      <c r="AR76" s="184" t="e">
        <f t="shared" si="67"/>
        <v>#VALUE!</v>
      </c>
      <c r="AS76" s="526"/>
      <c r="AT76" s="190"/>
      <c r="AU76" s="190"/>
      <c r="AV76" s="187"/>
      <c r="AW76" s="184" t="e">
        <f t="shared" si="68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69">U82+1</f>
        <v>46079</v>
      </c>
      <c r="AA82" s="583"/>
      <c r="AB82" s="583"/>
      <c r="AC82" s="583"/>
      <c r="AD82" s="583"/>
      <c r="AE82" s="584">
        <f t="shared" ref="AE82" si="70">Z82+1</f>
        <v>46080</v>
      </c>
      <c r="AF82" s="585"/>
      <c r="AG82" s="585"/>
      <c r="AH82" s="585"/>
      <c r="AI82" s="585"/>
      <c r="AJ82" s="586">
        <f t="shared" ref="AJ82" si="71">AE82+1</f>
        <v>46081</v>
      </c>
      <c r="AK82" s="587"/>
      <c r="AL82" s="587"/>
      <c r="AM82" s="587"/>
      <c r="AN82" s="588"/>
      <c r="AO82" s="584">
        <f t="shared" ref="AO82" si="72">AJ82+1</f>
        <v>46082</v>
      </c>
      <c r="AP82" s="585"/>
      <c r="AQ82" s="585"/>
      <c r="AR82" s="585"/>
      <c r="AS82" s="585"/>
      <c r="AT82" s="586">
        <f t="shared" ref="AT82" si="73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74">Z82</f>
        <v>46079</v>
      </c>
      <c r="AA83" s="589"/>
      <c r="AB83" s="589"/>
      <c r="AC83" s="589"/>
      <c r="AD83" s="589"/>
      <c r="AE83" s="590">
        <f t="shared" ref="AE83" si="75">AE82</f>
        <v>46080</v>
      </c>
      <c r="AF83" s="590"/>
      <c r="AG83" s="590"/>
      <c r="AH83" s="590"/>
      <c r="AI83" s="590"/>
      <c r="AJ83" s="591">
        <f t="shared" ref="AJ83" si="76">AJ82</f>
        <v>46081</v>
      </c>
      <c r="AK83" s="592"/>
      <c r="AL83" s="592"/>
      <c r="AM83" s="592"/>
      <c r="AN83" s="593"/>
      <c r="AO83" s="590">
        <f t="shared" ref="AO83" si="77">AO82</f>
        <v>46082</v>
      </c>
      <c r="AP83" s="590"/>
      <c r="AQ83" s="590"/>
      <c r="AR83" s="590"/>
      <c r="AS83" s="590"/>
      <c r="AT83" s="591">
        <f t="shared" ref="AT83" si="78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14" t="s">
        <v>463</v>
      </c>
      <c r="C87" s="182">
        <v>1</v>
      </c>
      <c r="D87" s="185"/>
      <c r="E87" s="182"/>
      <c r="F87" s="182"/>
      <c r="G87" s="187" t="e">
        <f t="shared" ref="G87:G96" si="79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80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81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79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82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83">IFERROR(AF88/AE88,"")</f>
        <v>183.41069933795009</v>
      </c>
      <c r="AH88" s="184" t="e">
        <f t="shared" ref="AH88:AH96" si="84">RANK(AG88, AG$27:AG$41)</f>
        <v>#N/A</v>
      </c>
      <c r="AI88" s="526"/>
      <c r="AJ88" s="190"/>
      <c r="AK88" s="190"/>
      <c r="AL88" s="187"/>
      <c r="AM88" s="184" t="e">
        <f t="shared" ref="AM88:AM96" si="85">RANK(AL88, AL$27:AL$41)</f>
        <v>#N/A</v>
      </c>
      <c r="AN88" s="526"/>
      <c r="AO88" s="190"/>
      <c r="AP88" s="190"/>
      <c r="AQ88" s="187" t="str">
        <f t="shared" si="80"/>
        <v/>
      </c>
      <c r="AR88" s="184" t="e">
        <f t="shared" ref="AR88:AR96" si="86">RANK(AQ88, AQ$27:AQ$41)</f>
        <v>#VALUE!</v>
      </c>
      <c r="AS88" s="526"/>
      <c r="AT88" s="190"/>
      <c r="AU88" s="190"/>
      <c r="AV88" s="187"/>
      <c r="AW88" s="184" t="e">
        <f t="shared" ref="AW88:AW96" si="87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79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82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83"/>
        <v>286.56852329640265</v>
      </c>
      <c r="AH89" s="184" t="e">
        <f t="shared" si="84"/>
        <v>#N/A</v>
      </c>
      <c r="AI89" s="526"/>
      <c r="AJ89" s="190"/>
      <c r="AK89" s="190"/>
      <c r="AL89" s="187"/>
      <c r="AM89" s="184" t="e">
        <f t="shared" si="85"/>
        <v>#N/A</v>
      </c>
      <c r="AN89" s="526"/>
      <c r="AO89" s="190"/>
      <c r="AP89" s="190"/>
      <c r="AQ89" s="187" t="str">
        <f t="shared" si="80"/>
        <v/>
      </c>
      <c r="AR89" s="184" t="e">
        <f t="shared" si="86"/>
        <v>#VALUE!</v>
      </c>
      <c r="AS89" s="526"/>
      <c r="AT89" s="190"/>
      <c r="AU89" s="190"/>
      <c r="AV89" s="187"/>
      <c r="AW89" s="184" t="e">
        <f t="shared" si="87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79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83"/>
        <v>386.3900414937761</v>
      </c>
      <c r="AH90" s="184" t="e">
        <f t="shared" si="84"/>
        <v>#N/A</v>
      </c>
      <c r="AI90" s="526"/>
      <c r="AJ90" s="190"/>
      <c r="AK90" s="190"/>
      <c r="AL90" s="187"/>
      <c r="AM90" s="184" t="e">
        <f t="shared" si="85"/>
        <v>#N/A</v>
      </c>
      <c r="AN90" s="526"/>
      <c r="AO90" s="190"/>
      <c r="AP90" s="190"/>
      <c r="AQ90" s="187" t="str">
        <f t="shared" si="80"/>
        <v/>
      </c>
      <c r="AR90" s="184" t="e">
        <f t="shared" si="86"/>
        <v>#VALUE!</v>
      </c>
      <c r="AS90" s="526"/>
      <c r="AT90" s="190"/>
      <c r="AU90" s="190"/>
      <c r="AV90" s="187"/>
      <c r="AW90" s="184" t="e">
        <f t="shared" si="87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79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83"/>
        <v>375.74552683896599</v>
      </c>
      <c r="AH91" s="184" t="e">
        <f t="shared" si="84"/>
        <v>#N/A</v>
      </c>
      <c r="AI91" s="526"/>
      <c r="AJ91" s="190"/>
      <c r="AK91" s="190"/>
      <c r="AL91" s="187"/>
      <c r="AM91" s="184" t="e">
        <f t="shared" si="85"/>
        <v>#N/A</v>
      </c>
      <c r="AN91" s="526"/>
      <c r="AO91" s="190"/>
      <c r="AP91" s="190"/>
      <c r="AQ91" s="187" t="str">
        <f t="shared" si="80"/>
        <v/>
      </c>
      <c r="AR91" s="184" t="e">
        <f t="shared" si="86"/>
        <v>#VALUE!</v>
      </c>
      <c r="AS91" s="526"/>
      <c r="AT91" s="190"/>
      <c r="AU91" s="190"/>
      <c r="AV91" s="187"/>
      <c r="AW91" s="184" t="e">
        <f t="shared" si="87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79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83"/>
        <v>386.4406779661013</v>
      </c>
      <c r="AH92" s="184" t="e">
        <f t="shared" si="84"/>
        <v>#N/A</v>
      </c>
      <c r="AI92" s="526"/>
      <c r="AJ92" s="190"/>
      <c r="AK92" s="190"/>
      <c r="AL92" s="187"/>
      <c r="AM92" s="184" t="e">
        <f t="shared" si="85"/>
        <v>#N/A</v>
      </c>
      <c r="AN92" s="526"/>
      <c r="AO92" s="190"/>
      <c r="AP92" s="190"/>
      <c r="AQ92" s="187" t="str">
        <f t="shared" si="80"/>
        <v/>
      </c>
      <c r="AR92" s="184" t="e">
        <f t="shared" si="86"/>
        <v>#VALUE!</v>
      </c>
      <c r="AS92" s="526"/>
      <c r="AT92" s="190"/>
      <c r="AU92" s="190"/>
      <c r="AV92" s="187"/>
      <c r="AW92" s="184" t="e">
        <f t="shared" si="87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79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83"/>
        <v>127.79864763335836</v>
      </c>
      <c r="AH93" s="184" t="e">
        <f t="shared" si="84"/>
        <v>#N/A</v>
      </c>
      <c r="AI93" s="526"/>
      <c r="AJ93" s="190"/>
      <c r="AK93" s="190"/>
      <c r="AL93" s="187"/>
      <c r="AM93" s="184" t="e">
        <f t="shared" si="85"/>
        <v>#N/A</v>
      </c>
      <c r="AN93" s="526"/>
      <c r="AO93" s="190"/>
      <c r="AP93" s="190"/>
      <c r="AQ93" s="187" t="str">
        <f t="shared" si="80"/>
        <v/>
      </c>
      <c r="AR93" s="184" t="e">
        <f t="shared" si="86"/>
        <v>#VALUE!</v>
      </c>
      <c r="AS93" s="526"/>
      <c r="AT93" s="190"/>
      <c r="AU93" s="190"/>
      <c r="AV93" s="187"/>
      <c r="AW93" s="184" t="e">
        <f t="shared" si="87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79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83"/>
        <v>183.34709515473759</v>
      </c>
      <c r="AH94" s="184" t="e">
        <f t="shared" si="84"/>
        <v>#N/A</v>
      </c>
      <c r="AI94" s="526"/>
      <c r="AJ94" s="190"/>
      <c r="AK94" s="190"/>
      <c r="AL94" s="187"/>
      <c r="AM94" s="184" t="e">
        <f t="shared" si="85"/>
        <v>#N/A</v>
      </c>
      <c r="AN94" s="526"/>
      <c r="AO94" s="190"/>
      <c r="AP94" s="190"/>
      <c r="AQ94" s="187" t="str">
        <f t="shared" si="80"/>
        <v/>
      </c>
      <c r="AR94" s="184" t="e">
        <f t="shared" si="86"/>
        <v>#VALUE!</v>
      </c>
      <c r="AS94" s="526"/>
      <c r="AT94" s="190"/>
      <c r="AU94" s="190"/>
      <c r="AV94" s="187"/>
      <c r="AW94" s="184" t="e">
        <f t="shared" si="87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79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83"/>
        <v>183.51228908786049</v>
      </c>
      <c r="AH95" s="184" t="e">
        <f t="shared" si="84"/>
        <v>#N/A</v>
      </c>
      <c r="AI95" s="526"/>
      <c r="AJ95" s="190"/>
      <c r="AK95" s="190"/>
      <c r="AL95" s="187"/>
      <c r="AM95" s="184" t="e">
        <f t="shared" si="85"/>
        <v>#N/A</v>
      </c>
      <c r="AN95" s="526"/>
      <c r="AO95" s="190"/>
      <c r="AP95" s="190"/>
      <c r="AQ95" s="187" t="str">
        <f t="shared" si="80"/>
        <v/>
      </c>
      <c r="AR95" s="184" t="e">
        <f t="shared" si="86"/>
        <v>#VALUE!</v>
      </c>
      <c r="AS95" s="526"/>
      <c r="AT95" s="190"/>
      <c r="AU95" s="190"/>
      <c r="AV95" s="187"/>
      <c r="AW95" s="184" t="e">
        <f t="shared" si="87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79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83"/>
        <v>286.63901543482666</v>
      </c>
      <c r="AH96" s="184" t="e">
        <f t="shared" si="84"/>
        <v>#N/A</v>
      </c>
      <c r="AI96" s="526"/>
      <c r="AJ96" s="190"/>
      <c r="AK96" s="190"/>
      <c r="AL96" s="187"/>
      <c r="AM96" s="184" t="e">
        <f t="shared" si="85"/>
        <v>#N/A</v>
      </c>
      <c r="AN96" s="526"/>
      <c r="AO96" s="190"/>
      <c r="AP96" s="190"/>
      <c r="AQ96" s="187" t="str">
        <f t="shared" si="80"/>
        <v/>
      </c>
      <c r="AR96" s="184" t="e">
        <f t="shared" si="86"/>
        <v>#VALUE!</v>
      </c>
      <c r="AS96" s="526"/>
      <c r="AT96" s="190"/>
      <c r="AU96" s="190"/>
      <c r="AV96" s="187"/>
      <c r="AW96" s="184" t="e">
        <f t="shared" si="87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14" activePane="bottomRight" state="frozen"/>
      <selection activeCell="L95" sqref="L95"/>
      <selection pane="topRight" activeCell="L95" sqref="L95"/>
      <selection pane="bottomLeft" activeCell="L95" sqref="L95"/>
      <selection pane="bottomRight" activeCell="B87" sqref="B87:B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701</v>
      </c>
      <c r="C1" s="177">
        <f>AVERAGE(L27,L47,L67,L87)</f>
        <v>106.79855426542795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f t="shared" ref="AJ2" si="2">AE2+1</f>
        <v>46053</v>
      </c>
      <c r="AK2" s="587"/>
      <c r="AL2" s="587"/>
      <c r="AM2" s="587"/>
      <c r="AN2" s="588"/>
      <c r="AO2" s="584">
        <f t="shared" ref="AO2" si="3">AJ2+1</f>
        <v>46054</v>
      </c>
      <c r="AP2" s="585"/>
      <c r="AQ2" s="585"/>
      <c r="AR2" s="585"/>
      <c r="AS2" s="585"/>
      <c r="AT2" s="586">
        <f t="shared" ref="AT2" si="4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5">Z2</f>
        <v>46051</v>
      </c>
      <c r="AA3" s="589"/>
      <c r="AB3" s="589"/>
      <c r="AC3" s="589"/>
      <c r="AD3" s="589"/>
      <c r="AE3" s="590">
        <f t="shared" ref="AE3" si="6">AE2</f>
        <v>46052</v>
      </c>
      <c r="AF3" s="590"/>
      <c r="AG3" s="590"/>
      <c r="AH3" s="590"/>
      <c r="AI3" s="590"/>
      <c r="AJ3" s="591">
        <f t="shared" ref="AJ3" si="7">AJ2</f>
        <v>46053</v>
      </c>
      <c r="AK3" s="592"/>
      <c r="AL3" s="592"/>
      <c r="AM3" s="592"/>
      <c r="AN3" s="593"/>
      <c r="AO3" s="590">
        <f t="shared" ref="AO3" si="8">AO2</f>
        <v>46054</v>
      </c>
      <c r="AP3" s="590"/>
      <c r="AQ3" s="590"/>
      <c r="AR3" s="590"/>
      <c r="AS3" s="590"/>
      <c r="AT3" s="591">
        <f t="shared" ref="AT3" si="9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 t="s">
        <v>386</v>
      </c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14" t="s">
        <v>391</v>
      </c>
      <c r="C7" s="182">
        <v>1</v>
      </c>
      <c r="D7" s="185" t="s">
        <v>500</v>
      </c>
      <c r="E7" s="182">
        <v>19</v>
      </c>
      <c r="F7" s="182">
        <v>1800</v>
      </c>
      <c r="G7" s="187">
        <f t="shared" ref="G7:G10" si="10">F7/E7</f>
        <v>94.736842105263165</v>
      </c>
      <c r="H7" s="526">
        <f>AVERAGE(G7:G21)</f>
        <v>119.73684210526316</v>
      </c>
      <c r="I7" s="188">
        <f>AVERAGE(P7,U7,Z7,AE7,AJ7,AO7,AT7)</f>
        <v>19</v>
      </c>
      <c r="J7" s="188">
        <f>AVERAGE(Q7,V7,AA7,AF7,AK7,AP7,AU7)</f>
        <v>1606.0612311917703</v>
      </c>
      <c r="K7" s="189">
        <f>AVERAGE(R7,W7,AB7,AG7,AL7,AQ7,AV7)</f>
        <v>84.529538483777401</v>
      </c>
      <c r="L7" s="527">
        <f>IFERROR(AVERAGE(K7:K21),"-")</f>
        <v>106.72236935052067</v>
      </c>
      <c r="M7" s="188">
        <f>RANK(K7, K$7:$K$21)</f>
        <v>3</v>
      </c>
      <c r="N7" s="514"/>
      <c r="O7" s="514"/>
      <c r="P7" s="190">
        <v>19</v>
      </c>
      <c r="Q7" s="190">
        <v>1605.8972198820534</v>
      </c>
      <c r="R7" s="187">
        <f>IFERROR(Q7/P7,"")</f>
        <v>84.520906309581761</v>
      </c>
      <c r="S7" s="184">
        <f>RANK(R7, R$7:R$21)</f>
        <v>3</v>
      </c>
      <c r="T7" s="526">
        <f>AVERAGE(R7:R21)</f>
        <v>106.6551970288738</v>
      </c>
      <c r="U7" s="190">
        <v>19</v>
      </c>
      <c r="V7" s="190">
        <v>1605.9528130671504</v>
      </c>
      <c r="W7" s="187">
        <f t="shared" ref="W7:W10" si="11">IFERROR(V7/U7,"")</f>
        <v>84.523832266692125</v>
      </c>
      <c r="X7" s="184">
        <f>RANK(W7, W$7:W$21)</f>
        <v>3</v>
      </c>
      <c r="Y7" s="526">
        <f>AVERAGE(W7:W21)</f>
        <v>106.67641100135985</v>
      </c>
      <c r="Z7" s="190">
        <v>19</v>
      </c>
      <c r="AA7" s="190">
        <v>1606.174698795181</v>
      </c>
      <c r="AB7" s="187">
        <f t="shared" ref="AB7:AB10" si="12">IFERROR(AA7/Z7,"")</f>
        <v>84.53551046290427</v>
      </c>
      <c r="AC7" s="184">
        <f>RANK(AB7, AB$7:AB$21)</f>
        <v>3</v>
      </c>
      <c r="AD7" s="526">
        <f>AVERAGE(AB7:AB21)</f>
        <v>106.74788420347036</v>
      </c>
      <c r="AE7" s="190">
        <v>19</v>
      </c>
      <c r="AF7" s="190">
        <v>1606.3460585027265</v>
      </c>
      <c r="AG7" s="187">
        <f>IFERROR(AF7/AE7,"")</f>
        <v>84.544529394880342</v>
      </c>
      <c r="AH7" s="184">
        <f>RANK(AG7, AG$7:AG$21)</f>
        <v>3</v>
      </c>
      <c r="AI7" s="526">
        <f>AVERAGE(AG7:AG21)</f>
        <v>106.73080219796876</v>
      </c>
      <c r="AJ7" s="190">
        <v>19</v>
      </c>
      <c r="AK7" s="190">
        <v>1606.1288868859847</v>
      </c>
      <c r="AL7" s="187">
        <f t="shared" ref="AL7:AL10" si="13">IFERROR(AK7/AJ7,"")</f>
        <v>84.533099309788668</v>
      </c>
      <c r="AM7" s="184">
        <f>RANK(AL7, AL$7:AL$21)</f>
        <v>3</v>
      </c>
      <c r="AN7" s="526">
        <f>AVERAGE(AL7:AL21)</f>
        <v>106.7268053541591</v>
      </c>
      <c r="AO7" s="190">
        <v>19</v>
      </c>
      <c r="AP7" s="190">
        <v>1605.9003051881978</v>
      </c>
      <c r="AQ7" s="187">
        <f t="shared" ref="AQ7:AQ10" si="14">IFERROR(AP7/AO7,"")</f>
        <v>84.521068694115669</v>
      </c>
      <c r="AR7" s="184">
        <f>RANK(AQ7, AQ$7:AQ$21)</f>
        <v>3</v>
      </c>
      <c r="AS7" s="526">
        <f>AVERAGE(AQ7:AQ21)</f>
        <v>106.75204617103068</v>
      </c>
      <c r="AT7" s="190">
        <v>19</v>
      </c>
      <c r="AU7" s="190">
        <v>1606.0286360210996</v>
      </c>
      <c r="AV7" s="187">
        <f t="shared" ref="AV7:AV10" si="15">IFERROR(AU7/AT7,"")</f>
        <v>84.527822948478928</v>
      </c>
      <c r="AW7" s="184">
        <f>RANK(AV7, AV$7:AV$21)</f>
        <v>3</v>
      </c>
      <c r="AX7" s="526">
        <f>AVERAGE(AV7:AV21)</f>
        <v>106.76743949678213</v>
      </c>
    </row>
    <row r="8" spans="1:50" ht="14.25" customHeight="1">
      <c r="B8" s="514"/>
      <c r="C8" s="182">
        <v>2</v>
      </c>
      <c r="D8" s="185" t="s">
        <v>506</v>
      </c>
      <c r="E8" s="182">
        <v>18</v>
      </c>
      <c r="F8" s="182">
        <v>1800</v>
      </c>
      <c r="G8" s="187">
        <f t="shared" si="10"/>
        <v>100</v>
      </c>
      <c r="H8" s="526"/>
      <c r="I8" s="188">
        <f t="shared" ref="I8:I10" si="16">AVERAGE(P8,U8,Z8,AE8,AJ8,AO8,AT8)</f>
        <v>18</v>
      </c>
      <c r="J8" s="188">
        <f t="shared" ref="J8:J10" si="17">AVERAGE(Q8,V8,AA8,AF8,AK8,AP8,AU8)</f>
        <v>1605.2765123130234</v>
      </c>
      <c r="K8" s="189">
        <f t="shared" ref="K8:K10" si="18">AVERAGE(R8,W8,AB8,AG8,AL8,AQ8,AV8)</f>
        <v>89.182028461834634</v>
      </c>
      <c r="L8" s="527"/>
      <c r="M8" s="188">
        <f>RANK(K8, K$7:$K$21)</f>
        <v>2</v>
      </c>
      <c r="N8" s="514"/>
      <c r="O8" s="514"/>
      <c r="P8" s="190">
        <v>18</v>
      </c>
      <c r="Q8" s="190">
        <v>1604.9999999999993</v>
      </c>
      <c r="R8" s="187">
        <f t="shared" ref="R8:R10" si="19">IFERROR(Q8/P8,"")</f>
        <v>89.166666666666629</v>
      </c>
      <c r="S8" s="184">
        <f t="shared" ref="S8:S10" si="20">RANK(R8, R$7:R$21)</f>
        <v>2</v>
      </c>
      <c r="T8" s="526"/>
      <c r="U8" s="190">
        <v>18</v>
      </c>
      <c r="V8" s="190">
        <v>1605.5841293166786</v>
      </c>
      <c r="W8" s="187">
        <f t="shared" si="11"/>
        <v>89.199118295371036</v>
      </c>
      <c r="X8" s="184">
        <f t="shared" ref="X8:X10" si="21">RANK(W8, W$7:W$21)</f>
        <v>2</v>
      </c>
      <c r="Y8" s="526"/>
      <c r="Z8" s="190">
        <v>18</v>
      </c>
      <c r="AA8" s="190">
        <v>1605.0955414012737</v>
      </c>
      <c r="AB8" s="187">
        <f t="shared" si="12"/>
        <v>89.171974522292984</v>
      </c>
      <c r="AC8" s="184">
        <f t="shared" ref="AC8:AC10" si="22">RANK(AB8, AB$7:AB$21)</f>
        <v>2</v>
      </c>
      <c r="AD8" s="526"/>
      <c r="AE8" s="190">
        <v>18</v>
      </c>
      <c r="AF8" s="190">
        <v>1605.1222351571655</v>
      </c>
      <c r="AG8" s="187">
        <f t="shared" ref="AG8:AG10" si="23">IFERROR(AF8/AE8,"")</f>
        <v>89.173457508731417</v>
      </c>
      <c r="AH8" s="184">
        <f t="shared" ref="AH8:AH10" si="24">RANK(AG8, AG$7:AG$21)</f>
        <v>2</v>
      </c>
      <c r="AI8" s="526"/>
      <c r="AJ8" s="190">
        <v>18</v>
      </c>
      <c r="AK8" s="190">
        <v>1605.9259259259284</v>
      </c>
      <c r="AL8" s="187">
        <f t="shared" si="13"/>
        <v>89.218106995884909</v>
      </c>
      <c r="AM8" s="184">
        <f t="shared" ref="AM8:AM10" si="25">RANK(AL8, AL$7:AL$21)</f>
        <v>2</v>
      </c>
      <c r="AN8" s="526"/>
      <c r="AO8" s="190">
        <v>18</v>
      </c>
      <c r="AP8" s="190">
        <v>1605.2884615384667</v>
      </c>
      <c r="AQ8" s="187">
        <f t="shared" si="14"/>
        <v>89.182692307692591</v>
      </c>
      <c r="AR8" s="184">
        <f t="shared" ref="AR8:AR10" si="26">RANK(AQ8, AQ$7:AQ$21)</f>
        <v>2</v>
      </c>
      <c r="AS8" s="526"/>
      <c r="AT8" s="190">
        <v>18</v>
      </c>
      <c r="AU8" s="190">
        <v>1604.9192928516522</v>
      </c>
      <c r="AV8" s="187">
        <f t="shared" si="15"/>
        <v>89.162182936202896</v>
      </c>
      <c r="AW8" s="184">
        <f t="shared" ref="AW8:AW10" si="27">RANK(AV8, AV$7:AV$21)</f>
        <v>2</v>
      </c>
      <c r="AX8" s="526"/>
    </row>
    <row r="9" spans="1:50" ht="14.25" customHeight="1">
      <c r="B9" s="514"/>
      <c r="C9" s="182">
        <v>3</v>
      </c>
      <c r="D9" s="185" t="s">
        <v>507</v>
      </c>
      <c r="E9" s="182">
        <v>19</v>
      </c>
      <c r="F9" s="182">
        <v>3600</v>
      </c>
      <c r="G9" s="187">
        <f t="shared" si="10"/>
        <v>189.47368421052633</v>
      </c>
      <c r="H9" s="526"/>
      <c r="I9" s="188">
        <f t="shared" si="16"/>
        <v>19</v>
      </c>
      <c r="J9" s="188">
        <f t="shared" si="17"/>
        <v>3206.5855184275833</v>
      </c>
      <c r="K9" s="189">
        <f t="shared" si="18"/>
        <v>168.76765886460967</v>
      </c>
      <c r="L9" s="527"/>
      <c r="M9" s="188">
        <f>RANK(K9, K$7:$K$21)</f>
        <v>1</v>
      </c>
      <c r="N9" s="514"/>
      <c r="O9" s="514"/>
      <c r="P9" s="190">
        <v>19</v>
      </c>
      <c r="Q9" s="190">
        <v>3202.2417934347473</v>
      </c>
      <c r="R9" s="187">
        <f t="shared" si="19"/>
        <v>168.53904175972355</v>
      </c>
      <c r="S9" s="184">
        <f t="shared" si="20"/>
        <v>1</v>
      </c>
      <c r="T9" s="526"/>
      <c r="U9" s="190">
        <v>19</v>
      </c>
      <c r="V9" s="190">
        <v>3203.1007751938005</v>
      </c>
      <c r="W9" s="187">
        <f t="shared" si="11"/>
        <v>168.5842513259895</v>
      </c>
      <c r="X9" s="184">
        <f t="shared" si="21"/>
        <v>1</v>
      </c>
      <c r="Y9" s="526"/>
      <c r="Z9" s="190">
        <v>19</v>
      </c>
      <c r="AA9" s="190">
        <v>3208.4961767204795</v>
      </c>
      <c r="AB9" s="187">
        <f t="shared" si="12"/>
        <v>168.86821982739366</v>
      </c>
      <c r="AC9" s="184">
        <f t="shared" si="22"/>
        <v>1</v>
      </c>
      <c r="AD9" s="526"/>
      <c r="AE9" s="190">
        <v>19</v>
      </c>
      <c r="AF9" s="190">
        <v>3207.0562293274547</v>
      </c>
      <c r="AG9" s="187">
        <f t="shared" si="23"/>
        <v>168.79243312249761</v>
      </c>
      <c r="AH9" s="184">
        <f t="shared" si="24"/>
        <v>1</v>
      </c>
      <c r="AI9" s="526"/>
      <c r="AJ9" s="190">
        <v>19</v>
      </c>
      <c r="AK9" s="190">
        <v>3206.198723792168</v>
      </c>
      <c r="AL9" s="187">
        <f t="shared" si="13"/>
        <v>168.74730125221936</v>
      </c>
      <c r="AM9" s="184">
        <f t="shared" si="25"/>
        <v>1</v>
      </c>
      <c r="AN9" s="526"/>
      <c r="AO9" s="190">
        <v>19</v>
      </c>
      <c r="AP9" s="190">
        <v>3208.6956521739185</v>
      </c>
      <c r="AQ9" s="187">
        <f t="shared" si="14"/>
        <v>168.8787185354694</v>
      </c>
      <c r="AR9" s="184">
        <f t="shared" si="26"/>
        <v>1</v>
      </c>
      <c r="AS9" s="526"/>
      <c r="AT9" s="190">
        <v>19</v>
      </c>
      <c r="AU9" s="190">
        <v>3210.3092783505163</v>
      </c>
      <c r="AV9" s="187">
        <f t="shared" si="15"/>
        <v>168.96364622897454</v>
      </c>
      <c r="AW9" s="184">
        <f t="shared" si="27"/>
        <v>1</v>
      </c>
      <c r="AX9" s="526"/>
    </row>
    <row r="10" spans="1:50" ht="14.25" customHeight="1">
      <c r="B10" s="514"/>
      <c r="C10" s="182">
        <v>4</v>
      </c>
      <c r="D10" s="185" t="s">
        <v>618</v>
      </c>
      <c r="E10" s="182">
        <v>19</v>
      </c>
      <c r="F10" s="182">
        <v>1800</v>
      </c>
      <c r="G10" s="187">
        <f t="shared" si="10"/>
        <v>94.736842105263165</v>
      </c>
      <c r="H10" s="526"/>
      <c r="I10" s="188">
        <f t="shared" si="16"/>
        <v>19</v>
      </c>
      <c r="J10" s="188">
        <f t="shared" si="17"/>
        <v>1603.7947802453587</v>
      </c>
      <c r="K10" s="189">
        <f t="shared" si="18"/>
        <v>84.410251591860998</v>
      </c>
      <c r="L10" s="527"/>
      <c r="M10" s="188">
        <f>RANK(K10, K$7:$K$21)</f>
        <v>4</v>
      </c>
      <c r="N10" s="514"/>
      <c r="O10" s="514"/>
      <c r="P10" s="190">
        <v>19</v>
      </c>
      <c r="Q10" s="190">
        <v>1603.4892942109432</v>
      </c>
      <c r="R10" s="187">
        <f t="shared" si="19"/>
        <v>84.394173379523323</v>
      </c>
      <c r="S10" s="184">
        <f t="shared" si="20"/>
        <v>4</v>
      </c>
      <c r="T10" s="526"/>
      <c r="U10" s="190">
        <v>19</v>
      </c>
      <c r="V10" s="190">
        <v>1603.5704002303485</v>
      </c>
      <c r="W10" s="187">
        <f t="shared" si="11"/>
        <v>84.398442117386764</v>
      </c>
      <c r="X10" s="184">
        <f t="shared" si="21"/>
        <v>4</v>
      </c>
      <c r="Y10" s="526"/>
      <c r="Z10" s="190">
        <v>19</v>
      </c>
      <c r="AA10" s="190">
        <v>1603.9008080245208</v>
      </c>
      <c r="AB10" s="187">
        <f t="shared" si="12"/>
        <v>84.415832001290568</v>
      </c>
      <c r="AC10" s="184">
        <f t="shared" si="22"/>
        <v>4</v>
      </c>
      <c r="AD10" s="526"/>
      <c r="AE10" s="190">
        <v>19</v>
      </c>
      <c r="AF10" s="190">
        <v>1603.842986549547</v>
      </c>
      <c r="AG10" s="187">
        <f t="shared" si="23"/>
        <v>84.41278876576564</v>
      </c>
      <c r="AH10" s="184">
        <f t="shared" si="24"/>
        <v>4</v>
      </c>
      <c r="AI10" s="526"/>
      <c r="AJ10" s="190">
        <v>19</v>
      </c>
      <c r="AK10" s="190">
        <v>1603.7655633161253</v>
      </c>
      <c r="AL10" s="187">
        <f t="shared" si="13"/>
        <v>84.40871385874344</v>
      </c>
      <c r="AM10" s="184">
        <f t="shared" si="25"/>
        <v>4</v>
      </c>
      <c r="AN10" s="526"/>
      <c r="AO10" s="190">
        <v>19</v>
      </c>
      <c r="AP10" s="190">
        <v>1604.088397790056</v>
      </c>
      <c r="AQ10" s="187">
        <f t="shared" si="14"/>
        <v>84.425705146845047</v>
      </c>
      <c r="AR10" s="184">
        <f t="shared" si="26"/>
        <v>4</v>
      </c>
      <c r="AS10" s="526"/>
      <c r="AT10" s="190">
        <v>19</v>
      </c>
      <c r="AU10" s="190">
        <v>1603.9060115959717</v>
      </c>
      <c r="AV10" s="187">
        <f t="shared" si="15"/>
        <v>84.416105873472191</v>
      </c>
      <c r="AW10" s="184">
        <f t="shared" si="27"/>
        <v>4</v>
      </c>
      <c r="AX10" s="526"/>
    </row>
    <row r="11" spans="1:50" ht="14.25" customHeight="1">
      <c r="B11" s="514"/>
      <c r="C11" s="182">
        <v>5</v>
      </c>
      <c r="D11" s="185"/>
      <c r="E11" s="182"/>
      <c r="F11" s="182"/>
      <c r="G11" s="187"/>
      <c r="H11" s="526"/>
      <c r="I11" s="188"/>
      <c r="J11" s="188"/>
      <c r="K11" s="189"/>
      <c r="L11" s="527"/>
      <c r="M11" s="188"/>
      <c r="N11" s="514"/>
      <c r="O11" s="514"/>
      <c r="P11" s="190"/>
      <c r="Q11" s="190"/>
      <c r="R11" s="187"/>
      <c r="S11" s="184"/>
      <c r="T11" s="526"/>
      <c r="U11" s="190"/>
      <c r="V11" s="190"/>
      <c r="W11" s="187"/>
      <c r="X11" s="184"/>
      <c r="Y11" s="526"/>
      <c r="Z11" s="190"/>
      <c r="AA11" s="190"/>
      <c r="AB11" s="187"/>
      <c r="AC11" s="184"/>
      <c r="AD11" s="526"/>
      <c r="AE11" s="190"/>
      <c r="AF11" s="190"/>
      <c r="AG11" s="187"/>
      <c r="AH11" s="184"/>
      <c r="AI11" s="526"/>
      <c r="AJ11" s="190"/>
      <c r="AK11" s="190"/>
      <c r="AL11" s="187"/>
      <c r="AM11" s="184"/>
      <c r="AN11" s="526"/>
      <c r="AO11" s="190"/>
      <c r="AP11" s="190"/>
      <c r="AQ11" s="187"/>
      <c r="AR11" s="184"/>
      <c r="AS11" s="526"/>
      <c r="AT11" s="190"/>
      <c r="AU11" s="190"/>
      <c r="AV11" s="187"/>
      <c r="AW11" s="184"/>
      <c r="AX11" s="526"/>
    </row>
    <row r="12" spans="1:50" ht="14.25" customHeight="1">
      <c r="B12" s="514"/>
      <c r="C12" s="182">
        <v>6</v>
      </c>
      <c r="D12" s="185"/>
      <c r="E12" s="182"/>
      <c r="F12" s="182"/>
      <c r="G12" s="187"/>
      <c r="H12" s="526"/>
      <c r="I12" s="188"/>
      <c r="J12" s="188"/>
      <c r="K12" s="189"/>
      <c r="L12" s="527"/>
      <c r="M12" s="188"/>
      <c r="N12" s="514"/>
      <c r="O12" s="514"/>
      <c r="P12" s="190"/>
      <c r="Q12" s="190"/>
      <c r="R12" s="187"/>
      <c r="S12" s="184"/>
      <c r="T12" s="526"/>
      <c r="U12" s="190"/>
      <c r="V12" s="190"/>
      <c r="W12" s="187"/>
      <c r="X12" s="184"/>
      <c r="Y12" s="526"/>
      <c r="Z12" s="190"/>
      <c r="AA12" s="190"/>
      <c r="AB12" s="187"/>
      <c r="AC12" s="184"/>
      <c r="AD12" s="526"/>
      <c r="AE12" s="190"/>
      <c r="AF12" s="190"/>
      <c r="AG12" s="187"/>
      <c r="AH12" s="184"/>
      <c r="AI12" s="526"/>
      <c r="AJ12" s="190"/>
      <c r="AK12" s="190"/>
      <c r="AL12" s="187"/>
      <c r="AM12" s="184"/>
      <c r="AN12" s="526"/>
      <c r="AO12" s="190"/>
      <c r="AP12" s="190"/>
      <c r="AQ12" s="187"/>
      <c r="AR12" s="184"/>
      <c r="AS12" s="526"/>
      <c r="AT12" s="190"/>
      <c r="AU12" s="190"/>
      <c r="AV12" s="187"/>
      <c r="AW12" s="184"/>
      <c r="AX12" s="526"/>
    </row>
    <row r="13" spans="1:50" ht="14.25" customHeight="1">
      <c r="B13" s="514"/>
      <c r="C13" s="182">
        <v>7</v>
      </c>
      <c r="D13" s="185"/>
      <c r="E13" s="182"/>
      <c r="F13" s="182"/>
      <c r="G13" s="187"/>
      <c r="H13" s="526"/>
      <c r="I13" s="188"/>
      <c r="J13" s="188"/>
      <c r="K13" s="189"/>
      <c r="L13" s="527"/>
      <c r="M13" s="188"/>
      <c r="N13" s="514"/>
      <c r="O13" s="514"/>
      <c r="P13" s="190"/>
      <c r="Q13" s="190"/>
      <c r="R13" s="187"/>
      <c r="S13" s="184"/>
      <c r="T13" s="526"/>
      <c r="U13" s="190"/>
      <c r="V13" s="190"/>
      <c r="W13" s="187"/>
      <c r="X13" s="184"/>
      <c r="Y13" s="526"/>
      <c r="Z13" s="190"/>
      <c r="AA13" s="190"/>
      <c r="AB13" s="187"/>
      <c r="AC13" s="184"/>
      <c r="AD13" s="526"/>
      <c r="AE13" s="190"/>
      <c r="AF13" s="190"/>
      <c r="AG13" s="187"/>
      <c r="AH13" s="184"/>
      <c r="AI13" s="526"/>
      <c r="AJ13" s="190"/>
      <c r="AK13" s="190"/>
      <c r="AL13" s="187"/>
      <c r="AM13" s="184"/>
      <c r="AN13" s="526"/>
      <c r="AO13" s="190"/>
      <c r="AP13" s="190"/>
      <c r="AQ13" s="187"/>
      <c r="AR13" s="184"/>
      <c r="AS13" s="526"/>
      <c r="AT13" s="190"/>
      <c r="AU13" s="190"/>
      <c r="AV13" s="187"/>
      <c r="AW13" s="184"/>
      <c r="AX13" s="526"/>
    </row>
    <row r="14" spans="1:50" ht="14.25" customHeight="1">
      <c r="B14" s="514"/>
      <c r="C14" s="182">
        <v>8</v>
      </c>
      <c r="D14" s="185"/>
      <c r="E14" s="182"/>
      <c r="F14" s="182"/>
      <c r="G14" s="187"/>
      <c r="H14" s="526"/>
      <c r="I14" s="188"/>
      <c r="J14" s="188"/>
      <c r="K14" s="189"/>
      <c r="L14" s="527"/>
      <c r="M14" s="188"/>
      <c r="N14" s="514"/>
      <c r="O14" s="514"/>
      <c r="P14" s="190"/>
      <c r="Q14" s="190"/>
      <c r="R14" s="187"/>
      <c r="S14" s="184"/>
      <c r="T14" s="526"/>
      <c r="U14" s="190"/>
      <c r="V14" s="190"/>
      <c r="W14" s="187"/>
      <c r="X14" s="184"/>
      <c r="Y14" s="526"/>
      <c r="Z14" s="190"/>
      <c r="AA14" s="190"/>
      <c r="AB14" s="187"/>
      <c r="AC14" s="184"/>
      <c r="AD14" s="526"/>
      <c r="AE14" s="190"/>
      <c r="AF14" s="190"/>
      <c r="AG14" s="187"/>
      <c r="AH14" s="184"/>
      <c r="AI14" s="526"/>
      <c r="AJ14" s="190"/>
      <c r="AK14" s="190"/>
      <c r="AL14" s="187"/>
      <c r="AM14" s="184"/>
      <c r="AN14" s="526"/>
      <c r="AO14" s="190"/>
      <c r="AP14" s="190"/>
      <c r="AQ14" s="187"/>
      <c r="AR14" s="184"/>
      <c r="AS14" s="526"/>
      <c r="AT14" s="190"/>
      <c r="AU14" s="190"/>
      <c r="AV14" s="187"/>
      <c r="AW14" s="184"/>
      <c r="AX14" s="526"/>
    </row>
    <row r="15" spans="1:50" ht="14.25" customHeight="1">
      <c r="B15" s="514"/>
      <c r="C15" s="182">
        <v>9</v>
      </c>
      <c r="D15" s="185"/>
      <c r="E15" s="182"/>
      <c r="F15" s="182"/>
      <c r="G15" s="187"/>
      <c r="H15" s="526"/>
      <c r="I15" s="188"/>
      <c r="J15" s="188"/>
      <c r="K15" s="189"/>
      <c r="L15" s="527"/>
      <c r="M15" s="188"/>
      <c r="N15" s="514"/>
      <c r="O15" s="514"/>
      <c r="P15" s="190"/>
      <c r="Q15" s="190"/>
      <c r="R15" s="187"/>
      <c r="S15" s="184"/>
      <c r="T15" s="526"/>
      <c r="U15" s="190"/>
      <c r="V15" s="190"/>
      <c r="W15" s="187"/>
      <c r="X15" s="184"/>
      <c r="Y15" s="526"/>
      <c r="Z15" s="190"/>
      <c r="AA15" s="190"/>
      <c r="AB15" s="187"/>
      <c r="AC15" s="184"/>
      <c r="AD15" s="526"/>
      <c r="AE15" s="190"/>
      <c r="AF15" s="190"/>
      <c r="AG15" s="187"/>
      <c r="AH15" s="184"/>
      <c r="AI15" s="526"/>
      <c r="AJ15" s="190"/>
      <c r="AK15" s="190"/>
      <c r="AL15" s="187"/>
      <c r="AM15" s="184"/>
      <c r="AN15" s="526"/>
      <c r="AO15" s="190"/>
      <c r="AP15" s="190"/>
      <c r="AQ15" s="187"/>
      <c r="AR15" s="184"/>
      <c r="AS15" s="526"/>
      <c r="AT15" s="190"/>
      <c r="AU15" s="190"/>
      <c r="AV15" s="187"/>
      <c r="AW15" s="184"/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28">U22+1</f>
        <v>46058</v>
      </c>
      <c r="AA22" s="583"/>
      <c r="AB22" s="583"/>
      <c r="AC22" s="583"/>
      <c r="AD22" s="583"/>
      <c r="AE22" s="584">
        <f t="shared" ref="AE22" si="29">Z22+1</f>
        <v>46059</v>
      </c>
      <c r="AF22" s="585"/>
      <c r="AG22" s="585"/>
      <c r="AH22" s="585"/>
      <c r="AI22" s="585"/>
      <c r="AJ22" s="586">
        <f t="shared" ref="AJ22" si="30">AE22+1</f>
        <v>46060</v>
      </c>
      <c r="AK22" s="587"/>
      <c r="AL22" s="587"/>
      <c r="AM22" s="587"/>
      <c r="AN22" s="588"/>
      <c r="AO22" s="584">
        <f t="shared" ref="AO22" si="31">AJ22+1</f>
        <v>46061</v>
      </c>
      <c r="AP22" s="585"/>
      <c r="AQ22" s="585"/>
      <c r="AR22" s="585"/>
      <c r="AS22" s="585"/>
      <c r="AT22" s="586">
        <f t="shared" ref="AT22" si="32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33">Z22</f>
        <v>46058</v>
      </c>
      <c r="AA23" s="589"/>
      <c r="AB23" s="589"/>
      <c r="AC23" s="589"/>
      <c r="AD23" s="589"/>
      <c r="AE23" s="590">
        <f t="shared" ref="AE23" si="34">AE22</f>
        <v>46059</v>
      </c>
      <c r="AF23" s="590"/>
      <c r="AG23" s="590"/>
      <c r="AH23" s="590"/>
      <c r="AI23" s="590"/>
      <c r="AJ23" s="591">
        <f t="shared" ref="AJ23" si="35">AJ22</f>
        <v>46060</v>
      </c>
      <c r="AK23" s="592"/>
      <c r="AL23" s="592"/>
      <c r="AM23" s="592"/>
      <c r="AN23" s="593"/>
      <c r="AO23" s="590">
        <f t="shared" ref="AO23" si="36">AO22</f>
        <v>46061</v>
      </c>
      <c r="AP23" s="590"/>
      <c r="AQ23" s="590"/>
      <c r="AR23" s="590"/>
      <c r="AS23" s="590"/>
      <c r="AT23" s="591">
        <f t="shared" ref="AT23" si="37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14" t="s">
        <v>391</v>
      </c>
      <c r="C27" s="182">
        <v>1</v>
      </c>
      <c r="D27" s="185" t="s">
        <v>500</v>
      </c>
      <c r="E27" s="182">
        <v>19</v>
      </c>
      <c r="F27" s="182">
        <v>1800</v>
      </c>
      <c r="G27" s="187">
        <f t="shared" ref="G27:G30" si="38">F27/E27</f>
        <v>94.736842105263165</v>
      </c>
      <c r="H27" s="526">
        <f>AVERAGE(G27:G41)</f>
        <v>119.73684210526316</v>
      </c>
      <c r="I27" s="188">
        <f>AVERAGE(P27,U27,Z27,AE27,AJ27,AO27,AT27)</f>
        <v>19</v>
      </c>
      <c r="J27" s="188">
        <f>AVERAGE(Q27,V27,AA27,AF27,AK27,AP27,AU27)</f>
        <v>1605.8817231871387</v>
      </c>
      <c r="K27" s="189">
        <f>AVERAGE(R27,W27,AB27,AG27,AL27,AQ27,AV27)</f>
        <v>84.520090694059945</v>
      </c>
      <c r="L27" s="527">
        <f>IFERROR(AVERAGE(K27:K41),"-")</f>
        <v>106.79855426542795</v>
      </c>
      <c r="M27" s="188">
        <f>RANK(K27, K$27:$K$41)</f>
        <v>3</v>
      </c>
      <c r="N27" s="514"/>
      <c r="O27" s="514"/>
      <c r="P27" s="190">
        <v>19</v>
      </c>
      <c r="Q27" s="190">
        <v>1606.1302681992352</v>
      </c>
      <c r="R27" s="187">
        <f>IFERROR(Q27/P27,"")</f>
        <v>84.533172010486055</v>
      </c>
      <c r="S27" s="184">
        <f>RANK(R27, R$27:R$41)</f>
        <v>3</v>
      </c>
      <c r="T27" s="526">
        <f>AVERAGE(R27:R41)</f>
        <v>106.79307269526242</v>
      </c>
      <c r="U27" s="190">
        <v>19</v>
      </c>
      <c r="V27" s="190">
        <v>1606.2622309197654</v>
      </c>
      <c r="W27" s="187">
        <f t="shared" ref="W27:W30" si="39">IFERROR(V27/U27,"")</f>
        <v>84.540117416829759</v>
      </c>
      <c r="X27" s="184">
        <f>RANK(W27, W$27:W$41)</f>
        <v>3</v>
      </c>
      <c r="Y27" s="526">
        <f>AVERAGE(W27:W41)</f>
        <v>106.81838633797513</v>
      </c>
      <c r="Z27" s="190">
        <v>19</v>
      </c>
      <c r="AA27" s="190">
        <v>1606.1081304168397</v>
      </c>
      <c r="AB27" s="187">
        <f t="shared" ref="AB27:AB30" si="40">IFERROR(AA27/Z27,"")</f>
        <v>84.532006864044192</v>
      </c>
      <c r="AC27" s="184">
        <f>RANK(AB27, AB$27:AB$41)</f>
        <v>3</v>
      </c>
      <c r="AD27" s="526">
        <f>AVERAGE(AB27:AB41)</f>
        <v>106.80069267818489</v>
      </c>
      <c r="AE27" s="190">
        <v>19</v>
      </c>
      <c r="AF27" s="190">
        <v>1605.7716436637425</v>
      </c>
      <c r="AG27" s="187">
        <f>IFERROR(AF27/AE27,"")</f>
        <v>84.514297034933819</v>
      </c>
      <c r="AH27" s="184">
        <f>RANK(AG27, AG$27:AG$41)</f>
        <v>3</v>
      </c>
      <c r="AI27" s="526">
        <f>AVERAGE(AG27:AG41)</f>
        <v>106.76556173825041</v>
      </c>
      <c r="AJ27" s="190">
        <v>19</v>
      </c>
      <c r="AK27" s="190">
        <v>1605.8500914076794</v>
      </c>
      <c r="AL27" s="187">
        <f t="shared" ref="AL27:AL30" si="41">IFERROR(AK27/AJ27,"")</f>
        <v>84.518425863562072</v>
      </c>
      <c r="AM27" s="184">
        <f>RANK(AL27, AL$27:AL$41)</f>
        <v>2</v>
      </c>
      <c r="AN27" s="526">
        <f>AVERAGE(AL27:AL41)</f>
        <v>112.67509678122595</v>
      </c>
      <c r="AO27" s="190">
        <v>19</v>
      </c>
      <c r="AP27" s="190">
        <v>1605.6242969628811</v>
      </c>
      <c r="AQ27" s="187">
        <f t="shared" ref="AQ27:AQ30" si="42">IFERROR(AP27/AO27,"")</f>
        <v>84.506541945414796</v>
      </c>
      <c r="AR27" s="184">
        <f>RANK(AQ27, AQ$27:AQ$41)</f>
        <v>2</v>
      </c>
      <c r="AS27" s="526">
        <f>AVERAGE(AQ27:AQ41)</f>
        <v>112.6696950607314</v>
      </c>
      <c r="AT27" s="190">
        <v>19</v>
      </c>
      <c r="AU27" s="190">
        <v>1605.4254007398299</v>
      </c>
      <c r="AV27" s="187">
        <f t="shared" ref="AV27:AV30" si="43">IFERROR(AU27/AT27,"")</f>
        <v>84.496073723148939</v>
      </c>
      <c r="AW27" s="184" t="e">
        <f>RANK(AV27, AV$7:AV$21)</f>
        <v>#N/A</v>
      </c>
      <c r="AX27" s="526">
        <f>AVERAGE(AV27:AV41)</f>
        <v>112.69594071133194</v>
      </c>
    </row>
    <row r="28" spans="2:50" ht="14.25" customHeight="1">
      <c r="B28" s="514"/>
      <c r="C28" s="182">
        <v>2</v>
      </c>
      <c r="D28" s="185" t="s">
        <v>506</v>
      </c>
      <c r="E28" s="182">
        <v>18</v>
      </c>
      <c r="F28" s="182">
        <v>1800</v>
      </c>
      <c r="G28" s="187">
        <f t="shared" si="38"/>
        <v>100</v>
      </c>
      <c r="H28" s="526"/>
      <c r="I28" s="188">
        <f t="shared" ref="I28:K30" si="44">AVERAGE(P28,U28,Z28,AE28,AJ28,AO28,AT28)</f>
        <v>18</v>
      </c>
      <c r="J28" s="188">
        <f t="shared" si="44"/>
        <v>1605.1588078405396</v>
      </c>
      <c r="K28" s="189">
        <f t="shared" si="44"/>
        <v>89.175489324474412</v>
      </c>
      <c r="L28" s="527"/>
      <c r="M28" s="188">
        <f>RANK(K28, K$27:$K$41)</f>
        <v>2</v>
      </c>
      <c r="N28" s="514"/>
      <c r="O28" s="514"/>
      <c r="P28" s="190">
        <v>18</v>
      </c>
      <c r="Q28" s="190">
        <v>1604.8951048951076</v>
      </c>
      <c r="R28" s="187">
        <f t="shared" ref="R28:R30" si="45">IFERROR(Q28/P28,"")</f>
        <v>89.160839160839316</v>
      </c>
      <c r="S28" s="184">
        <f t="shared" ref="S28:S30" si="46">RANK(R28, R$27:R$41)</f>
        <v>2</v>
      </c>
      <c r="T28" s="526"/>
      <c r="U28" s="190">
        <v>18</v>
      </c>
      <c r="V28" s="190">
        <v>1606.1041292639093</v>
      </c>
      <c r="W28" s="187">
        <f t="shared" si="39"/>
        <v>89.228007181328294</v>
      </c>
      <c r="X28" s="184">
        <f t="shared" ref="X28:X30" si="47">RANK(W28, W$27:W$41)</f>
        <v>2</v>
      </c>
      <c r="Y28" s="526"/>
      <c r="Z28" s="190">
        <v>18</v>
      </c>
      <c r="AA28" s="190">
        <v>1605.733558178752</v>
      </c>
      <c r="AB28" s="187">
        <f t="shared" si="40"/>
        <v>89.207419898819552</v>
      </c>
      <c r="AC28" s="184">
        <f t="shared" ref="AC28:AC30" si="48">RANK(AB28, AB$27:AB$41)</f>
        <v>2</v>
      </c>
      <c r="AD28" s="526"/>
      <c r="AE28" s="190">
        <v>18</v>
      </c>
      <c r="AF28" s="190">
        <v>1603.9024390243897</v>
      </c>
      <c r="AG28" s="187">
        <f t="shared" ref="AG28:AG30" si="49">IFERROR(AF28/AE28,"")</f>
        <v>89.10569105691053</v>
      </c>
      <c r="AH28" s="184">
        <f t="shared" ref="AH28:AH30" si="50">RANK(AG28, AG$27:AG$41)</f>
        <v>2</v>
      </c>
      <c r="AI28" s="526"/>
      <c r="AJ28" s="190"/>
      <c r="AK28" s="190"/>
      <c r="AL28" s="187"/>
      <c r="AM28" s="184"/>
      <c r="AN28" s="526"/>
      <c r="AO28" s="190"/>
      <c r="AP28" s="190"/>
      <c r="AQ28" s="187"/>
      <c r="AR28" s="184"/>
      <c r="AS28" s="526"/>
      <c r="AT28" s="190"/>
      <c r="AU28" s="190"/>
      <c r="AV28" s="187"/>
      <c r="AW28" s="184"/>
      <c r="AX28" s="526"/>
    </row>
    <row r="29" spans="2:50" ht="14.25" customHeight="1">
      <c r="B29" s="514"/>
      <c r="C29" s="182">
        <v>3</v>
      </c>
      <c r="D29" s="185" t="s">
        <v>507</v>
      </c>
      <c r="E29" s="182">
        <v>19</v>
      </c>
      <c r="F29" s="182">
        <v>3600</v>
      </c>
      <c r="G29" s="187">
        <f t="shared" si="38"/>
        <v>189.47368421052633</v>
      </c>
      <c r="H29" s="526"/>
      <c r="I29" s="188">
        <f t="shared" si="44"/>
        <v>19</v>
      </c>
      <c r="J29" s="188">
        <f t="shared" si="44"/>
        <v>3211.5888442200444</v>
      </c>
      <c r="K29" s="189">
        <f t="shared" si="44"/>
        <v>169.03099180105497</v>
      </c>
      <c r="L29" s="527"/>
      <c r="M29" s="188">
        <f>RANK(K29, K$27:$K$41)</f>
        <v>1</v>
      </c>
      <c r="N29" s="514"/>
      <c r="O29" s="514"/>
      <c r="P29" s="190">
        <v>19</v>
      </c>
      <c r="Q29" s="190">
        <v>3211.9193689745898</v>
      </c>
      <c r="R29" s="187">
        <f t="shared" si="45"/>
        <v>169.04838784076787</v>
      </c>
      <c r="S29" s="184">
        <f t="shared" si="46"/>
        <v>1</v>
      </c>
      <c r="T29" s="526"/>
      <c r="U29" s="190">
        <v>19</v>
      </c>
      <c r="V29" s="190">
        <v>3212.3076923076842</v>
      </c>
      <c r="W29" s="187">
        <f t="shared" si="39"/>
        <v>169.06882591093074</v>
      </c>
      <c r="X29" s="184">
        <f t="shared" si="47"/>
        <v>1</v>
      </c>
      <c r="Y29" s="526"/>
      <c r="Z29" s="190">
        <v>19</v>
      </c>
      <c r="AA29" s="190">
        <v>3210.8804581245618</v>
      </c>
      <c r="AB29" s="187">
        <f t="shared" si="40"/>
        <v>168.99370832234536</v>
      </c>
      <c r="AC29" s="184">
        <f t="shared" si="48"/>
        <v>1</v>
      </c>
      <c r="AD29" s="526"/>
      <c r="AE29" s="190">
        <v>19</v>
      </c>
      <c r="AF29" s="190">
        <v>3210.6044538706246</v>
      </c>
      <c r="AG29" s="187">
        <f t="shared" si="49"/>
        <v>168.97918178266445</v>
      </c>
      <c r="AH29" s="184">
        <f t="shared" si="50"/>
        <v>1</v>
      </c>
      <c r="AI29" s="526"/>
      <c r="AJ29" s="190">
        <v>19</v>
      </c>
      <c r="AK29" s="190">
        <v>3211.5348837209249</v>
      </c>
      <c r="AL29" s="187">
        <f t="shared" si="41"/>
        <v>169.02815177478553</v>
      </c>
      <c r="AM29" s="184">
        <f t="shared" ref="AM29:AM30" si="51">RANK(AL29, AL$27:AL$41)</f>
        <v>1</v>
      </c>
      <c r="AN29" s="526"/>
      <c r="AO29" s="190">
        <v>19</v>
      </c>
      <c r="AP29" s="190">
        <v>3211.1611161116039</v>
      </c>
      <c r="AQ29" s="187">
        <f t="shared" si="42"/>
        <v>169.00847979534757</v>
      </c>
      <c r="AR29" s="184">
        <f t="shared" ref="AR29:AR30" si="52">RANK(AQ29, AQ$27:AQ$41)</f>
        <v>1</v>
      </c>
      <c r="AS29" s="526"/>
      <c r="AT29" s="190">
        <v>19</v>
      </c>
      <c r="AU29" s="190">
        <v>3212.713936430318</v>
      </c>
      <c r="AV29" s="187">
        <f t="shared" si="43"/>
        <v>169.09020718054305</v>
      </c>
      <c r="AW29" s="184" t="e">
        <f t="shared" ref="AW29:AW30" si="53">RANK(AV29, AV$7:AV$21)</f>
        <v>#N/A</v>
      </c>
      <c r="AX29" s="526"/>
    </row>
    <row r="30" spans="2:50" ht="14.25" customHeight="1">
      <c r="B30" s="514"/>
      <c r="C30" s="182">
        <v>4</v>
      </c>
      <c r="D30" s="185" t="s">
        <v>618</v>
      </c>
      <c r="E30" s="182">
        <v>19</v>
      </c>
      <c r="F30" s="182">
        <v>1800</v>
      </c>
      <c r="G30" s="187">
        <f t="shared" si="38"/>
        <v>94.736842105263165</v>
      </c>
      <c r="H30" s="526"/>
      <c r="I30" s="188">
        <f t="shared" si="44"/>
        <v>19</v>
      </c>
      <c r="J30" s="188">
        <f t="shared" si="44"/>
        <v>1604.8852596003271</v>
      </c>
      <c r="K30" s="189">
        <f t="shared" si="44"/>
        <v>84.467645242122472</v>
      </c>
      <c r="L30" s="527"/>
      <c r="M30" s="188">
        <f>RANK(K30, K$27:$K$41)</f>
        <v>4</v>
      </c>
      <c r="N30" s="514"/>
      <c r="O30" s="514"/>
      <c r="P30" s="190">
        <v>19</v>
      </c>
      <c r="Q30" s="190">
        <v>1604.1679436101724</v>
      </c>
      <c r="R30" s="187">
        <f t="shared" si="45"/>
        <v>84.429891768956438</v>
      </c>
      <c r="S30" s="184">
        <f t="shared" si="46"/>
        <v>4</v>
      </c>
      <c r="T30" s="526"/>
      <c r="U30" s="190">
        <v>19</v>
      </c>
      <c r="V30" s="190">
        <v>1604.2953020134225</v>
      </c>
      <c r="W30" s="187">
        <f t="shared" si="39"/>
        <v>84.436594842811715</v>
      </c>
      <c r="X30" s="184">
        <f t="shared" si="47"/>
        <v>4</v>
      </c>
      <c r="Y30" s="526"/>
      <c r="Z30" s="190">
        <v>19</v>
      </c>
      <c r="AA30" s="190">
        <v>1604.923076923079</v>
      </c>
      <c r="AB30" s="187">
        <f t="shared" si="40"/>
        <v>84.469635627530465</v>
      </c>
      <c r="AC30" s="184">
        <f t="shared" si="48"/>
        <v>4</v>
      </c>
      <c r="AD30" s="526"/>
      <c r="AE30" s="190">
        <v>19</v>
      </c>
      <c r="AF30" s="190">
        <v>1604.7984644913643</v>
      </c>
      <c r="AG30" s="187">
        <f t="shared" si="49"/>
        <v>84.463077078492859</v>
      </c>
      <c r="AH30" s="184">
        <f t="shared" si="50"/>
        <v>4</v>
      </c>
      <c r="AI30" s="526"/>
      <c r="AJ30" s="190">
        <v>19</v>
      </c>
      <c r="AK30" s="190">
        <v>1605.0955414012747</v>
      </c>
      <c r="AL30" s="187">
        <f t="shared" si="41"/>
        <v>84.478712705330238</v>
      </c>
      <c r="AM30" s="184">
        <f t="shared" si="51"/>
        <v>3</v>
      </c>
      <c r="AN30" s="526"/>
      <c r="AO30" s="190">
        <v>19</v>
      </c>
      <c r="AP30" s="190">
        <v>1605.3872053872049</v>
      </c>
      <c r="AQ30" s="187">
        <f t="shared" si="42"/>
        <v>84.494063441431834</v>
      </c>
      <c r="AR30" s="184">
        <f t="shared" si="52"/>
        <v>3</v>
      </c>
      <c r="AS30" s="526"/>
      <c r="AT30" s="190">
        <v>19</v>
      </c>
      <c r="AU30" s="190">
        <v>1605.529283375773</v>
      </c>
      <c r="AV30" s="187">
        <f t="shared" si="43"/>
        <v>84.501541230303843</v>
      </c>
      <c r="AW30" s="184" t="e">
        <f t="shared" si="53"/>
        <v>#N/A</v>
      </c>
      <c r="AX30" s="526"/>
    </row>
    <row r="31" spans="2:50" ht="14.25" customHeight="1">
      <c r="B31" s="514"/>
      <c r="C31" s="182">
        <v>5</v>
      </c>
      <c r="D31" s="185"/>
      <c r="E31" s="182"/>
      <c r="F31" s="182"/>
      <c r="G31" s="187"/>
      <c r="H31" s="526"/>
      <c r="I31" s="188"/>
      <c r="J31" s="188"/>
      <c r="K31" s="189"/>
      <c r="L31" s="527"/>
      <c r="M31" s="188"/>
      <c r="N31" s="514"/>
      <c r="O31" s="514"/>
      <c r="P31" s="190"/>
      <c r="Q31" s="190"/>
      <c r="R31" s="187"/>
      <c r="S31" s="184"/>
      <c r="T31" s="526"/>
      <c r="U31" s="190"/>
      <c r="V31" s="190"/>
      <c r="W31" s="187"/>
      <c r="X31" s="184"/>
      <c r="Y31" s="526"/>
      <c r="Z31" s="190"/>
      <c r="AA31" s="190"/>
      <c r="AB31" s="187"/>
      <c r="AC31" s="184"/>
      <c r="AD31" s="526"/>
      <c r="AE31" s="190"/>
      <c r="AF31" s="190"/>
      <c r="AG31" s="187"/>
      <c r="AH31" s="184"/>
      <c r="AI31" s="526"/>
      <c r="AJ31" s="190"/>
      <c r="AK31" s="190"/>
      <c r="AL31" s="187"/>
      <c r="AM31" s="184"/>
      <c r="AN31" s="526"/>
      <c r="AO31" s="190"/>
      <c r="AP31" s="190"/>
      <c r="AQ31" s="187"/>
      <c r="AR31" s="184"/>
      <c r="AS31" s="526"/>
      <c r="AT31" s="190"/>
      <c r="AU31" s="190"/>
      <c r="AV31" s="187"/>
      <c r="AW31" s="184"/>
      <c r="AX31" s="526"/>
    </row>
    <row r="32" spans="2:50" ht="14.25" customHeight="1">
      <c r="B32" s="514"/>
      <c r="C32" s="182">
        <v>6</v>
      </c>
      <c r="D32" s="185"/>
      <c r="E32" s="182"/>
      <c r="F32" s="182"/>
      <c r="G32" s="187"/>
      <c r="H32" s="526"/>
      <c r="I32" s="188"/>
      <c r="J32" s="188"/>
      <c r="K32" s="189"/>
      <c r="L32" s="527"/>
      <c r="M32" s="188"/>
      <c r="N32" s="514"/>
      <c r="O32" s="514"/>
      <c r="P32" s="190"/>
      <c r="Q32" s="190"/>
      <c r="R32" s="187"/>
      <c r="S32" s="184"/>
      <c r="T32" s="526"/>
      <c r="U32" s="190"/>
      <c r="V32" s="190"/>
      <c r="W32" s="187"/>
      <c r="X32" s="184"/>
      <c r="Y32" s="526"/>
      <c r="Z32" s="190"/>
      <c r="AA32" s="190"/>
      <c r="AB32" s="187"/>
      <c r="AC32" s="184"/>
      <c r="AD32" s="526"/>
      <c r="AE32" s="190"/>
      <c r="AF32" s="190"/>
      <c r="AG32" s="187"/>
      <c r="AH32" s="184"/>
      <c r="AI32" s="526"/>
      <c r="AJ32" s="190"/>
      <c r="AK32" s="190"/>
      <c r="AL32" s="187"/>
      <c r="AM32" s="184"/>
      <c r="AN32" s="526"/>
      <c r="AO32" s="190"/>
      <c r="AP32" s="190"/>
      <c r="AQ32" s="187"/>
      <c r="AR32" s="184"/>
      <c r="AS32" s="526"/>
      <c r="AT32" s="190"/>
      <c r="AU32" s="190"/>
      <c r="AV32" s="187"/>
      <c r="AW32" s="184"/>
      <c r="AX32" s="526"/>
    </row>
    <row r="33" spans="2:50" ht="14.25" customHeight="1">
      <c r="B33" s="514"/>
      <c r="C33" s="182">
        <v>7</v>
      </c>
      <c r="D33" s="185"/>
      <c r="E33" s="182"/>
      <c r="F33" s="182"/>
      <c r="G33" s="187"/>
      <c r="H33" s="526"/>
      <c r="I33" s="188"/>
      <c r="J33" s="188"/>
      <c r="K33" s="189"/>
      <c r="L33" s="527"/>
      <c r="M33" s="188"/>
      <c r="N33" s="514"/>
      <c r="O33" s="514"/>
      <c r="P33" s="190"/>
      <c r="Q33" s="190"/>
      <c r="R33" s="187"/>
      <c r="S33" s="184"/>
      <c r="T33" s="526"/>
      <c r="U33" s="190"/>
      <c r="V33" s="190"/>
      <c r="W33" s="187"/>
      <c r="X33" s="184"/>
      <c r="Y33" s="526"/>
      <c r="Z33" s="190"/>
      <c r="AA33" s="190"/>
      <c r="AB33" s="187"/>
      <c r="AC33" s="184"/>
      <c r="AD33" s="526"/>
      <c r="AE33" s="190"/>
      <c r="AF33" s="190"/>
      <c r="AG33" s="187"/>
      <c r="AH33" s="184"/>
      <c r="AI33" s="526"/>
      <c r="AJ33" s="190"/>
      <c r="AK33" s="190"/>
      <c r="AL33" s="187"/>
      <c r="AM33" s="184"/>
      <c r="AN33" s="526"/>
      <c r="AO33" s="190"/>
      <c r="AP33" s="190"/>
      <c r="AQ33" s="187"/>
      <c r="AR33" s="184"/>
      <c r="AS33" s="526"/>
      <c r="AT33" s="190"/>
      <c r="AU33" s="190"/>
      <c r="AV33" s="187"/>
      <c r="AW33" s="184"/>
      <c r="AX33" s="526"/>
    </row>
    <row r="34" spans="2:50" ht="14.25" customHeight="1">
      <c r="B34" s="514"/>
      <c r="C34" s="182">
        <v>8</v>
      </c>
      <c r="D34" s="185"/>
      <c r="E34" s="182"/>
      <c r="F34" s="182"/>
      <c r="G34" s="187"/>
      <c r="H34" s="526"/>
      <c r="I34" s="188"/>
      <c r="J34" s="188"/>
      <c r="K34" s="189"/>
      <c r="L34" s="527"/>
      <c r="M34" s="188"/>
      <c r="N34" s="514"/>
      <c r="O34" s="514"/>
      <c r="P34" s="190"/>
      <c r="Q34" s="190"/>
      <c r="R34" s="187"/>
      <c r="S34" s="184"/>
      <c r="T34" s="526"/>
      <c r="U34" s="190"/>
      <c r="V34" s="190"/>
      <c r="W34" s="187"/>
      <c r="X34" s="184"/>
      <c r="Y34" s="526"/>
      <c r="Z34" s="190"/>
      <c r="AA34" s="190"/>
      <c r="AB34" s="187"/>
      <c r="AC34" s="184"/>
      <c r="AD34" s="526"/>
      <c r="AE34" s="190"/>
      <c r="AF34" s="190"/>
      <c r="AG34" s="187"/>
      <c r="AH34" s="184"/>
      <c r="AI34" s="526"/>
      <c r="AJ34" s="190"/>
      <c r="AK34" s="190"/>
      <c r="AL34" s="187"/>
      <c r="AM34" s="184"/>
      <c r="AN34" s="526"/>
      <c r="AO34" s="190"/>
      <c r="AP34" s="190"/>
      <c r="AQ34" s="187"/>
      <c r="AR34" s="184"/>
      <c r="AS34" s="526"/>
      <c r="AT34" s="190"/>
      <c r="AU34" s="190"/>
      <c r="AV34" s="187"/>
      <c r="AW34" s="184"/>
      <c r="AX34" s="526"/>
    </row>
    <row r="35" spans="2:50" ht="14.25" customHeight="1">
      <c r="B35" s="514"/>
      <c r="C35" s="182">
        <v>9</v>
      </c>
      <c r="D35" s="185"/>
      <c r="E35" s="182"/>
      <c r="F35" s="182"/>
      <c r="G35" s="187"/>
      <c r="H35" s="526"/>
      <c r="I35" s="188"/>
      <c r="J35" s="188"/>
      <c r="K35" s="189"/>
      <c r="L35" s="527"/>
      <c r="M35" s="188"/>
      <c r="N35" s="514"/>
      <c r="O35" s="514"/>
      <c r="P35" s="190"/>
      <c r="Q35" s="190"/>
      <c r="R35" s="187"/>
      <c r="S35" s="184"/>
      <c r="T35" s="526"/>
      <c r="U35" s="190"/>
      <c r="V35" s="190"/>
      <c r="W35" s="187"/>
      <c r="X35" s="184"/>
      <c r="Y35" s="526"/>
      <c r="Z35" s="190"/>
      <c r="AA35" s="190"/>
      <c r="AB35" s="187"/>
      <c r="AC35" s="184"/>
      <c r="AD35" s="526"/>
      <c r="AE35" s="190"/>
      <c r="AF35" s="190"/>
      <c r="AG35" s="187"/>
      <c r="AH35" s="184"/>
      <c r="AI35" s="526"/>
      <c r="AJ35" s="190"/>
      <c r="AK35" s="190"/>
      <c r="AL35" s="187"/>
      <c r="AM35" s="184"/>
      <c r="AN35" s="526"/>
      <c r="AO35" s="190"/>
      <c r="AP35" s="190"/>
      <c r="AQ35" s="187"/>
      <c r="AR35" s="184"/>
      <c r="AS35" s="526"/>
      <c r="AT35" s="190"/>
      <c r="AU35" s="190"/>
      <c r="AV35" s="187"/>
      <c r="AW35" s="184"/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54">U42+1</f>
        <v>46065</v>
      </c>
      <c r="AA42" s="583"/>
      <c r="AB42" s="583"/>
      <c r="AC42" s="583"/>
      <c r="AD42" s="583"/>
      <c r="AE42" s="584">
        <f t="shared" ref="AE42" si="55">Z42+1</f>
        <v>46066</v>
      </c>
      <c r="AF42" s="585"/>
      <c r="AG42" s="585"/>
      <c r="AH42" s="585"/>
      <c r="AI42" s="585"/>
      <c r="AJ42" s="586">
        <f t="shared" ref="AJ42" si="56">AE42+1</f>
        <v>46067</v>
      </c>
      <c r="AK42" s="587"/>
      <c r="AL42" s="587"/>
      <c r="AM42" s="587"/>
      <c r="AN42" s="588"/>
      <c r="AO42" s="584">
        <f t="shared" ref="AO42" si="57">AJ42+1</f>
        <v>46068</v>
      </c>
      <c r="AP42" s="585"/>
      <c r="AQ42" s="585"/>
      <c r="AR42" s="585"/>
      <c r="AS42" s="585"/>
      <c r="AT42" s="586">
        <f t="shared" ref="AT42" si="58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59">Z42</f>
        <v>46065</v>
      </c>
      <c r="AA43" s="589"/>
      <c r="AB43" s="589"/>
      <c r="AC43" s="589"/>
      <c r="AD43" s="589"/>
      <c r="AE43" s="590">
        <f t="shared" ref="AE43" si="60">AE42</f>
        <v>46066</v>
      </c>
      <c r="AF43" s="590"/>
      <c r="AG43" s="590"/>
      <c r="AH43" s="590"/>
      <c r="AI43" s="590"/>
      <c r="AJ43" s="591">
        <f t="shared" ref="AJ43" si="61">AJ42</f>
        <v>46067</v>
      </c>
      <c r="AK43" s="592"/>
      <c r="AL43" s="592"/>
      <c r="AM43" s="592"/>
      <c r="AN43" s="593"/>
      <c r="AO43" s="590">
        <f t="shared" ref="AO43" si="62">AO42</f>
        <v>46068</v>
      </c>
      <c r="AP43" s="590"/>
      <c r="AQ43" s="590"/>
      <c r="AR43" s="590"/>
      <c r="AS43" s="590"/>
      <c r="AT43" s="591">
        <f t="shared" ref="AT43" si="63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14" t="s">
        <v>391</v>
      </c>
      <c r="C47" s="182">
        <v>1</v>
      </c>
      <c r="D47" s="185"/>
      <c r="E47" s="182"/>
      <c r="F47" s="182"/>
      <c r="G47" s="187" t="e">
        <f t="shared" ref="G47:G56" si="64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65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66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64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67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68">IFERROR(AF48/AE48,"")</f>
        <v>183.41069933795009</v>
      </c>
      <c r="AH48" s="184" t="e">
        <f t="shared" ref="AH48:AH56" si="69">RANK(AG48, AG$27:AG$41)</f>
        <v>#N/A</v>
      </c>
      <c r="AI48" s="526"/>
      <c r="AJ48" s="190"/>
      <c r="AK48" s="190"/>
      <c r="AL48" s="187"/>
      <c r="AM48" s="184" t="e">
        <f t="shared" ref="AM48:AM56" si="70">RANK(AL48, AL$27:AL$41)</f>
        <v>#N/A</v>
      </c>
      <c r="AN48" s="526"/>
      <c r="AO48" s="190"/>
      <c r="AP48" s="190"/>
      <c r="AQ48" s="187" t="str">
        <f t="shared" si="65"/>
        <v/>
      </c>
      <c r="AR48" s="184" t="e">
        <f t="shared" ref="AR48:AR56" si="71">RANK(AQ48, AQ$27:AQ$41)</f>
        <v>#VALUE!</v>
      </c>
      <c r="AS48" s="526"/>
      <c r="AT48" s="190"/>
      <c r="AU48" s="190"/>
      <c r="AV48" s="187"/>
      <c r="AW48" s="184" t="e">
        <f t="shared" ref="AW48:AW56" si="72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64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67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68"/>
        <v>286.56852329640265</v>
      </c>
      <c r="AH49" s="184" t="e">
        <f t="shared" si="69"/>
        <v>#N/A</v>
      </c>
      <c r="AI49" s="526"/>
      <c r="AJ49" s="190"/>
      <c r="AK49" s="190"/>
      <c r="AL49" s="187"/>
      <c r="AM49" s="184" t="e">
        <f t="shared" si="70"/>
        <v>#N/A</v>
      </c>
      <c r="AN49" s="526"/>
      <c r="AO49" s="190"/>
      <c r="AP49" s="190"/>
      <c r="AQ49" s="187" t="str">
        <f t="shared" si="65"/>
        <v/>
      </c>
      <c r="AR49" s="184" t="e">
        <f t="shared" si="71"/>
        <v>#VALUE!</v>
      </c>
      <c r="AS49" s="526"/>
      <c r="AT49" s="190"/>
      <c r="AU49" s="190"/>
      <c r="AV49" s="187"/>
      <c r="AW49" s="184" t="e">
        <f t="shared" si="72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64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68"/>
        <v>386.3900414937761</v>
      </c>
      <c r="AH50" s="184" t="e">
        <f t="shared" si="69"/>
        <v>#N/A</v>
      </c>
      <c r="AI50" s="526"/>
      <c r="AJ50" s="190"/>
      <c r="AK50" s="190"/>
      <c r="AL50" s="187"/>
      <c r="AM50" s="184" t="e">
        <f t="shared" si="70"/>
        <v>#N/A</v>
      </c>
      <c r="AN50" s="526"/>
      <c r="AO50" s="190"/>
      <c r="AP50" s="190"/>
      <c r="AQ50" s="187" t="str">
        <f t="shared" si="65"/>
        <v/>
      </c>
      <c r="AR50" s="184" t="e">
        <f t="shared" si="71"/>
        <v>#VALUE!</v>
      </c>
      <c r="AS50" s="526"/>
      <c r="AT50" s="190"/>
      <c r="AU50" s="190"/>
      <c r="AV50" s="187"/>
      <c r="AW50" s="184" t="e">
        <f t="shared" si="72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64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68"/>
        <v>375.74552683896599</v>
      </c>
      <c r="AH51" s="184" t="e">
        <f t="shared" si="69"/>
        <v>#N/A</v>
      </c>
      <c r="AI51" s="526"/>
      <c r="AJ51" s="190"/>
      <c r="AK51" s="190"/>
      <c r="AL51" s="187"/>
      <c r="AM51" s="184" t="e">
        <f t="shared" si="70"/>
        <v>#N/A</v>
      </c>
      <c r="AN51" s="526"/>
      <c r="AO51" s="190"/>
      <c r="AP51" s="190"/>
      <c r="AQ51" s="187" t="str">
        <f t="shared" si="65"/>
        <v/>
      </c>
      <c r="AR51" s="184" t="e">
        <f t="shared" si="71"/>
        <v>#VALUE!</v>
      </c>
      <c r="AS51" s="526"/>
      <c r="AT51" s="190"/>
      <c r="AU51" s="190"/>
      <c r="AV51" s="187"/>
      <c r="AW51" s="184" t="e">
        <f t="shared" si="72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64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68"/>
        <v>386.4406779661013</v>
      </c>
      <c r="AH52" s="184" t="e">
        <f t="shared" si="69"/>
        <v>#N/A</v>
      </c>
      <c r="AI52" s="526"/>
      <c r="AJ52" s="190"/>
      <c r="AK52" s="190"/>
      <c r="AL52" s="187"/>
      <c r="AM52" s="184" t="e">
        <f t="shared" si="70"/>
        <v>#N/A</v>
      </c>
      <c r="AN52" s="526"/>
      <c r="AO52" s="190"/>
      <c r="AP52" s="190"/>
      <c r="AQ52" s="187" t="str">
        <f t="shared" si="65"/>
        <v/>
      </c>
      <c r="AR52" s="184" t="e">
        <f t="shared" si="71"/>
        <v>#VALUE!</v>
      </c>
      <c r="AS52" s="526"/>
      <c r="AT52" s="190"/>
      <c r="AU52" s="190"/>
      <c r="AV52" s="187"/>
      <c r="AW52" s="184" t="e">
        <f t="shared" si="72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64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68"/>
        <v>127.79864763335836</v>
      </c>
      <c r="AH53" s="184" t="e">
        <f t="shared" si="69"/>
        <v>#N/A</v>
      </c>
      <c r="AI53" s="526"/>
      <c r="AJ53" s="190"/>
      <c r="AK53" s="190"/>
      <c r="AL53" s="187"/>
      <c r="AM53" s="184" t="e">
        <f t="shared" si="70"/>
        <v>#N/A</v>
      </c>
      <c r="AN53" s="526"/>
      <c r="AO53" s="190"/>
      <c r="AP53" s="190"/>
      <c r="AQ53" s="187" t="str">
        <f t="shared" si="65"/>
        <v/>
      </c>
      <c r="AR53" s="184" t="e">
        <f t="shared" si="71"/>
        <v>#VALUE!</v>
      </c>
      <c r="AS53" s="526"/>
      <c r="AT53" s="190"/>
      <c r="AU53" s="190"/>
      <c r="AV53" s="187"/>
      <c r="AW53" s="184" t="e">
        <f t="shared" si="72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64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68"/>
        <v>183.34709515473759</v>
      </c>
      <c r="AH54" s="184" t="e">
        <f t="shared" si="69"/>
        <v>#N/A</v>
      </c>
      <c r="AI54" s="526"/>
      <c r="AJ54" s="190"/>
      <c r="AK54" s="190"/>
      <c r="AL54" s="187"/>
      <c r="AM54" s="184" t="e">
        <f t="shared" si="70"/>
        <v>#N/A</v>
      </c>
      <c r="AN54" s="526"/>
      <c r="AO54" s="190"/>
      <c r="AP54" s="190"/>
      <c r="AQ54" s="187" t="str">
        <f t="shared" si="65"/>
        <v/>
      </c>
      <c r="AR54" s="184" t="e">
        <f t="shared" si="71"/>
        <v>#VALUE!</v>
      </c>
      <c r="AS54" s="526"/>
      <c r="AT54" s="190"/>
      <c r="AU54" s="190"/>
      <c r="AV54" s="187"/>
      <c r="AW54" s="184" t="e">
        <f t="shared" si="72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64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68"/>
        <v>183.51228908786049</v>
      </c>
      <c r="AH55" s="184" t="e">
        <f t="shared" si="69"/>
        <v>#N/A</v>
      </c>
      <c r="AI55" s="526"/>
      <c r="AJ55" s="190"/>
      <c r="AK55" s="190"/>
      <c r="AL55" s="187"/>
      <c r="AM55" s="184" t="e">
        <f t="shared" si="70"/>
        <v>#N/A</v>
      </c>
      <c r="AN55" s="526"/>
      <c r="AO55" s="190"/>
      <c r="AP55" s="190"/>
      <c r="AQ55" s="187" t="str">
        <f t="shared" si="65"/>
        <v/>
      </c>
      <c r="AR55" s="184" t="e">
        <f t="shared" si="71"/>
        <v>#VALUE!</v>
      </c>
      <c r="AS55" s="526"/>
      <c r="AT55" s="190"/>
      <c r="AU55" s="190"/>
      <c r="AV55" s="187"/>
      <c r="AW55" s="184" t="e">
        <f t="shared" si="72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64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68"/>
        <v>286.63901543482666</v>
      </c>
      <c r="AH56" s="184" t="e">
        <f t="shared" si="69"/>
        <v>#N/A</v>
      </c>
      <c r="AI56" s="526"/>
      <c r="AJ56" s="190"/>
      <c r="AK56" s="190"/>
      <c r="AL56" s="187"/>
      <c r="AM56" s="184" t="e">
        <f t="shared" si="70"/>
        <v>#N/A</v>
      </c>
      <c r="AN56" s="526"/>
      <c r="AO56" s="190"/>
      <c r="AP56" s="190"/>
      <c r="AQ56" s="187" t="str">
        <f t="shared" si="65"/>
        <v/>
      </c>
      <c r="AR56" s="184" t="e">
        <f t="shared" si="71"/>
        <v>#VALUE!</v>
      </c>
      <c r="AS56" s="526"/>
      <c r="AT56" s="190"/>
      <c r="AU56" s="190"/>
      <c r="AV56" s="187"/>
      <c r="AW56" s="184" t="e">
        <f t="shared" si="72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73">U62+1</f>
        <v>46072</v>
      </c>
      <c r="AA62" s="583"/>
      <c r="AB62" s="583"/>
      <c r="AC62" s="583"/>
      <c r="AD62" s="583"/>
      <c r="AE62" s="584">
        <f t="shared" ref="AE62" si="74">Z62+1</f>
        <v>46073</v>
      </c>
      <c r="AF62" s="585"/>
      <c r="AG62" s="585"/>
      <c r="AH62" s="585"/>
      <c r="AI62" s="585"/>
      <c r="AJ62" s="586">
        <f t="shared" ref="AJ62" si="75">AE62+1</f>
        <v>46074</v>
      </c>
      <c r="AK62" s="587"/>
      <c r="AL62" s="587"/>
      <c r="AM62" s="587"/>
      <c r="AN62" s="588"/>
      <c r="AO62" s="584">
        <f t="shared" ref="AO62" si="76">AJ62+1</f>
        <v>46075</v>
      </c>
      <c r="AP62" s="585"/>
      <c r="AQ62" s="585"/>
      <c r="AR62" s="585"/>
      <c r="AS62" s="585"/>
      <c r="AT62" s="586">
        <f t="shared" ref="AT62" si="77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78">Z62</f>
        <v>46072</v>
      </c>
      <c r="AA63" s="589"/>
      <c r="AB63" s="589"/>
      <c r="AC63" s="589"/>
      <c r="AD63" s="589"/>
      <c r="AE63" s="590">
        <f t="shared" ref="AE63" si="79">AE62</f>
        <v>46073</v>
      </c>
      <c r="AF63" s="590"/>
      <c r="AG63" s="590"/>
      <c r="AH63" s="590"/>
      <c r="AI63" s="590"/>
      <c r="AJ63" s="591">
        <f t="shared" ref="AJ63" si="80">AJ62</f>
        <v>46074</v>
      </c>
      <c r="AK63" s="592"/>
      <c r="AL63" s="592"/>
      <c r="AM63" s="592"/>
      <c r="AN63" s="593"/>
      <c r="AO63" s="590">
        <f t="shared" ref="AO63" si="81">AO62</f>
        <v>46075</v>
      </c>
      <c r="AP63" s="590"/>
      <c r="AQ63" s="590"/>
      <c r="AR63" s="590"/>
      <c r="AS63" s="590"/>
      <c r="AT63" s="591">
        <f t="shared" ref="AT63" si="82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14" t="s">
        <v>391</v>
      </c>
      <c r="C67" s="182">
        <v>1</v>
      </c>
      <c r="D67" s="185"/>
      <c r="E67" s="182"/>
      <c r="F67" s="182"/>
      <c r="G67" s="187" t="e">
        <f t="shared" ref="G67:G76" si="83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84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85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83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86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87">IFERROR(AF68/AE68,"")</f>
        <v>183.41069933795009</v>
      </c>
      <c r="AH68" s="184" t="e">
        <f t="shared" ref="AH68:AH76" si="88">RANK(AG68, AG$27:AG$41)</f>
        <v>#N/A</v>
      </c>
      <c r="AI68" s="526"/>
      <c r="AJ68" s="190"/>
      <c r="AK68" s="190"/>
      <c r="AL68" s="187"/>
      <c r="AM68" s="184" t="e">
        <f t="shared" ref="AM68:AM76" si="89">RANK(AL68, AL$27:AL$41)</f>
        <v>#N/A</v>
      </c>
      <c r="AN68" s="526"/>
      <c r="AO68" s="190"/>
      <c r="AP68" s="190"/>
      <c r="AQ68" s="187" t="str">
        <f t="shared" si="84"/>
        <v/>
      </c>
      <c r="AR68" s="184" t="e">
        <f t="shared" ref="AR68:AR76" si="90">RANK(AQ68, AQ$27:AQ$41)</f>
        <v>#VALUE!</v>
      </c>
      <c r="AS68" s="526"/>
      <c r="AT68" s="190"/>
      <c r="AU68" s="190"/>
      <c r="AV68" s="187"/>
      <c r="AW68" s="184" t="e">
        <f t="shared" ref="AW68:AW76" si="91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83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86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87"/>
        <v>286.56852329640265</v>
      </c>
      <c r="AH69" s="184" t="e">
        <f t="shared" si="88"/>
        <v>#N/A</v>
      </c>
      <c r="AI69" s="526"/>
      <c r="AJ69" s="190"/>
      <c r="AK69" s="190"/>
      <c r="AL69" s="187"/>
      <c r="AM69" s="184" t="e">
        <f t="shared" si="89"/>
        <v>#N/A</v>
      </c>
      <c r="AN69" s="526"/>
      <c r="AO69" s="190"/>
      <c r="AP69" s="190"/>
      <c r="AQ69" s="187" t="str">
        <f t="shared" si="84"/>
        <v/>
      </c>
      <c r="AR69" s="184" t="e">
        <f t="shared" si="90"/>
        <v>#VALUE!</v>
      </c>
      <c r="AS69" s="526"/>
      <c r="AT69" s="190"/>
      <c r="AU69" s="190"/>
      <c r="AV69" s="187"/>
      <c r="AW69" s="184" t="e">
        <f t="shared" si="91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83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87"/>
        <v>386.3900414937761</v>
      </c>
      <c r="AH70" s="184" t="e">
        <f t="shared" si="88"/>
        <v>#N/A</v>
      </c>
      <c r="AI70" s="526"/>
      <c r="AJ70" s="190"/>
      <c r="AK70" s="190"/>
      <c r="AL70" s="187"/>
      <c r="AM70" s="184" t="e">
        <f t="shared" si="89"/>
        <v>#N/A</v>
      </c>
      <c r="AN70" s="526"/>
      <c r="AO70" s="190"/>
      <c r="AP70" s="190"/>
      <c r="AQ70" s="187" t="str">
        <f t="shared" si="84"/>
        <v/>
      </c>
      <c r="AR70" s="184" t="e">
        <f t="shared" si="90"/>
        <v>#VALUE!</v>
      </c>
      <c r="AS70" s="526"/>
      <c r="AT70" s="190"/>
      <c r="AU70" s="190"/>
      <c r="AV70" s="187"/>
      <c r="AW70" s="184" t="e">
        <f t="shared" si="91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83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87"/>
        <v>375.74552683896599</v>
      </c>
      <c r="AH71" s="184" t="e">
        <f t="shared" si="88"/>
        <v>#N/A</v>
      </c>
      <c r="AI71" s="526"/>
      <c r="AJ71" s="190"/>
      <c r="AK71" s="190"/>
      <c r="AL71" s="187"/>
      <c r="AM71" s="184" t="e">
        <f t="shared" si="89"/>
        <v>#N/A</v>
      </c>
      <c r="AN71" s="526"/>
      <c r="AO71" s="190"/>
      <c r="AP71" s="190"/>
      <c r="AQ71" s="187" t="str">
        <f t="shared" si="84"/>
        <v/>
      </c>
      <c r="AR71" s="184" t="e">
        <f t="shared" si="90"/>
        <v>#VALUE!</v>
      </c>
      <c r="AS71" s="526"/>
      <c r="AT71" s="190"/>
      <c r="AU71" s="190"/>
      <c r="AV71" s="187"/>
      <c r="AW71" s="184" t="e">
        <f t="shared" si="91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83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87"/>
        <v>386.4406779661013</v>
      </c>
      <c r="AH72" s="184" t="e">
        <f t="shared" si="88"/>
        <v>#N/A</v>
      </c>
      <c r="AI72" s="526"/>
      <c r="AJ72" s="190"/>
      <c r="AK72" s="190"/>
      <c r="AL72" s="187"/>
      <c r="AM72" s="184" t="e">
        <f t="shared" si="89"/>
        <v>#N/A</v>
      </c>
      <c r="AN72" s="526"/>
      <c r="AO72" s="190"/>
      <c r="AP72" s="190"/>
      <c r="AQ72" s="187" t="str">
        <f t="shared" si="84"/>
        <v/>
      </c>
      <c r="AR72" s="184" t="e">
        <f t="shared" si="90"/>
        <v>#VALUE!</v>
      </c>
      <c r="AS72" s="526"/>
      <c r="AT72" s="190"/>
      <c r="AU72" s="190"/>
      <c r="AV72" s="187"/>
      <c r="AW72" s="184" t="e">
        <f t="shared" si="91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83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87"/>
        <v>127.79864763335836</v>
      </c>
      <c r="AH73" s="184" t="e">
        <f t="shared" si="88"/>
        <v>#N/A</v>
      </c>
      <c r="AI73" s="526"/>
      <c r="AJ73" s="190"/>
      <c r="AK73" s="190"/>
      <c r="AL73" s="187"/>
      <c r="AM73" s="184" t="e">
        <f t="shared" si="89"/>
        <v>#N/A</v>
      </c>
      <c r="AN73" s="526"/>
      <c r="AO73" s="190"/>
      <c r="AP73" s="190"/>
      <c r="AQ73" s="187" t="str">
        <f t="shared" si="84"/>
        <v/>
      </c>
      <c r="AR73" s="184" t="e">
        <f t="shared" si="90"/>
        <v>#VALUE!</v>
      </c>
      <c r="AS73" s="526"/>
      <c r="AT73" s="190"/>
      <c r="AU73" s="190"/>
      <c r="AV73" s="187"/>
      <c r="AW73" s="184" t="e">
        <f t="shared" si="91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83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87"/>
        <v>183.34709515473759</v>
      </c>
      <c r="AH74" s="184" t="e">
        <f t="shared" si="88"/>
        <v>#N/A</v>
      </c>
      <c r="AI74" s="526"/>
      <c r="AJ74" s="190"/>
      <c r="AK74" s="190"/>
      <c r="AL74" s="187"/>
      <c r="AM74" s="184" t="e">
        <f t="shared" si="89"/>
        <v>#N/A</v>
      </c>
      <c r="AN74" s="526"/>
      <c r="AO74" s="190"/>
      <c r="AP74" s="190"/>
      <c r="AQ74" s="187" t="str">
        <f t="shared" si="84"/>
        <v/>
      </c>
      <c r="AR74" s="184" t="e">
        <f t="shared" si="90"/>
        <v>#VALUE!</v>
      </c>
      <c r="AS74" s="526"/>
      <c r="AT74" s="190"/>
      <c r="AU74" s="190"/>
      <c r="AV74" s="187"/>
      <c r="AW74" s="184" t="e">
        <f t="shared" si="91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83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87"/>
        <v>183.51228908786049</v>
      </c>
      <c r="AH75" s="184" t="e">
        <f t="shared" si="88"/>
        <v>#N/A</v>
      </c>
      <c r="AI75" s="526"/>
      <c r="AJ75" s="190"/>
      <c r="AK75" s="190"/>
      <c r="AL75" s="187"/>
      <c r="AM75" s="184" t="e">
        <f t="shared" si="89"/>
        <v>#N/A</v>
      </c>
      <c r="AN75" s="526"/>
      <c r="AO75" s="190"/>
      <c r="AP75" s="190"/>
      <c r="AQ75" s="187" t="str">
        <f t="shared" si="84"/>
        <v/>
      </c>
      <c r="AR75" s="184" t="e">
        <f t="shared" si="90"/>
        <v>#VALUE!</v>
      </c>
      <c r="AS75" s="526"/>
      <c r="AT75" s="190"/>
      <c r="AU75" s="190"/>
      <c r="AV75" s="187"/>
      <c r="AW75" s="184" t="e">
        <f t="shared" si="91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83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87"/>
        <v>286.63901543482666</v>
      </c>
      <c r="AH76" s="184" t="e">
        <f t="shared" si="88"/>
        <v>#N/A</v>
      </c>
      <c r="AI76" s="526"/>
      <c r="AJ76" s="190"/>
      <c r="AK76" s="190"/>
      <c r="AL76" s="187"/>
      <c r="AM76" s="184" t="e">
        <f t="shared" si="89"/>
        <v>#N/A</v>
      </c>
      <c r="AN76" s="526"/>
      <c r="AO76" s="190"/>
      <c r="AP76" s="190"/>
      <c r="AQ76" s="187" t="str">
        <f t="shared" si="84"/>
        <v/>
      </c>
      <c r="AR76" s="184" t="e">
        <f t="shared" si="90"/>
        <v>#VALUE!</v>
      </c>
      <c r="AS76" s="526"/>
      <c r="AT76" s="190"/>
      <c r="AU76" s="190"/>
      <c r="AV76" s="187"/>
      <c r="AW76" s="184" t="e">
        <f t="shared" si="91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92">U82+1</f>
        <v>46079</v>
      </c>
      <c r="AA82" s="583"/>
      <c r="AB82" s="583"/>
      <c r="AC82" s="583"/>
      <c r="AD82" s="583"/>
      <c r="AE82" s="584">
        <f t="shared" ref="AE82" si="93">Z82+1</f>
        <v>46080</v>
      </c>
      <c r="AF82" s="585"/>
      <c r="AG82" s="585"/>
      <c r="AH82" s="585"/>
      <c r="AI82" s="585"/>
      <c r="AJ82" s="586">
        <f t="shared" ref="AJ82" si="94">AE82+1</f>
        <v>46081</v>
      </c>
      <c r="AK82" s="587"/>
      <c r="AL82" s="587"/>
      <c r="AM82" s="587"/>
      <c r="AN82" s="588"/>
      <c r="AO82" s="584">
        <f t="shared" ref="AO82" si="95">AJ82+1</f>
        <v>46082</v>
      </c>
      <c r="AP82" s="585"/>
      <c r="AQ82" s="585"/>
      <c r="AR82" s="585"/>
      <c r="AS82" s="585"/>
      <c r="AT82" s="586">
        <f t="shared" ref="AT82" si="96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97">Z82</f>
        <v>46079</v>
      </c>
      <c r="AA83" s="589"/>
      <c r="AB83" s="589"/>
      <c r="AC83" s="589"/>
      <c r="AD83" s="589"/>
      <c r="AE83" s="590">
        <f t="shared" ref="AE83" si="98">AE82</f>
        <v>46080</v>
      </c>
      <c r="AF83" s="590"/>
      <c r="AG83" s="590"/>
      <c r="AH83" s="590"/>
      <c r="AI83" s="590"/>
      <c r="AJ83" s="591">
        <f t="shared" ref="AJ83" si="99">AJ82</f>
        <v>46081</v>
      </c>
      <c r="AK83" s="592"/>
      <c r="AL83" s="592"/>
      <c r="AM83" s="592"/>
      <c r="AN83" s="593"/>
      <c r="AO83" s="590">
        <f t="shared" ref="AO83" si="100">AO82</f>
        <v>46082</v>
      </c>
      <c r="AP83" s="590"/>
      <c r="AQ83" s="590"/>
      <c r="AR83" s="590"/>
      <c r="AS83" s="590"/>
      <c r="AT83" s="591">
        <f t="shared" ref="AT83" si="101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14" t="s">
        <v>391</v>
      </c>
      <c r="C87" s="182">
        <v>1</v>
      </c>
      <c r="D87" s="185"/>
      <c r="E87" s="182"/>
      <c r="F87" s="182"/>
      <c r="G87" s="187" t="e">
        <f t="shared" ref="G87:G96" si="102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103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104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102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105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106">IFERROR(AF88/AE88,"")</f>
        <v>183.41069933795009</v>
      </c>
      <c r="AH88" s="184" t="e">
        <f t="shared" ref="AH88:AH96" si="107">RANK(AG88, AG$27:AG$41)</f>
        <v>#N/A</v>
      </c>
      <c r="AI88" s="526"/>
      <c r="AJ88" s="190"/>
      <c r="AK88" s="190"/>
      <c r="AL88" s="187"/>
      <c r="AM88" s="184" t="e">
        <f t="shared" ref="AM88:AM96" si="108">RANK(AL88, AL$27:AL$41)</f>
        <v>#N/A</v>
      </c>
      <c r="AN88" s="526"/>
      <c r="AO88" s="190"/>
      <c r="AP88" s="190"/>
      <c r="AQ88" s="187" t="str">
        <f t="shared" si="103"/>
        <v/>
      </c>
      <c r="AR88" s="184" t="e">
        <f t="shared" ref="AR88:AR96" si="109">RANK(AQ88, AQ$27:AQ$41)</f>
        <v>#VALUE!</v>
      </c>
      <c r="AS88" s="526"/>
      <c r="AT88" s="190"/>
      <c r="AU88" s="190"/>
      <c r="AV88" s="187"/>
      <c r="AW88" s="184" t="e">
        <f t="shared" ref="AW88:AW96" si="110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102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105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106"/>
        <v>286.56852329640265</v>
      </c>
      <c r="AH89" s="184" t="e">
        <f t="shared" si="107"/>
        <v>#N/A</v>
      </c>
      <c r="AI89" s="526"/>
      <c r="AJ89" s="190"/>
      <c r="AK89" s="190"/>
      <c r="AL89" s="187"/>
      <c r="AM89" s="184" t="e">
        <f t="shared" si="108"/>
        <v>#N/A</v>
      </c>
      <c r="AN89" s="526"/>
      <c r="AO89" s="190"/>
      <c r="AP89" s="190"/>
      <c r="AQ89" s="187" t="str">
        <f t="shared" si="103"/>
        <v/>
      </c>
      <c r="AR89" s="184" t="e">
        <f t="shared" si="109"/>
        <v>#VALUE!</v>
      </c>
      <c r="AS89" s="526"/>
      <c r="AT89" s="190"/>
      <c r="AU89" s="190"/>
      <c r="AV89" s="187"/>
      <c r="AW89" s="184" t="e">
        <f t="shared" si="110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102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106"/>
        <v>386.3900414937761</v>
      </c>
      <c r="AH90" s="184" t="e">
        <f t="shared" si="107"/>
        <v>#N/A</v>
      </c>
      <c r="AI90" s="526"/>
      <c r="AJ90" s="190"/>
      <c r="AK90" s="190"/>
      <c r="AL90" s="187"/>
      <c r="AM90" s="184" t="e">
        <f t="shared" si="108"/>
        <v>#N/A</v>
      </c>
      <c r="AN90" s="526"/>
      <c r="AO90" s="190"/>
      <c r="AP90" s="190"/>
      <c r="AQ90" s="187" t="str">
        <f t="shared" si="103"/>
        <v/>
      </c>
      <c r="AR90" s="184" t="e">
        <f t="shared" si="109"/>
        <v>#VALUE!</v>
      </c>
      <c r="AS90" s="526"/>
      <c r="AT90" s="190"/>
      <c r="AU90" s="190"/>
      <c r="AV90" s="187"/>
      <c r="AW90" s="184" t="e">
        <f t="shared" si="110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102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106"/>
        <v>375.74552683896599</v>
      </c>
      <c r="AH91" s="184" t="e">
        <f t="shared" si="107"/>
        <v>#N/A</v>
      </c>
      <c r="AI91" s="526"/>
      <c r="AJ91" s="190"/>
      <c r="AK91" s="190"/>
      <c r="AL91" s="187"/>
      <c r="AM91" s="184" t="e">
        <f t="shared" si="108"/>
        <v>#N/A</v>
      </c>
      <c r="AN91" s="526"/>
      <c r="AO91" s="190"/>
      <c r="AP91" s="190"/>
      <c r="AQ91" s="187" t="str">
        <f t="shared" si="103"/>
        <v/>
      </c>
      <c r="AR91" s="184" t="e">
        <f t="shared" si="109"/>
        <v>#VALUE!</v>
      </c>
      <c r="AS91" s="526"/>
      <c r="AT91" s="190"/>
      <c r="AU91" s="190"/>
      <c r="AV91" s="187"/>
      <c r="AW91" s="184" t="e">
        <f t="shared" si="110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102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106"/>
        <v>386.4406779661013</v>
      </c>
      <c r="AH92" s="184" t="e">
        <f t="shared" si="107"/>
        <v>#N/A</v>
      </c>
      <c r="AI92" s="526"/>
      <c r="AJ92" s="190"/>
      <c r="AK92" s="190"/>
      <c r="AL92" s="187"/>
      <c r="AM92" s="184" t="e">
        <f t="shared" si="108"/>
        <v>#N/A</v>
      </c>
      <c r="AN92" s="526"/>
      <c r="AO92" s="190"/>
      <c r="AP92" s="190"/>
      <c r="AQ92" s="187" t="str">
        <f t="shared" si="103"/>
        <v/>
      </c>
      <c r="AR92" s="184" t="e">
        <f t="shared" si="109"/>
        <v>#VALUE!</v>
      </c>
      <c r="AS92" s="526"/>
      <c r="AT92" s="190"/>
      <c r="AU92" s="190"/>
      <c r="AV92" s="187"/>
      <c r="AW92" s="184" t="e">
        <f t="shared" si="110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102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106"/>
        <v>127.79864763335836</v>
      </c>
      <c r="AH93" s="184" t="e">
        <f t="shared" si="107"/>
        <v>#N/A</v>
      </c>
      <c r="AI93" s="526"/>
      <c r="AJ93" s="190"/>
      <c r="AK93" s="190"/>
      <c r="AL93" s="187"/>
      <c r="AM93" s="184" t="e">
        <f t="shared" si="108"/>
        <v>#N/A</v>
      </c>
      <c r="AN93" s="526"/>
      <c r="AO93" s="190"/>
      <c r="AP93" s="190"/>
      <c r="AQ93" s="187" t="str">
        <f t="shared" si="103"/>
        <v/>
      </c>
      <c r="AR93" s="184" t="e">
        <f t="shared" si="109"/>
        <v>#VALUE!</v>
      </c>
      <c r="AS93" s="526"/>
      <c r="AT93" s="190"/>
      <c r="AU93" s="190"/>
      <c r="AV93" s="187"/>
      <c r="AW93" s="184" t="e">
        <f t="shared" si="110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102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106"/>
        <v>183.34709515473759</v>
      </c>
      <c r="AH94" s="184" t="e">
        <f t="shared" si="107"/>
        <v>#N/A</v>
      </c>
      <c r="AI94" s="526"/>
      <c r="AJ94" s="190"/>
      <c r="AK94" s="190"/>
      <c r="AL94" s="187"/>
      <c r="AM94" s="184" t="e">
        <f t="shared" si="108"/>
        <v>#N/A</v>
      </c>
      <c r="AN94" s="526"/>
      <c r="AO94" s="190"/>
      <c r="AP94" s="190"/>
      <c r="AQ94" s="187" t="str">
        <f t="shared" si="103"/>
        <v/>
      </c>
      <c r="AR94" s="184" t="e">
        <f t="shared" si="109"/>
        <v>#VALUE!</v>
      </c>
      <c r="AS94" s="526"/>
      <c r="AT94" s="190"/>
      <c r="AU94" s="190"/>
      <c r="AV94" s="187"/>
      <c r="AW94" s="184" t="e">
        <f t="shared" si="110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102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106"/>
        <v>183.51228908786049</v>
      </c>
      <c r="AH95" s="184" t="e">
        <f t="shared" si="107"/>
        <v>#N/A</v>
      </c>
      <c r="AI95" s="526"/>
      <c r="AJ95" s="190"/>
      <c r="AK95" s="190"/>
      <c r="AL95" s="187"/>
      <c r="AM95" s="184" t="e">
        <f t="shared" si="108"/>
        <v>#N/A</v>
      </c>
      <c r="AN95" s="526"/>
      <c r="AO95" s="190"/>
      <c r="AP95" s="190"/>
      <c r="AQ95" s="187" t="str">
        <f t="shared" si="103"/>
        <v/>
      </c>
      <c r="AR95" s="184" t="e">
        <f t="shared" si="109"/>
        <v>#VALUE!</v>
      </c>
      <c r="AS95" s="526"/>
      <c r="AT95" s="190"/>
      <c r="AU95" s="190"/>
      <c r="AV95" s="187"/>
      <c r="AW95" s="184" t="e">
        <f t="shared" si="110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102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106"/>
        <v>286.63901543482666</v>
      </c>
      <c r="AH96" s="184" t="e">
        <f t="shared" si="107"/>
        <v>#N/A</v>
      </c>
      <c r="AI96" s="526"/>
      <c r="AJ96" s="190"/>
      <c r="AK96" s="190"/>
      <c r="AL96" s="187"/>
      <c r="AM96" s="184" t="e">
        <f t="shared" si="108"/>
        <v>#N/A</v>
      </c>
      <c r="AN96" s="526"/>
      <c r="AO96" s="190"/>
      <c r="AP96" s="190"/>
      <c r="AQ96" s="187" t="str">
        <f t="shared" si="103"/>
        <v/>
      </c>
      <c r="AR96" s="184" t="e">
        <f t="shared" si="109"/>
        <v>#VALUE!</v>
      </c>
      <c r="AS96" s="526"/>
      <c r="AT96" s="190"/>
      <c r="AU96" s="190"/>
      <c r="AV96" s="187"/>
      <c r="AW96" s="184" t="e">
        <f t="shared" si="110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17" activePane="bottomRight" state="frozen"/>
      <selection activeCell="L95" sqref="L95"/>
      <selection pane="topRight" activeCell="L95" sqref="L95"/>
      <selection pane="bottomLeft" activeCell="L95" sqref="L95"/>
      <selection pane="bottomRight" activeCell="AW29" sqref="AW2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3" t="s">
        <v>701</v>
      </c>
      <c r="C1" s="177">
        <f>AVERAGE(L27,L47,L67,L87)</f>
        <v>76.295229740251486</v>
      </c>
    </row>
    <row r="2" spans="1:50" ht="14.25" customHeight="1" collapsed="1">
      <c r="B2" s="541" t="s">
        <v>548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60"/>
      <c r="N2" s="570" t="s">
        <v>383</v>
      </c>
      <c r="O2" s="570" t="s">
        <v>105</v>
      </c>
      <c r="P2" s="582">
        <v>46049</v>
      </c>
      <c r="Q2" s="583"/>
      <c r="R2" s="583"/>
      <c r="S2" s="583"/>
      <c r="T2" s="583"/>
      <c r="U2" s="584">
        <f>P2+1</f>
        <v>46050</v>
      </c>
      <c r="V2" s="585"/>
      <c r="W2" s="585"/>
      <c r="X2" s="585"/>
      <c r="Y2" s="585"/>
      <c r="Z2" s="582">
        <f t="shared" ref="Z2" si="0">U2+1</f>
        <v>46051</v>
      </c>
      <c r="AA2" s="583"/>
      <c r="AB2" s="583"/>
      <c r="AC2" s="583"/>
      <c r="AD2" s="583"/>
      <c r="AE2" s="584">
        <f t="shared" ref="AE2" si="1">Z2+1</f>
        <v>46052</v>
      </c>
      <c r="AF2" s="585"/>
      <c r="AG2" s="585"/>
      <c r="AH2" s="585"/>
      <c r="AI2" s="585"/>
      <c r="AJ2" s="586">
        <f t="shared" ref="AJ2" si="2">AE2+1</f>
        <v>46053</v>
      </c>
      <c r="AK2" s="587"/>
      <c r="AL2" s="587"/>
      <c r="AM2" s="587"/>
      <c r="AN2" s="588"/>
      <c r="AO2" s="584">
        <f t="shared" ref="AO2" si="3">AJ2+1</f>
        <v>46054</v>
      </c>
      <c r="AP2" s="585"/>
      <c r="AQ2" s="585"/>
      <c r="AR2" s="585"/>
      <c r="AS2" s="585"/>
      <c r="AT2" s="586">
        <f t="shared" ref="AT2" si="4">AO2+1</f>
        <v>46055</v>
      </c>
      <c r="AU2" s="587"/>
      <c r="AV2" s="587"/>
      <c r="AW2" s="587"/>
      <c r="AX2" s="588"/>
    </row>
    <row r="3" spans="1:50" ht="14.25" customHeight="1"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2"/>
      <c r="N3" s="572"/>
      <c r="O3" s="572"/>
      <c r="P3" s="589">
        <f>P2</f>
        <v>46049</v>
      </c>
      <c r="Q3" s="589"/>
      <c r="R3" s="589"/>
      <c r="S3" s="589"/>
      <c r="T3" s="589"/>
      <c r="U3" s="590">
        <f>U2</f>
        <v>46050</v>
      </c>
      <c r="V3" s="590"/>
      <c r="W3" s="590"/>
      <c r="X3" s="590"/>
      <c r="Y3" s="590"/>
      <c r="Z3" s="589">
        <f t="shared" ref="Z3" si="5">Z2</f>
        <v>46051</v>
      </c>
      <c r="AA3" s="589"/>
      <c r="AB3" s="589"/>
      <c r="AC3" s="589"/>
      <c r="AD3" s="589"/>
      <c r="AE3" s="590">
        <f t="shared" ref="AE3" si="6">AE2</f>
        <v>46052</v>
      </c>
      <c r="AF3" s="590"/>
      <c r="AG3" s="590"/>
      <c r="AH3" s="590"/>
      <c r="AI3" s="590"/>
      <c r="AJ3" s="591">
        <f t="shared" ref="AJ3" si="7">AJ2</f>
        <v>46053</v>
      </c>
      <c r="AK3" s="592"/>
      <c r="AL3" s="592"/>
      <c r="AM3" s="592"/>
      <c r="AN3" s="593"/>
      <c r="AO3" s="590">
        <f t="shared" ref="AO3" si="8">AO2</f>
        <v>46054</v>
      </c>
      <c r="AP3" s="590"/>
      <c r="AQ3" s="590"/>
      <c r="AR3" s="590"/>
      <c r="AS3" s="590"/>
      <c r="AT3" s="591">
        <f t="shared" ref="AT3" si="9">AT2</f>
        <v>46055</v>
      </c>
      <c r="AU3" s="592"/>
      <c r="AV3" s="592"/>
      <c r="AW3" s="592"/>
      <c r="AX3" s="593"/>
    </row>
    <row r="4" spans="1:50" ht="14.25" customHeight="1">
      <c r="B4" s="514" t="s">
        <v>164</v>
      </c>
      <c r="C4" s="514" t="s">
        <v>159</v>
      </c>
      <c r="D4" s="514"/>
      <c r="E4" s="514" t="s">
        <v>160</v>
      </c>
      <c r="F4" s="514"/>
      <c r="G4" s="514"/>
      <c r="H4" s="514" t="s">
        <v>165</v>
      </c>
      <c r="I4" s="531" t="s">
        <v>384</v>
      </c>
      <c r="J4" s="531"/>
      <c r="K4" s="531"/>
      <c r="L4" s="531" t="s">
        <v>165</v>
      </c>
      <c r="M4" s="531" t="s">
        <v>167</v>
      </c>
      <c r="N4" s="514"/>
      <c r="O4" s="514" t="s">
        <v>166</v>
      </c>
      <c r="P4" s="514" t="s">
        <v>162</v>
      </c>
      <c r="Q4" s="514"/>
      <c r="R4" s="514"/>
      <c r="S4" s="514"/>
      <c r="T4" s="514" t="s">
        <v>165</v>
      </c>
      <c r="U4" s="514" t="s">
        <v>162</v>
      </c>
      <c r="V4" s="514"/>
      <c r="W4" s="514"/>
      <c r="X4" s="514"/>
      <c r="Y4" s="514" t="s">
        <v>165</v>
      </c>
      <c r="Z4" s="514" t="s">
        <v>162</v>
      </c>
      <c r="AA4" s="514"/>
      <c r="AB4" s="514"/>
      <c r="AC4" s="514"/>
      <c r="AD4" s="514" t="s">
        <v>165</v>
      </c>
      <c r="AE4" s="514" t="s">
        <v>162</v>
      </c>
      <c r="AF4" s="514"/>
      <c r="AG4" s="514"/>
      <c r="AH4" s="514"/>
      <c r="AI4" s="514" t="s">
        <v>165</v>
      </c>
      <c r="AJ4" s="514" t="s">
        <v>162</v>
      </c>
      <c r="AK4" s="514"/>
      <c r="AL4" s="514"/>
      <c r="AM4" s="514"/>
      <c r="AN4" s="514" t="s">
        <v>165</v>
      </c>
      <c r="AO4" s="514" t="s">
        <v>162</v>
      </c>
      <c r="AP4" s="514"/>
      <c r="AQ4" s="514"/>
      <c r="AR4" s="514"/>
      <c r="AS4" s="514" t="s">
        <v>165</v>
      </c>
      <c r="AT4" s="514" t="s">
        <v>162</v>
      </c>
      <c r="AU4" s="514"/>
      <c r="AV4" s="514"/>
      <c r="AW4" s="514"/>
      <c r="AX4" s="514" t="s">
        <v>165</v>
      </c>
    </row>
    <row r="5" spans="1:50" ht="14.25" customHeight="1">
      <c r="B5" s="514"/>
      <c r="C5" s="514"/>
      <c r="D5" s="514"/>
      <c r="E5" s="514" t="s">
        <v>385</v>
      </c>
      <c r="F5" s="514"/>
      <c r="G5" s="514"/>
      <c r="H5" s="514"/>
      <c r="I5" s="531" t="s">
        <v>385</v>
      </c>
      <c r="J5" s="531"/>
      <c r="K5" s="531"/>
      <c r="L5" s="531"/>
      <c r="M5" s="531"/>
      <c r="N5" s="514"/>
      <c r="O5" s="514"/>
      <c r="P5" s="514" t="s">
        <v>386</v>
      </c>
      <c r="Q5" s="514"/>
      <c r="R5" s="514"/>
      <c r="S5" s="514"/>
      <c r="T5" s="514"/>
      <c r="U5" s="514" t="s">
        <v>386</v>
      </c>
      <c r="V5" s="514"/>
      <c r="W5" s="514"/>
      <c r="X5" s="514"/>
      <c r="Y5" s="514"/>
      <c r="Z5" s="514"/>
      <c r="AA5" s="514"/>
      <c r="AB5" s="514"/>
      <c r="AC5" s="514"/>
      <c r="AD5" s="514"/>
      <c r="AE5" s="514" t="s">
        <v>386</v>
      </c>
      <c r="AF5" s="514"/>
      <c r="AG5" s="514"/>
      <c r="AH5" s="514"/>
      <c r="AI5" s="514"/>
      <c r="AJ5" s="514" t="s">
        <v>386</v>
      </c>
      <c r="AK5" s="514"/>
      <c r="AL5" s="514"/>
      <c r="AM5" s="514"/>
      <c r="AN5" s="514"/>
      <c r="AO5" s="514" t="s">
        <v>386</v>
      </c>
      <c r="AP5" s="514"/>
      <c r="AQ5" s="514"/>
      <c r="AR5" s="514"/>
      <c r="AS5" s="514"/>
      <c r="AT5" s="514" t="s">
        <v>386</v>
      </c>
      <c r="AU5" s="514"/>
      <c r="AV5" s="514"/>
      <c r="AW5" s="514"/>
      <c r="AX5" s="514"/>
    </row>
    <row r="6" spans="1:50" ht="14.25" customHeight="1">
      <c r="B6" s="514"/>
      <c r="C6" s="514"/>
      <c r="D6" s="514"/>
      <c r="E6" s="182" t="s">
        <v>161</v>
      </c>
      <c r="F6" s="182" t="s">
        <v>387</v>
      </c>
      <c r="G6" s="182" t="s">
        <v>163</v>
      </c>
      <c r="H6" s="514"/>
      <c r="I6" s="183" t="s">
        <v>161</v>
      </c>
      <c r="J6" s="183" t="s">
        <v>387</v>
      </c>
      <c r="K6" s="183" t="s">
        <v>163</v>
      </c>
      <c r="L6" s="531"/>
      <c r="M6" s="531"/>
      <c r="N6" s="514"/>
      <c r="O6" s="514"/>
      <c r="P6" s="182" t="s">
        <v>161</v>
      </c>
      <c r="Q6" s="182" t="s">
        <v>387</v>
      </c>
      <c r="R6" s="182" t="s">
        <v>163</v>
      </c>
      <c r="S6" s="184" t="s">
        <v>167</v>
      </c>
      <c r="T6" s="514"/>
      <c r="U6" s="182" t="s">
        <v>161</v>
      </c>
      <c r="V6" s="182" t="s">
        <v>387</v>
      </c>
      <c r="W6" s="182" t="s">
        <v>163</v>
      </c>
      <c r="X6" s="184" t="s">
        <v>167</v>
      </c>
      <c r="Y6" s="514"/>
      <c r="Z6" s="182" t="s">
        <v>161</v>
      </c>
      <c r="AA6" s="182" t="s">
        <v>387</v>
      </c>
      <c r="AB6" s="182" t="s">
        <v>163</v>
      </c>
      <c r="AC6" s="184" t="s">
        <v>167</v>
      </c>
      <c r="AD6" s="514"/>
      <c r="AE6" s="182" t="s">
        <v>161</v>
      </c>
      <c r="AF6" s="182" t="s">
        <v>387</v>
      </c>
      <c r="AG6" s="182" t="s">
        <v>163</v>
      </c>
      <c r="AH6" s="184" t="s">
        <v>167</v>
      </c>
      <c r="AI6" s="514"/>
      <c r="AJ6" s="182" t="s">
        <v>161</v>
      </c>
      <c r="AK6" s="182" t="s">
        <v>387</v>
      </c>
      <c r="AL6" s="182" t="s">
        <v>163</v>
      </c>
      <c r="AM6" s="184" t="s">
        <v>167</v>
      </c>
      <c r="AN6" s="514"/>
      <c r="AO6" s="182" t="s">
        <v>161</v>
      </c>
      <c r="AP6" s="182" t="s">
        <v>387</v>
      </c>
      <c r="AQ6" s="182" t="s">
        <v>163</v>
      </c>
      <c r="AR6" s="184" t="s">
        <v>167</v>
      </c>
      <c r="AS6" s="514"/>
      <c r="AT6" s="182" t="s">
        <v>161</v>
      </c>
      <c r="AU6" s="182" t="s">
        <v>387</v>
      </c>
      <c r="AV6" s="182" t="s">
        <v>163</v>
      </c>
      <c r="AW6" s="184" t="s">
        <v>167</v>
      </c>
      <c r="AX6" s="514"/>
    </row>
    <row r="7" spans="1:50" ht="14.25" customHeight="1">
      <c r="B7" s="514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26">
        <f>AVERAGE(G7:G21)</f>
        <v>85.31468531468532</v>
      </c>
      <c r="I7" s="188">
        <f>AVERAGE(P7,U7,Z7,AE7,AJ7,AO7,AT7)</f>
        <v>13</v>
      </c>
      <c r="J7" s="188">
        <f>AVERAGE(Q7,V7,AA7,AF7,AK7,AP7,AU7)</f>
        <v>1078.2884287817258</v>
      </c>
      <c r="K7" s="189">
        <f>AVERAGE(R7,W7,AB7,AG7,AL7,AQ7,AV7)</f>
        <v>82.945263752440454</v>
      </c>
      <c r="L7" s="527">
        <f>IFERROR(AVERAGE(K7:K21),"-")</f>
        <v>76.251802848127099</v>
      </c>
      <c r="M7" s="188">
        <f>RANK(K7, K$7:$K$21)</f>
        <v>1</v>
      </c>
      <c r="N7" s="514"/>
      <c r="O7" s="514"/>
      <c r="P7" s="190">
        <v>13</v>
      </c>
      <c r="Q7" s="190">
        <v>1078.2442383092664</v>
      </c>
      <c r="R7" s="187">
        <f>IFERROR(Q7/P7,"")</f>
        <v>82.941864485328182</v>
      </c>
      <c r="S7" s="184">
        <f>RANK(R7, R$7:R$21)</f>
        <v>1</v>
      </c>
      <c r="T7" s="526">
        <f>AVERAGE(R7:R21)</f>
        <v>76.230756268665061</v>
      </c>
      <c r="U7" s="190">
        <v>13</v>
      </c>
      <c r="V7" s="190">
        <v>1078.2549536525214</v>
      </c>
      <c r="W7" s="187">
        <f t="shared" ref="W7:W9" si="11">IFERROR(V7/U7,"")</f>
        <v>82.942688742501645</v>
      </c>
      <c r="X7" s="184">
        <f>RANK(W7, W$7:W$21)</f>
        <v>1</v>
      </c>
      <c r="Y7" s="526">
        <f>AVERAGE(W7:W21)</f>
        <v>76.2374513689265</v>
      </c>
      <c r="Z7" s="190">
        <v>13</v>
      </c>
      <c r="AA7" s="190">
        <v>1078.2670707791049</v>
      </c>
      <c r="AB7" s="187">
        <f t="shared" ref="AB7:AB9" si="12">IFERROR(AA7/Z7,"")</f>
        <v>82.943620829161915</v>
      </c>
      <c r="AC7" s="184">
        <f>RANK(AB7, AB$7:AB$21)</f>
        <v>1</v>
      </c>
      <c r="AD7" s="526">
        <f>AVERAGE(AB7:AB21)</f>
        <v>76.260270266337329</v>
      </c>
      <c r="AE7" s="190">
        <v>13</v>
      </c>
      <c r="AF7" s="190">
        <v>1078.2947896349961</v>
      </c>
      <c r="AG7" s="187">
        <f>IFERROR(AF7/AE7,"")</f>
        <v>82.945753048845845</v>
      </c>
      <c r="AH7" s="184" t="e">
        <f>RANK(AG7, AG$87:AG$101)</f>
        <v>#N/A</v>
      </c>
      <c r="AI7" s="526">
        <f>AVERAGE(AG7:AG21)</f>
        <v>76.252894529875434</v>
      </c>
      <c r="AJ7" s="190">
        <v>13</v>
      </c>
      <c r="AK7" s="190">
        <v>1078.30267172044</v>
      </c>
      <c r="AL7" s="187">
        <f t="shared" ref="AL7:AL9" si="13">IFERROR(AK7/AJ7,"")</f>
        <v>82.946359363110773</v>
      </c>
      <c r="AM7" s="184">
        <f>RANK(AL7, AL$7:AL$21)</f>
        <v>1</v>
      </c>
      <c r="AN7" s="526">
        <f>AVERAGE(AL7:AL21)</f>
        <v>76.25821212651168</v>
      </c>
      <c r="AO7" s="190">
        <v>13</v>
      </c>
      <c r="AP7" s="190">
        <v>1078.323306811566</v>
      </c>
      <c r="AQ7" s="187">
        <f t="shared" ref="AQ7:AQ9" si="14">IFERROR(AP7/AO7,"")</f>
        <v>82.947946677812766</v>
      </c>
      <c r="AR7" s="184">
        <f>RANK(AQ7, AQ$7:AQ$21)</f>
        <v>1</v>
      </c>
      <c r="AS7" s="526">
        <f>AVERAGE(AQ7:AQ21)</f>
        <v>76.25478936330326</v>
      </c>
      <c r="AT7" s="190">
        <v>13</v>
      </c>
      <c r="AU7" s="190">
        <v>1078.3319705641863</v>
      </c>
      <c r="AV7" s="187">
        <f t="shared" ref="AV7:AV9" si="15">IFERROR(AU7/AT7,"")</f>
        <v>82.948613120322022</v>
      </c>
      <c r="AW7" s="184">
        <f>RANK(AV7, AV$7:AV$21)</f>
        <v>1</v>
      </c>
      <c r="AX7" s="526">
        <f>AVERAGE(AV7:AV21)</f>
        <v>76.268246013270314</v>
      </c>
    </row>
    <row r="8" spans="1:50" ht="14.25" customHeight="1">
      <c r="B8" s="514"/>
      <c r="C8" s="182">
        <v>2</v>
      </c>
      <c r="D8" s="185" t="s">
        <v>477</v>
      </c>
      <c r="E8" s="182">
        <v>22</v>
      </c>
      <c r="F8" s="182">
        <v>1800</v>
      </c>
      <c r="G8" s="187">
        <f t="shared" si="10"/>
        <v>81.818181818181813</v>
      </c>
      <c r="H8" s="526"/>
      <c r="I8" s="188">
        <f t="shared" ref="I8:I9" si="16">AVERAGE(P8,U8,Z8,AE8,AJ8,AO8,AT8)</f>
        <v>22</v>
      </c>
      <c r="J8" s="188">
        <f t="shared" ref="J8:J9" si="17">AVERAGE(Q8,V8,AA8,AF8,AK8,AP8,AU8)</f>
        <v>1603.4723481732792</v>
      </c>
      <c r="K8" s="189">
        <f t="shared" ref="K8:K9" si="18">AVERAGE(R8,W8,AB8,AG8,AL8,AQ8,AV8)</f>
        <v>72.885106735149051</v>
      </c>
      <c r="L8" s="527"/>
      <c r="M8" s="188">
        <f>RANK(K8, K$7:$K$21)</f>
        <v>3</v>
      </c>
      <c r="N8" s="514"/>
      <c r="O8" s="514"/>
      <c r="P8" s="190">
        <v>22</v>
      </c>
      <c r="Q8" s="190">
        <v>1603.6363636363626</v>
      </c>
      <c r="R8" s="187">
        <f t="shared" ref="R8:R9" si="19">IFERROR(Q8/P8,"")</f>
        <v>72.892561983471026</v>
      </c>
      <c r="S8" s="184">
        <f t="shared" ref="S8:S9" si="20">RANK(R8, R$7:R$21)</f>
        <v>2</v>
      </c>
      <c r="T8" s="526"/>
      <c r="U8" s="190">
        <v>22</v>
      </c>
      <c r="V8" s="190">
        <v>1603.6539494895217</v>
      </c>
      <c r="W8" s="187">
        <f t="shared" si="11"/>
        <v>72.893361340432804</v>
      </c>
      <c r="X8" s="184">
        <f t="shared" ref="X8:X9" si="21">RANK(W8, W$7:W$21)</f>
        <v>2</v>
      </c>
      <c r="Y8" s="526"/>
      <c r="Z8" s="190">
        <v>22</v>
      </c>
      <c r="AA8" s="190">
        <v>1603.7122969837594</v>
      </c>
      <c r="AB8" s="187">
        <f t="shared" si="12"/>
        <v>72.896013499261798</v>
      </c>
      <c r="AC8" s="184">
        <f t="shared" ref="AC8:AC9" si="22">RANK(AB8, AB$7:AB$21)</f>
        <v>3</v>
      </c>
      <c r="AD8" s="526"/>
      <c r="AE8" s="190">
        <v>22</v>
      </c>
      <c r="AF8" s="190">
        <v>1603.2867707477444</v>
      </c>
      <c r="AG8" s="187">
        <f t="shared" ref="AG8:AG9" si="23">IFERROR(AF8/AE8,"")</f>
        <v>72.876671397624747</v>
      </c>
      <c r="AH8" s="184" t="e">
        <f t="shared" ref="AH8:AH9" si="24">RANK(AG8, AG$87:AG$101)</f>
        <v>#N/A</v>
      </c>
      <c r="AI8" s="526"/>
      <c r="AJ8" s="190">
        <v>22</v>
      </c>
      <c r="AK8" s="190">
        <v>1603.2220943613349</v>
      </c>
      <c r="AL8" s="187">
        <f t="shared" si="13"/>
        <v>72.873731561878856</v>
      </c>
      <c r="AM8" s="184">
        <f t="shared" ref="AM8:AM9" si="25">RANK(AL8, AL$7:AL$21)</f>
        <v>3</v>
      </c>
      <c r="AN8" s="526"/>
      <c r="AO8" s="190">
        <v>22</v>
      </c>
      <c r="AP8" s="190">
        <v>1603.1419939577011</v>
      </c>
      <c r="AQ8" s="187">
        <f t="shared" si="14"/>
        <v>72.870090634440956</v>
      </c>
      <c r="AR8" s="184">
        <f t="shared" ref="AR8:AR9" si="26">RANK(AQ8, AQ$7:AQ$21)</f>
        <v>3</v>
      </c>
      <c r="AS8" s="526"/>
      <c r="AT8" s="190">
        <v>22</v>
      </c>
      <c r="AU8" s="190">
        <v>1603.6529680365286</v>
      </c>
      <c r="AV8" s="187">
        <f t="shared" si="15"/>
        <v>72.893316728933115</v>
      </c>
      <c r="AW8" s="184">
        <f t="shared" ref="AW8:AW9" si="27">RANK(AV8, AV$7:AV$21)</f>
        <v>3</v>
      </c>
      <c r="AX8" s="526"/>
    </row>
    <row r="9" spans="1:50" ht="14.25" customHeight="1">
      <c r="B9" s="514"/>
      <c r="C9" s="182">
        <v>3</v>
      </c>
      <c r="D9" s="185" t="s">
        <v>493</v>
      </c>
      <c r="E9" s="182">
        <v>22</v>
      </c>
      <c r="F9" s="182">
        <v>1800</v>
      </c>
      <c r="G9" s="187">
        <f t="shared" si="10"/>
        <v>81.818181818181813</v>
      </c>
      <c r="H9" s="526"/>
      <c r="I9" s="188">
        <f t="shared" si="16"/>
        <v>22</v>
      </c>
      <c r="J9" s="188">
        <f t="shared" si="17"/>
        <v>1604.3508372494184</v>
      </c>
      <c r="K9" s="189">
        <f t="shared" si="18"/>
        <v>72.925038056791763</v>
      </c>
      <c r="L9" s="527"/>
      <c r="M9" s="188">
        <f>RANK(K9, K$7:$K$21)</f>
        <v>2</v>
      </c>
      <c r="N9" s="514"/>
      <c r="O9" s="514"/>
      <c r="P9" s="190">
        <v>22</v>
      </c>
      <c r="Q9" s="190">
        <v>1602.8725314183116</v>
      </c>
      <c r="R9" s="187">
        <f t="shared" si="19"/>
        <v>72.857842337195976</v>
      </c>
      <c r="S9" s="184">
        <f t="shared" si="20"/>
        <v>3</v>
      </c>
      <c r="T9" s="526"/>
      <c r="U9" s="190">
        <v>22</v>
      </c>
      <c r="V9" s="190">
        <v>1603.2786885245919</v>
      </c>
      <c r="W9" s="187">
        <f t="shared" si="11"/>
        <v>72.87630402384508</v>
      </c>
      <c r="X9" s="184">
        <f t="shared" si="21"/>
        <v>3</v>
      </c>
      <c r="Y9" s="526"/>
      <c r="Z9" s="190">
        <v>22</v>
      </c>
      <c r="AA9" s="190">
        <v>1604.7058823529419</v>
      </c>
      <c r="AB9" s="187">
        <f t="shared" si="12"/>
        <v>72.941176470588275</v>
      </c>
      <c r="AC9" s="184">
        <f t="shared" si="22"/>
        <v>2</v>
      </c>
      <c r="AD9" s="526"/>
      <c r="AE9" s="190">
        <v>22</v>
      </c>
      <c r="AF9" s="190">
        <v>1604.5977011494253</v>
      </c>
      <c r="AG9" s="187">
        <f t="shared" si="23"/>
        <v>72.936259143155695</v>
      </c>
      <c r="AH9" s="184" t="e">
        <f t="shared" si="24"/>
        <v>#N/A</v>
      </c>
      <c r="AI9" s="526"/>
      <c r="AJ9" s="190">
        <v>22</v>
      </c>
      <c r="AK9" s="190">
        <v>1604.9999999999986</v>
      </c>
      <c r="AL9" s="187">
        <f t="shared" si="13"/>
        <v>72.954545454545396</v>
      </c>
      <c r="AM9" s="184">
        <f t="shared" si="25"/>
        <v>2</v>
      </c>
      <c r="AN9" s="526"/>
      <c r="AO9" s="190">
        <v>22</v>
      </c>
      <c r="AP9" s="190">
        <v>1604.819277108433</v>
      </c>
      <c r="AQ9" s="187">
        <f t="shared" si="14"/>
        <v>72.946330777656044</v>
      </c>
      <c r="AR9" s="184">
        <f t="shared" si="26"/>
        <v>2</v>
      </c>
      <c r="AS9" s="526"/>
      <c r="AT9" s="190">
        <v>22</v>
      </c>
      <c r="AU9" s="190">
        <v>1605.1817801922284</v>
      </c>
      <c r="AV9" s="187">
        <f t="shared" si="15"/>
        <v>72.962808190555833</v>
      </c>
      <c r="AW9" s="184">
        <f t="shared" si="27"/>
        <v>2</v>
      </c>
      <c r="AX9" s="526"/>
    </row>
    <row r="10" spans="1:50" ht="14.25" customHeight="1">
      <c r="B10" s="514"/>
      <c r="C10" s="182">
        <v>4</v>
      </c>
      <c r="D10" s="185"/>
      <c r="E10" s="182"/>
      <c r="F10" s="182"/>
      <c r="G10" s="187"/>
      <c r="H10" s="526"/>
      <c r="I10" s="188"/>
      <c r="J10" s="188"/>
      <c r="K10" s="189"/>
      <c r="L10" s="527"/>
      <c r="M10" s="188"/>
      <c r="N10" s="514"/>
      <c r="O10" s="514"/>
      <c r="P10" s="190"/>
      <c r="Q10" s="190"/>
      <c r="R10" s="187"/>
      <c r="S10" s="184"/>
      <c r="T10" s="526"/>
      <c r="U10" s="190"/>
      <c r="V10" s="190"/>
      <c r="W10" s="187"/>
      <c r="X10" s="184"/>
      <c r="Y10" s="526"/>
      <c r="Z10" s="190"/>
      <c r="AA10" s="190"/>
      <c r="AB10" s="187"/>
      <c r="AC10" s="184"/>
      <c r="AD10" s="526"/>
      <c r="AE10" s="190"/>
      <c r="AF10" s="190"/>
      <c r="AG10" s="187"/>
      <c r="AH10" s="184"/>
      <c r="AI10" s="526"/>
      <c r="AJ10" s="190"/>
      <c r="AK10" s="190"/>
      <c r="AL10" s="187"/>
      <c r="AM10" s="184"/>
      <c r="AN10" s="526"/>
      <c r="AO10" s="190"/>
      <c r="AP10" s="190"/>
      <c r="AQ10" s="187"/>
      <c r="AR10" s="184"/>
      <c r="AS10" s="526"/>
      <c r="AT10" s="190"/>
      <c r="AU10" s="190"/>
      <c r="AV10" s="187"/>
      <c r="AW10" s="184"/>
      <c r="AX10" s="526"/>
    </row>
    <row r="11" spans="1:50" ht="14.25" customHeight="1">
      <c r="B11" s="514"/>
      <c r="C11" s="182">
        <v>5</v>
      </c>
      <c r="D11" s="185"/>
      <c r="E11" s="182"/>
      <c r="F11" s="182"/>
      <c r="G11" s="187"/>
      <c r="H11" s="526"/>
      <c r="I11" s="188"/>
      <c r="J11" s="188"/>
      <c r="K11" s="189"/>
      <c r="L11" s="527"/>
      <c r="M11" s="188"/>
      <c r="N11" s="514"/>
      <c r="O11" s="514"/>
      <c r="P11" s="190"/>
      <c r="Q11" s="190"/>
      <c r="R11" s="187"/>
      <c r="S11" s="184"/>
      <c r="T11" s="526"/>
      <c r="U11" s="190"/>
      <c r="V11" s="190"/>
      <c r="W11" s="187"/>
      <c r="X11" s="184"/>
      <c r="Y11" s="526"/>
      <c r="Z11" s="190"/>
      <c r="AA11" s="190"/>
      <c r="AB11" s="187"/>
      <c r="AC11" s="184"/>
      <c r="AD11" s="526"/>
      <c r="AE11" s="190"/>
      <c r="AF11" s="190"/>
      <c r="AG11" s="187"/>
      <c r="AH11" s="184"/>
      <c r="AI11" s="526"/>
      <c r="AJ11" s="190"/>
      <c r="AK11" s="190"/>
      <c r="AL11" s="187"/>
      <c r="AM11" s="184"/>
      <c r="AN11" s="526"/>
      <c r="AO11" s="190"/>
      <c r="AP11" s="190"/>
      <c r="AQ11" s="187"/>
      <c r="AR11" s="184"/>
      <c r="AS11" s="526"/>
      <c r="AT11" s="190"/>
      <c r="AU11" s="190"/>
      <c r="AV11" s="187"/>
      <c r="AW11" s="184"/>
      <c r="AX11" s="526"/>
    </row>
    <row r="12" spans="1:50" ht="14.25" customHeight="1">
      <c r="B12" s="514"/>
      <c r="C12" s="182">
        <v>6</v>
      </c>
      <c r="D12" s="185"/>
      <c r="E12" s="182"/>
      <c r="F12" s="182"/>
      <c r="G12" s="187"/>
      <c r="H12" s="526"/>
      <c r="I12" s="188"/>
      <c r="J12" s="188"/>
      <c r="K12" s="189"/>
      <c r="L12" s="527"/>
      <c r="M12" s="188"/>
      <c r="N12" s="514"/>
      <c r="O12" s="514"/>
      <c r="P12" s="190"/>
      <c r="Q12" s="190"/>
      <c r="R12" s="187"/>
      <c r="S12" s="184"/>
      <c r="T12" s="526"/>
      <c r="U12" s="190"/>
      <c r="V12" s="190"/>
      <c r="W12" s="187"/>
      <c r="X12" s="184"/>
      <c r="Y12" s="526"/>
      <c r="Z12" s="190"/>
      <c r="AA12" s="190"/>
      <c r="AB12" s="187"/>
      <c r="AC12" s="184"/>
      <c r="AD12" s="526"/>
      <c r="AE12" s="190"/>
      <c r="AF12" s="190"/>
      <c r="AG12" s="187"/>
      <c r="AH12" s="184"/>
      <c r="AI12" s="526"/>
      <c r="AJ12" s="190"/>
      <c r="AK12" s="190"/>
      <c r="AL12" s="187"/>
      <c r="AM12" s="184"/>
      <c r="AN12" s="526"/>
      <c r="AO12" s="190"/>
      <c r="AP12" s="190"/>
      <c r="AQ12" s="187"/>
      <c r="AR12" s="184"/>
      <c r="AS12" s="526"/>
      <c r="AT12" s="190"/>
      <c r="AU12" s="190"/>
      <c r="AV12" s="187"/>
      <c r="AW12" s="184"/>
      <c r="AX12" s="526"/>
    </row>
    <row r="13" spans="1:50" ht="14.25" customHeight="1">
      <c r="B13" s="514"/>
      <c r="C13" s="182">
        <v>7</v>
      </c>
      <c r="D13" s="185"/>
      <c r="E13" s="182"/>
      <c r="F13" s="182"/>
      <c r="G13" s="187"/>
      <c r="H13" s="526"/>
      <c r="I13" s="188"/>
      <c r="J13" s="188"/>
      <c r="K13" s="189"/>
      <c r="L13" s="527"/>
      <c r="M13" s="188"/>
      <c r="N13" s="514"/>
      <c r="O13" s="514"/>
      <c r="P13" s="190"/>
      <c r="Q13" s="190"/>
      <c r="R13" s="187"/>
      <c r="S13" s="184"/>
      <c r="T13" s="526"/>
      <c r="U13" s="190"/>
      <c r="V13" s="190"/>
      <c r="W13" s="187"/>
      <c r="X13" s="184"/>
      <c r="Y13" s="526"/>
      <c r="Z13" s="190"/>
      <c r="AA13" s="190"/>
      <c r="AB13" s="187"/>
      <c r="AC13" s="184"/>
      <c r="AD13" s="526"/>
      <c r="AE13" s="190"/>
      <c r="AF13" s="190"/>
      <c r="AG13" s="187"/>
      <c r="AH13" s="184"/>
      <c r="AI13" s="526"/>
      <c r="AJ13" s="190"/>
      <c r="AK13" s="190"/>
      <c r="AL13" s="187"/>
      <c r="AM13" s="184"/>
      <c r="AN13" s="526"/>
      <c r="AO13" s="190"/>
      <c r="AP13" s="190"/>
      <c r="AQ13" s="187"/>
      <c r="AR13" s="184"/>
      <c r="AS13" s="526"/>
      <c r="AT13" s="190"/>
      <c r="AU13" s="190"/>
      <c r="AV13" s="187"/>
      <c r="AW13" s="184"/>
      <c r="AX13" s="526"/>
    </row>
    <row r="14" spans="1:50" ht="14.25" customHeight="1">
      <c r="B14" s="514"/>
      <c r="C14" s="182">
        <v>8</v>
      </c>
      <c r="D14" s="185"/>
      <c r="E14" s="182"/>
      <c r="F14" s="182"/>
      <c r="G14" s="187"/>
      <c r="H14" s="526"/>
      <c r="I14" s="188"/>
      <c r="J14" s="188"/>
      <c r="K14" s="189"/>
      <c r="L14" s="527"/>
      <c r="M14" s="188"/>
      <c r="N14" s="514"/>
      <c r="O14" s="514"/>
      <c r="P14" s="190"/>
      <c r="Q14" s="190"/>
      <c r="R14" s="187"/>
      <c r="S14" s="184"/>
      <c r="T14" s="526"/>
      <c r="U14" s="190"/>
      <c r="V14" s="190"/>
      <c r="W14" s="187"/>
      <c r="X14" s="184"/>
      <c r="Y14" s="526"/>
      <c r="Z14" s="190"/>
      <c r="AA14" s="190"/>
      <c r="AB14" s="187"/>
      <c r="AC14" s="184"/>
      <c r="AD14" s="526"/>
      <c r="AE14" s="190"/>
      <c r="AF14" s="190"/>
      <c r="AG14" s="187"/>
      <c r="AH14" s="184"/>
      <c r="AI14" s="526"/>
      <c r="AJ14" s="190"/>
      <c r="AK14" s="190"/>
      <c r="AL14" s="187"/>
      <c r="AM14" s="184"/>
      <c r="AN14" s="526"/>
      <c r="AO14" s="190"/>
      <c r="AP14" s="190"/>
      <c r="AQ14" s="187"/>
      <c r="AR14" s="184"/>
      <c r="AS14" s="526"/>
      <c r="AT14" s="190"/>
      <c r="AU14" s="190"/>
      <c r="AV14" s="187"/>
      <c r="AW14" s="184"/>
      <c r="AX14" s="526"/>
    </row>
    <row r="15" spans="1:50" ht="14.25" customHeight="1">
      <c r="B15" s="514"/>
      <c r="C15" s="182">
        <v>9</v>
      </c>
      <c r="D15" s="185"/>
      <c r="E15" s="182"/>
      <c r="F15" s="182"/>
      <c r="G15" s="187"/>
      <c r="H15" s="526"/>
      <c r="I15" s="188"/>
      <c r="J15" s="188"/>
      <c r="K15" s="189"/>
      <c r="L15" s="527"/>
      <c r="M15" s="188"/>
      <c r="N15" s="514"/>
      <c r="O15" s="514"/>
      <c r="P15" s="190"/>
      <c r="Q15" s="190"/>
      <c r="R15" s="187"/>
      <c r="S15" s="184"/>
      <c r="T15" s="526"/>
      <c r="U15" s="190"/>
      <c r="V15" s="190"/>
      <c r="W15" s="187"/>
      <c r="X15" s="184"/>
      <c r="Y15" s="526"/>
      <c r="Z15" s="190"/>
      <c r="AA15" s="190"/>
      <c r="AB15" s="187"/>
      <c r="AC15" s="184"/>
      <c r="AD15" s="526"/>
      <c r="AE15" s="190"/>
      <c r="AF15" s="190"/>
      <c r="AG15" s="187"/>
      <c r="AH15" s="184"/>
      <c r="AI15" s="526"/>
      <c r="AJ15" s="190"/>
      <c r="AK15" s="190"/>
      <c r="AL15" s="187"/>
      <c r="AM15" s="184"/>
      <c r="AN15" s="526"/>
      <c r="AO15" s="190"/>
      <c r="AP15" s="190"/>
      <c r="AQ15" s="187"/>
      <c r="AR15" s="184"/>
      <c r="AS15" s="526"/>
      <c r="AT15" s="190"/>
      <c r="AU15" s="190"/>
      <c r="AV15" s="187"/>
      <c r="AW15" s="184"/>
      <c r="AX15" s="526"/>
    </row>
    <row r="16" spans="1:50" ht="14.25" customHeight="1">
      <c r="B16" s="514"/>
      <c r="C16" s="182">
        <v>10</v>
      </c>
      <c r="D16" s="185"/>
      <c r="E16" s="182"/>
      <c r="F16" s="182"/>
      <c r="G16" s="187"/>
      <c r="H16" s="526"/>
      <c r="I16" s="188"/>
      <c r="J16" s="188"/>
      <c r="K16" s="189"/>
      <c r="L16" s="527"/>
      <c r="M16" s="188"/>
      <c r="N16" s="514"/>
      <c r="O16" s="514"/>
      <c r="P16" s="190"/>
      <c r="Q16" s="190"/>
      <c r="R16" s="187"/>
      <c r="S16" s="184"/>
      <c r="T16" s="526"/>
      <c r="U16" s="190"/>
      <c r="V16" s="190"/>
      <c r="W16" s="187"/>
      <c r="X16" s="184"/>
      <c r="Y16" s="526"/>
      <c r="Z16" s="190"/>
      <c r="AA16" s="190"/>
      <c r="AB16" s="187"/>
      <c r="AC16" s="184"/>
      <c r="AD16" s="526"/>
      <c r="AE16" s="190"/>
      <c r="AF16" s="190"/>
      <c r="AG16" s="187"/>
      <c r="AH16" s="184"/>
      <c r="AI16" s="526"/>
      <c r="AJ16" s="190"/>
      <c r="AK16" s="190"/>
      <c r="AL16" s="187"/>
      <c r="AM16" s="184"/>
      <c r="AN16" s="526"/>
      <c r="AO16" s="190"/>
      <c r="AP16" s="190"/>
      <c r="AQ16" s="187"/>
      <c r="AR16" s="184"/>
      <c r="AS16" s="526"/>
      <c r="AT16" s="190"/>
      <c r="AU16" s="190"/>
      <c r="AV16" s="187"/>
      <c r="AW16" s="184"/>
      <c r="AX16" s="526"/>
    </row>
    <row r="17" spans="2:50" ht="14.25" customHeight="1">
      <c r="B17" s="514"/>
      <c r="C17" s="182">
        <v>11</v>
      </c>
      <c r="D17" s="185"/>
      <c r="E17" s="182"/>
      <c r="F17" s="182"/>
      <c r="G17" s="187"/>
      <c r="H17" s="526"/>
      <c r="I17" s="188"/>
      <c r="J17" s="188"/>
      <c r="K17" s="189"/>
      <c r="L17" s="527"/>
      <c r="M17" s="188"/>
      <c r="N17" s="514"/>
      <c r="O17" s="514"/>
      <c r="P17" s="190"/>
      <c r="Q17" s="190"/>
      <c r="R17" s="187"/>
      <c r="S17" s="184"/>
      <c r="T17" s="526"/>
      <c r="U17" s="190"/>
      <c r="V17" s="190"/>
      <c r="W17" s="187"/>
      <c r="X17" s="184"/>
      <c r="Y17" s="526"/>
      <c r="Z17" s="190"/>
      <c r="AA17" s="190"/>
      <c r="AB17" s="187"/>
      <c r="AC17" s="184"/>
      <c r="AD17" s="526"/>
      <c r="AE17" s="190"/>
      <c r="AF17" s="190"/>
      <c r="AG17" s="187"/>
      <c r="AH17" s="184"/>
      <c r="AI17" s="526"/>
      <c r="AJ17" s="190"/>
      <c r="AK17" s="190"/>
      <c r="AL17" s="187"/>
      <c r="AM17" s="184"/>
      <c r="AN17" s="526"/>
      <c r="AO17" s="190"/>
      <c r="AP17" s="190"/>
      <c r="AQ17" s="187"/>
      <c r="AR17" s="184"/>
      <c r="AS17" s="526"/>
      <c r="AT17" s="190"/>
      <c r="AU17" s="190"/>
      <c r="AV17" s="187"/>
      <c r="AW17" s="184"/>
      <c r="AX17" s="526"/>
    </row>
    <row r="18" spans="2:50" ht="14.25" customHeight="1">
      <c r="B18" s="514"/>
      <c r="C18" s="182">
        <v>12</v>
      </c>
      <c r="D18" s="185"/>
      <c r="E18" s="182"/>
      <c r="F18" s="182"/>
      <c r="G18" s="187"/>
      <c r="H18" s="526"/>
      <c r="I18" s="188"/>
      <c r="J18" s="188"/>
      <c r="K18" s="189"/>
      <c r="L18" s="527"/>
      <c r="M18" s="188"/>
      <c r="N18" s="514"/>
      <c r="O18" s="514"/>
      <c r="P18" s="190"/>
      <c r="Q18" s="190"/>
      <c r="R18" s="187"/>
      <c r="S18" s="184"/>
      <c r="T18" s="526"/>
      <c r="U18" s="190"/>
      <c r="V18" s="190"/>
      <c r="W18" s="187"/>
      <c r="X18" s="184"/>
      <c r="Y18" s="526"/>
      <c r="Z18" s="190"/>
      <c r="AA18" s="190"/>
      <c r="AB18" s="187"/>
      <c r="AC18" s="184"/>
      <c r="AD18" s="526"/>
      <c r="AE18" s="190"/>
      <c r="AF18" s="190"/>
      <c r="AG18" s="187"/>
      <c r="AH18" s="184"/>
      <c r="AI18" s="526"/>
      <c r="AJ18" s="190"/>
      <c r="AK18" s="190"/>
      <c r="AL18" s="187"/>
      <c r="AM18" s="184"/>
      <c r="AN18" s="526"/>
      <c r="AO18" s="190"/>
      <c r="AP18" s="190"/>
      <c r="AQ18" s="187"/>
      <c r="AR18" s="184"/>
      <c r="AS18" s="526"/>
      <c r="AT18" s="190"/>
      <c r="AU18" s="190"/>
      <c r="AV18" s="187"/>
      <c r="AW18" s="184"/>
      <c r="AX18" s="526"/>
    </row>
    <row r="19" spans="2:50" ht="14.25" customHeight="1">
      <c r="B19" s="514"/>
      <c r="C19" s="182">
        <v>13</v>
      </c>
      <c r="D19" s="185"/>
      <c r="E19" s="182"/>
      <c r="F19" s="182"/>
      <c r="G19" s="187"/>
      <c r="H19" s="526"/>
      <c r="I19" s="188"/>
      <c r="J19" s="188"/>
      <c r="K19" s="189"/>
      <c r="L19" s="527"/>
      <c r="M19" s="188"/>
      <c r="N19" s="514"/>
      <c r="O19" s="514"/>
      <c r="P19" s="190"/>
      <c r="Q19" s="190"/>
      <c r="R19" s="187"/>
      <c r="S19" s="184"/>
      <c r="T19" s="526"/>
      <c r="U19" s="190"/>
      <c r="V19" s="190"/>
      <c r="W19" s="187"/>
      <c r="X19" s="184"/>
      <c r="Y19" s="526"/>
      <c r="Z19" s="190"/>
      <c r="AA19" s="190"/>
      <c r="AB19" s="187"/>
      <c r="AC19" s="184"/>
      <c r="AD19" s="526"/>
      <c r="AE19" s="190"/>
      <c r="AF19" s="190"/>
      <c r="AG19" s="187"/>
      <c r="AH19" s="184"/>
      <c r="AI19" s="526"/>
      <c r="AJ19" s="190"/>
      <c r="AK19" s="190"/>
      <c r="AL19" s="187"/>
      <c r="AM19" s="184"/>
      <c r="AN19" s="526"/>
      <c r="AO19" s="190"/>
      <c r="AP19" s="190"/>
      <c r="AQ19" s="187"/>
      <c r="AR19" s="184"/>
      <c r="AS19" s="526"/>
      <c r="AT19" s="190"/>
      <c r="AU19" s="190"/>
      <c r="AV19" s="187"/>
      <c r="AW19" s="184"/>
      <c r="AX19" s="526"/>
    </row>
    <row r="20" spans="2:50" ht="14.25" customHeight="1">
      <c r="B20" s="514"/>
      <c r="C20" s="182">
        <v>14</v>
      </c>
      <c r="D20" s="185"/>
      <c r="E20" s="182"/>
      <c r="F20" s="182"/>
      <c r="G20" s="187"/>
      <c r="H20" s="526"/>
      <c r="I20" s="188"/>
      <c r="J20" s="188"/>
      <c r="K20" s="189"/>
      <c r="L20" s="527"/>
      <c r="M20" s="188"/>
      <c r="N20" s="514"/>
      <c r="O20" s="514"/>
      <c r="P20" s="190"/>
      <c r="Q20" s="190"/>
      <c r="R20" s="187"/>
      <c r="S20" s="184"/>
      <c r="T20" s="526"/>
      <c r="U20" s="190"/>
      <c r="V20" s="190"/>
      <c r="W20" s="187"/>
      <c r="X20" s="184"/>
      <c r="Y20" s="526"/>
      <c r="Z20" s="190"/>
      <c r="AA20" s="190"/>
      <c r="AB20" s="187"/>
      <c r="AC20" s="184"/>
      <c r="AD20" s="526"/>
      <c r="AE20" s="190"/>
      <c r="AF20" s="190"/>
      <c r="AG20" s="187"/>
      <c r="AH20" s="184"/>
      <c r="AI20" s="526"/>
      <c r="AJ20" s="190"/>
      <c r="AK20" s="190"/>
      <c r="AL20" s="187"/>
      <c r="AM20" s="184"/>
      <c r="AN20" s="526"/>
      <c r="AO20" s="190"/>
      <c r="AP20" s="190"/>
      <c r="AQ20" s="187"/>
      <c r="AR20" s="184"/>
      <c r="AS20" s="526"/>
      <c r="AT20" s="190"/>
      <c r="AU20" s="190"/>
      <c r="AV20" s="187"/>
      <c r="AW20" s="184"/>
      <c r="AX20" s="526"/>
    </row>
    <row r="21" spans="2:50" ht="14.25" customHeight="1">
      <c r="B21" s="514"/>
      <c r="C21" s="182">
        <v>15</v>
      </c>
      <c r="D21" s="185"/>
      <c r="E21" s="182"/>
      <c r="F21" s="182"/>
      <c r="G21" s="187"/>
      <c r="H21" s="526"/>
      <c r="I21" s="188"/>
      <c r="J21" s="188"/>
      <c r="K21" s="189"/>
      <c r="L21" s="527"/>
      <c r="M21" s="188"/>
      <c r="N21" s="514"/>
      <c r="O21" s="514"/>
      <c r="P21" s="190"/>
      <c r="Q21" s="190"/>
      <c r="R21" s="187"/>
      <c r="S21" s="184"/>
      <c r="T21" s="526"/>
      <c r="U21" s="190"/>
      <c r="V21" s="190"/>
      <c r="W21" s="187"/>
      <c r="X21" s="184"/>
      <c r="Y21" s="526"/>
      <c r="Z21" s="190"/>
      <c r="AA21" s="190"/>
      <c r="AB21" s="187"/>
      <c r="AC21" s="184"/>
      <c r="AD21" s="526"/>
      <c r="AE21" s="190"/>
      <c r="AF21" s="190"/>
      <c r="AG21" s="187"/>
      <c r="AH21" s="184"/>
      <c r="AI21" s="526"/>
      <c r="AJ21" s="190"/>
      <c r="AK21" s="190"/>
      <c r="AL21" s="187"/>
      <c r="AM21" s="184"/>
      <c r="AN21" s="526"/>
      <c r="AO21" s="190"/>
      <c r="AP21" s="190"/>
      <c r="AQ21" s="187"/>
      <c r="AR21" s="184"/>
      <c r="AS21" s="526"/>
      <c r="AT21" s="190"/>
      <c r="AU21" s="190"/>
      <c r="AV21" s="187"/>
      <c r="AW21" s="184"/>
      <c r="AX21" s="526"/>
    </row>
    <row r="22" spans="2:50" ht="14.25" customHeight="1" collapsed="1">
      <c r="B22" s="541" t="s">
        <v>695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60"/>
      <c r="N22" s="570" t="s">
        <v>383</v>
      </c>
      <c r="O22" s="570" t="s">
        <v>105</v>
      </c>
      <c r="P22" s="582">
        <v>46056</v>
      </c>
      <c r="Q22" s="583"/>
      <c r="R22" s="583"/>
      <c r="S22" s="583"/>
      <c r="T22" s="583"/>
      <c r="U22" s="584">
        <f>P22+1</f>
        <v>46057</v>
      </c>
      <c r="V22" s="585"/>
      <c r="W22" s="585"/>
      <c r="X22" s="585"/>
      <c r="Y22" s="585"/>
      <c r="Z22" s="582">
        <f t="shared" ref="Z22" si="28">U22+1</f>
        <v>46058</v>
      </c>
      <c r="AA22" s="583"/>
      <c r="AB22" s="583"/>
      <c r="AC22" s="583"/>
      <c r="AD22" s="583"/>
      <c r="AE22" s="584">
        <f t="shared" ref="AE22" si="29">Z22+1</f>
        <v>46059</v>
      </c>
      <c r="AF22" s="585"/>
      <c r="AG22" s="585"/>
      <c r="AH22" s="585"/>
      <c r="AI22" s="585"/>
      <c r="AJ22" s="586">
        <f t="shared" ref="AJ22" si="30">AE22+1</f>
        <v>46060</v>
      </c>
      <c r="AK22" s="587"/>
      <c r="AL22" s="587"/>
      <c r="AM22" s="587"/>
      <c r="AN22" s="588"/>
      <c r="AO22" s="584">
        <f t="shared" ref="AO22" si="31">AJ22+1</f>
        <v>46061</v>
      </c>
      <c r="AP22" s="585"/>
      <c r="AQ22" s="585"/>
      <c r="AR22" s="585"/>
      <c r="AS22" s="585"/>
      <c r="AT22" s="586">
        <f t="shared" ref="AT22" si="32">AO22+1</f>
        <v>46062</v>
      </c>
      <c r="AU22" s="587"/>
      <c r="AV22" s="587"/>
      <c r="AW22" s="587"/>
      <c r="AX22" s="588"/>
    </row>
    <row r="23" spans="2:50" ht="14.25" customHeight="1">
      <c r="B23" s="561"/>
      <c r="C23" s="561"/>
      <c r="D23" s="561"/>
      <c r="E23" s="561"/>
      <c r="F23" s="561"/>
      <c r="G23" s="561"/>
      <c r="H23" s="561"/>
      <c r="I23" s="561"/>
      <c r="J23" s="561"/>
      <c r="K23" s="561"/>
      <c r="L23" s="561"/>
      <c r="M23" s="562"/>
      <c r="N23" s="572"/>
      <c r="O23" s="572"/>
      <c r="P23" s="589">
        <f>P22</f>
        <v>46056</v>
      </c>
      <c r="Q23" s="589"/>
      <c r="R23" s="589"/>
      <c r="S23" s="589"/>
      <c r="T23" s="589"/>
      <c r="U23" s="590">
        <f>U22</f>
        <v>46057</v>
      </c>
      <c r="V23" s="590"/>
      <c r="W23" s="590"/>
      <c r="X23" s="590"/>
      <c r="Y23" s="590"/>
      <c r="Z23" s="589">
        <f t="shared" ref="Z23" si="33">Z22</f>
        <v>46058</v>
      </c>
      <c r="AA23" s="589"/>
      <c r="AB23" s="589"/>
      <c r="AC23" s="589"/>
      <c r="AD23" s="589"/>
      <c r="AE23" s="590">
        <f t="shared" ref="AE23" si="34">AE22</f>
        <v>46059</v>
      </c>
      <c r="AF23" s="590"/>
      <c r="AG23" s="590"/>
      <c r="AH23" s="590"/>
      <c r="AI23" s="590"/>
      <c r="AJ23" s="591">
        <f t="shared" ref="AJ23" si="35">AJ22</f>
        <v>46060</v>
      </c>
      <c r="AK23" s="592"/>
      <c r="AL23" s="592"/>
      <c r="AM23" s="592"/>
      <c r="AN23" s="593"/>
      <c r="AO23" s="590">
        <f t="shared" ref="AO23" si="36">AO22</f>
        <v>46061</v>
      </c>
      <c r="AP23" s="590"/>
      <c r="AQ23" s="590"/>
      <c r="AR23" s="590"/>
      <c r="AS23" s="590"/>
      <c r="AT23" s="591">
        <f t="shared" ref="AT23" si="37">AT22</f>
        <v>46062</v>
      </c>
      <c r="AU23" s="592"/>
      <c r="AV23" s="592"/>
      <c r="AW23" s="592"/>
      <c r="AX23" s="593"/>
    </row>
    <row r="24" spans="2:50" ht="14.25" customHeight="1">
      <c r="B24" s="514" t="s">
        <v>164</v>
      </c>
      <c r="C24" s="514" t="s">
        <v>159</v>
      </c>
      <c r="D24" s="514"/>
      <c r="E24" s="514" t="s">
        <v>160</v>
      </c>
      <c r="F24" s="514"/>
      <c r="G24" s="514"/>
      <c r="H24" s="514" t="s">
        <v>165</v>
      </c>
      <c r="I24" s="531" t="s">
        <v>384</v>
      </c>
      <c r="J24" s="531"/>
      <c r="K24" s="531"/>
      <c r="L24" s="531" t="s">
        <v>165</v>
      </c>
      <c r="M24" s="531" t="s">
        <v>167</v>
      </c>
      <c r="N24" s="514"/>
      <c r="O24" s="514" t="s">
        <v>166</v>
      </c>
      <c r="P24" s="514" t="s">
        <v>162</v>
      </c>
      <c r="Q24" s="514"/>
      <c r="R24" s="514"/>
      <c r="S24" s="514"/>
      <c r="T24" s="514" t="s">
        <v>165</v>
      </c>
      <c r="U24" s="514" t="s">
        <v>162</v>
      </c>
      <c r="V24" s="514"/>
      <c r="W24" s="514"/>
      <c r="X24" s="514"/>
      <c r="Y24" s="514" t="s">
        <v>165</v>
      </c>
      <c r="Z24" s="514" t="s">
        <v>162</v>
      </c>
      <c r="AA24" s="514"/>
      <c r="AB24" s="514"/>
      <c r="AC24" s="514"/>
      <c r="AD24" s="514" t="s">
        <v>165</v>
      </c>
      <c r="AE24" s="514" t="s">
        <v>162</v>
      </c>
      <c r="AF24" s="514"/>
      <c r="AG24" s="514"/>
      <c r="AH24" s="514"/>
      <c r="AI24" s="514" t="s">
        <v>165</v>
      </c>
      <c r="AJ24" s="514" t="s">
        <v>162</v>
      </c>
      <c r="AK24" s="514"/>
      <c r="AL24" s="514"/>
      <c r="AM24" s="514"/>
      <c r="AN24" s="514" t="s">
        <v>165</v>
      </c>
      <c r="AO24" s="514" t="s">
        <v>162</v>
      </c>
      <c r="AP24" s="514"/>
      <c r="AQ24" s="514"/>
      <c r="AR24" s="514"/>
      <c r="AS24" s="514" t="s">
        <v>165</v>
      </c>
      <c r="AT24" s="514" t="s">
        <v>162</v>
      </c>
      <c r="AU24" s="514"/>
      <c r="AV24" s="514"/>
      <c r="AW24" s="514"/>
      <c r="AX24" s="514" t="s">
        <v>165</v>
      </c>
    </row>
    <row r="25" spans="2:50" ht="14.25" customHeight="1">
      <c r="B25" s="514"/>
      <c r="C25" s="514"/>
      <c r="D25" s="514"/>
      <c r="E25" s="514" t="s">
        <v>385</v>
      </c>
      <c r="F25" s="514"/>
      <c r="G25" s="514"/>
      <c r="H25" s="514"/>
      <c r="I25" s="531" t="s">
        <v>385</v>
      </c>
      <c r="J25" s="531"/>
      <c r="K25" s="531"/>
      <c r="L25" s="531"/>
      <c r="M25" s="531"/>
      <c r="N25" s="514"/>
      <c r="O25" s="514"/>
      <c r="P25" s="514" t="s">
        <v>386</v>
      </c>
      <c r="Q25" s="514"/>
      <c r="R25" s="514"/>
      <c r="S25" s="514"/>
      <c r="T25" s="514"/>
      <c r="U25" s="514" t="s">
        <v>386</v>
      </c>
      <c r="V25" s="514"/>
      <c r="W25" s="514"/>
      <c r="X25" s="514"/>
      <c r="Y25" s="514"/>
      <c r="Z25" s="514" t="s">
        <v>386</v>
      </c>
      <c r="AA25" s="514"/>
      <c r="AB25" s="514"/>
      <c r="AC25" s="514"/>
      <c r="AD25" s="514"/>
      <c r="AE25" s="514" t="s">
        <v>386</v>
      </c>
      <c r="AF25" s="514"/>
      <c r="AG25" s="514"/>
      <c r="AH25" s="514"/>
      <c r="AI25" s="514"/>
      <c r="AJ25" s="514" t="s">
        <v>386</v>
      </c>
      <c r="AK25" s="514"/>
      <c r="AL25" s="514"/>
      <c r="AM25" s="514"/>
      <c r="AN25" s="514"/>
      <c r="AO25" s="514" t="s">
        <v>386</v>
      </c>
      <c r="AP25" s="514"/>
      <c r="AQ25" s="514"/>
      <c r="AR25" s="514"/>
      <c r="AS25" s="514"/>
      <c r="AT25" s="514" t="s">
        <v>386</v>
      </c>
      <c r="AU25" s="514"/>
      <c r="AV25" s="514"/>
      <c r="AW25" s="514"/>
      <c r="AX25" s="514"/>
    </row>
    <row r="26" spans="2:50" ht="14.25" customHeight="1">
      <c r="B26" s="514"/>
      <c r="C26" s="514"/>
      <c r="D26" s="514"/>
      <c r="E26" s="182" t="s">
        <v>161</v>
      </c>
      <c r="F26" s="182" t="s">
        <v>387</v>
      </c>
      <c r="G26" s="182" t="s">
        <v>163</v>
      </c>
      <c r="H26" s="514"/>
      <c r="I26" s="183" t="s">
        <v>161</v>
      </c>
      <c r="J26" s="183" t="s">
        <v>387</v>
      </c>
      <c r="K26" s="183" t="s">
        <v>163</v>
      </c>
      <c r="L26" s="531"/>
      <c r="M26" s="531"/>
      <c r="N26" s="514"/>
      <c r="O26" s="514"/>
      <c r="P26" s="182" t="s">
        <v>161</v>
      </c>
      <c r="Q26" s="182" t="s">
        <v>387</v>
      </c>
      <c r="R26" s="182" t="s">
        <v>163</v>
      </c>
      <c r="S26" s="184" t="s">
        <v>167</v>
      </c>
      <c r="T26" s="514"/>
      <c r="U26" s="182" t="s">
        <v>161</v>
      </c>
      <c r="V26" s="182" t="s">
        <v>387</v>
      </c>
      <c r="W26" s="182" t="s">
        <v>163</v>
      </c>
      <c r="X26" s="184" t="s">
        <v>167</v>
      </c>
      <c r="Y26" s="514"/>
      <c r="Z26" s="182" t="s">
        <v>161</v>
      </c>
      <c r="AA26" s="182" t="s">
        <v>387</v>
      </c>
      <c r="AB26" s="182" t="s">
        <v>163</v>
      </c>
      <c r="AC26" s="184" t="s">
        <v>167</v>
      </c>
      <c r="AD26" s="514"/>
      <c r="AE26" s="182" t="s">
        <v>161</v>
      </c>
      <c r="AF26" s="182" t="s">
        <v>387</v>
      </c>
      <c r="AG26" s="182" t="s">
        <v>163</v>
      </c>
      <c r="AH26" s="184" t="s">
        <v>167</v>
      </c>
      <c r="AI26" s="514"/>
      <c r="AJ26" s="182" t="s">
        <v>161</v>
      </c>
      <c r="AK26" s="182" t="s">
        <v>387</v>
      </c>
      <c r="AL26" s="182" t="s">
        <v>163</v>
      </c>
      <c r="AM26" s="184" t="s">
        <v>167</v>
      </c>
      <c r="AN26" s="514"/>
      <c r="AO26" s="182" t="s">
        <v>161</v>
      </c>
      <c r="AP26" s="182" t="s">
        <v>387</v>
      </c>
      <c r="AQ26" s="182" t="s">
        <v>163</v>
      </c>
      <c r="AR26" s="184" t="s">
        <v>167</v>
      </c>
      <c r="AS26" s="514"/>
      <c r="AT26" s="182" t="s">
        <v>161</v>
      </c>
      <c r="AU26" s="182" t="s">
        <v>387</v>
      </c>
      <c r="AV26" s="182" t="s">
        <v>163</v>
      </c>
      <c r="AW26" s="184" t="s">
        <v>167</v>
      </c>
      <c r="AX26" s="514"/>
    </row>
    <row r="27" spans="2:50" ht="14.25" customHeight="1">
      <c r="B27" s="514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8">F27/E27</f>
        <v>92.307692307692307</v>
      </c>
      <c r="H27" s="526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1079.3570191367746</v>
      </c>
      <c r="K27" s="189">
        <f>AVERAGE(R27,W27,AB27,AG27,AL27,AQ27,AV27)</f>
        <v>83.027463010521132</v>
      </c>
      <c r="L27" s="527">
        <f>IFERROR(AVERAGE(K27:K41),"-")</f>
        <v>76.295229740251486</v>
      </c>
      <c r="M27" s="188">
        <f>RANK(K27, K$27:$K$41)</f>
        <v>1</v>
      </c>
      <c r="N27" s="514"/>
      <c r="O27" s="514"/>
      <c r="P27" s="190">
        <v>13</v>
      </c>
      <c r="Q27" s="190">
        <v>1078.3819511765225</v>
      </c>
      <c r="R27" s="187">
        <f>IFERROR(Q27/P27,"")</f>
        <v>82.952457782809432</v>
      </c>
      <c r="S27" s="184">
        <f>RANK(R27, R$27:R$41)</f>
        <v>1</v>
      </c>
      <c r="T27" s="526">
        <f>AVERAGE(R27:R41)</f>
        <v>76.264708677692667</v>
      </c>
      <c r="U27" s="190">
        <v>13</v>
      </c>
      <c r="V27" s="190">
        <v>1079.5075239398088</v>
      </c>
      <c r="W27" s="187">
        <f t="shared" ref="W27:W29" si="39">IFERROR(V27/U27,"")</f>
        <v>83.039040303062222</v>
      </c>
      <c r="X27" s="184">
        <f>RANK(W27, W$27:W$41)</f>
        <v>1</v>
      </c>
      <c r="Y27" s="526">
        <f>AVERAGE(W27:W41)</f>
        <v>76.291951696741776</v>
      </c>
      <c r="Z27" s="190">
        <v>13</v>
      </c>
      <c r="AA27" s="190">
        <v>1079.5269382391593</v>
      </c>
      <c r="AB27" s="187">
        <f t="shared" ref="AB27:AB29" si="40">IFERROR(AA27/Z27,"")</f>
        <v>83.040533710704565</v>
      </c>
      <c r="AC27" s="184">
        <f>RANK(AB27, AB$27:AB$41)</f>
        <v>1</v>
      </c>
      <c r="AD27" s="526">
        <f>AVERAGE(AB27:AB41)</f>
        <v>76.293224534375682</v>
      </c>
      <c r="AE27" s="190">
        <v>13</v>
      </c>
      <c r="AF27" s="190">
        <v>1079.4849785407725</v>
      </c>
      <c r="AG27" s="187">
        <f>IFERROR(AF27/AE27,"")</f>
        <v>83.037306041597887</v>
      </c>
      <c r="AH27" s="184">
        <f>RANK(AG27, AG$27:AG$41)</f>
        <v>1</v>
      </c>
      <c r="AI27" s="526">
        <f>AVERAGE(AG27:AG41)</f>
        <v>76.300911205776117</v>
      </c>
      <c r="AJ27" s="190">
        <v>13</v>
      </c>
      <c r="AK27" s="190">
        <v>1079.5240193918028</v>
      </c>
      <c r="AL27" s="187">
        <f t="shared" ref="AL27:AL29" si="41">IFERROR(AK27/AJ27,"")</f>
        <v>83.040309183984832</v>
      </c>
      <c r="AM27" s="184">
        <f>RANK(AL27, AL$27:AL$41)</f>
        <v>1</v>
      </c>
      <c r="AN27" s="526">
        <f>AVERAGE(AL27:AL41)</f>
        <v>76.302538663733046</v>
      </c>
      <c r="AO27" s="190">
        <v>13</v>
      </c>
      <c r="AP27" s="190">
        <v>1079.5543635238289</v>
      </c>
      <c r="AQ27" s="187">
        <f t="shared" ref="AQ27:AQ29" si="42">IFERROR(AP27/AO27,"")</f>
        <v>83.042643347986839</v>
      </c>
      <c r="AR27" s="184">
        <f>RANK(AQ27, AQ$27:AQ$41)</f>
        <v>1</v>
      </c>
      <c r="AS27" s="526">
        <f>AVERAGE(AQ27:AQ41)</f>
        <v>76.306296877884236</v>
      </c>
      <c r="AT27" s="190">
        <v>13</v>
      </c>
      <c r="AU27" s="190">
        <v>1079.5193591455277</v>
      </c>
      <c r="AV27" s="187">
        <f t="shared" ref="AV27:AV28" si="43">IFERROR(AU27/AT27,"")</f>
        <v>83.039950703502129</v>
      </c>
      <c r="AW27" s="184">
        <f>RANK(AV27, AV$27:AV$41)</f>
        <v>1</v>
      </c>
      <c r="AX27" s="526">
        <f>AVERAGE(AV27:AV41)</f>
        <v>77.984397847215661</v>
      </c>
    </row>
    <row r="28" spans="2:50" ht="14.25" customHeight="1">
      <c r="B28" s="514"/>
      <c r="C28" s="182">
        <v>2</v>
      </c>
      <c r="D28" s="185" t="s">
        <v>477</v>
      </c>
      <c r="E28" s="182">
        <v>22</v>
      </c>
      <c r="F28" s="182">
        <v>1800</v>
      </c>
      <c r="G28" s="187">
        <f t="shared" si="38"/>
        <v>81.818181818181813</v>
      </c>
      <c r="H28" s="526"/>
      <c r="I28" s="188">
        <f t="shared" ref="I28:K29" si="44">AVERAGE(P28,U28,Z28,AE28,AJ28,AO28,AT28)</f>
        <v>22</v>
      </c>
      <c r="J28" s="188">
        <f t="shared" si="44"/>
        <v>1603.9340312158724</v>
      </c>
      <c r="K28" s="189">
        <f t="shared" si="44"/>
        <v>72.906092327994202</v>
      </c>
      <c r="L28" s="527"/>
      <c r="M28" s="188">
        <f>RANK(K28, K$27:$K$41)</f>
        <v>3</v>
      </c>
      <c r="N28" s="514"/>
      <c r="O28" s="514"/>
      <c r="P28" s="190">
        <v>22</v>
      </c>
      <c r="Q28" s="190">
        <v>1603.6363636363626</v>
      </c>
      <c r="R28" s="187">
        <f t="shared" ref="R28:R29" si="45">IFERROR(Q28/P28,"")</f>
        <v>72.892561983471026</v>
      </c>
      <c r="S28" s="184">
        <f t="shared" ref="S28:S29" si="46">RANK(R28, R$27:R$41)</f>
        <v>3</v>
      </c>
      <c r="T28" s="526"/>
      <c r="U28" s="190">
        <v>22</v>
      </c>
      <c r="V28" s="190">
        <v>1603.6697247706425</v>
      </c>
      <c r="W28" s="187">
        <f t="shared" si="39"/>
        <v>72.89407839866557</v>
      </c>
      <c r="X28" s="184">
        <f t="shared" ref="X28:X29" si="47">RANK(W28, W$27:W$41)</f>
        <v>3</v>
      </c>
      <c r="Y28" s="526"/>
      <c r="Z28" s="190">
        <v>22</v>
      </c>
      <c r="AA28" s="190">
        <v>1603.7037037037037</v>
      </c>
      <c r="AB28" s="187">
        <f t="shared" si="40"/>
        <v>72.895622895622893</v>
      </c>
      <c r="AC28" s="184">
        <f t="shared" ref="AC28:AC29" si="48">RANK(AB28, AB$27:AB$41)</f>
        <v>3</v>
      </c>
      <c r="AD28" s="526"/>
      <c r="AE28" s="190">
        <v>22</v>
      </c>
      <c r="AF28" s="190">
        <v>1603.8781163434919</v>
      </c>
      <c r="AG28" s="187">
        <f t="shared" ref="AG28:AG29" si="49">IFERROR(AF28/AE28,"")</f>
        <v>72.903550742885997</v>
      </c>
      <c r="AH28" s="184">
        <f t="shared" ref="AH28:AH29" si="50">RANK(AG28, AG$27:AG$41)</f>
        <v>3</v>
      </c>
      <c r="AI28" s="526"/>
      <c r="AJ28" s="190">
        <v>22</v>
      </c>
      <c r="AK28" s="190">
        <v>1603.9960039960042</v>
      </c>
      <c r="AL28" s="187">
        <f t="shared" si="41"/>
        <v>72.908909272545642</v>
      </c>
      <c r="AM28" s="184">
        <f t="shared" ref="AM28:AM29" si="51">RANK(AL28, AL$27:AL$41)</f>
        <v>3</v>
      </c>
      <c r="AN28" s="526"/>
      <c r="AO28" s="190">
        <v>22</v>
      </c>
      <c r="AP28" s="190">
        <v>1604.2197162604584</v>
      </c>
      <c r="AQ28" s="187">
        <f t="shared" si="42"/>
        <v>72.919078011839019</v>
      </c>
      <c r="AR28" s="184">
        <f t="shared" ref="AR28:AR29" si="52">RANK(AQ28, AQ$27:AQ$41)</f>
        <v>3</v>
      </c>
      <c r="AS28" s="526"/>
      <c r="AT28" s="190">
        <v>22</v>
      </c>
      <c r="AU28" s="190">
        <v>1604.4345898004426</v>
      </c>
      <c r="AV28" s="187">
        <f t="shared" si="43"/>
        <v>72.928844990929207</v>
      </c>
      <c r="AW28" s="184">
        <f t="shared" ref="AW28" si="53">RANK(AV28, AV$27:AV$41)</f>
        <v>2</v>
      </c>
      <c r="AX28" s="526"/>
    </row>
    <row r="29" spans="2:50" ht="14.25" customHeight="1">
      <c r="B29" s="514"/>
      <c r="C29" s="182">
        <v>3</v>
      </c>
      <c r="D29" s="185" t="s">
        <v>493</v>
      </c>
      <c r="E29" s="182">
        <v>22</v>
      </c>
      <c r="F29" s="182">
        <v>1800</v>
      </c>
      <c r="G29" s="187">
        <f t="shared" si="38"/>
        <v>81.818181818181813</v>
      </c>
      <c r="H29" s="526"/>
      <c r="I29" s="188">
        <f t="shared" si="44"/>
        <v>22</v>
      </c>
      <c r="J29" s="188">
        <f t="shared" si="44"/>
        <v>1604.9469454092605</v>
      </c>
      <c r="K29" s="189">
        <f t="shared" si="44"/>
        <v>72.952133882239096</v>
      </c>
      <c r="L29" s="527"/>
      <c r="M29" s="188">
        <f>RANK(K29, K$27:$K$41)</f>
        <v>2</v>
      </c>
      <c r="N29" s="514"/>
      <c r="O29" s="514"/>
      <c r="P29" s="190">
        <v>22</v>
      </c>
      <c r="Q29" s="190">
        <v>1604.8803378695454</v>
      </c>
      <c r="R29" s="187">
        <f t="shared" si="45"/>
        <v>72.949106266797514</v>
      </c>
      <c r="S29" s="184">
        <f t="shared" si="46"/>
        <v>2</v>
      </c>
      <c r="T29" s="526"/>
      <c r="U29" s="190">
        <v>22</v>
      </c>
      <c r="V29" s="190">
        <v>1604.7402005469467</v>
      </c>
      <c r="W29" s="187">
        <f t="shared" si="39"/>
        <v>72.942736388497579</v>
      </c>
      <c r="X29" s="184">
        <f t="shared" si="47"/>
        <v>2</v>
      </c>
      <c r="Y29" s="526"/>
      <c r="Z29" s="190">
        <v>22</v>
      </c>
      <c r="AA29" s="190">
        <v>1604.7573739295904</v>
      </c>
      <c r="AB29" s="187">
        <f t="shared" si="40"/>
        <v>72.943516996799559</v>
      </c>
      <c r="AC29" s="184">
        <f t="shared" si="48"/>
        <v>2</v>
      </c>
      <c r="AD29" s="526"/>
      <c r="AE29" s="190">
        <v>22</v>
      </c>
      <c r="AF29" s="190">
        <v>1605.1612903225782</v>
      </c>
      <c r="AG29" s="187">
        <f t="shared" si="49"/>
        <v>72.961876832844467</v>
      </c>
      <c r="AH29" s="184">
        <f t="shared" si="50"/>
        <v>2</v>
      </c>
      <c r="AI29" s="526"/>
      <c r="AJ29" s="190">
        <v>22</v>
      </c>
      <c r="AK29" s="190">
        <v>1605.084745762711</v>
      </c>
      <c r="AL29" s="187">
        <f t="shared" si="41"/>
        <v>72.958397534668677</v>
      </c>
      <c r="AM29" s="184">
        <f t="shared" si="51"/>
        <v>2</v>
      </c>
      <c r="AN29" s="526"/>
      <c r="AO29" s="190">
        <v>22</v>
      </c>
      <c r="AP29" s="190">
        <v>1605.0577240241907</v>
      </c>
      <c r="AQ29" s="187">
        <f t="shared" si="42"/>
        <v>72.95716927382685</v>
      </c>
      <c r="AR29" s="184">
        <f t="shared" si="52"/>
        <v>2</v>
      </c>
      <c r="AS29" s="526"/>
      <c r="AT29" s="190"/>
      <c r="AU29" s="190"/>
      <c r="AV29" s="187"/>
      <c r="AW29" s="184"/>
      <c r="AX29" s="526"/>
    </row>
    <row r="30" spans="2:50" ht="14.25" customHeight="1">
      <c r="B30" s="514"/>
      <c r="C30" s="182">
        <v>4</v>
      </c>
      <c r="D30" s="185"/>
      <c r="E30" s="182"/>
      <c r="F30" s="182"/>
      <c r="G30" s="187"/>
      <c r="H30" s="526"/>
      <c r="I30" s="188"/>
      <c r="J30" s="188"/>
      <c r="K30" s="189"/>
      <c r="L30" s="527"/>
      <c r="M30" s="188"/>
      <c r="N30" s="514"/>
      <c r="O30" s="514"/>
      <c r="P30" s="190"/>
      <c r="Q30" s="190"/>
      <c r="R30" s="187"/>
      <c r="S30" s="184"/>
      <c r="T30" s="526"/>
      <c r="U30" s="190"/>
      <c r="V30" s="190"/>
      <c r="W30" s="187"/>
      <c r="X30" s="184"/>
      <c r="Y30" s="526"/>
      <c r="Z30" s="190"/>
      <c r="AA30" s="190"/>
      <c r="AB30" s="187"/>
      <c r="AC30" s="184"/>
      <c r="AD30" s="526"/>
      <c r="AE30" s="190"/>
      <c r="AF30" s="190"/>
      <c r="AG30" s="187"/>
      <c r="AH30" s="184"/>
      <c r="AI30" s="526"/>
      <c r="AJ30" s="190"/>
      <c r="AK30" s="190"/>
      <c r="AL30" s="187"/>
      <c r="AM30" s="184"/>
      <c r="AN30" s="526"/>
      <c r="AO30" s="190"/>
      <c r="AP30" s="190"/>
      <c r="AQ30" s="187"/>
      <c r="AR30" s="184"/>
      <c r="AS30" s="526"/>
      <c r="AT30" s="190"/>
      <c r="AU30" s="190"/>
      <c r="AV30" s="187"/>
      <c r="AW30" s="184"/>
      <c r="AX30" s="526"/>
    </row>
    <row r="31" spans="2:50" ht="14.25" customHeight="1">
      <c r="B31" s="514"/>
      <c r="C31" s="182">
        <v>5</v>
      </c>
      <c r="D31" s="185"/>
      <c r="E31" s="182"/>
      <c r="F31" s="182"/>
      <c r="G31" s="187"/>
      <c r="H31" s="526"/>
      <c r="I31" s="188"/>
      <c r="J31" s="188"/>
      <c r="K31" s="189"/>
      <c r="L31" s="527"/>
      <c r="M31" s="188"/>
      <c r="N31" s="514"/>
      <c r="O31" s="514"/>
      <c r="P31" s="190"/>
      <c r="Q31" s="190"/>
      <c r="R31" s="187"/>
      <c r="S31" s="184"/>
      <c r="T31" s="526"/>
      <c r="U31" s="190"/>
      <c r="V31" s="190"/>
      <c r="W31" s="187"/>
      <c r="X31" s="184"/>
      <c r="Y31" s="526"/>
      <c r="Z31" s="190"/>
      <c r="AA31" s="190"/>
      <c r="AB31" s="187"/>
      <c r="AC31" s="184"/>
      <c r="AD31" s="526"/>
      <c r="AE31" s="190"/>
      <c r="AF31" s="190"/>
      <c r="AG31" s="187"/>
      <c r="AH31" s="184"/>
      <c r="AI31" s="526"/>
      <c r="AJ31" s="190"/>
      <c r="AK31" s="190"/>
      <c r="AL31" s="187"/>
      <c r="AM31" s="184"/>
      <c r="AN31" s="526"/>
      <c r="AO31" s="190"/>
      <c r="AP31" s="190"/>
      <c r="AQ31" s="187"/>
      <c r="AR31" s="184"/>
      <c r="AS31" s="526"/>
      <c r="AT31" s="190"/>
      <c r="AU31" s="190"/>
      <c r="AV31" s="187"/>
      <c r="AW31" s="184"/>
      <c r="AX31" s="526"/>
    </row>
    <row r="32" spans="2:50" ht="14.25" customHeight="1">
      <c r="B32" s="514"/>
      <c r="C32" s="182">
        <v>6</v>
      </c>
      <c r="D32" s="185"/>
      <c r="E32" s="182"/>
      <c r="F32" s="182"/>
      <c r="G32" s="187"/>
      <c r="H32" s="526"/>
      <c r="I32" s="188"/>
      <c r="J32" s="188"/>
      <c r="K32" s="189"/>
      <c r="L32" s="527"/>
      <c r="M32" s="188"/>
      <c r="N32" s="514"/>
      <c r="O32" s="514"/>
      <c r="P32" s="190"/>
      <c r="Q32" s="190"/>
      <c r="R32" s="187"/>
      <c r="S32" s="184"/>
      <c r="T32" s="526"/>
      <c r="U32" s="190"/>
      <c r="V32" s="190"/>
      <c r="W32" s="187"/>
      <c r="X32" s="184"/>
      <c r="Y32" s="526"/>
      <c r="Z32" s="190"/>
      <c r="AA32" s="190"/>
      <c r="AB32" s="187"/>
      <c r="AC32" s="184"/>
      <c r="AD32" s="526"/>
      <c r="AE32" s="190"/>
      <c r="AF32" s="190"/>
      <c r="AG32" s="187"/>
      <c r="AH32" s="184"/>
      <c r="AI32" s="526"/>
      <c r="AJ32" s="190"/>
      <c r="AK32" s="190"/>
      <c r="AL32" s="187"/>
      <c r="AM32" s="184"/>
      <c r="AN32" s="526"/>
      <c r="AO32" s="190"/>
      <c r="AP32" s="190"/>
      <c r="AQ32" s="187"/>
      <c r="AR32" s="184"/>
      <c r="AS32" s="526"/>
      <c r="AT32" s="190"/>
      <c r="AU32" s="190"/>
      <c r="AV32" s="187"/>
      <c r="AW32" s="184"/>
      <c r="AX32" s="526"/>
    </row>
    <row r="33" spans="2:50" ht="14.25" customHeight="1">
      <c r="B33" s="514"/>
      <c r="C33" s="182">
        <v>7</v>
      </c>
      <c r="D33" s="185"/>
      <c r="E33" s="182"/>
      <c r="F33" s="182"/>
      <c r="G33" s="187"/>
      <c r="H33" s="526"/>
      <c r="I33" s="188"/>
      <c r="J33" s="188"/>
      <c r="K33" s="189"/>
      <c r="L33" s="527"/>
      <c r="M33" s="188"/>
      <c r="N33" s="514"/>
      <c r="O33" s="514"/>
      <c r="P33" s="190"/>
      <c r="Q33" s="190"/>
      <c r="R33" s="187"/>
      <c r="S33" s="184"/>
      <c r="T33" s="526"/>
      <c r="U33" s="190"/>
      <c r="V33" s="190"/>
      <c r="W33" s="187"/>
      <c r="X33" s="184"/>
      <c r="Y33" s="526"/>
      <c r="Z33" s="190"/>
      <c r="AA33" s="190"/>
      <c r="AB33" s="187"/>
      <c r="AC33" s="184"/>
      <c r="AD33" s="526"/>
      <c r="AE33" s="190"/>
      <c r="AF33" s="190"/>
      <c r="AG33" s="187"/>
      <c r="AH33" s="184"/>
      <c r="AI33" s="526"/>
      <c r="AJ33" s="190"/>
      <c r="AK33" s="190"/>
      <c r="AL33" s="187"/>
      <c r="AM33" s="184"/>
      <c r="AN33" s="526"/>
      <c r="AO33" s="190"/>
      <c r="AP33" s="190"/>
      <c r="AQ33" s="187"/>
      <c r="AR33" s="184"/>
      <c r="AS33" s="526"/>
      <c r="AT33" s="190"/>
      <c r="AU33" s="190"/>
      <c r="AV33" s="187"/>
      <c r="AW33" s="184"/>
      <c r="AX33" s="526"/>
    </row>
    <row r="34" spans="2:50" ht="14.25" customHeight="1">
      <c r="B34" s="514"/>
      <c r="C34" s="182">
        <v>8</v>
      </c>
      <c r="D34" s="185"/>
      <c r="E34" s="182"/>
      <c r="F34" s="182"/>
      <c r="G34" s="187"/>
      <c r="H34" s="526"/>
      <c r="I34" s="188"/>
      <c r="J34" s="188"/>
      <c r="K34" s="189"/>
      <c r="L34" s="527"/>
      <c r="M34" s="188"/>
      <c r="N34" s="514"/>
      <c r="O34" s="514"/>
      <c r="P34" s="190"/>
      <c r="Q34" s="190"/>
      <c r="R34" s="187"/>
      <c r="S34" s="184"/>
      <c r="T34" s="526"/>
      <c r="U34" s="190"/>
      <c r="V34" s="190"/>
      <c r="W34" s="187"/>
      <c r="X34" s="184"/>
      <c r="Y34" s="526"/>
      <c r="Z34" s="190"/>
      <c r="AA34" s="190"/>
      <c r="AB34" s="187"/>
      <c r="AC34" s="184"/>
      <c r="AD34" s="526"/>
      <c r="AE34" s="190"/>
      <c r="AF34" s="190"/>
      <c r="AG34" s="187"/>
      <c r="AH34" s="184"/>
      <c r="AI34" s="526"/>
      <c r="AJ34" s="190"/>
      <c r="AK34" s="190"/>
      <c r="AL34" s="187"/>
      <c r="AM34" s="184"/>
      <c r="AN34" s="526"/>
      <c r="AO34" s="190"/>
      <c r="AP34" s="190"/>
      <c r="AQ34" s="187"/>
      <c r="AR34" s="184"/>
      <c r="AS34" s="526"/>
      <c r="AT34" s="190"/>
      <c r="AU34" s="190"/>
      <c r="AV34" s="187"/>
      <c r="AW34" s="184"/>
      <c r="AX34" s="526"/>
    </row>
    <row r="35" spans="2:50" ht="14.25" customHeight="1">
      <c r="B35" s="514"/>
      <c r="C35" s="182">
        <v>9</v>
      </c>
      <c r="D35" s="185"/>
      <c r="E35" s="182"/>
      <c r="F35" s="182"/>
      <c r="G35" s="187"/>
      <c r="H35" s="526"/>
      <c r="I35" s="188"/>
      <c r="J35" s="188"/>
      <c r="K35" s="189"/>
      <c r="L35" s="527"/>
      <c r="M35" s="188"/>
      <c r="N35" s="514"/>
      <c r="O35" s="514"/>
      <c r="P35" s="190"/>
      <c r="Q35" s="190"/>
      <c r="R35" s="187"/>
      <c r="S35" s="184"/>
      <c r="T35" s="526"/>
      <c r="U35" s="190"/>
      <c r="V35" s="190"/>
      <c r="W35" s="187"/>
      <c r="X35" s="184"/>
      <c r="Y35" s="526"/>
      <c r="Z35" s="190"/>
      <c r="AA35" s="190"/>
      <c r="AB35" s="187"/>
      <c r="AC35" s="184"/>
      <c r="AD35" s="526"/>
      <c r="AE35" s="190"/>
      <c r="AF35" s="190"/>
      <c r="AG35" s="187"/>
      <c r="AH35" s="184"/>
      <c r="AI35" s="526"/>
      <c r="AJ35" s="190"/>
      <c r="AK35" s="190"/>
      <c r="AL35" s="187"/>
      <c r="AM35" s="184"/>
      <c r="AN35" s="526"/>
      <c r="AO35" s="190"/>
      <c r="AP35" s="190"/>
      <c r="AQ35" s="187"/>
      <c r="AR35" s="184"/>
      <c r="AS35" s="526"/>
      <c r="AT35" s="190"/>
      <c r="AU35" s="190"/>
      <c r="AV35" s="187"/>
      <c r="AW35" s="184"/>
      <c r="AX35" s="526"/>
    </row>
    <row r="36" spans="2:50" ht="14.25" customHeight="1">
      <c r="B36" s="514"/>
      <c r="C36" s="182">
        <v>10</v>
      </c>
      <c r="D36" s="185"/>
      <c r="E36" s="182"/>
      <c r="F36" s="182"/>
      <c r="G36" s="187"/>
      <c r="H36" s="526"/>
      <c r="I36" s="188"/>
      <c r="J36" s="188"/>
      <c r="K36" s="189"/>
      <c r="L36" s="527"/>
      <c r="M36" s="188"/>
      <c r="N36" s="514"/>
      <c r="O36" s="514"/>
      <c r="P36" s="190"/>
      <c r="Q36" s="190"/>
      <c r="R36" s="187"/>
      <c r="S36" s="184"/>
      <c r="T36" s="526"/>
      <c r="U36" s="190"/>
      <c r="V36" s="190"/>
      <c r="W36" s="187"/>
      <c r="X36" s="184"/>
      <c r="Y36" s="526"/>
      <c r="Z36" s="190"/>
      <c r="AA36" s="190"/>
      <c r="AB36" s="187"/>
      <c r="AC36" s="184"/>
      <c r="AD36" s="526"/>
      <c r="AE36" s="190"/>
      <c r="AF36" s="190"/>
      <c r="AG36" s="187"/>
      <c r="AH36" s="184"/>
      <c r="AI36" s="526"/>
      <c r="AJ36" s="190"/>
      <c r="AK36" s="190"/>
      <c r="AL36" s="187"/>
      <c r="AM36" s="184"/>
      <c r="AN36" s="526"/>
      <c r="AO36" s="190"/>
      <c r="AP36" s="190"/>
      <c r="AQ36" s="187"/>
      <c r="AR36" s="184"/>
      <c r="AS36" s="526"/>
      <c r="AT36" s="190"/>
      <c r="AU36" s="190"/>
      <c r="AV36" s="187"/>
      <c r="AW36" s="184"/>
      <c r="AX36" s="526"/>
    </row>
    <row r="37" spans="2:50" ht="14.25" customHeight="1">
      <c r="B37" s="514"/>
      <c r="C37" s="182">
        <v>11</v>
      </c>
      <c r="D37" s="185"/>
      <c r="E37" s="182"/>
      <c r="F37" s="182"/>
      <c r="G37" s="187"/>
      <c r="H37" s="526"/>
      <c r="I37" s="188"/>
      <c r="J37" s="188"/>
      <c r="K37" s="189"/>
      <c r="L37" s="527"/>
      <c r="M37" s="188"/>
      <c r="N37" s="514"/>
      <c r="O37" s="514"/>
      <c r="P37" s="190"/>
      <c r="Q37" s="190"/>
      <c r="R37" s="187"/>
      <c r="S37" s="184"/>
      <c r="T37" s="526"/>
      <c r="U37" s="190"/>
      <c r="V37" s="190"/>
      <c r="W37" s="187"/>
      <c r="X37" s="184"/>
      <c r="Y37" s="526"/>
      <c r="Z37" s="190"/>
      <c r="AA37" s="190"/>
      <c r="AB37" s="187"/>
      <c r="AC37" s="184"/>
      <c r="AD37" s="526"/>
      <c r="AE37" s="190"/>
      <c r="AF37" s="190"/>
      <c r="AG37" s="187"/>
      <c r="AH37" s="184"/>
      <c r="AI37" s="526"/>
      <c r="AJ37" s="190"/>
      <c r="AK37" s="190"/>
      <c r="AL37" s="187"/>
      <c r="AM37" s="184"/>
      <c r="AN37" s="526"/>
      <c r="AO37" s="190"/>
      <c r="AP37" s="190"/>
      <c r="AQ37" s="187"/>
      <c r="AR37" s="184"/>
      <c r="AS37" s="526"/>
      <c r="AT37" s="190"/>
      <c r="AU37" s="190"/>
      <c r="AV37" s="187"/>
      <c r="AW37" s="184"/>
      <c r="AX37" s="526"/>
    </row>
    <row r="38" spans="2:50" ht="14.25" customHeight="1">
      <c r="B38" s="514"/>
      <c r="C38" s="182">
        <v>12</v>
      </c>
      <c r="D38" s="185"/>
      <c r="E38" s="182"/>
      <c r="F38" s="182"/>
      <c r="G38" s="187"/>
      <c r="H38" s="526"/>
      <c r="I38" s="188"/>
      <c r="J38" s="188"/>
      <c r="K38" s="189"/>
      <c r="L38" s="527"/>
      <c r="M38" s="188"/>
      <c r="N38" s="514"/>
      <c r="O38" s="514"/>
      <c r="P38" s="190"/>
      <c r="Q38" s="190"/>
      <c r="R38" s="187"/>
      <c r="S38" s="184"/>
      <c r="T38" s="526"/>
      <c r="U38" s="190"/>
      <c r="V38" s="190"/>
      <c r="W38" s="187"/>
      <c r="X38" s="184"/>
      <c r="Y38" s="526"/>
      <c r="Z38" s="190"/>
      <c r="AA38" s="190"/>
      <c r="AB38" s="187"/>
      <c r="AC38" s="184"/>
      <c r="AD38" s="526"/>
      <c r="AE38" s="190"/>
      <c r="AF38" s="190"/>
      <c r="AG38" s="187"/>
      <c r="AH38" s="184"/>
      <c r="AI38" s="526"/>
      <c r="AJ38" s="190"/>
      <c r="AK38" s="190"/>
      <c r="AL38" s="187"/>
      <c r="AM38" s="184"/>
      <c r="AN38" s="526"/>
      <c r="AO38" s="190"/>
      <c r="AP38" s="190"/>
      <c r="AQ38" s="187"/>
      <c r="AR38" s="184"/>
      <c r="AS38" s="526"/>
      <c r="AT38" s="190"/>
      <c r="AU38" s="190"/>
      <c r="AV38" s="187"/>
      <c r="AW38" s="184"/>
      <c r="AX38" s="526"/>
    </row>
    <row r="39" spans="2:50" ht="14.25" customHeight="1">
      <c r="B39" s="514"/>
      <c r="C39" s="182">
        <v>13</v>
      </c>
      <c r="D39" s="185"/>
      <c r="E39" s="182"/>
      <c r="F39" s="182"/>
      <c r="G39" s="187"/>
      <c r="H39" s="526"/>
      <c r="I39" s="188"/>
      <c r="J39" s="188"/>
      <c r="K39" s="189"/>
      <c r="L39" s="527"/>
      <c r="M39" s="188"/>
      <c r="N39" s="514"/>
      <c r="O39" s="514"/>
      <c r="P39" s="190"/>
      <c r="Q39" s="190"/>
      <c r="R39" s="187"/>
      <c r="S39" s="184"/>
      <c r="T39" s="526"/>
      <c r="U39" s="190"/>
      <c r="V39" s="190"/>
      <c r="W39" s="187"/>
      <c r="X39" s="184"/>
      <c r="Y39" s="526"/>
      <c r="Z39" s="190"/>
      <c r="AA39" s="190"/>
      <c r="AB39" s="187"/>
      <c r="AC39" s="184"/>
      <c r="AD39" s="526"/>
      <c r="AE39" s="190"/>
      <c r="AF39" s="190"/>
      <c r="AG39" s="187"/>
      <c r="AH39" s="184"/>
      <c r="AI39" s="526"/>
      <c r="AJ39" s="190"/>
      <c r="AK39" s="190"/>
      <c r="AL39" s="187"/>
      <c r="AM39" s="184"/>
      <c r="AN39" s="526"/>
      <c r="AO39" s="190"/>
      <c r="AP39" s="190"/>
      <c r="AQ39" s="187"/>
      <c r="AR39" s="184"/>
      <c r="AS39" s="526"/>
      <c r="AT39" s="190"/>
      <c r="AU39" s="190"/>
      <c r="AV39" s="187"/>
      <c r="AW39" s="184"/>
      <c r="AX39" s="526"/>
    </row>
    <row r="40" spans="2:50" ht="14.25" customHeight="1">
      <c r="B40" s="514"/>
      <c r="C40" s="182">
        <v>14</v>
      </c>
      <c r="D40" s="185"/>
      <c r="E40" s="182"/>
      <c r="F40" s="182"/>
      <c r="G40" s="187"/>
      <c r="H40" s="526"/>
      <c r="I40" s="188"/>
      <c r="J40" s="188"/>
      <c r="K40" s="189"/>
      <c r="L40" s="527"/>
      <c r="M40" s="188"/>
      <c r="N40" s="514"/>
      <c r="O40" s="514"/>
      <c r="P40" s="190"/>
      <c r="Q40" s="190"/>
      <c r="R40" s="187"/>
      <c r="S40" s="184"/>
      <c r="T40" s="526"/>
      <c r="U40" s="190"/>
      <c r="V40" s="190"/>
      <c r="W40" s="187"/>
      <c r="X40" s="184"/>
      <c r="Y40" s="526"/>
      <c r="Z40" s="190"/>
      <c r="AA40" s="190"/>
      <c r="AB40" s="187"/>
      <c r="AC40" s="184"/>
      <c r="AD40" s="526"/>
      <c r="AE40" s="190"/>
      <c r="AF40" s="190"/>
      <c r="AG40" s="187"/>
      <c r="AH40" s="184"/>
      <c r="AI40" s="526"/>
      <c r="AJ40" s="190"/>
      <c r="AK40" s="190"/>
      <c r="AL40" s="187"/>
      <c r="AM40" s="184"/>
      <c r="AN40" s="526"/>
      <c r="AO40" s="190"/>
      <c r="AP40" s="190"/>
      <c r="AQ40" s="187"/>
      <c r="AR40" s="184"/>
      <c r="AS40" s="526"/>
      <c r="AT40" s="190"/>
      <c r="AU40" s="190"/>
      <c r="AV40" s="187"/>
      <c r="AW40" s="184"/>
      <c r="AX40" s="526"/>
    </row>
    <row r="41" spans="2:50" ht="14.25" customHeight="1">
      <c r="B41" s="514"/>
      <c r="C41" s="182">
        <v>15</v>
      </c>
      <c r="D41" s="185"/>
      <c r="E41" s="182"/>
      <c r="F41" s="182"/>
      <c r="G41" s="187"/>
      <c r="H41" s="526"/>
      <c r="I41" s="188"/>
      <c r="J41" s="188"/>
      <c r="K41" s="189"/>
      <c r="L41" s="527"/>
      <c r="M41" s="188"/>
      <c r="N41" s="514"/>
      <c r="O41" s="514"/>
      <c r="P41" s="190"/>
      <c r="Q41" s="190"/>
      <c r="R41" s="187"/>
      <c r="S41" s="184"/>
      <c r="T41" s="526"/>
      <c r="U41" s="190"/>
      <c r="V41" s="190"/>
      <c r="W41" s="187"/>
      <c r="X41" s="184"/>
      <c r="Y41" s="526"/>
      <c r="Z41" s="190"/>
      <c r="AA41" s="190"/>
      <c r="AB41" s="187"/>
      <c r="AC41" s="184"/>
      <c r="AD41" s="526"/>
      <c r="AE41" s="190"/>
      <c r="AF41" s="190"/>
      <c r="AG41" s="187"/>
      <c r="AH41" s="184"/>
      <c r="AI41" s="526"/>
      <c r="AJ41" s="190"/>
      <c r="AK41" s="190"/>
      <c r="AL41" s="187"/>
      <c r="AM41" s="184"/>
      <c r="AN41" s="526"/>
      <c r="AO41" s="190"/>
      <c r="AP41" s="190"/>
      <c r="AQ41" s="187"/>
      <c r="AR41" s="184"/>
      <c r="AS41" s="526"/>
      <c r="AT41" s="190"/>
      <c r="AU41" s="190"/>
      <c r="AV41" s="187"/>
      <c r="AW41" s="184"/>
      <c r="AX41" s="526"/>
    </row>
    <row r="42" spans="2:50" ht="14.25" customHeight="1" collapsed="1">
      <c r="B42" s="541" t="s">
        <v>696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60"/>
      <c r="N42" s="570" t="s">
        <v>383</v>
      </c>
      <c r="O42" s="570" t="s">
        <v>105</v>
      </c>
      <c r="P42" s="582">
        <f>AT22+1</f>
        <v>46063</v>
      </c>
      <c r="Q42" s="583"/>
      <c r="R42" s="583"/>
      <c r="S42" s="583"/>
      <c r="T42" s="583"/>
      <c r="U42" s="584">
        <f>P42+1</f>
        <v>46064</v>
      </c>
      <c r="V42" s="585"/>
      <c r="W42" s="585"/>
      <c r="X42" s="585"/>
      <c r="Y42" s="585"/>
      <c r="Z42" s="582">
        <f t="shared" ref="Z42" si="54">U42+1</f>
        <v>46065</v>
      </c>
      <c r="AA42" s="583"/>
      <c r="AB42" s="583"/>
      <c r="AC42" s="583"/>
      <c r="AD42" s="583"/>
      <c r="AE42" s="584">
        <f t="shared" ref="AE42" si="55">Z42+1</f>
        <v>46066</v>
      </c>
      <c r="AF42" s="585"/>
      <c r="AG42" s="585"/>
      <c r="AH42" s="585"/>
      <c r="AI42" s="585"/>
      <c r="AJ42" s="586">
        <f t="shared" ref="AJ42" si="56">AE42+1</f>
        <v>46067</v>
      </c>
      <c r="AK42" s="587"/>
      <c r="AL42" s="587"/>
      <c r="AM42" s="587"/>
      <c r="AN42" s="588"/>
      <c r="AO42" s="584">
        <f t="shared" ref="AO42" si="57">AJ42+1</f>
        <v>46068</v>
      </c>
      <c r="AP42" s="585"/>
      <c r="AQ42" s="585"/>
      <c r="AR42" s="585"/>
      <c r="AS42" s="585"/>
      <c r="AT42" s="586">
        <f t="shared" ref="AT42" si="58">AO42+1</f>
        <v>46069</v>
      </c>
      <c r="AU42" s="587"/>
      <c r="AV42" s="587"/>
      <c r="AW42" s="587"/>
      <c r="AX42" s="588"/>
    </row>
    <row r="43" spans="2:50" ht="14.2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2"/>
      <c r="N43" s="572"/>
      <c r="O43" s="572"/>
      <c r="P43" s="589">
        <f>P42</f>
        <v>46063</v>
      </c>
      <c r="Q43" s="589"/>
      <c r="R43" s="589"/>
      <c r="S43" s="589"/>
      <c r="T43" s="589"/>
      <c r="U43" s="590">
        <f>U42</f>
        <v>46064</v>
      </c>
      <c r="V43" s="590"/>
      <c r="W43" s="590"/>
      <c r="X43" s="590"/>
      <c r="Y43" s="590"/>
      <c r="Z43" s="589">
        <f t="shared" ref="Z43" si="59">Z42</f>
        <v>46065</v>
      </c>
      <c r="AA43" s="589"/>
      <c r="AB43" s="589"/>
      <c r="AC43" s="589"/>
      <c r="AD43" s="589"/>
      <c r="AE43" s="590">
        <f t="shared" ref="AE43" si="60">AE42</f>
        <v>46066</v>
      </c>
      <c r="AF43" s="590"/>
      <c r="AG43" s="590"/>
      <c r="AH43" s="590"/>
      <c r="AI43" s="590"/>
      <c r="AJ43" s="591">
        <f t="shared" ref="AJ43" si="61">AJ42</f>
        <v>46067</v>
      </c>
      <c r="AK43" s="592"/>
      <c r="AL43" s="592"/>
      <c r="AM43" s="592"/>
      <c r="AN43" s="593"/>
      <c r="AO43" s="590">
        <f t="shared" ref="AO43" si="62">AO42</f>
        <v>46068</v>
      </c>
      <c r="AP43" s="590"/>
      <c r="AQ43" s="590"/>
      <c r="AR43" s="590"/>
      <c r="AS43" s="590"/>
      <c r="AT43" s="591">
        <f t="shared" ref="AT43" si="63">AT42</f>
        <v>46069</v>
      </c>
      <c r="AU43" s="592"/>
      <c r="AV43" s="592"/>
      <c r="AW43" s="592"/>
      <c r="AX43" s="593"/>
    </row>
    <row r="44" spans="2:50" ht="14.25" customHeight="1">
      <c r="B44" s="514" t="s">
        <v>164</v>
      </c>
      <c r="C44" s="514" t="s">
        <v>159</v>
      </c>
      <c r="D44" s="514"/>
      <c r="E44" s="514" t="s">
        <v>160</v>
      </c>
      <c r="F44" s="514"/>
      <c r="G44" s="514"/>
      <c r="H44" s="514" t="s">
        <v>165</v>
      </c>
      <c r="I44" s="531" t="s">
        <v>384</v>
      </c>
      <c r="J44" s="531"/>
      <c r="K44" s="531"/>
      <c r="L44" s="531" t="s">
        <v>165</v>
      </c>
      <c r="M44" s="531" t="s">
        <v>167</v>
      </c>
      <c r="N44" s="514"/>
      <c r="O44" s="514" t="s">
        <v>166</v>
      </c>
      <c r="P44" s="514" t="s">
        <v>162</v>
      </c>
      <c r="Q44" s="514"/>
      <c r="R44" s="514"/>
      <c r="S44" s="514"/>
      <c r="T44" s="514" t="s">
        <v>165</v>
      </c>
      <c r="U44" s="514" t="s">
        <v>162</v>
      </c>
      <c r="V44" s="514"/>
      <c r="W44" s="514"/>
      <c r="X44" s="514"/>
      <c r="Y44" s="514" t="s">
        <v>165</v>
      </c>
      <c r="Z44" s="514" t="s">
        <v>162</v>
      </c>
      <c r="AA44" s="514"/>
      <c r="AB44" s="514"/>
      <c r="AC44" s="514"/>
      <c r="AD44" s="514" t="s">
        <v>165</v>
      </c>
      <c r="AE44" s="514" t="s">
        <v>162</v>
      </c>
      <c r="AF44" s="514"/>
      <c r="AG44" s="514"/>
      <c r="AH44" s="514"/>
      <c r="AI44" s="514" t="s">
        <v>165</v>
      </c>
      <c r="AJ44" s="514" t="s">
        <v>162</v>
      </c>
      <c r="AK44" s="514"/>
      <c r="AL44" s="514"/>
      <c r="AM44" s="514"/>
      <c r="AN44" s="514" t="s">
        <v>165</v>
      </c>
      <c r="AO44" s="514" t="s">
        <v>162</v>
      </c>
      <c r="AP44" s="514"/>
      <c r="AQ44" s="514"/>
      <c r="AR44" s="514"/>
      <c r="AS44" s="514" t="s">
        <v>165</v>
      </c>
      <c r="AT44" s="514" t="s">
        <v>162</v>
      </c>
      <c r="AU44" s="514"/>
      <c r="AV44" s="514"/>
      <c r="AW44" s="514"/>
      <c r="AX44" s="514" t="s">
        <v>165</v>
      </c>
    </row>
    <row r="45" spans="2:50" ht="14.25" customHeight="1">
      <c r="B45" s="514"/>
      <c r="C45" s="514"/>
      <c r="D45" s="514"/>
      <c r="E45" s="514" t="s">
        <v>385</v>
      </c>
      <c r="F45" s="514"/>
      <c r="G45" s="514"/>
      <c r="H45" s="514"/>
      <c r="I45" s="531" t="s">
        <v>385</v>
      </c>
      <c r="J45" s="531"/>
      <c r="K45" s="531"/>
      <c r="L45" s="531"/>
      <c r="M45" s="531"/>
      <c r="N45" s="514"/>
      <c r="O45" s="514"/>
      <c r="P45" s="514" t="s">
        <v>386</v>
      </c>
      <c r="Q45" s="514"/>
      <c r="R45" s="514"/>
      <c r="S45" s="514"/>
      <c r="T45" s="514"/>
      <c r="U45" s="514" t="s">
        <v>386</v>
      </c>
      <c r="V45" s="514"/>
      <c r="W45" s="514"/>
      <c r="X45" s="514"/>
      <c r="Y45" s="514"/>
      <c r="Z45" s="514" t="s">
        <v>386</v>
      </c>
      <c r="AA45" s="514"/>
      <c r="AB45" s="514"/>
      <c r="AC45" s="514"/>
      <c r="AD45" s="514"/>
      <c r="AE45" s="514" t="s">
        <v>386</v>
      </c>
      <c r="AF45" s="514"/>
      <c r="AG45" s="514"/>
      <c r="AH45" s="514"/>
      <c r="AI45" s="514"/>
      <c r="AJ45" s="514" t="s">
        <v>386</v>
      </c>
      <c r="AK45" s="514"/>
      <c r="AL45" s="514"/>
      <c r="AM45" s="514"/>
      <c r="AN45" s="514"/>
      <c r="AO45" s="514" t="s">
        <v>386</v>
      </c>
      <c r="AP45" s="514"/>
      <c r="AQ45" s="514"/>
      <c r="AR45" s="514"/>
      <c r="AS45" s="514"/>
      <c r="AT45" s="514" t="s">
        <v>386</v>
      </c>
      <c r="AU45" s="514"/>
      <c r="AV45" s="514"/>
      <c r="AW45" s="514"/>
      <c r="AX45" s="514"/>
    </row>
    <row r="46" spans="2:50" ht="14.25" customHeight="1">
      <c r="B46" s="514"/>
      <c r="C46" s="514"/>
      <c r="D46" s="514"/>
      <c r="E46" s="182" t="s">
        <v>161</v>
      </c>
      <c r="F46" s="182" t="s">
        <v>387</v>
      </c>
      <c r="G46" s="182" t="s">
        <v>163</v>
      </c>
      <c r="H46" s="514"/>
      <c r="I46" s="183" t="s">
        <v>161</v>
      </c>
      <c r="J46" s="183" t="s">
        <v>387</v>
      </c>
      <c r="K46" s="183" t="s">
        <v>163</v>
      </c>
      <c r="L46" s="531"/>
      <c r="M46" s="531"/>
      <c r="N46" s="514"/>
      <c r="O46" s="514"/>
      <c r="P46" s="182" t="s">
        <v>161</v>
      </c>
      <c r="Q46" s="182" t="s">
        <v>387</v>
      </c>
      <c r="R46" s="182" t="s">
        <v>163</v>
      </c>
      <c r="S46" s="184" t="s">
        <v>167</v>
      </c>
      <c r="T46" s="514"/>
      <c r="U46" s="182" t="s">
        <v>161</v>
      </c>
      <c r="V46" s="182" t="s">
        <v>387</v>
      </c>
      <c r="W46" s="182" t="s">
        <v>163</v>
      </c>
      <c r="X46" s="184" t="s">
        <v>167</v>
      </c>
      <c r="Y46" s="514"/>
      <c r="Z46" s="182" t="s">
        <v>161</v>
      </c>
      <c r="AA46" s="182" t="s">
        <v>387</v>
      </c>
      <c r="AB46" s="182" t="s">
        <v>163</v>
      </c>
      <c r="AC46" s="184" t="s">
        <v>167</v>
      </c>
      <c r="AD46" s="514"/>
      <c r="AE46" s="182" t="s">
        <v>161</v>
      </c>
      <c r="AF46" s="182" t="s">
        <v>387</v>
      </c>
      <c r="AG46" s="182" t="s">
        <v>163</v>
      </c>
      <c r="AH46" s="184" t="s">
        <v>167</v>
      </c>
      <c r="AI46" s="514"/>
      <c r="AJ46" s="182" t="s">
        <v>161</v>
      </c>
      <c r="AK46" s="182" t="s">
        <v>387</v>
      </c>
      <c r="AL46" s="182" t="s">
        <v>163</v>
      </c>
      <c r="AM46" s="184" t="s">
        <v>167</v>
      </c>
      <c r="AN46" s="514"/>
      <c r="AO46" s="182" t="s">
        <v>161</v>
      </c>
      <c r="AP46" s="182" t="s">
        <v>387</v>
      </c>
      <c r="AQ46" s="182" t="s">
        <v>163</v>
      </c>
      <c r="AR46" s="184" t="s">
        <v>167</v>
      </c>
      <c r="AS46" s="514"/>
      <c r="AT46" s="182" t="s">
        <v>161</v>
      </c>
      <c r="AU46" s="182" t="s">
        <v>387</v>
      </c>
      <c r="AV46" s="182" t="s">
        <v>163</v>
      </c>
      <c r="AW46" s="184" t="s">
        <v>167</v>
      </c>
      <c r="AX46" s="514"/>
    </row>
    <row r="47" spans="2:50" ht="14.25" customHeight="1">
      <c r="B47" s="514" t="s">
        <v>144</v>
      </c>
      <c r="C47" s="182">
        <v>1</v>
      </c>
      <c r="D47" s="185"/>
      <c r="E47" s="182"/>
      <c r="F47" s="182"/>
      <c r="G47" s="187" t="e">
        <f t="shared" ref="G47:G56" si="64">F47/E47</f>
        <v>#DIV/0!</v>
      </c>
      <c r="H47" s="526" t="e">
        <f>AVERAGE(G47:G61)</f>
        <v>#DIV/0!</v>
      </c>
      <c r="I47" s="188"/>
      <c r="J47" s="188"/>
      <c r="K47" s="189"/>
      <c r="L47" s="527" t="str">
        <f>IFERROR(AVERAGE(K47:K61),"-")</f>
        <v>-</v>
      </c>
      <c r="M47" s="188"/>
      <c r="N47" s="514"/>
      <c r="O47" s="514"/>
      <c r="P47" s="190"/>
      <c r="Q47" s="190"/>
      <c r="R47" s="187"/>
      <c r="S47" s="184" t="e">
        <f>RANK(R47, R$27:R$41)</f>
        <v>#N/A</v>
      </c>
      <c r="T47" s="526" t="e">
        <f>AVERAGE(R47:R61)</f>
        <v>#DIV/0!</v>
      </c>
      <c r="U47" s="190"/>
      <c r="V47" s="190"/>
      <c r="W47" s="187"/>
      <c r="X47" s="184" t="e">
        <f>RANK(W47, W$27:W$41)</f>
        <v>#N/A</v>
      </c>
      <c r="Y47" s="526" t="e">
        <f>AVERAGE(W47:W61)</f>
        <v>#DIV/0!</v>
      </c>
      <c r="Z47" s="190"/>
      <c r="AA47" s="190"/>
      <c r="AB47" s="187"/>
      <c r="AC47" s="184"/>
      <c r="AD47" s="526" t="e">
        <f>AVERAGE(AB47:AB61)</f>
        <v>#DIV/0!</v>
      </c>
      <c r="AE47" s="190">
        <v>17</v>
      </c>
      <c r="AF47" s="190">
        <v>3116.9398907103764</v>
      </c>
      <c r="AG47" s="187">
        <f>IFERROR(AF47/AE47,"")</f>
        <v>183.34940533590449</v>
      </c>
      <c r="AH47" s="184" t="e">
        <f>RANK(AG47, AG$27:AG$41)</f>
        <v>#N/A</v>
      </c>
      <c r="AI47" s="526">
        <f>AVERAGE(AG47:AG61)</f>
        <v>258.32019215798834</v>
      </c>
      <c r="AJ47" s="190"/>
      <c r="AK47" s="190"/>
      <c r="AL47" s="187"/>
      <c r="AM47" s="184" t="e">
        <f>RANK(AL47, AL$27:AL$41)</f>
        <v>#N/A</v>
      </c>
      <c r="AN47" s="526" t="e">
        <f>AVERAGE(AL47:AL61)</f>
        <v>#DIV/0!</v>
      </c>
      <c r="AO47" s="190"/>
      <c r="AP47" s="190"/>
      <c r="AQ47" s="187" t="str">
        <f t="shared" ref="AQ47:AQ56" si="65">IFERROR(AP47/AO47,"")</f>
        <v/>
      </c>
      <c r="AR47" s="184" t="e">
        <f>RANK(AQ47, AQ$27:AQ$41)</f>
        <v>#VALUE!</v>
      </c>
      <c r="AS47" s="526" t="e">
        <f>AVERAGE(AQ47:AQ61)</f>
        <v>#DIV/0!</v>
      </c>
      <c r="AT47" s="190">
        <v>17</v>
      </c>
      <c r="AU47" s="190">
        <v>3117.7474402730327</v>
      </c>
      <c r="AV47" s="187">
        <f t="shared" ref="AV47" si="66">IFERROR(AU47/AT47,"")</f>
        <v>183.39690825135486</v>
      </c>
      <c r="AW47" s="184" t="e">
        <f>RANK(AV47, AV$27:AV$41)</f>
        <v>#N/A</v>
      </c>
      <c r="AX47" s="526">
        <f>AVERAGE(AV47:AV61)</f>
        <v>183.39690825135486</v>
      </c>
    </row>
    <row r="48" spans="2:50" ht="14.25" customHeight="1">
      <c r="B48" s="514"/>
      <c r="C48" s="182">
        <v>2</v>
      </c>
      <c r="D48" s="185"/>
      <c r="E48" s="182"/>
      <c r="F48" s="182"/>
      <c r="G48" s="187" t="e">
        <f t="shared" si="64"/>
        <v>#DIV/0!</v>
      </c>
      <c r="H48" s="526"/>
      <c r="I48" s="188"/>
      <c r="J48" s="188"/>
      <c r="K48" s="189"/>
      <c r="L48" s="527"/>
      <c r="M48" s="188"/>
      <c r="N48" s="514"/>
      <c r="O48" s="514"/>
      <c r="P48" s="190"/>
      <c r="Q48" s="190"/>
      <c r="R48" s="187"/>
      <c r="S48" s="184"/>
      <c r="T48" s="526"/>
      <c r="U48" s="190"/>
      <c r="V48" s="190"/>
      <c r="W48" s="187"/>
      <c r="X48" s="184" t="e">
        <f t="shared" ref="X48:X49" si="67">RANK(W48, W$27:W$41)</f>
        <v>#N/A</v>
      </c>
      <c r="Y48" s="526"/>
      <c r="Z48" s="190"/>
      <c r="AA48" s="190"/>
      <c r="AB48" s="187"/>
      <c r="AC48" s="184"/>
      <c r="AD48" s="526"/>
      <c r="AE48" s="190">
        <v>17</v>
      </c>
      <c r="AF48" s="190">
        <v>3117.9818887451515</v>
      </c>
      <c r="AG48" s="187">
        <f t="shared" ref="AG48:AG56" si="68">IFERROR(AF48/AE48,"")</f>
        <v>183.41069933795009</v>
      </c>
      <c r="AH48" s="184" t="e">
        <f t="shared" ref="AH48:AH56" si="69">RANK(AG48, AG$27:AG$41)</f>
        <v>#N/A</v>
      </c>
      <c r="AI48" s="526"/>
      <c r="AJ48" s="190"/>
      <c r="AK48" s="190"/>
      <c r="AL48" s="187"/>
      <c r="AM48" s="184" t="e">
        <f t="shared" ref="AM48:AM56" si="70">RANK(AL48, AL$27:AL$41)</f>
        <v>#N/A</v>
      </c>
      <c r="AN48" s="526"/>
      <c r="AO48" s="190"/>
      <c r="AP48" s="190"/>
      <c r="AQ48" s="187" t="str">
        <f t="shared" si="65"/>
        <v/>
      </c>
      <c r="AR48" s="184" t="e">
        <f t="shared" ref="AR48:AR56" si="71">RANK(AQ48, AQ$27:AQ$41)</f>
        <v>#VALUE!</v>
      </c>
      <c r="AS48" s="526"/>
      <c r="AT48" s="190"/>
      <c r="AU48" s="190"/>
      <c r="AV48" s="187"/>
      <c r="AW48" s="184" t="e">
        <f t="shared" ref="AW48:AW56" si="72">RANK(AV48, AV$27:AV$41)</f>
        <v>#N/A</v>
      </c>
      <c r="AX48" s="526"/>
    </row>
    <row r="49" spans="2:50" ht="14.25" customHeight="1">
      <c r="B49" s="514"/>
      <c r="C49" s="182">
        <v>3</v>
      </c>
      <c r="D49" s="185"/>
      <c r="E49" s="182"/>
      <c r="F49" s="182"/>
      <c r="G49" s="187" t="e">
        <f t="shared" si="64"/>
        <v>#DIV/0!</v>
      </c>
      <c r="H49" s="526"/>
      <c r="I49" s="188"/>
      <c r="J49" s="188"/>
      <c r="K49" s="189"/>
      <c r="L49" s="527"/>
      <c r="M49" s="188"/>
      <c r="N49" s="514"/>
      <c r="O49" s="514"/>
      <c r="P49" s="190"/>
      <c r="Q49" s="190"/>
      <c r="R49" s="187"/>
      <c r="S49" s="184"/>
      <c r="T49" s="526"/>
      <c r="U49" s="190"/>
      <c r="V49" s="190"/>
      <c r="W49" s="187"/>
      <c r="X49" s="184" t="e">
        <f t="shared" si="67"/>
        <v>#N/A</v>
      </c>
      <c r="Y49" s="526"/>
      <c r="Z49" s="190"/>
      <c r="AA49" s="190"/>
      <c r="AB49" s="187"/>
      <c r="AC49" s="184"/>
      <c r="AD49" s="526"/>
      <c r="AE49" s="190">
        <v>11</v>
      </c>
      <c r="AF49" s="190">
        <v>3152.2537562604293</v>
      </c>
      <c r="AG49" s="187">
        <f t="shared" si="68"/>
        <v>286.56852329640265</v>
      </c>
      <c r="AH49" s="184" t="e">
        <f t="shared" si="69"/>
        <v>#N/A</v>
      </c>
      <c r="AI49" s="526"/>
      <c r="AJ49" s="190"/>
      <c r="AK49" s="190"/>
      <c r="AL49" s="187"/>
      <c r="AM49" s="184" t="e">
        <f t="shared" si="70"/>
        <v>#N/A</v>
      </c>
      <c r="AN49" s="526"/>
      <c r="AO49" s="190"/>
      <c r="AP49" s="190"/>
      <c r="AQ49" s="187" t="str">
        <f t="shared" si="65"/>
        <v/>
      </c>
      <c r="AR49" s="184" t="e">
        <f t="shared" si="71"/>
        <v>#VALUE!</v>
      </c>
      <c r="AS49" s="526"/>
      <c r="AT49" s="190"/>
      <c r="AU49" s="190"/>
      <c r="AV49" s="187"/>
      <c r="AW49" s="184" t="e">
        <f t="shared" si="72"/>
        <v>#N/A</v>
      </c>
      <c r="AX49" s="526"/>
    </row>
    <row r="50" spans="2:50" ht="14.25" customHeight="1">
      <c r="B50" s="514"/>
      <c r="C50" s="182">
        <v>4</v>
      </c>
      <c r="D50" s="185"/>
      <c r="E50" s="182"/>
      <c r="F50" s="182"/>
      <c r="G50" s="187" t="e">
        <f t="shared" si="64"/>
        <v>#DIV/0!</v>
      </c>
      <c r="H50" s="526"/>
      <c r="I50" s="188"/>
      <c r="J50" s="188"/>
      <c r="K50" s="189"/>
      <c r="L50" s="527"/>
      <c r="M50" s="188"/>
      <c r="N50" s="514"/>
      <c r="O50" s="514"/>
      <c r="P50" s="190"/>
      <c r="Q50" s="190"/>
      <c r="R50" s="187"/>
      <c r="S50" s="184"/>
      <c r="T50" s="526"/>
      <c r="U50" s="190"/>
      <c r="V50" s="190"/>
      <c r="W50" s="187"/>
      <c r="X50" s="184"/>
      <c r="Y50" s="526"/>
      <c r="Z50" s="190"/>
      <c r="AA50" s="190"/>
      <c r="AB50" s="187"/>
      <c r="AC50" s="184"/>
      <c r="AD50" s="526"/>
      <c r="AE50" s="190">
        <v>6</v>
      </c>
      <c r="AF50" s="190">
        <v>2318.3402489626565</v>
      </c>
      <c r="AG50" s="187">
        <f t="shared" si="68"/>
        <v>386.3900414937761</v>
      </c>
      <c r="AH50" s="184" t="e">
        <f t="shared" si="69"/>
        <v>#N/A</v>
      </c>
      <c r="AI50" s="526"/>
      <c r="AJ50" s="190"/>
      <c r="AK50" s="190"/>
      <c r="AL50" s="187"/>
      <c r="AM50" s="184" t="e">
        <f t="shared" si="70"/>
        <v>#N/A</v>
      </c>
      <c r="AN50" s="526"/>
      <c r="AO50" s="190"/>
      <c r="AP50" s="190"/>
      <c r="AQ50" s="187" t="str">
        <f t="shared" si="65"/>
        <v/>
      </c>
      <c r="AR50" s="184" t="e">
        <f t="shared" si="71"/>
        <v>#VALUE!</v>
      </c>
      <c r="AS50" s="526"/>
      <c r="AT50" s="190"/>
      <c r="AU50" s="190"/>
      <c r="AV50" s="187"/>
      <c r="AW50" s="184" t="e">
        <f t="shared" si="72"/>
        <v>#N/A</v>
      </c>
      <c r="AX50" s="526"/>
    </row>
    <row r="51" spans="2:50" ht="14.25" customHeight="1">
      <c r="B51" s="514"/>
      <c r="C51" s="182">
        <v>5</v>
      </c>
      <c r="D51" s="185"/>
      <c r="E51" s="182"/>
      <c r="F51" s="182"/>
      <c r="G51" s="187" t="e">
        <f t="shared" si="64"/>
        <v>#DIV/0!</v>
      </c>
      <c r="H51" s="526"/>
      <c r="I51" s="188"/>
      <c r="J51" s="188"/>
      <c r="K51" s="189"/>
      <c r="L51" s="527"/>
      <c r="M51" s="188"/>
      <c r="N51" s="514"/>
      <c r="O51" s="514"/>
      <c r="P51" s="190"/>
      <c r="Q51" s="190"/>
      <c r="R51" s="187"/>
      <c r="S51" s="184"/>
      <c r="T51" s="526"/>
      <c r="U51" s="190"/>
      <c r="V51" s="190"/>
      <c r="W51" s="187"/>
      <c r="X51" s="184"/>
      <c r="Y51" s="526"/>
      <c r="Z51" s="190"/>
      <c r="AA51" s="190"/>
      <c r="AB51" s="187"/>
      <c r="AC51" s="184"/>
      <c r="AD51" s="526"/>
      <c r="AE51" s="190">
        <v>6</v>
      </c>
      <c r="AF51" s="190">
        <v>2254.4731610337958</v>
      </c>
      <c r="AG51" s="187">
        <f t="shared" si="68"/>
        <v>375.74552683896599</v>
      </c>
      <c r="AH51" s="184" t="e">
        <f t="shared" si="69"/>
        <v>#N/A</v>
      </c>
      <c r="AI51" s="526"/>
      <c r="AJ51" s="190"/>
      <c r="AK51" s="190"/>
      <c r="AL51" s="187"/>
      <c r="AM51" s="184" t="e">
        <f t="shared" si="70"/>
        <v>#N/A</v>
      </c>
      <c r="AN51" s="526"/>
      <c r="AO51" s="190"/>
      <c r="AP51" s="190"/>
      <c r="AQ51" s="187" t="str">
        <f t="shared" si="65"/>
        <v/>
      </c>
      <c r="AR51" s="184" t="e">
        <f t="shared" si="71"/>
        <v>#VALUE!</v>
      </c>
      <c r="AS51" s="526"/>
      <c r="AT51" s="190"/>
      <c r="AU51" s="190"/>
      <c r="AV51" s="187"/>
      <c r="AW51" s="184" t="e">
        <f t="shared" si="72"/>
        <v>#N/A</v>
      </c>
      <c r="AX51" s="526"/>
    </row>
    <row r="52" spans="2:50" ht="14.25" customHeight="1">
      <c r="B52" s="514"/>
      <c r="C52" s="182">
        <v>6</v>
      </c>
      <c r="D52" s="185"/>
      <c r="E52" s="182"/>
      <c r="F52" s="182"/>
      <c r="G52" s="187" t="e">
        <f t="shared" si="64"/>
        <v>#DIV/0!</v>
      </c>
      <c r="H52" s="526"/>
      <c r="I52" s="188"/>
      <c r="J52" s="188"/>
      <c r="K52" s="189"/>
      <c r="L52" s="527"/>
      <c r="M52" s="188"/>
      <c r="N52" s="514"/>
      <c r="O52" s="514"/>
      <c r="P52" s="190"/>
      <c r="Q52" s="190"/>
      <c r="R52" s="187"/>
      <c r="S52" s="184"/>
      <c r="T52" s="526"/>
      <c r="U52" s="190"/>
      <c r="V52" s="190"/>
      <c r="W52" s="187"/>
      <c r="X52" s="184"/>
      <c r="Y52" s="526"/>
      <c r="Z52" s="190"/>
      <c r="AA52" s="190"/>
      <c r="AB52" s="187"/>
      <c r="AC52" s="184"/>
      <c r="AD52" s="526"/>
      <c r="AE52" s="190">
        <v>6</v>
      </c>
      <c r="AF52" s="190">
        <v>2318.6440677966079</v>
      </c>
      <c r="AG52" s="187">
        <f t="shared" si="68"/>
        <v>386.4406779661013</v>
      </c>
      <c r="AH52" s="184" t="e">
        <f t="shared" si="69"/>
        <v>#N/A</v>
      </c>
      <c r="AI52" s="526"/>
      <c r="AJ52" s="190"/>
      <c r="AK52" s="190"/>
      <c r="AL52" s="187"/>
      <c r="AM52" s="184" t="e">
        <f t="shared" si="70"/>
        <v>#N/A</v>
      </c>
      <c r="AN52" s="526"/>
      <c r="AO52" s="190"/>
      <c r="AP52" s="190"/>
      <c r="AQ52" s="187" t="str">
        <f t="shared" si="65"/>
        <v/>
      </c>
      <c r="AR52" s="184" t="e">
        <f t="shared" si="71"/>
        <v>#VALUE!</v>
      </c>
      <c r="AS52" s="526"/>
      <c r="AT52" s="190"/>
      <c r="AU52" s="190"/>
      <c r="AV52" s="187"/>
      <c r="AW52" s="184" t="e">
        <f t="shared" si="72"/>
        <v>#N/A</v>
      </c>
      <c r="AX52" s="526"/>
    </row>
    <row r="53" spans="2:50" ht="14.25" customHeight="1">
      <c r="B53" s="514"/>
      <c r="C53" s="182">
        <v>7</v>
      </c>
      <c r="D53" s="185"/>
      <c r="E53" s="182"/>
      <c r="F53" s="182"/>
      <c r="G53" s="187" t="e">
        <f t="shared" si="64"/>
        <v>#DIV/0!</v>
      </c>
      <c r="H53" s="526"/>
      <c r="I53" s="188"/>
      <c r="J53" s="188"/>
      <c r="K53" s="189"/>
      <c r="L53" s="527"/>
      <c r="M53" s="188"/>
      <c r="N53" s="514"/>
      <c r="O53" s="514"/>
      <c r="P53" s="190"/>
      <c r="Q53" s="190"/>
      <c r="R53" s="187"/>
      <c r="S53" s="184"/>
      <c r="T53" s="526"/>
      <c r="U53" s="190"/>
      <c r="V53" s="190"/>
      <c r="W53" s="187"/>
      <c r="X53" s="184"/>
      <c r="Y53" s="526"/>
      <c r="Z53" s="190"/>
      <c r="AA53" s="190"/>
      <c r="AB53" s="187"/>
      <c r="AC53" s="184"/>
      <c r="AD53" s="526"/>
      <c r="AE53" s="190">
        <v>12</v>
      </c>
      <c r="AF53" s="190">
        <v>1533.5837716003002</v>
      </c>
      <c r="AG53" s="187">
        <f t="shared" si="68"/>
        <v>127.79864763335836</v>
      </c>
      <c r="AH53" s="184" t="e">
        <f t="shared" si="69"/>
        <v>#N/A</v>
      </c>
      <c r="AI53" s="526"/>
      <c r="AJ53" s="190"/>
      <c r="AK53" s="190"/>
      <c r="AL53" s="187"/>
      <c r="AM53" s="184" t="e">
        <f t="shared" si="70"/>
        <v>#N/A</v>
      </c>
      <c r="AN53" s="526"/>
      <c r="AO53" s="190"/>
      <c r="AP53" s="190"/>
      <c r="AQ53" s="187" t="str">
        <f t="shared" si="65"/>
        <v/>
      </c>
      <c r="AR53" s="184" t="e">
        <f t="shared" si="71"/>
        <v>#VALUE!</v>
      </c>
      <c r="AS53" s="526"/>
      <c r="AT53" s="190"/>
      <c r="AU53" s="190"/>
      <c r="AV53" s="187"/>
      <c r="AW53" s="184" t="e">
        <f t="shared" si="72"/>
        <v>#N/A</v>
      </c>
      <c r="AX53" s="526"/>
    </row>
    <row r="54" spans="2:50" ht="14.25" customHeight="1">
      <c r="B54" s="514"/>
      <c r="C54" s="182">
        <v>8</v>
      </c>
      <c r="D54" s="185"/>
      <c r="E54" s="182"/>
      <c r="F54" s="182"/>
      <c r="G54" s="187" t="e">
        <f t="shared" si="64"/>
        <v>#DIV/0!</v>
      </c>
      <c r="H54" s="526"/>
      <c r="I54" s="188"/>
      <c r="J54" s="188"/>
      <c r="K54" s="189"/>
      <c r="L54" s="527"/>
      <c r="M54" s="188"/>
      <c r="N54" s="514"/>
      <c r="O54" s="514"/>
      <c r="P54" s="190"/>
      <c r="Q54" s="190"/>
      <c r="R54" s="187"/>
      <c r="S54" s="184"/>
      <c r="T54" s="526"/>
      <c r="U54" s="190"/>
      <c r="V54" s="190"/>
      <c r="W54" s="187"/>
      <c r="X54" s="184"/>
      <c r="Y54" s="526"/>
      <c r="Z54" s="190"/>
      <c r="AA54" s="190"/>
      <c r="AB54" s="187"/>
      <c r="AC54" s="184"/>
      <c r="AD54" s="526"/>
      <c r="AE54" s="190">
        <v>17</v>
      </c>
      <c r="AF54" s="190">
        <v>3116.9006176305388</v>
      </c>
      <c r="AG54" s="187">
        <f t="shared" si="68"/>
        <v>183.34709515473759</v>
      </c>
      <c r="AH54" s="184" t="e">
        <f t="shared" si="69"/>
        <v>#N/A</v>
      </c>
      <c r="AI54" s="526"/>
      <c r="AJ54" s="190"/>
      <c r="AK54" s="190"/>
      <c r="AL54" s="187"/>
      <c r="AM54" s="184" t="e">
        <f t="shared" si="70"/>
        <v>#N/A</v>
      </c>
      <c r="AN54" s="526"/>
      <c r="AO54" s="190"/>
      <c r="AP54" s="190"/>
      <c r="AQ54" s="187" t="str">
        <f t="shared" si="65"/>
        <v/>
      </c>
      <c r="AR54" s="184" t="e">
        <f t="shared" si="71"/>
        <v>#VALUE!</v>
      </c>
      <c r="AS54" s="526"/>
      <c r="AT54" s="190"/>
      <c r="AU54" s="190"/>
      <c r="AV54" s="187"/>
      <c r="AW54" s="184" t="e">
        <f t="shared" si="72"/>
        <v>#N/A</v>
      </c>
      <c r="AX54" s="526"/>
    </row>
    <row r="55" spans="2:50" ht="14.25" customHeight="1">
      <c r="B55" s="514"/>
      <c r="C55" s="182">
        <v>9</v>
      </c>
      <c r="D55" s="185"/>
      <c r="E55" s="182"/>
      <c r="F55" s="182"/>
      <c r="G55" s="187" t="e">
        <f t="shared" si="64"/>
        <v>#DIV/0!</v>
      </c>
      <c r="H55" s="526"/>
      <c r="I55" s="188"/>
      <c r="J55" s="188"/>
      <c r="K55" s="189"/>
      <c r="L55" s="527"/>
      <c r="M55" s="188"/>
      <c r="N55" s="514"/>
      <c r="O55" s="514"/>
      <c r="P55" s="190"/>
      <c r="Q55" s="190"/>
      <c r="R55" s="187"/>
      <c r="S55" s="184"/>
      <c r="T55" s="526"/>
      <c r="U55" s="190"/>
      <c r="V55" s="190"/>
      <c r="W55" s="187"/>
      <c r="X55" s="184"/>
      <c r="Y55" s="526"/>
      <c r="Z55" s="190"/>
      <c r="AA55" s="190"/>
      <c r="AB55" s="187"/>
      <c r="AC55" s="184"/>
      <c r="AD55" s="526"/>
      <c r="AE55" s="190">
        <v>17</v>
      </c>
      <c r="AF55" s="190">
        <v>3119.7089144936285</v>
      </c>
      <c r="AG55" s="187">
        <f t="shared" si="68"/>
        <v>183.51228908786049</v>
      </c>
      <c r="AH55" s="184" t="e">
        <f t="shared" si="69"/>
        <v>#N/A</v>
      </c>
      <c r="AI55" s="526"/>
      <c r="AJ55" s="190"/>
      <c r="AK55" s="190"/>
      <c r="AL55" s="187"/>
      <c r="AM55" s="184" t="e">
        <f t="shared" si="70"/>
        <v>#N/A</v>
      </c>
      <c r="AN55" s="526"/>
      <c r="AO55" s="190"/>
      <c r="AP55" s="190"/>
      <c r="AQ55" s="187" t="str">
        <f t="shared" si="65"/>
        <v/>
      </c>
      <c r="AR55" s="184" t="e">
        <f t="shared" si="71"/>
        <v>#VALUE!</v>
      </c>
      <c r="AS55" s="526"/>
      <c r="AT55" s="190"/>
      <c r="AU55" s="190"/>
      <c r="AV55" s="187"/>
      <c r="AW55" s="184" t="e">
        <f t="shared" si="72"/>
        <v>#N/A</v>
      </c>
      <c r="AX55" s="526"/>
    </row>
    <row r="56" spans="2:50" ht="14.25" customHeight="1">
      <c r="B56" s="514"/>
      <c r="C56" s="182">
        <v>10</v>
      </c>
      <c r="D56" s="185"/>
      <c r="E56" s="182"/>
      <c r="F56" s="182"/>
      <c r="G56" s="187" t="e">
        <f t="shared" si="64"/>
        <v>#DIV/0!</v>
      </c>
      <c r="H56" s="526"/>
      <c r="I56" s="188"/>
      <c r="J56" s="188"/>
      <c r="K56" s="189"/>
      <c r="L56" s="527"/>
      <c r="M56" s="188"/>
      <c r="N56" s="514"/>
      <c r="O56" s="514"/>
      <c r="P56" s="190"/>
      <c r="Q56" s="190"/>
      <c r="R56" s="187"/>
      <c r="S56" s="184"/>
      <c r="T56" s="526"/>
      <c r="U56" s="190"/>
      <c r="V56" s="190"/>
      <c r="W56" s="187"/>
      <c r="X56" s="184"/>
      <c r="Y56" s="526"/>
      <c r="Z56" s="190"/>
      <c r="AA56" s="190"/>
      <c r="AB56" s="187"/>
      <c r="AC56" s="184"/>
      <c r="AD56" s="526"/>
      <c r="AE56" s="190">
        <v>11</v>
      </c>
      <c r="AF56" s="190">
        <v>3153.0291697830935</v>
      </c>
      <c r="AG56" s="187">
        <f t="shared" si="68"/>
        <v>286.63901543482666</v>
      </c>
      <c r="AH56" s="184" t="e">
        <f t="shared" si="69"/>
        <v>#N/A</v>
      </c>
      <c r="AI56" s="526"/>
      <c r="AJ56" s="190"/>
      <c r="AK56" s="190"/>
      <c r="AL56" s="187"/>
      <c r="AM56" s="184" t="e">
        <f t="shared" si="70"/>
        <v>#N/A</v>
      </c>
      <c r="AN56" s="526"/>
      <c r="AO56" s="190"/>
      <c r="AP56" s="190"/>
      <c r="AQ56" s="187" t="str">
        <f t="shared" si="65"/>
        <v/>
      </c>
      <c r="AR56" s="184" t="e">
        <f t="shared" si="71"/>
        <v>#VALUE!</v>
      </c>
      <c r="AS56" s="526"/>
      <c r="AT56" s="190"/>
      <c r="AU56" s="190"/>
      <c r="AV56" s="187"/>
      <c r="AW56" s="184" t="e">
        <f t="shared" si="72"/>
        <v>#N/A</v>
      </c>
      <c r="AX56" s="526"/>
    </row>
    <row r="57" spans="2:50" ht="14.25" customHeight="1">
      <c r="B57" s="514"/>
      <c r="C57" s="182">
        <v>11</v>
      </c>
      <c r="D57" s="185"/>
      <c r="E57" s="182"/>
      <c r="F57" s="182"/>
      <c r="G57" s="187"/>
      <c r="H57" s="526"/>
      <c r="I57" s="188"/>
      <c r="J57" s="188"/>
      <c r="K57" s="189"/>
      <c r="L57" s="527"/>
      <c r="M57" s="188"/>
      <c r="N57" s="514"/>
      <c r="O57" s="514"/>
      <c r="P57" s="190"/>
      <c r="Q57" s="190"/>
      <c r="R57" s="187"/>
      <c r="S57" s="184"/>
      <c r="T57" s="526"/>
      <c r="U57" s="190"/>
      <c r="V57" s="190"/>
      <c r="W57" s="187"/>
      <c r="X57" s="184"/>
      <c r="Y57" s="526"/>
      <c r="Z57" s="190"/>
      <c r="AA57" s="190"/>
      <c r="AB57" s="187"/>
      <c r="AC57" s="184"/>
      <c r="AD57" s="526"/>
      <c r="AE57" s="190"/>
      <c r="AF57" s="190"/>
      <c r="AG57" s="187"/>
      <c r="AH57" s="184"/>
      <c r="AI57" s="526"/>
      <c r="AJ57" s="190"/>
      <c r="AK57" s="190"/>
      <c r="AL57" s="187"/>
      <c r="AM57" s="184"/>
      <c r="AN57" s="526"/>
      <c r="AO57" s="190"/>
      <c r="AP57" s="190"/>
      <c r="AQ57" s="187"/>
      <c r="AR57" s="184"/>
      <c r="AS57" s="526"/>
      <c r="AT57" s="190"/>
      <c r="AU57" s="190"/>
      <c r="AV57" s="187"/>
      <c r="AW57" s="184"/>
      <c r="AX57" s="526"/>
    </row>
    <row r="58" spans="2:50" ht="14.25" customHeight="1">
      <c r="B58" s="514"/>
      <c r="C58" s="182">
        <v>12</v>
      </c>
      <c r="D58" s="185"/>
      <c r="E58" s="182"/>
      <c r="F58" s="182"/>
      <c r="G58" s="187"/>
      <c r="H58" s="526"/>
      <c r="I58" s="188"/>
      <c r="J58" s="188"/>
      <c r="K58" s="189"/>
      <c r="L58" s="527"/>
      <c r="M58" s="188"/>
      <c r="N58" s="514"/>
      <c r="O58" s="514"/>
      <c r="P58" s="190"/>
      <c r="Q58" s="190"/>
      <c r="R58" s="187"/>
      <c r="S58" s="184"/>
      <c r="T58" s="526"/>
      <c r="U58" s="190"/>
      <c r="V58" s="190"/>
      <c r="W58" s="187"/>
      <c r="X58" s="184"/>
      <c r="Y58" s="526"/>
      <c r="Z58" s="190"/>
      <c r="AA58" s="190"/>
      <c r="AB58" s="187"/>
      <c r="AC58" s="184"/>
      <c r="AD58" s="526"/>
      <c r="AE58" s="190"/>
      <c r="AF58" s="190"/>
      <c r="AG58" s="187"/>
      <c r="AH58" s="184"/>
      <c r="AI58" s="526"/>
      <c r="AJ58" s="190"/>
      <c r="AK58" s="190"/>
      <c r="AL58" s="187"/>
      <c r="AM58" s="184"/>
      <c r="AN58" s="526"/>
      <c r="AO58" s="190"/>
      <c r="AP58" s="190"/>
      <c r="AQ58" s="187"/>
      <c r="AR58" s="184"/>
      <c r="AS58" s="526"/>
      <c r="AT58" s="190"/>
      <c r="AU58" s="190"/>
      <c r="AV58" s="187"/>
      <c r="AW58" s="184"/>
      <c r="AX58" s="526"/>
    </row>
    <row r="59" spans="2:50" ht="14.25" customHeight="1">
      <c r="B59" s="514"/>
      <c r="C59" s="182">
        <v>13</v>
      </c>
      <c r="D59" s="185"/>
      <c r="E59" s="182"/>
      <c r="F59" s="182"/>
      <c r="G59" s="187"/>
      <c r="H59" s="526"/>
      <c r="I59" s="188"/>
      <c r="J59" s="188"/>
      <c r="K59" s="189"/>
      <c r="L59" s="527"/>
      <c r="M59" s="188"/>
      <c r="N59" s="514"/>
      <c r="O59" s="514"/>
      <c r="P59" s="190"/>
      <c r="Q59" s="190"/>
      <c r="R59" s="187"/>
      <c r="S59" s="184"/>
      <c r="T59" s="526"/>
      <c r="U59" s="190"/>
      <c r="V59" s="190"/>
      <c r="W59" s="187"/>
      <c r="X59" s="184"/>
      <c r="Y59" s="526"/>
      <c r="Z59" s="190"/>
      <c r="AA59" s="190"/>
      <c r="AB59" s="187"/>
      <c r="AC59" s="184"/>
      <c r="AD59" s="526"/>
      <c r="AE59" s="190"/>
      <c r="AF59" s="190"/>
      <c r="AG59" s="187"/>
      <c r="AH59" s="184"/>
      <c r="AI59" s="526"/>
      <c r="AJ59" s="190"/>
      <c r="AK59" s="190"/>
      <c r="AL59" s="187"/>
      <c r="AM59" s="184"/>
      <c r="AN59" s="526"/>
      <c r="AO59" s="190"/>
      <c r="AP59" s="190"/>
      <c r="AQ59" s="187"/>
      <c r="AR59" s="184"/>
      <c r="AS59" s="526"/>
      <c r="AT59" s="190"/>
      <c r="AU59" s="190"/>
      <c r="AV59" s="187"/>
      <c r="AW59" s="184"/>
      <c r="AX59" s="526"/>
    </row>
    <row r="60" spans="2:50" ht="14.25" customHeight="1">
      <c r="B60" s="514"/>
      <c r="C60" s="182">
        <v>14</v>
      </c>
      <c r="D60" s="185"/>
      <c r="E60" s="182"/>
      <c r="F60" s="182"/>
      <c r="G60" s="187"/>
      <c r="H60" s="526"/>
      <c r="I60" s="188"/>
      <c r="J60" s="188"/>
      <c r="K60" s="189"/>
      <c r="L60" s="527"/>
      <c r="M60" s="188"/>
      <c r="N60" s="514"/>
      <c r="O60" s="514"/>
      <c r="P60" s="190"/>
      <c r="Q60" s="190"/>
      <c r="R60" s="187"/>
      <c r="S60" s="184"/>
      <c r="T60" s="526"/>
      <c r="U60" s="190"/>
      <c r="V60" s="190"/>
      <c r="W60" s="187"/>
      <c r="X60" s="184"/>
      <c r="Y60" s="526"/>
      <c r="Z60" s="190"/>
      <c r="AA60" s="190"/>
      <c r="AB60" s="187"/>
      <c r="AC60" s="184"/>
      <c r="AD60" s="526"/>
      <c r="AE60" s="190"/>
      <c r="AF60" s="190"/>
      <c r="AG60" s="187"/>
      <c r="AH60" s="184"/>
      <c r="AI60" s="526"/>
      <c r="AJ60" s="190"/>
      <c r="AK60" s="190"/>
      <c r="AL60" s="187"/>
      <c r="AM60" s="184"/>
      <c r="AN60" s="526"/>
      <c r="AO60" s="190"/>
      <c r="AP60" s="190"/>
      <c r="AQ60" s="187"/>
      <c r="AR60" s="184"/>
      <c r="AS60" s="526"/>
      <c r="AT60" s="190"/>
      <c r="AU60" s="190"/>
      <c r="AV60" s="187"/>
      <c r="AW60" s="184"/>
      <c r="AX60" s="526"/>
    </row>
    <row r="61" spans="2:50" ht="14.25" customHeight="1">
      <c r="B61" s="514"/>
      <c r="C61" s="182">
        <v>15</v>
      </c>
      <c r="D61" s="185"/>
      <c r="E61" s="182"/>
      <c r="F61" s="182"/>
      <c r="G61" s="187"/>
      <c r="H61" s="526"/>
      <c r="I61" s="188"/>
      <c r="J61" s="188"/>
      <c r="K61" s="189"/>
      <c r="L61" s="527"/>
      <c r="M61" s="188"/>
      <c r="N61" s="514"/>
      <c r="O61" s="514"/>
      <c r="P61" s="190"/>
      <c r="Q61" s="190"/>
      <c r="R61" s="187"/>
      <c r="S61" s="184"/>
      <c r="T61" s="526"/>
      <c r="U61" s="190"/>
      <c r="V61" s="190"/>
      <c r="W61" s="187"/>
      <c r="X61" s="184"/>
      <c r="Y61" s="526"/>
      <c r="Z61" s="190"/>
      <c r="AA61" s="190"/>
      <c r="AB61" s="187"/>
      <c r="AC61" s="184"/>
      <c r="AD61" s="526"/>
      <c r="AE61" s="190"/>
      <c r="AF61" s="190"/>
      <c r="AG61" s="187"/>
      <c r="AH61" s="184"/>
      <c r="AI61" s="526"/>
      <c r="AJ61" s="190"/>
      <c r="AK61" s="190"/>
      <c r="AL61" s="187"/>
      <c r="AM61" s="184"/>
      <c r="AN61" s="526"/>
      <c r="AO61" s="190"/>
      <c r="AP61" s="190"/>
      <c r="AQ61" s="187"/>
      <c r="AR61" s="184"/>
      <c r="AS61" s="526"/>
      <c r="AT61" s="190"/>
      <c r="AU61" s="190"/>
      <c r="AV61" s="187"/>
      <c r="AW61" s="184"/>
      <c r="AX61" s="526"/>
    </row>
    <row r="62" spans="2:50" ht="14.25" customHeight="1" collapsed="1">
      <c r="B62" s="541" t="s">
        <v>697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60"/>
      <c r="N62" s="570" t="s">
        <v>383</v>
      </c>
      <c r="O62" s="570" t="s">
        <v>105</v>
      </c>
      <c r="P62" s="582">
        <f>AT42+1</f>
        <v>46070</v>
      </c>
      <c r="Q62" s="583"/>
      <c r="R62" s="583"/>
      <c r="S62" s="583"/>
      <c r="T62" s="583"/>
      <c r="U62" s="584">
        <f>P62+1</f>
        <v>46071</v>
      </c>
      <c r="V62" s="585"/>
      <c r="W62" s="585"/>
      <c r="X62" s="585"/>
      <c r="Y62" s="585"/>
      <c r="Z62" s="582">
        <f t="shared" ref="Z62" si="73">U62+1</f>
        <v>46072</v>
      </c>
      <c r="AA62" s="583"/>
      <c r="AB62" s="583"/>
      <c r="AC62" s="583"/>
      <c r="AD62" s="583"/>
      <c r="AE62" s="584">
        <f t="shared" ref="AE62" si="74">Z62+1</f>
        <v>46073</v>
      </c>
      <c r="AF62" s="585"/>
      <c r="AG62" s="585"/>
      <c r="AH62" s="585"/>
      <c r="AI62" s="585"/>
      <c r="AJ62" s="586">
        <f t="shared" ref="AJ62" si="75">AE62+1</f>
        <v>46074</v>
      </c>
      <c r="AK62" s="587"/>
      <c r="AL62" s="587"/>
      <c r="AM62" s="587"/>
      <c r="AN62" s="588"/>
      <c r="AO62" s="584">
        <f t="shared" ref="AO62" si="76">AJ62+1</f>
        <v>46075</v>
      </c>
      <c r="AP62" s="585"/>
      <c r="AQ62" s="585"/>
      <c r="AR62" s="585"/>
      <c r="AS62" s="585"/>
      <c r="AT62" s="586">
        <f t="shared" ref="AT62" si="77">AO62+1</f>
        <v>46076</v>
      </c>
      <c r="AU62" s="587"/>
      <c r="AV62" s="587"/>
      <c r="AW62" s="587"/>
      <c r="AX62" s="588"/>
    </row>
    <row r="63" spans="2:50" ht="14.25" customHeight="1"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2"/>
      <c r="N63" s="572"/>
      <c r="O63" s="572"/>
      <c r="P63" s="589">
        <f>P62</f>
        <v>46070</v>
      </c>
      <c r="Q63" s="589"/>
      <c r="R63" s="589"/>
      <c r="S63" s="589"/>
      <c r="T63" s="589"/>
      <c r="U63" s="590">
        <f>U62</f>
        <v>46071</v>
      </c>
      <c r="V63" s="590"/>
      <c r="W63" s="590"/>
      <c r="X63" s="590"/>
      <c r="Y63" s="590"/>
      <c r="Z63" s="589">
        <f t="shared" ref="Z63" si="78">Z62</f>
        <v>46072</v>
      </c>
      <c r="AA63" s="589"/>
      <c r="AB63" s="589"/>
      <c r="AC63" s="589"/>
      <c r="AD63" s="589"/>
      <c r="AE63" s="590">
        <f t="shared" ref="AE63" si="79">AE62</f>
        <v>46073</v>
      </c>
      <c r="AF63" s="590"/>
      <c r="AG63" s="590"/>
      <c r="AH63" s="590"/>
      <c r="AI63" s="590"/>
      <c r="AJ63" s="591">
        <f t="shared" ref="AJ63" si="80">AJ62</f>
        <v>46074</v>
      </c>
      <c r="AK63" s="592"/>
      <c r="AL63" s="592"/>
      <c r="AM63" s="592"/>
      <c r="AN63" s="593"/>
      <c r="AO63" s="590">
        <f t="shared" ref="AO63" si="81">AO62</f>
        <v>46075</v>
      </c>
      <c r="AP63" s="590"/>
      <c r="AQ63" s="590"/>
      <c r="AR63" s="590"/>
      <c r="AS63" s="590"/>
      <c r="AT63" s="591">
        <f t="shared" ref="AT63" si="82">AT62</f>
        <v>46076</v>
      </c>
      <c r="AU63" s="592"/>
      <c r="AV63" s="592"/>
      <c r="AW63" s="592"/>
      <c r="AX63" s="593"/>
    </row>
    <row r="64" spans="2:50" ht="14.25" customHeight="1">
      <c r="B64" s="514" t="s">
        <v>164</v>
      </c>
      <c r="C64" s="514" t="s">
        <v>159</v>
      </c>
      <c r="D64" s="514"/>
      <c r="E64" s="514" t="s">
        <v>160</v>
      </c>
      <c r="F64" s="514"/>
      <c r="G64" s="514"/>
      <c r="H64" s="514" t="s">
        <v>165</v>
      </c>
      <c r="I64" s="531" t="s">
        <v>384</v>
      </c>
      <c r="J64" s="531"/>
      <c r="K64" s="531"/>
      <c r="L64" s="531" t="s">
        <v>165</v>
      </c>
      <c r="M64" s="531" t="s">
        <v>167</v>
      </c>
      <c r="N64" s="514"/>
      <c r="O64" s="514" t="s">
        <v>166</v>
      </c>
      <c r="P64" s="514" t="s">
        <v>162</v>
      </c>
      <c r="Q64" s="514"/>
      <c r="R64" s="514"/>
      <c r="S64" s="514"/>
      <c r="T64" s="514" t="s">
        <v>165</v>
      </c>
      <c r="U64" s="514" t="s">
        <v>162</v>
      </c>
      <c r="V64" s="514"/>
      <c r="W64" s="514"/>
      <c r="X64" s="514"/>
      <c r="Y64" s="514" t="s">
        <v>165</v>
      </c>
      <c r="Z64" s="514" t="s">
        <v>162</v>
      </c>
      <c r="AA64" s="514"/>
      <c r="AB64" s="514"/>
      <c r="AC64" s="514"/>
      <c r="AD64" s="514" t="s">
        <v>165</v>
      </c>
      <c r="AE64" s="514" t="s">
        <v>162</v>
      </c>
      <c r="AF64" s="514"/>
      <c r="AG64" s="514"/>
      <c r="AH64" s="514"/>
      <c r="AI64" s="514" t="s">
        <v>165</v>
      </c>
      <c r="AJ64" s="514" t="s">
        <v>162</v>
      </c>
      <c r="AK64" s="514"/>
      <c r="AL64" s="514"/>
      <c r="AM64" s="514"/>
      <c r="AN64" s="514" t="s">
        <v>165</v>
      </c>
      <c r="AO64" s="514" t="s">
        <v>162</v>
      </c>
      <c r="AP64" s="514"/>
      <c r="AQ64" s="514"/>
      <c r="AR64" s="514"/>
      <c r="AS64" s="514" t="s">
        <v>165</v>
      </c>
      <c r="AT64" s="514" t="s">
        <v>162</v>
      </c>
      <c r="AU64" s="514"/>
      <c r="AV64" s="514"/>
      <c r="AW64" s="514"/>
      <c r="AX64" s="514" t="s">
        <v>165</v>
      </c>
    </row>
    <row r="65" spans="2:50" ht="14.25" customHeight="1">
      <c r="B65" s="514"/>
      <c r="C65" s="514"/>
      <c r="D65" s="514"/>
      <c r="E65" s="514" t="s">
        <v>385</v>
      </c>
      <c r="F65" s="514"/>
      <c r="G65" s="514"/>
      <c r="H65" s="514"/>
      <c r="I65" s="531" t="s">
        <v>385</v>
      </c>
      <c r="J65" s="531"/>
      <c r="K65" s="531"/>
      <c r="L65" s="531"/>
      <c r="M65" s="531"/>
      <c r="N65" s="514"/>
      <c r="O65" s="514"/>
      <c r="P65" s="514" t="s">
        <v>386</v>
      </c>
      <c r="Q65" s="514"/>
      <c r="R65" s="514"/>
      <c r="S65" s="514"/>
      <c r="T65" s="514"/>
      <c r="U65" s="514" t="s">
        <v>386</v>
      </c>
      <c r="V65" s="514"/>
      <c r="W65" s="514"/>
      <c r="X65" s="514"/>
      <c r="Y65" s="514"/>
      <c r="Z65" s="514" t="s">
        <v>386</v>
      </c>
      <c r="AA65" s="514"/>
      <c r="AB65" s="514"/>
      <c r="AC65" s="514"/>
      <c r="AD65" s="514"/>
      <c r="AE65" s="514" t="s">
        <v>386</v>
      </c>
      <c r="AF65" s="514"/>
      <c r="AG65" s="514"/>
      <c r="AH65" s="514"/>
      <c r="AI65" s="514"/>
      <c r="AJ65" s="514" t="s">
        <v>386</v>
      </c>
      <c r="AK65" s="514"/>
      <c r="AL65" s="514"/>
      <c r="AM65" s="514"/>
      <c r="AN65" s="514"/>
      <c r="AO65" s="514" t="s">
        <v>386</v>
      </c>
      <c r="AP65" s="514"/>
      <c r="AQ65" s="514"/>
      <c r="AR65" s="514"/>
      <c r="AS65" s="514"/>
      <c r="AT65" s="514" t="s">
        <v>386</v>
      </c>
      <c r="AU65" s="514"/>
      <c r="AV65" s="514"/>
      <c r="AW65" s="514"/>
      <c r="AX65" s="514"/>
    </row>
    <row r="66" spans="2:50" ht="14.25" customHeight="1">
      <c r="B66" s="514"/>
      <c r="C66" s="514"/>
      <c r="D66" s="514"/>
      <c r="E66" s="182" t="s">
        <v>161</v>
      </c>
      <c r="F66" s="182" t="s">
        <v>387</v>
      </c>
      <c r="G66" s="182" t="s">
        <v>163</v>
      </c>
      <c r="H66" s="514"/>
      <c r="I66" s="183" t="s">
        <v>161</v>
      </c>
      <c r="J66" s="183" t="s">
        <v>387</v>
      </c>
      <c r="K66" s="183" t="s">
        <v>163</v>
      </c>
      <c r="L66" s="531"/>
      <c r="M66" s="531"/>
      <c r="N66" s="514"/>
      <c r="O66" s="514"/>
      <c r="P66" s="182" t="s">
        <v>161</v>
      </c>
      <c r="Q66" s="182" t="s">
        <v>387</v>
      </c>
      <c r="R66" s="182" t="s">
        <v>163</v>
      </c>
      <c r="S66" s="184" t="s">
        <v>167</v>
      </c>
      <c r="T66" s="514"/>
      <c r="U66" s="182" t="s">
        <v>161</v>
      </c>
      <c r="V66" s="182" t="s">
        <v>387</v>
      </c>
      <c r="W66" s="182" t="s">
        <v>163</v>
      </c>
      <c r="X66" s="184" t="s">
        <v>167</v>
      </c>
      <c r="Y66" s="514"/>
      <c r="Z66" s="182" t="s">
        <v>161</v>
      </c>
      <c r="AA66" s="182" t="s">
        <v>387</v>
      </c>
      <c r="AB66" s="182" t="s">
        <v>163</v>
      </c>
      <c r="AC66" s="184" t="s">
        <v>167</v>
      </c>
      <c r="AD66" s="514"/>
      <c r="AE66" s="182" t="s">
        <v>161</v>
      </c>
      <c r="AF66" s="182" t="s">
        <v>387</v>
      </c>
      <c r="AG66" s="182" t="s">
        <v>163</v>
      </c>
      <c r="AH66" s="184" t="s">
        <v>167</v>
      </c>
      <c r="AI66" s="514"/>
      <c r="AJ66" s="182" t="s">
        <v>161</v>
      </c>
      <c r="AK66" s="182" t="s">
        <v>387</v>
      </c>
      <c r="AL66" s="182" t="s">
        <v>163</v>
      </c>
      <c r="AM66" s="184" t="s">
        <v>167</v>
      </c>
      <c r="AN66" s="514"/>
      <c r="AO66" s="182" t="s">
        <v>161</v>
      </c>
      <c r="AP66" s="182" t="s">
        <v>387</v>
      </c>
      <c r="AQ66" s="182" t="s">
        <v>163</v>
      </c>
      <c r="AR66" s="184" t="s">
        <v>167</v>
      </c>
      <c r="AS66" s="514"/>
      <c r="AT66" s="182" t="s">
        <v>161</v>
      </c>
      <c r="AU66" s="182" t="s">
        <v>387</v>
      </c>
      <c r="AV66" s="182" t="s">
        <v>163</v>
      </c>
      <c r="AW66" s="184" t="s">
        <v>167</v>
      </c>
      <c r="AX66" s="514"/>
    </row>
    <row r="67" spans="2:50" ht="14.25" customHeight="1">
      <c r="B67" s="514" t="s">
        <v>144</v>
      </c>
      <c r="C67" s="182">
        <v>1</v>
      </c>
      <c r="D67" s="185"/>
      <c r="E67" s="182"/>
      <c r="F67" s="182"/>
      <c r="G67" s="187" t="e">
        <f t="shared" ref="G67:G76" si="83">F67/E67</f>
        <v>#DIV/0!</v>
      </c>
      <c r="H67" s="526" t="e">
        <f>AVERAGE(G67:G81)</f>
        <v>#DIV/0!</v>
      </c>
      <c r="I67" s="188"/>
      <c r="J67" s="188"/>
      <c r="K67" s="189"/>
      <c r="L67" s="527" t="str">
        <f>IFERROR(AVERAGE(K67:K81),"-")</f>
        <v>-</v>
      </c>
      <c r="M67" s="188"/>
      <c r="N67" s="514"/>
      <c r="O67" s="514"/>
      <c r="P67" s="190"/>
      <c r="Q67" s="190"/>
      <c r="R67" s="187"/>
      <c r="S67" s="184" t="e">
        <f>RANK(R67, R$27:R$41)</f>
        <v>#N/A</v>
      </c>
      <c r="T67" s="526" t="e">
        <f>AVERAGE(R67:R81)</f>
        <v>#DIV/0!</v>
      </c>
      <c r="U67" s="190"/>
      <c r="V67" s="190"/>
      <c r="W67" s="187"/>
      <c r="X67" s="184" t="e">
        <f>RANK(W67, W$27:W$41)</f>
        <v>#N/A</v>
      </c>
      <c r="Y67" s="526" t="e">
        <f>AVERAGE(W67:W81)</f>
        <v>#DIV/0!</v>
      </c>
      <c r="Z67" s="190"/>
      <c r="AA67" s="190"/>
      <c r="AB67" s="187"/>
      <c r="AC67" s="184"/>
      <c r="AD67" s="526" t="e">
        <f>AVERAGE(AB67:AB81)</f>
        <v>#DIV/0!</v>
      </c>
      <c r="AE67" s="190">
        <v>17</v>
      </c>
      <c r="AF67" s="190">
        <v>3116.9398907103764</v>
      </c>
      <c r="AG67" s="187">
        <f>IFERROR(AF67/AE67,"")</f>
        <v>183.34940533590449</v>
      </c>
      <c r="AH67" s="184" t="e">
        <f>RANK(AG67, AG$27:AG$41)</f>
        <v>#N/A</v>
      </c>
      <c r="AI67" s="526">
        <f>AVERAGE(AG67:AG81)</f>
        <v>258.32019215798834</v>
      </c>
      <c r="AJ67" s="190"/>
      <c r="AK67" s="190"/>
      <c r="AL67" s="187"/>
      <c r="AM67" s="184" t="e">
        <f>RANK(AL67, AL$27:AL$41)</f>
        <v>#N/A</v>
      </c>
      <c r="AN67" s="526" t="e">
        <f>AVERAGE(AL67:AL81)</f>
        <v>#DIV/0!</v>
      </c>
      <c r="AO67" s="190"/>
      <c r="AP67" s="190"/>
      <c r="AQ67" s="187" t="str">
        <f t="shared" ref="AQ67:AQ76" si="84">IFERROR(AP67/AO67,"")</f>
        <v/>
      </c>
      <c r="AR67" s="184" t="e">
        <f>RANK(AQ67, AQ$27:AQ$41)</f>
        <v>#VALUE!</v>
      </c>
      <c r="AS67" s="526" t="e">
        <f>AVERAGE(AQ67:AQ81)</f>
        <v>#DIV/0!</v>
      </c>
      <c r="AT67" s="190">
        <v>17</v>
      </c>
      <c r="AU67" s="190">
        <v>3117.7474402730327</v>
      </c>
      <c r="AV67" s="187">
        <f t="shared" ref="AV67" si="85">IFERROR(AU67/AT67,"")</f>
        <v>183.39690825135486</v>
      </c>
      <c r="AW67" s="184" t="e">
        <f>RANK(AV67, AV$27:AV$41)</f>
        <v>#N/A</v>
      </c>
      <c r="AX67" s="526">
        <f>AVERAGE(AV67:AV81)</f>
        <v>183.39690825135486</v>
      </c>
    </row>
    <row r="68" spans="2:50" ht="14.25" customHeight="1">
      <c r="B68" s="514"/>
      <c r="C68" s="182">
        <v>2</v>
      </c>
      <c r="D68" s="185"/>
      <c r="E68" s="182"/>
      <c r="F68" s="182"/>
      <c r="G68" s="187" t="e">
        <f t="shared" si="83"/>
        <v>#DIV/0!</v>
      </c>
      <c r="H68" s="526"/>
      <c r="I68" s="188"/>
      <c r="J68" s="188"/>
      <c r="K68" s="189"/>
      <c r="L68" s="527"/>
      <c r="M68" s="188"/>
      <c r="N68" s="514"/>
      <c r="O68" s="514"/>
      <c r="P68" s="190"/>
      <c r="Q68" s="190"/>
      <c r="R68" s="187"/>
      <c r="S68" s="184"/>
      <c r="T68" s="526"/>
      <c r="U68" s="190"/>
      <c r="V68" s="190"/>
      <c r="W68" s="187"/>
      <c r="X68" s="184" t="e">
        <f t="shared" ref="X68:X69" si="86">RANK(W68, W$27:W$41)</f>
        <v>#N/A</v>
      </c>
      <c r="Y68" s="526"/>
      <c r="Z68" s="190"/>
      <c r="AA68" s="190"/>
      <c r="AB68" s="187"/>
      <c r="AC68" s="184"/>
      <c r="AD68" s="526"/>
      <c r="AE68" s="190">
        <v>17</v>
      </c>
      <c r="AF68" s="190">
        <v>3117.9818887451515</v>
      </c>
      <c r="AG68" s="187">
        <f t="shared" ref="AG68:AG76" si="87">IFERROR(AF68/AE68,"")</f>
        <v>183.41069933795009</v>
      </c>
      <c r="AH68" s="184" t="e">
        <f t="shared" ref="AH68:AH76" si="88">RANK(AG68, AG$27:AG$41)</f>
        <v>#N/A</v>
      </c>
      <c r="AI68" s="526"/>
      <c r="AJ68" s="190"/>
      <c r="AK68" s="190"/>
      <c r="AL68" s="187"/>
      <c r="AM68" s="184" t="e">
        <f t="shared" ref="AM68:AM76" si="89">RANK(AL68, AL$27:AL$41)</f>
        <v>#N/A</v>
      </c>
      <c r="AN68" s="526"/>
      <c r="AO68" s="190"/>
      <c r="AP68" s="190"/>
      <c r="AQ68" s="187" t="str">
        <f t="shared" si="84"/>
        <v/>
      </c>
      <c r="AR68" s="184" t="e">
        <f t="shared" ref="AR68:AR76" si="90">RANK(AQ68, AQ$27:AQ$41)</f>
        <v>#VALUE!</v>
      </c>
      <c r="AS68" s="526"/>
      <c r="AT68" s="190"/>
      <c r="AU68" s="190"/>
      <c r="AV68" s="187"/>
      <c r="AW68" s="184" t="e">
        <f t="shared" ref="AW68:AW76" si="91">RANK(AV68, AV$27:AV$41)</f>
        <v>#N/A</v>
      </c>
      <c r="AX68" s="526"/>
    </row>
    <row r="69" spans="2:50" ht="14.25" customHeight="1">
      <c r="B69" s="514"/>
      <c r="C69" s="182">
        <v>3</v>
      </c>
      <c r="D69" s="185"/>
      <c r="E69" s="182"/>
      <c r="F69" s="182"/>
      <c r="G69" s="187" t="e">
        <f t="shared" si="83"/>
        <v>#DIV/0!</v>
      </c>
      <c r="H69" s="526"/>
      <c r="I69" s="188"/>
      <c r="J69" s="188"/>
      <c r="K69" s="189"/>
      <c r="L69" s="527"/>
      <c r="M69" s="188"/>
      <c r="N69" s="514"/>
      <c r="O69" s="514"/>
      <c r="P69" s="190"/>
      <c r="Q69" s="190"/>
      <c r="R69" s="187"/>
      <c r="S69" s="184"/>
      <c r="T69" s="526"/>
      <c r="U69" s="190"/>
      <c r="V69" s="190"/>
      <c r="W69" s="187"/>
      <c r="X69" s="184" t="e">
        <f t="shared" si="86"/>
        <v>#N/A</v>
      </c>
      <c r="Y69" s="526"/>
      <c r="Z69" s="190"/>
      <c r="AA69" s="190"/>
      <c r="AB69" s="187"/>
      <c r="AC69" s="184"/>
      <c r="AD69" s="526"/>
      <c r="AE69" s="190">
        <v>11</v>
      </c>
      <c r="AF69" s="190">
        <v>3152.2537562604293</v>
      </c>
      <c r="AG69" s="187">
        <f t="shared" si="87"/>
        <v>286.56852329640265</v>
      </c>
      <c r="AH69" s="184" t="e">
        <f t="shared" si="88"/>
        <v>#N/A</v>
      </c>
      <c r="AI69" s="526"/>
      <c r="AJ69" s="190"/>
      <c r="AK69" s="190"/>
      <c r="AL69" s="187"/>
      <c r="AM69" s="184" t="e">
        <f t="shared" si="89"/>
        <v>#N/A</v>
      </c>
      <c r="AN69" s="526"/>
      <c r="AO69" s="190"/>
      <c r="AP69" s="190"/>
      <c r="AQ69" s="187" t="str">
        <f t="shared" si="84"/>
        <v/>
      </c>
      <c r="AR69" s="184" t="e">
        <f t="shared" si="90"/>
        <v>#VALUE!</v>
      </c>
      <c r="AS69" s="526"/>
      <c r="AT69" s="190"/>
      <c r="AU69" s="190"/>
      <c r="AV69" s="187"/>
      <c r="AW69" s="184" t="e">
        <f t="shared" si="91"/>
        <v>#N/A</v>
      </c>
      <c r="AX69" s="526"/>
    </row>
    <row r="70" spans="2:50" ht="14.25" customHeight="1">
      <c r="B70" s="514"/>
      <c r="C70" s="182">
        <v>4</v>
      </c>
      <c r="D70" s="185"/>
      <c r="E70" s="182"/>
      <c r="F70" s="182"/>
      <c r="G70" s="187" t="e">
        <f t="shared" si="83"/>
        <v>#DIV/0!</v>
      </c>
      <c r="H70" s="526"/>
      <c r="I70" s="188"/>
      <c r="J70" s="188"/>
      <c r="K70" s="189"/>
      <c r="L70" s="527"/>
      <c r="M70" s="188"/>
      <c r="N70" s="514"/>
      <c r="O70" s="514"/>
      <c r="P70" s="190"/>
      <c r="Q70" s="190"/>
      <c r="R70" s="187"/>
      <c r="S70" s="184"/>
      <c r="T70" s="526"/>
      <c r="U70" s="190"/>
      <c r="V70" s="190"/>
      <c r="W70" s="187"/>
      <c r="X70" s="184"/>
      <c r="Y70" s="526"/>
      <c r="Z70" s="190"/>
      <c r="AA70" s="190"/>
      <c r="AB70" s="187"/>
      <c r="AC70" s="184"/>
      <c r="AD70" s="526"/>
      <c r="AE70" s="190">
        <v>6</v>
      </c>
      <c r="AF70" s="190">
        <v>2318.3402489626565</v>
      </c>
      <c r="AG70" s="187">
        <f t="shared" si="87"/>
        <v>386.3900414937761</v>
      </c>
      <c r="AH70" s="184" t="e">
        <f t="shared" si="88"/>
        <v>#N/A</v>
      </c>
      <c r="AI70" s="526"/>
      <c r="AJ70" s="190"/>
      <c r="AK70" s="190"/>
      <c r="AL70" s="187"/>
      <c r="AM70" s="184" t="e">
        <f t="shared" si="89"/>
        <v>#N/A</v>
      </c>
      <c r="AN70" s="526"/>
      <c r="AO70" s="190"/>
      <c r="AP70" s="190"/>
      <c r="AQ70" s="187" t="str">
        <f t="shared" si="84"/>
        <v/>
      </c>
      <c r="AR70" s="184" t="e">
        <f t="shared" si="90"/>
        <v>#VALUE!</v>
      </c>
      <c r="AS70" s="526"/>
      <c r="AT70" s="190"/>
      <c r="AU70" s="190"/>
      <c r="AV70" s="187"/>
      <c r="AW70" s="184" t="e">
        <f t="shared" si="91"/>
        <v>#N/A</v>
      </c>
      <c r="AX70" s="526"/>
    </row>
    <row r="71" spans="2:50" ht="14.25" customHeight="1">
      <c r="B71" s="514"/>
      <c r="C71" s="182">
        <v>5</v>
      </c>
      <c r="D71" s="185"/>
      <c r="E71" s="182"/>
      <c r="F71" s="182"/>
      <c r="G71" s="187" t="e">
        <f t="shared" si="83"/>
        <v>#DIV/0!</v>
      </c>
      <c r="H71" s="526"/>
      <c r="I71" s="188"/>
      <c r="J71" s="188"/>
      <c r="K71" s="189"/>
      <c r="L71" s="527"/>
      <c r="M71" s="188"/>
      <c r="N71" s="514"/>
      <c r="O71" s="514"/>
      <c r="P71" s="190"/>
      <c r="Q71" s="190"/>
      <c r="R71" s="187"/>
      <c r="S71" s="184"/>
      <c r="T71" s="526"/>
      <c r="U71" s="190"/>
      <c r="V71" s="190"/>
      <c r="W71" s="187"/>
      <c r="X71" s="184"/>
      <c r="Y71" s="526"/>
      <c r="Z71" s="190"/>
      <c r="AA71" s="190"/>
      <c r="AB71" s="187"/>
      <c r="AC71" s="184"/>
      <c r="AD71" s="526"/>
      <c r="AE71" s="190">
        <v>6</v>
      </c>
      <c r="AF71" s="190">
        <v>2254.4731610337958</v>
      </c>
      <c r="AG71" s="187">
        <f t="shared" si="87"/>
        <v>375.74552683896599</v>
      </c>
      <c r="AH71" s="184" t="e">
        <f t="shared" si="88"/>
        <v>#N/A</v>
      </c>
      <c r="AI71" s="526"/>
      <c r="AJ71" s="190"/>
      <c r="AK71" s="190"/>
      <c r="AL71" s="187"/>
      <c r="AM71" s="184" t="e">
        <f t="shared" si="89"/>
        <v>#N/A</v>
      </c>
      <c r="AN71" s="526"/>
      <c r="AO71" s="190"/>
      <c r="AP71" s="190"/>
      <c r="AQ71" s="187" t="str">
        <f t="shared" si="84"/>
        <v/>
      </c>
      <c r="AR71" s="184" t="e">
        <f t="shared" si="90"/>
        <v>#VALUE!</v>
      </c>
      <c r="AS71" s="526"/>
      <c r="AT71" s="190"/>
      <c r="AU71" s="190"/>
      <c r="AV71" s="187"/>
      <c r="AW71" s="184" t="e">
        <f t="shared" si="91"/>
        <v>#N/A</v>
      </c>
      <c r="AX71" s="526"/>
    </row>
    <row r="72" spans="2:50" ht="14.25" customHeight="1">
      <c r="B72" s="514"/>
      <c r="C72" s="182">
        <v>6</v>
      </c>
      <c r="D72" s="185"/>
      <c r="E72" s="182"/>
      <c r="F72" s="182"/>
      <c r="G72" s="187" t="e">
        <f t="shared" si="83"/>
        <v>#DIV/0!</v>
      </c>
      <c r="H72" s="526"/>
      <c r="I72" s="188"/>
      <c r="J72" s="188"/>
      <c r="K72" s="189"/>
      <c r="L72" s="527"/>
      <c r="M72" s="188"/>
      <c r="N72" s="514"/>
      <c r="O72" s="514"/>
      <c r="P72" s="190"/>
      <c r="Q72" s="190"/>
      <c r="R72" s="187"/>
      <c r="S72" s="184"/>
      <c r="T72" s="526"/>
      <c r="U72" s="190"/>
      <c r="V72" s="190"/>
      <c r="W72" s="187"/>
      <c r="X72" s="184"/>
      <c r="Y72" s="526"/>
      <c r="Z72" s="190"/>
      <c r="AA72" s="190"/>
      <c r="AB72" s="187"/>
      <c r="AC72" s="184"/>
      <c r="AD72" s="526"/>
      <c r="AE72" s="190">
        <v>6</v>
      </c>
      <c r="AF72" s="190">
        <v>2318.6440677966079</v>
      </c>
      <c r="AG72" s="187">
        <f t="shared" si="87"/>
        <v>386.4406779661013</v>
      </c>
      <c r="AH72" s="184" t="e">
        <f t="shared" si="88"/>
        <v>#N/A</v>
      </c>
      <c r="AI72" s="526"/>
      <c r="AJ72" s="190"/>
      <c r="AK72" s="190"/>
      <c r="AL72" s="187"/>
      <c r="AM72" s="184" t="e">
        <f t="shared" si="89"/>
        <v>#N/A</v>
      </c>
      <c r="AN72" s="526"/>
      <c r="AO72" s="190"/>
      <c r="AP72" s="190"/>
      <c r="AQ72" s="187" t="str">
        <f t="shared" si="84"/>
        <v/>
      </c>
      <c r="AR72" s="184" t="e">
        <f t="shared" si="90"/>
        <v>#VALUE!</v>
      </c>
      <c r="AS72" s="526"/>
      <c r="AT72" s="190"/>
      <c r="AU72" s="190"/>
      <c r="AV72" s="187"/>
      <c r="AW72" s="184" t="e">
        <f t="shared" si="91"/>
        <v>#N/A</v>
      </c>
      <c r="AX72" s="526"/>
    </row>
    <row r="73" spans="2:50" ht="14.25" customHeight="1">
      <c r="B73" s="514"/>
      <c r="C73" s="182">
        <v>7</v>
      </c>
      <c r="D73" s="185"/>
      <c r="E73" s="182"/>
      <c r="F73" s="182"/>
      <c r="G73" s="187" t="e">
        <f t="shared" si="83"/>
        <v>#DIV/0!</v>
      </c>
      <c r="H73" s="526"/>
      <c r="I73" s="188"/>
      <c r="J73" s="188"/>
      <c r="K73" s="189"/>
      <c r="L73" s="527"/>
      <c r="M73" s="188"/>
      <c r="N73" s="514"/>
      <c r="O73" s="514"/>
      <c r="P73" s="190"/>
      <c r="Q73" s="190"/>
      <c r="R73" s="187"/>
      <c r="S73" s="184"/>
      <c r="T73" s="526"/>
      <c r="U73" s="190"/>
      <c r="V73" s="190"/>
      <c r="W73" s="187"/>
      <c r="X73" s="184"/>
      <c r="Y73" s="526"/>
      <c r="Z73" s="190"/>
      <c r="AA73" s="190"/>
      <c r="AB73" s="187"/>
      <c r="AC73" s="184"/>
      <c r="AD73" s="526"/>
      <c r="AE73" s="190">
        <v>12</v>
      </c>
      <c r="AF73" s="190">
        <v>1533.5837716003002</v>
      </c>
      <c r="AG73" s="187">
        <f t="shared" si="87"/>
        <v>127.79864763335836</v>
      </c>
      <c r="AH73" s="184" t="e">
        <f t="shared" si="88"/>
        <v>#N/A</v>
      </c>
      <c r="AI73" s="526"/>
      <c r="AJ73" s="190"/>
      <c r="AK73" s="190"/>
      <c r="AL73" s="187"/>
      <c r="AM73" s="184" t="e">
        <f t="shared" si="89"/>
        <v>#N/A</v>
      </c>
      <c r="AN73" s="526"/>
      <c r="AO73" s="190"/>
      <c r="AP73" s="190"/>
      <c r="AQ73" s="187" t="str">
        <f t="shared" si="84"/>
        <v/>
      </c>
      <c r="AR73" s="184" t="e">
        <f t="shared" si="90"/>
        <v>#VALUE!</v>
      </c>
      <c r="AS73" s="526"/>
      <c r="AT73" s="190"/>
      <c r="AU73" s="190"/>
      <c r="AV73" s="187"/>
      <c r="AW73" s="184" t="e">
        <f t="shared" si="91"/>
        <v>#N/A</v>
      </c>
      <c r="AX73" s="526"/>
    </row>
    <row r="74" spans="2:50" ht="14.25" customHeight="1">
      <c r="B74" s="514"/>
      <c r="C74" s="182">
        <v>8</v>
      </c>
      <c r="D74" s="185"/>
      <c r="E74" s="182"/>
      <c r="F74" s="182"/>
      <c r="G74" s="187" t="e">
        <f t="shared" si="83"/>
        <v>#DIV/0!</v>
      </c>
      <c r="H74" s="526"/>
      <c r="I74" s="188"/>
      <c r="J74" s="188"/>
      <c r="K74" s="189"/>
      <c r="L74" s="527"/>
      <c r="M74" s="188"/>
      <c r="N74" s="514"/>
      <c r="O74" s="514"/>
      <c r="P74" s="190"/>
      <c r="Q74" s="190"/>
      <c r="R74" s="187"/>
      <c r="S74" s="184"/>
      <c r="T74" s="526"/>
      <c r="U74" s="190"/>
      <c r="V74" s="190"/>
      <c r="W74" s="187"/>
      <c r="X74" s="184"/>
      <c r="Y74" s="526"/>
      <c r="Z74" s="190"/>
      <c r="AA74" s="190"/>
      <c r="AB74" s="187"/>
      <c r="AC74" s="184"/>
      <c r="AD74" s="526"/>
      <c r="AE74" s="190">
        <v>17</v>
      </c>
      <c r="AF74" s="190">
        <v>3116.9006176305388</v>
      </c>
      <c r="AG74" s="187">
        <f t="shared" si="87"/>
        <v>183.34709515473759</v>
      </c>
      <c r="AH74" s="184" t="e">
        <f t="shared" si="88"/>
        <v>#N/A</v>
      </c>
      <c r="AI74" s="526"/>
      <c r="AJ74" s="190"/>
      <c r="AK74" s="190"/>
      <c r="AL74" s="187"/>
      <c r="AM74" s="184" t="e">
        <f t="shared" si="89"/>
        <v>#N/A</v>
      </c>
      <c r="AN74" s="526"/>
      <c r="AO74" s="190"/>
      <c r="AP74" s="190"/>
      <c r="AQ74" s="187" t="str">
        <f t="shared" si="84"/>
        <v/>
      </c>
      <c r="AR74" s="184" t="e">
        <f t="shared" si="90"/>
        <v>#VALUE!</v>
      </c>
      <c r="AS74" s="526"/>
      <c r="AT74" s="190"/>
      <c r="AU74" s="190"/>
      <c r="AV74" s="187"/>
      <c r="AW74" s="184" t="e">
        <f t="shared" si="91"/>
        <v>#N/A</v>
      </c>
      <c r="AX74" s="526"/>
    </row>
    <row r="75" spans="2:50" ht="14.25" customHeight="1">
      <c r="B75" s="514"/>
      <c r="C75" s="182">
        <v>9</v>
      </c>
      <c r="D75" s="185"/>
      <c r="E75" s="182"/>
      <c r="F75" s="182"/>
      <c r="G75" s="187" t="e">
        <f t="shared" si="83"/>
        <v>#DIV/0!</v>
      </c>
      <c r="H75" s="526"/>
      <c r="I75" s="188"/>
      <c r="J75" s="188"/>
      <c r="K75" s="189"/>
      <c r="L75" s="527"/>
      <c r="M75" s="188"/>
      <c r="N75" s="514"/>
      <c r="O75" s="514"/>
      <c r="P75" s="190"/>
      <c r="Q75" s="190"/>
      <c r="R75" s="187"/>
      <c r="S75" s="184"/>
      <c r="T75" s="526"/>
      <c r="U75" s="190"/>
      <c r="V75" s="190"/>
      <c r="W75" s="187"/>
      <c r="X75" s="184"/>
      <c r="Y75" s="526"/>
      <c r="Z75" s="190"/>
      <c r="AA75" s="190"/>
      <c r="AB75" s="187"/>
      <c r="AC75" s="184"/>
      <c r="AD75" s="526"/>
      <c r="AE75" s="190">
        <v>17</v>
      </c>
      <c r="AF75" s="190">
        <v>3119.7089144936285</v>
      </c>
      <c r="AG75" s="187">
        <f t="shared" si="87"/>
        <v>183.51228908786049</v>
      </c>
      <c r="AH75" s="184" t="e">
        <f t="shared" si="88"/>
        <v>#N/A</v>
      </c>
      <c r="AI75" s="526"/>
      <c r="AJ75" s="190"/>
      <c r="AK75" s="190"/>
      <c r="AL75" s="187"/>
      <c r="AM75" s="184" t="e">
        <f t="shared" si="89"/>
        <v>#N/A</v>
      </c>
      <c r="AN75" s="526"/>
      <c r="AO75" s="190"/>
      <c r="AP75" s="190"/>
      <c r="AQ75" s="187" t="str">
        <f t="shared" si="84"/>
        <v/>
      </c>
      <c r="AR75" s="184" t="e">
        <f t="shared" si="90"/>
        <v>#VALUE!</v>
      </c>
      <c r="AS75" s="526"/>
      <c r="AT75" s="190"/>
      <c r="AU75" s="190"/>
      <c r="AV75" s="187"/>
      <c r="AW75" s="184" t="e">
        <f t="shared" si="91"/>
        <v>#N/A</v>
      </c>
      <c r="AX75" s="526"/>
    </row>
    <row r="76" spans="2:50" ht="14.25" customHeight="1">
      <c r="B76" s="514"/>
      <c r="C76" s="182">
        <v>10</v>
      </c>
      <c r="D76" s="185"/>
      <c r="E76" s="182"/>
      <c r="F76" s="182"/>
      <c r="G76" s="187" t="e">
        <f t="shared" si="83"/>
        <v>#DIV/0!</v>
      </c>
      <c r="H76" s="526"/>
      <c r="I76" s="188"/>
      <c r="J76" s="188"/>
      <c r="K76" s="189"/>
      <c r="L76" s="527"/>
      <c r="M76" s="188"/>
      <c r="N76" s="514"/>
      <c r="O76" s="514"/>
      <c r="P76" s="190"/>
      <c r="Q76" s="190"/>
      <c r="R76" s="187"/>
      <c r="S76" s="184"/>
      <c r="T76" s="526"/>
      <c r="U76" s="190"/>
      <c r="V76" s="190"/>
      <c r="W76" s="187"/>
      <c r="X76" s="184"/>
      <c r="Y76" s="526"/>
      <c r="Z76" s="190"/>
      <c r="AA76" s="190"/>
      <c r="AB76" s="187"/>
      <c r="AC76" s="184"/>
      <c r="AD76" s="526"/>
      <c r="AE76" s="190">
        <v>11</v>
      </c>
      <c r="AF76" s="190">
        <v>3153.0291697830935</v>
      </c>
      <c r="AG76" s="187">
        <f t="shared" si="87"/>
        <v>286.63901543482666</v>
      </c>
      <c r="AH76" s="184" t="e">
        <f t="shared" si="88"/>
        <v>#N/A</v>
      </c>
      <c r="AI76" s="526"/>
      <c r="AJ76" s="190"/>
      <c r="AK76" s="190"/>
      <c r="AL76" s="187"/>
      <c r="AM76" s="184" t="e">
        <f t="shared" si="89"/>
        <v>#N/A</v>
      </c>
      <c r="AN76" s="526"/>
      <c r="AO76" s="190"/>
      <c r="AP76" s="190"/>
      <c r="AQ76" s="187" t="str">
        <f t="shared" si="84"/>
        <v/>
      </c>
      <c r="AR76" s="184" t="e">
        <f t="shared" si="90"/>
        <v>#VALUE!</v>
      </c>
      <c r="AS76" s="526"/>
      <c r="AT76" s="190"/>
      <c r="AU76" s="190"/>
      <c r="AV76" s="187"/>
      <c r="AW76" s="184" t="e">
        <f t="shared" si="91"/>
        <v>#N/A</v>
      </c>
      <c r="AX76" s="526"/>
    </row>
    <row r="77" spans="2:50" ht="14.25" customHeight="1">
      <c r="B77" s="514"/>
      <c r="C77" s="182">
        <v>11</v>
      </c>
      <c r="D77" s="185"/>
      <c r="E77" s="182"/>
      <c r="F77" s="182"/>
      <c r="G77" s="187"/>
      <c r="H77" s="526"/>
      <c r="I77" s="188"/>
      <c r="J77" s="188"/>
      <c r="K77" s="189"/>
      <c r="L77" s="527"/>
      <c r="M77" s="188"/>
      <c r="N77" s="514"/>
      <c r="O77" s="514"/>
      <c r="P77" s="190"/>
      <c r="Q77" s="190"/>
      <c r="R77" s="187"/>
      <c r="S77" s="184"/>
      <c r="T77" s="526"/>
      <c r="U77" s="190"/>
      <c r="V77" s="190"/>
      <c r="W77" s="187"/>
      <c r="X77" s="184"/>
      <c r="Y77" s="526"/>
      <c r="Z77" s="190"/>
      <c r="AA77" s="190"/>
      <c r="AB77" s="187"/>
      <c r="AC77" s="184"/>
      <c r="AD77" s="526"/>
      <c r="AE77" s="190"/>
      <c r="AF77" s="190"/>
      <c r="AG77" s="187"/>
      <c r="AH77" s="184"/>
      <c r="AI77" s="526"/>
      <c r="AJ77" s="190"/>
      <c r="AK77" s="190"/>
      <c r="AL77" s="187"/>
      <c r="AM77" s="184"/>
      <c r="AN77" s="526"/>
      <c r="AO77" s="190"/>
      <c r="AP77" s="190"/>
      <c r="AQ77" s="187"/>
      <c r="AR77" s="184"/>
      <c r="AS77" s="526"/>
      <c r="AT77" s="190"/>
      <c r="AU77" s="190"/>
      <c r="AV77" s="187"/>
      <c r="AW77" s="184"/>
      <c r="AX77" s="526"/>
    </row>
    <row r="78" spans="2:50" ht="14.25" customHeight="1">
      <c r="B78" s="514"/>
      <c r="C78" s="182">
        <v>12</v>
      </c>
      <c r="D78" s="185"/>
      <c r="E78" s="182"/>
      <c r="F78" s="182"/>
      <c r="G78" s="187"/>
      <c r="H78" s="526"/>
      <c r="I78" s="188"/>
      <c r="J78" s="188"/>
      <c r="K78" s="189"/>
      <c r="L78" s="527"/>
      <c r="M78" s="188"/>
      <c r="N78" s="514"/>
      <c r="O78" s="514"/>
      <c r="P78" s="190"/>
      <c r="Q78" s="190"/>
      <c r="R78" s="187"/>
      <c r="S78" s="184"/>
      <c r="T78" s="526"/>
      <c r="U78" s="190"/>
      <c r="V78" s="190"/>
      <c r="W78" s="187"/>
      <c r="X78" s="184"/>
      <c r="Y78" s="526"/>
      <c r="Z78" s="190"/>
      <c r="AA78" s="190"/>
      <c r="AB78" s="187"/>
      <c r="AC78" s="184"/>
      <c r="AD78" s="526"/>
      <c r="AE78" s="190"/>
      <c r="AF78" s="190"/>
      <c r="AG78" s="187"/>
      <c r="AH78" s="184"/>
      <c r="AI78" s="526"/>
      <c r="AJ78" s="190"/>
      <c r="AK78" s="190"/>
      <c r="AL78" s="187"/>
      <c r="AM78" s="184"/>
      <c r="AN78" s="526"/>
      <c r="AO78" s="190"/>
      <c r="AP78" s="190"/>
      <c r="AQ78" s="187"/>
      <c r="AR78" s="184"/>
      <c r="AS78" s="526"/>
      <c r="AT78" s="190"/>
      <c r="AU78" s="190"/>
      <c r="AV78" s="187"/>
      <c r="AW78" s="184"/>
      <c r="AX78" s="526"/>
    </row>
    <row r="79" spans="2:50" ht="14.25" customHeight="1">
      <c r="B79" s="514"/>
      <c r="C79" s="182">
        <v>13</v>
      </c>
      <c r="D79" s="185"/>
      <c r="E79" s="182"/>
      <c r="F79" s="182"/>
      <c r="G79" s="187"/>
      <c r="H79" s="526"/>
      <c r="I79" s="188"/>
      <c r="J79" s="188"/>
      <c r="K79" s="189"/>
      <c r="L79" s="527"/>
      <c r="M79" s="188"/>
      <c r="N79" s="514"/>
      <c r="O79" s="514"/>
      <c r="P79" s="190"/>
      <c r="Q79" s="190"/>
      <c r="R79" s="187"/>
      <c r="S79" s="184"/>
      <c r="T79" s="526"/>
      <c r="U79" s="190"/>
      <c r="V79" s="190"/>
      <c r="W79" s="187"/>
      <c r="X79" s="184"/>
      <c r="Y79" s="526"/>
      <c r="Z79" s="190"/>
      <c r="AA79" s="190"/>
      <c r="AB79" s="187"/>
      <c r="AC79" s="184"/>
      <c r="AD79" s="526"/>
      <c r="AE79" s="190"/>
      <c r="AF79" s="190"/>
      <c r="AG79" s="187"/>
      <c r="AH79" s="184"/>
      <c r="AI79" s="526"/>
      <c r="AJ79" s="190"/>
      <c r="AK79" s="190"/>
      <c r="AL79" s="187"/>
      <c r="AM79" s="184"/>
      <c r="AN79" s="526"/>
      <c r="AO79" s="190"/>
      <c r="AP79" s="190"/>
      <c r="AQ79" s="187"/>
      <c r="AR79" s="184"/>
      <c r="AS79" s="526"/>
      <c r="AT79" s="190"/>
      <c r="AU79" s="190"/>
      <c r="AV79" s="187"/>
      <c r="AW79" s="184"/>
      <c r="AX79" s="526"/>
    </row>
    <row r="80" spans="2:50" ht="14.25" customHeight="1">
      <c r="B80" s="514"/>
      <c r="C80" s="182">
        <v>14</v>
      </c>
      <c r="D80" s="185"/>
      <c r="E80" s="182"/>
      <c r="F80" s="182"/>
      <c r="G80" s="187"/>
      <c r="H80" s="526"/>
      <c r="I80" s="188"/>
      <c r="J80" s="188"/>
      <c r="K80" s="189"/>
      <c r="L80" s="527"/>
      <c r="M80" s="188"/>
      <c r="N80" s="514"/>
      <c r="O80" s="514"/>
      <c r="P80" s="190"/>
      <c r="Q80" s="190"/>
      <c r="R80" s="187"/>
      <c r="S80" s="184"/>
      <c r="T80" s="526"/>
      <c r="U80" s="190"/>
      <c r="V80" s="190"/>
      <c r="W80" s="187"/>
      <c r="X80" s="184"/>
      <c r="Y80" s="526"/>
      <c r="Z80" s="190"/>
      <c r="AA80" s="190"/>
      <c r="AB80" s="187"/>
      <c r="AC80" s="184"/>
      <c r="AD80" s="526"/>
      <c r="AE80" s="190"/>
      <c r="AF80" s="190"/>
      <c r="AG80" s="187"/>
      <c r="AH80" s="184"/>
      <c r="AI80" s="526"/>
      <c r="AJ80" s="190"/>
      <c r="AK80" s="190"/>
      <c r="AL80" s="187"/>
      <c r="AM80" s="184"/>
      <c r="AN80" s="526"/>
      <c r="AO80" s="190"/>
      <c r="AP80" s="190"/>
      <c r="AQ80" s="187"/>
      <c r="AR80" s="184"/>
      <c r="AS80" s="526"/>
      <c r="AT80" s="190"/>
      <c r="AU80" s="190"/>
      <c r="AV80" s="187"/>
      <c r="AW80" s="184"/>
      <c r="AX80" s="526"/>
    </row>
    <row r="81" spans="2:50" ht="14.25" customHeight="1">
      <c r="B81" s="514"/>
      <c r="C81" s="182">
        <v>15</v>
      </c>
      <c r="D81" s="185"/>
      <c r="E81" s="182"/>
      <c r="F81" s="182"/>
      <c r="G81" s="187"/>
      <c r="H81" s="526"/>
      <c r="I81" s="188"/>
      <c r="J81" s="188"/>
      <c r="K81" s="189"/>
      <c r="L81" s="527"/>
      <c r="M81" s="188"/>
      <c r="N81" s="514"/>
      <c r="O81" s="514"/>
      <c r="P81" s="190"/>
      <c r="Q81" s="190"/>
      <c r="R81" s="187"/>
      <c r="S81" s="184"/>
      <c r="T81" s="526"/>
      <c r="U81" s="190"/>
      <c r="V81" s="190"/>
      <c r="W81" s="187"/>
      <c r="X81" s="184"/>
      <c r="Y81" s="526"/>
      <c r="Z81" s="190"/>
      <c r="AA81" s="190"/>
      <c r="AB81" s="187"/>
      <c r="AC81" s="184"/>
      <c r="AD81" s="526"/>
      <c r="AE81" s="190"/>
      <c r="AF81" s="190"/>
      <c r="AG81" s="187"/>
      <c r="AH81" s="184"/>
      <c r="AI81" s="526"/>
      <c r="AJ81" s="190"/>
      <c r="AK81" s="190"/>
      <c r="AL81" s="187"/>
      <c r="AM81" s="184"/>
      <c r="AN81" s="526"/>
      <c r="AO81" s="190"/>
      <c r="AP81" s="190"/>
      <c r="AQ81" s="187"/>
      <c r="AR81" s="184"/>
      <c r="AS81" s="526"/>
      <c r="AT81" s="190"/>
      <c r="AU81" s="190"/>
      <c r="AV81" s="187"/>
      <c r="AW81" s="184"/>
      <c r="AX81" s="526"/>
    </row>
    <row r="82" spans="2:50" ht="14.25" customHeight="1" collapsed="1">
      <c r="B82" s="541" t="s">
        <v>698</v>
      </c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60"/>
      <c r="N82" s="570" t="s">
        <v>383</v>
      </c>
      <c r="O82" s="570" t="s">
        <v>105</v>
      </c>
      <c r="P82" s="582">
        <f>AT62+1</f>
        <v>46077</v>
      </c>
      <c r="Q82" s="583"/>
      <c r="R82" s="583"/>
      <c r="S82" s="583"/>
      <c r="T82" s="583"/>
      <c r="U82" s="584">
        <f>P82+1</f>
        <v>46078</v>
      </c>
      <c r="V82" s="585"/>
      <c r="W82" s="585"/>
      <c r="X82" s="585"/>
      <c r="Y82" s="585"/>
      <c r="Z82" s="582">
        <f t="shared" ref="Z82" si="92">U82+1</f>
        <v>46079</v>
      </c>
      <c r="AA82" s="583"/>
      <c r="AB82" s="583"/>
      <c r="AC82" s="583"/>
      <c r="AD82" s="583"/>
      <c r="AE82" s="584">
        <f t="shared" ref="AE82" si="93">Z82+1</f>
        <v>46080</v>
      </c>
      <c r="AF82" s="585"/>
      <c r="AG82" s="585"/>
      <c r="AH82" s="585"/>
      <c r="AI82" s="585"/>
      <c r="AJ82" s="586">
        <f t="shared" ref="AJ82" si="94">AE82+1</f>
        <v>46081</v>
      </c>
      <c r="AK82" s="587"/>
      <c r="AL82" s="587"/>
      <c r="AM82" s="587"/>
      <c r="AN82" s="588"/>
      <c r="AO82" s="584">
        <f t="shared" ref="AO82" si="95">AJ82+1</f>
        <v>46082</v>
      </c>
      <c r="AP82" s="585"/>
      <c r="AQ82" s="585"/>
      <c r="AR82" s="585"/>
      <c r="AS82" s="585"/>
      <c r="AT82" s="586">
        <f t="shared" ref="AT82" si="96">AO82+1</f>
        <v>46083</v>
      </c>
      <c r="AU82" s="587"/>
      <c r="AV82" s="587"/>
      <c r="AW82" s="587"/>
      <c r="AX82" s="588"/>
    </row>
    <row r="83" spans="2:50" ht="14.25" customHeight="1"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2"/>
      <c r="N83" s="572"/>
      <c r="O83" s="572"/>
      <c r="P83" s="589">
        <f>P82</f>
        <v>46077</v>
      </c>
      <c r="Q83" s="589"/>
      <c r="R83" s="589"/>
      <c r="S83" s="589"/>
      <c r="T83" s="589"/>
      <c r="U83" s="590">
        <f>U82</f>
        <v>46078</v>
      </c>
      <c r="V83" s="590"/>
      <c r="W83" s="590"/>
      <c r="X83" s="590"/>
      <c r="Y83" s="590"/>
      <c r="Z83" s="589">
        <f t="shared" ref="Z83" si="97">Z82</f>
        <v>46079</v>
      </c>
      <c r="AA83" s="589"/>
      <c r="AB83" s="589"/>
      <c r="AC83" s="589"/>
      <c r="AD83" s="589"/>
      <c r="AE83" s="590">
        <f t="shared" ref="AE83" si="98">AE82</f>
        <v>46080</v>
      </c>
      <c r="AF83" s="590"/>
      <c r="AG83" s="590"/>
      <c r="AH83" s="590"/>
      <c r="AI83" s="590"/>
      <c r="AJ83" s="591">
        <f t="shared" ref="AJ83" si="99">AJ82</f>
        <v>46081</v>
      </c>
      <c r="AK83" s="592"/>
      <c r="AL83" s="592"/>
      <c r="AM83" s="592"/>
      <c r="AN83" s="593"/>
      <c r="AO83" s="590">
        <f t="shared" ref="AO83" si="100">AO82</f>
        <v>46082</v>
      </c>
      <c r="AP83" s="590"/>
      <c r="AQ83" s="590"/>
      <c r="AR83" s="590"/>
      <c r="AS83" s="590"/>
      <c r="AT83" s="591">
        <f t="shared" ref="AT83" si="101">AT82</f>
        <v>46083</v>
      </c>
      <c r="AU83" s="592"/>
      <c r="AV83" s="592"/>
      <c r="AW83" s="592"/>
      <c r="AX83" s="593"/>
    </row>
    <row r="84" spans="2:50" ht="14.25" customHeight="1">
      <c r="B84" s="514" t="s">
        <v>164</v>
      </c>
      <c r="C84" s="514" t="s">
        <v>159</v>
      </c>
      <c r="D84" s="514"/>
      <c r="E84" s="514" t="s">
        <v>160</v>
      </c>
      <c r="F84" s="514"/>
      <c r="G84" s="514"/>
      <c r="H84" s="514" t="s">
        <v>165</v>
      </c>
      <c r="I84" s="531" t="s">
        <v>384</v>
      </c>
      <c r="J84" s="531"/>
      <c r="K84" s="531"/>
      <c r="L84" s="531" t="s">
        <v>165</v>
      </c>
      <c r="M84" s="531" t="s">
        <v>167</v>
      </c>
      <c r="N84" s="514"/>
      <c r="O84" s="514" t="s">
        <v>166</v>
      </c>
      <c r="P84" s="514" t="s">
        <v>162</v>
      </c>
      <c r="Q84" s="514"/>
      <c r="R84" s="514"/>
      <c r="S84" s="514"/>
      <c r="T84" s="514" t="s">
        <v>165</v>
      </c>
      <c r="U84" s="514" t="s">
        <v>162</v>
      </c>
      <c r="V84" s="514"/>
      <c r="W84" s="514"/>
      <c r="X84" s="514"/>
      <c r="Y84" s="514" t="s">
        <v>165</v>
      </c>
      <c r="Z84" s="514" t="s">
        <v>162</v>
      </c>
      <c r="AA84" s="514"/>
      <c r="AB84" s="514"/>
      <c r="AC84" s="514"/>
      <c r="AD84" s="514" t="s">
        <v>165</v>
      </c>
      <c r="AE84" s="514" t="s">
        <v>162</v>
      </c>
      <c r="AF84" s="514"/>
      <c r="AG84" s="514"/>
      <c r="AH84" s="514"/>
      <c r="AI84" s="514" t="s">
        <v>165</v>
      </c>
      <c r="AJ84" s="514" t="s">
        <v>162</v>
      </c>
      <c r="AK84" s="514"/>
      <c r="AL84" s="514"/>
      <c r="AM84" s="514"/>
      <c r="AN84" s="514" t="s">
        <v>165</v>
      </c>
      <c r="AO84" s="514" t="s">
        <v>162</v>
      </c>
      <c r="AP84" s="514"/>
      <c r="AQ84" s="514"/>
      <c r="AR84" s="514"/>
      <c r="AS84" s="514" t="s">
        <v>165</v>
      </c>
      <c r="AT84" s="514" t="s">
        <v>162</v>
      </c>
      <c r="AU84" s="514"/>
      <c r="AV84" s="514"/>
      <c r="AW84" s="514"/>
      <c r="AX84" s="514" t="s">
        <v>165</v>
      </c>
    </row>
    <row r="85" spans="2:50" ht="14.25" customHeight="1">
      <c r="B85" s="514"/>
      <c r="C85" s="514"/>
      <c r="D85" s="514"/>
      <c r="E85" s="514" t="s">
        <v>385</v>
      </c>
      <c r="F85" s="514"/>
      <c r="G85" s="514"/>
      <c r="H85" s="514"/>
      <c r="I85" s="531" t="s">
        <v>385</v>
      </c>
      <c r="J85" s="531"/>
      <c r="K85" s="531"/>
      <c r="L85" s="531"/>
      <c r="M85" s="531"/>
      <c r="N85" s="514"/>
      <c r="O85" s="514"/>
      <c r="P85" s="514" t="s">
        <v>386</v>
      </c>
      <c r="Q85" s="514"/>
      <c r="R85" s="514"/>
      <c r="S85" s="514"/>
      <c r="T85" s="514"/>
      <c r="U85" s="514" t="s">
        <v>386</v>
      </c>
      <c r="V85" s="514"/>
      <c r="W85" s="514"/>
      <c r="X85" s="514"/>
      <c r="Y85" s="514"/>
      <c r="Z85" s="514" t="s">
        <v>386</v>
      </c>
      <c r="AA85" s="514"/>
      <c r="AB85" s="514"/>
      <c r="AC85" s="514"/>
      <c r="AD85" s="514"/>
      <c r="AE85" s="514" t="s">
        <v>386</v>
      </c>
      <c r="AF85" s="514"/>
      <c r="AG85" s="514"/>
      <c r="AH85" s="514"/>
      <c r="AI85" s="514"/>
      <c r="AJ85" s="514" t="s">
        <v>386</v>
      </c>
      <c r="AK85" s="514"/>
      <c r="AL85" s="514"/>
      <c r="AM85" s="514"/>
      <c r="AN85" s="514"/>
      <c r="AO85" s="514" t="s">
        <v>386</v>
      </c>
      <c r="AP85" s="514"/>
      <c r="AQ85" s="514"/>
      <c r="AR85" s="514"/>
      <c r="AS85" s="514"/>
      <c r="AT85" s="514" t="s">
        <v>386</v>
      </c>
      <c r="AU85" s="514"/>
      <c r="AV85" s="514"/>
      <c r="AW85" s="514"/>
      <c r="AX85" s="514"/>
    </row>
    <row r="86" spans="2:50" ht="14.25" customHeight="1">
      <c r="B86" s="514"/>
      <c r="C86" s="514"/>
      <c r="D86" s="514"/>
      <c r="E86" s="182" t="s">
        <v>161</v>
      </c>
      <c r="F86" s="182" t="s">
        <v>387</v>
      </c>
      <c r="G86" s="182" t="s">
        <v>163</v>
      </c>
      <c r="H86" s="514"/>
      <c r="I86" s="183" t="s">
        <v>161</v>
      </c>
      <c r="J86" s="183" t="s">
        <v>387</v>
      </c>
      <c r="K86" s="183" t="s">
        <v>163</v>
      </c>
      <c r="L86" s="531"/>
      <c r="M86" s="531"/>
      <c r="N86" s="514"/>
      <c r="O86" s="514"/>
      <c r="P86" s="182" t="s">
        <v>161</v>
      </c>
      <c r="Q86" s="182" t="s">
        <v>387</v>
      </c>
      <c r="R86" s="182" t="s">
        <v>163</v>
      </c>
      <c r="S86" s="184" t="s">
        <v>167</v>
      </c>
      <c r="T86" s="514"/>
      <c r="U86" s="182" t="s">
        <v>161</v>
      </c>
      <c r="V86" s="182" t="s">
        <v>387</v>
      </c>
      <c r="W86" s="182" t="s">
        <v>163</v>
      </c>
      <c r="X86" s="184" t="s">
        <v>167</v>
      </c>
      <c r="Y86" s="514"/>
      <c r="Z86" s="182" t="s">
        <v>161</v>
      </c>
      <c r="AA86" s="182" t="s">
        <v>387</v>
      </c>
      <c r="AB86" s="182" t="s">
        <v>163</v>
      </c>
      <c r="AC86" s="184" t="s">
        <v>167</v>
      </c>
      <c r="AD86" s="514"/>
      <c r="AE86" s="182" t="s">
        <v>161</v>
      </c>
      <c r="AF86" s="182" t="s">
        <v>387</v>
      </c>
      <c r="AG86" s="182" t="s">
        <v>163</v>
      </c>
      <c r="AH86" s="184" t="s">
        <v>167</v>
      </c>
      <c r="AI86" s="514"/>
      <c r="AJ86" s="182" t="s">
        <v>161</v>
      </c>
      <c r="AK86" s="182" t="s">
        <v>387</v>
      </c>
      <c r="AL86" s="182" t="s">
        <v>163</v>
      </c>
      <c r="AM86" s="184" t="s">
        <v>167</v>
      </c>
      <c r="AN86" s="514"/>
      <c r="AO86" s="182" t="s">
        <v>161</v>
      </c>
      <c r="AP86" s="182" t="s">
        <v>387</v>
      </c>
      <c r="AQ86" s="182" t="s">
        <v>163</v>
      </c>
      <c r="AR86" s="184" t="s">
        <v>167</v>
      </c>
      <c r="AS86" s="514"/>
      <c r="AT86" s="182" t="s">
        <v>161</v>
      </c>
      <c r="AU86" s="182" t="s">
        <v>387</v>
      </c>
      <c r="AV86" s="182" t="s">
        <v>163</v>
      </c>
      <c r="AW86" s="184" t="s">
        <v>167</v>
      </c>
      <c r="AX86" s="514"/>
    </row>
    <row r="87" spans="2:50" ht="14.25" customHeight="1">
      <c r="B87" s="514" t="s">
        <v>144</v>
      </c>
      <c r="C87" s="182">
        <v>1</v>
      </c>
      <c r="D87" s="185"/>
      <c r="E87" s="182"/>
      <c r="F87" s="182"/>
      <c r="G87" s="187" t="e">
        <f t="shared" ref="G87:G96" si="102">F87/E87</f>
        <v>#DIV/0!</v>
      </c>
      <c r="H87" s="526" t="e">
        <f>AVERAGE(G87:G101)</f>
        <v>#DIV/0!</v>
      </c>
      <c r="I87" s="188"/>
      <c r="J87" s="188"/>
      <c r="K87" s="189"/>
      <c r="L87" s="527" t="str">
        <f>IFERROR(AVERAGE(K87:K101),"-")</f>
        <v>-</v>
      </c>
      <c r="M87" s="188"/>
      <c r="N87" s="514"/>
      <c r="O87" s="514"/>
      <c r="P87" s="190"/>
      <c r="Q87" s="190"/>
      <c r="R87" s="187"/>
      <c r="S87" s="184" t="e">
        <f>RANK(R87, R$27:R$41)</f>
        <v>#N/A</v>
      </c>
      <c r="T87" s="526" t="e">
        <f>AVERAGE(R87:R101)</f>
        <v>#DIV/0!</v>
      </c>
      <c r="U87" s="190"/>
      <c r="V87" s="190"/>
      <c r="W87" s="187"/>
      <c r="X87" s="184" t="e">
        <f>RANK(W87, W$27:W$41)</f>
        <v>#N/A</v>
      </c>
      <c r="Y87" s="526" t="e">
        <f>AVERAGE(W87:W101)</f>
        <v>#DIV/0!</v>
      </c>
      <c r="Z87" s="190"/>
      <c r="AA87" s="190"/>
      <c r="AB87" s="187"/>
      <c r="AC87" s="184"/>
      <c r="AD87" s="526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26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26" t="e">
        <f>AVERAGE(AL87:AL101)</f>
        <v>#DIV/0!</v>
      </c>
      <c r="AO87" s="190"/>
      <c r="AP87" s="190"/>
      <c r="AQ87" s="187" t="str">
        <f t="shared" ref="AQ87:AQ96" si="103">IFERROR(AP87/AO87,"")</f>
        <v/>
      </c>
      <c r="AR87" s="184" t="e">
        <f>RANK(AQ87, AQ$27:AQ$41)</f>
        <v>#VALUE!</v>
      </c>
      <c r="AS87" s="526" t="e">
        <f>AVERAGE(AQ87:AQ101)</f>
        <v>#DIV/0!</v>
      </c>
      <c r="AT87" s="190">
        <v>17</v>
      </c>
      <c r="AU87" s="190">
        <v>3117.7474402730327</v>
      </c>
      <c r="AV87" s="187">
        <f t="shared" ref="AV87" si="104">IFERROR(AU87/AT87,"")</f>
        <v>183.39690825135486</v>
      </c>
      <c r="AW87" s="184" t="e">
        <f>RANK(AV87, AV$27:AV$41)</f>
        <v>#N/A</v>
      </c>
      <c r="AX87" s="526">
        <f>AVERAGE(AV87:AV101)</f>
        <v>183.39690825135486</v>
      </c>
    </row>
    <row r="88" spans="2:50" ht="14.25" customHeight="1">
      <c r="B88" s="514"/>
      <c r="C88" s="182">
        <v>2</v>
      </c>
      <c r="D88" s="185"/>
      <c r="E88" s="182"/>
      <c r="F88" s="182"/>
      <c r="G88" s="187" t="e">
        <f t="shared" si="102"/>
        <v>#DIV/0!</v>
      </c>
      <c r="H88" s="526"/>
      <c r="I88" s="188"/>
      <c r="J88" s="188"/>
      <c r="K88" s="189"/>
      <c r="L88" s="527"/>
      <c r="M88" s="188"/>
      <c r="N88" s="514"/>
      <c r="O88" s="514"/>
      <c r="P88" s="190"/>
      <c r="Q88" s="190"/>
      <c r="R88" s="187"/>
      <c r="S88" s="184"/>
      <c r="T88" s="526"/>
      <c r="U88" s="190"/>
      <c r="V88" s="190"/>
      <c r="W88" s="187"/>
      <c r="X88" s="184" t="e">
        <f t="shared" ref="X88:X89" si="105">RANK(W88, W$27:W$41)</f>
        <v>#N/A</v>
      </c>
      <c r="Y88" s="526"/>
      <c r="Z88" s="190"/>
      <c r="AA88" s="190"/>
      <c r="AB88" s="187"/>
      <c r="AC88" s="184"/>
      <c r="AD88" s="526"/>
      <c r="AE88" s="190">
        <v>17</v>
      </c>
      <c r="AF88" s="190">
        <v>3117.9818887451515</v>
      </c>
      <c r="AG88" s="187">
        <f t="shared" ref="AG88:AG96" si="106">IFERROR(AF88/AE88,"")</f>
        <v>183.41069933795009</v>
      </c>
      <c r="AH88" s="184" t="e">
        <f t="shared" ref="AH88:AH96" si="107">RANK(AG88, AG$27:AG$41)</f>
        <v>#N/A</v>
      </c>
      <c r="AI88" s="526"/>
      <c r="AJ88" s="190"/>
      <c r="AK88" s="190"/>
      <c r="AL88" s="187"/>
      <c r="AM88" s="184" t="e">
        <f t="shared" ref="AM88:AM96" si="108">RANK(AL88, AL$27:AL$41)</f>
        <v>#N/A</v>
      </c>
      <c r="AN88" s="526"/>
      <c r="AO88" s="190"/>
      <c r="AP88" s="190"/>
      <c r="AQ88" s="187" t="str">
        <f t="shared" si="103"/>
        <v/>
      </c>
      <c r="AR88" s="184" t="e">
        <f t="shared" ref="AR88:AR96" si="109">RANK(AQ88, AQ$27:AQ$41)</f>
        <v>#VALUE!</v>
      </c>
      <c r="AS88" s="526"/>
      <c r="AT88" s="190"/>
      <c r="AU88" s="190"/>
      <c r="AV88" s="187"/>
      <c r="AW88" s="184" t="e">
        <f t="shared" ref="AW88:AW96" si="110">RANK(AV88, AV$27:AV$41)</f>
        <v>#N/A</v>
      </c>
      <c r="AX88" s="526"/>
    </row>
    <row r="89" spans="2:50" ht="14.25" customHeight="1">
      <c r="B89" s="514"/>
      <c r="C89" s="182">
        <v>3</v>
      </c>
      <c r="D89" s="185"/>
      <c r="E89" s="182"/>
      <c r="F89" s="182"/>
      <c r="G89" s="187" t="e">
        <f t="shared" si="102"/>
        <v>#DIV/0!</v>
      </c>
      <c r="H89" s="526"/>
      <c r="I89" s="188"/>
      <c r="J89" s="188"/>
      <c r="K89" s="189"/>
      <c r="L89" s="527"/>
      <c r="M89" s="188"/>
      <c r="N89" s="514"/>
      <c r="O89" s="514"/>
      <c r="P89" s="190"/>
      <c r="Q89" s="190"/>
      <c r="R89" s="187"/>
      <c r="S89" s="184"/>
      <c r="T89" s="526"/>
      <c r="U89" s="190"/>
      <c r="V89" s="190"/>
      <c r="W89" s="187"/>
      <c r="X89" s="184" t="e">
        <f t="shared" si="105"/>
        <v>#N/A</v>
      </c>
      <c r="Y89" s="526"/>
      <c r="Z89" s="190"/>
      <c r="AA89" s="190"/>
      <c r="AB89" s="187"/>
      <c r="AC89" s="184"/>
      <c r="AD89" s="526"/>
      <c r="AE89" s="190">
        <v>11</v>
      </c>
      <c r="AF89" s="190">
        <v>3152.2537562604293</v>
      </c>
      <c r="AG89" s="187">
        <f t="shared" si="106"/>
        <v>286.56852329640265</v>
      </c>
      <c r="AH89" s="184" t="e">
        <f t="shared" si="107"/>
        <v>#N/A</v>
      </c>
      <c r="AI89" s="526"/>
      <c r="AJ89" s="190"/>
      <c r="AK89" s="190"/>
      <c r="AL89" s="187"/>
      <c r="AM89" s="184" t="e">
        <f t="shared" si="108"/>
        <v>#N/A</v>
      </c>
      <c r="AN89" s="526"/>
      <c r="AO89" s="190"/>
      <c r="AP89" s="190"/>
      <c r="AQ89" s="187" t="str">
        <f t="shared" si="103"/>
        <v/>
      </c>
      <c r="AR89" s="184" t="e">
        <f t="shared" si="109"/>
        <v>#VALUE!</v>
      </c>
      <c r="AS89" s="526"/>
      <c r="AT89" s="190"/>
      <c r="AU89" s="190"/>
      <c r="AV89" s="187"/>
      <c r="AW89" s="184" t="e">
        <f t="shared" si="110"/>
        <v>#N/A</v>
      </c>
      <c r="AX89" s="526"/>
    </row>
    <row r="90" spans="2:50" ht="14.25" customHeight="1">
      <c r="B90" s="514"/>
      <c r="C90" s="182">
        <v>4</v>
      </c>
      <c r="D90" s="185"/>
      <c r="E90" s="182"/>
      <c r="F90" s="182"/>
      <c r="G90" s="187" t="e">
        <f t="shared" si="102"/>
        <v>#DIV/0!</v>
      </c>
      <c r="H90" s="526"/>
      <c r="I90" s="188"/>
      <c r="J90" s="188"/>
      <c r="K90" s="189"/>
      <c r="L90" s="527"/>
      <c r="M90" s="188"/>
      <c r="N90" s="514"/>
      <c r="O90" s="514"/>
      <c r="P90" s="190"/>
      <c r="Q90" s="190"/>
      <c r="R90" s="187"/>
      <c r="S90" s="184"/>
      <c r="T90" s="526"/>
      <c r="U90" s="190"/>
      <c r="V90" s="190"/>
      <c r="W90" s="187"/>
      <c r="X90" s="184"/>
      <c r="Y90" s="526"/>
      <c r="Z90" s="190"/>
      <c r="AA90" s="190"/>
      <c r="AB90" s="187"/>
      <c r="AC90" s="184"/>
      <c r="AD90" s="526"/>
      <c r="AE90" s="190">
        <v>6</v>
      </c>
      <c r="AF90" s="190">
        <v>2318.3402489626565</v>
      </c>
      <c r="AG90" s="187">
        <f t="shared" si="106"/>
        <v>386.3900414937761</v>
      </c>
      <c r="AH90" s="184" t="e">
        <f t="shared" si="107"/>
        <v>#N/A</v>
      </c>
      <c r="AI90" s="526"/>
      <c r="AJ90" s="190"/>
      <c r="AK90" s="190"/>
      <c r="AL90" s="187"/>
      <c r="AM90" s="184" t="e">
        <f t="shared" si="108"/>
        <v>#N/A</v>
      </c>
      <c r="AN90" s="526"/>
      <c r="AO90" s="190"/>
      <c r="AP90" s="190"/>
      <c r="AQ90" s="187" t="str">
        <f t="shared" si="103"/>
        <v/>
      </c>
      <c r="AR90" s="184" t="e">
        <f t="shared" si="109"/>
        <v>#VALUE!</v>
      </c>
      <c r="AS90" s="526"/>
      <c r="AT90" s="190"/>
      <c r="AU90" s="190"/>
      <c r="AV90" s="187"/>
      <c r="AW90" s="184" t="e">
        <f t="shared" si="110"/>
        <v>#N/A</v>
      </c>
      <c r="AX90" s="526"/>
    </row>
    <row r="91" spans="2:50" ht="14.25" customHeight="1">
      <c r="B91" s="514"/>
      <c r="C91" s="182">
        <v>5</v>
      </c>
      <c r="D91" s="185"/>
      <c r="E91" s="182"/>
      <c r="F91" s="182"/>
      <c r="G91" s="187" t="e">
        <f t="shared" si="102"/>
        <v>#DIV/0!</v>
      </c>
      <c r="H91" s="526"/>
      <c r="I91" s="188"/>
      <c r="J91" s="188"/>
      <c r="K91" s="189"/>
      <c r="L91" s="527"/>
      <c r="M91" s="188"/>
      <c r="N91" s="514"/>
      <c r="O91" s="514"/>
      <c r="P91" s="190"/>
      <c r="Q91" s="190"/>
      <c r="R91" s="187"/>
      <c r="S91" s="184"/>
      <c r="T91" s="526"/>
      <c r="U91" s="190"/>
      <c r="V91" s="190"/>
      <c r="W91" s="187"/>
      <c r="X91" s="184"/>
      <c r="Y91" s="526"/>
      <c r="Z91" s="190"/>
      <c r="AA91" s="190"/>
      <c r="AB91" s="187"/>
      <c r="AC91" s="184"/>
      <c r="AD91" s="526"/>
      <c r="AE91" s="190">
        <v>6</v>
      </c>
      <c r="AF91" s="190">
        <v>2254.4731610337958</v>
      </c>
      <c r="AG91" s="187">
        <f t="shared" si="106"/>
        <v>375.74552683896599</v>
      </c>
      <c r="AH91" s="184" t="e">
        <f t="shared" si="107"/>
        <v>#N/A</v>
      </c>
      <c r="AI91" s="526"/>
      <c r="AJ91" s="190"/>
      <c r="AK91" s="190"/>
      <c r="AL91" s="187"/>
      <c r="AM91" s="184" t="e">
        <f t="shared" si="108"/>
        <v>#N/A</v>
      </c>
      <c r="AN91" s="526"/>
      <c r="AO91" s="190"/>
      <c r="AP91" s="190"/>
      <c r="AQ91" s="187" t="str">
        <f t="shared" si="103"/>
        <v/>
      </c>
      <c r="AR91" s="184" t="e">
        <f t="shared" si="109"/>
        <v>#VALUE!</v>
      </c>
      <c r="AS91" s="526"/>
      <c r="AT91" s="190"/>
      <c r="AU91" s="190"/>
      <c r="AV91" s="187"/>
      <c r="AW91" s="184" t="e">
        <f t="shared" si="110"/>
        <v>#N/A</v>
      </c>
      <c r="AX91" s="526"/>
    </row>
    <row r="92" spans="2:50" ht="14.25" customHeight="1">
      <c r="B92" s="514"/>
      <c r="C92" s="182">
        <v>6</v>
      </c>
      <c r="D92" s="185"/>
      <c r="E92" s="182"/>
      <c r="F92" s="182"/>
      <c r="G92" s="187" t="e">
        <f t="shared" si="102"/>
        <v>#DIV/0!</v>
      </c>
      <c r="H92" s="526"/>
      <c r="I92" s="188"/>
      <c r="J92" s="188"/>
      <c r="K92" s="189"/>
      <c r="L92" s="527"/>
      <c r="M92" s="188"/>
      <c r="N92" s="514"/>
      <c r="O92" s="514"/>
      <c r="P92" s="190"/>
      <c r="Q92" s="190"/>
      <c r="R92" s="187"/>
      <c r="S92" s="184"/>
      <c r="T92" s="526"/>
      <c r="U92" s="190"/>
      <c r="V92" s="190"/>
      <c r="W92" s="187"/>
      <c r="X92" s="184"/>
      <c r="Y92" s="526"/>
      <c r="Z92" s="190"/>
      <c r="AA92" s="190"/>
      <c r="AB92" s="187"/>
      <c r="AC92" s="184"/>
      <c r="AD92" s="526"/>
      <c r="AE92" s="190">
        <v>6</v>
      </c>
      <c r="AF92" s="190">
        <v>2318.6440677966079</v>
      </c>
      <c r="AG92" s="187">
        <f t="shared" si="106"/>
        <v>386.4406779661013</v>
      </c>
      <c r="AH92" s="184" t="e">
        <f t="shared" si="107"/>
        <v>#N/A</v>
      </c>
      <c r="AI92" s="526"/>
      <c r="AJ92" s="190"/>
      <c r="AK92" s="190"/>
      <c r="AL92" s="187"/>
      <c r="AM92" s="184" t="e">
        <f t="shared" si="108"/>
        <v>#N/A</v>
      </c>
      <c r="AN92" s="526"/>
      <c r="AO92" s="190"/>
      <c r="AP92" s="190"/>
      <c r="AQ92" s="187" t="str">
        <f t="shared" si="103"/>
        <v/>
      </c>
      <c r="AR92" s="184" t="e">
        <f t="shared" si="109"/>
        <v>#VALUE!</v>
      </c>
      <c r="AS92" s="526"/>
      <c r="AT92" s="190"/>
      <c r="AU92" s="190"/>
      <c r="AV92" s="187"/>
      <c r="AW92" s="184" t="e">
        <f t="shared" si="110"/>
        <v>#N/A</v>
      </c>
      <c r="AX92" s="526"/>
    </row>
    <row r="93" spans="2:50" ht="14.25" customHeight="1">
      <c r="B93" s="514"/>
      <c r="C93" s="182">
        <v>7</v>
      </c>
      <c r="D93" s="185"/>
      <c r="E93" s="182"/>
      <c r="F93" s="182"/>
      <c r="G93" s="187" t="e">
        <f t="shared" si="102"/>
        <v>#DIV/0!</v>
      </c>
      <c r="H93" s="526"/>
      <c r="I93" s="188"/>
      <c r="J93" s="188"/>
      <c r="K93" s="189"/>
      <c r="L93" s="527"/>
      <c r="M93" s="188"/>
      <c r="N93" s="514"/>
      <c r="O93" s="514"/>
      <c r="P93" s="190"/>
      <c r="Q93" s="190"/>
      <c r="R93" s="187"/>
      <c r="S93" s="184"/>
      <c r="T93" s="526"/>
      <c r="U93" s="190"/>
      <c r="V93" s="190"/>
      <c r="W93" s="187"/>
      <c r="X93" s="184"/>
      <c r="Y93" s="526"/>
      <c r="Z93" s="190"/>
      <c r="AA93" s="190"/>
      <c r="AB93" s="187"/>
      <c r="AC93" s="184"/>
      <c r="AD93" s="526"/>
      <c r="AE93" s="190">
        <v>12</v>
      </c>
      <c r="AF93" s="190">
        <v>1533.5837716003002</v>
      </c>
      <c r="AG93" s="187">
        <f t="shared" si="106"/>
        <v>127.79864763335836</v>
      </c>
      <c r="AH93" s="184" t="e">
        <f t="shared" si="107"/>
        <v>#N/A</v>
      </c>
      <c r="AI93" s="526"/>
      <c r="AJ93" s="190"/>
      <c r="AK93" s="190"/>
      <c r="AL93" s="187"/>
      <c r="AM93" s="184" t="e">
        <f t="shared" si="108"/>
        <v>#N/A</v>
      </c>
      <c r="AN93" s="526"/>
      <c r="AO93" s="190"/>
      <c r="AP93" s="190"/>
      <c r="AQ93" s="187" t="str">
        <f t="shared" si="103"/>
        <v/>
      </c>
      <c r="AR93" s="184" t="e">
        <f t="shared" si="109"/>
        <v>#VALUE!</v>
      </c>
      <c r="AS93" s="526"/>
      <c r="AT93" s="190"/>
      <c r="AU93" s="190"/>
      <c r="AV93" s="187"/>
      <c r="AW93" s="184" t="e">
        <f t="shared" si="110"/>
        <v>#N/A</v>
      </c>
      <c r="AX93" s="526"/>
    </row>
    <row r="94" spans="2:50" ht="14.25" customHeight="1">
      <c r="B94" s="514"/>
      <c r="C94" s="182">
        <v>8</v>
      </c>
      <c r="D94" s="185"/>
      <c r="E94" s="182"/>
      <c r="F94" s="182"/>
      <c r="G94" s="187" t="e">
        <f t="shared" si="102"/>
        <v>#DIV/0!</v>
      </c>
      <c r="H94" s="526"/>
      <c r="I94" s="188"/>
      <c r="J94" s="188"/>
      <c r="K94" s="189"/>
      <c r="L94" s="527"/>
      <c r="M94" s="188"/>
      <c r="N94" s="514"/>
      <c r="O94" s="514"/>
      <c r="P94" s="190"/>
      <c r="Q94" s="190"/>
      <c r="R94" s="187"/>
      <c r="S94" s="184"/>
      <c r="T94" s="526"/>
      <c r="U94" s="190"/>
      <c r="V94" s="190"/>
      <c r="W94" s="187"/>
      <c r="X94" s="184"/>
      <c r="Y94" s="526"/>
      <c r="Z94" s="190"/>
      <c r="AA94" s="190"/>
      <c r="AB94" s="187"/>
      <c r="AC94" s="184"/>
      <c r="AD94" s="526"/>
      <c r="AE94" s="190">
        <v>17</v>
      </c>
      <c r="AF94" s="190">
        <v>3116.9006176305388</v>
      </c>
      <c r="AG94" s="187">
        <f t="shared" si="106"/>
        <v>183.34709515473759</v>
      </c>
      <c r="AH94" s="184" t="e">
        <f t="shared" si="107"/>
        <v>#N/A</v>
      </c>
      <c r="AI94" s="526"/>
      <c r="AJ94" s="190"/>
      <c r="AK94" s="190"/>
      <c r="AL94" s="187"/>
      <c r="AM94" s="184" t="e">
        <f t="shared" si="108"/>
        <v>#N/A</v>
      </c>
      <c r="AN94" s="526"/>
      <c r="AO94" s="190"/>
      <c r="AP94" s="190"/>
      <c r="AQ94" s="187" t="str">
        <f t="shared" si="103"/>
        <v/>
      </c>
      <c r="AR94" s="184" t="e">
        <f t="shared" si="109"/>
        <v>#VALUE!</v>
      </c>
      <c r="AS94" s="526"/>
      <c r="AT94" s="190"/>
      <c r="AU94" s="190"/>
      <c r="AV94" s="187"/>
      <c r="AW94" s="184" t="e">
        <f t="shared" si="110"/>
        <v>#N/A</v>
      </c>
      <c r="AX94" s="526"/>
    </row>
    <row r="95" spans="2:50" ht="14.25" customHeight="1">
      <c r="B95" s="514"/>
      <c r="C95" s="182">
        <v>9</v>
      </c>
      <c r="D95" s="185"/>
      <c r="E95" s="182"/>
      <c r="F95" s="182"/>
      <c r="G95" s="187" t="e">
        <f t="shared" si="102"/>
        <v>#DIV/0!</v>
      </c>
      <c r="H95" s="526"/>
      <c r="I95" s="188"/>
      <c r="J95" s="188"/>
      <c r="K95" s="189"/>
      <c r="L95" s="527"/>
      <c r="M95" s="188"/>
      <c r="N95" s="514"/>
      <c r="O95" s="514"/>
      <c r="P95" s="190"/>
      <c r="Q95" s="190"/>
      <c r="R95" s="187"/>
      <c r="S95" s="184"/>
      <c r="T95" s="526"/>
      <c r="U95" s="190"/>
      <c r="V95" s="190"/>
      <c r="W95" s="187"/>
      <c r="X95" s="184"/>
      <c r="Y95" s="526"/>
      <c r="Z95" s="190"/>
      <c r="AA95" s="190"/>
      <c r="AB95" s="187"/>
      <c r="AC95" s="184"/>
      <c r="AD95" s="526"/>
      <c r="AE95" s="190">
        <v>17</v>
      </c>
      <c r="AF95" s="190">
        <v>3119.7089144936285</v>
      </c>
      <c r="AG95" s="187">
        <f t="shared" si="106"/>
        <v>183.51228908786049</v>
      </c>
      <c r="AH95" s="184" t="e">
        <f t="shared" si="107"/>
        <v>#N/A</v>
      </c>
      <c r="AI95" s="526"/>
      <c r="AJ95" s="190"/>
      <c r="AK95" s="190"/>
      <c r="AL95" s="187"/>
      <c r="AM95" s="184" t="e">
        <f t="shared" si="108"/>
        <v>#N/A</v>
      </c>
      <c r="AN95" s="526"/>
      <c r="AO95" s="190"/>
      <c r="AP95" s="190"/>
      <c r="AQ95" s="187" t="str">
        <f t="shared" si="103"/>
        <v/>
      </c>
      <c r="AR95" s="184" t="e">
        <f t="shared" si="109"/>
        <v>#VALUE!</v>
      </c>
      <c r="AS95" s="526"/>
      <c r="AT95" s="190"/>
      <c r="AU95" s="190"/>
      <c r="AV95" s="187"/>
      <c r="AW95" s="184" t="e">
        <f t="shared" si="110"/>
        <v>#N/A</v>
      </c>
      <c r="AX95" s="526"/>
    </row>
    <row r="96" spans="2:50" ht="14.25" customHeight="1">
      <c r="B96" s="514"/>
      <c r="C96" s="182">
        <v>10</v>
      </c>
      <c r="D96" s="185"/>
      <c r="E96" s="182"/>
      <c r="F96" s="182"/>
      <c r="G96" s="187" t="e">
        <f t="shared" si="102"/>
        <v>#DIV/0!</v>
      </c>
      <c r="H96" s="526"/>
      <c r="I96" s="188"/>
      <c r="J96" s="188"/>
      <c r="K96" s="189"/>
      <c r="L96" s="527"/>
      <c r="M96" s="188"/>
      <c r="N96" s="514"/>
      <c r="O96" s="514"/>
      <c r="P96" s="190"/>
      <c r="Q96" s="190"/>
      <c r="R96" s="187"/>
      <c r="S96" s="184"/>
      <c r="T96" s="526"/>
      <c r="U96" s="190"/>
      <c r="V96" s="190"/>
      <c r="W96" s="187"/>
      <c r="X96" s="184"/>
      <c r="Y96" s="526"/>
      <c r="Z96" s="190"/>
      <c r="AA96" s="190"/>
      <c r="AB96" s="187"/>
      <c r="AC96" s="184"/>
      <c r="AD96" s="526"/>
      <c r="AE96" s="190">
        <v>11</v>
      </c>
      <c r="AF96" s="190">
        <v>3153.0291697830935</v>
      </c>
      <c r="AG96" s="187">
        <f t="shared" si="106"/>
        <v>286.63901543482666</v>
      </c>
      <c r="AH96" s="184" t="e">
        <f t="shared" si="107"/>
        <v>#N/A</v>
      </c>
      <c r="AI96" s="526"/>
      <c r="AJ96" s="190"/>
      <c r="AK96" s="190"/>
      <c r="AL96" s="187"/>
      <c r="AM96" s="184" t="e">
        <f t="shared" si="108"/>
        <v>#N/A</v>
      </c>
      <c r="AN96" s="526"/>
      <c r="AO96" s="190"/>
      <c r="AP96" s="190"/>
      <c r="AQ96" s="187" t="str">
        <f t="shared" si="103"/>
        <v/>
      </c>
      <c r="AR96" s="184" t="e">
        <f t="shared" si="109"/>
        <v>#VALUE!</v>
      </c>
      <c r="AS96" s="526"/>
      <c r="AT96" s="190"/>
      <c r="AU96" s="190"/>
      <c r="AV96" s="187"/>
      <c r="AW96" s="184" t="e">
        <f t="shared" si="110"/>
        <v>#N/A</v>
      </c>
      <c r="AX96" s="526"/>
    </row>
    <row r="97" spans="2:50" ht="14.25" customHeight="1">
      <c r="B97" s="514"/>
      <c r="C97" s="182">
        <v>11</v>
      </c>
      <c r="D97" s="185"/>
      <c r="E97" s="182"/>
      <c r="F97" s="182"/>
      <c r="G97" s="187"/>
      <c r="H97" s="526"/>
      <c r="I97" s="188"/>
      <c r="J97" s="188"/>
      <c r="K97" s="189"/>
      <c r="L97" s="527"/>
      <c r="M97" s="188"/>
      <c r="N97" s="514"/>
      <c r="O97" s="514"/>
      <c r="P97" s="190"/>
      <c r="Q97" s="190"/>
      <c r="R97" s="187"/>
      <c r="S97" s="184"/>
      <c r="T97" s="526"/>
      <c r="U97" s="190"/>
      <c r="V97" s="190"/>
      <c r="W97" s="187"/>
      <c r="X97" s="184"/>
      <c r="Y97" s="526"/>
      <c r="Z97" s="190"/>
      <c r="AA97" s="190"/>
      <c r="AB97" s="187"/>
      <c r="AC97" s="184"/>
      <c r="AD97" s="526"/>
      <c r="AE97" s="190"/>
      <c r="AF97" s="190"/>
      <c r="AG97" s="187"/>
      <c r="AH97" s="184"/>
      <c r="AI97" s="526"/>
      <c r="AJ97" s="190"/>
      <c r="AK97" s="190"/>
      <c r="AL97" s="187"/>
      <c r="AM97" s="184"/>
      <c r="AN97" s="526"/>
      <c r="AO97" s="190"/>
      <c r="AP97" s="190"/>
      <c r="AQ97" s="187"/>
      <c r="AR97" s="184"/>
      <c r="AS97" s="526"/>
      <c r="AT97" s="190"/>
      <c r="AU97" s="190"/>
      <c r="AV97" s="187"/>
      <c r="AW97" s="184"/>
      <c r="AX97" s="526"/>
    </row>
    <row r="98" spans="2:50" ht="14.25" customHeight="1">
      <c r="B98" s="514"/>
      <c r="C98" s="182">
        <v>12</v>
      </c>
      <c r="D98" s="185"/>
      <c r="E98" s="182"/>
      <c r="F98" s="182"/>
      <c r="G98" s="187"/>
      <c r="H98" s="526"/>
      <c r="I98" s="188"/>
      <c r="J98" s="188"/>
      <c r="K98" s="189"/>
      <c r="L98" s="527"/>
      <c r="M98" s="188"/>
      <c r="N98" s="514"/>
      <c r="O98" s="514"/>
      <c r="P98" s="190"/>
      <c r="Q98" s="190"/>
      <c r="R98" s="187"/>
      <c r="S98" s="184"/>
      <c r="T98" s="526"/>
      <c r="U98" s="190"/>
      <c r="V98" s="190"/>
      <c r="W98" s="187"/>
      <c r="X98" s="184"/>
      <c r="Y98" s="526"/>
      <c r="Z98" s="190"/>
      <c r="AA98" s="190"/>
      <c r="AB98" s="187"/>
      <c r="AC98" s="184"/>
      <c r="AD98" s="526"/>
      <c r="AE98" s="190"/>
      <c r="AF98" s="190"/>
      <c r="AG98" s="187"/>
      <c r="AH98" s="184"/>
      <c r="AI98" s="526"/>
      <c r="AJ98" s="190"/>
      <c r="AK98" s="190"/>
      <c r="AL98" s="187"/>
      <c r="AM98" s="184"/>
      <c r="AN98" s="526"/>
      <c r="AO98" s="190"/>
      <c r="AP98" s="190"/>
      <c r="AQ98" s="187"/>
      <c r="AR98" s="184"/>
      <c r="AS98" s="526"/>
      <c r="AT98" s="190"/>
      <c r="AU98" s="190"/>
      <c r="AV98" s="187"/>
      <c r="AW98" s="184"/>
      <c r="AX98" s="526"/>
    </row>
    <row r="99" spans="2:50" ht="14.25" customHeight="1">
      <c r="B99" s="514"/>
      <c r="C99" s="182">
        <v>13</v>
      </c>
      <c r="D99" s="185"/>
      <c r="E99" s="182"/>
      <c r="F99" s="182"/>
      <c r="G99" s="187"/>
      <c r="H99" s="526"/>
      <c r="I99" s="188"/>
      <c r="J99" s="188"/>
      <c r="K99" s="189"/>
      <c r="L99" s="527"/>
      <c r="M99" s="188"/>
      <c r="N99" s="514"/>
      <c r="O99" s="514"/>
      <c r="P99" s="190"/>
      <c r="Q99" s="190"/>
      <c r="R99" s="187"/>
      <c r="S99" s="184"/>
      <c r="T99" s="526"/>
      <c r="U99" s="190"/>
      <c r="V99" s="190"/>
      <c r="W99" s="187"/>
      <c r="X99" s="184"/>
      <c r="Y99" s="526"/>
      <c r="Z99" s="190"/>
      <c r="AA99" s="190"/>
      <c r="AB99" s="187"/>
      <c r="AC99" s="184"/>
      <c r="AD99" s="526"/>
      <c r="AE99" s="190"/>
      <c r="AF99" s="190"/>
      <c r="AG99" s="187"/>
      <c r="AH99" s="184"/>
      <c r="AI99" s="526"/>
      <c r="AJ99" s="190"/>
      <c r="AK99" s="190"/>
      <c r="AL99" s="187"/>
      <c r="AM99" s="184"/>
      <c r="AN99" s="526"/>
      <c r="AO99" s="190"/>
      <c r="AP99" s="190"/>
      <c r="AQ99" s="187"/>
      <c r="AR99" s="184"/>
      <c r="AS99" s="526"/>
      <c r="AT99" s="190"/>
      <c r="AU99" s="190"/>
      <c r="AV99" s="187"/>
      <c r="AW99" s="184"/>
      <c r="AX99" s="526"/>
    </row>
    <row r="100" spans="2:50" ht="14.25" customHeight="1">
      <c r="B100" s="514"/>
      <c r="C100" s="182">
        <v>14</v>
      </c>
      <c r="D100" s="185"/>
      <c r="E100" s="182"/>
      <c r="F100" s="182"/>
      <c r="G100" s="187"/>
      <c r="H100" s="526"/>
      <c r="I100" s="188"/>
      <c r="J100" s="188"/>
      <c r="K100" s="189"/>
      <c r="L100" s="527"/>
      <c r="M100" s="188"/>
      <c r="N100" s="514"/>
      <c r="O100" s="514"/>
      <c r="P100" s="190"/>
      <c r="Q100" s="190"/>
      <c r="R100" s="187"/>
      <c r="S100" s="184"/>
      <c r="T100" s="526"/>
      <c r="U100" s="190"/>
      <c r="V100" s="190"/>
      <c r="W100" s="187"/>
      <c r="X100" s="184"/>
      <c r="Y100" s="526"/>
      <c r="Z100" s="190"/>
      <c r="AA100" s="190"/>
      <c r="AB100" s="187"/>
      <c r="AC100" s="184"/>
      <c r="AD100" s="526"/>
      <c r="AE100" s="190"/>
      <c r="AF100" s="190"/>
      <c r="AG100" s="187"/>
      <c r="AH100" s="184"/>
      <c r="AI100" s="526"/>
      <c r="AJ100" s="190"/>
      <c r="AK100" s="190"/>
      <c r="AL100" s="187"/>
      <c r="AM100" s="184"/>
      <c r="AN100" s="526"/>
      <c r="AO100" s="190"/>
      <c r="AP100" s="190"/>
      <c r="AQ100" s="187"/>
      <c r="AR100" s="184"/>
      <c r="AS100" s="526"/>
      <c r="AT100" s="190"/>
      <c r="AU100" s="190"/>
      <c r="AV100" s="187"/>
      <c r="AW100" s="184"/>
      <c r="AX100" s="526"/>
    </row>
    <row r="101" spans="2:50" ht="14.25" customHeight="1">
      <c r="B101" s="514"/>
      <c r="C101" s="182">
        <v>15</v>
      </c>
      <c r="D101" s="185"/>
      <c r="E101" s="182"/>
      <c r="F101" s="182"/>
      <c r="G101" s="187"/>
      <c r="H101" s="526"/>
      <c r="I101" s="188"/>
      <c r="J101" s="188"/>
      <c r="K101" s="189"/>
      <c r="L101" s="527"/>
      <c r="M101" s="188"/>
      <c r="N101" s="514"/>
      <c r="O101" s="514"/>
      <c r="P101" s="190"/>
      <c r="Q101" s="190"/>
      <c r="R101" s="187"/>
      <c r="S101" s="184"/>
      <c r="T101" s="526"/>
      <c r="U101" s="190"/>
      <c r="V101" s="190"/>
      <c r="W101" s="187"/>
      <c r="X101" s="184"/>
      <c r="Y101" s="526"/>
      <c r="Z101" s="190"/>
      <c r="AA101" s="190"/>
      <c r="AB101" s="187"/>
      <c r="AC101" s="184"/>
      <c r="AD101" s="526"/>
      <c r="AE101" s="190"/>
      <c r="AF101" s="190"/>
      <c r="AG101" s="187"/>
      <c r="AH101" s="184"/>
      <c r="AI101" s="526"/>
      <c r="AJ101" s="190"/>
      <c r="AK101" s="190"/>
      <c r="AL101" s="187"/>
      <c r="AM101" s="184"/>
      <c r="AN101" s="526"/>
      <c r="AO101" s="190"/>
      <c r="AP101" s="190"/>
      <c r="AQ101" s="187"/>
      <c r="AR101" s="184"/>
      <c r="AS101" s="526"/>
      <c r="AT101" s="190"/>
      <c r="AU101" s="190"/>
      <c r="AV101" s="187"/>
      <c r="AW101" s="184"/>
      <c r="AX101" s="526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20" zoomScale="115" zoomScaleNormal="60" zoomScaleSheetLayoutView="115" workbookViewId="0">
      <selection activeCell="J37" sqref="J37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8" ht="15.75" customHeight="1">
      <c r="A1" s="460" t="s">
        <v>392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191"/>
    </row>
    <row r="2" spans="1:18" s="192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</row>
    <row r="3" spans="1:18" ht="15.75" customHeight="1">
      <c r="A3" s="603" t="s">
        <v>651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191"/>
    </row>
    <row r="4" spans="1:18" s="192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</row>
    <row r="5" spans="1:18" s="180" customFormat="1" ht="15.75" customHeight="1">
      <c r="A5" s="601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50000000000001" customHeight="1">
      <c r="A6" s="601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02" t="s">
        <v>190</v>
      </c>
      <c r="B7" s="602"/>
      <c r="C7" s="162" t="s">
        <v>47</v>
      </c>
      <c r="D7" s="602" t="s">
        <v>12</v>
      </c>
      <c r="E7" s="604"/>
      <c r="F7" s="604"/>
      <c r="G7" s="162" t="s">
        <v>46</v>
      </c>
      <c r="H7" s="162" t="s">
        <v>394</v>
      </c>
      <c r="I7" s="162" t="s">
        <v>395</v>
      </c>
      <c r="J7" s="162" t="s">
        <v>339</v>
      </c>
      <c r="K7" s="602" t="s">
        <v>51</v>
      </c>
      <c r="L7" s="604"/>
      <c r="M7" s="195"/>
      <c r="P7" s="443"/>
      <c r="Q7" s="443"/>
    </row>
    <row r="8" spans="1:18" ht="15.75" customHeight="1">
      <c r="A8" s="601">
        <v>1</v>
      </c>
      <c r="B8" s="602" t="s">
        <v>396</v>
      </c>
      <c r="C8" s="202">
        <v>1</v>
      </c>
      <c r="D8" s="598" t="s">
        <v>410</v>
      </c>
      <c r="E8" s="597"/>
      <c r="F8" s="597"/>
      <c r="G8" s="202">
        <v>3</v>
      </c>
      <c r="H8" s="204">
        <v>3132.7671500557772</v>
      </c>
      <c r="I8" s="205">
        <v>1044.2557166852589</v>
      </c>
      <c r="J8" s="223">
        <v>2.1948461017952923</v>
      </c>
      <c r="K8" s="595" t="s">
        <v>472</v>
      </c>
      <c r="L8" s="596"/>
      <c r="N8" s="180"/>
      <c r="O8" s="180"/>
      <c r="P8" s="443"/>
      <c r="Q8" s="443"/>
      <c r="R8" s="180"/>
    </row>
    <row r="9" spans="1:18" ht="15.75" customHeight="1">
      <c r="A9" s="601"/>
      <c r="B9" s="602"/>
      <c r="C9" s="202">
        <v>2</v>
      </c>
      <c r="D9" s="598" t="s">
        <v>419</v>
      </c>
      <c r="E9" s="597"/>
      <c r="F9" s="597"/>
      <c r="G9" s="202">
        <v>3</v>
      </c>
      <c r="H9" s="204">
        <v>3131.8723752370311</v>
      </c>
      <c r="I9" s="205">
        <v>1043.9574584123436</v>
      </c>
      <c r="J9" s="223">
        <v>1.4679308930578827</v>
      </c>
      <c r="K9" s="595" t="s">
        <v>472</v>
      </c>
      <c r="L9" s="596"/>
      <c r="N9" s="180"/>
      <c r="O9" s="180"/>
      <c r="P9" s="443"/>
      <c r="Q9" s="443"/>
      <c r="R9" s="180"/>
    </row>
    <row r="10" spans="1:18" ht="15.75" customHeight="1">
      <c r="A10" s="601"/>
      <c r="B10" s="602"/>
      <c r="C10" s="202">
        <v>3</v>
      </c>
      <c r="D10" s="598" t="s">
        <v>420</v>
      </c>
      <c r="E10" s="597"/>
      <c r="F10" s="597"/>
      <c r="G10" s="202">
        <v>3</v>
      </c>
      <c r="H10" s="204">
        <v>3128.4251328296677</v>
      </c>
      <c r="I10" s="205">
        <v>1042.8083776098892</v>
      </c>
      <c r="J10" s="223">
        <v>2.5635010879725542</v>
      </c>
      <c r="K10" s="595" t="s">
        <v>472</v>
      </c>
      <c r="L10" s="596"/>
      <c r="N10" s="180"/>
      <c r="O10" s="180"/>
      <c r="P10" s="443"/>
      <c r="Q10" s="443"/>
      <c r="R10" s="180"/>
    </row>
    <row r="11" spans="1:18" ht="15.75" customHeight="1">
      <c r="A11" s="601"/>
      <c r="B11" s="602"/>
      <c r="C11" s="202">
        <v>4</v>
      </c>
      <c r="D11" s="598" t="s">
        <v>408</v>
      </c>
      <c r="E11" s="597"/>
      <c r="F11" s="597"/>
      <c r="G11" s="202">
        <v>3</v>
      </c>
      <c r="H11" s="204">
        <v>3128.185443379693</v>
      </c>
      <c r="I11" s="205">
        <v>1042.728481126564</v>
      </c>
      <c r="J11" s="223"/>
      <c r="K11" s="595" t="s">
        <v>472</v>
      </c>
      <c r="L11" s="596"/>
      <c r="N11" s="180"/>
      <c r="O11" s="180"/>
      <c r="P11" s="443"/>
      <c r="Q11" s="443"/>
      <c r="R11" s="180"/>
    </row>
    <row r="12" spans="1:18" ht="15.75" customHeight="1">
      <c r="A12" s="601"/>
      <c r="B12" s="602"/>
      <c r="C12" s="202">
        <v>5</v>
      </c>
      <c r="D12" s="598" t="s">
        <v>415</v>
      </c>
      <c r="E12" s="597"/>
      <c r="F12" s="597"/>
      <c r="G12" s="202">
        <v>3</v>
      </c>
      <c r="H12" s="204">
        <v>3126.518450865578</v>
      </c>
      <c r="I12" s="205">
        <v>1042.172816955193</v>
      </c>
      <c r="J12" s="223">
        <v>1.4473365368621671</v>
      </c>
      <c r="K12" s="595" t="s">
        <v>472</v>
      </c>
      <c r="L12" s="596"/>
      <c r="N12" s="180"/>
      <c r="O12" s="180"/>
      <c r="P12" s="443"/>
      <c r="Q12" s="443"/>
      <c r="R12" s="180"/>
    </row>
    <row r="13" spans="1:18" ht="15.75" customHeight="1">
      <c r="A13" s="601"/>
      <c r="B13" s="602"/>
      <c r="C13" s="206" t="s">
        <v>207</v>
      </c>
      <c r="D13" s="597" t="s">
        <v>495</v>
      </c>
      <c r="E13" s="597"/>
      <c r="F13" s="597"/>
      <c r="G13" s="203">
        <v>12</v>
      </c>
      <c r="H13" s="207">
        <v>3123.1075362016422</v>
      </c>
      <c r="I13" s="208">
        <v>260.25896135013687</v>
      </c>
      <c r="J13" s="223">
        <v>0.34940505162899171</v>
      </c>
      <c r="K13" s="595" t="s">
        <v>472</v>
      </c>
      <c r="L13" s="596"/>
      <c r="N13" s="180"/>
      <c r="O13" s="180"/>
      <c r="P13" s="443"/>
      <c r="Q13" s="443"/>
      <c r="R13" s="180"/>
    </row>
    <row r="14" spans="1:18" ht="15.75" customHeight="1">
      <c r="A14" s="601"/>
      <c r="B14" s="602"/>
      <c r="C14" s="206" t="s">
        <v>212</v>
      </c>
      <c r="D14" s="597" t="s">
        <v>489</v>
      </c>
      <c r="E14" s="597"/>
      <c r="F14" s="597"/>
      <c r="G14" s="203">
        <v>12</v>
      </c>
      <c r="H14" s="207">
        <v>3123.5270669334591</v>
      </c>
      <c r="I14" s="208">
        <v>260.2939222444549</v>
      </c>
      <c r="J14" s="223">
        <v>0.39192349894670997</v>
      </c>
      <c r="K14" s="595" t="s">
        <v>472</v>
      </c>
      <c r="L14" s="596"/>
      <c r="N14" s="180"/>
      <c r="O14" s="180"/>
      <c r="P14" s="443"/>
      <c r="Q14" s="443"/>
      <c r="R14" s="180"/>
    </row>
    <row r="15" spans="1:18" ht="15.75" customHeight="1">
      <c r="A15" s="601"/>
      <c r="B15" s="602"/>
      <c r="C15" s="206" t="s">
        <v>208</v>
      </c>
      <c r="D15" s="597" t="s">
        <v>534</v>
      </c>
      <c r="E15" s="597"/>
      <c r="F15" s="597"/>
      <c r="G15" s="203">
        <v>5</v>
      </c>
      <c r="H15" s="207">
        <v>2663.1570810760809</v>
      </c>
      <c r="I15" s="208">
        <v>532.63141621521618</v>
      </c>
      <c r="J15" s="223">
        <v>0.23507216033817713</v>
      </c>
      <c r="K15" s="595" t="s">
        <v>472</v>
      </c>
      <c r="L15" s="596"/>
      <c r="O15" s="180"/>
      <c r="P15" s="443"/>
      <c r="Q15" s="443"/>
      <c r="R15" s="180"/>
    </row>
    <row r="16" spans="1:18" ht="15.75" customHeight="1">
      <c r="A16" s="601"/>
      <c r="B16" s="602"/>
      <c r="C16" s="206" t="s">
        <v>213</v>
      </c>
      <c r="D16" s="597" t="s">
        <v>354</v>
      </c>
      <c r="E16" s="597"/>
      <c r="F16" s="597"/>
      <c r="G16" s="203">
        <v>5</v>
      </c>
      <c r="H16" s="207">
        <v>2954.2612360267531</v>
      </c>
      <c r="I16" s="208">
        <v>590.85224720535075</v>
      </c>
      <c r="J16" s="223"/>
      <c r="K16" s="595" t="s">
        <v>472</v>
      </c>
      <c r="L16" s="596"/>
      <c r="M16" s="191"/>
      <c r="N16" s="180"/>
      <c r="O16" s="180"/>
      <c r="P16" s="443"/>
      <c r="Q16" s="443"/>
      <c r="R16" s="180"/>
    </row>
    <row r="17" spans="1:18" ht="15.75" customHeight="1">
      <c r="A17" s="601"/>
      <c r="B17" s="602"/>
      <c r="C17" s="206" t="s">
        <v>214</v>
      </c>
      <c r="D17" s="597" t="s">
        <v>616</v>
      </c>
      <c r="E17" s="597"/>
      <c r="F17" s="597"/>
      <c r="G17" s="203">
        <v>5</v>
      </c>
      <c r="H17" s="207">
        <v>2954.8940701060151</v>
      </c>
      <c r="I17" s="208">
        <v>590.97881402120299</v>
      </c>
      <c r="J17" s="223">
        <v>25.068832644040072</v>
      </c>
      <c r="K17" s="605" t="s">
        <v>657</v>
      </c>
      <c r="L17" s="597"/>
      <c r="M17" s="191"/>
      <c r="N17" s="180"/>
      <c r="O17" s="180"/>
      <c r="P17" s="443"/>
      <c r="Q17" s="443"/>
      <c r="R17" s="180"/>
    </row>
    <row r="18" spans="1:18" s="201" customFormat="1" ht="15.75" customHeight="1">
      <c r="A18" s="599" t="s">
        <v>190</v>
      </c>
      <c r="B18" s="599"/>
      <c r="C18" s="209" t="s">
        <v>47</v>
      </c>
      <c r="D18" s="599" t="s">
        <v>12</v>
      </c>
      <c r="E18" s="600"/>
      <c r="F18" s="600"/>
      <c r="G18" s="209" t="s">
        <v>46</v>
      </c>
      <c r="H18" s="209" t="s">
        <v>394</v>
      </c>
      <c r="I18" s="209" t="s">
        <v>395</v>
      </c>
      <c r="J18" s="162" t="s">
        <v>340</v>
      </c>
      <c r="K18" s="599" t="s">
        <v>51</v>
      </c>
      <c r="L18" s="600"/>
      <c r="M18" s="210"/>
      <c r="N18" s="180"/>
      <c r="O18" s="180"/>
      <c r="P18" s="443"/>
      <c r="Q18" s="443"/>
      <c r="R18" s="180"/>
    </row>
    <row r="19" spans="1:18" ht="15.75" customHeight="1">
      <c r="A19" s="601">
        <v>2</v>
      </c>
      <c r="B19" s="602" t="s">
        <v>157</v>
      </c>
      <c r="C19" s="202">
        <v>1</v>
      </c>
      <c r="D19" s="598" t="s">
        <v>481</v>
      </c>
      <c r="E19" s="597"/>
      <c r="F19" s="597"/>
      <c r="G19" s="202">
        <v>6</v>
      </c>
      <c r="H19" s="204">
        <v>2319.6039674427343</v>
      </c>
      <c r="I19" s="205">
        <v>386.60066124045579</v>
      </c>
      <c r="J19" s="223">
        <v>0.46461235509877952</v>
      </c>
      <c r="K19" s="595" t="s">
        <v>472</v>
      </c>
      <c r="L19" s="596"/>
      <c r="M19" s="191"/>
      <c r="N19" s="180"/>
      <c r="O19" s="180"/>
      <c r="P19" s="443"/>
      <c r="Q19" s="443"/>
      <c r="R19" s="180"/>
    </row>
    <row r="20" spans="1:18" ht="15.75" customHeight="1">
      <c r="A20" s="601"/>
      <c r="B20" s="602"/>
      <c r="C20" s="202">
        <v>2</v>
      </c>
      <c r="D20" s="598" t="s">
        <v>488</v>
      </c>
      <c r="E20" s="597"/>
      <c r="F20" s="597"/>
      <c r="G20" s="202">
        <v>6</v>
      </c>
      <c r="H20" s="204">
        <v>2319.2605995557547</v>
      </c>
      <c r="I20" s="205">
        <v>386.5434332592925</v>
      </c>
      <c r="J20" s="223">
        <v>0.46689421260873587</v>
      </c>
      <c r="K20" s="595" t="s">
        <v>472</v>
      </c>
      <c r="L20" s="596"/>
      <c r="M20" s="191"/>
      <c r="N20" s="180"/>
      <c r="O20" s="180"/>
      <c r="P20" s="443"/>
      <c r="Q20" s="443"/>
      <c r="R20" s="180"/>
    </row>
    <row r="21" spans="1:18" ht="15.75" customHeight="1">
      <c r="A21" s="601"/>
      <c r="B21" s="602"/>
      <c r="C21" s="202">
        <v>3</v>
      </c>
      <c r="D21" s="598" t="s">
        <v>490</v>
      </c>
      <c r="E21" s="597"/>
      <c r="F21" s="597"/>
      <c r="G21" s="202">
        <v>6</v>
      </c>
      <c r="H21" s="204">
        <v>2258.3818479964661</v>
      </c>
      <c r="I21" s="205">
        <v>376.39697466607765</v>
      </c>
      <c r="J21" s="223">
        <v>0.29065714245007257</v>
      </c>
      <c r="K21" s="595" t="s">
        <v>472</v>
      </c>
      <c r="L21" s="596"/>
      <c r="M21" s="191"/>
      <c r="N21" s="180"/>
      <c r="O21" s="180"/>
      <c r="P21" s="443"/>
      <c r="Q21" s="443"/>
      <c r="R21" s="180"/>
    </row>
    <row r="22" spans="1:18" ht="15.75" customHeight="1">
      <c r="A22" s="601"/>
      <c r="B22" s="602"/>
      <c r="C22" s="202">
        <v>4</v>
      </c>
      <c r="D22" s="598" t="s">
        <v>356</v>
      </c>
      <c r="E22" s="597"/>
      <c r="F22" s="597"/>
      <c r="G22" s="202">
        <v>11</v>
      </c>
      <c r="H22" s="204">
        <v>3171.00351288926</v>
      </c>
      <c r="I22" s="205">
        <v>288.27304662629638</v>
      </c>
      <c r="J22" s="223">
        <v>1.0982445995149419</v>
      </c>
      <c r="K22" s="595" t="s">
        <v>472</v>
      </c>
      <c r="L22" s="596"/>
      <c r="M22" s="191"/>
      <c r="N22" s="180"/>
      <c r="O22" s="180"/>
      <c r="P22" s="443"/>
      <c r="Q22" s="443"/>
      <c r="R22" s="180"/>
    </row>
    <row r="23" spans="1:18" ht="15.75" customHeight="1">
      <c r="A23" s="601"/>
      <c r="B23" s="602"/>
      <c r="C23" s="202">
        <v>5</v>
      </c>
      <c r="D23" s="598" t="s">
        <v>359</v>
      </c>
      <c r="E23" s="597"/>
      <c r="F23" s="597"/>
      <c r="G23" s="202">
        <v>11</v>
      </c>
      <c r="H23" s="204">
        <v>3169.5739929455344</v>
      </c>
      <c r="I23" s="205">
        <v>288.14309026777585</v>
      </c>
      <c r="J23" s="223">
        <v>0.96698399360258236</v>
      </c>
      <c r="K23" s="595" t="s">
        <v>472</v>
      </c>
      <c r="L23" s="596"/>
      <c r="M23" s="191"/>
      <c r="N23" s="180"/>
      <c r="O23" s="180"/>
      <c r="P23" s="443"/>
      <c r="Q23" s="443"/>
      <c r="R23" s="180"/>
    </row>
    <row r="24" spans="1:18" ht="15.75" customHeight="1">
      <c r="A24" s="601"/>
      <c r="B24" s="602"/>
      <c r="C24" s="206" t="s">
        <v>207</v>
      </c>
      <c r="D24" s="598" t="s">
        <v>358</v>
      </c>
      <c r="E24" s="597"/>
      <c r="F24" s="597"/>
      <c r="G24" s="202">
        <v>12</v>
      </c>
      <c r="H24" s="204">
        <v>3134.8143445815936</v>
      </c>
      <c r="I24" s="205">
        <v>261.2345287151328</v>
      </c>
      <c r="J24" s="223">
        <v>0.65987629591955965</v>
      </c>
      <c r="K24" s="595" t="s">
        <v>472</v>
      </c>
      <c r="L24" s="596"/>
      <c r="M24" s="191"/>
      <c r="N24" s="180"/>
      <c r="O24" s="180"/>
      <c r="P24" s="443"/>
      <c r="Q24" s="443"/>
      <c r="R24" s="180"/>
    </row>
    <row r="25" spans="1:18" ht="15.75" customHeight="1">
      <c r="A25" s="601"/>
      <c r="B25" s="602"/>
      <c r="C25" s="206" t="s">
        <v>212</v>
      </c>
      <c r="D25" s="598" t="s">
        <v>361</v>
      </c>
      <c r="E25" s="597"/>
      <c r="F25" s="597"/>
      <c r="G25" s="202">
        <v>12</v>
      </c>
      <c r="H25" s="204">
        <v>3134.8512845685168</v>
      </c>
      <c r="I25" s="205">
        <v>261.23760704737634</v>
      </c>
      <c r="J25" s="223">
        <v>0.83537959309177268</v>
      </c>
      <c r="K25" s="595" t="s">
        <v>472</v>
      </c>
      <c r="L25" s="596"/>
      <c r="M25" s="191"/>
      <c r="N25" s="180"/>
      <c r="O25" s="180"/>
      <c r="P25" s="443"/>
      <c r="Q25" s="443"/>
      <c r="R25" s="180"/>
    </row>
    <row r="26" spans="1:18" ht="15.75" customHeight="1">
      <c r="A26" s="601"/>
      <c r="B26" s="602"/>
      <c r="C26" s="206" t="s">
        <v>208</v>
      </c>
      <c r="D26" s="598" t="s">
        <v>360</v>
      </c>
      <c r="E26" s="597"/>
      <c r="F26" s="597"/>
      <c r="G26" s="202">
        <v>12</v>
      </c>
      <c r="H26" s="204">
        <v>3134.9190788818037</v>
      </c>
      <c r="I26" s="205">
        <v>261.24325657348356</v>
      </c>
      <c r="J26" s="223">
        <v>0.87995415214913919</v>
      </c>
      <c r="K26" s="595" t="s">
        <v>472</v>
      </c>
      <c r="L26" s="596"/>
      <c r="M26" s="191"/>
      <c r="N26" s="180"/>
      <c r="O26" s="180"/>
      <c r="P26" s="443"/>
      <c r="Q26" s="443"/>
      <c r="R26" s="180"/>
    </row>
    <row r="27" spans="1:18" ht="15.75" customHeight="1">
      <c r="A27" s="601"/>
      <c r="B27" s="602"/>
      <c r="C27" s="206" t="s">
        <v>213</v>
      </c>
      <c r="D27" s="598" t="s">
        <v>357</v>
      </c>
      <c r="E27" s="597"/>
      <c r="F27" s="597"/>
      <c r="G27" s="202">
        <v>12</v>
      </c>
      <c r="H27" s="204">
        <v>3135.5174846663926</v>
      </c>
      <c r="I27" s="205">
        <v>261.29312372219943</v>
      </c>
      <c r="J27" s="223">
        <v>0.91064319956979034</v>
      </c>
      <c r="K27" s="595" t="s">
        <v>472</v>
      </c>
      <c r="L27" s="596"/>
      <c r="M27" s="191"/>
      <c r="N27" s="180"/>
      <c r="O27" s="180"/>
      <c r="P27" s="443"/>
      <c r="Q27" s="443"/>
      <c r="R27" s="180"/>
    </row>
    <row r="28" spans="1:18" ht="15.75" customHeight="1">
      <c r="A28" s="601"/>
      <c r="B28" s="602"/>
      <c r="C28" s="206" t="s">
        <v>214</v>
      </c>
      <c r="D28" s="598"/>
      <c r="E28" s="597"/>
      <c r="F28" s="597"/>
      <c r="G28" s="202"/>
      <c r="H28" s="204"/>
      <c r="I28" s="205"/>
      <c r="J28" s="223"/>
      <c r="K28" s="598"/>
      <c r="L28" s="597"/>
      <c r="M28" s="191"/>
      <c r="O28" s="180"/>
      <c r="P28" s="443"/>
      <c r="Q28" s="443"/>
      <c r="R28" s="180"/>
    </row>
    <row r="29" spans="1:18" ht="15.75" customHeight="1">
      <c r="A29" s="603" t="s">
        <v>702</v>
      </c>
      <c r="B29" s="603"/>
      <c r="C29" s="603"/>
      <c r="D29" s="603"/>
      <c r="E29" s="603"/>
      <c r="F29" s="603"/>
      <c r="G29" s="603"/>
      <c r="H29" s="603"/>
      <c r="I29" s="603"/>
      <c r="J29" s="603"/>
      <c r="K29" s="603"/>
      <c r="L29" s="603"/>
      <c r="M29" s="191"/>
    </row>
    <row r="30" spans="1:18" s="192" customFormat="1" ht="15.75" customHeight="1">
      <c r="A30" s="603"/>
      <c r="B30" s="603"/>
      <c r="C30" s="603"/>
      <c r="D30" s="603"/>
      <c r="E30" s="603"/>
      <c r="F30" s="603"/>
      <c r="G30" s="603"/>
      <c r="H30" s="603"/>
      <c r="I30" s="603"/>
      <c r="J30" s="603"/>
      <c r="K30" s="603"/>
      <c r="L30" s="603"/>
    </row>
    <row r="31" spans="1:18" s="180" customFormat="1" ht="15.75" customHeight="1">
      <c r="A31" s="601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50000000000001" customHeight="1">
      <c r="A32" s="601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02" t="s">
        <v>190</v>
      </c>
      <c r="B33" s="602"/>
      <c r="C33" s="162" t="s">
        <v>47</v>
      </c>
      <c r="D33" s="602" t="s">
        <v>12</v>
      </c>
      <c r="E33" s="604"/>
      <c r="F33" s="604"/>
      <c r="G33" s="162" t="s">
        <v>46</v>
      </c>
      <c r="H33" s="162" t="s">
        <v>394</v>
      </c>
      <c r="I33" s="162" t="s">
        <v>395</v>
      </c>
      <c r="J33" s="162" t="s">
        <v>339</v>
      </c>
      <c r="K33" s="602" t="s">
        <v>51</v>
      </c>
      <c r="L33" s="604"/>
      <c r="M33" s="195"/>
    </row>
    <row r="34" spans="1:13" ht="15.75" customHeight="1">
      <c r="A34" s="601">
        <v>1</v>
      </c>
      <c r="B34" s="602" t="s">
        <v>396</v>
      </c>
      <c r="C34" s="202">
        <v>1</v>
      </c>
      <c r="D34" s="598" t="s">
        <v>410</v>
      </c>
      <c r="E34" s="597"/>
      <c r="F34" s="597"/>
      <c r="G34" s="202">
        <v>3</v>
      </c>
      <c r="H34" s="204">
        <v>3136.7304194586654</v>
      </c>
      <c r="I34" s="205">
        <v>1045.5768064862218</v>
      </c>
      <c r="J34" s="223">
        <f>I34-I8</f>
        <v>1.3210898009629091</v>
      </c>
      <c r="K34" s="595"/>
      <c r="L34" s="596"/>
    </row>
    <row r="35" spans="1:13" ht="15.75" customHeight="1">
      <c r="A35" s="601"/>
      <c r="B35" s="602"/>
      <c r="C35" s="202">
        <v>2</v>
      </c>
      <c r="D35" s="598" t="s">
        <v>419</v>
      </c>
      <c r="E35" s="597"/>
      <c r="F35" s="597"/>
      <c r="G35" s="202">
        <v>3</v>
      </c>
      <c r="H35" s="204">
        <v>3136.3145953318713</v>
      </c>
      <c r="I35" s="205">
        <v>1045.4381984439572</v>
      </c>
      <c r="J35" s="223">
        <f>I35-I9</f>
        <v>1.4807400316135499</v>
      </c>
      <c r="K35" s="595"/>
      <c r="L35" s="596"/>
    </row>
    <row r="36" spans="1:13" ht="15.75" customHeight="1">
      <c r="A36" s="601"/>
      <c r="B36" s="602"/>
      <c r="C36" s="202">
        <v>3</v>
      </c>
      <c r="D36" s="598" t="s">
        <v>415</v>
      </c>
      <c r="E36" s="597"/>
      <c r="F36" s="597"/>
      <c r="G36" s="202">
        <v>3</v>
      </c>
      <c r="H36" s="204">
        <v>3131.228734006344</v>
      </c>
      <c r="I36" s="205">
        <v>1043.7429113354481</v>
      </c>
      <c r="J36" s="223">
        <f>I36-I12</f>
        <v>1.5700943802551137</v>
      </c>
      <c r="K36" s="595"/>
      <c r="L36" s="596"/>
    </row>
    <row r="37" spans="1:13" ht="15.75" customHeight="1">
      <c r="A37" s="601"/>
      <c r="B37" s="602"/>
      <c r="C37" s="202">
        <v>4</v>
      </c>
      <c r="D37" s="598" t="s">
        <v>408</v>
      </c>
      <c r="E37" s="597"/>
      <c r="F37" s="597"/>
      <c r="G37" s="202">
        <v>3</v>
      </c>
      <c r="H37" s="204">
        <v>3130.9454853595535</v>
      </c>
      <c r="I37" s="205">
        <v>1043.6484951198511</v>
      </c>
      <c r="J37" s="223">
        <f>I37-I11</f>
        <v>0.92001399328705702</v>
      </c>
      <c r="K37" s="595"/>
      <c r="L37" s="596"/>
    </row>
    <row r="38" spans="1:13" ht="15.75" customHeight="1">
      <c r="A38" s="601"/>
      <c r="B38" s="602"/>
      <c r="C38" s="202">
        <v>5</v>
      </c>
      <c r="D38" s="598" t="s">
        <v>411</v>
      </c>
      <c r="E38" s="597"/>
      <c r="F38" s="597"/>
      <c r="G38" s="202">
        <v>3</v>
      </c>
      <c r="H38" s="204">
        <v>3130.3104415519556</v>
      </c>
      <c r="I38" s="205">
        <v>1043.4368138506518</v>
      </c>
      <c r="J38" s="223"/>
      <c r="K38" s="595"/>
      <c r="L38" s="596"/>
    </row>
    <row r="39" spans="1:13" ht="15.75" customHeight="1">
      <c r="A39" s="601"/>
      <c r="B39" s="602"/>
      <c r="C39" s="206" t="s">
        <v>207</v>
      </c>
      <c r="D39" s="597" t="s">
        <v>495</v>
      </c>
      <c r="E39" s="597"/>
      <c r="F39" s="597"/>
      <c r="G39" s="203">
        <v>12</v>
      </c>
      <c r="H39" s="207">
        <v>3125.3695994828263</v>
      </c>
      <c r="I39" s="208">
        <v>260.44746662356886</v>
      </c>
      <c r="J39" s="223">
        <f>I39-I13</f>
        <v>0.18850527343198564</v>
      </c>
      <c r="K39" s="595"/>
      <c r="L39" s="596"/>
    </row>
    <row r="40" spans="1:13" ht="15.75" customHeight="1">
      <c r="A40" s="601"/>
      <c r="B40" s="602"/>
      <c r="C40" s="206" t="s">
        <v>212</v>
      </c>
      <c r="D40" s="597" t="s">
        <v>489</v>
      </c>
      <c r="E40" s="597"/>
      <c r="F40" s="597"/>
      <c r="G40" s="203">
        <v>12</v>
      </c>
      <c r="H40" s="207">
        <v>3125.4329316798535</v>
      </c>
      <c r="I40" s="208">
        <v>260.45274430665444</v>
      </c>
      <c r="J40" s="223">
        <f>I40-I14</f>
        <v>0.15882206219953332</v>
      </c>
      <c r="K40" s="595"/>
      <c r="L40" s="596"/>
    </row>
    <row r="41" spans="1:13" ht="15.75" customHeight="1">
      <c r="A41" s="601"/>
      <c r="B41" s="602"/>
      <c r="C41" s="206" t="s">
        <v>208</v>
      </c>
      <c r="D41" s="597" t="s">
        <v>534</v>
      </c>
      <c r="E41" s="597"/>
      <c r="F41" s="597"/>
      <c r="G41" s="203">
        <v>5</v>
      </c>
      <c r="H41" s="207">
        <v>2665.0578901669119</v>
      </c>
      <c r="I41" s="208">
        <v>533.01157803338242</v>
      </c>
      <c r="J41" s="223">
        <f>I41-I15</f>
        <v>0.38016181816624339</v>
      </c>
      <c r="K41" s="595"/>
      <c r="L41" s="596"/>
    </row>
    <row r="42" spans="1:13" ht="15.75" customHeight="1">
      <c r="A42" s="601"/>
      <c r="B42" s="602"/>
      <c r="C42" s="206" t="s">
        <v>213</v>
      </c>
      <c r="D42" s="597" t="s">
        <v>354</v>
      </c>
      <c r="E42" s="597"/>
      <c r="F42" s="597"/>
      <c r="G42" s="203">
        <v>5</v>
      </c>
      <c r="H42" s="207">
        <v>2955.2883229916633</v>
      </c>
      <c r="I42" s="208">
        <v>591.05766459833274</v>
      </c>
      <c r="J42" s="223">
        <f>I42-I16</f>
        <v>0.20541739298198536</v>
      </c>
      <c r="K42" s="595"/>
      <c r="L42" s="596"/>
      <c r="M42" s="191"/>
    </row>
    <row r="43" spans="1:13" ht="15.75" customHeight="1">
      <c r="A43" s="601"/>
      <c r="B43" s="602"/>
      <c r="C43" s="206" t="s">
        <v>214</v>
      </c>
      <c r="D43" s="597" t="s">
        <v>232</v>
      </c>
      <c r="E43" s="597"/>
      <c r="F43" s="597"/>
      <c r="G43" s="203">
        <v>5</v>
      </c>
      <c r="H43" s="207">
        <v>2956.5203446313317</v>
      </c>
      <c r="I43" s="208">
        <v>591.30406892626627</v>
      </c>
      <c r="J43" s="223"/>
      <c r="K43" s="595"/>
      <c r="L43" s="596"/>
      <c r="M43" s="191"/>
    </row>
    <row r="44" spans="1:13" s="201" customFormat="1" ht="15.75" customHeight="1">
      <c r="A44" s="599" t="s">
        <v>190</v>
      </c>
      <c r="B44" s="599"/>
      <c r="C44" s="209" t="s">
        <v>47</v>
      </c>
      <c r="D44" s="599" t="s">
        <v>12</v>
      </c>
      <c r="E44" s="600"/>
      <c r="F44" s="600"/>
      <c r="G44" s="209" t="s">
        <v>46</v>
      </c>
      <c r="H44" s="209" t="s">
        <v>394</v>
      </c>
      <c r="I44" s="209" t="s">
        <v>395</v>
      </c>
      <c r="J44" s="162" t="s">
        <v>339</v>
      </c>
      <c r="K44" s="599" t="s">
        <v>51</v>
      </c>
      <c r="L44" s="600"/>
      <c r="M44" s="210"/>
    </row>
    <row r="45" spans="1:13" ht="15.75" customHeight="1">
      <c r="A45" s="601">
        <v>2</v>
      </c>
      <c r="B45" s="602" t="s">
        <v>157</v>
      </c>
      <c r="C45" s="202">
        <v>1</v>
      </c>
      <c r="D45" s="598" t="s">
        <v>481</v>
      </c>
      <c r="E45" s="597"/>
      <c r="F45" s="597"/>
      <c r="G45" s="202">
        <v>6</v>
      </c>
      <c r="H45" s="204">
        <v>2322.9124764783364</v>
      </c>
      <c r="I45" s="205">
        <v>387.15207941305601</v>
      </c>
      <c r="J45" s="223">
        <f>I45-I19</f>
        <v>0.55141817260022208</v>
      </c>
      <c r="K45" s="595"/>
      <c r="L45" s="596"/>
      <c r="M45" s="191"/>
    </row>
    <row r="46" spans="1:13" ht="15.75" customHeight="1">
      <c r="A46" s="601"/>
      <c r="B46" s="602"/>
      <c r="C46" s="202">
        <v>2</v>
      </c>
      <c r="D46" s="598" t="s">
        <v>488</v>
      </c>
      <c r="E46" s="597"/>
      <c r="F46" s="597"/>
      <c r="G46" s="202">
        <v>6</v>
      </c>
      <c r="H46" s="204">
        <v>2322.7348147065181</v>
      </c>
      <c r="I46" s="205">
        <v>387.1224691177531</v>
      </c>
      <c r="J46" s="223">
        <f>I46-I20</f>
        <v>0.57903585846059968</v>
      </c>
      <c r="K46" s="595"/>
      <c r="L46" s="596"/>
      <c r="M46" s="191"/>
    </row>
    <row r="47" spans="1:13" ht="15.75" customHeight="1">
      <c r="A47" s="601"/>
      <c r="B47" s="602"/>
      <c r="C47" s="202">
        <v>3</v>
      </c>
      <c r="D47" s="598" t="s">
        <v>490</v>
      </c>
      <c r="E47" s="597"/>
      <c r="F47" s="597"/>
      <c r="G47" s="202">
        <v>6</v>
      </c>
      <c r="H47" s="204">
        <v>2263.8111645202716</v>
      </c>
      <c r="I47" s="205">
        <v>377.30186075337861</v>
      </c>
      <c r="J47" s="223">
        <f>I47-I21</f>
        <v>0.90488608730095166</v>
      </c>
      <c r="K47" s="595"/>
      <c r="L47" s="596"/>
      <c r="M47" s="191"/>
    </row>
    <row r="48" spans="1:13" ht="15.75" customHeight="1">
      <c r="A48" s="601"/>
      <c r="B48" s="602"/>
      <c r="C48" s="202">
        <v>4</v>
      </c>
      <c r="D48" s="598" t="s">
        <v>356</v>
      </c>
      <c r="E48" s="597"/>
      <c r="F48" s="597"/>
      <c r="G48" s="202">
        <v>11</v>
      </c>
      <c r="H48" s="204">
        <v>3172.1920902997326</v>
      </c>
      <c r="I48" s="205">
        <v>288.38109911815752</v>
      </c>
      <c r="J48" s="223">
        <f>I48-I22</f>
        <v>0.10805249186114452</v>
      </c>
      <c r="K48" s="595"/>
      <c r="L48" s="596"/>
      <c r="M48" s="191"/>
    </row>
    <row r="49" spans="1:18" ht="15.75" customHeight="1">
      <c r="A49" s="601"/>
      <c r="B49" s="602"/>
      <c r="C49" s="202">
        <v>5</v>
      </c>
      <c r="D49" s="598" t="s">
        <v>359</v>
      </c>
      <c r="E49" s="597"/>
      <c r="F49" s="597"/>
      <c r="G49" s="202">
        <v>11</v>
      </c>
      <c r="H49" s="204">
        <v>3171.4237873088382</v>
      </c>
      <c r="I49" s="205">
        <v>288.31125339171257</v>
      </c>
      <c r="J49" s="223">
        <f>I49-I23</f>
        <v>0.16816312393672206</v>
      </c>
      <c r="K49" s="595"/>
      <c r="L49" s="596"/>
      <c r="M49" s="191"/>
    </row>
    <row r="50" spans="1:18" ht="15.75" customHeight="1">
      <c r="A50" s="601"/>
      <c r="B50" s="602"/>
      <c r="C50" s="206" t="s">
        <v>207</v>
      </c>
      <c r="D50" s="598" t="s">
        <v>361</v>
      </c>
      <c r="E50" s="597"/>
      <c r="F50" s="597"/>
      <c r="G50" s="202">
        <v>12</v>
      </c>
      <c r="H50" s="204">
        <v>3138.2059360020403</v>
      </c>
      <c r="I50" s="205">
        <v>261.51716133350334</v>
      </c>
      <c r="J50" s="223">
        <f>I50-I25</f>
        <v>0.27955428612699507</v>
      </c>
      <c r="K50" s="595"/>
      <c r="L50" s="596"/>
      <c r="M50" s="191"/>
    </row>
    <row r="51" spans="1:18" ht="15.75" customHeight="1">
      <c r="A51" s="601"/>
      <c r="B51" s="602"/>
      <c r="C51" s="206" t="s">
        <v>212</v>
      </c>
      <c r="D51" s="598" t="s">
        <v>358</v>
      </c>
      <c r="E51" s="597"/>
      <c r="F51" s="597"/>
      <c r="G51" s="202">
        <v>12</v>
      </c>
      <c r="H51" s="204">
        <v>3138.614644804506</v>
      </c>
      <c r="I51" s="205">
        <v>261.55122040037548</v>
      </c>
      <c r="J51" s="223">
        <f>I51-I24</f>
        <v>0.31669168524268798</v>
      </c>
      <c r="K51" s="595"/>
      <c r="L51" s="596"/>
      <c r="M51" s="191"/>
    </row>
    <row r="52" spans="1:18" ht="15.75" customHeight="1">
      <c r="A52" s="601"/>
      <c r="B52" s="602"/>
      <c r="C52" s="206" t="s">
        <v>208</v>
      </c>
      <c r="D52" s="598" t="s">
        <v>360</v>
      </c>
      <c r="E52" s="597"/>
      <c r="F52" s="597"/>
      <c r="G52" s="202">
        <v>12</v>
      </c>
      <c r="H52" s="204">
        <v>3139.2834714278238</v>
      </c>
      <c r="I52" s="205">
        <v>261.60695595231869</v>
      </c>
      <c r="J52" s="223">
        <f>I52-I26</f>
        <v>0.36369937883512193</v>
      </c>
      <c r="K52" s="595"/>
      <c r="L52" s="596"/>
      <c r="M52" s="191"/>
    </row>
    <row r="53" spans="1:18" ht="15.75" customHeight="1">
      <c r="A53" s="601"/>
      <c r="B53" s="602"/>
      <c r="C53" s="206" t="s">
        <v>213</v>
      </c>
      <c r="D53" s="598" t="s">
        <v>357</v>
      </c>
      <c r="E53" s="597"/>
      <c r="F53" s="597"/>
      <c r="G53" s="202">
        <v>12</v>
      </c>
      <c r="H53" s="204">
        <v>3139.3058684648645</v>
      </c>
      <c r="I53" s="205">
        <v>261.60882237207204</v>
      </c>
      <c r="J53" s="223">
        <f>I53-I27</f>
        <v>0.31569864987261553</v>
      </c>
      <c r="K53" s="595"/>
      <c r="L53" s="596"/>
      <c r="M53" s="191"/>
    </row>
    <row r="54" spans="1:18" ht="15.75" customHeight="1">
      <c r="A54" s="601"/>
      <c r="B54" s="602"/>
      <c r="C54" s="206" t="s">
        <v>214</v>
      </c>
      <c r="D54" s="598"/>
      <c r="E54" s="597"/>
      <c r="F54" s="597"/>
      <c r="G54" s="202"/>
      <c r="H54" s="204"/>
      <c r="I54" s="205"/>
      <c r="J54" s="223"/>
      <c r="K54" s="595"/>
      <c r="L54" s="596"/>
      <c r="M54" s="191"/>
    </row>
    <row r="55" spans="1:18" ht="15.75" customHeight="1">
      <c r="A55" s="603" t="s">
        <v>705</v>
      </c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191"/>
    </row>
    <row r="56" spans="1:18" s="192" customFormat="1" ht="15.75" customHeight="1">
      <c r="A56" s="603"/>
      <c r="B56" s="603"/>
      <c r="C56" s="603"/>
      <c r="D56" s="603"/>
      <c r="E56" s="603"/>
      <c r="F56" s="603"/>
      <c r="G56" s="603"/>
      <c r="H56" s="603"/>
      <c r="I56" s="603"/>
      <c r="J56" s="603"/>
      <c r="K56" s="603"/>
      <c r="L56" s="603"/>
    </row>
    <row r="57" spans="1:18" s="180" customFormat="1" ht="15.75" customHeight="1">
      <c r="A57" s="601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01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02" t="s">
        <v>190</v>
      </c>
      <c r="B59" s="602"/>
      <c r="C59" s="162" t="s">
        <v>47</v>
      </c>
      <c r="D59" s="602" t="s">
        <v>12</v>
      </c>
      <c r="E59" s="604"/>
      <c r="F59" s="604"/>
      <c r="G59" s="162" t="s">
        <v>46</v>
      </c>
      <c r="H59" s="162" t="s">
        <v>394</v>
      </c>
      <c r="I59" s="162" t="s">
        <v>395</v>
      </c>
      <c r="J59" s="162" t="s">
        <v>339</v>
      </c>
      <c r="K59" s="602" t="s">
        <v>51</v>
      </c>
      <c r="L59" s="604"/>
      <c r="M59" s="195"/>
      <c r="P59" s="443"/>
      <c r="Q59" s="443"/>
    </row>
    <row r="60" spans="1:18" ht="15.75" customHeight="1">
      <c r="A60" s="601">
        <v>1</v>
      </c>
      <c r="B60" s="602" t="s">
        <v>396</v>
      </c>
      <c r="C60" s="202">
        <v>1</v>
      </c>
      <c r="D60" s="598"/>
      <c r="E60" s="597"/>
      <c r="F60" s="597"/>
      <c r="G60" s="202"/>
      <c r="H60" s="204"/>
      <c r="I60" s="205"/>
      <c r="J60" s="223">
        <f>I60-I34</f>
        <v>-1045.5768064862218</v>
      </c>
      <c r="K60" s="595"/>
      <c r="L60" s="596"/>
      <c r="N60" s="180"/>
      <c r="O60" s="180"/>
      <c r="P60" s="443"/>
      <c r="Q60" s="443"/>
      <c r="R60" s="180"/>
    </row>
    <row r="61" spans="1:18" ht="15.75" customHeight="1">
      <c r="A61" s="601"/>
      <c r="B61" s="602"/>
      <c r="C61" s="202">
        <v>2</v>
      </c>
      <c r="D61" s="598"/>
      <c r="E61" s="597"/>
      <c r="F61" s="597"/>
      <c r="G61" s="202"/>
      <c r="H61" s="204"/>
      <c r="I61" s="205"/>
      <c r="J61" s="223">
        <f>I61-I35</f>
        <v>-1045.4381984439572</v>
      </c>
      <c r="K61" s="595"/>
      <c r="L61" s="596"/>
      <c r="N61" s="180"/>
      <c r="O61" s="180"/>
      <c r="P61" s="443"/>
      <c r="Q61" s="443"/>
      <c r="R61" s="180"/>
    </row>
    <row r="62" spans="1:18" ht="15.75" customHeight="1">
      <c r="A62" s="601"/>
      <c r="B62" s="602"/>
      <c r="C62" s="202">
        <v>3</v>
      </c>
      <c r="D62" s="598"/>
      <c r="E62" s="597"/>
      <c r="F62" s="597"/>
      <c r="G62" s="202"/>
      <c r="H62" s="204"/>
      <c r="I62" s="205"/>
      <c r="J62" s="223">
        <f>I62-I37</f>
        <v>-1043.6484951198511</v>
      </c>
      <c r="K62" s="595"/>
      <c r="L62" s="596"/>
      <c r="N62" s="180"/>
      <c r="O62" s="180"/>
      <c r="P62" s="443"/>
      <c r="Q62" s="443"/>
      <c r="R62" s="180"/>
    </row>
    <row r="63" spans="1:18" ht="15.75" customHeight="1">
      <c r="A63" s="601"/>
      <c r="B63" s="602"/>
      <c r="C63" s="202">
        <v>4</v>
      </c>
      <c r="D63" s="598"/>
      <c r="E63" s="597"/>
      <c r="F63" s="597"/>
      <c r="G63" s="202"/>
      <c r="H63" s="204"/>
      <c r="I63" s="205"/>
      <c r="J63" s="223">
        <f>I63-I36</f>
        <v>-1043.7429113354481</v>
      </c>
      <c r="K63" s="595"/>
      <c r="L63" s="596"/>
      <c r="N63" s="180"/>
      <c r="O63" s="180"/>
      <c r="P63" s="443"/>
      <c r="Q63" s="443"/>
      <c r="R63" s="180"/>
    </row>
    <row r="64" spans="1:18" ht="15.75" customHeight="1">
      <c r="A64" s="601"/>
      <c r="B64" s="602"/>
      <c r="C64" s="202">
        <v>5</v>
      </c>
      <c r="D64" s="598"/>
      <c r="E64" s="597"/>
      <c r="F64" s="597"/>
      <c r="G64" s="202"/>
      <c r="H64" s="204"/>
      <c r="I64" s="205"/>
      <c r="J64" s="223"/>
      <c r="K64" s="595"/>
      <c r="L64" s="596"/>
      <c r="N64" s="180"/>
      <c r="O64" s="180"/>
      <c r="P64" s="443"/>
      <c r="Q64" s="443"/>
      <c r="R64" s="180"/>
    </row>
    <row r="65" spans="1:18" ht="15.75" customHeight="1">
      <c r="A65" s="601"/>
      <c r="B65" s="602"/>
      <c r="C65" s="206" t="s">
        <v>207</v>
      </c>
      <c r="D65" s="597"/>
      <c r="E65" s="597"/>
      <c r="F65" s="597"/>
      <c r="G65" s="203"/>
      <c r="H65" s="207"/>
      <c r="I65" s="208"/>
      <c r="J65" s="223">
        <f>I65-I39</f>
        <v>-260.44746662356886</v>
      </c>
      <c r="K65" s="595"/>
      <c r="L65" s="596"/>
      <c r="N65" s="180"/>
      <c r="O65" s="180"/>
      <c r="P65" s="443"/>
      <c r="Q65" s="443"/>
      <c r="R65" s="180"/>
    </row>
    <row r="66" spans="1:18" ht="15.75" customHeight="1">
      <c r="A66" s="601"/>
      <c r="B66" s="602"/>
      <c r="C66" s="206" t="s">
        <v>212</v>
      </c>
      <c r="D66" s="597"/>
      <c r="E66" s="597"/>
      <c r="F66" s="597"/>
      <c r="G66" s="203"/>
      <c r="H66" s="207"/>
      <c r="I66" s="208"/>
      <c r="J66" s="223">
        <f>I66-I40</f>
        <v>-260.45274430665444</v>
      </c>
      <c r="K66" s="595"/>
      <c r="L66" s="596"/>
      <c r="N66" s="180"/>
      <c r="O66" s="180"/>
      <c r="P66" s="443"/>
      <c r="Q66" s="443"/>
      <c r="R66" s="180"/>
    </row>
    <row r="67" spans="1:18" ht="15.75" customHeight="1">
      <c r="A67" s="601"/>
      <c r="B67" s="602"/>
      <c r="C67" s="206" t="s">
        <v>208</v>
      </c>
      <c r="D67" s="597"/>
      <c r="E67" s="597"/>
      <c r="F67" s="597"/>
      <c r="G67" s="203"/>
      <c r="H67" s="207"/>
      <c r="I67" s="208"/>
      <c r="J67" s="223">
        <f>I67-I41</f>
        <v>-533.01157803338242</v>
      </c>
      <c r="K67" s="595"/>
      <c r="L67" s="596"/>
      <c r="O67" s="180"/>
      <c r="P67" s="443"/>
      <c r="Q67" s="443"/>
      <c r="R67" s="180"/>
    </row>
    <row r="68" spans="1:18" ht="15.75" customHeight="1">
      <c r="A68" s="601"/>
      <c r="B68" s="602"/>
      <c r="C68" s="206" t="s">
        <v>213</v>
      </c>
      <c r="D68" s="597"/>
      <c r="E68" s="597"/>
      <c r="F68" s="597"/>
      <c r="G68" s="203"/>
      <c r="H68" s="207"/>
      <c r="I68" s="208"/>
      <c r="J68" s="223">
        <f>I68-I42</f>
        <v>-591.05766459833274</v>
      </c>
      <c r="K68" s="595"/>
      <c r="L68" s="596"/>
      <c r="M68" s="191"/>
      <c r="N68" s="180"/>
      <c r="O68" s="180"/>
      <c r="P68" s="443"/>
      <c r="Q68" s="443"/>
      <c r="R68" s="180"/>
    </row>
    <row r="69" spans="1:18" ht="15.75" customHeight="1">
      <c r="A69" s="601"/>
      <c r="B69" s="602"/>
      <c r="C69" s="206" t="s">
        <v>214</v>
      </c>
      <c r="D69" s="597"/>
      <c r="E69" s="597"/>
      <c r="F69" s="597"/>
      <c r="G69" s="203"/>
      <c r="H69" s="207"/>
      <c r="I69" s="208"/>
      <c r="J69" s="223">
        <f>I69-I43</f>
        <v>-591.30406892626627</v>
      </c>
      <c r="K69" s="595"/>
      <c r="L69" s="596"/>
      <c r="M69" s="191"/>
      <c r="N69" s="180"/>
      <c r="O69" s="180"/>
      <c r="P69" s="443"/>
      <c r="Q69" s="443"/>
      <c r="R69" s="180"/>
    </row>
    <row r="70" spans="1:18" s="201" customFormat="1" ht="15.75" customHeight="1">
      <c r="A70" s="599" t="s">
        <v>190</v>
      </c>
      <c r="B70" s="599"/>
      <c r="C70" s="209" t="s">
        <v>47</v>
      </c>
      <c r="D70" s="599" t="s">
        <v>12</v>
      </c>
      <c r="E70" s="600"/>
      <c r="F70" s="600"/>
      <c r="G70" s="209" t="s">
        <v>46</v>
      </c>
      <c r="H70" s="209" t="s">
        <v>394</v>
      </c>
      <c r="I70" s="209" t="s">
        <v>395</v>
      </c>
      <c r="J70" s="162" t="s">
        <v>339</v>
      </c>
      <c r="K70" s="599" t="s">
        <v>51</v>
      </c>
      <c r="L70" s="600"/>
      <c r="M70" s="210"/>
      <c r="N70" s="180"/>
      <c r="O70" s="180"/>
      <c r="P70" s="443"/>
      <c r="Q70" s="443"/>
      <c r="R70" s="180"/>
    </row>
    <row r="71" spans="1:18" ht="15.75" customHeight="1">
      <c r="A71" s="601">
        <v>2</v>
      </c>
      <c r="B71" s="602" t="s">
        <v>157</v>
      </c>
      <c r="C71" s="202">
        <v>1</v>
      </c>
      <c r="D71" s="598"/>
      <c r="E71" s="597"/>
      <c r="F71" s="597"/>
      <c r="G71" s="202"/>
      <c r="H71" s="204"/>
      <c r="I71" s="205"/>
      <c r="J71" s="223">
        <f t="shared" ref="J71:J77" si="0">I71-I45</f>
        <v>-387.15207941305601</v>
      </c>
      <c r="K71" s="595"/>
      <c r="L71" s="596"/>
      <c r="M71" s="191"/>
      <c r="N71" s="180"/>
      <c r="O71" s="180"/>
      <c r="P71" s="443"/>
      <c r="Q71" s="443"/>
      <c r="R71" s="180"/>
    </row>
    <row r="72" spans="1:18" ht="15.75" customHeight="1">
      <c r="A72" s="601"/>
      <c r="B72" s="602"/>
      <c r="C72" s="202">
        <v>2</v>
      </c>
      <c r="D72" s="598"/>
      <c r="E72" s="597"/>
      <c r="F72" s="597"/>
      <c r="G72" s="202"/>
      <c r="H72" s="204"/>
      <c r="I72" s="205"/>
      <c r="J72" s="223">
        <f t="shared" si="0"/>
        <v>-387.1224691177531</v>
      </c>
      <c r="K72" s="595"/>
      <c r="L72" s="596"/>
      <c r="M72" s="191"/>
      <c r="N72" s="180"/>
      <c r="O72" s="180"/>
      <c r="P72" s="443"/>
      <c r="Q72" s="443"/>
      <c r="R72" s="180"/>
    </row>
    <row r="73" spans="1:18" ht="15.75" customHeight="1">
      <c r="A73" s="601"/>
      <c r="B73" s="602"/>
      <c r="C73" s="202">
        <v>3</v>
      </c>
      <c r="D73" s="598"/>
      <c r="E73" s="597"/>
      <c r="F73" s="597"/>
      <c r="G73" s="202"/>
      <c r="H73" s="204"/>
      <c r="I73" s="205"/>
      <c r="J73" s="223">
        <f t="shared" si="0"/>
        <v>-377.30186075337861</v>
      </c>
      <c r="K73" s="595"/>
      <c r="L73" s="596"/>
      <c r="M73" s="191"/>
      <c r="N73" s="180"/>
      <c r="O73" s="180"/>
      <c r="P73" s="443"/>
      <c r="Q73" s="443"/>
      <c r="R73" s="180"/>
    </row>
    <row r="74" spans="1:18" ht="15.75" customHeight="1">
      <c r="A74" s="601"/>
      <c r="B74" s="602"/>
      <c r="C74" s="202">
        <v>4</v>
      </c>
      <c r="D74" s="598"/>
      <c r="E74" s="597"/>
      <c r="F74" s="597"/>
      <c r="G74" s="202"/>
      <c r="H74" s="204"/>
      <c r="I74" s="205"/>
      <c r="J74" s="223">
        <f t="shared" si="0"/>
        <v>-288.38109911815752</v>
      </c>
      <c r="K74" s="595"/>
      <c r="L74" s="596"/>
      <c r="M74" s="191"/>
      <c r="N74" s="180"/>
      <c r="O74" s="180"/>
      <c r="P74" s="443"/>
      <c r="Q74" s="443"/>
      <c r="R74" s="180"/>
    </row>
    <row r="75" spans="1:18" ht="15.75" customHeight="1">
      <c r="A75" s="601"/>
      <c r="B75" s="602"/>
      <c r="C75" s="202">
        <v>5</v>
      </c>
      <c r="D75" s="598"/>
      <c r="E75" s="597"/>
      <c r="F75" s="597"/>
      <c r="G75" s="202"/>
      <c r="H75" s="204"/>
      <c r="I75" s="205"/>
      <c r="J75" s="223">
        <f t="shared" si="0"/>
        <v>-288.31125339171257</v>
      </c>
      <c r="K75" s="595"/>
      <c r="L75" s="596"/>
      <c r="M75" s="191"/>
      <c r="N75" s="180"/>
      <c r="O75" s="180"/>
      <c r="P75" s="443"/>
      <c r="Q75" s="443"/>
      <c r="R75" s="180"/>
    </row>
    <row r="76" spans="1:18" ht="15.75" customHeight="1">
      <c r="A76" s="601"/>
      <c r="B76" s="602"/>
      <c r="C76" s="206" t="s">
        <v>207</v>
      </c>
      <c r="D76" s="598"/>
      <c r="E76" s="597"/>
      <c r="F76" s="597"/>
      <c r="G76" s="202"/>
      <c r="H76" s="204"/>
      <c r="I76" s="205"/>
      <c r="J76" s="223">
        <f t="shared" si="0"/>
        <v>-261.51716133350334</v>
      </c>
      <c r="K76" s="595"/>
      <c r="L76" s="596"/>
      <c r="M76" s="191"/>
      <c r="N76" s="180"/>
      <c r="O76" s="180"/>
      <c r="P76" s="443"/>
      <c r="Q76" s="443"/>
      <c r="R76" s="180"/>
    </row>
    <row r="77" spans="1:18" ht="15.75" customHeight="1">
      <c r="A77" s="601"/>
      <c r="B77" s="602"/>
      <c r="C77" s="206" t="s">
        <v>212</v>
      </c>
      <c r="D77" s="598"/>
      <c r="E77" s="597"/>
      <c r="F77" s="597"/>
      <c r="G77" s="202"/>
      <c r="H77" s="204"/>
      <c r="I77" s="205"/>
      <c r="J77" s="223">
        <f t="shared" si="0"/>
        <v>-261.55122040037548</v>
      </c>
      <c r="K77" s="595"/>
      <c r="L77" s="596"/>
      <c r="M77" s="191"/>
      <c r="O77" s="180"/>
      <c r="P77" s="443"/>
      <c r="Q77" s="443"/>
      <c r="R77" s="180"/>
    </row>
    <row r="78" spans="1:18" ht="15.75" customHeight="1">
      <c r="A78" s="601"/>
      <c r="B78" s="602"/>
      <c r="C78" s="206" t="s">
        <v>208</v>
      </c>
      <c r="D78" s="598"/>
      <c r="E78" s="597"/>
      <c r="F78" s="597"/>
      <c r="G78" s="202"/>
      <c r="H78" s="204"/>
      <c r="I78" s="205"/>
      <c r="J78" s="223">
        <f>I78-I54</f>
        <v>0</v>
      </c>
      <c r="K78" s="595"/>
      <c r="L78" s="596"/>
      <c r="M78" s="191"/>
      <c r="N78" s="180"/>
      <c r="O78" s="180"/>
      <c r="P78" s="443"/>
      <c r="Q78" s="443"/>
      <c r="R78" s="180"/>
    </row>
    <row r="79" spans="1:18" ht="15.75" customHeight="1">
      <c r="A79" s="601"/>
      <c r="B79" s="602"/>
      <c r="C79" s="206" t="s">
        <v>213</v>
      </c>
      <c r="D79" s="598"/>
      <c r="E79" s="597"/>
      <c r="F79" s="597"/>
      <c r="G79" s="202"/>
      <c r="H79" s="204"/>
      <c r="I79" s="205"/>
      <c r="J79" s="223">
        <f>I79-I52</f>
        <v>-261.60695595231869</v>
      </c>
      <c r="K79" s="595"/>
      <c r="L79" s="596"/>
      <c r="M79" s="191"/>
      <c r="N79" s="180"/>
      <c r="O79" s="180"/>
      <c r="P79" s="443"/>
      <c r="Q79" s="443"/>
      <c r="R79" s="180"/>
    </row>
    <row r="80" spans="1:18" ht="15.75" customHeight="1">
      <c r="A80" s="601"/>
      <c r="B80" s="602"/>
      <c r="C80" s="206" t="s">
        <v>214</v>
      </c>
      <c r="D80" s="598"/>
      <c r="E80" s="597"/>
      <c r="F80" s="597"/>
      <c r="G80" s="202"/>
      <c r="H80" s="204"/>
      <c r="I80" s="205"/>
      <c r="J80" s="223">
        <f>I80-I53</f>
        <v>-261.60882237207204</v>
      </c>
      <c r="K80" s="595"/>
      <c r="L80" s="596"/>
      <c r="M80" s="191"/>
      <c r="N80" s="180"/>
      <c r="O80" s="180"/>
      <c r="P80" s="443"/>
      <c r="Q80" s="443"/>
      <c r="R80" s="180"/>
    </row>
    <row r="81" spans="1:18" ht="15.75" customHeight="1">
      <c r="A81" s="603" t="s">
        <v>703</v>
      </c>
      <c r="B81" s="603"/>
      <c r="C81" s="603"/>
      <c r="D81" s="603"/>
      <c r="E81" s="603"/>
      <c r="F81" s="603"/>
      <c r="G81" s="603"/>
      <c r="H81" s="603"/>
      <c r="I81" s="603"/>
      <c r="J81" s="603"/>
      <c r="K81" s="603"/>
      <c r="L81" s="603"/>
      <c r="M81" s="191"/>
    </row>
    <row r="82" spans="1:18" s="192" customFormat="1" ht="15.75" customHeight="1">
      <c r="A82" s="603"/>
      <c r="B82" s="603"/>
      <c r="C82" s="603"/>
      <c r="D82" s="603"/>
      <c r="E82" s="603"/>
      <c r="F82" s="603"/>
      <c r="G82" s="603"/>
      <c r="H82" s="603"/>
      <c r="I82" s="603"/>
      <c r="J82" s="603"/>
      <c r="K82" s="603"/>
      <c r="L82" s="603"/>
    </row>
    <row r="83" spans="1:18" s="180" customFormat="1" ht="15.75" customHeight="1">
      <c r="A83" s="601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01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02" t="s">
        <v>190</v>
      </c>
      <c r="B85" s="602"/>
      <c r="C85" s="162" t="s">
        <v>47</v>
      </c>
      <c r="D85" s="602" t="s">
        <v>12</v>
      </c>
      <c r="E85" s="604"/>
      <c r="F85" s="604"/>
      <c r="G85" s="162" t="s">
        <v>46</v>
      </c>
      <c r="H85" s="162" t="s">
        <v>394</v>
      </c>
      <c r="I85" s="162" t="s">
        <v>395</v>
      </c>
      <c r="J85" s="162" t="s">
        <v>339</v>
      </c>
      <c r="K85" s="602" t="s">
        <v>51</v>
      </c>
      <c r="L85" s="604"/>
      <c r="M85" s="195"/>
      <c r="P85" s="443"/>
      <c r="Q85" s="443"/>
    </row>
    <row r="86" spans="1:18" ht="15.75" customHeight="1">
      <c r="A86" s="601">
        <v>1</v>
      </c>
      <c r="B86" s="602" t="s">
        <v>396</v>
      </c>
      <c r="C86" s="202">
        <v>1</v>
      </c>
      <c r="D86" s="598"/>
      <c r="E86" s="597"/>
      <c r="F86" s="597"/>
      <c r="G86" s="202"/>
      <c r="H86" s="204"/>
      <c r="I86" s="205"/>
      <c r="J86" s="223">
        <f>I86-I60</f>
        <v>0</v>
      </c>
      <c r="K86" s="595"/>
      <c r="L86" s="596"/>
      <c r="N86" s="180"/>
      <c r="O86" s="180"/>
      <c r="P86" s="443"/>
      <c r="Q86" s="443"/>
      <c r="R86" s="180"/>
    </row>
    <row r="87" spans="1:18" ht="15.75" customHeight="1">
      <c r="A87" s="601"/>
      <c r="B87" s="602"/>
      <c r="C87" s="202">
        <v>2</v>
      </c>
      <c r="D87" s="598"/>
      <c r="E87" s="597"/>
      <c r="F87" s="597"/>
      <c r="G87" s="202"/>
      <c r="H87" s="204"/>
      <c r="I87" s="205"/>
      <c r="J87" s="223">
        <f>I87-I62</f>
        <v>0</v>
      </c>
      <c r="K87" s="595"/>
      <c r="L87" s="596"/>
      <c r="N87" s="180"/>
      <c r="O87" s="180"/>
      <c r="P87" s="443"/>
      <c r="Q87" s="443"/>
      <c r="R87" s="180"/>
    </row>
    <row r="88" spans="1:18" ht="15.75" customHeight="1">
      <c r="A88" s="601"/>
      <c r="B88" s="602"/>
      <c r="C88" s="202">
        <v>3</v>
      </c>
      <c r="D88" s="598"/>
      <c r="E88" s="597"/>
      <c r="F88" s="597"/>
      <c r="G88" s="202"/>
      <c r="H88" s="204"/>
      <c r="I88" s="205"/>
      <c r="J88" s="223">
        <f>I88-I61</f>
        <v>0</v>
      </c>
      <c r="K88" s="595"/>
      <c r="L88" s="596"/>
      <c r="N88" s="180"/>
      <c r="O88" s="180"/>
      <c r="P88" s="443"/>
      <c r="Q88" s="443"/>
      <c r="R88" s="180"/>
    </row>
    <row r="89" spans="1:18" ht="15.75" customHeight="1">
      <c r="A89" s="601"/>
      <c r="B89" s="602"/>
      <c r="C89" s="202">
        <v>4</v>
      </c>
      <c r="D89" s="598"/>
      <c r="E89" s="597"/>
      <c r="F89" s="597"/>
      <c r="G89" s="202"/>
      <c r="H89" s="204"/>
      <c r="I89" s="205"/>
      <c r="J89" s="223">
        <f>I89-I63</f>
        <v>0</v>
      </c>
      <c r="K89" s="595"/>
      <c r="L89" s="596"/>
      <c r="N89" s="180"/>
      <c r="O89" s="180"/>
      <c r="P89" s="443"/>
      <c r="Q89" s="443"/>
      <c r="R89" s="180"/>
    </row>
    <row r="90" spans="1:18" ht="15.75" customHeight="1">
      <c r="A90" s="601"/>
      <c r="B90" s="602"/>
      <c r="C90" s="202">
        <v>5</v>
      </c>
      <c r="D90" s="598"/>
      <c r="E90" s="597"/>
      <c r="F90" s="597"/>
      <c r="G90" s="202"/>
      <c r="H90" s="204"/>
      <c r="I90" s="205"/>
      <c r="J90" s="223">
        <f>I90-I64</f>
        <v>0</v>
      </c>
      <c r="K90" s="595"/>
      <c r="L90" s="596"/>
      <c r="N90" s="180"/>
      <c r="O90" s="180"/>
      <c r="P90" s="443"/>
      <c r="Q90" s="443"/>
      <c r="R90" s="180"/>
    </row>
    <row r="91" spans="1:18" ht="15.75" customHeight="1">
      <c r="A91" s="601"/>
      <c r="B91" s="602"/>
      <c r="C91" s="206" t="s">
        <v>207</v>
      </c>
      <c r="D91" s="597"/>
      <c r="E91" s="597"/>
      <c r="F91" s="597"/>
      <c r="G91" s="203"/>
      <c r="H91" s="207"/>
      <c r="I91" s="208"/>
      <c r="J91" s="223">
        <f>I91-I65</f>
        <v>0</v>
      </c>
      <c r="K91" s="595"/>
      <c r="L91" s="596"/>
      <c r="N91" s="180"/>
      <c r="O91" s="180"/>
      <c r="P91" s="443"/>
      <c r="Q91" s="443"/>
      <c r="R91" s="180"/>
    </row>
    <row r="92" spans="1:18" ht="15.75" customHeight="1">
      <c r="A92" s="601"/>
      <c r="B92" s="602"/>
      <c r="C92" s="206" t="s">
        <v>212</v>
      </c>
      <c r="D92" s="597"/>
      <c r="E92" s="597"/>
      <c r="F92" s="597"/>
      <c r="G92" s="203"/>
      <c r="H92" s="207"/>
      <c r="I92" s="208"/>
      <c r="J92" s="223">
        <f>I92-I66</f>
        <v>0</v>
      </c>
      <c r="K92" s="595"/>
      <c r="L92" s="596"/>
      <c r="N92" s="180"/>
      <c r="O92" s="180"/>
      <c r="P92" s="443"/>
      <c r="Q92" s="443"/>
      <c r="R92" s="180"/>
    </row>
    <row r="93" spans="1:18" ht="15.75" customHeight="1">
      <c r="A93" s="601"/>
      <c r="B93" s="602"/>
      <c r="C93" s="206" t="s">
        <v>208</v>
      </c>
      <c r="D93" s="597"/>
      <c r="E93" s="597"/>
      <c r="F93" s="597"/>
      <c r="G93" s="203"/>
      <c r="H93" s="207"/>
      <c r="I93" s="208"/>
      <c r="J93" s="223"/>
      <c r="K93" s="595"/>
      <c r="L93" s="596"/>
      <c r="N93" s="180"/>
      <c r="O93" s="180"/>
      <c r="P93" s="443"/>
      <c r="Q93" s="443"/>
      <c r="R93" s="180"/>
    </row>
    <row r="94" spans="1:18" ht="15.75" customHeight="1">
      <c r="A94" s="601"/>
      <c r="B94" s="602"/>
      <c r="C94" s="206" t="s">
        <v>213</v>
      </c>
      <c r="D94" s="597"/>
      <c r="E94" s="597"/>
      <c r="F94" s="597"/>
      <c r="G94" s="203"/>
      <c r="H94" s="207"/>
      <c r="I94" s="208"/>
      <c r="J94" s="223">
        <f>I94-I67</f>
        <v>0</v>
      </c>
      <c r="K94" s="595"/>
      <c r="L94" s="596"/>
      <c r="M94" s="191"/>
      <c r="N94" s="180"/>
      <c r="O94" s="180"/>
      <c r="P94" s="443"/>
      <c r="Q94" s="443"/>
      <c r="R94" s="180"/>
    </row>
    <row r="95" spans="1:18" ht="15.75" customHeight="1">
      <c r="A95" s="601"/>
      <c r="B95" s="602"/>
      <c r="C95" s="206" t="s">
        <v>214</v>
      </c>
      <c r="D95" s="597"/>
      <c r="E95" s="597"/>
      <c r="F95" s="597"/>
      <c r="G95" s="203"/>
      <c r="H95" s="207"/>
      <c r="I95" s="208"/>
      <c r="J95" s="223">
        <f>I95-I68</f>
        <v>0</v>
      </c>
      <c r="K95" s="595"/>
      <c r="L95" s="596"/>
      <c r="M95" s="191"/>
      <c r="N95" s="180"/>
      <c r="O95" s="180"/>
      <c r="P95" s="443"/>
      <c r="Q95" s="443"/>
      <c r="R95" s="180"/>
    </row>
    <row r="96" spans="1:18" s="201" customFormat="1" ht="15.75" customHeight="1">
      <c r="A96" s="599" t="s">
        <v>190</v>
      </c>
      <c r="B96" s="599"/>
      <c r="C96" s="209" t="s">
        <v>47</v>
      </c>
      <c r="D96" s="599" t="s">
        <v>12</v>
      </c>
      <c r="E96" s="600"/>
      <c r="F96" s="600"/>
      <c r="G96" s="209" t="s">
        <v>46</v>
      </c>
      <c r="H96" s="209" t="s">
        <v>394</v>
      </c>
      <c r="I96" s="209" t="s">
        <v>395</v>
      </c>
      <c r="J96" s="162" t="s">
        <v>339</v>
      </c>
      <c r="K96" s="599" t="s">
        <v>51</v>
      </c>
      <c r="L96" s="600"/>
      <c r="M96" s="210"/>
      <c r="N96" s="180"/>
      <c r="O96" s="180"/>
      <c r="P96" s="443"/>
      <c r="Q96" s="443"/>
      <c r="R96" s="180"/>
    </row>
    <row r="97" spans="1:18" ht="15.75" customHeight="1">
      <c r="A97" s="601">
        <v>2</v>
      </c>
      <c r="B97" s="602" t="s">
        <v>157</v>
      </c>
      <c r="C97" s="202">
        <v>1</v>
      </c>
      <c r="D97" s="598"/>
      <c r="E97" s="597"/>
      <c r="F97" s="597"/>
      <c r="G97" s="202"/>
      <c r="H97" s="204"/>
      <c r="I97" s="205"/>
      <c r="J97" s="223">
        <f t="shared" ref="J97:J102" si="1">I97-I71</f>
        <v>0</v>
      </c>
      <c r="K97" s="595"/>
      <c r="L97" s="596"/>
      <c r="M97" s="191"/>
      <c r="N97" s="180"/>
      <c r="O97" s="180"/>
      <c r="P97" s="443"/>
      <c r="Q97" s="443"/>
      <c r="R97" s="180"/>
    </row>
    <row r="98" spans="1:18" ht="15.75" customHeight="1">
      <c r="A98" s="601"/>
      <c r="B98" s="602"/>
      <c r="C98" s="202">
        <v>2</v>
      </c>
      <c r="D98" s="598"/>
      <c r="E98" s="597"/>
      <c r="F98" s="597"/>
      <c r="G98" s="202"/>
      <c r="H98" s="204"/>
      <c r="I98" s="205"/>
      <c r="J98" s="223">
        <f t="shared" si="1"/>
        <v>0</v>
      </c>
      <c r="K98" s="595"/>
      <c r="L98" s="596"/>
      <c r="M98" s="191"/>
      <c r="N98" s="180"/>
      <c r="O98" s="180"/>
      <c r="P98" s="443"/>
      <c r="Q98" s="443"/>
      <c r="R98" s="180"/>
    </row>
    <row r="99" spans="1:18" ht="15.75" customHeight="1">
      <c r="A99" s="601"/>
      <c r="B99" s="602"/>
      <c r="C99" s="202">
        <v>3</v>
      </c>
      <c r="D99" s="598"/>
      <c r="E99" s="597"/>
      <c r="F99" s="597"/>
      <c r="G99" s="202"/>
      <c r="H99" s="204"/>
      <c r="I99" s="205"/>
      <c r="J99" s="223">
        <f t="shared" si="1"/>
        <v>0</v>
      </c>
      <c r="K99" s="595"/>
      <c r="L99" s="596"/>
      <c r="M99" s="191"/>
      <c r="N99" s="180"/>
      <c r="O99" s="180"/>
      <c r="P99" s="443"/>
      <c r="Q99" s="443"/>
      <c r="R99" s="180"/>
    </row>
    <row r="100" spans="1:18" ht="15.75" customHeight="1">
      <c r="A100" s="601"/>
      <c r="B100" s="602"/>
      <c r="C100" s="202">
        <v>4</v>
      </c>
      <c r="D100" s="598"/>
      <c r="E100" s="597"/>
      <c r="F100" s="597"/>
      <c r="G100" s="202"/>
      <c r="H100" s="204"/>
      <c r="I100" s="205"/>
      <c r="J100" s="223">
        <f t="shared" si="1"/>
        <v>0</v>
      </c>
      <c r="K100" s="595"/>
      <c r="L100" s="596"/>
      <c r="M100" s="191"/>
      <c r="N100" s="180"/>
      <c r="O100" s="180"/>
      <c r="P100" s="443"/>
      <c r="Q100" s="443"/>
      <c r="R100" s="180"/>
    </row>
    <row r="101" spans="1:18" ht="15.75" customHeight="1">
      <c r="A101" s="601"/>
      <c r="B101" s="602"/>
      <c r="C101" s="202">
        <v>5</v>
      </c>
      <c r="D101" s="598"/>
      <c r="E101" s="597"/>
      <c r="F101" s="597"/>
      <c r="G101" s="202"/>
      <c r="H101" s="204"/>
      <c r="I101" s="205"/>
      <c r="J101" s="223">
        <f t="shared" si="1"/>
        <v>0</v>
      </c>
      <c r="K101" s="595"/>
      <c r="L101" s="596"/>
      <c r="M101" s="191"/>
      <c r="N101" s="180"/>
      <c r="O101" s="180"/>
      <c r="P101" s="443"/>
      <c r="Q101" s="443"/>
      <c r="R101" s="180"/>
    </row>
    <row r="102" spans="1:18" ht="15.75" customHeight="1">
      <c r="A102" s="601"/>
      <c r="B102" s="602"/>
      <c r="C102" s="206" t="s">
        <v>207</v>
      </c>
      <c r="D102" s="598"/>
      <c r="E102" s="597"/>
      <c r="F102" s="597"/>
      <c r="G102" s="202"/>
      <c r="H102" s="204"/>
      <c r="I102" s="205"/>
      <c r="J102" s="223">
        <f t="shared" si="1"/>
        <v>0</v>
      </c>
      <c r="K102" s="595"/>
      <c r="L102" s="596"/>
      <c r="M102" s="191"/>
      <c r="N102" s="180"/>
      <c r="O102" s="180"/>
      <c r="P102" s="443"/>
      <c r="Q102" s="443"/>
      <c r="R102" s="180"/>
    </row>
    <row r="103" spans="1:18" ht="15.75" customHeight="1">
      <c r="A103" s="601"/>
      <c r="B103" s="602"/>
      <c r="C103" s="206" t="s">
        <v>212</v>
      </c>
      <c r="D103" s="598"/>
      <c r="E103" s="597"/>
      <c r="F103" s="597"/>
      <c r="G103" s="202"/>
      <c r="H103" s="204"/>
      <c r="I103" s="205"/>
      <c r="J103" s="223">
        <f>I103-I79</f>
        <v>0</v>
      </c>
      <c r="K103" s="595"/>
      <c r="L103" s="596"/>
      <c r="M103" s="191"/>
      <c r="N103" s="180"/>
      <c r="O103" s="180"/>
      <c r="P103" s="443"/>
      <c r="Q103" s="443"/>
      <c r="R103" s="180"/>
    </row>
    <row r="104" spans="1:18" ht="15.75" customHeight="1">
      <c r="A104" s="601"/>
      <c r="B104" s="602"/>
      <c r="C104" s="206" t="s">
        <v>208</v>
      </c>
      <c r="D104" s="598"/>
      <c r="E104" s="597"/>
      <c r="F104" s="597"/>
      <c r="G104" s="202"/>
      <c r="H104" s="204"/>
      <c r="I104" s="205"/>
      <c r="J104" s="223">
        <f>I104-I77</f>
        <v>0</v>
      </c>
      <c r="K104" s="595"/>
      <c r="L104" s="596"/>
      <c r="M104" s="191"/>
      <c r="O104" s="180"/>
      <c r="P104" s="443"/>
      <c r="Q104" s="443"/>
      <c r="R104" s="180"/>
    </row>
    <row r="105" spans="1:18" ht="15.75" customHeight="1">
      <c r="A105" s="601"/>
      <c r="B105" s="602"/>
      <c r="C105" s="206" t="s">
        <v>213</v>
      </c>
      <c r="D105" s="598"/>
      <c r="E105" s="597"/>
      <c r="F105" s="597"/>
      <c r="G105" s="202"/>
      <c r="H105" s="204"/>
      <c r="I105" s="205"/>
      <c r="J105" s="223">
        <f>I105-I80</f>
        <v>0</v>
      </c>
      <c r="K105" s="595"/>
      <c r="L105" s="596"/>
      <c r="M105" s="191"/>
      <c r="O105" s="180"/>
      <c r="P105" s="443"/>
      <c r="Q105" s="443"/>
      <c r="R105" s="180"/>
    </row>
    <row r="106" spans="1:18" ht="15.75" customHeight="1">
      <c r="A106" s="601"/>
      <c r="B106" s="602"/>
      <c r="C106" s="206" t="s">
        <v>214</v>
      </c>
      <c r="D106" s="598"/>
      <c r="E106" s="597"/>
      <c r="F106" s="597"/>
      <c r="G106" s="202"/>
      <c r="H106" s="204"/>
      <c r="I106" s="205"/>
      <c r="J106" s="223">
        <f>I106-I78</f>
        <v>0</v>
      </c>
      <c r="K106" s="595"/>
      <c r="L106" s="596"/>
      <c r="M106" s="191"/>
      <c r="N106" s="180"/>
      <c r="O106" s="180"/>
      <c r="P106" s="443"/>
      <c r="Q106" s="443"/>
      <c r="R106" s="180"/>
    </row>
    <row r="107" spans="1:18" ht="15.75" customHeight="1">
      <c r="A107" s="603" t="s">
        <v>704</v>
      </c>
      <c r="B107" s="603"/>
      <c r="C107" s="603"/>
      <c r="D107" s="603"/>
      <c r="E107" s="603"/>
      <c r="F107" s="603"/>
      <c r="G107" s="603"/>
      <c r="H107" s="603"/>
      <c r="I107" s="603"/>
      <c r="J107" s="603"/>
      <c r="K107" s="603"/>
      <c r="L107" s="603"/>
      <c r="M107" s="191"/>
    </row>
    <row r="108" spans="1:18" s="192" customFormat="1" ht="15.75" customHeight="1">
      <c r="A108" s="603"/>
      <c r="B108" s="603"/>
      <c r="C108" s="603"/>
      <c r="D108" s="603"/>
      <c r="E108" s="603"/>
      <c r="F108" s="603"/>
      <c r="G108" s="603"/>
      <c r="H108" s="603"/>
      <c r="I108" s="603"/>
      <c r="J108" s="603"/>
      <c r="K108" s="603"/>
      <c r="L108" s="603"/>
    </row>
    <row r="109" spans="1:18" s="180" customFormat="1" ht="15.75" customHeight="1">
      <c r="A109" s="601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50000000000001" customHeight="1">
      <c r="A110" s="601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02" t="s">
        <v>190</v>
      </c>
      <c r="B111" s="602"/>
      <c r="C111" s="162" t="s">
        <v>47</v>
      </c>
      <c r="D111" s="602" t="s">
        <v>12</v>
      </c>
      <c r="E111" s="604"/>
      <c r="F111" s="604"/>
      <c r="G111" s="162" t="s">
        <v>46</v>
      </c>
      <c r="H111" s="162" t="s">
        <v>394</v>
      </c>
      <c r="I111" s="162" t="s">
        <v>395</v>
      </c>
      <c r="J111" s="162" t="s">
        <v>339</v>
      </c>
      <c r="K111" s="602" t="s">
        <v>51</v>
      </c>
      <c r="L111" s="604"/>
      <c r="M111" s="195"/>
      <c r="P111" s="443"/>
      <c r="Q111" s="443"/>
    </row>
    <row r="112" spans="1:18" ht="15.75" customHeight="1">
      <c r="A112" s="601">
        <v>1</v>
      </c>
      <c r="B112" s="602" t="s">
        <v>396</v>
      </c>
      <c r="C112" s="202">
        <v>1</v>
      </c>
      <c r="D112" s="598"/>
      <c r="E112" s="597"/>
      <c r="F112" s="597"/>
      <c r="G112" s="202"/>
      <c r="H112" s="204"/>
      <c r="I112" s="205"/>
      <c r="J112" s="223">
        <f>I112-I86</f>
        <v>0</v>
      </c>
      <c r="K112" s="595"/>
      <c r="L112" s="596"/>
      <c r="N112" s="180"/>
      <c r="O112" s="180"/>
      <c r="P112" s="443"/>
      <c r="Q112" s="443"/>
      <c r="R112" s="180"/>
    </row>
    <row r="113" spans="1:18" ht="15.75" customHeight="1">
      <c r="A113" s="601"/>
      <c r="B113" s="602"/>
      <c r="C113" s="202">
        <v>2</v>
      </c>
      <c r="D113" s="598"/>
      <c r="E113" s="597"/>
      <c r="F113" s="597"/>
      <c r="G113" s="202"/>
      <c r="H113" s="204"/>
      <c r="I113" s="205"/>
      <c r="J113" s="223">
        <f>I113-I87</f>
        <v>0</v>
      </c>
      <c r="K113" s="595"/>
      <c r="L113" s="596"/>
      <c r="N113" s="180"/>
      <c r="O113" s="180"/>
      <c r="P113" s="443"/>
      <c r="Q113" s="443"/>
      <c r="R113" s="180"/>
    </row>
    <row r="114" spans="1:18" ht="15.75" customHeight="1">
      <c r="A114" s="601"/>
      <c r="B114" s="602"/>
      <c r="C114" s="202">
        <v>3</v>
      </c>
      <c r="D114" s="598"/>
      <c r="E114" s="597"/>
      <c r="F114" s="597"/>
      <c r="G114" s="202"/>
      <c r="H114" s="204"/>
      <c r="I114" s="205"/>
      <c r="J114" s="223">
        <f>I114-I88</f>
        <v>0</v>
      </c>
      <c r="K114" s="595"/>
      <c r="L114" s="596"/>
      <c r="N114" s="180"/>
      <c r="O114" s="180"/>
      <c r="P114" s="443"/>
      <c r="Q114" s="443"/>
      <c r="R114" s="180"/>
    </row>
    <row r="115" spans="1:18" ht="15.75" customHeight="1">
      <c r="A115" s="601"/>
      <c r="B115" s="602"/>
      <c r="C115" s="202">
        <v>4</v>
      </c>
      <c r="D115" s="598"/>
      <c r="E115" s="597"/>
      <c r="F115" s="597"/>
      <c r="G115" s="202"/>
      <c r="H115" s="204"/>
      <c r="I115" s="205"/>
      <c r="J115" s="223">
        <f>I115-I90</f>
        <v>0</v>
      </c>
      <c r="K115" s="595"/>
      <c r="L115" s="596"/>
      <c r="N115" s="180"/>
      <c r="O115" s="180"/>
      <c r="P115" s="443"/>
      <c r="Q115" s="443"/>
      <c r="R115" s="180"/>
    </row>
    <row r="116" spans="1:18" ht="15.75" customHeight="1">
      <c r="A116" s="601"/>
      <c r="B116" s="602"/>
      <c r="C116" s="202">
        <v>5</v>
      </c>
      <c r="D116" s="598"/>
      <c r="E116" s="597"/>
      <c r="F116" s="597"/>
      <c r="G116" s="202"/>
      <c r="H116" s="204"/>
      <c r="I116" s="205"/>
      <c r="J116" s="223">
        <f>I116-I89</f>
        <v>0</v>
      </c>
      <c r="K116" s="595"/>
      <c r="L116" s="596"/>
      <c r="N116" s="180"/>
      <c r="O116" s="180"/>
      <c r="P116" s="443"/>
      <c r="Q116" s="443"/>
      <c r="R116" s="180"/>
    </row>
    <row r="117" spans="1:18" ht="15.75" customHeight="1">
      <c r="A117" s="601"/>
      <c r="B117" s="602"/>
      <c r="C117" s="206" t="s">
        <v>207</v>
      </c>
      <c r="D117" s="597"/>
      <c r="E117" s="597"/>
      <c r="F117" s="597"/>
      <c r="G117" s="203"/>
      <c r="H117" s="207"/>
      <c r="I117" s="208"/>
      <c r="J117" s="223">
        <f>I117-I92</f>
        <v>0</v>
      </c>
      <c r="K117" s="595"/>
      <c r="L117" s="596"/>
      <c r="N117" s="180"/>
      <c r="O117" s="180"/>
      <c r="P117" s="443"/>
      <c r="Q117" s="443"/>
      <c r="R117" s="180"/>
    </row>
    <row r="118" spans="1:18" ht="15.75" customHeight="1">
      <c r="A118" s="601"/>
      <c r="B118" s="602"/>
      <c r="C118" s="206" t="s">
        <v>212</v>
      </c>
      <c r="D118" s="597"/>
      <c r="E118" s="597"/>
      <c r="F118" s="597"/>
      <c r="G118" s="203"/>
      <c r="H118" s="207"/>
      <c r="I118" s="208"/>
      <c r="J118" s="223">
        <f>I118-I91</f>
        <v>0</v>
      </c>
      <c r="K118" s="595"/>
      <c r="L118" s="596"/>
      <c r="N118" s="180"/>
      <c r="O118" s="180"/>
      <c r="P118" s="443"/>
      <c r="Q118" s="443"/>
      <c r="R118" s="180"/>
    </row>
    <row r="119" spans="1:18" ht="15.75" customHeight="1">
      <c r="A119" s="601"/>
      <c r="B119" s="602"/>
      <c r="C119" s="206" t="s">
        <v>208</v>
      </c>
      <c r="D119" s="597"/>
      <c r="E119" s="597"/>
      <c r="F119" s="597"/>
      <c r="G119" s="203"/>
      <c r="H119" s="207"/>
      <c r="I119" s="208"/>
      <c r="J119" s="223">
        <f>I119-I94</f>
        <v>0</v>
      </c>
      <c r="K119" s="595"/>
      <c r="L119" s="596"/>
      <c r="N119" s="180"/>
      <c r="O119" s="180"/>
      <c r="P119" s="443"/>
      <c r="Q119" s="443"/>
      <c r="R119" s="180"/>
    </row>
    <row r="120" spans="1:18" ht="15.75" customHeight="1">
      <c r="A120" s="601"/>
      <c r="B120" s="602"/>
      <c r="C120" s="206" t="s">
        <v>213</v>
      </c>
      <c r="D120" s="597"/>
      <c r="E120" s="597"/>
      <c r="F120" s="597"/>
      <c r="G120" s="203"/>
      <c r="H120" s="207"/>
      <c r="I120" s="208"/>
      <c r="J120" s="223">
        <f>I120-I93</f>
        <v>0</v>
      </c>
      <c r="K120" s="595"/>
      <c r="L120" s="596"/>
      <c r="M120" s="191"/>
      <c r="N120" s="180"/>
      <c r="O120" s="180"/>
      <c r="P120" s="443"/>
      <c r="Q120" s="443"/>
      <c r="R120" s="180"/>
    </row>
    <row r="121" spans="1:18" ht="15.75" customHeight="1">
      <c r="A121" s="601"/>
      <c r="B121" s="602"/>
      <c r="C121" s="206" t="s">
        <v>214</v>
      </c>
      <c r="D121" s="597"/>
      <c r="E121" s="597"/>
      <c r="F121" s="597"/>
      <c r="G121" s="203"/>
      <c r="H121" s="207"/>
      <c r="I121" s="208"/>
      <c r="J121" s="223"/>
      <c r="K121" s="605"/>
      <c r="L121" s="597"/>
      <c r="M121" s="191"/>
      <c r="N121" s="180"/>
      <c r="O121" s="180"/>
      <c r="P121" s="443"/>
      <c r="Q121" s="443"/>
      <c r="R121" s="180"/>
    </row>
    <row r="122" spans="1:18" s="201" customFormat="1" ht="15.75" customHeight="1">
      <c r="A122" s="599" t="s">
        <v>190</v>
      </c>
      <c r="B122" s="599"/>
      <c r="C122" s="209" t="s">
        <v>47</v>
      </c>
      <c r="D122" s="599" t="s">
        <v>12</v>
      </c>
      <c r="E122" s="600"/>
      <c r="F122" s="600"/>
      <c r="G122" s="209" t="s">
        <v>46</v>
      </c>
      <c r="H122" s="209" t="s">
        <v>394</v>
      </c>
      <c r="I122" s="209" t="s">
        <v>395</v>
      </c>
      <c r="J122" s="162" t="s">
        <v>339</v>
      </c>
      <c r="K122" s="599" t="s">
        <v>51</v>
      </c>
      <c r="L122" s="600"/>
      <c r="M122" s="210"/>
      <c r="N122" s="180"/>
      <c r="O122" s="180"/>
      <c r="P122" s="443"/>
      <c r="Q122" s="443"/>
      <c r="R122" s="180"/>
    </row>
    <row r="123" spans="1:18" ht="15.75" customHeight="1">
      <c r="A123" s="601">
        <v>2</v>
      </c>
      <c r="B123" s="602" t="s">
        <v>157</v>
      </c>
      <c r="C123" s="202">
        <v>1</v>
      </c>
      <c r="D123" s="598"/>
      <c r="E123" s="597"/>
      <c r="F123" s="597"/>
      <c r="G123" s="202"/>
      <c r="H123" s="204"/>
      <c r="I123" s="205"/>
      <c r="J123" s="223">
        <f>I123-I98</f>
        <v>0</v>
      </c>
      <c r="K123" s="595"/>
      <c r="L123" s="596"/>
      <c r="M123" s="191"/>
      <c r="N123" s="180"/>
      <c r="O123" s="180"/>
      <c r="P123" s="443"/>
      <c r="Q123" s="443"/>
      <c r="R123" s="180"/>
    </row>
    <row r="124" spans="1:18" ht="15.75" customHeight="1">
      <c r="A124" s="601"/>
      <c r="B124" s="602"/>
      <c r="C124" s="202">
        <v>2</v>
      </c>
      <c r="D124" s="598"/>
      <c r="E124" s="597"/>
      <c r="F124" s="597"/>
      <c r="G124" s="202"/>
      <c r="H124" s="204"/>
      <c r="I124" s="205"/>
      <c r="J124" s="223">
        <f>I124-I97</f>
        <v>0</v>
      </c>
      <c r="K124" s="595"/>
      <c r="L124" s="596"/>
      <c r="M124" s="191"/>
      <c r="N124" s="180"/>
      <c r="O124" s="180"/>
      <c r="P124" s="443"/>
      <c r="Q124" s="443"/>
      <c r="R124" s="180"/>
    </row>
    <row r="125" spans="1:18" ht="15.75" customHeight="1">
      <c r="A125" s="601"/>
      <c r="B125" s="602"/>
      <c r="C125" s="202">
        <v>3</v>
      </c>
      <c r="D125" s="598"/>
      <c r="E125" s="597"/>
      <c r="F125" s="597"/>
      <c r="G125" s="202"/>
      <c r="H125" s="204"/>
      <c r="I125" s="205"/>
      <c r="J125" s="223">
        <f>I125-I99</f>
        <v>0</v>
      </c>
      <c r="K125" s="595"/>
      <c r="L125" s="596"/>
      <c r="M125" s="191"/>
      <c r="N125" s="180"/>
      <c r="O125" s="180"/>
      <c r="P125" s="443"/>
      <c r="Q125" s="443"/>
      <c r="R125" s="180"/>
    </row>
    <row r="126" spans="1:18" ht="15.75" customHeight="1">
      <c r="A126" s="601"/>
      <c r="B126" s="602"/>
      <c r="C126" s="202">
        <v>4</v>
      </c>
      <c r="D126" s="598"/>
      <c r="E126" s="597"/>
      <c r="F126" s="597"/>
      <c r="G126" s="202"/>
      <c r="H126" s="204"/>
      <c r="I126" s="205"/>
      <c r="J126" s="223">
        <f>I126-I100</f>
        <v>0</v>
      </c>
      <c r="K126" s="595"/>
      <c r="L126" s="596"/>
      <c r="M126" s="191"/>
      <c r="N126" s="180"/>
      <c r="O126" s="180"/>
      <c r="P126" s="443"/>
      <c r="Q126" s="443"/>
      <c r="R126" s="180"/>
    </row>
    <row r="127" spans="1:18" ht="15.75" customHeight="1">
      <c r="A127" s="601"/>
      <c r="B127" s="602"/>
      <c r="C127" s="202">
        <v>5</v>
      </c>
      <c r="D127" s="598"/>
      <c r="E127" s="597"/>
      <c r="F127" s="597"/>
      <c r="G127" s="202"/>
      <c r="H127" s="204"/>
      <c r="I127" s="205"/>
      <c r="J127" s="223">
        <f>I127-I101</f>
        <v>0</v>
      </c>
      <c r="K127" s="595"/>
      <c r="L127" s="596"/>
      <c r="M127" s="191"/>
      <c r="N127" s="180"/>
      <c r="O127" s="180"/>
      <c r="P127" s="443"/>
      <c r="Q127" s="443"/>
      <c r="R127" s="180"/>
    </row>
    <row r="128" spans="1:18" ht="15.75" customHeight="1">
      <c r="A128" s="601"/>
      <c r="B128" s="602"/>
      <c r="C128" s="206" t="s">
        <v>207</v>
      </c>
      <c r="D128" s="598"/>
      <c r="E128" s="597"/>
      <c r="F128" s="597"/>
      <c r="G128" s="202"/>
      <c r="H128" s="204"/>
      <c r="I128" s="205"/>
      <c r="J128" s="223">
        <f>I128-I102</f>
        <v>0</v>
      </c>
      <c r="K128" s="595"/>
      <c r="L128" s="596"/>
      <c r="M128" s="191"/>
      <c r="N128" s="180"/>
      <c r="O128" s="180"/>
      <c r="P128" s="443"/>
      <c r="Q128" s="443"/>
      <c r="R128" s="180"/>
    </row>
    <row r="129" spans="1:18" ht="15.75" customHeight="1">
      <c r="A129" s="601"/>
      <c r="B129" s="602"/>
      <c r="C129" s="206" t="s">
        <v>212</v>
      </c>
      <c r="D129" s="598"/>
      <c r="E129" s="597"/>
      <c r="F129" s="597"/>
      <c r="G129" s="202"/>
      <c r="H129" s="204"/>
      <c r="I129" s="205"/>
      <c r="J129" s="223">
        <f>I129-I104</f>
        <v>0</v>
      </c>
      <c r="K129" s="595"/>
      <c r="L129" s="596"/>
      <c r="M129" s="191"/>
      <c r="N129" s="180"/>
      <c r="O129" s="180"/>
      <c r="P129" s="443"/>
      <c r="Q129" s="443"/>
      <c r="R129" s="180"/>
    </row>
    <row r="130" spans="1:18" ht="15.75" customHeight="1">
      <c r="A130" s="601"/>
      <c r="B130" s="602"/>
      <c r="C130" s="206" t="s">
        <v>208</v>
      </c>
      <c r="D130" s="598"/>
      <c r="E130" s="597"/>
      <c r="F130" s="597"/>
      <c r="G130" s="202"/>
      <c r="H130" s="204"/>
      <c r="I130" s="205"/>
      <c r="J130" s="223">
        <f>I130-I106</f>
        <v>0</v>
      </c>
      <c r="K130" s="595"/>
      <c r="L130" s="596"/>
      <c r="M130" s="191"/>
      <c r="O130" s="180"/>
      <c r="P130" s="443"/>
      <c r="Q130" s="443"/>
      <c r="R130" s="180"/>
    </row>
    <row r="131" spans="1:18" ht="15.75" customHeight="1">
      <c r="A131" s="601"/>
      <c r="B131" s="602"/>
      <c r="C131" s="206" t="s">
        <v>213</v>
      </c>
      <c r="D131" s="598"/>
      <c r="E131" s="597"/>
      <c r="F131" s="597"/>
      <c r="G131" s="202"/>
      <c r="H131" s="204"/>
      <c r="I131" s="205"/>
      <c r="J131" s="223">
        <f>I131-I105</f>
        <v>0</v>
      </c>
      <c r="K131" s="595"/>
      <c r="L131" s="596"/>
      <c r="M131" s="191"/>
      <c r="N131" s="180"/>
      <c r="O131" s="180"/>
      <c r="P131" s="443"/>
      <c r="Q131" s="443"/>
      <c r="R131" s="180"/>
    </row>
    <row r="132" spans="1:18" ht="15.75" customHeight="1">
      <c r="A132" s="601"/>
      <c r="B132" s="602"/>
      <c r="C132" s="206" t="s">
        <v>214</v>
      </c>
      <c r="D132" s="598"/>
      <c r="E132" s="597"/>
      <c r="F132" s="597"/>
      <c r="G132" s="202"/>
      <c r="H132" s="204"/>
      <c r="I132" s="205"/>
      <c r="J132" s="223">
        <f>I132-I103</f>
        <v>0</v>
      </c>
      <c r="K132" s="595"/>
      <c r="L132" s="596"/>
      <c r="M132" s="191"/>
      <c r="N132" s="180"/>
      <c r="O132" s="180"/>
      <c r="P132" s="443"/>
      <c r="Q132" s="443"/>
      <c r="R132" s="180"/>
    </row>
  </sheetData>
  <mergeCells count="261"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20" zoomScale="115" zoomScaleNormal="60" zoomScaleSheetLayoutView="115" workbookViewId="0">
      <selection activeCell="J37" sqref="J37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0" t="s">
        <v>392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99"/>
    </row>
    <row r="2" spans="1:18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192"/>
      <c r="O2" s="192"/>
      <c r="P2" s="192"/>
      <c r="Q2" s="192"/>
      <c r="R2" s="192"/>
    </row>
    <row r="3" spans="1:18" s="191" customFormat="1" ht="15.75" customHeight="1">
      <c r="A3" s="603" t="s">
        <v>651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</row>
    <row r="4" spans="1:18" s="192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</row>
    <row r="5" spans="1:18" s="180" customFormat="1" ht="16.350000000000001" customHeight="1">
      <c r="A5" s="601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01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02" t="s">
        <v>190</v>
      </c>
      <c r="B7" s="602"/>
      <c r="C7" s="162" t="s">
        <v>47</v>
      </c>
      <c r="D7" s="602" t="s">
        <v>12</v>
      </c>
      <c r="E7" s="604"/>
      <c r="F7" s="604"/>
      <c r="G7" s="162" t="s">
        <v>46</v>
      </c>
      <c r="H7" s="162" t="s">
        <v>394</v>
      </c>
      <c r="I7" s="162" t="s">
        <v>395</v>
      </c>
      <c r="J7" s="162" t="s">
        <v>339</v>
      </c>
      <c r="K7" s="602" t="s">
        <v>51</v>
      </c>
      <c r="L7" s="604"/>
      <c r="M7" s="195"/>
      <c r="N7" s="191"/>
      <c r="O7" s="201"/>
      <c r="P7" s="444"/>
      <c r="Q7" s="444"/>
      <c r="R7" s="201"/>
    </row>
    <row r="8" spans="1:18" s="191" customFormat="1" ht="15.75" customHeight="1">
      <c r="A8" s="601">
        <v>3</v>
      </c>
      <c r="B8" s="602" t="s">
        <v>397</v>
      </c>
      <c r="C8" s="202">
        <v>1</v>
      </c>
      <c r="D8" s="598" t="s">
        <v>504</v>
      </c>
      <c r="E8" s="597"/>
      <c r="F8" s="597"/>
      <c r="G8" s="202">
        <v>6</v>
      </c>
      <c r="H8" s="204">
        <v>3253.5604036637073</v>
      </c>
      <c r="I8" s="205">
        <v>542.26006727728452</v>
      </c>
      <c r="J8" s="223">
        <v>0.14252275893636579</v>
      </c>
      <c r="K8" s="595" t="s">
        <v>472</v>
      </c>
      <c r="L8" s="596"/>
      <c r="M8" s="192"/>
      <c r="O8" s="201"/>
      <c r="P8" s="444"/>
      <c r="Q8" s="444"/>
      <c r="R8" s="201"/>
    </row>
    <row r="9" spans="1:18" s="191" customFormat="1" ht="15.75" customHeight="1">
      <c r="A9" s="601"/>
      <c r="B9" s="602"/>
      <c r="C9" s="202">
        <v>2</v>
      </c>
      <c r="D9" s="598" t="s">
        <v>362</v>
      </c>
      <c r="E9" s="597"/>
      <c r="F9" s="597"/>
      <c r="G9" s="202">
        <v>22.714285714285715</v>
      </c>
      <c r="H9" s="204">
        <v>2743.9601388674678</v>
      </c>
      <c r="I9" s="205">
        <v>120.77222739898691</v>
      </c>
      <c r="J9" s="223">
        <v>5.1421598218981188</v>
      </c>
      <c r="K9" s="595" t="s">
        <v>472</v>
      </c>
      <c r="L9" s="596"/>
      <c r="M9" s="192"/>
      <c r="O9" s="201"/>
      <c r="P9" s="444"/>
      <c r="Q9" s="444"/>
      <c r="R9" s="201"/>
    </row>
    <row r="10" spans="1:18" s="191" customFormat="1" ht="15.75" customHeight="1">
      <c r="A10" s="601"/>
      <c r="B10" s="602"/>
      <c r="C10" s="202">
        <v>3</v>
      </c>
      <c r="D10" s="598" t="s">
        <v>496</v>
      </c>
      <c r="E10" s="597"/>
      <c r="F10" s="597"/>
      <c r="G10" s="202">
        <v>22.714285714285715</v>
      </c>
      <c r="H10" s="204">
        <v>2743.8302122315881</v>
      </c>
      <c r="I10" s="205">
        <v>120.76632429240206</v>
      </c>
      <c r="J10" s="223">
        <v>5.1158049135757864</v>
      </c>
      <c r="K10" s="595" t="s">
        <v>472</v>
      </c>
      <c r="L10" s="596"/>
      <c r="M10" s="192"/>
      <c r="O10" s="201"/>
      <c r="P10" s="444"/>
      <c r="Q10" s="444"/>
      <c r="R10" s="201"/>
    </row>
    <row r="11" spans="1:18" s="191" customFormat="1" ht="15.75" customHeight="1">
      <c r="A11" s="601"/>
      <c r="B11" s="602"/>
      <c r="C11" s="202">
        <v>4</v>
      </c>
      <c r="D11" s="598"/>
      <c r="E11" s="597"/>
      <c r="F11" s="597"/>
      <c r="G11" s="202"/>
      <c r="H11" s="204"/>
      <c r="I11" s="205"/>
      <c r="J11" s="202"/>
      <c r="K11" s="598"/>
      <c r="L11" s="597"/>
      <c r="M11" s="192"/>
      <c r="O11" s="201"/>
      <c r="P11" s="444"/>
      <c r="Q11" s="444"/>
      <c r="R11" s="201"/>
    </row>
    <row r="12" spans="1:18" s="191" customFormat="1" ht="15.75" customHeight="1">
      <c r="A12" s="601"/>
      <c r="B12" s="602"/>
      <c r="C12" s="202">
        <v>5</v>
      </c>
      <c r="D12" s="598"/>
      <c r="E12" s="597"/>
      <c r="F12" s="597"/>
      <c r="G12" s="202"/>
      <c r="H12" s="204"/>
      <c r="I12" s="205"/>
      <c r="J12" s="202"/>
      <c r="K12" s="598"/>
      <c r="L12" s="597"/>
      <c r="M12" s="192"/>
      <c r="O12" s="201"/>
      <c r="P12" s="444"/>
      <c r="Q12" s="444"/>
      <c r="R12" s="201"/>
    </row>
    <row r="13" spans="1:18" s="191" customFormat="1" ht="15.75" customHeight="1">
      <c r="A13" s="601"/>
      <c r="B13" s="602"/>
      <c r="C13" s="206" t="s">
        <v>207</v>
      </c>
      <c r="D13" s="598"/>
      <c r="E13" s="597"/>
      <c r="F13" s="597"/>
      <c r="G13" s="202"/>
      <c r="H13" s="204"/>
      <c r="I13" s="205"/>
      <c r="J13" s="202"/>
      <c r="K13" s="598"/>
      <c r="L13" s="597"/>
      <c r="M13" s="192"/>
      <c r="O13" s="201"/>
      <c r="P13" s="444"/>
      <c r="Q13" s="444"/>
      <c r="R13" s="201"/>
    </row>
    <row r="14" spans="1:18" s="191" customFormat="1" ht="15.75" customHeight="1">
      <c r="A14" s="601"/>
      <c r="B14" s="602"/>
      <c r="C14" s="206" t="s">
        <v>212</v>
      </c>
      <c r="D14" s="598"/>
      <c r="E14" s="597"/>
      <c r="F14" s="597"/>
      <c r="G14" s="202"/>
      <c r="H14" s="204"/>
      <c r="I14" s="205"/>
      <c r="J14" s="202"/>
      <c r="K14" s="598"/>
      <c r="L14" s="597"/>
      <c r="M14" s="192"/>
      <c r="N14" s="180"/>
      <c r="O14" s="180"/>
      <c r="P14" s="443"/>
      <c r="Q14" s="443"/>
      <c r="R14" s="180"/>
    </row>
    <row r="15" spans="1:18" s="191" customFormat="1" ht="15.75" customHeight="1">
      <c r="A15" s="601"/>
      <c r="B15" s="602"/>
      <c r="C15" s="206" t="s">
        <v>208</v>
      </c>
      <c r="D15" s="598"/>
      <c r="E15" s="597"/>
      <c r="F15" s="597"/>
      <c r="G15" s="204"/>
      <c r="H15" s="204"/>
      <c r="I15" s="205"/>
      <c r="J15" s="202"/>
      <c r="K15" s="598"/>
      <c r="L15" s="597"/>
      <c r="M15" s="192"/>
      <c r="O15" s="201"/>
      <c r="P15" s="444"/>
      <c r="Q15" s="444"/>
      <c r="R15" s="201"/>
    </row>
    <row r="16" spans="1:18" s="191" customFormat="1" ht="15.75" customHeight="1">
      <c r="A16" s="601"/>
      <c r="B16" s="602"/>
      <c r="C16" s="206" t="s">
        <v>213</v>
      </c>
      <c r="D16" s="598"/>
      <c r="E16" s="597"/>
      <c r="F16" s="597"/>
      <c r="G16" s="202"/>
      <c r="H16" s="204"/>
      <c r="I16" s="205"/>
      <c r="J16" s="202"/>
      <c r="K16" s="598"/>
      <c r="L16" s="597"/>
      <c r="O16" s="201"/>
      <c r="P16" s="444"/>
      <c r="Q16" s="444"/>
      <c r="R16" s="201"/>
    </row>
    <row r="17" spans="1:18" s="191" customFormat="1" ht="15.75" customHeight="1">
      <c r="A17" s="601"/>
      <c r="B17" s="602"/>
      <c r="C17" s="206" t="s">
        <v>214</v>
      </c>
      <c r="D17" s="598"/>
      <c r="E17" s="597"/>
      <c r="F17" s="597"/>
      <c r="G17" s="202"/>
      <c r="H17" s="204"/>
      <c r="I17" s="205"/>
      <c r="J17" s="202"/>
      <c r="K17" s="598"/>
      <c r="L17" s="597"/>
      <c r="O17" s="201"/>
      <c r="P17" s="444"/>
      <c r="Q17" s="444"/>
      <c r="R17" s="201"/>
    </row>
    <row r="18" spans="1:18" s="201" customFormat="1" ht="15.75" customHeight="1">
      <c r="A18" s="599" t="s">
        <v>190</v>
      </c>
      <c r="B18" s="599"/>
      <c r="C18" s="209" t="s">
        <v>47</v>
      </c>
      <c r="D18" s="599" t="s">
        <v>12</v>
      </c>
      <c r="E18" s="600"/>
      <c r="F18" s="600"/>
      <c r="G18" s="209" t="s">
        <v>46</v>
      </c>
      <c r="H18" s="209" t="s">
        <v>394</v>
      </c>
      <c r="I18" s="209" t="s">
        <v>395</v>
      </c>
      <c r="J18" s="162" t="s">
        <v>340</v>
      </c>
      <c r="K18" s="599" t="s">
        <v>51</v>
      </c>
      <c r="L18" s="600"/>
      <c r="M18" s="210"/>
      <c r="N18" s="191"/>
      <c r="P18" s="444"/>
      <c r="Q18" s="444"/>
    </row>
    <row r="19" spans="1:18" s="191" customFormat="1" ht="15.75" customHeight="1">
      <c r="A19" s="601">
        <v>4</v>
      </c>
      <c r="B19" s="602" t="s">
        <v>158</v>
      </c>
      <c r="C19" s="202">
        <v>1</v>
      </c>
      <c r="D19" s="598" t="s">
        <v>585</v>
      </c>
      <c r="E19" s="597"/>
      <c r="F19" s="597"/>
      <c r="G19" s="202">
        <v>6</v>
      </c>
      <c r="H19" s="204">
        <v>2952.1241315893299</v>
      </c>
      <c r="I19" s="205">
        <v>492.02068859822157</v>
      </c>
      <c r="J19" s="223">
        <v>0.94103708337286207</v>
      </c>
      <c r="K19" s="595" t="s">
        <v>472</v>
      </c>
      <c r="L19" s="596"/>
      <c r="N19" s="201"/>
      <c r="O19" s="201"/>
      <c r="P19" s="444"/>
      <c r="Q19" s="444"/>
      <c r="R19" s="201"/>
    </row>
    <row r="20" spans="1:18" s="191" customFormat="1" ht="15.75" customHeight="1">
      <c r="A20" s="601"/>
      <c r="B20" s="602"/>
      <c r="C20" s="202">
        <v>2</v>
      </c>
      <c r="D20" s="598"/>
      <c r="E20" s="597"/>
      <c r="F20" s="597"/>
      <c r="G20" s="202"/>
      <c r="H20" s="204"/>
      <c r="I20" s="205"/>
      <c r="J20" s="202"/>
      <c r="K20" s="598"/>
      <c r="L20" s="597"/>
      <c r="O20" s="201"/>
      <c r="P20" s="444"/>
      <c r="Q20" s="444"/>
      <c r="R20" s="201"/>
    </row>
    <row r="21" spans="1:18" s="191" customFormat="1" ht="15.75" customHeight="1">
      <c r="A21" s="601"/>
      <c r="B21" s="602"/>
      <c r="C21" s="202">
        <v>3</v>
      </c>
      <c r="D21" s="598"/>
      <c r="E21" s="597"/>
      <c r="F21" s="597"/>
      <c r="G21" s="202"/>
      <c r="H21" s="204"/>
      <c r="I21" s="205"/>
      <c r="J21" s="202"/>
      <c r="K21" s="598"/>
      <c r="L21" s="597"/>
      <c r="O21" s="201"/>
      <c r="P21" s="444"/>
      <c r="Q21" s="444"/>
      <c r="R21" s="201"/>
    </row>
    <row r="22" spans="1:18" s="191" customFormat="1" ht="15.75" customHeight="1">
      <c r="A22" s="601"/>
      <c r="B22" s="602"/>
      <c r="C22" s="202">
        <v>4</v>
      </c>
      <c r="D22" s="598"/>
      <c r="E22" s="597"/>
      <c r="F22" s="597"/>
      <c r="G22" s="202"/>
      <c r="H22" s="204"/>
      <c r="I22" s="205"/>
      <c r="J22" s="202"/>
      <c r="K22" s="598"/>
      <c r="L22" s="597"/>
      <c r="O22" s="201"/>
      <c r="P22" s="444"/>
      <c r="Q22" s="444"/>
      <c r="R22" s="201"/>
    </row>
    <row r="23" spans="1:18" s="191" customFormat="1" ht="15.75" customHeight="1">
      <c r="A23" s="601"/>
      <c r="B23" s="602"/>
      <c r="C23" s="202">
        <v>5</v>
      </c>
      <c r="D23" s="598"/>
      <c r="E23" s="597"/>
      <c r="F23" s="597"/>
      <c r="G23" s="202"/>
      <c r="H23" s="204"/>
      <c r="I23" s="205"/>
      <c r="J23" s="202"/>
      <c r="K23" s="598"/>
      <c r="L23" s="597"/>
      <c r="O23" s="201"/>
      <c r="P23" s="444"/>
      <c r="Q23" s="444"/>
      <c r="R23" s="201"/>
    </row>
    <row r="24" spans="1:18" s="191" customFormat="1" ht="15.75" customHeight="1">
      <c r="A24" s="601"/>
      <c r="B24" s="602"/>
      <c r="C24" s="206" t="s">
        <v>207</v>
      </c>
      <c r="D24" s="598"/>
      <c r="E24" s="597"/>
      <c r="F24" s="597"/>
      <c r="G24" s="202"/>
      <c r="H24" s="204"/>
      <c r="I24" s="205"/>
      <c r="J24" s="202"/>
      <c r="K24" s="598"/>
      <c r="L24" s="597"/>
      <c r="O24" s="201"/>
      <c r="P24" s="444"/>
      <c r="Q24" s="444"/>
      <c r="R24" s="201"/>
    </row>
    <row r="25" spans="1:18" s="191" customFormat="1" ht="15.75" customHeight="1">
      <c r="A25" s="601"/>
      <c r="B25" s="602"/>
      <c r="C25" s="206" t="s">
        <v>212</v>
      </c>
      <c r="D25" s="598"/>
      <c r="E25" s="597"/>
      <c r="F25" s="597"/>
      <c r="G25" s="202"/>
      <c r="H25" s="204"/>
      <c r="I25" s="205"/>
      <c r="J25" s="202"/>
      <c r="K25" s="598"/>
      <c r="L25" s="597"/>
      <c r="O25" s="201"/>
      <c r="P25" s="444"/>
      <c r="Q25" s="444"/>
      <c r="R25" s="201"/>
    </row>
    <row r="26" spans="1:18" s="191" customFormat="1" ht="15.75" customHeight="1">
      <c r="A26" s="601"/>
      <c r="B26" s="602"/>
      <c r="C26" s="206" t="s">
        <v>208</v>
      </c>
      <c r="D26" s="598"/>
      <c r="E26" s="597"/>
      <c r="F26" s="597"/>
      <c r="G26" s="202"/>
      <c r="H26" s="204"/>
      <c r="I26" s="205"/>
      <c r="J26" s="202"/>
      <c r="K26" s="598"/>
      <c r="L26" s="597"/>
      <c r="O26" s="201"/>
      <c r="P26" s="444"/>
      <c r="Q26" s="444"/>
      <c r="R26" s="201"/>
    </row>
    <row r="27" spans="1:18" s="191" customFormat="1" ht="15.75" customHeight="1">
      <c r="A27" s="601"/>
      <c r="B27" s="602"/>
      <c r="C27" s="206" t="s">
        <v>213</v>
      </c>
      <c r="D27" s="598"/>
      <c r="E27" s="597"/>
      <c r="F27" s="597"/>
      <c r="G27" s="202"/>
      <c r="H27" s="204"/>
      <c r="I27" s="205"/>
      <c r="J27" s="202"/>
      <c r="K27" s="598"/>
      <c r="L27" s="597"/>
      <c r="O27" s="201"/>
      <c r="P27" s="444"/>
      <c r="Q27" s="444"/>
      <c r="R27" s="201"/>
    </row>
    <row r="28" spans="1:18" s="191" customFormat="1" ht="15.75" customHeight="1">
      <c r="A28" s="601"/>
      <c r="B28" s="602"/>
      <c r="C28" s="206" t="s">
        <v>214</v>
      </c>
      <c r="D28" s="598"/>
      <c r="E28" s="597"/>
      <c r="F28" s="597"/>
      <c r="G28" s="202"/>
      <c r="H28" s="204"/>
      <c r="I28" s="205"/>
      <c r="J28" s="202"/>
      <c r="K28" s="598"/>
      <c r="L28" s="597"/>
      <c r="O28" s="201"/>
      <c r="P28" s="444"/>
      <c r="Q28" s="444"/>
      <c r="R28" s="201"/>
    </row>
    <row r="29" spans="1:18" s="191" customFormat="1" ht="15.75" customHeight="1">
      <c r="A29" s="603" t="s">
        <v>702</v>
      </c>
      <c r="B29" s="603"/>
      <c r="C29" s="603"/>
      <c r="D29" s="603"/>
      <c r="E29" s="603"/>
      <c r="F29" s="603"/>
      <c r="G29" s="603"/>
      <c r="H29" s="603"/>
      <c r="I29" s="603"/>
      <c r="J29" s="603"/>
      <c r="K29" s="603"/>
      <c r="L29" s="603"/>
    </row>
    <row r="30" spans="1:18" s="192" customFormat="1" ht="15.75" customHeight="1">
      <c r="A30" s="603"/>
      <c r="B30" s="603"/>
      <c r="C30" s="603"/>
      <c r="D30" s="603"/>
      <c r="E30" s="603"/>
      <c r="F30" s="603"/>
      <c r="G30" s="603"/>
      <c r="H30" s="603"/>
      <c r="I30" s="603"/>
      <c r="J30" s="603"/>
      <c r="K30" s="603"/>
      <c r="L30" s="603"/>
    </row>
    <row r="31" spans="1:18" s="180" customFormat="1" ht="16.350000000000001" customHeight="1">
      <c r="A31" s="601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50000000000001" customHeight="1">
      <c r="A32" s="601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02" t="s">
        <v>190</v>
      </c>
      <c r="B33" s="602"/>
      <c r="C33" s="162" t="s">
        <v>47</v>
      </c>
      <c r="D33" s="602" t="s">
        <v>12</v>
      </c>
      <c r="E33" s="604"/>
      <c r="F33" s="604"/>
      <c r="G33" s="162" t="s">
        <v>46</v>
      </c>
      <c r="H33" s="162" t="s">
        <v>394</v>
      </c>
      <c r="I33" s="162" t="s">
        <v>395</v>
      </c>
      <c r="J33" s="162" t="s">
        <v>339</v>
      </c>
      <c r="K33" s="602" t="s">
        <v>51</v>
      </c>
      <c r="L33" s="604"/>
      <c r="M33" s="195"/>
    </row>
    <row r="34" spans="1:15" s="191" customFormat="1" ht="15.75" customHeight="1">
      <c r="A34" s="601">
        <v>3</v>
      </c>
      <c r="B34" s="602" t="s">
        <v>397</v>
      </c>
      <c r="C34" s="202">
        <v>1</v>
      </c>
      <c r="D34" s="598" t="s">
        <v>504</v>
      </c>
      <c r="E34" s="597"/>
      <c r="F34" s="597"/>
      <c r="G34" s="202">
        <v>6</v>
      </c>
      <c r="H34" s="204">
        <v>3249.8074403462174</v>
      </c>
      <c r="I34" s="205">
        <v>541.63457339103616</v>
      </c>
      <c r="J34" s="223">
        <f>I34-I8</f>
        <v>-0.62549388624836411</v>
      </c>
      <c r="K34" s="598"/>
      <c r="L34" s="597"/>
      <c r="M34" s="192"/>
    </row>
    <row r="35" spans="1:15" s="191" customFormat="1" ht="15.75" customHeight="1">
      <c r="A35" s="601"/>
      <c r="B35" s="602"/>
      <c r="C35" s="202">
        <v>2</v>
      </c>
      <c r="D35" s="598" t="s">
        <v>362</v>
      </c>
      <c r="E35" s="597"/>
      <c r="F35" s="597"/>
      <c r="G35" s="202">
        <v>21.285714285714285</v>
      </c>
      <c r="H35" s="204">
        <v>2491.1695707857966</v>
      </c>
      <c r="I35" s="205">
        <v>117.07519198333515</v>
      </c>
      <c r="J35" s="223">
        <f>I35-I9</f>
        <v>-3.6970354156517686</v>
      </c>
      <c r="K35" s="598"/>
      <c r="L35" s="597"/>
      <c r="M35" s="192"/>
    </row>
    <row r="36" spans="1:15" s="191" customFormat="1" ht="15.75" customHeight="1">
      <c r="A36" s="601"/>
      <c r="B36" s="602"/>
      <c r="C36" s="202">
        <v>3</v>
      </c>
      <c r="D36" s="598" t="s">
        <v>496</v>
      </c>
      <c r="E36" s="597"/>
      <c r="F36" s="597"/>
      <c r="G36" s="202">
        <v>21.4</v>
      </c>
      <c r="H36" s="204">
        <v>2495.2576250117054</v>
      </c>
      <c r="I36" s="205">
        <v>116.64909993515498</v>
      </c>
      <c r="J36" s="223">
        <f>I36-I10</f>
        <v>-4.1172243572470819</v>
      </c>
      <c r="K36" s="598"/>
      <c r="L36" s="597"/>
      <c r="M36" s="192"/>
    </row>
    <row r="37" spans="1:15" s="191" customFormat="1" ht="15.75" customHeight="1">
      <c r="A37" s="601"/>
      <c r="B37" s="602"/>
      <c r="C37" s="202">
        <v>4</v>
      </c>
      <c r="D37" s="598"/>
      <c r="E37" s="597"/>
      <c r="F37" s="597"/>
      <c r="G37" s="202"/>
      <c r="H37" s="204"/>
      <c r="I37" s="205"/>
      <c r="J37" s="202"/>
      <c r="K37" s="598"/>
      <c r="L37" s="597"/>
      <c r="M37" s="192"/>
    </row>
    <row r="38" spans="1:15" s="191" customFormat="1" ht="15.75" customHeight="1">
      <c r="A38" s="601"/>
      <c r="B38" s="602"/>
      <c r="C38" s="202">
        <v>5</v>
      </c>
      <c r="D38" s="598"/>
      <c r="E38" s="597"/>
      <c r="F38" s="597"/>
      <c r="G38" s="202"/>
      <c r="H38" s="204"/>
      <c r="I38" s="205"/>
      <c r="J38" s="202"/>
      <c r="K38" s="598"/>
      <c r="L38" s="597"/>
      <c r="M38" s="192"/>
    </row>
    <row r="39" spans="1:15" s="191" customFormat="1" ht="15.75" customHeight="1">
      <c r="A39" s="601"/>
      <c r="B39" s="602"/>
      <c r="C39" s="206" t="s">
        <v>207</v>
      </c>
      <c r="D39" s="598"/>
      <c r="E39" s="597"/>
      <c r="F39" s="597"/>
      <c r="G39" s="202"/>
      <c r="H39" s="204"/>
      <c r="I39" s="205"/>
      <c r="J39" s="202"/>
      <c r="K39" s="598"/>
      <c r="L39" s="597"/>
      <c r="M39" s="192"/>
    </row>
    <row r="40" spans="1:15" s="191" customFormat="1" ht="15.75" customHeight="1">
      <c r="A40" s="601"/>
      <c r="B40" s="602"/>
      <c r="C40" s="206" t="s">
        <v>212</v>
      </c>
      <c r="D40" s="598"/>
      <c r="E40" s="597"/>
      <c r="F40" s="597"/>
      <c r="G40" s="202"/>
      <c r="H40" s="204"/>
      <c r="I40" s="205"/>
      <c r="J40" s="202"/>
      <c r="K40" s="598"/>
      <c r="L40" s="597"/>
      <c r="M40" s="192"/>
    </row>
    <row r="41" spans="1:15" s="191" customFormat="1" ht="15.75" customHeight="1">
      <c r="A41" s="601"/>
      <c r="B41" s="602"/>
      <c r="C41" s="206" t="s">
        <v>208</v>
      </c>
      <c r="D41" s="598"/>
      <c r="E41" s="597"/>
      <c r="F41" s="597"/>
      <c r="G41" s="204"/>
      <c r="H41" s="204"/>
      <c r="I41" s="205"/>
      <c r="J41" s="202"/>
      <c r="K41" s="598"/>
      <c r="L41" s="597"/>
      <c r="M41" s="192"/>
    </row>
    <row r="42" spans="1:15" s="191" customFormat="1" ht="15.75" customHeight="1">
      <c r="A42" s="601"/>
      <c r="B42" s="602"/>
      <c r="C42" s="206" t="s">
        <v>213</v>
      </c>
      <c r="D42" s="598"/>
      <c r="E42" s="597"/>
      <c r="F42" s="597"/>
      <c r="G42" s="202"/>
      <c r="H42" s="204"/>
      <c r="I42" s="205"/>
      <c r="J42" s="202"/>
      <c r="K42" s="598"/>
      <c r="L42" s="597"/>
    </row>
    <row r="43" spans="1:15" s="191" customFormat="1" ht="15.75" customHeight="1">
      <c r="A43" s="601"/>
      <c r="B43" s="602"/>
      <c r="C43" s="206" t="s">
        <v>214</v>
      </c>
      <c r="D43" s="598"/>
      <c r="E43" s="597"/>
      <c r="F43" s="597"/>
      <c r="G43" s="202"/>
      <c r="H43" s="204"/>
      <c r="I43" s="205"/>
      <c r="J43" s="202"/>
      <c r="K43" s="598"/>
      <c r="L43" s="597"/>
    </row>
    <row r="44" spans="1:15" s="201" customFormat="1" ht="15.75" customHeight="1">
      <c r="A44" s="599" t="s">
        <v>190</v>
      </c>
      <c r="B44" s="599"/>
      <c r="C44" s="209" t="s">
        <v>47</v>
      </c>
      <c r="D44" s="599" t="s">
        <v>12</v>
      </c>
      <c r="E44" s="600"/>
      <c r="F44" s="600"/>
      <c r="G44" s="209" t="s">
        <v>46</v>
      </c>
      <c r="H44" s="209" t="s">
        <v>394</v>
      </c>
      <c r="I44" s="209" t="s">
        <v>395</v>
      </c>
      <c r="J44" s="162" t="s">
        <v>339</v>
      </c>
      <c r="K44" s="599" t="s">
        <v>51</v>
      </c>
      <c r="L44" s="600"/>
      <c r="M44" s="210"/>
      <c r="O44" s="433"/>
    </row>
    <row r="45" spans="1:15" s="191" customFormat="1" ht="15.75" customHeight="1">
      <c r="A45" s="601">
        <v>4</v>
      </c>
      <c r="B45" s="602" t="s">
        <v>158</v>
      </c>
      <c r="C45" s="202">
        <v>1</v>
      </c>
      <c r="D45" s="598"/>
      <c r="E45" s="597"/>
      <c r="F45" s="597"/>
      <c r="G45" s="202"/>
      <c r="H45" s="204"/>
      <c r="I45" s="205"/>
      <c r="J45" s="202"/>
      <c r="K45" s="598"/>
      <c r="L45" s="597"/>
    </row>
    <row r="46" spans="1:15" s="191" customFormat="1" ht="15.75" customHeight="1">
      <c r="A46" s="601"/>
      <c r="B46" s="602"/>
      <c r="C46" s="202">
        <v>2</v>
      </c>
      <c r="D46" s="598"/>
      <c r="E46" s="597"/>
      <c r="F46" s="597"/>
      <c r="G46" s="202"/>
      <c r="H46" s="204"/>
      <c r="I46" s="205"/>
      <c r="J46" s="202"/>
      <c r="K46" s="598"/>
      <c r="L46" s="597"/>
      <c r="O46" s="434"/>
    </row>
    <row r="47" spans="1:15" s="191" customFormat="1" ht="15.75" customHeight="1">
      <c r="A47" s="601"/>
      <c r="B47" s="602"/>
      <c r="C47" s="202">
        <v>3</v>
      </c>
      <c r="D47" s="598"/>
      <c r="E47" s="597"/>
      <c r="F47" s="597"/>
      <c r="G47" s="202"/>
      <c r="H47" s="204"/>
      <c r="I47" s="205"/>
      <c r="J47" s="202"/>
      <c r="K47" s="598"/>
      <c r="L47" s="597"/>
    </row>
    <row r="48" spans="1:15" s="191" customFormat="1" ht="15.75" customHeight="1">
      <c r="A48" s="601"/>
      <c r="B48" s="602"/>
      <c r="C48" s="202">
        <v>4</v>
      </c>
      <c r="D48" s="598"/>
      <c r="E48" s="597"/>
      <c r="F48" s="597"/>
      <c r="G48" s="202"/>
      <c r="H48" s="204"/>
      <c r="I48" s="205"/>
      <c r="J48" s="202"/>
      <c r="K48" s="598"/>
      <c r="L48" s="597"/>
    </row>
    <row r="49" spans="1:18" s="191" customFormat="1" ht="15.75" customHeight="1">
      <c r="A49" s="601"/>
      <c r="B49" s="602"/>
      <c r="C49" s="202">
        <v>5</v>
      </c>
      <c r="D49" s="598"/>
      <c r="E49" s="597"/>
      <c r="F49" s="597"/>
      <c r="G49" s="202"/>
      <c r="H49" s="204"/>
      <c r="I49" s="205"/>
      <c r="J49" s="202"/>
      <c r="K49" s="598"/>
      <c r="L49" s="597"/>
    </row>
    <row r="50" spans="1:18" s="191" customFormat="1" ht="15.75" customHeight="1">
      <c r="A50" s="601"/>
      <c r="B50" s="602"/>
      <c r="C50" s="206" t="s">
        <v>207</v>
      </c>
      <c r="D50" s="598"/>
      <c r="E50" s="597"/>
      <c r="F50" s="597"/>
      <c r="G50" s="202"/>
      <c r="H50" s="204"/>
      <c r="I50" s="205"/>
      <c r="J50" s="202"/>
      <c r="K50" s="598"/>
      <c r="L50" s="597"/>
    </row>
    <row r="51" spans="1:18" s="191" customFormat="1" ht="15.75" customHeight="1">
      <c r="A51" s="601"/>
      <c r="B51" s="602"/>
      <c r="C51" s="206" t="s">
        <v>212</v>
      </c>
      <c r="D51" s="598"/>
      <c r="E51" s="597"/>
      <c r="F51" s="597"/>
      <c r="G51" s="202"/>
      <c r="H51" s="204"/>
      <c r="I51" s="205"/>
      <c r="J51" s="202"/>
      <c r="K51" s="598"/>
      <c r="L51" s="597"/>
    </row>
    <row r="52" spans="1:18" s="191" customFormat="1" ht="15.75" customHeight="1">
      <c r="A52" s="601"/>
      <c r="B52" s="602"/>
      <c r="C52" s="206" t="s">
        <v>208</v>
      </c>
      <c r="D52" s="598"/>
      <c r="E52" s="597"/>
      <c r="F52" s="597"/>
      <c r="G52" s="202"/>
      <c r="H52" s="204"/>
      <c r="I52" s="205"/>
      <c r="J52" s="202"/>
      <c r="K52" s="598"/>
      <c r="L52" s="597"/>
    </row>
    <row r="53" spans="1:18" s="191" customFormat="1" ht="15.75" customHeight="1">
      <c r="A53" s="601"/>
      <c r="B53" s="602"/>
      <c r="C53" s="206" t="s">
        <v>213</v>
      </c>
      <c r="D53" s="598"/>
      <c r="E53" s="597"/>
      <c r="F53" s="597"/>
      <c r="G53" s="202"/>
      <c r="H53" s="204"/>
      <c r="I53" s="205"/>
      <c r="J53" s="202"/>
      <c r="K53" s="598"/>
      <c r="L53" s="597"/>
    </row>
    <row r="54" spans="1:18" s="191" customFormat="1" ht="15.75" customHeight="1">
      <c r="A54" s="601"/>
      <c r="B54" s="602"/>
      <c r="C54" s="206" t="s">
        <v>214</v>
      </c>
      <c r="D54" s="598"/>
      <c r="E54" s="597"/>
      <c r="F54" s="597"/>
      <c r="G54" s="202"/>
      <c r="H54" s="204"/>
      <c r="I54" s="205"/>
      <c r="J54" s="202"/>
      <c r="K54" s="598"/>
      <c r="L54" s="597"/>
    </row>
    <row r="55" spans="1:18" s="191" customFormat="1" ht="15.75" customHeight="1">
      <c r="A55" s="603" t="s">
        <v>705</v>
      </c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</row>
    <row r="56" spans="1:18" s="192" customFormat="1" ht="15.75" customHeight="1">
      <c r="A56" s="603"/>
      <c r="B56" s="603"/>
      <c r="C56" s="603"/>
      <c r="D56" s="603"/>
      <c r="E56" s="603"/>
      <c r="F56" s="603"/>
      <c r="G56" s="603"/>
      <c r="H56" s="603"/>
      <c r="I56" s="603"/>
      <c r="J56" s="603"/>
      <c r="K56" s="603"/>
      <c r="L56" s="603"/>
    </row>
    <row r="57" spans="1:18" s="180" customFormat="1" ht="16.350000000000001" customHeight="1">
      <c r="A57" s="601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01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02" t="s">
        <v>190</v>
      </c>
      <c r="B59" s="602"/>
      <c r="C59" s="162" t="s">
        <v>47</v>
      </c>
      <c r="D59" s="602" t="s">
        <v>12</v>
      </c>
      <c r="E59" s="604"/>
      <c r="F59" s="604"/>
      <c r="G59" s="162" t="s">
        <v>46</v>
      </c>
      <c r="H59" s="162" t="s">
        <v>394</v>
      </c>
      <c r="I59" s="162" t="s">
        <v>395</v>
      </c>
      <c r="J59" s="162" t="s">
        <v>339</v>
      </c>
      <c r="K59" s="602" t="s">
        <v>51</v>
      </c>
      <c r="L59" s="604"/>
      <c r="M59" s="195"/>
      <c r="N59" s="191"/>
      <c r="O59" s="201"/>
      <c r="P59" s="444"/>
      <c r="Q59" s="444"/>
      <c r="R59" s="201"/>
    </row>
    <row r="60" spans="1:18" s="191" customFormat="1" ht="15.75" customHeight="1">
      <c r="A60" s="601">
        <v>3</v>
      </c>
      <c r="B60" s="602" t="s">
        <v>397</v>
      </c>
      <c r="C60" s="202">
        <v>1</v>
      </c>
      <c r="D60" s="598"/>
      <c r="E60" s="597"/>
      <c r="F60" s="597"/>
      <c r="G60" s="202"/>
      <c r="H60" s="204"/>
      <c r="I60" s="205"/>
      <c r="J60" s="223">
        <f>I60-I34</f>
        <v>-541.63457339103616</v>
      </c>
      <c r="K60" s="598"/>
      <c r="L60" s="597"/>
      <c r="M60" s="192"/>
      <c r="O60" s="201"/>
      <c r="P60" s="444"/>
      <c r="Q60" s="444"/>
      <c r="R60" s="201"/>
    </row>
    <row r="61" spans="1:18" s="191" customFormat="1" ht="15.75" customHeight="1">
      <c r="A61" s="601"/>
      <c r="B61" s="602"/>
      <c r="C61" s="202">
        <v>2</v>
      </c>
      <c r="D61" s="598"/>
      <c r="E61" s="597"/>
      <c r="F61" s="597"/>
      <c r="G61" s="202"/>
      <c r="H61" s="204"/>
      <c r="I61" s="205"/>
      <c r="J61" s="223">
        <f>I61-I36</f>
        <v>-116.64909993515498</v>
      </c>
      <c r="K61" s="598"/>
      <c r="L61" s="597"/>
      <c r="M61" s="192"/>
      <c r="O61" s="201"/>
      <c r="P61" s="444"/>
      <c r="Q61" s="444"/>
      <c r="R61" s="201"/>
    </row>
    <row r="62" spans="1:18" s="191" customFormat="1" ht="15.75" customHeight="1">
      <c r="A62" s="601"/>
      <c r="B62" s="602"/>
      <c r="C62" s="202">
        <v>3</v>
      </c>
      <c r="D62" s="598"/>
      <c r="E62" s="597"/>
      <c r="F62" s="597"/>
      <c r="G62" s="202"/>
      <c r="H62" s="204"/>
      <c r="I62" s="205"/>
      <c r="J62" s="223">
        <f>I62-I35</f>
        <v>-117.07519198333515</v>
      </c>
      <c r="K62" s="598"/>
      <c r="L62" s="597"/>
      <c r="M62" s="192"/>
      <c r="O62" s="201"/>
      <c r="P62" s="444"/>
      <c r="Q62" s="444"/>
      <c r="R62" s="201"/>
    </row>
    <row r="63" spans="1:18" s="191" customFormat="1" ht="15.75" customHeight="1">
      <c r="A63" s="601"/>
      <c r="B63" s="602"/>
      <c r="C63" s="202">
        <v>4</v>
      </c>
      <c r="D63" s="598"/>
      <c r="E63" s="597"/>
      <c r="F63" s="597"/>
      <c r="G63" s="202"/>
      <c r="H63" s="204"/>
      <c r="I63" s="205"/>
      <c r="J63" s="202"/>
      <c r="K63" s="598"/>
      <c r="L63" s="597"/>
      <c r="M63" s="192"/>
      <c r="O63" s="201"/>
      <c r="P63" s="444"/>
      <c r="Q63" s="444"/>
      <c r="R63" s="201"/>
    </row>
    <row r="64" spans="1:18" s="191" customFormat="1" ht="15.75" customHeight="1">
      <c r="A64" s="601"/>
      <c r="B64" s="602"/>
      <c r="C64" s="202">
        <v>5</v>
      </c>
      <c r="D64" s="598"/>
      <c r="E64" s="597"/>
      <c r="F64" s="597"/>
      <c r="G64" s="202"/>
      <c r="H64" s="204"/>
      <c r="I64" s="205"/>
      <c r="J64" s="202"/>
      <c r="K64" s="598"/>
      <c r="L64" s="597"/>
      <c r="M64" s="192"/>
      <c r="O64" s="201"/>
      <c r="P64" s="444"/>
      <c r="Q64" s="444"/>
      <c r="R64" s="201"/>
    </row>
    <row r="65" spans="1:18" s="191" customFormat="1" ht="15.75" customHeight="1">
      <c r="A65" s="601"/>
      <c r="B65" s="602"/>
      <c r="C65" s="206" t="s">
        <v>207</v>
      </c>
      <c r="D65" s="598"/>
      <c r="E65" s="597"/>
      <c r="F65" s="597"/>
      <c r="G65" s="202"/>
      <c r="H65" s="204"/>
      <c r="I65" s="205"/>
      <c r="J65" s="202"/>
      <c r="K65" s="598"/>
      <c r="L65" s="597"/>
      <c r="M65" s="192"/>
      <c r="O65" s="201"/>
      <c r="P65" s="444"/>
      <c r="Q65" s="444"/>
      <c r="R65" s="201"/>
    </row>
    <row r="66" spans="1:18" s="191" customFormat="1" ht="15.75" customHeight="1">
      <c r="A66" s="601"/>
      <c r="B66" s="602"/>
      <c r="C66" s="206" t="s">
        <v>212</v>
      </c>
      <c r="D66" s="598"/>
      <c r="E66" s="597"/>
      <c r="F66" s="597"/>
      <c r="G66" s="202"/>
      <c r="H66" s="204"/>
      <c r="I66" s="205"/>
      <c r="J66" s="202"/>
      <c r="K66" s="598"/>
      <c r="L66" s="597"/>
      <c r="M66" s="192"/>
      <c r="N66" s="180"/>
      <c r="O66" s="180"/>
      <c r="P66" s="443"/>
      <c r="Q66" s="443"/>
      <c r="R66" s="180"/>
    </row>
    <row r="67" spans="1:18" s="191" customFormat="1" ht="15.75" customHeight="1">
      <c r="A67" s="601"/>
      <c r="B67" s="602"/>
      <c r="C67" s="206" t="s">
        <v>208</v>
      </c>
      <c r="D67" s="598"/>
      <c r="E67" s="597"/>
      <c r="F67" s="597"/>
      <c r="G67" s="204"/>
      <c r="H67" s="204"/>
      <c r="I67" s="205"/>
      <c r="J67" s="202"/>
      <c r="K67" s="598"/>
      <c r="L67" s="597"/>
      <c r="M67" s="192"/>
      <c r="O67" s="201"/>
      <c r="P67" s="444"/>
      <c r="Q67" s="444"/>
      <c r="R67" s="201"/>
    </row>
    <row r="68" spans="1:18" s="191" customFormat="1" ht="15.75" customHeight="1">
      <c r="A68" s="601"/>
      <c r="B68" s="602"/>
      <c r="C68" s="206" t="s">
        <v>213</v>
      </c>
      <c r="D68" s="598"/>
      <c r="E68" s="597"/>
      <c r="F68" s="597"/>
      <c r="G68" s="202"/>
      <c r="H68" s="204"/>
      <c r="I68" s="205"/>
      <c r="J68" s="202"/>
      <c r="K68" s="598"/>
      <c r="L68" s="597"/>
      <c r="O68" s="201"/>
      <c r="P68" s="444"/>
      <c r="Q68" s="444"/>
      <c r="R68" s="201"/>
    </row>
    <row r="69" spans="1:18" s="191" customFormat="1" ht="15.75" customHeight="1">
      <c r="A69" s="601"/>
      <c r="B69" s="602"/>
      <c r="C69" s="206" t="s">
        <v>214</v>
      </c>
      <c r="D69" s="598"/>
      <c r="E69" s="597"/>
      <c r="F69" s="597"/>
      <c r="G69" s="202"/>
      <c r="H69" s="204"/>
      <c r="I69" s="205"/>
      <c r="J69" s="202"/>
      <c r="K69" s="598"/>
      <c r="L69" s="597"/>
      <c r="O69" s="201"/>
      <c r="P69" s="444"/>
      <c r="Q69" s="444"/>
      <c r="R69" s="201"/>
    </row>
    <row r="70" spans="1:18" s="201" customFormat="1" ht="15.75" customHeight="1">
      <c r="A70" s="599" t="s">
        <v>190</v>
      </c>
      <c r="B70" s="599"/>
      <c r="C70" s="209" t="s">
        <v>47</v>
      </c>
      <c r="D70" s="599" t="s">
        <v>12</v>
      </c>
      <c r="E70" s="600"/>
      <c r="F70" s="600"/>
      <c r="G70" s="209" t="s">
        <v>46</v>
      </c>
      <c r="H70" s="209" t="s">
        <v>394</v>
      </c>
      <c r="I70" s="209" t="s">
        <v>395</v>
      </c>
      <c r="J70" s="162" t="s">
        <v>339</v>
      </c>
      <c r="K70" s="599" t="s">
        <v>51</v>
      </c>
      <c r="L70" s="600"/>
      <c r="M70" s="210"/>
      <c r="N70" s="191"/>
      <c r="P70" s="444"/>
      <c r="Q70" s="444"/>
    </row>
    <row r="71" spans="1:18" s="191" customFormat="1" ht="15.75" customHeight="1">
      <c r="A71" s="601">
        <v>4</v>
      </c>
      <c r="B71" s="602" t="s">
        <v>158</v>
      </c>
      <c r="C71" s="202">
        <v>1</v>
      </c>
      <c r="D71" s="598"/>
      <c r="E71" s="597"/>
      <c r="F71" s="597"/>
      <c r="G71" s="202"/>
      <c r="H71" s="204"/>
      <c r="I71" s="205"/>
      <c r="J71" s="202"/>
      <c r="K71" s="598"/>
      <c r="L71" s="597"/>
      <c r="N71" s="201"/>
      <c r="O71" s="201"/>
      <c r="P71" s="444"/>
      <c r="Q71" s="444"/>
      <c r="R71" s="201"/>
    </row>
    <row r="72" spans="1:18" s="191" customFormat="1" ht="15.75" customHeight="1">
      <c r="A72" s="601"/>
      <c r="B72" s="602"/>
      <c r="C72" s="202">
        <v>2</v>
      </c>
      <c r="D72" s="598"/>
      <c r="E72" s="597"/>
      <c r="F72" s="597"/>
      <c r="G72" s="202"/>
      <c r="H72" s="204"/>
      <c r="I72" s="205"/>
      <c r="J72" s="202"/>
      <c r="K72" s="598"/>
      <c r="L72" s="597"/>
      <c r="O72" s="201"/>
      <c r="P72" s="444"/>
      <c r="Q72" s="444"/>
      <c r="R72" s="201"/>
    </row>
    <row r="73" spans="1:18" s="191" customFormat="1" ht="15.75" customHeight="1">
      <c r="A73" s="601"/>
      <c r="B73" s="602"/>
      <c r="C73" s="202">
        <v>3</v>
      </c>
      <c r="D73" s="598"/>
      <c r="E73" s="597"/>
      <c r="F73" s="597"/>
      <c r="G73" s="202"/>
      <c r="H73" s="204"/>
      <c r="I73" s="205"/>
      <c r="J73" s="202"/>
      <c r="K73" s="598"/>
      <c r="L73" s="597"/>
      <c r="O73" s="201"/>
      <c r="P73" s="444"/>
      <c r="Q73" s="444"/>
      <c r="R73" s="201"/>
    </row>
    <row r="74" spans="1:18" s="191" customFormat="1" ht="15.75" customHeight="1">
      <c r="A74" s="601"/>
      <c r="B74" s="602"/>
      <c r="C74" s="202">
        <v>4</v>
      </c>
      <c r="D74" s="598"/>
      <c r="E74" s="597"/>
      <c r="F74" s="597"/>
      <c r="G74" s="202"/>
      <c r="H74" s="204"/>
      <c r="I74" s="205"/>
      <c r="J74" s="202"/>
      <c r="K74" s="598"/>
      <c r="L74" s="597"/>
      <c r="O74" s="201"/>
      <c r="P74" s="444"/>
      <c r="Q74" s="444"/>
      <c r="R74" s="201"/>
    </row>
    <row r="75" spans="1:18" s="191" customFormat="1" ht="15.75" customHeight="1">
      <c r="A75" s="601"/>
      <c r="B75" s="602"/>
      <c r="C75" s="202">
        <v>5</v>
      </c>
      <c r="D75" s="598"/>
      <c r="E75" s="597"/>
      <c r="F75" s="597"/>
      <c r="G75" s="202"/>
      <c r="H75" s="204"/>
      <c r="I75" s="205"/>
      <c r="J75" s="202"/>
      <c r="K75" s="598"/>
      <c r="L75" s="597"/>
      <c r="O75" s="201"/>
      <c r="P75" s="444"/>
      <c r="Q75" s="444"/>
      <c r="R75" s="201"/>
    </row>
    <row r="76" spans="1:18" s="191" customFormat="1" ht="15.75" customHeight="1">
      <c r="A76" s="601"/>
      <c r="B76" s="602"/>
      <c r="C76" s="206" t="s">
        <v>207</v>
      </c>
      <c r="D76" s="598"/>
      <c r="E76" s="597"/>
      <c r="F76" s="597"/>
      <c r="G76" s="202"/>
      <c r="H76" s="204"/>
      <c r="I76" s="205"/>
      <c r="J76" s="202"/>
      <c r="K76" s="598"/>
      <c r="L76" s="597"/>
      <c r="O76" s="201"/>
      <c r="P76" s="444"/>
      <c r="Q76" s="444"/>
      <c r="R76" s="201"/>
    </row>
    <row r="77" spans="1:18" s="191" customFormat="1" ht="15.75" customHeight="1">
      <c r="A77" s="601"/>
      <c r="B77" s="602"/>
      <c r="C77" s="206" t="s">
        <v>212</v>
      </c>
      <c r="D77" s="598"/>
      <c r="E77" s="597"/>
      <c r="F77" s="597"/>
      <c r="G77" s="202"/>
      <c r="H77" s="204"/>
      <c r="I77" s="205"/>
      <c r="J77" s="202"/>
      <c r="K77" s="598"/>
      <c r="L77" s="597"/>
      <c r="O77" s="201"/>
      <c r="P77" s="444"/>
      <c r="Q77" s="444"/>
      <c r="R77" s="201"/>
    </row>
    <row r="78" spans="1:18" s="191" customFormat="1" ht="15.75" customHeight="1">
      <c r="A78" s="601"/>
      <c r="B78" s="602"/>
      <c r="C78" s="206" t="s">
        <v>208</v>
      </c>
      <c r="D78" s="598"/>
      <c r="E78" s="597"/>
      <c r="F78" s="597"/>
      <c r="G78" s="202"/>
      <c r="H78" s="204"/>
      <c r="I78" s="205"/>
      <c r="J78" s="202"/>
      <c r="K78" s="598"/>
      <c r="L78" s="597"/>
      <c r="O78" s="201"/>
      <c r="P78" s="444"/>
      <c r="Q78" s="444"/>
      <c r="R78" s="201"/>
    </row>
    <row r="79" spans="1:18" s="191" customFormat="1" ht="15.75" customHeight="1">
      <c r="A79" s="601"/>
      <c r="B79" s="602"/>
      <c r="C79" s="206" t="s">
        <v>213</v>
      </c>
      <c r="D79" s="598"/>
      <c r="E79" s="597"/>
      <c r="F79" s="597"/>
      <c r="G79" s="202"/>
      <c r="H79" s="204"/>
      <c r="I79" s="205"/>
      <c r="J79" s="202"/>
      <c r="K79" s="598"/>
      <c r="L79" s="597"/>
      <c r="O79" s="201"/>
      <c r="P79" s="444"/>
      <c r="Q79" s="444"/>
      <c r="R79" s="201"/>
    </row>
    <row r="80" spans="1:18" s="191" customFormat="1" ht="15.75" customHeight="1">
      <c r="A80" s="601"/>
      <c r="B80" s="602"/>
      <c r="C80" s="206" t="s">
        <v>214</v>
      </c>
      <c r="D80" s="598"/>
      <c r="E80" s="597"/>
      <c r="F80" s="597"/>
      <c r="G80" s="202"/>
      <c r="H80" s="204"/>
      <c r="I80" s="205"/>
      <c r="J80" s="202"/>
      <c r="K80" s="598"/>
      <c r="L80" s="597"/>
      <c r="O80" s="201"/>
      <c r="P80" s="444"/>
      <c r="Q80" s="444"/>
      <c r="R80" s="201"/>
    </row>
    <row r="81" spans="1:18" s="191" customFormat="1" ht="15.75" customHeight="1">
      <c r="A81" s="603" t="s">
        <v>703</v>
      </c>
      <c r="B81" s="603"/>
      <c r="C81" s="603"/>
      <c r="D81" s="603"/>
      <c r="E81" s="603"/>
      <c r="F81" s="603"/>
      <c r="G81" s="603"/>
      <c r="H81" s="603"/>
      <c r="I81" s="603"/>
      <c r="J81" s="603"/>
      <c r="K81" s="603"/>
      <c r="L81" s="603"/>
    </row>
    <row r="82" spans="1:18" s="192" customFormat="1" ht="15.75" customHeight="1">
      <c r="A82" s="603"/>
      <c r="B82" s="603"/>
      <c r="C82" s="603"/>
      <c r="D82" s="603"/>
      <c r="E82" s="603"/>
      <c r="F82" s="603"/>
      <c r="G82" s="603"/>
      <c r="H82" s="603"/>
      <c r="I82" s="603"/>
      <c r="J82" s="603"/>
      <c r="K82" s="603"/>
      <c r="L82" s="603"/>
    </row>
    <row r="83" spans="1:18" s="180" customFormat="1" ht="16.350000000000001" customHeight="1">
      <c r="A83" s="601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01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02" t="s">
        <v>190</v>
      </c>
      <c r="B85" s="602"/>
      <c r="C85" s="162" t="s">
        <v>47</v>
      </c>
      <c r="D85" s="602" t="s">
        <v>12</v>
      </c>
      <c r="E85" s="604"/>
      <c r="F85" s="604"/>
      <c r="G85" s="162" t="s">
        <v>46</v>
      </c>
      <c r="H85" s="162" t="s">
        <v>394</v>
      </c>
      <c r="I85" s="162" t="s">
        <v>395</v>
      </c>
      <c r="J85" s="162" t="s">
        <v>339</v>
      </c>
      <c r="K85" s="602" t="s">
        <v>51</v>
      </c>
      <c r="L85" s="604"/>
      <c r="M85" s="195"/>
      <c r="N85" s="191"/>
      <c r="O85" s="201"/>
      <c r="P85" s="444"/>
      <c r="Q85" s="444"/>
      <c r="R85" s="201"/>
    </row>
    <row r="86" spans="1:18" s="191" customFormat="1" ht="15.75" customHeight="1">
      <c r="A86" s="601">
        <v>3</v>
      </c>
      <c r="B86" s="602" t="s">
        <v>397</v>
      </c>
      <c r="C86" s="202">
        <v>1</v>
      </c>
      <c r="D86" s="598"/>
      <c r="E86" s="597"/>
      <c r="F86" s="597"/>
      <c r="G86" s="202"/>
      <c r="H86" s="204"/>
      <c r="I86" s="205"/>
      <c r="J86" s="223">
        <f>I86-I60</f>
        <v>0</v>
      </c>
      <c r="K86" s="598"/>
      <c r="L86" s="597"/>
      <c r="M86" s="192"/>
      <c r="O86" s="201"/>
      <c r="P86" s="444"/>
      <c r="Q86" s="444"/>
      <c r="R86" s="201"/>
    </row>
    <row r="87" spans="1:18" s="191" customFormat="1" ht="15.75" customHeight="1">
      <c r="A87" s="601"/>
      <c r="B87" s="602"/>
      <c r="C87" s="202">
        <v>2</v>
      </c>
      <c r="D87" s="598"/>
      <c r="E87" s="597"/>
      <c r="F87" s="597"/>
      <c r="G87" s="202"/>
      <c r="H87" s="204"/>
      <c r="I87" s="205"/>
      <c r="J87" s="223">
        <f>I87-I61</f>
        <v>0</v>
      </c>
      <c r="K87" s="598"/>
      <c r="L87" s="597"/>
      <c r="M87" s="192"/>
      <c r="O87" s="201"/>
      <c r="P87" s="444"/>
      <c r="Q87" s="444"/>
      <c r="R87" s="201"/>
    </row>
    <row r="88" spans="1:18" s="191" customFormat="1" ht="15.75" customHeight="1">
      <c r="A88" s="601"/>
      <c r="B88" s="602"/>
      <c r="C88" s="202">
        <v>3</v>
      </c>
      <c r="D88" s="598"/>
      <c r="E88" s="597"/>
      <c r="F88" s="597"/>
      <c r="G88" s="202"/>
      <c r="H88" s="204"/>
      <c r="I88" s="205"/>
      <c r="J88" s="223">
        <f>I88-I62</f>
        <v>0</v>
      </c>
      <c r="K88" s="598"/>
      <c r="L88" s="597"/>
      <c r="M88" s="192"/>
      <c r="O88" s="201"/>
      <c r="P88" s="444"/>
      <c r="Q88" s="444"/>
      <c r="R88" s="201"/>
    </row>
    <row r="89" spans="1:18" s="191" customFormat="1" ht="15.75" customHeight="1">
      <c r="A89" s="601"/>
      <c r="B89" s="602"/>
      <c r="C89" s="202">
        <v>4</v>
      </c>
      <c r="D89" s="598"/>
      <c r="E89" s="597"/>
      <c r="F89" s="597"/>
      <c r="G89" s="202"/>
      <c r="H89" s="204"/>
      <c r="I89" s="205"/>
      <c r="J89" s="202"/>
      <c r="K89" s="598"/>
      <c r="L89" s="597"/>
      <c r="M89" s="192"/>
      <c r="O89" s="201"/>
      <c r="P89" s="444"/>
      <c r="Q89" s="444"/>
      <c r="R89" s="201"/>
    </row>
    <row r="90" spans="1:18" s="191" customFormat="1" ht="15.75" customHeight="1">
      <c r="A90" s="601"/>
      <c r="B90" s="602"/>
      <c r="C90" s="202">
        <v>5</v>
      </c>
      <c r="D90" s="598"/>
      <c r="E90" s="597"/>
      <c r="F90" s="597"/>
      <c r="G90" s="202"/>
      <c r="H90" s="204"/>
      <c r="I90" s="205"/>
      <c r="J90" s="202"/>
      <c r="K90" s="598"/>
      <c r="L90" s="597"/>
      <c r="M90" s="192"/>
      <c r="O90" s="201"/>
      <c r="P90" s="444"/>
      <c r="Q90" s="444"/>
      <c r="R90" s="201"/>
    </row>
    <row r="91" spans="1:18" s="191" customFormat="1" ht="15.75" customHeight="1">
      <c r="A91" s="601"/>
      <c r="B91" s="602"/>
      <c r="C91" s="206" t="s">
        <v>207</v>
      </c>
      <c r="D91" s="598"/>
      <c r="E91" s="597"/>
      <c r="F91" s="597"/>
      <c r="G91" s="202"/>
      <c r="H91" s="204"/>
      <c r="I91" s="205"/>
      <c r="J91" s="202"/>
      <c r="K91" s="598"/>
      <c r="L91" s="597"/>
      <c r="M91" s="192"/>
      <c r="O91" s="201"/>
      <c r="P91" s="444"/>
      <c r="Q91" s="444"/>
      <c r="R91" s="201"/>
    </row>
    <row r="92" spans="1:18" s="191" customFormat="1" ht="15.75" customHeight="1">
      <c r="A92" s="601"/>
      <c r="B92" s="602"/>
      <c r="C92" s="206" t="s">
        <v>212</v>
      </c>
      <c r="D92" s="598"/>
      <c r="E92" s="597"/>
      <c r="F92" s="597"/>
      <c r="G92" s="202"/>
      <c r="H92" s="204"/>
      <c r="I92" s="205"/>
      <c r="J92" s="202"/>
      <c r="K92" s="598"/>
      <c r="L92" s="597"/>
      <c r="M92" s="192"/>
      <c r="N92" s="180"/>
      <c r="O92" s="180"/>
      <c r="P92" s="443"/>
      <c r="Q92" s="443"/>
      <c r="R92" s="180"/>
    </row>
    <row r="93" spans="1:18" s="191" customFormat="1" ht="15.75" customHeight="1">
      <c r="A93" s="601"/>
      <c r="B93" s="602"/>
      <c r="C93" s="206" t="s">
        <v>208</v>
      </c>
      <c r="D93" s="598"/>
      <c r="E93" s="597"/>
      <c r="F93" s="597"/>
      <c r="G93" s="204"/>
      <c r="H93" s="204"/>
      <c r="I93" s="205"/>
      <c r="J93" s="202"/>
      <c r="K93" s="598"/>
      <c r="L93" s="597"/>
      <c r="M93" s="192"/>
      <c r="O93" s="201"/>
      <c r="P93" s="444"/>
      <c r="Q93" s="444"/>
      <c r="R93" s="201"/>
    </row>
    <row r="94" spans="1:18" s="191" customFormat="1" ht="15.75" customHeight="1">
      <c r="A94" s="601"/>
      <c r="B94" s="602"/>
      <c r="C94" s="206" t="s">
        <v>213</v>
      </c>
      <c r="D94" s="598"/>
      <c r="E94" s="597"/>
      <c r="F94" s="597"/>
      <c r="G94" s="202"/>
      <c r="H94" s="204"/>
      <c r="I94" s="205"/>
      <c r="J94" s="202"/>
      <c r="K94" s="598"/>
      <c r="L94" s="597"/>
      <c r="O94" s="201"/>
      <c r="P94" s="444"/>
      <c r="Q94" s="444"/>
      <c r="R94" s="201"/>
    </row>
    <row r="95" spans="1:18" s="191" customFormat="1" ht="15.75" customHeight="1">
      <c r="A95" s="601"/>
      <c r="B95" s="602"/>
      <c r="C95" s="206" t="s">
        <v>214</v>
      </c>
      <c r="D95" s="598"/>
      <c r="E95" s="597"/>
      <c r="F95" s="597"/>
      <c r="G95" s="202"/>
      <c r="H95" s="204"/>
      <c r="I95" s="205"/>
      <c r="J95" s="202"/>
      <c r="K95" s="598"/>
      <c r="L95" s="597"/>
      <c r="O95" s="201"/>
      <c r="P95" s="444"/>
      <c r="Q95" s="444"/>
      <c r="R95" s="201"/>
    </row>
    <row r="96" spans="1:18" s="201" customFormat="1" ht="15.75" customHeight="1">
      <c r="A96" s="599" t="s">
        <v>190</v>
      </c>
      <c r="B96" s="599"/>
      <c r="C96" s="209" t="s">
        <v>47</v>
      </c>
      <c r="D96" s="599" t="s">
        <v>12</v>
      </c>
      <c r="E96" s="600"/>
      <c r="F96" s="600"/>
      <c r="G96" s="209" t="s">
        <v>46</v>
      </c>
      <c r="H96" s="209" t="s">
        <v>394</v>
      </c>
      <c r="I96" s="209" t="s">
        <v>395</v>
      </c>
      <c r="J96" s="162" t="s">
        <v>339</v>
      </c>
      <c r="K96" s="599" t="s">
        <v>51</v>
      </c>
      <c r="L96" s="600"/>
      <c r="M96" s="210"/>
      <c r="N96" s="191"/>
      <c r="P96" s="444"/>
      <c r="Q96" s="444"/>
    </row>
    <row r="97" spans="1:18" s="191" customFormat="1" ht="15.75" customHeight="1">
      <c r="A97" s="601">
        <v>4</v>
      </c>
      <c r="B97" s="602" t="s">
        <v>158</v>
      </c>
      <c r="C97" s="202">
        <v>1</v>
      </c>
      <c r="D97" s="598"/>
      <c r="E97" s="597"/>
      <c r="F97" s="597"/>
      <c r="G97" s="202"/>
      <c r="H97" s="204"/>
      <c r="I97" s="205"/>
      <c r="J97" s="223">
        <f>I97-I71</f>
        <v>0</v>
      </c>
      <c r="K97" s="605"/>
      <c r="L97" s="597"/>
      <c r="N97" s="201"/>
      <c r="O97" s="201"/>
      <c r="P97" s="444"/>
      <c r="Q97" s="444"/>
      <c r="R97" s="201"/>
    </row>
    <row r="98" spans="1:18" s="191" customFormat="1" ht="15.75" customHeight="1">
      <c r="A98" s="601"/>
      <c r="B98" s="602"/>
      <c r="C98" s="202">
        <v>2</v>
      </c>
      <c r="D98" s="598"/>
      <c r="E98" s="597"/>
      <c r="F98" s="597"/>
      <c r="G98" s="202"/>
      <c r="H98" s="204"/>
      <c r="I98" s="205"/>
      <c r="J98" s="202"/>
      <c r="K98" s="598"/>
      <c r="L98" s="597"/>
      <c r="O98" s="201"/>
      <c r="P98" s="444"/>
      <c r="Q98" s="444"/>
      <c r="R98" s="201"/>
    </row>
    <row r="99" spans="1:18" s="191" customFormat="1" ht="15.75" customHeight="1">
      <c r="A99" s="601"/>
      <c r="B99" s="602"/>
      <c r="C99" s="202">
        <v>3</v>
      </c>
      <c r="D99" s="598"/>
      <c r="E99" s="597"/>
      <c r="F99" s="597"/>
      <c r="G99" s="202"/>
      <c r="H99" s="204"/>
      <c r="I99" s="205"/>
      <c r="J99" s="202"/>
      <c r="K99" s="598"/>
      <c r="L99" s="597"/>
      <c r="O99" s="201"/>
      <c r="P99" s="444"/>
      <c r="Q99" s="444"/>
      <c r="R99" s="201"/>
    </row>
    <row r="100" spans="1:18" s="191" customFormat="1" ht="15.75" customHeight="1">
      <c r="A100" s="601"/>
      <c r="B100" s="602"/>
      <c r="C100" s="202">
        <v>4</v>
      </c>
      <c r="D100" s="598"/>
      <c r="E100" s="597"/>
      <c r="F100" s="597"/>
      <c r="G100" s="202"/>
      <c r="H100" s="204"/>
      <c r="I100" s="205"/>
      <c r="J100" s="202"/>
      <c r="K100" s="598"/>
      <c r="L100" s="597"/>
      <c r="O100" s="201"/>
      <c r="P100" s="444"/>
      <c r="Q100" s="444"/>
      <c r="R100" s="201"/>
    </row>
    <row r="101" spans="1:18" s="191" customFormat="1" ht="15.75" customHeight="1">
      <c r="A101" s="601"/>
      <c r="B101" s="602"/>
      <c r="C101" s="202">
        <v>5</v>
      </c>
      <c r="D101" s="598"/>
      <c r="E101" s="597"/>
      <c r="F101" s="597"/>
      <c r="G101" s="202"/>
      <c r="H101" s="204"/>
      <c r="I101" s="205"/>
      <c r="J101" s="202"/>
      <c r="K101" s="598"/>
      <c r="L101" s="597"/>
      <c r="O101" s="201"/>
      <c r="P101" s="444"/>
      <c r="Q101" s="444"/>
      <c r="R101" s="201"/>
    </row>
    <row r="102" spans="1:18" s="191" customFormat="1" ht="15.75" customHeight="1">
      <c r="A102" s="601"/>
      <c r="B102" s="602"/>
      <c r="C102" s="206" t="s">
        <v>207</v>
      </c>
      <c r="D102" s="598"/>
      <c r="E102" s="597"/>
      <c r="F102" s="597"/>
      <c r="G102" s="202"/>
      <c r="H102" s="204"/>
      <c r="I102" s="205"/>
      <c r="J102" s="202"/>
      <c r="K102" s="598"/>
      <c r="L102" s="597"/>
      <c r="O102" s="201"/>
      <c r="P102" s="444"/>
      <c r="Q102" s="444"/>
      <c r="R102" s="201"/>
    </row>
    <row r="103" spans="1:18" s="191" customFormat="1" ht="15.75" customHeight="1">
      <c r="A103" s="601"/>
      <c r="B103" s="602"/>
      <c r="C103" s="206" t="s">
        <v>212</v>
      </c>
      <c r="D103" s="598"/>
      <c r="E103" s="597"/>
      <c r="F103" s="597"/>
      <c r="G103" s="202"/>
      <c r="H103" s="204"/>
      <c r="I103" s="205"/>
      <c r="J103" s="202"/>
      <c r="K103" s="598"/>
      <c r="L103" s="597"/>
      <c r="O103" s="201"/>
      <c r="P103" s="444"/>
      <c r="Q103" s="444"/>
      <c r="R103" s="201"/>
    </row>
    <row r="104" spans="1:18" s="191" customFormat="1" ht="15.75" customHeight="1">
      <c r="A104" s="601"/>
      <c r="B104" s="602"/>
      <c r="C104" s="206" t="s">
        <v>208</v>
      </c>
      <c r="D104" s="598"/>
      <c r="E104" s="597"/>
      <c r="F104" s="597"/>
      <c r="G104" s="202"/>
      <c r="H104" s="204"/>
      <c r="I104" s="205"/>
      <c r="J104" s="202"/>
      <c r="K104" s="598"/>
      <c r="L104" s="597"/>
      <c r="O104" s="201"/>
      <c r="P104" s="444"/>
      <c r="Q104" s="444"/>
      <c r="R104" s="201"/>
    </row>
    <row r="105" spans="1:18" s="191" customFormat="1" ht="15.75" customHeight="1">
      <c r="A105" s="601"/>
      <c r="B105" s="602"/>
      <c r="C105" s="206" t="s">
        <v>213</v>
      </c>
      <c r="D105" s="598"/>
      <c r="E105" s="597"/>
      <c r="F105" s="597"/>
      <c r="G105" s="202"/>
      <c r="H105" s="204"/>
      <c r="I105" s="205"/>
      <c r="J105" s="202"/>
      <c r="K105" s="598"/>
      <c r="L105" s="597"/>
      <c r="O105" s="201"/>
      <c r="P105" s="444"/>
      <c r="Q105" s="444"/>
      <c r="R105" s="201"/>
    </row>
    <row r="106" spans="1:18" s="191" customFormat="1" ht="15.75" customHeight="1">
      <c r="A106" s="601"/>
      <c r="B106" s="602"/>
      <c r="C106" s="206" t="s">
        <v>214</v>
      </c>
      <c r="D106" s="598"/>
      <c r="E106" s="597"/>
      <c r="F106" s="597"/>
      <c r="G106" s="202"/>
      <c r="H106" s="204"/>
      <c r="I106" s="205"/>
      <c r="J106" s="202"/>
      <c r="K106" s="598"/>
      <c r="L106" s="597"/>
      <c r="O106" s="201"/>
      <c r="P106" s="444"/>
      <c r="Q106" s="444"/>
      <c r="R106" s="201"/>
    </row>
    <row r="107" spans="1:18" s="191" customFormat="1" ht="15.75" customHeight="1">
      <c r="A107" s="603" t="s">
        <v>704</v>
      </c>
      <c r="B107" s="603"/>
      <c r="C107" s="603"/>
      <c r="D107" s="603"/>
      <c r="E107" s="603"/>
      <c r="F107" s="603"/>
      <c r="G107" s="603"/>
      <c r="H107" s="603"/>
      <c r="I107" s="603"/>
      <c r="J107" s="603"/>
      <c r="K107" s="603"/>
      <c r="L107" s="603"/>
    </row>
    <row r="108" spans="1:18" s="192" customFormat="1" ht="15.75" customHeight="1">
      <c r="A108" s="603"/>
      <c r="B108" s="603"/>
      <c r="C108" s="603"/>
      <c r="D108" s="603"/>
      <c r="E108" s="603"/>
      <c r="F108" s="603"/>
      <c r="G108" s="603"/>
      <c r="H108" s="603"/>
      <c r="I108" s="603"/>
      <c r="J108" s="603"/>
      <c r="K108" s="603"/>
      <c r="L108" s="603"/>
    </row>
    <row r="109" spans="1:18" s="180" customFormat="1" ht="16.350000000000001" customHeight="1">
      <c r="A109" s="601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50000000000001" customHeight="1">
      <c r="A110" s="601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02" t="s">
        <v>190</v>
      </c>
      <c r="B111" s="602"/>
      <c r="C111" s="162" t="s">
        <v>47</v>
      </c>
      <c r="D111" s="602" t="s">
        <v>12</v>
      </c>
      <c r="E111" s="604"/>
      <c r="F111" s="604"/>
      <c r="G111" s="162" t="s">
        <v>46</v>
      </c>
      <c r="H111" s="162" t="s">
        <v>394</v>
      </c>
      <c r="I111" s="162" t="s">
        <v>395</v>
      </c>
      <c r="J111" s="162" t="s">
        <v>339</v>
      </c>
      <c r="K111" s="602" t="s">
        <v>51</v>
      </c>
      <c r="L111" s="604"/>
      <c r="M111" s="195"/>
      <c r="N111" s="191"/>
      <c r="O111" s="201"/>
      <c r="P111" s="444"/>
      <c r="Q111" s="444"/>
      <c r="R111" s="201"/>
    </row>
    <row r="112" spans="1:18" s="191" customFormat="1" ht="15.75" customHeight="1">
      <c r="A112" s="601">
        <v>3</v>
      </c>
      <c r="B112" s="602" t="s">
        <v>397</v>
      </c>
      <c r="C112" s="202">
        <v>1</v>
      </c>
      <c r="D112" s="598"/>
      <c r="E112" s="597"/>
      <c r="F112" s="597"/>
      <c r="G112" s="202"/>
      <c r="H112" s="204"/>
      <c r="I112" s="205"/>
      <c r="J112" s="223">
        <f>I112-I86</f>
        <v>0</v>
      </c>
      <c r="K112" s="595"/>
      <c r="L112" s="596"/>
      <c r="M112" s="192"/>
      <c r="O112" s="201"/>
      <c r="P112" s="444"/>
      <c r="Q112" s="444"/>
      <c r="R112" s="201"/>
    </row>
    <row r="113" spans="1:18" s="191" customFormat="1" ht="15.75" customHeight="1">
      <c r="A113" s="601"/>
      <c r="B113" s="602"/>
      <c r="C113" s="202">
        <v>2</v>
      </c>
      <c r="D113" s="598"/>
      <c r="E113" s="597"/>
      <c r="F113" s="597"/>
      <c r="G113" s="202"/>
      <c r="H113" s="204"/>
      <c r="I113" s="205"/>
      <c r="J113" s="223">
        <f>I113-I88</f>
        <v>0</v>
      </c>
      <c r="K113" s="595"/>
      <c r="L113" s="596"/>
      <c r="M113" s="192"/>
      <c r="O113" s="201"/>
      <c r="P113" s="444"/>
      <c r="Q113" s="444"/>
      <c r="R113" s="201"/>
    </row>
    <row r="114" spans="1:18" s="191" customFormat="1" ht="15.75" customHeight="1">
      <c r="A114" s="601"/>
      <c r="B114" s="602"/>
      <c r="C114" s="202">
        <v>3</v>
      </c>
      <c r="D114" s="598"/>
      <c r="E114" s="597"/>
      <c r="F114" s="597"/>
      <c r="G114" s="202"/>
      <c r="H114" s="204"/>
      <c r="I114" s="205"/>
      <c r="J114" s="223">
        <f>I114-I87</f>
        <v>0</v>
      </c>
      <c r="K114" s="595"/>
      <c r="L114" s="596"/>
      <c r="M114" s="192"/>
      <c r="O114" s="201"/>
      <c r="P114" s="444"/>
      <c r="Q114" s="444"/>
      <c r="R114" s="201"/>
    </row>
    <row r="115" spans="1:18" s="191" customFormat="1" ht="15.75" customHeight="1">
      <c r="A115" s="601"/>
      <c r="B115" s="602"/>
      <c r="C115" s="202">
        <v>4</v>
      </c>
      <c r="D115" s="598"/>
      <c r="E115" s="597"/>
      <c r="F115" s="597"/>
      <c r="G115" s="202"/>
      <c r="H115" s="204"/>
      <c r="I115" s="205"/>
      <c r="J115" s="202"/>
      <c r="K115" s="598"/>
      <c r="L115" s="597"/>
      <c r="M115" s="192"/>
      <c r="O115" s="201"/>
      <c r="P115" s="444"/>
      <c r="Q115" s="444"/>
      <c r="R115" s="201"/>
    </row>
    <row r="116" spans="1:18" s="191" customFormat="1" ht="15.75" customHeight="1">
      <c r="A116" s="601"/>
      <c r="B116" s="602"/>
      <c r="C116" s="202">
        <v>5</v>
      </c>
      <c r="D116" s="598"/>
      <c r="E116" s="597"/>
      <c r="F116" s="597"/>
      <c r="G116" s="202"/>
      <c r="H116" s="204"/>
      <c r="I116" s="205"/>
      <c r="J116" s="202"/>
      <c r="K116" s="598"/>
      <c r="L116" s="597"/>
      <c r="M116" s="192"/>
      <c r="O116" s="201"/>
      <c r="P116" s="444"/>
      <c r="Q116" s="444"/>
      <c r="R116" s="201"/>
    </row>
    <row r="117" spans="1:18" s="191" customFormat="1" ht="15.75" customHeight="1">
      <c r="A117" s="601"/>
      <c r="B117" s="602"/>
      <c r="C117" s="206" t="s">
        <v>207</v>
      </c>
      <c r="D117" s="598"/>
      <c r="E117" s="597"/>
      <c r="F117" s="597"/>
      <c r="G117" s="202"/>
      <c r="H117" s="204"/>
      <c r="I117" s="205"/>
      <c r="J117" s="202"/>
      <c r="K117" s="598"/>
      <c r="L117" s="597"/>
      <c r="M117" s="192"/>
      <c r="O117" s="201"/>
      <c r="P117" s="444"/>
      <c r="Q117" s="444"/>
      <c r="R117" s="201"/>
    </row>
    <row r="118" spans="1:18" s="191" customFormat="1" ht="15.75" customHeight="1">
      <c r="A118" s="601"/>
      <c r="B118" s="602"/>
      <c r="C118" s="206" t="s">
        <v>212</v>
      </c>
      <c r="D118" s="598"/>
      <c r="E118" s="597"/>
      <c r="F118" s="597"/>
      <c r="G118" s="202"/>
      <c r="H118" s="204"/>
      <c r="I118" s="452" t="s">
        <v>706</v>
      </c>
      <c r="J118" s="202"/>
      <c r="K118" s="598"/>
      <c r="L118" s="597"/>
      <c r="M118" s="192"/>
      <c r="N118" s="180"/>
      <c r="O118" s="180"/>
      <c r="P118" s="443"/>
      <c r="Q118" s="443"/>
      <c r="R118" s="180"/>
    </row>
    <row r="119" spans="1:18" s="191" customFormat="1" ht="15.75" customHeight="1">
      <c r="A119" s="601"/>
      <c r="B119" s="602"/>
      <c r="C119" s="206" t="s">
        <v>208</v>
      </c>
      <c r="D119" s="598"/>
      <c r="E119" s="597"/>
      <c r="F119" s="597"/>
      <c r="G119" s="204"/>
      <c r="H119" s="204"/>
      <c r="I119" s="205"/>
      <c r="J119" s="202"/>
      <c r="K119" s="598"/>
      <c r="L119" s="597"/>
      <c r="M119" s="192"/>
      <c r="O119" s="201"/>
      <c r="P119" s="444"/>
      <c r="Q119" s="444"/>
      <c r="R119" s="201"/>
    </row>
    <row r="120" spans="1:18" s="191" customFormat="1" ht="15.75" customHeight="1">
      <c r="A120" s="601"/>
      <c r="B120" s="602"/>
      <c r="C120" s="206" t="s">
        <v>213</v>
      </c>
      <c r="D120" s="598"/>
      <c r="E120" s="597"/>
      <c r="F120" s="597"/>
      <c r="G120" s="202"/>
      <c r="H120" s="204"/>
      <c r="I120" s="205"/>
      <c r="J120" s="202"/>
      <c r="K120" s="598"/>
      <c r="L120" s="597"/>
      <c r="O120" s="201"/>
      <c r="P120" s="444"/>
      <c r="Q120" s="444"/>
      <c r="R120" s="201"/>
    </row>
    <row r="121" spans="1:18" s="191" customFormat="1" ht="15.75" customHeight="1">
      <c r="A121" s="601"/>
      <c r="B121" s="602"/>
      <c r="C121" s="206" t="s">
        <v>214</v>
      </c>
      <c r="D121" s="598"/>
      <c r="E121" s="597"/>
      <c r="F121" s="597"/>
      <c r="G121" s="202"/>
      <c r="H121" s="204"/>
      <c r="I121" s="205"/>
      <c r="J121" s="202"/>
      <c r="K121" s="598"/>
      <c r="L121" s="597"/>
      <c r="O121" s="201"/>
      <c r="P121" s="444"/>
      <c r="Q121" s="444"/>
      <c r="R121" s="201"/>
    </row>
    <row r="122" spans="1:18" s="201" customFormat="1" ht="15.75" customHeight="1">
      <c r="A122" s="599" t="s">
        <v>190</v>
      </c>
      <c r="B122" s="599"/>
      <c r="C122" s="209" t="s">
        <v>47</v>
      </c>
      <c r="D122" s="599" t="s">
        <v>12</v>
      </c>
      <c r="E122" s="600"/>
      <c r="F122" s="600"/>
      <c r="G122" s="209" t="s">
        <v>46</v>
      </c>
      <c r="H122" s="209" t="s">
        <v>394</v>
      </c>
      <c r="I122" s="209" t="s">
        <v>395</v>
      </c>
      <c r="J122" s="162" t="s">
        <v>339</v>
      </c>
      <c r="K122" s="599" t="s">
        <v>51</v>
      </c>
      <c r="L122" s="600"/>
      <c r="M122" s="210"/>
      <c r="N122" s="191"/>
      <c r="P122" s="444"/>
      <c r="Q122" s="444"/>
    </row>
    <row r="123" spans="1:18" s="191" customFormat="1" ht="15.75" customHeight="1">
      <c r="A123" s="601">
        <v>4</v>
      </c>
      <c r="B123" s="602" t="s">
        <v>158</v>
      </c>
      <c r="C123" s="202">
        <v>1</v>
      </c>
      <c r="D123" s="598"/>
      <c r="E123" s="597"/>
      <c r="F123" s="597"/>
      <c r="G123" s="202"/>
      <c r="H123" s="204"/>
      <c r="I123" s="205"/>
      <c r="J123" s="223">
        <f>I123-I97</f>
        <v>0</v>
      </c>
      <c r="K123" s="595"/>
      <c r="L123" s="596"/>
      <c r="N123" s="201"/>
      <c r="O123" s="201"/>
      <c r="P123" s="444"/>
      <c r="Q123" s="444"/>
      <c r="R123" s="201"/>
    </row>
    <row r="124" spans="1:18" s="191" customFormat="1" ht="15.75" customHeight="1">
      <c r="A124" s="601"/>
      <c r="B124" s="602"/>
      <c r="C124" s="202">
        <v>2</v>
      </c>
      <c r="D124" s="598"/>
      <c r="E124" s="597"/>
      <c r="F124" s="597"/>
      <c r="G124" s="202"/>
      <c r="H124" s="204"/>
      <c r="I124" s="205"/>
      <c r="J124" s="202"/>
      <c r="K124" s="598"/>
      <c r="L124" s="597"/>
      <c r="O124" s="201"/>
      <c r="P124" s="444"/>
      <c r="Q124" s="444"/>
      <c r="R124" s="201"/>
    </row>
    <row r="125" spans="1:18" s="191" customFormat="1" ht="15.75" customHeight="1">
      <c r="A125" s="601"/>
      <c r="B125" s="602"/>
      <c r="C125" s="202">
        <v>3</v>
      </c>
      <c r="D125" s="598"/>
      <c r="E125" s="597"/>
      <c r="F125" s="597"/>
      <c r="G125" s="202"/>
      <c r="H125" s="204"/>
      <c r="I125" s="205"/>
      <c r="J125" s="202"/>
      <c r="K125" s="598"/>
      <c r="L125" s="597"/>
      <c r="O125" s="201"/>
      <c r="P125" s="444"/>
      <c r="Q125" s="444"/>
      <c r="R125" s="201"/>
    </row>
    <row r="126" spans="1:18" s="191" customFormat="1" ht="15.75" customHeight="1">
      <c r="A126" s="601"/>
      <c r="B126" s="602"/>
      <c r="C126" s="202">
        <v>4</v>
      </c>
      <c r="D126" s="598"/>
      <c r="E126" s="597"/>
      <c r="F126" s="597"/>
      <c r="G126" s="202"/>
      <c r="H126" s="204"/>
      <c r="I126" s="205"/>
      <c r="J126" s="202"/>
      <c r="K126" s="598"/>
      <c r="L126" s="597"/>
      <c r="O126" s="201"/>
      <c r="P126" s="444"/>
      <c r="Q126" s="444"/>
      <c r="R126" s="201"/>
    </row>
    <row r="127" spans="1:18" s="191" customFormat="1" ht="15.75" customHeight="1">
      <c r="A127" s="601"/>
      <c r="B127" s="602"/>
      <c r="C127" s="202">
        <v>5</v>
      </c>
      <c r="D127" s="598"/>
      <c r="E127" s="597"/>
      <c r="F127" s="597"/>
      <c r="G127" s="202"/>
      <c r="H127" s="204"/>
      <c r="I127" s="205"/>
      <c r="J127" s="202"/>
      <c r="K127" s="598"/>
      <c r="L127" s="597"/>
      <c r="O127" s="201"/>
      <c r="P127" s="444"/>
      <c r="Q127" s="444"/>
      <c r="R127" s="201"/>
    </row>
    <row r="128" spans="1:18" s="191" customFormat="1" ht="15.75" customHeight="1">
      <c r="A128" s="601"/>
      <c r="B128" s="602"/>
      <c r="C128" s="206" t="s">
        <v>207</v>
      </c>
      <c r="D128" s="598"/>
      <c r="E128" s="597"/>
      <c r="F128" s="597"/>
      <c r="G128" s="202"/>
      <c r="H128" s="204"/>
      <c r="I128" s="205"/>
      <c r="J128" s="202"/>
      <c r="K128" s="598"/>
      <c r="L128" s="597"/>
      <c r="O128" s="201"/>
      <c r="P128" s="444"/>
      <c r="Q128" s="444"/>
      <c r="R128" s="201"/>
    </row>
    <row r="129" spans="1:18" s="191" customFormat="1" ht="15.75" customHeight="1">
      <c r="A129" s="601"/>
      <c r="B129" s="602"/>
      <c r="C129" s="206" t="s">
        <v>212</v>
      </c>
      <c r="D129" s="598"/>
      <c r="E129" s="597"/>
      <c r="F129" s="597"/>
      <c r="G129" s="202"/>
      <c r="H129" s="204"/>
      <c r="I129" s="205"/>
      <c r="J129" s="202"/>
      <c r="K129" s="598"/>
      <c r="L129" s="597"/>
      <c r="O129" s="201"/>
      <c r="P129" s="444"/>
      <c r="Q129" s="444"/>
      <c r="R129" s="201"/>
    </row>
    <row r="130" spans="1:18" s="191" customFormat="1" ht="15.75" customHeight="1">
      <c r="A130" s="601"/>
      <c r="B130" s="602"/>
      <c r="C130" s="206" t="s">
        <v>208</v>
      </c>
      <c r="D130" s="598"/>
      <c r="E130" s="597"/>
      <c r="F130" s="597"/>
      <c r="G130" s="202"/>
      <c r="H130" s="204"/>
      <c r="I130" s="205"/>
      <c r="J130" s="202"/>
      <c r="K130" s="598"/>
      <c r="L130" s="597"/>
      <c r="O130" s="201"/>
      <c r="P130" s="444"/>
      <c r="Q130" s="444"/>
      <c r="R130" s="201"/>
    </row>
    <row r="131" spans="1:18" s="191" customFormat="1" ht="15.75" customHeight="1">
      <c r="A131" s="601"/>
      <c r="B131" s="602"/>
      <c r="C131" s="206" t="s">
        <v>213</v>
      </c>
      <c r="D131" s="598"/>
      <c r="E131" s="597"/>
      <c r="F131" s="597"/>
      <c r="G131" s="202"/>
      <c r="H131" s="204"/>
      <c r="I131" s="205"/>
      <c r="J131" s="202"/>
      <c r="K131" s="598"/>
      <c r="L131" s="597"/>
      <c r="O131" s="201"/>
      <c r="P131" s="444"/>
      <c r="Q131" s="444"/>
      <c r="R131" s="201"/>
    </row>
    <row r="132" spans="1:18" s="191" customFormat="1" ht="15.75" customHeight="1">
      <c r="A132" s="601"/>
      <c r="B132" s="602"/>
      <c r="C132" s="206" t="s">
        <v>214</v>
      </c>
      <c r="D132" s="598"/>
      <c r="E132" s="597"/>
      <c r="F132" s="597"/>
      <c r="G132" s="202"/>
      <c r="H132" s="204"/>
      <c r="I132" s="205"/>
      <c r="J132" s="202"/>
      <c r="K132" s="598"/>
      <c r="L132" s="597"/>
      <c r="O132" s="201"/>
      <c r="P132" s="444"/>
      <c r="Q132" s="444"/>
      <c r="R132" s="201"/>
    </row>
  </sheetData>
  <mergeCells count="261"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30" zoomScale="115" zoomScaleNormal="60" zoomScaleSheetLayoutView="115" workbookViewId="0">
      <selection activeCell="J52" sqref="J5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0" t="s">
        <v>392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99"/>
    </row>
    <row r="2" spans="1:18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192"/>
      <c r="O2" s="192"/>
      <c r="P2" s="192"/>
      <c r="Q2" s="192"/>
      <c r="R2" s="192"/>
    </row>
    <row r="3" spans="1:18" s="191" customFormat="1" ht="15.75" customHeight="1">
      <c r="A3" s="603" t="s">
        <v>651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</row>
    <row r="4" spans="1:18" s="192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</row>
    <row r="5" spans="1:18" s="106" customFormat="1" ht="16.350000000000001" customHeight="1">
      <c r="A5" s="601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01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02" t="s">
        <v>190</v>
      </c>
      <c r="B7" s="602"/>
      <c r="C7" s="162" t="s">
        <v>47</v>
      </c>
      <c r="D7" s="602" t="s">
        <v>12</v>
      </c>
      <c r="E7" s="604"/>
      <c r="F7" s="604"/>
      <c r="G7" s="162" t="s">
        <v>46</v>
      </c>
      <c r="H7" s="162" t="s">
        <v>394</v>
      </c>
      <c r="I7" s="162" t="s">
        <v>395</v>
      </c>
      <c r="J7" s="162" t="s">
        <v>339</v>
      </c>
      <c r="K7" s="602" t="s">
        <v>51</v>
      </c>
      <c r="L7" s="604"/>
      <c r="M7" s="129"/>
      <c r="N7" s="191"/>
      <c r="O7" s="445"/>
      <c r="P7" s="444"/>
      <c r="Q7" s="444"/>
      <c r="R7" s="201"/>
    </row>
    <row r="8" spans="1:18" ht="15.75" customHeight="1">
      <c r="A8" s="601">
        <v>5</v>
      </c>
      <c r="B8" s="602" t="s">
        <v>363</v>
      </c>
      <c r="C8" s="202">
        <v>1</v>
      </c>
      <c r="D8" s="598" t="s">
        <v>509</v>
      </c>
      <c r="E8" s="597"/>
      <c r="F8" s="597"/>
      <c r="G8" s="204">
        <v>19</v>
      </c>
      <c r="H8" s="204">
        <v>1776.8294219935883</v>
      </c>
      <c r="I8" s="205">
        <v>93.51733799966253</v>
      </c>
      <c r="J8" s="383">
        <v>9.4438464109430242E-2</v>
      </c>
      <c r="K8" s="595" t="s">
        <v>472</v>
      </c>
      <c r="L8" s="596"/>
      <c r="O8" s="445"/>
      <c r="P8" s="444"/>
      <c r="Q8" s="444"/>
      <c r="R8" s="201"/>
    </row>
    <row r="9" spans="1:18" ht="15.75" customHeight="1">
      <c r="A9" s="601"/>
      <c r="B9" s="602"/>
      <c r="C9" s="202">
        <v>2</v>
      </c>
      <c r="D9" s="598" t="s">
        <v>460</v>
      </c>
      <c r="E9" s="597"/>
      <c r="F9" s="597"/>
      <c r="G9" s="204">
        <v>20</v>
      </c>
      <c r="H9" s="204">
        <v>1779.7850713702653</v>
      </c>
      <c r="I9" s="205">
        <v>88.989253568513277</v>
      </c>
      <c r="J9" s="383">
        <v>0.11479261363037097</v>
      </c>
      <c r="K9" s="595" t="s">
        <v>472</v>
      </c>
      <c r="L9" s="596"/>
      <c r="O9" s="445"/>
      <c r="P9" s="444"/>
      <c r="Q9" s="444"/>
      <c r="R9" s="201"/>
    </row>
    <row r="10" spans="1:18" ht="15.75" customHeight="1">
      <c r="A10" s="601"/>
      <c r="B10" s="602"/>
      <c r="C10" s="202">
        <v>3</v>
      </c>
      <c r="D10" s="598" t="s">
        <v>482</v>
      </c>
      <c r="E10" s="597"/>
      <c r="F10" s="597"/>
      <c r="G10" s="204">
        <v>21</v>
      </c>
      <c r="H10" s="204">
        <v>1780.3519497654859</v>
      </c>
      <c r="I10" s="205">
        <v>84.778664274546955</v>
      </c>
      <c r="J10" s="383">
        <v>0.20737379317201032</v>
      </c>
      <c r="K10" s="595" t="s">
        <v>472</v>
      </c>
      <c r="L10" s="596"/>
      <c r="O10" s="201"/>
      <c r="P10" s="444"/>
      <c r="Q10" s="444"/>
      <c r="R10" s="201"/>
    </row>
    <row r="11" spans="1:18" ht="15.75" customHeight="1">
      <c r="A11" s="601"/>
      <c r="B11" s="602"/>
      <c r="C11" s="202">
        <v>4</v>
      </c>
      <c r="D11" s="598" t="s">
        <v>537</v>
      </c>
      <c r="E11" s="597"/>
      <c r="F11" s="597"/>
      <c r="G11" s="204">
        <v>19</v>
      </c>
      <c r="H11" s="204">
        <v>1601.533383040078</v>
      </c>
      <c r="I11" s="205">
        <v>84.291230686319906</v>
      </c>
      <c r="J11" s="383">
        <v>0.11888880370617017</v>
      </c>
      <c r="K11" s="595" t="s">
        <v>472</v>
      </c>
      <c r="L11" s="596"/>
      <c r="O11" s="445"/>
      <c r="P11" s="444"/>
      <c r="Q11" s="444"/>
      <c r="R11" s="201"/>
    </row>
    <row r="12" spans="1:18" ht="15.75" customHeight="1">
      <c r="A12" s="601"/>
      <c r="B12" s="602"/>
      <c r="C12" s="202">
        <v>5</v>
      </c>
      <c r="D12" s="598" t="s">
        <v>350</v>
      </c>
      <c r="E12" s="597"/>
      <c r="F12" s="597"/>
      <c r="G12" s="204">
        <v>23</v>
      </c>
      <c r="H12" s="204">
        <v>1778.4179655591065</v>
      </c>
      <c r="I12" s="205">
        <v>77.322520241700303</v>
      </c>
      <c r="J12" s="383">
        <v>0.1930913239250458</v>
      </c>
      <c r="K12" s="595" t="s">
        <v>472</v>
      </c>
      <c r="L12" s="596"/>
      <c r="O12" s="445"/>
      <c r="P12" s="444"/>
      <c r="Q12" s="444"/>
      <c r="R12" s="201"/>
    </row>
    <row r="13" spans="1:18" ht="15.75" customHeight="1">
      <c r="A13" s="601"/>
      <c r="B13" s="602"/>
      <c r="C13" s="206" t="s">
        <v>207</v>
      </c>
      <c r="D13" s="598" t="s">
        <v>351</v>
      </c>
      <c r="E13" s="597"/>
      <c r="F13" s="597"/>
      <c r="G13" s="204">
        <v>25</v>
      </c>
      <c r="H13" s="204">
        <v>1777.516778384901</v>
      </c>
      <c r="I13" s="205">
        <v>71.100671135396041</v>
      </c>
      <c r="J13" s="383">
        <v>2.6500515007995773E-2</v>
      </c>
      <c r="K13" s="595" t="s">
        <v>472</v>
      </c>
      <c r="L13" s="596"/>
      <c r="N13" s="180"/>
      <c r="O13" s="446"/>
      <c r="P13" s="443"/>
      <c r="Q13" s="443"/>
      <c r="R13" s="180"/>
    </row>
    <row r="14" spans="1:18" ht="15.75" customHeight="1">
      <c r="A14" s="601"/>
      <c r="B14" s="602"/>
      <c r="C14" s="206" t="s">
        <v>212</v>
      </c>
      <c r="D14" s="598" t="s">
        <v>352</v>
      </c>
      <c r="E14" s="597"/>
      <c r="F14" s="597"/>
      <c r="G14" s="204">
        <v>23</v>
      </c>
      <c r="H14" s="204">
        <v>1777.1735461732044</v>
      </c>
      <c r="I14" s="205">
        <v>77.268415051008887</v>
      </c>
      <c r="J14" s="383">
        <v>8.9869432924032822E-2</v>
      </c>
      <c r="K14" s="595" t="s">
        <v>472</v>
      </c>
      <c r="L14" s="596"/>
      <c r="O14" s="445"/>
      <c r="P14" s="444"/>
      <c r="Q14" s="444"/>
      <c r="R14" s="201"/>
    </row>
    <row r="15" spans="1:18" ht="15.75" customHeight="1">
      <c r="A15" s="601"/>
      <c r="B15" s="602"/>
      <c r="C15" s="206" t="s">
        <v>208</v>
      </c>
      <c r="D15" s="598" t="s">
        <v>364</v>
      </c>
      <c r="E15" s="597"/>
      <c r="F15" s="597"/>
      <c r="G15" s="204">
        <v>23</v>
      </c>
      <c r="H15" s="204">
        <v>1778.3306787978483</v>
      </c>
      <c r="I15" s="205">
        <v>77.318725165123837</v>
      </c>
      <c r="J15" s="383">
        <v>0.20081796897846971</v>
      </c>
      <c r="K15" s="595" t="s">
        <v>472</v>
      </c>
      <c r="L15" s="596"/>
      <c r="O15" s="445"/>
      <c r="P15" s="444"/>
      <c r="Q15" s="444"/>
      <c r="R15" s="201"/>
    </row>
    <row r="16" spans="1:18" ht="15.75" customHeight="1">
      <c r="A16" s="601"/>
      <c r="B16" s="602"/>
      <c r="C16" s="206" t="s">
        <v>213</v>
      </c>
      <c r="D16" s="598"/>
      <c r="E16" s="597"/>
      <c r="F16" s="597"/>
      <c r="G16" s="204"/>
      <c r="H16" s="204"/>
      <c r="I16" s="205"/>
      <c r="J16" s="202"/>
      <c r="K16" s="598"/>
      <c r="L16" s="597"/>
      <c r="M16" s="99"/>
      <c r="O16" s="445"/>
      <c r="P16" s="444"/>
      <c r="Q16" s="444"/>
      <c r="R16" s="201"/>
    </row>
    <row r="17" spans="1:18" ht="15.75" customHeight="1">
      <c r="A17" s="601"/>
      <c r="B17" s="602"/>
      <c r="C17" s="206" t="s">
        <v>214</v>
      </c>
      <c r="D17" s="598"/>
      <c r="E17" s="597"/>
      <c r="F17" s="597"/>
      <c r="G17" s="204"/>
      <c r="H17" s="204"/>
      <c r="I17" s="205"/>
      <c r="J17" s="202"/>
      <c r="K17" s="598"/>
      <c r="L17" s="597"/>
      <c r="M17" s="99"/>
      <c r="O17" s="445"/>
      <c r="P17" s="444"/>
      <c r="Q17" s="444"/>
      <c r="R17" s="201"/>
    </row>
    <row r="18" spans="1:18" s="104" customFormat="1" ht="15.75" customHeight="1">
      <c r="A18" s="599" t="s">
        <v>190</v>
      </c>
      <c r="B18" s="599"/>
      <c r="C18" s="209" t="s">
        <v>47</v>
      </c>
      <c r="D18" s="599" t="s">
        <v>12</v>
      </c>
      <c r="E18" s="600"/>
      <c r="F18" s="600"/>
      <c r="G18" s="209" t="s">
        <v>46</v>
      </c>
      <c r="H18" s="209" t="s">
        <v>394</v>
      </c>
      <c r="I18" s="209" t="s">
        <v>395</v>
      </c>
      <c r="J18" s="162" t="s">
        <v>340</v>
      </c>
      <c r="K18" s="599" t="s">
        <v>51</v>
      </c>
      <c r="L18" s="600"/>
      <c r="M18" s="130"/>
      <c r="N18" s="191"/>
      <c r="O18" s="445"/>
      <c r="P18" s="444"/>
      <c r="Q18" s="444"/>
      <c r="R18" s="201"/>
    </row>
    <row r="19" spans="1:18" ht="15.75" customHeight="1">
      <c r="A19" s="601">
        <v>6</v>
      </c>
      <c r="B19" s="602" t="s">
        <v>137</v>
      </c>
      <c r="C19" s="202">
        <v>1</v>
      </c>
      <c r="D19" s="598" t="s">
        <v>491</v>
      </c>
      <c r="E19" s="597"/>
      <c r="F19" s="597"/>
      <c r="G19" s="202">
        <v>20</v>
      </c>
      <c r="H19" s="204">
        <v>1777.7166669668727</v>
      </c>
      <c r="I19" s="205">
        <v>88.885833348343652</v>
      </c>
      <c r="J19" s="383">
        <v>8.5125272349358738E-2</v>
      </c>
      <c r="K19" s="595" t="s">
        <v>472</v>
      </c>
      <c r="L19" s="596"/>
      <c r="M19" s="99"/>
      <c r="N19" s="201"/>
      <c r="O19" s="201"/>
      <c r="P19" s="444"/>
      <c r="Q19" s="444"/>
      <c r="R19" s="201"/>
    </row>
    <row r="20" spans="1:18" ht="15.75" customHeight="1">
      <c r="A20" s="601"/>
      <c r="B20" s="602"/>
      <c r="C20" s="202">
        <v>2</v>
      </c>
      <c r="D20" s="598" t="s">
        <v>366</v>
      </c>
      <c r="E20" s="597"/>
      <c r="F20" s="597"/>
      <c r="G20" s="204">
        <v>21</v>
      </c>
      <c r="H20" s="204">
        <v>1777.3375261915148</v>
      </c>
      <c r="I20" s="205">
        <v>84.635120294834024</v>
      </c>
      <c r="J20" s="383">
        <v>0.14242149608104171</v>
      </c>
      <c r="K20" s="595" t="s">
        <v>472</v>
      </c>
      <c r="L20" s="596"/>
      <c r="M20" s="99"/>
      <c r="O20" s="201"/>
      <c r="P20" s="444"/>
      <c r="Q20" s="444"/>
      <c r="R20" s="201"/>
    </row>
    <row r="21" spans="1:18" ht="15.75" customHeight="1">
      <c r="A21" s="601"/>
      <c r="B21" s="602"/>
      <c r="C21" s="202">
        <v>3</v>
      </c>
      <c r="D21" s="598" t="s">
        <v>483</v>
      </c>
      <c r="E21" s="597"/>
      <c r="F21" s="597"/>
      <c r="G21" s="204">
        <v>22</v>
      </c>
      <c r="H21" s="204">
        <v>1776.6778190766829</v>
      </c>
      <c r="I21" s="205">
        <v>80.758082685303762</v>
      </c>
      <c r="J21" s="383">
        <v>5.4244226867950829E-2</v>
      </c>
      <c r="K21" s="595" t="s">
        <v>472</v>
      </c>
      <c r="L21" s="596"/>
      <c r="M21" s="99"/>
      <c r="O21" s="201"/>
      <c r="P21" s="444"/>
      <c r="Q21" s="444"/>
      <c r="R21" s="201"/>
    </row>
    <row r="22" spans="1:18" ht="15.75" customHeight="1">
      <c r="A22" s="601"/>
      <c r="B22" s="602"/>
      <c r="C22" s="202">
        <v>4</v>
      </c>
      <c r="D22" s="598" t="s">
        <v>368</v>
      </c>
      <c r="E22" s="597"/>
      <c r="F22" s="597"/>
      <c r="G22" s="202">
        <v>23</v>
      </c>
      <c r="H22" s="204">
        <v>1778.9306329269712</v>
      </c>
      <c r="I22" s="205">
        <v>77.344810127259606</v>
      </c>
      <c r="J22" s="383">
        <v>5.1200654103837451E-2</v>
      </c>
      <c r="K22" s="595" t="s">
        <v>472</v>
      </c>
      <c r="L22" s="596"/>
      <c r="M22" s="99"/>
      <c r="O22" s="201"/>
      <c r="P22" s="444"/>
      <c r="Q22" s="444"/>
      <c r="R22" s="201"/>
    </row>
    <row r="23" spans="1:18" ht="15.75" customHeight="1">
      <c r="A23" s="601"/>
      <c r="B23" s="602"/>
      <c r="C23" s="202">
        <v>5</v>
      </c>
      <c r="D23" s="598" t="s">
        <v>479</v>
      </c>
      <c r="E23" s="597"/>
      <c r="F23" s="597"/>
      <c r="G23" s="204">
        <v>23</v>
      </c>
      <c r="H23" s="204">
        <v>1778.6376212279943</v>
      </c>
      <c r="I23" s="205">
        <v>77.33207048817367</v>
      </c>
      <c r="J23" s="383">
        <v>0.16624169911403897</v>
      </c>
      <c r="K23" s="595" t="s">
        <v>472</v>
      </c>
      <c r="L23" s="596"/>
      <c r="M23" s="99"/>
      <c r="O23" s="201"/>
      <c r="P23" s="444"/>
      <c r="Q23" s="444"/>
      <c r="R23" s="201"/>
    </row>
    <row r="24" spans="1:18" ht="15.75" customHeight="1">
      <c r="A24" s="601"/>
      <c r="B24" s="602"/>
      <c r="C24" s="206" t="s">
        <v>207</v>
      </c>
      <c r="D24" s="598" t="s">
        <v>365</v>
      </c>
      <c r="E24" s="597"/>
      <c r="F24" s="597"/>
      <c r="G24" s="202">
        <v>25</v>
      </c>
      <c r="H24" s="204">
        <v>1779.6844513454416</v>
      </c>
      <c r="I24" s="205">
        <v>71.187378053817667</v>
      </c>
      <c r="J24" s="383">
        <v>3.5664336173226729E-2</v>
      </c>
      <c r="K24" s="595" t="s">
        <v>472</v>
      </c>
      <c r="L24" s="596"/>
      <c r="M24" s="99"/>
      <c r="O24" s="201"/>
      <c r="P24" s="444"/>
      <c r="Q24" s="444"/>
      <c r="R24" s="201"/>
    </row>
    <row r="25" spans="1:18" ht="15.75" customHeight="1">
      <c r="A25" s="601"/>
      <c r="B25" s="602"/>
      <c r="C25" s="206" t="s">
        <v>212</v>
      </c>
      <c r="D25" s="598" t="s">
        <v>367</v>
      </c>
      <c r="E25" s="597"/>
      <c r="F25" s="597"/>
      <c r="G25" s="202">
        <v>25</v>
      </c>
      <c r="H25" s="204">
        <v>1782.0098782461807</v>
      </c>
      <c r="I25" s="205">
        <v>71.280395129847221</v>
      </c>
      <c r="J25" s="383">
        <v>1.7277555059536098E-3</v>
      </c>
      <c r="K25" s="595" t="s">
        <v>472</v>
      </c>
      <c r="L25" s="596"/>
      <c r="M25" s="99"/>
      <c r="O25" s="201"/>
      <c r="P25" s="444"/>
      <c r="Q25" s="444"/>
      <c r="R25" s="201"/>
    </row>
    <row r="26" spans="1:18" ht="15.75" customHeight="1">
      <c r="A26" s="601"/>
      <c r="B26" s="602"/>
      <c r="C26" s="206" t="s">
        <v>208</v>
      </c>
      <c r="D26" s="598" t="s">
        <v>369</v>
      </c>
      <c r="E26" s="597"/>
      <c r="F26" s="597"/>
      <c r="G26" s="202">
        <v>24</v>
      </c>
      <c r="H26" s="204">
        <v>1778.0690597642508</v>
      </c>
      <c r="I26" s="205">
        <v>74.086210823510456</v>
      </c>
      <c r="J26" s="383">
        <v>7.0727412800607681E-2</v>
      </c>
      <c r="K26" s="595" t="s">
        <v>472</v>
      </c>
      <c r="L26" s="596"/>
      <c r="M26" s="99"/>
      <c r="O26" s="201"/>
      <c r="P26" s="444"/>
      <c r="Q26" s="444"/>
      <c r="R26" s="201"/>
    </row>
    <row r="27" spans="1:18" ht="15.75" customHeight="1">
      <c r="A27" s="601"/>
      <c r="B27" s="602"/>
      <c r="C27" s="206" t="s">
        <v>213</v>
      </c>
      <c r="D27" s="598" t="s">
        <v>617</v>
      </c>
      <c r="E27" s="597"/>
      <c r="F27" s="597"/>
      <c r="G27" s="202">
        <v>24</v>
      </c>
      <c r="H27" s="204">
        <v>1779.8831342426745</v>
      </c>
      <c r="I27" s="205">
        <v>74.161797260111442</v>
      </c>
      <c r="J27" s="383">
        <v>3.067829981725211</v>
      </c>
      <c r="K27" s="595" t="s">
        <v>472</v>
      </c>
      <c r="L27" s="596"/>
      <c r="M27" s="99"/>
      <c r="O27" s="201"/>
      <c r="P27" s="444"/>
      <c r="Q27" s="444"/>
      <c r="R27" s="201"/>
    </row>
    <row r="28" spans="1:18" ht="15.75" customHeight="1">
      <c r="A28" s="601"/>
      <c r="B28" s="602"/>
      <c r="C28" s="206" t="s">
        <v>214</v>
      </c>
      <c r="D28" s="598"/>
      <c r="E28" s="597"/>
      <c r="F28" s="597"/>
      <c r="G28" s="202"/>
      <c r="H28" s="204"/>
      <c r="I28" s="205"/>
      <c r="J28" s="202"/>
      <c r="K28" s="598"/>
      <c r="L28" s="597"/>
      <c r="M28" s="99"/>
      <c r="O28" s="201"/>
      <c r="P28" s="444"/>
      <c r="Q28" s="444"/>
      <c r="R28" s="201"/>
    </row>
    <row r="29" spans="1:18" s="191" customFormat="1" ht="15.75" customHeight="1">
      <c r="A29" s="603" t="s">
        <v>702</v>
      </c>
      <c r="B29" s="603"/>
      <c r="C29" s="603"/>
      <c r="D29" s="603"/>
      <c r="E29" s="603"/>
      <c r="F29" s="603"/>
      <c r="G29" s="603"/>
      <c r="H29" s="603"/>
      <c r="I29" s="603"/>
      <c r="J29" s="603"/>
      <c r="K29" s="603"/>
      <c r="L29" s="603"/>
    </row>
    <row r="30" spans="1:18" s="192" customFormat="1" ht="15.75" customHeight="1">
      <c r="A30" s="603"/>
      <c r="B30" s="603"/>
      <c r="C30" s="603"/>
      <c r="D30" s="603"/>
      <c r="E30" s="603"/>
      <c r="F30" s="603"/>
      <c r="G30" s="603"/>
      <c r="H30" s="603"/>
      <c r="I30" s="603"/>
      <c r="J30" s="603"/>
      <c r="K30" s="603"/>
      <c r="L30" s="603"/>
    </row>
    <row r="31" spans="1:18" s="106" customFormat="1" ht="16.350000000000001" customHeight="1">
      <c r="A31" s="601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50000000000001" customHeight="1">
      <c r="A32" s="601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02" t="s">
        <v>190</v>
      </c>
      <c r="B33" s="602"/>
      <c r="C33" s="162" t="s">
        <v>47</v>
      </c>
      <c r="D33" s="602" t="s">
        <v>12</v>
      </c>
      <c r="E33" s="604"/>
      <c r="F33" s="604"/>
      <c r="G33" s="162" t="s">
        <v>46</v>
      </c>
      <c r="H33" s="162" t="s">
        <v>394</v>
      </c>
      <c r="I33" s="162" t="s">
        <v>395</v>
      </c>
      <c r="J33" s="162" t="s">
        <v>339</v>
      </c>
      <c r="K33" s="602" t="s">
        <v>51</v>
      </c>
      <c r="L33" s="604"/>
      <c r="M33" s="129"/>
    </row>
    <row r="34" spans="1:18" ht="15.75" customHeight="1">
      <c r="A34" s="601">
        <v>5</v>
      </c>
      <c r="B34" s="602" t="s">
        <v>363</v>
      </c>
      <c r="C34" s="202">
        <v>1</v>
      </c>
      <c r="D34" s="598" t="s">
        <v>509</v>
      </c>
      <c r="E34" s="597"/>
      <c r="F34" s="597"/>
      <c r="G34" s="204">
        <v>19</v>
      </c>
      <c r="H34" s="204">
        <v>1778.9864773894551</v>
      </c>
      <c r="I34" s="205">
        <v>93.63086723102397</v>
      </c>
      <c r="J34" s="383">
        <f>I34-I8</f>
        <v>0.11352923136144</v>
      </c>
      <c r="K34" s="598"/>
      <c r="L34" s="597"/>
      <c r="N34" s="99"/>
      <c r="O34" s="99"/>
      <c r="P34" s="99"/>
      <c r="Q34" s="99"/>
      <c r="R34" s="99"/>
    </row>
    <row r="35" spans="1:18" ht="15.75" customHeight="1">
      <c r="A35" s="601"/>
      <c r="B35" s="602"/>
      <c r="C35" s="202">
        <v>2</v>
      </c>
      <c r="D35" s="598" t="s">
        <v>460</v>
      </c>
      <c r="E35" s="597"/>
      <c r="F35" s="597"/>
      <c r="G35" s="204">
        <v>20</v>
      </c>
      <c r="H35" s="204">
        <v>1780.8612041670024</v>
      </c>
      <c r="I35" s="205">
        <v>89.043060208350113</v>
      </c>
      <c r="J35" s="383">
        <f>I35-I9</f>
        <v>5.3806639836835757E-2</v>
      </c>
      <c r="K35" s="598"/>
      <c r="L35" s="597"/>
      <c r="N35" s="99"/>
      <c r="O35" s="99"/>
      <c r="P35" s="99"/>
      <c r="Q35" s="99"/>
      <c r="R35" s="99"/>
    </row>
    <row r="36" spans="1:18" ht="15.75" customHeight="1">
      <c r="A36" s="601"/>
      <c r="B36" s="602"/>
      <c r="C36" s="202">
        <v>3</v>
      </c>
      <c r="D36" s="598" t="s">
        <v>482</v>
      </c>
      <c r="E36" s="597"/>
      <c r="F36" s="597"/>
      <c r="G36" s="204">
        <v>21</v>
      </c>
      <c r="H36" s="204">
        <v>1781.4528719087041</v>
      </c>
      <c r="I36" s="205">
        <v>84.831089138509711</v>
      </c>
      <c r="J36" s="383">
        <f>I36-I10</f>
        <v>5.2424863962755808E-2</v>
      </c>
      <c r="K36" s="598"/>
      <c r="L36" s="597"/>
      <c r="N36" s="99"/>
      <c r="O36" s="99"/>
      <c r="P36" s="99"/>
      <c r="Q36" s="99"/>
      <c r="R36" s="99"/>
    </row>
    <row r="37" spans="1:18" ht="15.75" customHeight="1">
      <c r="A37" s="601"/>
      <c r="B37" s="602"/>
      <c r="C37" s="202">
        <v>4</v>
      </c>
      <c r="D37" s="598" t="s">
        <v>537</v>
      </c>
      <c r="E37" s="597"/>
      <c r="F37" s="597"/>
      <c r="G37" s="204">
        <v>19</v>
      </c>
      <c r="H37" s="204">
        <v>1602.3104037769008</v>
      </c>
      <c r="I37" s="205">
        <v>84.332126514573716</v>
      </c>
      <c r="J37" s="383">
        <f>I37-I11</f>
        <v>4.0895828253809441E-2</v>
      </c>
      <c r="K37" s="598"/>
      <c r="L37" s="597"/>
      <c r="N37" s="99"/>
      <c r="O37" s="99"/>
      <c r="P37" s="99"/>
      <c r="Q37" s="99"/>
      <c r="R37" s="99"/>
    </row>
    <row r="38" spans="1:18" ht="15.75" customHeight="1">
      <c r="A38" s="601"/>
      <c r="B38" s="602"/>
      <c r="C38" s="202">
        <v>5</v>
      </c>
      <c r="D38" s="598" t="s">
        <v>364</v>
      </c>
      <c r="E38" s="597"/>
      <c r="F38" s="597"/>
      <c r="G38" s="204">
        <v>23</v>
      </c>
      <c r="H38" s="204">
        <v>1779.6727661997622</v>
      </c>
      <c r="I38" s="205">
        <v>77.377076791294016</v>
      </c>
      <c r="J38" s="383">
        <f>I38-I15</f>
        <v>5.8351626170178861E-2</v>
      </c>
      <c r="K38" s="598"/>
      <c r="L38" s="597"/>
      <c r="N38" s="99"/>
      <c r="O38" s="99"/>
      <c r="P38" s="99"/>
      <c r="Q38" s="99"/>
      <c r="R38" s="99"/>
    </row>
    <row r="39" spans="1:18" ht="15.75" customHeight="1">
      <c r="A39" s="601"/>
      <c r="B39" s="602"/>
      <c r="C39" s="206" t="s">
        <v>207</v>
      </c>
      <c r="D39" s="598" t="s">
        <v>351</v>
      </c>
      <c r="E39" s="597"/>
      <c r="F39" s="597"/>
      <c r="G39" s="204">
        <v>25</v>
      </c>
      <c r="H39" s="204">
        <v>1778.8991271652642</v>
      </c>
      <c r="I39" s="205">
        <v>71.155965086610564</v>
      </c>
      <c r="J39" s="383">
        <f>I39-I13</f>
        <v>5.5293951214522963E-2</v>
      </c>
      <c r="K39" s="598"/>
      <c r="L39" s="597"/>
      <c r="N39" s="99"/>
      <c r="O39" s="99"/>
      <c r="P39" s="99"/>
      <c r="Q39" s="99"/>
      <c r="R39" s="99"/>
    </row>
    <row r="40" spans="1:18" ht="15.75" customHeight="1">
      <c r="A40" s="601"/>
      <c r="B40" s="602"/>
      <c r="C40" s="206" t="s">
        <v>212</v>
      </c>
      <c r="D40" s="598" t="s">
        <v>352</v>
      </c>
      <c r="E40" s="597"/>
      <c r="F40" s="597"/>
      <c r="G40" s="204">
        <v>23</v>
      </c>
      <c r="H40" s="204">
        <v>1778.8976564628385</v>
      </c>
      <c r="I40" s="205">
        <v>77.343376367949503</v>
      </c>
      <c r="J40" s="383">
        <f>I40-I14</f>
        <v>7.496131694061603E-2</v>
      </c>
      <c r="K40" s="598"/>
      <c r="L40" s="597"/>
      <c r="N40" s="99"/>
      <c r="O40" s="99"/>
      <c r="P40" s="99"/>
      <c r="Q40" s="99"/>
      <c r="R40" s="99"/>
    </row>
    <row r="41" spans="1:18" ht="15.75" customHeight="1">
      <c r="A41" s="601"/>
      <c r="B41" s="602"/>
      <c r="C41" s="206" t="s">
        <v>208</v>
      </c>
      <c r="D41" s="598" t="s">
        <v>350</v>
      </c>
      <c r="E41" s="597"/>
      <c r="F41" s="597"/>
      <c r="G41" s="204">
        <v>23</v>
      </c>
      <c r="H41" s="204">
        <v>1779.4252478146789</v>
      </c>
      <c r="I41" s="205">
        <v>77.366315122377358</v>
      </c>
      <c r="J41" s="383">
        <f>I41-I12</f>
        <v>4.3794880677054948E-2</v>
      </c>
      <c r="K41" s="598"/>
      <c r="L41" s="597"/>
      <c r="N41" s="99"/>
      <c r="O41" s="99"/>
      <c r="P41" s="99"/>
      <c r="Q41" s="99"/>
      <c r="R41" s="99"/>
    </row>
    <row r="42" spans="1:18" ht="15.75" customHeight="1">
      <c r="A42" s="601"/>
      <c r="B42" s="602"/>
      <c r="C42" s="206" t="s">
        <v>213</v>
      </c>
      <c r="D42" s="598"/>
      <c r="E42" s="597"/>
      <c r="F42" s="597"/>
      <c r="G42" s="204"/>
      <c r="H42" s="204"/>
      <c r="I42" s="205"/>
      <c r="J42" s="383"/>
      <c r="K42" s="598"/>
      <c r="L42" s="597"/>
      <c r="M42" s="99"/>
      <c r="N42" s="99"/>
      <c r="O42" s="99"/>
      <c r="P42" s="99"/>
      <c r="Q42" s="99"/>
      <c r="R42" s="99"/>
    </row>
    <row r="43" spans="1:18" ht="15.75" customHeight="1">
      <c r="A43" s="601"/>
      <c r="B43" s="602"/>
      <c r="C43" s="206" t="s">
        <v>214</v>
      </c>
      <c r="D43" s="598"/>
      <c r="E43" s="597"/>
      <c r="F43" s="597"/>
      <c r="G43" s="204"/>
      <c r="H43" s="204"/>
      <c r="I43" s="205"/>
      <c r="J43" s="202"/>
      <c r="K43" s="598"/>
      <c r="L43" s="597"/>
      <c r="M43" s="99"/>
      <c r="N43" s="99"/>
      <c r="O43" s="99"/>
      <c r="P43" s="99"/>
      <c r="Q43" s="99"/>
      <c r="R43" s="99"/>
    </row>
    <row r="44" spans="1:18" s="104" customFormat="1" ht="15.75" customHeight="1">
      <c r="A44" s="599" t="s">
        <v>190</v>
      </c>
      <c r="B44" s="599"/>
      <c r="C44" s="209" t="s">
        <v>47</v>
      </c>
      <c r="D44" s="599" t="s">
        <v>12</v>
      </c>
      <c r="E44" s="600"/>
      <c r="F44" s="600"/>
      <c r="G44" s="209" t="s">
        <v>46</v>
      </c>
      <c r="H44" s="209" t="s">
        <v>394</v>
      </c>
      <c r="I44" s="209" t="s">
        <v>395</v>
      </c>
      <c r="J44" s="162" t="s">
        <v>339</v>
      </c>
      <c r="K44" s="599"/>
      <c r="L44" s="600"/>
      <c r="M44" s="130"/>
    </row>
    <row r="45" spans="1:18" ht="15.75" customHeight="1">
      <c r="A45" s="601">
        <v>6</v>
      </c>
      <c r="B45" s="602" t="s">
        <v>137</v>
      </c>
      <c r="C45" s="202">
        <v>1</v>
      </c>
      <c r="D45" s="598" t="s">
        <v>491</v>
      </c>
      <c r="E45" s="597"/>
      <c r="F45" s="597"/>
      <c r="G45" s="202">
        <v>20</v>
      </c>
      <c r="H45" s="204">
        <v>1778.9095555260535</v>
      </c>
      <c r="I45" s="205">
        <v>88.945477776302681</v>
      </c>
      <c r="J45" s="383">
        <f>I45-I19</f>
        <v>5.964442795902869E-2</v>
      </c>
      <c r="K45" s="598"/>
      <c r="L45" s="597"/>
      <c r="M45" s="99"/>
      <c r="N45" s="99"/>
      <c r="O45" s="99"/>
      <c r="P45" s="99"/>
      <c r="Q45" s="99"/>
      <c r="R45" s="99"/>
    </row>
    <row r="46" spans="1:18" ht="15.75" customHeight="1">
      <c r="A46" s="601"/>
      <c r="B46" s="602"/>
      <c r="C46" s="202">
        <v>2</v>
      </c>
      <c r="D46" s="598" t="s">
        <v>366</v>
      </c>
      <c r="E46" s="597"/>
      <c r="F46" s="597"/>
      <c r="G46" s="204">
        <v>21</v>
      </c>
      <c r="H46" s="204">
        <v>1779.651861752847</v>
      </c>
      <c r="I46" s="205">
        <v>84.745326750135561</v>
      </c>
      <c r="J46" s="383">
        <f>I46-I20</f>
        <v>0.11020645530153672</v>
      </c>
      <c r="K46" s="598"/>
      <c r="L46" s="597"/>
      <c r="M46" s="99"/>
      <c r="N46" s="99"/>
      <c r="O46" s="99"/>
      <c r="P46" s="99"/>
      <c r="Q46" s="99"/>
      <c r="R46" s="99"/>
    </row>
    <row r="47" spans="1:18" ht="15.75" customHeight="1">
      <c r="A47" s="601"/>
      <c r="B47" s="602"/>
      <c r="C47" s="202">
        <v>3</v>
      </c>
      <c r="D47" s="598" t="s">
        <v>483</v>
      </c>
      <c r="E47" s="597"/>
      <c r="F47" s="597"/>
      <c r="G47" s="204">
        <v>22</v>
      </c>
      <c r="H47" s="204">
        <v>1778.9487589120006</v>
      </c>
      <c r="I47" s="205">
        <v>80.86130722327276</v>
      </c>
      <c r="J47" s="383">
        <f>I47-I21</f>
        <v>0.10322453796899822</v>
      </c>
      <c r="K47" s="598"/>
      <c r="L47" s="597"/>
      <c r="M47" s="99"/>
      <c r="N47" s="99"/>
      <c r="O47" s="99"/>
      <c r="P47" s="99"/>
      <c r="Q47" s="99"/>
      <c r="R47" s="99"/>
    </row>
    <row r="48" spans="1:18" ht="15.75" customHeight="1">
      <c r="A48" s="601"/>
      <c r="B48" s="602"/>
      <c r="C48" s="202">
        <v>4</v>
      </c>
      <c r="D48" s="598" t="s">
        <v>479</v>
      </c>
      <c r="E48" s="597"/>
      <c r="F48" s="597"/>
      <c r="G48" s="202">
        <v>23</v>
      </c>
      <c r="H48" s="204">
        <v>1779.444608126799</v>
      </c>
      <c r="I48" s="205">
        <v>77.367156875078209</v>
      </c>
      <c r="J48" s="383">
        <f>I48-I23</f>
        <v>3.5086386904538358E-2</v>
      </c>
      <c r="K48" s="598"/>
      <c r="L48" s="597"/>
      <c r="M48" s="99"/>
      <c r="N48" s="99"/>
      <c r="O48" s="99"/>
      <c r="P48" s="99"/>
      <c r="Q48" s="99"/>
      <c r="R48" s="99"/>
    </row>
    <row r="49" spans="1:18" ht="15.75" customHeight="1">
      <c r="A49" s="601"/>
      <c r="B49" s="602"/>
      <c r="C49" s="202">
        <v>5</v>
      </c>
      <c r="D49" s="598" t="s">
        <v>368</v>
      </c>
      <c r="E49" s="597"/>
      <c r="F49" s="597"/>
      <c r="G49" s="204">
        <v>23</v>
      </c>
      <c r="H49" s="204">
        <v>1779.3250609946622</v>
      </c>
      <c r="I49" s="205">
        <v>77.361959173680901</v>
      </c>
      <c r="J49" s="383">
        <f>I49-I22</f>
        <v>1.7149046421295111E-2</v>
      </c>
      <c r="K49" s="598"/>
      <c r="L49" s="597"/>
      <c r="M49" s="99"/>
      <c r="N49" s="99"/>
      <c r="O49" s="99"/>
      <c r="P49" s="99"/>
      <c r="Q49" s="99"/>
      <c r="R49" s="99"/>
    </row>
    <row r="50" spans="1:18" ht="15.75" customHeight="1">
      <c r="A50" s="601"/>
      <c r="B50" s="602"/>
      <c r="C50" s="206" t="s">
        <v>207</v>
      </c>
      <c r="D50" s="598" t="s">
        <v>365</v>
      </c>
      <c r="E50" s="597"/>
      <c r="F50" s="597"/>
      <c r="G50" s="202">
        <v>25</v>
      </c>
      <c r="H50" s="204">
        <v>1780.4935447430485</v>
      </c>
      <c r="I50" s="205">
        <v>71.219741789721937</v>
      </c>
      <c r="J50" s="383">
        <f>I50-I24</f>
        <v>3.236373590426922E-2</v>
      </c>
      <c r="K50" s="598"/>
      <c r="L50" s="597"/>
      <c r="M50" s="99"/>
      <c r="N50" s="99"/>
      <c r="O50" s="99"/>
      <c r="P50" s="99"/>
      <c r="Q50" s="99"/>
      <c r="R50" s="99"/>
    </row>
    <row r="51" spans="1:18" ht="15.75" customHeight="1">
      <c r="A51" s="601"/>
      <c r="B51" s="602"/>
      <c r="C51" s="206" t="s">
        <v>212</v>
      </c>
      <c r="D51" s="598" t="s">
        <v>367</v>
      </c>
      <c r="E51" s="597"/>
      <c r="F51" s="597"/>
      <c r="G51" s="202">
        <v>25</v>
      </c>
      <c r="H51" s="204">
        <v>1782.3812081119684</v>
      </c>
      <c r="I51" s="205">
        <v>71.29524832447872</v>
      </c>
      <c r="J51" s="383">
        <f>I51-I25</f>
        <v>1.4853194631498923E-2</v>
      </c>
      <c r="K51" s="598"/>
      <c r="L51" s="597"/>
      <c r="M51" s="99"/>
      <c r="N51" s="99"/>
      <c r="O51" s="99"/>
      <c r="P51" s="99"/>
      <c r="Q51" s="99"/>
      <c r="R51" s="99"/>
    </row>
    <row r="52" spans="1:18" ht="15.75" customHeight="1">
      <c r="A52" s="601"/>
      <c r="B52" s="602"/>
      <c r="C52" s="206" t="s">
        <v>208</v>
      </c>
      <c r="D52" s="598" t="s">
        <v>369</v>
      </c>
      <c r="E52" s="597"/>
      <c r="F52" s="597"/>
      <c r="G52" s="202">
        <v>24</v>
      </c>
      <c r="H52" s="204">
        <v>1780.7080738013608</v>
      </c>
      <c r="I52" s="205">
        <v>74.196169741723367</v>
      </c>
      <c r="J52" s="383">
        <f>I52-I26</f>
        <v>0.10995891821291082</v>
      </c>
      <c r="K52" s="598"/>
      <c r="L52" s="597"/>
      <c r="M52" s="99"/>
      <c r="N52" s="99"/>
      <c r="O52" s="99"/>
      <c r="P52" s="99"/>
      <c r="Q52" s="99"/>
      <c r="R52" s="99"/>
    </row>
    <row r="53" spans="1:18" ht="15.75" customHeight="1">
      <c r="A53" s="601"/>
      <c r="B53" s="602"/>
      <c r="C53" s="206" t="s">
        <v>213</v>
      </c>
      <c r="D53" s="598" t="s">
        <v>617</v>
      </c>
      <c r="E53" s="597"/>
      <c r="F53" s="597"/>
      <c r="G53" s="202">
        <v>24</v>
      </c>
      <c r="H53" s="204">
        <v>1782.252708756482</v>
      </c>
      <c r="I53" s="205">
        <v>74.260529531520078</v>
      </c>
      <c r="J53" s="383">
        <f>I53-I27</f>
        <v>9.8732271408636052E-2</v>
      </c>
      <c r="K53" s="598"/>
      <c r="L53" s="597"/>
      <c r="M53" s="99"/>
      <c r="N53" s="99"/>
      <c r="O53" s="99"/>
      <c r="P53" s="99"/>
      <c r="Q53" s="99"/>
      <c r="R53" s="99"/>
    </row>
    <row r="54" spans="1:18" ht="15.75" customHeight="1">
      <c r="A54" s="601"/>
      <c r="B54" s="602"/>
      <c r="C54" s="206" t="s">
        <v>214</v>
      </c>
      <c r="D54" s="598"/>
      <c r="E54" s="597"/>
      <c r="F54" s="597"/>
      <c r="G54" s="202"/>
      <c r="H54" s="204"/>
      <c r="I54" s="205"/>
      <c r="J54" s="202"/>
      <c r="K54" s="598"/>
      <c r="L54" s="597"/>
      <c r="M54" s="99"/>
      <c r="N54" s="99"/>
      <c r="O54" s="99"/>
      <c r="P54" s="99"/>
      <c r="Q54" s="99"/>
      <c r="R54" s="99"/>
    </row>
  </sheetData>
  <mergeCells count="105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262"/>
  <sheetViews>
    <sheetView view="pageBreakPreview" topLeftCell="A20" zoomScale="115" zoomScaleNormal="60" zoomScaleSheetLayoutView="115" workbookViewId="0">
      <selection activeCell="J49" sqref="J49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0" t="s">
        <v>392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99"/>
    </row>
    <row r="2" spans="1:18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192"/>
      <c r="O2" s="192"/>
      <c r="P2" s="192"/>
      <c r="Q2" s="192"/>
      <c r="R2" s="192"/>
    </row>
    <row r="3" spans="1:18" s="191" customFormat="1" ht="15.75" customHeight="1">
      <c r="A3" s="603" t="s">
        <v>651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</row>
    <row r="4" spans="1:18" s="192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</row>
    <row r="5" spans="1:18" s="106" customFormat="1" ht="16.350000000000001" customHeight="1">
      <c r="A5" s="610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12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16" t="s">
        <v>190</v>
      </c>
      <c r="B7" s="617"/>
      <c r="C7" s="162" t="s">
        <v>47</v>
      </c>
      <c r="D7" s="616" t="s">
        <v>12</v>
      </c>
      <c r="E7" s="618"/>
      <c r="F7" s="617"/>
      <c r="G7" s="162" t="s">
        <v>46</v>
      </c>
      <c r="H7" s="162" t="s">
        <v>394</v>
      </c>
      <c r="I7" s="162" t="s">
        <v>395</v>
      </c>
      <c r="J7" s="162" t="s">
        <v>339</v>
      </c>
      <c r="K7" s="616" t="s">
        <v>51</v>
      </c>
      <c r="L7" s="617"/>
      <c r="M7" s="129"/>
      <c r="N7" s="191"/>
      <c r="O7" s="201"/>
      <c r="P7" s="444"/>
      <c r="Q7" s="444"/>
      <c r="R7" s="201"/>
    </row>
    <row r="8" spans="1:18" ht="15.75" customHeight="1">
      <c r="A8" s="610">
        <v>7</v>
      </c>
      <c r="B8" s="613" t="s">
        <v>398</v>
      </c>
      <c r="C8" s="202">
        <v>1</v>
      </c>
      <c r="D8" s="619" t="s">
        <v>487</v>
      </c>
      <c r="E8" s="597"/>
      <c r="F8" s="597"/>
      <c r="G8" s="202">
        <v>22</v>
      </c>
      <c r="H8" s="204">
        <v>1604.0565389421931</v>
      </c>
      <c r="I8" s="205">
        <v>72.911660861008784</v>
      </c>
      <c r="J8" s="383">
        <v>0.18700559839756181</v>
      </c>
      <c r="K8" s="598" t="s">
        <v>472</v>
      </c>
      <c r="L8" s="597"/>
      <c r="O8" s="201"/>
      <c r="P8" s="444"/>
      <c r="Q8" s="444"/>
      <c r="R8" s="201"/>
    </row>
    <row r="9" spans="1:18" ht="15.75" customHeight="1">
      <c r="A9" s="611"/>
      <c r="B9" s="614"/>
      <c r="C9" s="202">
        <v>2</v>
      </c>
      <c r="D9" s="619"/>
      <c r="E9" s="597"/>
      <c r="F9" s="597"/>
      <c r="G9" s="202"/>
      <c r="H9" s="204"/>
      <c r="I9" s="205"/>
      <c r="J9" s="202"/>
      <c r="K9" s="595"/>
      <c r="L9" s="596"/>
      <c r="O9" s="201"/>
      <c r="P9" s="444"/>
      <c r="Q9" s="444"/>
      <c r="R9" s="201"/>
    </row>
    <row r="10" spans="1:18" ht="15.75" customHeight="1">
      <c r="A10" s="611"/>
      <c r="B10" s="614"/>
      <c r="C10" s="202">
        <v>3</v>
      </c>
      <c r="D10" s="595"/>
      <c r="E10" s="606"/>
      <c r="F10" s="596"/>
      <c r="G10" s="202"/>
      <c r="H10" s="204"/>
      <c r="I10" s="205"/>
      <c r="J10" s="202"/>
      <c r="K10" s="595"/>
      <c r="L10" s="596"/>
      <c r="N10" s="447"/>
      <c r="O10" s="201"/>
      <c r="P10" s="444"/>
      <c r="Q10" s="444"/>
      <c r="R10" s="201"/>
    </row>
    <row r="11" spans="1:18" ht="15.75" customHeight="1">
      <c r="A11" s="611"/>
      <c r="B11" s="614"/>
      <c r="C11" s="202">
        <v>4</v>
      </c>
      <c r="D11" s="595"/>
      <c r="E11" s="606"/>
      <c r="F11" s="596"/>
      <c r="G11" s="202"/>
      <c r="H11" s="204"/>
      <c r="I11" s="205"/>
      <c r="J11" s="202"/>
      <c r="K11" s="595"/>
      <c r="L11" s="596"/>
      <c r="O11" s="201"/>
      <c r="P11" s="444"/>
      <c r="Q11" s="444"/>
      <c r="R11" s="201"/>
    </row>
    <row r="12" spans="1:18" ht="15.75" customHeight="1">
      <c r="A12" s="611"/>
      <c r="B12" s="614"/>
      <c r="C12" s="202">
        <v>5</v>
      </c>
      <c r="D12" s="595"/>
      <c r="E12" s="606"/>
      <c r="F12" s="596"/>
      <c r="G12" s="202"/>
      <c r="H12" s="204"/>
      <c r="I12" s="205"/>
      <c r="J12" s="202"/>
      <c r="K12" s="595"/>
      <c r="L12" s="596"/>
      <c r="N12" s="180"/>
      <c r="O12" s="201"/>
      <c r="P12" s="444"/>
      <c r="Q12" s="444"/>
      <c r="R12" s="201"/>
    </row>
    <row r="13" spans="1:18" ht="15.75" customHeight="1">
      <c r="A13" s="611"/>
      <c r="B13" s="614"/>
      <c r="C13" s="206" t="s">
        <v>207</v>
      </c>
      <c r="D13" s="595"/>
      <c r="E13" s="606"/>
      <c r="F13" s="596"/>
      <c r="G13" s="202"/>
      <c r="H13" s="204"/>
      <c r="I13" s="205"/>
      <c r="J13" s="202"/>
      <c r="K13" s="595"/>
      <c r="L13" s="596"/>
      <c r="N13" s="447"/>
      <c r="O13" s="201"/>
      <c r="P13" s="444"/>
      <c r="Q13" s="444"/>
      <c r="R13" s="201"/>
    </row>
    <row r="14" spans="1:18" ht="15.75" customHeight="1">
      <c r="A14" s="611"/>
      <c r="B14" s="614"/>
      <c r="C14" s="206" t="s">
        <v>212</v>
      </c>
      <c r="D14" s="595"/>
      <c r="E14" s="606"/>
      <c r="F14" s="596"/>
      <c r="G14" s="202"/>
      <c r="H14" s="204"/>
      <c r="I14" s="205"/>
      <c r="J14" s="202"/>
      <c r="K14" s="595"/>
      <c r="L14" s="596"/>
      <c r="O14" s="201"/>
      <c r="P14" s="444"/>
      <c r="Q14" s="444"/>
      <c r="R14" s="201"/>
    </row>
    <row r="15" spans="1:18" ht="15.75" customHeight="1">
      <c r="A15" s="611"/>
      <c r="B15" s="614"/>
      <c r="C15" s="206" t="s">
        <v>208</v>
      </c>
      <c r="D15" s="595"/>
      <c r="E15" s="606"/>
      <c r="F15" s="596"/>
      <c r="G15" s="202"/>
      <c r="H15" s="204"/>
      <c r="I15" s="205"/>
      <c r="J15" s="202"/>
      <c r="K15" s="595"/>
      <c r="L15" s="596"/>
      <c r="O15" s="201"/>
      <c r="P15" s="444"/>
      <c r="Q15" s="444"/>
      <c r="R15" s="201"/>
    </row>
    <row r="16" spans="1:18" ht="15.75" customHeight="1">
      <c r="A16" s="611"/>
      <c r="B16" s="614"/>
      <c r="C16" s="206" t="s">
        <v>213</v>
      </c>
      <c r="D16" s="595"/>
      <c r="E16" s="606"/>
      <c r="F16" s="596"/>
      <c r="G16" s="202"/>
      <c r="H16" s="204"/>
      <c r="I16" s="205"/>
      <c r="J16" s="202"/>
      <c r="K16" s="595"/>
      <c r="L16" s="596"/>
      <c r="M16" s="99"/>
      <c r="O16" s="201"/>
      <c r="P16" s="444"/>
      <c r="Q16" s="444"/>
      <c r="R16" s="201"/>
    </row>
    <row r="17" spans="1:18" ht="15.75" customHeight="1">
      <c r="A17" s="612"/>
      <c r="B17" s="615"/>
      <c r="C17" s="206" t="s">
        <v>214</v>
      </c>
      <c r="D17" s="595"/>
      <c r="E17" s="606"/>
      <c r="F17" s="596"/>
      <c r="G17" s="202"/>
      <c r="H17" s="204"/>
      <c r="I17" s="205"/>
      <c r="J17" s="202"/>
      <c r="K17" s="595"/>
      <c r="L17" s="596"/>
      <c r="M17" s="99"/>
      <c r="N17" s="201"/>
      <c r="O17" s="201"/>
      <c r="P17" s="444"/>
      <c r="Q17" s="444"/>
      <c r="R17" s="201"/>
    </row>
    <row r="18" spans="1:18" s="104" customFormat="1" ht="15.75" customHeight="1">
      <c r="A18" s="607" t="s">
        <v>190</v>
      </c>
      <c r="B18" s="608"/>
      <c r="C18" s="209" t="s">
        <v>47</v>
      </c>
      <c r="D18" s="607" t="s">
        <v>12</v>
      </c>
      <c r="E18" s="609"/>
      <c r="F18" s="608"/>
      <c r="G18" s="209" t="s">
        <v>46</v>
      </c>
      <c r="H18" s="209" t="s">
        <v>394</v>
      </c>
      <c r="I18" s="209" t="s">
        <v>395</v>
      </c>
      <c r="J18" s="162" t="s">
        <v>340</v>
      </c>
      <c r="K18" s="607" t="s">
        <v>51</v>
      </c>
      <c r="L18" s="608"/>
      <c r="M18" s="130"/>
      <c r="N18" s="191"/>
      <c r="O18" s="201"/>
      <c r="P18" s="444"/>
      <c r="Q18" s="444"/>
      <c r="R18" s="201"/>
    </row>
    <row r="19" spans="1:18" ht="15.75" customHeight="1">
      <c r="A19" s="610">
        <v>8</v>
      </c>
      <c r="B19" s="613" t="s">
        <v>399</v>
      </c>
      <c r="C19" s="202">
        <v>1</v>
      </c>
      <c r="D19" s="595" t="s">
        <v>507</v>
      </c>
      <c r="E19" s="606"/>
      <c r="F19" s="596"/>
      <c r="G19" s="202">
        <v>19</v>
      </c>
      <c r="H19" s="204">
        <v>3206.5855184275833</v>
      </c>
      <c r="I19" s="205">
        <v>168.76765886460967</v>
      </c>
      <c r="J19" s="383">
        <v>0.26224031910047074</v>
      </c>
      <c r="K19" s="598" t="s">
        <v>472</v>
      </c>
      <c r="L19" s="597"/>
      <c r="M19" s="99"/>
      <c r="O19" s="201"/>
      <c r="P19" s="444"/>
      <c r="Q19" s="444"/>
      <c r="R19" s="201"/>
    </row>
    <row r="20" spans="1:18" ht="15.75" customHeight="1">
      <c r="A20" s="611"/>
      <c r="B20" s="614"/>
      <c r="C20" s="202">
        <v>2</v>
      </c>
      <c r="D20" s="595" t="s">
        <v>506</v>
      </c>
      <c r="E20" s="606"/>
      <c r="F20" s="596"/>
      <c r="G20" s="202">
        <v>18</v>
      </c>
      <c r="H20" s="204">
        <v>1605.2765123130234</v>
      </c>
      <c r="I20" s="205">
        <v>89.182028461834634</v>
      </c>
      <c r="J20" s="383">
        <v>-3.8012419420965671E-2</v>
      </c>
      <c r="K20" s="598" t="s">
        <v>472</v>
      </c>
      <c r="L20" s="597"/>
      <c r="M20" s="99"/>
      <c r="O20" s="180"/>
      <c r="P20" s="443"/>
      <c r="Q20" s="443"/>
      <c r="R20" s="180"/>
    </row>
    <row r="21" spans="1:18" ht="15.75" customHeight="1">
      <c r="A21" s="611"/>
      <c r="B21" s="614"/>
      <c r="C21" s="202">
        <v>3</v>
      </c>
      <c r="D21" s="595" t="s">
        <v>500</v>
      </c>
      <c r="E21" s="606"/>
      <c r="F21" s="596"/>
      <c r="G21" s="202">
        <v>19</v>
      </c>
      <c r="H21" s="204">
        <v>1606.0612311917703</v>
      </c>
      <c r="I21" s="205">
        <v>84.529538483777401</v>
      </c>
      <c r="J21" s="383">
        <v>2.8239754288946983E-2</v>
      </c>
      <c r="K21" s="598" t="s">
        <v>472</v>
      </c>
      <c r="L21" s="597"/>
      <c r="M21" s="99"/>
      <c r="O21" s="201"/>
      <c r="P21" s="444"/>
      <c r="Q21" s="444"/>
      <c r="R21" s="201"/>
    </row>
    <row r="22" spans="1:18" ht="15.75" customHeight="1">
      <c r="A22" s="611"/>
      <c r="B22" s="614"/>
      <c r="C22" s="202">
        <v>4</v>
      </c>
      <c r="D22" s="595" t="s">
        <v>618</v>
      </c>
      <c r="E22" s="606"/>
      <c r="F22" s="596"/>
      <c r="G22" s="202">
        <v>19</v>
      </c>
      <c r="H22" s="204">
        <v>1603.7947802453587</v>
      </c>
      <c r="I22" s="205">
        <v>84.410251591860998</v>
      </c>
      <c r="J22" s="383">
        <v>3.3387710055694981</v>
      </c>
      <c r="K22" s="605" t="s">
        <v>658</v>
      </c>
      <c r="L22" s="597"/>
      <c r="M22" s="99"/>
      <c r="O22" s="201"/>
      <c r="P22" s="444"/>
      <c r="Q22" s="444"/>
      <c r="R22" s="201"/>
    </row>
    <row r="23" spans="1:18" ht="15.75" customHeight="1">
      <c r="A23" s="611"/>
      <c r="B23" s="614"/>
      <c r="C23" s="202">
        <v>5</v>
      </c>
      <c r="D23" s="595"/>
      <c r="E23" s="606"/>
      <c r="F23" s="596"/>
      <c r="G23" s="202"/>
      <c r="H23" s="204"/>
      <c r="I23" s="205"/>
      <c r="J23" s="202"/>
      <c r="K23" s="595"/>
      <c r="L23" s="596"/>
      <c r="M23" s="99"/>
      <c r="O23" s="201"/>
      <c r="P23" s="444"/>
      <c r="Q23" s="444"/>
      <c r="R23" s="201"/>
    </row>
    <row r="24" spans="1:18" ht="15.75" customHeight="1">
      <c r="A24" s="611"/>
      <c r="B24" s="614"/>
      <c r="C24" s="206" t="s">
        <v>207</v>
      </c>
      <c r="D24" s="595"/>
      <c r="E24" s="606"/>
      <c r="F24" s="596"/>
      <c r="G24" s="202"/>
      <c r="H24" s="204"/>
      <c r="I24" s="205"/>
      <c r="J24" s="202"/>
      <c r="K24" s="595"/>
      <c r="L24" s="596"/>
      <c r="M24" s="99"/>
      <c r="O24" s="201"/>
      <c r="P24" s="444"/>
      <c r="Q24" s="444"/>
      <c r="R24" s="201"/>
    </row>
    <row r="25" spans="1:18" ht="15.75" customHeight="1">
      <c r="A25" s="611"/>
      <c r="B25" s="614"/>
      <c r="C25" s="206" t="s">
        <v>212</v>
      </c>
      <c r="D25" s="595"/>
      <c r="E25" s="606"/>
      <c r="F25" s="596"/>
      <c r="G25" s="202"/>
      <c r="H25" s="204"/>
      <c r="I25" s="205"/>
      <c r="J25" s="202"/>
      <c r="K25" s="595"/>
      <c r="L25" s="596"/>
      <c r="M25" s="99"/>
      <c r="O25" s="201"/>
      <c r="P25" s="444"/>
      <c r="Q25" s="444"/>
      <c r="R25" s="201"/>
    </row>
    <row r="26" spans="1:18" ht="15.75" customHeight="1">
      <c r="A26" s="611"/>
      <c r="B26" s="614"/>
      <c r="C26" s="206" t="s">
        <v>208</v>
      </c>
      <c r="D26" s="595"/>
      <c r="E26" s="606"/>
      <c r="F26" s="596"/>
      <c r="G26" s="202"/>
      <c r="H26" s="204"/>
      <c r="I26" s="205"/>
      <c r="J26" s="202"/>
      <c r="K26" s="595"/>
      <c r="L26" s="596"/>
      <c r="M26" s="99"/>
      <c r="O26" s="201"/>
      <c r="P26" s="444"/>
      <c r="Q26" s="444"/>
      <c r="R26" s="201"/>
    </row>
    <row r="27" spans="1:18" ht="15.75" customHeight="1">
      <c r="A27" s="611"/>
      <c r="B27" s="614"/>
      <c r="C27" s="206" t="s">
        <v>213</v>
      </c>
      <c r="D27" s="595"/>
      <c r="E27" s="606"/>
      <c r="F27" s="596"/>
      <c r="G27" s="202"/>
      <c r="H27" s="204"/>
      <c r="I27" s="205"/>
      <c r="J27" s="202"/>
      <c r="K27" s="595"/>
      <c r="L27" s="596"/>
      <c r="M27" s="99"/>
      <c r="O27" s="201"/>
      <c r="P27" s="444"/>
      <c r="Q27" s="444"/>
      <c r="R27" s="201"/>
    </row>
    <row r="28" spans="1:18" ht="15.75" customHeight="1">
      <c r="A28" s="612"/>
      <c r="B28" s="615"/>
      <c r="C28" s="206" t="s">
        <v>214</v>
      </c>
      <c r="D28" s="595"/>
      <c r="E28" s="606"/>
      <c r="F28" s="596"/>
      <c r="G28" s="202"/>
      <c r="H28" s="204"/>
      <c r="I28" s="205"/>
      <c r="J28" s="202"/>
      <c r="K28" s="595"/>
      <c r="L28" s="596"/>
      <c r="M28" s="99"/>
      <c r="O28" s="201"/>
      <c r="P28" s="444"/>
      <c r="Q28" s="444"/>
      <c r="R28" s="201"/>
    </row>
    <row r="29" spans="1:18" s="191" customFormat="1" ht="15.75" customHeight="1">
      <c r="A29" s="603" t="s">
        <v>702</v>
      </c>
      <c r="B29" s="603"/>
      <c r="C29" s="603"/>
      <c r="D29" s="603"/>
      <c r="E29" s="603"/>
      <c r="F29" s="603"/>
      <c r="G29" s="603"/>
      <c r="H29" s="603"/>
      <c r="I29" s="603"/>
      <c r="J29" s="603"/>
      <c r="K29" s="603"/>
      <c r="L29" s="603"/>
    </row>
    <row r="30" spans="1:18" s="192" customFormat="1" ht="15.75" customHeight="1">
      <c r="A30" s="603"/>
      <c r="B30" s="603"/>
      <c r="C30" s="603"/>
      <c r="D30" s="603"/>
      <c r="E30" s="603"/>
      <c r="F30" s="603"/>
      <c r="G30" s="603"/>
      <c r="H30" s="603"/>
      <c r="I30" s="603"/>
      <c r="J30" s="603"/>
      <c r="K30" s="603"/>
      <c r="L30" s="603"/>
    </row>
    <row r="31" spans="1:18" s="106" customFormat="1" ht="16.350000000000001" customHeight="1">
      <c r="A31" s="610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12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6" t="s">
        <v>190</v>
      </c>
      <c r="B33" s="617"/>
      <c r="C33" s="162" t="s">
        <v>47</v>
      </c>
      <c r="D33" s="616" t="s">
        <v>12</v>
      </c>
      <c r="E33" s="618"/>
      <c r="F33" s="617"/>
      <c r="G33" s="162" t="s">
        <v>46</v>
      </c>
      <c r="H33" s="162" t="s">
        <v>394</v>
      </c>
      <c r="I33" s="162" t="s">
        <v>395</v>
      </c>
      <c r="J33" s="162" t="s">
        <v>339</v>
      </c>
      <c r="K33" s="616" t="s">
        <v>51</v>
      </c>
      <c r="L33" s="617"/>
      <c r="M33" s="129"/>
    </row>
    <row r="34" spans="1:18" ht="15.75" customHeight="1">
      <c r="A34" s="610">
        <v>7</v>
      </c>
      <c r="B34" s="613" t="s">
        <v>398</v>
      </c>
      <c r="C34" s="202">
        <v>1</v>
      </c>
      <c r="D34" s="619" t="s">
        <v>487</v>
      </c>
      <c r="E34" s="597"/>
      <c r="F34" s="597"/>
      <c r="G34" s="202">
        <v>22</v>
      </c>
      <c r="H34" s="204">
        <v>1604.433913674126</v>
      </c>
      <c r="I34" s="205">
        <v>72.928814257914809</v>
      </c>
      <c r="J34" s="383">
        <f>I34-I8</f>
        <v>1.7153396906024909E-2</v>
      </c>
      <c r="K34" s="598"/>
      <c r="L34" s="597"/>
      <c r="N34" s="99"/>
      <c r="O34" s="99"/>
      <c r="P34" s="99"/>
      <c r="Q34" s="99"/>
      <c r="R34" s="99"/>
    </row>
    <row r="35" spans="1:18" ht="15.75" customHeight="1">
      <c r="A35" s="611"/>
      <c r="B35" s="614"/>
      <c r="C35" s="202">
        <v>2</v>
      </c>
      <c r="D35" s="619"/>
      <c r="E35" s="597"/>
      <c r="F35" s="597"/>
      <c r="G35" s="202"/>
      <c r="H35" s="204"/>
      <c r="I35" s="205"/>
      <c r="J35" s="383"/>
      <c r="K35" s="598"/>
      <c r="L35" s="597"/>
      <c r="N35" s="99"/>
      <c r="O35" s="99"/>
      <c r="P35" s="99"/>
      <c r="Q35" s="99"/>
      <c r="R35" s="99"/>
    </row>
    <row r="36" spans="1:18" ht="15.75" customHeight="1">
      <c r="A36" s="611"/>
      <c r="B36" s="614"/>
      <c r="C36" s="202">
        <v>3</v>
      </c>
      <c r="D36" s="595"/>
      <c r="E36" s="606"/>
      <c r="F36" s="596"/>
      <c r="G36" s="202"/>
      <c r="H36" s="204"/>
      <c r="I36" s="205"/>
      <c r="J36" s="202"/>
      <c r="K36" s="595"/>
      <c r="L36" s="596"/>
      <c r="N36" s="99"/>
      <c r="O36" s="99"/>
      <c r="P36" s="99"/>
      <c r="Q36" s="99"/>
      <c r="R36" s="99"/>
    </row>
    <row r="37" spans="1:18" ht="15.75" customHeight="1">
      <c r="A37" s="611"/>
      <c r="B37" s="614"/>
      <c r="C37" s="202">
        <v>4</v>
      </c>
      <c r="D37" s="595"/>
      <c r="E37" s="606"/>
      <c r="F37" s="596"/>
      <c r="G37" s="202"/>
      <c r="H37" s="204"/>
      <c r="I37" s="205"/>
      <c r="J37" s="202"/>
      <c r="K37" s="595"/>
      <c r="L37" s="596"/>
      <c r="N37" s="99"/>
      <c r="O37" s="99"/>
      <c r="P37" s="99"/>
      <c r="Q37" s="99"/>
      <c r="R37" s="99"/>
    </row>
    <row r="38" spans="1:18" ht="15.75" customHeight="1">
      <c r="A38" s="611"/>
      <c r="B38" s="614"/>
      <c r="C38" s="202">
        <v>5</v>
      </c>
      <c r="D38" s="595"/>
      <c r="E38" s="606"/>
      <c r="F38" s="596"/>
      <c r="G38" s="202"/>
      <c r="H38" s="204"/>
      <c r="I38" s="205"/>
      <c r="J38" s="202"/>
      <c r="K38" s="595"/>
      <c r="L38" s="596"/>
      <c r="N38" s="99"/>
      <c r="O38" s="99"/>
      <c r="P38" s="99"/>
      <c r="Q38" s="99"/>
      <c r="R38" s="99"/>
    </row>
    <row r="39" spans="1:18" ht="15.75" customHeight="1">
      <c r="A39" s="611"/>
      <c r="B39" s="614"/>
      <c r="C39" s="206" t="s">
        <v>207</v>
      </c>
      <c r="D39" s="595"/>
      <c r="E39" s="606"/>
      <c r="F39" s="596"/>
      <c r="G39" s="202"/>
      <c r="H39" s="204"/>
      <c r="I39" s="205"/>
      <c r="J39" s="202"/>
      <c r="K39" s="595"/>
      <c r="L39" s="596"/>
      <c r="N39" s="99"/>
      <c r="O39" s="99"/>
      <c r="P39" s="99"/>
      <c r="Q39" s="99"/>
      <c r="R39" s="99"/>
    </row>
    <row r="40" spans="1:18" ht="15.75" customHeight="1">
      <c r="A40" s="611"/>
      <c r="B40" s="614"/>
      <c r="C40" s="206" t="s">
        <v>212</v>
      </c>
      <c r="D40" s="595"/>
      <c r="E40" s="606"/>
      <c r="F40" s="596"/>
      <c r="G40" s="202"/>
      <c r="H40" s="204"/>
      <c r="I40" s="205"/>
      <c r="J40" s="202"/>
      <c r="K40" s="595"/>
      <c r="L40" s="596"/>
      <c r="N40" s="99"/>
      <c r="O40" s="99"/>
      <c r="P40" s="99"/>
      <c r="Q40" s="99"/>
      <c r="R40" s="99"/>
    </row>
    <row r="41" spans="1:18" ht="15.75" customHeight="1">
      <c r="A41" s="611"/>
      <c r="B41" s="614"/>
      <c r="C41" s="206" t="s">
        <v>208</v>
      </c>
      <c r="D41" s="595"/>
      <c r="E41" s="606"/>
      <c r="F41" s="596"/>
      <c r="G41" s="202"/>
      <c r="H41" s="204"/>
      <c r="I41" s="205"/>
      <c r="J41" s="202"/>
      <c r="K41" s="595"/>
      <c r="L41" s="596"/>
      <c r="N41" s="99"/>
      <c r="O41" s="99"/>
      <c r="P41" s="99"/>
      <c r="Q41" s="99"/>
      <c r="R41" s="99"/>
    </row>
    <row r="42" spans="1:18" ht="15.75" customHeight="1">
      <c r="A42" s="611"/>
      <c r="B42" s="614"/>
      <c r="C42" s="206" t="s">
        <v>213</v>
      </c>
      <c r="D42" s="595"/>
      <c r="E42" s="606"/>
      <c r="F42" s="596"/>
      <c r="G42" s="202"/>
      <c r="H42" s="204"/>
      <c r="I42" s="205"/>
      <c r="J42" s="202"/>
      <c r="K42" s="595"/>
      <c r="L42" s="596"/>
      <c r="M42" s="99"/>
      <c r="N42" s="99"/>
      <c r="O42" s="99"/>
      <c r="P42" s="99"/>
      <c r="Q42" s="99"/>
      <c r="R42" s="99"/>
    </row>
    <row r="43" spans="1:18" ht="15.75" customHeight="1">
      <c r="A43" s="612"/>
      <c r="B43" s="615"/>
      <c r="C43" s="206" t="s">
        <v>214</v>
      </c>
      <c r="D43" s="595"/>
      <c r="E43" s="606"/>
      <c r="F43" s="596"/>
      <c r="G43" s="202"/>
      <c r="H43" s="204"/>
      <c r="I43" s="205"/>
      <c r="J43" s="202"/>
      <c r="K43" s="595"/>
      <c r="L43" s="596"/>
      <c r="M43" s="99"/>
      <c r="N43" s="99"/>
      <c r="O43" s="99"/>
      <c r="P43" s="99"/>
      <c r="Q43" s="99"/>
      <c r="R43" s="99"/>
    </row>
    <row r="44" spans="1:18" s="104" customFormat="1" ht="15.75" customHeight="1">
      <c r="A44" s="607" t="s">
        <v>190</v>
      </c>
      <c r="B44" s="608"/>
      <c r="C44" s="209" t="s">
        <v>47</v>
      </c>
      <c r="D44" s="607" t="s">
        <v>12</v>
      </c>
      <c r="E44" s="609"/>
      <c r="F44" s="608"/>
      <c r="G44" s="209" t="s">
        <v>46</v>
      </c>
      <c r="H44" s="209" t="s">
        <v>394</v>
      </c>
      <c r="I44" s="209" t="s">
        <v>395</v>
      </c>
      <c r="J44" s="162" t="s">
        <v>339</v>
      </c>
      <c r="K44" s="607" t="s">
        <v>51</v>
      </c>
      <c r="L44" s="608"/>
      <c r="M44" s="130"/>
    </row>
    <row r="45" spans="1:18" ht="15.75" customHeight="1">
      <c r="A45" s="610">
        <v>8</v>
      </c>
      <c r="B45" s="613" t="s">
        <v>399</v>
      </c>
      <c r="C45" s="202">
        <v>1</v>
      </c>
      <c r="D45" s="595" t="s">
        <v>507</v>
      </c>
      <c r="E45" s="606"/>
      <c r="F45" s="596"/>
      <c r="G45" s="202">
        <v>19</v>
      </c>
      <c r="H45" s="204">
        <v>3211.5888442200444</v>
      </c>
      <c r="I45" s="205">
        <v>169.03099180105497</v>
      </c>
      <c r="J45" s="383">
        <f>I45-I19</f>
        <v>0.26333293644529476</v>
      </c>
      <c r="K45" s="598"/>
      <c r="L45" s="597"/>
      <c r="M45" s="99"/>
      <c r="N45" s="99"/>
      <c r="O45" s="99"/>
      <c r="P45" s="99"/>
      <c r="Q45" s="99"/>
      <c r="R45" s="99"/>
    </row>
    <row r="46" spans="1:18" ht="15.75" customHeight="1">
      <c r="A46" s="611"/>
      <c r="B46" s="614"/>
      <c r="C46" s="202">
        <v>2</v>
      </c>
      <c r="D46" s="595" t="s">
        <v>506</v>
      </c>
      <c r="E46" s="606"/>
      <c r="F46" s="596"/>
      <c r="G46" s="202">
        <v>18</v>
      </c>
      <c r="H46" s="204">
        <v>1605.1588078405396</v>
      </c>
      <c r="I46" s="205">
        <v>89.175489324474412</v>
      </c>
      <c r="J46" s="383">
        <f>I46-I20</f>
        <v>-6.5391373602210479E-3</v>
      </c>
      <c r="K46" s="598"/>
      <c r="L46" s="597"/>
      <c r="M46" s="99"/>
      <c r="N46" s="99"/>
      <c r="O46" s="99"/>
      <c r="P46" s="99"/>
      <c r="Q46" s="99"/>
      <c r="R46" s="99"/>
    </row>
    <row r="47" spans="1:18" ht="15.75" customHeight="1">
      <c r="A47" s="611"/>
      <c r="B47" s="614"/>
      <c r="C47" s="202">
        <v>3</v>
      </c>
      <c r="D47" s="595" t="s">
        <v>500</v>
      </c>
      <c r="E47" s="606"/>
      <c r="F47" s="596"/>
      <c r="G47" s="202">
        <v>19</v>
      </c>
      <c r="H47" s="204">
        <v>1605.8817231871387</v>
      </c>
      <c r="I47" s="205">
        <v>84.520090694059945</v>
      </c>
      <c r="J47" s="383">
        <f>I47-I21</f>
        <v>-9.4477897174556347E-3</v>
      </c>
      <c r="K47" s="598"/>
      <c r="L47" s="597"/>
      <c r="M47" s="99"/>
      <c r="N47" s="99"/>
      <c r="O47" s="99"/>
      <c r="P47" s="99"/>
      <c r="Q47" s="99"/>
      <c r="R47" s="99"/>
    </row>
    <row r="48" spans="1:18" ht="15.75" customHeight="1">
      <c r="A48" s="611"/>
      <c r="B48" s="614"/>
      <c r="C48" s="202">
        <v>4</v>
      </c>
      <c r="D48" s="595" t="s">
        <v>618</v>
      </c>
      <c r="E48" s="606"/>
      <c r="F48" s="596"/>
      <c r="G48" s="202">
        <v>19</v>
      </c>
      <c r="H48" s="204">
        <v>1604.8852596003271</v>
      </c>
      <c r="I48" s="205">
        <v>84.467645242122472</v>
      </c>
      <c r="J48" s="383">
        <f>I48-I22</f>
        <v>5.7393650261474249E-2</v>
      </c>
      <c r="K48" s="595"/>
      <c r="L48" s="596"/>
      <c r="M48" s="99"/>
      <c r="N48" s="99"/>
      <c r="O48" s="99"/>
      <c r="P48" s="99"/>
      <c r="Q48" s="99"/>
      <c r="R48" s="99"/>
    </row>
    <row r="49" spans="1:18" ht="15.75" customHeight="1">
      <c r="A49" s="611"/>
      <c r="B49" s="614"/>
      <c r="C49" s="202">
        <v>5</v>
      </c>
      <c r="D49" s="595"/>
      <c r="E49" s="606"/>
      <c r="F49" s="596"/>
      <c r="G49" s="202"/>
      <c r="H49" s="204"/>
      <c r="I49" s="205"/>
      <c r="J49" s="202"/>
      <c r="K49" s="595"/>
      <c r="L49" s="596"/>
      <c r="M49" s="99"/>
      <c r="N49" s="99"/>
      <c r="O49" s="99"/>
      <c r="P49" s="99"/>
      <c r="Q49" s="99"/>
      <c r="R49" s="99"/>
    </row>
    <row r="50" spans="1:18" ht="15.75" customHeight="1">
      <c r="A50" s="611"/>
      <c r="B50" s="614"/>
      <c r="C50" s="206" t="s">
        <v>207</v>
      </c>
      <c r="D50" s="595"/>
      <c r="E50" s="606"/>
      <c r="F50" s="596"/>
      <c r="G50" s="202"/>
      <c r="H50" s="204"/>
      <c r="I50" s="205"/>
      <c r="J50" s="202"/>
      <c r="K50" s="595"/>
      <c r="L50" s="596"/>
      <c r="M50" s="99"/>
      <c r="N50" s="99"/>
      <c r="O50" s="99"/>
      <c r="P50" s="99"/>
      <c r="Q50" s="99"/>
      <c r="R50" s="99"/>
    </row>
    <row r="51" spans="1:18" ht="15.75" customHeight="1">
      <c r="A51" s="611"/>
      <c r="B51" s="614"/>
      <c r="C51" s="206" t="s">
        <v>212</v>
      </c>
      <c r="D51" s="595"/>
      <c r="E51" s="606"/>
      <c r="F51" s="596"/>
      <c r="G51" s="202"/>
      <c r="H51" s="204"/>
      <c r="I51" s="205"/>
      <c r="J51" s="202"/>
      <c r="K51" s="595"/>
      <c r="L51" s="596"/>
      <c r="M51" s="99"/>
      <c r="N51" s="99"/>
      <c r="O51" s="99"/>
      <c r="P51" s="99"/>
      <c r="Q51" s="99"/>
      <c r="R51" s="99"/>
    </row>
    <row r="52" spans="1:18" ht="15.75" customHeight="1">
      <c r="A52" s="611"/>
      <c r="B52" s="614"/>
      <c r="C52" s="206" t="s">
        <v>208</v>
      </c>
      <c r="D52" s="595"/>
      <c r="E52" s="606"/>
      <c r="F52" s="596"/>
      <c r="G52" s="202"/>
      <c r="H52" s="204"/>
      <c r="I52" s="205"/>
      <c r="J52" s="202"/>
      <c r="K52" s="595"/>
      <c r="L52" s="596"/>
      <c r="M52" s="99"/>
      <c r="N52" s="99"/>
      <c r="O52" s="99"/>
      <c r="P52" s="99"/>
      <c r="Q52" s="99"/>
      <c r="R52" s="99"/>
    </row>
    <row r="53" spans="1:18" ht="15.75" customHeight="1">
      <c r="A53" s="611"/>
      <c r="B53" s="614"/>
      <c r="C53" s="206" t="s">
        <v>213</v>
      </c>
      <c r="D53" s="595"/>
      <c r="E53" s="606"/>
      <c r="F53" s="596"/>
      <c r="G53" s="202"/>
      <c r="H53" s="204"/>
      <c r="I53" s="205"/>
      <c r="J53" s="202"/>
      <c r="K53" s="595"/>
      <c r="L53" s="596"/>
      <c r="M53" s="99"/>
      <c r="N53" s="99"/>
      <c r="O53" s="99"/>
      <c r="P53" s="99"/>
      <c r="Q53" s="99"/>
      <c r="R53" s="99"/>
    </row>
    <row r="54" spans="1:18" ht="15.75" customHeight="1">
      <c r="A54" s="612"/>
      <c r="B54" s="615"/>
      <c r="C54" s="206" t="s">
        <v>214</v>
      </c>
      <c r="D54" s="595"/>
      <c r="E54" s="606"/>
      <c r="F54" s="596"/>
      <c r="G54" s="202"/>
      <c r="H54" s="204"/>
      <c r="I54" s="205"/>
      <c r="J54" s="202"/>
      <c r="K54" s="595"/>
      <c r="L54" s="596"/>
      <c r="M54" s="99"/>
      <c r="N54" s="99"/>
      <c r="O54" s="99"/>
      <c r="P54" s="99"/>
      <c r="Q54" s="99"/>
      <c r="R54" s="99"/>
    </row>
    <row r="55" spans="1:18" ht="15.75" customHeight="1">
      <c r="A55" s="453"/>
      <c r="B55" s="454"/>
      <c r="C55" s="455"/>
      <c r="D55" s="456"/>
      <c r="E55" s="456"/>
      <c r="F55" s="456"/>
      <c r="G55" s="456"/>
      <c r="H55" s="457"/>
      <c r="I55" s="458"/>
      <c r="J55" s="456"/>
      <c r="K55" s="456"/>
      <c r="L55" s="456"/>
      <c r="M55" s="99"/>
      <c r="N55" s="99"/>
      <c r="O55" s="99"/>
      <c r="P55" s="99"/>
      <c r="Q55" s="99"/>
      <c r="R55" s="99"/>
    </row>
    <row r="56" spans="1:18" ht="15.75" customHeight="1">
      <c r="A56" s="453"/>
      <c r="B56" s="454"/>
      <c r="C56" s="455"/>
      <c r="D56" s="456"/>
      <c r="E56" s="456"/>
      <c r="F56" s="456"/>
      <c r="G56" s="456"/>
      <c r="H56" s="457"/>
      <c r="I56" s="458"/>
      <c r="J56" s="456"/>
      <c r="K56" s="456"/>
      <c r="L56" s="456"/>
      <c r="M56" s="99"/>
      <c r="N56" s="99"/>
      <c r="O56" s="99"/>
      <c r="P56" s="99"/>
      <c r="Q56" s="99"/>
      <c r="R56" s="99"/>
    </row>
    <row r="57" spans="1:18" ht="15.75" customHeight="1">
      <c r="A57" s="453"/>
      <c r="B57" s="454"/>
      <c r="C57" s="455"/>
      <c r="D57" s="456"/>
      <c r="E57" s="456"/>
      <c r="F57" s="456"/>
      <c r="G57" s="456"/>
      <c r="H57" s="457"/>
      <c r="I57" s="458"/>
      <c r="J57" s="456"/>
      <c r="K57" s="456"/>
      <c r="L57" s="456"/>
      <c r="M57" s="99"/>
      <c r="N57" s="99"/>
      <c r="O57" s="99"/>
      <c r="P57" s="99"/>
      <c r="Q57" s="99"/>
      <c r="R57" s="99"/>
    </row>
    <row r="58" spans="1:18" ht="15.75" customHeight="1">
      <c r="A58" s="453"/>
      <c r="B58" s="454"/>
      <c r="C58" s="455"/>
      <c r="D58" s="456"/>
      <c r="E58" s="456"/>
      <c r="F58" s="456"/>
      <c r="G58" s="456"/>
      <c r="H58" s="457"/>
      <c r="I58" s="458"/>
      <c r="J58" s="456"/>
      <c r="K58" s="456"/>
      <c r="L58" s="456"/>
      <c r="M58" s="99"/>
      <c r="N58" s="99"/>
      <c r="O58" s="99"/>
      <c r="P58" s="99"/>
      <c r="Q58" s="99"/>
      <c r="R58" s="99"/>
    </row>
    <row r="59" spans="1:18" ht="15.75" customHeight="1">
      <c r="A59" s="453"/>
      <c r="B59" s="454"/>
      <c r="C59" s="455"/>
      <c r="D59" s="456"/>
      <c r="E59" s="456"/>
      <c r="F59" s="456"/>
      <c r="G59" s="456"/>
      <c r="H59" s="457"/>
      <c r="I59" s="458"/>
      <c r="J59" s="456"/>
      <c r="K59" s="456"/>
      <c r="L59" s="456"/>
      <c r="M59" s="99"/>
      <c r="N59" s="99"/>
      <c r="O59" s="99"/>
      <c r="P59" s="99"/>
      <c r="Q59" s="99"/>
      <c r="R59" s="99"/>
    </row>
    <row r="60" spans="1:18" ht="15.75" customHeight="1">
      <c r="A60" s="453"/>
      <c r="B60" s="454"/>
      <c r="C60" s="455"/>
      <c r="D60" s="456"/>
      <c r="E60" s="456"/>
      <c r="F60" s="456"/>
      <c r="G60" s="456"/>
      <c r="H60" s="457"/>
      <c r="I60" s="458"/>
      <c r="J60" s="456"/>
      <c r="K60" s="456"/>
      <c r="L60" s="456"/>
      <c r="M60" s="99"/>
      <c r="N60" s="99"/>
      <c r="O60" s="99"/>
      <c r="P60" s="99"/>
      <c r="Q60" s="99"/>
      <c r="R60" s="99"/>
    </row>
    <row r="61" spans="1:18" ht="15.75" customHeight="1">
      <c r="A61" s="453"/>
      <c r="B61" s="454"/>
      <c r="C61" s="455"/>
      <c r="D61" s="456"/>
      <c r="E61" s="456"/>
      <c r="F61" s="456"/>
      <c r="G61" s="456"/>
      <c r="H61" s="457"/>
      <c r="I61" s="458"/>
      <c r="J61" s="456"/>
      <c r="K61" s="456"/>
      <c r="L61" s="456"/>
      <c r="M61" s="99"/>
      <c r="N61" s="99"/>
      <c r="O61" s="99"/>
      <c r="P61" s="99"/>
      <c r="Q61" s="99"/>
      <c r="R61" s="99"/>
    </row>
    <row r="62" spans="1:18" ht="15.75" customHeight="1">
      <c r="A62" s="453"/>
      <c r="B62" s="454"/>
      <c r="C62" s="455"/>
      <c r="D62" s="456"/>
      <c r="E62" s="456"/>
      <c r="F62" s="456"/>
      <c r="G62" s="456"/>
      <c r="H62" s="457"/>
      <c r="I62" s="458"/>
      <c r="J62" s="456"/>
      <c r="K62" s="456"/>
      <c r="L62" s="456"/>
      <c r="M62" s="99"/>
      <c r="N62" s="99"/>
      <c r="O62" s="99"/>
      <c r="P62" s="99"/>
      <c r="Q62" s="99"/>
      <c r="R62" s="99"/>
    </row>
    <row r="63" spans="1:18" ht="15.75" customHeight="1">
      <c r="A63" s="453"/>
      <c r="B63" s="454"/>
      <c r="C63" s="455"/>
      <c r="D63" s="456"/>
      <c r="E63" s="456"/>
      <c r="F63" s="456"/>
      <c r="G63" s="456"/>
      <c r="H63" s="457"/>
      <c r="I63" s="458"/>
      <c r="J63" s="456"/>
      <c r="K63" s="456"/>
      <c r="L63" s="456"/>
      <c r="M63" s="99"/>
      <c r="N63" s="99"/>
      <c r="O63" s="99"/>
      <c r="P63" s="99"/>
      <c r="Q63" s="99"/>
      <c r="R63" s="99"/>
    </row>
    <row r="64" spans="1:18" ht="15.75" customHeight="1">
      <c r="A64" s="453"/>
      <c r="B64" s="454"/>
      <c r="C64" s="455"/>
      <c r="D64" s="456"/>
      <c r="E64" s="456"/>
      <c r="F64" s="456"/>
      <c r="G64" s="456"/>
      <c r="H64" s="457"/>
      <c r="I64" s="458"/>
      <c r="J64" s="456"/>
      <c r="K64" s="456"/>
      <c r="L64" s="456"/>
      <c r="M64" s="99"/>
      <c r="N64" s="99"/>
      <c r="O64" s="99"/>
      <c r="P64" s="99"/>
      <c r="Q64" s="99"/>
      <c r="R64" s="99"/>
    </row>
    <row r="65" spans="1:18" ht="15.75" customHeight="1">
      <c r="A65" s="453"/>
      <c r="B65" s="454"/>
      <c r="C65" s="455"/>
      <c r="D65" s="456"/>
      <c r="E65" s="456"/>
      <c r="F65" s="456"/>
      <c r="G65" s="456"/>
      <c r="H65" s="457"/>
      <c r="I65" s="458"/>
      <c r="J65" s="456"/>
      <c r="K65" s="456"/>
      <c r="L65" s="456"/>
      <c r="M65" s="99"/>
      <c r="N65" s="99"/>
      <c r="O65" s="99"/>
      <c r="P65" s="99"/>
      <c r="Q65" s="99"/>
      <c r="R65" s="99"/>
    </row>
    <row r="66" spans="1:18" ht="15.75" customHeight="1">
      <c r="A66" s="453"/>
      <c r="B66" s="454"/>
      <c r="C66" s="455"/>
      <c r="D66" s="456"/>
      <c r="E66" s="456"/>
      <c r="F66" s="456"/>
      <c r="G66" s="456"/>
      <c r="H66" s="457"/>
      <c r="I66" s="458"/>
      <c r="J66" s="456"/>
      <c r="K66" s="456"/>
      <c r="L66" s="456"/>
      <c r="M66" s="99"/>
      <c r="N66" s="99"/>
      <c r="O66" s="99"/>
      <c r="P66" s="99"/>
      <c r="Q66" s="99"/>
      <c r="R66" s="99"/>
    </row>
    <row r="67" spans="1:18" ht="15.75" customHeight="1">
      <c r="A67" s="453"/>
      <c r="B67" s="454"/>
      <c r="C67" s="455"/>
      <c r="D67" s="456"/>
      <c r="E67" s="456"/>
      <c r="F67" s="456"/>
      <c r="G67" s="456"/>
      <c r="H67" s="457"/>
      <c r="I67" s="458"/>
      <c r="J67" s="456"/>
      <c r="K67" s="456"/>
      <c r="L67" s="456"/>
      <c r="M67" s="99"/>
      <c r="N67" s="99"/>
      <c r="O67" s="99"/>
      <c r="P67" s="99"/>
      <c r="Q67" s="99"/>
      <c r="R67" s="99"/>
    </row>
    <row r="68" spans="1:18" ht="15.75" customHeight="1">
      <c r="A68" s="453"/>
      <c r="B68" s="454"/>
      <c r="C68" s="455"/>
      <c r="D68" s="456"/>
      <c r="E68" s="456"/>
      <c r="F68" s="456"/>
      <c r="G68" s="456"/>
      <c r="H68" s="457"/>
      <c r="I68" s="458"/>
      <c r="J68" s="456"/>
      <c r="K68" s="456"/>
      <c r="L68" s="456"/>
      <c r="M68" s="99"/>
      <c r="N68" s="99"/>
      <c r="O68" s="99"/>
      <c r="P68" s="99"/>
      <c r="Q68" s="99"/>
      <c r="R68" s="99"/>
    </row>
    <row r="69" spans="1:18" ht="15.75" customHeight="1">
      <c r="A69" s="453"/>
      <c r="B69" s="454"/>
      <c r="C69" s="455"/>
      <c r="D69" s="456"/>
      <c r="E69" s="456"/>
      <c r="F69" s="456"/>
      <c r="G69" s="456"/>
      <c r="H69" s="457"/>
      <c r="I69" s="458"/>
      <c r="J69" s="456"/>
      <c r="K69" s="456"/>
      <c r="L69" s="456"/>
      <c r="M69" s="99"/>
      <c r="N69" s="99"/>
      <c r="O69" s="99"/>
      <c r="P69" s="99"/>
      <c r="Q69" s="99"/>
      <c r="R69" s="99"/>
    </row>
    <row r="70" spans="1:18" ht="15.75" customHeight="1">
      <c r="A70" s="453"/>
      <c r="B70" s="454"/>
      <c r="C70" s="455"/>
      <c r="D70" s="456"/>
      <c r="E70" s="456"/>
      <c r="F70" s="456"/>
      <c r="G70" s="456"/>
      <c r="H70" s="457"/>
      <c r="I70" s="458"/>
      <c r="J70" s="456"/>
      <c r="K70" s="456"/>
      <c r="L70" s="456"/>
      <c r="M70" s="99"/>
      <c r="N70" s="99"/>
      <c r="O70" s="99"/>
      <c r="P70" s="99"/>
      <c r="Q70" s="99"/>
      <c r="R70" s="99"/>
    </row>
    <row r="71" spans="1:18" ht="15.75" customHeight="1">
      <c r="A71" s="453"/>
      <c r="B71" s="454"/>
      <c r="C71" s="455"/>
      <c r="D71" s="456"/>
      <c r="E71" s="456"/>
      <c r="F71" s="456"/>
      <c r="G71" s="456"/>
      <c r="H71" s="457"/>
      <c r="I71" s="458"/>
      <c r="J71" s="456"/>
      <c r="K71" s="456"/>
      <c r="L71" s="456"/>
      <c r="M71" s="99"/>
      <c r="N71" s="99"/>
      <c r="O71" s="99"/>
      <c r="P71" s="99"/>
      <c r="Q71" s="99"/>
      <c r="R71" s="99"/>
    </row>
    <row r="72" spans="1:18" ht="15.75" customHeight="1">
      <c r="A72" s="453"/>
      <c r="B72" s="454"/>
      <c r="C72" s="455"/>
      <c r="D72" s="456"/>
      <c r="E72" s="456"/>
      <c r="F72" s="456"/>
      <c r="G72" s="456"/>
      <c r="H72" s="457"/>
      <c r="I72" s="458"/>
      <c r="J72" s="456"/>
      <c r="K72" s="456"/>
      <c r="L72" s="456"/>
      <c r="M72" s="99"/>
      <c r="N72" s="99"/>
      <c r="O72" s="99"/>
      <c r="P72" s="99"/>
      <c r="Q72" s="99"/>
      <c r="R72" s="99"/>
    </row>
    <row r="73" spans="1:18" ht="15.75" customHeight="1">
      <c r="A73" s="453"/>
      <c r="B73" s="454"/>
      <c r="C73" s="455"/>
      <c r="D73" s="456"/>
      <c r="E73" s="456"/>
      <c r="F73" s="456"/>
      <c r="G73" s="456"/>
      <c r="H73" s="457"/>
      <c r="I73" s="458"/>
      <c r="J73" s="456"/>
      <c r="K73" s="456"/>
      <c r="L73" s="456"/>
      <c r="M73" s="99"/>
      <c r="N73" s="99"/>
      <c r="O73" s="99"/>
      <c r="P73" s="99"/>
      <c r="Q73" s="99"/>
      <c r="R73" s="99"/>
    </row>
    <row r="74" spans="1:18" ht="15.75" customHeight="1">
      <c r="A74" s="453"/>
      <c r="B74" s="454"/>
      <c r="C74" s="455"/>
      <c r="D74" s="456"/>
      <c r="E74" s="456"/>
      <c r="F74" s="456"/>
      <c r="G74" s="456"/>
      <c r="H74" s="457"/>
      <c r="I74" s="458"/>
      <c r="J74" s="456"/>
      <c r="K74" s="456"/>
      <c r="L74" s="456"/>
      <c r="M74" s="99"/>
      <c r="N74" s="99"/>
      <c r="O74" s="99"/>
      <c r="P74" s="99"/>
      <c r="Q74" s="99"/>
      <c r="R74" s="99"/>
    </row>
    <row r="75" spans="1:18" ht="15.75" customHeight="1">
      <c r="A75" s="453"/>
      <c r="B75" s="454"/>
      <c r="C75" s="455"/>
      <c r="D75" s="456"/>
      <c r="E75" s="456"/>
      <c r="F75" s="456"/>
      <c r="G75" s="456"/>
      <c r="H75" s="457"/>
      <c r="I75" s="458"/>
      <c r="J75" s="456"/>
      <c r="K75" s="456"/>
      <c r="L75" s="456"/>
      <c r="M75" s="99"/>
      <c r="N75" s="99"/>
      <c r="O75" s="99"/>
      <c r="P75" s="99"/>
      <c r="Q75" s="99"/>
      <c r="R75" s="99"/>
    </row>
    <row r="76" spans="1:18" ht="15.75" customHeight="1">
      <c r="A76" s="453"/>
      <c r="B76" s="454"/>
      <c r="C76" s="455"/>
      <c r="D76" s="456"/>
      <c r="E76" s="456"/>
      <c r="F76" s="456"/>
      <c r="G76" s="456"/>
      <c r="H76" s="457"/>
      <c r="I76" s="458"/>
      <c r="J76" s="456"/>
      <c r="K76" s="456"/>
      <c r="L76" s="456"/>
      <c r="M76" s="99"/>
      <c r="N76" s="99"/>
      <c r="O76" s="99"/>
      <c r="P76" s="99"/>
      <c r="Q76" s="99"/>
      <c r="R76" s="99"/>
    </row>
    <row r="77" spans="1:18" ht="15.75" customHeight="1">
      <c r="A77" s="453"/>
      <c r="B77" s="454"/>
      <c r="C77" s="455"/>
      <c r="D77" s="456"/>
      <c r="E77" s="456"/>
      <c r="F77" s="456"/>
      <c r="G77" s="456"/>
      <c r="H77" s="457"/>
      <c r="I77" s="458"/>
      <c r="J77" s="456"/>
      <c r="K77" s="456"/>
      <c r="L77" s="456"/>
      <c r="M77" s="99"/>
      <c r="N77" s="99"/>
      <c r="O77" s="99"/>
      <c r="P77" s="99"/>
      <c r="Q77" s="99"/>
      <c r="R77" s="99"/>
    </row>
    <row r="78" spans="1:18" ht="15.75" customHeight="1">
      <c r="A78" s="453"/>
      <c r="B78" s="454"/>
      <c r="C78" s="455"/>
      <c r="D78" s="456"/>
      <c r="E78" s="456"/>
      <c r="F78" s="456"/>
      <c r="G78" s="456"/>
      <c r="H78" s="457"/>
      <c r="I78" s="458"/>
      <c r="J78" s="456"/>
      <c r="K78" s="456"/>
      <c r="L78" s="456"/>
      <c r="M78" s="99"/>
      <c r="N78" s="99"/>
      <c r="O78" s="99"/>
      <c r="P78" s="99"/>
      <c r="Q78" s="99"/>
      <c r="R78" s="99"/>
    </row>
    <row r="79" spans="1:18" ht="15.75" customHeight="1">
      <c r="A79" s="453"/>
      <c r="B79" s="454"/>
      <c r="C79" s="455"/>
      <c r="D79" s="456"/>
      <c r="E79" s="456"/>
      <c r="F79" s="456"/>
      <c r="G79" s="456"/>
      <c r="H79" s="457"/>
      <c r="I79" s="458"/>
      <c r="J79" s="456"/>
      <c r="K79" s="456"/>
      <c r="L79" s="456"/>
      <c r="M79" s="99"/>
      <c r="N79" s="99"/>
      <c r="O79" s="99"/>
      <c r="P79" s="99"/>
      <c r="Q79" s="99"/>
      <c r="R79" s="99"/>
    </row>
    <row r="80" spans="1:18" ht="15.75" customHeight="1">
      <c r="A80" s="453"/>
      <c r="B80" s="454"/>
      <c r="C80" s="455"/>
      <c r="D80" s="456"/>
      <c r="E80" s="456"/>
      <c r="F80" s="456"/>
      <c r="G80" s="456"/>
      <c r="H80" s="457"/>
      <c r="I80" s="458"/>
      <c r="J80" s="456"/>
      <c r="K80" s="456"/>
      <c r="L80" s="456"/>
      <c r="M80" s="99"/>
      <c r="N80" s="99"/>
      <c r="O80" s="99"/>
      <c r="P80" s="99"/>
      <c r="Q80" s="99"/>
      <c r="R80" s="99"/>
    </row>
    <row r="81" spans="1:18" ht="15.75" customHeight="1">
      <c r="A81" s="453"/>
      <c r="B81" s="454"/>
      <c r="C81" s="455"/>
      <c r="D81" s="456"/>
      <c r="E81" s="456"/>
      <c r="F81" s="456"/>
      <c r="G81" s="456"/>
      <c r="H81" s="457"/>
      <c r="I81" s="458"/>
      <c r="J81" s="456"/>
      <c r="K81" s="456"/>
      <c r="L81" s="456"/>
      <c r="M81" s="99"/>
      <c r="N81" s="99"/>
      <c r="O81" s="99"/>
      <c r="P81" s="99"/>
      <c r="Q81" s="99"/>
      <c r="R81" s="99"/>
    </row>
    <row r="82" spans="1:18" ht="15.75" customHeight="1">
      <c r="A82" s="453"/>
      <c r="B82" s="454"/>
      <c r="C82" s="455"/>
      <c r="D82" s="456"/>
      <c r="E82" s="456"/>
      <c r="F82" s="456"/>
      <c r="G82" s="456"/>
      <c r="H82" s="457"/>
      <c r="I82" s="458"/>
      <c r="J82" s="456"/>
      <c r="K82" s="456"/>
      <c r="L82" s="456"/>
      <c r="M82" s="99"/>
      <c r="N82" s="99"/>
      <c r="O82" s="99"/>
      <c r="P82" s="99"/>
      <c r="Q82" s="99"/>
      <c r="R82" s="99"/>
    </row>
    <row r="83" spans="1:18" ht="15.75" customHeight="1">
      <c r="A83" s="453"/>
      <c r="B83" s="454"/>
      <c r="C83" s="455"/>
      <c r="D83" s="456"/>
      <c r="E83" s="456"/>
      <c r="F83" s="456"/>
      <c r="G83" s="456"/>
      <c r="H83" s="457"/>
      <c r="I83" s="458"/>
      <c r="J83" s="456"/>
      <c r="K83" s="456"/>
      <c r="L83" s="456"/>
      <c r="M83" s="99"/>
      <c r="N83" s="99"/>
      <c r="O83" s="99"/>
      <c r="P83" s="99"/>
      <c r="Q83" s="99"/>
      <c r="R83" s="99"/>
    </row>
    <row r="84" spans="1:18" ht="15.75" customHeight="1">
      <c r="A84" s="453"/>
      <c r="B84" s="454"/>
      <c r="C84" s="455"/>
      <c r="D84" s="456"/>
      <c r="E84" s="456"/>
      <c r="F84" s="456"/>
      <c r="G84" s="456"/>
      <c r="H84" s="457"/>
      <c r="I84" s="458"/>
      <c r="J84" s="456"/>
      <c r="K84" s="456"/>
      <c r="L84" s="456"/>
      <c r="M84" s="99"/>
      <c r="N84" s="99"/>
      <c r="O84" s="99"/>
      <c r="P84" s="99"/>
      <c r="Q84" s="99"/>
      <c r="R84" s="99"/>
    </row>
    <row r="85" spans="1:18" ht="15.75" customHeight="1">
      <c r="A85" s="453"/>
      <c r="B85" s="454"/>
      <c r="C85" s="455"/>
      <c r="D85" s="456"/>
      <c r="E85" s="456"/>
      <c r="F85" s="456"/>
      <c r="G85" s="456"/>
      <c r="H85" s="457"/>
      <c r="I85" s="458"/>
      <c r="J85" s="456"/>
      <c r="K85" s="456"/>
      <c r="L85" s="456"/>
      <c r="M85" s="99"/>
      <c r="N85" s="99"/>
      <c r="O85" s="99"/>
      <c r="P85" s="99"/>
      <c r="Q85" s="99"/>
      <c r="R85" s="99"/>
    </row>
    <row r="86" spans="1:18" ht="15.75" customHeight="1">
      <c r="A86" s="453"/>
      <c r="B86" s="454"/>
      <c r="C86" s="455"/>
      <c r="D86" s="456"/>
      <c r="E86" s="456"/>
      <c r="F86" s="456"/>
      <c r="G86" s="456"/>
      <c r="H86" s="457"/>
      <c r="I86" s="458"/>
      <c r="J86" s="456"/>
      <c r="K86" s="456"/>
      <c r="L86" s="456"/>
      <c r="M86" s="99"/>
      <c r="N86" s="99"/>
      <c r="O86" s="99"/>
      <c r="P86" s="99"/>
      <c r="Q86" s="99"/>
      <c r="R86" s="99"/>
    </row>
    <row r="87" spans="1:18" ht="15.75" customHeight="1">
      <c r="A87" s="453"/>
      <c r="B87" s="454"/>
      <c r="C87" s="455"/>
      <c r="D87" s="456"/>
      <c r="E87" s="456"/>
      <c r="F87" s="456"/>
      <c r="G87" s="456"/>
      <c r="H87" s="457"/>
      <c r="I87" s="458"/>
      <c r="J87" s="456"/>
      <c r="K87" s="456"/>
      <c r="L87" s="456"/>
      <c r="M87" s="99"/>
      <c r="N87" s="99"/>
      <c r="O87" s="99"/>
      <c r="P87" s="99"/>
      <c r="Q87" s="99"/>
      <c r="R87" s="99"/>
    </row>
    <row r="88" spans="1:18" ht="15.75" customHeight="1">
      <c r="A88" s="453"/>
      <c r="B88" s="454"/>
      <c r="C88" s="455"/>
      <c r="D88" s="456"/>
      <c r="E88" s="456"/>
      <c r="F88" s="456"/>
      <c r="G88" s="456"/>
      <c r="H88" s="457"/>
      <c r="I88" s="458"/>
      <c r="J88" s="456"/>
      <c r="K88" s="456"/>
      <c r="L88" s="456"/>
      <c r="M88" s="99"/>
      <c r="N88" s="99"/>
      <c r="O88" s="99"/>
      <c r="P88" s="99"/>
      <c r="Q88" s="99"/>
      <c r="R88" s="99"/>
    </row>
    <row r="89" spans="1:18" ht="15.75" customHeight="1">
      <c r="A89" s="453"/>
      <c r="B89" s="454"/>
      <c r="C89" s="455"/>
      <c r="D89" s="456"/>
      <c r="E89" s="456"/>
      <c r="F89" s="456"/>
      <c r="G89" s="456"/>
      <c r="H89" s="457"/>
      <c r="I89" s="458"/>
      <c r="J89" s="456"/>
      <c r="K89" s="456"/>
      <c r="L89" s="456"/>
      <c r="M89" s="99"/>
      <c r="N89" s="99"/>
      <c r="O89" s="99"/>
      <c r="P89" s="99"/>
      <c r="Q89" s="99"/>
      <c r="R89" s="99"/>
    </row>
    <row r="90" spans="1:18" ht="15.75" customHeight="1">
      <c r="A90" s="453"/>
      <c r="B90" s="454"/>
      <c r="C90" s="455"/>
      <c r="D90" s="456"/>
      <c r="E90" s="456"/>
      <c r="F90" s="456"/>
      <c r="G90" s="456"/>
      <c r="H90" s="457"/>
      <c r="I90" s="458"/>
      <c r="J90" s="456"/>
      <c r="K90" s="456"/>
      <c r="L90" s="456"/>
      <c r="M90" s="99"/>
      <c r="N90" s="99"/>
      <c r="O90" s="99"/>
      <c r="P90" s="99"/>
      <c r="Q90" s="99"/>
      <c r="R90" s="99"/>
    </row>
    <row r="91" spans="1:18" ht="15.75" customHeight="1">
      <c r="A91" s="453"/>
      <c r="B91" s="454"/>
      <c r="C91" s="455"/>
      <c r="D91" s="456"/>
      <c r="E91" s="456"/>
      <c r="F91" s="456"/>
      <c r="G91" s="456"/>
      <c r="H91" s="457"/>
      <c r="I91" s="458"/>
      <c r="J91" s="456"/>
      <c r="K91" s="456"/>
      <c r="L91" s="456"/>
      <c r="M91" s="99"/>
      <c r="N91" s="99"/>
      <c r="O91" s="99"/>
      <c r="P91" s="99"/>
      <c r="Q91" s="99"/>
      <c r="R91" s="99"/>
    </row>
    <row r="92" spans="1:18" ht="15.75" customHeight="1">
      <c r="A92" s="453"/>
      <c r="B92" s="454"/>
      <c r="C92" s="455"/>
      <c r="D92" s="456"/>
      <c r="E92" s="456"/>
      <c r="F92" s="456"/>
      <c r="G92" s="456"/>
      <c r="H92" s="457"/>
      <c r="I92" s="458"/>
      <c r="J92" s="456"/>
      <c r="K92" s="456"/>
      <c r="L92" s="456"/>
      <c r="M92" s="99"/>
      <c r="N92" s="99"/>
      <c r="O92" s="99"/>
      <c r="P92" s="99"/>
      <c r="Q92" s="99"/>
      <c r="R92" s="99"/>
    </row>
    <row r="93" spans="1:18" ht="15.75" customHeight="1">
      <c r="A93" s="453"/>
      <c r="B93" s="454"/>
      <c r="C93" s="455"/>
      <c r="D93" s="456"/>
      <c r="E93" s="456"/>
      <c r="F93" s="456"/>
      <c r="G93" s="456"/>
      <c r="H93" s="457"/>
      <c r="I93" s="458"/>
      <c r="J93" s="456"/>
      <c r="K93" s="456"/>
      <c r="L93" s="456"/>
      <c r="M93" s="99"/>
      <c r="N93" s="99"/>
      <c r="O93" s="99"/>
      <c r="P93" s="99"/>
      <c r="Q93" s="99"/>
      <c r="R93" s="99"/>
    </row>
    <row r="94" spans="1:18" ht="15.75" customHeight="1">
      <c r="A94" s="453"/>
      <c r="B94" s="454"/>
      <c r="C94" s="455"/>
      <c r="D94" s="456"/>
      <c r="E94" s="456"/>
      <c r="F94" s="456"/>
      <c r="G94" s="456"/>
      <c r="H94" s="457"/>
      <c r="I94" s="458"/>
      <c r="J94" s="456"/>
      <c r="K94" s="456"/>
      <c r="L94" s="456"/>
      <c r="M94" s="99"/>
      <c r="N94" s="99"/>
      <c r="O94" s="99"/>
      <c r="P94" s="99"/>
      <c r="Q94" s="99"/>
      <c r="R94" s="99"/>
    </row>
    <row r="95" spans="1:18" ht="15.75" customHeight="1">
      <c r="A95" s="453"/>
      <c r="B95" s="454"/>
      <c r="C95" s="455"/>
      <c r="D95" s="456"/>
      <c r="E95" s="456"/>
      <c r="F95" s="456"/>
      <c r="G95" s="456"/>
      <c r="H95" s="457"/>
      <c r="I95" s="458"/>
      <c r="J95" s="456"/>
      <c r="K95" s="456"/>
      <c r="L95" s="456"/>
      <c r="M95" s="99"/>
      <c r="N95" s="99"/>
      <c r="O95" s="99"/>
      <c r="P95" s="99"/>
      <c r="Q95" s="99"/>
      <c r="R95" s="99"/>
    </row>
    <row r="96" spans="1:18" ht="15.75" customHeight="1">
      <c r="A96" s="453"/>
      <c r="B96" s="454"/>
      <c r="C96" s="455"/>
      <c r="D96" s="456"/>
      <c r="E96" s="456"/>
      <c r="F96" s="456"/>
      <c r="G96" s="456"/>
      <c r="H96" s="457"/>
      <c r="I96" s="458"/>
      <c r="J96" s="456"/>
      <c r="K96" s="456"/>
      <c r="L96" s="456"/>
      <c r="M96" s="99"/>
      <c r="N96" s="99"/>
      <c r="O96" s="99"/>
      <c r="P96" s="99"/>
      <c r="Q96" s="99"/>
      <c r="R96" s="99"/>
    </row>
    <row r="97" spans="1:18" ht="15.75" customHeight="1">
      <c r="A97" s="453"/>
      <c r="B97" s="454"/>
      <c r="C97" s="455"/>
      <c r="D97" s="456"/>
      <c r="E97" s="456"/>
      <c r="F97" s="456"/>
      <c r="G97" s="456"/>
      <c r="H97" s="457"/>
      <c r="I97" s="458"/>
      <c r="J97" s="456"/>
      <c r="K97" s="456"/>
      <c r="L97" s="456"/>
      <c r="M97" s="99"/>
      <c r="N97" s="99"/>
      <c r="O97" s="99"/>
      <c r="P97" s="99"/>
      <c r="Q97" s="99"/>
      <c r="R97" s="99"/>
    </row>
    <row r="98" spans="1:18" ht="15.75" customHeight="1">
      <c r="A98" s="453"/>
      <c r="B98" s="454"/>
      <c r="C98" s="455"/>
      <c r="D98" s="456"/>
      <c r="E98" s="456"/>
      <c r="F98" s="456"/>
      <c r="G98" s="456"/>
      <c r="H98" s="457"/>
      <c r="I98" s="458"/>
      <c r="J98" s="456"/>
      <c r="K98" s="456"/>
      <c r="L98" s="456"/>
      <c r="M98" s="99"/>
      <c r="N98" s="99"/>
      <c r="O98" s="99"/>
      <c r="P98" s="99"/>
      <c r="Q98" s="99"/>
      <c r="R98" s="99"/>
    </row>
    <row r="99" spans="1:18" ht="15.75" customHeight="1">
      <c r="A99" s="453"/>
      <c r="B99" s="454"/>
      <c r="C99" s="455"/>
      <c r="D99" s="456"/>
      <c r="E99" s="456"/>
      <c r="F99" s="456"/>
      <c r="G99" s="456"/>
      <c r="H99" s="457"/>
      <c r="I99" s="458"/>
      <c r="J99" s="456"/>
      <c r="K99" s="456"/>
      <c r="L99" s="456"/>
      <c r="M99" s="99"/>
      <c r="N99" s="99"/>
      <c r="O99" s="99"/>
      <c r="P99" s="99"/>
      <c r="Q99" s="99"/>
      <c r="R99" s="99"/>
    </row>
    <row r="100" spans="1:18" ht="15.75" customHeight="1">
      <c r="A100" s="453"/>
      <c r="B100" s="454"/>
      <c r="C100" s="455"/>
      <c r="D100" s="456"/>
      <c r="E100" s="456"/>
      <c r="F100" s="456"/>
      <c r="G100" s="456"/>
      <c r="H100" s="457"/>
      <c r="I100" s="458"/>
      <c r="J100" s="456"/>
      <c r="K100" s="456"/>
      <c r="L100" s="456"/>
      <c r="M100" s="99"/>
      <c r="N100" s="99"/>
      <c r="O100" s="99"/>
      <c r="P100" s="99"/>
      <c r="Q100" s="99"/>
      <c r="R100" s="99"/>
    </row>
    <row r="101" spans="1:18" ht="15.75" customHeight="1">
      <c r="A101" s="453"/>
      <c r="B101" s="454"/>
      <c r="C101" s="455"/>
      <c r="D101" s="456"/>
      <c r="E101" s="456"/>
      <c r="F101" s="456"/>
      <c r="G101" s="456"/>
      <c r="H101" s="457"/>
      <c r="I101" s="458"/>
      <c r="J101" s="456"/>
      <c r="K101" s="456"/>
      <c r="L101" s="456"/>
      <c r="M101" s="99"/>
      <c r="N101" s="99"/>
      <c r="O101" s="99"/>
      <c r="P101" s="99"/>
      <c r="Q101" s="99"/>
      <c r="R101" s="99"/>
    </row>
    <row r="102" spans="1:18" ht="15.75" customHeight="1">
      <c r="A102" s="453"/>
      <c r="B102" s="454"/>
      <c r="C102" s="455"/>
      <c r="D102" s="456"/>
      <c r="E102" s="456"/>
      <c r="F102" s="456"/>
      <c r="G102" s="456"/>
      <c r="H102" s="457"/>
      <c r="I102" s="458"/>
      <c r="J102" s="456"/>
      <c r="K102" s="456"/>
      <c r="L102" s="456"/>
      <c r="M102" s="99"/>
      <c r="N102" s="99"/>
      <c r="O102" s="99"/>
      <c r="P102" s="99"/>
      <c r="Q102" s="99"/>
      <c r="R102" s="99"/>
    </row>
    <row r="103" spans="1:18" ht="15.75" customHeight="1">
      <c r="A103" s="453"/>
      <c r="B103" s="454"/>
      <c r="C103" s="455"/>
      <c r="D103" s="456"/>
      <c r="E103" s="456"/>
      <c r="F103" s="456"/>
      <c r="G103" s="456"/>
      <c r="H103" s="457"/>
      <c r="I103" s="458"/>
      <c r="J103" s="456"/>
      <c r="K103" s="456"/>
      <c r="L103" s="456"/>
      <c r="M103" s="99"/>
      <c r="N103" s="99"/>
      <c r="O103" s="99"/>
      <c r="P103" s="99"/>
      <c r="Q103" s="99"/>
      <c r="R103" s="99"/>
    </row>
    <row r="104" spans="1:18" ht="15.75" customHeight="1">
      <c r="A104" s="453"/>
      <c r="B104" s="454"/>
      <c r="C104" s="455"/>
      <c r="D104" s="456"/>
      <c r="E104" s="456"/>
      <c r="F104" s="456"/>
      <c r="G104" s="456"/>
      <c r="H104" s="457"/>
      <c r="I104" s="458"/>
      <c r="J104" s="456"/>
      <c r="K104" s="456"/>
      <c r="L104" s="456"/>
      <c r="M104" s="99"/>
      <c r="N104" s="99"/>
      <c r="O104" s="99"/>
      <c r="P104" s="99"/>
      <c r="Q104" s="99"/>
      <c r="R104" s="99"/>
    </row>
    <row r="105" spans="1:18" ht="15.75" customHeight="1">
      <c r="A105" s="453"/>
      <c r="B105" s="454"/>
      <c r="C105" s="455"/>
      <c r="D105" s="456"/>
      <c r="E105" s="456"/>
      <c r="F105" s="456"/>
      <c r="G105" s="456"/>
      <c r="H105" s="457"/>
      <c r="I105" s="458"/>
      <c r="J105" s="456"/>
      <c r="K105" s="456"/>
      <c r="L105" s="456"/>
      <c r="M105" s="99"/>
      <c r="N105" s="99"/>
      <c r="O105" s="99"/>
      <c r="P105" s="99"/>
      <c r="Q105" s="99"/>
      <c r="R105" s="99"/>
    </row>
    <row r="106" spans="1:18" ht="15.75" customHeight="1">
      <c r="A106" s="453"/>
      <c r="B106" s="454"/>
      <c r="C106" s="455"/>
      <c r="D106" s="456"/>
      <c r="E106" s="456"/>
      <c r="F106" s="456"/>
      <c r="G106" s="456"/>
      <c r="H106" s="457"/>
      <c r="I106" s="458"/>
      <c r="J106" s="456"/>
      <c r="K106" s="456"/>
      <c r="L106" s="456"/>
      <c r="M106" s="99"/>
      <c r="N106" s="99"/>
      <c r="O106" s="99"/>
      <c r="P106" s="99"/>
      <c r="Q106" s="99"/>
      <c r="R106" s="99"/>
    </row>
    <row r="107" spans="1:18" ht="15.75" customHeight="1">
      <c r="A107" s="453"/>
      <c r="B107" s="454"/>
      <c r="C107" s="455"/>
      <c r="D107" s="456"/>
      <c r="E107" s="456"/>
      <c r="F107" s="456"/>
      <c r="G107" s="456"/>
      <c r="H107" s="457"/>
      <c r="I107" s="458"/>
      <c r="J107" s="456"/>
      <c r="K107" s="456"/>
      <c r="L107" s="456"/>
      <c r="M107" s="99"/>
      <c r="N107" s="99"/>
      <c r="O107" s="99"/>
      <c r="P107" s="99"/>
      <c r="Q107" s="99"/>
      <c r="R107" s="99"/>
    </row>
    <row r="108" spans="1:18" ht="15.75" customHeight="1">
      <c r="A108" s="453"/>
      <c r="B108" s="454"/>
      <c r="C108" s="455"/>
      <c r="D108" s="456"/>
      <c r="E108" s="456"/>
      <c r="F108" s="456"/>
      <c r="G108" s="456"/>
      <c r="H108" s="457"/>
      <c r="I108" s="458"/>
      <c r="J108" s="456"/>
      <c r="K108" s="456"/>
      <c r="L108" s="456"/>
      <c r="M108" s="99"/>
      <c r="N108" s="99"/>
      <c r="O108" s="99"/>
      <c r="P108" s="99"/>
      <c r="Q108" s="99"/>
      <c r="R108" s="99"/>
    </row>
    <row r="109" spans="1:18" ht="15.75" customHeight="1">
      <c r="A109" s="453"/>
      <c r="B109" s="454"/>
      <c r="C109" s="455"/>
      <c r="D109" s="456"/>
      <c r="E109" s="456"/>
      <c r="F109" s="456"/>
      <c r="G109" s="456"/>
      <c r="H109" s="457"/>
      <c r="I109" s="458"/>
      <c r="J109" s="456"/>
      <c r="K109" s="456"/>
      <c r="L109" s="456"/>
      <c r="M109" s="99"/>
      <c r="N109" s="99"/>
      <c r="O109" s="99"/>
      <c r="P109" s="99"/>
      <c r="Q109" s="99"/>
      <c r="R109" s="99"/>
    </row>
    <row r="110" spans="1:18" ht="15.75" customHeight="1">
      <c r="A110" s="453"/>
      <c r="B110" s="454"/>
      <c r="C110" s="455"/>
      <c r="D110" s="456"/>
      <c r="E110" s="456"/>
      <c r="F110" s="456"/>
      <c r="G110" s="456"/>
      <c r="H110" s="457"/>
      <c r="I110" s="458"/>
      <c r="J110" s="456"/>
      <c r="K110" s="456"/>
      <c r="L110" s="456"/>
      <c r="M110" s="99"/>
      <c r="N110" s="99"/>
      <c r="O110" s="99"/>
      <c r="P110" s="99"/>
      <c r="Q110" s="99"/>
      <c r="R110" s="99"/>
    </row>
    <row r="111" spans="1:18" ht="15.75" customHeight="1">
      <c r="A111" s="453"/>
      <c r="B111" s="454"/>
      <c r="C111" s="455"/>
      <c r="D111" s="456"/>
      <c r="E111" s="456"/>
      <c r="F111" s="456"/>
      <c r="G111" s="456"/>
      <c r="H111" s="457"/>
      <c r="I111" s="458"/>
      <c r="J111" s="456"/>
      <c r="K111" s="456"/>
      <c r="L111" s="456"/>
      <c r="M111" s="99"/>
      <c r="N111" s="99"/>
      <c r="O111" s="99"/>
      <c r="P111" s="99"/>
      <c r="Q111" s="99"/>
      <c r="R111" s="99"/>
    </row>
    <row r="112" spans="1:18" ht="15.75" customHeight="1">
      <c r="A112" s="453"/>
      <c r="B112" s="454"/>
      <c r="C112" s="455"/>
      <c r="D112" s="456"/>
      <c r="E112" s="456"/>
      <c r="F112" s="456"/>
      <c r="G112" s="456"/>
      <c r="H112" s="457"/>
      <c r="I112" s="458"/>
      <c r="J112" s="456"/>
      <c r="K112" s="456"/>
      <c r="L112" s="456"/>
      <c r="M112" s="99"/>
      <c r="N112" s="99"/>
      <c r="O112" s="99"/>
      <c r="P112" s="99"/>
      <c r="Q112" s="99"/>
      <c r="R112" s="99"/>
    </row>
    <row r="113" spans="1:18" ht="15.75" customHeight="1">
      <c r="A113" s="453"/>
      <c r="B113" s="454"/>
      <c r="C113" s="455"/>
      <c r="D113" s="456"/>
      <c r="E113" s="456"/>
      <c r="F113" s="456"/>
      <c r="G113" s="456"/>
      <c r="H113" s="457"/>
      <c r="I113" s="458"/>
      <c r="J113" s="456"/>
      <c r="K113" s="456"/>
      <c r="L113" s="456"/>
      <c r="M113" s="99"/>
      <c r="N113" s="99"/>
      <c r="O113" s="99"/>
      <c r="P113" s="99"/>
      <c r="Q113" s="99"/>
      <c r="R113" s="99"/>
    </row>
    <row r="114" spans="1:18" ht="15.75" customHeight="1">
      <c r="A114" s="453"/>
      <c r="B114" s="454"/>
      <c r="C114" s="455"/>
      <c r="D114" s="456"/>
      <c r="E114" s="456"/>
      <c r="F114" s="456"/>
      <c r="G114" s="456"/>
      <c r="H114" s="457"/>
      <c r="I114" s="458"/>
      <c r="J114" s="456"/>
      <c r="K114" s="456"/>
      <c r="L114" s="456"/>
      <c r="M114" s="99"/>
      <c r="N114" s="99"/>
      <c r="O114" s="99"/>
      <c r="P114" s="99"/>
      <c r="Q114" s="99"/>
      <c r="R114" s="99"/>
    </row>
    <row r="115" spans="1:18" ht="15.75" customHeight="1">
      <c r="A115" s="453"/>
      <c r="B115" s="454"/>
      <c r="C115" s="455"/>
      <c r="D115" s="456"/>
      <c r="E115" s="456"/>
      <c r="F115" s="456"/>
      <c r="G115" s="456"/>
      <c r="H115" s="457"/>
      <c r="I115" s="458"/>
      <c r="J115" s="456"/>
      <c r="K115" s="456"/>
      <c r="L115" s="456"/>
      <c r="M115" s="99"/>
      <c r="N115" s="99"/>
      <c r="O115" s="99"/>
      <c r="P115" s="99"/>
      <c r="Q115" s="99"/>
      <c r="R115" s="99"/>
    </row>
    <row r="116" spans="1:18" ht="15.75" customHeight="1">
      <c r="A116" s="453"/>
      <c r="B116" s="454"/>
      <c r="C116" s="455"/>
      <c r="D116" s="456"/>
      <c r="E116" s="456"/>
      <c r="F116" s="456"/>
      <c r="G116" s="456"/>
      <c r="H116" s="457"/>
      <c r="I116" s="458"/>
      <c r="J116" s="456"/>
      <c r="K116" s="456"/>
      <c r="L116" s="456"/>
      <c r="M116" s="99"/>
      <c r="N116" s="99"/>
      <c r="O116" s="99"/>
      <c r="P116" s="99"/>
      <c r="Q116" s="99"/>
      <c r="R116" s="99"/>
    </row>
    <row r="117" spans="1:18" ht="15.75" customHeight="1">
      <c r="A117" s="453"/>
      <c r="B117" s="454"/>
      <c r="C117" s="455"/>
      <c r="D117" s="456"/>
      <c r="E117" s="456"/>
      <c r="F117" s="456"/>
      <c r="G117" s="456"/>
      <c r="H117" s="457"/>
      <c r="I117" s="458"/>
      <c r="J117" s="456"/>
      <c r="K117" s="456"/>
      <c r="L117" s="456"/>
      <c r="M117" s="99"/>
      <c r="N117" s="99"/>
      <c r="O117" s="99"/>
      <c r="P117" s="99"/>
      <c r="Q117" s="99"/>
      <c r="R117" s="99"/>
    </row>
    <row r="118" spans="1:18" ht="15.75" customHeight="1">
      <c r="A118" s="453"/>
      <c r="B118" s="454"/>
      <c r="C118" s="455"/>
      <c r="D118" s="456"/>
      <c r="E118" s="456"/>
      <c r="F118" s="456"/>
      <c r="G118" s="456"/>
      <c r="H118" s="457"/>
      <c r="I118" s="458"/>
      <c r="J118" s="456"/>
      <c r="K118" s="456"/>
      <c r="L118" s="456"/>
      <c r="M118" s="99"/>
      <c r="N118" s="99"/>
      <c r="O118" s="99"/>
      <c r="P118" s="99"/>
      <c r="Q118" s="99"/>
      <c r="R118" s="99"/>
    </row>
    <row r="119" spans="1:18" ht="15.75" customHeight="1">
      <c r="A119" s="453"/>
      <c r="B119" s="454"/>
      <c r="C119" s="455"/>
      <c r="D119" s="456"/>
      <c r="E119" s="456"/>
      <c r="F119" s="456"/>
      <c r="G119" s="456"/>
      <c r="H119" s="457"/>
      <c r="I119" s="458"/>
      <c r="J119" s="456"/>
      <c r="K119" s="456"/>
      <c r="L119" s="456"/>
      <c r="M119" s="99"/>
      <c r="N119" s="99"/>
      <c r="O119" s="99"/>
      <c r="P119" s="99"/>
      <c r="Q119" s="99"/>
      <c r="R119" s="99"/>
    </row>
    <row r="120" spans="1:18" ht="15.75" customHeight="1">
      <c r="A120" s="453"/>
      <c r="B120" s="454"/>
      <c r="C120" s="455"/>
      <c r="D120" s="456"/>
      <c r="E120" s="456"/>
      <c r="F120" s="456"/>
      <c r="G120" s="456"/>
      <c r="H120" s="457"/>
      <c r="I120" s="458"/>
      <c r="J120" s="456"/>
      <c r="K120" s="456"/>
      <c r="L120" s="456"/>
      <c r="M120" s="99"/>
      <c r="N120" s="99"/>
      <c r="O120" s="99"/>
      <c r="P120" s="99"/>
      <c r="Q120" s="99"/>
      <c r="R120" s="99"/>
    </row>
    <row r="121" spans="1:18" ht="15.75" customHeight="1">
      <c r="A121" s="453"/>
      <c r="B121" s="454"/>
      <c r="C121" s="455"/>
      <c r="D121" s="456"/>
      <c r="E121" s="456"/>
      <c r="F121" s="456"/>
      <c r="G121" s="456"/>
      <c r="H121" s="457"/>
      <c r="I121" s="458"/>
      <c r="J121" s="456"/>
      <c r="K121" s="456"/>
      <c r="L121" s="456"/>
      <c r="M121" s="99"/>
      <c r="N121" s="99"/>
      <c r="O121" s="99"/>
      <c r="P121" s="99"/>
      <c r="Q121" s="99"/>
      <c r="R121" s="99"/>
    </row>
    <row r="122" spans="1:18" ht="15.75" customHeight="1">
      <c r="A122" s="453"/>
      <c r="B122" s="454"/>
      <c r="C122" s="455"/>
      <c r="D122" s="456"/>
      <c r="E122" s="456"/>
      <c r="F122" s="456"/>
      <c r="G122" s="456"/>
      <c r="H122" s="457"/>
      <c r="I122" s="458"/>
      <c r="J122" s="456"/>
      <c r="K122" s="456"/>
      <c r="L122" s="456"/>
      <c r="M122" s="99"/>
      <c r="N122" s="99"/>
      <c r="O122" s="99"/>
      <c r="P122" s="99"/>
      <c r="Q122" s="99"/>
      <c r="R122" s="99"/>
    </row>
    <row r="123" spans="1:18" ht="15.75" customHeight="1">
      <c r="A123" s="453"/>
      <c r="B123" s="454"/>
      <c r="C123" s="455"/>
      <c r="D123" s="456"/>
      <c r="E123" s="456"/>
      <c r="F123" s="456"/>
      <c r="G123" s="456"/>
      <c r="H123" s="457"/>
      <c r="I123" s="458"/>
      <c r="J123" s="456"/>
      <c r="K123" s="456"/>
      <c r="L123" s="456"/>
      <c r="M123" s="99"/>
      <c r="N123" s="99"/>
      <c r="O123" s="99"/>
      <c r="P123" s="99"/>
      <c r="Q123" s="99"/>
      <c r="R123" s="99"/>
    </row>
    <row r="124" spans="1:18" ht="15.75" customHeight="1">
      <c r="A124" s="453"/>
      <c r="B124" s="454"/>
      <c r="C124" s="455"/>
      <c r="D124" s="456"/>
      <c r="E124" s="456"/>
      <c r="F124" s="456"/>
      <c r="G124" s="456"/>
      <c r="H124" s="457"/>
      <c r="I124" s="458"/>
      <c r="J124" s="456"/>
      <c r="K124" s="456"/>
      <c r="L124" s="456"/>
      <c r="M124" s="99"/>
      <c r="N124" s="99"/>
      <c r="O124" s="99"/>
      <c r="P124" s="99"/>
      <c r="Q124" s="99"/>
      <c r="R124" s="99"/>
    </row>
    <row r="125" spans="1:18" ht="15.75" customHeight="1">
      <c r="A125" s="453"/>
      <c r="B125" s="454"/>
      <c r="C125" s="455"/>
      <c r="D125" s="456"/>
      <c r="E125" s="456"/>
      <c r="F125" s="456"/>
      <c r="G125" s="456"/>
      <c r="H125" s="457"/>
      <c r="I125" s="458"/>
      <c r="J125" s="456"/>
      <c r="K125" s="456"/>
      <c r="L125" s="456"/>
      <c r="M125" s="99"/>
      <c r="N125" s="99"/>
      <c r="O125" s="99"/>
      <c r="P125" s="99"/>
      <c r="Q125" s="99"/>
      <c r="R125" s="99"/>
    </row>
    <row r="126" spans="1:18" ht="15.75" customHeight="1">
      <c r="A126" s="453"/>
      <c r="B126" s="454"/>
      <c r="C126" s="455"/>
      <c r="D126" s="456"/>
      <c r="E126" s="456"/>
      <c r="F126" s="456"/>
      <c r="G126" s="456"/>
      <c r="H126" s="457"/>
      <c r="I126" s="458"/>
      <c r="J126" s="456"/>
      <c r="K126" s="456"/>
      <c r="L126" s="456"/>
      <c r="M126" s="99"/>
      <c r="N126" s="99"/>
      <c r="O126" s="99"/>
      <c r="P126" s="99"/>
      <c r="Q126" s="99"/>
      <c r="R126" s="99"/>
    </row>
    <row r="127" spans="1:18" ht="15.75" customHeight="1">
      <c r="A127" s="453"/>
      <c r="B127" s="454"/>
      <c r="C127" s="455"/>
      <c r="D127" s="456"/>
      <c r="E127" s="456"/>
      <c r="F127" s="456"/>
      <c r="G127" s="456"/>
      <c r="H127" s="457"/>
      <c r="I127" s="458"/>
      <c r="J127" s="456"/>
      <c r="K127" s="456"/>
      <c r="L127" s="456"/>
      <c r="M127" s="99"/>
      <c r="N127" s="99"/>
      <c r="O127" s="99"/>
      <c r="P127" s="99"/>
      <c r="Q127" s="99"/>
      <c r="R127" s="99"/>
    </row>
    <row r="128" spans="1:18" ht="15.75" customHeight="1">
      <c r="A128" s="453"/>
      <c r="B128" s="454"/>
      <c r="C128" s="455"/>
      <c r="D128" s="456"/>
      <c r="E128" s="456"/>
      <c r="F128" s="456"/>
      <c r="G128" s="456"/>
      <c r="H128" s="457"/>
      <c r="I128" s="458"/>
      <c r="J128" s="456"/>
      <c r="K128" s="456"/>
      <c r="L128" s="456"/>
      <c r="M128" s="99"/>
      <c r="N128" s="99"/>
      <c r="O128" s="99"/>
      <c r="P128" s="99"/>
      <c r="Q128" s="99"/>
      <c r="R128" s="99"/>
    </row>
    <row r="129" spans="1:18" ht="15.75" customHeight="1">
      <c r="A129" s="453"/>
      <c r="B129" s="454"/>
      <c r="C129" s="455"/>
      <c r="D129" s="456"/>
      <c r="E129" s="456"/>
      <c r="F129" s="456"/>
      <c r="G129" s="456"/>
      <c r="H129" s="457"/>
      <c r="I129" s="458"/>
      <c r="J129" s="456"/>
      <c r="K129" s="456"/>
      <c r="L129" s="456"/>
      <c r="M129" s="99"/>
      <c r="N129" s="99"/>
      <c r="O129" s="99"/>
      <c r="P129" s="99"/>
      <c r="Q129" s="99"/>
      <c r="R129" s="99"/>
    </row>
    <row r="130" spans="1:18" ht="15.75" customHeight="1">
      <c r="A130" s="453"/>
      <c r="B130" s="454"/>
      <c r="C130" s="455"/>
      <c r="D130" s="456"/>
      <c r="E130" s="456"/>
      <c r="F130" s="456"/>
      <c r="G130" s="456"/>
      <c r="H130" s="457"/>
      <c r="I130" s="458"/>
      <c r="J130" s="456"/>
      <c r="K130" s="456"/>
      <c r="L130" s="456"/>
      <c r="M130" s="99"/>
      <c r="N130" s="99"/>
      <c r="O130" s="99"/>
      <c r="P130" s="99"/>
      <c r="Q130" s="99"/>
      <c r="R130" s="99"/>
    </row>
    <row r="131" spans="1:18" ht="15.75" customHeight="1">
      <c r="A131" s="453"/>
      <c r="B131" s="454"/>
      <c r="C131" s="455"/>
      <c r="D131" s="456"/>
      <c r="E131" s="456"/>
      <c r="F131" s="456"/>
      <c r="G131" s="456"/>
      <c r="H131" s="457"/>
      <c r="I131" s="458"/>
      <c r="J131" s="456"/>
      <c r="K131" s="456"/>
      <c r="L131" s="456"/>
      <c r="M131" s="99"/>
      <c r="N131" s="99"/>
      <c r="O131" s="99"/>
      <c r="P131" s="99"/>
      <c r="Q131" s="99"/>
      <c r="R131" s="99"/>
    </row>
    <row r="132" spans="1:18" ht="15.75" customHeight="1">
      <c r="A132" s="453"/>
      <c r="B132" s="454"/>
      <c r="C132" s="455"/>
      <c r="D132" s="456"/>
      <c r="E132" s="456"/>
      <c r="F132" s="456"/>
      <c r="G132" s="456"/>
      <c r="H132" s="457"/>
      <c r="I132" s="458"/>
      <c r="J132" s="456"/>
      <c r="K132" s="456"/>
      <c r="L132" s="456"/>
      <c r="M132" s="99"/>
      <c r="N132" s="99"/>
      <c r="O132" s="99"/>
      <c r="P132" s="99"/>
      <c r="Q132" s="99"/>
      <c r="R132" s="99"/>
    </row>
    <row r="133" spans="1:18" ht="15.75" customHeight="1">
      <c r="A133" s="453"/>
      <c r="B133" s="454"/>
      <c r="C133" s="455"/>
      <c r="D133" s="456"/>
      <c r="E133" s="456"/>
      <c r="F133" s="456"/>
      <c r="G133" s="456"/>
      <c r="H133" s="457"/>
      <c r="I133" s="458"/>
      <c r="J133" s="456"/>
      <c r="K133" s="456"/>
      <c r="L133" s="456"/>
      <c r="M133" s="99"/>
      <c r="N133" s="99"/>
      <c r="O133" s="99"/>
      <c r="P133" s="99"/>
      <c r="Q133" s="99"/>
      <c r="R133" s="99"/>
    </row>
    <row r="134" spans="1:18" ht="15.75" customHeight="1">
      <c r="A134" s="453"/>
      <c r="B134" s="454"/>
      <c r="C134" s="455"/>
      <c r="D134" s="456"/>
      <c r="E134" s="456"/>
      <c r="F134" s="456"/>
      <c r="G134" s="456"/>
      <c r="H134" s="457"/>
      <c r="I134" s="458"/>
      <c r="J134" s="456"/>
      <c r="K134" s="456"/>
      <c r="L134" s="456"/>
      <c r="M134" s="99"/>
      <c r="N134" s="99"/>
      <c r="O134" s="99"/>
      <c r="P134" s="99"/>
      <c r="Q134" s="99"/>
      <c r="R134" s="99"/>
    </row>
    <row r="135" spans="1:18" ht="15.75" customHeight="1">
      <c r="A135" s="453"/>
      <c r="B135" s="454"/>
      <c r="C135" s="455"/>
      <c r="D135" s="456"/>
      <c r="E135" s="456"/>
      <c r="F135" s="456"/>
      <c r="G135" s="456"/>
      <c r="H135" s="457"/>
      <c r="I135" s="458"/>
      <c r="J135" s="456"/>
      <c r="K135" s="456"/>
      <c r="L135" s="456"/>
      <c r="M135" s="99"/>
      <c r="N135" s="99"/>
      <c r="O135" s="99"/>
      <c r="P135" s="99"/>
      <c r="Q135" s="99"/>
      <c r="R135" s="99"/>
    </row>
    <row r="136" spans="1:18" ht="15.75" customHeight="1">
      <c r="A136" s="453"/>
      <c r="B136" s="454"/>
      <c r="C136" s="455"/>
      <c r="D136" s="456"/>
      <c r="E136" s="456"/>
      <c r="F136" s="456"/>
      <c r="G136" s="456"/>
      <c r="H136" s="457"/>
      <c r="I136" s="458"/>
      <c r="J136" s="456"/>
      <c r="K136" s="456"/>
      <c r="L136" s="456"/>
      <c r="M136" s="99"/>
      <c r="N136" s="99"/>
      <c r="O136" s="99"/>
      <c r="P136" s="99"/>
      <c r="Q136" s="99"/>
      <c r="R136" s="99"/>
    </row>
    <row r="137" spans="1:18" ht="15.75" customHeight="1">
      <c r="A137" s="453"/>
      <c r="B137" s="454"/>
      <c r="C137" s="455"/>
      <c r="D137" s="456"/>
      <c r="E137" s="456"/>
      <c r="F137" s="456"/>
      <c r="G137" s="456"/>
      <c r="H137" s="457"/>
      <c r="I137" s="458"/>
      <c r="J137" s="456"/>
      <c r="K137" s="456"/>
      <c r="L137" s="456"/>
      <c r="M137" s="99"/>
      <c r="N137" s="99"/>
      <c r="O137" s="99"/>
      <c r="P137" s="99"/>
      <c r="Q137" s="99"/>
      <c r="R137" s="99"/>
    </row>
    <row r="138" spans="1:18" ht="15.75" customHeight="1">
      <c r="A138" s="453"/>
      <c r="B138" s="454"/>
      <c r="C138" s="455"/>
      <c r="D138" s="456"/>
      <c r="E138" s="456"/>
      <c r="F138" s="456"/>
      <c r="G138" s="456"/>
      <c r="H138" s="457"/>
      <c r="I138" s="458"/>
      <c r="J138" s="456"/>
      <c r="K138" s="456"/>
      <c r="L138" s="456"/>
      <c r="M138" s="99"/>
      <c r="N138" s="99"/>
      <c r="O138" s="99"/>
      <c r="P138" s="99"/>
      <c r="Q138" s="99"/>
      <c r="R138" s="99"/>
    </row>
    <row r="139" spans="1:18" ht="15.75" customHeight="1">
      <c r="A139" s="453"/>
      <c r="B139" s="454"/>
      <c r="C139" s="455"/>
      <c r="D139" s="456"/>
      <c r="E139" s="456"/>
      <c r="F139" s="456"/>
      <c r="G139" s="456"/>
      <c r="H139" s="457"/>
      <c r="I139" s="458"/>
      <c r="J139" s="456"/>
      <c r="K139" s="456"/>
      <c r="L139" s="456"/>
      <c r="M139" s="99"/>
      <c r="N139" s="99"/>
      <c r="O139" s="99"/>
      <c r="P139" s="99"/>
      <c r="Q139" s="99"/>
      <c r="R139" s="99"/>
    </row>
    <row r="140" spans="1:18" ht="15.75" customHeight="1">
      <c r="A140" s="453"/>
      <c r="B140" s="454"/>
      <c r="C140" s="455"/>
      <c r="D140" s="456"/>
      <c r="E140" s="456"/>
      <c r="F140" s="456"/>
      <c r="G140" s="456"/>
      <c r="H140" s="457"/>
      <c r="I140" s="458"/>
      <c r="J140" s="456"/>
      <c r="K140" s="456"/>
      <c r="L140" s="456"/>
      <c r="M140" s="99"/>
      <c r="N140" s="99"/>
      <c r="O140" s="99"/>
      <c r="P140" s="99"/>
      <c r="Q140" s="99"/>
      <c r="R140" s="99"/>
    </row>
    <row r="141" spans="1:18" ht="15.75" customHeight="1">
      <c r="A141" s="453"/>
      <c r="B141" s="454"/>
      <c r="C141" s="455"/>
      <c r="D141" s="456"/>
      <c r="E141" s="456"/>
      <c r="F141" s="456"/>
      <c r="G141" s="456"/>
      <c r="H141" s="457"/>
      <c r="I141" s="458"/>
      <c r="J141" s="456"/>
      <c r="K141" s="456"/>
      <c r="L141" s="456"/>
      <c r="M141" s="99"/>
      <c r="N141" s="99"/>
      <c r="O141" s="99"/>
      <c r="P141" s="99"/>
      <c r="Q141" s="99"/>
      <c r="R141" s="99"/>
    </row>
    <row r="142" spans="1:18" ht="15.75" customHeight="1">
      <c r="A142" s="453"/>
      <c r="B142" s="454"/>
      <c r="C142" s="455"/>
      <c r="D142" s="456"/>
      <c r="E142" s="456"/>
      <c r="F142" s="456"/>
      <c r="G142" s="456"/>
      <c r="H142" s="457"/>
      <c r="I142" s="458"/>
      <c r="J142" s="456"/>
      <c r="K142" s="456"/>
      <c r="L142" s="456"/>
      <c r="M142" s="99"/>
      <c r="N142" s="99"/>
      <c r="O142" s="99"/>
      <c r="P142" s="99"/>
      <c r="Q142" s="99"/>
      <c r="R142" s="99"/>
    </row>
    <row r="143" spans="1:18" ht="15.75" customHeight="1">
      <c r="A143" s="453"/>
      <c r="B143" s="454"/>
      <c r="C143" s="455"/>
      <c r="D143" s="456"/>
      <c r="E143" s="456"/>
      <c r="F143" s="456"/>
      <c r="G143" s="456"/>
      <c r="H143" s="457"/>
      <c r="I143" s="458"/>
      <c r="J143" s="456"/>
      <c r="K143" s="456"/>
      <c r="L143" s="456"/>
      <c r="M143" s="99"/>
      <c r="N143" s="99"/>
      <c r="O143" s="99"/>
      <c r="P143" s="99"/>
      <c r="Q143" s="99"/>
      <c r="R143" s="99"/>
    </row>
    <row r="144" spans="1:18" ht="15.75" customHeight="1">
      <c r="A144" s="453"/>
      <c r="B144" s="454"/>
      <c r="C144" s="455"/>
      <c r="D144" s="456"/>
      <c r="E144" s="456"/>
      <c r="F144" s="456"/>
      <c r="G144" s="456"/>
      <c r="H144" s="457"/>
      <c r="I144" s="458"/>
      <c r="J144" s="456"/>
      <c r="K144" s="456"/>
      <c r="L144" s="456"/>
      <c r="M144" s="99"/>
      <c r="N144" s="99"/>
      <c r="O144" s="99"/>
      <c r="P144" s="99"/>
      <c r="Q144" s="99"/>
      <c r="R144" s="99"/>
    </row>
    <row r="145" spans="1:18" ht="15.75" customHeight="1">
      <c r="A145" s="453"/>
      <c r="B145" s="454"/>
      <c r="C145" s="455"/>
      <c r="D145" s="456"/>
      <c r="E145" s="456"/>
      <c r="F145" s="456"/>
      <c r="G145" s="456"/>
      <c r="H145" s="457"/>
      <c r="I145" s="458"/>
      <c r="J145" s="456"/>
      <c r="K145" s="456"/>
      <c r="L145" s="456"/>
      <c r="M145" s="99"/>
      <c r="N145" s="99"/>
      <c r="O145" s="99"/>
      <c r="P145" s="99"/>
      <c r="Q145" s="99"/>
      <c r="R145" s="99"/>
    </row>
    <row r="146" spans="1:18" ht="15.75" customHeight="1">
      <c r="A146" s="453"/>
      <c r="B146" s="454"/>
      <c r="C146" s="455"/>
      <c r="D146" s="456"/>
      <c r="E146" s="456"/>
      <c r="F146" s="456"/>
      <c r="G146" s="456"/>
      <c r="H146" s="457"/>
      <c r="I146" s="458"/>
      <c r="J146" s="456"/>
      <c r="K146" s="456"/>
      <c r="L146" s="456"/>
      <c r="M146" s="99"/>
      <c r="N146" s="99"/>
      <c r="O146" s="99"/>
      <c r="P146" s="99"/>
      <c r="Q146" s="99"/>
      <c r="R146" s="99"/>
    </row>
    <row r="147" spans="1:18" ht="15.75" customHeight="1">
      <c r="A147" s="453"/>
      <c r="B147" s="454"/>
      <c r="C147" s="455"/>
      <c r="D147" s="456"/>
      <c r="E147" s="456"/>
      <c r="F147" s="456"/>
      <c r="G147" s="456"/>
      <c r="H147" s="457"/>
      <c r="I147" s="458"/>
      <c r="J147" s="456"/>
      <c r="K147" s="456"/>
      <c r="L147" s="456"/>
      <c r="M147" s="99"/>
      <c r="N147" s="99"/>
      <c r="O147" s="99"/>
      <c r="P147" s="99"/>
      <c r="Q147" s="99"/>
      <c r="R147" s="99"/>
    </row>
    <row r="148" spans="1:18" ht="15.75" customHeight="1">
      <c r="A148" s="453"/>
      <c r="B148" s="454"/>
      <c r="C148" s="455"/>
      <c r="D148" s="456"/>
      <c r="E148" s="456"/>
      <c r="F148" s="456"/>
      <c r="G148" s="456"/>
      <c r="H148" s="457"/>
      <c r="I148" s="458"/>
      <c r="J148" s="456"/>
      <c r="K148" s="456"/>
      <c r="L148" s="456"/>
      <c r="M148" s="99"/>
      <c r="N148" s="99"/>
      <c r="O148" s="99"/>
      <c r="P148" s="99"/>
      <c r="Q148" s="99"/>
      <c r="R148" s="99"/>
    </row>
    <row r="149" spans="1:18" ht="15.75" customHeight="1">
      <c r="A149" s="453"/>
      <c r="B149" s="454"/>
      <c r="C149" s="455"/>
      <c r="D149" s="456"/>
      <c r="E149" s="456"/>
      <c r="F149" s="456"/>
      <c r="G149" s="456"/>
      <c r="H149" s="457"/>
      <c r="I149" s="458"/>
      <c r="J149" s="456"/>
      <c r="K149" s="456"/>
      <c r="L149" s="456"/>
      <c r="M149" s="99"/>
      <c r="N149" s="99"/>
      <c r="O149" s="99"/>
      <c r="P149" s="99"/>
      <c r="Q149" s="99"/>
      <c r="R149" s="99"/>
    </row>
    <row r="150" spans="1:18" ht="15.75" customHeight="1">
      <c r="A150" s="453"/>
      <c r="B150" s="454"/>
      <c r="C150" s="455"/>
      <c r="D150" s="456"/>
      <c r="E150" s="456"/>
      <c r="F150" s="456"/>
      <c r="G150" s="456"/>
      <c r="H150" s="457"/>
      <c r="I150" s="458"/>
      <c r="J150" s="456"/>
      <c r="K150" s="456"/>
      <c r="L150" s="456"/>
      <c r="M150" s="99"/>
      <c r="N150" s="99"/>
      <c r="O150" s="99"/>
      <c r="P150" s="99"/>
      <c r="Q150" s="99"/>
      <c r="R150" s="99"/>
    </row>
    <row r="151" spans="1:18" ht="15.75" customHeight="1">
      <c r="A151" s="453"/>
      <c r="B151" s="454"/>
      <c r="C151" s="455"/>
      <c r="D151" s="456"/>
      <c r="E151" s="456"/>
      <c r="F151" s="456"/>
      <c r="G151" s="456"/>
      <c r="H151" s="457"/>
      <c r="I151" s="458"/>
      <c r="J151" s="456"/>
      <c r="K151" s="456"/>
      <c r="L151" s="456"/>
      <c r="M151" s="99"/>
      <c r="N151" s="99"/>
      <c r="O151" s="99"/>
      <c r="P151" s="99"/>
      <c r="Q151" s="99"/>
      <c r="R151" s="99"/>
    </row>
    <row r="152" spans="1:18" ht="15.75" customHeight="1">
      <c r="A152" s="453"/>
      <c r="B152" s="454"/>
      <c r="C152" s="455"/>
      <c r="D152" s="456"/>
      <c r="E152" s="456"/>
      <c r="F152" s="456"/>
      <c r="G152" s="456"/>
      <c r="H152" s="457"/>
      <c r="I152" s="458"/>
      <c r="J152" s="456"/>
      <c r="K152" s="456"/>
      <c r="L152" s="456"/>
      <c r="M152" s="99"/>
      <c r="N152" s="99"/>
      <c r="O152" s="99"/>
      <c r="P152" s="99"/>
      <c r="Q152" s="99"/>
      <c r="R152" s="99"/>
    </row>
    <row r="153" spans="1:18" ht="15.75" customHeight="1">
      <c r="A153" s="453"/>
      <c r="B153" s="454"/>
      <c r="C153" s="455"/>
      <c r="D153" s="456"/>
      <c r="E153" s="456"/>
      <c r="F153" s="456"/>
      <c r="G153" s="456"/>
      <c r="H153" s="457"/>
      <c r="I153" s="458"/>
      <c r="J153" s="456"/>
      <c r="K153" s="456"/>
      <c r="L153" s="456"/>
      <c r="M153" s="99"/>
      <c r="N153" s="99"/>
      <c r="O153" s="99"/>
      <c r="P153" s="99"/>
      <c r="Q153" s="99"/>
      <c r="R153" s="99"/>
    </row>
    <row r="154" spans="1:18" ht="15.75" customHeight="1">
      <c r="A154" s="453"/>
      <c r="B154" s="454"/>
      <c r="C154" s="455"/>
      <c r="D154" s="456"/>
      <c r="E154" s="456"/>
      <c r="F154" s="456"/>
      <c r="G154" s="456"/>
      <c r="H154" s="457"/>
      <c r="I154" s="458"/>
      <c r="J154" s="456"/>
      <c r="K154" s="456"/>
      <c r="L154" s="456"/>
      <c r="M154" s="99"/>
      <c r="N154" s="99"/>
      <c r="O154" s="99"/>
      <c r="P154" s="99"/>
      <c r="Q154" s="99"/>
      <c r="R154" s="99"/>
    </row>
    <row r="155" spans="1:18" ht="15.75" customHeight="1">
      <c r="A155" s="453"/>
      <c r="B155" s="454"/>
      <c r="C155" s="455"/>
      <c r="D155" s="456"/>
      <c r="E155" s="456"/>
      <c r="F155" s="456"/>
      <c r="G155" s="456"/>
      <c r="H155" s="457"/>
      <c r="I155" s="458"/>
      <c r="J155" s="456"/>
      <c r="K155" s="456"/>
      <c r="L155" s="456"/>
      <c r="M155" s="99"/>
      <c r="N155" s="99"/>
      <c r="O155" s="99"/>
      <c r="P155" s="99"/>
      <c r="Q155" s="99"/>
      <c r="R155" s="99"/>
    </row>
    <row r="156" spans="1:18" ht="15.75" customHeight="1">
      <c r="A156" s="453"/>
      <c r="B156" s="454"/>
      <c r="C156" s="455"/>
      <c r="D156" s="456"/>
      <c r="E156" s="456"/>
      <c r="F156" s="456"/>
      <c r="G156" s="456"/>
      <c r="H156" s="457"/>
      <c r="I156" s="458"/>
      <c r="J156" s="456"/>
      <c r="K156" s="456"/>
      <c r="L156" s="456"/>
      <c r="M156" s="99"/>
      <c r="N156" s="99"/>
      <c r="O156" s="99"/>
      <c r="P156" s="99"/>
      <c r="Q156" s="99"/>
      <c r="R156" s="99"/>
    </row>
    <row r="157" spans="1:18" ht="15.75" customHeight="1">
      <c r="A157" s="453"/>
      <c r="B157" s="454"/>
      <c r="C157" s="455"/>
      <c r="D157" s="456"/>
      <c r="E157" s="456"/>
      <c r="F157" s="456"/>
      <c r="G157" s="456"/>
      <c r="H157" s="457"/>
      <c r="I157" s="458"/>
      <c r="J157" s="456"/>
      <c r="K157" s="456"/>
      <c r="L157" s="456"/>
      <c r="M157" s="99"/>
      <c r="N157" s="99"/>
      <c r="O157" s="99"/>
      <c r="P157" s="99"/>
      <c r="Q157" s="99"/>
      <c r="R157" s="99"/>
    </row>
    <row r="158" spans="1:18" ht="15.75" customHeight="1">
      <c r="A158" s="453"/>
      <c r="B158" s="454"/>
      <c r="C158" s="455"/>
      <c r="D158" s="456"/>
      <c r="E158" s="456"/>
      <c r="F158" s="456"/>
      <c r="G158" s="456"/>
      <c r="H158" s="457"/>
      <c r="I158" s="458"/>
      <c r="J158" s="456"/>
      <c r="K158" s="456"/>
      <c r="L158" s="456"/>
      <c r="M158" s="99"/>
      <c r="N158" s="99"/>
      <c r="O158" s="99"/>
      <c r="P158" s="99"/>
      <c r="Q158" s="99"/>
      <c r="R158" s="99"/>
    </row>
    <row r="159" spans="1:18" s="191" customFormat="1" ht="15.75" customHeight="1">
      <c r="A159" s="603" t="s">
        <v>586</v>
      </c>
      <c r="B159" s="603"/>
      <c r="C159" s="603"/>
      <c r="D159" s="603"/>
      <c r="E159" s="603"/>
      <c r="F159" s="603"/>
      <c r="G159" s="603"/>
      <c r="H159" s="603"/>
      <c r="I159" s="603"/>
      <c r="J159" s="603"/>
      <c r="K159" s="603"/>
      <c r="L159" s="603"/>
    </row>
    <row r="160" spans="1:18" s="192" customFormat="1" ht="15.75" customHeight="1">
      <c r="A160" s="603"/>
      <c r="B160" s="603"/>
      <c r="C160" s="603"/>
      <c r="D160" s="603"/>
      <c r="E160" s="603"/>
      <c r="F160" s="603"/>
      <c r="G160" s="603"/>
      <c r="H160" s="603"/>
      <c r="I160" s="603"/>
      <c r="J160" s="603"/>
      <c r="K160" s="603"/>
      <c r="L160" s="603"/>
    </row>
    <row r="161" spans="1:18" s="106" customFormat="1" ht="16.350000000000001" customHeight="1">
      <c r="A161" s="610" t="s">
        <v>164</v>
      </c>
      <c r="B161" s="172">
        <v>1</v>
      </c>
      <c r="C161" s="172">
        <v>2</v>
      </c>
      <c r="D161" s="172">
        <v>3</v>
      </c>
      <c r="E161" s="172">
        <v>4</v>
      </c>
      <c r="F161" s="172">
        <v>5</v>
      </c>
      <c r="G161" s="172">
        <v>6</v>
      </c>
      <c r="H161" s="193">
        <v>7</v>
      </c>
      <c r="I161" s="193">
        <v>8</v>
      </c>
      <c r="J161" s="172">
        <v>9</v>
      </c>
      <c r="K161" s="194"/>
      <c r="L161" s="194"/>
      <c r="M161" s="129"/>
      <c r="N161" s="180"/>
      <c r="O161" s="180"/>
      <c r="P161" s="180"/>
      <c r="Q161" s="180"/>
      <c r="R161" s="180"/>
    </row>
    <row r="162" spans="1:18" ht="16.350000000000001" customHeight="1">
      <c r="A162" s="612"/>
      <c r="B162" s="197" t="s">
        <v>209</v>
      </c>
      <c r="C162" s="197" t="s">
        <v>157</v>
      </c>
      <c r="D162" s="197" t="s">
        <v>210</v>
      </c>
      <c r="E162" s="197" t="s">
        <v>158</v>
      </c>
      <c r="F162" s="197" t="s">
        <v>139</v>
      </c>
      <c r="G162" s="198" t="s">
        <v>137</v>
      </c>
      <c r="H162" s="196" t="s">
        <v>211</v>
      </c>
      <c r="I162" s="211" t="s">
        <v>393</v>
      </c>
      <c r="J162" s="198" t="s">
        <v>143</v>
      </c>
      <c r="K162" s="200"/>
      <c r="L162" s="200"/>
      <c r="N162" s="201"/>
      <c r="O162" s="201"/>
      <c r="P162" s="201"/>
      <c r="Q162" s="201"/>
      <c r="R162" s="201"/>
    </row>
    <row r="163" spans="1:18" s="106" customFormat="1" ht="15.75" customHeight="1">
      <c r="A163" s="616" t="s">
        <v>190</v>
      </c>
      <c r="B163" s="617"/>
      <c r="C163" s="162" t="s">
        <v>47</v>
      </c>
      <c r="D163" s="616" t="s">
        <v>12</v>
      </c>
      <c r="E163" s="618"/>
      <c r="F163" s="617"/>
      <c r="G163" s="162" t="s">
        <v>46</v>
      </c>
      <c r="H163" s="162" t="s">
        <v>394</v>
      </c>
      <c r="I163" s="162" t="s">
        <v>395</v>
      </c>
      <c r="J163" s="162" t="s">
        <v>339</v>
      </c>
      <c r="K163" s="616" t="s">
        <v>51</v>
      </c>
      <c r="L163" s="617"/>
      <c r="M163" s="129"/>
      <c r="N163" s="191"/>
      <c r="O163" s="201"/>
      <c r="P163" s="444"/>
      <c r="Q163" s="444"/>
      <c r="R163" s="201"/>
    </row>
    <row r="164" spans="1:18" ht="15.75" customHeight="1">
      <c r="A164" s="610">
        <v>7</v>
      </c>
      <c r="B164" s="613" t="s">
        <v>398</v>
      </c>
      <c r="C164" s="202">
        <v>1</v>
      </c>
      <c r="D164" s="619" t="s">
        <v>505</v>
      </c>
      <c r="E164" s="597"/>
      <c r="F164" s="597"/>
      <c r="G164" s="202">
        <v>21</v>
      </c>
      <c r="H164" s="204">
        <v>1773.6785030743556</v>
      </c>
      <c r="I164" s="205">
        <v>84.460881098778842</v>
      </c>
      <c r="J164" s="383">
        <f>I164-I34</f>
        <v>11.532066840864033</v>
      </c>
      <c r="K164" s="598" t="s">
        <v>472</v>
      </c>
      <c r="L164" s="597"/>
      <c r="O164" s="201"/>
      <c r="P164" s="444"/>
      <c r="Q164" s="444"/>
      <c r="R164" s="201"/>
    </row>
    <row r="165" spans="1:18" ht="15.75" customHeight="1">
      <c r="A165" s="611"/>
      <c r="B165" s="614"/>
      <c r="C165" s="202">
        <v>2</v>
      </c>
      <c r="D165" s="619" t="s">
        <v>487</v>
      </c>
      <c r="E165" s="597"/>
      <c r="F165" s="597"/>
      <c r="G165" s="202">
        <v>22</v>
      </c>
      <c r="H165" s="204">
        <v>1597.3545696360372</v>
      </c>
      <c r="I165" s="205">
        <v>72.607025892547156</v>
      </c>
      <c r="J165" s="383">
        <f>I165-I35</f>
        <v>72.607025892547156</v>
      </c>
      <c r="K165" s="598" t="s">
        <v>472</v>
      </c>
      <c r="L165" s="597"/>
      <c r="O165" s="201"/>
      <c r="P165" s="444"/>
      <c r="Q165" s="444"/>
      <c r="R165" s="201"/>
    </row>
    <row r="166" spans="1:18" ht="15.75" customHeight="1">
      <c r="A166" s="611"/>
      <c r="B166" s="614"/>
      <c r="C166" s="202">
        <v>3</v>
      </c>
      <c r="D166" s="595"/>
      <c r="E166" s="606"/>
      <c r="F166" s="596"/>
      <c r="G166" s="202"/>
      <c r="H166" s="204"/>
      <c r="I166" s="205"/>
      <c r="J166" s="202"/>
      <c r="K166" s="595"/>
      <c r="L166" s="596"/>
      <c r="N166" s="447"/>
      <c r="O166" s="201"/>
      <c r="P166" s="444"/>
      <c r="Q166" s="444"/>
      <c r="R166" s="201"/>
    </row>
    <row r="167" spans="1:18" ht="15.75" customHeight="1">
      <c r="A167" s="611"/>
      <c r="B167" s="614"/>
      <c r="C167" s="202">
        <v>4</v>
      </c>
      <c r="D167" s="595"/>
      <c r="E167" s="606"/>
      <c r="F167" s="596"/>
      <c r="G167" s="202"/>
      <c r="H167" s="204"/>
      <c r="I167" s="205"/>
      <c r="J167" s="202"/>
      <c r="K167" s="595"/>
      <c r="L167" s="596"/>
      <c r="O167" s="201"/>
      <c r="P167" s="444"/>
      <c r="Q167" s="444"/>
      <c r="R167" s="201"/>
    </row>
    <row r="168" spans="1:18" ht="15.75" customHeight="1">
      <c r="A168" s="611"/>
      <c r="B168" s="614"/>
      <c r="C168" s="202">
        <v>5</v>
      </c>
      <c r="D168" s="595"/>
      <c r="E168" s="606"/>
      <c r="F168" s="596"/>
      <c r="G168" s="202"/>
      <c r="H168" s="204"/>
      <c r="I168" s="205"/>
      <c r="J168" s="202"/>
      <c r="K168" s="595"/>
      <c r="L168" s="596"/>
      <c r="N168" s="180"/>
      <c r="O168" s="201"/>
      <c r="P168" s="444"/>
      <c r="Q168" s="444"/>
      <c r="R168" s="201"/>
    </row>
    <row r="169" spans="1:18" ht="15.75" customHeight="1">
      <c r="A169" s="611"/>
      <c r="B169" s="614"/>
      <c r="C169" s="206" t="s">
        <v>207</v>
      </c>
      <c r="D169" s="595"/>
      <c r="E169" s="606"/>
      <c r="F169" s="596"/>
      <c r="G169" s="202"/>
      <c r="H169" s="204"/>
      <c r="I169" s="205"/>
      <c r="J169" s="202"/>
      <c r="K169" s="595"/>
      <c r="L169" s="596"/>
      <c r="N169" s="447"/>
      <c r="O169" s="201"/>
      <c r="P169" s="444"/>
      <c r="Q169" s="444"/>
      <c r="R169" s="201"/>
    </row>
    <row r="170" spans="1:18" ht="15.75" customHeight="1">
      <c r="A170" s="611"/>
      <c r="B170" s="614"/>
      <c r="C170" s="206" t="s">
        <v>212</v>
      </c>
      <c r="D170" s="595"/>
      <c r="E170" s="606"/>
      <c r="F170" s="596"/>
      <c r="G170" s="202"/>
      <c r="H170" s="204"/>
      <c r="I170" s="205"/>
      <c r="J170" s="202"/>
      <c r="K170" s="595"/>
      <c r="L170" s="596"/>
      <c r="O170" s="201"/>
      <c r="P170" s="444"/>
      <c r="Q170" s="444"/>
      <c r="R170" s="201"/>
    </row>
    <row r="171" spans="1:18" ht="15.75" customHeight="1">
      <c r="A171" s="611"/>
      <c r="B171" s="614"/>
      <c r="C171" s="206" t="s">
        <v>208</v>
      </c>
      <c r="D171" s="595"/>
      <c r="E171" s="606"/>
      <c r="F171" s="596"/>
      <c r="G171" s="202"/>
      <c r="H171" s="204"/>
      <c r="I171" s="205"/>
      <c r="J171" s="202"/>
      <c r="K171" s="595"/>
      <c r="L171" s="596"/>
      <c r="O171" s="201"/>
      <c r="P171" s="444"/>
      <c r="Q171" s="444"/>
      <c r="R171" s="201"/>
    </row>
    <row r="172" spans="1:18" ht="15.75" customHeight="1">
      <c r="A172" s="611"/>
      <c r="B172" s="614"/>
      <c r="C172" s="206" t="s">
        <v>213</v>
      </c>
      <c r="D172" s="595"/>
      <c r="E172" s="606"/>
      <c r="F172" s="596"/>
      <c r="G172" s="202"/>
      <c r="H172" s="204"/>
      <c r="I172" s="205"/>
      <c r="J172" s="202"/>
      <c r="K172" s="595"/>
      <c r="L172" s="596"/>
      <c r="M172" s="99"/>
      <c r="O172" s="201"/>
      <c r="P172" s="444"/>
      <c r="Q172" s="444"/>
      <c r="R172" s="201"/>
    </row>
    <row r="173" spans="1:18" ht="15.75" customHeight="1">
      <c r="A173" s="612"/>
      <c r="B173" s="615"/>
      <c r="C173" s="206" t="s">
        <v>214</v>
      </c>
      <c r="D173" s="595"/>
      <c r="E173" s="606"/>
      <c r="F173" s="596"/>
      <c r="G173" s="202"/>
      <c r="H173" s="204"/>
      <c r="I173" s="205"/>
      <c r="J173" s="202"/>
      <c r="K173" s="595"/>
      <c r="L173" s="596"/>
      <c r="M173" s="99"/>
      <c r="N173" s="201"/>
      <c r="O173" s="201"/>
      <c r="P173" s="444"/>
      <c r="Q173" s="444"/>
      <c r="R173" s="201"/>
    </row>
    <row r="174" spans="1:18" s="104" customFormat="1" ht="15.75" customHeight="1">
      <c r="A174" s="607" t="s">
        <v>190</v>
      </c>
      <c r="B174" s="608"/>
      <c r="C174" s="209" t="s">
        <v>47</v>
      </c>
      <c r="D174" s="607" t="s">
        <v>12</v>
      </c>
      <c r="E174" s="609"/>
      <c r="F174" s="608"/>
      <c r="G174" s="209" t="s">
        <v>46</v>
      </c>
      <c r="H174" s="209" t="s">
        <v>394</v>
      </c>
      <c r="I174" s="209" t="s">
        <v>395</v>
      </c>
      <c r="J174" s="162" t="s">
        <v>339</v>
      </c>
      <c r="K174" s="607" t="s">
        <v>51</v>
      </c>
      <c r="L174" s="608"/>
      <c r="M174" s="130"/>
      <c r="N174" s="191"/>
      <c r="O174" s="201"/>
      <c r="P174" s="444"/>
      <c r="Q174" s="444"/>
      <c r="R174" s="201"/>
    </row>
    <row r="175" spans="1:18" ht="15.75" customHeight="1">
      <c r="A175" s="610">
        <v>8</v>
      </c>
      <c r="B175" s="613" t="s">
        <v>399</v>
      </c>
      <c r="C175" s="202">
        <v>1</v>
      </c>
      <c r="D175" s="595" t="s">
        <v>507</v>
      </c>
      <c r="E175" s="606"/>
      <c r="F175" s="596"/>
      <c r="G175" s="202">
        <v>19</v>
      </c>
      <c r="H175" s="204">
        <v>3199.1048118481735</v>
      </c>
      <c r="I175" s="205">
        <v>168.37393746569336</v>
      </c>
      <c r="J175" s="383">
        <f>I175-I45</f>
        <v>-0.6570543353616074</v>
      </c>
      <c r="K175" s="598" t="s">
        <v>472</v>
      </c>
      <c r="L175" s="597"/>
      <c r="M175" s="99"/>
      <c r="O175" s="201"/>
      <c r="P175" s="444"/>
      <c r="Q175" s="444"/>
      <c r="R175" s="201"/>
    </row>
    <row r="176" spans="1:18" ht="15.75" customHeight="1">
      <c r="A176" s="611"/>
      <c r="B176" s="614"/>
      <c r="C176" s="202">
        <v>2</v>
      </c>
      <c r="D176" s="595" t="s">
        <v>506</v>
      </c>
      <c r="E176" s="606"/>
      <c r="F176" s="596"/>
      <c r="G176" s="202">
        <v>18</v>
      </c>
      <c r="H176" s="204">
        <v>1602.1541160446366</v>
      </c>
      <c r="I176" s="205">
        <v>89.00856200247982</v>
      </c>
      <c r="J176" s="383">
        <f>I176-I46</f>
        <v>-0.16692732199459215</v>
      </c>
      <c r="K176" s="598" t="s">
        <v>472</v>
      </c>
      <c r="L176" s="597"/>
      <c r="M176" s="99"/>
      <c r="O176" s="180"/>
      <c r="P176" s="443"/>
      <c r="Q176" s="443"/>
      <c r="R176" s="180"/>
    </row>
    <row r="177" spans="1:18" ht="15.75" customHeight="1">
      <c r="A177" s="611"/>
      <c r="B177" s="614"/>
      <c r="C177" s="202">
        <v>3</v>
      </c>
      <c r="D177" s="595" t="s">
        <v>500</v>
      </c>
      <c r="E177" s="606"/>
      <c r="F177" s="596"/>
      <c r="G177" s="202">
        <v>19</v>
      </c>
      <c r="H177" s="204">
        <v>1603.5142314530353</v>
      </c>
      <c r="I177" s="205">
        <v>84.395485865949226</v>
      </c>
      <c r="J177" s="383">
        <f>I177-I47</f>
        <v>-0.12460482811071927</v>
      </c>
      <c r="K177" s="598" t="s">
        <v>472</v>
      </c>
      <c r="L177" s="597"/>
      <c r="M177" s="99"/>
      <c r="O177" s="201"/>
      <c r="P177" s="444"/>
      <c r="Q177" s="444"/>
      <c r="R177" s="201"/>
    </row>
    <row r="178" spans="1:18" ht="15.75" customHeight="1">
      <c r="A178" s="611"/>
      <c r="B178" s="614"/>
      <c r="C178" s="202">
        <v>4</v>
      </c>
      <c r="D178" s="595"/>
      <c r="E178" s="606"/>
      <c r="F178" s="596"/>
      <c r="G178" s="202"/>
      <c r="H178" s="204"/>
      <c r="I178" s="205"/>
      <c r="J178" s="202"/>
      <c r="K178" s="595"/>
      <c r="L178" s="596"/>
      <c r="M178" s="99"/>
      <c r="O178" s="201"/>
      <c r="P178" s="444"/>
      <c r="Q178" s="444"/>
      <c r="R178" s="201"/>
    </row>
    <row r="179" spans="1:18" ht="15.75" customHeight="1">
      <c r="A179" s="611"/>
      <c r="B179" s="614"/>
      <c r="C179" s="202">
        <v>5</v>
      </c>
      <c r="D179" s="595"/>
      <c r="E179" s="606"/>
      <c r="F179" s="596"/>
      <c r="G179" s="202"/>
      <c r="H179" s="204"/>
      <c r="I179" s="205"/>
      <c r="J179" s="202"/>
      <c r="K179" s="595"/>
      <c r="L179" s="596"/>
      <c r="M179" s="99"/>
      <c r="O179" s="201"/>
      <c r="P179" s="444"/>
      <c r="Q179" s="444"/>
      <c r="R179" s="201"/>
    </row>
    <row r="180" spans="1:18" ht="15.75" customHeight="1">
      <c r="A180" s="611"/>
      <c r="B180" s="614"/>
      <c r="C180" s="206" t="s">
        <v>207</v>
      </c>
      <c r="D180" s="595"/>
      <c r="E180" s="606"/>
      <c r="F180" s="596"/>
      <c r="G180" s="202"/>
      <c r="H180" s="204"/>
      <c r="I180" s="205"/>
      <c r="J180" s="202"/>
      <c r="K180" s="595"/>
      <c r="L180" s="596"/>
      <c r="M180" s="99"/>
      <c r="O180" s="201"/>
      <c r="P180" s="444"/>
      <c r="Q180" s="444"/>
      <c r="R180" s="201"/>
    </row>
    <row r="181" spans="1:18" ht="15.75" customHeight="1">
      <c r="A181" s="611"/>
      <c r="B181" s="614"/>
      <c r="C181" s="206" t="s">
        <v>212</v>
      </c>
      <c r="D181" s="595"/>
      <c r="E181" s="606"/>
      <c r="F181" s="596"/>
      <c r="G181" s="202"/>
      <c r="H181" s="204"/>
      <c r="I181" s="205"/>
      <c r="J181" s="202"/>
      <c r="K181" s="595"/>
      <c r="L181" s="596"/>
      <c r="M181" s="99"/>
      <c r="O181" s="201"/>
      <c r="P181" s="444"/>
      <c r="Q181" s="444"/>
      <c r="R181" s="201"/>
    </row>
    <row r="182" spans="1:18" ht="15.75" customHeight="1">
      <c r="A182" s="611"/>
      <c r="B182" s="614"/>
      <c r="C182" s="206" t="s">
        <v>208</v>
      </c>
      <c r="D182" s="595"/>
      <c r="E182" s="606"/>
      <c r="F182" s="596"/>
      <c r="G182" s="202"/>
      <c r="H182" s="204"/>
      <c r="I182" s="205"/>
      <c r="J182" s="202"/>
      <c r="K182" s="595"/>
      <c r="L182" s="596"/>
      <c r="M182" s="99"/>
      <c r="O182" s="201"/>
      <c r="P182" s="444"/>
      <c r="Q182" s="444"/>
      <c r="R182" s="201"/>
    </row>
    <row r="183" spans="1:18" ht="15.75" customHeight="1">
      <c r="A183" s="611"/>
      <c r="B183" s="614"/>
      <c r="C183" s="206" t="s">
        <v>213</v>
      </c>
      <c r="D183" s="595"/>
      <c r="E183" s="606"/>
      <c r="F183" s="596"/>
      <c r="G183" s="202"/>
      <c r="H183" s="204"/>
      <c r="I183" s="205"/>
      <c r="J183" s="202"/>
      <c r="K183" s="595"/>
      <c r="L183" s="596"/>
      <c r="M183" s="99"/>
      <c r="O183" s="201"/>
      <c r="P183" s="444"/>
      <c r="Q183" s="444"/>
      <c r="R183" s="201"/>
    </row>
    <row r="184" spans="1:18" ht="15.75" customHeight="1">
      <c r="A184" s="612"/>
      <c r="B184" s="615"/>
      <c r="C184" s="206" t="s">
        <v>214</v>
      </c>
      <c r="D184" s="595"/>
      <c r="E184" s="606"/>
      <c r="F184" s="596"/>
      <c r="G184" s="202"/>
      <c r="H184" s="204"/>
      <c r="I184" s="205"/>
      <c r="J184" s="202"/>
      <c r="K184" s="595"/>
      <c r="L184" s="596"/>
      <c r="M184" s="99"/>
      <c r="O184" s="201"/>
      <c r="P184" s="444"/>
      <c r="Q184" s="444"/>
      <c r="R184" s="201"/>
    </row>
    <row r="185" spans="1:18" ht="15.75" customHeight="1">
      <c r="A185" s="603" t="s">
        <v>594</v>
      </c>
      <c r="B185" s="603"/>
      <c r="C185" s="603"/>
      <c r="D185" s="603"/>
      <c r="E185" s="603"/>
      <c r="F185" s="603"/>
      <c r="G185" s="603"/>
      <c r="H185" s="603"/>
      <c r="I185" s="603"/>
      <c r="J185" s="603"/>
      <c r="K185" s="603"/>
      <c r="L185" s="603"/>
      <c r="M185" s="99"/>
    </row>
    <row r="186" spans="1:18" s="100" customFormat="1" ht="15.75" customHeight="1">
      <c r="A186" s="603"/>
      <c r="B186" s="603"/>
      <c r="C186" s="603"/>
      <c r="D186" s="603"/>
      <c r="E186" s="603"/>
      <c r="F186" s="603"/>
      <c r="G186" s="603"/>
      <c r="H186" s="603"/>
      <c r="I186" s="603"/>
      <c r="J186" s="603"/>
      <c r="K186" s="603"/>
      <c r="L186" s="603"/>
      <c r="N186" s="192"/>
      <c r="O186" s="192"/>
      <c r="P186" s="192"/>
      <c r="Q186" s="192"/>
      <c r="R186" s="192"/>
    </row>
    <row r="187" spans="1:18" s="106" customFormat="1" ht="16.350000000000001" customHeight="1">
      <c r="A187" s="610" t="s">
        <v>164</v>
      </c>
      <c r="B187" s="172">
        <v>1</v>
      </c>
      <c r="C187" s="172">
        <v>2</v>
      </c>
      <c r="D187" s="172">
        <v>3</v>
      </c>
      <c r="E187" s="172">
        <v>4</v>
      </c>
      <c r="F187" s="172">
        <v>5</v>
      </c>
      <c r="G187" s="172">
        <v>6</v>
      </c>
      <c r="H187" s="193">
        <v>7</v>
      </c>
      <c r="I187" s="193">
        <v>8</v>
      </c>
      <c r="J187" s="172">
        <v>9</v>
      </c>
      <c r="K187" s="194"/>
      <c r="L187" s="194"/>
      <c r="M187" s="129"/>
      <c r="N187" s="180"/>
      <c r="O187" s="180"/>
      <c r="P187" s="180"/>
      <c r="Q187" s="180"/>
      <c r="R187" s="180"/>
    </row>
    <row r="188" spans="1:18" ht="16.350000000000001" customHeight="1">
      <c r="A188" s="612"/>
      <c r="B188" s="197" t="s">
        <v>209</v>
      </c>
      <c r="C188" s="197" t="s">
        <v>157</v>
      </c>
      <c r="D188" s="197" t="s">
        <v>210</v>
      </c>
      <c r="E188" s="197" t="s">
        <v>158</v>
      </c>
      <c r="F188" s="197" t="s">
        <v>139</v>
      </c>
      <c r="G188" s="198" t="s">
        <v>137</v>
      </c>
      <c r="H188" s="196" t="s">
        <v>211</v>
      </c>
      <c r="I188" s="211" t="s">
        <v>393</v>
      </c>
      <c r="J188" s="198" t="s">
        <v>143</v>
      </c>
      <c r="K188" s="200"/>
      <c r="L188" s="200"/>
      <c r="N188" s="201"/>
      <c r="O188" s="201"/>
      <c r="P188" s="201"/>
      <c r="Q188" s="201"/>
      <c r="R188" s="201"/>
    </row>
    <row r="189" spans="1:18" s="106" customFormat="1" ht="15.75" customHeight="1">
      <c r="A189" s="616" t="s">
        <v>190</v>
      </c>
      <c r="B189" s="617"/>
      <c r="C189" s="162" t="s">
        <v>47</v>
      </c>
      <c r="D189" s="616" t="s">
        <v>12</v>
      </c>
      <c r="E189" s="618"/>
      <c r="F189" s="617"/>
      <c r="G189" s="162" t="s">
        <v>46</v>
      </c>
      <c r="H189" s="162" t="s">
        <v>394</v>
      </c>
      <c r="I189" s="162" t="s">
        <v>395</v>
      </c>
      <c r="J189" s="162" t="s">
        <v>339</v>
      </c>
      <c r="K189" s="616" t="s">
        <v>51</v>
      </c>
      <c r="L189" s="617"/>
      <c r="M189" s="129"/>
      <c r="N189" s="191"/>
      <c r="O189" s="201"/>
      <c r="P189" s="444"/>
      <c r="Q189" s="444"/>
      <c r="R189" s="201"/>
    </row>
    <row r="190" spans="1:18" ht="15.75" customHeight="1">
      <c r="A190" s="610">
        <v>7</v>
      </c>
      <c r="B190" s="613" t="s">
        <v>398</v>
      </c>
      <c r="C190" s="202">
        <v>1</v>
      </c>
      <c r="D190" s="619" t="s">
        <v>505</v>
      </c>
      <c r="E190" s="597"/>
      <c r="F190" s="597"/>
      <c r="G190" s="202">
        <v>21</v>
      </c>
      <c r="H190" s="204">
        <v>1775.8664909069062</v>
      </c>
      <c r="I190" s="205">
        <v>84.56507099556697</v>
      </c>
      <c r="J190" s="383">
        <f>I190-I164</f>
        <v>0.10418989678812807</v>
      </c>
      <c r="K190" s="598" t="s">
        <v>472</v>
      </c>
      <c r="L190" s="597"/>
      <c r="O190" s="201"/>
      <c r="P190" s="444"/>
      <c r="Q190" s="444"/>
      <c r="R190" s="201"/>
    </row>
    <row r="191" spans="1:18" ht="15.75" customHeight="1">
      <c r="A191" s="611"/>
      <c r="B191" s="614"/>
      <c r="C191" s="202">
        <v>2</v>
      </c>
      <c r="D191" s="619" t="s">
        <v>487</v>
      </c>
      <c r="E191" s="597"/>
      <c r="F191" s="597"/>
      <c r="G191" s="202">
        <v>22</v>
      </c>
      <c r="H191" s="204">
        <v>1598.7950230519248</v>
      </c>
      <c r="I191" s="205">
        <v>72.672501047814748</v>
      </c>
      <c r="J191" s="383">
        <f>I191-I165</f>
        <v>6.5475155267591845E-2</v>
      </c>
      <c r="K191" s="598" t="s">
        <v>472</v>
      </c>
      <c r="L191" s="597"/>
      <c r="O191" s="201"/>
      <c r="P191" s="444"/>
      <c r="Q191" s="444"/>
      <c r="R191" s="201"/>
    </row>
    <row r="192" spans="1:18" ht="15.75" customHeight="1">
      <c r="A192" s="611"/>
      <c r="B192" s="614"/>
      <c r="C192" s="202">
        <v>3</v>
      </c>
      <c r="D192" s="595"/>
      <c r="E192" s="606"/>
      <c r="F192" s="596"/>
      <c r="G192" s="202"/>
      <c r="H192" s="204"/>
      <c r="I192" s="205"/>
      <c r="J192" s="202"/>
      <c r="K192" s="595"/>
      <c r="L192" s="596"/>
      <c r="N192" s="447"/>
      <c r="O192" s="201"/>
      <c r="P192" s="444"/>
      <c r="Q192" s="444"/>
      <c r="R192" s="201"/>
    </row>
    <row r="193" spans="1:18" ht="15.75" customHeight="1">
      <c r="A193" s="611"/>
      <c r="B193" s="614"/>
      <c r="C193" s="202">
        <v>4</v>
      </c>
      <c r="D193" s="595"/>
      <c r="E193" s="606"/>
      <c r="F193" s="596"/>
      <c r="G193" s="202"/>
      <c r="H193" s="204"/>
      <c r="I193" s="205"/>
      <c r="J193" s="202"/>
      <c r="K193" s="595"/>
      <c r="L193" s="596"/>
      <c r="O193" s="201"/>
      <c r="P193" s="444"/>
      <c r="Q193" s="444"/>
      <c r="R193" s="201"/>
    </row>
    <row r="194" spans="1:18" ht="15.75" customHeight="1">
      <c r="A194" s="611"/>
      <c r="B194" s="614"/>
      <c r="C194" s="202">
        <v>5</v>
      </c>
      <c r="D194" s="595"/>
      <c r="E194" s="606"/>
      <c r="F194" s="596"/>
      <c r="G194" s="202"/>
      <c r="H194" s="204"/>
      <c r="I194" s="205"/>
      <c r="J194" s="202"/>
      <c r="K194" s="595"/>
      <c r="L194" s="596"/>
      <c r="N194" s="180"/>
      <c r="O194" s="201"/>
      <c r="P194" s="444"/>
      <c r="Q194" s="444"/>
      <c r="R194" s="201"/>
    </row>
    <row r="195" spans="1:18" ht="15.75" customHeight="1">
      <c r="A195" s="611"/>
      <c r="B195" s="614"/>
      <c r="C195" s="206" t="s">
        <v>207</v>
      </c>
      <c r="D195" s="595"/>
      <c r="E195" s="606"/>
      <c r="F195" s="596"/>
      <c r="G195" s="202"/>
      <c r="H195" s="204"/>
      <c r="I195" s="205"/>
      <c r="J195" s="202"/>
      <c r="K195" s="595"/>
      <c r="L195" s="596"/>
      <c r="N195" s="447"/>
      <c r="O195" s="201"/>
      <c r="P195" s="444"/>
      <c r="Q195" s="444"/>
      <c r="R195" s="201"/>
    </row>
    <row r="196" spans="1:18" ht="15.75" customHeight="1">
      <c r="A196" s="611"/>
      <c r="B196" s="614"/>
      <c r="C196" s="206" t="s">
        <v>212</v>
      </c>
      <c r="D196" s="595"/>
      <c r="E196" s="606"/>
      <c r="F196" s="596"/>
      <c r="G196" s="202"/>
      <c r="H196" s="204"/>
      <c r="I196" s="205"/>
      <c r="J196" s="202"/>
      <c r="K196" s="595"/>
      <c r="L196" s="596"/>
      <c r="O196" s="201"/>
      <c r="P196" s="444"/>
      <c r="Q196" s="444"/>
      <c r="R196" s="201"/>
    </row>
    <row r="197" spans="1:18" ht="15.75" customHeight="1">
      <c r="A197" s="611"/>
      <c r="B197" s="614"/>
      <c r="C197" s="206" t="s">
        <v>208</v>
      </c>
      <c r="D197" s="595"/>
      <c r="E197" s="606"/>
      <c r="F197" s="596"/>
      <c r="G197" s="202"/>
      <c r="H197" s="204"/>
      <c r="I197" s="205"/>
      <c r="J197" s="202"/>
      <c r="K197" s="595"/>
      <c r="L197" s="596"/>
      <c r="O197" s="201"/>
      <c r="P197" s="444"/>
      <c r="Q197" s="444"/>
      <c r="R197" s="201"/>
    </row>
    <row r="198" spans="1:18" ht="15.75" customHeight="1">
      <c r="A198" s="611"/>
      <c r="B198" s="614"/>
      <c r="C198" s="206" t="s">
        <v>213</v>
      </c>
      <c r="D198" s="595"/>
      <c r="E198" s="606"/>
      <c r="F198" s="596"/>
      <c r="G198" s="202"/>
      <c r="H198" s="204"/>
      <c r="I198" s="205"/>
      <c r="J198" s="202"/>
      <c r="K198" s="595"/>
      <c r="L198" s="596"/>
      <c r="M198" s="99"/>
      <c r="O198" s="201"/>
      <c r="P198" s="444"/>
      <c r="Q198" s="444"/>
      <c r="R198" s="201"/>
    </row>
    <row r="199" spans="1:18" ht="15.75" customHeight="1">
      <c r="A199" s="612"/>
      <c r="B199" s="615"/>
      <c r="C199" s="206" t="s">
        <v>214</v>
      </c>
      <c r="D199" s="595"/>
      <c r="E199" s="606"/>
      <c r="F199" s="596"/>
      <c r="G199" s="202"/>
      <c r="H199" s="204"/>
      <c r="I199" s="205"/>
      <c r="J199" s="202"/>
      <c r="K199" s="595"/>
      <c r="L199" s="596"/>
      <c r="M199" s="99"/>
      <c r="N199" s="201"/>
      <c r="O199" s="201"/>
      <c r="P199" s="444"/>
      <c r="Q199" s="444"/>
      <c r="R199" s="201"/>
    </row>
    <row r="200" spans="1:18" s="104" customFormat="1" ht="15.75" customHeight="1">
      <c r="A200" s="607" t="s">
        <v>190</v>
      </c>
      <c r="B200" s="608"/>
      <c r="C200" s="209" t="s">
        <v>47</v>
      </c>
      <c r="D200" s="607" t="s">
        <v>12</v>
      </c>
      <c r="E200" s="609"/>
      <c r="F200" s="608"/>
      <c r="G200" s="209" t="s">
        <v>46</v>
      </c>
      <c r="H200" s="209" t="s">
        <v>394</v>
      </c>
      <c r="I200" s="209" t="s">
        <v>395</v>
      </c>
      <c r="J200" s="162" t="s">
        <v>339</v>
      </c>
      <c r="K200" s="607" t="s">
        <v>51</v>
      </c>
      <c r="L200" s="608"/>
      <c r="M200" s="130"/>
      <c r="N200" s="191"/>
      <c r="O200" s="201"/>
      <c r="P200" s="444"/>
      <c r="Q200" s="444"/>
      <c r="R200" s="201"/>
    </row>
    <row r="201" spans="1:18" ht="15.75" customHeight="1">
      <c r="A201" s="610">
        <v>8</v>
      </c>
      <c r="B201" s="613" t="s">
        <v>399</v>
      </c>
      <c r="C201" s="202">
        <v>1</v>
      </c>
      <c r="D201" s="595" t="s">
        <v>507</v>
      </c>
      <c r="E201" s="606"/>
      <c r="F201" s="596"/>
      <c r="G201" s="202">
        <v>19</v>
      </c>
      <c r="H201" s="204">
        <v>3200.1818956623688</v>
      </c>
      <c r="I201" s="205">
        <v>168.4306260874931</v>
      </c>
      <c r="J201" s="383">
        <f>I201-I175</f>
        <v>5.6688621799736438E-2</v>
      </c>
      <c r="K201" s="598" t="s">
        <v>472</v>
      </c>
      <c r="L201" s="597"/>
      <c r="M201" s="99"/>
      <c r="O201" s="201"/>
      <c r="P201" s="444"/>
      <c r="Q201" s="444"/>
      <c r="R201" s="201"/>
    </row>
    <row r="202" spans="1:18" ht="15.75" customHeight="1">
      <c r="A202" s="611"/>
      <c r="B202" s="614"/>
      <c r="C202" s="202">
        <v>2</v>
      </c>
      <c r="D202" s="595" t="s">
        <v>506</v>
      </c>
      <c r="E202" s="606"/>
      <c r="F202" s="596"/>
      <c r="G202" s="202">
        <v>18</v>
      </c>
      <c r="H202" s="204">
        <v>1605.0645229199206</v>
      </c>
      <c r="I202" s="205">
        <v>89.17025127332893</v>
      </c>
      <c r="J202" s="383">
        <f>I202-I176</f>
        <v>0.16168927084910933</v>
      </c>
      <c r="K202" s="598" t="s">
        <v>472</v>
      </c>
      <c r="L202" s="597"/>
      <c r="M202" s="99"/>
      <c r="O202" s="180"/>
      <c r="P202" s="443"/>
      <c r="Q202" s="443"/>
      <c r="R202" s="180"/>
    </row>
    <row r="203" spans="1:18" ht="15.75" customHeight="1">
      <c r="A203" s="611"/>
      <c r="B203" s="614"/>
      <c r="C203" s="202">
        <v>3</v>
      </c>
      <c r="D203" s="595" t="s">
        <v>500</v>
      </c>
      <c r="E203" s="606"/>
      <c r="F203" s="596"/>
      <c r="G203" s="202">
        <v>19</v>
      </c>
      <c r="H203" s="204">
        <v>1604.3687775200619</v>
      </c>
      <c r="I203" s="205">
        <v>84.440461974740089</v>
      </c>
      <c r="J203" s="383">
        <f>I203-I177</f>
        <v>4.4976108790862668E-2</v>
      </c>
      <c r="K203" s="598" t="s">
        <v>472</v>
      </c>
      <c r="L203" s="597"/>
      <c r="M203" s="99"/>
      <c r="O203" s="201"/>
      <c r="P203" s="444"/>
      <c r="Q203" s="444"/>
      <c r="R203" s="201"/>
    </row>
    <row r="204" spans="1:18" ht="15.75" customHeight="1">
      <c r="A204" s="611"/>
      <c r="B204" s="614"/>
      <c r="C204" s="202">
        <v>4</v>
      </c>
      <c r="D204" s="595"/>
      <c r="E204" s="606"/>
      <c r="F204" s="596"/>
      <c r="G204" s="202"/>
      <c r="H204" s="204"/>
      <c r="I204" s="205"/>
      <c r="J204" s="202"/>
      <c r="K204" s="595"/>
      <c r="L204" s="596"/>
      <c r="M204" s="99"/>
      <c r="O204" s="201"/>
      <c r="P204" s="444"/>
      <c r="Q204" s="444"/>
      <c r="R204" s="201"/>
    </row>
    <row r="205" spans="1:18" ht="15.75" customHeight="1">
      <c r="A205" s="611"/>
      <c r="B205" s="614"/>
      <c r="C205" s="202">
        <v>5</v>
      </c>
      <c r="D205" s="595"/>
      <c r="E205" s="606"/>
      <c r="F205" s="596"/>
      <c r="G205" s="202"/>
      <c r="H205" s="204"/>
      <c r="I205" s="205"/>
      <c r="J205" s="202"/>
      <c r="K205" s="595"/>
      <c r="L205" s="596"/>
      <c r="M205" s="99"/>
      <c r="O205" s="201"/>
      <c r="P205" s="444"/>
      <c r="Q205" s="444"/>
      <c r="R205" s="201"/>
    </row>
    <row r="206" spans="1:18" ht="15.75" customHeight="1">
      <c r="A206" s="611"/>
      <c r="B206" s="614"/>
      <c r="C206" s="206" t="s">
        <v>207</v>
      </c>
      <c r="D206" s="595"/>
      <c r="E206" s="606"/>
      <c r="F206" s="596"/>
      <c r="G206" s="202"/>
      <c r="H206" s="204"/>
      <c r="I206" s="205"/>
      <c r="J206" s="202"/>
      <c r="K206" s="595"/>
      <c r="L206" s="596"/>
      <c r="M206" s="99"/>
      <c r="O206" s="201"/>
      <c r="P206" s="444"/>
      <c r="Q206" s="444"/>
      <c r="R206" s="201"/>
    </row>
    <row r="207" spans="1:18" ht="15.75" customHeight="1">
      <c r="A207" s="611"/>
      <c r="B207" s="614"/>
      <c r="C207" s="206" t="s">
        <v>212</v>
      </c>
      <c r="D207" s="595"/>
      <c r="E207" s="606"/>
      <c r="F207" s="596"/>
      <c r="G207" s="202"/>
      <c r="H207" s="204"/>
      <c r="I207" s="205"/>
      <c r="J207" s="202"/>
      <c r="K207" s="595"/>
      <c r="L207" s="596"/>
      <c r="M207" s="99"/>
      <c r="O207" s="201"/>
      <c r="P207" s="444"/>
      <c r="Q207" s="444"/>
      <c r="R207" s="201"/>
    </row>
    <row r="208" spans="1:18" ht="15.75" customHeight="1">
      <c r="A208" s="611"/>
      <c r="B208" s="614"/>
      <c r="C208" s="206" t="s">
        <v>208</v>
      </c>
      <c r="D208" s="595"/>
      <c r="E208" s="606"/>
      <c r="F208" s="596"/>
      <c r="G208" s="202"/>
      <c r="H208" s="204"/>
      <c r="I208" s="205"/>
      <c r="J208" s="202"/>
      <c r="K208" s="595"/>
      <c r="L208" s="596"/>
      <c r="M208" s="99"/>
      <c r="O208" s="201"/>
      <c r="P208" s="444"/>
      <c r="Q208" s="444"/>
      <c r="R208" s="201"/>
    </row>
    <row r="209" spans="1:18" ht="15.75" customHeight="1">
      <c r="A209" s="611"/>
      <c r="B209" s="614"/>
      <c r="C209" s="206" t="s">
        <v>213</v>
      </c>
      <c r="D209" s="595"/>
      <c r="E209" s="606"/>
      <c r="F209" s="596"/>
      <c r="G209" s="202"/>
      <c r="H209" s="204"/>
      <c r="I209" s="205"/>
      <c r="J209" s="202"/>
      <c r="K209" s="595"/>
      <c r="L209" s="596"/>
      <c r="M209" s="99"/>
      <c r="O209" s="201"/>
      <c r="P209" s="444"/>
      <c r="Q209" s="444"/>
      <c r="R209" s="201"/>
    </row>
    <row r="210" spans="1:18" ht="15.75" customHeight="1">
      <c r="A210" s="612"/>
      <c r="B210" s="615"/>
      <c r="C210" s="206" t="s">
        <v>214</v>
      </c>
      <c r="D210" s="595"/>
      <c r="E210" s="606"/>
      <c r="F210" s="596"/>
      <c r="G210" s="202"/>
      <c r="H210" s="204"/>
      <c r="I210" s="205"/>
      <c r="J210" s="202"/>
      <c r="K210" s="595"/>
      <c r="L210" s="596"/>
      <c r="M210" s="99"/>
      <c r="O210" s="201"/>
      <c r="P210" s="444"/>
      <c r="Q210" s="444"/>
      <c r="R210" s="201"/>
    </row>
    <row r="211" spans="1:18" ht="15.75" customHeight="1">
      <c r="A211" s="603" t="s">
        <v>620</v>
      </c>
      <c r="B211" s="603"/>
      <c r="C211" s="603"/>
      <c r="D211" s="603"/>
      <c r="E211" s="603"/>
      <c r="F211" s="603"/>
      <c r="G211" s="603"/>
      <c r="H211" s="603"/>
      <c r="I211" s="603"/>
      <c r="J211" s="603"/>
      <c r="K211" s="603"/>
      <c r="L211" s="603"/>
      <c r="M211" s="99"/>
    </row>
    <row r="212" spans="1:18" s="100" customFormat="1" ht="15.75" customHeight="1">
      <c r="A212" s="603"/>
      <c r="B212" s="603"/>
      <c r="C212" s="603"/>
      <c r="D212" s="603"/>
      <c r="E212" s="603"/>
      <c r="F212" s="603"/>
      <c r="G212" s="603"/>
      <c r="H212" s="603"/>
      <c r="I212" s="603"/>
      <c r="J212" s="603"/>
      <c r="K212" s="603"/>
      <c r="L212" s="603"/>
      <c r="N212" s="192"/>
      <c r="O212" s="192"/>
      <c r="P212" s="192"/>
      <c r="Q212" s="192"/>
      <c r="R212" s="192"/>
    </row>
    <row r="213" spans="1:18" s="106" customFormat="1" ht="16.350000000000001" customHeight="1">
      <c r="A213" s="610" t="s">
        <v>164</v>
      </c>
      <c r="B213" s="172">
        <v>1</v>
      </c>
      <c r="C213" s="172">
        <v>2</v>
      </c>
      <c r="D213" s="172">
        <v>3</v>
      </c>
      <c r="E213" s="172">
        <v>4</v>
      </c>
      <c r="F213" s="172">
        <v>5</v>
      </c>
      <c r="G213" s="172">
        <v>6</v>
      </c>
      <c r="H213" s="193">
        <v>7</v>
      </c>
      <c r="I213" s="193">
        <v>8</v>
      </c>
      <c r="J213" s="172">
        <v>9</v>
      </c>
      <c r="K213" s="194"/>
      <c r="L213" s="194"/>
      <c r="M213" s="129"/>
      <c r="N213" s="180"/>
      <c r="O213" s="180"/>
      <c r="P213" s="180"/>
      <c r="Q213" s="180"/>
      <c r="R213" s="180"/>
    </row>
    <row r="214" spans="1:18" ht="16.350000000000001" customHeight="1">
      <c r="A214" s="612"/>
      <c r="B214" s="197" t="s">
        <v>209</v>
      </c>
      <c r="C214" s="197" t="s">
        <v>157</v>
      </c>
      <c r="D214" s="197" t="s">
        <v>210</v>
      </c>
      <c r="E214" s="197" t="s">
        <v>158</v>
      </c>
      <c r="F214" s="197" t="s">
        <v>139</v>
      </c>
      <c r="G214" s="198" t="s">
        <v>137</v>
      </c>
      <c r="H214" s="196" t="s">
        <v>211</v>
      </c>
      <c r="I214" s="211" t="s">
        <v>393</v>
      </c>
      <c r="J214" s="198" t="s">
        <v>143</v>
      </c>
      <c r="K214" s="200"/>
      <c r="L214" s="200"/>
      <c r="N214" s="201"/>
      <c r="O214" s="201"/>
      <c r="P214" s="201"/>
      <c r="Q214" s="201"/>
      <c r="R214" s="201"/>
    </row>
    <row r="215" spans="1:18" s="106" customFormat="1" ht="15.75" customHeight="1">
      <c r="A215" s="616" t="s">
        <v>190</v>
      </c>
      <c r="B215" s="617"/>
      <c r="C215" s="162" t="s">
        <v>47</v>
      </c>
      <c r="D215" s="616" t="s">
        <v>12</v>
      </c>
      <c r="E215" s="618"/>
      <c r="F215" s="617"/>
      <c r="G215" s="162" t="s">
        <v>46</v>
      </c>
      <c r="H215" s="162" t="s">
        <v>394</v>
      </c>
      <c r="I215" s="162" t="s">
        <v>395</v>
      </c>
      <c r="J215" s="162" t="s">
        <v>339</v>
      </c>
      <c r="K215" s="616" t="s">
        <v>51</v>
      </c>
      <c r="L215" s="617"/>
      <c r="M215" s="129"/>
      <c r="N215" s="191"/>
      <c r="O215" s="201"/>
      <c r="P215" s="444"/>
      <c r="Q215" s="444"/>
      <c r="R215" s="201"/>
    </row>
    <row r="216" spans="1:18" ht="15.75" customHeight="1">
      <c r="A216" s="610">
        <v>7</v>
      </c>
      <c r="B216" s="613" t="s">
        <v>398</v>
      </c>
      <c r="C216" s="202">
        <v>1</v>
      </c>
      <c r="D216" s="619" t="s">
        <v>619</v>
      </c>
      <c r="E216" s="597"/>
      <c r="F216" s="597"/>
      <c r="G216" s="202">
        <v>22</v>
      </c>
      <c r="H216" s="204">
        <v>1599.9424157774472</v>
      </c>
      <c r="I216" s="205">
        <v>72.724655262611222</v>
      </c>
      <c r="J216" s="383">
        <f>I216-I191</f>
        <v>5.2154214796473752E-2</v>
      </c>
      <c r="K216" s="598" t="s">
        <v>472</v>
      </c>
      <c r="L216" s="597"/>
      <c r="O216" s="201"/>
      <c r="P216" s="444"/>
      <c r="Q216" s="444"/>
      <c r="R216" s="201"/>
    </row>
    <row r="217" spans="1:18" ht="15.75" customHeight="1">
      <c r="A217" s="611"/>
      <c r="B217" s="614"/>
      <c r="C217" s="202">
        <v>2</v>
      </c>
      <c r="D217" s="619"/>
      <c r="E217" s="597"/>
      <c r="F217" s="597"/>
      <c r="G217" s="202"/>
      <c r="H217" s="204"/>
      <c r="I217" s="205"/>
      <c r="J217" s="202"/>
      <c r="K217" s="595"/>
      <c r="L217" s="596"/>
      <c r="N217" s="447"/>
      <c r="O217" s="201"/>
      <c r="P217" s="444"/>
      <c r="Q217" s="444"/>
      <c r="R217" s="201"/>
    </row>
    <row r="218" spans="1:18" ht="15.75" customHeight="1">
      <c r="A218" s="611"/>
      <c r="B218" s="614"/>
      <c r="C218" s="202">
        <v>3</v>
      </c>
      <c r="D218" s="595"/>
      <c r="E218" s="606"/>
      <c r="F218" s="596"/>
      <c r="G218" s="202"/>
      <c r="H218" s="204"/>
      <c r="I218" s="205"/>
      <c r="J218" s="202"/>
      <c r="K218" s="595"/>
      <c r="L218" s="596"/>
      <c r="N218" s="447"/>
      <c r="O218" s="201"/>
      <c r="P218" s="444"/>
      <c r="Q218" s="444"/>
      <c r="R218" s="201"/>
    </row>
    <row r="219" spans="1:18" ht="15.75" customHeight="1">
      <c r="A219" s="611"/>
      <c r="B219" s="614"/>
      <c r="C219" s="202">
        <v>4</v>
      </c>
      <c r="D219" s="595"/>
      <c r="E219" s="606"/>
      <c r="F219" s="596"/>
      <c r="G219" s="202"/>
      <c r="H219" s="204"/>
      <c r="I219" s="205"/>
      <c r="J219" s="202"/>
      <c r="K219" s="595"/>
      <c r="L219" s="596"/>
      <c r="O219" s="201"/>
      <c r="P219" s="444"/>
      <c r="Q219" s="444"/>
      <c r="R219" s="201"/>
    </row>
    <row r="220" spans="1:18" ht="15.75" customHeight="1">
      <c r="A220" s="611"/>
      <c r="B220" s="614"/>
      <c r="C220" s="202">
        <v>5</v>
      </c>
      <c r="D220" s="595"/>
      <c r="E220" s="606"/>
      <c r="F220" s="596"/>
      <c r="G220" s="202"/>
      <c r="H220" s="204"/>
      <c r="I220" s="205"/>
      <c r="J220" s="202"/>
      <c r="K220" s="595"/>
      <c r="L220" s="596"/>
      <c r="N220" s="180"/>
      <c r="O220" s="201"/>
      <c r="P220" s="444"/>
      <c r="Q220" s="444"/>
      <c r="R220" s="201"/>
    </row>
    <row r="221" spans="1:18" ht="15.75" customHeight="1">
      <c r="A221" s="611"/>
      <c r="B221" s="614"/>
      <c r="C221" s="206" t="s">
        <v>207</v>
      </c>
      <c r="D221" s="595"/>
      <c r="E221" s="606"/>
      <c r="F221" s="596"/>
      <c r="G221" s="202"/>
      <c r="H221" s="204"/>
      <c r="I221" s="205"/>
      <c r="J221" s="202"/>
      <c r="K221" s="595"/>
      <c r="L221" s="596"/>
      <c r="N221" s="447"/>
      <c r="O221" s="201"/>
      <c r="P221" s="444"/>
      <c r="Q221" s="444"/>
      <c r="R221" s="201"/>
    </row>
    <row r="222" spans="1:18" ht="15.75" customHeight="1">
      <c r="A222" s="611"/>
      <c r="B222" s="614"/>
      <c r="C222" s="206" t="s">
        <v>212</v>
      </c>
      <c r="D222" s="595"/>
      <c r="E222" s="606"/>
      <c r="F222" s="596"/>
      <c r="G222" s="202"/>
      <c r="H222" s="204"/>
      <c r="I222" s="205"/>
      <c r="J222" s="202"/>
      <c r="K222" s="595"/>
      <c r="L222" s="596"/>
      <c r="O222" s="201"/>
      <c r="P222" s="444"/>
      <c r="Q222" s="444"/>
      <c r="R222" s="201"/>
    </row>
    <row r="223" spans="1:18" ht="15.75" customHeight="1">
      <c r="A223" s="611"/>
      <c r="B223" s="614"/>
      <c r="C223" s="206" t="s">
        <v>208</v>
      </c>
      <c r="D223" s="595"/>
      <c r="E223" s="606"/>
      <c r="F223" s="596"/>
      <c r="G223" s="202"/>
      <c r="H223" s="204"/>
      <c r="I223" s="205"/>
      <c r="J223" s="202"/>
      <c r="K223" s="595"/>
      <c r="L223" s="596"/>
      <c r="O223" s="201"/>
      <c r="P223" s="444"/>
      <c r="Q223" s="444"/>
      <c r="R223" s="201"/>
    </row>
    <row r="224" spans="1:18" ht="15.75" customHeight="1">
      <c r="A224" s="611"/>
      <c r="B224" s="614"/>
      <c r="C224" s="206" t="s">
        <v>213</v>
      </c>
      <c r="D224" s="595"/>
      <c r="E224" s="606"/>
      <c r="F224" s="596"/>
      <c r="G224" s="202"/>
      <c r="H224" s="204"/>
      <c r="I224" s="205"/>
      <c r="J224" s="202"/>
      <c r="K224" s="595"/>
      <c r="L224" s="596"/>
      <c r="M224" s="99"/>
      <c r="O224" s="201"/>
      <c r="P224" s="444"/>
      <c r="Q224" s="444"/>
      <c r="R224" s="201"/>
    </row>
    <row r="225" spans="1:18" ht="15.75" customHeight="1">
      <c r="A225" s="612"/>
      <c r="B225" s="615"/>
      <c r="C225" s="206" t="s">
        <v>214</v>
      </c>
      <c r="D225" s="595"/>
      <c r="E225" s="606"/>
      <c r="F225" s="596"/>
      <c r="G225" s="202"/>
      <c r="H225" s="204"/>
      <c r="I225" s="205"/>
      <c r="J225" s="202"/>
      <c r="K225" s="595"/>
      <c r="L225" s="596"/>
      <c r="M225" s="99"/>
      <c r="N225" s="201"/>
      <c r="O225" s="201"/>
      <c r="P225" s="444"/>
      <c r="Q225" s="444"/>
      <c r="R225" s="201"/>
    </row>
    <row r="226" spans="1:18" s="104" customFormat="1" ht="15.75" customHeight="1">
      <c r="A226" s="607" t="s">
        <v>190</v>
      </c>
      <c r="B226" s="608"/>
      <c r="C226" s="209" t="s">
        <v>47</v>
      </c>
      <c r="D226" s="607" t="s">
        <v>12</v>
      </c>
      <c r="E226" s="609"/>
      <c r="F226" s="608"/>
      <c r="G226" s="209" t="s">
        <v>46</v>
      </c>
      <c r="H226" s="209" t="s">
        <v>394</v>
      </c>
      <c r="I226" s="209" t="s">
        <v>395</v>
      </c>
      <c r="J226" s="162" t="s">
        <v>339</v>
      </c>
      <c r="K226" s="607" t="s">
        <v>51</v>
      </c>
      <c r="L226" s="608"/>
      <c r="M226" s="130"/>
      <c r="N226" s="191"/>
      <c r="O226" s="201"/>
      <c r="P226" s="444"/>
      <c r="Q226" s="444"/>
      <c r="R226" s="201"/>
    </row>
    <row r="227" spans="1:18" ht="15.75" customHeight="1">
      <c r="A227" s="610">
        <v>8</v>
      </c>
      <c r="B227" s="613" t="s">
        <v>399</v>
      </c>
      <c r="C227" s="202">
        <v>1</v>
      </c>
      <c r="D227" s="595" t="s">
        <v>507</v>
      </c>
      <c r="E227" s="606"/>
      <c r="F227" s="596"/>
      <c r="G227" s="202">
        <v>19</v>
      </c>
      <c r="H227" s="204">
        <v>3201.6029523646748</v>
      </c>
      <c r="I227" s="205">
        <v>168.5054185455092</v>
      </c>
      <c r="J227" s="383">
        <f>I227-I201</f>
        <v>7.4792458016105456E-2</v>
      </c>
      <c r="K227" s="598" t="s">
        <v>472</v>
      </c>
      <c r="L227" s="597"/>
      <c r="M227" s="99"/>
      <c r="O227" s="201"/>
      <c r="P227" s="444"/>
      <c r="Q227" s="444"/>
      <c r="R227" s="201"/>
    </row>
    <row r="228" spans="1:18" ht="15.75" customHeight="1">
      <c r="A228" s="611"/>
      <c r="B228" s="614"/>
      <c r="C228" s="202">
        <v>2</v>
      </c>
      <c r="D228" s="595" t="s">
        <v>506</v>
      </c>
      <c r="E228" s="606"/>
      <c r="F228" s="596"/>
      <c r="G228" s="202">
        <v>18</v>
      </c>
      <c r="H228" s="204">
        <v>1605.9607358626006</v>
      </c>
      <c r="I228" s="205">
        <v>89.220040881255599</v>
      </c>
      <c r="J228" s="383">
        <f>I228-I202</f>
        <v>4.9789607926669532E-2</v>
      </c>
      <c r="K228" s="598" t="s">
        <v>472</v>
      </c>
      <c r="L228" s="597"/>
      <c r="M228" s="99"/>
      <c r="O228" s="180"/>
      <c r="P228" s="443"/>
      <c r="Q228" s="443"/>
      <c r="R228" s="180"/>
    </row>
    <row r="229" spans="1:18" ht="15.75" customHeight="1">
      <c r="A229" s="611"/>
      <c r="B229" s="614"/>
      <c r="C229" s="202">
        <v>3</v>
      </c>
      <c r="D229" s="595" t="s">
        <v>500</v>
      </c>
      <c r="E229" s="606"/>
      <c r="F229" s="596"/>
      <c r="G229" s="202">
        <v>19</v>
      </c>
      <c r="H229" s="204">
        <v>1605.5246758602807</v>
      </c>
      <c r="I229" s="205">
        <v>84.501298729488454</v>
      </c>
      <c r="J229" s="383">
        <f>I229-I203</f>
        <v>6.0836754748365252E-2</v>
      </c>
      <c r="K229" s="598" t="s">
        <v>472</v>
      </c>
      <c r="L229" s="597"/>
      <c r="M229" s="99"/>
      <c r="O229" s="201"/>
      <c r="P229" s="444"/>
      <c r="Q229" s="444"/>
      <c r="R229" s="201"/>
    </row>
    <row r="230" spans="1:18" ht="15.75" customHeight="1">
      <c r="A230" s="611"/>
      <c r="B230" s="614"/>
      <c r="C230" s="202">
        <v>4</v>
      </c>
      <c r="D230" s="595" t="s">
        <v>618</v>
      </c>
      <c r="E230" s="606"/>
      <c r="F230" s="596"/>
      <c r="G230" s="202">
        <v>19</v>
      </c>
      <c r="H230" s="204">
        <v>1540.358131139538</v>
      </c>
      <c r="I230" s="205">
        <v>81.0714805862915</v>
      </c>
      <c r="J230" s="202"/>
      <c r="K230" s="620" t="s">
        <v>630</v>
      </c>
      <c r="L230" s="596"/>
      <c r="M230" s="99"/>
      <c r="O230" s="201"/>
      <c r="P230" s="444"/>
      <c r="Q230" s="444"/>
      <c r="R230" s="201"/>
    </row>
    <row r="231" spans="1:18" ht="15.75" customHeight="1">
      <c r="A231" s="611"/>
      <c r="B231" s="614"/>
      <c r="C231" s="202">
        <v>5</v>
      </c>
      <c r="D231" s="595"/>
      <c r="E231" s="606"/>
      <c r="F231" s="596"/>
      <c r="G231" s="202"/>
      <c r="H231" s="204"/>
      <c r="I231" s="205"/>
      <c r="J231" s="202"/>
      <c r="K231" s="595"/>
      <c r="L231" s="596"/>
      <c r="M231" s="99"/>
      <c r="O231" s="201"/>
      <c r="P231" s="444"/>
      <c r="Q231" s="444"/>
      <c r="R231" s="201"/>
    </row>
    <row r="232" spans="1:18" ht="15.75" customHeight="1">
      <c r="A232" s="611"/>
      <c r="B232" s="614"/>
      <c r="C232" s="206" t="s">
        <v>207</v>
      </c>
      <c r="D232" s="595"/>
      <c r="E232" s="606"/>
      <c r="F232" s="596"/>
      <c r="G232" s="202"/>
      <c r="H232" s="204"/>
      <c r="I232" s="205"/>
      <c r="J232" s="202"/>
      <c r="K232" s="595"/>
      <c r="L232" s="596"/>
      <c r="M232" s="99"/>
      <c r="O232" s="201"/>
      <c r="P232" s="444"/>
      <c r="Q232" s="444"/>
      <c r="R232" s="201"/>
    </row>
    <row r="233" spans="1:18" ht="15.75" customHeight="1">
      <c r="A233" s="611"/>
      <c r="B233" s="614"/>
      <c r="C233" s="206" t="s">
        <v>212</v>
      </c>
      <c r="D233" s="595"/>
      <c r="E233" s="606"/>
      <c r="F233" s="596"/>
      <c r="G233" s="202"/>
      <c r="H233" s="204"/>
      <c r="I233" s="205"/>
      <c r="J233" s="202"/>
      <c r="K233" s="595"/>
      <c r="L233" s="596"/>
      <c r="M233" s="99"/>
      <c r="O233" s="201"/>
      <c r="P233" s="444"/>
      <c r="Q233" s="444"/>
      <c r="R233" s="201"/>
    </row>
    <row r="234" spans="1:18" ht="15.75" customHeight="1">
      <c r="A234" s="611"/>
      <c r="B234" s="614"/>
      <c r="C234" s="206" t="s">
        <v>208</v>
      </c>
      <c r="D234" s="595"/>
      <c r="E234" s="606"/>
      <c r="F234" s="596"/>
      <c r="G234" s="202"/>
      <c r="H234" s="204"/>
      <c r="I234" s="205"/>
      <c r="J234" s="202"/>
      <c r="K234" s="595"/>
      <c r="L234" s="596"/>
      <c r="M234" s="99"/>
      <c r="O234" s="201"/>
      <c r="P234" s="444"/>
      <c r="Q234" s="444"/>
      <c r="R234" s="201"/>
    </row>
    <row r="235" spans="1:18" ht="15.75" customHeight="1">
      <c r="A235" s="611"/>
      <c r="B235" s="614"/>
      <c r="C235" s="206" t="s">
        <v>213</v>
      </c>
      <c r="D235" s="595"/>
      <c r="E235" s="606"/>
      <c r="F235" s="596"/>
      <c r="G235" s="202"/>
      <c r="H235" s="204"/>
      <c r="I235" s="205"/>
      <c r="J235" s="202"/>
      <c r="K235" s="595"/>
      <c r="L235" s="596"/>
      <c r="M235" s="99"/>
      <c r="O235" s="201"/>
      <c r="P235" s="444"/>
      <c r="Q235" s="444"/>
      <c r="R235" s="201"/>
    </row>
    <row r="236" spans="1:18" ht="15.75" customHeight="1">
      <c r="A236" s="612"/>
      <c r="B236" s="615"/>
      <c r="C236" s="206" t="s">
        <v>214</v>
      </c>
      <c r="D236" s="595"/>
      <c r="E236" s="606"/>
      <c r="F236" s="596"/>
      <c r="G236" s="202"/>
      <c r="H236" s="204"/>
      <c r="I236" s="205"/>
      <c r="J236" s="202"/>
      <c r="K236" s="595"/>
      <c r="L236" s="596"/>
      <c r="M236" s="99"/>
      <c r="O236" s="201"/>
      <c r="P236" s="444"/>
      <c r="Q236" s="444"/>
      <c r="R236" s="201"/>
    </row>
    <row r="237" spans="1:18" s="191" customFormat="1" ht="15.75" customHeight="1">
      <c r="A237" s="603" t="s">
        <v>651</v>
      </c>
      <c r="B237" s="603"/>
      <c r="C237" s="603"/>
      <c r="D237" s="603"/>
      <c r="E237" s="603"/>
      <c r="F237" s="603"/>
      <c r="G237" s="603"/>
      <c r="H237" s="603"/>
      <c r="I237" s="603"/>
      <c r="J237" s="603"/>
      <c r="K237" s="603"/>
      <c r="L237" s="603"/>
    </row>
    <row r="238" spans="1:18" s="192" customFormat="1" ht="15.75" customHeight="1">
      <c r="A238" s="603"/>
      <c r="B238" s="603"/>
      <c r="C238" s="603"/>
      <c r="D238" s="603"/>
      <c r="E238" s="603"/>
      <c r="F238" s="603"/>
      <c r="G238" s="603"/>
      <c r="H238" s="603"/>
      <c r="I238" s="603"/>
      <c r="J238" s="603"/>
      <c r="K238" s="603"/>
      <c r="L238" s="603"/>
    </row>
    <row r="239" spans="1:18" s="106" customFormat="1" ht="16.350000000000001" customHeight="1">
      <c r="A239" s="610" t="s">
        <v>164</v>
      </c>
      <c r="B239" s="172">
        <v>1</v>
      </c>
      <c r="C239" s="172">
        <v>2</v>
      </c>
      <c r="D239" s="172">
        <v>3</v>
      </c>
      <c r="E239" s="172">
        <v>4</v>
      </c>
      <c r="F239" s="172">
        <v>5</v>
      </c>
      <c r="G239" s="172">
        <v>6</v>
      </c>
      <c r="H239" s="193">
        <v>7</v>
      </c>
      <c r="I239" s="193">
        <v>8</v>
      </c>
      <c r="J239" s="172">
        <v>9</v>
      </c>
      <c r="K239" s="194"/>
      <c r="L239" s="194"/>
      <c r="M239" s="129"/>
      <c r="N239" s="180"/>
      <c r="O239" s="180"/>
      <c r="P239" s="180"/>
      <c r="Q239" s="180"/>
      <c r="R239" s="180"/>
    </row>
    <row r="240" spans="1:18" ht="16.350000000000001" customHeight="1">
      <c r="A240" s="612"/>
      <c r="B240" s="197" t="s">
        <v>209</v>
      </c>
      <c r="C240" s="197" t="s">
        <v>157</v>
      </c>
      <c r="D240" s="197" t="s">
        <v>210</v>
      </c>
      <c r="E240" s="197" t="s">
        <v>158</v>
      </c>
      <c r="F240" s="197" t="s">
        <v>139</v>
      </c>
      <c r="G240" s="198" t="s">
        <v>137</v>
      </c>
      <c r="H240" s="196" t="s">
        <v>211</v>
      </c>
      <c r="I240" s="211" t="s">
        <v>393</v>
      </c>
      <c r="J240" s="198" t="s">
        <v>143</v>
      </c>
      <c r="K240" s="200"/>
      <c r="L240" s="200"/>
      <c r="N240" s="201"/>
      <c r="O240" s="201"/>
      <c r="P240" s="201"/>
      <c r="Q240" s="201"/>
      <c r="R240" s="201"/>
    </row>
    <row r="241" spans="1:18" s="106" customFormat="1" ht="15.75" customHeight="1">
      <c r="A241" s="616" t="s">
        <v>190</v>
      </c>
      <c r="B241" s="617"/>
      <c r="C241" s="162" t="s">
        <v>47</v>
      </c>
      <c r="D241" s="616" t="s">
        <v>12</v>
      </c>
      <c r="E241" s="618"/>
      <c r="F241" s="617"/>
      <c r="G241" s="162" t="s">
        <v>46</v>
      </c>
      <c r="H241" s="162" t="s">
        <v>394</v>
      </c>
      <c r="I241" s="162" t="s">
        <v>395</v>
      </c>
      <c r="J241" s="162" t="s">
        <v>339</v>
      </c>
      <c r="K241" s="616" t="s">
        <v>51</v>
      </c>
      <c r="L241" s="617"/>
      <c r="M241" s="129"/>
      <c r="N241" s="191"/>
      <c r="O241" s="201"/>
      <c r="P241" s="444"/>
      <c r="Q241" s="444"/>
      <c r="R241" s="201"/>
    </row>
    <row r="242" spans="1:18" ht="15.75" customHeight="1">
      <c r="A242" s="610">
        <v>7</v>
      </c>
      <c r="B242" s="613" t="s">
        <v>398</v>
      </c>
      <c r="C242" s="202">
        <v>1</v>
      </c>
      <c r="D242" s="619" t="s">
        <v>487</v>
      </c>
      <c r="E242" s="597"/>
      <c r="F242" s="597"/>
      <c r="G242" s="202">
        <v>22</v>
      </c>
      <c r="H242" s="204">
        <v>1604.0565389421931</v>
      </c>
      <c r="I242" s="205">
        <v>72.911660861008784</v>
      </c>
      <c r="J242" s="383">
        <f>I242-I216</f>
        <v>0.18700559839756181</v>
      </c>
      <c r="K242" s="598" t="s">
        <v>472</v>
      </c>
      <c r="L242" s="597"/>
      <c r="O242" s="201"/>
      <c r="P242" s="444"/>
      <c r="Q242" s="444"/>
      <c r="R242" s="201"/>
    </row>
    <row r="243" spans="1:18" ht="15.75" customHeight="1">
      <c r="A243" s="611"/>
      <c r="B243" s="614"/>
      <c r="C243" s="202">
        <v>2</v>
      </c>
      <c r="D243" s="619"/>
      <c r="E243" s="597"/>
      <c r="F243" s="597"/>
      <c r="G243" s="202"/>
      <c r="H243" s="204"/>
      <c r="I243" s="205"/>
      <c r="J243" s="202"/>
      <c r="K243" s="595"/>
      <c r="L243" s="596"/>
      <c r="O243" s="201"/>
      <c r="P243" s="444"/>
      <c r="Q243" s="444"/>
      <c r="R243" s="201"/>
    </row>
    <row r="244" spans="1:18" ht="15.75" customHeight="1">
      <c r="A244" s="611"/>
      <c r="B244" s="614"/>
      <c r="C244" s="202">
        <v>3</v>
      </c>
      <c r="D244" s="595"/>
      <c r="E244" s="606"/>
      <c r="F244" s="596"/>
      <c r="G244" s="202"/>
      <c r="H244" s="204"/>
      <c r="I244" s="205"/>
      <c r="J244" s="202"/>
      <c r="K244" s="595"/>
      <c r="L244" s="596"/>
      <c r="N244" s="447"/>
      <c r="O244" s="201"/>
      <c r="P244" s="444"/>
      <c r="Q244" s="444"/>
      <c r="R244" s="201"/>
    </row>
    <row r="245" spans="1:18" ht="15.75" customHeight="1">
      <c r="A245" s="611"/>
      <c r="B245" s="614"/>
      <c r="C245" s="202">
        <v>4</v>
      </c>
      <c r="D245" s="595"/>
      <c r="E245" s="606"/>
      <c r="F245" s="596"/>
      <c r="G245" s="202"/>
      <c r="H245" s="204"/>
      <c r="I245" s="205"/>
      <c r="J245" s="202"/>
      <c r="K245" s="595"/>
      <c r="L245" s="596"/>
      <c r="O245" s="201"/>
      <c r="P245" s="444"/>
      <c r="Q245" s="444"/>
      <c r="R245" s="201"/>
    </row>
    <row r="246" spans="1:18" ht="15.75" customHeight="1">
      <c r="A246" s="611"/>
      <c r="B246" s="614"/>
      <c r="C246" s="202">
        <v>5</v>
      </c>
      <c r="D246" s="595"/>
      <c r="E246" s="606"/>
      <c r="F246" s="596"/>
      <c r="G246" s="202"/>
      <c r="H246" s="204"/>
      <c r="I246" s="205"/>
      <c r="J246" s="202"/>
      <c r="K246" s="595"/>
      <c r="L246" s="596"/>
      <c r="N246" s="180"/>
      <c r="O246" s="201"/>
      <c r="P246" s="444"/>
      <c r="Q246" s="444"/>
      <c r="R246" s="201"/>
    </row>
    <row r="247" spans="1:18" ht="15.75" customHeight="1">
      <c r="A247" s="611"/>
      <c r="B247" s="614"/>
      <c r="C247" s="206" t="s">
        <v>207</v>
      </c>
      <c r="D247" s="595"/>
      <c r="E247" s="606"/>
      <c r="F247" s="596"/>
      <c r="G247" s="202"/>
      <c r="H247" s="204"/>
      <c r="I247" s="205"/>
      <c r="J247" s="202"/>
      <c r="K247" s="595"/>
      <c r="L247" s="596"/>
      <c r="N247" s="447"/>
      <c r="O247" s="201"/>
      <c r="P247" s="444"/>
      <c r="Q247" s="444"/>
      <c r="R247" s="201"/>
    </row>
    <row r="248" spans="1:18" ht="15.75" customHeight="1">
      <c r="A248" s="611"/>
      <c r="B248" s="614"/>
      <c r="C248" s="206" t="s">
        <v>212</v>
      </c>
      <c r="D248" s="595"/>
      <c r="E248" s="606"/>
      <c r="F248" s="596"/>
      <c r="G248" s="202"/>
      <c r="H248" s="204"/>
      <c r="I248" s="205"/>
      <c r="J248" s="202"/>
      <c r="K248" s="595"/>
      <c r="L248" s="596"/>
      <c r="O248" s="201"/>
      <c r="P248" s="444"/>
      <c r="Q248" s="444"/>
      <c r="R248" s="201"/>
    </row>
    <row r="249" spans="1:18" ht="15.75" customHeight="1">
      <c r="A249" s="611"/>
      <c r="B249" s="614"/>
      <c r="C249" s="206" t="s">
        <v>208</v>
      </c>
      <c r="D249" s="595"/>
      <c r="E249" s="606"/>
      <c r="F249" s="596"/>
      <c r="G249" s="202"/>
      <c r="H249" s="204"/>
      <c r="I249" s="205"/>
      <c r="J249" s="202"/>
      <c r="K249" s="595"/>
      <c r="L249" s="596"/>
      <c r="O249" s="201"/>
      <c r="P249" s="444"/>
      <c r="Q249" s="444"/>
      <c r="R249" s="201"/>
    </row>
    <row r="250" spans="1:18" ht="15.75" customHeight="1">
      <c r="A250" s="611"/>
      <c r="B250" s="614"/>
      <c r="C250" s="206" t="s">
        <v>213</v>
      </c>
      <c r="D250" s="595"/>
      <c r="E250" s="606"/>
      <c r="F250" s="596"/>
      <c r="G250" s="202"/>
      <c r="H250" s="204"/>
      <c r="I250" s="205"/>
      <c r="J250" s="202"/>
      <c r="K250" s="595"/>
      <c r="L250" s="596"/>
      <c r="M250" s="99"/>
      <c r="O250" s="201"/>
      <c r="P250" s="444"/>
      <c r="Q250" s="444"/>
      <c r="R250" s="201"/>
    </row>
    <row r="251" spans="1:18" ht="15.75" customHeight="1">
      <c r="A251" s="612"/>
      <c r="B251" s="615"/>
      <c r="C251" s="206" t="s">
        <v>214</v>
      </c>
      <c r="D251" s="595"/>
      <c r="E251" s="606"/>
      <c r="F251" s="596"/>
      <c r="G251" s="202"/>
      <c r="H251" s="204"/>
      <c r="I251" s="205"/>
      <c r="J251" s="202"/>
      <c r="K251" s="595"/>
      <c r="L251" s="596"/>
      <c r="M251" s="99"/>
      <c r="N251" s="201"/>
      <c r="O251" s="201"/>
      <c r="P251" s="444"/>
      <c r="Q251" s="444"/>
      <c r="R251" s="201"/>
    </row>
    <row r="252" spans="1:18" s="104" customFormat="1" ht="15.75" customHeight="1">
      <c r="A252" s="607" t="s">
        <v>190</v>
      </c>
      <c r="B252" s="608"/>
      <c r="C252" s="209" t="s">
        <v>47</v>
      </c>
      <c r="D252" s="607" t="s">
        <v>12</v>
      </c>
      <c r="E252" s="609"/>
      <c r="F252" s="608"/>
      <c r="G252" s="209" t="s">
        <v>46</v>
      </c>
      <c r="H252" s="209" t="s">
        <v>394</v>
      </c>
      <c r="I252" s="209" t="s">
        <v>395</v>
      </c>
      <c r="J252" s="162" t="s">
        <v>339</v>
      </c>
      <c r="K252" s="607" t="s">
        <v>51</v>
      </c>
      <c r="L252" s="608"/>
      <c r="M252" s="130"/>
      <c r="N252" s="191"/>
      <c r="O252" s="201"/>
      <c r="P252" s="444"/>
      <c r="Q252" s="444"/>
      <c r="R252" s="201"/>
    </row>
    <row r="253" spans="1:18" ht="15.75" customHeight="1">
      <c r="A253" s="610">
        <v>8</v>
      </c>
      <c r="B253" s="613" t="s">
        <v>399</v>
      </c>
      <c r="C253" s="202">
        <v>1</v>
      </c>
      <c r="D253" s="595" t="s">
        <v>507</v>
      </c>
      <c r="E253" s="606"/>
      <c r="F253" s="596"/>
      <c r="G253" s="202">
        <v>19</v>
      </c>
      <c r="H253" s="204">
        <v>3206.5855184275833</v>
      </c>
      <c r="I253" s="205">
        <v>168.76765886460967</v>
      </c>
      <c r="J253" s="383">
        <f>I253-I227</f>
        <v>0.26224031910047074</v>
      </c>
      <c r="K253" s="598" t="s">
        <v>472</v>
      </c>
      <c r="L253" s="597"/>
      <c r="M253" s="99"/>
      <c r="O253" s="201"/>
      <c r="P253" s="444"/>
      <c r="Q253" s="444"/>
      <c r="R253" s="201"/>
    </row>
    <row r="254" spans="1:18" ht="15.75" customHeight="1">
      <c r="A254" s="611"/>
      <c r="B254" s="614"/>
      <c r="C254" s="202">
        <v>2</v>
      </c>
      <c r="D254" s="595" t="s">
        <v>506</v>
      </c>
      <c r="E254" s="606"/>
      <c r="F254" s="596"/>
      <c r="G254" s="202">
        <v>18</v>
      </c>
      <c r="H254" s="204">
        <v>1605.2765123130234</v>
      </c>
      <c r="I254" s="205">
        <v>89.182028461834634</v>
      </c>
      <c r="J254" s="383">
        <f>I254-I228</f>
        <v>-3.8012419420965671E-2</v>
      </c>
      <c r="K254" s="598" t="s">
        <v>472</v>
      </c>
      <c r="L254" s="597"/>
      <c r="M254" s="99"/>
      <c r="O254" s="180"/>
      <c r="P254" s="443"/>
      <c r="Q254" s="443"/>
      <c r="R254" s="180"/>
    </row>
    <row r="255" spans="1:18" ht="15.75" customHeight="1">
      <c r="A255" s="611"/>
      <c r="B255" s="614"/>
      <c r="C255" s="202">
        <v>3</v>
      </c>
      <c r="D255" s="595" t="s">
        <v>500</v>
      </c>
      <c r="E255" s="606"/>
      <c r="F255" s="596"/>
      <c r="G255" s="202">
        <v>19</v>
      </c>
      <c r="H255" s="204">
        <v>1606.0612311917703</v>
      </c>
      <c r="I255" s="205">
        <v>84.529538483777401</v>
      </c>
      <c r="J255" s="383">
        <f>I255-I229</f>
        <v>2.8239754288946983E-2</v>
      </c>
      <c r="K255" s="598" t="s">
        <v>472</v>
      </c>
      <c r="L255" s="597"/>
      <c r="M255" s="99"/>
      <c r="O255" s="201"/>
      <c r="P255" s="444"/>
      <c r="Q255" s="444"/>
      <c r="R255" s="201"/>
    </row>
    <row r="256" spans="1:18" ht="15.75" customHeight="1">
      <c r="A256" s="611"/>
      <c r="B256" s="614"/>
      <c r="C256" s="202">
        <v>4</v>
      </c>
      <c r="D256" s="595" t="s">
        <v>618</v>
      </c>
      <c r="E256" s="606"/>
      <c r="F256" s="596"/>
      <c r="G256" s="202">
        <v>19</v>
      </c>
      <c r="H256" s="204">
        <v>1603.7947802453587</v>
      </c>
      <c r="I256" s="205">
        <v>84.410251591860998</v>
      </c>
      <c r="J256" s="383">
        <f>I256-I230</f>
        <v>3.3387710055694981</v>
      </c>
      <c r="K256" s="605" t="s">
        <v>658</v>
      </c>
      <c r="L256" s="597"/>
      <c r="M256" s="99"/>
      <c r="O256" s="201"/>
      <c r="P256" s="444"/>
      <c r="Q256" s="444"/>
      <c r="R256" s="201"/>
    </row>
    <row r="257" spans="1:18" ht="15.75" customHeight="1">
      <c r="A257" s="611"/>
      <c r="B257" s="614"/>
      <c r="C257" s="202">
        <v>5</v>
      </c>
      <c r="D257" s="595"/>
      <c r="E257" s="606"/>
      <c r="F257" s="596"/>
      <c r="G257" s="202"/>
      <c r="H257" s="204"/>
      <c r="I257" s="205"/>
      <c r="J257" s="202"/>
      <c r="K257" s="595"/>
      <c r="L257" s="596"/>
      <c r="M257" s="99"/>
      <c r="O257" s="201"/>
      <c r="P257" s="444"/>
      <c r="Q257" s="444"/>
      <c r="R257" s="201"/>
    </row>
    <row r="258" spans="1:18" ht="15.75" customHeight="1">
      <c r="A258" s="611"/>
      <c r="B258" s="614"/>
      <c r="C258" s="206" t="s">
        <v>207</v>
      </c>
      <c r="D258" s="595"/>
      <c r="E258" s="606"/>
      <c r="F258" s="596"/>
      <c r="G258" s="202"/>
      <c r="H258" s="204"/>
      <c r="I258" s="205"/>
      <c r="J258" s="202"/>
      <c r="K258" s="595"/>
      <c r="L258" s="596"/>
      <c r="M258" s="99"/>
      <c r="O258" s="201"/>
      <c r="P258" s="444"/>
      <c r="Q258" s="444"/>
      <c r="R258" s="201"/>
    </row>
    <row r="259" spans="1:18" ht="15.75" customHeight="1">
      <c r="A259" s="611"/>
      <c r="B259" s="614"/>
      <c r="C259" s="206" t="s">
        <v>212</v>
      </c>
      <c r="D259" s="595"/>
      <c r="E259" s="606"/>
      <c r="F259" s="596"/>
      <c r="G259" s="202"/>
      <c r="H259" s="204"/>
      <c r="I259" s="205"/>
      <c r="J259" s="202"/>
      <c r="K259" s="595"/>
      <c r="L259" s="596"/>
      <c r="M259" s="99"/>
      <c r="O259" s="201"/>
      <c r="P259" s="444"/>
      <c r="Q259" s="444"/>
      <c r="R259" s="201"/>
    </row>
    <row r="260" spans="1:18" ht="15.75" customHeight="1">
      <c r="A260" s="611"/>
      <c r="B260" s="614"/>
      <c r="C260" s="206" t="s">
        <v>208</v>
      </c>
      <c r="D260" s="595"/>
      <c r="E260" s="606"/>
      <c r="F260" s="596"/>
      <c r="G260" s="202"/>
      <c r="H260" s="204"/>
      <c r="I260" s="205"/>
      <c r="J260" s="202"/>
      <c r="K260" s="595"/>
      <c r="L260" s="596"/>
      <c r="M260" s="99"/>
      <c r="O260" s="201"/>
      <c r="P260" s="444"/>
      <c r="Q260" s="444"/>
      <c r="R260" s="201"/>
    </row>
    <row r="261" spans="1:18" ht="15.75" customHeight="1">
      <c r="A261" s="611"/>
      <c r="B261" s="614"/>
      <c r="C261" s="206" t="s">
        <v>213</v>
      </c>
      <c r="D261" s="595"/>
      <c r="E261" s="606"/>
      <c r="F261" s="596"/>
      <c r="G261" s="202"/>
      <c r="H261" s="204"/>
      <c r="I261" s="205"/>
      <c r="J261" s="202"/>
      <c r="K261" s="595"/>
      <c r="L261" s="596"/>
      <c r="M261" s="99"/>
      <c r="O261" s="201"/>
      <c r="P261" s="444"/>
      <c r="Q261" s="444"/>
      <c r="R261" s="201"/>
    </row>
    <row r="262" spans="1:18" ht="15.75" customHeight="1">
      <c r="A262" s="612"/>
      <c r="B262" s="615"/>
      <c r="C262" s="206" t="s">
        <v>214</v>
      </c>
      <c r="D262" s="595"/>
      <c r="E262" s="606"/>
      <c r="F262" s="596"/>
      <c r="G262" s="202"/>
      <c r="H262" s="204"/>
      <c r="I262" s="205"/>
      <c r="J262" s="202"/>
      <c r="K262" s="595"/>
      <c r="L262" s="596"/>
      <c r="M262" s="99"/>
      <c r="O262" s="201"/>
      <c r="P262" s="444"/>
      <c r="Q262" s="444"/>
      <c r="R262" s="201"/>
    </row>
  </sheetData>
  <mergeCells count="313">
    <mergeCell ref="D235:F235"/>
    <mergeCell ref="K235:L235"/>
    <mergeCell ref="D236:F236"/>
    <mergeCell ref="K236:L236"/>
    <mergeCell ref="K224:L224"/>
    <mergeCell ref="D225:F225"/>
    <mergeCell ref="K225:L225"/>
    <mergeCell ref="A226:B226"/>
    <mergeCell ref="D226:F226"/>
    <mergeCell ref="K226:L226"/>
    <mergeCell ref="A227:A236"/>
    <mergeCell ref="B227:B236"/>
    <mergeCell ref="D227:F227"/>
    <mergeCell ref="K227:L227"/>
    <mergeCell ref="D228:F228"/>
    <mergeCell ref="K228:L228"/>
    <mergeCell ref="D229:F229"/>
    <mergeCell ref="K229:L229"/>
    <mergeCell ref="D230:F230"/>
    <mergeCell ref="K230:L230"/>
    <mergeCell ref="D231:F231"/>
    <mergeCell ref="K231:L231"/>
    <mergeCell ref="D232:F232"/>
    <mergeCell ref="K232:L232"/>
    <mergeCell ref="D233:F233"/>
    <mergeCell ref="K233:L233"/>
    <mergeCell ref="D234:F234"/>
    <mergeCell ref="K234:L234"/>
    <mergeCell ref="A211:L212"/>
    <mergeCell ref="A213:A214"/>
    <mergeCell ref="A215:B215"/>
    <mergeCell ref="D215:F215"/>
    <mergeCell ref="K215:L215"/>
    <mergeCell ref="A216:A225"/>
    <mergeCell ref="B216:B22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D183:F183"/>
    <mergeCell ref="K183:L183"/>
    <mergeCell ref="D184:F184"/>
    <mergeCell ref="K184:L184"/>
    <mergeCell ref="K172:L172"/>
    <mergeCell ref="D173:F173"/>
    <mergeCell ref="K173:L173"/>
    <mergeCell ref="K196:L196"/>
    <mergeCell ref="D197:F197"/>
    <mergeCell ref="K197:L197"/>
    <mergeCell ref="D198:F198"/>
    <mergeCell ref="D194:F194"/>
    <mergeCell ref="K194:L194"/>
    <mergeCell ref="D195:F195"/>
    <mergeCell ref="K195:L195"/>
    <mergeCell ref="D196:F196"/>
    <mergeCell ref="D209:F209"/>
    <mergeCell ref="K209:L209"/>
    <mergeCell ref="D210:F210"/>
    <mergeCell ref="K210:L210"/>
    <mergeCell ref="A174:B174"/>
    <mergeCell ref="D174:F174"/>
    <mergeCell ref="K174:L174"/>
    <mergeCell ref="A175:A184"/>
    <mergeCell ref="B175:B184"/>
    <mergeCell ref="D175:F175"/>
    <mergeCell ref="K175:L17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A164:A173"/>
    <mergeCell ref="B164:B17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68:L168"/>
    <mergeCell ref="D169:F169"/>
    <mergeCell ref="K169:L169"/>
    <mergeCell ref="D170:F170"/>
    <mergeCell ref="K170:L170"/>
    <mergeCell ref="D171:F171"/>
    <mergeCell ref="K171:L171"/>
    <mergeCell ref="D172:F172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37:F37"/>
    <mergeCell ref="D16:F16"/>
    <mergeCell ref="K16:L16"/>
    <mergeCell ref="D17:F17"/>
    <mergeCell ref="K17:L17"/>
    <mergeCell ref="A18:B18"/>
    <mergeCell ref="D18:F18"/>
    <mergeCell ref="K18:L18"/>
    <mergeCell ref="D19:F19"/>
    <mergeCell ref="K19:L19"/>
    <mergeCell ref="A19:A28"/>
    <mergeCell ref="B19:B28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A159:L160"/>
    <mergeCell ref="A161:A162"/>
    <mergeCell ref="A163:B163"/>
    <mergeCell ref="D163:F163"/>
    <mergeCell ref="K163:L163"/>
    <mergeCell ref="D207:F207"/>
    <mergeCell ref="K207:L207"/>
    <mergeCell ref="D208:F208"/>
    <mergeCell ref="K208:L208"/>
    <mergeCell ref="A185:L186"/>
    <mergeCell ref="A187:A188"/>
    <mergeCell ref="A189:B189"/>
    <mergeCell ref="D189:F189"/>
    <mergeCell ref="K189:L189"/>
    <mergeCell ref="A190:A199"/>
    <mergeCell ref="B190:B19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K248:L248"/>
    <mergeCell ref="D249:F249"/>
    <mergeCell ref="K249:L249"/>
    <mergeCell ref="D250:F250"/>
    <mergeCell ref="K198:L198"/>
    <mergeCell ref="D199:F199"/>
    <mergeCell ref="K199:L199"/>
    <mergeCell ref="A200:B200"/>
    <mergeCell ref="D200:F200"/>
    <mergeCell ref="K200:L200"/>
    <mergeCell ref="A201:A210"/>
    <mergeCell ref="B201:B210"/>
    <mergeCell ref="D201:F201"/>
    <mergeCell ref="K201:L201"/>
    <mergeCell ref="D202:F202"/>
    <mergeCell ref="K202:L202"/>
    <mergeCell ref="D203:F203"/>
    <mergeCell ref="K203:L203"/>
    <mergeCell ref="D204:F204"/>
    <mergeCell ref="K204:L204"/>
    <mergeCell ref="D205:F205"/>
    <mergeCell ref="K205:L205"/>
    <mergeCell ref="D206:F206"/>
    <mergeCell ref="K206:L206"/>
    <mergeCell ref="D259:F259"/>
    <mergeCell ref="K259:L259"/>
    <mergeCell ref="D260:F260"/>
    <mergeCell ref="K260:L260"/>
    <mergeCell ref="A237:L238"/>
    <mergeCell ref="A239:A240"/>
    <mergeCell ref="A241:B241"/>
    <mergeCell ref="D241:F241"/>
    <mergeCell ref="K241:L241"/>
    <mergeCell ref="A242:A251"/>
    <mergeCell ref="B242:B251"/>
    <mergeCell ref="D242:F242"/>
    <mergeCell ref="K242:L24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D261:F261"/>
    <mergeCell ref="K261:L261"/>
    <mergeCell ref="D262:F262"/>
    <mergeCell ref="K262:L262"/>
    <mergeCell ref="K250:L250"/>
    <mergeCell ref="D251:F251"/>
    <mergeCell ref="K251:L251"/>
    <mergeCell ref="A252:B252"/>
    <mergeCell ref="D252:F252"/>
    <mergeCell ref="K252:L252"/>
    <mergeCell ref="A253:A262"/>
    <mergeCell ref="B253:B262"/>
    <mergeCell ref="D253:F253"/>
    <mergeCell ref="K253:L253"/>
    <mergeCell ref="D254:F254"/>
    <mergeCell ref="K254:L254"/>
    <mergeCell ref="D255:F255"/>
    <mergeCell ref="K255:L255"/>
    <mergeCell ref="D256:F256"/>
    <mergeCell ref="K256:L256"/>
    <mergeCell ref="D257:F257"/>
    <mergeCell ref="K257:L257"/>
    <mergeCell ref="D258:F258"/>
    <mergeCell ref="K258:L25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158" max="11" man="1"/>
    <brk id="184" max="11" man="1"/>
    <brk id="210" max="11" man="1"/>
    <brk id="23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54"/>
  <sheetViews>
    <sheetView view="pageBreakPreview" topLeftCell="A32" zoomScale="115" zoomScaleNormal="60" zoomScaleSheetLayoutView="115" workbookViewId="0">
      <selection activeCell="J37" sqref="J37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9" ht="15.75" customHeight="1">
      <c r="A1" s="460" t="s">
        <v>392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99"/>
    </row>
    <row r="2" spans="1:19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192"/>
      <c r="O2" s="192"/>
      <c r="P2" s="192"/>
      <c r="Q2" s="192"/>
      <c r="R2" s="192"/>
    </row>
    <row r="3" spans="1:19" s="191" customFormat="1" ht="15.75" customHeight="1">
      <c r="A3" s="603" t="s">
        <v>651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</row>
    <row r="4" spans="1:19" s="192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</row>
    <row r="5" spans="1:19" s="106" customFormat="1" ht="16.350000000000001" customHeight="1">
      <c r="A5" s="610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9" ht="16.350000000000001" customHeight="1">
      <c r="A6" s="612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180"/>
      <c r="O6" s="180"/>
      <c r="P6" s="180"/>
      <c r="Q6" s="180"/>
      <c r="R6" s="180"/>
      <c r="S6" s="106"/>
    </row>
    <row r="7" spans="1:19" s="106" customFormat="1" ht="15.75" customHeight="1">
      <c r="A7" s="616" t="s">
        <v>190</v>
      </c>
      <c r="B7" s="617"/>
      <c r="C7" s="162" t="s">
        <v>47</v>
      </c>
      <c r="D7" s="616" t="s">
        <v>12</v>
      </c>
      <c r="E7" s="618"/>
      <c r="F7" s="617"/>
      <c r="G7" s="162" t="s">
        <v>46</v>
      </c>
      <c r="H7" s="162" t="s">
        <v>394</v>
      </c>
      <c r="I7" s="162" t="s">
        <v>395</v>
      </c>
      <c r="J7" s="162" t="s">
        <v>339</v>
      </c>
      <c r="K7" s="616" t="s">
        <v>51</v>
      </c>
      <c r="L7" s="617"/>
      <c r="M7" s="129"/>
      <c r="N7" s="180"/>
      <c r="O7" s="180"/>
      <c r="P7" s="180"/>
      <c r="Q7" s="180"/>
      <c r="R7" s="180"/>
    </row>
    <row r="8" spans="1:19" ht="15.75" customHeight="1">
      <c r="A8" s="610">
        <f>J5</f>
        <v>9</v>
      </c>
      <c r="B8" s="613" t="str">
        <f>J6</f>
        <v>微波小吃</v>
      </c>
      <c r="C8" s="202">
        <v>1</v>
      </c>
      <c r="D8" s="595" t="s">
        <v>370</v>
      </c>
      <c r="E8" s="606"/>
      <c r="F8" s="596"/>
      <c r="G8" s="202">
        <v>13</v>
      </c>
      <c r="H8" s="204">
        <v>1078.2884287817258</v>
      </c>
      <c r="I8" s="205">
        <v>82.945263752440454</v>
      </c>
      <c r="J8" s="383"/>
      <c r="K8" s="598" t="s">
        <v>472</v>
      </c>
      <c r="L8" s="597"/>
      <c r="N8" s="180"/>
      <c r="O8" s="180"/>
      <c r="P8" s="180"/>
      <c r="Q8" s="180"/>
      <c r="R8" s="180"/>
      <c r="S8" s="106"/>
    </row>
    <row r="9" spans="1:19" ht="15.75" customHeight="1">
      <c r="A9" s="611"/>
      <c r="B9" s="614"/>
      <c r="C9" s="202">
        <v>2</v>
      </c>
      <c r="D9" s="595" t="s">
        <v>493</v>
      </c>
      <c r="E9" s="606"/>
      <c r="F9" s="596"/>
      <c r="G9" s="202">
        <v>22</v>
      </c>
      <c r="H9" s="204">
        <v>1604.3508372494184</v>
      </c>
      <c r="I9" s="205">
        <v>72.925038056791763</v>
      </c>
      <c r="J9" s="383">
        <v>8.2209151614179632E-2</v>
      </c>
      <c r="K9" s="598" t="s">
        <v>472</v>
      </c>
      <c r="L9" s="597"/>
      <c r="N9" s="180"/>
      <c r="O9" s="180"/>
      <c r="P9" s="180"/>
      <c r="Q9" s="180"/>
      <c r="R9" s="180"/>
      <c r="S9" s="106"/>
    </row>
    <row r="10" spans="1:19" ht="15.75" customHeight="1">
      <c r="A10" s="611"/>
      <c r="B10" s="614"/>
      <c r="C10" s="202">
        <v>3</v>
      </c>
      <c r="D10" s="595" t="s">
        <v>477</v>
      </c>
      <c r="E10" s="606"/>
      <c r="F10" s="596"/>
      <c r="G10" s="202">
        <v>22</v>
      </c>
      <c r="H10" s="204">
        <v>1603.4723481732792</v>
      </c>
      <c r="I10" s="205">
        <v>72.885106735149051</v>
      </c>
      <c r="J10" s="383">
        <v>0.12011787116063033</v>
      </c>
      <c r="K10" s="598" t="s">
        <v>472</v>
      </c>
      <c r="L10" s="597"/>
      <c r="N10" s="180"/>
      <c r="O10" s="180"/>
      <c r="P10" s="180"/>
      <c r="Q10" s="180"/>
      <c r="R10" s="180"/>
      <c r="S10" s="106"/>
    </row>
    <row r="11" spans="1:19" ht="15.75" customHeight="1">
      <c r="A11" s="611"/>
      <c r="B11" s="614"/>
      <c r="C11" s="202">
        <v>4</v>
      </c>
      <c r="D11" s="595"/>
      <c r="E11" s="606"/>
      <c r="F11" s="596"/>
      <c r="G11" s="204"/>
      <c r="H11" s="204"/>
      <c r="I11" s="205"/>
      <c r="J11" s="202"/>
      <c r="K11" s="595"/>
      <c r="L11" s="596"/>
      <c r="N11" s="180"/>
      <c r="O11" s="180"/>
      <c r="P11" s="180"/>
      <c r="Q11" s="180"/>
      <c r="R11" s="180"/>
      <c r="S11" s="106"/>
    </row>
    <row r="12" spans="1:19" ht="15.75" customHeight="1">
      <c r="A12" s="611"/>
      <c r="B12" s="614"/>
      <c r="C12" s="202">
        <v>5</v>
      </c>
      <c r="D12" s="595"/>
      <c r="E12" s="606"/>
      <c r="F12" s="596"/>
      <c r="G12" s="202"/>
      <c r="H12" s="204"/>
      <c r="I12" s="205"/>
      <c r="J12" s="202"/>
      <c r="K12" s="595"/>
      <c r="L12" s="596"/>
      <c r="N12" s="180"/>
      <c r="O12" s="180"/>
      <c r="P12" s="180"/>
      <c r="Q12" s="180"/>
      <c r="R12" s="180"/>
      <c r="S12" s="106"/>
    </row>
    <row r="13" spans="1:19" ht="15.75" customHeight="1">
      <c r="A13" s="611"/>
      <c r="B13" s="614"/>
      <c r="C13" s="206" t="s">
        <v>207</v>
      </c>
      <c r="D13" s="595"/>
      <c r="E13" s="606"/>
      <c r="F13" s="596"/>
      <c r="G13" s="202"/>
      <c r="H13" s="204"/>
      <c r="I13" s="205"/>
      <c r="J13" s="202"/>
      <c r="K13" s="595"/>
      <c r="L13" s="596"/>
      <c r="N13" s="180"/>
      <c r="O13" s="180"/>
      <c r="P13" s="180"/>
      <c r="Q13" s="180"/>
      <c r="R13" s="180"/>
      <c r="S13" s="106"/>
    </row>
    <row r="14" spans="1:19" ht="15.75" customHeight="1">
      <c r="A14" s="611"/>
      <c r="B14" s="614"/>
      <c r="C14" s="206" t="s">
        <v>212</v>
      </c>
      <c r="D14" s="595"/>
      <c r="E14" s="606"/>
      <c r="F14" s="596"/>
      <c r="G14" s="202"/>
      <c r="H14" s="204"/>
      <c r="I14" s="205"/>
      <c r="J14" s="202"/>
      <c r="K14" s="595"/>
      <c r="L14" s="596"/>
      <c r="N14" s="180"/>
      <c r="O14" s="180"/>
      <c r="P14" s="180"/>
      <c r="Q14" s="180"/>
      <c r="R14" s="180"/>
      <c r="S14" s="106"/>
    </row>
    <row r="15" spans="1:19" ht="15.75" customHeight="1">
      <c r="A15" s="611"/>
      <c r="B15" s="614"/>
      <c r="C15" s="206" t="s">
        <v>208</v>
      </c>
      <c r="D15" s="595"/>
      <c r="E15" s="606"/>
      <c r="F15" s="596"/>
      <c r="G15" s="202"/>
      <c r="H15" s="204"/>
      <c r="I15" s="205"/>
      <c r="J15" s="202"/>
      <c r="K15" s="595"/>
      <c r="L15" s="596"/>
      <c r="N15" s="180"/>
      <c r="O15" s="180"/>
      <c r="P15" s="180"/>
      <c r="Q15" s="180"/>
      <c r="R15" s="180"/>
      <c r="S15" s="106"/>
    </row>
    <row r="16" spans="1:19" ht="15.75" customHeight="1">
      <c r="A16" s="611"/>
      <c r="B16" s="614"/>
      <c r="C16" s="206" t="s">
        <v>213</v>
      </c>
      <c r="D16" s="595"/>
      <c r="E16" s="606"/>
      <c r="F16" s="596"/>
      <c r="G16" s="202"/>
      <c r="H16" s="204"/>
      <c r="I16" s="205"/>
      <c r="J16" s="202"/>
      <c r="K16" s="595"/>
      <c r="L16" s="596"/>
      <c r="M16" s="99"/>
      <c r="N16" s="180"/>
      <c r="O16" s="180"/>
      <c r="P16" s="180"/>
      <c r="Q16" s="180"/>
      <c r="R16" s="180"/>
      <c r="S16" s="106"/>
    </row>
    <row r="17" spans="1:18" ht="15.75" customHeight="1">
      <c r="A17" s="612"/>
      <c r="B17" s="615"/>
      <c r="C17" s="206" t="s">
        <v>214</v>
      </c>
      <c r="D17" s="595"/>
      <c r="E17" s="606"/>
      <c r="F17" s="596"/>
      <c r="G17" s="202"/>
      <c r="H17" s="204"/>
      <c r="I17" s="205"/>
      <c r="J17" s="202"/>
      <c r="K17" s="595"/>
      <c r="L17" s="596"/>
      <c r="M17" s="99"/>
      <c r="O17" s="201"/>
      <c r="P17" s="444"/>
      <c r="Q17" s="444"/>
      <c r="R17" s="201"/>
    </row>
    <row r="18" spans="1:18" s="104" customFormat="1" ht="15.75" customHeight="1">
      <c r="A18" s="607" t="s">
        <v>190</v>
      </c>
      <c r="B18" s="608"/>
      <c r="C18" s="209" t="s">
        <v>47</v>
      </c>
      <c r="D18" s="607" t="s">
        <v>12</v>
      </c>
      <c r="E18" s="609"/>
      <c r="F18" s="608"/>
      <c r="G18" s="209" t="s">
        <v>46</v>
      </c>
      <c r="H18" s="209" t="s">
        <v>394</v>
      </c>
      <c r="I18" s="209" t="s">
        <v>395</v>
      </c>
      <c r="J18" s="162" t="s">
        <v>339</v>
      </c>
      <c r="K18" s="607" t="s">
        <v>51</v>
      </c>
      <c r="L18" s="608"/>
      <c r="M18" s="130"/>
      <c r="N18" s="191"/>
      <c r="O18" s="201"/>
      <c r="P18" s="444"/>
      <c r="Q18" s="444"/>
      <c r="R18" s="201"/>
    </row>
    <row r="19" spans="1:18" ht="15.75" customHeight="1">
      <c r="A19" s="610"/>
      <c r="B19" s="613"/>
      <c r="C19" s="202">
        <v>1</v>
      </c>
      <c r="D19" s="595"/>
      <c r="E19" s="606"/>
      <c r="F19" s="596"/>
      <c r="G19" s="202"/>
      <c r="H19" s="204"/>
      <c r="I19" s="205"/>
      <c r="J19" s="202"/>
      <c r="K19" s="595"/>
      <c r="L19" s="596"/>
      <c r="M19" s="99"/>
      <c r="N19" s="201"/>
      <c r="O19" s="201"/>
      <c r="P19" s="444"/>
      <c r="Q19" s="444"/>
      <c r="R19" s="201"/>
    </row>
    <row r="20" spans="1:18" ht="15.75" customHeight="1">
      <c r="A20" s="611"/>
      <c r="B20" s="614"/>
      <c r="C20" s="202">
        <v>2</v>
      </c>
      <c r="D20" s="595"/>
      <c r="E20" s="606"/>
      <c r="F20" s="596"/>
      <c r="G20" s="202"/>
      <c r="H20" s="204"/>
      <c r="I20" s="205"/>
      <c r="J20" s="202"/>
      <c r="K20" s="595"/>
      <c r="L20" s="596"/>
      <c r="M20" s="99"/>
      <c r="O20" s="201"/>
      <c r="P20" s="444"/>
      <c r="Q20" s="444"/>
      <c r="R20" s="201"/>
    </row>
    <row r="21" spans="1:18" ht="15.75" customHeight="1">
      <c r="A21" s="611"/>
      <c r="B21" s="614"/>
      <c r="C21" s="202">
        <v>3</v>
      </c>
      <c r="D21" s="595"/>
      <c r="E21" s="606"/>
      <c r="F21" s="596"/>
      <c r="G21" s="202"/>
      <c r="H21" s="204"/>
      <c r="I21" s="205"/>
      <c r="J21" s="202"/>
      <c r="K21" s="595"/>
      <c r="L21" s="596"/>
      <c r="M21" s="99"/>
      <c r="O21" s="201"/>
      <c r="P21" s="444"/>
      <c r="Q21" s="444"/>
      <c r="R21" s="201"/>
    </row>
    <row r="22" spans="1:18" ht="15.75" customHeight="1">
      <c r="A22" s="611"/>
      <c r="B22" s="614"/>
      <c r="C22" s="202">
        <v>4</v>
      </c>
      <c r="D22" s="595"/>
      <c r="E22" s="606"/>
      <c r="F22" s="596"/>
      <c r="G22" s="202"/>
      <c r="H22" s="204"/>
      <c r="I22" s="205"/>
      <c r="J22" s="202"/>
      <c r="K22" s="595"/>
      <c r="L22" s="596"/>
      <c r="M22" s="99"/>
      <c r="O22" s="201"/>
      <c r="P22" s="444"/>
      <c r="Q22" s="444"/>
      <c r="R22" s="201"/>
    </row>
    <row r="23" spans="1:18" ht="15.75" customHeight="1">
      <c r="A23" s="611"/>
      <c r="B23" s="614"/>
      <c r="C23" s="202">
        <v>5</v>
      </c>
      <c r="D23" s="595"/>
      <c r="E23" s="606"/>
      <c r="F23" s="596"/>
      <c r="G23" s="202"/>
      <c r="H23" s="204"/>
      <c r="I23" s="205"/>
      <c r="J23" s="202"/>
      <c r="K23" s="595"/>
      <c r="L23" s="596"/>
      <c r="M23" s="99"/>
      <c r="O23" s="201"/>
      <c r="P23" s="444"/>
      <c r="Q23" s="444"/>
      <c r="R23" s="201"/>
    </row>
    <row r="24" spans="1:18" ht="15.75" customHeight="1">
      <c r="A24" s="611"/>
      <c r="B24" s="614"/>
      <c r="C24" s="206" t="s">
        <v>207</v>
      </c>
      <c r="D24" s="595"/>
      <c r="E24" s="606"/>
      <c r="F24" s="596"/>
      <c r="G24" s="202"/>
      <c r="H24" s="204"/>
      <c r="I24" s="205"/>
      <c r="J24" s="202"/>
      <c r="K24" s="595"/>
      <c r="L24" s="596"/>
      <c r="M24" s="99"/>
      <c r="O24" s="201"/>
      <c r="P24" s="444"/>
      <c r="Q24" s="444"/>
      <c r="R24" s="201"/>
    </row>
    <row r="25" spans="1:18" ht="15.75" customHeight="1">
      <c r="A25" s="611"/>
      <c r="B25" s="614"/>
      <c r="C25" s="206" t="s">
        <v>212</v>
      </c>
      <c r="D25" s="595"/>
      <c r="E25" s="606"/>
      <c r="F25" s="596"/>
      <c r="G25" s="202"/>
      <c r="H25" s="204"/>
      <c r="I25" s="205"/>
      <c r="J25" s="202"/>
      <c r="K25" s="595"/>
      <c r="L25" s="596"/>
      <c r="M25" s="99"/>
      <c r="O25" s="201"/>
      <c r="P25" s="444"/>
      <c r="Q25" s="444"/>
      <c r="R25" s="201"/>
    </row>
    <row r="26" spans="1:18" ht="15.75" customHeight="1">
      <c r="A26" s="611"/>
      <c r="B26" s="614"/>
      <c r="C26" s="206" t="s">
        <v>208</v>
      </c>
      <c r="D26" s="595"/>
      <c r="E26" s="606"/>
      <c r="F26" s="596"/>
      <c r="G26" s="202"/>
      <c r="H26" s="204"/>
      <c r="I26" s="205"/>
      <c r="J26" s="202"/>
      <c r="K26" s="595"/>
      <c r="L26" s="596"/>
      <c r="M26" s="99"/>
      <c r="O26" s="201"/>
      <c r="P26" s="444"/>
      <c r="Q26" s="444"/>
      <c r="R26" s="201"/>
    </row>
    <row r="27" spans="1:18" ht="15.75" customHeight="1">
      <c r="A27" s="611"/>
      <c r="B27" s="614"/>
      <c r="C27" s="206" t="s">
        <v>213</v>
      </c>
      <c r="D27" s="595"/>
      <c r="E27" s="606"/>
      <c r="F27" s="596"/>
      <c r="G27" s="202"/>
      <c r="H27" s="204"/>
      <c r="I27" s="205"/>
      <c r="J27" s="202"/>
      <c r="K27" s="595"/>
      <c r="L27" s="596"/>
      <c r="M27" s="99"/>
      <c r="O27" s="201"/>
      <c r="P27" s="444"/>
      <c r="Q27" s="444"/>
      <c r="R27" s="201"/>
    </row>
    <row r="28" spans="1:18" ht="16.5" customHeight="1">
      <c r="A28" s="612"/>
      <c r="B28" s="615"/>
      <c r="C28" s="206" t="s">
        <v>214</v>
      </c>
      <c r="D28" s="595"/>
      <c r="E28" s="606"/>
      <c r="F28" s="596"/>
      <c r="G28" s="202"/>
      <c r="H28" s="204"/>
      <c r="I28" s="205"/>
      <c r="J28" s="202"/>
      <c r="K28" s="595"/>
      <c r="L28" s="596"/>
      <c r="M28" s="99"/>
      <c r="O28" s="201"/>
      <c r="P28" s="444"/>
      <c r="Q28" s="444"/>
      <c r="R28" s="201"/>
    </row>
    <row r="29" spans="1:18" s="191" customFormat="1" ht="15.75" customHeight="1">
      <c r="A29" s="603" t="s">
        <v>702</v>
      </c>
      <c r="B29" s="603"/>
      <c r="C29" s="603"/>
      <c r="D29" s="603"/>
      <c r="E29" s="603"/>
      <c r="F29" s="603"/>
      <c r="G29" s="603"/>
      <c r="H29" s="603"/>
      <c r="I29" s="603"/>
      <c r="J29" s="603"/>
      <c r="K29" s="603"/>
      <c r="L29" s="603"/>
    </row>
    <row r="30" spans="1:18" s="192" customFormat="1" ht="15.75" customHeight="1">
      <c r="A30" s="603"/>
      <c r="B30" s="603"/>
      <c r="C30" s="603"/>
      <c r="D30" s="603"/>
      <c r="E30" s="603"/>
      <c r="F30" s="603"/>
      <c r="G30" s="603"/>
      <c r="H30" s="603"/>
      <c r="I30" s="603"/>
      <c r="J30" s="603"/>
      <c r="K30" s="603"/>
      <c r="L30" s="603"/>
    </row>
    <row r="31" spans="1:18" s="106" customFormat="1" ht="16.350000000000001" customHeight="1">
      <c r="A31" s="610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12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6" t="s">
        <v>190</v>
      </c>
      <c r="B33" s="617"/>
      <c r="C33" s="162" t="s">
        <v>47</v>
      </c>
      <c r="D33" s="616" t="s">
        <v>12</v>
      </c>
      <c r="E33" s="618"/>
      <c r="F33" s="617"/>
      <c r="G33" s="162" t="s">
        <v>46</v>
      </c>
      <c r="H33" s="162" t="s">
        <v>394</v>
      </c>
      <c r="I33" s="162" t="s">
        <v>395</v>
      </c>
      <c r="J33" s="162" t="s">
        <v>339</v>
      </c>
      <c r="K33" s="616" t="s">
        <v>51</v>
      </c>
      <c r="L33" s="617"/>
      <c r="M33" s="129"/>
    </row>
    <row r="34" spans="1:18" ht="15.75" customHeight="1">
      <c r="A34" s="610">
        <f>J31</f>
        <v>9</v>
      </c>
      <c r="B34" s="613" t="str">
        <f>J32</f>
        <v>微波小吃</v>
      </c>
      <c r="C34" s="202">
        <v>1</v>
      </c>
      <c r="D34" s="595" t="s">
        <v>370</v>
      </c>
      <c r="E34" s="606"/>
      <c r="F34" s="596"/>
      <c r="G34" s="202">
        <v>13</v>
      </c>
      <c r="H34" s="204">
        <v>1079.3570191367746</v>
      </c>
      <c r="I34" s="205">
        <v>83.027463010521132</v>
      </c>
      <c r="J34" s="383">
        <f>I34-I8</f>
        <v>8.2199258080677851E-2</v>
      </c>
      <c r="K34" s="598"/>
      <c r="L34" s="597"/>
      <c r="N34" s="99"/>
      <c r="O34" s="99"/>
      <c r="P34" s="99"/>
      <c r="Q34" s="99"/>
      <c r="R34" s="99"/>
    </row>
    <row r="35" spans="1:18" ht="15.75" customHeight="1">
      <c r="A35" s="611"/>
      <c r="B35" s="614"/>
      <c r="C35" s="202">
        <v>2</v>
      </c>
      <c r="D35" s="595" t="s">
        <v>493</v>
      </c>
      <c r="E35" s="606"/>
      <c r="F35" s="596"/>
      <c r="G35" s="202">
        <v>22</v>
      </c>
      <c r="H35" s="204">
        <v>1604.9469454092605</v>
      </c>
      <c r="I35" s="205">
        <v>72.952133882239096</v>
      </c>
      <c r="J35" s="383">
        <f>I35-I9</f>
        <v>2.70958254473328E-2</v>
      </c>
      <c r="K35" s="598"/>
      <c r="L35" s="597"/>
      <c r="N35" s="99"/>
      <c r="O35" s="99"/>
      <c r="P35" s="99"/>
      <c r="Q35" s="99"/>
      <c r="R35" s="99"/>
    </row>
    <row r="36" spans="1:18" ht="15.75" customHeight="1">
      <c r="A36" s="611"/>
      <c r="B36" s="614"/>
      <c r="C36" s="202">
        <v>3</v>
      </c>
      <c r="D36" s="595" t="s">
        <v>477</v>
      </c>
      <c r="E36" s="606"/>
      <c r="F36" s="596"/>
      <c r="G36" s="202">
        <v>22</v>
      </c>
      <c r="H36" s="204">
        <v>1603.9340312158724</v>
      </c>
      <c r="I36" s="205">
        <v>72.906092327994202</v>
      </c>
      <c r="J36" s="383">
        <f>I36-I10</f>
        <v>2.0985592845150336E-2</v>
      </c>
      <c r="K36" s="595"/>
      <c r="L36" s="596"/>
      <c r="N36" s="99"/>
      <c r="O36" s="99"/>
      <c r="P36" s="99"/>
      <c r="Q36" s="99"/>
      <c r="R36" s="99"/>
    </row>
    <row r="37" spans="1:18" ht="15.75" customHeight="1">
      <c r="A37" s="611"/>
      <c r="B37" s="614"/>
      <c r="C37" s="202">
        <v>4</v>
      </c>
      <c r="D37" s="595"/>
      <c r="E37" s="606"/>
      <c r="F37" s="596"/>
      <c r="G37" s="202"/>
      <c r="H37" s="204"/>
      <c r="I37" s="205"/>
      <c r="J37" s="202"/>
      <c r="K37" s="595"/>
      <c r="L37" s="596"/>
      <c r="N37" s="99"/>
      <c r="O37" s="99"/>
      <c r="P37" s="99"/>
      <c r="Q37" s="99"/>
      <c r="R37" s="99"/>
    </row>
    <row r="38" spans="1:18" ht="15.75" customHeight="1">
      <c r="A38" s="611"/>
      <c r="B38" s="614"/>
      <c r="C38" s="202">
        <v>5</v>
      </c>
      <c r="D38" s="595"/>
      <c r="E38" s="606"/>
      <c r="F38" s="596"/>
      <c r="G38" s="202"/>
      <c r="H38" s="204"/>
      <c r="I38" s="205"/>
      <c r="J38" s="202"/>
      <c r="K38" s="595"/>
      <c r="L38" s="596"/>
      <c r="N38" s="99"/>
      <c r="O38" s="99"/>
      <c r="P38" s="99"/>
      <c r="Q38" s="99"/>
      <c r="R38" s="99"/>
    </row>
    <row r="39" spans="1:18" ht="15.75" customHeight="1">
      <c r="A39" s="611"/>
      <c r="B39" s="614"/>
      <c r="C39" s="206" t="s">
        <v>207</v>
      </c>
      <c r="D39" s="595"/>
      <c r="E39" s="606"/>
      <c r="F39" s="596"/>
      <c r="G39" s="202"/>
      <c r="H39" s="204"/>
      <c r="I39" s="205"/>
      <c r="J39" s="202"/>
      <c r="K39" s="595"/>
      <c r="L39" s="596"/>
      <c r="N39" s="99"/>
      <c r="O39" s="99"/>
      <c r="P39" s="99"/>
      <c r="Q39" s="99"/>
      <c r="R39" s="99"/>
    </row>
    <row r="40" spans="1:18" ht="15.75" customHeight="1">
      <c r="A40" s="611"/>
      <c r="B40" s="614"/>
      <c r="C40" s="206" t="s">
        <v>212</v>
      </c>
      <c r="D40" s="595"/>
      <c r="E40" s="606"/>
      <c r="F40" s="596"/>
      <c r="G40" s="202"/>
      <c r="H40" s="204"/>
      <c r="I40" s="205"/>
      <c r="J40" s="202"/>
      <c r="K40" s="595"/>
      <c r="L40" s="596"/>
      <c r="N40" s="99"/>
      <c r="O40" s="99"/>
      <c r="P40" s="99"/>
      <c r="Q40" s="99"/>
      <c r="R40" s="99"/>
    </row>
    <row r="41" spans="1:18" ht="15.75" customHeight="1">
      <c r="A41" s="611"/>
      <c r="B41" s="614"/>
      <c r="C41" s="206" t="s">
        <v>208</v>
      </c>
      <c r="D41" s="595"/>
      <c r="E41" s="606"/>
      <c r="F41" s="596"/>
      <c r="G41" s="202"/>
      <c r="H41" s="204"/>
      <c r="I41" s="205"/>
      <c r="J41" s="202"/>
      <c r="K41" s="595"/>
      <c r="L41" s="596"/>
      <c r="N41" s="99"/>
      <c r="O41" s="99"/>
      <c r="P41" s="99"/>
      <c r="Q41" s="99"/>
      <c r="R41" s="99"/>
    </row>
    <row r="42" spans="1:18" ht="15.75" customHeight="1">
      <c r="A42" s="611"/>
      <c r="B42" s="614"/>
      <c r="C42" s="206" t="s">
        <v>213</v>
      </c>
      <c r="D42" s="595"/>
      <c r="E42" s="606"/>
      <c r="F42" s="596"/>
      <c r="G42" s="202"/>
      <c r="H42" s="204"/>
      <c r="I42" s="205"/>
      <c r="J42" s="202"/>
      <c r="K42" s="595"/>
      <c r="L42" s="596"/>
      <c r="M42" s="99"/>
      <c r="N42" s="99"/>
      <c r="O42" s="99"/>
      <c r="P42" s="99"/>
      <c r="Q42" s="99"/>
      <c r="R42" s="99"/>
    </row>
    <row r="43" spans="1:18" ht="15.75" customHeight="1">
      <c r="A43" s="612"/>
      <c r="B43" s="615"/>
      <c r="C43" s="206" t="s">
        <v>214</v>
      </c>
      <c r="D43" s="595"/>
      <c r="E43" s="606"/>
      <c r="F43" s="596"/>
      <c r="G43" s="202"/>
      <c r="H43" s="204"/>
      <c r="I43" s="205"/>
      <c r="J43" s="202"/>
      <c r="K43" s="595"/>
      <c r="L43" s="596"/>
      <c r="M43" s="99"/>
      <c r="N43" s="99"/>
      <c r="O43" s="99"/>
      <c r="P43" s="99"/>
      <c r="Q43" s="99"/>
      <c r="R43" s="99"/>
    </row>
    <row r="44" spans="1:18" s="104" customFormat="1" ht="15.75" customHeight="1">
      <c r="A44" s="607" t="s">
        <v>190</v>
      </c>
      <c r="B44" s="608"/>
      <c r="C44" s="209" t="s">
        <v>47</v>
      </c>
      <c r="D44" s="607" t="s">
        <v>12</v>
      </c>
      <c r="E44" s="609"/>
      <c r="F44" s="608"/>
      <c r="G44" s="209" t="s">
        <v>46</v>
      </c>
      <c r="H44" s="209" t="s">
        <v>394</v>
      </c>
      <c r="I44" s="209" t="s">
        <v>395</v>
      </c>
      <c r="J44" s="162" t="s">
        <v>339</v>
      </c>
      <c r="K44" s="607" t="s">
        <v>51</v>
      </c>
      <c r="L44" s="608"/>
      <c r="M44" s="130"/>
    </row>
    <row r="45" spans="1:18" ht="15.75" customHeight="1">
      <c r="A45" s="610"/>
      <c r="B45" s="613"/>
      <c r="C45" s="202">
        <v>1</v>
      </c>
      <c r="D45" s="595"/>
      <c r="E45" s="606"/>
      <c r="F45" s="596"/>
      <c r="G45" s="202"/>
      <c r="H45" s="204"/>
      <c r="I45" s="205"/>
      <c r="J45" s="383"/>
      <c r="K45" s="598"/>
      <c r="L45" s="597"/>
      <c r="M45" s="99"/>
      <c r="N45" s="99"/>
      <c r="O45" s="99"/>
      <c r="P45" s="99"/>
      <c r="Q45" s="99"/>
      <c r="R45" s="99"/>
    </row>
    <row r="46" spans="1:18" ht="15.75" customHeight="1">
      <c r="A46" s="611"/>
      <c r="B46" s="614"/>
      <c r="C46" s="202">
        <v>2</v>
      </c>
      <c r="D46" s="595"/>
      <c r="E46" s="606"/>
      <c r="F46" s="596"/>
      <c r="G46" s="202"/>
      <c r="H46" s="204"/>
      <c r="I46" s="205"/>
      <c r="J46" s="383"/>
      <c r="K46" s="598"/>
      <c r="L46" s="597"/>
      <c r="M46" s="99"/>
      <c r="N46" s="99"/>
      <c r="O46" s="99"/>
      <c r="P46" s="99"/>
      <c r="Q46" s="99"/>
      <c r="R46" s="99"/>
    </row>
    <row r="47" spans="1:18" ht="15.75" customHeight="1">
      <c r="A47" s="611"/>
      <c r="B47" s="614"/>
      <c r="C47" s="202">
        <v>3</v>
      </c>
      <c r="D47" s="595"/>
      <c r="E47" s="606"/>
      <c r="F47" s="596"/>
      <c r="G47" s="202"/>
      <c r="H47" s="204"/>
      <c r="I47" s="205"/>
      <c r="J47" s="383"/>
      <c r="K47" s="598"/>
      <c r="L47" s="597"/>
      <c r="M47" s="99"/>
      <c r="N47" s="99"/>
      <c r="O47" s="99"/>
      <c r="P47" s="99"/>
      <c r="Q47" s="99"/>
      <c r="R47" s="99"/>
    </row>
    <row r="48" spans="1:18" ht="15.75" customHeight="1">
      <c r="A48" s="611"/>
      <c r="B48" s="614"/>
      <c r="C48" s="202">
        <v>4</v>
      </c>
      <c r="D48" s="595"/>
      <c r="E48" s="606"/>
      <c r="F48" s="596"/>
      <c r="G48" s="202"/>
      <c r="H48" s="204"/>
      <c r="I48" s="205"/>
      <c r="J48" s="202"/>
      <c r="K48" s="595"/>
      <c r="L48" s="596"/>
      <c r="M48" s="99"/>
      <c r="N48" s="99"/>
      <c r="O48" s="99"/>
      <c r="P48" s="99"/>
      <c r="Q48" s="99"/>
      <c r="R48" s="99"/>
    </row>
    <row r="49" spans="1:18" ht="15.75" customHeight="1">
      <c r="A49" s="611"/>
      <c r="B49" s="614"/>
      <c r="C49" s="202">
        <v>5</v>
      </c>
      <c r="D49" s="595"/>
      <c r="E49" s="606"/>
      <c r="F49" s="596"/>
      <c r="G49" s="202"/>
      <c r="H49" s="204"/>
      <c r="I49" s="205"/>
      <c r="J49" s="202"/>
      <c r="K49" s="595"/>
      <c r="L49" s="596"/>
      <c r="M49" s="99"/>
      <c r="N49" s="99"/>
      <c r="O49" s="99"/>
      <c r="P49" s="99"/>
      <c r="Q49" s="99"/>
      <c r="R49" s="99"/>
    </row>
    <row r="50" spans="1:18" ht="15.75" customHeight="1">
      <c r="A50" s="611"/>
      <c r="B50" s="614"/>
      <c r="C50" s="206" t="s">
        <v>207</v>
      </c>
      <c r="D50" s="595"/>
      <c r="E50" s="606"/>
      <c r="F50" s="596"/>
      <c r="G50" s="202"/>
      <c r="H50" s="204"/>
      <c r="I50" s="205"/>
      <c r="J50" s="202"/>
      <c r="K50" s="595"/>
      <c r="L50" s="596"/>
      <c r="M50" s="99"/>
      <c r="N50" s="99"/>
      <c r="O50" s="99"/>
      <c r="P50" s="99"/>
      <c r="Q50" s="99"/>
      <c r="R50" s="99"/>
    </row>
    <row r="51" spans="1:18" ht="15.75" customHeight="1">
      <c r="A51" s="611"/>
      <c r="B51" s="614"/>
      <c r="C51" s="206" t="s">
        <v>212</v>
      </c>
      <c r="D51" s="595"/>
      <c r="E51" s="606"/>
      <c r="F51" s="596"/>
      <c r="G51" s="202"/>
      <c r="H51" s="204"/>
      <c r="I51" s="205"/>
      <c r="J51" s="202"/>
      <c r="K51" s="595"/>
      <c r="L51" s="596"/>
      <c r="M51" s="99"/>
      <c r="N51" s="99"/>
      <c r="O51" s="99"/>
      <c r="P51" s="99"/>
      <c r="Q51" s="99"/>
      <c r="R51" s="99"/>
    </row>
    <row r="52" spans="1:18" ht="15.75" customHeight="1">
      <c r="A52" s="611"/>
      <c r="B52" s="614"/>
      <c r="C52" s="206" t="s">
        <v>208</v>
      </c>
      <c r="D52" s="595"/>
      <c r="E52" s="606"/>
      <c r="F52" s="596"/>
      <c r="G52" s="202"/>
      <c r="H52" s="204"/>
      <c r="I52" s="205"/>
      <c r="J52" s="202"/>
      <c r="K52" s="595"/>
      <c r="L52" s="596"/>
      <c r="M52" s="99"/>
      <c r="N52" s="99"/>
      <c r="O52" s="99"/>
      <c r="P52" s="99"/>
      <c r="Q52" s="99"/>
      <c r="R52" s="99"/>
    </row>
    <row r="53" spans="1:18" ht="15.75" customHeight="1">
      <c r="A53" s="611"/>
      <c r="B53" s="614"/>
      <c r="C53" s="206" t="s">
        <v>213</v>
      </c>
      <c r="D53" s="595"/>
      <c r="E53" s="606"/>
      <c r="F53" s="596"/>
      <c r="G53" s="202"/>
      <c r="H53" s="204"/>
      <c r="I53" s="205"/>
      <c r="J53" s="202"/>
      <c r="K53" s="595"/>
      <c r="L53" s="596"/>
      <c r="M53" s="99"/>
      <c r="N53" s="99"/>
      <c r="O53" s="99"/>
      <c r="P53" s="99"/>
      <c r="Q53" s="99"/>
      <c r="R53" s="99"/>
    </row>
    <row r="54" spans="1:18" ht="15.75" customHeight="1">
      <c r="A54" s="612"/>
      <c r="B54" s="615"/>
      <c r="C54" s="206" t="s">
        <v>214</v>
      </c>
      <c r="D54" s="595"/>
      <c r="E54" s="606"/>
      <c r="F54" s="596"/>
      <c r="G54" s="202"/>
      <c r="H54" s="204"/>
      <c r="I54" s="205"/>
      <c r="J54" s="202"/>
      <c r="K54" s="595"/>
      <c r="L54" s="596"/>
      <c r="M54" s="99"/>
      <c r="N54" s="99"/>
      <c r="O54" s="99"/>
      <c r="P54" s="99"/>
      <c r="Q54" s="99"/>
      <c r="R54" s="99"/>
    </row>
  </sheetData>
  <mergeCells count="105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D51:F51"/>
    <mergeCell ref="K51:L51"/>
    <mergeCell ref="D52:F52"/>
    <mergeCell ref="K13:L13"/>
    <mergeCell ref="D14:F14"/>
    <mergeCell ref="K14:L14"/>
    <mergeCell ref="D15:F15"/>
    <mergeCell ref="K15:L15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D26:F26"/>
    <mergeCell ref="K26:L26"/>
    <mergeCell ref="D27:F27"/>
    <mergeCell ref="K27:L27"/>
    <mergeCell ref="D28:F2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K52:L52"/>
    <mergeCell ref="A29:L30"/>
    <mergeCell ref="A31:A32"/>
    <mergeCell ref="A33:B33"/>
    <mergeCell ref="D33:F33"/>
    <mergeCell ref="K33:L33"/>
    <mergeCell ref="K28:L28"/>
    <mergeCell ref="K16:L16"/>
    <mergeCell ref="D17:F17"/>
    <mergeCell ref="K17:L17"/>
    <mergeCell ref="D16:F16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E27" sqref="E27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</row>
    <row r="2" spans="1:13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</row>
    <row r="3" spans="1:13" ht="15.75" customHeight="1">
      <c r="A3" s="624" t="s">
        <v>241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13" s="13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</row>
    <row r="5" spans="1:13" ht="15.75" customHeight="1">
      <c r="A5" s="230" t="s">
        <v>456</v>
      </c>
      <c r="B5" s="140">
        <f>'生產管理報表(月)'!B6</f>
        <v>41250.450349999999</v>
      </c>
    </row>
    <row r="6" spans="1:13" ht="15.75" customHeight="1">
      <c r="A6" s="625" t="s">
        <v>242</v>
      </c>
      <c r="B6" s="626" t="s">
        <v>10</v>
      </c>
      <c r="C6" s="626"/>
      <c r="D6" s="627"/>
      <c r="E6" s="625" t="s">
        <v>242</v>
      </c>
      <c r="F6" s="629">
        <v>1</v>
      </c>
      <c r="G6" s="629"/>
      <c r="H6" s="629">
        <v>2</v>
      </c>
      <c r="I6" s="629"/>
      <c r="J6" s="629">
        <v>3</v>
      </c>
      <c r="K6" s="629"/>
      <c r="L6" s="629">
        <v>4</v>
      </c>
      <c r="M6" s="629"/>
    </row>
    <row r="7" spans="1:13" ht="31.35" customHeight="1">
      <c r="A7" s="625"/>
      <c r="B7" s="626"/>
      <c r="C7" s="626"/>
      <c r="D7" s="628"/>
      <c r="E7" s="625"/>
      <c r="F7" s="621" t="s">
        <v>523</v>
      </c>
      <c r="G7" s="621"/>
      <c r="H7" s="621" t="s">
        <v>243</v>
      </c>
      <c r="I7" s="621"/>
      <c r="J7" s="621" t="s">
        <v>244</v>
      </c>
      <c r="K7" s="621"/>
      <c r="L7" s="621" t="s">
        <v>474</v>
      </c>
      <c r="M7" s="621"/>
    </row>
    <row r="8" spans="1:13" ht="15.75" customHeight="1">
      <c r="A8" s="625"/>
      <c r="B8" s="157" t="s">
        <v>11</v>
      </c>
      <c r="C8" s="157" t="s">
        <v>245</v>
      </c>
      <c r="D8" s="628"/>
      <c r="E8" s="625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50000000000001" customHeight="1">
      <c r="A9" s="141" t="s">
        <v>246</v>
      </c>
      <c r="B9" s="142">
        <f>日別報廢率總表!Q3</f>
        <v>353129.03079999995</v>
      </c>
      <c r="C9" s="143">
        <f>B9/($B$5*1000)</f>
        <v>8.5606103158580409E-3</v>
      </c>
      <c r="D9" s="628"/>
      <c r="E9" s="141" t="s">
        <v>246</v>
      </c>
      <c r="F9" s="144">
        <v>117403.80970000001</v>
      </c>
      <c r="G9" s="389">
        <v>0.87</v>
      </c>
      <c r="H9" s="144">
        <v>0</v>
      </c>
      <c r="I9" s="389">
        <v>0</v>
      </c>
      <c r="J9" s="144">
        <v>13724.663399999999</v>
      </c>
      <c r="K9" s="389">
        <v>0.09</v>
      </c>
      <c r="L9" s="144">
        <v>0</v>
      </c>
      <c r="M9" s="389">
        <v>0</v>
      </c>
    </row>
    <row r="10" spans="1:13" ht="19.350000000000001" customHeight="1">
      <c r="A10" s="146" t="s">
        <v>247</v>
      </c>
      <c r="B10" s="147">
        <f>日別報廢率總表!T3</f>
        <v>819267.9188799999</v>
      </c>
      <c r="C10" s="143">
        <f>B10/($B$5*1000)</f>
        <v>1.9860823625650427E-2</v>
      </c>
      <c r="D10" s="628"/>
      <c r="E10" s="146" t="s">
        <v>247</v>
      </c>
      <c r="F10" s="144">
        <v>0</v>
      </c>
      <c r="G10" s="389">
        <v>0</v>
      </c>
      <c r="H10" s="144">
        <v>0</v>
      </c>
      <c r="I10" s="389">
        <v>0</v>
      </c>
      <c r="J10" s="144">
        <v>0</v>
      </c>
      <c r="K10" s="389">
        <v>0</v>
      </c>
      <c r="L10" s="144">
        <v>285419.16889999987</v>
      </c>
      <c r="M10" s="389">
        <v>0.72</v>
      </c>
    </row>
    <row r="11" spans="1:13" ht="15.75" customHeight="1">
      <c r="D11" s="628"/>
      <c r="E11" s="625" t="s">
        <v>242</v>
      </c>
      <c r="F11" s="629">
        <v>5</v>
      </c>
      <c r="G11" s="629"/>
      <c r="H11" s="629">
        <v>6</v>
      </c>
      <c r="I11" s="629"/>
      <c r="J11" s="629">
        <v>7</v>
      </c>
      <c r="K11" s="629"/>
      <c r="L11" s="630">
        <v>8</v>
      </c>
      <c r="M11" s="630"/>
    </row>
    <row r="12" spans="1:13" ht="31.35" customHeight="1">
      <c r="D12" s="628"/>
      <c r="E12" s="625"/>
      <c r="F12" s="621" t="s">
        <v>248</v>
      </c>
      <c r="G12" s="621"/>
      <c r="H12" s="621" t="s">
        <v>249</v>
      </c>
      <c r="I12" s="621"/>
      <c r="J12" s="621" t="s">
        <v>250</v>
      </c>
      <c r="K12" s="621"/>
      <c r="L12" s="622"/>
      <c r="M12" s="622"/>
    </row>
    <row r="13" spans="1:13" ht="15.75" customHeight="1">
      <c r="D13" s="628"/>
      <c r="E13" s="625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50000000000001" customHeight="1">
      <c r="D14" s="628"/>
      <c r="E14" s="141" t="s">
        <v>246</v>
      </c>
      <c r="F14" s="144">
        <v>2283.84</v>
      </c>
      <c r="G14" s="389">
        <v>0.02</v>
      </c>
      <c r="H14" s="144">
        <v>2657.3999999999996</v>
      </c>
      <c r="I14" s="389">
        <v>0.02</v>
      </c>
      <c r="J14" s="144">
        <v>0</v>
      </c>
      <c r="K14" s="389">
        <v>0</v>
      </c>
      <c r="L14" s="144"/>
      <c r="M14" s="145"/>
    </row>
    <row r="15" spans="1:13" ht="19.350000000000001" customHeight="1">
      <c r="D15" s="628"/>
      <c r="E15" s="146" t="s">
        <v>247</v>
      </c>
      <c r="F15" s="144">
        <v>63909.430700000055</v>
      </c>
      <c r="G15" s="389">
        <v>0.05</v>
      </c>
      <c r="H15" s="144">
        <v>104215.04530000009</v>
      </c>
      <c r="I15" s="389">
        <v>0.23</v>
      </c>
      <c r="J15" s="144">
        <v>0</v>
      </c>
      <c r="K15" s="389">
        <v>0</v>
      </c>
      <c r="L15" s="144"/>
      <c r="M15" s="145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55.42578125" style="138" customWidth="1"/>
    <col min="17" max="20" width="12.5703125" style="242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</row>
    <row r="2" spans="1:74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</row>
    <row r="3" spans="1:74" ht="15.75" customHeight="1">
      <c r="A3" s="624" t="s">
        <v>475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74" s="139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</row>
    <row r="5" spans="1:74" ht="15.75" customHeight="1">
      <c r="A5" s="626" t="s">
        <v>193</v>
      </c>
      <c r="B5" s="636">
        <v>1</v>
      </c>
      <c r="C5" s="636"/>
      <c r="D5" s="636">
        <v>2</v>
      </c>
      <c r="E5" s="636"/>
      <c r="F5" s="636">
        <v>3</v>
      </c>
      <c r="G5" s="636"/>
      <c r="H5" s="629">
        <v>4</v>
      </c>
      <c r="I5" s="629"/>
      <c r="J5" s="629">
        <v>5</v>
      </c>
      <c r="K5" s="629"/>
      <c r="L5" s="629">
        <v>6</v>
      </c>
      <c r="M5" s="629"/>
      <c r="N5" s="629">
        <v>7</v>
      </c>
      <c r="O5" s="629"/>
      <c r="P5" s="385">
        <v>8</v>
      </c>
    </row>
    <row r="6" spans="1:74" ht="15.75" customHeight="1">
      <c r="A6" s="626"/>
      <c r="B6" s="637" t="s">
        <v>523</v>
      </c>
      <c r="C6" s="637"/>
      <c r="D6" s="637" t="s">
        <v>215</v>
      </c>
      <c r="E6" s="637"/>
      <c r="F6" s="637" t="s">
        <v>168</v>
      </c>
      <c r="G6" s="637"/>
      <c r="H6" s="626" t="s">
        <v>473</v>
      </c>
      <c r="I6" s="626"/>
      <c r="J6" s="626" t="s">
        <v>191</v>
      </c>
      <c r="K6" s="626"/>
      <c r="L6" s="626" t="s">
        <v>169</v>
      </c>
      <c r="M6" s="626"/>
      <c r="N6" s="626" t="s">
        <v>192</v>
      </c>
      <c r="O6" s="626"/>
      <c r="P6" s="386" t="s">
        <v>220</v>
      </c>
    </row>
    <row r="8" spans="1:74" s="246" customFormat="1" ht="15.75" customHeight="1">
      <c r="A8" s="629" t="s">
        <v>193</v>
      </c>
      <c r="B8" s="629"/>
      <c r="C8" s="245" t="s">
        <v>47</v>
      </c>
      <c r="D8" s="638" t="s">
        <v>12</v>
      </c>
      <c r="E8" s="638"/>
      <c r="F8" s="638"/>
      <c r="G8" s="639" t="s">
        <v>53</v>
      </c>
      <c r="H8" s="640"/>
      <c r="I8" s="641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634" t="s">
        <v>51</v>
      </c>
      <c r="P8" s="634"/>
    </row>
    <row r="9" spans="1:74" ht="50.1" customHeight="1">
      <c r="A9" s="629">
        <v>1</v>
      </c>
      <c r="B9" s="644" t="s">
        <v>524</v>
      </c>
      <c r="C9" s="247">
        <v>1</v>
      </c>
      <c r="D9" s="248" t="s">
        <v>378</v>
      </c>
      <c r="E9" s="249"/>
      <c r="F9" s="250"/>
      <c r="G9" s="377" t="s">
        <v>375</v>
      </c>
      <c r="H9" s="317"/>
      <c r="I9" s="318"/>
      <c r="J9" s="247">
        <v>152.75</v>
      </c>
      <c r="K9" s="253">
        <v>1.7219300826709381E-2</v>
      </c>
      <c r="L9" s="247">
        <v>87.789999999999992</v>
      </c>
      <c r="M9" s="339">
        <f>L9*J9</f>
        <v>13409.922499999999</v>
      </c>
      <c r="N9" s="254"/>
      <c r="O9" s="642" t="s">
        <v>659</v>
      </c>
      <c r="P9" s="642"/>
    </row>
    <row r="10" spans="1:74" ht="39.950000000000003" customHeight="1">
      <c r="A10" s="629"/>
      <c r="B10" s="644"/>
      <c r="C10" s="247">
        <v>2</v>
      </c>
      <c r="D10" s="248" t="s">
        <v>351</v>
      </c>
      <c r="E10" s="249"/>
      <c r="F10" s="250"/>
      <c r="G10" s="394" t="s">
        <v>343</v>
      </c>
      <c r="H10" s="393"/>
      <c r="I10" s="394"/>
      <c r="J10" s="247">
        <v>141.66999999999999</v>
      </c>
      <c r="K10" s="253">
        <v>2.1351090222068193E-2</v>
      </c>
      <c r="L10" s="247">
        <v>61.61</v>
      </c>
      <c r="M10" s="339">
        <f t="shared" ref="M10:M13" si="0">L10*J10</f>
        <v>8728.2886999999992</v>
      </c>
      <c r="N10" s="254"/>
      <c r="O10" s="642" t="s">
        <v>660</v>
      </c>
      <c r="P10" s="6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</row>
    <row r="11" spans="1:74" ht="39.950000000000003" customHeight="1">
      <c r="A11" s="629"/>
      <c r="B11" s="644"/>
      <c r="C11" s="247">
        <v>3</v>
      </c>
      <c r="D11" s="248" t="s">
        <v>366</v>
      </c>
      <c r="E11" s="249"/>
      <c r="F11" s="250"/>
      <c r="G11" s="394" t="s">
        <v>374</v>
      </c>
      <c r="H11" s="393"/>
      <c r="I11" s="394"/>
      <c r="J11" s="247">
        <v>253.92000000000002</v>
      </c>
      <c r="K11" s="253">
        <v>2.2649755261338632E-2</v>
      </c>
      <c r="L11" s="247">
        <v>28.660000000000004</v>
      </c>
      <c r="M11" s="339">
        <f t="shared" si="0"/>
        <v>7277.3472000000011</v>
      </c>
      <c r="N11" s="254"/>
      <c r="O11" s="643" t="s">
        <v>660</v>
      </c>
      <c r="P11" s="643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</row>
    <row r="12" spans="1:74" ht="39.950000000000003" customHeight="1">
      <c r="A12" s="629"/>
      <c r="B12" s="644"/>
      <c r="C12" s="247">
        <v>4</v>
      </c>
      <c r="D12" s="248" t="s">
        <v>477</v>
      </c>
      <c r="E12" s="249"/>
      <c r="F12" s="250"/>
      <c r="G12" s="394" t="s">
        <v>484</v>
      </c>
      <c r="H12" s="393"/>
      <c r="I12" s="394"/>
      <c r="J12" s="247">
        <v>210.74</v>
      </c>
      <c r="K12" s="253">
        <v>4.4846006887354475E-2</v>
      </c>
      <c r="L12" s="247">
        <v>30.68</v>
      </c>
      <c r="M12" s="339">
        <f t="shared" si="0"/>
        <v>6465.5032000000001</v>
      </c>
      <c r="N12" s="254"/>
      <c r="O12" s="643" t="s">
        <v>661</v>
      </c>
      <c r="P12" s="643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</row>
    <row r="13" spans="1:74" ht="39.950000000000003" customHeight="1" thickBot="1">
      <c r="A13" s="629"/>
      <c r="B13" s="644"/>
      <c r="C13" s="247">
        <v>5</v>
      </c>
      <c r="D13" s="255" t="s">
        <v>482</v>
      </c>
      <c r="E13" s="256"/>
      <c r="F13" s="257"/>
      <c r="G13" s="394" t="s">
        <v>552</v>
      </c>
      <c r="H13" s="393"/>
      <c r="I13" s="394"/>
      <c r="J13" s="258">
        <v>169.79</v>
      </c>
      <c r="K13" s="259">
        <v>4.1620773720417878E-2</v>
      </c>
      <c r="L13" s="258">
        <v>36.64</v>
      </c>
      <c r="M13" s="340">
        <f t="shared" si="0"/>
        <v>6221.1055999999999</v>
      </c>
      <c r="N13" s="254"/>
      <c r="O13" s="643" t="s">
        <v>662</v>
      </c>
      <c r="P13" s="643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</row>
    <row r="14" spans="1:74" ht="15.75" customHeight="1" thickTop="1">
      <c r="A14" s="629"/>
      <c r="B14" s="644"/>
      <c r="C14" s="645"/>
      <c r="D14" s="646"/>
      <c r="E14" s="646"/>
      <c r="F14" s="646"/>
      <c r="G14" s="646"/>
      <c r="H14" s="646"/>
      <c r="I14" s="647"/>
      <c r="J14" s="260" t="s">
        <v>58</v>
      </c>
      <c r="K14" s="359">
        <f>M14/'生產管理報表 7-1(月)'!$B$9</f>
        <v>0.11922601521777804</v>
      </c>
      <c r="L14" s="260" t="s">
        <v>59</v>
      </c>
      <c r="M14" s="387">
        <f>SUM(M9:M13)</f>
        <v>42102.167200000004</v>
      </c>
      <c r="N14" s="632"/>
      <c r="O14" s="632"/>
      <c r="P14" s="632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</row>
    <row r="15" spans="1:74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</row>
    <row r="16" spans="1:74" ht="15.75" customHeight="1">
      <c r="A16" s="629" t="s">
        <v>193</v>
      </c>
      <c r="B16" s="629"/>
      <c r="C16" s="263" t="s">
        <v>47</v>
      </c>
      <c r="D16" s="649" t="s">
        <v>12</v>
      </c>
      <c r="E16" s="650"/>
      <c r="F16" s="651"/>
      <c r="G16" s="639" t="s">
        <v>53</v>
      </c>
      <c r="H16" s="640"/>
      <c r="I16" s="641"/>
      <c r="J16" s="265" t="s">
        <v>54</v>
      </c>
      <c r="K16" s="265" t="s">
        <v>55</v>
      </c>
      <c r="L16" s="265" t="s">
        <v>56</v>
      </c>
      <c r="M16" s="265" t="s">
        <v>11</v>
      </c>
      <c r="N16" s="245" t="s">
        <v>340</v>
      </c>
      <c r="O16" s="634" t="s">
        <v>51</v>
      </c>
      <c r="P16" s="634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</row>
    <row r="17" spans="1:35" ht="20.100000000000001" customHeight="1">
      <c r="A17" s="629">
        <v>2</v>
      </c>
      <c r="B17" s="644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54"/>
      <c r="O17" s="648"/>
      <c r="P17" s="648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</row>
    <row r="18" spans="1:35" ht="20.100000000000001" customHeight="1">
      <c r="A18" s="629"/>
      <c r="B18" s="644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54"/>
      <c r="O18" s="648"/>
      <c r="P18" s="648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</row>
    <row r="19" spans="1:35" ht="20.100000000000001" customHeight="1">
      <c r="A19" s="629"/>
      <c r="B19" s="644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54"/>
      <c r="O19" s="633"/>
      <c r="P19" s="633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</row>
    <row r="20" spans="1:35" ht="20.100000000000001" customHeight="1">
      <c r="A20" s="629"/>
      <c r="B20" s="644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54"/>
      <c r="O20" s="633"/>
      <c r="P20" s="633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</row>
    <row r="21" spans="1:35" ht="20.100000000000001" customHeight="1" thickBot="1">
      <c r="A21" s="629"/>
      <c r="B21" s="644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54"/>
      <c r="O21" s="633"/>
      <c r="P21" s="633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</row>
    <row r="22" spans="1:35" ht="15.75" customHeight="1" thickTop="1">
      <c r="A22" s="629"/>
      <c r="B22" s="644"/>
      <c r="C22" s="645"/>
      <c r="D22" s="646"/>
      <c r="E22" s="646"/>
      <c r="F22" s="646"/>
      <c r="G22" s="646"/>
      <c r="H22" s="646"/>
      <c r="I22" s="647"/>
      <c r="J22" s="260" t="s">
        <v>58</v>
      </c>
      <c r="K22" s="359">
        <f>M22/'生產管理報表 7-1(月)'!$B$9</f>
        <v>0</v>
      </c>
      <c r="L22" s="260" t="s">
        <v>59</v>
      </c>
      <c r="M22" s="261">
        <f>SUM(M17:M21)</f>
        <v>0</v>
      </c>
      <c r="N22" s="632"/>
      <c r="O22" s="632"/>
      <c r="P22" s="63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</row>
    <row r="23" spans="1:35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</row>
    <row r="24" spans="1:35" ht="15.75" customHeight="1">
      <c r="A24" s="629" t="s">
        <v>193</v>
      </c>
      <c r="B24" s="629"/>
      <c r="C24" s="263" t="s">
        <v>47</v>
      </c>
      <c r="D24" s="649" t="s">
        <v>12</v>
      </c>
      <c r="E24" s="650"/>
      <c r="F24" s="651"/>
      <c r="G24" s="639" t="s">
        <v>53</v>
      </c>
      <c r="H24" s="640"/>
      <c r="I24" s="641"/>
      <c r="J24" s="264" t="s">
        <v>54</v>
      </c>
      <c r="K24" s="265" t="s">
        <v>55</v>
      </c>
      <c r="L24" s="265" t="s">
        <v>56</v>
      </c>
      <c r="M24" s="265" t="s">
        <v>11</v>
      </c>
      <c r="N24" s="245" t="s">
        <v>340</v>
      </c>
      <c r="O24" s="634" t="s">
        <v>51</v>
      </c>
      <c r="P24" s="634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</row>
    <row r="25" spans="1:35" ht="50.1" customHeight="1">
      <c r="A25" s="629">
        <v>3</v>
      </c>
      <c r="B25" s="644" t="s">
        <v>457</v>
      </c>
      <c r="C25" s="267">
        <v>1</v>
      </c>
      <c r="D25" s="248" t="s">
        <v>443</v>
      </c>
      <c r="E25" s="249"/>
      <c r="F25" s="250"/>
      <c r="G25" s="392" t="s">
        <v>459</v>
      </c>
      <c r="H25" s="393"/>
      <c r="I25" s="394"/>
      <c r="J25" s="268">
        <v>122.81999999999996</v>
      </c>
      <c r="K25" s="269">
        <v>2.5653955466654804E-2</v>
      </c>
      <c r="L25" s="268">
        <v>73.37</v>
      </c>
      <c r="M25" s="342">
        <f t="shared" ref="M25:M29" si="2">L25*J25</f>
        <v>9011.3033999999989</v>
      </c>
      <c r="N25" s="254"/>
      <c r="O25" s="648" t="s">
        <v>663</v>
      </c>
      <c r="P25" s="648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</row>
    <row r="26" spans="1:35" ht="50.1" customHeight="1">
      <c r="A26" s="629"/>
      <c r="B26" s="644"/>
      <c r="C26" s="267">
        <v>2</v>
      </c>
      <c r="D26" s="248" t="s">
        <v>487</v>
      </c>
      <c r="E26" s="249"/>
      <c r="F26" s="250"/>
      <c r="G26" s="392" t="s">
        <v>486</v>
      </c>
      <c r="H26" s="393"/>
      <c r="I26" s="394"/>
      <c r="J26" s="268">
        <v>13.950000000000001</v>
      </c>
      <c r="K26" s="269">
        <v>6.8454875663593179E-3</v>
      </c>
      <c r="L26" s="268">
        <v>98</v>
      </c>
      <c r="M26" s="342">
        <f t="shared" si="2"/>
        <v>1367.1000000000001</v>
      </c>
      <c r="N26" s="254"/>
      <c r="O26" s="648" t="s">
        <v>664</v>
      </c>
      <c r="P26" s="648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</row>
    <row r="27" spans="1:35" ht="50.1" customHeight="1">
      <c r="A27" s="629"/>
      <c r="B27" s="644"/>
      <c r="C27" s="267">
        <v>3</v>
      </c>
      <c r="D27" s="248" t="s">
        <v>349</v>
      </c>
      <c r="E27" s="249"/>
      <c r="F27" s="250"/>
      <c r="G27" s="392" t="s">
        <v>517</v>
      </c>
      <c r="H27" s="393"/>
      <c r="I27" s="394"/>
      <c r="J27" s="268">
        <v>2.4499999999999997</v>
      </c>
      <c r="K27" s="269">
        <v>4.004004004004004E-3</v>
      </c>
      <c r="L27" s="268">
        <v>480</v>
      </c>
      <c r="M27" s="342">
        <f t="shared" si="2"/>
        <v>1175.9999999999998</v>
      </c>
      <c r="N27" s="254"/>
      <c r="O27" s="631" t="s">
        <v>665</v>
      </c>
      <c r="P27" s="631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</row>
    <row r="28" spans="1:35" ht="50.1" customHeight="1">
      <c r="A28" s="629"/>
      <c r="B28" s="644"/>
      <c r="C28" s="267">
        <v>4</v>
      </c>
      <c r="D28" s="248" t="s">
        <v>349</v>
      </c>
      <c r="E28" s="249"/>
      <c r="F28" s="250"/>
      <c r="G28" s="392" t="s">
        <v>516</v>
      </c>
      <c r="H28" s="393"/>
      <c r="I28" s="394"/>
      <c r="J28" s="268">
        <v>1.17</v>
      </c>
      <c r="K28" s="269">
        <v>4.5662549820400531E-3</v>
      </c>
      <c r="L28" s="268">
        <v>928</v>
      </c>
      <c r="M28" s="342">
        <f t="shared" si="2"/>
        <v>1085.76</v>
      </c>
      <c r="N28" s="254"/>
      <c r="O28" s="631" t="s">
        <v>666</v>
      </c>
      <c r="P28" s="631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</row>
    <row r="29" spans="1:35" ht="50.1" customHeight="1" thickBot="1">
      <c r="A29" s="629"/>
      <c r="B29" s="644"/>
      <c r="C29" s="273">
        <v>5</v>
      </c>
      <c r="D29" s="255" t="s">
        <v>534</v>
      </c>
      <c r="E29" s="256"/>
      <c r="F29" s="257"/>
      <c r="G29" s="392" t="s">
        <v>554</v>
      </c>
      <c r="H29" s="393"/>
      <c r="I29" s="394"/>
      <c r="J29" s="274">
        <v>4.5</v>
      </c>
      <c r="K29" s="275">
        <v>1.2862251160804824E-2</v>
      </c>
      <c r="L29" s="274">
        <v>241</v>
      </c>
      <c r="M29" s="342">
        <f t="shared" si="2"/>
        <v>1084.5</v>
      </c>
      <c r="N29" s="254"/>
      <c r="O29" s="631" t="s">
        <v>667</v>
      </c>
      <c r="P29" s="631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</row>
    <row r="30" spans="1:35" ht="15.75" customHeight="1" thickTop="1">
      <c r="A30" s="629"/>
      <c r="B30" s="644"/>
      <c r="C30" s="645"/>
      <c r="D30" s="646"/>
      <c r="E30" s="646"/>
      <c r="F30" s="646"/>
      <c r="G30" s="646"/>
      <c r="H30" s="646"/>
      <c r="I30" s="647"/>
      <c r="J30" s="285" t="s">
        <v>58</v>
      </c>
      <c r="K30" s="359">
        <f>M30/'生產管理報表 7-1(月)'!$B$9</f>
        <v>3.8865859793252661E-2</v>
      </c>
      <c r="L30" s="285" t="s">
        <v>59</v>
      </c>
      <c r="M30" s="343">
        <f>SUM(M25:M29)</f>
        <v>13724.663399999999</v>
      </c>
      <c r="N30" s="632"/>
      <c r="O30" s="632"/>
      <c r="P30" s="63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4" zoomScale="91" zoomScaleNormal="60" zoomScaleSheetLayoutView="91" workbookViewId="0">
      <selection activeCell="O18" sqref="O18:P18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8" style="300" customWidth="1"/>
    <col min="17" max="16384" width="12.5703125" style="300"/>
  </cols>
  <sheetData>
    <row r="1" spans="1:20" s="138" customFormat="1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</row>
    <row r="2" spans="1:20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</row>
    <row r="3" spans="1:20" s="138" customFormat="1" ht="15.75" customHeight="1">
      <c r="A3" s="624" t="s">
        <v>475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20" s="139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</row>
    <row r="5" spans="1:20" s="138" customFormat="1" ht="15.75" customHeight="1">
      <c r="A5" s="659" t="s">
        <v>193</v>
      </c>
      <c r="B5" s="661">
        <v>1</v>
      </c>
      <c r="C5" s="662"/>
      <c r="D5" s="661">
        <v>2</v>
      </c>
      <c r="E5" s="662"/>
      <c r="F5" s="661">
        <v>3</v>
      </c>
      <c r="G5" s="662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344">
        <v>8</v>
      </c>
    </row>
    <row r="6" spans="1:20" s="138" customFormat="1" ht="15.75" customHeight="1">
      <c r="A6" s="660"/>
      <c r="B6" s="656" t="s">
        <v>523</v>
      </c>
      <c r="C6" s="657"/>
      <c r="D6" s="656" t="s">
        <v>215</v>
      </c>
      <c r="E6" s="657"/>
      <c r="F6" s="656" t="s">
        <v>168</v>
      </c>
      <c r="G6" s="657"/>
      <c r="H6" s="654" t="s">
        <v>473</v>
      </c>
      <c r="I6" s="655"/>
      <c r="J6" s="654" t="s">
        <v>191</v>
      </c>
      <c r="K6" s="655"/>
      <c r="L6" s="654" t="s">
        <v>169</v>
      </c>
      <c r="M6" s="655"/>
      <c r="N6" s="654" t="s">
        <v>192</v>
      </c>
      <c r="O6" s="65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3" t="s">
        <v>193</v>
      </c>
      <c r="B8" s="664"/>
      <c r="C8" s="286" t="s">
        <v>47</v>
      </c>
      <c r="D8" s="665" t="s">
        <v>12</v>
      </c>
      <c r="E8" s="666"/>
      <c r="F8" s="667"/>
      <c r="G8" s="668" t="s">
        <v>53</v>
      </c>
      <c r="H8" s="669"/>
      <c r="I8" s="670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1" t="s">
        <v>51</v>
      </c>
      <c r="P8" s="672"/>
      <c r="R8" s="360"/>
      <c r="S8" s="361"/>
    </row>
    <row r="9" spans="1:20" s="310" customFormat="1" ht="20.100000000000001" customHeight="1">
      <c r="A9" s="673">
        <v>4</v>
      </c>
      <c r="B9" s="676" t="s">
        <v>473</v>
      </c>
      <c r="C9" s="290">
        <v>1</v>
      </c>
      <c r="D9" s="248"/>
      <c r="E9" s="249"/>
      <c r="F9" s="250"/>
      <c r="G9" s="251"/>
      <c r="H9" s="252"/>
      <c r="I9" s="251"/>
      <c r="J9" s="328"/>
      <c r="K9" s="329"/>
      <c r="L9" s="330"/>
      <c r="M9" s="339">
        <f t="shared" ref="M9:M13" si="0">L9*J9</f>
        <v>0</v>
      </c>
      <c r="N9" s="330"/>
      <c r="O9" s="679"/>
      <c r="P9" s="680"/>
      <c r="R9" s="362"/>
      <c r="S9" s="362"/>
    </row>
    <row r="10" spans="1:20" s="310" customFormat="1" ht="20.100000000000001" customHeight="1">
      <c r="A10" s="674"/>
      <c r="B10" s="677"/>
      <c r="C10" s="290">
        <v>2</v>
      </c>
      <c r="D10" s="388"/>
      <c r="E10" s="249"/>
      <c r="F10" s="250"/>
      <c r="G10" s="251"/>
      <c r="H10" s="252"/>
      <c r="I10" s="251"/>
      <c r="J10" s="328"/>
      <c r="K10" s="329"/>
      <c r="L10" s="330"/>
      <c r="M10" s="339">
        <f t="shared" si="0"/>
        <v>0</v>
      </c>
      <c r="N10" s="330"/>
      <c r="O10" s="681"/>
      <c r="P10" s="682"/>
      <c r="R10" s="362"/>
      <c r="S10" s="362"/>
    </row>
    <row r="11" spans="1:20" s="310" customFormat="1" ht="20.100000000000001" customHeight="1">
      <c r="A11" s="674"/>
      <c r="B11" s="677"/>
      <c r="C11" s="290">
        <v>3</v>
      </c>
      <c r="D11" s="248"/>
      <c r="E11" s="249"/>
      <c r="F11" s="250"/>
      <c r="G11" s="251"/>
      <c r="H11" s="252"/>
      <c r="I11" s="251"/>
      <c r="J11" s="328"/>
      <c r="K11" s="329"/>
      <c r="L11" s="330"/>
      <c r="M11" s="339">
        <f t="shared" si="0"/>
        <v>0</v>
      </c>
      <c r="N11" s="330"/>
      <c r="O11" s="683"/>
      <c r="P11" s="684"/>
      <c r="R11" s="362"/>
      <c r="S11" s="360"/>
    </row>
    <row r="12" spans="1:20" s="310" customFormat="1" ht="20.100000000000001" customHeight="1">
      <c r="A12" s="674"/>
      <c r="B12" s="677"/>
      <c r="C12" s="290">
        <v>4</v>
      </c>
      <c r="D12" s="255"/>
      <c r="E12" s="249"/>
      <c r="F12" s="250"/>
      <c r="G12" s="251"/>
      <c r="H12" s="252"/>
      <c r="I12" s="251"/>
      <c r="J12" s="328"/>
      <c r="K12" s="329"/>
      <c r="L12" s="330"/>
      <c r="M12" s="339">
        <f t="shared" si="0"/>
        <v>0</v>
      </c>
      <c r="N12" s="330"/>
      <c r="O12" s="681"/>
      <c r="P12" s="682"/>
      <c r="R12" s="362"/>
      <c r="S12" s="360"/>
    </row>
    <row r="13" spans="1:20" s="310" customFormat="1" ht="20.100000000000001" customHeight="1" thickBot="1">
      <c r="A13" s="674"/>
      <c r="B13" s="677"/>
      <c r="C13" s="290">
        <v>5</v>
      </c>
      <c r="D13" s="248"/>
      <c r="E13" s="256"/>
      <c r="F13" s="257"/>
      <c r="G13" s="251"/>
      <c r="H13" s="252"/>
      <c r="I13" s="251"/>
      <c r="J13" s="332"/>
      <c r="K13" s="275"/>
      <c r="L13" s="334"/>
      <c r="M13" s="339">
        <f t="shared" si="0"/>
        <v>0</v>
      </c>
      <c r="N13" s="330"/>
      <c r="O13" s="685"/>
      <c r="P13" s="686"/>
      <c r="R13" s="363"/>
      <c r="S13" s="360"/>
      <c r="T13" s="300"/>
    </row>
    <row r="14" spans="1:20" ht="15.75" customHeight="1" thickTop="1" thickBot="1">
      <c r="A14" s="675"/>
      <c r="B14" s="678"/>
      <c r="C14" s="687"/>
      <c r="D14" s="688"/>
      <c r="E14" s="688"/>
      <c r="F14" s="688"/>
      <c r="G14" s="688"/>
      <c r="H14" s="688"/>
      <c r="I14" s="689"/>
      <c r="J14" s="307" t="s">
        <v>58</v>
      </c>
      <c r="K14" s="359">
        <f>M14/'生產管理報表 7-1(月)'!$B$9</f>
        <v>0</v>
      </c>
      <c r="L14" s="308" t="s">
        <v>59</v>
      </c>
      <c r="M14" s="351">
        <f>SUM(M9:M13)</f>
        <v>0</v>
      </c>
      <c r="N14" s="690"/>
      <c r="O14" s="691"/>
      <c r="P14" s="692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63" t="s">
        <v>193</v>
      </c>
      <c r="B16" s="664"/>
      <c r="C16" s="286" t="s">
        <v>47</v>
      </c>
      <c r="D16" s="665" t="s">
        <v>12</v>
      </c>
      <c r="E16" s="666"/>
      <c r="F16" s="667"/>
      <c r="G16" s="668" t="s">
        <v>53</v>
      </c>
      <c r="H16" s="669"/>
      <c r="I16" s="670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1" t="s">
        <v>51</v>
      </c>
      <c r="P16" s="672"/>
      <c r="S16" s="361"/>
      <c r="T16" s="310"/>
    </row>
    <row r="17" spans="1:20" s="310" customFormat="1" ht="39.950000000000003" customHeight="1">
      <c r="A17" s="673">
        <v>5</v>
      </c>
      <c r="B17" s="693" t="s">
        <v>218</v>
      </c>
      <c r="C17" s="290">
        <v>1</v>
      </c>
      <c r="D17" s="248" t="s">
        <v>376</v>
      </c>
      <c r="E17" s="249"/>
      <c r="F17" s="250"/>
      <c r="G17" s="318" t="s">
        <v>376</v>
      </c>
      <c r="H17" s="317"/>
      <c r="I17" s="318"/>
      <c r="J17" s="328">
        <v>96</v>
      </c>
      <c r="K17" s="329">
        <v>2.2382627179613306E-2</v>
      </c>
      <c r="L17" s="330">
        <v>23.790000000000003</v>
      </c>
      <c r="M17" s="339">
        <f t="shared" ref="M17:M21" si="1">L17*J17</f>
        <v>2283.84</v>
      </c>
      <c r="N17" s="330"/>
      <c r="O17" s="696" t="s">
        <v>668</v>
      </c>
      <c r="P17" s="697"/>
      <c r="S17" s="360"/>
    </row>
    <row r="18" spans="1:20" s="310" customFormat="1" ht="20.100000000000001" customHeight="1">
      <c r="A18" s="674"/>
      <c r="B18" s="694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si="1"/>
        <v>0</v>
      </c>
      <c r="N18" s="330"/>
      <c r="O18" s="698"/>
      <c r="P18" s="699"/>
      <c r="S18" s="300"/>
      <c r="T18" s="300"/>
    </row>
    <row r="19" spans="1:20" ht="20.100000000000001" customHeight="1">
      <c r="A19" s="674"/>
      <c r="B19" s="694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00"/>
      <c r="P19" s="701"/>
    </row>
    <row r="20" spans="1:20" ht="20.100000000000001" customHeight="1">
      <c r="A20" s="674"/>
      <c r="B20" s="694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681"/>
      <c r="P20" s="682"/>
    </row>
    <row r="21" spans="1:20" ht="20.100000000000001" customHeight="1" thickBot="1">
      <c r="A21" s="674"/>
      <c r="B21" s="694"/>
      <c r="C21" s="290">
        <v>5</v>
      </c>
      <c r="D21" s="255"/>
      <c r="E21" s="302"/>
      <c r="F21" s="303"/>
      <c r="G21" s="377"/>
      <c r="H21" s="317"/>
      <c r="I21" s="318"/>
      <c r="J21" s="332"/>
      <c r="K21" s="275"/>
      <c r="L21" s="334"/>
      <c r="M21" s="339">
        <f t="shared" si="1"/>
        <v>0</v>
      </c>
      <c r="N21" s="299"/>
      <c r="O21" s="705"/>
      <c r="P21" s="706"/>
      <c r="R21" s="364"/>
    </row>
    <row r="22" spans="1:20" ht="15.75" customHeight="1" thickTop="1" thickBot="1">
      <c r="A22" s="675"/>
      <c r="B22" s="695"/>
      <c r="C22" s="702"/>
      <c r="D22" s="703"/>
      <c r="E22" s="703"/>
      <c r="F22" s="703"/>
      <c r="G22" s="703"/>
      <c r="H22" s="703"/>
      <c r="I22" s="704"/>
      <c r="J22" s="307" t="s">
        <v>58</v>
      </c>
      <c r="K22" s="359">
        <f>M22/'生產管理報表 7-1(月)'!$B$9</f>
        <v>6.4674376808557775E-3</v>
      </c>
      <c r="L22" s="308" t="s">
        <v>59</v>
      </c>
      <c r="M22" s="351">
        <f>SUM(M17:M21)</f>
        <v>2283.84</v>
      </c>
      <c r="N22" s="690"/>
      <c r="O22" s="691"/>
      <c r="P22" s="692"/>
      <c r="R22" s="360"/>
    </row>
    <row r="23" spans="1:20" ht="15.75" customHeight="1" thickTop="1">
      <c r="M23" s="346"/>
      <c r="R23" s="360"/>
    </row>
    <row r="24" spans="1:20" ht="15.75" customHeight="1">
      <c r="A24" s="663" t="s">
        <v>193</v>
      </c>
      <c r="B24" s="664"/>
      <c r="C24" s="315" t="s">
        <v>47</v>
      </c>
      <c r="D24" s="707" t="s">
        <v>12</v>
      </c>
      <c r="E24" s="708"/>
      <c r="F24" s="709"/>
      <c r="G24" s="710" t="s">
        <v>53</v>
      </c>
      <c r="H24" s="711"/>
      <c r="I24" s="712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1" t="s">
        <v>51</v>
      </c>
      <c r="P24" s="672"/>
      <c r="R24" s="360"/>
    </row>
    <row r="25" spans="1:20" s="310" customFormat="1" ht="80.25" customHeight="1">
      <c r="A25" s="673">
        <v>6</v>
      </c>
      <c r="B25" s="693" t="s">
        <v>219</v>
      </c>
      <c r="C25" s="290">
        <v>1</v>
      </c>
      <c r="D25" s="248" t="s">
        <v>348</v>
      </c>
      <c r="E25" s="249"/>
      <c r="F25" s="250"/>
      <c r="G25" s="318" t="s">
        <v>342</v>
      </c>
      <c r="H25" s="317"/>
      <c r="I25" s="318"/>
      <c r="J25" s="328">
        <v>15.450000000000001</v>
      </c>
      <c r="K25" s="329">
        <v>4.6445369748534587E-3</v>
      </c>
      <c r="L25" s="330">
        <v>172</v>
      </c>
      <c r="M25" s="339">
        <f t="shared" ref="M25" si="2">L25*J25</f>
        <v>2657.4</v>
      </c>
      <c r="N25" s="330"/>
      <c r="O25" s="713" t="s">
        <v>669</v>
      </c>
      <c r="P25" s="714"/>
    </row>
    <row r="26" spans="1:20" ht="20.100000000000001" customHeight="1">
      <c r="A26" s="674"/>
      <c r="B26" s="694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</row>
    <row r="27" spans="1:20" ht="20.100000000000001" customHeight="1">
      <c r="A27" s="674"/>
      <c r="B27" s="694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</row>
    <row r="28" spans="1:20" ht="20.100000000000001" customHeight="1">
      <c r="A28" s="674"/>
      <c r="B28" s="694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</row>
    <row r="29" spans="1:20" ht="20.100000000000001" customHeight="1" thickBot="1">
      <c r="A29" s="674"/>
      <c r="B29" s="694"/>
      <c r="C29" s="290">
        <v>5</v>
      </c>
      <c r="D29" s="301"/>
      <c r="E29" s="302"/>
      <c r="F29" s="303"/>
      <c r="G29" s="294"/>
      <c r="H29" s="295"/>
      <c r="I29" s="296"/>
      <c r="J29" s="304"/>
      <c r="K29" s="384"/>
      <c r="L29" s="306"/>
      <c r="M29" s="348">
        <v>0</v>
      </c>
      <c r="N29" s="299"/>
      <c r="O29" s="313"/>
      <c r="P29" s="314"/>
    </row>
    <row r="30" spans="1:20" ht="15.75" customHeight="1" thickTop="1" thickBot="1">
      <c r="A30" s="675"/>
      <c r="B30" s="695"/>
      <c r="C30" s="702"/>
      <c r="D30" s="703"/>
      <c r="E30" s="703"/>
      <c r="F30" s="703"/>
      <c r="G30" s="703"/>
      <c r="H30" s="703"/>
      <c r="I30" s="704"/>
      <c r="J30" s="307" t="s">
        <v>58</v>
      </c>
      <c r="K30" s="359">
        <f>M30/'生產管理報表 7-1(月)'!$B$9</f>
        <v>7.5252946323324504E-3</v>
      </c>
      <c r="L30" s="308" t="s">
        <v>59</v>
      </c>
      <c r="M30" s="351">
        <f>SUM(M25:M29)</f>
        <v>2657.4</v>
      </c>
      <c r="N30" s="690"/>
      <c r="O30" s="691"/>
      <c r="P30" s="692"/>
    </row>
    <row r="31" spans="1:20" ht="15.75" customHeight="1" thickTop="1">
      <c r="M31" s="346"/>
    </row>
    <row r="32" spans="1:20" ht="15.75" customHeight="1">
      <c r="A32" s="663" t="s">
        <v>193</v>
      </c>
      <c r="B32" s="664"/>
      <c r="C32" s="315" t="s">
        <v>47</v>
      </c>
      <c r="D32" s="707" t="s">
        <v>12</v>
      </c>
      <c r="E32" s="708"/>
      <c r="F32" s="709"/>
      <c r="G32" s="710" t="s">
        <v>53</v>
      </c>
      <c r="H32" s="711"/>
      <c r="I32" s="712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1" t="s">
        <v>51</v>
      </c>
      <c r="P32" s="672"/>
    </row>
    <row r="33" spans="1:16" ht="20.100000000000001" customHeight="1">
      <c r="A33" s="673">
        <v>7</v>
      </c>
      <c r="B33" s="715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18"/>
      <c r="P33" s="719"/>
    </row>
    <row r="34" spans="1:16" ht="20.100000000000001" customHeight="1">
      <c r="A34" s="674"/>
      <c r="B34" s="716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0"/>
      <c r="P34" s="721"/>
    </row>
    <row r="35" spans="1:16" ht="20.100000000000001" customHeight="1">
      <c r="A35" s="674"/>
      <c r="B35" s="716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0"/>
      <c r="P35" s="721"/>
    </row>
    <row r="36" spans="1:16" ht="20.100000000000001" customHeight="1">
      <c r="A36" s="674"/>
      <c r="B36" s="716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20.100000000000001" customHeight="1" thickBot="1">
      <c r="A37" s="674"/>
      <c r="B37" s="716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75"/>
      <c r="B38" s="717"/>
      <c r="C38" s="702"/>
      <c r="D38" s="703"/>
      <c r="E38" s="703"/>
      <c r="F38" s="703"/>
      <c r="G38" s="703"/>
      <c r="H38" s="703"/>
      <c r="I38" s="704"/>
      <c r="J38" s="307" t="s">
        <v>58</v>
      </c>
      <c r="K38" s="359">
        <f>M38/'生產管理報表 7-1(月)'!$B$9</f>
        <v>0</v>
      </c>
      <c r="L38" s="308" t="s">
        <v>59</v>
      </c>
      <c r="M38" s="351">
        <f>SUM(M33:M37)</f>
        <v>0</v>
      </c>
      <c r="N38" s="690"/>
      <c r="O38" s="691"/>
      <c r="P38" s="692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</row>
    <row r="2" spans="1:75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</row>
    <row r="3" spans="1:75" ht="15.75" customHeight="1">
      <c r="A3" s="624" t="s">
        <v>476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75" s="139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</row>
    <row r="5" spans="1:75" ht="15.75" customHeight="1">
      <c r="A5" s="626" t="s">
        <v>193</v>
      </c>
      <c r="B5" s="636">
        <v>1</v>
      </c>
      <c r="C5" s="636"/>
      <c r="D5" s="636">
        <v>2</v>
      </c>
      <c r="E5" s="636"/>
      <c r="F5" s="636">
        <v>3</v>
      </c>
      <c r="G5" s="636"/>
      <c r="H5" s="629">
        <v>4</v>
      </c>
      <c r="I5" s="629"/>
      <c r="J5" s="629">
        <v>5</v>
      </c>
      <c r="K5" s="629"/>
      <c r="L5" s="629">
        <v>6</v>
      </c>
      <c r="M5" s="629"/>
      <c r="N5" s="629">
        <v>7</v>
      </c>
      <c r="O5" s="629"/>
      <c r="P5" s="629">
        <v>8</v>
      </c>
      <c r="Q5" s="629"/>
    </row>
    <row r="6" spans="1:75" ht="15.75" customHeight="1">
      <c r="A6" s="626"/>
      <c r="B6" s="637" t="s">
        <v>523</v>
      </c>
      <c r="C6" s="637"/>
      <c r="D6" s="637" t="s">
        <v>215</v>
      </c>
      <c r="E6" s="637"/>
      <c r="F6" s="637" t="s">
        <v>168</v>
      </c>
      <c r="G6" s="637"/>
      <c r="H6" s="626" t="s">
        <v>473</v>
      </c>
      <c r="I6" s="626"/>
      <c r="J6" s="626" t="s">
        <v>191</v>
      </c>
      <c r="K6" s="626"/>
      <c r="L6" s="626" t="s">
        <v>169</v>
      </c>
      <c r="M6" s="626"/>
      <c r="N6" s="626" t="s">
        <v>192</v>
      </c>
      <c r="O6" s="626"/>
      <c r="P6" s="722" t="s">
        <v>220</v>
      </c>
      <c r="Q6" s="626"/>
    </row>
    <row r="8" spans="1:75" s="246" customFormat="1" ht="15.75" customHeight="1">
      <c r="A8" s="629" t="s">
        <v>193</v>
      </c>
      <c r="B8" s="629"/>
      <c r="C8" s="245" t="s">
        <v>47</v>
      </c>
      <c r="D8" s="638" t="s">
        <v>12</v>
      </c>
      <c r="E8" s="638"/>
      <c r="F8" s="638"/>
      <c r="G8" s="639" t="s">
        <v>53</v>
      </c>
      <c r="H8" s="640"/>
      <c r="I8" s="641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634" t="s">
        <v>51</v>
      </c>
      <c r="P8" s="634"/>
    </row>
    <row r="9" spans="1:75" ht="24.95" customHeight="1">
      <c r="A9" s="629">
        <v>1</v>
      </c>
      <c r="B9" s="644" t="s">
        <v>524</v>
      </c>
      <c r="C9" s="247">
        <v>1</v>
      </c>
      <c r="D9" s="248"/>
      <c r="E9" s="249"/>
      <c r="F9" s="250"/>
      <c r="G9" s="279"/>
      <c r="H9" s="249"/>
      <c r="I9" s="279"/>
      <c r="J9" s="247"/>
      <c r="K9" s="253"/>
      <c r="L9" s="247"/>
      <c r="M9" s="339">
        <f>L9*J9</f>
        <v>0</v>
      </c>
      <c r="N9" s="254"/>
      <c r="O9" s="679"/>
      <c r="P9" s="680"/>
    </row>
    <row r="10" spans="1:75" ht="24.95" customHeight="1">
      <c r="A10" s="629"/>
      <c r="B10" s="644"/>
      <c r="C10" s="247">
        <v>2</v>
      </c>
      <c r="D10" s="248"/>
      <c r="E10" s="249"/>
      <c r="F10" s="250"/>
      <c r="G10" s="248"/>
      <c r="H10" s="249"/>
      <c r="I10" s="279"/>
      <c r="J10" s="247"/>
      <c r="K10" s="253"/>
      <c r="L10" s="247"/>
      <c r="M10" s="339">
        <f t="shared" ref="M10:M13" si="0">L10*J10</f>
        <v>0</v>
      </c>
      <c r="N10" s="254"/>
      <c r="O10" s="723"/>
      <c r="P10" s="724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4.95" customHeight="1">
      <c r="A11" s="629"/>
      <c r="B11" s="644"/>
      <c r="C11" s="247">
        <v>3</v>
      </c>
      <c r="D11" s="248"/>
      <c r="E11" s="249"/>
      <c r="F11" s="250"/>
      <c r="G11" s="325"/>
      <c r="H11" s="326"/>
      <c r="I11" s="327"/>
      <c r="J11" s="247"/>
      <c r="K11" s="253"/>
      <c r="L11" s="247"/>
      <c r="M11" s="339">
        <f t="shared" si="0"/>
        <v>0</v>
      </c>
      <c r="N11" s="254"/>
      <c r="O11" s="723"/>
      <c r="P11" s="724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4.95" customHeight="1">
      <c r="A12" s="629"/>
      <c r="B12" s="644"/>
      <c r="C12" s="247">
        <v>4</v>
      </c>
      <c r="D12" s="248"/>
      <c r="E12" s="249"/>
      <c r="F12" s="250"/>
      <c r="G12" s="392"/>
      <c r="H12" s="393"/>
      <c r="I12" s="394"/>
      <c r="J12" s="247"/>
      <c r="K12" s="253"/>
      <c r="L12" s="247"/>
      <c r="M12" s="339">
        <f t="shared" si="0"/>
        <v>0</v>
      </c>
      <c r="N12" s="254"/>
      <c r="O12" s="723"/>
      <c r="P12" s="724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4.95" customHeight="1" thickBot="1">
      <c r="A13" s="629"/>
      <c r="B13" s="644"/>
      <c r="C13" s="247">
        <v>5</v>
      </c>
      <c r="D13" s="255"/>
      <c r="E13" s="256"/>
      <c r="F13" s="257"/>
      <c r="G13" s="392"/>
      <c r="H13" s="393"/>
      <c r="I13" s="394"/>
      <c r="J13" s="258"/>
      <c r="K13" s="259"/>
      <c r="L13" s="258"/>
      <c r="M13" s="340">
        <f t="shared" si="0"/>
        <v>0</v>
      </c>
      <c r="N13" s="254"/>
      <c r="O13" s="723"/>
      <c r="P13" s="724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>
      <c r="A14" s="629"/>
      <c r="B14" s="644"/>
      <c r="C14" s="645"/>
      <c r="D14" s="646"/>
      <c r="E14" s="646"/>
      <c r="F14" s="646"/>
      <c r="G14" s="646"/>
      <c r="H14" s="646"/>
      <c r="I14" s="647"/>
      <c r="J14" s="260" t="s">
        <v>58</v>
      </c>
      <c r="K14" s="359">
        <f>M14/'生產管理報表 7-1(月)'!$B$10</f>
        <v>0</v>
      </c>
      <c r="L14" s="260" t="s">
        <v>59</v>
      </c>
      <c r="M14" s="341">
        <f>SUM(M9:M13)</f>
        <v>0</v>
      </c>
      <c r="N14" s="725"/>
      <c r="O14" s="726"/>
      <c r="P14" s="727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629" t="s">
        <v>193</v>
      </c>
      <c r="B16" s="629"/>
      <c r="C16" s="263" t="s">
        <v>47</v>
      </c>
      <c r="D16" s="649" t="s">
        <v>12</v>
      </c>
      <c r="E16" s="650"/>
      <c r="F16" s="651"/>
      <c r="G16" s="639" t="s">
        <v>53</v>
      </c>
      <c r="H16" s="640"/>
      <c r="I16" s="641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28" t="s">
        <v>51</v>
      </c>
      <c r="P16" s="729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629">
        <v>2</v>
      </c>
      <c r="B17" s="644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0"/>
      <c r="P17" s="731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629"/>
      <c r="B18" s="644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0"/>
      <c r="P18" s="731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629"/>
      <c r="B19" s="644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30"/>
      <c r="P19" s="731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629"/>
      <c r="B20" s="644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0"/>
      <c r="P20" s="731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629"/>
      <c r="B21" s="644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30"/>
      <c r="P21" s="731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>
      <c r="A22" s="629"/>
      <c r="B22" s="644"/>
      <c r="C22" s="645"/>
      <c r="D22" s="646"/>
      <c r="E22" s="646"/>
      <c r="F22" s="646"/>
      <c r="G22" s="646"/>
      <c r="H22" s="646"/>
      <c r="I22" s="647"/>
      <c r="J22" s="260" t="s">
        <v>58</v>
      </c>
      <c r="K22" s="359">
        <f>M22/'生產管理報表 7-1(月)'!$B$10</f>
        <v>0</v>
      </c>
      <c r="L22" s="260" t="s">
        <v>59</v>
      </c>
      <c r="M22" s="261">
        <f>SUM(M17:M21)</f>
        <v>0</v>
      </c>
      <c r="N22" s="732"/>
      <c r="O22" s="733"/>
      <c r="P22" s="734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629" t="s">
        <v>193</v>
      </c>
      <c r="B24" s="629"/>
      <c r="C24" s="263" t="s">
        <v>47</v>
      </c>
      <c r="D24" s="649" t="s">
        <v>12</v>
      </c>
      <c r="E24" s="650"/>
      <c r="F24" s="651"/>
      <c r="G24" s="639" t="s">
        <v>53</v>
      </c>
      <c r="H24" s="640"/>
      <c r="I24" s="641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0" t="s">
        <v>51</v>
      </c>
      <c r="P24" s="741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4.95" customHeight="1">
      <c r="A25" s="629">
        <v>3</v>
      </c>
      <c r="B25" s="644" t="s">
        <v>457</v>
      </c>
      <c r="C25" s="267">
        <v>1</v>
      </c>
      <c r="D25" s="248"/>
      <c r="E25" s="249"/>
      <c r="F25" s="250"/>
      <c r="G25" s="392"/>
      <c r="H25" s="393"/>
      <c r="I25" s="394"/>
      <c r="J25" s="280"/>
      <c r="K25" s="269"/>
      <c r="L25" s="268"/>
      <c r="M25" s="342">
        <f t="shared" ref="M25:M29" si="2">L25*J25</f>
        <v>0</v>
      </c>
      <c r="N25" s="281"/>
      <c r="O25" s="735"/>
      <c r="P25" s="736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4.95" customHeight="1">
      <c r="A26" s="629"/>
      <c r="B26" s="644"/>
      <c r="C26" s="267">
        <v>2</v>
      </c>
      <c r="D26" s="248"/>
      <c r="E26" s="249"/>
      <c r="F26" s="250"/>
      <c r="G26" s="392"/>
      <c r="H26" s="393"/>
      <c r="I26" s="394"/>
      <c r="J26" s="280"/>
      <c r="K26" s="269"/>
      <c r="L26" s="268"/>
      <c r="M26" s="342">
        <f t="shared" si="2"/>
        <v>0</v>
      </c>
      <c r="N26" s="281"/>
      <c r="O26" s="735"/>
      <c r="P26" s="736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4.95" customHeight="1">
      <c r="A27" s="629"/>
      <c r="B27" s="644"/>
      <c r="C27" s="267">
        <v>3</v>
      </c>
      <c r="D27" s="248"/>
      <c r="E27" s="249"/>
      <c r="F27" s="250"/>
      <c r="G27" s="392"/>
      <c r="H27" s="393"/>
      <c r="I27" s="394"/>
      <c r="J27" s="280"/>
      <c r="K27" s="269"/>
      <c r="L27" s="268"/>
      <c r="M27" s="342">
        <f t="shared" si="2"/>
        <v>0</v>
      </c>
      <c r="N27" s="281"/>
      <c r="O27" s="735"/>
      <c r="P27" s="736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4.95" customHeight="1">
      <c r="A28" s="629"/>
      <c r="B28" s="644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35"/>
      <c r="P28" s="736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4.95" customHeight="1" thickBot="1">
      <c r="A29" s="629"/>
      <c r="B29" s="644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35"/>
      <c r="P29" s="736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>
      <c r="A30" s="629"/>
      <c r="B30" s="644"/>
      <c r="C30" s="645"/>
      <c r="D30" s="646"/>
      <c r="E30" s="646"/>
      <c r="F30" s="646"/>
      <c r="G30" s="646"/>
      <c r="H30" s="646"/>
      <c r="I30" s="647"/>
      <c r="J30" s="285" t="s">
        <v>58</v>
      </c>
      <c r="K30" s="359">
        <f>M30/'生產管理報表 7-1(月)'!$B$10</f>
        <v>0</v>
      </c>
      <c r="L30" s="285" t="s">
        <v>59</v>
      </c>
      <c r="M30" s="343">
        <f>SUM(M25:M29)</f>
        <v>0</v>
      </c>
      <c r="N30" s="737"/>
      <c r="O30" s="738"/>
      <c r="P30" s="739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O18" sqref="O18:P18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</row>
    <row r="2" spans="1:20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</row>
    <row r="3" spans="1:20" s="138" customFormat="1" ht="15.75" customHeight="1">
      <c r="A3" s="624" t="s">
        <v>476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20" s="139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</row>
    <row r="5" spans="1:20" s="138" customFormat="1" ht="15.75" customHeight="1">
      <c r="A5" s="659" t="s">
        <v>193</v>
      </c>
      <c r="B5" s="661">
        <v>1</v>
      </c>
      <c r="C5" s="662"/>
      <c r="D5" s="661">
        <v>2</v>
      </c>
      <c r="E5" s="662"/>
      <c r="F5" s="661">
        <v>3</v>
      </c>
      <c r="G5" s="662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344">
        <v>8</v>
      </c>
    </row>
    <row r="6" spans="1:20" s="138" customFormat="1" ht="15.75" customHeight="1">
      <c r="A6" s="660"/>
      <c r="B6" s="656" t="s">
        <v>523</v>
      </c>
      <c r="C6" s="657"/>
      <c r="D6" s="656" t="s">
        <v>215</v>
      </c>
      <c r="E6" s="657"/>
      <c r="F6" s="656" t="s">
        <v>168</v>
      </c>
      <c r="G6" s="657"/>
      <c r="H6" s="654" t="s">
        <v>473</v>
      </c>
      <c r="I6" s="655"/>
      <c r="J6" s="654" t="s">
        <v>191</v>
      </c>
      <c r="K6" s="655"/>
      <c r="L6" s="654" t="s">
        <v>169</v>
      </c>
      <c r="M6" s="655"/>
      <c r="N6" s="654" t="s">
        <v>192</v>
      </c>
      <c r="O6" s="65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3" t="s">
        <v>193</v>
      </c>
      <c r="B8" s="664"/>
      <c r="C8" s="286" t="s">
        <v>47</v>
      </c>
      <c r="D8" s="742" t="s">
        <v>12</v>
      </c>
      <c r="E8" s="743"/>
      <c r="F8" s="744"/>
      <c r="G8" s="745" t="s">
        <v>53</v>
      </c>
      <c r="H8" s="746"/>
      <c r="I8" s="747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1" t="s">
        <v>51</v>
      </c>
      <c r="P8" s="672"/>
      <c r="R8" s="360"/>
      <c r="S8" s="361"/>
    </row>
    <row r="9" spans="1:20" s="310" customFormat="1" ht="60" customHeight="1">
      <c r="A9" s="673">
        <v>4</v>
      </c>
      <c r="B9" s="676" t="s">
        <v>473</v>
      </c>
      <c r="C9" s="290">
        <v>1</v>
      </c>
      <c r="D9" s="420" t="s">
        <v>349</v>
      </c>
      <c r="E9" s="393"/>
      <c r="F9" s="429"/>
      <c r="G9" s="251" t="s">
        <v>406</v>
      </c>
      <c r="H9" s="252"/>
      <c r="I9" s="251"/>
      <c r="J9" s="328">
        <v>127.84</v>
      </c>
      <c r="K9" s="329">
        <v>7.8631301874748042E-4</v>
      </c>
      <c r="L9" s="330">
        <v>283.24000000000012</v>
      </c>
      <c r="M9" s="339">
        <f t="shared" ref="M9:M13" si="0">L9*J9</f>
        <v>36209.401600000019</v>
      </c>
      <c r="N9" s="330"/>
      <c r="O9" s="681" t="s">
        <v>670</v>
      </c>
      <c r="P9" s="682"/>
      <c r="R9" s="362"/>
      <c r="S9" s="362"/>
    </row>
    <row r="10" spans="1:20" s="310" customFormat="1" ht="60" customHeight="1">
      <c r="A10" s="674"/>
      <c r="B10" s="677"/>
      <c r="C10" s="290">
        <v>2</v>
      </c>
      <c r="D10" s="388" t="s">
        <v>537</v>
      </c>
      <c r="E10" s="249"/>
      <c r="F10" s="250"/>
      <c r="G10" s="251" t="s">
        <v>542</v>
      </c>
      <c r="H10" s="252"/>
      <c r="I10" s="251"/>
      <c r="J10" s="328">
        <v>144.78</v>
      </c>
      <c r="K10" s="329">
        <v>1.484543352145281E-4</v>
      </c>
      <c r="L10" s="330">
        <v>163.8000000000003</v>
      </c>
      <c r="M10" s="339">
        <f t="shared" si="0"/>
        <v>23714.964000000044</v>
      </c>
      <c r="N10" s="330"/>
      <c r="O10" s="681" t="s">
        <v>671</v>
      </c>
      <c r="P10" s="682"/>
      <c r="R10" s="362"/>
      <c r="S10" s="362"/>
    </row>
    <row r="11" spans="1:20" s="310" customFormat="1" ht="60" customHeight="1">
      <c r="A11" s="674"/>
      <c r="B11" s="677"/>
      <c r="C11" s="290">
        <v>3</v>
      </c>
      <c r="D11" s="388" t="s">
        <v>479</v>
      </c>
      <c r="E11" s="249"/>
      <c r="F11" s="250"/>
      <c r="G11" s="251" t="s">
        <v>478</v>
      </c>
      <c r="H11" s="252"/>
      <c r="I11" s="251"/>
      <c r="J11" s="328">
        <v>368.13999999999993</v>
      </c>
      <c r="K11" s="329">
        <v>2.5955801807916127E-3</v>
      </c>
      <c r="L11" s="330">
        <v>58.499999999999901</v>
      </c>
      <c r="M11" s="339">
        <f t="shared" si="0"/>
        <v>21536.189999999959</v>
      </c>
      <c r="N11" s="330"/>
      <c r="O11" s="681" t="s">
        <v>672</v>
      </c>
      <c r="P11" s="682"/>
      <c r="R11" s="362"/>
      <c r="S11" s="360"/>
    </row>
    <row r="12" spans="1:20" s="310" customFormat="1" ht="60" customHeight="1">
      <c r="A12" s="674"/>
      <c r="B12" s="677"/>
      <c r="C12" s="290">
        <v>4</v>
      </c>
      <c r="D12" s="430" t="s">
        <v>364</v>
      </c>
      <c r="E12" s="249"/>
      <c r="F12" s="250"/>
      <c r="G12" s="442" t="s">
        <v>471</v>
      </c>
      <c r="H12" s="252"/>
      <c r="I12" s="251"/>
      <c r="J12" s="328">
        <v>99.51</v>
      </c>
      <c r="K12" s="329">
        <v>2.7853938909509933E-3</v>
      </c>
      <c r="L12" s="330">
        <v>199.75000000000017</v>
      </c>
      <c r="M12" s="339">
        <f t="shared" si="0"/>
        <v>19877.122500000019</v>
      </c>
      <c r="N12" s="330"/>
      <c r="O12" s="681" t="s">
        <v>673</v>
      </c>
      <c r="P12" s="682"/>
      <c r="R12" s="362"/>
      <c r="S12" s="360"/>
    </row>
    <row r="13" spans="1:20" s="310" customFormat="1" ht="60" customHeight="1" thickBot="1">
      <c r="A13" s="674"/>
      <c r="B13" s="677"/>
      <c r="C13" s="290">
        <v>5</v>
      </c>
      <c r="D13" s="430" t="s">
        <v>352</v>
      </c>
      <c r="E13" s="256"/>
      <c r="F13" s="257"/>
      <c r="G13" s="251" t="s">
        <v>345</v>
      </c>
      <c r="H13" s="252"/>
      <c r="I13" s="251"/>
      <c r="J13" s="332">
        <v>70.220000000000013</v>
      </c>
      <c r="K13" s="275">
        <v>2.268501017591342E-3</v>
      </c>
      <c r="L13" s="334">
        <v>258.97000000000048</v>
      </c>
      <c r="M13" s="339">
        <f t="shared" si="0"/>
        <v>18184.873400000037</v>
      </c>
      <c r="N13" s="330"/>
      <c r="O13" s="681" t="s">
        <v>673</v>
      </c>
      <c r="P13" s="682"/>
      <c r="R13" s="363"/>
      <c r="S13" s="360"/>
      <c r="T13" s="300"/>
    </row>
    <row r="14" spans="1:20" ht="15.75" customHeight="1" thickTop="1" thickBot="1">
      <c r="A14" s="675"/>
      <c r="B14" s="678"/>
      <c r="C14" s="687"/>
      <c r="D14" s="688"/>
      <c r="E14" s="688"/>
      <c r="F14" s="688"/>
      <c r="G14" s="688"/>
      <c r="H14" s="688"/>
      <c r="I14" s="689"/>
      <c r="J14" s="307" t="s">
        <v>58</v>
      </c>
      <c r="K14" s="359">
        <f>M14/'生產管理報表 7-1(月)'!$B$10</f>
        <v>0.14588945660583938</v>
      </c>
      <c r="L14" s="308" t="s">
        <v>59</v>
      </c>
      <c r="M14" s="351">
        <f>SUM(M9:M13)</f>
        <v>119522.55150000009</v>
      </c>
      <c r="N14" s="690"/>
      <c r="O14" s="691"/>
      <c r="P14" s="692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63" t="s">
        <v>193</v>
      </c>
      <c r="B16" s="664"/>
      <c r="C16" s="286" t="s">
        <v>47</v>
      </c>
      <c r="D16" s="665" t="s">
        <v>12</v>
      </c>
      <c r="E16" s="666"/>
      <c r="F16" s="667"/>
      <c r="G16" s="668" t="s">
        <v>53</v>
      </c>
      <c r="H16" s="669"/>
      <c r="I16" s="670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1" t="s">
        <v>51</v>
      </c>
      <c r="P16" s="672"/>
      <c r="S16" s="361"/>
      <c r="T16" s="310"/>
    </row>
    <row r="17" spans="1:20" s="310" customFormat="1" ht="60" customHeight="1">
      <c r="A17" s="673">
        <v>5</v>
      </c>
      <c r="B17" s="693" t="s">
        <v>218</v>
      </c>
      <c r="C17" s="290">
        <v>1</v>
      </c>
      <c r="D17" s="248" t="s">
        <v>349</v>
      </c>
      <c r="E17" s="249"/>
      <c r="F17" s="250"/>
      <c r="G17" s="318" t="s">
        <v>344</v>
      </c>
      <c r="H17" s="317"/>
      <c r="I17" s="318"/>
      <c r="J17" s="328">
        <v>147.43000000000004</v>
      </c>
      <c r="K17" s="329">
        <v>6.1663616060134618E-4</v>
      </c>
      <c r="L17" s="330">
        <v>433.4899999999991</v>
      </c>
      <c r="M17" s="339">
        <f t="shared" ref="M17:M19" si="1">L17*J17</f>
        <v>63909.430699999881</v>
      </c>
      <c r="N17" s="330"/>
      <c r="O17" s="748" t="s">
        <v>674</v>
      </c>
      <c r="P17" s="749"/>
      <c r="S17" s="360"/>
    </row>
    <row r="18" spans="1:20" s="310" customFormat="1" ht="20.100000000000001" customHeight="1">
      <c r="A18" s="674"/>
      <c r="B18" s="694"/>
      <c r="C18" s="290">
        <v>2</v>
      </c>
      <c r="D18" s="248"/>
      <c r="E18" s="249"/>
      <c r="F18" s="250"/>
      <c r="G18" s="294"/>
      <c r="H18" s="295"/>
      <c r="I18" s="296"/>
      <c r="J18" s="328"/>
      <c r="K18" s="329"/>
      <c r="L18" s="330"/>
      <c r="M18" s="339">
        <f t="shared" si="1"/>
        <v>0</v>
      </c>
      <c r="N18" s="330"/>
      <c r="O18" s="698"/>
      <c r="P18" s="699"/>
      <c r="S18" s="300"/>
      <c r="T18" s="300"/>
    </row>
    <row r="19" spans="1:20" ht="20.100000000000001" customHeight="1">
      <c r="A19" s="674"/>
      <c r="B19" s="694"/>
      <c r="C19" s="290">
        <v>3</v>
      </c>
      <c r="D19" s="291"/>
      <c r="E19" s="292"/>
      <c r="F19" s="293"/>
      <c r="G19" s="294"/>
      <c r="H19" s="295"/>
      <c r="I19" s="296"/>
      <c r="J19" s="297"/>
      <c r="K19" s="298"/>
      <c r="L19" s="299"/>
      <c r="M19" s="348">
        <f t="shared" si="1"/>
        <v>0</v>
      </c>
      <c r="N19" s="299"/>
      <c r="O19" s="720"/>
      <c r="P19" s="721"/>
    </row>
    <row r="20" spans="1:20" ht="20.100000000000001" customHeight="1">
      <c r="A20" s="674"/>
      <c r="B20" s="694"/>
      <c r="C20" s="290">
        <v>4</v>
      </c>
      <c r="D20" s="291"/>
      <c r="E20" s="292"/>
      <c r="F20" s="293"/>
      <c r="G20" s="294"/>
      <c r="H20" s="295"/>
      <c r="I20" s="296"/>
      <c r="J20" s="297"/>
      <c r="K20" s="298"/>
      <c r="L20" s="299"/>
      <c r="M20" s="349">
        <v>0</v>
      </c>
      <c r="N20" s="299"/>
      <c r="O20" s="311"/>
      <c r="P20" s="312"/>
    </row>
    <row r="21" spans="1:20" ht="20.100000000000001" customHeight="1" thickBot="1">
      <c r="A21" s="674"/>
      <c r="B21" s="694"/>
      <c r="C21" s="290">
        <v>5</v>
      </c>
      <c r="D21" s="301"/>
      <c r="E21" s="302"/>
      <c r="F21" s="303"/>
      <c r="G21" s="294"/>
      <c r="H21" s="295"/>
      <c r="I21" s="296"/>
      <c r="J21" s="304"/>
      <c r="K21" s="275"/>
      <c r="L21" s="306"/>
      <c r="M21" s="350">
        <v>0</v>
      </c>
      <c r="N21" s="299"/>
      <c r="O21" s="313"/>
      <c r="P21" s="314"/>
      <c r="R21" s="364"/>
    </row>
    <row r="22" spans="1:20" ht="15.75" customHeight="1" thickTop="1" thickBot="1">
      <c r="A22" s="675"/>
      <c r="B22" s="695"/>
      <c r="C22" s="702"/>
      <c r="D22" s="703"/>
      <c r="E22" s="703"/>
      <c r="F22" s="703"/>
      <c r="G22" s="703"/>
      <c r="H22" s="703"/>
      <c r="I22" s="704"/>
      <c r="J22" s="307" t="s">
        <v>58</v>
      </c>
      <c r="K22" s="359">
        <f>M22/'生產管理報表 7-1(月)'!$B$10</f>
        <v>7.8007974225780527E-2</v>
      </c>
      <c r="L22" s="308" t="s">
        <v>59</v>
      </c>
      <c r="M22" s="351">
        <f>SUM(M17:M21)</f>
        <v>63909.430699999881</v>
      </c>
      <c r="N22" s="690"/>
      <c r="O22" s="691"/>
      <c r="P22" s="692"/>
      <c r="R22" s="360"/>
    </row>
    <row r="23" spans="1:20" ht="15.75" customHeight="1" thickTop="1">
      <c r="M23" s="346"/>
      <c r="R23" s="360"/>
    </row>
    <row r="24" spans="1:20" ht="15.75" customHeight="1">
      <c r="A24" s="663" t="s">
        <v>193</v>
      </c>
      <c r="B24" s="664"/>
      <c r="C24" s="315" t="s">
        <v>47</v>
      </c>
      <c r="D24" s="707" t="s">
        <v>12</v>
      </c>
      <c r="E24" s="708"/>
      <c r="F24" s="709"/>
      <c r="G24" s="710" t="s">
        <v>53</v>
      </c>
      <c r="H24" s="711"/>
      <c r="I24" s="712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1" t="s">
        <v>51</v>
      </c>
      <c r="P24" s="672"/>
      <c r="R24" s="360"/>
    </row>
    <row r="25" spans="1:20" ht="60" customHeight="1">
      <c r="A25" s="673">
        <v>6</v>
      </c>
      <c r="B25" s="693" t="s">
        <v>219</v>
      </c>
      <c r="C25" s="290">
        <v>1</v>
      </c>
      <c r="D25" s="248" t="s">
        <v>537</v>
      </c>
      <c r="E25" s="292"/>
      <c r="F25" s="292"/>
      <c r="G25" s="391" t="s">
        <v>540</v>
      </c>
      <c r="H25" s="317"/>
      <c r="I25" s="318"/>
      <c r="J25" s="328">
        <v>327.16000000000003</v>
      </c>
      <c r="K25" s="329">
        <v>1.2091881460133504E-3</v>
      </c>
      <c r="L25" s="330">
        <v>85.639999999999972</v>
      </c>
      <c r="M25" s="339">
        <f t="shared" ref="M25:M28" si="2">L25*J25</f>
        <v>28017.982399999994</v>
      </c>
      <c r="N25" s="299"/>
      <c r="O25" s="750" t="s">
        <v>675</v>
      </c>
      <c r="P25" s="751"/>
    </row>
    <row r="26" spans="1:20" ht="60" customHeight="1">
      <c r="A26" s="674"/>
      <c r="B26" s="694"/>
      <c r="C26" s="290">
        <v>2</v>
      </c>
      <c r="D26" s="248" t="s">
        <v>500</v>
      </c>
      <c r="E26" s="292"/>
      <c r="F26" s="292"/>
      <c r="G26" s="391" t="s">
        <v>503</v>
      </c>
      <c r="H26" s="317"/>
      <c r="I26" s="318"/>
      <c r="J26" s="328">
        <v>68.42</v>
      </c>
      <c r="K26" s="329">
        <v>2.4354761540381826E-3</v>
      </c>
      <c r="L26" s="330">
        <v>265.06000000000063</v>
      </c>
      <c r="M26" s="339">
        <f t="shared" si="2"/>
        <v>18135.405200000045</v>
      </c>
      <c r="N26" s="299"/>
      <c r="O26" s="750" t="s">
        <v>676</v>
      </c>
      <c r="P26" s="751"/>
    </row>
    <row r="27" spans="1:20" ht="60" customHeight="1">
      <c r="A27" s="674"/>
      <c r="B27" s="694"/>
      <c r="C27" s="290">
        <v>3</v>
      </c>
      <c r="D27" s="248" t="s">
        <v>618</v>
      </c>
      <c r="E27" s="292"/>
      <c r="F27" s="292"/>
      <c r="G27" s="391" t="s">
        <v>625</v>
      </c>
      <c r="H27" s="317"/>
      <c r="I27" s="318"/>
      <c r="J27" s="328">
        <v>65.12</v>
      </c>
      <c r="K27" s="329">
        <v>0</v>
      </c>
      <c r="L27" s="330">
        <v>245.30000000000018</v>
      </c>
      <c r="M27" s="339">
        <f t="shared" si="2"/>
        <v>15973.936000000012</v>
      </c>
      <c r="N27" s="299"/>
      <c r="O27" s="750" t="s">
        <v>677</v>
      </c>
      <c r="P27" s="751"/>
    </row>
    <row r="28" spans="1:20" ht="60" customHeight="1">
      <c r="A28" s="674"/>
      <c r="B28" s="694"/>
      <c r="C28" s="290">
        <v>4</v>
      </c>
      <c r="D28" s="248" t="s">
        <v>351</v>
      </c>
      <c r="E28" s="292"/>
      <c r="F28" s="292"/>
      <c r="G28" s="391" t="s">
        <v>556</v>
      </c>
      <c r="H28" s="317"/>
      <c r="I28" s="318"/>
      <c r="J28" s="328">
        <v>605.77999999999986</v>
      </c>
      <c r="K28" s="329">
        <v>3.2379331943952231E-4</v>
      </c>
      <c r="L28" s="330">
        <v>25.54000000000017</v>
      </c>
      <c r="M28" s="339">
        <f t="shared" si="2"/>
        <v>15471.6212000001</v>
      </c>
      <c r="N28" s="299"/>
      <c r="O28" s="750" t="s">
        <v>678</v>
      </c>
      <c r="P28" s="751"/>
    </row>
    <row r="29" spans="1:20" ht="60" customHeight="1" thickBot="1">
      <c r="A29" s="674"/>
      <c r="B29" s="694"/>
      <c r="C29" s="290">
        <v>5</v>
      </c>
      <c r="D29" s="255" t="s">
        <v>591</v>
      </c>
      <c r="E29" s="302"/>
      <c r="F29" s="302"/>
      <c r="G29" s="428" t="s">
        <v>588</v>
      </c>
      <c r="H29" s="252"/>
      <c r="I29" s="251"/>
      <c r="J29" s="332">
        <v>407.74000000000007</v>
      </c>
      <c r="K29" s="275">
        <v>7.5973552505934896E-4</v>
      </c>
      <c r="L29" s="334">
        <v>20.740000000000109</v>
      </c>
      <c r="M29" s="339">
        <f>L29*J29</f>
        <v>8456.5276000000449</v>
      </c>
      <c r="N29" s="299"/>
      <c r="O29" s="750" t="s">
        <v>679</v>
      </c>
      <c r="P29" s="751"/>
    </row>
    <row r="30" spans="1:20" ht="15.75" customHeight="1" thickTop="1" thickBot="1">
      <c r="A30" s="675"/>
      <c r="B30" s="695"/>
      <c r="C30" s="702"/>
      <c r="D30" s="703"/>
      <c r="E30" s="703"/>
      <c r="F30" s="703"/>
      <c r="G30" s="703"/>
      <c r="H30" s="703"/>
      <c r="I30" s="704"/>
      <c r="J30" s="307" t="s">
        <v>58</v>
      </c>
      <c r="K30" s="359">
        <f>M30/'生產管理報表 7-1(月)'!$B$10</f>
        <v>0.10503947538632345</v>
      </c>
      <c r="L30" s="308" t="s">
        <v>59</v>
      </c>
      <c r="M30" s="351">
        <f>SUM(M25:M29)</f>
        <v>86055.472400000188</v>
      </c>
      <c r="N30" s="690"/>
      <c r="O30" s="691"/>
      <c r="P30" s="692"/>
    </row>
    <row r="31" spans="1:20" ht="15.75" customHeight="1" thickTop="1">
      <c r="M31" s="346"/>
    </row>
    <row r="32" spans="1:20" ht="15.75" customHeight="1">
      <c r="A32" s="663" t="s">
        <v>193</v>
      </c>
      <c r="B32" s="664"/>
      <c r="C32" s="315" t="s">
        <v>47</v>
      </c>
      <c r="D32" s="707" t="s">
        <v>12</v>
      </c>
      <c r="E32" s="708"/>
      <c r="F32" s="709"/>
      <c r="G32" s="710" t="s">
        <v>53</v>
      </c>
      <c r="H32" s="711"/>
      <c r="I32" s="712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1" t="s">
        <v>51</v>
      </c>
      <c r="P32" s="672"/>
    </row>
    <row r="33" spans="1:16" ht="15.75" customHeight="1">
      <c r="A33" s="673">
        <v>7</v>
      </c>
      <c r="B33" s="715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18"/>
      <c r="P33" s="719"/>
    </row>
    <row r="34" spans="1:16" ht="15.75" customHeight="1">
      <c r="A34" s="674"/>
      <c r="B34" s="716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0"/>
      <c r="P34" s="721"/>
    </row>
    <row r="35" spans="1:16" ht="15.75" customHeight="1">
      <c r="A35" s="674"/>
      <c r="B35" s="716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0"/>
      <c r="P35" s="721"/>
    </row>
    <row r="36" spans="1:16" ht="15.75" customHeight="1">
      <c r="A36" s="674"/>
      <c r="B36" s="716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15.75" customHeight="1" thickBot="1">
      <c r="A37" s="674"/>
      <c r="B37" s="716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75"/>
      <c r="B38" s="717"/>
      <c r="C38" s="702"/>
      <c r="D38" s="703"/>
      <c r="E38" s="703"/>
      <c r="F38" s="703"/>
      <c r="G38" s="703"/>
      <c r="H38" s="703"/>
      <c r="I38" s="704"/>
      <c r="J38" s="307" t="s">
        <v>58</v>
      </c>
      <c r="K38" s="359">
        <f>M38/'生產管理報表 7-1(月)'!$B$10</f>
        <v>0</v>
      </c>
      <c r="L38" s="308" t="s">
        <v>59</v>
      </c>
      <c r="M38" s="351">
        <f>SUM(M33:M37)</f>
        <v>0</v>
      </c>
      <c r="N38" s="690"/>
      <c r="O38" s="691"/>
      <c r="P38" s="692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59"/>
  <sheetViews>
    <sheetView view="pageBreakPreview" topLeftCell="A7" zoomScale="115" zoomScaleNormal="60" zoomScaleSheetLayoutView="115" workbookViewId="0">
      <selection activeCell="B21" sqref="B21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</row>
    <row r="2" spans="1:13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</row>
    <row r="3" spans="1:13" ht="15.75" customHeight="1">
      <c r="A3" s="624" t="s">
        <v>521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13" s="13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</row>
    <row r="5" spans="1:13" ht="15.75" customHeight="1">
      <c r="A5" s="230" t="s">
        <v>456</v>
      </c>
      <c r="B5" s="231">
        <v>31759.62</v>
      </c>
      <c r="E5" s="752" t="s">
        <v>522</v>
      </c>
      <c r="F5" s="753"/>
      <c r="G5" s="753"/>
      <c r="H5" s="753"/>
      <c r="I5" s="753"/>
      <c r="J5" s="753"/>
      <c r="K5" s="753"/>
      <c r="L5" s="753"/>
      <c r="M5" s="753"/>
    </row>
    <row r="6" spans="1:13" ht="15.75" customHeight="1">
      <c r="A6" s="754" t="s">
        <v>200</v>
      </c>
      <c r="B6" s="626" t="s">
        <v>10</v>
      </c>
      <c r="C6" s="626"/>
      <c r="D6" s="627"/>
      <c r="E6" s="625" t="s">
        <v>200</v>
      </c>
      <c r="F6" s="629">
        <v>1</v>
      </c>
      <c r="G6" s="629"/>
      <c r="H6" s="629">
        <v>2</v>
      </c>
      <c r="I6" s="629"/>
      <c r="J6" s="629">
        <v>3</v>
      </c>
      <c r="K6" s="629"/>
      <c r="L6" s="629">
        <v>4</v>
      </c>
      <c r="M6" s="629"/>
    </row>
    <row r="7" spans="1:13" ht="31.35" customHeight="1">
      <c r="A7" s="754"/>
      <c r="B7" s="626"/>
      <c r="C7" s="626"/>
      <c r="D7" s="628"/>
      <c r="E7" s="625"/>
      <c r="F7" s="621" t="s">
        <v>523</v>
      </c>
      <c r="G7" s="621"/>
      <c r="H7" s="621" t="s">
        <v>243</v>
      </c>
      <c r="I7" s="621"/>
      <c r="J7" s="621" t="s">
        <v>168</v>
      </c>
      <c r="K7" s="621"/>
      <c r="L7" s="621" t="s">
        <v>473</v>
      </c>
      <c r="M7" s="621"/>
    </row>
    <row r="8" spans="1:13" ht="15.75" customHeight="1">
      <c r="A8" s="754"/>
      <c r="B8" s="157" t="s">
        <v>11</v>
      </c>
      <c r="C8" s="157" t="s">
        <v>41</v>
      </c>
      <c r="D8" s="628"/>
      <c r="E8" s="625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2" t="s">
        <v>246</v>
      </c>
      <c r="B9" s="142">
        <f>日別報廢率總表!M4</f>
        <v>76524.503600000011</v>
      </c>
      <c r="C9" s="240">
        <f>B9/($B$5*1000)</f>
        <v>2.4094905291688002E-3</v>
      </c>
      <c r="D9" s="628"/>
      <c r="E9" s="141" t="s">
        <v>246</v>
      </c>
      <c r="F9" s="144">
        <f>'報廢20大－原因別分析'!AB8</f>
        <v>22744.064100000007</v>
      </c>
      <c r="G9" s="145">
        <f>'報廢20大－原因別分析'!AB9</f>
        <v>0.9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1677.7212</v>
      </c>
      <c r="K9" s="145">
        <f>'報廢20大－原因別分析'!AD9</f>
        <v>0.05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3" t="s">
        <v>247</v>
      </c>
      <c r="B10" s="147">
        <f>日別報廢率總表!N4</f>
        <v>174224.46629999997</v>
      </c>
      <c r="C10" s="143">
        <f>B10/($B$5*1000)</f>
        <v>5.4857226345907152E-3</v>
      </c>
      <c r="D10" s="628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59318.279899999987</v>
      </c>
      <c r="M10" s="145">
        <f>'超用20大－原因別分析'!AE9</f>
        <v>0.75</v>
      </c>
    </row>
    <row r="11" spans="1:13" ht="15.75" customHeight="1">
      <c r="A11" s="229" t="s">
        <v>439</v>
      </c>
      <c r="B11" s="435" t="s">
        <v>649</v>
      </c>
      <c r="C11" s="228"/>
      <c r="D11" s="628"/>
      <c r="E11" s="755" t="s">
        <v>200</v>
      </c>
      <c r="F11" s="661">
        <v>5</v>
      </c>
      <c r="G11" s="662"/>
      <c r="H11" s="661">
        <v>6</v>
      </c>
      <c r="I11" s="662"/>
      <c r="J11" s="661">
        <v>7</v>
      </c>
      <c r="K11" s="662"/>
      <c r="L11" s="758"/>
      <c r="M11" s="759"/>
    </row>
    <row r="12" spans="1:13" ht="31.35" customHeight="1">
      <c r="A12" s="138" t="s">
        <v>440</v>
      </c>
      <c r="B12" s="436" t="s">
        <v>649</v>
      </c>
      <c r="C12" s="228"/>
      <c r="D12" s="628"/>
      <c r="E12" s="756"/>
      <c r="F12" s="760" t="s">
        <v>191</v>
      </c>
      <c r="G12" s="761"/>
      <c r="H12" s="760" t="s">
        <v>169</v>
      </c>
      <c r="I12" s="761"/>
      <c r="J12" s="760" t="s">
        <v>192</v>
      </c>
      <c r="K12" s="761"/>
      <c r="L12" s="762"/>
      <c r="M12" s="763"/>
    </row>
    <row r="13" spans="1:13" ht="15.75" customHeight="1">
      <c r="D13" s="628"/>
      <c r="E13" s="757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28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1390.4999999999998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28"/>
      <c r="E15" s="146" t="s">
        <v>247</v>
      </c>
      <c r="F15" s="144">
        <f>'超用20大－原因別分析'!AF8</f>
        <v>17271.424500000005</v>
      </c>
      <c r="G15" s="145">
        <f>'超用20大－原因別分析'!AF9</f>
        <v>0.05</v>
      </c>
      <c r="H15" s="144">
        <f>'超用20大－原因別分析'!AG8</f>
        <v>21606.118799999975</v>
      </c>
      <c r="I15" s="145">
        <f>'超用20大－原因別分析'!AG9</f>
        <v>0.2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0" t="s">
        <v>456</v>
      </c>
      <c r="B16" s="231">
        <f>'生產管理報表(週) '!B6</f>
        <v>31225.639429999999</v>
      </c>
      <c r="E16" s="752" t="s">
        <v>522</v>
      </c>
      <c r="F16" s="753"/>
      <c r="G16" s="753"/>
      <c r="H16" s="753"/>
      <c r="I16" s="753"/>
      <c r="J16" s="753"/>
      <c r="K16" s="753"/>
      <c r="L16" s="753"/>
      <c r="M16" s="753"/>
    </row>
    <row r="17" spans="1:13" ht="15.75" customHeight="1">
      <c r="A17" s="754" t="s">
        <v>200</v>
      </c>
      <c r="B17" s="626" t="s">
        <v>10</v>
      </c>
      <c r="C17" s="626"/>
      <c r="D17" s="627"/>
      <c r="E17" s="625" t="s">
        <v>200</v>
      </c>
      <c r="F17" s="629">
        <v>1</v>
      </c>
      <c r="G17" s="629"/>
      <c r="H17" s="629">
        <v>2</v>
      </c>
      <c r="I17" s="629"/>
      <c r="J17" s="629">
        <v>3</v>
      </c>
      <c r="K17" s="629"/>
      <c r="L17" s="629">
        <v>4</v>
      </c>
      <c r="M17" s="629"/>
    </row>
    <row r="18" spans="1:13" ht="31.35" customHeight="1">
      <c r="A18" s="754"/>
      <c r="B18" s="626"/>
      <c r="C18" s="626"/>
      <c r="D18" s="628"/>
      <c r="E18" s="625"/>
      <c r="F18" s="621" t="s">
        <v>523</v>
      </c>
      <c r="G18" s="621"/>
      <c r="H18" s="621" t="s">
        <v>243</v>
      </c>
      <c r="I18" s="621"/>
      <c r="J18" s="621" t="s">
        <v>168</v>
      </c>
      <c r="K18" s="621"/>
      <c r="L18" s="621" t="s">
        <v>473</v>
      </c>
      <c r="M18" s="621"/>
    </row>
    <row r="19" spans="1:13" ht="15.75" customHeight="1">
      <c r="A19" s="754"/>
      <c r="B19" s="157" t="s">
        <v>11</v>
      </c>
      <c r="C19" s="157" t="s">
        <v>41</v>
      </c>
      <c r="D19" s="628"/>
      <c r="E19" s="625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2" t="s">
        <v>246</v>
      </c>
      <c r="B20" s="142">
        <f>日別報廢率總表!M11</f>
        <v>75123.120699999999</v>
      </c>
      <c r="C20" s="240">
        <f>B20/($B$16*1000)</f>
        <v>2.4058152874149165E-3</v>
      </c>
      <c r="D20" s="628"/>
      <c r="E20" s="141" t="s">
        <v>246</v>
      </c>
      <c r="F20" s="144">
        <f>'報廢20大－原因別分析'!AB32</f>
        <v>18968.966500000002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3567.3870000000002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3" t="s">
        <v>247</v>
      </c>
      <c r="B21" s="147">
        <f>日別報廢率總表!N11</f>
        <v>171190.35149999993</v>
      </c>
      <c r="C21" s="143">
        <f>B21/($B$16*1000)</f>
        <v>5.4823649611328374E-3</v>
      </c>
      <c r="D21" s="628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65756.071100000016</v>
      </c>
      <c r="M21" s="145">
        <f>'超用20大－原因別分析'!AE33</f>
        <v>0.8</v>
      </c>
    </row>
    <row r="22" spans="1:13" ht="15.75" customHeight="1">
      <c r="A22" s="229" t="s">
        <v>439</v>
      </c>
      <c r="B22" s="435" t="s">
        <v>708</v>
      </c>
      <c r="C22" s="228"/>
      <c r="D22" s="628"/>
      <c r="E22" s="625" t="s">
        <v>200</v>
      </c>
      <c r="F22" s="661">
        <v>5</v>
      </c>
      <c r="G22" s="662"/>
      <c r="H22" s="661">
        <v>6</v>
      </c>
      <c r="I22" s="662"/>
      <c r="J22" s="661">
        <v>7</v>
      </c>
      <c r="K22" s="662"/>
      <c r="L22" s="758"/>
      <c r="M22" s="759"/>
    </row>
    <row r="23" spans="1:13" ht="31.35" customHeight="1">
      <c r="A23" s="138" t="s">
        <v>440</v>
      </c>
      <c r="B23" s="436" t="s">
        <v>708</v>
      </c>
      <c r="C23" s="228"/>
      <c r="D23" s="628"/>
      <c r="E23" s="625"/>
      <c r="F23" s="760" t="s">
        <v>191</v>
      </c>
      <c r="G23" s="761"/>
      <c r="H23" s="760" t="s">
        <v>169</v>
      </c>
      <c r="I23" s="761"/>
      <c r="J23" s="760" t="s">
        <v>192</v>
      </c>
      <c r="K23" s="761"/>
      <c r="L23" s="762"/>
      <c r="M23" s="763"/>
    </row>
    <row r="24" spans="1:13" ht="15.75" customHeight="1">
      <c r="D24" s="628"/>
      <c r="E24" s="625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28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1560.45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28"/>
      <c r="E26" s="146" t="s">
        <v>247</v>
      </c>
      <c r="F26" s="144">
        <f>'超用20大－原因別分析'!AF32</f>
        <v>19513.834799999993</v>
      </c>
      <c r="G26" s="145">
        <f>'超用20大－原因別分析'!AF33</f>
        <v>0.05</v>
      </c>
      <c r="H26" s="144">
        <f>'超用20大－原因別分析'!AG32</f>
        <v>10625.95149999999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0" t="s">
        <v>456</v>
      </c>
      <c r="B27" s="231">
        <v>34195.479890000002</v>
      </c>
      <c r="E27" s="752" t="s">
        <v>522</v>
      </c>
      <c r="F27" s="753"/>
      <c r="G27" s="753"/>
      <c r="H27" s="753"/>
      <c r="I27" s="753"/>
      <c r="J27" s="753"/>
      <c r="K27" s="753"/>
      <c r="L27" s="753"/>
      <c r="M27" s="753"/>
    </row>
    <row r="28" spans="1:13" ht="15.75" customHeight="1">
      <c r="A28" s="754" t="s">
        <v>200</v>
      </c>
      <c r="B28" s="626" t="s">
        <v>10</v>
      </c>
      <c r="C28" s="626"/>
      <c r="D28" s="627"/>
      <c r="E28" s="625" t="s">
        <v>200</v>
      </c>
      <c r="F28" s="629">
        <v>1</v>
      </c>
      <c r="G28" s="629"/>
      <c r="H28" s="629">
        <v>2</v>
      </c>
      <c r="I28" s="629"/>
      <c r="J28" s="629">
        <v>3</v>
      </c>
      <c r="K28" s="629"/>
      <c r="L28" s="629">
        <v>4</v>
      </c>
      <c r="M28" s="629"/>
    </row>
    <row r="29" spans="1:13" ht="31.35" customHeight="1">
      <c r="A29" s="754"/>
      <c r="B29" s="626"/>
      <c r="C29" s="626"/>
      <c r="D29" s="628"/>
      <c r="E29" s="625"/>
      <c r="F29" s="621" t="s">
        <v>523</v>
      </c>
      <c r="G29" s="621"/>
      <c r="H29" s="621" t="s">
        <v>243</v>
      </c>
      <c r="I29" s="621"/>
      <c r="J29" s="621" t="s">
        <v>168</v>
      </c>
      <c r="K29" s="621"/>
      <c r="L29" s="621" t="s">
        <v>473</v>
      </c>
      <c r="M29" s="621"/>
    </row>
    <row r="30" spans="1:13" ht="15.75" customHeight="1">
      <c r="A30" s="754"/>
      <c r="B30" s="157" t="s">
        <v>11</v>
      </c>
      <c r="C30" s="157" t="s">
        <v>41</v>
      </c>
      <c r="D30" s="628"/>
      <c r="E30" s="625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2" t="s">
        <v>246</v>
      </c>
      <c r="B31" s="142">
        <f>日別報廢率總表!M18</f>
        <v>0</v>
      </c>
      <c r="C31" s="240">
        <f>B31/($B$27*1000)</f>
        <v>0</v>
      </c>
      <c r="D31" s="628"/>
      <c r="E31" s="141" t="s">
        <v>246</v>
      </c>
      <c r="F31" s="144">
        <f>'報廢20大－原因別分析'!AB56</f>
        <v>0</v>
      </c>
      <c r="G31" s="145">
        <f>'報廢20大－原因別分析'!AB57</f>
        <v>0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0</v>
      </c>
      <c r="K31" s="145">
        <f>'報廢20大－原因別分析'!AD57</f>
        <v>0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3" t="s">
        <v>247</v>
      </c>
      <c r="B32" s="147">
        <f>日別報廢率總表!N18</f>
        <v>0</v>
      </c>
      <c r="C32" s="143">
        <f>B32/($B$27*1000)</f>
        <v>0</v>
      </c>
      <c r="D32" s="628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0</v>
      </c>
      <c r="M32" s="145">
        <f>'超用20大－原因別分析'!AE57</f>
        <v>0</v>
      </c>
    </row>
    <row r="33" spans="1:13" ht="15.75" customHeight="1">
      <c r="A33" s="229" t="s">
        <v>439</v>
      </c>
      <c r="B33" s="435" t="s">
        <v>712</v>
      </c>
      <c r="C33" s="228"/>
      <c r="D33" s="628"/>
      <c r="E33" s="625" t="s">
        <v>200</v>
      </c>
      <c r="F33" s="661">
        <v>5</v>
      </c>
      <c r="G33" s="662"/>
      <c r="H33" s="661">
        <v>6</v>
      </c>
      <c r="I33" s="662"/>
      <c r="J33" s="661">
        <v>7</v>
      </c>
      <c r="K33" s="662"/>
      <c r="L33" s="758"/>
      <c r="M33" s="759"/>
    </row>
    <row r="34" spans="1:13" ht="31.35" customHeight="1">
      <c r="A34" s="138" t="s">
        <v>440</v>
      </c>
      <c r="B34" s="436" t="s">
        <v>712</v>
      </c>
      <c r="C34" s="228"/>
      <c r="D34" s="628"/>
      <c r="E34" s="625"/>
      <c r="F34" s="760" t="s">
        <v>191</v>
      </c>
      <c r="G34" s="761"/>
      <c r="H34" s="760" t="s">
        <v>169</v>
      </c>
      <c r="I34" s="761"/>
      <c r="J34" s="760" t="s">
        <v>192</v>
      </c>
      <c r="K34" s="761"/>
      <c r="L34" s="762"/>
      <c r="M34" s="763"/>
    </row>
    <row r="35" spans="1:13" ht="15.75" customHeight="1">
      <c r="D35" s="628"/>
      <c r="E35" s="625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28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0</v>
      </c>
      <c r="I36" s="145">
        <f>'報廢20大－原因別分析'!AG57</f>
        <v>0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28"/>
      <c r="E37" s="146" t="s">
        <v>247</v>
      </c>
      <c r="F37" s="144">
        <f>'超用20大－原因別分析'!AF56</f>
        <v>0</v>
      </c>
      <c r="G37" s="145">
        <f>'超用20大－原因別分析'!AF57</f>
        <v>0</v>
      </c>
      <c r="H37" s="144">
        <f>'超用20大－原因別分析'!AG56</f>
        <v>0</v>
      </c>
      <c r="I37" s="145">
        <f>'超用20大－原因別分析'!AG57</f>
        <v>0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0" t="s">
        <v>456</v>
      </c>
      <c r="B38" s="231">
        <v>33161.158969999997</v>
      </c>
      <c r="E38" s="752" t="s">
        <v>522</v>
      </c>
      <c r="F38" s="753"/>
      <c r="G38" s="753"/>
      <c r="H38" s="753"/>
      <c r="I38" s="753"/>
      <c r="J38" s="753"/>
      <c r="K38" s="753"/>
      <c r="L38" s="753"/>
      <c r="M38" s="753"/>
    </row>
    <row r="39" spans="1:13" ht="15.75" customHeight="1">
      <c r="A39" s="754" t="s">
        <v>200</v>
      </c>
      <c r="B39" s="626" t="s">
        <v>10</v>
      </c>
      <c r="C39" s="626"/>
      <c r="D39" s="627"/>
      <c r="E39" s="625" t="s">
        <v>200</v>
      </c>
      <c r="F39" s="629">
        <v>1</v>
      </c>
      <c r="G39" s="629"/>
      <c r="H39" s="629">
        <v>2</v>
      </c>
      <c r="I39" s="629"/>
      <c r="J39" s="629">
        <v>3</v>
      </c>
      <c r="K39" s="629"/>
      <c r="L39" s="629">
        <v>4</v>
      </c>
      <c r="M39" s="629"/>
    </row>
    <row r="40" spans="1:13" ht="31.35" customHeight="1">
      <c r="A40" s="754"/>
      <c r="B40" s="626"/>
      <c r="C40" s="626"/>
      <c r="D40" s="628"/>
      <c r="E40" s="625"/>
      <c r="F40" s="621" t="s">
        <v>523</v>
      </c>
      <c r="G40" s="621"/>
      <c r="H40" s="621" t="s">
        <v>243</v>
      </c>
      <c r="I40" s="621"/>
      <c r="J40" s="621" t="s">
        <v>168</v>
      </c>
      <c r="K40" s="621"/>
      <c r="L40" s="621" t="s">
        <v>473</v>
      </c>
      <c r="M40" s="621"/>
    </row>
    <row r="41" spans="1:13" ht="15.75" customHeight="1">
      <c r="A41" s="754"/>
      <c r="B41" s="157" t="s">
        <v>11</v>
      </c>
      <c r="C41" s="157" t="s">
        <v>41</v>
      </c>
      <c r="D41" s="628"/>
      <c r="E41" s="625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2" t="s">
        <v>246</v>
      </c>
      <c r="B42" s="142">
        <f>日別報廢率總表!M25</f>
        <v>0</v>
      </c>
      <c r="C42" s="240">
        <f>B42/($B$38*1000)</f>
        <v>0</v>
      </c>
      <c r="D42" s="628"/>
      <c r="E42" s="141" t="s">
        <v>246</v>
      </c>
      <c r="F42" s="144">
        <f>'報廢20大－原因別分析'!AB80</f>
        <v>0</v>
      </c>
      <c r="G42" s="145">
        <f>'報廢20大－原因別分析'!AB81</f>
        <v>0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0</v>
      </c>
      <c r="K42" s="145">
        <f>'報廢20大－原因別分析'!AD81</f>
        <v>0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3" t="s">
        <v>247</v>
      </c>
      <c r="B43" s="147">
        <f>日別報廢率總表!N25</f>
        <v>0</v>
      </c>
      <c r="C43" s="143">
        <f>B43/($B$38*1000)</f>
        <v>0</v>
      </c>
      <c r="D43" s="628"/>
      <c r="E43" s="146" t="s">
        <v>247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0</v>
      </c>
      <c r="M43" s="145">
        <f>'超用20大－原因別分析'!AE81</f>
        <v>0</v>
      </c>
    </row>
    <row r="44" spans="1:13" ht="15.75" customHeight="1">
      <c r="A44" s="229" t="s">
        <v>439</v>
      </c>
      <c r="B44" s="435" t="s">
        <v>713</v>
      </c>
      <c r="C44" s="228"/>
      <c r="D44" s="628"/>
      <c r="E44" s="625" t="s">
        <v>200</v>
      </c>
      <c r="F44" s="661">
        <v>5</v>
      </c>
      <c r="G44" s="662"/>
      <c r="H44" s="661">
        <v>6</v>
      </c>
      <c r="I44" s="662"/>
      <c r="J44" s="661">
        <v>7</v>
      </c>
      <c r="K44" s="662"/>
      <c r="L44" s="758"/>
      <c r="M44" s="759"/>
    </row>
    <row r="45" spans="1:13" ht="31.35" customHeight="1">
      <c r="A45" s="138" t="s">
        <v>440</v>
      </c>
      <c r="B45" s="436" t="s">
        <v>714</v>
      </c>
      <c r="C45" s="228"/>
      <c r="D45" s="628"/>
      <c r="E45" s="625"/>
      <c r="F45" s="760" t="s">
        <v>191</v>
      </c>
      <c r="G45" s="761"/>
      <c r="H45" s="760" t="s">
        <v>169</v>
      </c>
      <c r="I45" s="761"/>
      <c r="J45" s="760" t="s">
        <v>192</v>
      </c>
      <c r="K45" s="761"/>
      <c r="L45" s="762"/>
      <c r="M45" s="763"/>
    </row>
    <row r="46" spans="1:13" ht="15.75" customHeight="1">
      <c r="D46" s="628"/>
      <c r="E46" s="625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28"/>
      <c r="E47" s="141" t="s">
        <v>246</v>
      </c>
      <c r="F47" s="144">
        <f>'報廢20大－原因別分析'!AF80</f>
        <v>0</v>
      </c>
      <c r="G47" s="145">
        <f>'報廢20大－原因別分析'!AF81</f>
        <v>0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28"/>
      <c r="E48" s="146" t="s">
        <v>247</v>
      </c>
      <c r="F48" s="144">
        <f>'超用20大－原因別分析'!AF80</f>
        <v>0</v>
      </c>
      <c r="G48" s="145">
        <f>'超用20大－原因別分析'!AF81</f>
        <v>0</v>
      </c>
      <c r="H48" s="144">
        <f>'超用20大－原因別分析'!AG80</f>
        <v>0</v>
      </c>
      <c r="I48" s="145">
        <f>'超用20大－原因別分析'!AG81</f>
        <v>0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30" t="s">
        <v>456</v>
      </c>
      <c r="B49" s="231">
        <v>33925.347980000006</v>
      </c>
      <c r="E49" s="752" t="s">
        <v>522</v>
      </c>
      <c r="F49" s="753"/>
      <c r="G49" s="753"/>
      <c r="H49" s="753"/>
      <c r="I49" s="753"/>
      <c r="J49" s="753"/>
      <c r="K49" s="753"/>
      <c r="L49" s="753"/>
      <c r="M49" s="753"/>
    </row>
    <row r="50" spans="1:13" ht="15.75" customHeight="1">
      <c r="A50" s="754" t="s">
        <v>200</v>
      </c>
      <c r="B50" s="626" t="s">
        <v>10</v>
      </c>
      <c r="C50" s="626"/>
      <c r="D50" s="627"/>
      <c r="E50" s="625" t="s">
        <v>200</v>
      </c>
      <c r="F50" s="629">
        <v>1</v>
      </c>
      <c r="G50" s="629"/>
      <c r="H50" s="629">
        <v>2</v>
      </c>
      <c r="I50" s="629"/>
      <c r="J50" s="629">
        <v>3</v>
      </c>
      <c r="K50" s="629"/>
      <c r="L50" s="629">
        <v>4</v>
      </c>
      <c r="M50" s="629"/>
    </row>
    <row r="51" spans="1:13" ht="31.35" customHeight="1">
      <c r="A51" s="754"/>
      <c r="B51" s="626"/>
      <c r="C51" s="626"/>
      <c r="D51" s="628"/>
      <c r="E51" s="625"/>
      <c r="F51" s="621" t="s">
        <v>523</v>
      </c>
      <c r="G51" s="621"/>
      <c r="H51" s="621" t="s">
        <v>243</v>
      </c>
      <c r="I51" s="621"/>
      <c r="J51" s="621" t="s">
        <v>168</v>
      </c>
      <c r="K51" s="621"/>
      <c r="L51" s="621" t="s">
        <v>473</v>
      </c>
      <c r="M51" s="621"/>
    </row>
    <row r="52" spans="1:13" ht="15.75" customHeight="1">
      <c r="A52" s="754"/>
      <c r="B52" s="157" t="s">
        <v>11</v>
      </c>
      <c r="C52" s="157" t="s">
        <v>41</v>
      </c>
      <c r="D52" s="628"/>
      <c r="E52" s="625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2" t="s">
        <v>246</v>
      </c>
      <c r="B53" s="142">
        <f>日別報廢率總表!M32</f>
        <v>0</v>
      </c>
      <c r="C53" s="240">
        <f>B53/($B$49*1000)</f>
        <v>0</v>
      </c>
      <c r="D53" s="628"/>
      <c r="E53" s="141" t="s">
        <v>246</v>
      </c>
      <c r="F53" s="144">
        <f>'報廢20大－原因別分析'!AB104</f>
        <v>0</v>
      </c>
      <c r="G53" s="145">
        <f>'報廢20大－原因別分析'!AB105</f>
        <v>0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0</v>
      </c>
      <c r="K53" s="145">
        <f>'報廢20大－原因別分析'!AD105</f>
        <v>0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3" t="s">
        <v>247</v>
      </c>
      <c r="B54" s="147">
        <f>日別報廢率總表!N32</f>
        <v>0</v>
      </c>
      <c r="C54" s="143">
        <f>B54/($B$49*1000)</f>
        <v>0</v>
      </c>
      <c r="D54" s="628"/>
      <c r="E54" s="146" t="s">
        <v>247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0</v>
      </c>
      <c r="M54" s="145">
        <f>'超用20大－原因別分析'!AE105</f>
        <v>0</v>
      </c>
    </row>
    <row r="55" spans="1:13" ht="15.75" customHeight="1">
      <c r="A55" s="229" t="s">
        <v>439</v>
      </c>
      <c r="B55" s="435" t="s">
        <v>715</v>
      </c>
      <c r="C55" s="228"/>
      <c r="D55" s="628"/>
      <c r="E55" s="625" t="s">
        <v>200</v>
      </c>
      <c r="F55" s="661">
        <v>5</v>
      </c>
      <c r="G55" s="662"/>
      <c r="H55" s="661">
        <v>6</v>
      </c>
      <c r="I55" s="662"/>
      <c r="J55" s="661">
        <v>7</v>
      </c>
      <c r="K55" s="662"/>
      <c r="L55" s="758"/>
      <c r="M55" s="759"/>
    </row>
    <row r="56" spans="1:13" ht="31.35" customHeight="1">
      <c r="A56" s="138" t="s">
        <v>440</v>
      </c>
      <c r="B56" s="436" t="s">
        <v>715</v>
      </c>
      <c r="C56" s="228"/>
      <c r="D56" s="628"/>
      <c r="E56" s="625"/>
      <c r="F56" s="760" t="s">
        <v>191</v>
      </c>
      <c r="G56" s="761"/>
      <c r="H56" s="760" t="s">
        <v>169</v>
      </c>
      <c r="I56" s="761"/>
      <c r="J56" s="760" t="s">
        <v>192</v>
      </c>
      <c r="K56" s="761"/>
      <c r="L56" s="762"/>
      <c r="M56" s="763"/>
    </row>
    <row r="57" spans="1:13" ht="15.75" customHeight="1">
      <c r="D57" s="628"/>
      <c r="E57" s="625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28"/>
      <c r="E58" s="141" t="s">
        <v>246</v>
      </c>
      <c r="F58" s="144">
        <f>'報廢20大－原因別分析'!AF104</f>
        <v>0</v>
      </c>
      <c r="G58" s="145">
        <f>'報廢20大－原因別分析'!AF105</f>
        <v>0</v>
      </c>
      <c r="H58" s="144">
        <f>'報廢20大－原因別分析'!AG104</f>
        <v>0</v>
      </c>
      <c r="I58" s="145">
        <f>'報廢20大－原因別分析'!AG105</f>
        <v>0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28"/>
      <c r="E59" s="146" t="s">
        <v>247</v>
      </c>
      <c r="F59" s="144">
        <f>'超用20大－原因別分析'!AF104</f>
        <v>0</v>
      </c>
      <c r="G59" s="145">
        <f>'超用20大－原因別分析'!AF105</f>
        <v>0</v>
      </c>
      <c r="H59" s="144">
        <f>'超用20大－原因別分析'!AG104</f>
        <v>0</v>
      </c>
      <c r="I59" s="145">
        <f>'超用20大－原因別分析'!AG105</f>
        <v>0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42"/>
  <sheetViews>
    <sheetView view="pageBreakPreview" topLeftCell="A13" zoomScaleNormal="60" zoomScaleSheetLayoutView="100" workbookViewId="0">
      <selection activeCell="K126" sqref="K126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0" t="s">
        <v>381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75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75" s="138" customFormat="1" ht="15.75" customHeight="1">
      <c r="A3" s="783" t="s">
        <v>557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R3" s="242"/>
      <c r="S3" s="242"/>
      <c r="T3" s="242"/>
      <c r="U3" s="242"/>
    </row>
    <row r="4" spans="1:75" s="139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</row>
    <row r="5" spans="1:75" s="138" customFormat="1" ht="15.75" customHeight="1">
      <c r="A5" s="659" t="s">
        <v>193</v>
      </c>
      <c r="B5" s="652">
        <v>1</v>
      </c>
      <c r="C5" s="653"/>
      <c r="D5" s="652">
        <v>2</v>
      </c>
      <c r="E5" s="653"/>
      <c r="F5" s="652">
        <v>3</v>
      </c>
      <c r="G5" s="653"/>
      <c r="H5" s="661">
        <v>4</v>
      </c>
      <c r="I5" s="662"/>
      <c r="J5" s="661">
        <v>5</v>
      </c>
      <c r="K5" s="662"/>
      <c r="L5" s="661">
        <v>6</v>
      </c>
      <c r="M5" s="662"/>
      <c r="N5" s="661">
        <v>7</v>
      </c>
      <c r="O5" s="662"/>
      <c r="P5" s="661">
        <v>8</v>
      </c>
      <c r="Q5" s="662"/>
      <c r="R5" s="242"/>
      <c r="S5" s="242"/>
      <c r="T5" s="242"/>
      <c r="U5" s="242"/>
    </row>
    <row r="6" spans="1:75" s="138" customFormat="1" ht="15.75" customHeight="1">
      <c r="A6" s="660"/>
      <c r="B6" s="654" t="s">
        <v>523</v>
      </c>
      <c r="C6" s="655"/>
      <c r="D6" s="654" t="s">
        <v>215</v>
      </c>
      <c r="E6" s="655"/>
      <c r="F6" s="654" t="s">
        <v>168</v>
      </c>
      <c r="G6" s="655"/>
      <c r="H6" s="656" t="s">
        <v>473</v>
      </c>
      <c r="I6" s="657"/>
      <c r="J6" s="656" t="s">
        <v>191</v>
      </c>
      <c r="K6" s="657"/>
      <c r="L6" s="656" t="s">
        <v>169</v>
      </c>
      <c r="M6" s="657"/>
      <c r="N6" s="656" t="s">
        <v>192</v>
      </c>
      <c r="O6" s="657"/>
      <c r="P6" s="781" t="s">
        <v>220</v>
      </c>
      <c r="Q6" s="782"/>
      <c r="R6" s="242"/>
      <c r="S6" s="242"/>
      <c r="T6" s="242"/>
      <c r="U6" s="242"/>
    </row>
    <row r="7" spans="1:75" s="138" customFormat="1" ht="15.75" customHeight="1">
      <c r="B7" s="243"/>
      <c r="C7" s="244"/>
      <c r="R7" s="242"/>
      <c r="S7" s="242"/>
      <c r="T7" s="242"/>
      <c r="U7" s="242"/>
    </row>
    <row r="8" spans="1:75" s="246" customFormat="1" ht="15.75" customHeight="1">
      <c r="A8" s="661" t="s">
        <v>193</v>
      </c>
      <c r="B8" s="662"/>
      <c r="C8" s="245" t="s">
        <v>47</v>
      </c>
      <c r="D8" s="774" t="s">
        <v>12</v>
      </c>
      <c r="E8" s="650"/>
      <c r="F8" s="764"/>
      <c r="G8" s="775" t="s">
        <v>53</v>
      </c>
      <c r="H8" s="776"/>
      <c r="I8" s="777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778" t="s">
        <v>51</v>
      </c>
      <c r="P8" s="779"/>
    </row>
    <row r="9" spans="1:75" s="138" customFormat="1" ht="45" customHeight="1">
      <c r="A9" s="765">
        <v>1</v>
      </c>
      <c r="B9" s="768" t="s">
        <v>524</v>
      </c>
      <c r="C9" s="247">
        <v>1</v>
      </c>
      <c r="D9" s="248" t="s">
        <v>378</v>
      </c>
      <c r="E9" s="249"/>
      <c r="F9" s="249"/>
      <c r="G9" s="426" t="s">
        <v>375</v>
      </c>
      <c r="H9" s="317"/>
      <c r="I9" s="318"/>
      <c r="J9" s="247">
        <v>152.75</v>
      </c>
      <c r="K9" s="253">
        <v>1.8823067098929166E-2</v>
      </c>
      <c r="L9" s="247">
        <v>19.159999999999997</v>
      </c>
      <c r="M9" s="339">
        <f>L9*J9</f>
        <v>2926.6899999999996</v>
      </c>
      <c r="N9" s="254"/>
      <c r="O9" s="679" t="s">
        <v>563</v>
      </c>
      <c r="P9" s="680"/>
      <c r="R9" s="242"/>
      <c r="S9" s="272"/>
      <c r="T9" s="272"/>
      <c r="U9" s="242"/>
    </row>
    <row r="10" spans="1:75" s="138" customFormat="1" ht="45" customHeight="1">
      <c r="A10" s="766"/>
      <c r="B10" s="769"/>
      <c r="C10" s="247">
        <v>2</v>
      </c>
      <c r="D10" s="248" t="s">
        <v>351</v>
      </c>
      <c r="E10" s="249"/>
      <c r="F10" s="249"/>
      <c r="G10" s="421" t="s">
        <v>343</v>
      </c>
      <c r="H10" s="393"/>
      <c r="I10" s="394"/>
      <c r="J10" s="247">
        <v>141.66999999999999</v>
      </c>
      <c r="K10" s="253">
        <v>2.3041399720316103E-2</v>
      </c>
      <c r="L10" s="247">
        <v>14.169999999999998</v>
      </c>
      <c r="M10" s="339">
        <f t="shared" ref="M10:M13" si="0">L10*J10</f>
        <v>2007.4638999999995</v>
      </c>
      <c r="N10" s="254"/>
      <c r="O10" s="679" t="s">
        <v>563</v>
      </c>
      <c r="P10" s="680"/>
      <c r="R10" s="242"/>
      <c r="S10" s="213"/>
      <c r="T10" s="213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s="138" customFormat="1" ht="45" customHeight="1">
      <c r="A11" s="766"/>
      <c r="B11" s="769"/>
      <c r="C11" s="247">
        <v>3</v>
      </c>
      <c r="D11" s="248" t="s">
        <v>555</v>
      </c>
      <c r="E11" s="249"/>
      <c r="F11" s="249"/>
      <c r="G11" s="421" t="s">
        <v>551</v>
      </c>
      <c r="H11" s="393"/>
      <c r="I11" s="394"/>
      <c r="J11" s="247">
        <v>153.19000000000003</v>
      </c>
      <c r="K11" s="253">
        <v>4.3518199563669771E-2</v>
      </c>
      <c r="L11" s="247">
        <v>11.370000000000001</v>
      </c>
      <c r="M11" s="339">
        <f t="shared" si="0"/>
        <v>1741.7703000000004</v>
      </c>
      <c r="N11" s="254"/>
      <c r="O11" s="780" t="s">
        <v>564</v>
      </c>
      <c r="P11" s="736"/>
      <c r="R11" s="242"/>
      <c r="S11" s="272"/>
      <c r="T11" s="27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s="138" customFormat="1" ht="45" customHeight="1">
      <c r="A12" s="766"/>
      <c r="B12" s="769"/>
      <c r="C12" s="247">
        <v>4</v>
      </c>
      <c r="D12" s="248" t="s">
        <v>366</v>
      </c>
      <c r="E12" s="249"/>
      <c r="F12" s="249"/>
      <c r="G12" s="421" t="s">
        <v>374</v>
      </c>
      <c r="H12" s="393"/>
      <c r="I12" s="394"/>
      <c r="J12" s="247">
        <v>253.92000000000002</v>
      </c>
      <c r="K12" s="253">
        <v>2.7767510626501568E-2</v>
      </c>
      <c r="L12" s="247">
        <v>6.01</v>
      </c>
      <c r="M12" s="339">
        <f t="shared" si="0"/>
        <v>1526.0592000000001</v>
      </c>
      <c r="N12" s="254"/>
      <c r="O12" s="780" t="s">
        <v>567</v>
      </c>
      <c r="P12" s="736"/>
      <c r="R12" s="242"/>
      <c r="S12" s="213"/>
      <c r="T12" s="213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s="138" customFormat="1" ht="45" customHeight="1" thickBot="1">
      <c r="A13" s="766"/>
      <c r="B13" s="769"/>
      <c r="C13" s="247">
        <v>5</v>
      </c>
      <c r="D13" s="255" t="s">
        <v>366</v>
      </c>
      <c r="E13" s="256"/>
      <c r="F13" s="256"/>
      <c r="G13" s="426" t="s">
        <v>373</v>
      </c>
      <c r="H13" s="317"/>
      <c r="I13" s="318"/>
      <c r="J13" s="258">
        <v>183.65000000000003</v>
      </c>
      <c r="K13" s="259">
        <v>2.9104477611940297E-2</v>
      </c>
      <c r="L13" s="258">
        <v>7.8</v>
      </c>
      <c r="M13" s="340">
        <f t="shared" si="0"/>
        <v>1432.4700000000003</v>
      </c>
      <c r="N13" s="254"/>
      <c r="O13" s="780" t="s">
        <v>570</v>
      </c>
      <c r="P13" s="736"/>
      <c r="R13" s="242"/>
      <c r="S13" s="272"/>
      <c r="T13" s="27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s="138" customFormat="1" ht="15.75" customHeight="1" thickTop="1">
      <c r="A14" s="767"/>
      <c r="B14" s="770"/>
      <c r="C14" s="639"/>
      <c r="D14" s="640"/>
      <c r="E14" s="640"/>
      <c r="F14" s="640"/>
      <c r="G14" s="640"/>
      <c r="H14" s="640"/>
      <c r="I14" s="773"/>
      <c r="J14" s="260" t="s">
        <v>58</v>
      </c>
      <c r="K14" s="215">
        <f>M14/'生產管理報表 7-1 (週)'!$B$20</f>
        <v>0.12824884416709273</v>
      </c>
      <c r="L14" s="260" t="s">
        <v>59</v>
      </c>
      <c r="M14" s="341">
        <f>SUM(M9:M13)</f>
        <v>9634.4533999999985</v>
      </c>
      <c r="N14" s="725"/>
      <c r="O14" s="726"/>
      <c r="P14" s="727"/>
      <c r="R14" s="242"/>
      <c r="S14" s="213"/>
      <c r="T14" s="213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s="138" customFormat="1" ht="15.75" customHeight="1">
      <c r="B15" s="243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R15" s="242"/>
      <c r="S15" s="272"/>
      <c r="T15" s="27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s="138" customFormat="1" ht="15.75" customHeight="1">
      <c r="A16" s="661" t="s">
        <v>193</v>
      </c>
      <c r="B16" s="662"/>
      <c r="C16" s="263" t="s">
        <v>47</v>
      </c>
      <c r="D16" s="649" t="s">
        <v>12</v>
      </c>
      <c r="E16" s="650"/>
      <c r="F16" s="651"/>
      <c r="G16" s="649" t="s">
        <v>53</v>
      </c>
      <c r="H16" s="650"/>
      <c r="I16" s="651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28" t="s">
        <v>51</v>
      </c>
      <c r="P16" s="729"/>
      <c r="R16" s="242"/>
      <c r="S16" s="213"/>
      <c r="T16" s="213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s="138" customFormat="1" ht="20.100000000000001" customHeight="1">
      <c r="A17" s="765">
        <v>2</v>
      </c>
      <c r="B17" s="768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0"/>
      <c r="P17" s="731"/>
      <c r="R17" s="242"/>
      <c r="S17" s="272"/>
      <c r="T17" s="27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s="138" customFormat="1" ht="20.100000000000001" customHeight="1">
      <c r="A18" s="766"/>
      <c r="B18" s="769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0"/>
      <c r="P18" s="731"/>
      <c r="R18" s="242"/>
      <c r="S18" s="213"/>
      <c r="T18" s="213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s="138" customFormat="1" ht="20.100000000000001" customHeight="1">
      <c r="A19" s="766"/>
      <c r="B19" s="769"/>
      <c r="C19" s="267">
        <v>3</v>
      </c>
      <c r="D19" s="248"/>
      <c r="E19" s="249"/>
      <c r="F19" s="250"/>
      <c r="G19" s="248"/>
      <c r="H19" s="249"/>
      <c r="I19" s="279"/>
      <c r="J19" s="268"/>
      <c r="K19" s="269"/>
      <c r="L19" s="268"/>
      <c r="M19" s="270">
        <f t="shared" si="1"/>
        <v>0</v>
      </c>
      <c r="N19" s="271"/>
      <c r="O19" s="730"/>
      <c r="P19" s="731"/>
      <c r="R19" s="242"/>
      <c r="S19" s="272"/>
      <c r="T19" s="27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s="138" customFormat="1" ht="20.100000000000001" customHeight="1">
      <c r="A20" s="766"/>
      <c r="B20" s="769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0"/>
      <c r="P20" s="731"/>
      <c r="R20" s="242"/>
      <c r="S20" s="213"/>
      <c r="T20" s="213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s="138" customFormat="1" ht="20.100000000000001" customHeight="1" thickBot="1">
      <c r="A21" s="766"/>
      <c r="B21" s="769"/>
      <c r="C21" s="273">
        <v>5</v>
      </c>
      <c r="D21" s="255"/>
      <c r="E21" s="256"/>
      <c r="F21" s="257"/>
      <c r="G21" s="248"/>
      <c r="H21" s="249"/>
      <c r="I21" s="250"/>
      <c r="J21" s="274"/>
      <c r="K21" s="275"/>
      <c r="L21" s="274"/>
      <c r="M21" s="276">
        <f t="shared" si="1"/>
        <v>0</v>
      </c>
      <c r="N21" s="277"/>
      <c r="O21" s="730"/>
      <c r="P21" s="731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s="138" customFormat="1" ht="15.75" customHeight="1" thickTop="1">
      <c r="A22" s="767"/>
      <c r="B22" s="770"/>
      <c r="C22" s="639"/>
      <c r="D22" s="640"/>
      <c r="E22" s="640"/>
      <c r="F22" s="640"/>
      <c r="G22" s="640"/>
      <c r="H22" s="640"/>
      <c r="I22" s="773"/>
      <c r="J22" s="260" t="s">
        <v>58</v>
      </c>
      <c r="K22" s="215">
        <f>M22/'生產管理報表 7-1 (週)'!$B$20</f>
        <v>0</v>
      </c>
      <c r="L22" s="260" t="s">
        <v>59</v>
      </c>
      <c r="M22" s="261">
        <f>SUM(M17:M21)</f>
        <v>0</v>
      </c>
      <c r="N22" s="732"/>
      <c r="O22" s="733"/>
      <c r="P22" s="734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s="138" customFormat="1" ht="15.75" customHeight="1">
      <c r="B23" s="243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s="138" customFormat="1" ht="15.75" customHeight="1">
      <c r="A24" s="661" t="s">
        <v>193</v>
      </c>
      <c r="B24" s="662"/>
      <c r="C24" s="263" t="s">
        <v>47</v>
      </c>
      <c r="D24" s="649" t="s">
        <v>12</v>
      </c>
      <c r="E24" s="650"/>
      <c r="F24" s="651"/>
      <c r="G24" s="649" t="s">
        <v>53</v>
      </c>
      <c r="H24" s="650"/>
      <c r="I24" s="764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0" t="s">
        <v>51</v>
      </c>
      <c r="P24" s="741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s="138" customFormat="1" ht="50.1" customHeight="1">
      <c r="A25" s="765">
        <v>3</v>
      </c>
      <c r="B25" s="768" t="s">
        <v>457</v>
      </c>
      <c r="C25" s="267">
        <v>1</v>
      </c>
      <c r="D25" s="248" t="s">
        <v>443</v>
      </c>
      <c r="E25" s="249"/>
      <c r="F25" s="250"/>
      <c r="G25" s="390" t="s">
        <v>459</v>
      </c>
      <c r="H25" s="326"/>
      <c r="I25" s="390"/>
      <c r="J25" s="268">
        <v>122.81999999999996</v>
      </c>
      <c r="K25" s="269">
        <v>2.5736142418487422E-2</v>
      </c>
      <c r="L25" s="268">
        <v>14.5</v>
      </c>
      <c r="M25" s="342">
        <f t="shared" ref="M25:M29" si="2">L25*J25</f>
        <v>1780.8899999999994</v>
      </c>
      <c r="N25" s="281"/>
      <c r="O25" s="771" t="s">
        <v>573</v>
      </c>
      <c r="P25" s="77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s="138" customFormat="1" ht="50.1" customHeight="1">
      <c r="A26" s="766"/>
      <c r="B26" s="769"/>
      <c r="C26" s="267">
        <v>2</v>
      </c>
      <c r="D26" s="248" t="s">
        <v>349</v>
      </c>
      <c r="E26" s="249"/>
      <c r="F26" s="250"/>
      <c r="G26" s="250" t="s">
        <v>517</v>
      </c>
      <c r="H26" s="249"/>
      <c r="I26" s="250"/>
      <c r="J26" s="268">
        <v>2.4499999999999997</v>
      </c>
      <c r="K26" s="269">
        <v>4.004004004004004E-3</v>
      </c>
      <c r="L26" s="268">
        <v>480</v>
      </c>
      <c r="M26" s="342">
        <f t="shared" si="2"/>
        <v>1175.9999999999998</v>
      </c>
      <c r="N26" s="281"/>
      <c r="O26" s="735" t="s">
        <v>574</v>
      </c>
      <c r="P26" s="736"/>
      <c r="R26" s="242"/>
      <c r="S26" s="242"/>
      <c r="T26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s="138" customFormat="1" ht="50.1" customHeight="1">
      <c r="A27" s="766"/>
      <c r="B27" s="769"/>
      <c r="C27" s="267">
        <v>3</v>
      </c>
      <c r="D27" s="248" t="s">
        <v>349</v>
      </c>
      <c r="E27" s="249"/>
      <c r="F27" s="250"/>
      <c r="G27" s="250" t="s">
        <v>516</v>
      </c>
      <c r="H27" s="249"/>
      <c r="I27" s="250"/>
      <c r="J27" s="268">
        <v>1.17</v>
      </c>
      <c r="K27" s="269">
        <v>4.5662549820400531E-3</v>
      </c>
      <c r="L27" s="268">
        <v>928</v>
      </c>
      <c r="M27" s="342">
        <f t="shared" si="2"/>
        <v>1085.76</v>
      </c>
      <c r="N27" s="281"/>
      <c r="O27" s="735" t="s">
        <v>575</v>
      </c>
      <c r="P27" s="736"/>
      <c r="R27" s="242"/>
      <c r="S27" s="242"/>
      <c r="T27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s="138" customFormat="1" ht="50.1" customHeight="1">
      <c r="A28" s="766"/>
      <c r="B28" s="769"/>
      <c r="C28" s="267">
        <v>4</v>
      </c>
      <c r="D28" s="248" t="s">
        <v>534</v>
      </c>
      <c r="E28" s="249"/>
      <c r="F28" s="250"/>
      <c r="G28" s="325" t="s">
        <v>554</v>
      </c>
      <c r="H28" s="326"/>
      <c r="I28" s="327"/>
      <c r="J28" s="280">
        <v>4.5</v>
      </c>
      <c r="K28" s="269">
        <v>1.2862251160804824E-2</v>
      </c>
      <c r="L28" s="268">
        <v>241</v>
      </c>
      <c r="M28" s="342">
        <f t="shared" si="2"/>
        <v>1084.5</v>
      </c>
      <c r="N28" s="281"/>
      <c r="O28" s="735" t="s">
        <v>576</v>
      </c>
      <c r="P28" s="736"/>
      <c r="R28" s="242"/>
      <c r="S28" s="242"/>
      <c r="T28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s="138" customFormat="1" ht="50.1" customHeight="1" thickBot="1">
      <c r="A29" s="766"/>
      <c r="B29" s="769"/>
      <c r="C29" s="273">
        <v>5</v>
      </c>
      <c r="D29" s="255"/>
      <c r="E29" s="256"/>
      <c r="F29" s="257"/>
      <c r="G29" s="423"/>
      <c r="H29" s="424"/>
      <c r="I29" s="425"/>
      <c r="J29" s="283"/>
      <c r="K29" s="275"/>
      <c r="L29" s="284"/>
      <c r="M29" s="342">
        <f t="shared" si="2"/>
        <v>0</v>
      </c>
      <c r="N29" s="281"/>
      <c r="O29" s="735"/>
      <c r="P29" s="736"/>
      <c r="R29" s="242"/>
      <c r="S29" s="242"/>
      <c r="T29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s="138" customFormat="1" ht="15.75" customHeight="1" thickTop="1">
      <c r="A30" s="767"/>
      <c r="B30" s="770"/>
      <c r="C30" s="639"/>
      <c r="D30" s="640"/>
      <c r="E30" s="640"/>
      <c r="F30" s="640"/>
      <c r="G30" s="640"/>
      <c r="H30" s="640"/>
      <c r="I30" s="773"/>
      <c r="J30" s="285" t="s">
        <v>58</v>
      </c>
      <c r="K30" s="215">
        <f>M30/'生產管理報表 7-1 (週)'!$B$20</f>
        <v>6.8249960228289608E-2</v>
      </c>
      <c r="L30" s="285" t="s">
        <v>59</v>
      </c>
      <c r="M30" s="343">
        <f>SUM(M25:M29)</f>
        <v>5127.1499999999996</v>
      </c>
      <c r="N30" s="737"/>
      <c r="O30" s="738"/>
      <c r="P30" s="739"/>
      <c r="R30" s="242"/>
      <c r="S30" s="242"/>
      <c r="T30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s="138" customFormat="1" ht="15.75" customHeight="1">
      <c r="A31" s="783" t="s">
        <v>592</v>
      </c>
      <c r="B31" s="783"/>
      <c r="C31" s="783"/>
      <c r="D31" s="783"/>
      <c r="E31" s="783"/>
      <c r="F31" s="783"/>
      <c r="G31" s="783"/>
      <c r="H31" s="783"/>
      <c r="I31" s="783"/>
      <c r="J31" s="783"/>
      <c r="K31" s="783"/>
      <c r="L31" s="783"/>
      <c r="M31" s="783"/>
      <c r="R31" s="242"/>
      <c r="S31" s="242"/>
      <c r="T31" s="242"/>
      <c r="U31" s="242"/>
    </row>
    <row r="32" spans="1:36" s="139" customFormat="1" ht="15.75" customHeight="1">
      <c r="A32" s="658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</row>
    <row r="33" spans="1:75" s="138" customFormat="1" ht="15.75" customHeight="1">
      <c r="A33" s="659" t="s">
        <v>193</v>
      </c>
      <c r="B33" s="652">
        <v>1</v>
      </c>
      <c r="C33" s="653"/>
      <c r="D33" s="652">
        <v>2</v>
      </c>
      <c r="E33" s="653"/>
      <c r="F33" s="652">
        <v>3</v>
      </c>
      <c r="G33" s="653"/>
      <c r="H33" s="661">
        <v>4</v>
      </c>
      <c r="I33" s="662"/>
      <c r="J33" s="661">
        <v>5</v>
      </c>
      <c r="K33" s="662"/>
      <c r="L33" s="661">
        <v>6</v>
      </c>
      <c r="M33" s="662"/>
      <c r="N33" s="661">
        <v>7</v>
      </c>
      <c r="O33" s="662"/>
      <c r="P33" s="661">
        <v>8</v>
      </c>
      <c r="Q33" s="662"/>
      <c r="R33" s="242"/>
      <c r="S33" s="242"/>
      <c r="T33" s="242"/>
      <c r="U33" s="242"/>
    </row>
    <row r="34" spans="1:75" s="138" customFormat="1" ht="15.75" customHeight="1">
      <c r="A34" s="660"/>
      <c r="B34" s="654" t="s">
        <v>523</v>
      </c>
      <c r="C34" s="655"/>
      <c r="D34" s="654" t="s">
        <v>215</v>
      </c>
      <c r="E34" s="655"/>
      <c r="F34" s="654" t="s">
        <v>168</v>
      </c>
      <c r="G34" s="655"/>
      <c r="H34" s="656" t="s">
        <v>473</v>
      </c>
      <c r="I34" s="657"/>
      <c r="J34" s="656" t="s">
        <v>191</v>
      </c>
      <c r="K34" s="657"/>
      <c r="L34" s="656" t="s">
        <v>169</v>
      </c>
      <c r="M34" s="657"/>
      <c r="N34" s="656" t="s">
        <v>192</v>
      </c>
      <c r="O34" s="657"/>
      <c r="P34" s="781" t="s">
        <v>220</v>
      </c>
      <c r="Q34" s="782"/>
      <c r="R34" s="242"/>
      <c r="S34" s="242"/>
      <c r="T34" s="242"/>
      <c r="U34" s="242"/>
    </row>
    <row r="35" spans="1:75" s="138" customFormat="1" ht="15.75" customHeight="1">
      <c r="B35" s="243"/>
      <c r="C35" s="244"/>
      <c r="R35" s="242"/>
      <c r="S35" s="242"/>
      <c r="T35" s="242"/>
      <c r="U35" s="242"/>
    </row>
    <row r="36" spans="1:75" s="246" customFormat="1" ht="15.75" customHeight="1">
      <c r="A36" s="661" t="s">
        <v>193</v>
      </c>
      <c r="B36" s="662"/>
      <c r="C36" s="245" t="s">
        <v>47</v>
      </c>
      <c r="D36" s="774" t="s">
        <v>12</v>
      </c>
      <c r="E36" s="650"/>
      <c r="F36" s="764"/>
      <c r="G36" s="775" t="s">
        <v>53</v>
      </c>
      <c r="H36" s="776"/>
      <c r="I36" s="777"/>
      <c r="J36" s="245" t="s">
        <v>54</v>
      </c>
      <c r="K36" s="245" t="s">
        <v>55</v>
      </c>
      <c r="L36" s="245" t="s">
        <v>56</v>
      </c>
      <c r="M36" s="245" t="s">
        <v>11</v>
      </c>
      <c r="N36" s="245" t="s">
        <v>340</v>
      </c>
      <c r="O36" s="778" t="s">
        <v>51</v>
      </c>
      <c r="P36" s="779"/>
    </row>
    <row r="37" spans="1:75" s="138" customFormat="1" ht="50.1" customHeight="1">
      <c r="A37" s="765">
        <v>1</v>
      </c>
      <c r="B37" s="768" t="s">
        <v>524</v>
      </c>
      <c r="C37" s="247">
        <v>1</v>
      </c>
      <c r="D37" s="248" t="s">
        <v>351</v>
      </c>
      <c r="E37" s="249"/>
      <c r="F37" s="249"/>
      <c r="G37" s="391" t="s">
        <v>343</v>
      </c>
      <c r="H37" s="317"/>
      <c r="I37" s="318"/>
      <c r="J37" s="247">
        <v>141.66999999999999</v>
      </c>
      <c r="K37" s="253">
        <v>3.0353830788985587E-2</v>
      </c>
      <c r="L37" s="247">
        <v>17.02</v>
      </c>
      <c r="M37" s="339">
        <f>L37*J37</f>
        <v>2411.2233999999999</v>
      </c>
      <c r="N37" s="254"/>
      <c r="O37" s="679" t="s">
        <v>599</v>
      </c>
      <c r="P37" s="680"/>
      <c r="R37" s="242"/>
      <c r="S37" s="272"/>
      <c r="T37" s="272"/>
      <c r="U37" s="242"/>
    </row>
    <row r="38" spans="1:75" s="138" customFormat="1" ht="50.1" customHeight="1">
      <c r="A38" s="766"/>
      <c r="B38" s="769"/>
      <c r="C38" s="247">
        <v>2</v>
      </c>
      <c r="D38" s="248" t="s">
        <v>378</v>
      </c>
      <c r="E38" s="249"/>
      <c r="F38" s="249"/>
      <c r="G38" s="426" t="s">
        <v>375</v>
      </c>
      <c r="H38" s="317"/>
      <c r="I38" s="318"/>
      <c r="J38" s="247">
        <v>152.75</v>
      </c>
      <c r="K38" s="253">
        <v>1.2651992930336774E-2</v>
      </c>
      <c r="L38" s="247">
        <v>13.1</v>
      </c>
      <c r="M38" s="339">
        <f t="shared" ref="M38:M41" si="3">L38*J38</f>
        <v>2001.0249999999999</v>
      </c>
      <c r="N38" s="254"/>
      <c r="O38" s="679" t="s">
        <v>599</v>
      </c>
      <c r="P38" s="680"/>
      <c r="R38" s="242"/>
      <c r="S38" s="213"/>
      <c r="T38" s="213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2"/>
      <c r="BK38" s="242"/>
      <c r="BL38" s="242"/>
      <c r="BM38" s="242"/>
      <c r="BN38" s="242"/>
      <c r="BO38" s="242"/>
      <c r="BP38" s="242"/>
      <c r="BQ38" s="242"/>
      <c r="BR38" s="242"/>
      <c r="BS38" s="242"/>
      <c r="BT38" s="242"/>
      <c r="BU38" s="242"/>
      <c r="BV38" s="242"/>
      <c r="BW38" s="242"/>
    </row>
    <row r="39" spans="1:75" s="138" customFormat="1" ht="50.1" customHeight="1">
      <c r="A39" s="766"/>
      <c r="B39" s="769"/>
      <c r="C39" s="247">
        <v>3</v>
      </c>
      <c r="D39" s="248" t="s">
        <v>366</v>
      </c>
      <c r="E39" s="249"/>
      <c r="F39" s="249"/>
      <c r="G39" s="426" t="s">
        <v>373</v>
      </c>
      <c r="H39" s="317"/>
      <c r="I39" s="318"/>
      <c r="J39" s="247">
        <v>183.65000000000003</v>
      </c>
      <c r="K39" s="253">
        <v>3.4792724196277505E-2</v>
      </c>
      <c r="L39" s="247">
        <v>9.870000000000001</v>
      </c>
      <c r="M39" s="339">
        <f t="shared" si="3"/>
        <v>1812.6255000000006</v>
      </c>
      <c r="N39" s="254"/>
      <c r="O39" s="780" t="s">
        <v>570</v>
      </c>
      <c r="P39" s="736"/>
      <c r="R39" s="242"/>
      <c r="S39" s="272"/>
      <c r="T39" s="27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</row>
    <row r="40" spans="1:75" s="138" customFormat="1" ht="50.1" customHeight="1">
      <c r="A40" s="766"/>
      <c r="B40" s="769"/>
      <c r="C40" s="247">
        <v>4</v>
      </c>
      <c r="D40" s="248" t="s">
        <v>499</v>
      </c>
      <c r="E40" s="249"/>
      <c r="F40" s="249"/>
      <c r="G40" s="391" t="s">
        <v>502</v>
      </c>
      <c r="H40" s="317"/>
      <c r="I40" s="318"/>
      <c r="J40" s="247">
        <v>456.29</v>
      </c>
      <c r="K40" s="253">
        <v>5.5351232070614202E-2</v>
      </c>
      <c r="L40" s="247">
        <v>3.0100000000000002</v>
      </c>
      <c r="M40" s="339">
        <f t="shared" si="3"/>
        <v>1373.4329000000002</v>
      </c>
      <c r="N40" s="254"/>
      <c r="O40" s="780" t="s">
        <v>563</v>
      </c>
      <c r="P40" s="736"/>
      <c r="R40" s="242"/>
      <c r="S40" s="213"/>
      <c r="T40" s="213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2"/>
      <c r="BK40" s="242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</row>
    <row r="41" spans="1:75" s="138" customFormat="1" ht="50.1" customHeight="1" thickBot="1">
      <c r="A41" s="766"/>
      <c r="B41" s="769"/>
      <c r="C41" s="247">
        <v>5</v>
      </c>
      <c r="D41" s="255" t="s">
        <v>366</v>
      </c>
      <c r="E41" s="256"/>
      <c r="F41" s="256"/>
      <c r="G41" s="391" t="s">
        <v>374</v>
      </c>
      <c r="H41" s="317"/>
      <c r="I41" s="318"/>
      <c r="J41" s="258">
        <v>253.92000000000002</v>
      </c>
      <c r="K41" s="259">
        <v>2.3567407148780164E-2</v>
      </c>
      <c r="L41" s="258">
        <v>5.3999999999999995</v>
      </c>
      <c r="M41" s="340">
        <f t="shared" si="3"/>
        <v>1371.1679999999999</v>
      </c>
      <c r="N41" s="254"/>
      <c r="O41" s="780" t="s">
        <v>567</v>
      </c>
      <c r="P41" s="736"/>
      <c r="R41" s="242"/>
      <c r="S41" s="272"/>
      <c r="T41" s="27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</row>
    <row r="42" spans="1:75" s="138" customFormat="1" ht="15.75" customHeight="1" thickTop="1">
      <c r="A42" s="767"/>
      <c r="B42" s="770"/>
      <c r="C42" s="639"/>
      <c r="D42" s="640"/>
      <c r="E42" s="640"/>
      <c r="F42" s="640"/>
      <c r="G42" s="640"/>
      <c r="H42" s="640"/>
      <c r="I42" s="773"/>
      <c r="J42" s="260" t="s">
        <v>58</v>
      </c>
      <c r="K42" s="215" t="e">
        <f>M42/'生產管理報表 7-1 (週)'!$B$31</f>
        <v>#DIV/0!</v>
      </c>
      <c r="L42" s="260" t="s">
        <v>59</v>
      </c>
      <c r="M42" s="341">
        <f>SUM(M37:M41)</f>
        <v>8969.4748</v>
      </c>
      <c r="N42" s="725"/>
      <c r="O42" s="726"/>
      <c r="P42" s="727"/>
      <c r="R42" s="242"/>
      <c r="S42" s="213"/>
      <c r="T42" s="213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  <c r="BM42" s="242"/>
      <c r="BN42" s="242"/>
      <c r="BO42" s="242"/>
      <c r="BP42" s="242"/>
      <c r="BQ42" s="242"/>
      <c r="BR42" s="242"/>
      <c r="BS42" s="242"/>
      <c r="BT42" s="242"/>
      <c r="BU42" s="242"/>
      <c r="BV42" s="242"/>
      <c r="BW42" s="242"/>
    </row>
    <row r="43" spans="1:75" s="138" customFormat="1" ht="15.75" customHeight="1">
      <c r="B43" s="243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62"/>
      <c r="O43" s="262"/>
      <c r="P43" s="262"/>
      <c r="R43" s="242"/>
      <c r="S43" s="272"/>
      <c r="T43" s="27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2"/>
      <c r="BP43" s="242"/>
      <c r="BQ43" s="242"/>
      <c r="BR43" s="242"/>
      <c r="BS43" s="242"/>
      <c r="BT43" s="242"/>
      <c r="BU43" s="242"/>
      <c r="BV43" s="242"/>
      <c r="BW43" s="242"/>
    </row>
    <row r="44" spans="1:75" s="138" customFormat="1" ht="15.75" customHeight="1">
      <c r="A44" s="661" t="s">
        <v>193</v>
      </c>
      <c r="B44" s="662"/>
      <c r="C44" s="263" t="s">
        <v>47</v>
      </c>
      <c r="D44" s="649" t="s">
        <v>12</v>
      </c>
      <c r="E44" s="650"/>
      <c r="F44" s="651"/>
      <c r="G44" s="649" t="s">
        <v>53</v>
      </c>
      <c r="H44" s="650"/>
      <c r="I44" s="651"/>
      <c r="J44" s="265" t="s">
        <v>54</v>
      </c>
      <c r="K44" s="265" t="s">
        <v>55</v>
      </c>
      <c r="L44" s="265" t="s">
        <v>56</v>
      </c>
      <c r="M44" s="265" t="s">
        <v>11</v>
      </c>
      <c r="N44" s="266" t="s">
        <v>340</v>
      </c>
      <c r="O44" s="728" t="s">
        <v>51</v>
      </c>
      <c r="P44" s="729"/>
      <c r="R44" s="242"/>
      <c r="S44" s="213"/>
      <c r="T44" s="213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</row>
    <row r="45" spans="1:75" s="138" customFormat="1" ht="20.100000000000001" customHeight="1">
      <c r="A45" s="765">
        <v>2</v>
      </c>
      <c r="B45" s="768" t="s">
        <v>216</v>
      </c>
      <c r="C45" s="267">
        <v>1</v>
      </c>
      <c r="D45" s="248"/>
      <c r="E45" s="249"/>
      <c r="F45" s="250"/>
      <c r="G45" s="248"/>
      <c r="H45" s="249"/>
      <c r="I45" s="250"/>
      <c r="J45" s="268"/>
      <c r="K45" s="269"/>
      <c r="L45" s="268"/>
      <c r="M45" s="270">
        <f t="shared" ref="M45:M49" si="4">L45*J45</f>
        <v>0</v>
      </c>
      <c r="N45" s="271"/>
      <c r="O45" s="730"/>
      <c r="P45" s="731"/>
      <c r="R45" s="242"/>
      <c r="S45" s="272"/>
      <c r="T45" s="27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</row>
    <row r="46" spans="1:75" s="138" customFormat="1" ht="20.100000000000001" customHeight="1">
      <c r="A46" s="766"/>
      <c r="B46" s="769"/>
      <c r="C46" s="267">
        <v>2</v>
      </c>
      <c r="D46" s="248"/>
      <c r="E46" s="249"/>
      <c r="F46" s="250"/>
      <c r="G46" s="248"/>
      <c r="H46" s="249"/>
      <c r="I46" s="250"/>
      <c r="J46" s="268"/>
      <c r="K46" s="269"/>
      <c r="L46" s="268"/>
      <c r="M46" s="270">
        <f t="shared" si="4"/>
        <v>0</v>
      </c>
      <c r="N46" s="271"/>
      <c r="O46" s="730"/>
      <c r="P46" s="731"/>
      <c r="R46" s="242"/>
      <c r="S46" s="213"/>
      <c r="T46" s="213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</row>
    <row r="47" spans="1:75" s="138" customFormat="1" ht="20.100000000000001" customHeight="1">
      <c r="A47" s="766"/>
      <c r="B47" s="769"/>
      <c r="C47" s="267">
        <v>3</v>
      </c>
      <c r="D47" s="248"/>
      <c r="E47" s="249"/>
      <c r="F47" s="250"/>
      <c r="G47" s="248"/>
      <c r="H47" s="249"/>
      <c r="I47" s="279"/>
      <c r="J47" s="268"/>
      <c r="K47" s="269"/>
      <c r="L47" s="268"/>
      <c r="M47" s="270">
        <f t="shared" si="4"/>
        <v>0</v>
      </c>
      <c r="N47" s="271"/>
      <c r="O47" s="730"/>
      <c r="P47" s="731"/>
      <c r="R47" s="242"/>
      <c r="S47" s="272"/>
      <c r="T47" s="27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</row>
    <row r="48" spans="1:75" s="138" customFormat="1" ht="20.100000000000001" customHeight="1">
      <c r="A48" s="766"/>
      <c r="B48" s="769"/>
      <c r="C48" s="267">
        <v>4</v>
      </c>
      <c r="D48" s="248"/>
      <c r="E48" s="249"/>
      <c r="F48" s="250"/>
      <c r="G48" s="248"/>
      <c r="H48" s="249"/>
      <c r="I48" s="250"/>
      <c r="J48" s="268"/>
      <c r="K48" s="269"/>
      <c r="L48" s="268"/>
      <c r="M48" s="270">
        <f t="shared" si="4"/>
        <v>0</v>
      </c>
      <c r="N48" s="271"/>
      <c r="O48" s="730"/>
      <c r="P48" s="731"/>
      <c r="R48" s="242"/>
      <c r="S48" s="213"/>
      <c r="T48" s="213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</row>
    <row r="49" spans="1:36" s="138" customFormat="1" ht="20.100000000000001" customHeight="1" thickBot="1">
      <c r="A49" s="766"/>
      <c r="B49" s="769"/>
      <c r="C49" s="273">
        <v>5</v>
      </c>
      <c r="D49" s="255"/>
      <c r="E49" s="256"/>
      <c r="F49" s="257"/>
      <c r="G49" s="248"/>
      <c r="H49" s="249"/>
      <c r="I49" s="250"/>
      <c r="J49" s="274"/>
      <c r="K49" s="275"/>
      <c r="L49" s="274"/>
      <c r="M49" s="276">
        <f t="shared" si="4"/>
        <v>0</v>
      </c>
      <c r="N49" s="277"/>
      <c r="O49" s="730"/>
      <c r="P49" s="731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  <c r="AE49" s="242"/>
      <c r="AF49" s="242"/>
      <c r="AG49" s="242"/>
      <c r="AH49" s="242"/>
    </row>
    <row r="50" spans="1:36" s="138" customFormat="1" ht="15.75" customHeight="1" thickTop="1">
      <c r="A50" s="767"/>
      <c r="B50" s="770"/>
      <c r="C50" s="639"/>
      <c r="D50" s="640"/>
      <c r="E50" s="640"/>
      <c r="F50" s="640"/>
      <c r="G50" s="640"/>
      <c r="H50" s="640"/>
      <c r="I50" s="773"/>
      <c r="J50" s="260" t="s">
        <v>58</v>
      </c>
      <c r="K50" s="215" t="e">
        <f>M50/'生產管理報表 7-1 (週)'!$B$31</f>
        <v>#DIV/0!</v>
      </c>
      <c r="L50" s="260" t="s">
        <v>59</v>
      </c>
      <c r="M50" s="261">
        <f>SUM(M45:M49)</f>
        <v>0</v>
      </c>
      <c r="N50" s="732"/>
      <c r="O50" s="733"/>
      <c r="P50" s="734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</row>
    <row r="51" spans="1:36" s="138" customFormat="1" ht="15.75" customHeight="1">
      <c r="B51" s="243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78"/>
      <c r="O51" s="278"/>
      <c r="P51" s="278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  <c r="AE51" s="242"/>
      <c r="AF51" s="242"/>
      <c r="AG51" s="242"/>
      <c r="AH51" s="242"/>
    </row>
    <row r="52" spans="1:36" s="138" customFormat="1" ht="15.75" customHeight="1">
      <c r="A52" s="661" t="s">
        <v>193</v>
      </c>
      <c r="B52" s="662"/>
      <c r="C52" s="263" t="s">
        <v>47</v>
      </c>
      <c r="D52" s="649" t="s">
        <v>12</v>
      </c>
      <c r="E52" s="650"/>
      <c r="F52" s="651"/>
      <c r="G52" s="649" t="s">
        <v>53</v>
      </c>
      <c r="H52" s="650"/>
      <c r="I52" s="764"/>
      <c r="J52" s="264" t="s">
        <v>54</v>
      </c>
      <c r="K52" s="265" t="s">
        <v>55</v>
      </c>
      <c r="L52" s="265" t="s">
        <v>56</v>
      </c>
      <c r="M52" s="265" t="s">
        <v>11</v>
      </c>
      <c r="N52" s="266" t="s">
        <v>340</v>
      </c>
      <c r="O52" s="740" t="s">
        <v>51</v>
      </c>
      <c r="P52" s="741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</row>
    <row r="53" spans="1:36" s="138" customFormat="1" ht="50.1" customHeight="1">
      <c r="A53" s="765">
        <v>3</v>
      </c>
      <c r="B53" s="768" t="s">
        <v>457</v>
      </c>
      <c r="C53" s="267">
        <v>1</v>
      </c>
      <c r="D53" s="248" t="s">
        <v>443</v>
      </c>
      <c r="E53" s="249"/>
      <c r="F53" s="250"/>
      <c r="G53" s="390" t="s">
        <v>459</v>
      </c>
      <c r="H53" s="326"/>
      <c r="I53" s="390"/>
      <c r="J53" s="268">
        <v>122.81999999999996</v>
      </c>
      <c r="K53" s="269">
        <v>2.4019345310547415E-2</v>
      </c>
      <c r="L53" s="268">
        <v>14.8</v>
      </c>
      <c r="M53" s="342">
        <f t="shared" ref="M53:M57" si="5">L53*J53</f>
        <v>1817.7359999999996</v>
      </c>
      <c r="N53" s="281"/>
      <c r="O53" s="771" t="s">
        <v>573</v>
      </c>
      <c r="P53" s="77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</row>
    <row r="54" spans="1:36" s="138" customFormat="1" ht="50.1" customHeight="1">
      <c r="A54" s="766"/>
      <c r="B54" s="769"/>
      <c r="C54" s="267">
        <v>2</v>
      </c>
      <c r="D54" s="248" t="s">
        <v>487</v>
      </c>
      <c r="E54" s="249"/>
      <c r="F54" s="250"/>
      <c r="G54" s="250" t="s">
        <v>486</v>
      </c>
      <c r="H54" s="249"/>
      <c r="I54" s="250"/>
      <c r="J54" s="268">
        <v>13.950000000000001</v>
      </c>
      <c r="K54" s="269">
        <v>6.8454875663593179E-3</v>
      </c>
      <c r="L54" s="268">
        <v>98</v>
      </c>
      <c r="M54" s="342">
        <f t="shared" si="5"/>
        <v>1367.1000000000001</v>
      </c>
      <c r="N54" s="281"/>
      <c r="O54" s="735" t="s">
        <v>598</v>
      </c>
      <c r="P54" s="736"/>
      <c r="R54" s="242"/>
      <c r="S54" s="242"/>
      <c r="T54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</row>
    <row r="55" spans="1:36" s="138" customFormat="1" ht="20.100000000000001" customHeight="1">
      <c r="A55" s="766"/>
      <c r="B55" s="769"/>
      <c r="C55" s="267">
        <v>3</v>
      </c>
      <c r="D55" s="248"/>
      <c r="E55" s="249"/>
      <c r="F55" s="250"/>
      <c r="G55" s="325"/>
      <c r="H55" s="326"/>
      <c r="I55" s="327"/>
      <c r="J55" s="268"/>
      <c r="K55" s="269"/>
      <c r="L55" s="268"/>
      <c r="M55" s="342">
        <f t="shared" si="5"/>
        <v>0</v>
      </c>
      <c r="N55" s="281"/>
      <c r="O55" s="735"/>
      <c r="P55" s="736"/>
      <c r="R55" s="242"/>
      <c r="S55" s="242"/>
      <c r="T55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</row>
    <row r="56" spans="1:36" s="138" customFormat="1" ht="20.100000000000001" customHeight="1">
      <c r="A56" s="766"/>
      <c r="B56" s="769"/>
      <c r="C56" s="267">
        <v>4</v>
      </c>
      <c r="D56" s="248"/>
      <c r="E56" s="249"/>
      <c r="F56" s="250"/>
      <c r="G56" s="325"/>
      <c r="H56" s="326"/>
      <c r="I56" s="327"/>
      <c r="J56" s="280"/>
      <c r="K56" s="269"/>
      <c r="L56" s="268"/>
      <c r="M56" s="342">
        <f t="shared" si="5"/>
        <v>0</v>
      </c>
      <c r="N56" s="281"/>
      <c r="O56" s="735"/>
      <c r="P56" s="736"/>
      <c r="R56" s="242"/>
      <c r="S56" s="242"/>
      <c r="T56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</row>
    <row r="57" spans="1:36" s="138" customFormat="1" ht="20.100000000000001" customHeight="1" thickBot="1">
      <c r="A57" s="766"/>
      <c r="B57" s="769"/>
      <c r="C57" s="273">
        <v>5</v>
      </c>
      <c r="D57" s="255"/>
      <c r="E57" s="256"/>
      <c r="F57" s="257"/>
      <c r="G57" s="423"/>
      <c r="H57" s="424"/>
      <c r="I57" s="425"/>
      <c r="J57" s="283"/>
      <c r="K57" s="275"/>
      <c r="L57" s="284"/>
      <c r="M57" s="342">
        <f t="shared" si="5"/>
        <v>0</v>
      </c>
      <c r="N57" s="281"/>
      <c r="O57" s="735"/>
      <c r="P57" s="736"/>
      <c r="R57" s="242"/>
      <c r="S57" s="242"/>
      <c r="T57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</row>
    <row r="58" spans="1:36" s="138" customFormat="1" ht="15.75" customHeight="1" thickTop="1">
      <c r="A58" s="767"/>
      <c r="B58" s="770"/>
      <c r="C58" s="639"/>
      <c r="D58" s="640"/>
      <c r="E58" s="640"/>
      <c r="F58" s="640"/>
      <c r="G58" s="640"/>
      <c r="H58" s="640"/>
      <c r="I58" s="773"/>
      <c r="J58" s="285" t="s">
        <v>58</v>
      </c>
      <c r="K58" s="215" t="e">
        <f>M58/'生產管理報表 7-1 (週)'!$B$31</f>
        <v>#DIV/0!</v>
      </c>
      <c r="L58" s="285" t="s">
        <v>59</v>
      </c>
      <c r="M58" s="343">
        <f>SUM(M53:M57)</f>
        <v>3184.8359999999998</v>
      </c>
      <c r="N58" s="737"/>
      <c r="O58" s="738"/>
      <c r="P58" s="739"/>
      <c r="R58" s="242"/>
      <c r="S58" s="242"/>
      <c r="T58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</row>
    <row r="59" spans="1:36" s="138" customFormat="1" ht="15.75" customHeight="1">
      <c r="A59" s="783" t="s">
        <v>606</v>
      </c>
      <c r="B59" s="783"/>
      <c r="C59" s="783"/>
      <c r="D59" s="783"/>
      <c r="E59" s="783"/>
      <c r="F59" s="783"/>
      <c r="G59" s="783"/>
      <c r="H59" s="783"/>
      <c r="I59" s="783"/>
      <c r="J59" s="783"/>
      <c r="K59" s="783"/>
      <c r="L59" s="783"/>
      <c r="M59" s="783"/>
      <c r="R59" s="242"/>
      <c r="S59" s="242"/>
      <c r="T59" s="242"/>
      <c r="U59" s="242"/>
    </row>
    <row r="60" spans="1:36" s="139" customFormat="1" ht="15.75" customHeight="1">
      <c r="A60" s="658"/>
      <c r="B60" s="658"/>
      <c r="C60" s="658"/>
      <c r="D60" s="658"/>
      <c r="E60" s="658"/>
      <c r="F60" s="658"/>
      <c r="G60" s="658"/>
      <c r="H60" s="658"/>
      <c r="I60" s="658"/>
      <c r="J60" s="658"/>
      <c r="K60" s="658"/>
      <c r="L60" s="658"/>
      <c r="M60" s="658"/>
    </row>
    <row r="61" spans="1:36" s="138" customFormat="1" ht="15.75" customHeight="1">
      <c r="A61" s="659" t="s">
        <v>193</v>
      </c>
      <c r="B61" s="652">
        <v>1</v>
      </c>
      <c r="C61" s="653"/>
      <c r="D61" s="652">
        <v>2</v>
      </c>
      <c r="E61" s="653"/>
      <c r="F61" s="652">
        <v>3</v>
      </c>
      <c r="G61" s="653"/>
      <c r="H61" s="661">
        <v>4</v>
      </c>
      <c r="I61" s="662"/>
      <c r="J61" s="661">
        <v>5</v>
      </c>
      <c r="K61" s="662"/>
      <c r="L61" s="661">
        <v>6</v>
      </c>
      <c r="M61" s="662"/>
      <c r="N61" s="661">
        <v>7</v>
      </c>
      <c r="O61" s="662"/>
      <c r="P61" s="661">
        <v>8</v>
      </c>
      <c r="Q61" s="662"/>
      <c r="R61" s="242"/>
      <c r="S61" s="242"/>
      <c r="T61" s="242"/>
      <c r="U61" s="242"/>
    </row>
    <row r="62" spans="1:36" s="138" customFormat="1" ht="15.75" customHeight="1">
      <c r="A62" s="660"/>
      <c r="B62" s="654" t="s">
        <v>523</v>
      </c>
      <c r="C62" s="655"/>
      <c r="D62" s="654" t="s">
        <v>215</v>
      </c>
      <c r="E62" s="655"/>
      <c r="F62" s="654" t="s">
        <v>168</v>
      </c>
      <c r="G62" s="655"/>
      <c r="H62" s="656" t="s">
        <v>473</v>
      </c>
      <c r="I62" s="657"/>
      <c r="J62" s="656" t="s">
        <v>191</v>
      </c>
      <c r="K62" s="657"/>
      <c r="L62" s="656" t="s">
        <v>169</v>
      </c>
      <c r="M62" s="657"/>
      <c r="N62" s="656" t="s">
        <v>192</v>
      </c>
      <c r="O62" s="657"/>
      <c r="P62" s="781" t="s">
        <v>220</v>
      </c>
      <c r="Q62" s="782"/>
      <c r="R62" s="242"/>
      <c r="S62" s="242"/>
      <c r="T62" s="242"/>
      <c r="U62" s="242"/>
    </row>
    <row r="63" spans="1:36" s="138" customFormat="1" ht="15.75" customHeight="1">
      <c r="B63" s="243"/>
      <c r="C63" s="244"/>
      <c r="R63" s="242"/>
      <c r="S63" s="242"/>
      <c r="T63" s="242"/>
      <c r="U63" s="242"/>
    </row>
    <row r="64" spans="1:36" s="246" customFormat="1" ht="15.75" customHeight="1">
      <c r="A64" s="661" t="s">
        <v>193</v>
      </c>
      <c r="B64" s="662"/>
      <c r="C64" s="245" t="s">
        <v>47</v>
      </c>
      <c r="D64" s="774" t="s">
        <v>12</v>
      </c>
      <c r="E64" s="650"/>
      <c r="F64" s="764"/>
      <c r="G64" s="775" t="s">
        <v>53</v>
      </c>
      <c r="H64" s="776"/>
      <c r="I64" s="777"/>
      <c r="J64" s="245" t="s">
        <v>54</v>
      </c>
      <c r="K64" s="245" t="s">
        <v>55</v>
      </c>
      <c r="L64" s="245" t="s">
        <v>56</v>
      </c>
      <c r="M64" s="245" t="s">
        <v>11</v>
      </c>
      <c r="N64" s="245" t="s">
        <v>340</v>
      </c>
      <c r="O64" s="778" t="s">
        <v>51</v>
      </c>
      <c r="P64" s="779"/>
    </row>
    <row r="65" spans="1:75" s="138" customFormat="1" ht="50.1" customHeight="1">
      <c r="A65" s="765">
        <v>1</v>
      </c>
      <c r="B65" s="768" t="s">
        <v>524</v>
      </c>
      <c r="C65" s="247">
        <v>1</v>
      </c>
      <c r="D65" s="248" t="s">
        <v>378</v>
      </c>
      <c r="E65" s="249"/>
      <c r="F65" s="249"/>
      <c r="G65" s="426" t="s">
        <v>375</v>
      </c>
      <c r="H65" s="317"/>
      <c r="I65" s="318"/>
      <c r="J65" s="247">
        <v>152.75</v>
      </c>
      <c r="K65" s="253">
        <v>1.5528259441380822E-2</v>
      </c>
      <c r="L65" s="247">
        <v>15.600000000000001</v>
      </c>
      <c r="M65" s="339">
        <f>L65*J65</f>
        <v>2382.9</v>
      </c>
      <c r="N65" s="254"/>
      <c r="O65" s="679" t="s">
        <v>599</v>
      </c>
      <c r="P65" s="680"/>
      <c r="R65" s="242"/>
      <c r="S65" s="272"/>
      <c r="T65" s="272"/>
      <c r="U65" s="242"/>
    </row>
    <row r="66" spans="1:75" s="138" customFormat="1" ht="50.1" customHeight="1">
      <c r="A66" s="766"/>
      <c r="B66" s="769"/>
      <c r="C66" s="247">
        <v>2</v>
      </c>
      <c r="D66" s="248" t="s">
        <v>491</v>
      </c>
      <c r="E66" s="249"/>
      <c r="F66" s="249"/>
      <c r="G66" s="391" t="s">
        <v>494</v>
      </c>
      <c r="H66" s="317"/>
      <c r="I66" s="318"/>
      <c r="J66" s="247">
        <v>181.60999999999999</v>
      </c>
      <c r="K66" s="253">
        <v>2.255817464254135E-2</v>
      </c>
      <c r="L66" s="247">
        <v>10.459999999999999</v>
      </c>
      <c r="M66" s="339">
        <f t="shared" ref="M66:M69" si="6">L66*J66</f>
        <v>1899.6405999999997</v>
      </c>
      <c r="N66" s="254"/>
      <c r="O66" s="679" t="s">
        <v>611</v>
      </c>
      <c r="P66" s="680"/>
      <c r="R66" s="242"/>
      <c r="S66" s="213"/>
      <c r="T66" s="213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</row>
    <row r="67" spans="1:75" s="138" customFormat="1" ht="50.1" customHeight="1">
      <c r="A67" s="766"/>
      <c r="B67" s="769"/>
      <c r="C67" s="247">
        <v>3</v>
      </c>
      <c r="D67" s="248" t="s">
        <v>487</v>
      </c>
      <c r="E67" s="249"/>
      <c r="F67" s="249"/>
      <c r="G67" s="391" t="s">
        <v>589</v>
      </c>
      <c r="H67" s="317"/>
      <c r="I67" s="318"/>
      <c r="J67" s="247">
        <v>94.570000000000007</v>
      </c>
      <c r="K67" s="253">
        <v>9.4810948924950404E-3</v>
      </c>
      <c r="L67" s="247">
        <v>17.440000000000001</v>
      </c>
      <c r="M67" s="339">
        <f t="shared" si="6"/>
        <v>1649.3008000000002</v>
      </c>
      <c r="N67" s="254"/>
      <c r="O67" s="780" t="s">
        <v>612</v>
      </c>
      <c r="P67" s="736"/>
      <c r="R67" s="242"/>
      <c r="S67" s="272"/>
      <c r="T67" s="272"/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</row>
    <row r="68" spans="1:75" s="138" customFormat="1" ht="50.1" customHeight="1">
      <c r="A68" s="766"/>
      <c r="B68" s="769"/>
      <c r="C68" s="247">
        <v>4</v>
      </c>
      <c r="D68" s="248" t="s">
        <v>366</v>
      </c>
      <c r="E68" s="249"/>
      <c r="F68" s="249"/>
      <c r="G68" s="426" t="s">
        <v>373</v>
      </c>
      <c r="H68" s="317"/>
      <c r="I68" s="318"/>
      <c r="J68" s="247">
        <v>183.65000000000003</v>
      </c>
      <c r="K68" s="253">
        <v>2.4632236974163398E-2</v>
      </c>
      <c r="L68" s="247">
        <v>8.5900000000000016</v>
      </c>
      <c r="M68" s="339">
        <f t="shared" si="6"/>
        <v>1577.5535000000007</v>
      </c>
      <c r="N68" s="254"/>
      <c r="O68" s="780" t="s">
        <v>570</v>
      </c>
      <c r="P68" s="736"/>
      <c r="R68" s="242"/>
      <c r="S68" s="213"/>
      <c r="T68" s="213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</row>
    <row r="69" spans="1:75" s="138" customFormat="1" ht="50.1" customHeight="1" thickBot="1">
      <c r="A69" s="766"/>
      <c r="B69" s="769"/>
      <c r="C69" s="247">
        <v>5</v>
      </c>
      <c r="D69" s="255" t="s">
        <v>366</v>
      </c>
      <c r="E69" s="256"/>
      <c r="F69" s="256"/>
      <c r="G69" s="391" t="s">
        <v>374</v>
      </c>
      <c r="H69" s="317"/>
      <c r="I69" s="318"/>
      <c r="J69" s="258">
        <v>253.92000000000002</v>
      </c>
      <c r="K69" s="259">
        <v>1.8709837753399374E-2</v>
      </c>
      <c r="L69" s="258">
        <v>5.2700000000000005</v>
      </c>
      <c r="M69" s="340">
        <f t="shared" si="6"/>
        <v>1338.1584000000003</v>
      </c>
      <c r="N69" s="254"/>
      <c r="O69" s="780" t="s">
        <v>567</v>
      </c>
      <c r="P69" s="736"/>
      <c r="R69" s="242"/>
      <c r="S69" s="272"/>
      <c r="T69" s="27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</row>
    <row r="70" spans="1:75" s="138" customFormat="1" ht="15.75" customHeight="1" thickTop="1">
      <c r="A70" s="767"/>
      <c r="B70" s="770"/>
      <c r="C70" s="639"/>
      <c r="D70" s="640"/>
      <c r="E70" s="640"/>
      <c r="F70" s="640"/>
      <c r="G70" s="640"/>
      <c r="H70" s="640"/>
      <c r="I70" s="773"/>
      <c r="J70" s="260" t="s">
        <v>58</v>
      </c>
      <c r="K70" s="215" t="e">
        <f>M70/'生產管理報表 7-1 (週)'!$B$42</f>
        <v>#DIV/0!</v>
      </c>
      <c r="L70" s="260" t="s">
        <v>59</v>
      </c>
      <c r="M70" s="341">
        <f>SUM(M65:M69)</f>
        <v>8847.5533000000014</v>
      </c>
      <c r="N70" s="725"/>
      <c r="O70" s="726"/>
      <c r="P70" s="727"/>
      <c r="R70" s="242"/>
      <c r="S70" s="213"/>
      <c r="T70" s="213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</row>
    <row r="71" spans="1:75" s="138" customFormat="1" ht="15.75" customHeight="1">
      <c r="B71" s="243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62"/>
      <c r="O71" s="262"/>
      <c r="P71" s="262"/>
      <c r="R71" s="242"/>
      <c r="S71" s="272"/>
      <c r="T71" s="27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</row>
    <row r="72" spans="1:75" s="138" customFormat="1" ht="15.75" customHeight="1">
      <c r="A72" s="661" t="s">
        <v>193</v>
      </c>
      <c r="B72" s="662"/>
      <c r="C72" s="263" t="s">
        <v>47</v>
      </c>
      <c r="D72" s="649" t="s">
        <v>12</v>
      </c>
      <c r="E72" s="650"/>
      <c r="F72" s="651"/>
      <c r="G72" s="649" t="s">
        <v>53</v>
      </c>
      <c r="H72" s="650"/>
      <c r="I72" s="651"/>
      <c r="J72" s="265" t="s">
        <v>54</v>
      </c>
      <c r="K72" s="265" t="s">
        <v>55</v>
      </c>
      <c r="L72" s="265" t="s">
        <v>56</v>
      </c>
      <c r="M72" s="265" t="s">
        <v>11</v>
      </c>
      <c r="N72" s="266" t="s">
        <v>340</v>
      </c>
      <c r="O72" s="728" t="s">
        <v>51</v>
      </c>
      <c r="P72" s="729"/>
      <c r="R72" s="242"/>
      <c r="S72" s="213"/>
      <c r="T72" s="213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</row>
    <row r="73" spans="1:75" s="138" customFormat="1" ht="20.100000000000001" customHeight="1">
      <c r="A73" s="765">
        <v>2</v>
      </c>
      <c r="B73" s="768" t="s">
        <v>216</v>
      </c>
      <c r="C73" s="267">
        <v>1</v>
      </c>
      <c r="D73" s="248"/>
      <c r="E73" s="249"/>
      <c r="F73" s="250"/>
      <c r="G73" s="248"/>
      <c r="H73" s="249"/>
      <c r="I73" s="250"/>
      <c r="J73" s="268"/>
      <c r="K73" s="269"/>
      <c r="L73" s="268"/>
      <c r="M73" s="270">
        <f t="shared" ref="M73:M77" si="7">L73*J73</f>
        <v>0</v>
      </c>
      <c r="N73" s="271"/>
      <c r="O73" s="730"/>
      <c r="P73" s="731"/>
      <c r="R73" s="242"/>
      <c r="S73" s="272"/>
      <c r="T73" s="27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</row>
    <row r="74" spans="1:75" s="138" customFormat="1" ht="20.100000000000001" customHeight="1">
      <c r="A74" s="766"/>
      <c r="B74" s="769"/>
      <c r="C74" s="267">
        <v>2</v>
      </c>
      <c r="D74" s="248"/>
      <c r="E74" s="249"/>
      <c r="F74" s="250"/>
      <c r="G74" s="248"/>
      <c r="H74" s="249"/>
      <c r="I74" s="250"/>
      <c r="J74" s="268"/>
      <c r="K74" s="269"/>
      <c r="L74" s="268"/>
      <c r="M74" s="270">
        <f t="shared" si="7"/>
        <v>0</v>
      </c>
      <c r="N74" s="271"/>
      <c r="O74" s="730"/>
      <c r="P74" s="731"/>
      <c r="R74" s="242"/>
      <c r="S74" s="213"/>
      <c r="T74" s="213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</row>
    <row r="75" spans="1:75" s="138" customFormat="1" ht="20.100000000000001" customHeight="1">
      <c r="A75" s="766"/>
      <c r="B75" s="769"/>
      <c r="C75" s="267">
        <v>3</v>
      </c>
      <c r="D75" s="248"/>
      <c r="E75" s="249"/>
      <c r="F75" s="250"/>
      <c r="G75" s="248"/>
      <c r="H75" s="249"/>
      <c r="I75" s="279"/>
      <c r="J75" s="268"/>
      <c r="K75" s="269"/>
      <c r="L75" s="268"/>
      <c r="M75" s="270">
        <f t="shared" si="7"/>
        <v>0</v>
      </c>
      <c r="N75" s="271"/>
      <c r="O75" s="730"/>
      <c r="P75" s="731"/>
      <c r="R75" s="242"/>
      <c r="S75" s="272"/>
      <c r="T75" s="27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</row>
    <row r="76" spans="1:75" s="138" customFormat="1" ht="20.100000000000001" customHeight="1">
      <c r="A76" s="766"/>
      <c r="B76" s="769"/>
      <c r="C76" s="267">
        <v>4</v>
      </c>
      <c r="D76" s="248"/>
      <c r="E76" s="249"/>
      <c r="F76" s="250"/>
      <c r="G76" s="248"/>
      <c r="H76" s="249"/>
      <c r="I76" s="250"/>
      <c r="J76" s="268"/>
      <c r="K76" s="269"/>
      <c r="L76" s="268"/>
      <c r="M76" s="270">
        <f t="shared" si="7"/>
        <v>0</v>
      </c>
      <c r="N76" s="271"/>
      <c r="O76" s="730"/>
      <c r="P76" s="731"/>
      <c r="R76" s="242"/>
      <c r="S76" s="213"/>
      <c r="T76" s="213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</row>
    <row r="77" spans="1:75" s="138" customFormat="1" ht="20.100000000000001" customHeight="1" thickBot="1">
      <c r="A77" s="766"/>
      <c r="B77" s="769"/>
      <c r="C77" s="273">
        <v>5</v>
      </c>
      <c r="D77" s="255"/>
      <c r="E77" s="256"/>
      <c r="F77" s="257"/>
      <c r="G77" s="248"/>
      <c r="H77" s="249"/>
      <c r="I77" s="250"/>
      <c r="J77" s="274"/>
      <c r="K77" s="275"/>
      <c r="L77" s="274"/>
      <c r="M77" s="276">
        <f t="shared" si="7"/>
        <v>0</v>
      </c>
      <c r="N77" s="277"/>
      <c r="O77" s="730"/>
      <c r="P77" s="731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</row>
    <row r="78" spans="1:75" s="138" customFormat="1" ht="15.75" customHeight="1" thickTop="1">
      <c r="A78" s="767"/>
      <c r="B78" s="770"/>
      <c r="C78" s="639"/>
      <c r="D78" s="640"/>
      <c r="E78" s="640"/>
      <c r="F78" s="640"/>
      <c r="G78" s="640"/>
      <c r="H78" s="640"/>
      <c r="I78" s="773"/>
      <c r="J78" s="260" t="s">
        <v>58</v>
      </c>
      <c r="K78" s="215" t="e">
        <f>M78/'生產管理報表 7-1 (週)'!$B$42</f>
        <v>#DIV/0!</v>
      </c>
      <c r="L78" s="260" t="s">
        <v>59</v>
      </c>
      <c r="M78" s="261">
        <f>SUM(M73:M77)</f>
        <v>0</v>
      </c>
      <c r="N78" s="732"/>
      <c r="O78" s="733"/>
      <c r="P78" s="734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</row>
    <row r="79" spans="1:75" s="138" customFormat="1" ht="15.75" customHeight="1">
      <c r="B79" s="243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78"/>
      <c r="O79" s="278"/>
      <c r="P79" s="278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</row>
    <row r="80" spans="1:75" s="138" customFormat="1" ht="15.75" customHeight="1">
      <c r="A80" s="661" t="s">
        <v>193</v>
      </c>
      <c r="B80" s="662"/>
      <c r="C80" s="263" t="s">
        <v>47</v>
      </c>
      <c r="D80" s="649" t="s">
        <v>12</v>
      </c>
      <c r="E80" s="650"/>
      <c r="F80" s="651"/>
      <c r="G80" s="649" t="s">
        <v>53</v>
      </c>
      <c r="H80" s="650"/>
      <c r="I80" s="764"/>
      <c r="J80" s="264" t="s">
        <v>54</v>
      </c>
      <c r="K80" s="265" t="s">
        <v>55</v>
      </c>
      <c r="L80" s="265" t="s">
        <v>56</v>
      </c>
      <c r="M80" s="265" t="s">
        <v>11</v>
      </c>
      <c r="N80" s="266" t="s">
        <v>340</v>
      </c>
      <c r="O80" s="740" t="s">
        <v>51</v>
      </c>
      <c r="P80" s="741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</row>
    <row r="81" spans="1:75" s="138" customFormat="1" ht="50.1" customHeight="1">
      <c r="A81" s="765">
        <v>3</v>
      </c>
      <c r="B81" s="768" t="s">
        <v>457</v>
      </c>
      <c r="C81" s="267">
        <v>1</v>
      </c>
      <c r="D81" s="248" t="s">
        <v>443</v>
      </c>
      <c r="E81" s="249"/>
      <c r="F81" s="250"/>
      <c r="G81" s="318" t="s">
        <v>459</v>
      </c>
      <c r="H81" s="317"/>
      <c r="I81" s="318"/>
      <c r="J81" s="268">
        <v>122.81999999999996</v>
      </c>
      <c r="K81" s="269">
        <v>2.6936812447283884E-2</v>
      </c>
      <c r="L81" s="268">
        <v>15.01</v>
      </c>
      <c r="M81" s="342">
        <f t="shared" ref="M81:M85" si="8">L81*J81</f>
        <v>1843.5281999999995</v>
      </c>
      <c r="N81" s="281"/>
      <c r="O81" s="771" t="s">
        <v>573</v>
      </c>
      <c r="P81" s="77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</row>
    <row r="82" spans="1:75" s="138" customFormat="1" ht="20.100000000000001" customHeight="1">
      <c r="A82" s="766"/>
      <c r="B82" s="769"/>
      <c r="C82" s="267">
        <v>2</v>
      </c>
      <c r="D82" s="248"/>
      <c r="E82" s="249"/>
      <c r="F82" s="250"/>
      <c r="G82" s="426"/>
      <c r="H82" s="317"/>
      <c r="I82" s="318"/>
      <c r="J82" s="268"/>
      <c r="K82" s="269"/>
      <c r="L82" s="268"/>
      <c r="M82" s="342">
        <f t="shared" si="8"/>
        <v>0</v>
      </c>
      <c r="N82" s="281"/>
      <c r="O82" s="735"/>
      <c r="P82" s="736"/>
      <c r="R82" s="242"/>
      <c r="S82" s="242"/>
      <c r="T8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</row>
    <row r="83" spans="1:75" s="138" customFormat="1" ht="20.100000000000001" customHeight="1">
      <c r="A83" s="766"/>
      <c r="B83" s="769"/>
      <c r="C83" s="267">
        <v>3</v>
      </c>
      <c r="D83" s="248"/>
      <c r="E83" s="249"/>
      <c r="F83" s="250"/>
      <c r="G83" s="426"/>
      <c r="H83" s="317"/>
      <c r="I83" s="318"/>
      <c r="J83" s="268"/>
      <c r="K83" s="269"/>
      <c r="L83" s="268"/>
      <c r="M83" s="342">
        <f t="shared" si="8"/>
        <v>0</v>
      </c>
      <c r="N83" s="281"/>
      <c r="O83" s="735"/>
      <c r="P83" s="736"/>
      <c r="R83" s="242"/>
      <c r="S83" s="242"/>
      <c r="T83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</row>
    <row r="84" spans="1:75" s="138" customFormat="1" ht="20.100000000000001" customHeight="1">
      <c r="A84" s="766"/>
      <c r="B84" s="769"/>
      <c r="C84" s="267">
        <v>4</v>
      </c>
      <c r="D84" s="248"/>
      <c r="E84" s="249"/>
      <c r="F84" s="250"/>
      <c r="G84" s="325"/>
      <c r="H84" s="326"/>
      <c r="I84" s="327"/>
      <c r="J84" s="280"/>
      <c r="K84" s="269"/>
      <c r="L84" s="268"/>
      <c r="M84" s="342">
        <f t="shared" si="8"/>
        <v>0</v>
      </c>
      <c r="N84" s="281"/>
      <c r="O84" s="735"/>
      <c r="P84" s="736"/>
      <c r="R84" s="242"/>
      <c r="S84" s="242"/>
      <c r="T84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</row>
    <row r="85" spans="1:75" s="138" customFormat="1" ht="20.100000000000001" customHeight="1" thickBot="1">
      <c r="A85" s="766"/>
      <c r="B85" s="769"/>
      <c r="C85" s="273">
        <v>5</v>
      </c>
      <c r="D85" s="255"/>
      <c r="E85" s="256"/>
      <c r="F85" s="257"/>
      <c r="G85" s="423"/>
      <c r="H85" s="424"/>
      <c r="I85" s="425"/>
      <c r="J85" s="283"/>
      <c r="K85" s="275"/>
      <c r="L85" s="284"/>
      <c r="M85" s="342">
        <f t="shared" si="8"/>
        <v>0</v>
      </c>
      <c r="N85" s="281"/>
      <c r="O85" s="735"/>
      <c r="P85" s="736"/>
      <c r="R85" s="242"/>
      <c r="S85" s="242"/>
      <c r="T85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</row>
    <row r="86" spans="1:75" s="138" customFormat="1" ht="15.75" customHeight="1" thickTop="1">
      <c r="A86" s="767"/>
      <c r="B86" s="770"/>
      <c r="C86" s="639"/>
      <c r="D86" s="640"/>
      <c r="E86" s="640"/>
      <c r="F86" s="640"/>
      <c r="G86" s="640"/>
      <c r="H86" s="640"/>
      <c r="I86" s="773"/>
      <c r="J86" s="285" t="s">
        <v>58</v>
      </c>
      <c r="K86" s="215" t="e">
        <f>M86/'生產管理報表 7-1 (週)'!$B$42</f>
        <v>#DIV/0!</v>
      </c>
      <c r="L86" s="285" t="s">
        <v>59</v>
      </c>
      <c r="M86" s="343">
        <f>SUM(M81:M85)</f>
        <v>1843.5281999999995</v>
      </c>
      <c r="N86" s="737"/>
      <c r="O86" s="738"/>
      <c r="P86" s="739"/>
      <c r="R86" s="242"/>
      <c r="S86" s="242"/>
      <c r="T86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</row>
    <row r="87" spans="1:75" s="138" customFormat="1" ht="15.75" customHeight="1">
      <c r="A87" s="783" t="s">
        <v>628</v>
      </c>
      <c r="B87" s="783"/>
      <c r="C87" s="783"/>
      <c r="D87" s="783"/>
      <c r="E87" s="783"/>
      <c r="F87" s="783"/>
      <c r="G87" s="783"/>
      <c r="H87" s="783"/>
      <c r="I87" s="783"/>
      <c r="J87" s="783"/>
      <c r="K87" s="783"/>
      <c r="L87" s="783"/>
      <c r="M87" s="783"/>
      <c r="R87" s="242"/>
      <c r="S87" s="242"/>
      <c r="T87" s="242"/>
      <c r="U87" s="242"/>
    </row>
    <row r="88" spans="1:75" s="139" customFormat="1" ht="15.75" customHeight="1">
      <c r="A88" s="658"/>
      <c r="B88" s="658"/>
      <c r="C88" s="658"/>
      <c r="D88" s="658"/>
      <c r="E88" s="658"/>
      <c r="F88" s="658"/>
      <c r="G88" s="658"/>
      <c r="H88" s="658"/>
      <c r="I88" s="658"/>
      <c r="J88" s="658"/>
      <c r="K88" s="658"/>
      <c r="L88" s="658"/>
      <c r="M88" s="658"/>
    </row>
    <row r="89" spans="1:75" s="138" customFormat="1" ht="15.75" customHeight="1">
      <c r="A89" s="659" t="s">
        <v>193</v>
      </c>
      <c r="B89" s="652">
        <v>1</v>
      </c>
      <c r="C89" s="653"/>
      <c r="D89" s="652">
        <v>2</v>
      </c>
      <c r="E89" s="653"/>
      <c r="F89" s="652">
        <v>3</v>
      </c>
      <c r="G89" s="653"/>
      <c r="H89" s="661">
        <v>4</v>
      </c>
      <c r="I89" s="662"/>
      <c r="J89" s="661">
        <v>5</v>
      </c>
      <c r="K89" s="662"/>
      <c r="L89" s="661">
        <v>6</v>
      </c>
      <c r="M89" s="662"/>
      <c r="N89" s="661">
        <v>7</v>
      </c>
      <c r="O89" s="662"/>
      <c r="P89" s="661">
        <v>8</v>
      </c>
      <c r="Q89" s="662"/>
      <c r="R89" s="242"/>
      <c r="S89" s="242"/>
      <c r="T89" s="242"/>
      <c r="U89" s="242"/>
    </row>
    <row r="90" spans="1:75" s="138" customFormat="1" ht="15.75" customHeight="1">
      <c r="A90" s="660"/>
      <c r="B90" s="654" t="s">
        <v>523</v>
      </c>
      <c r="C90" s="655"/>
      <c r="D90" s="654" t="s">
        <v>215</v>
      </c>
      <c r="E90" s="655"/>
      <c r="F90" s="654" t="s">
        <v>168</v>
      </c>
      <c r="G90" s="655"/>
      <c r="H90" s="656" t="s">
        <v>473</v>
      </c>
      <c r="I90" s="657"/>
      <c r="J90" s="656" t="s">
        <v>191</v>
      </c>
      <c r="K90" s="657"/>
      <c r="L90" s="656" t="s">
        <v>169</v>
      </c>
      <c r="M90" s="657"/>
      <c r="N90" s="656" t="s">
        <v>192</v>
      </c>
      <c r="O90" s="657"/>
      <c r="P90" s="781" t="s">
        <v>220</v>
      </c>
      <c r="Q90" s="782"/>
      <c r="R90" s="242"/>
      <c r="S90" s="242"/>
      <c r="T90" s="242"/>
      <c r="U90" s="242"/>
    </row>
    <row r="91" spans="1:75" s="138" customFormat="1" ht="15.75" customHeight="1">
      <c r="B91" s="243"/>
      <c r="C91" s="244"/>
      <c r="R91" s="242"/>
      <c r="S91" s="242"/>
      <c r="T91" s="242"/>
      <c r="U91" s="242"/>
    </row>
    <row r="92" spans="1:75" s="246" customFormat="1" ht="15.75" customHeight="1">
      <c r="A92" s="661" t="s">
        <v>193</v>
      </c>
      <c r="B92" s="662"/>
      <c r="C92" s="245" t="s">
        <v>47</v>
      </c>
      <c r="D92" s="774" t="s">
        <v>12</v>
      </c>
      <c r="E92" s="650"/>
      <c r="F92" s="764"/>
      <c r="G92" s="775" t="s">
        <v>53</v>
      </c>
      <c r="H92" s="776"/>
      <c r="I92" s="777"/>
      <c r="J92" s="245" t="s">
        <v>54</v>
      </c>
      <c r="K92" s="245" t="s">
        <v>55</v>
      </c>
      <c r="L92" s="245" t="s">
        <v>56</v>
      </c>
      <c r="M92" s="245" t="s">
        <v>11</v>
      </c>
      <c r="N92" s="245" t="s">
        <v>340</v>
      </c>
      <c r="O92" s="778" t="s">
        <v>51</v>
      </c>
      <c r="P92" s="779"/>
    </row>
    <row r="93" spans="1:75" s="138" customFormat="1" ht="50.1" customHeight="1">
      <c r="A93" s="765">
        <v>1</v>
      </c>
      <c r="B93" s="768" t="s">
        <v>524</v>
      </c>
      <c r="C93" s="247">
        <v>1</v>
      </c>
      <c r="D93" s="248" t="s">
        <v>378</v>
      </c>
      <c r="E93" s="249"/>
      <c r="F93" s="249"/>
      <c r="G93" s="426" t="s">
        <v>375</v>
      </c>
      <c r="H93" s="317"/>
      <c r="I93" s="318"/>
      <c r="J93" s="247">
        <v>152.75</v>
      </c>
      <c r="K93" s="253">
        <v>1.9705211613833141E-2</v>
      </c>
      <c r="L93" s="247">
        <v>19.96</v>
      </c>
      <c r="M93" s="339">
        <f>L93*J93</f>
        <v>3048.8900000000003</v>
      </c>
      <c r="N93" s="254"/>
      <c r="O93" s="679" t="s">
        <v>640</v>
      </c>
      <c r="P93" s="680"/>
      <c r="R93" s="242"/>
      <c r="S93" s="272"/>
      <c r="T93" s="272"/>
      <c r="U93" s="242"/>
    </row>
    <row r="94" spans="1:75" s="138" customFormat="1" ht="50.1" customHeight="1">
      <c r="A94" s="766"/>
      <c r="B94" s="769"/>
      <c r="C94" s="247">
        <v>2</v>
      </c>
      <c r="D94" s="248" t="s">
        <v>366</v>
      </c>
      <c r="E94" s="249"/>
      <c r="F94" s="249"/>
      <c r="G94" s="426" t="s">
        <v>374</v>
      </c>
      <c r="H94" s="317"/>
      <c r="I94" s="318"/>
      <c r="J94" s="247">
        <v>253.92000000000002</v>
      </c>
      <c r="K94" s="253">
        <v>2.4526567383710243E-2</v>
      </c>
      <c r="L94" s="247">
        <v>6.67</v>
      </c>
      <c r="M94" s="339">
        <f t="shared" ref="M94:M97" si="9">L94*J94</f>
        <v>1693.6464000000001</v>
      </c>
      <c r="N94" s="254"/>
      <c r="O94" s="679" t="s">
        <v>567</v>
      </c>
      <c r="P94" s="680"/>
      <c r="R94" s="242"/>
      <c r="S94" s="213"/>
      <c r="T94" s="213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  <c r="AP94" s="242"/>
      <c r="AQ94" s="242"/>
      <c r="AR94" s="242"/>
      <c r="AS94" s="242"/>
      <c r="AT94" s="242"/>
      <c r="AU94" s="242"/>
      <c r="AV94" s="242"/>
      <c r="AW94" s="242"/>
      <c r="AX94" s="242"/>
      <c r="AY94" s="242"/>
      <c r="AZ94" s="242"/>
      <c r="BA94" s="242"/>
      <c r="BB94" s="242"/>
      <c r="BC94" s="242"/>
      <c r="BD94" s="242"/>
      <c r="BE94" s="242"/>
      <c r="BF94" s="242"/>
      <c r="BG94" s="242"/>
      <c r="BH94" s="242"/>
      <c r="BI94" s="242"/>
      <c r="BJ94" s="242"/>
      <c r="BK94" s="242"/>
      <c r="BL94" s="242"/>
      <c r="BM94" s="242"/>
      <c r="BN94" s="242"/>
      <c r="BO94" s="242"/>
      <c r="BP94" s="242"/>
      <c r="BQ94" s="242"/>
      <c r="BR94" s="242"/>
      <c r="BS94" s="242"/>
      <c r="BT94" s="242"/>
      <c r="BU94" s="242"/>
      <c r="BV94" s="242"/>
      <c r="BW94" s="242"/>
    </row>
    <row r="95" spans="1:75" s="138" customFormat="1" ht="50.1" customHeight="1">
      <c r="A95" s="766"/>
      <c r="B95" s="769"/>
      <c r="C95" s="247">
        <v>3</v>
      </c>
      <c r="D95" s="248" t="s">
        <v>351</v>
      </c>
      <c r="E95" s="249"/>
      <c r="F95" s="249"/>
      <c r="G95" s="426" t="s">
        <v>343</v>
      </c>
      <c r="H95" s="317"/>
      <c r="I95" s="318"/>
      <c r="J95" s="247">
        <v>141.66999999999999</v>
      </c>
      <c r="K95" s="253">
        <v>2.1100702153390737E-2</v>
      </c>
      <c r="L95" s="247">
        <v>11.690000000000001</v>
      </c>
      <c r="M95" s="339">
        <f t="shared" si="9"/>
        <v>1656.1223</v>
      </c>
      <c r="N95" s="254"/>
      <c r="O95" s="780" t="s">
        <v>640</v>
      </c>
      <c r="P95" s="736"/>
      <c r="R95" s="242"/>
      <c r="S95" s="272"/>
      <c r="T95" s="27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  <c r="AP95" s="242"/>
      <c r="AQ95" s="242"/>
      <c r="AR95" s="242"/>
      <c r="AS95" s="242"/>
      <c r="AT95" s="242"/>
      <c r="AU95" s="242"/>
      <c r="AV95" s="242"/>
      <c r="AW95" s="242"/>
      <c r="AX95" s="242"/>
      <c r="AY95" s="242"/>
      <c r="AZ95" s="242"/>
      <c r="BA95" s="242"/>
      <c r="BB95" s="242"/>
      <c r="BC95" s="242"/>
      <c r="BD95" s="242"/>
      <c r="BE95" s="242"/>
      <c r="BF95" s="242"/>
      <c r="BG95" s="242"/>
      <c r="BH95" s="242"/>
      <c r="BI95" s="242"/>
      <c r="BJ95" s="242"/>
      <c r="BK95" s="242"/>
      <c r="BL95" s="242"/>
      <c r="BM95" s="242"/>
      <c r="BN95" s="242"/>
      <c r="BO95" s="242"/>
      <c r="BP95" s="242"/>
      <c r="BQ95" s="242"/>
      <c r="BR95" s="242"/>
      <c r="BS95" s="242"/>
      <c r="BT95" s="242"/>
      <c r="BU95" s="242"/>
      <c r="BV95" s="242"/>
      <c r="BW95" s="242"/>
    </row>
    <row r="96" spans="1:75" s="138" customFormat="1" ht="50.1" customHeight="1">
      <c r="A96" s="766"/>
      <c r="B96" s="769"/>
      <c r="C96" s="247">
        <v>4</v>
      </c>
      <c r="D96" s="248" t="s">
        <v>483</v>
      </c>
      <c r="E96" s="249"/>
      <c r="F96" s="249"/>
      <c r="G96" s="426" t="s">
        <v>621</v>
      </c>
      <c r="H96" s="317"/>
      <c r="I96" s="318"/>
      <c r="J96" s="247">
        <v>1.1500000000000001</v>
      </c>
      <c r="K96" s="253">
        <v>3.0018092398644343E-2</v>
      </c>
      <c r="L96" s="247">
        <v>1178</v>
      </c>
      <c r="M96" s="339">
        <f t="shared" si="9"/>
        <v>1354.7</v>
      </c>
      <c r="N96" s="254"/>
      <c r="O96" s="780" t="s">
        <v>641</v>
      </c>
      <c r="P96" s="736"/>
      <c r="R96" s="242"/>
      <c r="S96" s="213"/>
      <c r="T96" s="213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  <c r="AP96" s="242"/>
      <c r="AQ96" s="242"/>
      <c r="AR96" s="242"/>
      <c r="AS96" s="242"/>
      <c r="AT96" s="242"/>
      <c r="AU96" s="242"/>
      <c r="AV96" s="242"/>
      <c r="AW96" s="242"/>
      <c r="AX96" s="242"/>
      <c r="AY96" s="242"/>
      <c r="AZ96" s="242"/>
      <c r="BA96" s="242"/>
      <c r="BB96" s="242"/>
      <c r="BC96" s="242"/>
      <c r="BD96" s="242"/>
      <c r="BE96" s="242"/>
      <c r="BF96" s="242"/>
      <c r="BG96" s="242"/>
      <c r="BH96" s="242"/>
      <c r="BI96" s="242"/>
      <c r="BJ96" s="242"/>
      <c r="BK96" s="242"/>
      <c r="BL96" s="242"/>
      <c r="BM96" s="242"/>
      <c r="BN96" s="242"/>
      <c r="BO96" s="242"/>
      <c r="BP96" s="242"/>
      <c r="BQ96" s="242"/>
      <c r="BR96" s="242"/>
      <c r="BS96" s="242"/>
      <c r="BT96" s="242"/>
      <c r="BU96" s="242"/>
      <c r="BV96" s="242"/>
      <c r="BW96" s="242"/>
    </row>
    <row r="97" spans="1:75" s="138" customFormat="1" ht="50.1" customHeight="1" thickBot="1">
      <c r="A97" s="766"/>
      <c r="B97" s="769"/>
      <c r="C97" s="247">
        <v>5</v>
      </c>
      <c r="D97" s="255" t="s">
        <v>617</v>
      </c>
      <c r="E97" s="256"/>
      <c r="F97" s="256"/>
      <c r="G97" s="426" t="s">
        <v>622</v>
      </c>
      <c r="H97" s="317"/>
      <c r="I97" s="318"/>
      <c r="J97" s="258">
        <v>142.19000000000003</v>
      </c>
      <c r="K97" s="259">
        <v>1.6860517536741507E-2</v>
      </c>
      <c r="L97" s="258">
        <v>9.3500000000000014</v>
      </c>
      <c r="M97" s="340">
        <f t="shared" si="9"/>
        <v>1329.4765000000004</v>
      </c>
      <c r="N97" s="254"/>
      <c r="O97" s="780" t="s">
        <v>573</v>
      </c>
      <c r="P97" s="736"/>
      <c r="R97" s="242"/>
      <c r="S97" s="272"/>
      <c r="T97" s="27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  <c r="BE97" s="242"/>
      <c r="BF97" s="242"/>
      <c r="BG97" s="242"/>
      <c r="BH97" s="242"/>
      <c r="BI97" s="242"/>
      <c r="BJ97" s="242"/>
      <c r="BK97" s="242"/>
      <c r="BL97" s="242"/>
      <c r="BM97" s="242"/>
      <c r="BN97" s="242"/>
      <c r="BO97" s="242"/>
      <c r="BP97" s="242"/>
      <c r="BQ97" s="242"/>
      <c r="BR97" s="242"/>
      <c r="BS97" s="242"/>
      <c r="BT97" s="242"/>
      <c r="BU97" s="242"/>
      <c r="BV97" s="242"/>
      <c r="BW97" s="242"/>
    </row>
    <row r="98" spans="1:75" s="138" customFormat="1" ht="15.75" customHeight="1" thickTop="1">
      <c r="A98" s="767"/>
      <c r="B98" s="770"/>
      <c r="C98" s="639"/>
      <c r="D98" s="640"/>
      <c r="E98" s="640"/>
      <c r="F98" s="640"/>
      <c r="G98" s="640"/>
      <c r="H98" s="640"/>
      <c r="I98" s="773"/>
      <c r="J98" s="260" t="s">
        <v>58</v>
      </c>
      <c r="K98" s="215" t="e">
        <f>M98/'生產管理報表 7-1 (週)'!$B$53</f>
        <v>#DIV/0!</v>
      </c>
      <c r="L98" s="260" t="s">
        <v>59</v>
      </c>
      <c r="M98" s="341">
        <f>SUM(M93:M97)</f>
        <v>9082.8352000000014</v>
      </c>
      <c r="N98" s="725"/>
      <c r="O98" s="726"/>
      <c r="P98" s="727"/>
      <c r="R98" s="242"/>
      <c r="S98" s="213"/>
      <c r="T98" s="213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  <c r="AT98" s="242"/>
      <c r="AU98" s="242"/>
      <c r="AV98" s="242"/>
      <c r="AW98" s="242"/>
      <c r="AX98" s="242"/>
      <c r="AY98" s="242"/>
      <c r="AZ98" s="242"/>
      <c r="BA98" s="242"/>
      <c r="BB98" s="242"/>
      <c r="BC98" s="242"/>
      <c r="BD98" s="242"/>
      <c r="BE98" s="242"/>
      <c r="BF98" s="242"/>
      <c r="BG98" s="242"/>
      <c r="BH98" s="242"/>
      <c r="BI98" s="242"/>
      <c r="BJ98" s="242"/>
      <c r="BK98" s="242"/>
      <c r="BL98" s="242"/>
      <c r="BM98" s="242"/>
      <c r="BN98" s="242"/>
      <c r="BO98" s="242"/>
      <c r="BP98" s="242"/>
      <c r="BQ98" s="242"/>
      <c r="BR98" s="242"/>
      <c r="BS98" s="242"/>
      <c r="BT98" s="242"/>
      <c r="BU98" s="242"/>
      <c r="BV98" s="242"/>
      <c r="BW98" s="242"/>
    </row>
    <row r="99" spans="1:75" s="138" customFormat="1" ht="15.75" customHeight="1">
      <c r="B99" s="243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62"/>
      <c r="O99" s="262"/>
      <c r="P99" s="262"/>
      <c r="R99" s="242"/>
      <c r="S99" s="272"/>
      <c r="T99" s="27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42"/>
      <c r="AW99" s="242"/>
      <c r="AX99" s="242"/>
      <c r="AY99" s="242"/>
      <c r="AZ99" s="242"/>
      <c r="BA99" s="242"/>
      <c r="BB99" s="242"/>
      <c r="BC99" s="242"/>
      <c r="BD99" s="242"/>
      <c r="BE99" s="242"/>
      <c r="BF99" s="242"/>
      <c r="BG99" s="242"/>
      <c r="BH99" s="242"/>
      <c r="BI99" s="242"/>
      <c r="BJ99" s="242"/>
      <c r="BK99" s="242"/>
      <c r="BL99" s="242"/>
      <c r="BM99" s="242"/>
      <c r="BN99" s="242"/>
      <c r="BO99" s="242"/>
      <c r="BP99" s="242"/>
      <c r="BQ99" s="242"/>
      <c r="BR99" s="242"/>
      <c r="BS99" s="242"/>
      <c r="BT99" s="242"/>
      <c r="BU99" s="242"/>
      <c r="BV99" s="242"/>
      <c r="BW99" s="242"/>
    </row>
    <row r="100" spans="1:75" s="138" customFormat="1" ht="15.75" customHeight="1">
      <c r="A100" s="661" t="s">
        <v>193</v>
      </c>
      <c r="B100" s="662"/>
      <c r="C100" s="263" t="s">
        <v>47</v>
      </c>
      <c r="D100" s="649" t="s">
        <v>12</v>
      </c>
      <c r="E100" s="650"/>
      <c r="F100" s="651"/>
      <c r="G100" s="649" t="s">
        <v>53</v>
      </c>
      <c r="H100" s="650"/>
      <c r="I100" s="651"/>
      <c r="J100" s="265" t="s">
        <v>54</v>
      </c>
      <c r="K100" s="265" t="s">
        <v>55</v>
      </c>
      <c r="L100" s="265" t="s">
        <v>56</v>
      </c>
      <c r="M100" s="265" t="s">
        <v>11</v>
      </c>
      <c r="N100" s="266" t="s">
        <v>340</v>
      </c>
      <c r="O100" s="728" t="s">
        <v>51</v>
      </c>
      <c r="P100" s="729"/>
      <c r="R100" s="242"/>
      <c r="S100" s="213"/>
      <c r="T100" s="213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</row>
    <row r="101" spans="1:75" s="138" customFormat="1" ht="20.100000000000001" customHeight="1">
      <c r="A101" s="765">
        <v>2</v>
      </c>
      <c r="B101" s="768" t="s">
        <v>216</v>
      </c>
      <c r="C101" s="267">
        <v>1</v>
      </c>
      <c r="D101" s="248"/>
      <c r="E101" s="249"/>
      <c r="F101" s="250"/>
      <c r="G101" s="248"/>
      <c r="H101" s="249"/>
      <c r="I101" s="250"/>
      <c r="J101" s="268"/>
      <c r="K101" s="269"/>
      <c r="L101" s="268"/>
      <c r="M101" s="270">
        <f t="shared" ref="M101:M105" si="10">L101*J101</f>
        <v>0</v>
      </c>
      <c r="N101" s="271"/>
      <c r="O101" s="730"/>
      <c r="P101" s="731"/>
      <c r="R101" s="242"/>
      <c r="S101" s="272"/>
      <c r="T101" s="27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</row>
    <row r="102" spans="1:75" s="138" customFormat="1" ht="20.100000000000001" customHeight="1">
      <c r="A102" s="766"/>
      <c r="B102" s="769"/>
      <c r="C102" s="267">
        <v>2</v>
      </c>
      <c r="D102" s="248"/>
      <c r="E102" s="249"/>
      <c r="F102" s="250"/>
      <c r="G102" s="248"/>
      <c r="H102" s="249"/>
      <c r="I102" s="250"/>
      <c r="J102" s="268"/>
      <c r="K102" s="269"/>
      <c r="L102" s="268"/>
      <c r="M102" s="270">
        <f t="shared" si="10"/>
        <v>0</v>
      </c>
      <c r="N102" s="271"/>
      <c r="O102" s="730"/>
      <c r="P102" s="731"/>
      <c r="R102" s="242"/>
      <c r="S102" s="213"/>
      <c r="T102" s="213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</row>
    <row r="103" spans="1:75" s="138" customFormat="1" ht="20.100000000000001" customHeight="1">
      <c r="A103" s="766"/>
      <c r="B103" s="769"/>
      <c r="C103" s="267">
        <v>3</v>
      </c>
      <c r="D103" s="248"/>
      <c r="E103" s="249"/>
      <c r="F103" s="250"/>
      <c r="G103" s="248"/>
      <c r="H103" s="249"/>
      <c r="I103" s="279"/>
      <c r="J103" s="268"/>
      <c r="K103" s="269"/>
      <c r="L103" s="268"/>
      <c r="M103" s="270">
        <f t="shared" si="10"/>
        <v>0</v>
      </c>
      <c r="N103" s="271"/>
      <c r="O103" s="730"/>
      <c r="P103" s="731"/>
      <c r="R103" s="242"/>
      <c r="S103" s="272"/>
      <c r="T103" s="27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</row>
    <row r="104" spans="1:75" s="138" customFormat="1" ht="20.100000000000001" customHeight="1">
      <c r="A104" s="766"/>
      <c r="B104" s="769"/>
      <c r="C104" s="267">
        <v>4</v>
      </c>
      <c r="D104" s="248"/>
      <c r="E104" s="249"/>
      <c r="F104" s="250"/>
      <c r="G104" s="248"/>
      <c r="H104" s="249"/>
      <c r="I104" s="250"/>
      <c r="J104" s="268"/>
      <c r="K104" s="269"/>
      <c r="L104" s="268"/>
      <c r="M104" s="270">
        <f t="shared" si="10"/>
        <v>0</v>
      </c>
      <c r="N104" s="271"/>
      <c r="O104" s="730"/>
      <c r="P104" s="731"/>
      <c r="R104" s="242"/>
      <c r="S104" s="213"/>
      <c r="T104" s="213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</row>
    <row r="105" spans="1:75" s="138" customFormat="1" ht="20.100000000000001" customHeight="1" thickBot="1">
      <c r="A105" s="766"/>
      <c r="B105" s="769"/>
      <c r="C105" s="273">
        <v>5</v>
      </c>
      <c r="D105" s="255"/>
      <c r="E105" s="256"/>
      <c r="F105" s="257"/>
      <c r="G105" s="248"/>
      <c r="H105" s="249"/>
      <c r="I105" s="250"/>
      <c r="J105" s="274"/>
      <c r="K105" s="275"/>
      <c r="L105" s="274"/>
      <c r="M105" s="276">
        <f t="shared" si="10"/>
        <v>0</v>
      </c>
      <c r="N105" s="277"/>
      <c r="O105" s="730"/>
      <c r="P105" s="731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</row>
    <row r="106" spans="1:75" s="138" customFormat="1" ht="15.75" customHeight="1" thickTop="1">
      <c r="A106" s="767"/>
      <c r="B106" s="770"/>
      <c r="C106" s="639"/>
      <c r="D106" s="640"/>
      <c r="E106" s="640"/>
      <c r="F106" s="640"/>
      <c r="G106" s="640"/>
      <c r="H106" s="640"/>
      <c r="I106" s="773"/>
      <c r="J106" s="260" t="s">
        <v>58</v>
      </c>
      <c r="K106" s="215" t="e">
        <f>M106/'生產管理報表 7-1 (週)'!$B$53</f>
        <v>#DIV/0!</v>
      </c>
      <c r="L106" s="260" t="s">
        <v>59</v>
      </c>
      <c r="M106" s="261">
        <f>SUM(M101:M105)</f>
        <v>0</v>
      </c>
      <c r="N106" s="732"/>
      <c r="O106" s="733"/>
      <c r="P106" s="734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</row>
    <row r="107" spans="1:75" s="138" customFormat="1" ht="15.75" customHeight="1">
      <c r="B107" s="243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78"/>
      <c r="O107" s="278"/>
      <c r="P107" s="278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</row>
    <row r="108" spans="1:75" s="138" customFormat="1" ht="15.75" customHeight="1">
      <c r="A108" s="661" t="s">
        <v>193</v>
      </c>
      <c r="B108" s="662"/>
      <c r="C108" s="263" t="s">
        <v>47</v>
      </c>
      <c r="D108" s="649" t="s">
        <v>12</v>
      </c>
      <c r="E108" s="650"/>
      <c r="F108" s="651"/>
      <c r="G108" s="649" t="s">
        <v>53</v>
      </c>
      <c r="H108" s="650"/>
      <c r="I108" s="764"/>
      <c r="J108" s="264" t="s">
        <v>54</v>
      </c>
      <c r="K108" s="265" t="s">
        <v>55</v>
      </c>
      <c r="L108" s="265" t="s">
        <v>56</v>
      </c>
      <c r="M108" s="265" t="s">
        <v>11</v>
      </c>
      <c r="N108" s="266" t="s">
        <v>340</v>
      </c>
      <c r="O108" s="740" t="s">
        <v>51</v>
      </c>
      <c r="P108" s="741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</row>
    <row r="109" spans="1:75" s="138" customFormat="1" ht="50.1" customHeight="1">
      <c r="A109" s="765">
        <v>3</v>
      </c>
      <c r="B109" s="768" t="s">
        <v>457</v>
      </c>
      <c r="C109" s="267">
        <v>1</v>
      </c>
      <c r="D109" s="248" t="s">
        <v>443</v>
      </c>
      <c r="E109" s="249"/>
      <c r="F109" s="250"/>
      <c r="G109" s="318" t="s">
        <v>459</v>
      </c>
      <c r="H109" s="317"/>
      <c r="I109" s="318"/>
      <c r="J109" s="268">
        <v>122.81999999999996</v>
      </c>
      <c r="K109" s="269">
        <v>2.7853137999638271E-2</v>
      </c>
      <c r="L109" s="268">
        <v>15.4</v>
      </c>
      <c r="M109" s="342">
        <f t="shared" ref="M109:M113" si="11">L109*J109</f>
        <v>1891.4279999999994</v>
      </c>
      <c r="N109" s="281"/>
      <c r="O109" s="771" t="s">
        <v>573</v>
      </c>
      <c r="P109" s="77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</row>
    <row r="110" spans="1:75" s="138" customFormat="1" ht="20.100000000000001" customHeight="1">
      <c r="A110" s="766"/>
      <c r="B110" s="769"/>
      <c r="C110" s="267">
        <v>2</v>
      </c>
      <c r="D110" s="248"/>
      <c r="E110" s="249"/>
      <c r="F110" s="250"/>
      <c r="G110" s="426"/>
      <c r="H110" s="317"/>
      <c r="I110" s="318"/>
      <c r="J110" s="268"/>
      <c r="K110" s="269"/>
      <c r="L110" s="268"/>
      <c r="M110" s="342">
        <f t="shared" si="11"/>
        <v>0</v>
      </c>
      <c r="N110" s="281"/>
      <c r="O110" s="735"/>
      <c r="P110" s="736"/>
      <c r="R110" s="242"/>
      <c r="S110" s="242"/>
      <c r="T110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</row>
    <row r="111" spans="1:75" s="138" customFormat="1" ht="20.100000000000001" customHeight="1">
      <c r="A111" s="766"/>
      <c r="B111" s="769"/>
      <c r="C111" s="267">
        <v>3</v>
      </c>
      <c r="D111" s="248"/>
      <c r="E111" s="249"/>
      <c r="F111" s="250"/>
      <c r="G111" s="426"/>
      <c r="H111" s="317"/>
      <c r="I111" s="318"/>
      <c r="J111" s="268"/>
      <c r="K111" s="269"/>
      <c r="L111" s="268"/>
      <c r="M111" s="342">
        <f t="shared" si="11"/>
        <v>0</v>
      </c>
      <c r="N111" s="281"/>
      <c r="O111" s="735"/>
      <c r="P111" s="736"/>
      <c r="R111" s="242"/>
      <c r="S111" s="242"/>
      <c r="T111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</row>
    <row r="112" spans="1:75" s="138" customFormat="1" ht="20.100000000000001" customHeight="1">
      <c r="A112" s="766"/>
      <c r="B112" s="769"/>
      <c r="C112" s="267">
        <v>4</v>
      </c>
      <c r="D112" s="248"/>
      <c r="E112" s="249"/>
      <c r="F112" s="250"/>
      <c r="G112" s="325"/>
      <c r="H112" s="326"/>
      <c r="I112" s="327"/>
      <c r="J112" s="280"/>
      <c r="K112" s="269"/>
      <c r="L112" s="268"/>
      <c r="M112" s="342">
        <f t="shared" si="11"/>
        <v>0</v>
      </c>
      <c r="N112" s="281"/>
      <c r="O112" s="735"/>
      <c r="P112" s="736"/>
      <c r="R112" s="242"/>
      <c r="S112" s="242"/>
      <c r="T11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</row>
    <row r="113" spans="1:75" s="138" customFormat="1" ht="20.100000000000001" customHeight="1" thickBot="1">
      <c r="A113" s="766"/>
      <c r="B113" s="769"/>
      <c r="C113" s="273">
        <v>5</v>
      </c>
      <c r="D113" s="255"/>
      <c r="E113" s="256"/>
      <c r="F113" s="257"/>
      <c r="G113" s="423"/>
      <c r="H113" s="424"/>
      <c r="I113" s="425"/>
      <c r="J113" s="283"/>
      <c r="K113" s="275"/>
      <c r="L113" s="284"/>
      <c r="M113" s="342">
        <f t="shared" si="11"/>
        <v>0</v>
      </c>
      <c r="N113" s="281"/>
      <c r="O113" s="735"/>
      <c r="P113" s="736"/>
      <c r="R113" s="242"/>
      <c r="S113" s="242"/>
      <c r="T113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</row>
    <row r="114" spans="1:75" s="138" customFormat="1" ht="15.75" customHeight="1" thickTop="1">
      <c r="A114" s="767"/>
      <c r="B114" s="770"/>
      <c r="C114" s="639"/>
      <c r="D114" s="640"/>
      <c r="E114" s="640"/>
      <c r="F114" s="640"/>
      <c r="G114" s="640"/>
      <c r="H114" s="640"/>
      <c r="I114" s="773"/>
      <c r="J114" s="285" t="s">
        <v>58</v>
      </c>
      <c r="K114" s="215" t="e">
        <f>M114/'生產管理報表 7-1 (週)'!$B$53</f>
        <v>#DIV/0!</v>
      </c>
      <c r="L114" s="285" t="s">
        <v>59</v>
      </c>
      <c r="M114" s="343">
        <f>SUM(M109:M113)</f>
        <v>1891.4279999999994</v>
      </c>
      <c r="N114" s="737"/>
      <c r="O114" s="738"/>
      <c r="P114" s="739"/>
      <c r="R114" s="242"/>
      <c r="S114" s="242"/>
      <c r="T114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</row>
    <row r="115" spans="1:75" s="138" customFormat="1" ht="15.75" customHeight="1">
      <c r="A115" s="783" t="s">
        <v>685</v>
      </c>
      <c r="B115" s="783"/>
      <c r="C115" s="783"/>
      <c r="D115" s="783"/>
      <c r="E115" s="783"/>
      <c r="F115" s="783"/>
      <c r="G115" s="783"/>
      <c r="H115" s="783"/>
      <c r="I115" s="783"/>
      <c r="J115" s="783"/>
      <c r="K115" s="783"/>
      <c r="L115" s="783"/>
      <c r="M115" s="783"/>
      <c r="R115" s="242"/>
      <c r="S115" s="242"/>
      <c r="T115" s="242"/>
      <c r="U115" s="242"/>
    </row>
    <row r="116" spans="1:75" s="139" customFormat="1" ht="15.75" customHeight="1">
      <c r="A116" s="658"/>
      <c r="B116" s="658"/>
      <c r="C116" s="658"/>
      <c r="D116" s="658"/>
      <c r="E116" s="658"/>
      <c r="F116" s="658"/>
      <c r="G116" s="658"/>
      <c r="H116" s="658"/>
      <c r="I116" s="658"/>
      <c r="J116" s="658"/>
      <c r="K116" s="658"/>
      <c r="L116" s="658"/>
      <c r="M116" s="658"/>
    </row>
    <row r="117" spans="1:75" s="138" customFormat="1" ht="15.75" customHeight="1">
      <c r="A117" s="659" t="s">
        <v>193</v>
      </c>
      <c r="B117" s="652">
        <v>1</v>
      </c>
      <c r="C117" s="653"/>
      <c r="D117" s="652">
        <v>2</v>
      </c>
      <c r="E117" s="653"/>
      <c r="F117" s="652">
        <v>3</v>
      </c>
      <c r="G117" s="653"/>
      <c r="H117" s="661">
        <v>4</v>
      </c>
      <c r="I117" s="662"/>
      <c r="J117" s="661">
        <v>5</v>
      </c>
      <c r="K117" s="662"/>
      <c r="L117" s="661">
        <v>6</v>
      </c>
      <c r="M117" s="662"/>
      <c r="N117" s="661">
        <v>7</v>
      </c>
      <c r="O117" s="662"/>
      <c r="P117" s="661">
        <v>8</v>
      </c>
      <c r="Q117" s="662"/>
      <c r="R117" s="242"/>
      <c r="S117" s="242"/>
      <c r="T117" s="242"/>
      <c r="U117" s="242"/>
    </row>
    <row r="118" spans="1:75" s="138" customFormat="1" ht="15.75" customHeight="1">
      <c r="A118" s="660"/>
      <c r="B118" s="654" t="s">
        <v>523</v>
      </c>
      <c r="C118" s="655"/>
      <c r="D118" s="654" t="s">
        <v>215</v>
      </c>
      <c r="E118" s="655"/>
      <c r="F118" s="654" t="s">
        <v>168</v>
      </c>
      <c r="G118" s="655"/>
      <c r="H118" s="656" t="s">
        <v>473</v>
      </c>
      <c r="I118" s="657"/>
      <c r="J118" s="656" t="s">
        <v>191</v>
      </c>
      <c r="K118" s="657"/>
      <c r="L118" s="656" t="s">
        <v>169</v>
      </c>
      <c r="M118" s="657"/>
      <c r="N118" s="656" t="s">
        <v>192</v>
      </c>
      <c r="O118" s="657"/>
      <c r="P118" s="781" t="s">
        <v>220</v>
      </c>
      <c r="Q118" s="782"/>
      <c r="R118" s="242"/>
      <c r="S118" s="242"/>
      <c r="T118" s="242"/>
      <c r="U118" s="242"/>
    </row>
    <row r="119" spans="1:75" s="138" customFormat="1" ht="15.75" customHeight="1">
      <c r="B119" s="243"/>
      <c r="C119" s="244"/>
      <c r="R119" s="242"/>
      <c r="S119" s="242"/>
      <c r="T119" s="242"/>
      <c r="U119" s="242"/>
    </row>
    <row r="120" spans="1:75" s="246" customFormat="1" ht="15.75" customHeight="1">
      <c r="A120" s="661" t="s">
        <v>193</v>
      </c>
      <c r="B120" s="662"/>
      <c r="C120" s="245" t="s">
        <v>47</v>
      </c>
      <c r="D120" s="774" t="s">
        <v>12</v>
      </c>
      <c r="E120" s="650"/>
      <c r="F120" s="764"/>
      <c r="G120" s="775" t="s">
        <v>53</v>
      </c>
      <c r="H120" s="776"/>
      <c r="I120" s="777"/>
      <c r="J120" s="245" t="s">
        <v>54</v>
      </c>
      <c r="K120" s="245" t="s">
        <v>55</v>
      </c>
      <c r="L120" s="245" t="s">
        <v>56</v>
      </c>
      <c r="M120" s="245" t="s">
        <v>11</v>
      </c>
      <c r="N120" s="245" t="s">
        <v>340</v>
      </c>
      <c r="O120" s="778" t="s">
        <v>51</v>
      </c>
      <c r="P120" s="779"/>
    </row>
    <row r="121" spans="1:75" s="138" customFormat="1" ht="50.1" customHeight="1">
      <c r="A121" s="765">
        <v>1</v>
      </c>
      <c r="B121" s="768" t="s">
        <v>524</v>
      </c>
      <c r="C121" s="247">
        <v>1</v>
      </c>
      <c r="D121" s="248" t="s">
        <v>378</v>
      </c>
      <c r="E121" s="249"/>
      <c r="F121" s="249"/>
      <c r="G121" s="426" t="s">
        <v>375</v>
      </c>
      <c r="H121" s="317"/>
      <c r="I121" s="318"/>
      <c r="J121" s="247">
        <v>152.75</v>
      </c>
      <c r="K121" s="253">
        <v>1.9387973049067003E-2</v>
      </c>
      <c r="L121" s="247">
        <v>19.97</v>
      </c>
      <c r="M121" s="339">
        <f>L121*J121</f>
        <v>3050.4175</v>
      </c>
      <c r="N121" s="254"/>
      <c r="O121" s="679" t="s">
        <v>640</v>
      </c>
      <c r="P121" s="680"/>
      <c r="R121" s="242"/>
      <c r="S121" s="272"/>
      <c r="T121" s="272"/>
      <c r="U121" s="242"/>
    </row>
    <row r="122" spans="1:75" s="138" customFormat="1" ht="50.1" customHeight="1">
      <c r="A122" s="766"/>
      <c r="B122" s="769"/>
      <c r="C122" s="247">
        <v>2</v>
      </c>
      <c r="D122" s="248" t="s">
        <v>351</v>
      </c>
      <c r="E122" s="249"/>
      <c r="F122" s="249"/>
      <c r="G122" s="391" t="s">
        <v>343</v>
      </c>
      <c r="H122" s="317"/>
      <c r="I122" s="318"/>
      <c r="J122" s="247">
        <v>141.66999999999999</v>
      </c>
      <c r="K122" s="253">
        <v>1.754233759022765E-2</v>
      </c>
      <c r="L122" s="247">
        <v>10.11</v>
      </c>
      <c r="M122" s="339">
        <f t="shared" ref="M122:M125" si="12">L122*J122</f>
        <v>1432.2836999999997</v>
      </c>
      <c r="N122" s="254"/>
      <c r="O122" s="679" t="s">
        <v>640</v>
      </c>
      <c r="P122" s="680"/>
      <c r="R122" s="242"/>
      <c r="S122" s="213"/>
      <c r="T122" s="213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T122" s="242"/>
      <c r="AU122" s="242"/>
      <c r="AV122" s="242"/>
      <c r="AW122" s="242"/>
      <c r="AX122" s="242"/>
      <c r="AY122" s="242"/>
      <c r="AZ122" s="242"/>
      <c r="BA122" s="242"/>
      <c r="BB122" s="242"/>
      <c r="BC122" s="242"/>
      <c r="BD122" s="242"/>
      <c r="BE122" s="242"/>
      <c r="BF122" s="242"/>
      <c r="BG122" s="242"/>
      <c r="BH122" s="242"/>
      <c r="BI122" s="242"/>
      <c r="BJ122" s="242"/>
      <c r="BK122" s="242"/>
      <c r="BL122" s="242"/>
      <c r="BM122" s="242"/>
      <c r="BN122" s="242"/>
      <c r="BO122" s="242"/>
      <c r="BP122" s="242"/>
      <c r="BQ122" s="242"/>
      <c r="BR122" s="242"/>
      <c r="BS122" s="242"/>
      <c r="BT122" s="242"/>
      <c r="BU122" s="242"/>
      <c r="BV122" s="242"/>
      <c r="BW122" s="242"/>
    </row>
    <row r="123" spans="1:75" s="138" customFormat="1" ht="50.1" customHeight="1">
      <c r="A123" s="766"/>
      <c r="B123" s="769"/>
      <c r="C123" s="247">
        <v>3</v>
      </c>
      <c r="D123" s="248" t="s">
        <v>491</v>
      </c>
      <c r="E123" s="249"/>
      <c r="F123" s="249"/>
      <c r="G123" s="391" t="s">
        <v>494</v>
      </c>
      <c r="H123" s="317"/>
      <c r="I123" s="318"/>
      <c r="J123" s="247">
        <v>181.60999999999999</v>
      </c>
      <c r="K123" s="253">
        <v>1.6080648123584271E-2</v>
      </c>
      <c r="L123" s="247">
        <v>7.88</v>
      </c>
      <c r="M123" s="339">
        <f t="shared" si="12"/>
        <v>1431.0867999999998</v>
      </c>
      <c r="N123" s="254"/>
      <c r="O123" s="780" t="s">
        <v>686</v>
      </c>
      <c r="P123" s="736"/>
      <c r="R123" s="242"/>
      <c r="S123" s="272"/>
      <c r="T123" s="27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  <c r="AP123" s="242"/>
      <c r="AQ123" s="242"/>
      <c r="AR123" s="242"/>
      <c r="AS123" s="242"/>
      <c r="AT123" s="242"/>
      <c r="AU123" s="242"/>
      <c r="AV123" s="242"/>
      <c r="AW123" s="242"/>
      <c r="AX123" s="242"/>
      <c r="AY123" s="242"/>
      <c r="AZ123" s="242"/>
      <c r="BA123" s="242"/>
      <c r="BB123" s="242"/>
      <c r="BC123" s="242"/>
      <c r="BD123" s="242"/>
      <c r="BE123" s="242"/>
      <c r="BF123" s="242"/>
      <c r="BG123" s="242"/>
      <c r="BH123" s="242"/>
      <c r="BI123" s="242"/>
      <c r="BJ123" s="242"/>
      <c r="BK123" s="242"/>
      <c r="BL123" s="242"/>
      <c r="BM123" s="242"/>
      <c r="BN123" s="242"/>
      <c r="BO123" s="242"/>
      <c r="BP123" s="242"/>
      <c r="BQ123" s="242"/>
      <c r="BR123" s="242"/>
      <c r="BS123" s="242"/>
      <c r="BT123" s="242"/>
      <c r="BU123" s="242"/>
      <c r="BV123" s="242"/>
      <c r="BW123" s="242"/>
    </row>
    <row r="124" spans="1:75" s="138" customFormat="1" ht="50.1" customHeight="1">
      <c r="A124" s="766"/>
      <c r="B124" s="769"/>
      <c r="C124" s="247">
        <v>4</v>
      </c>
      <c r="D124" s="248" t="s">
        <v>366</v>
      </c>
      <c r="E124" s="249"/>
      <c r="F124" s="249"/>
      <c r="G124" s="391" t="s">
        <v>374</v>
      </c>
      <c r="H124" s="317"/>
      <c r="I124" s="318"/>
      <c r="J124" s="247">
        <v>253.92000000000002</v>
      </c>
      <c r="K124" s="253">
        <v>1.8677453394301796E-2</v>
      </c>
      <c r="L124" s="247">
        <v>5.3100000000000005</v>
      </c>
      <c r="M124" s="339">
        <f t="shared" si="12"/>
        <v>1348.3152000000002</v>
      </c>
      <c r="N124" s="254"/>
      <c r="O124" s="780" t="s">
        <v>687</v>
      </c>
      <c r="P124" s="736"/>
      <c r="R124" s="242"/>
      <c r="S124" s="213"/>
      <c r="T124" s="213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  <c r="BE124" s="242"/>
      <c r="BF124" s="242"/>
      <c r="BG124" s="242"/>
      <c r="BH124" s="242"/>
      <c r="BI124" s="242"/>
      <c r="BJ124" s="242"/>
      <c r="BK124" s="242"/>
      <c r="BL124" s="242"/>
      <c r="BM124" s="242"/>
      <c r="BN124" s="242"/>
      <c r="BO124" s="242"/>
      <c r="BP124" s="242"/>
      <c r="BQ124" s="242"/>
      <c r="BR124" s="242"/>
      <c r="BS124" s="242"/>
      <c r="BT124" s="242"/>
      <c r="BU124" s="242"/>
      <c r="BV124" s="242"/>
      <c r="BW124" s="242"/>
    </row>
    <row r="125" spans="1:75" s="138" customFormat="1" ht="50.1" customHeight="1" thickBot="1">
      <c r="A125" s="766"/>
      <c r="B125" s="769"/>
      <c r="C125" s="247">
        <v>5</v>
      </c>
      <c r="D125" s="255" t="s">
        <v>482</v>
      </c>
      <c r="E125" s="256"/>
      <c r="F125" s="256"/>
      <c r="G125" s="391" t="s">
        <v>552</v>
      </c>
      <c r="H125" s="317"/>
      <c r="I125" s="318"/>
      <c r="J125" s="258">
        <v>169.79</v>
      </c>
      <c r="K125" s="259">
        <v>4.1484464902186421E-2</v>
      </c>
      <c r="L125" s="258">
        <v>7.2099999999999991</v>
      </c>
      <c r="M125" s="340">
        <f t="shared" si="12"/>
        <v>1224.1858999999997</v>
      </c>
      <c r="N125" s="254"/>
      <c r="O125" s="780" t="s">
        <v>688</v>
      </c>
      <c r="P125" s="736"/>
      <c r="R125" s="242"/>
      <c r="S125" s="272"/>
      <c r="T125" s="27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  <c r="AP125" s="242"/>
      <c r="AQ125" s="242"/>
      <c r="AR125" s="242"/>
      <c r="AS125" s="242"/>
      <c r="AT125" s="242"/>
      <c r="AU125" s="242"/>
      <c r="AV125" s="242"/>
      <c r="AW125" s="242"/>
      <c r="AX125" s="242"/>
      <c r="AY125" s="242"/>
      <c r="AZ125" s="242"/>
      <c r="BA125" s="242"/>
      <c r="BB125" s="242"/>
      <c r="BC125" s="242"/>
      <c r="BD125" s="242"/>
      <c r="BE125" s="242"/>
      <c r="BF125" s="242"/>
      <c r="BG125" s="242"/>
      <c r="BH125" s="242"/>
      <c r="BI125" s="242"/>
      <c r="BJ125" s="242"/>
      <c r="BK125" s="242"/>
      <c r="BL125" s="242"/>
      <c r="BM125" s="242"/>
      <c r="BN125" s="242"/>
      <c r="BO125" s="242"/>
      <c r="BP125" s="242"/>
      <c r="BQ125" s="242"/>
      <c r="BR125" s="242"/>
      <c r="BS125" s="242"/>
      <c r="BT125" s="242"/>
      <c r="BU125" s="242"/>
      <c r="BV125" s="242"/>
      <c r="BW125" s="242"/>
    </row>
    <row r="126" spans="1:75" s="138" customFormat="1" ht="15.75" customHeight="1" thickTop="1">
      <c r="A126" s="767"/>
      <c r="B126" s="770"/>
      <c r="C126" s="639"/>
      <c r="D126" s="640"/>
      <c r="E126" s="640"/>
      <c r="F126" s="640"/>
      <c r="G126" s="640"/>
      <c r="H126" s="640"/>
      <c r="I126" s="773"/>
      <c r="J126" s="260" t="s">
        <v>58</v>
      </c>
      <c r="K126" s="215">
        <f>M126/'生產管理報表 7-1 (週)'!$B$9</f>
        <v>0.11089636261292911</v>
      </c>
      <c r="L126" s="260" t="s">
        <v>59</v>
      </c>
      <c r="M126" s="341">
        <f>SUM(M121:M125)</f>
        <v>8486.2891</v>
      </c>
      <c r="N126" s="725"/>
      <c r="O126" s="726"/>
      <c r="P126" s="727"/>
      <c r="R126" s="242"/>
      <c r="S126" s="213"/>
      <c r="T126" s="213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242"/>
      <c r="BC126" s="242"/>
      <c r="BD126" s="242"/>
      <c r="BE126" s="242"/>
      <c r="BF126" s="242"/>
      <c r="BG126" s="242"/>
      <c r="BH126" s="242"/>
      <c r="BI126" s="242"/>
      <c r="BJ126" s="242"/>
      <c r="BK126" s="242"/>
      <c r="BL126" s="242"/>
      <c r="BM126" s="242"/>
      <c r="BN126" s="242"/>
      <c r="BO126" s="242"/>
      <c r="BP126" s="242"/>
      <c r="BQ126" s="242"/>
      <c r="BR126" s="242"/>
      <c r="BS126" s="242"/>
      <c r="BT126" s="242"/>
      <c r="BU126" s="242"/>
      <c r="BV126" s="242"/>
      <c r="BW126" s="242"/>
    </row>
    <row r="127" spans="1:75" s="138" customFormat="1" ht="15.75" customHeight="1">
      <c r="B127" s="243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62"/>
      <c r="O127" s="262"/>
      <c r="P127" s="262"/>
      <c r="R127" s="242"/>
      <c r="S127" s="272"/>
      <c r="T127" s="27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  <c r="AP127" s="242"/>
      <c r="AQ127" s="242"/>
      <c r="AR127" s="242"/>
      <c r="AS127" s="242"/>
      <c r="AT127" s="242"/>
      <c r="AU127" s="242"/>
      <c r="AV127" s="242"/>
      <c r="AW127" s="242"/>
      <c r="AX127" s="242"/>
      <c r="AY127" s="242"/>
      <c r="AZ127" s="242"/>
      <c r="BA127" s="242"/>
      <c r="BB127" s="242"/>
      <c r="BC127" s="242"/>
      <c r="BD127" s="242"/>
      <c r="BE127" s="242"/>
      <c r="BF127" s="242"/>
      <c r="BG127" s="242"/>
      <c r="BH127" s="242"/>
      <c r="BI127" s="242"/>
      <c r="BJ127" s="242"/>
      <c r="BK127" s="242"/>
      <c r="BL127" s="242"/>
      <c r="BM127" s="242"/>
      <c r="BN127" s="242"/>
      <c r="BO127" s="242"/>
      <c r="BP127" s="242"/>
      <c r="BQ127" s="242"/>
      <c r="BR127" s="242"/>
      <c r="BS127" s="242"/>
      <c r="BT127" s="242"/>
      <c r="BU127" s="242"/>
      <c r="BV127" s="242"/>
      <c r="BW127" s="242"/>
    </row>
    <row r="128" spans="1:75" s="138" customFormat="1" ht="15.75" customHeight="1">
      <c r="A128" s="661" t="s">
        <v>193</v>
      </c>
      <c r="B128" s="662"/>
      <c r="C128" s="263" t="s">
        <v>47</v>
      </c>
      <c r="D128" s="649" t="s">
        <v>12</v>
      </c>
      <c r="E128" s="650"/>
      <c r="F128" s="651"/>
      <c r="G128" s="649" t="s">
        <v>53</v>
      </c>
      <c r="H128" s="650"/>
      <c r="I128" s="651"/>
      <c r="J128" s="265" t="s">
        <v>54</v>
      </c>
      <c r="K128" s="265" t="s">
        <v>55</v>
      </c>
      <c r="L128" s="265" t="s">
        <v>56</v>
      </c>
      <c r="M128" s="265" t="s">
        <v>11</v>
      </c>
      <c r="N128" s="266" t="s">
        <v>340</v>
      </c>
      <c r="O128" s="728" t="s">
        <v>51</v>
      </c>
      <c r="P128" s="729"/>
      <c r="R128" s="242"/>
      <c r="S128" s="213"/>
      <c r="T128" s="213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</row>
    <row r="129" spans="1:36" s="138" customFormat="1" ht="20.100000000000001" customHeight="1">
      <c r="A129" s="765">
        <v>2</v>
      </c>
      <c r="B129" s="768" t="s">
        <v>216</v>
      </c>
      <c r="C129" s="267">
        <v>1</v>
      </c>
      <c r="D129" s="248"/>
      <c r="E129" s="249"/>
      <c r="F129" s="250"/>
      <c r="G129" s="248"/>
      <c r="H129" s="249"/>
      <c r="I129" s="250"/>
      <c r="J129" s="268"/>
      <c r="K129" s="269"/>
      <c r="L129" s="268"/>
      <c r="M129" s="270">
        <f t="shared" ref="M129:M133" si="13">L129*J129</f>
        <v>0</v>
      </c>
      <c r="N129" s="271"/>
      <c r="O129" s="730"/>
      <c r="P129" s="731"/>
      <c r="R129" s="242"/>
      <c r="S129" s="272"/>
      <c r="T129" s="27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</row>
    <row r="130" spans="1:36" s="138" customFormat="1" ht="20.100000000000001" customHeight="1">
      <c r="A130" s="766"/>
      <c r="B130" s="769"/>
      <c r="C130" s="267">
        <v>2</v>
      </c>
      <c r="D130" s="248"/>
      <c r="E130" s="249"/>
      <c r="F130" s="250"/>
      <c r="G130" s="248"/>
      <c r="H130" s="249"/>
      <c r="I130" s="250"/>
      <c r="J130" s="268"/>
      <c r="K130" s="269"/>
      <c r="L130" s="268"/>
      <c r="M130" s="270">
        <f t="shared" si="13"/>
        <v>0</v>
      </c>
      <c r="N130" s="271"/>
      <c r="O130" s="730"/>
      <c r="P130" s="731"/>
      <c r="R130" s="242"/>
      <c r="S130" s="213"/>
      <c r="T130" s="213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</row>
    <row r="131" spans="1:36" s="138" customFormat="1" ht="20.100000000000001" customHeight="1">
      <c r="A131" s="766"/>
      <c r="B131" s="769"/>
      <c r="C131" s="267">
        <v>3</v>
      </c>
      <c r="D131" s="248"/>
      <c r="E131" s="249"/>
      <c r="F131" s="250"/>
      <c r="G131" s="248"/>
      <c r="H131" s="249"/>
      <c r="I131" s="279"/>
      <c r="J131" s="268"/>
      <c r="K131" s="269"/>
      <c r="L131" s="268"/>
      <c r="M131" s="270">
        <f t="shared" si="13"/>
        <v>0</v>
      </c>
      <c r="N131" s="271"/>
      <c r="O131" s="730"/>
      <c r="P131" s="731"/>
      <c r="R131" s="242"/>
      <c r="S131" s="272"/>
      <c r="T131" s="27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</row>
    <row r="132" spans="1:36" s="138" customFormat="1" ht="20.100000000000001" customHeight="1">
      <c r="A132" s="766"/>
      <c r="B132" s="769"/>
      <c r="C132" s="267">
        <v>4</v>
      </c>
      <c r="D132" s="248"/>
      <c r="E132" s="249"/>
      <c r="F132" s="250"/>
      <c r="G132" s="248"/>
      <c r="H132" s="249"/>
      <c r="I132" s="250"/>
      <c r="J132" s="268"/>
      <c r="K132" s="269"/>
      <c r="L132" s="268"/>
      <c r="M132" s="270">
        <f t="shared" si="13"/>
        <v>0</v>
      </c>
      <c r="N132" s="271"/>
      <c r="O132" s="730"/>
      <c r="P132" s="731"/>
      <c r="R132" s="242"/>
      <c r="S132" s="213"/>
      <c r="T132" s="213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</row>
    <row r="133" spans="1:36" s="138" customFormat="1" ht="20.100000000000001" customHeight="1" thickBot="1">
      <c r="A133" s="766"/>
      <c r="B133" s="769"/>
      <c r="C133" s="273">
        <v>5</v>
      </c>
      <c r="D133" s="255"/>
      <c r="E133" s="256"/>
      <c r="F133" s="257"/>
      <c r="G133" s="248"/>
      <c r="H133" s="249"/>
      <c r="I133" s="250"/>
      <c r="J133" s="274"/>
      <c r="K133" s="275"/>
      <c r="L133" s="274"/>
      <c r="M133" s="276">
        <f t="shared" si="13"/>
        <v>0</v>
      </c>
      <c r="N133" s="277"/>
      <c r="O133" s="730"/>
      <c r="P133" s="731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</row>
    <row r="134" spans="1:36" s="138" customFormat="1" ht="15.75" customHeight="1" thickTop="1">
      <c r="A134" s="767"/>
      <c r="B134" s="770"/>
      <c r="C134" s="639"/>
      <c r="D134" s="640"/>
      <c r="E134" s="640"/>
      <c r="F134" s="640"/>
      <c r="G134" s="640"/>
      <c r="H134" s="640"/>
      <c r="I134" s="773"/>
      <c r="J134" s="260" t="s">
        <v>58</v>
      </c>
      <c r="K134" s="215">
        <f>M134/'生產管理報表 7-1 (週)'!$B$9</f>
        <v>0</v>
      </c>
      <c r="L134" s="260" t="s">
        <v>59</v>
      </c>
      <c r="M134" s="261">
        <f>SUM(M129:M133)</f>
        <v>0</v>
      </c>
      <c r="N134" s="732"/>
      <c r="O134" s="733"/>
      <c r="P134" s="734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</row>
    <row r="135" spans="1:36" s="138" customFormat="1" ht="15.75" customHeight="1">
      <c r="B135" s="243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78"/>
      <c r="O135" s="278"/>
      <c r="P135" s="278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</row>
    <row r="136" spans="1:36" s="138" customFormat="1" ht="15.75" customHeight="1">
      <c r="A136" s="661" t="s">
        <v>193</v>
      </c>
      <c r="B136" s="662"/>
      <c r="C136" s="263" t="s">
        <v>47</v>
      </c>
      <c r="D136" s="649" t="s">
        <v>12</v>
      </c>
      <c r="E136" s="650"/>
      <c r="F136" s="651"/>
      <c r="G136" s="649" t="s">
        <v>53</v>
      </c>
      <c r="H136" s="650"/>
      <c r="I136" s="764"/>
      <c r="J136" s="264" t="s">
        <v>54</v>
      </c>
      <c r="K136" s="265" t="s">
        <v>55</v>
      </c>
      <c r="L136" s="265" t="s">
        <v>56</v>
      </c>
      <c r="M136" s="265" t="s">
        <v>11</v>
      </c>
      <c r="N136" s="266" t="s">
        <v>340</v>
      </c>
      <c r="O136" s="740" t="s">
        <v>51</v>
      </c>
      <c r="P136" s="741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</row>
    <row r="137" spans="1:36" s="138" customFormat="1" ht="50.1" customHeight="1">
      <c r="A137" s="765">
        <v>3</v>
      </c>
      <c r="B137" s="768" t="s">
        <v>457</v>
      </c>
      <c r="C137" s="267">
        <v>1</v>
      </c>
      <c r="D137" s="248" t="s">
        <v>443</v>
      </c>
      <c r="E137" s="249"/>
      <c r="F137" s="250"/>
      <c r="G137" s="318" t="s">
        <v>459</v>
      </c>
      <c r="H137" s="317"/>
      <c r="I137" s="318"/>
      <c r="J137" s="268">
        <v>122.81999999999996</v>
      </c>
      <c r="K137" s="269">
        <v>2.3724339157317031E-2</v>
      </c>
      <c r="L137" s="268">
        <v>13.66</v>
      </c>
      <c r="M137" s="342">
        <f t="shared" ref="M137:M141" si="14">L137*J137</f>
        <v>1677.7211999999995</v>
      </c>
      <c r="N137" s="281"/>
      <c r="O137" s="771" t="s">
        <v>689</v>
      </c>
      <c r="P137" s="77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</row>
    <row r="138" spans="1:36" s="138" customFormat="1" ht="20.100000000000001" customHeight="1">
      <c r="A138" s="766"/>
      <c r="B138" s="769"/>
      <c r="C138" s="267">
        <v>2</v>
      </c>
      <c r="D138" s="248"/>
      <c r="E138" s="249"/>
      <c r="F138" s="250"/>
      <c r="G138" s="426"/>
      <c r="H138" s="317"/>
      <c r="I138" s="318"/>
      <c r="J138" s="268"/>
      <c r="K138" s="269"/>
      <c r="L138" s="268"/>
      <c r="M138" s="342">
        <f t="shared" si="14"/>
        <v>0</v>
      </c>
      <c r="N138" s="281"/>
      <c r="O138" s="735"/>
      <c r="P138" s="736"/>
      <c r="R138" s="242"/>
      <c r="S138" s="242"/>
      <c r="T138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</row>
    <row r="139" spans="1:36" s="138" customFormat="1" ht="20.100000000000001" customHeight="1">
      <c r="A139" s="766"/>
      <c r="B139" s="769"/>
      <c r="C139" s="267">
        <v>3</v>
      </c>
      <c r="D139" s="248"/>
      <c r="E139" s="249"/>
      <c r="F139" s="250"/>
      <c r="G139" s="426"/>
      <c r="H139" s="317"/>
      <c r="I139" s="318"/>
      <c r="J139" s="268"/>
      <c r="K139" s="269"/>
      <c r="L139" s="268"/>
      <c r="M139" s="342">
        <f t="shared" si="14"/>
        <v>0</v>
      </c>
      <c r="N139" s="281"/>
      <c r="O139" s="735"/>
      <c r="P139" s="736"/>
      <c r="R139" s="242"/>
      <c r="S139" s="242"/>
      <c r="T139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</row>
    <row r="140" spans="1:36" s="138" customFormat="1" ht="20.100000000000001" customHeight="1">
      <c r="A140" s="766"/>
      <c r="B140" s="769"/>
      <c r="C140" s="267">
        <v>4</v>
      </c>
      <c r="D140" s="248"/>
      <c r="E140" s="249"/>
      <c r="F140" s="250"/>
      <c r="G140" s="325"/>
      <c r="H140" s="326"/>
      <c r="I140" s="327"/>
      <c r="J140" s="280"/>
      <c r="K140" s="269"/>
      <c r="L140" s="268"/>
      <c r="M140" s="342">
        <f t="shared" si="14"/>
        <v>0</v>
      </c>
      <c r="N140" s="281"/>
      <c r="O140" s="735"/>
      <c r="P140" s="736"/>
      <c r="R140" s="242"/>
      <c r="S140" s="242"/>
      <c r="T140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</row>
    <row r="141" spans="1:36" s="138" customFormat="1" ht="20.100000000000001" customHeight="1" thickBot="1">
      <c r="A141" s="766"/>
      <c r="B141" s="769"/>
      <c r="C141" s="273">
        <v>5</v>
      </c>
      <c r="D141" s="255"/>
      <c r="E141" s="256"/>
      <c r="F141" s="257"/>
      <c r="G141" s="423"/>
      <c r="H141" s="424"/>
      <c r="I141" s="425"/>
      <c r="J141" s="283"/>
      <c r="K141" s="275"/>
      <c r="L141" s="284"/>
      <c r="M141" s="342">
        <f t="shared" si="14"/>
        <v>0</v>
      </c>
      <c r="N141" s="281"/>
      <c r="O141" s="735"/>
      <c r="P141" s="736"/>
      <c r="R141" s="242"/>
      <c r="S141" s="242"/>
      <c r="T141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</row>
    <row r="142" spans="1:36" s="138" customFormat="1" ht="15.75" customHeight="1" thickTop="1">
      <c r="A142" s="767"/>
      <c r="B142" s="770"/>
      <c r="C142" s="639"/>
      <c r="D142" s="640"/>
      <c r="E142" s="640"/>
      <c r="F142" s="640"/>
      <c r="G142" s="640"/>
      <c r="H142" s="640"/>
      <c r="I142" s="773"/>
      <c r="J142" s="285" t="s">
        <v>58</v>
      </c>
      <c r="K142" s="215">
        <f>M142/'生產管理報表 7-1 (週)'!$B$9</f>
        <v>2.1923973643391256E-2</v>
      </c>
      <c r="L142" s="285" t="s">
        <v>59</v>
      </c>
      <c r="M142" s="343">
        <f>SUM(M137:M141)</f>
        <v>1677.7211999999995</v>
      </c>
      <c r="N142" s="737"/>
      <c r="O142" s="738"/>
      <c r="P142" s="739"/>
      <c r="R142" s="242"/>
      <c r="S142" s="242"/>
      <c r="T1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</row>
  </sheetData>
  <mergeCells count="286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3" manualBreakCount="3"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U111"/>
  <sheetViews>
    <sheetView view="pageBreakPreview" topLeftCell="A83" zoomScale="91" zoomScaleNormal="60" zoomScaleSheetLayoutView="91" workbookViewId="0">
      <selection activeCell="K110" sqref="K110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60" t="s">
        <v>381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</row>
    <row r="2" spans="1:20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</row>
    <row r="3" spans="1:20" s="138" customFormat="1" ht="15.75" customHeight="1">
      <c r="A3" s="624" t="s">
        <v>606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20" s="139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</row>
    <row r="5" spans="1:20" s="138" customFormat="1" ht="15.75" customHeight="1">
      <c r="A5" s="659" t="s">
        <v>193</v>
      </c>
      <c r="B5" s="661">
        <v>1</v>
      </c>
      <c r="C5" s="662"/>
      <c r="D5" s="661">
        <v>2</v>
      </c>
      <c r="E5" s="662"/>
      <c r="F5" s="661">
        <v>3</v>
      </c>
      <c r="G5" s="662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344">
        <v>8</v>
      </c>
    </row>
    <row r="6" spans="1:20" s="138" customFormat="1" ht="15.75" customHeight="1">
      <c r="A6" s="660"/>
      <c r="B6" s="656" t="s">
        <v>523</v>
      </c>
      <c r="C6" s="657"/>
      <c r="D6" s="656" t="s">
        <v>215</v>
      </c>
      <c r="E6" s="657"/>
      <c r="F6" s="656" t="s">
        <v>168</v>
      </c>
      <c r="G6" s="657"/>
      <c r="H6" s="654" t="s">
        <v>473</v>
      </c>
      <c r="I6" s="655"/>
      <c r="J6" s="654" t="s">
        <v>191</v>
      </c>
      <c r="K6" s="655"/>
      <c r="L6" s="654" t="s">
        <v>169</v>
      </c>
      <c r="M6" s="655"/>
      <c r="N6" s="654" t="s">
        <v>192</v>
      </c>
      <c r="O6" s="65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3" t="s">
        <v>193</v>
      </c>
      <c r="B8" s="664"/>
      <c r="C8" s="286" t="s">
        <v>47</v>
      </c>
      <c r="D8" s="665" t="s">
        <v>12</v>
      </c>
      <c r="E8" s="666"/>
      <c r="F8" s="667"/>
      <c r="G8" s="668" t="s">
        <v>53</v>
      </c>
      <c r="H8" s="669"/>
      <c r="I8" s="670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1" t="s">
        <v>51</v>
      </c>
      <c r="P8" s="672"/>
      <c r="R8" s="213"/>
      <c r="S8" s="272"/>
    </row>
    <row r="9" spans="1:20" s="310" customFormat="1" ht="20.100000000000001" customHeight="1">
      <c r="A9" s="673">
        <v>4</v>
      </c>
      <c r="B9" s="676" t="s">
        <v>473</v>
      </c>
      <c r="C9" s="290">
        <v>1</v>
      </c>
      <c r="D9" s="248"/>
      <c r="E9" s="249"/>
      <c r="F9" s="250"/>
      <c r="G9" s="377"/>
      <c r="H9" s="317"/>
      <c r="I9" s="318"/>
      <c r="J9" s="328"/>
      <c r="K9" s="329"/>
      <c r="L9" s="330"/>
      <c r="M9" s="339">
        <f t="shared" ref="M9:M13" si="0">L9*J9</f>
        <v>0</v>
      </c>
      <c r="N9" s="330"/>
      <c r="O9" s="679"/>
      <c r="P9" s="680"/>
      <c r="R9" s="331"/>
      <c r="S9" s="272"/>
    </row>
    <row r="10" spans="1:20" s="310" customFormat="1" ht="20.100000000000001" customHeight="1">
      <c r="A10" s="674"/>
      <c r="B10" s="677"/>
      <c r="C10" s="290">
        <v>2</v>
      </c>
      <c r="D10" s="248"/>
      <c r="E10" s="249"/>
      <c r="F10" s="250"/>
      <c r="G10" s="377"/>
      <c r="H10" s="317"/>
      <c r="I10" s="318"/>
      <c r="J10" s="328"/>
      <c r="K10" s="329"/>
      <c r="L10" s="330"/>
      <c r="M10" s="339">
        <f t="shared" si="0"/>
        <v>0</v>
      </c>
      <c r="N10" s="330"/>
      <c r="O10" s="681"/>
      <c r="P10" s="682"/>
      <c r="R10" s="331"/>
      <c r="S10" s="213"/>
      <c r="T10" s="356"/>
    </row>
    <row r="11" spans="1:20" s="310" customFormat="1" ht="20.100000000000001" customHeight="1">
      <c r="A11" s="674"/>
      <c r="B11" s="677"/>
      <c r="C11" s="290">
        <v>3</v>
      </c>
      <c r="D11" s="248"/>
      <c r="E11" s="249"/>
      <c r="F11" s="250"/>
      <c r="G11" s="377"/>
      <c r="H11" s="317"/>
      <c r="I11" s="318"/>
      <c r="J11" s="328"/>
      <c r="K11" s="329"/>
      <c r="L11" s="330"/>
      <c r="M11" s="339">
        <f t="shared" si="0"/>
        <v>0</v>
      </c>
      <c r="N11" s="330"/>
      <c r="O11" s="679"/>
      <c r="P11" s="680"/>
      <c r="R11" s="331"/>
      <c r="S11" s="272"/>
    </row>
    <row r="12" spans="1:20" s="310" customFormat="1" ht="20.100000000000001" customHeight="1">
      <c r="A12" s="674"/>
      <c r="B12" s="677"/>
      <c r="C12" s="290">
        <v>4</v>
      </c>
      <c r="D12" s="248"/>
      <c r="E12" s="249"/>
      <c r="F12" s="250"/>
      <c r="G12" s="377"/>
      <c r="H12" s="317"/>
      <c r="I12" s="318"/>
      <c r="J12" s="328"/>
      <c r="K12" s="329"/>
      <c r="L12" s="330"/>
      <c r="M12" s="339">
        <f t="shared" si="0"/>
        <v>0</v>
      </c>
      <c r="N12" s="330"/>
      <c r="O12" s="679"/>
      <c r="P12" s="680"/>
      <c r="R12" s="331"/>
      <c r="S12" s="213"/>
      <c r="T12" s="356"/>
    </row>
    <row r="13" spans="1:20" s="310" customFormat="1" ht="20.100000000000001" customHeight="1" thickBot="1">
      <c r="A13" s="674"/>
      <c r="B13" s="677"/>
      <c r="C13" s="290">
        <v>5</v>
      </c>
      <c r="D13" s="248"/>
      <c r="E13" s="256"/>
      <c r="F13" s="257"/>
      <c r="G13" s="377"/>
      <c r="H13" s="317"/>
      <c r="I13" s="318"/>
      <c r="J13" s="332"/>
      <c r="K13" s="440"/>
      <c r="L13" s="334"/>
      <c r="M13" s="339">
        <f t="shared" si="0"/>
        <v>0</v>
      </c>
      <c r="N13" s="330"/>
      <c r="O13" s="679"/>
      <c r="P13" s="680"/>
      <c r="R13" s="335"/>
      <c r="S13" s="272"/>
      <c r="T13" s="300"/>
    </row>
    <row r="14" spans="1:20" s="300" customFormat="1" ht="15.75" customHeight="1" thickTop="1" thickBot="1">
      <c r="A14" s="675"/>
      <c r="B14" s="678"/>
      <c r="C14" s="687"/>
      <c r="D14" s="688"/>
      <c r="E14" s="688"/>
      <c r="F14" s="688"/>
      <c r="G14" s="688"/>
      <c r="H14" s="688"/>
      <c r="I14" s="689"/>
      <c r="J14" s="307" t="s">
        <v>58</v>
      </c>
      <c r="K14" s="441" t="e">
        <f>M14/'生產管理報表 7-1 (週)'!$B$42</f>
        <v>#DIV/0!</v>
      </c>
      <c r="L14" s="308" t="s">
        <v>59</v>
      </c>
      <c r="M14" s="227">
        <f>SUM(M9:M13)</f>
        <v>0</v>
      </c>
      <c r="N14" s="690"/>
      <c r="O14" s="691"/>
      <c r="P14" s="692"/>
      <c r="R14" s="213"/>
      <c r="S14" s="213"/>
    </row>
    <row r="15" spans="1:20" s="300" customFormat="1" ht="15.75" customHeight="1" thickTop="1">
      <c r="B15" s="309"/>
      <c r="C15" s="310"/>
      <c r="M15" s="346"/>
      <c r="S15" s="272"/>
    </row>
    <row r="16" spans="1:20" s="300" customFormat="1" ht="15.75" customHeight="1">
      <c r="A16" s="663" t="s">
        <v>193</v>
      </c>
      <c r="B16" s="664"/>
      <c r="C16" s="286" t="s">
        <v>47</v>
      </c>
      <c r="D16" s="665" t="s">
        <v>12</v>
      </c>
      <c r="E16" s="666"/>
      <c r="F16" s="667"/>
      <c r="G16" s="668" t="s">
        <v>53</v>
      </c>
      <c r="H16" s="669"/>
      <c r="I16" s="670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1" t="s">
        <v>51</v>
      </c>
      <c r="P16" s="672"/>
      <c r="S16" s="213"/>
      <c r="T16" s="356"/>
    </row>
    <row r="17" spans="1:20" s="310" customFormat="1" ht="39.950000000000003" customHeight="1">
      <c r="A17" s="673">
        <v>5</v>
      </c>
      <c r="B17" s="693" t="s">
        <v>218</v>
      </c>
      <c r="C17" s="290">
        <v>1</v>
      </c>
      <c r="D17" s="248" t="s">
        <v>365</v>
      </c>
      <c r="E17" s="249"/>
      <c r="F17" s="250"/>
      <c r="G17" s="318" t="s">
        <v>376</v>
      </c>
      <c r="H17" s="317"/>
      <c r="I17" s="318"/>
      <c r="J17" s="328">
        <v>96</v>
      </c>
      <c r="K17" s="329">
        <v>2.336919973100202E-2</v>
      </c>
      <c r="L17" s="330">
        <v>12.510000000000002</v>
      </c>
      <c r="M17" s="339">
        <f>L17*J17</f>
        <v>1200.96</v>
      </c>
      <c r="N17" s="330"/>
      <c r="O17" s="681" t="s">
        <v>608</v>
      </c>
      <c r="P17" s="682"/>
      <c r="S17" s="272"/>
    </row>
    <row r="18" spans="1:20" s="310" customFormat="1" ht="20.100000000000001" customHeight="1">
      <c r="A18" s="674"/>
      <c r="B18" s="694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681"/>
      <c r="P18" s="682"/>
      <c r="S18" s="213"/>
      <c r="T18" s="357"/>
    </row>
    <row r="19" spans="1:20" s="300" customFormat="1" ht="20.100000000000001" customHeight="1">
      <c r="A19" s="674"/>
      <c r="B19" s="694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698"/>
      <c r="P19" s="699"/>
    </row>
    <row r="20" spans="1:20" s="300" customFormat="1" ht="20.100000000000001" customHeight="1">
      <c r="A20" s="674"/>
      <c r="B20" s="694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681"/>
      <c r="P20" s="682"/>
    </row>
    <row r="21" spans="1:20" s="300" customFormat="1" ht="20.100000000000001" customHeight="1" thickBot="1">
      <c r="A21" s="674"/>
      <c r="B21" s="694"/>
      <c r="C21" s="290">
        <v>5</v>
      </c>
      <c r="D21" s="255"/>
      <c r="E21" s="302"/>
      <c r="F21" s="303"/>
      <c r="G21" s="377"/>
      <c r="H21" s="317"/>
      <c r="I21" s="318"/>
      <c r="J21" s="332"/>
      <c r="K21" s="333"/>
      <c r="L21" s="334"/>
      <c r="M21" s="339">
        <f t="shared" si="1"/>
        <v>0</v>
      </c>
      <c r="N21" s="299"/>
      <c r="O21" s="784"/>
      <c r="P21" s="785"/>
      <c r="R21" s="214"/>
    </row>
    <row r="22" spans="1:20" s="300" customFormat="1" ht="15.75" customHeight="1" thickTop="1" thickBot="1">
      <c r="A22" s="675"/>
      <c r="B22" s="695"/>
      <c r="C22" s="702"/>
      <c r="D22" s="703"/>
      <c r="E22" s="703"/>
      <c r="F22" s="703"/>
      <c r="G22" s="703"/>
      <c r="H22" s="703"/>
      <c r="I22" s="704"/>
      <c r="J22" s="307" t="s">
        <v>58</v>
      </c>
      <c r="K22" s="441" t="e">
        <f>M22/'生產管理報表 7-1 (週)'!$B$42</f>
        <v>#DIV/0!</v>
      </c>
      <c r="L22" s="308" t="s">
        <v>59</v>
      </c>
      <c r="M22" s="351">
        <f>SUM(M17:M21)</f>
        <v>1200.96</v>
      </c>
      <c r="N22" s="690"/>
      <c r="O22" s="691"/>
      <c r="P22" s="692"/>
      <c r="R22" s="213"/>
    </row>
    <row r="23" spans="1:20" s="300" customFormat="1" ht="15.75" customHeight="1" thickTop="1">
      <c r="B23" s="309"/>
      <c r="C23" s="310"/>
      <c r="M23" s="346"/>
      <c r="R23" s="213"/>
    </row>
    <row r="24" spans="1:20" s="300" customFormat="1" ht="15.75" customHeight="1">
      <c r="A24" s="663" t="s">
        <v>193</v>
      </c>
      <c r="B24" s="664"/>
      <c r="C24" s="315" t="s">
        <v>47</v>
      </c>
      <c r="D24" s="707" t="s">
        <v>12</v>
      </c>
      <c r="E24" s="708"/>
      <c r="F24" s="709"/>
      <c r="G24" s="710" t="s">
        <v>53</v>
      </c>
      <c r="H24" s="711"/>
      <c r="I24" s="712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1" t="s">
        <v>51</v>
      </c>
      <c r="P24" s="672"/>
      <c r="R24" s="213"/>
      <c r="S24" s="2"/>
    </row>
    <row r="25" spans="1:20" s="300" customFormat="1" ht="20.100000000000001" customHeight="1">
      <c r="A25" s="673">
        <v>6</v>
      </c>
      <c r="B25" s="693" t="s">
        <v>219</v>
      </c>
      <c r="C25" s="290">
        <v>1</v>
      </c>
      <c r="D25" s="358"/>
      <c r="E25" s="292"/>
      <c r="F25" s="293"/>
      <c r="G25" s="377"/>
      <c r="H25" s="317"/>
      <c r="I25" s="318"/>
      <c r="J25" s="328"/>
      <c r="K25" s="329"/>
      <c r="L25" s="330"/>
      <c r="M25" s="339">
        <f t="shared" ref="M25" si="2">L25*J25</f>
        <v>0</v>
      </c>
      <c r="N25" s="299"/>
      <c r="O25" s="698"/>
      <c r="P25" s="699"/>
      <c r="S25" s="2"/>
    </row>
    <row r="26" spans="1:20" s="300" customFormat="1" ht="20.100000000000001" customHeight="1">
      <c r="A26" s="674"/>
      <c r="B26" s="694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  <c r="S26" s="2"/>
    </row>
    <row r="27" spans="1:20" s="300" customFormat="1" ht="20.100000000000001" customHeight="1">
      <c r="A27" s="674"/>
      <c r="B27" s="694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  <c r="S27" s="2"/>
    </row>
    <row r="28" spans="1:20" s="300" customFormat="1" ht="20.100000000000001" customHeight="1">
      <c r="A28" s="674"/>
      <c r="B28" s="694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  <c r="R28" s="2"/>
      <c r="S28" s="2"/>
    </row>
    <row r="29" spans="1:20" s="300" customFormat="1" ht="20.100000000000001" customHeight="1" thickBot="1">
      <c r="A29" s="674"/>
      <c r="B29" s="694"/>
      <c r="C29" s="290">
        <v>5</v>
      </c>
      <c r="D29" s="301"/>
      <c r="E29" s="302"/>
      <c r="F29" s="303"/>
      <c r="G29" s="294"/>
      <c r="H29" s="295"/>
      <c r="I29" s="296"/>
      <c r="J29" s="304"/>
      <c r="K29" s="305"/>
      <c r="L29" s="306"/>
      <c r="M29" s="348">
        <v>0</v>
      </c>
      <c r="N29" s="299"/>
      <c r="O29" s="313"/>
      <c r="P29" s="314"/>
      <c r="R29" s="2"/>
      <c r="S29" s="2"/>
    </row>
    <row r="30" spans="1:20" s="300" customFormat="1" ht="15.75" customHeight="1" thickTop="1" thickBot="1">
      <c r="A30" s="675"/>
      <c r="B30" s="695"/>
      <c r="C30" s="702"/>
      <c r="D30" s="703"/>
      <c r="E30" s="703"/>
      <c r="F30" s="703"/>
      <c r="G30" s="703"/>
      <c r="H30" s="703"/>
      <c r="I30" s="704"/>
      <c r="J30" s="307" t="s">
        <v>58</v>
      </c>
      <c r="K30" s="441" t="e">
        <f>M30/'生產管理報表 7-1 (週)'!$B$42</f>
        <v>#DIV/0!</v>
      </c>
      <c r="L30" s="308" t="s">
        <v>59</v>
      </c>
      <c r="M30" s="351">
        <f>SUM(M25:M29)</f>
        <v>0</v>
      </c>
      <c r="N30" s="690"/>
      <c r="O30" s="691"/>
      <c r="P30" s="692"/>
      <c r="R30" s="2"/>
      <c r="S30" s="2"/>
    </row>
    <row r="31" spans="1:20" s="300" customFormat="1" ht="15.75" customHeight="1" thickTop="1">
      <c r="B31" s="309"/>
      <c r="C31" s="310"/>
      <c r="M31" s="346"/>
      <c r="R31" s="2"/>
      <c r="S31" s="2"/>
    </row>
    <row r="32" spans="1:20" s="300" customFormat="1" ht="15.75" customHeight="1">
      <c r="A32" s="663" t="s">
        <v>193</v>
      </c>
      <c r="B32" s="664"/>
      <c r="C32" s="315" t="s">
        <v>47</v>
      </c>
      <c r="D32" s="707" t="s">
        <v>12</v>
      </c>
      <c r="E32" s="708"/>
      <c r="F32" s="709"/>
      <c r="G32" s="710" t="s">
        <v>53</v>
      </c>
      <c r="H32" s="711"/>
      <c r="I32" s="712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1" t="s">
        <v>51</v>
      </c>
      <c r="P32" s="672"/>
      <c r="R32" s="2"/>
      <c r="S32" s="2"/>
    </row>
    <row r="33" spans="1:20" s="300" customFormat="1" ht="20.100000000000001" customHeight="1">
      <c r="A33" s="673">
        <v>7</v>
      </c>
      <c r="B33" s="715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18"/>
      <c r="P33" s="719"/>
      <c r="R33" s="2"/>
      <c r="S33" s="2"/>
    </row>
    <row r="34" spans="1:20" s="300" customFormat="1" ht="20.100000000000001" customHeight="1">
      <c r="A34" s="674"/>
      <c r="B34" s="716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0"/>
      <c r="P34" s="721"/>
      <c r="R34" s="2"/>
      <c r="S34" s="2"/>
    </row>
    <row r="35" spans="1:20" s="300" customFormat="1" ht="20.100000000000001" customHeight="1">
      <c r="A35" s="674"/>
      <c r="B35" s="716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0"/>
      <c r="P35" s="721"/>
      <c r="R35" s="2"/>
      <c r="S35" s="2"/>
    </row>
    <row r="36" spans="1:20" s="300" customFormat="1" ht="20.100000000000001" customHeight="1">
      <c r="A36" s="674"/>
      <c r="B36" s="716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  <c r="R36" s="2"/>
      <c r="S36" s="2"/>
    </row>
    <row r="37" spans="1:20" s="300" customFormat="1" ht="20.100000000000001" customHeight="1" thickBot="1">
      <c r="A37" s="674"/>
      <c r="B37" s="716"/>
      <c r="C37" s="290">
        <v>5</v>
      </c>
      <c r="D37" s="301"/>
      <c r="E37" s="302"/>
      <c r="F37" s="303"/>
      <c r="G37" s="294"/>
      <c r="H37" s="295"/>
      <c r="I37" s="296"/>
      <c r="J37" s="304"/>
      <c r="K37" s="305"/>
      <c r="L37" s="306"/>
      <c r="M37" s="350">
        <v>0</v>
      </c>
      <c r="N37" s="299"/>
      <c r="O37" s="313"/>
      <c r="P37" s="314"/>
      <c r="R37" s="2"/>
      <c r="S37" s="2"/>
    </row>
    <row r="38" spans="1:20" s="300" customFormat="1" ht="15.75" customHeight="1" thickTop="1" thickBot="1">
      <c r="A38" s="675"/>
      <c r="B38" s="717"/>
      <c r="C38" s="702"/>
      <c r="D38" s="703"/>
      <c r="E38" s="703"/>
      <c r="F38" s="703"/>
      <c r="G38" s="703"/>
      <c r="H38" s="703"/>
      <c r="I38" s="704"/>
      <c r="J38" s="307" t="s">
        <v>58</v>
      </c>
      <c r="K38" s="441" t="e">
        <f>M38/'生產管理報表 7-1 (週)'!$B$42</f>
        <v>#DIV/0!</v>
      </c>
      <c r="L38" s="308" t="s">
        <v>59</v>
      </c>
      <c r="M38" s="351">
        <f>SUM(M33:M37)</f>
        <v>0</v>
      </c>
      <c r="N38" s="690"/>
      <c r="O38" s="691"/>
      <c r="P38" s="692"/>
      <c r="R38" s="2"/>
      <c r="S38" s="2"/>
      <c r="T38" s="2"/>
    </row>
    <row r="39" spans="1:20" s="138" customFormat="1" ht="15.75" customHeight="1" thickTop="1">
      <c r="A39" s="624" t="s">
        <v>628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</row>
    <row r="40" spans="1:20" s="139" customFormat="1" ht="15.75" customHeight="1">
      <c r="A40" s="658"/>
      <c r="B40" s="658"/>
      <c r="C40" s="658"/>
      <c r="D40" s="658"/>
      <c r="E40" s="658"/>
      <c r="F40" s="658"/>
      <c r="G40" s="658"/>
      <c r="H40" s="658"/>
      <c r="I40" s="658"/>
      <c r="J40" s="658"/>
      <c r="K40" s="658"/>
      <c r="L40" s="658"/>
      <c r="M40" s="658"/>
    </row>
    <row r="41" spans="1:20" s="138" customFormat="1" ht="15.75" customHeight="1">
      <c r="A41" s="659" t="s">
        <v>193</v>
      </c>
      <c r="B41" s="661">
        <v>1</v>
      </c>
      <c r="C41" s="662"/>
      <c r="D41" s="661">
        <v>2</v>
      </c>
      <c r="E41" s="662"/>
      <c r="F41" s="661">
        <v>3</v>
      </c>
      <c r="G41" s="662"/>
      <c r="H41" s="652">
        <v>4</v>
      </c>
      <c r="I41" s="653"/>
      <c r="J41" s="652">
        <v>5</v>
      </c>
      <c r="K41" s="653"/>
      <c r="L41" s="652">
        <v>6</v>
      </c>
      <c r="M41" s="653"/>
      <c r="N41" s="652">
        <v>7</v>
      </c>
      <c r="O41" s="653"/>
      <c r="P41" s="344">
        <v>8</v>
      </c>
    </row>
    <row r="42" spans="1:20" s="138" customFormat="1" ht="15.75" customHeight="1">
      <c r="A42" s="660"/>
      <c r="B42" s="656" t="s">
        <v>523</v>
      </c>
      <c r="C42" s="657"/>
      <c r="D42" s="656" t="s">
        <v>215</v>
      </c>
      <c r="E42" s="657"/>
      <c r="F42" s="656" t="s">
        <v>168</v>
      </c>
      <c r="G42" s="657"/>
      <c r="H42" s="654" t="s">
        <v>473</v>
      </c>
      <c r="I42" s="655"/>
      <c r="J42" s="654" t="s">
        <v>191</v>
      </c>
      <c r="K42" s="655"/>
      <c r="L42" s="654" t="s">
        <v>169</v>
      </c>
      <c r="M42" s="655"/>
      <c r="N42" s="654" t="s">
        <v>192</v>
      </c>
      <c r="O42" s="655"/>
      <c r="P42" s="345" t="s">
        <v>220</v>
      </c>
    </row>
    <row r="43" spans="1:20" s="138" customFormat="1" ht="15.75" customHeight="1">
      <c r="B43" s="243"/>
      <c r="C43" s="244"/>
    </row>
    <row r="44" spans="1:20" s="289" customFormat="1" ht="15.75" customHeight="1">
      <c r="A44" s="663" t="s">
        <v>193</v>
      </c>
      <c r="B44" s="664"/>
      <c r="C44" s="286" t="s">
        <v>47</v>
      </c>
      <c r="D44" s="665" t="s">
        <v>12</v>
      </c>
      <c r="E44" s="666"/>
      <c r="F44" s="667"/>
      <c r="G44" s="668" t="s">
        <v>53</v>
      </c>
      <c r="H44" s="669"/>
      <c r="I44" s="670"/>
      <c r="J44" s="287" t="s">
        <v>54</v>
      </c>
      <c r="K44" s="287" t="s">
        <v>55</v>
      </c>
      <c r="L44" s="287" t="s">
        <v>56</v>
      </c>
      <c r="M44" s="288" t="s">
        <v>11</v>
      </c>
      <c r="N44" s="288" t="s">
        <v>340</v>
      </c>
      <c r="O44" s="671" t="s">
        <v>51</v>
      </c>
      <c r="P44" s="672"/>
      <c r="R44" s="213"/>
      <c r="S44" s="272"/>
    </row>
    <row r="45" spans="1:20" s="310" customFormat="1" ht="20.100000000000001" customHeight="1">
      <c r="A45" s="673">
        <v>4</v>
      </c>
      <c r="B45" s="676" t="s">
        <v>473</v>
      </c>
      <c r="C45" s="290">
        <v>1</v>
      </c>
      <c r="D45" s="248"/>
      <c r="E45" s="249"/>
      <c r="F45" s="250"/>
      <c r="G45" s="377"/>
      <c r="H45" s="317"/>
      <c r="I45" s="318"/>
      <c r="J45" s="328"/>
      <c r="K45" s="329"/>
      <c r="L45" s="330"/>
      <c r="M45" s="339">
        <f t="shared" ref="M45:M49" si="4">L45*J45</f>
        <v>0</v>
      </c>
      <c r="N45" s="330"/>
      <c r="O45" s="679"/>
      <c r="P45" s="680"/>
      <c r="R45" s="331"/>
      <c r="S45" s="272"/>
    </row>
    <row r="46" spans="1:20" s="310" customFormat="1" ht="20.100000000000001" customHeight="1">
      <c r="A46" s="674"/>
      <c r="B46" s="677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si="4"/>
        <v>0</v>
      </c>
      <c r="N46" s="330"/>
      <c r="O46" s="681"/>
      <c r="P46" s="682"/>
      <c r="R46" s="331"/>
      <c r="S46" s="213"/>
      <c r="T46" s="356"/>
    </row>
    <row r="47" spans="1:20" s="310" customFormat="1" ht="20.100000000000001" customHeight="1">
      <c r="A47" s="674"/>
      <c r="B47" s="677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330"/>
      <c r="O47" s="679"/>
      <c r="P47" s="680"/>
      <c r="R47" s="331"/>
      <c r="S47" s="272"/>
    </row>
    <row r="48" spans="1:20" s="310" customFormat="1" ht="20.100000000000001" customHeight="1">
      <c r="A48" s="674"/>
      <c r="B48" s="677"/>
      <c r="C48" s="290">
        <v>4</v>
      </c>
      <c r="D48" s="248"/>
      <c r="E48" s="249"/>
      <c r="F48" s="250"/>
      <c r="G48" s="377"/>
      <c r="H48" s="317"/>
      <c r="I48" s="318"/>
      <c r="J48" s="328"/>
      <c r="K48" s="329"/>
      <c r="L48" s="330"/>
      <c r="M48" s="339">
        <f t="shared" si="4"/>
        <v>0</v>
      </c>
      <c r="N48" s="330"/>
      <c r="O48" s="679"/>
      <c r="P48" s="680"/>
      <c r="R48" s="331"/>
      <c r="S48" s="213"/>
      <c r="T48" s="356"/>
    </row>
    <row r="49" spans="1:20" s="310" customFormat="1" ht="20.100000000000001" customHeight="1" thickBot="1">
      <c r="A49" s="674"/>
      <c r="B49" s="677"/>
      <c r="C49" s="290">
        <v>5</v>
      </c>
      <c r="D49" s="248"/>
      <c r="E49" s="256"/>
      <c r="F49" s="257"/>
      <c r="G49" s="377"/>
      <c r="H49" s="317"/>
      <c r="I49" s="318"/>
      <c r="J49" s="332"/>
      <c r="K49" s="440"/>
      <c r="L49" s="334"/>
      <c r="M49" s="339">
        <f t="shared" si="4"/>
        <v>0</v>
      </c>
      <c r="N49" s="330"/>
      <c r="O49" s="679"/>
      <c r="P49" s="680"/>
      <c r="R49" s="335"/>
      <c r="S49" s="272"/>
      <c r="T49" s="300"/>
    </row>
    <row r="50" spans="1:20" s="300" customFormat="1" ht="15.75" customHeight="1" thickTop="1" thickBot="1">
      <c r="A50" s="675"/>
      <c r="B50" s="678"/>
      <c r="C50" s="687"/>
      <c r="D50" s="688"/>
      <c r="E50" s="688"/>
      <c r="F50" s="688"/>
      <c r="G50" s="688"/>
      <c r="H50" s="688"/>
      <c r="I50" s="689"/>
      <c r="J50" s="307" t="s">
        <v>58</v>
      </c>
      <c r="K50" s="441" t="e">
        <f>M50/'生產管理報表 7-1 (週)'!$B$53</f>
        <v>#DIV/0!</v>
      </c>
      <c r="L50" s="308" t="s">
        <v>59</v>
      </c>
      <c r="M50" s="227">
        <f>SUM(M45:M49)</f>
        <v>0</v>
      </c>
      <c r="N50" s="690"/>
      <c r="O50" s="691"/>
      <c r="P50" s="692"/>
      <c r="R50" s="213"/>
      <c r="S50" s="213"/>
    </row>
    <row r="51" spans="1:20" s="300" customFormat="1" ht="15.75" customHeight="1" thickTop="1">
      <c r="B51" s="309"/>
      <c r="C51" s="310"/>
      <c r="M51" s="346"/>
      <c r="S51" s="272"/>
    </row>
    <row r="52" spans="1:20" s="300" customFormat="1" ht="15.75" customHeight="1">
      <c r="A52" s="663" t="s">
        <v>193</v>
      </c>
      <c r="B52" s="664"/>
      <c r="C52" s="286" t="s">
        <v>47</v>
      </c>
      <c r="D52" s="665" t="s">
        <v>12</v>
      </c>
      <c r="E52" s="666"/>
      <c r="F52" s="667"/>
      <c r="G52" s="668" t="s">
        <v>53</v>
      </c>
      <c r="H52" s="669"/>
      <c r="I52" s="670"/>
      <c r="J52" s="287" t="s">
        <v>54</v>
      </c>
      <c r="K52" s="287" t="s">
        <v>55</v>
      </c>
      <c r="L52" s="287" t="s">
        <v>56</v>
      </c>
      <c r="M52" s="347" t="s">
        <v>11</v>
      </c>
      <c r="N52" s="288" t="s">
        <v>340</v>
      </c>
      <c r="O52" s="671" t="s">
        <v>51</v>
      </c>
      <c r="P52" s="672"/>
      <c r="S52" s="213"/>
      <c r="T52" s="356"/>
    </row>
    <row r="53" spans="1:20" s="310" customFormat="1" ht="39.950000000000003" customHeight="1">
      <c r="A53" s="673">
        <v>5</v>
      </c>
      <c r="B53" s="693" t="s">
        <v>218</v>
      </c>
      <c r="C53" s="290">
        <v>1</v>
      </c>
      <c r="D53" s="248" t="s">
        <v>365</v>
      </c>
      <c r="E53" s="249"/>
      <c r="F53" s="250"/>
      <c r="G53" s="318" t="s">
        <v>376</v>
      </c>
      <c r="H53" s="317"/>
      <c r="I53" s="318"/>
      <c r="J53" s="328">
        <v>96</v>
      </c>
      <c r="K53" s="329">
        <v>2.1396054628224588E-2</v>
      </c>
      <c r="L53" s="330">
        <v>11.280000000000001</v>
      </c>
      <c r="M53" s="339">
        <f>L53*J53</f>
        <v>1082.8800000000001</v>
      </c>
      <c r="N53" s="330"/>
      <c r="O53" s="681" t="s">
        <v>608</v>
      </c>
      <c r="P53" s="682"/>
      <c r="S53" s="272"/>
    </row>
    <row r="54" spans="1:20" s="310" customFormat="1" ht="20.100000000000001" customHeight="1">
      <c r="A54" s="674"/>
      <c r="B54" s="694"/>
      <c r="C54" s="290">
        <v>2</v>
      </c>
      <c r="D54" s="248"/>
      <c r="E54" s="249"/>
      <c r="F54" s="250"/>
      <c r="G54" s="377"/>
      <c r="H54" s="317"/>
      <c r="I54" s="318"/>
      <c r="J54" s="328"/>
      <c r="K54" s="329"/>
      <c r="L54" s="330"/>
      <c r="M54" s="339">
        <f t="shared" ref="M54:M57" si="5">L54*J54</f>
        <v>0</v>
      </c>
      <c r="N54" s="330"/>
      <c r="O54" s="681"/>
      <c r="P54" s="682"/>
      <c r="S54" s="213"/>
      <c r="T54" s="357"/>
    </row>
    <row r="55" spans="1:20" s="300" customFormat="1" ht="20.100000000000001" customHeight="1">
      <c r="A55" s="674"/>
      <c r="B55" s="694"/>
      <c r="C55" s="290">
        <v>3</v>
      </c>
      <c r="D55" s="248"/>
      <c r="E55" s="292"/>
      <c r="F55" s="293"/>
      <c r="G55" s="377"/>
      <c r="H55" s="317"/>
      <c r="I55" s="318"/>
      <c r="J55" s="328"/>
      <c r="K55" s="329"/>
      <c r="L55" s="330"/>
      <c r="M55" s="339">
        <f t="shared" si="5"/>
        <v>0</v>
      </c>
      <c r="N55" s="299"/>
      <c r="O55" s="698"/>
      <c r="P55" s="699"/>
    </row>
    <row r="56" spans="1:20" s="300" customFormat="1" ht="20.100000000000001" customHeight="1">
      <c r="A56" s="674"/>
      <c r="B56" s="694"/>
      <c r="C56" s="290">
        <v>4</v>
      </c>
      <c r="D56" s="248"/>
      <c r="E56" s="292"/>
      <c r="F56" s="293"/>
      <c r="G56" s="377"/>
      <c r="H56" s="317"/>
      <c r="I56" s="318"/>
      <c r="J56" s="328"/>
      <c r="K56" s="329"/>
      <c r="L56" s="330"/>
      <c r="M56" s="339">
        <f t="shared" si="5"/>
        <v>0</v>
      </c>
      <c r="N56" s="299"/>
      <c r="O56" s="681"/>
      <c r="P56" s="682"/>
    </row>
    <row r="57" spans="1:20" s="300" customFormat="1" ht="20.100000000000001" customHeight="1" thickBot="1">
      <c r="A57" s="674"/>
      <c r="B57" s="694"/>
      <c r="C57" s="290">
        <v>5</v>
      </c>
      <c r="D57" s="255"/>
      <c r="E57" s="302"/>
      <c r="F57" s="303"/>
      <c r="G57" s="377"/>
      <c r="H57" s="317"/>
      <c r="I57" s="318"/>
      <c r="J57" s="332"/>
      <c r="K57" s="333"/>
      <c r="L57" s="334"/>
      <c r="M57" s="339">
        <f t="shared" si="5"/>
        <v>0</v>
      </c>
      <c r="N57" s="299"/>
      <c r="O57" s="784"/>
      <c r="P57" s="785"/>
      <c r="R57" s="214"/>
    </row>
    <row r="58" spans="1:20" s="300" customFormat="1" ht="15.75" customHeight="1" thickTop="1" thickBot="1">
      <c r="A58" s="675"/>
      <c r="B58" s="695"/>
      <c r="C58" s="702"/>
      <c r="D58" s="703"/>
      <c r="E58" s="703"/>
      <c r="F58" s="703"/>
      <c r="G58" s="703"/>
      <c r="H58" s="703"/>
      <c r="I58" s="704"/>
      <c r="J58" s="307" t="s">
        <v>58</v>
      </c>
      <c r="K58" s="441" t="e">
        <f>M58/'生產管理報表 7-1 (週)'!$B$53</f>
        <v>#DIV/0!</v>
      </c>
      <c r="L58" s="308" t="s">
        <v>59</v>
      </c>
      <c r="M58" s="351">
        <f>SUM(M53:M57)</f>
        <v>1082.8800000000001</v>
      </c>
      <c r="N58" s="690"/>
      <c r="O58" s="691"/>
      <c r="P58" s="692"/>
      <c r="R58" s="213"/>
    </row>
    <row r="59" spans="1:20" s="300" customFormat="1" ht="15.75" customHeight="1" thickTop="1">
      <c r="B59" s="309"/>
      <c r="C59" s="310"/>
      <c r="M59" s="346"/>
      <c r="R59" s="213"/>
    </row>
    <row r="60" spans="1:20" s="300" customFormat="1" ht="15.75" customHeight="1">
      <c r="A60" s="663" t="s">
        <v>193</v>
      </c>
      <c r="B60" s="664"/>
      <c r="C60" s="315" t="s">
        <v>47</v>
      </c>
      <c r="D60" s="707" t="s">
        <v>12</v>
      </c>
      <c r="E60" s="708"/>
      <c r="F60" s="709"/>
      <c r="G60" s="710" t="s">
        <v>53</v>
      </c>
      <c r="H60" s="711"/>
      <c r="I60" s="712"/>
      <c r="J60" s="316" t="s">
        <v>54</v>
      </c>
      <c r="K60" s="287" t="s">
        <v>55</v>
      </c>
      <c r="L60" s="287" t="s">
        <v>56</v>
      </c>
      <c r="M60" s="347" t="s">
        <v>11</v>
      </c>
      <c r="N60" s="288" t="s">
        <v>340</v>
      </c>
      <c r="O60" s="671" t="s">
        <v>51</v>
      </c>
      <c r="P60" s="672"/>
      <c r="R60" s="213"/>
      <c r="S60" s="2"/>
    </row>
    <row r="61" spans="1:20" s="300" customFormat="1" ht="39.950000000000003" customHeight="1">
      <c r="A61" s="673">
        <v>6</v>
      </c>
      <c r="B61" s="693" t="s">
        <v>219</v>
      </c>
      <c r="C61" s="290">
        <v>1</v>
      </c>
      <c r="D61" s="358" t="s">
        <v>348</v>
      </c>
      <c r="E61" s="292"/>
      <c r="F61" s="293"/>
      <c r="G61" s="318" t="s">
        <v>342</v>
      </c>
      <c r="H61" s="317"/>
      <c r="I61" s="318"/>
      <c r="J61" s="328">
        <v>15.450000000000001</v>
      </c>
      <c r="K61" s="329">
        <v>4.4519246430316517E-3</v>
      </c>
      <c r="L61" s="330">
        <v>82</v>
      </c>
      <c r="M61" s="339">
        <f t="shared" ref="M61" si="6">L61*J61</f>
        <v>1266.9000000000001</v>
      </c>
      <c r="N61" s="299"/>
      <c r="O61" s="698" t="s">
        <v>642</v>
      </c>
      <c r="P61" s="699"/>
      <c r="S61" s="2"/>
    </row>
    <row r="62" spans="1:20" s="300" customFormat="1" ht="20.100000000000001" customHeight="1">
      <c r="A62" s="674"/>
      <c r="B62" s="694"/>
      <c r="C62" s="290">
        <v>2</v>
      </c>
      <c r="D62" s="291"/>
      <c r="E62" s="292"/>
      <c r="F62" s="293"/>
      <c r="G62" s="294"/>
      <c r="H62" s="295"/>
      <c r="I62" s="296"/>
      <c r="J62" s="297"/>
      <c r="K62" s="298"/>
      <c r="L62" s="299"/>
      <c r="M62" s="348">
        <v>0</v>
      </c>
      <c r="N62" s="299"/>
      <c r="O62" s="311"/>
      <c r="P62" s="312"/>
      <c r="S62" s="2"/>
    </row>
    <row r="63" spans="1:20" s="300" customFormat="1" ht="20.100000000000001" customHeight="1">
      <c r="A63" s="674"/>
      <c r="B63" s="694"/>
      <c r="C63" s="290">
        <v>3</v>
      </c>
      <c r="D63" s="291"/>
      <c r="E63" s="292"/>
      <c r="F63" s="293"/>
      <c r="G63" s="294"/>
      <c r="H63" s="295"/>
      <c r="I63" s="296"/>
      <c r="J63" s="297"/>
      <c r="K63" s="298"/>
      <c r="L63" s="299"/>
      <c r="M63" s="348">
        <v>0</v>
      </c>
      <c r="N63" s="299"/>
      <c r="O63" s="311"/>
      <c r="P63" s="312"/>
      <c r="S63" s="2"/>
    </row>
    <row r="64" spans="1:20" s="300" customFormat="1" ht="20.100000000000001" customHeight="1">
      <c r="A64" s="674"/>
      <c r="B64" s="694"/>
      <c r="C64" s="290">
        <v>4</v>
      </c>
      <c r="D64" s="291"/>
      <c r="E64" s="292"/>
      <c r="F64" s="293"/>
      <c r="G64" s="294"/>
      <c r="H64" s="295"/>
      <c r="I64" s="296"/>
      <c r="J64" s="297"/>
      <c r="K64" s="298"/>
      <c r="L64" s="299"/>
      <c r="M64" s="348">
        <v>0</v>
      </c>
      <c r="N64" s="299"/>
      <c r="O64" s="311"/>
      <c r="P64" s="312"/>
      <c r="R64" s="2"/>
      <c r="S64" s="2"/>
    </row>
    <row r="65" spans="1:21" s="300" customFormat="1" ht="20.100000000000001" customHeight="1" thickBot="1">
      <c r="A65" s="674"/>
      <c r="B65" s="694"/>
      <c r="C65" s="290">
        <v>5</v>
      </c>
      <c r="D65" s="301"/>
      <c r="E65" s="302"/>
      <c r="F65" s="303"/>
      <c r="G65" s="294"/>
      <c r="H65" s="295"/>
      <c r="I65" s="296"/>
      <c r="J65" s="304"/>
      <c r="K65" s="305"/>
      <c r="L65" s="306"/>
      <c r="M65" s="348">
        <v>0</v>
      </c>
      <c r="N65" s="299"/>
      <c r="O65" s="313"/>
      <c r="P65" s="314"/>
      <c r="R65" s="2"/>
      <c r="S65" s="2"/>
    </row>
    <row r="66" spans="1:21" s="300" customFormat="1" ht="15.75" customHeight="1" thickTop="1" thickBot="1">
      <c r="A66" s="675"/>
      <c r="B66" s="695"/>
      <c r="C66" s="702"/>
      <c r="D66" s="703"/>
      <c r="E66" s="703"/>
      <c r="F66" s="703"/>
      <c r="G66" s="703"/>
      <c r="H66" s="703"/>
      <c r="I66" s="704"/>
      <c r="J66" s="307" t="s">
        <v>58</v>
      </c>
      <c r="K66" s="441" t="e">
        <f>M66/'生產管理報表 7-1 (週)'!$B$53</f>
        <v>#DIV/0!</v>
      </c>
      <c r="L66" s="308" t="s">
        <v>59</v>
      </c>
      <c r="M66" s="351">
        <f>SUM(M61:M65)</f>
        <v>1266.9000000000001</v>
      </c>
      <c r="N66" s="690"/>
      <c r="O66" s="691"/>
      <c r="P66" s="692"/>
      <c r="R66" s="2"/>
      <c r="S66" s="2"/>
    </row>
    <row r="67" spans="1:21" s="300" customFormat="1" ht="15.75" customHeight="1" thickTop="1">
      <c r="B67" s="309"/>
      <c r="C67" s="310"/>
      <c r="M67" s="346"/>
      <c r="R67" s="2"/>
      <c r="S67" s="2"/>
    </row>
    <row r="68" spans="1:21" s="300" customFormat="1" ht="15.75" customHeight="1">
      <c r="A68" s="663" t="s">
        <v>193</v>
      </c>
      <c r="B68" s="664"/>
      <c r="C68" s="315" t="s">
        <v>47</v>
      </c>
      <c r="D68" s="707" t="s">
        <v>12</v>
      </c>
      <c r="E68" s="708"/>
      <c r="F68" s="709"/>
      <c r="G68" s="710" t="s">
        <v>53</v>
      </c>
      <c r="H68" s="711"/>
      <c r="I68" s="712"/>
      <c r="J68" s="316" t="s">
        <v>54</v>
      </c>
      <c r="K68" s="287" t="s">
        <v>55</v>
      </c>
      <c r="L68" s="287" t="s">
        <v>56</v>
      </c>
      <c r="M68" s="347" t="s">
        <v>11</v>
      </c>
      <c r="N68" s="288" t="s">
        <v>340</v>
      </c>
      <c r="O68" s="671" t="s">
        <v>51</v>
      </c>
      <c r="P68" s="672"/>
      <c r="R68" s="2"/>
      <c r="S68" s="2"/>
    </row>
    <row r="69" spans="1:21" s="300" customFormat="1" ht="20.100000000000001" customHeight="1">
      <c r="A69" s="673">
        <v>7</v>
      </c>
      <c r="B69" s="715" t="s">
        <v>256</v>
      </c>
      <c r="C69" s="290">
        <v>1</v>
      </c>
      <c r="D69" s="291"/>
      <c r="E69" s="292"/>
      <c r="F69" s="293"/>
      <c r="G69" s="294"/>
      <c r="H69" s="295"/>
      <c r="I69" s="296"/>
      <c r="J69" s="297"/>
      <c r="K69" s="298"/>
      <c r="L69" s="299"/>
      <c r="M69" s="348">
        <f t="shared" ref="M69:M71" si="7">L69*J69</f>
        <v>0</v>
      </c>
      <c r="N69" s="299"/>
      <c r="O69" s="718"/>
      <c r="P69" s="719"/>
      <c r="R69" s="2"/>
      <c r="S69" s="2"/>
    </row>
    <row r="70" spans="1:21" s="300" customFormat="1" ht="20.100000000000001" customHeight="1">
      <c r="A70" s="674"/>
      <c r="B70" s="716"/>
      <c r="C70" s="290">
        <v>2</v>
      </c>
      <c r="D70" s="291"/>
      <c r="E70" s="292"/>
      <c r="F70" s="293"/>
      <c r="G70" s="294"/>
      <c r="H70" s="295"/>
      <c r="I70" s="296"/>
      <c r="J70" s="297"/>
      <c r="K70" s="298"/>
      <c r="L70" s="299"/>
      <c r="M70" s="348">
        <f t="shared" si="7"/>
        <v>0</v>
      </c>
      <c r="N70" s="299"/>
      <c r="O70" s="720"/>
      <c r="P70" s="721"/>
      <c r="R70" s="2"/>
      <c r="S70" s="2"/>
    </row>
    <row r="71" spans="1:21" s="300" customFormat="1" ht="20.100000000000001" customHeight="1">
      <c r="A71" s="674"/>
      <c r="B71" s="716"/>
      <c r="C71" s="290">
        <v>3</v>
      </c>
      <c r="D71" s="291"/>
      <c r="E71" s="292"/>
      <c r="F71" s="293"/>
      <c r="G71" s="294"/>
      <c r="H71" s="295"/>
      <c r="I71" s="296"/>
      <c r="J71" s="297"/>
      <c r="K71" s="298"/>
      <c r="L71" s="299"/>
      <c r="M71" s="348">
        <f t="shared" si="7"/>
        <v>0</v>
      </c>
      <c r="N71" s="299"/>
      <c r="O71" s="720"/>
      <c r="P71" s="721"/>
      <c r="R71" s="2"/>
      <c r="S71" s="2"/>
    </row>
    <row r="72" spans="1:21" s="300" customFormat="1" ht="20.100000000000001" customHeight="1">
      <c r="A72" s="674"/>
      <c r="B72" s="716"/>
      <c r="C72" s="290">
        <v>4</v>
      </c>
      <c r="D72" s="291"/>
      <c r="E72" s="292"/>
      <c r="F72" s="293"/>
      <c r="G72" s="294"/>
      <c r="H72" s="295"/>
      <c r="I72" s="296"/>
      <c r="J72" s="297"/>
      <c r="K72" s="298"/>
      <c r="L72" s="299"/>
      <c r="M72" s="349">
        <v>0</v>
      </c>
      <c r="N72" s="299"/>
      <c r="O72" s="311"/>
      <c r="P72" s="312"/>
      <c r="R72" s="2"/>
      <c r="S72" s="2"/>
    </row>
    <row r="73" spans="1:21" s="300" customFormat="1" ht="20.100000000000001" customHeight="1" thickBot="1">
      <c r="A73" s="674"/>
      <c r="B73" s="716"/>
      <c r="C73" s="290">
        <v>5</v>
      </c>
      <c r="D73" s="301"/>
      <c r="E73" s="302"/>
      <c r="F73" s="303"/>
      <c r="G73" s="294"/>
      <c r="H73" s="295"/>
      <c r="I73" s="296"/>
      <c r="J73" s="304"/>
      <c r="K73" s="305"/>
      <c r="L73" s="306"/>
      <c r="M73" s="350">
        <v>0</v>
      </c>
      <c r="N73" s="299"/>
      <c r="O73" s="313"/>
      <c r="P73" s="314"/>
      <c r="R73" s="2"/>
      <c r="S73" s="2"/>
    </row>
    <row r="74" spans="1:21" s="300" customFormat="1" ht="15.75" customHeight="1" thickTop="1" thickBot="1">
      <c r="A74" s="675"/>
      <c r="B74" s="717"/>
      <c r="C74" s="702"/>
      <c r="D74" s="703"/>
      <c r="E74" s="703"/>
      <c r="F74" s="703"/>
      <c r="G74" s="703"/>
      <c r="H74" s="703"/>
      <c r="I74" s="704"/>
      <c r="J74" s="307" t="s">
        <v>58</v>
      </c>
      <c r="K74" s="441" t="e">
        <f>M74/'生產管理報表 7-1 (週)'!$B$53</f>
        <v>#DIV/0!</v>
      </c>
      <c r="L74" s="308" t="s">
        <v>59</v>
      </c>
      <c r="M74" s="351">
        <f>SUM(M69:M73)</f>
        <v>0</v>
      </c>
      <c r="N74" s="690"/>
      <c r="O74" s="691"/>
      <c r="P74" s="692"/>
      <c r="R74" s="2"/>
      <c r="S74" s="2"/>
      <c r="T74" s="2"/>
    </row>
    <row r="75" spans="1:21" s="138" customFormat="1" ht="15.75" customHeight="1" thickTop="1">
      <c r="A75" s="783" t="s">
        <v>685</v>
      </c>
      <c r="B75" s="783"/>
      <c r="C75" s="783"/>
      <c r="D75" s="783"/>
      <c r="E75" s="783"/>
      <c r="F75" s="783"/>
      <c r="G75" s="783"/>
      <c r="H75" s="783"/>
      <c r="I75" s="783"/>
      <c r="J75" s="783"/>
      <c r="K75" s="783"/>
      <c r="L75" s="783"/>
      <c r="M75" s="783"/>
      <c r="R75" s="242"/>
      <c r="S75" s="242"/>
      <c r="T75" s="242"/>
      <c r="U75" s="242"/>
    </row>
    <row r="76" spans="1:21" s="139" customFormat="1" ht="15.75" customHeight="1">
      <c r="A76" s="658"/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</row>
    <row r="77" spans="1:21" s="138" customFormat="1" ht="15.75" customHeight="1">
      <c r="A77" s="659" t="s">
        <v>193</v>
      </c>
      <c r="B77" s="661">
        <v>1</v>
      </c>
      <c r="C77" s="662"/>
      <c r="D77" s="661">
        <v>2</v>
      </c>
      <c r="E77" s="662"/>
      <c r="F77" s="661">
        <v>3</v>
      </c>
      <c r="G77" s="662"/>
      <c r="H77" s="652">
        <v>4</v>
      </c>
      <c r="I77" s="653"/>
      <c r="J77" s="652">
        <v>5</v>
      </c>
      <c r="K77" s="653"/>
      <c r="L77" s="652">
        <v>6</v>
      </c>
      <c r="M77" s="653"/>
      <c r="N77" s="652">
        <v>7</v>
      </c>
      <c r="O77" s="653"/>
      <c r="P77" s="344">
        <v>8</v>
      </c>
    </row>
    <row r="78" spans="1:21" s="138" customFormat="1" ht="15.75" customHeight="1">
      <c r="A78" s="660"/>
      <c r="B78" s="656" t="s">
        <v>523</v>
      </c>
      <c r="C78" s="657"/>
      <c r="D78" s="656" t="s">
        <v>215</v>
      </c>
      <c r="E78" s="657"/>
      <c r="F78" s="656" t="s">
        <v>168</v>
      </c>
      <c r="G78" s="657"/>
      <c r="H78" s="654" t="s">
        <v>473</v>
      </c>
      <c r="I78" s="655"/>
      <c r="J78" s="654" t="s">
        <v>191</v>
      </c>
      <c r="K78" s="655"/>
      <c r="L78" s="654" t="s">
        <v>169</v>
      </c>
      <c r="M78" s="655"/>
      <c r="N78" s="654" t="s">
        <v>192</v>
      </c>
      <c r="O78" s="655"/>
      <c r="P78" s="345" t="s">
        <v>220</v>
      </c>
    </row>
    <row r="79" spans="1:21" s="138" customFormat="1" ht="15.75" customHeight="1">
      <c r="B79" s="243"/>
      <c r="C79" s="244"/>
    </row>
    <row r="80" spans="1:21" s="289" customFormat="1" ht="15.75" customHeight="1">
      <c r="A80" s="663" t="s">
        <v>193</v>
      </c>
      <c r="B80" s="664"/>
      <c r="C80" s="286" t="s">
        <v>47</v>
      </c>
      <c r="D80" s="665" t="s">
        <v>12</v>
      </c>
      <c r="E80" s="666"/>
      <c r="F80" s="667"/>
      <c r="G80" s="668" t="s">
        <v>53</v>
      </c>
      <c r="H80" s="669"/>
      <c r="I80" s="670"/>
      <c r="J80" s="287" t="s">
        <v>54</v>
      </c>
      <c r="K80" s="287" t="s">
        <v>55</v>
      </c>
      <c r="L80" s="287" t="s">
        <v>56</v>
      </c>
      <c r="M80" s="288" t="s">
        <v>11</v>
      </c>
      <c r="N80" s="288" t="s">
        <v>340</v>
      </c>
      <c r="O80" s="671" t="s">
        <v>51</v>
      </c>
      <c r="P80" s="672"/>
      <c r="R80" s="213"/>
      <c r="S80" s="272"/>
    </row>
    <row r="81" spans="1:20" s="310" customFormat="1" ht="20.100000000000001" customHeight="1">
      <c r="A81" s="673">
        <v>4</v>
      </c>
      <c r="B81" s="676" t="s">
        <v>473</v>
      </c>
      <c r="C81" s="290">
        <v>1</v>
      </c>
      <c r="D81" s="248"/>
      <c r="E81" s="249"/>
      <c r="F81" s="250"/>
      <c r="G81" s="377"/>
      <c r="H81" s="317"/>
      <c r="I81" s="318"/>
      <c r="J81" s="328"/>
      <c r="K81" s="329"/>
      <c r="L81" s="330"/>
      <c r="M81" s="339">
        <f t="shared" ref="M81:M85" si="8">L81*J81</f>
        <v>0</v>
      </c>
      <c r="N81" s="330"/>
      <c r="O81" s="679"/>
      <c r="P81" s="680"/>
      <c r="R81" s="331"/>
      <c r="S81" s="272"/>
    </row>
    <row r="82" spans="1:20" s="310" customFormat="1" ht="20.100000000000001" customHeight="1">
      <c r="A82" s="674"/>
      <c r="B82" s="677"/>
      <c r="C82" s="290">
        <v>2</v>
      </c>
      <c r="D82" s="248"/>
      <c r="E82" s="249"/>
      <c r="F82" s="250"/>
      <c r="G82" s="377"/>
      <c r="H82" s="317"/>
      <c r="I82" s="318"/>
      <c r="J82" s="328"/>
      <c r="K82" s="329"/>
      <c r="L82" s="330"/>
      <c r="M82" s="339">
        <f t="shared" si="8"/>
        <v>0</v>
      </c>
      <c r="N82" s="330"/>
      <c r="O82" s="681"/>
      <c r="P82" s="682"/>
      <c r="R82" s="331"/>
      <c r="S82" s="213"/>
      <c r="T82" s="356"/>
    </row>
    <row r="83" spans="1:20" s="310" customFormat="1" ht="20.100000000000001" customHeight="1">
      <c r="A83" s="674"/>
      <c r="B83" s="677"/>
      <c r="C83" s="290">
        <v>3</v>
      </c>
      <c r="D83" s="248"/>
      <c r="E83" s="249"/>
      <c r="F83" s="250"/>
      <c r="G83" s="377"/>
      <c r="H83" s="317"/>
      <c r="I83" s="318"/>
      <c r="J83" s="328"/>
      <c r="K83" s="329"/>
      <c r="L83" s="330"/>
      <c r="M83" s="339">
        <f t="shared" si="8"/>
        <v>0</v>
      </c>
      <c r="N83" s="330"/>
      <c r="O83" s="679"/>
      <c r="P83" s="680"/>
      <c r="R83" s="331"/>
      <c r="S83" s="272"/>
    </row>
    <row r="84" spans="1:20" s="310" customFormat="1" ht="20.100000000000001" customHeight="1">
      <c r="A84" s="674"/>
      <c r="B84" s="677"/>
      <c r="C84" s="290">
        <v>4</v>
      </c>
      <c r="D84" s="248"/>
      <c r="E84" s="249"/>
      <c r="F84" s="250"/>
      <c r="G84" s="377"/>
      <c r="H84" s="317"/>
      <c r="I84" s="318"/>
      <c r="J84" s="328"/>
      <c r="K84" s="329"/>
      <c r="L84" s="330"/>
      <c r="M84" s="339">
        <f t="shared" si="8"/>
        <v>0</v>
      </c>
      <c r="N84" s="330"/>
      <c r="O84" s="679"/>
      <c r="P84" s="680"/>
      <c r="R84" s="331"/>
      <c r="S84" s="213"/>
      <c r="T84" s="356"/>
    </row>
    <row r="85" spans="1:20" s="310" customFormat="1" ht="20.100000000000001" customHeight="1" thickBot="1">
      <c r="A85" s="674"/>
      <c r="B85" s="677"/>
      <c r="C85" s="290">
        <v>5</v>
      </c>
      <c r="D85" s="248"/>
      <c r="E85" s="256"/>
      <c r="F85" s="257"/>
      <c r="G85" s="377"/>
      <c r="H85" s="317"/>
      <c r="I85" s="318"/>
      <c r="J85" s="332"/>
      <c r="K85" s="440"/>
      <c r="L85" s="334"/>
      <c r="M85" s="339">
        <f t="shared" si="8"/>
        <v>0</v>
      </c>
      <c r="N85" s="330"/>
      <c r="O85" s="679"/>
      <c r="P85" s="680"/>
      <c r="R85" s="335"/>
      <c r="S85" s="272"/>
      <c r="T85" s="300"/>
    </row>
    <row r="86" spans="1:20" s="300" customFormat="1" ht="15.75" customHeight="1" thickTop="1" thickBot="1">
      <c r="A86" s="675"/>
      <c r="B86" s="678"/>
      <c r="C86" s="687"/>
      <c r="D86" s="688"/>
      <c r="E86" s="688"/>
      <c r="F86" s="688"/>
      <c r="G86" s="688"/>
      <c r="H86" s="688"/>
      <c r="I86" s="689"/>
      <c r="J86" s="307" t="s">
        <v>58</v>
      </c>
      <c r="K86" s="441">
        <f>M86/'生產管理報表 7-1 (週)'!$B$9</f>
        <v>0</v>
      </c>
      <c r="L86" s="308" t="s">
        <v>59</v>
      </c>
      <c r="M86" s="227">
        <f>SUM(M81:M85)</f>
        <v>0</v>
      </c>
      <c r="N86" s="690"/>
      <c r="O86" s="691"/>
      <c r="P86" s="692"/>
      <c r="R86" s="213"/>
      <c r="S86" s="213"/>
    </row>
    <row r="87" spans="1:20" s="300" customFormat="1" ht="15.75" customHeight="1" thickTop="1">
      <c r="B87" s="309"/>
      <c r="C87" s="310"/>
      <c r="M87" s="346"/>
      <c r="S87" s="272"/>
    </row>
    <row r="88" spans="1:20" s="300" customFormat="1" ht="15.75" customHeight="1">
      <c r="A88" s="663" t="s">
        <v>193</v>
      </c>
      <c r="B88" s="664"/>
      <c r="C88" s="286" t="s">
        <v>47</v>
      </c>
      <c r="D88" s="665" t="s">
        <v>12</v>
      </c>
      <c r="E88" s="666"/>
      <c r="F88" s="667"/>
      <c r="G88" s="668" t="s">
        <v>53</v>
      </c>
      <c r="H88" s="669"/>
      <c r="I88" s="670"/>
      <c r="J88" s="287" t="s">
        <v>54</v>
      </c>
      <c r="K88" s="287" t="s">
        <v>55</v>
      </c>
      <c r="L88" s="287" t="s">
        <v>56</v>
      </c>
      <c r="M88" s="347" t="s">
        <v>11</v>
      </c>
      <c r="N88" s="288" t="s">
        <v>340</v>
      </c>
      <c r="O88" s="671" t="s">
        <v>51</v>
      </c>
      <c r="P88" s="672"/>
      <c r="S88" s="213"/>
      <c r="T88" s="356"/>
    </row>
    <row r="89" spans="1:20" s="310" customFormat="1" ht="20.100000000000001" customHeight="1">
      <c r="A89" s="673">
        <v>5</v>
      </c>
      <c r="B89" s="693" t="s">
        <v>218</v>
      </c>
      <c r="C89" s="290">
        <v>1</v>
      </c>
      <c r="D89" s="248"/>
      <c r="E89" s="249"/>
      <c r="F89" s="250"/>
      <c r="G89" s="377"/>
      <c r="H89" s="317"/>
      <c r="I89" s="318"/>
      <c r="J89" s="328"/>
      <c r="K89" s="329"/>
      <c r="L89" s="330"/>
      <c r="M89" s="339">
        <f>L89*J89</f>
        <v>0</v>
      </c>
      <c r="N89" s="330"/>
      <c r="O89" s="681"/>
      <c r="P89" s="682"/>
      <c r="S89" s="272"/>
    </row>
    <row r="90" spans="1:20" s="310" customFormat="1" ht="20.100000000000001" customHeight="1">
      <c r="A90" s="674"/>
      <c r="B90" s="694"/>
      <c r="C90" s="290">
        <v>2</v>
      </c>
      <c r="D90" s="248"/>
      <c r="E90" s="249"/>
      <c r="F90" s="250"/>
      <c r="G90" s="377"/>
      <c r="H90" s="317"/>
      <c r="I90" s="318"/>
      <c r="J90" s="328"/>
      <c r="K90" s="329"/>
      <c r="L90" s="330"/>
      <c r="M90" s="339">
        <f t="shared" ref="M90:M93" si="9">L90*J90</f>
        <v>0</v>
      </c>
      <c r="N90" s="330"/>
      <c r="O90" s="681"/>
      <c r="P90" s="682"/>
      <c r="S90" s="213"/>
      <c r="T90" s="357"/>
    </row>
    <row r="91" spans="1:20" s="300" customFormat="1" ht="20.100000000000001" customHeight="1">
      <c r="A91" s="674"/>
      <c r="B91" s="694"/>
      <c r="C91" s="290">
        <v>3</v>
      </c>
      <c r="D91" s="248"/>
      <c r="E91" s="292"/>
      <c r="F91" s="293"/>
      <c r="G91" s="377"/>
      <c r="H91" s="317"/>
      <c r="I91" s="318"/>
      <c r="J91" s="328"/>
      <c r="K91" s="329"/>
      <c r="L91" s="330"/>
      <c r="M91" s="339">
        <f t="shared" si="9"/>
        <v>0</v>
      </c>
      <c r="N91" s="299"/>
      <c r="O91" s="698"/>
      <c r="P91" s="699"/>
    </row>
    <row r="92" spans="1:20" s="300" customFormat="1" ht="20.100000000000001" customHeight="1">
      <c r="A92" s="674"/>
      <c r="B92" s="694"/>
      <c r="C92" s="290">
        <v>4</v>
      </c>
      <c r="D92" s="248"/>
      <c r="E92" s="292"/>
      <c r="F92" s="293"/>
      <c r="G92" s="377"/>
      <c r="H92" s="317"/>
      <c r="I92" s="318"/>
      <c r="J92" s="328"/>
      <c r="K92" s="329"/>
      <c r="L92" s="330"/>
      <c r="M92" s="339">
        <f t="shared" si="9"/>
        <v>0</v>
      </c>
      <c r="N92" s="299"/>
      <c r="O92" s="681"/>
      <c r="P92" s="682"/>
    </row>
    <row r="93" spans="1:20" s="300" customFormat="1" ht="20.100000000000001" customHeight="1" thickBot="1">
      <c r="A93" s="674"/>
      <c r="B93" s="694"/>
      <c r="C93" s="290">
        <v>5</v>
      </c>
      <c r="D93" s="255"/>
      <c r="E93" s="302"/>
      <c r="F93" s="303"/>
      <c r="G93" s="377"/>
      <c r="H93" s="317"/>
      <c r="I93" s="318"/>
      <c r="J93" s="332"/>
      <c r="K93" s="333"/>
      <c r="L93" s="334"/>
      <c r="M93" s="339">
        <f t="shared" si="9"/>
        <v>0</v>
      </c>
      <c r="N93" s="299"/>
      <c r="O93" s="784"/>
      <c r="P93" s="785"/>
      <c r="R93" s="214"/>
    </row>
    <row r="94" spans="1:20" s="300" customFormat="1" ht="15.75" customHeight="1" thickTop="1" thickBot="1">
      <c r="A94" s="675"/>
      <c r="B94" s="695"/>
      <c r="C94" s="702"/>
      <c r="D94" s="703"/>
      <c r="E94" s="703"/>
      <c r="F94" s="703"/>
      <c r="G94" s="703"/>
      <c r="H94" s="703"/>
      <c r="I94" s="704"/>
      <c r="J94" s="307" t="s">
        <v>58</v>
      </c>
      <c r="K94" s="441">
        <f>M94/'生產管理報表 7-1 (週)'!$B$9</f>
        <v>0</v>
      </c>
      <c r="L94" s="308" t="s">
        <v>59</v>
      </c>
      <c r="M94" s="351">
        <f>SUM(M89:M93)</f>
        <v>0</v>
      </c>
      <c r="N94" s="690"/>
      <c r="O94" s="691"/>
      <c r="P94" s="692"/>
      <c r="R94" s="213"/>
    </row>
    <row r="95" spans="1:20" s="300" customFormat="1" ht="15.75" customHeight="1" thickTop="1">
      <c r="B95" s="309"/>
      <c r="C95" s="310"/>
      <c r="M95" s="346"/>
      <c r="R95" s="213"/>
    </row>
    <row r="96" spans="1:20" s="300" customFormat="1" ht="15.75" customHeight="1">
      <c r="A96" s="663" t="s">
        <v>193</v>
      </c>
      <c r="B96" s="664"/>
      <c r="C96" s="315" t="s">
        <v>47</v>
      </c>
      <c r="D96" s="707" t="s">
        <v>12</v>
      </c>
      <c r="E96" s="708"/>
      <c r="F96" s="709"/>
      <c r="G96" s="710" t="s">
        <v>53</v>
      </c>
      <c r="H96" s="711"/>
      <c r="I96" s="712"/>
      <c r="J96" s="316" t="s">
        <v>54</v>
      </c>
      <c r="K96" s="287" t="s">
        <v>55</v>
      </c>
      <c r="L96" s="287" t="s">
        <v>56</v>
      </c>
      <c r="M96" s="347" t="s">
        <v>11</v>
      </c>
      <c r="N96" s="288" t="s">
        <v>340</v>
      </c>
      <c r="O96" s="671" t="s">
        <v>51</v>
      </c>
      <c r="P96" s="672"/>
      <c r="R96" s="213"/>
      <c r="S96" s="2"/>
    </row>
    <row r="97" spans="1:20" s="300" customFormat="1" ht="39.950000000000003" customHeight="1">
      <c r="A97" s="673">
        <v>6</v>
      </c>
      <c r="B97" s="693" t="s">
        <v>219</v>
      </c>
      <c r="C97" s="290">
        <v>1</v>
      </c>
      <c r="D97" s="358" t="s">
        <v>348</v>
      </c>
      <c r="E97" s="292"/>
      <c r="F97" s="293"/>
      <c r="G97" s="318" t="s">
        <v>342</v>
      </c>
      <c r="H97" s="317"/>
      <c r="I97" s="318"/>
      <c r="J97" s="328">
        <v>15.450000000000001</v>
      </c>
      <c r="K97" s="329">
        <v>4.8371493066752657E-3</v>
      </c>
      <c r="L97" s="330">
        <v>90</v>
      </c>
      <c r="M97" s="339">
        <f t="shared" ref="M97" si="10">L97*J97</f>
        <v>1390.5</v>
      </c>
      <c r="N97" s="299"/>
      <c r="O97" s="698" t="s">
        <v>642</v>
      </c>
      <c r="P97" s="699"/>
      <c r="S97" s="2"/>
    </row>
    <row r="98" spans="1:20" s="300" customFormat="1" ht="20.100000000000001" customHeight="1">
      <c r="A98" s="674"/>
      <c r="B98" s="694"/>
      <c r="C98" s="290">
        <v>2</v>
      </c>
      <c r="D98" s="291"/>
      <c r="E98" s="292"/>
      <c r="F98" s="293"/>
      <c r="G98" s="294"/>
      <c r="H98" s="295"/>
      <c r="I98" s="296"/>
      <c r="J98" s="297"/>
      <c r="K98" s="298"/>
      <c r="L98" s="299"/>
      <c r="M98" s="348">
        <v>0</v>
      </c>
      <c r="N98" s="299"/>
      <c r="O98" s="311"/>
      <c r="P98" s="312"/>
      <c r="S98" s="2"/>
    </row>
    <row r="99" spans="1:20" s="300" customFormat="1" ht="20.100000000000001" customHeight="1">
      <c r="A99" s="674"/>
      <c r="B99" s="694"/>
      <c r="C99" s="290">
        <v>3</v>
      </c>
      <c r="D99" s="291"/>
      <c r="E99" s="292"/>
      <c r="F99" s="293"/>
      <c r="G99" s="294"/>
      <c r="H99" s="295"/>
      <c r="I99" s="296"/>
      <c r="J99" s="297"/>
      <c r="K99" s="298"/>
      <c r="L99" s="299"/>
      <c r="M99" s="348">
        <v>0</v>
      </c>
      <c r="N99" s="299"/>
      <c r="O99" s="311"/>
      <c r="P99" s="312"/>
      <c r="S99" s="2"/>
    </row>
    <row r="100" spans="1:20" s="300" customFormat="1" ht="20.100000000000001" customHeight="1">
      <c r="A100" s="674"/>
      <c r="B100" s="694"/>
      <c r="C100" s="290">
        <v>4</v>
      </c>
      <c r="D100" s="291"/>
      <c r="E100" s="292"/>
      <c r="F100" s="293"/>
      <c r="G100" s="294"/>
      <c r="H100" s="295"/>
      <c r="I100" s="296"/>
      <c r="J100" s="297"/>
      <c r="K100" s="298"/>
      <c r="L100" s="299"/>
      <c r="M100" s="348">
        <v>0</v>
      </c>
      <c r="N100" s="299"/>
      <c r="O100" s="311"/>
      <c r="P100" s="312"/>
      <c r="R100" s="2"/>
      <c r="S100" s="2"/>
    </row>
    <row r="101" spans="1:20" s="300" customFormat="1" ht="20.100000000000001" customHeight="1" thickBot="1">
      <c r="A101" s="674"/>
      <c r="B101" s="694"/>
      <c r="C101" s="290">
        <v>5</v>
      </c>
      <c r="D101" s="301"/>
      <c r="E101" s="302"/>
      <c r="F101" s="303"/>
      <c r="G101" s="294"/>
      <c r="H101" s="295"/>
      <c r="I101" s="296"/>
      <c r="J101" s="304"/>
      <c r="K101" s="305"/>
      <c r="L101" s="306"/>
      <c r="M101" s="348">
        <v>0</v>
      </c>
      <c r="N101" s="299"/>
      <c r="O101" s="313"/>
      <c r="P101" s="314"/>
      <c r="R101" s="2"/>
      <c r="S101" s="2"/>
    </row>
    <row r="102" spans="1:20" s="300" customFormat="1" ht="15.75" customHeight="1" thickTop="1" thickBot="1">
      <c r="A102" s="675"/>
      <c r="B102" s="695"/>
      <c r="C102" s="702"/>
      <c r="D102" s="703"/>
      <c r="E102" s="703"/>
      <c r="F102" s="703"/>
      <c r="G102" s="703"/>
      <c r="H102" s="703"/>
      <c r="I102" s="704"/>
      <c r="J102" s="307" t="s">
        <v>58</v>
      </c>
      <c r="K102" s="441">
        <f>M102/'生產管理報表 7-1 (週)'!$B$9</f>
        <v>1.8170650374529182E-2</v>
      </c>
      <c r="L102" s="308" t="s">
        <v>59</v>
      </c>
      <c r="M102" s="351">
        <f>SUM(M97:M101)</f>
        <v>1390.5</v>
      </c>
      <c r="N102" s="690"/>
      <c r="O102" s="691"/>
      <c r="P102" s="692"/>
      <c r="R102" s="2"/>
      <c r="S102" s="2"/>
    </row>
    <row r="103" spans="1:20" s="300" customFormat="1" ht="15.75" customHeight="1" thickTop="1">
      <c r="B103" s="309"/>
      <c r="C103" s="310"/>
      <c r="M103" s="346"/>
      <c r="R103" s="2"/>
      <c r="S103" s="2"/>
    </row>
    <row r="104" spans="1:20" s="300" customFormat="1" ht="15.75" customHeight="1">
      <c r="A104" s="663" t="s">
        <v>193</v>
      </c>
      <c r="B104" s="664"/>
      <c r="C104" s="315" t="s">
        <v>47</v>
      </c>
      <c r="D104" s="707" t="s">
        <v>12</v>
      </c>
      <c r="E104" s="708"/>
      <c r="F104" s="709"/>
      <c r="G104" s="710" t="s">
        <v>53</v>
      </c>
      <c r="H104" s="711"/>
      <c r="I104" s="712"/>
      <c r="J104" s="316" t="s">
        <v>54</v>
      </c>
      <c r="K104" s="287" t="s">
        <v>55</v>
      </c>
      <c r="L104" s="287" t="s">
        <v>56</v>
      </c>
      <c r="M104" s="347" t="s">
        <v>11</v>
      </c>
      <c r="N104" s="288" t="s">
        <v>340</v>
      </c>
      <c r="O104" s="671" t="s">
        <v>51</v>
      </c>
      <c r="P104" s="672"/>
      <c r="R104" s="2"/>
      <c r="S104" s="2"/>
    </row>
    <row r="105" spans="1:20" s="300" customFormat="1" ht="20.100000000000001" customHeight="1">
      <c r="A105" s="673">
        <v>7</v>
      </c>
      <c r="B105" s="715" t="s">
        <v>256</v>
      </c>
      <c r="C105" s="290">
        <v>1</v>
      </c>
      <c r="D105" s="291"/>
      <c r="E105" s="292"/>
      <c r="F105" s="293"/>
      <c r="G105" s="294"/>
      <c r="H105" s="295"/>
      <c r="I105" s="296"/>
      <c r="J105" s="297"/>
      <c r="K105" s="298"/>
      <c r="L105" s="299"/>
      <c r="M105" s="348">
        <f t="shared" ref="M105:M107" si="11">L105*J105</f>
        <v>0</v>
      </c>
      <c r="N105" s="299"/>
      <c r="O105" s="718"/>
      <c r="P105" s="719"/>
      <c r="R105" s="2"/>
      <c r="S105" s="2"/>
    </row>
    <row r="106" spans="1:20" s="300" customFormat="1" ht="20.100000000000001" customHeight="1">
      <c r="A106" s="674"/>
      <c r="B106" s="716"/>
      <c r="C106" s="290">
        <v>2</v>
      </c>
      <c r="D106" s="291"/>
      <c r="E106" s="292"/>
      <c r="F106" s="293"/>
      <c r="G106" s="294"/>
      <c r="H106" s="295"/>
      <c r="I106" s="296"/>
      <c r="J106" s="297"/>
      <c r="K106" s="298"/>
      <c r="L106" s="299"/>
      <c r="M106" s="348">
        <f t="shared" si="11"/>
        <v>0</v>
      </c>
      <c r="N106" s="299"/>
      <c r="O106" s="720"/>
      <c r="P106" s="721"/>
      <c r="R106" s="2"/>
      <c r="S106" s="2"/>
    </row>
    <row r="107" spans="1:20" s="300" customFormat="1" ht="20.100000000000001" customHeight="1">
      <c r="A107" s="674"/>
      <c r="B107" s="716"/>
      <c r="C107" s="290">
        <v>3</v>
      </c>
      <c r="D107" s="291"/>
      <c r="E107" s="292"/>
      <c r="F107" s="293"/>
      <c r="G107" s="294"/>
      <c r="H107" s="295"/>
      <c r="I107" s="296"/>
      <c r="J107" s="297"/>
      <c r="K107" s="298"/>
      <c r="L107" s="299"/>
      <c r="M107" s="348">
        <f t="shared" si="11"/>
        <v>0</v>
      </c>
      <c r="N107" s="299"/>
      <c r="O107" s="720"/>
      <c r="P107" s="721"/>
      <c r="R107" s="2"/>
      <c r="S107" s="2"/>
    </row>
    <row r="108" spans="1:20" s="300" customFormat="1" ht="20.100000000000001" customHeight="1">
      <c r="A108" s="674"/>
      <c r="B108" s="716"/>
      <c r="C108" s="290">
        <v>4</v>
      </c>
      <c r="D108" s="291"/>
      <c r="E108" s="292"/>
      <c r="F108" s="293"/>
      <c r="G108" s="294"/>
      <c r="H108" s="295"/>
      <c r="I108" s="296"/>
      <c r="J108" s="297"/>
      <c r="K108" s="298"/>
      <c r="L108" s="299"/>
      <c r="M108" s="349">
        <v>0</v>
      </c>
      <c r="N108" s="299"/>
      <c r="O108" s="311"/>
      <c r="P108" s="312"/>
      <c r="R108" s="2"/>
      <c r="S108" s="2"/>
    </row>
    <row r="109" spans="1:20" s="300" customFormat="1" ht="20.100000000000001" customHeight="1" thickBot="1">
      <c r="A109" s="674"/>
      <c r="B109" s="716"/>
      <c r="C109" s="290">
        <v>5</v>
      </c>
      <c r="D109" s="301"/>
      <c r="E109" s="302"/>
      <c r="F109" s="303"/>
      <c r="G109" s="294"/>
      <c r="H109" s="295"/>
      <c r="I109" s="296"/>
      <c r="J109" s="304"/>
      <c r="K109" s="305"/>
      <c r="L109" s="306"/>
      <c r="M109" s="350">
        <v>0</v>
      </c>
      <c r="N109" s="299"/>
      <c r="O109" s="313"/>
      <c r="P109" s="314"/>
      <c r="R109" s="2"/>
      <c r="S109" s="2"/>
    </row>
    <row r="110" spans="1:20" s="300" customFormat="1" ht="15.75" customHeight="1" thickTop="1" thickBot="1">
      <c r="A110" s="675"/>
      <c r="B110" s="717"/>
      <c r="C110" s="702"/>
      <c r="D110" s="703"/>
      <c r="E110" s="703"/>
      <c r="F110" s="703"/>
      <c r="G110" s="703"/>
      <c r="H110" s="703"/>
      <c r="I110" s="704"/>
      <c r="J110" s="307" t="s">
        <v>58</v>
      </c>
      <c r="K110" s="441">
        <f>M110/'生產管理報表 7-1 (週)'!$B$9</f>
        <v>0</v>
      </c>
      <c r="L110" s="308" t="s">
        <v>59</v>
      </c>
      <c r="M110" s="351">
        <f>SUM(M105:M109)</f>
        <v>0</v>
      </c>
      <c r="N110" s="690"/>
      <c r="O110" s="691"/>
      <c r="P110" s="692"/>
      <c r="R110" s="2"/>
      <c r="S110" s="2"/>
      <c r="T110" s="2"/>
    </row>
    <row r="111" spans="1:20" ht="15.75" customHeight="1" thickTop="1"/>
  </sheetData>
  <mergeCells count="187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</row>
    <row r="2" spans="1:75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</row>
    <row r="3" spans="1:75" ht="15.75" customHeight="1">
      <c r="A3" s="624" t="s">
        <v>476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75" s="13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</row>
    <row r="5" spans="1:75" ht="15.75" customHeight="1">
      <c r="A5" s="626" t="s">
        <v>193</v>
      </c>
      <c r="B5" s="636">
        <v>1</v>
      </c>
      <c r="C5" s="636"/>
      <c r="D5" s="636">
        <v>2</v>
      </c>
      <c r="E5" s="636"/>
      <c r="F5" s="636">
        <v>3</v>
      </c>
      <c r="G5" s="636"/>
      <c r="H5" s="629">
        <v>4</v>
      </c>
      <c r="I5" s="629"/>
      <c r="J5" s="629">
        <v>5</v>
      </c>
      <c r="K5" s="629"/>
      <c r="L5" s="629">
        <v>6</v>
      </c>
      <c r="M5" s="629"/>
      <c r="N5" s="629">
        <v>7</v>
      </c>
      <c r="O5" s="629"/>
      <c r="P5" s="629">
        <v>8</v>
      </c>
      <c r="Q5" s="629"/>
    </row>
    <row r="6" spans="1:75" ht="15.75" customHeight="1">
      <c r="A6" s="626"/>
      <c r="B6" s="637" t="s">
        <v>523</v>
      </c>
      <c r="C6" s="637"/>
      <c r="D6" s="637" t="s">
        <v>215</v>
      </c>
      <c r="E6" s="637"/>
      <c r="F6" s="637" t="s">
        <v>168</v>
      </c>
      <c r="G6" s="637"/>
      <c r="H6" s="626" t="s">
        <v>473</v>
      </c>
      <c r="I6" s="626"/>
      <c r="J6" s="626" t="s">
        <v>191</v>
      </c>
      <c r="K6" s="626"/>
      <c r="L6" s="626" t="s">
        <v>169</v>
      </c>
      <c r="M6" s="626"/>
      <c r="N6" s="626" t="s">
        <v>192</v>
      </c>
      <c r="O6" s="626"/>
      <c r="P6" s="722" t="s">
        <v>220</v>
      </c>
      <c r="Q6" s="722"/>
    </row>
    <row r="8" spans="1:75" s="246" customFormat="1" ht="15.75" customHeight="1">
      <c r="A8" s="661" t="s">
        <v>193</v>
      </c>
      <c r="B8" s="662"/>
      <c r="C8" s="245" t="s">
        <v>47</v>
      </c>
      <c r="D8" s="774" t="s">
        <v>12</v>
      </c>
      <c r="E8" s="650"/>
      <c r="F8" s="764"/>
      <c r="G8" s="775" t="s">
        <v>53</v>
      </c>
      <c r="H8" s="776"/>
      <c r="I8" s="777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778" t="s">
        <v>51</v>
      </c>
      <c r="P8" s="779"/>
    </row>
    <row r="9" spans="1:75" ht="20.100000000000001" customHeight="1">
      <c r="A9" s="765">
        <v>1</v>
      </c>
      <c r="B9" s="768" t="s">
        <v>524</v>
      </c>
      <c r="C9" s="247">
        <v>1</v>
      </c>
      <c r="D9" s="248"/>
      <c r="E9" s="249"/>
      <c r="F9" s="249"/>
      <c r="G9" s="248"/>
      <c r="H9" s="249"/>
      <c r="I9" s="250"/>
      <c r="J9" s="247"/>
      <c r="K9" s="253"/>
      <c r="L9" s="247"/>
      <c r="M9" s="339">
        <f>L9*J9</f>
        <v>0</v>
      </c>
      <c r="N9" s="254"/>
      <c r="O9" s="679"/>
      <c r="P9" s="680"/>
      <c r="S9" s="361"/>
      <c r="T9" s="360"/>
    </row>
    <row r="10" spans="1:75" ht="20.100000000000001" customHeight="1">
      <c r="A10" s="766"/>
      <c r="B10" s="769"/>
      <c r="C10" s="247">
        <v>2</v>
      </c>
      <c r="D10" s="248"/>
      <c r="E10" s="249"/>
      <c r="F10" s="250"/>
      <c r="G10" s="248"/>
      <c r="H10" s="249"/>
      <c r="I10" s="250"/>
      <c r="J10" s="247"/>
      <c r="K10" s="253"/>
      <c r="L10" s="247"/>
      <c r="M10" s="339">
        <f t="shared" ref="M10:M13" si="0">L10*J10</f>
        <v>0</v>
      </c>
      <c r="N10" s="254"/>
      <c r="O10" s="780"/>
      <c r="P10" s="736"/>
      <c r="S10" s="360"/>
      <c r="T10" s="360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0.100000000000001" customHeight="1">
      <c r="A11" s="766"/>
      <c r="B11" s="769"/>
      <c r="C11" s="247">
        <v>3</v>
      </c>
      <c r="D11" s="248"/>
      <c r="E11" s="249"/>
      <c r="F11" s="250"/>
      <c r="G11" s="248"/>
      <c r="H11" s="249"/>
      <c r="I11" s="250"/>
      <c r="J11" s="247"/>
      <c r="K11" s="253"/>
      <c r="L11" s="247"/>
      <c r="M11" s="339">
        <f t="shared" si="0"/>
        <v>0</v>
      </c>
      <c r="N11" s="254"/>
      <c r="O11" s="780"/>
      <c r="P11" s="736"/>
      <c r="S11" s="361"/>
      <c r="T11" s="360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0.100000000000001" customHeight="1">
      <c r="A12" s="766"/>
      <c r="B12" s="769"/>
      <c r="C12" s="247">
        <v>4</v>
      </c>
      <c r="D12" s="248"/>
      <c r="E12" s="249"/>
      <c r="F12" s="250"/>
      <c r="G12" s="248"/>
      <c r="H12" s="249"/>
      <c r="I12" s="250"/>
      <c r="J12" s="247"/>
      <c r="K12" s="253"/>
      <c r="L12" s="247"/>
      <c r="M12" s="339">
        <f t="shared" si="0"/>
        <v>0</v>
      </c>
      <c r="N12" s="254"/>
      <c r="O12" s="780"/>
      <c r="P12" s="736"/>
      <c r="S12" s="360"/>
      <c r="T12" s="360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0.100000000000001" customHeight="1" thickBot="1">
      <c r="A13" s="766"/>
      <c r="B13" s="769"/>
      <c r="C13" s="247">
        <v>5</v>
      </c>
      <c r="D13" s="255"/>
      <c r="E13" s="256"/>
      <c r="F13" s="257"/>
      <c r="G13" s="248"/>
      <c r="H13" s="249"/>
      <c r="I13" s="279"/>
      <c r="J13" s="258"/>
      <c r="K13" s="259"/>
      <c r="L13" s="258"/>
      <c r="M13" s="340">
        <f t="shared" si="0"/>
        <v>0</v>
      </c>
      <c r="N13" s="254"/>
      <c r="O13" s="780"/>
      <c r="P13" s="736"/>
      <c r="S13" s="361"/>
      <c r="T13" s="360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 thickBot="1">
      <c r="A14" s="767"/>
      <c r="B14" s="770"/>
      <c r="C14" s="639"/>
      <c r="D14" s="640"/>
      <c r="E14" s="640"/>
      <c r="F14" s="640"/>
      <c r="G14" s="640"/>
      <c r="H14" s="640"/>
      <c r="I14" s="773"/>
      <c r="J14" s="366" t="s">
        <v>58</v>
      </c>
      <c r="K14" s="367">
        <f>M14/'生產管理報表 7-1 (週)'!$B$21</f>
        <v>0</v>
      </c>
      <c r="L14" s="366" t="s">
        <v>59</v>
      </c>
      <c r="M14" s="341">
        <f>SUM(M9:M13)</f>
        <v>0</v>
      </c>
      <c r="N14" s="725"/>
      <c r="O14" s="726"/>
      <c r="P14" s="727"/>
      <c r="S14" s="360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 thickTop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S15" s="361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661" t="s">
        <v>193</v>
      </c>
      <c r="B16" s="662"/>
      <c r="C16" s="263" t="s">
        <v>47</v>
      </c>
      <c r="D16" s="649" t="s">
        <v>12</v>
      </c>
      <c r="E16" s="650"/>
      <c r="F16" s="651"/>
      <c r="G16" s="649" t="s">
        <v>53</v>
      </c>
      <c r="H16" s="650"/>
      <c r="I16" s="651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28" t="s">
        <v>51</v>
      </c>
      <c r="P16" s="729"/>
      <c r="S16" s="360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765">
        <v>2</v>
      </c>
      <c r="B17" s="768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0"/>
      <c r="P17" s="731"/>
      <c r="S17" s="361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766"/>
      <c r="B18" s="769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0"/>
      <c r="P18" s="731"/>
      <c r="S18" s="360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766"/>
      <c r="B19" s="769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30"/>
      <c r="P19" s="731"/>
      <c r="S19" s="361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766"/>
      <c r="B20" s="769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0"/>
      <c r="P20" s="731"/>
      <c r="S20" s="360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766"/>
      <c r="B21" s="769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30"/>
      <c r="P21" s="731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 thickBot="1">
      <c r="A22" s="767"/>
      <c r="B22" s="770"/>
      <c r="C22" s="639"/>
      <c r="D22" s="640"/>
      <c r="E22" s="640"/>
      <c r="F22" s="640"/>
      <c r="G22" s="640"/>
      <c r="H22" s="640"/>
      <c r="I22" s="773"/>
      <c r="J22" s="366" t="s">
        <v>58</v>
      </c>
      <c r="K22" s="367">
        <f>M22/'生產管理報表 7-1 (週)'!$B$21</f>
        <v>0</v>
      </c>
      <c r="L22" s="366" t="s">
        <v>59</v>
      </c>
      <c r="M22" s="261">
        <f>SUM(M17:M21)</f>
        <v>0</v>
      </c>
      <c r="N22" s="732"/>
      <c r="O22" s="733"/>
      <c r="P22" s="734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 thickTop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661" t="s">
        <v>193</v>
      </c>
      <c r="B24" s="662"/>
      <c r="C24" s="263" t="s">
        <v>47</v>
      </c>
      <c r="D24" s="649" t="s">
        <v>12</v>
      </c>
      <c r="E24" s="650"/>
      <c r="F24" s="651"/>
      <c r="G24" s="649" t="s">
        <v>53</v>
      </c>
      <c r="H24" s="650"/>
      <c r="I24" s="764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0" t="s">
        <v>51</v>
      </c>
      <c r="P24" s="741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0.100000000000001" customHeight="1">
      <c r="A25" s="765">
        <v>3</v>
      </c>
      <c r="B25" s="768" t="s">
        <v>457</v>
      </c>
      <c r="C25" s="267">
        <v>1</v>
      </c>
      <c r="D25" s="248"/>
      <c r="E25" s="249"/>
      <c r="F25" s="250"/>
      <c r="G25" s="248"/>
      <c r="H25" s="249"/>
      <c r="I25" s="250"/>
      <c r="J25" s="268"/>
      <c r="K25" s="269"/>
      <c r="L25" s="268"/>
      <c r="M25" s="342">
        <f t="shared" ref="M25:M29" si="2">L25*J25</f>
        <v>0</v>
      </c>
      <c r="N25" s="281"/>
      <c r="O25" s="735"/>
      <c r="P25" s="736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0.100000000000001" customHeight="1">
      <c r="A26" s="766"/>
      <c r="B26" s="769"/>
      <c r="C26" s="267">
        <v>2</v>
      </c>
      <c r="D26" s="248"/>
      <c r="E26" s="249"/>
      <c r="F26" s="250"/>
      <c r="G26" s="248"/>
      <c r="H26" s="249"/>
      <c r="I26" s="250"/>
      <c r="J26" s="268"/>
      <c r="K26" s="269"/>
      <c r="L26" s="268"/>
      <c r="M26" s="342">
        <f t="shared" si="2"/>
        <v>0</v>
      </c>
      <c r="N26" s="281"/>
      <c r="O26" s="735"/>
      <c r="P26" s="736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0.100000000000001" customHeight="1">
      <c r="A27" s="766"/>
      <c r="B27" s="769"/>
      <c r="C27" s="267">
        <v>3</v>
      </c>
      <c r="D27" s="248"/>
      <c r="E27" s="249"/>
      <c r="F27" s="250"/>
      <c r="G27" s="248"/>
      <c r="H27" s="249"/>
      <c r="I27" s="250"/>
      <c r="J27" s="268"/>
      <c r="K27" s="269"/>
      <c r="L27" s="268"/>
      <c r="M27" s="342">
        <f t="shared" si="2"/>
        <v>0</v>
      </c>
      <c r="N27" s="281"/>
      <c r="O27" s="735"/>
      <c r="P27" s="736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0.100000000000001" customHeight="1">
      <c r="A28" s="766"/>
      <c r="B28" s="769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35"/>
      <c r="P28" s="736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0.100000000000001" customHeight="1" thickBot="1">
      <c r="A29" s="766"/>
      <c r="B29" s="769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35"/>
      <c r="P29" s="736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 thickBot="1">
      <c r="A30" s="767"/>
      <c r="B30" s="770"/>
      <c r="C30" s="639"/>
      <c r="D30" s="640"/>
      <c r="E30" s="640"/>
      <c r="F30" s="640"/>
      <c r="G30" s="640"/>
      <c r="H30" s="640"/>
      <c r="I30" s="773"/>
      <c r="J30" s="368" t="s">
        <v>58</v>
      </c>
      <c r="K30" s="367">
        <f>M30/'生產管理報表 7-1 (週)'!$B$21</f>
        <v>0</v>
      </c>
      <c r="L30" s="368" t="s">
        <v>59</v>
      </c>
      <c r="M30" s="343">
        <f>SUM(M25:M29)</f>
        <v>0</v>
      </c>
      <c r="N30" s="737"/>
      <c r="O30" s="738"/>
      <c r="P30" s="739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43"/>
  <sheetViews>
    <sheetView view="pageBreakPreview" topLeftCell="A114" zoomScale="91" zoomScaleNormal="60" zoomScaleSheetLayoutView="91" workbookViewId="0">
      <selection activeCell="N126" sqref="N126:P126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23" t="s">
        <v>381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</row>
    <row r="2" spans="1:20" s="139" customFormat="1" ht="15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</row>
    <row r="3" spans="1:20" s="138" customFormat="1" ht="15.75" customHeight="1">
      <c r="A3" s="624" t="s">
        <v>558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20" s="139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</row>
    <row r="5" spans="1:20" s="138" customFormat="1" ht="15.75" customHeight="1">
      <c r="A5" s="659" t="s">
        <v>193</v>
      </c>
      <c r="B5" s="661">
        <v>1</v>
      </c>
      <c r="C5" s="662"/>
      <c r="D5" s="661">
        <v>2</v>
      </c>
      <c r="E5" s="662"/>
      <c r="F5" s="661">
        <v>3</v>
      </c>
      <c r="G5" s="662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344">
        <v>8</v>
      </c>
    </row>
    <row r="6" spans="1:20" s="138" customFormat="1" ht="15.75" customHeight="1">
      <c r="A6" s="660"/>
      <c r="B6" s="656" t="s">
        <v>523</v>
      </c>
      <c r="C6" s="657"/>
      <c r="D6" s="656" t="s">
        <v>215</v>
      </c>
      <c r="E6" s="657"/>
      <c r="F6" s="656" t="s">
        <v>168</v>
      </c>
      <c r="G6" s="657"/>
      <c r="H6" s="654" t="s">
        <v>473</v>
      </c>
      <c r="I6" s="655"/>
      <c r="J6" s="654" t="s">
        <v>191</v>
      </c>
      <c r="K6" s="655"/>
      <c r="L6" s="654" t="s">
        <v>169</v>
      </c>
      <c r="M6" s="655"/>
      <c r="N6" s="654" t="s">
        <v>192</v>
      </c>
      <c r="O6" s="65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3" t="s">
        <v>193</v>
      </c>
      <c r="B8" s="664"/>
      <c r="C8" s="286" t="s">
        <v>47</v>
      </c>
      <c r="D8" s="665" t="s">
        <v>12</v>
      </c>
      <c r="E8" s="666"/>
      <c r="F8" s="667"/>
      <c r="G8" s="668" t="s">
        <v>53</v>
      </c>
      <c r="H8" s="669"/>
      <c r="I8" s="670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1" t="s">
        <v>51</v>
      </c>
      <c r="P8" s="672"/>
      <c r="R8" s="360"/>
      <c r="S8" s="361"/>
    </row>
    <row r="9" spans="1:20" s="310" customFormat="1" ht="51.75" customHeight="1">
      <c r="A9" s="673">
        <v>4</v>
      </c>
      <c r="B9" s="676" t="s">
        <v>473</v>
      </c>
      <c r="C9" s="290">
        <v>1</v>
      </c>
      <c r="D9" s="248" t="s">
        <v>537</v>
      </c>
      <c r="E9" s="249"/>
      <c r="F9" s="250"/>
      <c r="G9" s="318" t="s">
        <v>540</v>
      </c>
      <c r="H9" s="317"/>
      <c r="I9" s="318"/>
      <c r="J9" s="328">
        <v>327.16000000000003</v>
      </c>
      <c r="K9" s="329">
        <v>4.0592403070261758E-4</v>
      </c>
      <c r="L9" s="330">
        <v>21.819999999999865</v>
      </c>
      <c r="M9" s="339">
        <f t="shared" ref="M9:M13" si="0">L9*J9</f>
        <v>7138.6311999999562</v>
      </c>
      <c r="N9" s="330"/>
      <c r="O9" s="681" t="s">
        <v>578</v>
      </c>
      <c r="P9" s="682"/>
      <c r="R9" s="362"/>
      <c r="S9" s="361"/>
    </row>
    <row r="10" spans="1:20" s="310" customFormat="1" ht="55.5" customHeight="1">
      <c r="A10" s="674"/>
      <c r="B10" s="677"/>
      <c r="C10" s="290">
        <v>2</v>
      </c>
      <c r="D10" s="248" t="s">
        <v>349</v>
      </c>
      <c r="E10" s="249"/>
      <c r="F10" s="250"/>
      <c r="G10" s="318" t="s">
        <v>406</v>
      </c>
      <c r="H10" s="317"/>
      <c r="I10" s="318"/>
      <c r="J10" s="328">
        <v>127.84000000000002</v>
      </c>
      <c r="K10" s="329">
        <v>1.1355774769783718E-3</v>
      </c>
      <c r="L10" s="330">
        <v>46.220000000000148</v>
      </c>
      <c r="M10" s="339">
        <f t="shared" si="0"/>
        <v>5908.7648000000199</v>
      </c>
      <c r="N10" s="330"/>
      <c r="O10" s="683" t="s">
        <v>579</v>
      </c>
      <c r="P10" s="684"/>
      <c r="R10" s="362"/>
      <c r="S10" s="360"/>
      <c r="T10" s="356"/>
    </row>
    <row r="11" spans="1:20" s="310" customFormat="1" ht="51" customHeight="1">
      <c r="A11" s="674"/>
      <c r="B11" s="677"/>
      <c r="C11" s="290">
        <v>3</v>
      </c>
      <c r="D11" s="248" t="s">
        <v>498</v>
      </c>
      <c r="E11" s="249"/>
      <c r="F11" s="250"/>
      <c r="G11" s="318" t="s">
        <v>501</v>
      </c>
      <c r="H11" s="317"/>
      <c r="I11" s="318"/>
      <c r="J11" s="328">
        <v>421.40999999999997</v>
      </c>
      <c r="K11" s="329">
        <v>1.0775862068965517E-3</v>
      </c>
      <c r="L11" s="330">
        <v>12.519999999999966</v>
      </c>
      <c r="M11" s="339">
        <f t="shared" si="0"/>
        <v>5276.0531999999848</v>
      </c>
      <c r="N11" s="330"/>
      <c r="O11" s="683" t="s">
        <v>578</v>
      </c>
      <c r="P11" s="684"/>
      <c r="R11" s="362"/>
      <c r="S11" s="361"/>
    </row>
    <row r="12" spans="1:20" s="310" customFormat="1" ht="60" customHeight="1">
      <c r="A12" s="674"/>
      <c r="B12" s="677"/>
      <c r="C12" s="290">
        <v>4</v>
      </c>
      <c r="D12" s="248" t="s">
        <v>378</v>
      </c>
      <c r="E12" s="249"/>
      <c r="F12" s="250"/>
      <c r="G12" s="318" t="s">
        <v>377</v>
      </c>
      <c r="H12" s="317"/>
      <c r="I12" s="318"/>
      <c r="J12" s="328">
        <v>426.69</v>
      </c>
      <c r="K12" s="329">
        <v>1.5006385696040864E-3</v>
      </c>
      <c r="L12" s="330">
        <v>10.529999999999914</v>
      </c>
      <c r="M12" s="339">
        <f t="shared" si="0"/>
        <v>4493.0456999999633</v>
      </c>
      <c r="N12" s="330"/>
      <c r="O12" s="681" t="s">
        <v>580</v>
      </c>
      <c r="P12" s="682"/>
      <c r="R12" s="362"/>
      <c r="S12" s="360"/>
      <c r="T12" s="356"/>
    </row>
    <row r="13" spans="1:20" s="310" customFormat="1" ht="60" customHeight="1" thickBot="1">
      <c r="A13" s="674"/>
      <c r="B13" s="677"/>
      <c r="C13" s="290">
        <v>5</v>
      </c>
      <c r="D13" s="248" t="s">
        <v>350</v>
      </c>
      <c r="E13" s="256"/>
      <c r="F13" s="257"/>
      <c r="G13" s="318" t="s">
        <v>468</v>
      </c>
      <c r="H13" s="317"/>
      <c r="I13" s="318"/>
      <c r="J13" s="332">
        <v>66.13</v>
      </c>
      <c r="K13" s="259">
        <v>2.3988821703700954E-3</v>
      </c>
      <c r="L13" s="334">
        <v>65.669999999999732</v>
      </c>
      <c r="M13" s="339">
        <f t="shared" si="0"/>
        <v>4342.7570999999816</v>
      </c>
      <c r="N13" s="330"/>
      <c r="O13" s="683" t="s">
        <v>582</v>
      </c>
      <c r="P13" s="684"/>
      <c r="R13" s="363"/>
      <c r="S13" s="361"/>
      <c r="T13" s="300"/>
    </row>
    <row r="14" spans="1:20" ht="15.75" customHeight="1" thickTop="1" thickBot="1">
      <c r="A14" s="675"/>
      <c r="B14" s="678"/>
      <c r="C14" s="687"/>
      <c r="D14" s="688"/>
      <c r="E14" s="688"/>
      <c r="F14" s="688"/>
      <c r="G14" s="688"/>
      <c r="H14" s="688"/>
      <c r="I14" s="689"/>
      <c r="J14" s="369" t="s">
        <v>58</v>
      </c>
      <c r="K14" s="367">
        <f>M14/'生產管理報表 7-1 (週)'!$B$21</f>
        <v>0.15864943182852168</v>
      </c>
      <c r="L14" s="370" t="s">
        <v>59</v>
      </c>
      <c r="M14" s="371">
        <f>SUM(M9:M13)</f>
        <v>27159.251999999902</v>
      </c>
      <c r="N14" s="690"/>
      <c r="O14" s="691"/>
      <c r="P14" s="692"/>
      <c r="R14" s="360"/>
      <c r="S14" s="360"/>
    </row>
    <row r="15" spans="1:20" ht="15.75" customHeight="1" thickTop="1">
      <c r="M15" s="346"/>
      <c r="S15" s="361"/>
    </row>
    <row r="16" spans="1:20" ht="15.75" customHeight="1">
      <c r="A16" s="663" t="s">
        <v>193</v>
      </c>
      <c r="B16" s="664"/>
      <c r="C16" s="286" t="s">
        <v>47</v>
      </c>
      <c r="D16" s="665" t="s">
        <v>12</v>
      </c>
      <c r="E16" s="666"/>
      <c r="F16" s="667"/>
      <c r="G16" s="668" t="s">
        <v>53</v>
      </c>
      <c r="H16" s="669"/>
      <c r="I16" s="670"/>
      <c r="J16" s="42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1" t="s">
        <v>51</v>
      </c>
      <c r="P16" s="672"/>
      <c r="S16" s="360"/>
      <c r="T16" s="356"/>
    </row>
    <row r="17" spans="1:20" s="310" customFormat="1" ht="35.25" customHeight="1">
      <c r="A17" s="673">
        <v>5</v>
      </c>
      <c r="B17" s="693" t="s">
        <v>218</v>
      </c>
      <c r="C17" s="290">
        <v>1</v>
      </c>
      <c r="D17" s="248" t="s">
        <v>349</v>
      </c>
      <c r="E17" s="249"/>
      <c r="F17" s="250"/>
      <c r="G17" s="318" t="s">
        <v>344</v>
      </c>
      <c r="H17" s="317"/>
      <c r="I17" s="318"/>
      <c r="J17" s="328">
        <v>147.43000000000004</v>
      </c>
      <c r="K17" s="329">
        <v>1.6076872836695462E-3</v>
      </c>
      <c r="L17" s="330">
        <v>64.610000000000056</v>
      </c>
      <c r="M17" s="339">
        <f>L17*J17</f>
        <v>9525.4523000000099</v>
      </c>
      <c r="N17" s="330"/>
      <c r="O17" s="748" t="s">
        <v>577</v>
      </c>
      <c r="P17" s="749"/>
      <c r="S17" s="361"/>
    </row>
    <row r="18" spans="1:20" s="310" customFormat="1" ht="24.95" customHeight="1">
      <c r="A18" s="674"/>
      <c r="B18" s="694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698"/>
      <c r="P18" s="699"/>
      <c r="S18" s="360"/>
      <c r="T18" s="357"/>
    </row>
    <row r="19" spans="1:20" ht="24.95" customHeight="1">
      <c r="A19" s="674"/>
      <c r="B19" s="694"/>
      <c r="C19" s="290">
        <v>3</v>
      </c>
      <c r="D19" s="248"/>
      <c r="E19" s="249"/>
      <c r="F19" s="250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20"/>
      <c r="P19" s="721"/>
    </row>
    <row r="20" spans="1:20" ht="24.95" customHeight="1">
      <c r="A20" s="674"/>
      <c r="B20" s="694"/>
      <c r="C20" s="290">
        <v>4</v>
      </c>
      <c r="D20" s="291"/>
      <c r="E20" s="292"/>
      <c r="F20" s="293"/>
      <c r="G20" s="377"/>
      <c r="H20" s="317"/>
      <c r="I20" s="318"/>
      <c r="J20" s="297"/>
      <c r="K20" s="298"/>
      <c r="L20" s="299"/>
      <c r="M20" s="339">
        <f t="shared" si="1"/>
        <v>0</v>
      </c>
      <c r="N20" s="299"/>
      <c r="O20" s="311"/>
      <c r="P20" s="312"/>
    </row>
    <row r="21" spans="1:20" ht="24.95" customHeight="1" thickBot="1">
      <c r="A21" s="674"/>
      <c r="B21" s="694"/>
      <c r="C21" s="290">
        <v>5</v>
      </c>
      <c r="D21" s="301"/>
      <c r="E21" s="302"/>
      <c r="F21" s="303"/>
      <c r="G21" s="377"/>
      <c r="H21" s="317"/>
      <c r="I21" s="318"/>
      <c r="J21" s="304"/>
      <c r="K21" s="259"/>
      <c r="L21" s="306"/>
      <c r="M21" s="339">
        <f t="shared" si="1"/>
        <v>0</v>
      </c>
      <c r="N21" s="299"/>
      <c r="O21" s="313"/>
      <c r="P21" s="314"/>
      <c r="R21" s="364"/>
    </row>
    <row r="22" spans="1:20" ht="15.75" customHeight="1" thickTop="1" thickBot="1">
      <c r="A22" s="675"/>
      <c r="B22" s="695"/>
      <c r="C22" s="702"/>
      <c r="D22" s="703"/>
      <c r="E22" s="703"/>
      <c r="F22" s="703"/>
      <c r="G22" s="703"/>
      <c r="H22" s="703"/>
      <c r="I22" s="704"/>
      <c r="J22" s="369" t="s">
        <v>58</v>
      </c>
      <c r="K22" s="367">
        <f>M22/'生產管理報表 7-1 (週)'!$B$21</f>
        <v>5.5642460083388599E-2</v>
      </c>
      <c r="L22" s="370" t="s">
        <v>59</v>
      </c>
      <c r="M22" s="371">
        <f>SUM(M17:M21)</f>
        <v>9525.4523000000099</v>
      </c>
      <c r="N22" s="690"/>
      <c r="O22" s="691"/>
      <c r="P22" s="692"/>
      <c r="R22" s="360"/>
    </row>
    <row r="23" spans="1:20" ht="24.95" customHeight="1" thickTop="1">
      <c r="K23" s="300" t="s">
        <v>535</v>
      </c>
      <c r="M23" s="346"/>
      <c r="R23" s="360"/>
    </row>
    <row r="24" spans="1:20" ht="24.95" customHeight="1">
      <c r="A24" s="663" t="s">
        <v>193</v>
      </c>
      <c r="B24" s="664"/>
      <c r="C24" s="315" t="s">
        <v>47</v>
      </c>
      <c r="D24" s="707" t="s">
        <v>12</v>
      </c>
      <c r="E24" s="708"/>
      <c r="F24" s="709"/>
      <c r="G24" s="710" t="s">
        <v>53</v>
      </c>
      <c r="H24" s="711"/>
      <c r="I24" s="712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1" t="s">
        <v>51</v>
      </c>
      <c r="P24" s="672"/>
      <c r="R24" s="360"/>
    </row>
    <row r="25" spans="1:20" ht="50.1" customHeight="1">
      <c r="A25" s="673">
        <v>6</v>
      </c>
      <c r="B25" s="693" t="s">
        <v>219</v>
      </c>
      <c r="C25" s="290">
        <v>1</v>
      </c>
      <c r="D25" s="365" t="s">
        <v>500</v>
      </c>
      <c r="E25" s="292"/>
      <c r="F25" s="293"/>
      <c r="G25" s="442" t="s">
        <v>503</v>
      </c>
      <c r="H25" s="252"/>
      <c r="I25" s="251"/>
      <c r="J25" s="328">
        <v>68.42</v>
      </c>
      <c r="K25" s="329">
        <v>7.4703420497813037E-3</v>
      </c>
      <c r="L25" s="330">
        <v>64.240000000000123</v>
      </c>
      <c r="M25" s="339">
        <f t="shared" ref="M25:M29" si="2">L25*J25</f>
        <v>4395.3008000000082</v>
      </c>
      <c r="N25" s="299"/>
      <c r="O25" s="685" t="s">
        <v>582</v>
      </c>
      <c r="P25" s="686"/>
    </row>
    <row r="26" spans="1:20" ht="50.1" customHeight="1">
      <c r="A26" s="674"/>
      <c r="B26" s="694"/>
      <c r="C26" s="290">
        <v>2</v>
      </c>
      <c r="D26" s="248" t="s">
        <v>353</v>
      </c>
      <c r="E26" s="292"/>
      <c r="F26" s="293"/>
      <c r="G26" s="442" t="s">
        <v>467</v>
      </c>
      <c r="H26" s="252"/>
      <c r="I26" s="251"/>
      <c r="J26" s="328">
        <v>108.26</v>
      </c>
      <c r="K26" s="329">
        <v>0</v>
      </c>
      <c r="L26" s="330">
        <v>38.220000000000141</v>
      </c>
      <c r="M26" s="339">
        <f t="shared" si="2"/>
        <v>4137.6972000000151</v>
      </c>
      <c r="N26" s="299"/>
      <c r="O26" s="685" t="s">
        <v>582</v>
      </c>
      <c r="P26" s="686"/>
    </row>
    <row r="27" spans="1:20" ht="50.1" customHeight="1">
      <c r="A27" s="674"/>
      <c r="B27" s="694"/>
      <c r="C27" s="290">
        <v>3</v>
      </c>
      <c r="D27" s="248" t="s">
        <v>506</v>
      </c>
      <c r="E27" s="292"/>
      <c r="F27" s="293"/>
      <c r="G27" s="442" t="s">
        <v>508</v>
      </c>
      <c r="H27" s="252"/>
      <c r="I27" s="251"/>
      <c r="J27" s="328">
        <v>71.69</v>
      </c>
      <c r="K27" s="329">
        <v>6.3997495349822292E-3</v>
      </c>
      <c r="L27" s="330">
        <v>36.990000000000052</v>
      </c>
      <c r="M27" s="339">
        <f t="shared" si="2"/>
        <v>2651.8131000000035</v>
      </c>
      <c r="N27" s="299"/>
      <c r="O27" s="685" t="s">
        <v>582</v>
      </c>
      <c r="P27" s="686"/>
    </row>
    <row r="28" spans="1:20" ht="66" customHeight="1">
      <c r="A28" s="674"/>
      <c r="B28" s="694"/>
      <c r="C28" s="290">
        <v>4</v>
      </c>
      <c r="D28" s="248" t="s">
        <v>351</v>
      </c>
      <c r="E28" s="292"/>
      <c r="F28" s="293"/>
      <c r="G28" s="442" t="s">
        <v>556</v>
      </c>
      <c r="H28" s="252"/>
      <c r="I28" s="251"/>
      <c r="J28" s="328">
        <v>605.77999999999986</v>
      </c>
      <c r="K28" s="329">
        <v>8.4403503199165046E-4</v>
      </c>
      <c r="L28" s="330">
        <v>4.3000000000000185</v>
      </c>
      <c r="M28" s="339">
        <f t="shared" si="2"/>
        <v>2604.8540000000107</v>
      </c>
      <c r="N28" s="299"/>
      <c r="O28" s="685" t="s">
        <v>583</v>
      </c>
      <c r="P28" s="686"/>
    </row>
    <row r="29" spans="1:20" ht="50.1" customHeight="1" thickBot="1">
      <c r="A29" s="674"/>
      <c r="B29" s="694"/>
      <c r="C29" s="290">
        <v>5</v>
      </c>
      <c r="D29" s="255"/>
      <c r="E29" s="302"/>
      <c r="F29" s="303"/>
      <c r="G29" s="377"/>
      <c r="H29" s="317"/>
      <c r="I29" s="318"/>
      <c r="J29" s="332"/>
      <c r="K29" s="259"/>
      <c r="L29" s="334"/>
      <c r="M29" s="339">
        <f t="shared" si="2"/>
        <v>0</v>
      </c>
      <c r="N29" s="299"/>
      <c r="O29" s="685"/>
      <c r="P29" s="686"/>
    </row>
    <row r="30" spans="1:20" ht="15.75" customHeight="1" thickTop="1" thickBot="1">
      <c r="A30" s="675"/>
      <c r="B30" s="695"/>
      <c r="C30" s="702"/>
      <c r="D30" s="703"/>
      <c r="E30" s="703"/>
      <c r="F30" s="703"/>
      <c r="G30" s="703"/>
      <c r="H30" s="703"/>
      <c r="I30" s="704"/>
      <c r="J30" s="369" t="s">
        <v>58</v>
      </c>
      <c r="K30" s="367">
        <f>M30/'生產管理報表 7-1 (週)'!$B$21</f>
        <v>8.0551648963697833E-2</v>
      </c>
      <c r="L30" s="370" t="s">
        <v>59</v>
      </c>
      <c r="M30" s="371">
        <f>SUM(M25:M29)</f>
        <v>13789.665100000037</v>
      </c>
      <c r="N30" s="690"/>
      <c r="O30" s="691"/>
      <c r="P30" s="692"/>
    </row>
    <row r="31" spans="1:20" s="138" customFormat="1" ht="15.75" customHeight="1" thickTop="1">
      <c r="A31" s="624" t="s">
        <v>593</v>
      </c>
      <c r="B31" s="624"/>
      <c r="C31" s="624"/>
      <c r="D31" s="624"/>
      <c r="E31" s="624"/>
      <c r="F31" s="624"/>
      <c r="G31" s="624"/>
      <c r="H31" s="624"/>
      <c r="I31" s="624"/>
      <c r="J31" s="624"/>
      <c r="K31" s="624"/>
      <c r="L31" s="624"/>
      <c r="M31" s="624"/>
    </row>
    <row r="32" spans="1:20" s="139" customFormat="1" ht="15.75" customHeight="1">
      <c r="A32" s="658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</row>
    <row r="33" spans="1:20" s="138" customFormat="1" ht="15.75" customHeight="1">
      <c r="A33" s="659" t="s">
        <v>193</v>
      </c>
      <c r="B33" s="661">
        <v>1</v>
      </c>
      <c r="C33" s="662"/>
      <c r="D33" s="661">
        <v>2</v>
      </c>
      <c r="E33" s="662"/>
      <c r="F33" s="661">
        <v>3</v>
      </c>
      <c r="G33" s="662"/>
      <c r="H33" s="652">
        <v>4</v>
      </c>
      <c r="I33" s="653"/>
      <c r="J33" s="652">
        <v>5</v>
      </c>
      <c r="K33" s="653"/>
      <c r="L33" s="652">
        <v>6</v>
      </c>
      <c r="M33" s="653"/>
      <c r="N33" s="652">
        <v>7</v>
      </c>
      <c r="O33" s="653"/>
      <c r="P33" s="344">
        <v>8</v>
      </c>
    </row>
    <row r="34" spans="1:20" s="138" customFormat="1" ht="15.75" customHeight="1">
      <c r="A34" s="660"/>
      <c r="B34" s="656" t="s">
        <v>523</v>
      </c>
      <c r="C34" s="657"/>
      <c r="D34" s="656" t="s">
        <v>215</v>
      </c>
      <c r="E34" s="657"/>
      <c r="F34" s="656" t="s">
        <v>168</v>
      </c>
      <c r="G34" s="657"/>
      <c r="H34" s="654" t="s">
        <v>473</v>
      </c>
      <c r="I34" s="655"/>
      <c r="J34" s="654" t="s">
        <v>191</v>
      </c>
      <c r="K34" s="655"/>
      <c r="L34" s="654" t="s">
        <v>169</v>
      </c>
      <c r="M34" s="655"/>
      <c r="N34" s="654" t="s">
        <v>192</v>
      </c>
      <c r="O34" s="655"/>
      <c r="P34" s="345" t="s">
        <v>220</v>
      </c>
    </row>
    <row r="35" spans="1:20" s="138" customFormat="1" ht="15.75" customHeight="1">
      <c r="B35" s="243"/>
      <c r="C35" s="244"/>
    </row>
    <row r="36" spans="1:20" s="289" customFormat="1" ht="15.75" customHeight="1">
      <c r="A36" s="663" t="s">
        <v>193</v>
      </c>
      <c r="B36" s="664"/>
      <c r="C36" s="286" t="s">
        <v>47</v>
      </c>
      <c r="D36" s="665" t="s">
        <v>12</v>
      </c>
      <c r="E36" s="666"/>
      <c r="F36" s="667"/>
      <c r="G36" s="668" t="s">
        <v>53</v>
      </c>
      <c r="H36" s="669"/>
      <c r="I36" s="670"/>
      <c r="J36" s="287" t="s">
        <v>54</v>
      </c>
      <c r="K36" s="287" t="s">
        <v>55</v>
      </c>
      <c r="L36" s="287" t="s">
        <v>56</v>
      </c>
      <c r="M36" s="288" t="s">
        <v>11</v>
      </c>
      <c r="N36" s="288" t="s">
        <v>340</v>
      </c>
      <c r="O36" s="671" t="s">
        <v>51</v>
      </c>
      <c r="P36" s="672"/>
      <c r="R36" s="360"/>
      <c r="S36" s="361"/>
    </row>
    <row r="37" spans="1:20" s="310" customFormat="1" ht="51.75" customHeight="1">
      <c r="A37" s="673">
        <v>4</v>
      </c>
      <c r="B37" s="676" t="s">
        <v>473</v>
      </c>
      <c r="C37" s="290">
        <v>1</v>
      </c>
      <c r="D37" s="248" t="s">
        <v>537</v>
      </c>
      <c r="E37" s="249"/>
      <c r="F37" s="250"/>
      <c r="G37" s="318" t="s">
        <v>540</v>
      </c>
      <c r="H37" s="317"/>
      <c r="I37" s="318"/>
      <c r="J37" s="328">
        <v>327.16000000000003</v>
      </c>
      <c r="K37" s="329">
        <v>0</v>
      </c>
      <c r="L37" s="330">
        <v>20.299999999999955</v>
      </c>
      <c r="M37" s="339">
        <f t="shared" ref="M37:M41" si="3">L37*J37</f>
        <v>6641.3479999999854</v>
      </c>
      <c r="N37" s="330"/>
      <c r="O37" s="681" t="s">
        <v>578</v>
      </c>
      <c r="P37" s="682"/>
      <c r="R37" s="362"/>
      <c r="S37" s="361"/>
    </row>
    <row r="38" spans="1:20" s="310" customFormat="1" ht="55.5" customHeight="1">
      <c r="A38" s="674"/>
      <c r="B38" s="677"/>
      <c r="C38" s="290">
        <v>2</v>
      </c>
      <c r="D38" s="248" t="s">
        <v>349</v>
      </c>
      <c r="E38" s="249"/>
      <c r="F38" s="250"/>
      <c r="G38" s="318" t="s">
        <v>406</v>
      </c>
      <c r="H38" s="317"/>
      <c r="I38" s="318"/>
      <c r="J38" s="328">
        <v>127.84000000000002</v>
      </c>
      <c r="K38" s="329">
        <v>5.0526566075869111E-4</v>
      </c>
      <c r="L38" s="330">
        <v>48.940000000000019</v>
      </c>
      <c r="M38" s="339">
        <f t="shared" si="3"/>
        <v>6256.4896000000035</v>
      </c>
      <c r="N38" s="330"/>
      <c r="O38" s="683" t="s">
        <v>579</v>
      </c>
      <c r="P38" s="684"/>
      <c r="R38" s="362"/>
      <c r="S38" s="360"/>
      <c r="T38" s="356"/>
    </row>
    <row r="39" spans="1:20" s="310" customFormat="1" ht="51" customHeight="1">
      <c r="A39" s="674"/>
      <c r="B39" s="677"/>
      <c r="C39" s="290">
        <v>3</v>
      </c>
      <c r="D39" s="248" t="s">
        <v>378</v>
      </c>
      <c r="E39" s="249"/>
      <c r="F39" s="250"/>
      <c r="G39" s="318" t="s">
        <v>377</v>
      </c>
      <c r="H39" s="317"/>
      <c r="I39" s="318"/>
      <c r="J39" s="328">
        <v>426.69</v>
      </c>
      <c r="K39" s="329">
        <v>6.2777594676459978E-4</v>
      </c>
      <c r="L39" s="330">
        <v>11.470000000000004</v>
      </c>
      <c r="M39" s="339">
        <f t="shared" si="3"/>
        <v>4894.1343000000015</v>
      </c>
      <c r="N39" s="330"/>
      <c r="O39" s="683" t="s">
        <v>580</v>
      </c>
      <c r="P39" s="684"/>
      <c r="R39" s="362"/>
      <c r="S39" s="361"/>
    </row>
    <row r="40" spans="1:20" s="310" customFormat="1" ht="60" customHeight="1">
      <c r="A40" s="674"/>
      <c r="B40" s="677"/>
      <c r="C40" s="290">
        <v>4</v>
      </c>
      <c r="D40" s="248" t="s">
        <v>364</v>
      </c>
      <c r="E40" s="249"/>
      <c r="F40" s="250"/>
      <c r="G40" s="377" t="s">
        <v>471</v>
      </c>
      <c r="H40" s="317"/>
      <c r="I40" s="318"/>
      <c r="J40" s="328">
        <v>99.51</v>
      </c>
      <c r="K40" s="329">
        <v>2.6964123524069023E-3</v>
      </c>
      <c r="L40" s="330">
        <v>42.159999999999989</v>
      </c>
      <c r="M40" s="339">
        <f t="shared" si="3"/>
        <v>4195.3415999999988</v>
      </c>
      <c r="N40" s="330"/>
      <c r="O40" s="681" t="s">
        <v>582</v>
      </c>
      <c r="P40" s="682"/>
      <c r="R40" s="362"/>
      <c r="S40" s="360"/>
      <c r="T40" s="356"/>
    </row>
    <row r="41" spans="1:20" s="310" customFormat="1" ht="60" customHeight="1" thickBot="1">
      <c r="A41" s="674"/>
      <c r="B41" s="677"/>
      <c r="C41" s="290">
        <v>5</v>
      </c>
      <c r="D41" s="248" t="s">
        <v>349</v>
      </c>
      <c r="E41" s="256"/>
      <c r="F41" s="257"/>
      <c r="G41" s="318" t="s">
        <v>469</v>
      </c>
      <c r="H41" s="317"/>
      <c r="I41" s="318"/>
      <c r="J41" s="332">
        <v>200</v>
      </c>
      <c r="K41" s="259">
        <v>0</v>
      </c>
      <c r="L41" s="334">
        <v>20.490000000000009</v>
      </c>
      <c r="M41" s="339">
        <f t="shared" si="3"/>
        <v>4098.0000000000018</v>
      </c>
      <c r="N41" s="330"/>
      <c r="O41" s="683" t="s">
        <v>601</v>
      </c>
      <c r="P41" s="684"/>
      <c r="R41" s="363"/>
      <c r="S41" s="361"/>
      <c r="T41" s="300"/>
    </row>
    <row r="42" spans="1:20" ht="15.75" customHeight="1" thickTop="1" thickBot="1">
      <c r="A42" s="675"/>
      <c r="B42" s="678"/>
      <c r="C42" s="687"/>
      <c r="D42" s="688"/>
      <c r="E42" s="688"/>
      <c r="F42" s="688"/>
      <c r="G42" s="688"/>
      <c r="H42" s="688"/>
      <c r="I42" s="689"/>
      <c r="J42" s="369" t="s">
        <v>58</v>
      </c>
      <c r="K42" s="367" t="e">
        <f>M42/'生產管理報表 7-1 (週)'!$B$32</f>
        <v>#DIV/0!</v>
      </c>
      <c r="L42" s="370" t="s">
        <v>59</v>
      </c>
      <c r="M42" s="371">
        <f>SUM(M37:M41)</f>
        <v>26085.313499999989</v>
      </c>
      <c r="N42" s="690"/>
      <c r="O42" s="691"/>
      <c r="P42" s="692"/>
      <c r="R42" s="360"/>
      <c r="S42" s="360"/>
    </row>
    <row r="43" spans="1:20" ht="15.75" customHeight="1" thickTop="1">
      <c r="M43" s="346"/>
      <c r="S43" s="361"/>
    </row>
    <row r="44" spans="1:20" ht="15.75" customHeight="1">
      <c r="A44" s="663" t="s">
        <v>193</v>
      </c>
      <c r="B44" s="664"/>
      <c r="C44" s="286" t="s">
        <v>47</v>
      </c>
      <c r="D44" s="665" t="s">
        <v>12</v>
      </c>
      <c r="E44" s="666"/>
      <c r="F44" s="667"/>
      <c r="G44" s="668" t="s">
        <v>53</v>
      </c>
      <c r="H44" s="669"/>
      <c r="I44" s="670"/>
      <c r="J44" s="427" t="s">
        <v>54</v>
      </c>
      <c r="K44" s="287" t="s">
        <v>55</v>
      </c>
      <c r="L44" s="287" t="s">
        <v>56</v>
      </c>
      <c r="M44" s="347" t="s">
        <v>11</v>
      </c>
      <c r="N44" s="288" t="s">
        <v>340</v>
      </c>
      <c r="O44" s="671" t="s">
        <v>51</v>
      </c>
      <c r="P44" s="672"/>
      <c r="S44" s="360"/>
      <c r="T44" s="356"/>
    </row>
    <row r="45" spans="1:20" s="310" customFormat="1" ht="35.25" customHeight="1">
      <c r="A45" s="673">
        <v>5</v>
      </c>
      <c r="B45" s="693" t="s">
        <v>218</v>
      </c>
      <c r="C45" s="290">
        <v>1</v>
      </c>
      <c r="D45" s="248" t="s">
        <v>349</v>
      </c>
      <c r="E45" s="249"/>
      <c r="F45" s="250"/>
      <c r="G45" s="318" t="s">
        <v>344</v>
      </c>
      <c r="H45" s="317"/>
      <c r="I45" s="318"/>
      <c r="J45" s="328">
        <v>147.43000000000004</v>
      </c>
      <c r="K45" s="329">
        <v>0</v>
      </c>
      <c r="L45" s="330">
        <v>66.320000000000618</v>
      </c>
      <c r="M45" s="339">
        <f>L45*J45</f>
        <v>9777.5576000000929</v>
      </c>
      <c r="N45" s="330"/>
      <c r="O45" s="748" t="s">
        <v>577</v>
      </c>
      <c r="P45" s="749"/>
      <c r="S45" s="361"/>
    </row>
    <row r="46" spans="1:20" s="310" customFormat="1" ht="24.95" customHeight="1">
      <c r="A46" s="674"/>
      <c r="B46" s="694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ref="M46:M49" si="4">L46*J46</f>
        <v>0</v>
      </c>
      <c r="N46" s="330"/>
      <c r="O46" s="698"/>
      <c r="P46" s="699"/>
      <c r="S46" s="360"/>
      <c r="T46" s="357"/>
    </row>
    <row r="47" spans="1:20" ht="24.95" customHeight="1">
      <c r="A47" s="674"/>
      <c r="B47" s="694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299"/>
      <c r="O47" s="720"/>
      <c r="P47" s="721"/>
    </row>
    <row r="48" spans="1:20" ht="24.95" customHeight="1">
      <c r="A48" s="674"/>
      <c r="B48" s="694"/>
      <c r="C48" s="290">
        <v>4</v>
      </c>
      <c r="D48" s="291"/>
      <c r="E48" s="292"/>
      <c r="F48" s="293"/>
      <c r="G48" s="377"/>
      <c r="H48" s="317"/>
      <c r="I48" s="318"/>
      <c r="J48" s="297"/>
      <c r="K48" s="298"/>
      <c r="L48" s="299"/>
      <c r="M48" s="339">
        <f t="shared" si="4"/>
        <v>0</v>
      </c>
      <c r="N48" s="299"/>
      <c r="O48" s="311"/>
      <c r="P48" s="312"/>
    </row>
    <row r="49" spans="1:19" ht="24.95" customHeight="1" thickBot="1">
      <c r="A49" s="674"/>
      <c r="B49" s="694"/>
      <c r="C49" s="290">
        <v>5</v>
      </c>
      <c r="D49" s="301"/>
      <c r="E49" s="302"/>
      <c r="F49" s="303"/>
      <c r="G49" s="377"/>
      <c r="H49" s="317"/>
      <c r="I49" s="318"/>
      <c r="J49" s="304"/>
      <c r="K49" s="259"/>
      <c r="L49" s="306"/>
      <c r="M49" s="339">
        <f t="shared" si="4"/>
        <v>0</v>
      </c>
      <c r="N49" s="299"/>
      <c r="O49" s="313"/>
      <c r="P49" s="314"/>
      <c r="R49" s="364"/>
    </row>
    <row r="50" spans="1:19" ht="15.75" customHeight="1" thickTop="1" thickBot="1">
      <c r="A50" s="675"/>
      <c r="B50" s="695"/>
      <c r="C50" s="702"/>
      <c r="D50" s="703"/>
      <c r="E50" s="703"/>
      <c r="F50" s="703"/>
      <c r="G50" s="703"/>
      <c r="H50" s="703"/>
      <c r="I50" s="704"/>
      <c r="J50" s="369" t="s">
        <v>58</v>
      </c>
      <c r="K50" s="367" t="e">
        <f>M50/'生產管理報表 7-1 (週)'!$B$32</f>
        <v>#DIV/0!</v>
      </c>
      <c r="L50" s="370" t="s">
        <v>59</v>
      </c>
      <c r="M50" s="371">
        <f>SUM(M45:M49)</f>
        <v>9777.5576000000929</v>
      </c>
      <c r="N50" s="690"/>
      <c r="O50" s="691"/>
      <c r="P50" s="692"/>
      <c r="R50" s="360"/>
    </row>
    <row r="51" spans="1:19" ht="24.95" customHeight="1" thickTop="1">
      <c r="K51" s="300" t="s">
        <v>535</v>
      </c>
      <c r="M51" s="346"/>
      <c r="R51" s="360"/>
    </row>
    <row r="52" spans="1:19" ht="24.95" customHeight="1">
      <c r="A52" s="663" t="s">
        <v>193</v>
      </c>
      <c r="B52" s="664"/>
      <c r="C52" s="315" t="s">
        <v>47</v>
      </c>
      <c r="D52" s="707" t="s">
        <v>12</v>
      </c>
      <c r="E52" s="708"/>
      <c r="F52" s="709"/>
      <c r="G52" s="710" t="s">
        <v>53</v>
      </c>
      <c r="H52" s="711"/>
      <c r="I52" s="712"/>
      <c r="J52" s="316" t="s">
        <v>54</v>
      </c>
      <c r="K52" s="287" t="s">
        <v>55</v>
      </c>
      <c r="L52" s="287" t="s">
        <v>56</v>
      </c>
      <c r="M52" s="347" t="s">
        <v>11</v>
      </c>
      <c r="N52" s="288" t="s">
        <v>340</v>
      </c>
      <c r="O52" s="671" t="s">
        <v>51</v>
      </c>
      <c r="P52" s="672"/>
      <c r="R52" s="360"/>
    </row>
    <row r="53" spans="1:19" ht="50.1" customHeight="1">
      <c r="A53" s="673">
        <v>6</v>
      </c>
      <c r="B53" s="693" t="s">
        <v>219</v>
      </c>
      <c r="C53" s="290">
        <v>1</v>
      </c>
      <c r="D53" s="365" t="s">
        <v>351</v>
      </c>
      <c r="E53" s="292"/>
      <c r="F53" s="293"/>
      <c r="G53" s="251" t="s">
        <v>556</v>
      </c>
      <c r="H53" s="252"/>
      <c r="I53" s="251"/>
      <c r="J53" s="328">
        <v>605.77999999999986</v>
      </c>
      <c r="K53" s="329">
        <v>0</v>
      </c>
      <c r="L53" s="330">
        <v>9.32000000000005</v>
      </c>
      <c r="M53" s="339">
        <f t="shared" ref="M53:M57" si="5">L53*J53</f>
        <v>5645.8696000000291</v>
      </c>
      <c r="N53" s="299"/>
      <c r="O53" s="685" t="s">
        <v>583</v>
      </c>
      <c r="P53" s="686"/>
    </row>
    <row r="54" spans="1:19" ht="50.1" customHeight="1">
      <c r="A54" s="674"/>
      <c r="B54" s="694"/>
      <c r="C54" s="290">
        <v>2</v>
      </c>
      <c r="D54" s="248" t="s">
        <v>591</v>
      </c>
      <c r="E54" s="292"/>
      <c r="F54" s="293"/>
      <c r="G54" s="251" t="s">
        <v>588</v>
      </c>
      <c r="H54" s="252"/>
      <c r="I54" s="251"/>
      <c r="J54" s="328">
        <v>407.74000000000007</v>
      </c>
      <c r="K54" s="329">
        <v>1.0911471593802286E-3</v>
      </c>
      <c r="L54" s="330">
        <v>12.850000000000183</v>
      </c>
      <c r="M54" s="339">
        <f t="shared" si="5"/>
        <v>5239.4590000000753</v>
      </c>
      <c r="N54" s="299"/>
      <c r="O54" s="685" t="s">
        <v>600</v>
      </c>
      <c r="P54" s="686"/>
    </row>
    <row r="55" spans="1:19" ht="50.1" customHeight="1">
      <c r="A55" s="674"/>
      <c r="B55" s="694"/>
      <c r="C55" s="290">
        <v>3</v>
      </c>
      <c r="D55" s="248"/>
      <c r="E55" s="292"/>
      <c r="F55" s="293"/>
      <c r="G55" s="442"/>
      <c r="H55" s="252"/>
      <c r="I55" s="251"/>
      <c r="J55" s="328"/>
      <c r="K55" s="329"/>
      <c r="L55" s="330"/>
      <c r="M55" s="339">
        <f t="shared" si="5"/>
        <v>0</v>
      </c>
      <c r="N55" s="299"/>
      <c r="O55" s="685"/>
      <c r="P55" s="686"/>
    </row>
    <row r="56" spans="1:19" ht="66" customHeight="1">
      <c r="A56" s="674"/>
      <c r="B56" s="694"/>
      <c r="C56" s="290">
        <v>4</v>
      </c>
      <c r="D56" s="248"/>
      <c r="E56" s="292"/>
      <c r="F56" s="293"/>
      <c r="G56" s="442"/>
      <c r="H56" s="252"/>
      <c r="I56" s="251"/>
      <c r="J56" s="328"/>
      <c r="K56" s="329"/>
      <c r="L56" s="330"/>
      <c r="M56" s="339">
        <f t="shared" si="5"/>
        <v>0</v>
      </c>
      <c r="N56" s="299"/>
      <c r="O56" s="685"/>
      <c r="P56" s="686"/>
    </row>
    <row r="57" spans="1:19" ht="50.1" customHeight="1" thickBot="1">
      <c r="A57" s="674"/>
      <c r="B57" s="694"/>
      <c r="C57" s="290">
        <v>5</v>
      </c>
      <c r="D57" s="255"/>
      <c r="E57" s="302"/>
      <c r="F57" s="303"/>
      <c r="G57" s="377"/>
      <c r="H57" s="317"/>
      <c r="I57" s="318"/>
      <c r="J57" s="332"/>
      <c r="K57" s="259"/>
      <c r="L57" s="334"/>
      <c r="M57" s="339">
        <f t="shared" si="5"/>
        <v>0</v>
      </c>
      <c r="N57" s="299"/>
      <c r="O57" s="685"/>
      <c r="P57" s="686"/>
    </row>
    <row r="58" spans="1:19" ht="15.75" customHeight="1" thickTop="1" thickBot="1">
      <c r="A58" s="675"/>
      <c r="B58" s="695"/>
      <c r="C58" s="702"/>
      <c r="D58" s="703"/>
      <c r="E58" s="703"/>
      <c r="F58" s="703"/>
      <c r="G58" s="703"/>
      <c r="H58" s="703"/>
      <c r="I58" s="704"/>
      <c r="J58" s="369" t="s">
        <v>58</v>
      </c>
      <c r="K58" s="367" t="e">
        <f>M58/'生產管理報表 7-1 (週)'!$B$32</f>
        <v>#DIV/0!</v>
      </c>
      <c r="L58" s="370" t="s">
        <v>59</v>
      </c>
      <c r="M58" s="371">
        <f>SUM(M53:M57)</f>
        <v>10885.328600000104</v>
      </c>
      <c r="N58" s="690"/>
      <c r="O58" s="691"/>
      <c r="P58" s="692"/>
    </row>
    <row r="59" spans="1:19" s="138" customFormat="1" ht="15.75" customHeight="1" thickTop="1">
      <c r="A59" s="624" t="s">
        <v>607</v>
      </c>
      <c r="B59" s="624"/>
      <c r="C59" s="624"/>
      <c r="D59" s="624"/>
      <c r="E59" s="624"/>
      <c r="F59" s="624"/>
      <c r="G59" s="624"/>
      <c r="H59" s="624"/>
      <c r="I59" s="624"/>
      <c r="J59" s="624"/>
      <c r="K59" s="624"/>
      <c r="L59" s="624"/>
      <c r="M59" s="624"/>
    </row>
    <row r="60" spans="1:19" s="139" customFormat="1" ht="15.75" customHeight="1">
      <c r="A60" s="658"/>
      <c r="B60" s="658"/>
      <c r="C60" s="658"/>
      <c r="D60" s="658"/>
      <c r="E60" s="658"/>
      <c r="F60" s="658"/>
      <c r="G60" s="658"/>
      <c r="H60" s="658"/>
      <c r="I60" s="658"/>
      <c r="J60" s="658"/>
      <c r="K60" s="658"/>
      <c r="L60" s="658"/>
      <c r="M60" s="658"/>
    </row>
    <row r="61" spans="1:19" s="138" customFormat="1" ht="15.75" customHeight="1">
      <c r="A61" s="659" t="s">
        <v>193</v>
      </c>
      <c r="B61" s="661">
        <v>1</v>
      </c>
      <c r="C61" s="662"/>
      <c r="D61" s="661">
        <v>2</v>
      </c>
      <c r="E61" s="662"/>
      <c r="F61" s="661">
        <v>3</v>
      </c>
      <c r="G61" s="662"/>
      <c r="H61" s="652">
        <v>4</v>
      </c>
      <c r="I61" s="653"/>
      <c r="J61" s="652">
        <v>5</v>
      </c>
      <c r="K61" s="653"/>
      <c r="L61" s="652">
        <v>6</v>
      </c>
      <c r="M61" s="653"/>
      <c r="N61" s="652">
        <v>7</v>
      </c>
      <c r="O61" s="653"/>
      <c r="P61" s="344">
        <v>8</v>
      </c>
    </row>
    <row r="62" spans="1:19" s="138" customFormat="1" ht="15.75" customHeight="1">
      <c r="A62" s="660"/>
      <c r="B62" s="656" t="s">
        <v>523</v>
      </c>
      <c r="C62" s="657"/>
      <c r="D62" s="656" t="s">
        <v>215</v>
      </c>
      <c r="E62" s="657"/>
      <c r="F62" s="656" t="s">
        <v>168</v>
      </c>
      <c r="G62" s="657"/>
      <c r="H62" s="654" t="s">
        <v>473</v>
      </c>
      <c r="I62" s="655"/>
      <c r="J62" s="654" t="s">
        <v>191</v>
      </c>
      <c r="K62" s="655"/>
      <c r="L62" s="654" t="s">
        <v>169</v>
      </c>
      <c r="M62" s="655"/>
      <c r="N62" s="654" t="s">
        <v>192</v>
      </c>
      <c r="O62" s="655"/>
      <c r="P62" s="345" t="s">
        <v>220</v>
      </c>
    </row>
    <row r="63" spans="1:19" s="138" customFormat="1" ht="15.75" customHeight="1">
      <c r="B63" s="243"/>
      <c r="C63" s="244"/>
    </row>
    <row r="64" spans="1:19" s="289" customFormat="1" ht="15.75" customHeight="1">
      <c r="A64" s="663" t="s">
        <v>193</v>
      </c>
      <c r="B64" s="664"/>
      <c r="C64" s="286" t="s">
        <v>47</v>
      </c>
      <c r="D64" s="665" t="s">
        <v>12</v>
      </c>
      <c r="E64" s="666"/>
      <c r="F64" s="667"/>
      <c r="G64" s="668" t="s">
        <v>53</v>
      </c>
      <c r="H64" s="669"/>
      <c r="I64" s="670"/>
      <c r="J64" s="287" t="s">
        <v>54</v>
      </c>
      <c r="K64" s="287" t="s">
        <v>55</v>
      </c>
      <c r="L64" s="287" t="s">
        <v>56</v>
      </c>
      <c r="M64" s="288" t="s">
        <v>11</v>
      </c>
      <c r="N64" s="288" t="s">
        <v>340</v>
      </c>
      <c r="O64" s="671" t="s">
        <v>51</v>
      </c>
      <c r="P64" s="672"/>
      <c r="R64" s="360"/>
      <c r="S64" s="361"/>
    </row>
    <row r="65" spans="1:20" s="310" customFormat="1" ht="51.75" customHeight="1">
      <c r="A65" s="673">
        <v>4</v>
      </c>
      <c r="B65" s="676" t="s">
        <v>473</v>
      </c>
      <c r="C65" s="290">
        <v>1</v>
      </c>
      <c r="D65" s="248" t="s">
        <v>349</v>
      </c>
      <c r="E65" s="249"/>
      <c r="F65" s="250"/>
      <c r="G65" s="318" t="s">
        <v>406</v>
      </c>
      <c r="H65" s="317"/>
      <c r="I65" s="318"/>
      <c r="J65" s="328">
        <v>127.84000000000002</v>
      </c>
      <c r="K65" s="329">
        <v>5.6715534246499534E-4</v>
      </c>
      <c r="L65" s="330">
        <v>76.759999999999948</v>
      </c>
      <c r="M65" s="339">
        <f t="shared" ref="M65:M69" si="6">L65*J65</f>
        <v>9812.9983999999949</v>
      </c>
      <c r="N65" s="330"/>
      <c r="O65" s="681" t="s">
        <v>579</v>
      </c>
      <c r="P65" s="682"/>
      <c r="R65" s="362"/>
      <c r="S65" s="361"/>
    </row>
    <row r="66" spans="1:20" s="310" customFormat="1" ht="55.5" customHeight="1">
      <c r="A66" s="674"/>
      <c r="B66" s="677"/>
      <c r="C66" s="290">
        <v>2</v>
      </c>
      <c r="D66" s="248" t="s">
        <v>537</v>
      </c>
      <c r="E66" s="249"/>
      <c r="F66" s="250"/>
      <c r="G66" s="318" t="s">
        <v>542</v>
      </c>
      <c r="H66" s="317"/>
      <c r="I66" s="318"/>
      <c r="J66" s="328">
        <v>144.78</v>
      </c>
      <c r="K66" s="329">
        <v>0</v>
      </c>
      <c r="L66" s="330">
        <v>67.020000000000209</v>
      </c>
      <c r="M66" s="339">
        <f t="shared" si="6"/>
        <v>9703.155600000031</v>
      </c>
      <c r="N66" s="330"/>
      <c r="O66" s="681" t="s">
        <v>579</v>
      </c>
      <c r="P66" s="682"/>
      <c r="R66" s="362"/>
      <c r="S66" s="360"/>
      <c r="T66" s="356"/>
    </row>
    <row r="67" spans="1:20" s="310" customFormat="1" ht="51" customHeight="1">
      <c r="A67" s="674"/>
      <c r="B67" s="677"/>
      <c r="C67" s="290">
        <v>3</v>
      </c>
      <c r="D67" s="248" t="s">
        <v>479</v>
      </c>
      <c r="E67" s="249"/>
      <c r="F67" s="250"/>
      <c r="G67" s="318" t="s">
        <v>478</v>
      </c>
      <c r="H67" s="317"/>
      <c r="I67" s="318"/>
      <c r="J67" s="328">
        <v>368.13999999999993</v>
      </c>
      <c r="K67" s="329">
        <v>2.2167007697554315E-3</v>
      </c>
      <c r="L67" s="330">
        <v>16.909999999999993</v>
      </c>
      <c r="M67" s="339">
        <f t="shared" si="6"/>
        <v>6225.2473999999966</v>
      </c>
      <c r="N67" s="330"/>
      <c r="O67" s="683" t="s">
        <v>613</v>
      </c>
      <c r="P67" s="684"/>
      <c r="R67" s="362"/>
      <c r="S67" s="361"/>
    </row>
    <row r="68" spans="1:20" s="310" customFormat="1" ht="60" customHeight="1">
      <c r="A68" s="674"/>
      <c r="B68" s="677"/>
      <c r="C68" s="290">
        <v>4</v>
      </c>
      <c r="D68" s="248" t="s">
        <v>479</v>
      </c>
      <c r="E68" s="249"/>
      <c r="F68" s="250"/>
      <c r="G68" s="318" t="s">
        <v>590</v>
      </c>
      <c r="H68" s="317"/>
      <c r="I68" s="318"/>
      <c r="J68" s="328">
        <v>160.49</v>
      </c>
      <c r="K68" s="329">
        <v>4.5169193079160931E-3</v>
      </c>
      <c r="L68" s="330">
        <v>30.030000000000019</v>
      </c>
      <c r="M68" s="339">
        <f t="shared" si="6"/>
        <v>4819.5147000000034</v>
      </c>
      <c r="N68" s="330"/>
      <c r="O68" s="681" t="s">
        <v>579</v>
      </c>
      <c r="P68" s="682"/>
      <c r="R68" s="362"/>
      <c r="S68" s="360"/>
      <c r="T68" s="356"/>
    </row>
    <row r="69" spans="1:20" s="310" customFormat="1" ht="60" customHeight="1" thickBot="1">
      <c r="A69" s="674"/>
      <c r="B69" s="677"/>
      <c r="C69" s="290">
        <v>5</v>
      </c>
      <c r="D69" s="248" t="s">
        <v>349</v>
      </c>
      <c r="E69" s="256"/>
      <c r="F69" s="257"/>
      <c r="G69" s="318" t="s">
        <v>469</v>
      </c>
      <c r="H69" s="317"/>
      <c r="I69" s="318"/>
      <c r="J69" s="332">
        <v>200</v>
      </c>
      <c r="K69" s="259">
        <v>1.2097122612978487E-3</v>
      </c>
      <c r="L69" s="334">
        <v>22.940000000000058</v>
      </c>
      <c r="M69" s="339">
        <f t="shared" si="6"/>
        <v>4588.0000000000118</v>
      </c>
      <c r="N69" s="330"/>
      <c r="O69" s="683" t="s">
        <v>615</v>
      </c>
      <c r="P69" s="684"/>
      <c r="R69" s="363"/>
      <c r="S69" s="361"/>
      <c r="T69" s="300"/>
    </row>
    <row r="70" spans="1:20" ht="15.75" customHeight="1" thickTop="1" thickBot="1">
      <c r="A70" s="675"/>
      <c r="B70" s="678"/>
      <c r="C70" s="687"/>
      <c r="D70" s="688"/>
      <c r="E70" s="688"/>
      <c r="F70" s="688"/>
      <c r="G70" s="688"/>
      <c r="H70" s="688"/>
      <c r="I70" s="689"/>
      <c r="J70" s="369" t="s">
        <v>58</v>
      </c>
      <c r="K70" s="367" t="e">
        <f>M70/'生產管理報表 7-1 (週)'!$B$43</f>
        <v>#DIV/0!</v>
      </c>
      <c r="L70" s="370" t="s">
        <v>59</v>
      </c>
      <c r="M70" s="371">
        <f>SUM(M65:M69)</f>
        <v>35148.916100000039</v>
      </c>
      <c r="N70" s="690"/>
      <c r="O70" s="691"/>
      <c r="P70" s="692"/>
      <c r="R70" s="360"/>
      <c r="S70" s="360"/>
    </row>
    <row r="71" spans="1:20" ht="15.75" customHeight="1" thickTop="1">
      <c r="M71" s="346"/>
      <c r="S71" s="361"/>
    </row>
    <row r="72" spans="1:20" ht="15.75" customHeight="1">
      <c r="A72" s="663" t="s">
        <v>193</v>
      </c>
      <c r="B72" s="664"/>
      <c r="C72" s="286" t="s">
        <v>47</v>
      </c>
      <c r="D72" s="665" t="s">
        <v>12</v>
      </c>
      <c r="E72" s="666"/>
      <c r="F72" s="667"/>
      <c r="G72" s="668" t="s">
        <v>53</v>
      </c>
      <c r="H72" s="669"/>
      <c r="I72" s="670"/>
      <c r="J72" s="427" t="s">
        <v>54</v>
      </c>
      <c r="K72" s="287" t="s">
        <v>55</v>
      </c>
      <c r="L72" s="287" t="s">
        <v>56</v>
      </c>
      <c r="M72" s="347" t="s">
        <v>11</v>
      </c>
      <c r="N72" s="288" t="s">
        <v>340</v>
      </c>
      <c r="O72" s="671" t="s">
        <v>51</v>
      </c>
      <c r="P72" s="672"/>
      <c r="S72" s="360"/>
      <c r="T72" s="356"/>
    </row>
    <row r="73" spans="1:20" s="310" customFormat="1" ht="35.25" customHeight="1">
      <c r="A73" s="673">
        <v>5</v>
      </c>
      <c r="B73" s="693" t="s">
        <v>218</v>
      </c>
      <c r="C73" s="290">
        <v>1</v>
      </c>
      <c r="D73" s="248" t="s">
        <v>349</v>
      </c>
      <c r="E73" s="249"/>
      <c r="F73" s="250"/>
      <c r="G73" s="318" t="s">
        <v>344</v>
      </c>
      <c r="H73" s="317"/>
      <c r="I73" s="318"/>
      <c r="J73" s="328">
        <v>147.43000000000004</v>
      </c>
      <c r="K73" s="329">
        <v>8.6148608961021656E-4</v>
      </c>
      <c r="L73" s="330">
        <v>68.769999999999257</v>
      </c>
      <c r="M73" s="339">
        <f>L73*J73</f>
        <v>10138.761099999892</v>
      </c>
      <c r="N73" s="330"/>
      <c r="O73" s="748" t="s">
        <v>577</v>
      </c>
      <c r="P73" s="749"/>
      <c r="S73" s="361"/>
    </row>
    <row r="74" spans="1:20" s="310" customFormat="1" ht="24.95" customHeight="1">
      <c r="A74" s="674"/>
      <c r="B74" s="694"/>
      <c r="C74" s="290">
        <v>2</v>
      </c>
      <c r="D74" s="248"/>
      <c r="E74" s="249"/>
      <c r="F74" s="250"/>
      <c r="G74" s="377"/>
      <c r="H74" s="317"/>
      <c r="I74" s="318"/>
      <c r="J74" s="328"/>
      <c r="K74" s="329"/>
      <c r="L74" s="330"/>
      <c r="M74" s="339">
        <f t="shared" ref="M74:M77" si="7">L74*J74</f>
        <v>0</v>
      </c>
      <c r="N74" s="330"/>
      <c r="O74" s="698"/>
      <c r="P74" s="699"/>
      <c r="S74" s="360"/>
      <c r="T74" s="357"/>
    </row>
    <row r="75" spans="1:20" ht="24.95" customHeight="1">
      <c r="A75" s="674"/>
      <c r="B75" s="694"/>
      <c r="C75" s="290">
        <v>3</v>
      </c>
      <c r="D75" s="248"/>
      <c r="E75" s="249"/>
      <c r="F75" s="250"/>
      <c r="G75" s="377"/>
      <c r="H75" s="317"/>
      <c r="I75" s="318"/>
      <c r="J75" s="328"/>
      <c r="K75" s="329"/>
      <c r="L75" s="330"/>
      <c r="M75" s="339">
        <f t="shared" si="7"/>
        <v>0</v>
      </c>
      <c r="N75" s="299"/>
      <c r="O75" s="720"/>
      <c r="P75" s="721"/>
    </row>
    <row r="76" spans="1:20" ht="24.95" customHeight="1">
      <c r="A76" s="674"/>
      <c r="B76" s="694"/>
      <c r="C76" s="290">
        <v>4</v>
      </c>
      <c r="D76" s="291"/>
      <c r="E76" s="292"/>
      <c r="F76" s="293"/>
      <c r="G76" s="377"/>
      <c r="H76" s="317"/>
      <c r="I76" s="318"/>
      <c r="J76" s="297"/>
      <c r="K76" s="298"/>
      <c r="L76" s="299"/>
      <c r="M76" s="339">
        <f t="shared" si="7"/>
        <v>0</v>
      </c>
      <c r="N76" s="299"/>
      <c r="O76" s="311"/>
      <c r="P76" s="312"/>
    </row>
    <row r="77" spans="1:20" ht="24.95" customHeight="1" thickBot="1">
      <c r="A77" s="674"/>
      <c r="B77" s="694"/>
      <c r="C77" s="290">
        <v>5</v>
      </c>
      <c r="D77" s="301"/>
      <c r="E77" s="302"/>
      <c r="F77" s="303"/>
      <c r="G77" s="377"/>
      <c r="H77" s="317"/>
      <c r="I77" s="318"/>
      <c r="J77" s="304"/>
      <c r="K77" s="259"/>
      <c r="L77" s="306"/>
      <c r="M77" s="339">
        <f t="shared" si="7"/>
        <v>0</v>
      </c>
      <c r="N77" s="299"/>
      <c r="O77" s="313"/>
      <c r="P77" s="314"/>
      <c r="R77" s="364"/>
    </row>
    <row r="78" spans="1:20" ht="15.75" customHeight="1" thickTop="1" thickBot="1">
      <c r="A78" s="675"/>
      <c r="B78" s="695"/>
      <c r="C78" s="702"/>
      <c r="D78" s="703"/>
      <c r="E78" s="703"/>
      <c r="F78" s="703"/>
      <c r="G78" s="703"/>
      <c r="H78" s="703"/>
      <c r="I78" s="704"/>
      <c r="J78" s="369" t="s">
        <v>58</v>
      </c>
      <c r="K78" s="367" t="e">
        <f>M78/'生產管理報表 7-1 (週)'!$B$43</f>
        <v>#DIV/0!</v>
      </c>
      <c r="L78" s="370" t="s">
        <v>59</v>
      </c>
      <c r="M78" s="371">
        <f>SUM(M73:M77)</f>
        <v>10138.761099999892</v>
      </c>
      <c r="N78" s="690"/>
      <c r="O78" s="691"/>
      <c r="P78" s="692"/>
      <c r="R78" s="360"/>
    </row>
    <row r="79" spans="1:20" ht="24.95" customHeight="1" thickTop="1">
      <c r="K79" s="300" t="s">
        <v>535</v>
      </c>
      <c r="M79" s="346"/>
      <c r="R79" s="360"/>
    </row>
    <row r="80" spans="1:20" ht="24.95" customHeight="1">
      <c r="A80" s="663" t="s">
        <v>193</v>
      </c>
      <c r="B80" s="664"/>
      <c r="C80" s="315" t="s">
        <v>47</v>
      </c>
      <c r="D80" s="707" t="s">
        <v>12</v>
      </c>
      <c r="E80" s="708"/>
      <c r="F80" s="709"/>
      <c r="G80" s="710" t="s">
        <v>53</v>
      </c>
      <c r="H80" s="711"/>
      <c r="I80" s="712"/>
      <c r="J80" s="316" t="s">
        <v>54</v>
      </c>
      <c r="K80" s="287" t="s">
        <v>55</v>
      </c>
      <c r="L80" s="287" t="s">
        <v>56</v>
      </c>
      <c r="M80" s="347" t="s">
        <v>11</v>
      </c>
      <c r="N80" s="288" t="s">
        <v>340</v>
      </c>
      <c r="O80" s="671" t="s">
        <v>51</v>
      </c>
      <c r="P80" s="672"/>
      <c r="R80" s="360"/>
    </row>
    <row r="81" spans="1:20" ht="50.1" customHeight="1">
      <c r="A81" s="673">
        <v>6</v>
      </c>
      <c r="B81" s="693" t="s">
        <v>219</v>
      </c>
      <c r="C81" s="290">
        <v>1</v>
      </c>
      <c r="D81" s="365" t="s">
        <v>537</v>
      </c>
      <c r="E81" s="292"/>
      <c r="F81" s="293"/>
      <c r="G81" s="251" t="s">
        <v>540</v>
      </c>
      <c r="H81" s="252"/>
      <c r="I81" s="251"/>
      <c r="J81" s="328">
        <v>327.16000000000003</v>
      </c>
      <c r="K81" s="329">
        <v>3.0695315627919393E-3</v>
      </c>
      <c r="L81" s="330">
        <v>15.850000000000055</v>
      </c>
      <c r="M81" s="339">
        <f t="shared" ref="M81:M85" si="8">L81*J81</f>
        <v>5185.4860000000181</v>
      </c>
      <c r="N81" s="299"/>
      <c r="O81" s="685" t="s">
        <v>600</v>
      </c>
      <c r="P81" s="686"/>
    </row>
    <row r="82" spans="1:20" ht="50.1" customHeight="1">
      <c r="A82" s="674"/>
      <c r="B82" s="694"/>
      <c r="C82" s="290">
        <v>2</v>
      </c>
      <c r="D82" s="248" t="s">
        <v>500</v>
      </c>
      <c r="E82" s="292"/>
      <c r="F82" s="293"/>
      <c r="G82" s="251" t="s">
        <v>503</v>
      </c>
      <c r="H82" s="252"/>
      <c r="I82" s="251"/>
      <c r="J82" s="328">
        <v>68.42</v>
      </c>
      <c r="K82" s="329">
        <v>1.6634992480403109E-3</v>
      </c>
      <c r="L82" s="330">
        <v>65.750000000000057</v>
      </c>
      <c r="M82" s="339">
        <f t="shared" si="8"/>
        <v>4498.6150000000043</v>
      </c>
      <c r="N82" s="299"/>
      <c r="O82" s="685" t="s">
        <v>582</v>
      </c>
      <c r="P82" s="686"/>
    </row>
    <row r="83" spans="1:20" ht="50.1" customHeight="1">
      <c r="A83" s="674"/>
      <c r="B83" s="694"/>
      <c r="C83" s="290">
        <v>3</v>
      </c>
      <c r="D83" s="248" t="s">
        <v>477</v>
      </c>
      <c r="E83" s="292"/>
      <c r="F83" s="293"/>
      <c r="G83" s="251" t="s">
        <v>604</v>
      </c>
      <c r="H83" s="252"/>
      <c r="I83" s="251"/>
      <c r="J83" s="328">
        <v>51.87</v>
      </c>
      <c r="K83" s="329">
        <v>2.2658004491498233E-3</v>
      </c>
      <c r="L83" s="330">
        <v>50.149999999999963</v>
      </c>
      <c r="M83" s="339">
        <f t="shared" si="8"/>
        <v>2601.280499999998</v>
      </c>
      <c r="N83" s="299"/>
      <c r="O83" s="685" t="s">
        <v>582</v>
      </c>
      <c r="P83" s="686"/>
    </row>
    <row r="84" spans="1:20" ht="66" customHeight="1">
      <c r="A84" s="674"/>
      <c r="B84" s="694"/>
      <c r="C84" s="290">
        <v>4</v>
      </c>
      <c r="D84" s="248" t="s">
        <v>351</v>
      </c>
      <c r="E84" s="292"/>
      <c r="F84" s="293"/>
      <c r="G84" s="251" t="s">
        <v>556</v>
      </c>
      <c r="H84" s="252"/>
      <c r="I84" s="251"/>
      <c r="J84" s="328">
        <v>605.77999999999986</v>
      </c>
      <c r="K84" s="329">
        <v>2.4775826416748465E-4</v>
      </c>
      <c r="L84" s="330">
        <v>4.1900000000000457</v>
      </c>
      <c r="M84" s="339">
        <f t="shared" si="8"/>
        <v>2538.2182000000271</v>
      </c>
      <c r="N84" s="299"/>
      <c r="O84" s="685" t="s">
        <v>583</v>
      </c>
      <c r="P84" s="686"/>
    </row>
    <row r="85" spans="1:20" ht="50.1" customHeight="1" thickBot="1">
      <c r="A85" s="674"/>
      <c r="B85" s="694"/>
      <c r="C85" s="290">
        <v>5</v>
      </c>
      <c r="D85" s="255" t="s">
        <v>349</v>
      </c>
      <c r="E85" s="302"/>
      <c r="F85" s="303"/>
      <c r="G85" s="318" t="s">
        <v>538</v>
      </c>
      <c r="H85" s="317"/>
      <c r="I85" s="318"/>
      <c r="J85" s="332">
        <v>3.2199999999999998</v>
      </c>
      <c r="K85" s="259">
        <v>0</v>
      </c>
      <c r="L85" s="334">
        <v>733</v>
      </c>
      <c r="M85" s="339">
        <f t="shared" si="8"/>
        <v>2360.2599999999998</v>
      </c>
      <c r="N85" s="299"/>
      <c r="O85" s="685" t="s">
        <v>600</v>
      </c>
      <c r="P85" s="686"/>
    </row>
    <row r="86" spans="1:20" ht="15.75" customHeight="1" thickTop="1" thickBot="1">
      <c r="A86" s="675"/>
      <c r="B86" s="695"/>
      <c r="C86" s="702"/>
      <c r="D86" s="703"/>
      <c r="E86" s="703"/>
      <c r="F86" s="703"/>
      <c r="G86" s="703"/>
      <c r="H86" s="703"/>
      <c r="I86" s="704"/>
      <c r="J86" s="369" t="s">
        <v>58</v>
      </c>
      <c r="K86" s="367" t="e">
        <f>M86/'生產管理報表 7-1 (週)'!$B$43</f>
        <v>#DIV/0!</v>
      </c>
      <c r="L86" s="370" t="s">
        <v>59</v>
      </c>
      <c r="M86" s="371">
        <f>SUM(M81:M85)</f>
        <v>17183.859700000048</v>
      </c>
      <c r="N86" s="690"/>
      <c r="O86" s="691"/>
      <c r="P86" s="692"/>
    </row>
    <row r="87" spans="1:20" s="138" customFormat="1" ht="15.75" customHeight="1" thickTop="1">
      <c r="A87" s="624" t="s">
        <v>629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</row>
    <row r="88" spans="1:20" s="139" customFormat="1" ht="15.75" customHeight="1">
      <c r="A88" s="658"/>
      <c r="B88" s="658"/>
      <c r="C88" s="658"/>
      <c r="D88" s="658"/>
      <c r="E88" s="658"/>
      <c r="F88" s="658"/>
      <c r="G88" s="658"/>
      <c r="H88" s="658"/>
      <c r="I88" s="658"/>
      <c r="J88" s="658"/>
      <c r="K88" s="658"/>
      <c r="L88" s="658"/>
      <c r="M88" s="658"/>
    </row>
    <row r="89" spans="1:20" s="138" customFormat="1" ht="15.75" customHeight="1">
      <c r="A89" s="659" t="s">
        <v>193</v>
      </c>
      <c r="B89" s="661">
        <v>1</v>
      </c>
      <c r="C89" s="662"/>
      <c r="D89" s="661">
        <v>2</v>
      </c>
      <c r="E89" s="662"/>
      <c r="F89" s="661">
        <v>3</v>
      </c>
      <c r="G89" s="662"/>
      <c r="H89" s="652">
        <v>4</v>
      </c>
      <c r="I89" s="653"/>
      <c r="J89" s="652">
        <v>5</v>
      </c>
      <c r="K89" s="653"/>
      <c r="L89" s="652">
        <v>6</v>
      </c>
      <c r="M89" s="653"/>
      <c r="N89" s="652">
        <v>7</v>
      </c>
      <c r="O89" s="653"/>
      <c r="P89" s="344">
        <v>8</v>
      </c>
    </row>
    <row r="90" spans="1:20" s="138" customFormat="1" ht="15.75" customHeight="1">
      <c r="A90" s="660"/>
      <c r="B90" s="656" t="s">
        <v>523</v>
      </c>
      <c r="C90" s="657"/>
      <c r="D90" s="656" t="s">
        <v>215</v>
      </c>
      <c r="E90" s="657"/>
      <c r="F90" s="656" t="s">
        <v>168</v>
      </c>
      <c r="G90" s="657"/>
      <c r="H90" s="654" t="s">
        <v>473</v>
      </c>
      <c r="I90" s="655"/>
      <c r="J90" s="654" t="s">
        <v>191</v>
      </c>
      <c r="K90" s="655"/>
      <c r="L90" s="654" t="s">
        <v>169</v>
      </c>
      <c r="M90" s="655"/>
      <c r="N90" s="654" t="s">
        <v>192</v>
      </c>
      <c r="O90" s="655"/>
      <c r="P90" s="345" t="s">
        <v>220</v>
      </c>
    </row>
    <row r="91" spans="1:20" s="138" customFormat="1" ht="15.75" customHeight="1">
      <c r="B91" s="243"/>
      <c r="C91" s="244"/>
    </row>
    <row r="92" spans="1:20" s="289" customFormat="1" ht="15.75" customHeight="1">
      <c r="A92" s="663" t="s">
        <v>193</v>
      </c>
      <c r="B92" s="664"/>
      <c r="C92" s="286" t="s">
        <v>47</v>
      </c>
      <c r="D92" s="665" t="s">
        <v>12</v>
      </c>
      <c r="E92" s="666"/>
      <c r="F92" s="667"/>
      <c r="G92" s="668" t="s">
        <v>53</v>
      </c>
      <c r="H92" s="669"/>
      <c r="I92" s="670"/>
      <c r="J92" s="287" t="s">
        <v>54</v>
      </c>
      <c r="K92" s="287" t="s">
        <v>55</v>
      </c>
      <c r="L92" s="287" t="s">
        <v>56</v>
      </c>
      <c r="M92" s="288" t="s">
        <v>11</v>
      </c>
      <c r="N92" s="288" t="s">
        <v>340</v>
      </c>
      <c r="O92" s="671" t="s">
        <v>51</v>
      </c>
      <c r="P92" s="672"/>
      <c r="R92" s="360"/>
      <c r="S92" s="361"/>
    </row>
    <row r="93" spans="1:20" s="310" customFormat="1" ht="57.95" customHeight="1">
      <c r="A93" s="673">
        <v>4</v>
      </c>
      <c r="B93" s="676" t="s">
        <v>473</v>
      </c>
      <c r="C93" s="290">
        <v>1</v>
      </c>
      <c r="D93" s="248" t="s">
        <v>349</v>
      </c>
      <c r="E93" s="249"/>
      <c r="F93" s="250"/>
      <c r="G93" s="318" t="s">
        <v>406</v>
      </c>
      <c r="H93" s="317"/>
      <c r="I93" s="318"/>
      <c r="J93" s="328">
        <v>127.84000000000002</v>
      </c>
      <c r="K93" s="329">
        <v>7.6757121278992944E-4</v>
      </c>
      <c r="L93" s="330">
        <v>71.549999999999912</v>
      </c>
      <c r="M93" s="339">
        <f t="shared" ref="M93:M97" si="9">L93*J93</f>
        <v>9146.9519999999902</v>
      </c>
      <c r="N93" s="330"/>
      <c r="O93" s="681" t="s">
        <v>645</v>
      </c>
      <c r="P93" s="682"/>
      <c r="R93" s="362"/>
      <c r="S93" s="361"/>
    </row>
    <row r="94" spans="1:20" s="310" customFormat="1" ht="57.95" customHeight="1">
      <c r="A94" s="674"/>
      <c r="B94" s="677"/>
      <c r="C94" s="290">
        <v>2</v>
      </c>
      <c r="D94" s="248" t="s">
        <v>537</v>
      </c>
      <c r="E94" s="249"/>
      <c r="F94" s="250"/>
      <c r="G94" s="318" t="s">
        <v>542</v>
      </c>
      <c r="H94" s="317"/>
      <c r="I94" s="318"/>
      <c r="J94" s="328">
        <v>144.78</v>
      </c>
      <c r="K94" s="329">
        <v>0</v>
      </c>
      <c r="L94" s="330">
        <v>39.149999999999864</v>
      </c>
      <c r="M94" s="339">
        <f t="shared" si="9"/>
        <v>5668.1369999999806</v>
      </c>
      <c r="N94" s="330"/>
      <c r="O94" s="681" t="s">
        <v>646</v>
      </c>
      <c r="P94" s="682"/>
      <c r="R94" s="362"/>
      <c r="S94" s="360"/>
      <c r="T94" s="356"/>
    </row>
    <row r="95" spans="1:20" s="310" customFormat="1" ht="57.95" customHeight="1">
      <c r="A95" s="674"/>
      <c r="B95" s="677"/>
      <c r="C95" s="290">
        <v>3</v>
      </c>
      <c r="D95" s="248" t="s">
        <v>618</v>
      </c>
      <c r="E95" s="249"/>
      <c r="F95" s="250"/>
      <c r="G95" s="318" t="s">
        <v>626</v>
      </c>
      <c r="H95" s="317"/>
      <c r="I95" s="318"/>
      <c r="J95" s="328">
        <v>169.95000000000002</v>
      </c>
      <c r="K95" s="329">
        <v>0</v>
      </c>
      <c r="L95" s="330">
        <v>26.729999999999905</v>
      </c>
      <c r="M95" s="339">
        <f t="shared" si="9"/>
        <v>4542.7634999999846</v>
      </c>
      <c r="N95" s="330"/>
      <c r="O95" s="683" t="s">
        <v>648</v>
      </c>
      <c r="P95" s="684"/>
      <c r="R95" s="362"/>
      <c r="S95" s="361"/>
    </row>
    <row r="96" spans="1:20" s="310" customFormat="1" ht="57.95" customHeight="1">
      <c r="A96" s="674"/>
      <c r="B96" s="677"/>
      <c r="C96" s="290">
        <v>4</v>
      </c>
      <c r="D96" s="248" t="s">
        <v>479</v>
      </c>
      <c r="E96" s="249"/>
      <c r="F96" s="250"/>
      <c r="G96" s="318" t="s">
        <v>590</v>
      </c>
      <c r="H96" s="317"/>
      <c r="I96" s="318"/>
      <c r="J96" s="328">
        <v>160.49</v>
      </c>
      <c r="K96" s="329">
        <v>3.0473110589405933E-3</v>
      </c>
      <c r="L96" s="330">
        <v>27.770000000000017</v>
      </c>
      <c r="M96" s="339">
        <f t="shared" si="9"/>
        <v>4456.8073000000031</v>
      </c>
      <c r="N96" s="330"/>
      <c r="O96" s="681" t="s">
        <v>645</v>
      </c>
      <c r="P96" s="682"/>
      <c r="R96" s="362"/>
      <c r="S96" s="360"/>
      <c r="T96" s="356"/>
    </row>
    <row r="97" spans="1:20" s="310" customFormat="1" ht="57.95" customHeight="1" thickBot="1">
      <c r="A97" s="674"/>
      <c r="B97" s="677"/>
      <c r="C97" s="290">
        <v>5</v>
      </c>
      <c r="D97" s="248" t="s">
        <v>364</v>
      </c>
      <c r="E97" s="256"/>
      <c r="F97" s="257"/>
      <c r="G97" s="377" t="s">
        <v>471</v>
      </c>
      <c r="H97" s="317"/>
      <c r="I97" s="318"/>
      <c r="J97" s="332">
        <v>99.51</v>
      </c>
      <c r="K97" s="259">
        <v>4.0301919514406205E-3</v>
      </c>
      <c r="L97" s="334">
        <v>42.620000000000033</v>
      </c>
      <c r="M97" s="339">
        <f t="shared" si="9"/>
        <v>4241.1162000000031</v>
      </c>
      <c r="N97" s="330"/>
      <c r="O97" s="683" t="s">
        <v>582</v>
      </c>
      <c r="P97" s="684"/>
      <c r="R97" s="363"/>
      <c r="S97" s="361"/>
      <c r="T97" s="300"/>
    </row>
    <row r="98" spans="1:20" ht="15.75" customHeight="1" thickTop="1" thickBot="1">
      <c r="A98" s="675"/>
      <c r="B98" s="678"/>
      <c r="C98" s="687"/>
      <c r="D98" s="688"/>
      <c r="E98" s="688"/>
      <c r="F98" s="688"/>
      <c r="G98" s="688"/>
      <c r="H98" s="688"/>
      <c r="I98" s="689"/>
      <c r="J98" s="369" t="s">
        <v>58</v>
      </c>
      <c r="K98" s="367" t="e">
        <f>M98/'生產管理報表 7-1 (週)'!$B$54</f>
        <v>#DIV/0!</v>
      </c>
      <c r="L98" s="370" t="s">
        <v>59</v>
      </c>
      <c r="M98" s="371">
        <f>SUM(M93:M97)</f>
        <v>28055.775999999965</v>
      </c>
      <c r="N98" s="690"/>
      <c r="O98" s="691"/>
      <c r="P98" s="692"/>
      <c r="R98" s="360"/>
      <c r="S98" s="360"/>
    </row>
    <row r="99" spans="1:20" ht="15.75" customHeight="1" thickTop="1">
      <c r="M99" s="346"/>
      <c r="S99" s="361"/>
    </row>
    <row r="100" spans="1:20" ht="15.75" customHeight="1">
      <c r="A100" s="663" t="s">
        <v>193</v>
      </c>
      <c r="B100" s="664"/>
      <c r="C100" s="286" t="s">
        <v>47</v>
      </c>
      <c r="D100" s="665" t="s">
        <v>12</v>
      </c>
      <c r="E100" s="666"/>
      <c r="F100" s="667"/>
      <c r="G100" s="668" t="s">
        <v>53</v>
      </c>
      <c r="H100" s="669"/>
      <c r="I100" s="670"/>
      <c r="J100" s="427" t="s">
        <v>54</v>
      </c>
      <c r="K100" s="287" t="s">
        <v>55</v>
      </c>
      <c r="L100" s="287" t="s">
        <v>56</v>
      </c>
      <c r="M100" s="347" t="s">
        <v>11</v>
      </c>
      <c r="N100" s="288" t="s">
        <v>340</v>
      </c>
      <c r="O100" s="671" t="s">
        <v>51</v>
      </c>
      <c r="P100" s="672"/>
      <c r="S100" s="360"/>
      <c r="T100" s="356"/>
    </row>
    <row r="101" spans="1:20" s="310" customFormat="1" ht="35.25" customHeight="1">
      <c r="A101" s="673">
        <v>5</v>
      </c>
      <c r="B101" s="693" t="s">
        <v>218</v>
      </c>
      <c r="C101" s="290">
        <v>1</v>
      </c>
      <c r="D101" s="248" t="s">
        <v>349</v>
      </c>
      <c r="E101" s="249"/>
      <c r="F101" s="250"/>
      <c r="G101" s="318" t="s">
        <v>344</v>
      </c>
      <c r="H101" s="317"/>
      <c r="I101" s="318"/>
      <c r="J101" s="328">
        <v>147.43000000000004</v>
      </c>
      <c r="K101" s="329">
        <v>6.1400742972696806E-4</v>
      </c>
      <c r="L101" s="330">
        <v>116.63999999999865</v>
      </c>
      <c r="M101" s="339">
        <f>L101*J101</f>
        <v>17196.235199999806</v>
      </c>
      <c r="N101" s="330"/>
      <c r="O101" s="748" t="s">
        <v>643</v>
      </c>
      <c r="P101" s="749"/>
      <c r="S101" s="361"/>
    </row>
    <row r="102" spans="1:20" s="310" customFormat="1" ht="24.95" customHeight="1">
      <c r="A102" s="674"/>
      <c r="B102" s="694"/>
      <c r="C102" s="290">
        <v>2</v>
      </c>
      <c r="D102" s="248"/>
      <c r="E102" s="249"/>
      <c r="F102" s="250"/>
      <c r="G102" s="377"/>
      <c r="H102" s="317"/>
      <c r="I102" s="318"/>
      <c r="J102" s="328"/>
      <c r="K102" s="329"/>
      <c r="L102" s="330"/>
      <c r="M102" s="339">
        <f t="shared" ref="M102:M105" si="10">L102*J102</f>
        <v>0</v>
      </c>
      <c r="N102" s="330"/>
      <c r="O102" s="698"/>
      <c r="P102" s="699"/>
      <c r="S102" s="360"/>
      <c r="T102" s="357"/>
    </row>
    <row r="103" spans="1:20" ht="24.95" customHeight="1">
      <c r="A103" s="674"/>
      <c r="B103" s="694"/>
      <c r="C103" s="290">
        <v>3</v>
      </c>
      <c r="D103" s="248"/>
      <c r="E103" s="249"/>
      <c r="F103" s="250"/>
      <c r="G103" s="377"/>
      <c r="H103" s="317"/>
      <c r="I103" s="318"/>
      <c r="J103" s="328"/>
      <c r="K103" s="329"/>
      <c r="L103" s="330"/>
      <c r="M103" s="339">
        <f t="shared" si="10"/>
        <v>0</v>
      </c>
      <c r="N103" s="299"/>
      <c r="O103" s="720"/>
      <c r="P103" s="721"/>
    </row>
    <row r="104" spans="1:20" ht="24.95" customHeight="1">
      <c r="A104" s="674"/>
      <c r="B104" s="694"/>
      <c r="C104" s="290">
        <v>4</v>
      </c>
      <c r="D104" s="291"/>
      <c r="E104" s="292"/>
      <c r="F104" s="293"/>
      <c r="G104" s="377"/>
      <c r="H104" s="317"/>
      <c r="I104" s="318"/>
      <c r="J104" s="297"/>
      <c r="K104" s="298"/>
      <c r="L104" s="299"/>
      <c r="M104" s="339">
        <f t="shared" si="10"/>
        <v>0</v>
      </c>
      <c r="N104" s="299"/>
      <c r="O104" s="311"/>
      <c r="P104" s="312"/>
    </row>
    <row r="105" spans="1:20" ht="24.95" customHeight="1" thickBot="1">
      <c r="A105" s="674"/>
      <c r="B105" s="694"/>
      <c r="C105" s="290">
        <v>5</v>
      </c>
      <c r="D105" s="301"/>
      <c r="E105" s="302"/>
      <c r="F105" s="303"/>
      <c r="G105" s="377"/>
      <c r="H105" s="317"/>
      <c r="I105" s="318"/>
      <c r="J105" s="304"/>
      <c r="K105" s="259"/>
      <c r="L105" s="306"/>
      <c r="M105" s="339">
        <f t="shared" si="10"/>
        <v>0</v>
      </c>
      <c r="N105" s="299"/>
      <c r="O105" s="313"/>
      <c r="P105" s="314"/>
      <c r="R105" s="364"/>
    </row>
    <row r="106" spans="1:20" ht="15.75" customHeight="1" thickTop="1" thickBot="1">
      <c r="A106" s="675"/>
      <c r="B106" s="695"/>
      <c r="C106" s="702"/>
      <c r="D106" s="703"/>
      <c r="E106" s="703"/>
      <c r="F106" s="703"/>
      <c r="G106" s="703"/>
      <c r="H106" s="703"/>
      <c r="I106" s="704"/>
      <c r="J106" s="369" t="s">
        <v>58</v>
      </c>
      <c r="K106" s="367" t="e">
        <f>M106/'生產管理報表 7-1 (週)'!$B$54</f>
        <v>#DIV/0!</v>
      </c>
      <c r="L106" s="370" t="s">
        <v>59</v>
      </c>
      <c r="M106" s="371">
        <f>SUM(M101:M105)</f>
        <v>17196.235199999806</v>
      </c>
      <c r="N106" s="690"/>
      <c r="O106" s="691"/>
      <c r="P106" s="692"/>
      <c r="R106" s="360"/>
    </row>
    <row r="107" spans="1:20" ht="24.95" customHeight="1" thickTop="1">
      <c r="K107" s="300" t="s">
        <v>535</v>
      </c>
      <c r="M107" s="346"/>
      <c r="R107" s="360"/>
    </row>
    <row r="108" spans="1:20" ht="24.95" customHeight="1">
      <c r="A108" s="663" t="s">
        <v>193</v>
      </c>
      <c r="B108" s="664"/>
      <c r="C108" s="315" t="s">
        <v>47</v>
      </c>
      <c r="D108" s="707" t="s">
        <v>12</v>
      </c>
      <c r="E108" s="708"/>
      <c r="F108" s="709"/>
      <c r="G108" s="710" t="s">
        <v>53</v>
      </c>
      <c r="H108" s="711"/>
      <c r="I108" s="712"/>
      <c r="J108" s="316" t="s">
        <v>54</v>
      </c>
      <c r="K108" s="287" t="s">
        <v>55</v>
      </c>
      <c r="L108" s="287" t="s">
        <v>56</v>
      </c>
      <c r="M108" s="347" t="s">
        <v>11</v>
      </c>
      <c r="N108" s="288" t="s">
        <v>340</v>
      </c>
      <c r="O108" s="671" t="s">
        <v>51</v>
      </c>
      <c r="P108" s="672"/>
      <c r="R108" s="360"/>
    </row>
    <row r="109" spans="1:20" ht="50.1" customHeight="1">
      <c r="A109" s="673">
        <v>6</v>
      </c>
      <c r="B109" s="693" t="s">
        <v>219</v>
      </c>
      <c r="C109" s="290">
        <v>1</v>
      </c>
      <c r="D109" s="365" t="s">
        <v>618</v>
      </c>
      <c r="E109" s="292"/>
      <c r="F109" s="293"/>
      <c r="G109" s="251" t="s">
        <v>625</v>
      </c>
      <c r="H109" s="252"/>
      <c r="I109" s="251"/>
      <c r="J109" s="328">
        <v>65.12</v>
      </c>
      <c r="K109" s="329">
        <v>0</v>
      </c>
      <c r="L109" s="330">
        <v>143.80000000000018</v>
      </c>
      <c r="M109" s="339">
        <f t="shared" ref="M109:M113" si="11">L109*J109</f>
        <v>9364.2560000000121</v>
      </c>
      <c r="N109" s="299"/>
      <c r="O109" s="685" t="s">
        <v>582</v>
      </c>
      <c r="P109" s="686"/>
    </row>
    <row r="110" spans="1:20" ht="50.1" customHeight="1">
      <c r="A110" s="674"/>
      <c r="B110" s="694"/>
      <c r="C110" s="290">
        <v>2</v>
      </c>
      <c r="D110" s="248" t="s">
        <v>500</v>
      </c>
      <c r="E110" s="292"/>
      <c r="F110" s="293"/>
      <c r="G110" s="251" t="s">
        <v>503</v>
      </c>
      <c r="H110" s="252"/>
      <c r="I110" s="251"/>
      <c r="J110" s="328">
        <v>68.42</v>
      </c>
      <c r="K110" s="329">
        <v>0</v>
      </c>
      <c r="L110" s="330">
        <v>71.880000000000109</v>
      </c>
      <c r="M110" s="339">
        <f t="shared" si="11"/>
        <v>4918.029600000008</v>
      </c>
      <c r="N110" s="299"/>
      <c r="O110" s="685" t="s">
        <v>582</v>
      </c>
      <c r="P110" s="686"/>
    </row>
    <row r="111" spans="1:20" ht="50.1" customHeight="1">
      <c r="A111" s="674"/>
      <c r="B111" s="694"/>
      <c r="C111" s="290">
        <v>3</v>
      </c>
      <c r="D111" s="248" t="s">
        <v>618</v>
      </c>
      <c r="E111" s="292"/>
      <c r="F111" s="293"/>
      <c r="G111" s="251" t="s">
        <v>627</v>
      </c>
      <c r="H111" s="252"/>
      <c r="I111" s="251"/>
      <c r="J111" s="328">
        <v>324.7</v>
      </c>
      <c r="K111" s="329">
        <v>0</v>
      </c>
      <c r="L111" s="330">
        <v>10.510000000000048</v>
      </c>
      <c r="M111" s="339">
        <f t="shared" si="11"/>
        <v>3412.5970000000152</v>
      </c>
      <c r="N111" s="299"/>
      <c r="O111" s="685" t="s">
        <v>644</v>
      </c>
      <c r="P111" s="686"/>
    </row>
    <row r="112" spans="1:20" ht="66" customHeight="1">
      <c r="A112" s="674"/>
      <c r="B112" s="694"/>
      <c r="C112" s="290">
        <v>4</v>
      </c>
      <c r="D112" s="248" t="s">
        <v>591</v>
      </c>
      <c r="E112" s="292"/>
      <c r="F112" s="293"/>
      <c r="G112" s="251" t="s">
        <v>588</v>
      </c>
      <c r="H112" s="252"/>
      <c r="I112" s="251"/>
      <c r="J112" s="328">
        <v>407.74000000000007</v>
      </c>
      <c r="K112" s="329">
        <v>4.2832389073846935E-4</v>
      </c>
      <c r="L112" s="330">
        <v>7.8899999999999268</v>
      </c>
      <c r="M112" s="339">
        <f t="shared" si="11"/>
        <v>3217.0685999999705</v>
      </c>
      <c r="N112" s="299"/>
      <c r="O112" s="685" t="s">
        <v>644</v>
      </c>
      <c r="P112" s="686"/>
    </row>
    <row r="113" spans="1:20" ht="50.1" customHeight="1" thickBot="1">
      <c r="A113" s="674"/>
      <c r="B113" s="694"/>
      <c r="C113" s="290">
        <v>5</v>
      </c>
      <c r="D113" s="255" t="s">
        <v>537</v>
      </c>
      <c r="E113" s="302"/>
      <c r="F113" s="303"/>
      <c r="G113" s="318" t="s">
        <v>540</v>
      </c>
      <c r="H113" s="317"/>
      <c r="I113" s="318"/>
      <c r="J113" s="332">
        <v>327.16000000000003</v>
      </c>
      <c r="K113" s="259">
        <v>1.9102738689665611E-3</v>
      </c>
      <c r="L113" s="334">
        <v>9.3600000000000048</v>
      </c>
      <c r="M113" s="339">
        <f t="shared" si="11"/>
        <v>3062.2176000000018</v>
      </c>
      <c r="N113" s="299"/>
      <c r="O113" s="685" t="s">
        <v>600</v>
      </c>
      <c r="P113" s="686"/>
    </row>
    <row r="114" spans="1:20" ht="15.75" customHeight="1" thickTop="1" thickBot="1">
      <c r="A114" s="675"/>
      <c r="B114" s="695"/>
      <c r="C114" s="702"/>
      <c r="D114" s="703"/>
      <c r="E114" s="703"/>
      <c r="F114" s="703"/>
      <c r="G114" s="703"/>
      <c r="H114" s="703"/>
      <c r="I114" s="704"/>
      <c r="J114" s="369" t="s">
        <v>58</v>
      </c>
      <c r="K114" s="367" t="e">
        <f>M114/'生產管理報表 7-1 (週)'!$B$54</f>
        <v>#DIV/0!</v>
      </c>
      <c r="L114" s="370" t="s">
        <v>59</v>
      </c>
      <c r="M114" s="371">
        <f>SUM(M109:M113)</f>
        <v>23974.168800000007</v>
      </c>
      <c r="N114" s="690"/>
      <c r="O114" s="691"/>
      <c r="P114" s="692"/>
    </row>
    <row r="115" spans="1:20" s="138" customFormat="1" ht="15.75" customHeight="1" thickTop="1">
      <c r="A115" s="624" t="s">
        <v>690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</row>
    <row r="116" spans="1:20" s="139" customFormat="1" ht="15.75" customHeight="1">
      <c r="A116" s="658"/>
      <c r="B116" s="658"/>
      <c r="C116" s="658"/>
      <c r="D116" s="658"/>
      <c r="E116" s="658"/>
      <c r="F116" s="658"/>
      <c r="G116" s="658"/>
      <c r="H116" s="658"/>
      <c r="I116" s="658"/>
      <c r="J116" s="658"/>
      <c r="K116" s="658"/>
      <c r="L116" s="658"/>
      <c r="M116" s="658"/>
    </row>
    <row r="117" spans="1:20" s="138" customFormat="1" ht="15.75" customHeight="1">
      <c r="A117" s="659" t="s">
        <v>193</v>
      </c>
      <c r="B117" s="661">
        <v>1</v>
      </c>
      <c r="C117" s="662"/>
      <c r="D117" s="661">
        <v>2</v>
      </c>
      <c r="E117" s="662"/>
      <c r="F117" s="661">
        <v>3</v>
      </c>
      <c r="G117" s="662"/>
      <c r="H117" s="652">
        <v>4</v>
      </c>
      <c r="I117" s="653"/>
      <c r="J117" s="652">
        <v>5</v>
      </c>
      <c r="K117" s="653"/>
      <c r="L117" s="652">
        <v>6</v>
      </c>
      <c r="M117" s="653"/>
      <c r="N117" s="652">
        <v>7</v>
      </c>
      <c r="O117" s="653"/>
      <c r="P117" s="344">
        <v>8</v>
      </c>
    </row>
    <row r="118" spans="1:20" s="138" customFormat="1" ht="15.75" customHeight="1">
      <c r="A118" s="660"/>
      <c r="B118" s="656" t="s">
        <v>523</v>
      </c>
      <c r="C118" s="657"/>
      <c r="D118" s="656" t="s">
        <v>215</v>
      </c>
      <c r="E118" s="657"/>
      <c r="F118" s="656" t="s">
        <v>168</v>
      </c>
      <c r="G118" s="657"/>
      <c r="H118" s="654" t="s">
        <v>473</v>
      </c>
      <c r="I118" s="655"/>
      <c r="J118" s="654" t="s">
        <v>191</v>
      </c>
      <c r="K118" s="655"/>
      <c r="L118" s="654" t="s">
        <v>169</v>
      </c>
      <c r="M118" s="655"/>
      <c r="N118" s="654" t="s">
        <v>192</v>
      </c>
      <c r="O118" s="655"/>
      <c r="P118" s="345" t="s">
        <v>220</v>
      </c>
    </row>
    <row r="119" spans="1:20" s="138" customFormat="1" ht="15.75" customHeight="1">
      <c r="B119" s="243"/>
      <c r="C119" s="244"/>
    </row>
    <row r="120" spans="1:20" s="289" customFormat="1" ht="15.75" customHeight="1">
      <c r="A120" s="663" t="s">
        <v>193</v>
      </c>
      <c r="B120" s="664"/>
      <c r="C120" s="286" t="s">
        <v>47</v>
      </c>
      <c r="D120" s="665" t="s">
        <v>12</v>
      </c>
      <c r="E120" s="666"/>
      <c r="F120" s="667"/>
      <c r="G120" s="668" t="s">
        <v>53</v>
      </c>
      <c r="H120" s="669"/>
      <c r="I120" s="670"/>
      <c r="J120" s="287" t="s">
        <v>54</v>
      </c>
      <c r="K120" s="287" t="s">
        <v>55</v>
      </c>
      <c r="L120" s="287" t="s">
        <v>56</v>
      </c>
      <c r="M120" s="288" t="s">
        <v>11</v>
      </c>
      <c r="N120" s="288" t="s">
        <v>340</v>
      </c>
      <c r="O120" s="671" t="s">
        <v>51</v>
      </c>
      <c r="P120" s="672"/>
      <c r="R120" s="360"/>
      <c r="S120" s="361"/>
    </row>
    <row r="121" spans="1:20" s="310" customFormat="1" ht="57.95" customHeight="1">
      <c r="A121" s="673">
        <v>4</v>
      </c>
      <c r="B121" s="676" t="s">
        <v>473</v>
      </c>
      <c r="C121" s="290">
        <v>1</v>
      </c>
      <c r="D121" s="248" t="s">
        <v>537</v>
      </c>
      <c r="E121" s="249"/>
      <c r="F121" s="250"/>
      <c r="G121" s="318" t="s">
        <v>542</v>
      </c>
      <c r="H121" s="317"/>
      <c r="I121" s="318"/>
      <c r="J121" s="328">
        <v>144.78</v>
      </c>
      <c r="K121" s="329">
        <v>4.4536300564358434E-4</v>
      </c>
      <c r="L121" s="330">
        <v>57.630000000000209</v>
      </c>
      <c r="M121" s="339">
        <f t="shared" ref="M121:M125" si="12">L121*J121</f>
        <v>8343.6714000000302</v>
      </c>
      <c r="N121" s="330"/>
      <c r="O121" s="681" t="s">
        <v>646</v>
      </c>
      <c r="P121" s="682"/>
      <c r="R121" s="362"/>
      <c r="S121" s="361"/>
    </row>
    <row r="122" spans="1:20" s="310" customFormat="1" ht="57.95" customHeight="1">
      <c r="A122" s="674"/>
      <c r="B122" s="677"/>
      <c r="C122" s="290">
        <v>2</v>
      </c>
      <c r="D122" s="248" t="s">
        <v>479</v>
      </c>
      <c r="E122" s="249"/>
      <c r="F122" s="250"/>
      <c r="G122" s="318" t="s">
        <v>590</v>
      </c>
      <c r="H122" s="317"/>
      <c r="I122" s="318"/>
      <c r="J122" s="328">
        <v>160.49</v>
      </c>
      <c r="K122" s="329">
        <v>3.2759912444359565E-3</v>
      </c>
      <c r="L122" s="330">
        <v>38.100000000000044</v>
      </c>
      <c r="M122" s="339">
        <f t="shared" si="12"/>
        <v>6114.6690000000071</v>
      </c>
      <c r="N122" s="330"/>
      <c r="O122" s="681" t="s">
        <v>645</v>
      </c>
      <c r="P122" s="682"/>
      <c r="R122" s="362"/>
      <c r="S122" s="360"/>
      <c r="T122" s="356"/>
    </row>
    <row r="123" spans="1:20" s="310" customFormat="1" ht="57.95" customHeight="1">
      <c r="A123" s="674"/>
      <c r="B123" s="677"/>
      <c r="C123" s="290">
        <v>3</v>
      </c>
      <c r="D123" s="248" t="s">
        <v>479</v>
      </c>
      <c r="E123" s="249"/>
      <c r="F123" s="250"/>
      <c r="G123" s="318" t="s">
        <v>478</v>
      </c>
      <c r="H123" s="317"/>
      <c r="I123" s="318"/>
      <c r="J123" s="328">
        <v>368.13999999999993</v>
      </c>
      <c r="K123" s="329">
        <v>1.9631672431522861E-3</v>
      </c>
      <c r="L123" s="330">
        <v>14.500000000000032</v>
      </c>
      <c r="M123" s="339">
        <f t="shared" si="12"/>
        <v>5338.0300000000107</v>
      </c>
      <c r="N123" s="330"/>
      <c r="O123" s="683" t="s">
        <v>613</v>
      </c>
      <c r="P123" s="684"/>
      <c r="R123" s="362"/>
      <c r="S123" s="361"/>
    </row>
    <row r="124" spans="1:20" s="310" customFormat="1" ht="57.95" customHeight="1">
      <c r="A124" s="674"/>
      <c r="B124" s="677"/>
      <c r="C124" s="290">
        <v>4</v>
      </c>
      <c r="D124" s="248" t="s">
        <v>349</v>
      </c>
      <c r="E124" s="249"/>
      <c r="F124" s="250"/>
      <c r="G124" s="318" t="s">
        <v>406</v>
      </c>
      <c r="H124" s="317"/>
      <c r="I124" s="318"/>
      <c r="J124" s="328">
        <v>127.84000000000002</v>
      </c>
      <c r="K124" s="329">
        <v>9.5599540074541446E-4</v>
      </c>
      <c r="L124" s="330">
        <v>39.770000000000074</v>
      </c>
      <c r="M124" s="339">
        <f t="shared" si="12"/>
        <v>5084.1968000000106</v>
      </c>
      <c r="N124" s="330"/>
      <c r="O124" s="681" t="s">
        <v>645</v>
      </c>
      <c r="P124" s="682"/>
      <c r="R124" s="362"/>
      <c r="S124" s="360"/>
      <c r="T124" s="356"/>
    </row>
    <row r="125" spans="1:20" s="310" customFormat="1" ht="57.95" customHeight="1" thickBot="1">
      <c r="A125" s="674"/>
      <c r="B125" s="677"/>
      <c r="C125" s="290">
        <v>5</v>
      </c>
      <c r="D125" s="248" t="s">
        <v>364</v>
      </c>
      <c r="E125" s="256"/>
      <c r="F125" s="257"/>
      <c r="G125" s="377" t="s">
        <v>471</v>
      </c>
      <c r="H125" s="317"/>
      <c r="I125" s="318"/>
      <c r="J125" s="332">
        <v>99.51</v>
      </c>
      <c r="K125" s="259">
        <v>2.4683825160860887E-3</v>
      </c>
      <c r="L125" s="334">
        <v>50.390000000000171</v>
      </c>
      <c r="M125" s="339">
        <f t="shared" si="12"/>
        <v>5014.3089000000173</v>
      </c>
      <c r="N125" s="330"/>
      <c r="O125" s="683" t="s">
        <v>693</v>
      </c>
      <c r="P125" s="684"/>
      <c r="R125" s="363"/>
      <c r="S125" s="361"/>
      <c r="T125" s="300"/>
    </row>
    <row r="126" spans="1:20" ht="15.75" customHeight="1" thickTop="1" thickBot="1">
      <c r="A126" s="675"/>
      <c r="B126" s="678"/>
      <c r="C126" s="687"/>
      <c r="D126" s="688"/>
      <c r="E126" s="688"/>
      <c r="F126" s="688"/>
      <c r="G126" s="688"/>
      <c r="H126" s="688"/>
      <c r="I126" s="689"/>
      <c r="J126" s="369" t="s">
        <v>58</v>
      </c>
      <c r="K126" s="367">
        <f>M126/'生產管理報表 7-1 (週)'!$B$10</f>
        <v>0.17158827766775073</v>
      </c>
      <c r="L126" s="370" t="s">
        <v>59</v>
      </c>
      <c r="M126" s="371">
        <f>SUM(M121:M125)</f>
        <v>29894.876100000074</v>
      </c>
      <c r="N126" s="690"/>
      <c r="O126" s="691"/>
      <c r="P126" s="692"/>
      <c r="R126" s="360"/>
      <c r="S126" s="360"/>
    </row>
    <row r="127" spans="1:20" ht="15.75" customHeight="1" thickTop="1">
      <c r="M127" s="346"/>
      <c r="S127" s="361"/>
    </row>
    <row r="128" spans="1:20" ht="15.75" customHeight="1">
      <c r="A128" s="663" t="s">
        <v>193</v>
      </c>
      <c r="B128" s="664"/>
      <c r="C128" s="286" t="s">
        <v>47</v>
      </c>
      <c r="D128" s="665" t="s">
        <v>12</v>
      </c>
      <c r="E128" s="666"/>
      <c r="F128" s="667"/>
      <c r="G128" s="668" t="s">
        <v>53</v>
      </c>
      <c r="H128" s="669"/>
      <c r="I128" s="670"/>
      <c r="J128" s="427" t="s">
        <v>54</v>
      </c>
      <c r="K128" s="287" t="s">
        <v>55</v>
      </c>
      <c r="L128" s="287" t="s">
        <v>56</v>
      </c>
      <c r="M128" s="347" t="s">
        <v>11</v>
      </c>
      <c r="N128" s="288" t="s">
        <v>340</v>
      </c>
      <c r="O128" s="671" t="s">
        <v>51</v>
      </c>
      <c r="P128" s="672"/>
      <c r="S128" s="360"/>
      <c r="T128" s="356"/>
    </row>
    <row r="129" spans="1:20" s="310" customFormat="1" ht="35.25" customHeight="1">
      <c r="A129" s="673">
        <v>5</v>
      </c>
      <c r="B129" s="693" t="s">
        <v>218</v>
      </c>
      <c r="C129" s="290">
        <v>1</v>
      </c>
      <c r="D129" s="248" t="s">
        <v>349</v>
      </c>
      <c r="E129" s="249"/>
      <c r="F129" s="250"/>
      <c r="G129" s="318" t="s">
        <v>344</v>
      </c>
      <c r="H129" s="317"/>
      <c r="I129" s="318"/>
      <c r="J129" s="328">
        <v>147.43000000000004</v>
      </c>
      <c r="K129" s="329">
        <v>0</v>
      </c>
      <c r="L129" s="330">
        <v>117.15000000000055</v>
      </c>
      <c r="M129" s="339">
        <f>L129*J129</f>
        <v>17271.424500000085</v>
      </c>
      <c r="N129" s="330"/>
      <c r="O129" s="748" t="s">
        <v>643</v>
      </c>
      <c r="P129" s="749"/>
      <c r="S129" s="361"/>
    </row>
    <row r="130" spans="1:20" s="310" customFormat="1" ht="24.95" customHeight="1">
      <c r="A130" s="674"/>
      <c r="B130" s="694"/>
      <c r="C130" s="290">
        <v>2</v>
      </c>
      <c r="D130" s="248"/>
      <c r="E130" s="249"/>
      <c r="F130" s="250"/>
      <c r="G130" s="377"/>
      <c r="H130" s="317"/>
      <c r="I130" s="318"/>
      <c r="J130" s="328"/>
      <c r="K130" s="329"/>
      <c r="L130" s="330"/>
      <c r="M130" s="339">
        <f t="shared" ref="M130:M133" si="13">L130*J130</f>
        <v>0</v>
      </c>
      <c r="N130" s="330"/>
      <c r="O130" s="698"/>
      <c r="P130" s="699"/>
      <c r="S130" s="360"/>
      <c r="T130" s="357"/>
    </row>
    <row r="131" spans="1:20" ht="24.95" customHeight="1">
      <c r="A131" s="674"/>
      <c r="B131" s="694"/>
      <c r="C131" s="290">
        <v>3</v>
      </c>
      <c r="D131" s="248"/>
      <c r="E131" s="249"/>
      <c r="F131" s="250"/>
      <c r="G131" s="377"/>
      <c r="H131" s="317"/>
      <c r="I131" s="318"/>
      <c r="J131" s="328"/>
      <c r="K131" s="329"/>
      <c r="L131" s="330"/>
      <c r="M131" s="339">
        <f t="shared" si="13"/>
        <v>0</v>
      </c>
      <c r="N131" s="299"/>
      <c r="O131" s="720"/>
      <c r="P131" s="721"/>
    </row>
    <row r="132" spans="1:20" ht="24.95" customHeight="1">
      <c r="A132" s="674"/>
      <c r="B132" s="694"/>
      <c r="C132" s="290">
        <v>4</v>
      </c>
      <c r="D132" s="291"/>
      <c r="E132" s="292"/>
      <c r="F132" s="293"/>
      <c r="G132" s="377"/>
      <c r="H132" s="317"/>
      <c r="I132" s="318"/>
      <c r="J132" s="297"/>
      <c r="K132" s="298"/>
      <c r="L132" s="299"/>
      <c r="M132" s="339">
        <f t="shared" si="13"/>
        <v>0</v>
      </c>
      <c r="N132" s="299"/>
      <c r="O132" s="311"/>
      <c r="P132" s="312"/>
    </row>
    <row r="133" spans="1:20" ht="24.95" customHeight="1" thickBot="1">
      <c r="A133" s="674"/>
      <c r="B133" s="694"/>
      <c r="C133" s="290">
        <v>5</v>
      </c>
      <c r="D133" s="301"/>
      <c r="E133" s="302"/>
      <c r="F133" s="303"/>
      <c r="G133" s="377"/>
      <c r="H133" s="317"/>
      <c r="I133" s="318"/>
      <c r="J133" s="304"/>
      <c r="K133" s="259"/>
      <c r="L133" s="306"/>
      <c r="M133" s="339">
        <f t="shared" si="13"/>
        <v>0</v>
      </c>
      <c r="N133" s="299"/>
      <c r="O133" s="313"/>
      <c r="P133" s="314"/>
      <c r="R133" s="364"/>
    </row>
    <row r="134" spans="1:20" ht="15.75" customHeight="1" thickTop="1" thickBot="1">
      <c r="A134" s="675"/>
      <c r="B134" s="695"/>
      <c r="C134" s="702"/>
      <c r="D134" s="703"/>
      <c r="E134" s="703"/>
      <c r="F134" s="703"/>
      <c r="G134" s="703"/>
      <c r="H134" s="703"/>
      <c r="I134" s="704"/>
      <c r="J134" s="369" t="s">
        <v>58</v>
      </c>
      <c r="K134" s="367">
        <f>M134/'生產管理報表 7-1 (週)'!$B$10</f>
        <v>9.9133174959825307E-2</v>
      </c>
      <c r="L134" s="370" t="s">
        <v>59</v>
      </c>
      <c r="M134" s="371">
        <f>SUM(M129:M133)</f>
        <v>17271.424500000085</v>
      </c>
      <c r="N134" s="690"/>
      <c r="O134" s="691"/>
      <c r="P134" s="692"/>
      <c r="R134" s="360"/>
    </row>
    <row r="135" spans="1:20" ht="24.95" customHeight="1" thickTop="1">
      <c r="K135" s="300" t="s">
        <v>535</v>
      </c>
      <c r="M135" s="346"/>
      <c r="R135" s="360"/>
    </row>
    <row r="136" spans="1:20" ht="24.95" customHeight="1">
      <c r="A136" s="663" t="s">
        <v>193</v>
      </c>
      <c r="B136" s="664"/>
      <c r="C136" s="315" t="s">
        <v>47</v>
      </c>
      <c r="D136" s="707" t="s">
        <v>12</v>
      </c>
      <c r="E136" s="708"/>
      <c r="F136" s="709"/>
      <c r="G136" s="710" t="s">
        <v>53</v>
      </c>
      <c r="H136" s="711"/>
      <c r="I136" s="712"/>
      <c r="J136" s="316" t="s">
        <v>54</v>
      </c>
      <c r="K136" s="287" t="s">
        <v>55</v>
      </c>
      <c r="L136" s="287" t="s">
        <v>56</v>
      </c>
      <c r="M136" s="347" t="s">
        <v>11</v>
      </c>
      <c r="N136" s="288" t="s">
        <v>340</v>
      </c>
      <c r="O136" s="671" t="s">
        <v>51</v>
      </c>
      <c r="P136" s="672"/>
      <c r="R136" s="360"/>
    </row>
    <row r="137" spans="1:20" ht="50.1" customHeight="1">
      <c r="A137" s="673">
        <v>6</v>
      </c>
      <c r="B137" s="693" t="s">
        <v>219</v>
      </c>
      <c r="C137" s="290">
        <v>1</v>
      </c>
      <c r="D137" s="365" t="s">
        <v>618</v>
      </c>
      <c r="E137" s="292"/>
      <c r="F137" s="293"/>
      <c r="G137" s="251" t="s">
        <v>625</v>
      </c>
      <c r="H137" s="252"/>
      <c r="I137" s="251"/>
      <c r="J137" s="328">
        <v>65.12</v>
      </c>
      <c r="K137" s="329">
        <v>0</v>
      </c>
      <c r="L137" s="330">
        <v>101.5</v>
      </c>
      <c r="M137" s="339">
        <f t="shared" ref="M137:M141" si="14">L137*J137</f>
        <v>6609.68</v>
      </c>
      <c r="N137" s="299"/>
      <c r="O137" s="685" t="s">
        <v>691</v>
      </c>
      <c r="P137" s="686"/>
    </row>
    <row r="138" spans="1:20" ht="50.1" customHeight="1">
      <c r="A138" s="674"/>
      <c r="B138" s="694"/>
      <c r="C138" s="290">
        <v>2</v>
      </c>
      <c r="D138" s="248" t="s">
        <v>537</v>
      </c>
      <c r="E138" s="292"/>
      <c r="F138" s="293"/>
      <c r="G138" s="251" t="s">
        <v>540</v>
      </c>
      <c r="H138" s="252"/>
      <c r="I138" s="251"/>
      <c r="J138" s="328">
        <v>327.16000000000003</v>
      </c>
      <c r="K138" s="329">
        <v>6.602112676056339E-4</v>
      </c>
      <c r="L138" s="330">
        <v>18.310000000000102</v>
      </c>
      <c r="M138" s="339">
        <f t="shared" si="14"/>
        <v>5990.2996000000339</v>
      </c>
      <c r="N138" s="299"/>
      <c r="O138" s="685" t="s">
        <v>578</v>
      </c>
      <c r="P138" s="686"/>
    </row>
    <row r="139" spans="1:20" ht="50.1" customHeight="1">
      <c r="A139" s="674"/>
      <c r="B139" s="694"/>
      <c r="C139" s="290">
        <v>3</v>
      </c>
      <c r="D139" s="248" t="s">
        <v>351</v>
      </c>
      <c r="E139" s="292"/>
      <c r="F139" s="293"/>
      <c r="G139" s="251" t="s">
        <v>556</v>
      </c>
      <c r="H139" s="252"/>
      <c r="I139" s="251"/>
      <c r="J139" s="328">
        <v>605.77999999999986</v>
      </c>
      <c r="K139" s="329">
        <v>2.0337998159895403E-4</v>
      </c>
      <c r="L139" s="330">
        <v>7.7300000000000546</v>
      </c>
      <c r="M139" s="339">
        <f t="shared" si="14"/>
        <v>4682.6794000000318</v>
      </c>
      <c r="N139" s="299"/>
      <c r="O139" s="685" t="s">
        <v>692</v>
      </c>
      <c r="P139" s="686"/>
    </row>
    <row r="140" spans="1:20" ht="66" customHeight="1">
      <c r="A140" s="674"/>
      <c r="B140" s="694"/>
      <c r="C140" s="290">
        <v>4</v>
      </c>
      <c r="D140" s="248" t="s">
        <v>500</v>
      </c>
      <c r="E140" s="292"/>
      <c r="F140" s="293"/>
      <c r="G140" s="251" t="s">
        <v>503</v>
      </c>
      <c r="H140" s="252"/>
      <c r="I140" s="251"/>
      <c r="J140" s="328">
        <v>68.42</v>
      </c>
      <c r="K140" s="329">
        <v>6.0806331833111542E-4</v>
      </c>
      <c r="L140" s="330">
        <v>63.19000000000031</v>
      </c>
      <c r="M140" s="339">
        <f t="shared" si="14"/>
        <v>4323.4598000000215</v>
      </c>
      <c r="N140" s="299"/>
      <c r="O140" s="685" t="s">
        <v>691</v>
      </c>
      <c r="P140" s="686"/>
    </row>
    <row r="141" spans="1:20" ht="50.1" customHeight="1" thickBot="1">
      <c r="A141" s="674"/>
      <c r="B141" s="694"/>
      <c r="C141" s="290">
        <v>5</v>
      </c>
      <c r="D141" s="255"/>
      <c r="E141" s="302"/>
      <c r="F141" s="303"/>
      <c r="G141" s="377"/>
      <c r="H141" s="317"/>
      <c r="I141" s="318"/>
      <c r="J141" s="332"/>
      <c r="K141" s="259"/>
      <c r="L141" s="334"/>
      <c r="M141" s="339">
        <f t="shared" si="14"/>
        <v>0</v>
      </c>
      <c r="N141" s="299"/>
      <c r="O141" s="685"/>
      <c r="P141" s="686"/>
    </row>
    <row r="142" spans="1:20" ht="15.75" customHeight="1" thickTop="1" thickBot="1">
      <c r="A142" s="675"/>
      <c r="B142" s="695"/>
      <c r="C142" s="702"/>
      <c r="D142" s="703"/>
      <c r="E142" s="703"/>
      <c r="F142" s="703"/>
      <c r="G142" s="703"/>
      <c r="H142" s="703"/>
      <c r="I142" s="704"/>
      <c r="J142" s="369" t="s">
        <v>58</v>
      </c>
      <c r="K142" s="367">
        <f>M142/'生產管理報表 7-1 (週)'!$B$10</f>
        <v>0.12401311514306008</v>
      </c>
      <c r="L142" s="370" t="s">
        <v>59</v>
      </c>
      <c r="M142" s="371">
        <f>SUM(M137:M141)</f>
        <v>21606.118800000088</v>
      </c>
      <c r="N142" s="690"/>
      <c r="O142" s="691"/>
      <c r="P142" s="692"/>
    </row>
    <row r="143" spans="1:20" ht="15.75" customHeight="1" thickTop="1"/>
  </sheetData>
  <mergeCells count="266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60" t="s">
        <v>381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00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603" t="s">
        <v>402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</row>
    <row r="4" spans="1:17" s="100" customFormat="1" ht="15.75" customHeight="1">
      <c r="A4" s="793"/>
      <c r="B4" s="793"/>
      <c r="C4" s="793"/>
      <c r="D4" s="793"/>
      <c r="E4" s="793"/>
      <c r="F4" s="793"/>
      <c r="G4" s="793"/>
      <c r="H4" s="793"/>
      <c r="I4" s="793"/>
      <c r="J4" s="793"/>
      <c r="K4" s="793"/>
      <c r="L4" s="793"/>
      <c r="M4" s="793"/>
      <c r="N4" s="793"/>
      <c r="O4" s="793"/>
      <c r="P4" s="793"/>
      <c r="Q4" s="793"/>
    </row>
    <row r="5" spans="1:17" ht="15.75" customHeight="1">
      <c r="A5" s="506" t="s">
        <v>193</v>
      </c>
      <c r="B5" s="792">
        <v>1</v>
      </c>
      <c r="C5" s="792"/>
      <c r="D5" s="792">
        <v>2</v>
      </c>
      <c r="E5" s="792"/>
      <c r="F5" s="792">
        <v>3</v>
      </c>
      <c r="G5" s="792"/>
      <c r="H5" s="792">
        <v>4</v>
      </c>
      <c r="I5" s="792"/>
      <c r="J5" s="792">
        <v>5</v>
      </c>
      <c r="K5" s="792"/>
      <c r="L5" s="792">
        <v>6</v>
      </c>
      <c r="M5" s="792"/>
      <c r="N5" s="792">
        <v>7</v>
      </c>
      <c r="O5" s="792"/>
      <c r="P5" s="794">
        <v>8</v>
      </c>
      <c r="Q5" s="794"/>
    </row>
    <row r="6" spans="1:17" ht="15.75" customHeight="1">
      <c r="A6" s="506"/>
      <c r="B6" s="506" t="s">
        <v>258</v>
      </c>
      <c r="C6" s="506"/>
      <c r="D6" s="506" t="s">
        <v>347</v>
      </c>
      <c r="E6" s="506"/>
      <c r="F6" s="506" t="s">
        <v>168</v>
      </c>
      <c r="G6" s="506"/>
      <c r="H6" s="506" t="s">
        <v>473</v>
      </c>
      <c r="I6" s="506"/>
      <c r="J6" s="506" t="s">
        <v>191</v>
      </c>
      <c r="K6" s="506"/>
      <c r="L6" s="506" t="s">
        <v>169</v>
      </c>
      <c r="M6" s="506"/>
      <c r="N6" s="506" t="s">
        <v>192</v>
      </c>
      <c r="O6" s="506"/>
      <c r="P6" s="791" t="s">
        <v>221</v>
      </c>
      <c r="Q6" s="791"/>
    </row>
    <row r="8" spans="1:17" s="106" customFormat="1" ht="15.75" customHeight="1">
      <c r="A8" s="133" t="s">
        <v>195</v>
      </c>
      <c r="B8" s="133" t="s">
        <v>18</v>
      </c>
      <c r="C8" s="788" t="s">
        <v>12</v>
      </c>
      <c r="D8" s="788"/>
      <c r="E8" s="788"/>
      <c r="F8" s="788" t="s">
        <v>53</v>
      </c>
      <c r="G8" s="788"/>
      <c r="H8" s="788"/>
      <c r="I8" s="133" t="s">
        <v>54</v>
      </c>
      <c r="J8" s="136" t="s">
        <v>19</v>
      </c>
      <c r="K8" s="133" t="s">
        <v>57</v>
      </c>
      <c r="L8" s="133" t="s">
        <v>2</v>
      </c>
      <c r="M8" s="788" t="s">
        <v>50</v>
      </c>
      <c r="N8" s="788"/>
      <c r="O8" s="788"/>
      <c r="P8" s="788"/>
      <c r="Q8" s="788"/>
    </row>
    <row r="9" spans="1:17" ht="15.75" customHeight="1">
      <c r="A9" s="788" t="s">
        <v>194</v>
      </c>
      <c r="B9" s="131">
        <v>1</v>
      </c>
      <c r="C9" s="786"/>
      <c r="D9" s="787"/>
      <c r="E9" s="787"/>
      <c r="F9" s="786"/>
      <c r="G9" s="787"/>
      <c r="H9" s="787"/>
      <c r="I9" s="108"/>
      <c r="J9" s="119"/>
      <c r="K9" s="119"/>
      <c r="L9" s="137">
        <f t="shared" ref="L9:L13" si="0">K9-J9</f>
        <v>0</v>
      </c>
      <c r="M9" s="786"/>
      <c r="N9" s="786"/>
      <c r="O9" s="786"/>
      <c r="P9" s="786"/>
      <c r="Q9" s="786"/>
    </row>
    <row r="10" spans="1:17" ht="15.75" customHeight="1">
      <c r="A10" s="788"/>
      <c r="B10" s="131">
        <v>2</v>
      </c>
      <c r="C10" s="786"/>
      <c r="D10" s="787"/>
      <c r="E10" s="787"/>
      <c r="F10" s="786"/>
      <c r="G10" s="787"/>
      <c r="H10" s="787"/>
      <c r="I10" s="108"/>
      <c r="J10" s="119"/>
      <c r="K10" s="119"/>
      <c r="L10" s="137">
        <f t="shared" si="0"/>
        <v>0</v>
      </c>
      <c r="M10" s="786"/>
      <c r="N10" s="786"/>
      <c r="O10" s="786"/>
      <c r="P10" s="786"/>
      <c r="Q10" s="786"/>
    </row>
    <row r="11" spans="1:17" ht="15.75" customHeight="1">
      <c r="A11" s="788"/>
      <c r="B11" s="131">
        <v>3</v>
      </c>
      <c r="C11" s="786"/>
      <c r="D11" s="787"/>
      <c r="E11" s="787"/>
      <c r="F11" s="786"/>
      <c r="G11" s="787"/>
      <c r="H11" s="787"/>
      <c r="I11" s="108"/>
      <c r="J11" s="119"/>
      <c r="K11" s="119"/>
      <c r="L11" s="137">
        <f t="shared" si="0"/>
        <v>0</v>
      </c>
      <c r="M11" s="786"/>
      <c r="N11" s="786"/>
      <c r="O11" s="786"/>
      <c r="P11" s="786"/>
      <c r="Q11" s="786"/>
    </row>
    <row r="12" spans="1:17" ht="15.75" customHeight="1">
      <c r="A12" s="788"/>
      <c r="B12" s="131">
        <v>4</v>
      </c>
      <c r="C12" s="786"/>
      <c r="D12" s="787"/>
      <c r="E12" s="787"/>
      <c r="F12" s="786"/>
      <c r="G12" s="787"/>
      <c r="H12" s="787"/>
      <c r="I12" s="108"/>
      <c r="J12" s="119"/>
      <c r="K12" s="119"/>
      <c r="L12" s="137">
        <f t="shared" si="0"/>
        <v>0</v>
      </c>
      <c r="M12" s="786"/>
      <c r="N12" s="786"/>
      <c r="O12" s="786"/>
      <c r="P12" s="786"/>
      <c r="Q12" s="786"/>
    </row>
    <row r="13" spans="1:17" ht="15.75" customHeight="1">
      <c r="A13" s="788"/>
      <c r="B13" s="131">
        <v>5</v>
      </c>
      <c r="C13" s="786"/>
      <c r="D13" s="787"/>
      <c r="E13" s="787"/>
      <c r="F13" s="786"/>
      <c r="G13" s="787"/>
      <c r="H13" s="787"/>
      <c r="I13" s="108"/>
      <c r="J13" s="119"/>
      <c r="K13" s="119"/>
      <c r="L13" s="137">
        <f t="shared" si="0"/>
        <v>0</v>
      </c>
      <c r="M13" s="786"/>
      <c r="N13" s="786"/>
      <c r="O13" s="786"/>
      <c r="P13" s="786"/>
      <c r="Q13" s="786"/>
    </row>
    <row r="14" spans="1:17" ht="15.75" customHeight="1">
      <c r="A14" s="789"/>
      <c r="B14" s="789"/>
      <c r="C14" s="789"/>
      <c r="D14" s="789"/>
      <c r="E14" s="789"/>
      <c r="F14" s="789"/>
      <c r="G14" s="789"/>
      <c r="H14" s="789"/>
      <c r="I14" s="789"/>
      <c r="J14" s="789"/>
      <c r="K14" s="789"/>
      <c r="L14" s="789"/>
      <c r="M14" s="789"/>
      <c r="N14" s="789"/>
      <c r="O14" s="790"/>
    </row>
    <row r="15" spans="1:17" s="106" customFormat="1" ht="15.75" customHeight="1">
      <c r="A15" s="133" t="s">
        <v>195</v>
      </c>
      <c r="B15" s="133" t="s">
        <v>18</v>
      </c>
      <c r="C15" s="788" t="s">
        <v>12</v>
      </c>
      <c r="D15" s="788"/>
      <c r="E15" s="788"/>
      <c r="F15" s="788" t="s">
        <v>53</v>
      </c>
      <c r="G15" s="788"/>
      <c r="H15" s="788"/>
      <c r="I15" s="133" t="s">
        <v>54</v>
      </c>
      <c r="J15" s="136" t="s">
        <v>19</v>
      </c>
      <c r="K15" s="133" t="s">
        <v>57</v>
      </c>
      <c r="L15" s="133" t="s">
        <v>2</v>
      </c>
      <c r="M15" s="788" t="s">
        <v>50</v>
      </c>
      <c r="N15" s="788"/>
      <c r="O15" s="788"/>
      <c r="P15" s="788"/>
      <c r="Q15" s="788"/>
    </row>
    <row r="16" spans="1:17" ht="15.75" customHeight="1">
      <c r="A16" s="788" t="s">
        <v>196</v>
      </c>
      <c r="B16" s="131">
        <v>1</v>
      </c>
      <c r="C16" s="786"/>
      <c r="D16" s="787"/>
      <c r="E16" s="787"/>
      <c r="F16" s="786"/>
      <c r="G16" s="787"/>
      <c r="H16" s="787"/>
      <c r="I16" s="108"/>
      <c r="J16" s="119"/>
      <c r="K16" s="119"/>
      <c r="L16" s="137">
        <f t="shared" ref="L16:L19" si="1">K16-J16</f>
        <v>0</v>
      </c>
      <c r="M16" s="786"/>
      <c r="N16" s="786"/>
      <c r="O16" s="786"/>
      <c r="P16" s="786"/>
      <c r="Q16" s="786"/>
    </row>
    <row r="17" spans="1:17" ht="15.75" customHeight="1">
      <c r="A17" s="788"/>
      <c r="B17" s="131">
        <v>2</v>
      </c>
      <c r="C17" s="786"/>
      <c r="D17" s="787"/>
      <c r="E17" s="787"/>
      <c r="F17" s="786"/>
      <c r="G17" s="787"/>
      <c r="H17" s="787"/>
      <c r="I17" s="108"/>
      <c r="J17" s="119"/>
      <c r="K17" s="119"/>
      <c r="L17" s="137">
        <f t="shared" si="1"/>
        <v>0</v>
      </c>
      <c r="M17" s="786"/>
      <c r="N17" s="786"/>
      <c r="O17" s="786"/>
      <c r="P17" s="786"/>
      <c r="Q17" s="786"/>
    </row>
    <row r="18" spans="1:17" ht="15.75" customHeight="1">
      <c r="A18" s="788"/>
      <c r="B18" s="131">
        <v>3</v>
      </c>
      <c r="C18" s="786"/>
      <c r="D18" s="787"/>
      <c r="E18" s="787"/>
      <c r="F18" s="786"/>
      <c r="G18" s="787"/>
      <c r="H18" s="787"/>
      <c r="I18" s="108"/>
      <c r="J18" s="119"/>
      <c r="K18" s="119"/>
      <c r="L18" s="137">
        <f t="shared" si="1"/>
        <v>0</v>
      </c>
      <c r="M18" s="786"/>
      <c r="N18" s="786"/>
      <c r="O18" s="786"/>
      <c r="P18" s="786"/>
      <c r="Q18" s="786"/>
    </row>
    <row r="19" spans="1:17" ht="15.75" customHeight="1">
      <c r="A19" s="788"/>
      <c r="B19" s="131">
        <v>4</v>
      </c>
      <c r="C19" s="786"/>
      <c r="D19" s="787"/>
      <c r="E19" s="787"/>
      <c r="F19" s="786"/>
      <c r="G19" s="787"/>
      <c r="H19" s="787"/>
      <c r="I19" s="108"/>
      <c r="J19" s="119"/>
      <c r="K19" s="119"/>
      <c r="L19" s="137">
        <f t="shared" si="1"/>
        <v>0</v>
      </c>
      <c r="M19" s="786"/>
      <c r="N19" s="786"/>
      <c r="O19" s="786"/>
      <c r="P19" s="786"/>
      <c r="Q19" s="786"/>
    </row>
    <row r="20" spans="1:17" ht="15.75" customHeight="1">
      <c r="A20" s="788"/>
      <c r="B20" s="131">
        <v>5</v>
      </c>
      <c r="C20" s="786"/>
      <c r="D20" s="787"/>
      <c r="E20" s="787"/>
      <c r="F20" s="786"/>
      <c r="G20" s="787"/>
      <c r="H20" s="787"/>
      <c r="I20" s="108"/>
      <c r="J20" s="119"/>
      <c r="K20" s="119"/>
      <c r="L20" s="137">
        <f>K20-J20</f>
        <v>0</v>
      </c>
      <c r="M20" s="786"/>
      <c r="N20" s="786"/>
      <c r="O20" s="786"/>
      <c r="P20" s="786"/>
      <c r="Q20" s="78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L40"/>
  <sheetViews>
    <sheetView topLeftCell="A10" zoomScale="70" zoomScaleNormal="70" workbookViewId="0">
      <selection activeCell="M11" sqref="M11:M17"/>
    </sheetView>
  </sheetViews>
  <sheetFormatPr defaultColWidth="9.140625" defaultRowHeight="15"/>
  <cols>
    <col min="1" max="1" width="20.28515625" style="235" customWidth="1"/>
    <col min="2" max="2" width="22.5703125" style="235" bestFit="1" customWidth="1"/>
    <col min="3" max="4" width="15.7109375" style="235" customWidth="1"/>
    <col min="5" max="5" width="18.85546875" style="235" bestFit="1" customWidth="1"/>
    <col min="6" max="6" width="15.7109375" style="235" customWidth="1"/>
    <col min="7" max="10" width="20.28515625" style="235" customWidth="1"/>
    <col min="11" max="11" width="18.85546875" style="355" bestFit="1" customWidth="1"/>
    <col min="12" max="12" width="17.5703125" style="355" customWidth="1"/>
    <col min="13" max="13" width="18.85546875" style="235" bestFit="1" customWidth="1"/>
    <col min="14" max="14" width="15.42578125" style="235" customWidth="1"/>
    <col min="15" max="15" width="9.140625" style="235"/>
    <col min="16" max="17" width="12.42578125" style="235" bestFit="1" customWidth="1"/>
    <col min="18" max="19" width="9.140625" style="235"/>
    <col min="20" max="20" width="13.85546875" style="235" bestFit="1" customWidth="1"/>
    <col min="21" max="21" width="9.140625" style="235"/>
    <col min="22" max="23" width="12.42578125" style="235" bestFit="1" customWidth="1"/>
    <col min="24" max="25" width="9.140625" style="235"/>
    <col min="26" max="26" width="13.85546875" style="235" bestFit="1" customWidth="1"/>
    <col min="27" max="28" width="9.140625" style="235"/>
    <col min="29" max="29" width="12.42578125" style="235" bestFit="1" customWidth="1"/>
    <col min="30" max="31" width="9.140625" style="235"/>
    <col min="32" max="32" width="13.85546875" style="235" bestFit="1" customWidth="1"/>
    <col min="33" max="34" width="9.140625" style="235"/>
    <col min="35" max="35" width="12.42578125" style="235" bestFit="1" customWidth="1"/>
    <col min="36" max="37" width="9.140625" style="235"/>
    <col min="38" max="38" width="13.85546875" style="235" bestFit="1" customWidth="1"/>
    <col min="39" max="16384" width="9.140625" style="235"/>
  </cols>
  <sheetData>
    <row r="1" spans="1:38" ht="27">
      <c r="A1" s="796" t="s">
        <v>448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</row>
    <row r="2" spans="1:38" ht="16.5" customHeight="1">
      <c r="A2" s="799" t="s">
        <v>449</v>
      </c>
      <c r="B2" s="799" t="s">
        <v>136</v>
      </c>
      <c r="C2" s="799" t="s">
        <v>450</v>
      </c>
      <c r="D2" s="799" t="s">
        <v>451</v>
      </c>
      <c r="E2" s="799" t="s">
        <v>444</v>
      </c>
      <c r="F2" s="799" t="s">
        <v>445</v>
      </c>
      <c r="G2" s="799" t="s">
        <v>452</v>
      </c>
      <c r="H2" s="799"/>
      <c r="I2" s="799" t="s">
        <v>453</v>
      </c>
      <c r="J2" s="799"/>
      <c r="K2" s="795" t="s">
        <v>464</v>
      </c>
      <c r="L2" s="795"/>
      <c r="M2" s="798" t="s">
        <v>446</v>
      </c>
      <c r="N2" s="798" t="s">
        <v>447</v>
      </c>
    </row>
    <row r="3" spans="1:38" ht="37.5" customHeight="1">
      <c r="A3" s="799"/>
      <c r="B3" s="799"/>
      <c r="C3" s="799"/>
      <c r="D3" s="799"/>
      <c r="E3" s="799"/>
      <c r="F3" s="799"/>
      <c r="G3" s="236" t="s">
        <v>454</v>
      </c>
      <c r="H3" s="236" t="s">
        <v>455</v>
      </c>
      <c r="I3" s="236" t="s">
        <v>454</v>
      </c>
      <c r="J3" s="236" t="s">
        <v>455</v>
      </c>
      <c r="K3" s="352" t="s">
        <v>465</v>
      </c>
      <c r="L3" s="352" t="s">
        <v>466</v>
      </c>
      <c r="M3" s="798"/>
      <c r="N3" s="798"/>
      <c r="P3" s="438" t="s">
        <v>549</v>
      </c>
      <c r="Q3" s="372">
        <v>353129.03079999995</v>
      </c>
      <c r="S3" s="439" t="s">
        <v>550</v>
      </c>
      <c r="T3" s="372">
        <v>819267.9188799999</v>
      </c>
      <c r="V3" s="439"/>
      <c r="W3" s="372"/>
      <c r="Y3" s="439"/>
      <c r="Z3" s="372"/>
      <c r="AB3" s="422"/>
      <c r="AC3" s="372"/>
      <c r="AE3" s="422"/>
      <c r="AF3" s="372"/>
      <c r="AH3" s="422"/>
      <c r="AI3" s="372"/>
      <c r="AK3" s="422"/>
      <c r="AL3" s="372"/>
    </row>
    <row r="4" spans="1:38" ht="18.75">
      <c r="A4" s="238">
        <v>46049</v>
      </c>
      <c r="B4" s="375">
        <v>4884312.03</v>
      </c>
      <c r="C4" s="376">
        <v>11779.479900000006</v>
      </c>
      <c r="D4" s="319">
        <f t="shared" ref="D4:D10" si="0">C4/B4</f>
        <v>2.4116968423903099E-3</v>
      </c>
      <c r="E4" s="376">
        <v>26833.880100000002</v>
      </c>
      <c r="F4" s="234">
        <f t="shared" ref="F4:F10" si="1">E4/B4</f>
        <v>5.4938914498466225E-3</v>
      </c>
      <c r="G4" s="375">
        <v>2256.8393999999998</v>
      </c>
      <c r="H4" s="234">
        <f t="shared" ref="H4:H10" si="2">G4/C4</f>
        <v>0.19159075096346137</v>
      </c>
      <c r="I4" s="237">
        <v>9410.0701000000099</v>
      </c>
      <c r="J4" s="234">
        <f t="shared" ref="J4:J10" si="3">I4/E4</f>
        <v>0.35067869666750168</v>
      </c>
      <c r="K4" s="353">
        <v>687.17669999999998</v>
      </c>
      <c r="L4" s="354">
        <f t="shared" ref="L4:L10" si="4">K4/C4</f>
        <v>5.8336760691785693E-2</v>
      </c>
      <c r="M4" s="800">
        <f>SUM(C4:C10)</f>
        <v>76524.503600000011</v>
      </c>
      <c r="N4" s="800">
        <f>SUM(E4:E10)</f>
        <v>174224.46629999997</v>
      </c>
    </row>
    <row r="5" spans="1:38" ht="18.75">
      <c r="A5" s="239">
        <v>46050</v>
      </c>
      <c r="B5" s="375">
        <v>4734075.18</v>
      </c>
      <c r="C5" s="376">
        <v>11409.784100000001</v>
      </c>
      <c r="D5" s="319">
        <f t="shared" si="0"/>
        <v>2.4101400307715436E-3</v>
      </c>
      <c r="E5" s="376">
        <v>26026.547500000011</v>
      </c>
      <c r="F5" s="234">
        <f t="shared" si="1"/>
        <v>5.4977047280436332E-3</v>
      </c>
      <c r="G5" s="375">
        <v>2228.4526999999998</v>
      </c>
      <c r="H5" s="234">
        <f t="shared" si="2"/>
        <v>0.19531068076914793</v>
      </c>
      <c r="I5" s="237">
        <v>11717.171599999992</v>
      </c>
      <c r="J5" s="234">
        <f t="shared" si="3"/>
        <v>0.45020076519945595</v>
      </c>
      <c r="K5" s="353">
        <v>662.36009999999987</v>
      </c>
      <c r="L5" s="354">
        <f t="shared" si="4"/>
        <v>5.8051939825925353E-2</v>
      </c>
      <c r="M5" s="800"/>
      <c r="N5" s="800"/>
    </row>
    <row r="6" spans="1:38" s="355" customFormat="1" ht="18.75">
      <c r="A6" s="238">
        <v>46051</v>
      </c>
      <c r="B6" s="375">
        <v>4383675.45</v>
      </c>
      <c r="C6" s="376">
        <v>10537.640499999998</v>
      </c>
      <c r="D6" s="319">
        <f t="shared" si="0"/>
        <v>2.4038368305755839E-3</v>
      </c>
      <c r="E6" s="376">
        <v>24056.556499999977</v>
      </c>
      <c r="F6" s="234">
        <f t="shared" si="1"/>
        <v>5.4877594781794293E-3</v>
      </c>
      <c r="G6" s="375">
        <v>2237.9841999999999</v>
      </c>
      <c r="H6" s="234">
        <f t="shared" si="2"/>
        <v>0.21238001049665722</v>
      </c>
      <c r="I6" s="237">
        <v>12230.33239999999</v>
      </c>
      <c r="J6" s="234">
        <f t="shared" si="3"/>
        <v>0.50839913019138883</v>
      </c>
      <c r="K6" s="353">
        <v>859.88729999999998</v>
      </c>
      <c r="L6" s="354">
        <f t="shared" si="4"/>
        <v>8.160150272729462E-2</v>
      </c>
      <c r="M6" s="800"/>
      <c r="N6" s="800"/>
      <c r="O6" s="235"/>
      <c r="P6" s="235"/>
      <c r="Q6" s="235"/>
      <c r="R6" s="235"/>
      <c r="S6" s="235"/>
    </row>
    <row r="7" spans="1:38" s="355" customFormat="1" ht="18.75">
      <c r="A7" s="238">
        <v>46052</v>
      </c>
      <c r="B7" s="375">
        <v>3724978.02</v>
      </c>
      <c r="C7" s="376">
        <v>8956.6876999999968</v>
      </c>
      <c r="D7" s="319">
        <f t="shared" si="0"/>
        <v>2.4044941075920755E-3</v>
      </c>
      <c r="E7" s="376">
        <v>20283.671900000016</v>
      </c>
      <c r="F7" s="234">
        <f t="shared" si="1"/>
        <v>5.4453131779821926E-3</v>
      </c>
      <c r="G7" s="375">
        <v>3052.2632999999996</v>
      </c>
      <c r="H7" s="234">
        <f t="shared" si="2"/>
        <v>0.34078036459839955</v>
      </c>
      <c r="I7" s="237">
        <v>13241.149100000004</v>
      </c>
      <c r="J7" s="234">
        <f t="shared" si="3"/>
        <v>0.65279842650186004</v>
      </c>
      <c r="K7" s="353">
        <v>1395.4353000000001</v>
      </c>
      <c r="L7" s="354">
        <f t="shared" si="4"/>
        <v>0.15579814176171405</v>
      </c>
      <c r="M7" s="800"/>
      <c r="N7" s="800"/>
      <c r="O7" s="235"/>
      <c r="P7" s="235"/>
      <c r="Q7" s="235"/>
      <c r="R7" s="235"/>
      <c r="S7" s="235"/>
    </row>
    <row r="8" spans="1:38" s="355" customFormat="1" ht="18.75">
      <c r="A8" s="238">
        <v>46053</v>
      </c>
      <c r="B8" s="375">
        <v>4007768.4</v>
      </c>
      <c r="C8" s="376">
        <v>9651.4460999999992</v>
      </c>
      <c r="D8" s="319">
        <f t="shared" si="0"/>
        <v>2.4081845897083272E-3</v>
      </c>
      <c r="E8" s="376">
        <v>21994.649899999986</v>
      </c>
      <c r="F8" s="234">
        <f t="shared" si="1"/>
        <v>5.4880042220004496E-3</v>
      </c>
      <c r="G8" s="375">
        <v>2996.1004000000003</v>
      </c>
      <c r="H8" s="234">
        <f t="shared" si="2"/>
        <v>0.31043020589422349</v>
      </c>
      <c r="I8" s="237">
        <v>10093.837099999981</v>
      </c>
      <c r="J8" s="234">
        <f t="shared" si="3"/>
        <v>0.45892238093773829</v>
      </c>
      <c r="K8" s="353">
        <v>736.21969999999988</v>
      </c>
      <c r="L8" s="354">
        <f t="shared" si="4"/>
        <v>7.6280765842954859E-2</v>
      </c>
      <c r="M8" s="800"/>
      <c r="N8" s="800"/>
      <c r="O8" s="235"/>
      <c r="P8" s="235"/>
      <c r="Q8" s="235"/>
      <c r="R8" s="235"/>
      <c r="S8" s="235"/>
    </row>
    <row r="9" spans="1:38" s="355" customFormat="1" ht="18.75">
      <c r="A9" s="238">
        <v>46054</v>
      </c>
      <c r="B9" s="375">
        <v>5128838.01</v>
      </c>
      <c r="C9" s="376">
        <v>12378.659900000002</v>
      </c>
      <c r="D9" s="319">
        <f t="shared" si="0"/>
        <v>2.413540820720911E-3</v>
      </c>
      <c r="E9" s="376">
        <v>28219.647199999999</v>
      </c>
      <c r="F9" s="234">
        <f t="shared" si="1"/>
        <v>5.502152172671174E-3</v>
      </c>
      <c r="G9" s="375">
        <v>2760.1107000000002</v>
      </c>
      <c r="H9" s="234">
        <f t="shared" si="2"/>
        <v>0.22297330424273146</v>
      </c>
      <c r="I9" s="237">
        <v>11638.035400000008</v>
      </c>
      <c r="J9" s="234">
        <f t="shared" si="3"/>
        <v>0.41240896165420554</v>
      </c>
      <c r="K9" s="353">
        <v>1002.4709999999999</v>
      </c>
      <c r="L9" s="354">
        <f t="shared" si="4"/>
        <v>8.0983806655839999E-2</v>
      </c>
      <c r="M9" s="800"/>
      <c r="N9" s="800"/>
      <c r="O9" s="235"/>
      <c r="P9" s="235"/>
      <c r="Q9" s="235"/>
      <c r="R9" s="235"/>
      <c r="S9" s="235"/>
    </row>
    <row r="10" spans="1:38" s="355" customFormat="1" ht="18.75">
      <c r="A10" s="238">
        <v>46055</v>
      </c>
      <c r="B10" s="375">
        <v>4895972.91</v>
      </c>
      <c r="C10" s="376">
        <v>11810.805400000007</v>
      </c>
      <c r="D10" s="319">
        <f t="shared" si="0"/>
        <v>2.4123510519995926E-3</v>
      </c>
      <c r="E10" s="376">
        <v>26809.513200000001</v>
      </c>
      <c r="F10" s="234">
        <f t="shared" si="1"/>
        <v>5.4758295629540156E-3</v>
      </c>
      <c r="G10" s="375">
        <v>2138.3728999999998</v>
      </c>
      <c r="H10" s="234">
        <f t="shared" si="2"/>
        <v>0.18105225067885705</v>
      </c>
      <c r="I10" s="237">
        <v>10168.379999999997</v>
      </c>
      <c r="J10" s="234">
        <f t="shared" si="3"/>
        <v>0.37928253020274894</v>
      </c>
      <c r="K10" s="353">
        <v>1366.6701</v>
      </c>
      <c r="L10" s="354">
        <f t="shared" si="4"/>
        <v>0.11571353973878863</v>
      </c>
      <c r="M10" s="800"/>
      <c r="N10" s="800"/>
      <c r="O10" s="235"/>
      <c r="P10" s="235"/>
      <c r="Q10" s="235"/>
      <c r="R10" s="235"/>
      <c r="S10" s="235"/>
    </row>
    <row r="11" spans="1:38" s="355" customFormat="1" ht="18.75">
      <c r="A11" s="238">
        <f t="shared" ref="A11:A38" si="5">A10+1</f>
        <v>46056</v>
      </c>
      <c r="B11" s="375">
        <v>4840106</v>
      </c>
      <c r="C11" s="376">
        <v>11664.460000000005</v>
      </c>
      <c r="D11" s="319">
        <v>2.4099596165869106E-3</v>
      </c>
      <c r="E11" s="376">
        <v>26409.331799999978</v>
      </c>
      <c r="F11" s="234">
        <v>5.4563540137344052E-3</v>
      </c>
      <c r="G11" s="375">
        <v>2327.8438999999998</v>
      </c>
      <c r="H11" s="234">
        <v>0.19956722385776957</v>
      </c>
      <c r="I11" s="237">
        <v>11568.637400000003</v>
      </c>
      <c r="J11" s="234">
        <v>0.43805112100564442</v>
      </c>
      <c r="K11" s="353">
        <v>712.84370000000001</v>
      </c>
      <c r="L11" s="354">
        <v>6.1112447554365977E-2</v>
      </c>
      <c r="M11" s="800">
        <f>SUM(C11:C17)</f>
        <v>75123.120699999999</v>
      </c>
      <c r="N11" s="800">
        <f>SUM(E11:E17)</f>
        <v>171190.35149999993</v>
      </c>
      <c r="O11" s="235"/>
      <c r="P11" s="235"/>
      <c r="Q11" s="235"/>
      <c r="R11" s="235"/>
      <c r="S11" s="235"/>
    </row>
    <row r="12" spans="1:38" s="355" customFormat="1" ht="18.75">
      <c r="A12" s="239">
        <f t="shared" si="5"/>
        <v>46057</v>
      </c>
      <c r="B12" s="375">
        <v>4730102.72</v>
      </c>
      <c r="C12" s="376">
        <v>11379.551400000002</v>
      </c>
      <c r="D12" s="319">
        <v>2.4057725748501298E-3</v>
      </c>
      <c r="E12" s="376">
        <v>25704.695400000022</v>
      </c>
      <c r="F12" s="234">
        <v>5.4342784758805458E-3</v>
      </c>
      <c r="G12" s="375">
        <v>2056.1920999999998</v>
      </c>
      <c r="H12" s="234">
        <v>0.18069184168367122</v>
      </c>
      <c r="I12" s="237">
        <v>14400.072300000011</v>
      </c>
      <c r="J12" s="234">
        <v>0.56021174637222104</v>
      </c>
      <c r="K12" s="353">
        <v>1060.3129000000001</v>
      </c>
      <c r="L12" s="354">
        <v>9.3177038595739364E-2</v>
      </c>
      <c r="M12" s="800"/>
      <c r="N12" s="800"/>
      <c r="O12" s="235"/>
      <c r="P12" s="235"/>
      <c r="Q12" s="235"/>
      <c r="R12" s="235"/>
      <c r="S12" s="235"/>
    </row>
    <row r="13" spans="1:38" s="355" customFormat="1" ht="18.75">
      <c r="A13" s="238">
        <f t="shared" si="5"/>
        <v>46058</v>
      </c>
      <c r="B13" s="375">
        <v>4380960.53</v>
      </c>
      <c r="C13" s="376">
        <v>10532.943400000004</v>
      </c>
      <c r="D13" s="319">
        <v>2.4042543473907999E-3</v>
      </c>
      <c r="E13" s="376">
        <v>24691.689000000006</v>
      </c>
      <c r="F13" s="234">
        <v>5.6361359183484828E-3</v>
      </c>
      <c r="G13" s="375">
        <v>2279.5358000000001</v>
      </c>
      <c r="H13" s="234">
        <v>0.21641963821812613</v>
      </c>
      <c r="I13" s="237">
        <v>15237.926399999995</v>
      </c>
      <c r="J13" s="234">
        <v>0.61712774691111616</v>
      </c>
      <c r="K13" s="353">
        <v>892.20299999999986</v>
      </c>
      <c r="L13" s="354">
        <v>8.4705952184267838E-2</v>
      </c>
      <c r="M13" s="800"/>
      <c r="N13" s="800"/>
      <c r="O13" s="235"/>
      <c r="P13" s="235"/>
      <c r="Q13" s="235"/>
      <c r="R13" s="235"/>
      <c r="S13" s="235"/>
    </row>
    <row r="14" spans="1:38" s="355" customFormat="1" ht="18.75">
      <c r="A14" s="238">
        <f t="shared" si="5"/>
        <v>46059</v>
      </c>
      <c r="B14" s="375">
        <v>3638268.65</v>
      </c>
      <c r="C14" s="376">
        <v>8746.2898999999979</v>
      </c>
      <c r="D14" s="319">
        <v>2.4039703335266343E-3</v>
      </c>
      <c r="E14" s="376">
        <v>20410.241299999983</v>
      </c>
      <c r="F14" s="234">
        <v>5.6098774619075982E-3</v>
      </c>
      <c r="G14" s="375">
        <v>2538.3807999999999</v>
      </c>
      <c r="H14" s="234">
        <v>0.29022372103170291</v>
      </c>
      <c r="I14" s="237">
        <v>10822.600699999995</v>
      </c>
      <c r="J14" s="234">
        <v>0.53025344193260493</v>
      </c>
      <c r="K14" s="353">
        <v>1335.9659999999999</v>
      </c>
      <c r="L14" s="354">
        <v>0.15274659487333025</v>
      </c>
      <c r="M14" s="800"/>
      <c r="N14" s="800"/>
      <c r="O14" s="235"/>
      <c r="P14" s="235"/>
      <c r="Q14" s="235"/>
      <c r="R14" s="235"/>
      <c r="S14" s="235"/>
    </row>
    <row r="15" spans="1:38" s="355" customFormat="1" ht="18.75">
      <c r="A15" s="238">
        <f t="shared" si="5"/>
        <v>46060</v>
      </c>
      <c r="B15" s="375">
        <v>3904128.8</v>
      </c>
      <c r="C15" s="376">
        <v>9344.6860000000015</v>
      </c>
      <c r="D15" s="319">
        <v>2.3935393729838015E-3</v>
      </c>
      <c r="E15" s="376">
        <v>21088.746199999983</v>
      </c>
      <c r="F15" s="234">
        <v>5.4016522713082578E-3</v>
      </c>
      <c r="G15" s="375">
        <v>1975.5642000000003</v>
      </c>
      <c r="H15" s="234">
        <v>0.21141044225563063</v>
      </c>
      <c r="I15" s="237">
        <v>8194.5817000000061</v>
      </c>
      <c r="J15" s="234">
        <v>0.38857605010202134</v>
      </c>
      <c r="K15" s="353">
        <v>568.57619999999997</v>
      </c>
      <c r="L15" s="354">
        <v>6.0844869479830553E-2</v>
      </c>
      <c r="M15" s="800"/>
      <c r="N15" s="800"/>
      <c r="O15" s="235"/>
      <c r="P15" s="235"/>
      <c r="Q15" s="235"/>
      <c r="R15" s="235"/>
      <c r="S15" s="235"/>
    </row>
    <row r="16" spans="1:38" s="355" customFormat="1" ht="18.75">
      <c r="A16" s="238">
        <f t="shared" si="5"/>
        <v>46061</v>
      </c>
      <c r="B16" s="375">
        <v>4998806.51</v>
      </c>
      <c r="C16" s="376">
        <v>12047.0344</v>
      </c>
      <c r="D16" s="319">
        <v>2.4099821379163565E-3</v>
      </c>
      <c r="E16" s="376">
        <v>27175.620199999968</v>
      </c>
      <c r="F16" s="234">
        <v>5.4364217029876536E-3</v>
      </c>
      <c r="G16" s="375">
        <v>2246.9754999999996</v>
      </c>
      <c r="H16" s="234">
        <v>0.18651689912996341</v>
      </c>
      <c r="I16" s="237">
        <v>10110.394499999984</v>
      </c>
      <c r="J16" s="234">
        <v>0.37203914485086881</v>
      </c>
      <c r="K16" s="353">
        <v>812.23379999999997</v>
      </c>
      <c r="L16" s="354">
        <v>6.742188766390507E-2</v>
      </c>
      <c r="M16" s="800"/>
      <c r="N16" s="800"/>
      <c r="O16" s="235"/>
      <c r="P16" s="235"/>
      <c r="Q16" s="235"/>
      <c r="R16" s="235"/>
      <c r="S16" s="235"/>
    </row>
    <row r="17" spans="1:20" s="355" customFormat="1" ht="18.75">
      <c r="A17" s="238">
        <f t="shared" si="5"/>
        <v>46062</v>
      </c>
      <c r="B17" s="375">
        <v>4733266.22</v>
      </c>
      <c r="C17" s="376">
        <v>11408.155599999998</v>
      </c>
      <c r="D17" s="319">
        <v>2.410207892342045E-3</v>
      </c>
      <c r="E17" s="376">
        <v>25710.027600000005</v>
      </c>
      <c r="F17" s="234">
        <v>5.4317729882516529E-3</v>
      </c>
      <c r="G17" s="375">
        <v>2544.9815999999996</v>
      </c>
      <c r="H17" s="234">
        <v>0.22308440463417242</v>
      </c>
      <c r="I17" s="237">
        <v>12964.141500000011</v>
      </c>
      <c r="J17" s="234">
        <v>0.50424455787048661</v>
      </c>
      <c r="K17" s="353">
        <v>651.59379999999999</v>
      </c>
      <c r="L17" s="354">
        <v>5.7116489540167216E-2</v>
      </c>
      <c r="M17" s="800"/>
      <c r="N17" s="800"/>
      <c r="O17" s="235"/>
      <c r="P17" s="235"/>
      <c r="Q17" s="235"/>
      <c r="R17" s="235"/>
      <c r="S17" s="235"/>
      <c r="T17" s="437"/>
    </row>
    <row r="18" spans="1:20" s="355" customFormat="1" ht="18.75">
      <c r="A18" s="238">
        <f t="shared" si="5"/>
        <v>46063</v>
      </c>
      <c r="B18" s="375"/>
      <c r="C18" s="376"/>
      <c r="D18" s="319" t="e">
        <f t="shared" ref="D18:D38" si="6">C18/B18</f>
        <v>#DIV/0!</v>
      </c>
      <c r="E18" s="376"/>
      <c r="F18" s="234" t="e">
        <f t="shared" ref="F18:F38" si="7">E18/B18</f>
        <v>#DIV/0!</v>
      </c>
      <c r="G18" s="375"/>
      <c r="H18" s="234" t="e">
        <f t="shared" ref="H18:H38" si="8">G18/C18</f>
        <v>#DIV/0!</v>
      </c>
      <c r="I18" s="237"/>
      <c r="J18" s="234" t="e">
        <f t="shared" ref="J18:J38" si="9">I18/E18</f>
        <v>#DIV/0!</v>
      </c>
      <c r="K18" s="353"/>
      <c r="L18" s="354" t="e">
        <f t="shared" ref="L18:L38" si="10">K18/C18</f>
        <v>#DIV/0!</v>
      </c>
      <c r="M18" s="800">
        <f t="shared" ref="M18" si="11">SUM(C18:C24)</f>
        <v>0</v>
      </c>
      <c r="N18" s="800">
        <f t="shared" ref="N18" si="12">SUM(E18:E24)</f>
        <v>0</v>
      </c>
      <c r="O18" s="235"/>
      <c r="P18" s="235"/>
      <c r="Q18" s="235"/>
      <c r="R18" s="235"/>
      <c r="S18" s="235"/>
    </row>
    <row r="19" spans="1:20" s="355" customFormat="1" ht="18.75">
      <c r="A19" s="239">
        <f t="shared" si="5"/>
        <v>46064</v>
      </c>
      <c r="B19" s="375"/>
      <c r="C19" s="376"/>
      <c r="D19" s="319" t="e">
        <f t="shared" si="6"/>
        <v>#DIV/0!</v>
      </c>
      <c r="E19" s="376"/>
      <c r="F19" s="234" t="e">
        <f t="shared" si="7"/>
        <v>#DIV/0!</v>
      </c>
      <c r="G19" s="375"/>
      <c r="H19" s="234" t="e">
        <f t="shared" si="8"/>
        <v>#DIV/0!</v>
      </c>
      <c r="I19" s="237"/>
      <c r="J19" s="234" t="e">
        <f t="shared" si="9"/>
        <v>#DIV/0!</v>
      </c>
      <c r="K19" s="353"/>
      <c r="L19" s="354" t="e">
        <f t="shared" si="10"/>
        <v>#DIV/0!</v>
      </c>
      <c r="M19" s="800"/>
      <c r="N19" s="800"/>
      <c r="O19" s="235"/>
      <c r="P19" s="235"/>
      <c r="Q19" s="235"/>
      <c r="R19" s="235"/>
      <c r="S19" s="235"/>
    </row>
    <row r="20" spans="1:20" s="355" customFormat="1" ht="18.75">
      <c r="A20" s="238">
        <f t="shared" si="5"/>
        <v>46065</v>
      </c>
      <c r="B20" s="375"/>
      <c r="C20" s="376"/>
      <c r="D20" s="319" t="e">
        <f t="shared" si="6"/>
        <v>#DIV/0!</v>
      </c>
      <c r="E20" s="376"/>
      <c r="F20" s="234" t="e">
        <f t="shared" si="7"/>
        <v>#DIV/0!</v>
      </c>
      <c r="G20" s="375"/>
      <c r="H20" s="234" t="e">
        <f t="shared" si="8"/>
        <v>#DIV/0!</v>
      </c>
      <c r="I20" s="237"/>
      <c r="J20" s="234" t="e">
        <f t="shared" si="9"/>
        <v>#DIV/0!</v>
      </c>
      <c r="K20" s="353"/>
      <c r="L20" s="354" t="e">
        <f t="shared" si="10"/>
        <v>#DIV/0!</v>
      </c>
      <c r="M20" s="800"/>
      <c r="N20" s="800"/>
      <c r="O20" s="235"/>
      <c r="P20" s="235"/>
      <c r="Q20" s="235"/>
      <c r="R20" s="235"/>
      <c r="S20" s="235"/>
    </row>
    <row r="21" spans="1:20" s="355" customFormat="1" ht="18.75">
      <c r="A21" s="238">
        <f t="shared" si="5"/>
        <v>46066</v>
      </c>
      <c r="B21" s="375"/>
      <c r="C21" s="376"/>
      <c r="D21" s="319" t="e">
        <f t="shared" si="6"/>
        <v>#DIV/0!</v>
      </c>
      <c r="E21" s="376"/>
      <c r="F21" s="234" t="e">
        <f t="shared" si="7"/>
        <v>#DIV/0!</v>
      </c>
      <c r="G21" s="375"/>
      <c r="H21" s="234" t="e">
        <f t="shared" si="8"/>
        <v>#DIV/0!</v>
      </c>
      <c r="I21" s="237"/>
      <c r="J21" s="234" t="e">
        <f t="shared" si="9"/>
        <v>#DIV/0!</v>
      </c>
      <c r="K21" s="353"/>
      <c r="L21" s="354" t="e">
        <f t="shared" si="10"/>
        <v>#DIV/0!</v>
      </c>
      <c r="M21" s="800"/>
      <c r="N21" s="800"/>
      <c r="O21" s="235"/>
      <c r="P21" s="235"/>
      <c r="Q21" s="235"/>
      <c r="R21" s="235"/>
      <c r="S21" s="235"/>
    </row>
    <row r="22" spans="1:20" s="355" customFormat="1" ht="18.75">
      <c r="A22" s="238">
        <f t="shared" si="5"/>
        <v>46067</v>
      </c>
      <c r="B22" s="375"/>
      <c r="C22" s="376"/>
      <c r="D22" s="319" t="e">
        <f t="shared" si="6"/>
        <v>#DIV/0!</v>
      </c>
      <c r="E22" s="376"/>
      <c r="F22" s="234" t="e">
        <f t="shared" si="7"/>
        <v>#DIV/0!</v>
      </c>
      <c r="G22" s="375"/>
      <c r="H22" s="234" t="e">
        <f t="shared" si="8"/>
        <v>#DIV/0!</v>
      </c>
      <c r="I22" s="237"/>
      <c r="J22" s="234" t="e">
        <f t="shared" si="9"/>
        <v>#DIV/0!</v>
      </c>
      <c r="K22" s="353"/>
      <c r="L22" s="354" t="e">
        <f t="shared" si="10"/>
        <v>#DIV/0!</v>
      </c>
      <c r="M22" s="800"/>
      <c r="N22" s="800"/>
      <c r="O22" s="235"/>
      <c r="P22" s="235"/>
      <c r="Q22" s="235"/>
      <c r="R22" s="235"/>
      <c r="S22" s="235"/>
    </row>
    <row r="23" spans="1:20" s="355" customFormat="1" ht="18.75">
      <c r="A23" s="238">
        <f t="shared" si="5"/>
        <v>46068</v>
      </c>
      <c r="B23" s="375"/>
      <c r="C23" s="376"/>
      <c r="D23" s="319" t="e">
        <f t="shared" si="6"/>
        <v>#DIV/0!</v>
      </c>
      <c r="E23" s="376"/>
      <c r="F23" s="234" t="e">
        <f t="shared" si="7"/>
        <v>#DIV/0!</v>
      </c>
      <c r="G23" s="375"/>
      <c r="H23" s="234" t="e">
        <f t="shared" si="8"/>
        <v>#DIV/0!</v>
      </c>
      <c r="I23" s="237"/>
      <c r="J23" s="234" t="e">
        <f t="shared" si="9"/>
        <v>#DIV/0!</v>
      </c>
      <c r="K23" s="353"/>
      <c r="L23" s="354" t="e">
        <f t="shared" si="10"/>
        <v>#DIV/0!</v>
      </c>
      <c r="M23" s="800"/>
      <c r="N23" s="800"/>
      <c r="O23" s="235"/>
      <c r="P23" s="235"/>
      <c r="Q23" s="235"/>
      <c r="R23" s="235"/>
      <c r="S23" s="235"/>
    </row>
    <row r="24" spans="1:20" s="355" customFormat="1" ht="18.75">
      <c r="A24" s="238">
        <f t="shared" si="5"/>
        <v>46069</v>
      </c>
      <c r="B24" s="375"/>
      <c r="C24" s="376"/>
      <c r="D24" s="319" t="e">
        <f t="shared" si="6"/>
        <v>#DIV/0!</v>
      </c>
      <c r="E24" s="376"/>
      <c r="F24" s="234" t="e">
        <f t="shared" si="7"/>
        <v>#DIV/0!</v>
      </c>
      <c r="G24" s="375"/>
      <c r="H24" s="234" t="e">
        <f t="shared" si="8"/>
        <v>#DIV/0!</v>
      </c>
      <c r="I24" s="237"/>
      <c r="J24" s="234" t="e">
        <f t="shared" si="9"/>
        <v>#DIV/0!</v>
      </c>
      <c r="K24" s="353"/>
      <c r="L24" s="354" t="e">
        <f t="shared" si="10"/>
        <v>#DIV/0!</v>
      </c>
      <c r="M24" s="800"/>
      <c r="N24" s="800"/>
      <c r="O24" s="235"/>
      <c r="P24" s="235"/>
      <c r="Q24" s="235"/>
      <c r="R24" s="235"/>
      <c r="S24" s="235"/>
    </row>
    <row r="25" spans="1:20" s="355" customFormat="1" ht="18.75">
      <c r="A25" s="238">
        <f t="shared" si="5"/>
        <v>46070</v>
      </c>
      <c r="B25" s="375"/>
      <c r="C25" s="376"/>
      <c r="D25" s="319" t="e">
        <f t="shared" si="6"/>
        <v>#DIV/0!</v>
      </c>
      <c r="E25" s="376"/>
      <c r="F25" s="234" t="e">
        <f t="shared" si="7"/>
        <v>#DIV/0!</v>
      </c>
      <c r="G25" s="375"/>
      <c r="H25" s="234" t="e">
        <f t="shared" si="8"/>
        <v>#DIV/0!</v>
      </c>
      <c r="I25" s="237"/>
      <c r="J25" s="234" t="e">
        <f t="shared" si="9"/>
        <v>#DIV/0!</v>
      </c>
      <c r="K25" s="353"/>
      <c r="L25" s="354" t="e">
        <f t="shared" si="10"/>
        <v>#DIV/0!</v>
      </c>
      <c r="M25" s="800">
        <f t="shared" ref="M25" si="13">SUM(C25:C31)</f>
        <v>0</v>
      </c>
      <c r="N25" s="800">
        <f t="shared" ref="N25" si="14">SUM(E25:E31)</f>
        <v>0</v>
      </c>
      <c r="O25" s="235"/>
      <c r="P25" s="235"/>
      <c r="Q25" s="235"/>
      <c r="R25" s="235"/>
      <c r="S25" s="235"/>
    </row>
    <row r="26" spans="1:20" s="355" customFormat="1" ht="18.75">
      <c r="A26" s="239">
        <f t="shared" si="5"/>
        <v>46071</v>
      </c>
      <c r="B26" s="375"/>
      <c r="C26" s="376"/>
      <c r="D26" s="319" t="e">
        <f t="shared" si="6"/>
        <v>#DIV/0!</v>
      </c>
      <c r="E26" s="376"/>
      <c r="F26" s="234" t="e">
        <f t="shared" si="7"/>
        <v>#DIV/0!</v>
      </c>
      <c r="G26" s="375"/>
      <c r="H26" s="234" t="e">
        <f t="shared" si="8"/>
        <v>#DIV/0!</v>
      </c>
      <c r="I26" s="237"/>
      <c r="J26" s="234" t="e">
        <f t="shared" si="9"/>
        <v>#DIV/0!</v>
      </c>
      <c r="K26" s="353"/>
      <c r="L26" s="354" t="e">
        <f t="shared" si="10"/>
        <v>#DIV/0!</v>
      </c>
      <c r="M26" s="800"/>
      <c r="N26" s="800"/>
      <c r="O26" s="235"/>
      <c r="P26" s="235"/>
      <c r="Q26" s="235"/>
      <c r="R26" s="235"/>
      <c r="S26" s="235"/>
    </row>
    <row r="27" spans="1:20" s="355" customFormat="1" ht="18.75">
      <c r="A27" s="238">
        <f t="shared" si="5"/>
        <v>46072</v>
      </c>
      <c r="B27" s="375"/>
      <c r="C27" s="376"/>
      <c r="D27" s="319" t="e">
        <f t="shared" si="6"/>
        <v>#DIV/0!</v>
      </c>
      <c r="E27" s="376"/>
      <c r="F27" s="234" t="e">
        <f t="shared" si="7"/>
        <v>#DIV/0!</v>
      </c>
      <c r="G27" s="375"/>
      <c r="H27" s="234" t="e">
        <f t="shared" si="8"/>
        <v>#DIV/0!</v>
      </c>
      <c r="I27" s="237"/>
      <c r="J27" s="234" t="e">
        <f t="shared" si="9"/>
        <v>#DIV/0!</v>
      </c>
      <c r="K27" s="353"/>
      <c r="L27" s="354" t="e">
        <f t="shared" si="10"/>
        <v>#DIV/0!</v>
      </c>
      <c r="M27" s="800"/>
      <c r="N27" s="800"/>
      <c r="O27" s="235"/>
      <c r="P27" s="235"/>
      <c r="Q27" s="235"/>
      <c r="R27" s="235"/>
      <c r="S27" s="235"/>
    </row>
    <row r="28" spans="1:20" s="355" customFormat="1" ht="18.75">
      <c r="A28" s="238">
        <f t="shared" si="5"/>
        <v>46073</v>
      </c>
      <c r="B28" s="375"/>
      <c r="C28" s="376"/>
      <c r="D28" s="319" t="e">
        <f t="shared" si="6"/>
        <v>#DIV/0!</v>
      </c>
      <c r="E28" s="376"/>
      <c r="F28" s="234" t="e">
        <f t="shared" si="7"/>
        <v>#DIV/0!</v>
      </c>
      <c r="G28" s="375"/>
      <c r="H28" s="234" t="e">
        <f t="shared" si="8"/>
        <v>#DIV/0!</v>
      </c>
      <c r="I28" s="237"/>
      <c r="J28" s="234" t="e">
        <f t="shared" si="9"/>
        <v>#DIV/0!</v>
      </c>
      <c r="K28" s="353"/>
      <c r="L28" s="354" t="e">
        <f t="shared" si="10"/>
        <v>#DIV/0!</v>
      </c>
      <c r="M28" s="800"/>
      <c r="N28" s="800"/>
      <c r="O28" s="235"/>
      <c r="P28" s="235"/>
      <c r="Q28" s="235"/>
      <c r="R28" s="235"/>
      <c r="S28" s="235"/>
    </row>
    <row r="29" spans="1:20" s="355" customFormat="1" ht="18.75">
      <c r="A29" s="238">
        <f t="shared" si="5"/>
        <v>46074</v>
      </c>
      <c r="B29" s="375"/>
      <c r="C29" s="376"/>
      <c r="D29" s="319" t="e">
        <f t="shared" si="6"/>
        <v>#DIV/0!</v>
      </c>
      <c r="E29" s="376"/>
      <c r="F29" s="234" t="e">
        <f t="shared" si="7"/>
        <v>#DIV/0!</v>
      </c>
      <c r="G29" s="375"/>
      <c r="H29" s="234" t="e">
        <f t="shared" si="8"/>
        <v>#DIV/0!</v>
      </c>
      <c r="I29" s="237"/>
      <c r="J29" s="234" t="e">
        <f t="shared" si="9"/>
        <v>#DIV/0!</v>
      </c>
      <c r="K29" s="353"/>
      <c r="L29" s="354" t="e">
        <f t="shared" si="10"/>
        <v>#DIV/0!</v>
      </c>
      <c r="M29" s="800"/>
      <c r="N29" s="800"/>
      <c r="O29" s="235"/>
      <c r="P29" s="235"/>
      <c r="Q29" s="235"/>
      <c r="R29" s="235"/>
      <c r="S29" s="235"/>
    </row>
    <row r="30" spans="1:20" s="355" customFormat="1" ht="18.75">
      <c r="A30" s="238">
        <f t="shared" si="5"/>
        <v>46075</v>
      </c>
      <c r="B30" s="375"/>
      <c r="C30" s="376"/>
      <c r="D30" s="319" t="e">
        <f t="shared" si="6"/>
        <v>#DIV/0!</v>
      </c>
      <c r="E30" s="376"/>
      <c r="F30" s="234" t="e">
        <f t="shared" si="7"/>
        <v>#DIV/0!</v>
      </c>
      <c r="G30" s="375"/>
      <c r="H30" s="234" t="e">
        <f t="shared" si="8"/>
        <v>#DIV/0!</v>
      </c>
      <c r="I30" s="237"/>
      <c r="J30" s="234" t="e">
        <f t="shared" si="9"/>
        <v>#DIV/0!</v>
      </c>
      <c r="K30" s="353"/>
      <c r="L30" s="354" t="e">
        <f t="shared" si="10"/>
        <v>#DIV/0!</v>
      </c>
      <c r="M30" s="800"/>
      <c r="N30" s="800"/>
      <c r="O30" s="235"/>
      <c r="P30" s="235"/>
      <c r="Q30" s="235"/>
      <c r="R30" s="235"/>
      <c r="S30" s="235"/>
    </row>
    <row r="31" spans="1:20" s="355" customFormat="1" ht="18.75">
      <c r="A31" s="238">
        <f t="shared" si="5"/>
        <v>46076</v>
      </c>
      <c r="B31" s="375"/>
      <c r="C31" s="376"/>
      <c r="D31" s="319" t="e">
        <f t="shared" si="6"/>
        <v>#DIV/0!</v>
      </c>
      <c r="E31" s="376"/>
      <c r="F31" s="234" t="e">
        <f t="shared" si="7"/>
        <v>#DIV/0!</v>
      </c>
      <c r="G31" s="375"/>
      <c r="H31" s="234" t="e">
        <f t="shared" si="8"/>
        <v>#DIV/0!</v>
      </c>
      <c r="I31" s="237"/>
      <c r="J31" s="234" t="e">
        <f t="shared" si="9"/>
        <v>#DIV/0!</v>
      </c>
      <c r="K31" s="353"/>
      <c r="L31" s="354" t="e">
        <f t="shared" si="10"/>
        <v>#DIV/0!</v>
      </c>
      <c r="M31" s="800"/>
      <c r="N31" s="800"/>
      <c r="O31" s="235"/>
      <c r="P31" s="235"/>
      <c r="Q31" s="235"/>
      <c r="R31" s="235"/>
      <c r="S31" s="235"/>
    </row>
    <row r="32" spans="1:20" s="355" customFormat="1" ht="18.75">
      <c r="A32" s="238">
        <f t="shared" si="5"/>
        <v>46077</v>
      </c>
      <c r="B32" s="375"/>
      <c r="C32" s="376"/>
      <c r="D32" s="319" t="e">
        <f t="shared" si="6"/>
        <v>#DIV/0!</v>
      </c>
      <c r="E32" s="376"/>
      <c r="F32" s="234" t="e">
        <f t="shared" si="7"/>
        <v>#DIV/0!</v>
      </c>
      <c r="G32" s="375"/>
      <c r="H32" s="234" t="e">
        <f t="shared" si="8"/>
        <v>#DIV/0!</v>
      </c>
      <c r="I32" s="237"/>
      <c r="J32" s="234" t="e">
        <f t="shared" si="9"/>
        <v>#DIV/0!</v>
      </c>
      <c r="K32" s="353"/>
      <c r="L32" s="354" t="e">
        <f t="shared" si="10"/>
        <v>#DIV/0!</v>
      </c>
      <c r="M32" s="800">
        <f>SUM(C32:C38)</f>
        <v>0</v>
      </c>
      <c r="N32" s="800">
        <f>SUM(E32:E38)</f>
        <v>0</v>
      </c>
      <c r="O32" s="235"/>
      <c r="P32" s="235"/>
      <c r="Q32" s="235"/>
      <c r="R32" s="235"/>
      <c r="S32" s="235"/>
    </row>
    <row r="33" spans="1:19" s="355" customFormat="1" ht="18.75">
      <c r="A33" s="239">
        <f t="shared" si="5"/>
        <v>46078</v>
      </c>
      <c r="B33" s="375"/>
      <c r="C33" s="376"/>
      <c r="D33" s="319" t="e">
        <f t="shared" si="6"/>
        <v>#DIV/0!</v>
      </c>
      <c r="E33" s="376"/>
      <c r="F33" s="234" t="e">
        <f t="shared" si="7"/>
        <v>#DIV/0!</v>
      </c>
      <c r="G33" s="375"/>
      <c r="H33" s="234" t="e">
        <f t="shared" si="8"/>
        <v>#DIV/0!</v>
      </c>
      <c r="I33" s="237"/>
      <c r="J33" s="234" t="e">
        <f t="shared" si="9"/>
        <v>#DIV/0!</v>
      </c>
      <c r="K33" s="353"/>
      <c r="L33" s="354" t="e">
        <f t="shared" si="10"/>
        <v>#DIV/0!</v>
      </c>
      <c r="M33" s="800"/>
      <c r="N33" s="800"/>
      <c r="O33" s="235"/>
      <c r="P33" s="235"/>
      <c r="Q33" s="235"/>
      <c r="R33" s="235"/>
      <c r="S33" s="235"/>
    </row>
    <row r="34" spans="1:19" s="355" customFormat="1" ht="18.75">
      <c r="A34" s="238">
        <f t="shared" si="5"/>
        <v>46079</v>
      </c>
      <c r="B34" s="375"/>
      <c r="C34" s="376"/>
      <c r="D34" s="319" t="e">
        <f t="shared" si="6"/>
        <v>#DIV/0!</v>
      </c>
      <c r="E34" s="376"/>
      <c r="F34" s="234" t="e">
        <f t="shared" si="7"/>
        <v>#DIV/0!</v>
      </c>
      <c r="G34" s="375"/>
      <c r="H34" s="234" t="e">
        <f t="shared" si="8"/>
        <v>#DIV/0!</v>
      </c>
      <c r="I34" s="237"/>
      <c r="J34" s="234" t="e">
        <f t="shared" si="9"/>
        <v>#DIV/0!</v>
      </c>
      <c r="K34" s="353"/>
      <c r="L34" s="354" t="e">
        <f t="shared" si="10"/>
        <v>#DIV/0!</v>
      </c>
      <c r="M34" s="800"/>
      <c r="N34" s="800"/>
      <c r="O34" s="235"/>
      <c r="P34" s="235"/>
      <c r="Q34" s="235"/>
      <c r="R34" s="235"/>
      <c r="S34" s="235"/>
    </row>
    <row r="35" spans="1:19" s="355" customFormat="1" ht="18.75">
      <c r="A35" s="238">
        <f t="shared" si="5"/>
        <v>46080</v>
      </c>
      <c r="B35" s="375"/>
      <c r="C35" s="376"/>
      <c r="D35" s="319" t="e">
        <f t="shared" si="6"/>
        <v>#DIV/0!</v>
      </c>
      <c r="E35" s="376"/>
      <c r="F35" s="234" t="e">
        <f t="shared" si="7"/>
        <v>#DIV/0!</v>
      </c>
      <c r="G35" s="375"/>
      <c r="H35" s="234" t="e">
        <f t="shared" si="8"/>
        <v>#DIV/0!</v>
      </c>
      <c r="I35" s="237"/>
      <c r="J35" s="234" t="e">
        <f t="shared" si="9"/>
        <v>#DIV/0!</v>
      </c>
      <c r="K35" s="353"/>
      <c r="L35" s="354" t="e">
        <f t="shared" si="10"/>
        <v>#DIV/0!</v>
      </c>
      <c r="M35" s="800"/>
      <c r="N35" s="800"/>
      <c r="O35" s="235"/>
      <c r="P35" s="235"/>
      <c r="Q35" s="235"/>
      <c r="R35" s="235"/>
      <c r="S35" s="235"/>
    </row>
    <row r="36" spans="1:19" s="355" customFormat="1" ht="18.75">
      <c r="A36" s="238">
        <f t="shared" si="5"/>
        <v>46081</v>
      </c>
      <c r="B36" s="375"/>
      <c r="C36" s="376"/>
      <c r="D36" s="319" t="e">
        <f t="shared" si="6"/>
        <v>#DIV/0!</v>
      </c>
      <c r="E36" s="376"/>
      <c r="F36" s="234" t="e">
        <f t="shared" si="7"/>
        <v>#DIV/0!</v>
      </c>
      <c r="G36" s="375"/>
      <c r="H36" s="234" t="e">
        <f t="shared" si="8"/>
        <v>#DIV/0!</v>
      </c>
      <c r="I36" s="237"/>
      <c r="J36" s="234" t="e">
        <f t="shared" si="9"/>
        <v>#DIV/0!</v>
      </c>
      <c r="K36" s="353"/>
      <c r="L36" s="354" t="e">
        <f t="shared" si="10"/>
        <v>#DIV/0!</v>
      </c>
      <c r="M36" s="800"/>
      <c r="N36" s="800"/>
      <c r="O36" s="235"/>
      <c r="P36" s="235"/>
      <c r="Q36" s="235"/>
      <c r="R36" s="235"/>
      <c r="S36" s="235"/>
    </row>
    <row r="37" spans="1:19" s="355" customFormat="1" ht="18.75">
      <c r="A37" s="238">
        <f t="shared" si="5"/>
        <v>46082</v>
      </c>
      <c r="B37" s="375"/>
      <c r="C37" s="376"/>
      <c r="D37" s="319" t="e">
        <f t="shared" si="6"/>
        <v>#DIV/0!</v>
      </c>
      <c r="E37" s="376"/>
      <c r="F37" s="234" t="e">
        <f t="shared" si="7"/>
        <v>#DIV/0!</v>
      </c>
      <c r="G37" s="375"/>
      <c r="H37" s="234" t="e">
        <f t="shared" si="8"/>
        <v>#DIV/0!</v>
      </c>
      <c r="I37" s="237"/>
      <c r="J37" s="234" t="e">
        <f t="shared" si="9"/>
        <v>#DIV/0!</v>
      </c>
      <c r="K37" s="353"/>
      <c r="L37" s="354" t="e">
        <f t="shared" si="10"/>
        <v>#DIV/0!</v>
      </c>
      <c r="M37" s="800"/>
      <c r="N37" s="800"/>
      <c r="O37" s="235"/>
      <c r="P37" s="235"/>
      <c r="Q37" s="235"/>
      <c r="R37" s="235"/>
      <c r="S37" s="235"/>
    </row>
    <row r="38" spans="1:19" s="355" customFormat="1" ht="18.75">
      <c r="A38" s="238">
        <f t="shared" si="5"/>
        <v>46083</v>
      </c>
      <c r="B38" s="375"/>
      <c r="C38" s="376"/>
      <c r="D38" s="319" t="e">
        <f t="shared" si="6"/>
        <v>#DIV/0!</v>
      </c>
      <c r="E38" s="376"/>
      <c r="F38" s="234" t="e">
        <f t="shared" si="7"/>
        <v>#DIV/0!</v>
      </c>
      <c r="G38" s="375"/>
      <c r="H38" s="234" t="e">
        <f t="shared" si="8"/>
        <v>#DIV/0!</v>
      </c>
      <c r="I38" s="237"/>
      <c r="J38" s="234" t="e">
        <f t="shared" si="9"/>
        <v>#DIV/0!</v>
      </c>
      <c r="K38" s="353"/>
      <c r="L38" s="354" t="e">
        <f t="shared" si="10"/>
        <v>#DIV/0!</v>
      </c>
      <c r="M38" s="800"/>
      <c r="N38" s="800"/>
      <c r="O38" s="235"/>
      <c r="P38" s="235"/>
      <c r="Q38" s="235"/>
      <c r="R38" s="235"/>
      <c r="S38" s="235"/>
    </row>
    <row r="40" spans="1:19" ht="18.75">
      <c r="A40" s="238" t="s">
        <v>485</v>
      </c>
      <c r="B40" s="378">
        <f>SUM(B9:B36)</f>
        <v>41250450.350000001</v>
      </c>
      <c r="C40" s="378">
        <f>SUM(C9:C36)</f>
        <v>99312.586000000025</v>
      </c>
      <c r="D40" s="379">
        <f>C40/B40</f>
        <v>2.4075515577977203E-3</v>
      </c>
      <c r="E40" s="378">
        <f>SUM(E9:E36)</f>
        <v>226219.51189999998</v>
      </c>
      <c r="F40" s="380">
        <f>E40/B40</f>
        <v>5.4840495068679889E-3</v>
      </c>
      <c r="G40" s="378">
        <f>SUM(G9:G36)</f>
        <v>20867.9575</v>
      </c>
      <c r="H40" s="381">
        <f>G40/C40</f>
        <v>0.21012399677116447</v>
      </c>
      <c r="I40" s="378">
        <f>SUM(I9:I36)</f>
        <v>105104.76990000001</v>
      </c>
      <c r="J40" s="381">
        <f>I40/E40</f>
        <v>0.46461407779211117</v>
      </c>
      <c r="K40" s="378">
        <f>SUM(K9:K36)</f>
        <v>8402.8704999999991</v>
      </c>
      <c r="L40" s="382">
        <f>K40/C40</f>
        <v>8.4610328241779914E-2</v>
      </c>
    </row>
  </sheetData>
  <mergeCells count="22">
    <mergeCell ref="M32:M38"/>
    <mergeCell ref="N32:N38"/>
    <mergeCell ref="M25:M31"/>
    <mergeCell ref="N25:N31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4" type="noConversion"/>
  <conditionalFormatting sqref="A4:A38">
    <cfRule type="timePeriod" dxfId="6" priority="1" timePeriod="yesterday">
      <formula>FLOOR(A4,1)=TODAY()-1</formula>
    </cfRule>
  </conditionalFormatting>
  <conditionalFormatting sqref="D4:D38">
    <cfRule type="cellIs" dxfId="5" priority="4" operator="greaterThan">
      <formula>0.0025</formula>
    </cfRule>
  </conditionalFormatting>
  <conditionalFormatting sqref="D40">
    <cfRule type="cellIs" dxfId="4" priority="16" operator="greaterThan">
      <formula>0.0025</formula>
    </cfRule>
  </conditionalFormatting>
  <conditionalFormatting sqref="H40 J40">
    <cfRule type="cellIs" dxfId="3" priority="15" operator="greaterThan">
      <formula>0.16</formula>
    </cfRule>
  </conditionalFormatting>
  <conditionalFormatting sqref="H4:J38">
    <cfRule type="cellIs" dxfId="2" priority="2" operator="greaterThan">
      <formula>0.16</formula>
    </cfRule>
  </conditionalFormatting>
  <conditionalFormatting sqref="L4:L38">
    <cfRule type="cellIs" dxfId="1" priority="3" operator="greaterThan">
      <formula>0.15</formula>
    </cfRule>
  </conditionalFormatting>
  <conditionalFormatting sqref="L40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3" ySplit="2" topLeftCell="D30" activePane="bottomRight" state="frozen"/>
      <selection pane="topRight" activeCell="D1" sqref="D1"/>
      <selection pane="bottomLeft" activeCell="A4" sqref="A4"/>
      <selection pane="bottomRight" activeCell="U50" sqref="U50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32" t="s">
        <v>510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AA2" s="149"/>
      <c r="AB2" s="149"/>
    </row>
    <row r="3" spans="2:34" ht="17.100000000000001" customHeight="1">
      <c r="B3" s="823" t="s">
        <v>511</v>
      </c>
      <c r="C3" s="824"/>
      <c r="D3" s="829" t="s">
        <v>172</v>
      </c>
      <c r="E3" s="829"/>
      <c r="F3" s="829"/>
      <c r="G3" s="829" t="s">
        <v>186</v>
      </c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 t="s">
        <v>173</v>
      </c>
      <c r="U3" s="814" t="s">
        <v>252</v>
      </c>
      <c r="V3" s="807" t="s">
        <v>512</v>
      </c>
      <c r="W3" s="807" t="s">
        <v>513</v>
      </c>
      <c r="X3" s="810" t="s">
        <v>253</v>
      </c>
      <c r="Y3" s="813" t="s">
        <v>174</v>
      </c>
      <c r="AA3" s="814" t="s">
        <v>254</v>
      </c>
      <c r="AB3" s="815"/>
      <c r="AC3" s="815"/>
      <c r="AD3" s="815"/>
      <c r="AE3" s="815"/>
      <c r="AF3" s="815"/>
      <c r="AG3" s="815"/>
      <c r="AH3" s="816"/>
    </row>
    <row r="4" spans="2:34" ht="17.100000000000001" customHeight="1">
      <c r="B4" s="825"/>
      <c r="C4" s="826"/>
      <c r="D4" s="830" t="s">
        <v>171</v>
      </c>
      <c r="E4" s="829" t="s">
        <v>175</v>
      </c>
      <c r="F4" s="829"/>
      <c r="G4" s="829" t="s">
        <v>187</v>
      </c>
      <c r="H4" s="829"/>
      <c r="I4" s="829"/>
      <c r="J4" s="829"/>
      <c r="K4" s="829"/>
      <c r="L4" s="829"/>
      <c r="M4" s="829"/>
      <c r="N4" s="829"/>
      <c r="O4" s="829" t="s">
        <v>176</v>
      </c>
      <c r="P4" s="829"/>
      <c r="Q4" s="829"/>
      <c r="R4" s="829"/>
      <c r="S4" s="829"/>
      <c r="T4" s="829"/>
      <c r="U4" s="817"/>
      <c r="V4" s="808"/>
      <c r="W4" s="808"/>
      <c r="X4" s="811"/>
      <c r="Y4" s="813"/>
      <c r="AA4" s="817"/>
      <c r="AB4" s="818"/>
      <c r="AC4" s="818"/>
      <c r="AD4" s="818"/>
      <c r="AE4" s="818"/>
      <c r="AF4" s="818"/>
      <c r="AG4" s="818"/>
      <c r="AH4" s="819"/>
    </row>
    <row r="5" spans="2:34" ht="17.100000000000001" customHeight="1">
      <c r="B5" s="825"/>
      <c r="C5" s="826"/>
      <c r="D5" s="830"/>
      <c r="E5" s="830" t="s">
        <v>177</v>
      </c>
      <c r="F5" s="813" t="s">
        <v>255</v>
      </c>
      <c r="G5" s="831" t="s">
        <v>188</v>
      </c>
      <c r="H5" s="831"/>
      <c r="I5" s="831"/>
      <c r="J5" s="831"/>
      <c r="K5" s="831"/>
      <c r="L5" s="831"/>
      <c r="M5" s="831"/>
      <c r="N5" s="831"/>
      <c r="O5" s="831" t="s">
        <v>170</v>
      </c>
      <c r="P5" s="831"/>
      <c r="Q5" s="831" t="s">
        <v>178</v>
      </c>
      <c r="R5" s="831"/>
      <c r="S5" s="831"/>
      <c r="T5" s="829"/>
      <c r="U5" s="817"/>
      <c r="V5" s="808"/>
      <c r="W5" s="808"/>
      <c r="X5" s="811"/>
      <c r="Y5" s="813"/>
      <c r="AA5" s="820"/>
      <c r="AB5" s="821"/>
      <c r="AC5" s="821"/>
      <c r="AD5" s="821"/>
      <c r="AE5" s="821"/>
      <c r="AF5" s="821"/>
      <c r="AG5" s="821"/>
      <c r="AH5" s="822"/>
    </row>
    <row r="6" spans="2:34" ht="38.450000000000003" customHeight="1">
      <c r="B6" s="827"/>
      <c r="C6" s="828"/>
      <c r="D6" s="830"/>
      <c r="E6" s="830"/>
      <c r="F6" s="813"/>
      <c r="G6" s="396" t="s">
        <v>179</v>
      </c>
      <c r="H6" s="396" t="s">
        <v>259</v>
      </c>
      <c r="I6" s="396" t="s">
        <v>260</v>
      </c>
      <c r="J6" s="396" t="s">
        <v>180</v>
      </c>
      <c r="K6" s="396" t="s">
        <v>257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7" t="s">
        <v>183</v>
      </c>
      <c r="R6" s="397" t="s">
        <v>184</v>
      </c>
      <c r="S6" s="396" t="s">
        <v>185</v>
      </c>
      <c r="T6" s="829"/>
      <c r="U6" s="820"/>
      <c r="V6" s="809"/>
      <c r="W6" s="809"/>
      <c r="X6" s="812"/>
      <c r="Y6" s="813"/>
      <c r="AA6" s="163" t="s">
        <v>251</v>
      </c>
      <c r="AB6" s="163" t="s">
        <v>514</v>
      </c>
      <c r="AC6" s="158" t="s">
        <v>403</v>
      </c>
      <c r="AD6" s="158" t="s">
        <v>346</v>
      </c>
      <c r="AE6" s="158" t="s">
        <v>473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01" t="s">
        <v>650</v>
      </c>
      <c r="C7" s="802"/>
      <c r="D7" s="395">
        <v>1</v>
      </c>
      <c r="E7" s="398" t="s">
        <v>375</v>
      </c>
      <c r="F7" s="399">
        <v>3050.4175000000005</v>
      </c>
      <c r="G7" s="400">
        <v>1030.0200000000002</v>
      </c>
      <c r="H7" s="400">
        <v>1065.2099999999998</v>
      </c>
      <c r="I7" s="401">
        <f>H7/G7</f>
        <v>1.0341643851575693</v>
      </c>
      <c r="J7" s="400">
        <v>0</v>
      </c>
      <c r="K7" s="401">
        <f>J7/G7</f>
        <v>0</v>
      </c>
      <c r="L7" s="400">
        <v>152.75</v>
      </c>
      <c r="M7" s="401">
        <f>(H7+J7)/G7</f>
        <v>1.0341643851575693</v>
      </c>
      <c r="N7" s="402">
        <v>5375.2724999999909</v>
      </c>
      <c r="O7" s="400">
        <v>19.97</v>
      </c>
      <c r="P7" s="401">
        <f>O7/G7</f>
        <v>1.9387973049067003E-2</v>
      </c>
      <c r="Q7" s="403">
        <f>((H7+J7)-G7)-O7</f>
        <v>15.219999999999601</v>
      </c>
      <c r="R7" s="401">
        <f>Q7/G7</f>
        <v>1.4776412108502357E-2</v>
      </c>
      <c r="S7" s="404">
        <f>Q7*L7</f>
        <v>2324.8549999999391</v>
      </c>
      <c r="T7" s="405" t="s">
        <v>438</v>
      </c>
      <c r="U7" s="405" t="s">
        <v>514</v>
      </c>
      <c r="V7" s="406" t="s">
        <v>533</v>
      </c>
      <c r="W7" s="406" t="s">
        <v>631</v>
      </c>
      <c r="X7" s="406">
        <v>1</v>
      </c>
      <c r="Y7" s="407" t="s">
        <v>378</v>
      </c>
      <c r="Z7" s="408" t="s">
        <v>515</v>
      </c>
      <c r="AA7" s="418">
        <f>SUM(X7:X26)</f>
        <v>20</v>
      </c>
      <c r="AB7" s="410">
        <f>SUMIF($U$7:$U$26,TRIM(AB6),$X$7:$X$26)</f>
        <v>18</v>
      </c>
      <c r="AC7" s="410">
        <f t="shared" ref="AC7:AG7" si="0">SUMIF($U$7:$U$26,TRIM(AC6),$X$7:$X$26)</f>
        <v>0</v>
      </c>
      <c r="AD7" s="410">
        <f t="shared" si="0"/>
        <v>1</v>
      </c>
      <c r="AE7" s="410">
        <f t="shared" si="0"/>
        <v>0</v>
      </c>
      <c r="AF7" s="410">
        <f t="shared" si="0"/>
        <v>0</v>
      </c>
      <c r="AG7" s="410">
        <f t="shared" si="0"/>
        <v>1</v>
      </c>
      <c r="AH7" s="410">
        <f>SUMIF($U$7:$U$26,TRIM(AH6),$X$7:$X$26)</f>
        <v>0</v>
      </c>
    </row>
    <row r="8" spans="2:34" s="150" customFormat="1" ht="27" customHeight="1">
      <c r="B8" s="803"/>
      <c r="C8" s="804"/>
      <c r="D8" s="395">
        <v>2</v>
      </c>
      <c r="E8" s="398" t="s">
        <v>459</v>
      </c>
      <c r="F8" s="399">
        <v>1677.7212</v>
      </c>
      <c r="G8" s="400">
        <v>575.78</v>
      </c>
      <c r="H8" s="400">
        <v>578.84</v>
      </c>
      <c r="I8" s="401">
        <f t="shared" ref="I8:I9" si="1">H8/G8</f>
        <v>1.0053145298551531</v>
      </c>
      <c r="J8" s="400">
        <v>17.88</v>
      </c>
      <c r="K8" s="401">
        <f t="shared" ref="K8:K13" si="2">J8/G8</f>
        <v>3.1053527388933272E-2</v>
      </c>
      <c r="L8" s="400">
        <v>122.81999999999996</v>
      </c>
      <c r="M8" s="401">
        <f t="shared" ref="M8:M13" si="3">(H8+J8)/G8</f>
        <v>1.0363680572440863</v>
      </c>
      <c r="N8" s="402">
        <v>2571.8507999999974</v>
      </c>
      <c r="O8" s="400">
        <v>13.66</v>
      </c>
      <c r="P8" s="401">
        <f t="shared" ref="P8:P26" si="4">O8/G8</f>
        <v>2.3724339157317031E-2</v>
      </c>
      <c r="Q8" s="403">
        <f t="shared" ref="Q8:Q26" si="5">((H8+J8)-G8)-O8</f>
        <v>7.2800000000000544</v>
      </c>
      <c r="R8" s="401">
        <f t="shared" ref="R8:R26" si="6">Q8/G8</f>
        <v>1.2643718086769347E-2</v>
      </c>
      <c r="S8" s="404">
        <f t="shared" ref="S8:S26" si="7">Q8*L8</f>
        <v>894.12960000000646</v>
      </c>
      <c r="T8" s="405" t="s">
        <v>438</v>
      </c>
      <c r="U8" s="405" t="s">
        <v>346</v>
      </c>
      <c r="V8" s="406" t="s">
        <v>571</v>
      </c>
      <c r="W8" s="406" t="s">
        <v>572</v>
      </c>
      <c r="X8" s="406">
        <v>1</v>
      </c>
      <c r="Y8" s="407" t="s">
        <v>443</v>
      </c>
      <c r="AA8" s="419"/>
      <c r="AB8" s="416">
        <f>SUMIF($U7:$U$26,TRIM(AB6),$F$7:$F$26)</f>
        <v>22744.064100000007</v>
      </c>
      <c r="AC8" s="416">
        <f>SUMIF($U7:$U$26,TRIM(AC6),$F$7:$F$26)</f>
        <v>0</v>
      </c>
      <c r="AD8" s="416">
        <f>SUMIF($U7:$U$26,TRIM(AD6),$F$7:$F$26)</f>
        <v>1677.7212</v>
      </c>
      <c r="AE8" s="416">
        <f>SUMIF($U7:$U$26,TRIM(AE6),$F$7:$F$26)</f>
        <v>0</v>
      </c>
      <c r="AF8" s="416">
        <f>SUMIF($U7:$U$26,TRIM(AF6),$F$7:$F$26)</f>
        <v>0</v>
      </c>
      <c r="AG8" s="416">
        <f>SUMIF($U7:$U$26,TRIM(AG6),$F$7:$F$26)</f>
        <v>1390.4999999999998</v>
      </c>
      <c r="AH8" s="416">
        <f>SUMIF($U7:$U$26,TRIM(AH6),$F$7:$F$26)</f>
        <v>0</v>
      </c>
    </row>
    <row r="9" spans="2:34" s="150" customFormat="1" ht="27" customHeight="1">
      <c r="B9" s="803"/>
      <c r="C9" s="804"/>
      <c r="D9" s="395">
        <v>3</v>
      </c>
      <c r="E9" s="398" t="s">
        <v>343</v>
      </c>
      <c r="F9" s="399">
        <v>1432.2837</v>
      </c>
      <c r="G9" s="400">
        <v>576.32000000000005</v>
      </c>
      <c r="H9" s="400">
        <v>588.41999999999996</v>
      </c>
      <c r="I9" s="401">
        <f t="shared" si="1"/>
        <v>1.0209952803997777</v>
      </c>
      <c r="J9" s="400">
        <v>0</v>
      </c>
      <c r="K9" s="401">
        <f t="shared" si="2"/>
        <v>0</v>
      </c>
      <c r="L9" s="400">
        <v>141.66999999999999</v>
      </c>
      <c r="M9" s="401">
        <f t="shared" si="3"/>
        <v>1.0209952803997777</v>
      </c>
      <c r="N9" s="402">
        <v>1714.2070000000028</v>
      </c>
      <c r="O9" s="400">
        <v>10.11</v>
      </c>
      <c r="P9" s="401">
        <f t="shared" si="4"/>
        <v>1.754233759022765E-2</v>
      </c>
      <c r="Q9" s="403">
        <f t="shared" si="5"/>
        <v>1.9899999999999096</v>
      </c>
      <c r="R9" s="401">
        <f t="shared" si="6"/>
        <v>3.4529428095500928E-3</v>
      </c>
      <c r="S9" s="404">
        <f t="shared" si="7"/>
        <v>281.92329999998719</v>
      </c>
      <c r="T9" s="405" t="s">
        <v>438</v>
      </c>
      <c r="U9" s="405" t="s">
        <v>514</v>
      </c>
      <c r="V9" s="406" t="s">
        <v>533</v>
      </c>
      <c r="W9" s="406" t="s">
        <v>631</v>
      </c>
      <c r="X9" s="406">
        <v>1</v>
      </c>
      <c r="Y9" s="407" t="s">
        <v>351</v>
      </c>
      <c r="AA9" s="395"/>
      <c r="AB9" s="417">
        <f>AB7/$AA7</f>
        <v>0.9</v>
      </c>
      <c r="AC9" s="417">
        <f t="shared" ref="AC9:AH9" si="8">AC7/$AA7</f>
        <v>0</v>
      </c>
      <c r="AD9" s="417">
        <f t="shared" si="8"/>
        <v>0.05</v>
      </c>
      <c r="AE9" s="417">
        <f t="shared" si="8"/>
        <v>0</v>
      </c>
      <c r="AF9" s="417">
        <f t="shared" si="8"/>
        <v>0</v>
      </c>
      <c r="AG9" s="417">
        <f t="shared" si="8"/>
        <v>0.05</v>
      </c>
      <c r="AH9" s="417">
        <f t="shared" si="8"/>
        <v>0</v>
      </c>
    </row>
    <row r="10" spans="2:34" s="150" customFormat="1" ht="27" customHeight="1">
      <c r="B10" s="803"/>
      <c r="C10" s="804"/>
      <c r="D10" s="395">
        <v>4</v>
      </c>
      <c r="E10" s="398" t="s">
        <v>494</v>
      </c>
      <c r="F10" s="399">
        <v>1431.0868000000003</v>
      </c>
      <c r="G10" s="400">
        <v>490.03</v>
      </c>
      <c r="H10" s="400">
        <v>497.90999999999997</v>
      </c>
      <c r="I10" s="401">
        <f>H10/G10</f>
        <v>1.0160806481235842</v>
      </c>
      <c r="J10" s="400">
        <v>0</v>
      </c>
      <c r="K10" s="401">
        <f t="shared" si="2"/>
        <v>0</v>
      </c>
      <c r="L10" s="400">
        <v>181.60999999999999</v>
      </c>
      <c r="M10" s="401">
        <f t="shared" si="3"/>
        <v>1.0160806481235842</v>
      </c>
      <c r="N10" s="402">
        <v>1431.0868000000005</v>
      </c>
      <c r="O10" s="400">
        <v>7.88</v>
      </c>
      <c r="P10" s="401">
        <f t="shared" si="4"/>
        <v>1.6080648123584271E-2</v>
      </c>
      <c r="Q10" s="403">
        <f t="shared" si="5"/>
        <v>0</v>
      </c>
      <c r="R10" s="401">
        <f t="shared" si="6"/>
        <v>0</v>
      </c>
      <c r="S10" s="404">
        <f t="shared" si="7"/>
        <v>0</v>
      </c>
      <c r="T10" s="405" t="s">
        <v>438</v>
      </c>
      <c r="U10" s="405" t="s">
        <v>514</v>
      </c>
      <c r="V10" s="406" t="s">
        <v>609</v>
      </c>
      <c r="W10" s="406" t="s">
        <v>610</v>
      </c>
      <c r="X10" s="406">
        <v>1</v>
      </c>
      <c r="Y10" s="407" t="s">
        <v>491</v>
      </c>
    </row>
    <row r="11" spans="2:34" s="150" customFormat="1" ht="27" customHeight="1">
      <c r="B11" s="803"/>
      <c r="C11" s="804"/>
      <c r="D11" s="395">
        <v>5</v>
      </c>
      <c r="E11" s="398" t="s">
        <v>342</v>
      </c>
      <c r="F11" s="399">
        <v>1390.4999999999998</v>
      </c>
      <c r="G11" s="400">
        <v>18606</v>
      </c>
      <c r="H11" s="400">
        <v>18512</v>
      </c>
      <c r="I11" s="401">
        <f t="shared" ref="I11:I26" si="9">H11/G11</f>
        <v>0.99494786627969467</v>
      </c>
      <c r="J11" s="400">
        <v>184</v>
      </c>
      <c r="K11" s="401">
        <f t="shared" si="2"/>
        <v>9.8892830269805432E-3</v>
      </c>
      <c r="L11" s="400">
        <v>15.450000000000001</v>
      </c>
      <c r="M11" s="401">
        <f t="shared" si="3"/>
        <v>1.0048371493066752</v>
      </c>
      <c r="N11" s="402">
        <v>1390.4999999999998</v>
      </c>
      <c r="O11" s="400">
        <v>90</v>
      </c>
      <c r="P11" s="401">
        <f t="shared" si="4"/>
        <v>4.8371493066752657E-3</v>
      </c>
      <c r="Q11" s="403">
        <f t="shared" si="5"/>
        <v>0</v>
      </c>
      <c r="R11" s="401">
        <f t="shared" si="6"/>
        <v>0</v>
      </c>
      <c r="S11" s="404">
        <f t="shared" si="7"/>
        <v>0</v>
      </c>
      <c r="T11" s="405" t="s">
        <v>438</v>
      </c>
      <c r="U11" s="405" t="s">
        <v>624</v>
      </c>
      <c r="V11" s="405" t="s">
        <v>633</v>
      </c>
      <c r="W11" s="406" t="s">
        <v>566</v>
      </c>
      <c r="X11" s="406">
        <v>1</v>
      </c>
      <c r="Y11" s="407" t="s">
        <v>348</v>
      </c>
    </row>
    <row r="12" spans="2:34" s="150" customFormat="1" ht="27" customHeight="1">
      <c r="B12" s="803"/>
      <c r="C12" s="804"/>
      <c r="D12" s="395">
        <v>6</v>
      </c>
      <c r="E12" s="398" t="s">
        <v>374</v>
      </c>
      <c r="F12" s="399">
        <v>1348.3152</v>
      </c>
      <c r="G12" s="400">
        <v>284.3</v>
      </c>
      <c r="H12" s="400">
        <v>287.34999999999997</v>
      </c>
      <c r="I12" s="401">
        <f t="shared" si="9"/>
        <v>1.0107281041153708</v>
      </c>
      <c r="J12" s="400">
        <v>3.54</v>
      </c>
      <c r="K12" s="401">
        <f t="shared" si="2"/>
        <v>1.2451635596201195E-2</v>
      </c>
      <c r="L12" s="400">
        <v>253.92000000000002</v>
      </c>
      <c r="M12" s="401">
        <f t="shared" si="3"/>
        <v>1.0231797397115723</v>
      </c>
      <c r="N12" s="402">
        <v>1673.3327999999988</v>
      </c>
      <c r="O12" s="400">
        <v>5.3100000000000005</v>
      </c>
      <c r="P12" s="401">
        <f t="shared" si="4"/>
        <v>1.8677453394301796E-2</v>
      </c>
      <c r="Q12" s="403">
        <f t="shared" si="5"/>
        <v>1.2799999999999745</v>
      </c>
      <c r="R12" s="401">
        <f t="shared" si="6"/>
        <v>4.5022863172703986E-3</v>
      </c>
      <c r="S12" s="404">
        <f t="shared" si="7"/>
        <v>325.01759999999354</v>
      </c>
      <c r="T12" s="405" t="s">
        <v>438</v>
      </c>
      <c r="U12" s="405" t="s">
        <v>514</v>
      </c>
      <c r="V12" s="406" t="s">
        <v>565</v>
      </c>
      <c r="W12" s="406" t="s">
        <v>566</v>
      </c>
      <c r="X12" s="406">
        <v>1</v>
      </c>
      <c r="Y12" s="407" t="s">
        <v>366</v>
      </c>
    </row>
    <row r="13" spans="2:34" s="150" customFormat="1" ht="27" customHeight="1">
      <c r="B13" s="803"/>
      <c r="C13" s="804"/>
      <c r="D13" s="395">
        <v>7</v>
      </c>
      <c r="E13" s="398" t="s">
        <v>552</v>
      </c>
      <c r="F13" s="399">
        <v>1224.1858999999997</v>
      </c>
      <c r="G13" s="400">
        <v>173.79999999999998</v>
      </c>
      <c r="H13" s="400">
        <v>177.43</v>
      </c>
      <c r="I13" s="401">
        <f t="shared" si="9"/>
        <v>1.0208860759493672</v>
      </c>
      <c r="J13" s="400">
        <v>7.5500000000000007</v>
      </c>
      <c r="K13" s="401">
        <f t="shared" si="2"/>
        <v>4.3440736478711169E-2</v>
      </c>
      <c r="L13" s="400">
        <v>169.79</v>
      </c>
      <c r="M13" s="401">
        <f t="shared" si="3"/>
        <v>1.0643268124280785</v>
      </c>
      <c r="N13" s="402">
        <v>1898.252200000001</v>
      </c>
      <c r="O13" s="400">
        <v>7.2099999999999991</v>
      </c>
      <c r="P13" s="401">
        <f t="shared" si="4"/>
        <v>4.1484464902186421E-2</v>
      </c>
      <c r="Q13" s="403">
        <f t="shared" si="5"/>
        <v>3.9700000000000362</v>
      </c>
      <c r="R13" s="401">
        <f t="shared" si="6"/>
        <v>2.2842347525892041E-2</v>
      </c>
      <c r="S13" s="404">
        <f t="shared" si="7"/>
        <v>674.06630000000609</v>
      </c>
      <c r="T13" s="405" t="s">
        <v>438</v>
      </c>
      <c r="U13" s="405" t="s">
        <v>514</v>
      </c>
      <c r="V13" s="406" t="s">
        <v>609</v>
      </c>
      <c r="W13" s="406" t="s">
        <v>526</v>
      </c>
      <c r="X13" s="406">
        <v>1</v>
      </c>
      <c r="Y13" s="407" t="s">
        <v>482</v>
      </c>
      <c r="AC13" s="411"/>
    </row>
    <row r="14" spans="2:34" s="150" customFormat="1" ht="27" customHeight="1">
      <c r="B14" s="803"/>
      <c r="C14" s="804"/>
      <c r="D14" s="395">
        <v>8</v>
      </c>
      <c r="E14" s="398" t="s">
        <v>373</v>
      </c>
      <c r="F14" s="399">
        <v>1212.0899999999999</v>
      </c>
      <c r="G14" s="400">
        <v>351.98999999999995</v>
      </c>
      <c r="H14" s="400">
        <v>351.22999999999996</v>
      </c>
      <c r="I14" s="401">
        <f t="shared" si="9"/>
        <v>0.99784084775135662</v>
      </c>
      <c r="J14" s="400">
        <v>13.16</v>
      </c>
      <c r="K14" s="401">
        <f>J14/G14</f>
        <v>3.7387425779141462E-2</v>
      </c>
      <c r="L14" s="400">
        <v>183.65000000000003</v>
      </c>
      <c r="M14" s="401">
        <f>(H14+J14)/G14</f>
        <v>1.0352282735304981</v>
      </c>
      <c r="N14" s="402">
        <v>2277.2600000000016</v>
      </c>
      <c r="O14" s="400">
        <v>6.6</v>
      </c>
      <c r="P14" s="401">
        <f t="shared" si="4"/>
        <v>1.875053268558766E-2</v>
      </c>
      <c r="Q14" s="403">
        <f t="shared" si="5"/>
        <v>5.8000000000000345</v>
      </c>
      <c r="R14" s="401">
        <f t="shared" si="6"/>
        <v>1.6477740844910466E-2</v>
      </c>
      <c r="S14" s="404">
        <f t="shared" si="7"/>
        <v>1065.1700000000064</v>
      </c>
      <c r="T14" s="405" t="s">
        <v>438</v>
      </c>
      <c r="U14" s="405" t="s">
        <v>514</v>
      </c>
      <c r="V14" s="406" t="s">
        <v>568</v>
      </c>
      <c r="W14" s="406" t="s">
        <v>569</v>
      </c>
      <c r="X14" s="406">
        <v>1</v>
      </c>
      <c r="Y14" s="407" t="s">
        <v>366</v>
      </c>
      <c r="AC14" s="411"/>
    </row>
    <row r="15" spans="2:34" s="150" customFormat="1" ht="27" customHeight="1">
      <c r="B15" s="803"/>
      <c r="C15" s="804"/>
      <c r="D15" s="395">
        <v>9</v>
      </c>
      <c r="E15" s="398" t="s">
        <v>484</v>
      </c>
      <c r="F15" s="399">
        <v>1199.1106</v>
      </c>
      <c r="G15" s="400">
        <v>118.11</v>
      </c>
      <c r="H15" s="400">
        <v>123.1</v>
      </c>
      <c r="I15" s="401">
        <f t="shared" si="9"/>
        <v>1.0422487511641689</v>
      </c>
      <c r="J15" s="400">
        <v>3.11</v>
      </c>
      <c r="K15" s="401">
        <f t="shared" ref="K15:K26" si="10">J15/G15</f>
        <v>2.6331385996105326E-2</v>
      </c>
      <c r="L15" s="400">
        <v>210.74</v>
      </c>
      <c r="M15" s="401">
        <f t="shared" ref="M15:M20" si="11">(H15+J15)/G15</f>
        <v>1.0685801371602743</v>
      </c>
      <c r="N15" s="402">
        <v>1706.9939999999988</v>
      </c>
      <c r="O15" s="400">
        <v>5.6899999999999995</v>
      </c>
      <c r="P15" s="401">
        <f t="shared" si="4"/>
        <v>4.8175429684192694E-2</v>
      </c>
      <c r="Q15" s="403">
        <f t="shared" si="5"/>
        <v>2.4099999999999948</v>
      </c>
      <c r="R15" s="401">
        <f t="shared" si="6"/>
        <v>2.0404707476081575E-2</v>
      </c>
      <c r="S15" s="404">
        <f t="shared" si="7"/>
        <v>507.88339999999891</v>
      </c>
      <c r="T15" s="405" t="s">
        <v>438</v>
      </c>
      <c r="U15" s="405" t="s">
        <v>514</v>
      </c>
      <c r="V15" s="406" t="s">
        <v>528</v>
      </c>
      <c r="W15" s="406" t="s">
        <v>529</v>
      </c>
      <c r="X15" s="406">
        <v>1</v>
      </c>
      <c r="Y15" s="407" t="s">
        <v>477</v>
      </c>
      <c r="AC15" s="411"/>
    </row>
    <row r="16" spans="2:34" s="150" customFormat="1" ht="27" customHeight="1">
      <c r="B16" s="803"/>
      <c r="C16" s="804"/>
      <c r="D16" s="395">
        <v>10</v>
      </c>
      <c r="E16" s="398" t="s">
        <v>551</v>
      </c>
      <c r="F16" s="399">
        <v>1185.6905999999999</v>
      </c>
      <c r="G16" s="400">
        <v>253.09999999999997</v>
      </c>
      <c r="H16" s="400">
        <v>264.02</v>
      </c>
      <c r="I16" s="401">
        <f t="shared" si="9"/>
        <v>1.0431450019755037</v>
      </c>
      <c r="J16" s="400">
        <v>0</v>
      </c>
      <c r="K16" s="401">
        <f t="shared" si="10"/>
        <v>0</v>
      </c>
      <c r="L16" s="400">
        <v>153.19000000000003</v>
      </c>
      <c r="M16" s="401">
        <f t="shared" si="11"/>
        <v>1.0431450019755037</v>
      </c>
      <c r="N16" s="402">
        <v>1672.8347999999989</v>
      </c>
      <c r="O16" s="400">
        <v>7.7400000000000011</v>
      </c>
      <c r="P16" s="401">
        <f t="shared" si="4"/>
        <v>3.0580798103516407E-2</v>
      </c>
      <c r="Q16" s="403">
        <f t="shared" si="5"/>
        <v>3.1800000000000148</v>
      </c>
      <c r="R16" s="401">
        <f t="shared" si="6"/>
        <v>1.2564203871987418E-2</v>
      </c>
      <c r="S16" s="404">
        <f t="shared" si="7"/>
        <v>487.14420000000234</v>
      </c>
      <c r="T16" s="405" t="s">
        <v>438</v>
      </c>
      <c r="U16" s="405" t="s">
        <v>514</v>
      </c>
      <c r="V16" s="448" t="s">
        <v>634</v>
      </c>
      <c r="W16" s="406" t="s">
        <v>572</v>
      </c>
      <c r="X16" s="406">
        <v>1</v>
      </c>
      <c r="Y16" s="407" t="s">
        <v>555</v>
      </c>
      <c r="AC16" s="411"/>
    </row>
    <row r="17" spans="2:34" s="150" customFormat="1" ht="27" customHeight="1">
      <c r="B17" s="803"/>
      <c r="C17" s="804"/>
      <c r="D17" s="395">
        <v>11</v>
      </c>
      <c r="E17" s="398" t="s">
        <v>442</v>
      </c>
      <c r="F17" s="399">
        <v>1146.1361999999999</v>
      </c>
      <c r="G17" s="400">
        <v>1564.08</v>
      </c>
      <c r="H17" s="400">
        <v>1584.46</v>
      </c>
      <c r="I17" s="401">
        <f t="shared" si="9"/>
        <v>1.0130300240396912</v>
      </c>
      <c r="J17" s="400">
        <v>0</v>
      </c>
      <c r="K17" s="401">
        <f t="shared" si="10"/>
        <v>0</v>
      </c>
      <c r="L17" s="400">
        <v>157.87000000000003</v>
      </c>
      <c r="M17" s="401">
        <f t="shared" si="11"/>
        <v>1.0130300240396912</v>
      </c>
      <c r="N17" s="402">
        <v>3217.3906000000084</v>
      </c>
      <c r="O17" s="400">
        <v>7.26</v>
      </c>
      <c r="P17" s="401">
        <f t="shared" si="4"/>
        <v>4.6417063065827832E-3</v>
      </c>
      <c r="Q17" s="403">
        <f t="shared" si="5"/>
        <v>13.120000000000109</v>
      </c>
      <c r="R17" s="401">
        <f t="shared" si="6"/>
        <v>8.3883177331083511E-3</v>
      </c>
      <c r="S17" s="404">
        <f t="shared" si="7"/>
        <v>2071.2544000000175</v>
      </c>
      <c r="T17" s="405" t="s">
        <v>438</v>
      </c>
      <c r="U17" s="405" t="s">
        <v>514</v>
      </c>
      <c r="V17" s="406" t="s">
        <v>525</v>
      </c>
      <c r="W17" s="406" t="s">
        <v>526</v>
      </c>
      <c r="X17" s="406">
        <v>1</v>
      </c>
      <c r="Y17" s="407" t="s">
        <v>349</v>
      </c>
      <c r="AC17" s="411"/>
    </row>
    <row r="18" spans="2:34" s="150" customFormat="1" ht="27" customHeight="1">
      <c r="B18" s="803"/>
      <c r="C18" s="804"/>
      <c r="D18" s="395">
        <v>12</v>
      </c>
      <c r="E18" s="398" t="s">
        <v>587</v>
      </c>
      <c r="F18" s="399">
        <v>1138.9559999999999</v>
      </c>
      <c r="G18" s="400">
        <v>1471.97</v>
      </c>
      <c r="H18" s="400">
        <v>1363.7399999999998</v>
      </c>
      <c r="I18" s="401">
        <f t="shared" si="9"/>
        <v>0.92647268626398616</v>
      </c>
      <c r="J18" s="400">
        <v>179.13</v>
      </c>
      <c r="K18" s="401">
        <f t="shared" si="10"/>
        <v>0.12169405626473365</v>
      </c>
      <c r="L18" s="400">
        <v>29.400000000000002</v>
      </c>
      <c r="M18" s="401">
        <f t="shared" si="11"/>
        <v>1.04816674252872</v>
      </c>
      <c r="N18" s="402">
        <v>2084.4599999999991</v>
      </c>
      <c r="O18" s="400">
        <v>38.74</v>
      </c>
      <c r="P18" s="401">
        <f t="shared" si="4"/>
        <v>2.6318471164493842E-2</v>
      </c>
      <c r="Q18" s="403">
        <f t="shared" si="5"/>
        <v>32.159999999999862</v>
      </c>
      <c r="R18" s="401">
        <f t="shared" si="6"/>
        <v>2.1848271364226079E-2</v>
      </c>
      <c r="S18" s="404">
        <f t="shared" si="7"/>
        <v>945.50399999999604</v>
      </c>
      <c r="T18" s="405" t="s">
        <v>438</v>
      </c>
      <c r="U18" s="405" t="s">
        <v>514</v>
      </c>
      <c r="V18" s="406" t="s">
        <v>530</v>
      </c>
      <c r="W18" s="406" t="s">
        <v>595</v>
      </c>
      <c r="X18" s="406">
        <v>1</v>
      </c>
      <c r="Y18" s="407" t="s">
        <v>493</v>
      </c>
    </row>
    <row r="19" spans="2:34" s="150" customFormat="1" ht="27" customHeight="1">
      <c r="B19" s="803"/>
      <c r="C19" s="804"/>
      <c r="D19" s="395">
        <v>13</v>
      </c>
      <c r="E19" s="398" t="s">
        <v>652</v>
      </c>
      <c r="F19" s="399">
        <v>1103.1846</v>
      </c>
      <c r="G19" s="400">
        <v>104.26000000000002</v>
      </c>
      <c r="H19" s="400">
        <v>106.09000000000002</v>
      </c>
      <c r="I19" s="401">
        <f t="shared" si="9"/>
        <v>1.0175522731632458</v>
      </c>
      <c r="J19" s="400">
        <v>3.3599999999999994</v>
      </c>
      <c r="K19" s="401">
        <f t="shared" si="10"/>
        <v>3.2227124496451168E-2</v>
      </c>
      <c r="L19" s="400">
        <v>496.92999999999995</v>
      </c>
      <c r="M19" s="401">
        <f t="shared" si="11"/>
        <v>1.049779397659697</v>
      </c>
      <c r="N19" s="402">
        <v>2579.0666999999976</v>
      </c>
      <c r="O19" s="400">
        <v>2.2200000000000002</v>
      </c>
      <c r="P19" s="401">
        <f t="shared" si="4"/>
        <v>2.1292921542298098E-2</v>
      </c>
      <c r="Q19" s="403">
        <f t="shared" si="5"/>
        <v>2.9699999999999975</v>
      </c>
      <c r="R19" s="401">
        <f t="shared" si="6"/>
        <v>2.8486476117398782E-2</v>
      </c>
      <c r="S19" s="404">
        <f t="shared" si="7"/>
        <v>1475.8820999999987</v>
      </c>
      <c r="T19" s="405" t="s">
        <v>438</v>
      </c>
      <c r="U19" s="405" t="s">
        <v>514</v>
      </c>
      <c r="V19" s="406" t="s">
        <v>632</v>
      </c>
      <c r="W19" s="406" t="s">
        <v>610</v>
      </c>
      <c r="X19" s="406">
        <v>1</v>
      </c>
      <c r="Y19" s="407" t="s">
        <v>482</v>
      </c>
    </row>
    <row r="20" spans="2:34" s="150" customFormat="1" ht="27" customHeight="1">
      <c r="B20" s="803"/>
      <c r="C20" s="804"/>
      <c r="D20" s="395">
        <v>14</v>
      </c>
      <c r="E20" s="398" t="s">
        <v>553</v>
      </c>
      <c r="F20" s="399">
        <v>1079.3249000000001</v>
      </c>
      <c r="G20" s="400">
        <v>133.03</v>
      </c>
      <c r="H20" s="400">
        <v>140.18</v>
      </c>
      <c r="I20" s="401">
        <f t="shared" si="9"/>
        <v>1.0537472750507404</v>
      </c>
      <c r="J20" s="400">
        <v>0</v>
      </c>
      <c r="K20" s="401">
        <f t="shared" si="10"/>
        <v>0</v>
      </c>
      <c r="L20" s="400">
        <v>218.93000000000004</v>
      </c>
      <c r="M20" s="401">
        <f t="shared" si="11"/>
        <v>1.0537472750507404</v>
      </c>
      <c r="N20" s="402">
        <v>1565.3495000000003</v>
      </c>
      <c r="O20" s="400">
        <v>4.93</v>
      </c>
      <c r="P20" s="401">
        <f t="shared" si="4"/>
        <v>3.7059309930090954E-2</v>
      </c>
      <c r="Q20" s="403">
        <f t="shared" si="5"/>
        <v>2.220000000000006</v>
      </c>
      <c r="R20" s="401">
        <f t="shared" si="6"/>
        <v>1.6687965120649521E-2</v>
      </c>
      <c r="S20" s="404">
        <f t="shared" si="7"/>
        <v>486.02460000000139</v>
      </c>
      <c r="T20" s="405" t="s">
        <v>438</v>
      </c>
      <c r="U20" s="405" t="s">
        <v>514</v>
      </c>
      <c r="V20" s="406" t="s">
        <v>525</v>
      </c>
      <c r="W20" s="406" t="s">
        <v>526</v>
      </c>
      <c r="X20" s="406">
        <v>1</v>
      </c>
      <c r="Y20" s="407" t="s">
        <v>349</v>
      </c>
    </row>
    <row r="21" spans="2:34" s="150" customFormat="1" ht="27" customHeight="1">
      <c r="B21" s="803"/>
      <c r="C21" s="804"/>
      <c r="D21" s="395">
        <v>15</v>
      </c>
      <c r="E21" s="398" t="s">
        <v>653</v>
      </c>
      <c r="F21" s="399">
        <v>1068.3057000000001</v>
      </c>
      <c r="G21" s="400">
        <v>269.52999999999997</v>
      </c>
      <c r="H21" s="400">
        <v>272.60000000000002</v>
      </c>
      <c r="I21" s="401">
        <f t="shared" si="9"/>
        <v>1.011390197751642</v>
      </c>
      <c r="J21" s="400">
        <v>0</v>
      </c>
      <c r="K21" s="401">
        <f t="shared" si="10"/>
        <v>0</v>
      </c>
      <c r="L21" s="400">
        <v>462.47000000000014</v>
      </c>
      <c r="M21" s="401">
        <f>(H21+J21)/G21</f>
        <v>1.011390197751642</v>
      </c>
      <c r="N21" s="402">
        <v>1419.7829000000002</v>
      </c>
      <c r="O21" s="400">
        <v>2.31</v>
      </c>
      <c r="P21" s="401">
        <f t="shared" si="4"/>
        <v>8.5704745297369503E-3</v>
      </c>
      <c r="Q21" s="403">
        <f t="shared" si="5"/>
        <v>0.76000000000004997</v>
      </c>
      <c r="R21" s="401">
        <f t="shared" si="6"/>
        <v>2.8197232219049828E-3</v>
      </c>
      <c r="S21" s="404">
        <f t="shared" si="7"/>
        <v>351.47720000002323</v>
      </c>
      <c r="T21" s="405" t="s">
        <v>438</v>
      </c>
      <c r="U21" s="405" t="s">
        <v>514</v>
      </c>
      <c r="V21" s="406" t="s">
        <v>536</v>
      </c>
      <c r="W21" s="406" t="s">
        <v>636</v>
      </c>
      <c r="X21" s="406">
        <v>1</v>
      </c>
      <c r="Y21" s="407" t="s">
        <v>543</v>
      </c>
    </row>
    <row r="22" spans="2:34" s="150" customFormat="1" ht="27" customHeight="1">
      <c r="B22" s="803"/>
      <c r="C22" s="804"/>
      <c r="D22" s="395">
        <v>16</v>
      </c>
      <c r="E22" s="398" t="s">
        <v>623</v>
      </c>
      <c r="F22" s="399">
        <v>1061.4576000000002</v>
      </c>
      <c r="G22" s="400">
        <v>437.36</v>
      </c>
      <c r="H22" s="400">
        <v>459.85</v>
      </c>
      <c r="I22" s="401">
        <f t="shared" si="9"/>
        <v>1.0514221693799159</v>
      </c>
      <c r="J22" s="400">
        <v>25.900000000000002</v>
      </c>
      <c r="K22" s="401">
        <f t="shared" si="10"/>
        <v>5.921895006402049E-2</v>
      </c>
      <c r="L22" s="400">
        <v>45.13</v>
      </c>
      <c r="M22" s="401">
        <f t="shared" ref="M22:M26" si="12">(H22+J22)/G22</f>
        <v>1.1106411194439363</v>
      </c>
      <c r="N22" s="402">
        <v>2183.8407000000002</v>
      </c>
      <c r="O22" s="400">
        <v>23.52</v>
      </c>
      <c r="P22" s="401">
        <f t="shared" si="4"/>
        <v>5.3777208706786171E-2</v>
      </c>
      <c r="Q22" s="403">
        <f t="shared" si="5"/>
        <v>24.869999999999987</v>
      </c>
      <c r="R22" s="401">
        <f t="shared" si="6"/>
        <v>5.6863910737150143E-2</v>
      </c>
      <c r="S22" s="404">
        <f t="shared" si="7"/>
        <v>1122.3830999999996</v>
      </c>
      <c r="T22" s="405" t="s">
        <v>438</v>
      </c>
      <c r="U22" s="405" t="s">
        <v>514</v>
      </c>
      <c r="V22" s="406" t="s">
        <v>530</v>
      </c>
      <c r="W22" s="406" t="s">
        <v>595</v>
      </c>
      <c r="X22" s="406">
        <v>1</v>
      </c>
      <c r="Y22" s="407" t="s">
        <v>537</v>
      </c>
    </row>
    <row r="23" spans="2:34" s="150" customFormat="1" ht="27" customHeight="1">
      <c r="B23" s="803"/>
      <c r="C23" s="804"/>
      <c r="D23" s="395">
        <v>17</v>
      </c>
      <c r="E23" s="398" t="s">
        <v>492</v>
      </c>
      <c r="F23" s="399">
        <v>1053.7449999999999</v>
      </c>
      <c r="G23" s="400">
        <v>163.56</v>
      </c>
      <c r="H23" s="400">
        <v>161.28</v>
      </c>
      <c r="I23" s="401">
        <f t="shared" si="9"/>
        <v>0.98606016140865738</v>
      </c>
      <c r="J23" s="400">
        <v>8.26</v>
      </c>
      <c r="K23" s="401">
        <f t="shared" si="10"/>
        <v>5.0501345072144779E-2</v>
      </c>
      <c r="L23" s="400">
        <v>458.15000000000003</v>
      </c>
      <c r="M23" s="401">
        <f t="shared" si="12"/>
        <v>1.036561506480802</v>
      </c>
      <c r="N23" s="402">
        <v>2739.7369999999974</v>
      </c>
      <c r="O23" s="400">
        <v>2.2999999999999998</v>
      </c>
      <c r="P23" s="401">
        <f t="shared" si="4"/>
        <v>1.4062117877231595E-2</v>
      </c>
      <c r="Q23" s="403">
        <f t="shared" si="5"/>
        <v>3.6799999999999899</v>
      </c>
      <c r="R23" s="401">
        <f t="shared" si="6"/>
        <v>2.2499388603570494E-2</v>
      </c>
      <c r="S23" s="404">
        <f t="shared" si="7"/>
        <v>1685.9919999999954</v>
      </c>
      <c r="T23" s="405" t="s">
        <v>438</v>
      </c>
      <c r="U23" s="405" t="s">
        <v>514</v>
      </c>
      <c r="V23" s="405" t="s">
        <v>635</v>
      </c>
      <c r="W23" s="406" t="s">
        <v>566</v>
      </c>
      <c r="X23" s="406">
        <v>1</v>
      </c>
      <c r="Y23" s="407" t="s">
        <v>493</v>
      </c>
    </row>
    <row r="24" spans="2:34" s="150" customFormat="1" ht="27" customHeight="1">
      <c r="B24" s="803"/>
      <c r="C24" s="804"/>
      <c r="D24" s="395">
        <v>18</v>
      </c>
      <c r="E24" s="398" t="s">
        <v>654</v>
      </c>
      <c r="F24" s="399">
        <v>1028.8894</v>
      </c>
      <c r="G24" s="400">
        <v>639.18000000000006</v>
      </c>
      <c r="H24" s="400">
        <v>637.36</v>
      </c>
      <c r="I24" s="401">
        <f t="shared" si="9"/>
        <v>0.99715260177101905</v>
      </c>
      <c r="J24" s="400">
        <v>24.58</v>
      </c>
      <c r="K24" s="401">
        <f t="shared" si="10"/>
        <v>3.8455521136456075E-2</v>
      </c>
      <c r="L24" s="400">
        <v>65.87</v>
      </c>
      <c r="M24" s="401">
        <f t="shared" si="12"/>
        <v>1.0356081229074752</v>
      </c>
      <c r="N24" s="402">
        <v>1499.2011999999977</v>
      </c>
      <c r="O24" s="400">
        <v>15.62</v>
      </c>
      <c r="P24" s="401">
        <f t="shared" si="4"/>
        <v>2.44375606245502E-2</v>
      </c>
      <c r="Q24" s="403">
        <f t="shared" si="5"/>
        <v>7.1399999999999917</v>
      </c>
      <c r="R24" s="401">
        <f t="shared" si="6"/>
        <v>1.1170562282924984E-2</v>
      </c>
      <c r="S24" s="404">
        <f t="shared" si="7"/>
        <v>470.31179999999949</v>
      </c>
      <c r="T24" s="405" t="s">
        <v>438</v>
      </c>
      <c r="U24" s="405" t="s">
        <v>514</v>
      </c>
      <c r="V24" s="406" t="s">
        <v>680</v>
      </c>
      <c r="W24" s="406" t="s">
        <v>636</v>
      </c>
      <c r="X24" s="406">
        <v>1</v>
      </c>
      <c r="Y24" s="407" t="s">
        <v>491</v>
      </c>
    </row>
    <row r="25" spans="2:34" s="150" customFormat="1" ht="27" customHeight="1">
      <c r="B25" s="803"/>
      <c r="C25" s="804"/>
      <c r="D25" s="395">
        <v>19</v>
      </c>
      <c r="E25" s="398" t="s">
        <v>655</v>
      </c>
      <c r="F25" s="399">
        <v>997.13040000000024</v>
      </c>
      <c r="G25" s="400">
        <v>597.4</v>
      </c>
      <c r="H25" s="400">
        <v>601.9</v>
      </c>
      <c r="I25" s="401">
        <f t="shared" si="9"/>
        <v>1.0075326414462671</v>
      </c>
      <c r="J25" s="400">
        <v>0</v>
      </c>
      <c r="K25" s="401">
        <f t="shared" si="10"/>
        <v>0</v>
      </c>
      <c r="L25" s="400">
        <v>339.16</v>
      </c>
      <c r="M25" s="401">
        <f t="shared" si="12"/>
        <v>1.0075326414462671</v>
      </c>
      <c r="N25" s="402">
        <v>1526.220000000005</v>
      </c>
      <c r="O25" s="400">
        <v>2.94</v>
      </c>
      <c r="P25" s="401">
        <f t="shared" si="4"/>
        <v>4.9213257448945434E-3</v>
      </c>
      <c r="Q25" s="403">
        <f t="shared" si="5"/>
        <v>1.56</v>
      </c>
      <c r="R25" s="401">
        <f t="shared" si="6"/>
        <v>2.6113157013726148E-3</v>
      </c>
      <c r="S25" s="404">
        <f t="shared" si="7"/>
        <v>529.08960000000002</v>
      </c>
      <c r="T25" s="405" t="s">
        <v>438</v>
      </c>
      <c r="U25" s="405" t="s">
        <v>514</v>
      </c>
      <c r="V25" s="406" t="s">
        <v>536</v>
      </c>
      <c r="W25" s="406" t="s">
        <v>636</v>
      </c>
      <c r="X25" s="406">
        <v>1</v>
      </c>
      <c r="Y25" s="407" t="s">
        <v>656</v>
      </c>
    </row>
    <row r="26" spans="2:34" s="150" customFormat="1" ht="27" customHeight="1">
      <c r="B26" s="805"/>
      <c r="C26" s="806"/>
      <c r="D26" s="395">
        <v>20</v>
      </c>
      <c r="E26" s="398" t="s">
        <v>603</v>
      </c>
      <c r="F26" s="399">
        <v>983.75400000000025</v>
      </c>
      <c r="G26" s="400">
        <v>140.31</v>
      </c>
      <c r="H26" s="400">
        <v>145.49</v>
      </c>
      <c r="I26" s="401">
        <f t="shared" si="9"/>
        <v>1.0369182524410234</v>
      </c>
      <c r="J26" s="400">
        <v>2.73</v>
      </c>
      <c r="K26" s="401">
        <f t="shared" si="10"/>
        <v>1.9456916827025869E-2</v>
      </c>
      <c r="L26" s="400">
        <v>190.65000000000003</v>
      </c>
      <c r="M26" s="401">
        <f t="shared" si="12"/>
        <v>1.0563751692680492</v>
      </c>
      <c r="N26" s="402">
        <v>1508.0415000000007</v>
      </c>
      <c r="O26" s="400">
        <v>5.16</v>
      </c>
      <c r="P26" s="401">
        <f t="shared" si="4"/>
        <v>3.6775710925807142E-2</v>
      </c>
      <c r="Q26" s="403">
        <f t="shared" si="5"/>
        <v>2.7499999999999964</v>
      </c>
      <c r="R26" s="401">
        <f t="shared" si="6"/>
        <v>1.9599458342242151E-2</v>
      </c>
      <c r="S26" s="404">
        <f t="shared" si="7"/>
        <v>524.28749999999945</v>
      </c>
      <c r="T26" s="405" t="s">
        <v>438</v>
      </c>
      <c r="U26" s="405" t="s">
        <v>514</v>
      </c>
      <c r="V26" s="406" t="s">
        <v>536</v>
      </c>
      <c r="W26" s="406" t="s">
        <v>636</v>
      </c>
      <c r="X26" s="406">
        <v>1</v>
      </c>
      <c r="Y26" s="407" t="s">
        <v>480</v>
      </c>
    </row>
    <row r="27" spans="2:34" ht="17.100000000000001" customHeight="1">
      <c r="B27" s="823" t="s">
        <v>511</v>
      </c>
      <c r="C27" s="824"/>
      <c r="D27" s="829" t="s">
        <v>172</v>
      </c>
      <c r="E27" s="829"/>
      <c r="F27" s="829"/>
      <c r="G27" s="829" t="s">
        <v>186</v>
      </c>
      <c r="H27" s="829"/>
      <c r="I27" s="829"/>
      <c r="J27" s="829"/>
      <c r="K27" s="829"/>
      <c r="L27" s="829"/>
      <c r="M27" s="829"/>
      <c r="N27" s="829"/>
      <c r="O27" s="829"/>
      <c r="P27" s="829"/>
      <c r="Q27" s="829"/>
      <c r="R27" s="829"/>
      <c r="S27" s="829"/>
      <c r="T27" s="829" t="s">
        <v>173</v>
      </c>
      <c r="U27" s="814" t="s">
        <v>252</v>
      </c>
      <c r="V27" s="807" t="s">
        <v>512</v>
      </c>
      <c r="W27" s="807" t="s">
        <v>513</v>
      </c>
      <c r="X27" s="810" t="s">
        <v>253</v>
      </c>
      <c r="Y27" s="813" t="s">
        <v>174</v>
      </c>
      <c r="AA27" s="814" t="s">
        <v>254</v>
      </c>
      <c r="AB27" s="815"/>
      <c r="AC27" s="815"/>
      <c r="AD27" s="815"/>
      <c r="AE27" s="815"/>
      <c r="AF27" s="815"/>
      <c r="AG27" s="815"/>
      <c r="AH27" s="816"/>
    </row>
    <row r="28" spans="2:34" ht="17.100000000000001" customHeight="1">
      <c r="B28" s="825"/>
      <c r="C28" s="826"/>
      <c r="D28" s="830" t="s">
        <v>171</v>
      </c>
      <c r="E28" s="829" t="s">
        <v>175</v>
      </c>
      <c r="F28" s="829"/>
      <c r="G28" s="829" t="s">
        <v>187</v>
      </c>
      <c r="H28" s="829"/>
      <c r="I28" s="829"/>
      <c r="J28" s="829"/>
      <c r="K28" s="829"/>
      <c r="L28" s="829"/>
      <c r="M28" s="829"/>
      <c r="N28" s="829"/>
      <c r="O28" s="829" t="s">
        <v>176</v>
      </c>
      <c r="P28" s="829"/>
      <c r="Q28" s="829"/>
      <c r="R28" s="829"/>
      <c r="S28" s="829"/>
      <c r="T28" s="829"/>
      <c r="U28" s="817"/>
      <c r="V28" s="808"/>
      <c r="W28" s="808"/>
      <c r="X28" s="811"/>
      <c r="Y28" s="813"/>
      <c r="AA28" s="817"/>
      <c r="AB28" s="818"/>
      <c r="AC28" s="818"/>
      <c r="AD28" s="818"/>
      <c r="AE28" s="818"/>
      <c r="AF28" s="818"/>
      <c r="AG28" s="818"/>
      <c r="AH28" s="819"/>
    </row>
    <row r="29" spans="2:34" ht="17.100000000000001" customHeight="1">
      <c r="B29" s="825"/>
      <c r="C29" s="826"/>
      <c r="D29" s="830"/>
      <c r="E29" s="830" t="s">
        <v>177</v>
      </c>
      <c r="F29" s="813" t="s">
        <v>255</v>
      </c>
      <c r="G29" s="831" t="s">
        <v>188</v>
      </c>
      <c r="H29" s="831"/>
      <c r="I29" s="831"/>
      <c r="J29" s="831"/>
      <c r="K29" s="831"/>
      <c r="L29" s="831"/>
      <c r="M29" s="831"/>
      <c r="N29" s="831"/>
      <c r="O29" s="831" t="s">
        <v>170</v>
      </c>
      <c r="P29" s="831"/>
      <c r="Q29" s="831" t="s">
        <v>178</v>
      </c>
      <c r="R29" s="831"/>
      <c r="S29" s="831"/>
      <c r="T29" s="829"/>
      <c r="U29" s="817"/>
      <c r="V29" s="808"/>
      <c r="W29" s="808"/>
      <c r="X29" s="811"/>
      <c r="Y29" s="813"/>
      <c r="AA29" s="820"/>
      <c r="AB29" s="821"/>
      <c r="AC29" s="821"/>
      <c r="AD29" s="821"/>
      <c r="AE29" s="821"/>
      <c r="AF29" s="821"/>
      <c r="AG29" s="821"/>
      <c r="AH29" s="822"/>
    </row>
    <row r="30" spans="2:34" ht="38.450000000000003" customHeight="1">
      <c r="B30" s="827"/>
      <c r="C30" s="828"/>
      <c r="D30" s="830"/>
      <c r="E30" s="830"/>
      <c r="F30" s="813"/>
      <c r="G30" s="396" t="s">
        <v>179</v>
      </c>
      <c r="H30" s="396" t="s">
        <v>259</v>
      </c>
      <c r="I30" s="396" t="s">
        <v>260</v>
      </c>
      <c r="J30" s="396" t="s">
        <v>180</v>
      </c>
      <c r="K30" s="396" t="s">
        <v>257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7" t="s">
        <v>183</v>
      </c>
      <c r="R30" s="397" t="s">
        <v>184</v>
      </c>
      <c r="S30" s="396" t="s">
        <v>185</v>
      </c>
      <c r="T30" s="829"/>
      <c r="U30" s="820"/>
      <c r="V30" s="809"/>
      <c r="W30" s="809"/>
      <c r="X30" s="812"/>
      <c r="Y30" s="813"/>
      <c r="AA30" s="163" t="s">
        <v>251</v>
      </c>
      <c r="AB30" s="163" t="s">
        <v>514</v>
      </c>
      <c r="AC30" s="158" t="s">
        <v>403</v>
      </c>
      <c r="AD30" s="158" t="s">
        <v>346</v>
      </c>
      <c r="AE30" s="158" t="s">
        <v>473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01" t="s">
        <v>707</v>
      </c>
      <c r="C31" s="802"/>
      <c r="D31" s="395">
        <v>1</v>
      </c>
      <c r="E31" s="398" t="s">
        <v>375</v>
      </c>
      <c r="F31" s="399">
        <v>1748.9875</v>
      </c>
      <c r="G31" s="400">
        <v>1033.26</v>
      </c>
      <c r="H31" s="400">
        <v>1048.28</v>
      </c>
      <c r="I31" s="401">
        <f>H31/G31</f>
        <v>1.014536515494648</v>
      </c>
      <c r="J31" s="400">
        <v>0</v>
      </c>
      <c r="K31" s="401">
        <f>J31/G31</f>
        <v>0</v>
      </c>
      <c r="L31" s="400">
        <v>152.75</v>
      </c>
      <c r="M31" s="401">
        <f>(H31+J31)/G31</f>
        <v>1.014536515494648</v>
      </c>
      <c r="N31" s="402">
        <v>2294.3049999999989</v>
      </c>
      <c r="O31" s="400">
        <v>11.45</v>
      </c>
      <c r="P31" s="401">
        <f>O31/G31</f>
        <v>1.1081431585467354E-2</v>
      </c>
      <c r="Q31" s="403">
        <f>((H31+J31)-G31)-O31</f>
        <v>3.5699999999999825</v>
      </c>
      <c r="R31" s="401">
        <f>Q31/G31</f>
        <v>3.4550839091806347E-3</v>
      </c>
      <c r="S31" s="404">
        <f>Q31*L31</f>
        <v>545.31749999999738</v>
      </c>
      <c r="T31" s="405" t="s">
        <v>438</v>
      </c>
      <c r="U31" s="405" t="s">
        <v>514</v>
      </c>
      <c r="V31" s="406"/>
      <c r="W31" s="406"/>
      <c r="X31" s="406">
        <v>1</v>
      </c>
      <c r="Y31" s="407" t="s">
        <v>378</v>
      </c>
      <c r="Z31" s="408" t="s">
        <v>515</v>
      </c>
      <c r="AA31" s="418">
        <f>SUM(X31:X50)</f>
        <v>20</v>
      </c>
      <c r="AB31" s="410">
        <f>SUMIF($U$31:$U$50,TRIM(AB30),$X$31:$X$50)</f>
        <v>16</v>
      </c>
      <c r="AC31" s="410">
        <f t="shared" ref="AC31:AH31" si="13">SUMIF($U$31:$U$50,TRIM(AC30),$X$31:$X$50)</f>
        <v>0</v>
      </c>
      <c r="AD31" s="410">
        <f t="shared" si="13"/>
        <v>3</v>
      </c>
      <c r="AE31" s="410">
        <f t="shared" si="13"/>
        <v>0</v>
      </c>
      <c r="AF31" s="410">
        <f t="shared" si="13"/>
        <v>0</v>
      </c>
      <c r="AG31" s="410">
        <f t="shared" si="13"/>
        <v>1</v>
      </c>
      <c r="AH31" s="410">
        <f t="shared" si="13"/>
        <v>0</v>
      </c>
    </row>
    <row r="32" spans="2:34" s="150" customFormat="1" ht="27" customHeight="1">
      <c r="B32" s="803"/>
      <c r="C32" s="804"/>
      <c r="D32" s="395">
        <v>2</v>
      </c>
      <c r="E32" s="398" t="s">
        <v>342</v>
      </c>
      <c r="F32" s="399">
        <v>1560.45</v>
      </c>
      <c r="G32" s="400">
        <v>18750</v>
      </c>
      <c r="H32" s="400">
        <v>18605</v>
      </c>
      <c r="I32" s="401">
        <f t="shared" ref="I32:I33" si="14">H32/G32</f>
        <v>0.99226666666666663</v>
      </c>
      <c r="J32" s="400">
        <v>246</v>
      </c>
      <c r="K32" s="401">
        <f t="shared" ref="K32:K37" si="15">J32/G32</f>
        <v>1.312E-2</v>
      </c>
      <c r="L32" s="400">
        <v>15.450000000000001</v>
      </c>
      <c r="M32" s="401">
        <f t="shared" ref="M32:M37" si="16">(H32+J32)/G32</f>
        <v>1.0053866666666667</v>
      </c>
      <c r="N32" s="402">
        <v>1560.45</v>
      </c>
      <c r="O32" s="400">
        <v>101</v>
      </c>
      <c r="P32" s="401">
        <f t="shared" ref="P32:P50" si="17">O32/G32</f>
        <v>5.3866666666666663E-3</v>
      </c>
      <c r="Q32" s="403">
        <f t="shared" ref="Q32:Q50" si="18">((H32+J32)-G32)-O32</f>
        <v>0</v>
      </c>
      <c r="R32" s="401">
        <f t="shared" ref="R32:R50" si="19">Q32/G32</f>
        <v>0</v>
      </c>
      <c r="S32" s="404">
        <f t="shared" ref="S32:S50" si="20">Q32*L32</f>
        <v>0</v>
      </c>
      <c r="T32" s="405" t="s">
        <v>438</v>
      </c>
      <c r="U32" s="405" t="s">
        <v>624</v>
      </c>
      <c r="V32" s="406"/>
      <c r="W32" s="406"/>
      <c r="X32" s="406">
        <v>1</v>
      </c>
      <c r="Y32" s="407" t="s">
        <v>348</v>
      </c>
      <c r="AA32" s="419"/>
      <c r="AB32" s="416">
        <f>SUMIF($U$31:$U$50,TRIM(AB30),$F$31:$F$50)</f>
        <v>18968.966500000002</v>
      </c>
      <c r="AC32" s="416">
        <f t="shared" ref="AC32:AH32" si="21">SUMIF($U$31:$U$50,TRIM(AC30),$F$31:$F$50)</f>
        <v>0</v>
      </c>
      <c r="AD32" s="416">
        <f t="shared" si="21"/>
        <v>3567.3870000000002</v>
      </c>
      <c r="AE32" s="416">
        <f t="shared" si="21"/>
        <v>0</v>
      </c>
      <c r="AF32" s="416">
        <f t="shared" si="21"/>
        <v>0</v>
      </c>
      <c r="AG32" s="416">
        <f t="shared" si="21"/>
        <v>1560.45</v>
      </c>
      <c r="AH32" s="416">
        <f t="shared" si="21"/>
        <v>0</v>
      </c>
    </row>
    <row r="33" spans="2:34" s="150" customFormat="1" ht="27" customHeight="1">
      <c r="B33" s="803"/>
      <c r="C33" s="804"/>
      <c r="D33" s="395">
        <v>3</v>
      </c>
      <c r="E33" s="398" t="s">
        <v>459</v>
      </c>
      <c r="F33" s="399">
        <v>1516.827</v>
      </c>
      <c r="G33" s="400">
        <v>566.38</v>
      </c>
      <c r="H33" s="400">
        <v>558.96</v>
      </c>
      <c r="I33" s="401">
        <f t="shared" si="14"/>
        <v>0.98689925491719344</v>
      </c>
      <c r="J33" s="400">
        <v>21.169999999999998</v>
      </c>
      <c r="K33" s="401">
        <f t="shared" si="15"/>
        <v>3.7377732264557359E-2</v>
      </c>
      <c r="L33" s="400">
        <v>122.81999999999996</v>
      </c>
      <c r="M33" s="401">
        <f t="shared" si="16"/>
        <v>1.0242769871817508</v>
      </c>
      <c r="N33" s="402">
        <v>1688.7750000000008</v>
      </c>
      <c r="O33" s="400">
        <v>12.35</v>
      </c>
      <c r="P33" s="401">
        <f t="shared" si="17"/>
        <v>2.1805148486881597E-2</v>
      </c>
      <c r="Q33" s="403">
        <f t="shared" si="18"/>
        <v>1.4000000000000004</v>
      </c>
      <c r="R33" s="401">
        <f t="shared" si="19"/>
        <v>2.4718386948691697E-3</v>
      </c>
      <c r="S33" s="404">
        <f t="shared" si="20"/>
        <v>171.94800000000001</v>
      </c>
      <c r="T33" s="405" t="s">
        <v>438</v>
      </c>
      <c r="U33" s="405" t="s">
        <v>346</v>
      </c>
      <c r="V33" s="406"/>
      <c r="W33" s="406"/>
      <c r="X33" s="406">
        <v>1</v>
      </c>
      <c r="Y33" s="407" t="s">
        <v>443</v>
      </c>
      <c r="AA33" s="395"/>
      <c r="AB33" s="417">
        <f>AB31/$AA31</f>
        <v>0.8</v>
      </c>
      <c r="AC33" s="417">
        <f t="shared" ref="AC33:AH33" si="22">AC31/$AA31</f>
        <v>0</v>
      </c>
      <c r="AD33" s="417">
        <f t="shared" si="22"/>
        <v>0.15</v>
      </c>
      <c r="AE33" s="417">
        <f t="shared" si="22"/>
        <v>0</v>
      </c>
      <c r="AF33" s="417">
        <f t="shared" si="22"/>
        <v>0</v>
      </c>
      <c r="AG33" s="417">
        <f t="shared" si="22"/>
        <v>0.05</v>
      </c>
      <c r="AH33" s="417">
        <f t="shared" si="22"/>
        <v>0</v>
      </c>
    </row>
    <row r="34" spans="2:34" s="150" customFormat="1" ht="27" customHeight="1">
      <c r="B34" s="803"/>
      <c r="C34" s="804"/>
      <c r="D34" s="395">
        <v>4</v>
      </c>
      <c r="E34" s="398" t="s">
        <v>343</v>
      </c>
      <c r="F34" s="399">
        <v>1442.2006000000001</v>
      </c>
      <c r="G34" s="400">
        <v>582.59999999999991</v>
      </c>
      <c r="H34" s="400">
        <v>593.88</v>
      </c>
      <c r="I34" s="401">
        <f>H34/G34</f>
        <v>1.0193614830072093</v>
      </c>
      <c r="J34" s="400">
        <v>0</v>
      </c>
      <c r="K34" s="401">
        <f t="shared" si="15"/>
        <v>0</v>
      </c>
      <c r="L34" s="400">
        <v>141.66999999999999</v>
      </c>
      <c r="M34" s="401">
        <f t="shared" si="16"/>
        <v>1.0193614830072093</v>
      </c>
      <c r="N34" s="402">
        <v>1598.0376000000019</v>
      </c>
      <c r="O34" s="400">
        <v>10.18</v>
      </c>
      <c r="P34" s="401">
        <f t="shared" si="17"/>
        <v>1.747339512530038E-2</v>
      </c>
      <c r="Q34" s="403">
        <f t="shared" si="18"/>
        <v>1.1000000000000867</v>
      </c>
      <c r="R34" s="401">
        <f t="shared" si="19"/>
        <v>1.8880878819088343E-3</v>
      </c>
      <c r="S34" s="404">
        <f t="shared" si="20"/>
        <v>155.83700000001227</v>
      </c>
      <c r="T34" s="405" t="s">
        <v>438</v>
      </c>
      <c r="U34" s="405" t="s">
        <v>514</v>
      </c>
      <c r="V34" s="406"/>
      <c r="W34" s="406"/>
      <c r="X34" s="406">
        <v>1</v>
      </c>
      <c r="Y34" s="407" t="s">
        <v>351</v>
      </c>
    </row>
    <row r="35" spans="2:34" s="150" customFormat="1" ht="27" customHeight="1">
      <c r="B35" s="803"/>
      <c r="C35" s="804"/>
      <c r="D35" s="395">
        <v>5</v>
      </c>
      <c r="E35" s="398" t="s">
        <v>374</v>
      </c>
      <c r="F35" s="399">
        <v>1366.0896</v>
      </c>
      <c r="G35" s="400">
        <v>278.14000000000004</v>
      </c>
      <c r="H35" s="400">
        <v>283.40000000000003</v>
      </c>
      <c r="I35" s="401">
        <f t="shared" ref="I35:I50" si="23">H35/G35</f>
        <v>1.0189113396131444</v>
      </c>
      <c r="J35" s="400">
        <v>3.1500000000000004</v>
      </c>
      <c r="K35" s="401">
        <f t="shared" si="15"/>
        <v>1.1325231897605523E-2</v>
      </c>
      <c r="L35" s="400">
        <v>253.92000000000002</v>
      </c>
      <c r="M35" s="401">
        <f t="shared" si="16"/>
        <v>1.0302365715107498</v>
      </c>
      <c r="N35" s="402">
        <v>2135.4671999999955</v>
      </c>
      <c r="O35" s="400">
        <v>5.38</v>
      </c>
      <c r="P35" s="401">
        <f t="shared" si="17"/>
        <v>1.9342777018767524E-2</v>
      </c>
      <c r="Q35" s="403">
        <f t="shared" si="18"/>
        <v>3.0299999999999683</v>
      </c>
      <c r="R35" s="401">
        <f t="shared" si="19"/>
        <v>1.0893794491982339E-2</v>
      </c>
      <c r="S35" s="404">
        <f t="shared" si="20"/>
        <v>769.37759999999196</v>
      </c>
      <c r="T35" s="405" t="s">
        <v>438</v>
      </c>
      <c r="U35" s="405" t="s">
        <v>514</v>
      </c>
      <c r="V35" s="406"/>
      <c r="W35" s="406"/>
      <c r="X35" s="406">
        <v>1</v>
      </c>
      <c r="Y35" s="407" t="s">
        <v>366</v>
      </c>
    </row>
    <row r="36" spans="2:34" s="150" customFormat="1" ht="27" customHeight="1">
      <c r="B36" s="803"/>
      <c r="C36" s="804"/>
      <c r="D36" s="395">
        <v>6</v>
      </c>
      <c r="E36" s="398" t="s">
        <v>373</v>
      </c>
      <c r="F36" s="399">
        <v>1346.1545000000001</v>
      </c>
      <c r="G36" s="400">
        <v>344.34</v>
      </c>
      <c r="H36" s="400">
        <v>349.24</v>
      </c>
      <c r="I36" s="401">
        <f t="shared" si="23"/>
        <v>1.0142301213916478</v>
      </c>
      <c r="J36" s="400">
        <v>6.5</v>
      </c>
      <c r="K36" s="401">
        <f t="shared" si="15"/>
        <v>1.8876691641981764E-2</v>
      </c>
      <c r="L36" s="400">
        <v>183.65000000000003</v>
      </c>
      <c r="M36" s="401">
        <f t="shared" si="16"/>
        <v>1.0331068130336296</v>
      </c>
      <c r="N36" s="402">
        <v>2093.6099999999988</v>
      </c>
      <c r="O36" s="400">
        <v>7.3299999999999992</v>
      </c>
      <c r="P36" s="401">
        <f t="shared" si="17"/>
        <v>2.1287099959342509E-2</v>
      </c>
      <c r="Q36" s="403">
        <f t="shared" si="18"/>
        <v>4.0700000000000349</v>
      </c>
      <c r="R36" s="401">
        <f t="shared" si="19"/>
        <v>1.1819713074287145E-2</v>
      </c>
      <c r="S36" s="404">
        <f t="shared" si="20"/>
        <v>747.45550000000651</v>
      </c>
      <c r="T36" s="405" t="s">
        <v>438</v>
      </c>
      <c r="U36" s="405" t="s">
        <v>514</v>
      </c>
      <c r="V36" s="406"/>
      <c r="W36" s="406"/>
      <c r="X36" s="406">
        <v>1</v>
      </c>
      <c r="Y36" s="407" t="s">
        <v>366</v>
      </c>
    </row>
    <row r="37" spans="2:34" s="150" customFormat="1" ht="27" customHeight="1">
      <c r="B37" s="803"/>
      <c r="C37" s="804"/>
      <c r="D37" s="395">
        <v>7</v>
      </c>
      <c r="E37" s="398" t="s">
        <v>494</v>
      </c>
      <c r="F37" s="399">
        <v>1300.3276000000001</v>
      </c>
      <c r="G37" s="400">
        <v>488.78999999999996</v>
      </c>
      <c r="H37" s="400">
        <v>496.58000000000004</v>
      </c>
      <c r="I37" s="401">
        <f t="shared" si="23"/>
        <v>1.0159373145931792</v>
      </c>
      <c r="J37" s="400">
        <v>0</v>
      </c>
      <c r="K37" s="401">
        <f t="shared" si="15"/>
        <v>0</v>
      </c>
      <c r="L37" s="400">
        <v>181.60999999999999</v>
      </c>
      <c r="M37" s="401">
        <f t="shared" si="16"/>
        <v>1.0159373145931792</v>
      </c>
      <c r="N37" s="402">
        <v>1414.7419000000027</v>
      </c>
      <c r="O37" s="400">
        <v>7.160000000000001</v>
      </c>
      <c r="P37" s="401">
        <f t="shared" si="17"/>
        <v>1.4648417520816713E-2</v>
      </c>
      <c r="Q37" s="403">
        <f t="shared" si="18"/>
        <v>0.63000000000007628</v>
      </c>
      <c r="R37" s="401">
        <f t="shared" si="19"/>
        <v>1.2888970723625203E-3</v>
      </c>
      <c r="S37" s="404">
        <f t="shared" si="20"/>
        <v>114.41430000001384</v>
      </c>
      <c r="T37" s="405" t="s">
        <v>438</v>
      </c>
      <c r="U37" s="405" t="s">
        <v>514</v>
      </c>
      <c r="V37" s="406"/>
      <c r="W37" s="406"/>
      <c r="X37" s="406">
        <v>1</v>
      </c>
      <c r="Y37" s="407" t="s">
        <v>491</v>
      </c>
    </row>
    <row r="38" spans="2:34" s="150" customFormat="1" ht="27" customHeight="1">
      <c r="B38" s="803"/>
      <c r="C38" s="804"/>
      <c r="D38" s="395">
        <v>8</v>
      </c>
      <c r="E38" s="398" t="s">
        <v>551</v>
      </c>
      <c r="F38" s="399">
        <v>1127.4784</v>
      </c>
      <c r="G38" s="400">
        <v>264.17</v>
      </c>
      <c r="H38" s="400">
        <v>273.57</v>
      </c>
      <c r="I38" s="401">
        <f t="shared" si="23"/>
        <v>1.0355831472158079</v>
      </c>
      <c r="J38" s="400">
        <v>0</v>
      </c>
      <c r="K38" s="401">
        <f>J38/G38</f>
        <v>0</v>
      </c>
      <c r="L38" s="400">
        <v>153.19000000000003</v>
      </c>
      <c r="M38" s="401">
        <f>(H38+J38)/G38</f>
        <v>1.0355831472158079</v>
      </c>
      <c r="N38" s="402">
        <v>1439.9859999999987</v>
      </c>
      <c r="O38" s="400">
        <v>7.36</v>
      </c>
      <c r="P38" s="401">
        <f t="shared" si="17"/>
        <v>2.7860847181739031E-2</v>
      </c>
      <c r="Q38" s="403">
        <f t="shared" si="18"/>
        <v>2.0399999999999769</v>
      </c>
      <c r="R38" s="401">
        <f t="shared" si="19"/>
        <v>7.7223000340688828E-3</v>
      </c>
      <c r="S38" s="404">
        <f t="shared" si="20"/>
        <v>312.5075999999965</v>
      </c>
      <c r="T38" s="405" t="s">
        <v>438</v>
      </c>
      <c r="U38" s="405" t="s">
        <v>514</v>
      </c>
      <c r="V38" s="406"/>
      <c r="W38" s="406"/>
      <c r="X38" s="406">
        <v>1</v>
      </c>
      <c r="Y38" s="407" t="s">
        <v>555</v>
      </c>
    </row>
    <row r="39" spans="2:34" s="150" customFormat="1" ht="27" customHeight="1">
      <c r="B39" s="803"/>
      <c r="C39" s="804"/>
      <c r="D39" s="395">
        <v>9</v>
      </c>
      <c r="E39" s="398" t="s">
        <v>484</v>
      </c>
      <c r="F39" s="399">
        <v>1108.4924000000001</v>
      </c>
      <c r="G39" s="400">
        <v>184.47</v>
      </c>
      <c r="H39" s="400">
        <v>187.32999999999998</v>
      </c>
      <c r="I39" s="401">
        <f t="shared" si="23"/>
        <v>1.0155038759689923</v>
      </c>
      <c r="J39" s="400">
        <v>4.5</v>
      </c>
      <c r="K39" s="401">
        <f t="shared" ref="K39:K50" si="24">J39/G39</f>
        <v>2.4394210440722069E-2</v>
      </c>
      <c r="L39" s="400">
        <v>210.74</v>
      </c>
      <c r="M39" s="401">
        <f t="shared" ref="M39:M50" si="25">(H39+J39)/G39</f>
        <v>1.0398980864097143</v>
      </c>
      <c r="N39" s="402">
        <v>1551.046399999999</v>
      </c>
      <c r="O39" s="400">
        <v>5.2600000000000007</v>
      </c>
      <c r="P39" s="401">
        <f t="shared" si="17"/>
        <v>2.8514121537377354E-2</v>
      </c>
      <c r="Q39" s="403">
        <f t="shared" si="18"/>
        <v>2.0999999999999845</v>
      </c>
      <c r="R39" s="401">
        <f t="shared" si="19"/>
        <v>1.1383964872336881E-2</v>
      </c>
      <c r="S39" s="404">
        <f t="shared" si="20"/>
        <v>442.55399999999679</v>
      </c>
      <c r="T39" s="405" t="s">
        <v>438</v>
      </c>
      <c r="U39" s="405" t="s">
        <v>514</v>
      </c>
      <c r="V39" s="406"/>
      <c r="W39" s="406"/>
      <c r="X39" s="406">
        <v>1</v>
      </c>
      <c r="Y39" s="407" t="s">
        <v>477</v>
      </c>
    </row>
    <row r="40" spans="2:34" s="150" customFormat="1" ht="27" customHeight="1">
      <c r="B40" s="803"/>
      <c r="C40" s="804"/>
      <c r="D40" s="395">
        <v>10</v>
      </c>
      <c r="E40" s="398" t="s">
        <v>716</v>
      </c>
      <c r="F40" s="399">
        <v>1085.0814000000003</v>
      </c>
      <c r="G40" s="400">
        <v>194.19</v>
      </c>
      <c r="H40" s="400">
        <v>197.3</v>
      </c>
      <c r="I40" s="401">
        <f t="shared" si="23"/>
        <v>1.0160152428034399</v>
      </c>
      <c r="J40" s="400">
        <v>4.3</v>
      </c>
      <c r="K40" s="401">
        <f t="shared" si="24"/>
        <v>2.2143261753952315E-2</v>
      </c>
      <c r="L40" s="400">
        <v>203.57999999999998</v>
      </c>
      <c r="M40" s="401">
        <f t="shared" si="25"/>
        <v>1.0381585045573924</v>
      </c>
      <c r="N40" s="402">
        <v>1508.5277999999994</v>
      </c>
      <c r="O40" s="400">
        <v>5.33</v>
      </c>
      <c r="P40" s="401">
        <f t="shared" si="17"/>
        <v>2.7447345383387403E-2</v>
      </c>
      <c r="Q40" s="403">
        <f t="shared" si="18"/>
        <v>2.0800000000000249</v>
      </c>
      <c r="R40" s="401">
        <f t="shared" si="19"/>
        <v>1.071115917400497E-2</v>
      </c>
      <c r="S40" s="404">
        <f t="shared" si="20"/>
        <v>423.44640000000504</v>
      </c>
      <c r="T40" s="405" t="s">
        <v>438</v>
      </c>
      <c r="U40" s="405" t="s">
        <v>514</v>
      </c>
      <c r="V40" s="406"/>
      <c r="W40" s="406"/>
      <c r="X40" s="406">
        <v>1</v>
      </c>
      <c r="Y40" s="407" t="s">
        <v>351</v>
      </c>
    </row>
    <row r="41" spans="2:34" s="150" customFormat="1" ht="27" customHeight="1">
      <c r="B41" s="803"/>
      <c r="C41" s="804"/>
      <c r="D41" s="395">
        <v>11</v>
      </c>
      <c r="E41" s="398" t="s">
        <v>717</v>
      </c>
      <c r="F41" s="399">
        <v>1079.3980000000001</v>
      </c>
      <c r="G41" s="400">
        <v>70.11</v>
      </c>
      <c r="H41" s="400">
        <v>83.539999999999992</v>
      </c>
      <c r="I41" s="401">
        <f t="shared" si="23"/>
        <v>1.1915561260875767</v>
      </c>
      <c r="J41" s="400">
        <v>0</v>
      </c>
      <c r="K41" s="401">
        <f t="shared" si="24"/>
        <v>0</v>
      </c>
      <c r="L41" s="400">
        <v>101.83000000000001</v>
      </c>
      <c r="M41" s="401">
        <f t="shared" si="25"/>
        <v>1.1915561260875767</v>
      </c>
      <c r="N41" s="402">
        <v>1367.5769</v>
      </c>
      <c r="O41" s="400">
        <v>10.600000000000001</v>
      </c>
      <c r="P41" s="401">
        <f t="shared" si="17"/>
        <v>0.15119098559406649</v>
      </c>
      <c r="Q41" s="403">
        <f t="shared" si="18"/>
        <v>2.8299999999999912</v>
      </c>
      <c r="R41" s="401">
        <f t="shared" si="19"/>
        <v>4.0365140493510074E-2</v>
      </c>
      <c r="S41" s="404">
        <f t="shared" si="20"/>
        <v>288.17889999999915</v>
      </c>
      <c r="T41" s="405" t="s">
        <v>438</v>
      </c>
      <c r="U41" s="405" t="s">
        <v>514</v>
      </c>
      <c r="V41" s="406"/>
      <c r="W41" s="431"/>
      <c r="X41" s="406">
        <v>1</v>
      </c>
      <c r="Y41" s="407" t="s">
        <v>722</v>
      </c>
    </row>
    <row r="42" spans="2:34" s="150" customFormat="1" ht="27" customHeight="1">
      <c r="B42" s="803"/>
      <c r="C42" s="804"/>
      <c r="D42" s="395">
        <v>12</v>
      </c>
      <c r="E42" s="398" t="s">
        <v>553</v>
      </c>
      <c r="F42" s="399">
        <v>1070.5676999999998</v>
      </c>
      <c r="G42" s="400">
        <v>103.85000000000001</v>
      </c>
      <c r="H42" s="400">
        <v>108.01000000000002</v>
      </c>
      <c r="I42" s="401">
        <f t="shared" si="23"/>
        <v>1.0400577756379394</v>
      </c>
      <c r="J42" s="400">
        <v>2.71</v>
      </c>
      <c r="K42" s="401">
        <f t="shared" si="24"/>
        <v>2.60953298025999E-2</v>
      </c>
      <c r="L42" s="400">
        <v>218.93000000000004</v>
      </c>
      <c r="M42" s="401">
        <f t="shared" si="25"/>
        <v>1.0661531054405393</v>
      </c>
      <c r="N42" s="402">
        <v>1504.0490999999997</v>
      </c>
      <c r="O42" s="400">
        <v>4.8899999999999997</v>
      </c>
      <c r="P42" s="401">
        <f t="shared" si="17"/>
        <v>4.7087144920558488E-2</v>
      </c>
      <c r="Q42" s="403">
        <f t="shared" si="18"/>
        <v>1.9800000000000049</v>
      </c>
      <c r="R42" s="401">
        <f t="shared" si="19"/>
        <v>1.9065960519980787E-2</v>
      </c>
      <c r="S42" s="404">
        <f t="shared" si="20"/>
        <v>433.48140000000114</v>
      </c>
      <c r="T42" s="405" t="s">
        <v>438</v>
      </c>
      <c r="U42" s="405" t="s">
        <v>514</v>
      </c>
      <c r="V42" s="406"/>
      <c r="W42" s="406"/>
      <c r="X42" s="406">
        <v>1</v>
      </c>
      <c r="Y42" s="407" t="s">
        <v>349</v>
      </c>
    </row>
    <row r="43" spans="2:34" s="150" customFormat="1" ht="27" customHeight="1">
      <c r="B43" s="803"/>
      <c r="C43" s="804"/>
      <c r="D43" s="395">
        <v>13</v>
      </c>
      <c r="E43" s="398" t="s">
        <v>552</v>
      </c>
      <c r="F43" s="399">
        <v>1066.2811999999999</v>
      </c>
      <c r="G43" s="400">
        <v>170.78000000000003</v>
      </c>
      <c r="H43" s="400">
        <v>181.89</v>
      </c>
      <c r="I43" s="401">
        <f t="shared" si="23"/>
        <v>1.0650544560252955</v>
      </c>
      <c r="J43" s="400">
        <v>3.12</v>
      </c>
      <c r="K43" s="401">
        <f t="shared" si="24"/>
        <v>1.8269118163719403E-2</v>
      </c>
      <c r="L43" s="400">
        <v>169.79</v>
      </c>
      <c r="M43" s="401">
        <f t="shared" si="25"/>
        <v>1.0833235741890148</v>
      </c>
      <c r="N43" s="402">
        <v>2416.1116999999995</v>
      </c>
      <c r="O43" s="400">
        <v>6.2799999999999994</v>
      </c>
      <c r="P43" s="401">
        <f t="shared" si="17"/>
        <v>3.6772455791076228E-2</v>
      </c>
      <c r="Q43" s="403">
        <f t="shared" si="18"/>
        <v>7.949999999999962</v>
      </c>
      <c r="R43" s="401">
        <f t="shared" si="19"/>
        <v>4.6551118397938636E-2</v>
      </c>
      <c r="S43" s="404">
        <f t="shared" si="20"/>
        <v>1349.8304999999934</v>
      </c>
      <c r="T43" s="405" t="s">
        <v>438</v>
      </c>
      <c r="U43" s="405" t="s">
        <v>514</v>
      </c>
      <c r="V43" s="406"/>
      <c r="W43" s="406"/>
      <c r="X43" s="406">
        <v>1</v>
      </c>
      <c r="Y43" s="407" t="s">
        <v>482</v>
      </c>
    </row>
    <row r="44" spans="2:34" s="150" customFormat="1" ht="27" customHeight="1">
      <c r="B44" s="803"/>
      <c r="C44" s="804"/>
      <c r="D44" s="395">
        <v>14</v>
      </c>
      <c r="E44" s="398" t="s">
        <v>718</v>
      </c>
      <c r="F44" s="399">
        <v>1055.4360000000001</v>
      </c>
      <c r="G44" s="400">
        <v>433.92</v>
      </c>
      <c r="H44" s="400">
        <v>424.4</v>
      </c>
      <c r="I44" s="401">
        <f t="shared" si="23"/>
        <v>0.97806047197640111</v>
      </c>
      <c r="J44" s="400">
        <v>30.02</v>
      </c>
      <c r="K44" s="401">
        <f t="shared" si="24"/>
        <v>6.9183259587020651E-2</v>
      </c>
      <c r="L44" s="400">
        <v>84.3</v>
      </c>
      <c r="M44" s="401">
        <f t="shared" si="25"/>
        <v>1.0472437315634218</v>
      </c>
      <c r="N44" s="402">
        <v>1728.1499999999976</v>
      </c>
      <c r="O44" s="400">
        <v>12.52</v>
      </c>
      <c r="P44" s="401">
        <f t="shared" si="17"/>
        <v>2.885324483775811E-2</v>
      </c>
      <c r="Q44" s="403">
        <f t="shared" si="18"/>
        <v>7.9799999999999436</v>
      </c>
      <c r="R44" s="401">
        <f t="shared" si="19"/>
        <v>1.8390486725663586E-2</v>
      </c>
      <c r="S44" s="404">
        <f t="shared" si="20"/>
        <v>672.71399999999517</v>
      </c>
      <c r="T44" s="405" t="s">
        <v>438</v>
      </c>
      <c r="U44" s="405" t="s">
        <v>514</v>
      </c>
      <c r="V44" s="406"/>
      <c r="W44" s="406"/>
      <c r="X44" s="406">
        <v>1</v>
      </c>
      <c r="Y44" s="407" t="s">
        <v>460</v>
      </c>
    </row>
    <row r="45" spans="2:34" s="150" customFormat="1" ht="27" customHeight="1">
      <c r="B45" s="803"/>
      <c r="C45" s="804"/>
      <c r="D45" s="395">
        <v>15</v>
      </c>
      <c r="E45" s="398" t="s">
        <v>719</v>
      </c>
      <c r="F45" s="399">
        <v>1053.1072000000001</v>
      </c>
      <c r="G45" s="400">
        <v>213.47000000000003</v>
      </c>
      <c r="H45" s="400">
        <v>215.04999999999998</v>
      </c>
      <c r="I45" s="401">
        <f t="shared" si="23"/>
        <v>1.0074015084086756</v>
      </c>
      <c r="J45" s="400">
        <v>3.77</v>
      </c>
      <c r="K45" s="401">
        <f t="shared" si="24"/>
        <v>1.766056120297934E-2</v>
      </c>
      <c r="L45" s="400">
        <v>411.36999999999995</v>
      </c>
      <c r="M45" s="401">
        <f t="shared" si="25"/>
        <v>1.0250620696116548</v>
      </c>
      <c r="N45" s="402">
        <v>2200.8294999999976</v>
      </c>
      <c r="O45" s="400">
        <v>2.56</v>
      </c>
      <c r="P45" s="401">
        <f t="shared" si="17"/>
        <v>1.1992317421651752E-2</v>
      </c>
      <c r="Q45" s="403">
        <f t="shared" si="18"/>
        <v>2.7899999999999658</v>
      </c>
      <c r="R45" s="401">
        <f t="shared" si="19"/>
        <v>1.3069752190003118E-2</v>
      </c>
      <c r="S45" s="404">
        <f t="shared" si="20"/>
        <v>1147.7222999999858</v>
      </c>
      <c r="T45" s="405" t="s">
        <v>438</v>
      </c>
      <c r="U45" s="405" t="s">
        <v>514</v>
      </c>
      <c r="V45" s="406"/>
      <c r="W45" s="406"/>
      <c r="X45" s="406">
        <v>1</v>
      </c>
      <c r="Y45" s="407" t="s">
        <v>482</v>
      </c>
    </row>
    <row r="46" spans="2:34" s="150" customFormat="1" ht="27" customHeight="1">
      <c r="B46" s="803"/>
      <c r="C46" s="804"/>
      <c r="D46" s="395">
        <v>16</v>
      </c>
      <c r="E46" s="398" t="s">
        <v>720</v>
      </c>
      <c r="F46" s="399">
        <v>1042.0463999999999</v>
      </c>
      <c r="G46" s="400">
        <v>303.77</v>
      </c>
      <c r="H46" s="400">
        <v>312.46999999999997</v>
      </c>
      <c r="I46" s="401">
        <f t="shared" si="23"/>
        <v>1.0286400895414294</v>
      </c>
      <c r="J46" s="400">
        <v>0</v>
      </c>
      <c r="K46" s="401">
        <f t="shared" si="24"/>
        <v>0</v>
      </c>
      <c r="L46" s="400">
        <v>174.83999999999997</v>
      </c>
      <c r="M46" s="401">
        <f t="shared" si="25"/>
        <v>1.0286400895414294</v>
      </c>
      <c r="N46" s="402">
        <v>1521.1080000000004</v>
      </c>
      <c r="O46" s="400">
        <v>5.96</v>
      </c>
      <c r="P46" s="401">
        <f t="shared" si="17"/>
        <v>1.9620107318036675E-2</v>
      </c>
      <c r="Q46" s="403">
        <f t="shared" si="18"/>
        <v>2.7399999999999887</v>
      </c>
      <c r="R46" s="401">
        <f t="shared" si="19"/>
        <v>9.0199822233926613E-3</v>
      </c>
      <c r="S46" s="404">
        <f t="shared" si="20"/>
        <v>479.06159999999795</v>
      </c>
      <c r="T46" s="405" t="s">
        <v>438</v>
      </c>
      <c r="U46" s="405" t="s">
        <v>514</v>
      </c>
      <c r="V46" s="406"/>
      <c r="W46" s="406"/>
      <c r="X46" s="406">
        <v>1</v>
      </c>
      <c r="Y46" s="407" t="s">
        <v>722</v>
      </c>
      <c r="AC46" s="411"/>
    </row>
    <row r="47" spans="2:34" s="150" customFormat="1" ht="27" customHeight="1">
      <c r="B47" s="803"/>
      <c r="C47" s="804"/>
      <c r="D47" s="395">
        <v>17</v>
      </c>
      <c r="E47" s="398" t="s">
        <v>622</v>
      </c>
      <c r="F47" s="399">
        <v>1040.8308</v>
      </c>
      <c r="G47" s="400">
        <v>142.97999999999999</v>
      </c>
      <c r="H47" s="400">
        <v>135.67000000000002</v>
      </c>
      <c r="I47" s="401">
        <f t="shared" si="23"/>
        <v>0.94887396838718718</v>
      </c>
      <c r="J47" s="400">
        <v>22.15</v>
      </c>
      <c r="K47" s="401">
        <f t="shared" si="24"/>
        <v>0.15491677157644426</v>
      </c>
      <c r="L47" s="400">
        <v>142.19000000000003</v>
      </c>
      <c r="M47" s="401">
        <f t="shared" si="25"/>
        <v>1.1037907399636315</v>
      </c>
      <c r="N47" s="402">
        <v>2110.0996000000005</v>
      </c>
      <c r="O47" s="400">
        <v>7.32</v>
      </c>
      <c r="P47" s="401">
        <f t="shared" si="17"/>
        <v>5.1195971464540503E-2</v>
      </c>
      <c r="Q47" s="403">
        <f t="shared" si="18"/>
        <v>7.5200000000000315</v>
      </c>
      <c r="R47" s="401">
        <f t="shared" si="19"/>
        <v>5.2594768499091005E-2</v>
      </c>
      <c r="S47" s="404">
        <f t="shared" si="20"/>
        <v>1069.2688000000046</v>
      </c>
      <c r="T47" s="405" t="s">
        <v>438</v>
      </c>
      <c r="U47" s="405" t="s">
        <v>514</v>
      </c>
      <c r="V47" s="406"/>
      <c r="W47" s="406"/>
      <c r="X47" s="406">
        <v>1</v>
      </c>
      <c r="Y47" s="407" t="s">
        <v>617</v>
      </c>
      <c r="AB47" s="413"/>
      <c r="AC47" s="411"/>
    </row>
    <row r="48" spans="2:34" s="150" customFormat="1" ht="27" customHeight="1">
      <c r="B48" s="803"/>
      <c r="C48" s="804"/>
      <c r="D48" s="395">
        <v>18</v>
      </c>
      <c r="E48" s="398" t="s">
        <v>589</v>
      </c>
      <c r="F48" s="399">
        <v>1036.4871999999998</v>
      </c>
      <c r="G48" s="400">
        <v>1486.5</v>
      </c>
      <c r="H48" s="400">
        <v>1460.15</v>
      </c>
      <c r="I48" s="401">
        <f t="shared" si="23"/>
        <v>0.9822737975109318</v>
      </c>
      <c r="J48" s="400">
        <v>45.050000000000004</v>
      </c>
      <c r="K48" s="401">
        <f t="shared" si="24"/>
        <v>3.0306088126471582E-2</v>
      </c>
      <c r="L48" s="400">
        <v>94.570000000000007</v>
      </c>
      <c r="M48" s="401">
        <f t="shared" si="25"/>
        <v>1.0125798856374033</v>
      </c>
      <c r="N48" s="402">
        <v>1768.4590000000071</v>
      </c>
      <c r="O48" s="400">
        <v>10.959999999999999</v>
      </c>
      <c r="P48" s="401">
        <f t="shared" si="17"/>
        <v>7.3730238816010754E-3</v>
      </c>
      <c r="Q48" s="403">
        <f t="shared" si="18"/>
        <v>7.7400000000000464</v>
      </c>
      <c r="R48" s="401">
        <f t="shared" si="19"/>
        <v>5.2068617558022508E-3</v>
      </c>
      <c r="S48" s="404">
        <f t="shared" si="20"/>
        <v>731.97180000000446</v>
      </c>
      <c r="T48" s="405" t="s">
        <v>438</v>
      </c>
      <c r="U48" s="405" t="s">
        <v>514</v>
      </c>
      <c r="V48" s="406"/>
      <c r="W48" s="406"/>
      <c r="X48" s="406">
        <v>1</v>
      </c>
      <c r="Y48" s="407" t="s">
        <v>487</v>
      </c>
      <c r="AC48" s="411"/>
    </row>
    <row r="49" spans="2:34" s="150" customFormat="1" ht="27" customHeight="1">
      <c r="B49" s="803"/>
      <c r="C49" s="804"/>
      <c r="D49" s="395">
        <v>19</v>
      </c>
      <c r="E49" s="398" t="s">
        <v>721</v>
      </c>
      <c r="F49" s="399">
        <v>1035</v>
      </c>
      <c r="G49" s="400">
        <v>18570</v>
      </c>
      <c r="H49" s="400">
        <v>18960</v>
      </c>
      <c r="I49" s="401">
        <f t="shared" si="23"/>
        <v>1.0210016155088852</v>
      </c>
      <c r="J49" s="400">
        <v>60</v>
      </c>
      <c r="K49" s="401">
        <f t="shared" si="24"/>
        <v>3.2310177705977385E-3</v>
      </c>
      <c r="L49" s="400">
        <v>2.3000000000000003</v>
      </c>
      <c r="M49" s="401">
        <f t="shared" si="25"/>
        <v>1.0242326332794831</v>
      </c>
      <c r="N49" s="402">
        <v>1035</v>
      </c>
      <c r="O49" s="400">
        <v>450</v>
      </c>
      <c r="P49" s="401">
        <f t="shared" si="17"/>
        <v>2.4232633279483037E-2</v>
      </c>
      <c r="Q49" s="403">
        <f t="shared" si="18"/>
        <v>0</v>
      </c>
      <c r="R49" s="401">
        <f t="shared" si="19"/>
        <v>0</v>
      </c>
      <c r="S49" s="404">
        <f t="shared" si="20"/>
        <v>0</v>
      </c>
      <c r="T49" s="405" t="s">
        <v>438</v>
      </c>
      <c r="U49" s="405" t="s">
        <v>346</v>
      </c>
      <c r="V49" s="406"/>
      <c r="W49" s="406"/>
      <c r="X49" s="406">
        <v>1</v>
      </c>
      <c r="Y49" s="407" t="s">
        <v>443</v>
      </c>
      <c r="AB49" s="414"/>
      <c r="AC49" s="411"/>
    </row>
    <row r="50" spans="2:34" s="150" customFormat="1" ht="27" customHeight="1">
      <c r="B50" s="805"/>
      <c r="C50" s="806"/>
      <c r="D50" s="395">
        <v>20</v>
      </c>
      <c r="E50" s="398" t="s">
        <v>516</v>
      </c>
      <c r="F50" s="399">
        <v>1015.56</v>
      </c>
      <c r="G50" s="400">
        <v>225420</v>
      </c>
      <c r="H50" s="400">
        <v>225898</v>
      </c>
      <c r="I50" s="401">
        <f t="shared" si="23"/>
        <v>1.0021204862035311</v>
      </c>
      <c r="J50" s="400">
        <v>390</v>
      </c>
      <c r="K50" s="401">
        <f t="shared" si="24"/>
        <v>1.7301038062283738E-3</v>
      </c>
      <c r="L50" s="400">
        <v>1.17</v>
      </c>
      <c r="M50" s="401">
        <f t="shared" si="25"/>
        <v>1.0038505900097596</v>
      </c>
      <c r="N50" s="402">
        <v>1015.56</v>
      </c>
      <c r="O50" s="400">
        <v>868</v>
      </c>
      <c r="P50" s="401">
        <f t="shared" si="17"/>
        <v>3.85059000975956E-3</v>
      </c>
      <c r="Q50" s="403">
        <f t="shared" si="18"/>
        <v>0</v>
      </c>
      <c r="R50" s="401">
        <f t="shared" si="19"/>
        <v>0</v>
      </c>
      <c r="S50" s="404">
        <f t="shared" si="20"/>
        <v>0</v>
      </c>
      <c r="T50" s="405" t="s">
        <v>438</v>
      </c>
      <c r="U50" s="405" t="s">
        <v>346</v>
      </c>
      <c r="V50" s="406"/>
      <c r="W50" s="406"/>
      <c r="X50" s="406">
        <v>1</v>
      </c>
      <c r="Y50" s="407" t="s">
        <v>349</v>
      </c>
      <c r="AB50" s="414"/>
      <c r="AC50" s="411"/>
    </row>
    <row r="51" spans="2:34" ht="17.100000000000001" customHeight="1">
      <c r="B51" s="823" t="s">
        <v>511</v>
      </c>
      <c r="C51" s="824"/>
      <c r="D51" s="829" t="s">
        <v>172</v>
      </c>
      <c r="E51" s="829"/>
      <c r="F51" s="829"/>
      <c r="G51" s="829" t="s">
        <v>186</v>
      </c>
      <c r="H51" s="829"/>
      <c r="I51" s="829"/>
      <c r="J51" s="829"/>
      <c r="K51" s="829"/>
      <c r="L51" s="829"/>
      <c r="M51" s="829"/>
      <c r="N51" s="829"/>
      <c r="O51" s="829"/>
      <c r="P51" s="829"/>
      <c r="Q51" s="829"/>
      <c r="R51" s="829"/>
      <c r="S51" s="829"/>
      <c r="T51" s="829" t="s">
        <v>173</v>
      </c>
      <c r="U51" s="814" t="s">
        <v>252</v>
      </c>
      <c r="V51" s="807" t="s">
        <v>512</v>
      </c>
      <c r="W51" s="807" t="s">
        <v>513</v>
      </c>
      <c r="X51" s="810" t="s">
        <v>253</v>
      </c>
      <c r="Y51" s="813" t="s">
        <v>174</v>
      </c>
      <c r="AA51" s="814" t="s">
        <v>254</v>
      </c>
      <c r="AB51" s="815"/>
      <c r="AC51" s="815"/>
      <c r="AD51" s="815"/>
      <c r="AE51" s="815"/>
      <c r="AF51" s="815"/>
      <c r="AG51" s="815"/>
      <c r="AH51" s="816"/>
    </row>
    <row r="52" spans="2:34" ht="17.100000000000001" customHeight="1">
      <c r="B52" s="825"/>
      <c r="C52" s="826"/>
      <c r="D52" s="830" t="s">
        <v>171</v>
      </c>
      <c r="E52" s="829" t="s">
        <v>175</v>
      </c>
      <c r="F52" s="829"/>
      <c r="G52" s="829" t="s">
        <v>187</v>
      </c>
      <c r="H52" s="829"/>
      <c r="I52" s="829"/>
      <c r="J52" s="829"/>
      <c r="K52" s="829"/>
      <c r="L52" s="829"/>
      <c r="M52" s="829"/>
      <c r="N52" s="829"/>
      <c r="O52" s="829" t="s">
        <v>176</v>
      </c>
      <c r="P52" s="829"/>
      <c r="Q52" s="829"/>
      <c r="R52" s="829"/>
      <c r="S52" s="829"/>
      <c r="T52" s="829"/>
      <c r="U52" s="817"/>
      <c r="V52" s="808"/>
      <c r="W52" s="808"/>
      <c r="X52" s="811"/>
      <c r="Y52" s="813"/>
      <c r="AA52" s="817"/>
      <c r="AB52" s="818"/>
      <c r="AC52" s="818"/>
      <c r="AD52" s="818"/>
      <c r="AE52" s="818"/>
      <c r="AF52" s="818"/>
      <c r="AG52" s="818"/>
      <c r="AH52" s="819"/>
    </row>
    <row r="53" spans="2:34" ht="17.100000000000001" customHeight="1">
      <c r="B53" s="825"/>
      <c r="C53" s="826"/>
      <c r="D53" s="830"/>
      <c r="E53" s="830" t="s">
        <v>177</v>
      </c>
      <c r="F53" s="813" t="s">
        <v>255</v>
      </c>
      <c r="G53" s="831" t="s">
        <v>188</v>
      </c>
      <c r="H53" s="831"/>
      <c r="I53" s="831"/>
      <c r="J53" s="831"/>
      <c r="K53" s="831"/>
      <c r="L53" s="831"/>
      <c r="M53" s="831"/>
      <c r="N53" s="831"/>
      <c r="O53" s="831" t="s">
        <v>170</v>
      </c>
      <c r="P53" s="831"/>
      <c r="Q53" s="831" t="s">
        <v>178</v>
      </c>
      <c r="R53" s="831"/>
      <c r="S53" s="831"/>
      <c r="T53" s="829"/>
      <c r="U53" s="817"/>
      <c r="V53" s="808"/>
      <c r="W53" s="808"/>
      <c r="X53" s="811"/>
      <c r="Y53" s="813"/>
      <c r="AA53" s="820"/>
      <c r="AB53" s="821"/>
      <c r="AC53" s="821"/>
      <c r="AD53" s="821"/>
      <c r="AE53" s="821"/>
      <c r="AF53" s="821"/>
      <c r="AG53" s="821"/>
      <c r="AH53" s="822"/>
    </row>
    <row r="54" spans="2:34" ht="38.450000000000003" customHeight="1">
      <c r="B54" s="827"/>
      <c r="C54" s="828"/>
      <c r="D54" s="830"/>
      <c r="E54" s="830"/>
      <c r="F54" s="813"/>
      <c r="G54" s="396" t="s">
        <v>179</v>
      </c>
      <c r="H54" s="396" t="s">
        <v>259</v>
      </c>
      <c r="I54" s="396" t="s">
        <v>260</v>
      </c>
      <c r="J54" s="396" t="s">
        <v>180</v>
      </c>
      <c r="K54" s="396" t="s">
        <v>257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7" t="s">
        <v>183</v>
      </c>
      <c r="R54" s="397" t="s">
        <v>184</v>
      </c>
      <c r="S54" s="396" t="s">
        <v>185</v>
      </c>
      <c r="T54" s="829"/>
      <c r="U54" s="820"/>
      <c r="V54" s="809"/>
      <c r="W54" s="809"/>
      <c r="X54" s="812"/>
      <c r="Y54" s="813"/>
      <c r="AA54" s="163" t="s">
        <v>251</v>
      </c>
      <c r="AB54" s="163" t="s">
        <v>514</v>
      </c>
      <c r="AC54" s="158" t="s">
        <v>403</v>
      </c>
      <c r="AD54" s="158" t="s">
        <v>346</v>
      </c>
      <c r="AE54" s="158" t="s">
        <v>473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01" t="s">
        <v>709</v>
      </c>
      <c r="C55" s="802"/>
      <c r="D55" s="395">
        <v>1</v>
      </c>
      <c r="E55" s="398"/>
      <c r="F55" s="399"/>
      <c r="G55" s="400"/>
      <c r="H55" s="400"/>
      <c r="I55" s="401" t="e">
        <f>H55/G55</f>
        <v>#DIV/0!</v>
      </c>
      <c r="J55" s="400"/>
      <c r="K55" s="401" t="e">
        <f>J55/G55</f>
        <v>#DIV/0!</v>
      </c>
      <c r="L55" s="400"/>
      <c r="M55" s="401" t="e">
        <f>(H55+J55)/G55</f>
        <v>#DIV/0!</v>
      </c>
      <c r="N55" s="402"/>
      <c r="O55" s="400"/>
      <c r="P55" s="401" t="e">
        <f>O55/G55</f>
        <v>#DIV/0!</v>
      </c>
      <c r="Q55" s="403">
        <f>((H55+J55)-G55)-O55</f>
        <v>0</v>
      </c>
      <c r="R55" s="401" t="e">
        <f>Q55/G55</f>
        <v>#DIV/0!</v>
      </c>
      <c r="S55" s="404">
        <f>Q55*L55</f>
        <v>0</v>
      </c>
      <c r="T55" s="405" t="s">
        <v>438</v>
      </c>
      <c r="U55" s="405"/>
      <c r="V55" s="406"/>
      <c r="W55" s="406"/>
      <c r="X55" s="406">
        <v>1</v>
      </c>
      <c r="Y55" s="407"/>
      <c r="Z55" s="408" t="s">
        <v>515</v>
      </c>
      <c r="AA55" s="418">
        <f>SUM(X55:X74)</f>
        <v>20</v>
      </c>
      <c r="AB55" s="410">
        <f>SUMIF($U$55:$U$74,TRIM(AB54),$X$55:$X$74)</f>
        <v>0</v>
      </c>
      <c r="AC55" s="410">
        <f t="shared" ref="AC55:AH55" si="26">SUMIF($U$55:$U$74,TRIM(AC54),$X$55:$X$74)</f>
        <v>0</v>
      </c>
      <c r="AD55" s="410">
        <f t="shared" si="26"/>
        <v>0</v>
      </c>
      <c r="AE55" s="410">
        <f t="shared" si="26"/>
        <v>0</v>
      </c>
      <c r="AF55" s="410">
        <f t="shared" si="26"/>
        <v>0</v>
      </c>
      <c r="AG55" s="410">
        <f t="shared" si="26"/>
        <v>0</v>
      </c>
      <c r="AH55" s="410">
        <f t="shared" si="26"/>
        <v>0</v>
      </c>
    </row>
    <row r="56" spans="2:34" s="150" customFormat="1" ht="27" customHeight="1">
      <c r="B56" s="803"/>
      <c r="C56" s="804"/>
      <c r="D56" s="395">
        <v>2</v>
      </c>
      <c r="E56" s="398"/>
      <c r="F56" s="399"/>
      <c r="G56" s="400"/>
      <c r="H56" s="400"/>
      <c r="I56" s="401" t="e">
        <f t="shared" ref="I56:I57" si="27">H56/G56</f>
        <v>#DIV/0!</v>
      </c>
      <c r="J56" s="400"/>
      <c r="K56" s="401" t="e">
        <f t="shared" ref="K56:K61" si="28">J56/G56</f>
        <v>#DIV/0!</v>
      </c>
      <c r="L56" s="400"/>
      <c r="M56" s="401" t="e">
        <f t="shared" ref="M56:M61" si="29">(H56+J56)/G56</f>
        <v>#DIV/0!</v>
      </c>
      <c r="N56" s="402"/>
      <c r="O56" s="400"/>
      <c r="P56" s="401" t="e">
        <f t="shared" ref="P56:P74" si="30">O56/G56</f>
        <v>#DIV/0!</v>
      </c>
      <c r="Q56" s="403">
        <f t="shared" ref="Q56:Q74" si="31">((H56+J56)-G56)-O56</f>
        <v>0</v>
      </c>
      <c r="R56" s="401" t="e">
        <f t="shared" ref="R56:R74" si="32">Q56/G56</f>
        <v>#DIV/0!</v>
      </c>
      <c r="S56" s="404">
        <f t="shared" ref="S56:S74" si="33">Q56*L56</f>
        <v>0</v>
      </c>
      <c r="T56" s="405" t="s">
        <v>438</v>
      </c>
      <c r="U56" s="405"/>
      <c r="V56" s="406"/>
      <c r="W56" s="406"/>
      <c r="X56" s="406">
        <v>1</v>
      </c>
      <c r="Y56" s="407"/>
      <c r="AA56" s="419"/>
      <c r="AB56" s="416">
        <f>SUMIF($U$55:$U$74,TRIM(AB54),$F$55:$F$74)</f>
        <v>0</v>
      </c>
      <c r="AC56" s="416">
        <f t="shared" ref="AC56:AH56" si="34">SUMIF($U$55:$U$74,TRIM(AC54),$F$55:$F$74)</f>
        <v>0</v>
      </c>
      <c r="AD56" s="416">
        <f t="shared" si="34"/>
        <v>0</v>
      </c>
      <c r="AE56" s="416">
        <f t="shared" si="34"/>
        <v>0</v>
      </c>
      <c r="AF56" s="416">
        <f t="shared" si="34"/>
        <v>0</v>
      </c>
      <c r="AG56" s="416">
        <f t="shared" si="34"/>
        <v>0</v>
      </c>
      <c r="AH56" s="416">
        <f t="shared" si="34"/>
        <v>0</v>
      </c>
    </row>
    <row r="57" spans="2:34" s="150" customFormat="1" ht="27" customHeight="1">
      <c r="B57" s="803"/>
      <c r="C57" s="804"/>
      <c r="D57" s="395">
        <v>3</v>
      </c>
      <c r="E57" s="398"/>
      <c r="F57" s="399"/>
      <c r="G57" s="400"/>
      <c r="H57" s="400"/>
      <c r="I57" s="401" t="e">
        <f t="shared" si="27"/>
        <v>#DIV/0!</v>
      </c>
      <c r="J57" s="400"/>
      <c r="K57" s="401" t="e">
        <f t="shared" si="28"/>
        <v>#DIV/0!</v>
      </c>
      <c r="L57" s="400"/>
      <c r="M57" s="401" t="e">
        <f t="shared" si="29"/>
        <v>#DIV/0!</v>
      </c>
      <c r="N57" s="402"/>
      <c r="O57" s="400"/>
      <c r="P57" s="401" t="e">
        <f t="shared" si="30"/>
        <v>#DIV/0!</v>
      </c>
      <c r="Q57" s="403">
        <f t="shared" si="31"/>
        <v>0</v>
      </c>
      <c r="R57" s="401" t="e">
        <f t="shared" si="32"/>
        <v>#DIV/0!</v>
      </c>
      <c r="S57" s="404">
        <f t="shared" si="33"/>
        <v>0</v>
      </c>
      <c r="T57" s="405" t="s">
        <v>438</v>
      </c>
      <c r="U57" s="405"/>
      <c r="V57" s="406"/>
      <c r="W57" s="406"/>
      <c r="X57" s="406">
        <v>1</v>
      </c>
      <c r="Y57" s="407"/>
      <c r="AA57" s="395"/>
      <c r="AB57" s="417">
        <f>AB55/$AA55</f>
        <v>0</v>
      </c>
      <c r="AC57" s="417">
        <f t="shared" ref="AC57:AH57" si="35">AC55/$AA55</f>
        <v>0</v>
      </c>
      <c r="AD57" s="417">
        <f t="shared" si="35"/>
        <v>0</v>
      </c>
      <c r="AE57" s="417">
        <f t="shared" si="35"/>
        <v>0</v>
      </c>
      <c r="AF57" s="417">
        <f t="shared" si="35"/>
        <v>0</v>
      </c>
      <c r="AG57" s="417">
        <f t="shared" si="35"/>
        <v>0</v>
      </c>
      <c r="AH57" s="417">
        <f t="shared" si="35"/>
        <v>0</v>
      </c>
    </row>
    <row r="58" spans="2:34" s="150" customFormat="1" ht="27" customHeight="1">
      <c r="B58" s="803"/>
      <c r="C58" s="804"/>
      <c r="D58" s="395">
        <v>4</v>
      </c>
      <c r="E58" s="398"/>
      <c r="F58" s="399"/>
      <c r="G58" s="400"/>
      <c r="H58" s="400"/>
      <c r="I58" s="401" t="e">
        <f>H58/G58</f>
        <v>#DIV/0!</v>
      </c>
      <c r="J58" s="400"/>
      <c r="K58" s="401" t="e">
        <f t="shared" si="28"/>
        <v>#DIV/0!</v>
      </c>
      <c r="L58" s="400"/>
      <c r="M58" s="401" t="e">
        <f t="shared" si="29"/>
        <v>#DIV/0!</v>
      </c>
      <c r="N58" s="402"/>
      <c r="O58" s="400"/>
      <c r="P58" s="401" t="e">
        <f t="shared" si="30"/>
        <v>#DIV/0!</v>
      </c>
      <c r="Q58" s="403">
        <f t="shared" si="31"/>
        <v>0</v>
      </c>
      <c r="R58" s="401" t="e">
        <f t="shared" si="32"/>
        <v>#DIV/0!</v>
      </c>
      <c r="S58" s="404">
        <f t="shared" si="33"/>
        <v>0</v>
      </c>
      <c r="T58" s="405" t="s">
        <v>438</v>
      </c>
      <c r="U58" s="405"/>
      <c r="V58" s="406"/>
      <c r="W58" s="406"/>
      <c r="X58" s="406">
        <v>1</v>
      </c>
      <c r="Y58" s="407"/>
    </row>
    <row r="59" spans="2:34" s="150" customFormat="1" ht="27" customHeight="1">
      <c r="B59" s="803"/>
      <c r="C59" s="804"/>
      <c r="D59" s="395">
        <v>5</v>
      </c>
      <c r="E59" s="398"/>
      <c r="F59" s="399"/>
      <c r="G59" s="400"/>
      <c r="H59" s="400"/>
      <c r="I59" s="401" t="e">
        <f t="shared" ref="I59:I74" si="36">H59/G59</f>
        <v>#DIV/0!</v>
      </c>
      <c r="J59" s="400"/>
      <c r="K59" s="401" t="e">
        <f t="shared" si="28"/>
        <v>#DIV/0!</v>
      </c>
      <c r="L59" s="400"/>
      <c r="M59" s="401" t="e">
        <f t="shared" si="29"/>
        <v>#DIV/0!</v>
      </c>
      <c r="N59" s="402"/>
      <c r="O59" s="400"/>
      <c r="P59" s="401" t="e">
        <f t="shared" si="30"/>
        <v>#DIV/0!</v>
      </c>
      <c r="Q59" s="403">
        <f t="shared" si="31"/>
        <v>0</v>
      </c>
      <c r="R59" s="401" t="e">
        <f t="shared" si="32"/>
        <v>#DIV/0!</v>
      </c>
      <c r="S59" s="404">
        <f t="shared" si="33"/>
        <v>0</v>
      </c>
      <c r="T59" s="405" t="s">
        <v>438</v>
      </c>
      <c r="U59" s="405"/>
      <c r="V59" s="406"/>
      <c r="W59" s="406"/>
      <c r="X59" s="406">
        <v>1</v>
      </c>
      <c r="Y59" s="407"/>
    </row>
    <row r="60" spans="2:34" s="150" customFormat="1" ht="27" customHeight="1">
      <c r="B60" s="803"/>
      <c r="C60" s="804"/>
      <c r="D60" s="395">
        <v>6</v>
      </c>
      <c r="E60" s="398"/>
      <c r="F60" s="399"/>
      <c r="G60" s="400"/>
      <c r="H60" s="400"/>
      <c r="I60" s="401" t="e">
        <f t="shared" si="36"/>
        <v>#DIV/0!</v>
      </c>
      <c r="J60" s="400"/>
      <c r="K60" s="401" t="e">
        <f t="shared" si="28"/>
        <v>#DIV/0!</v>
      </c>
      <c r="L60" s="400"/>
      <c r="M60" s="401" t="e">
        <f t="shared" si="29"/>
        <v>#DIV/0!</v>
      </c>
      <c r="N60" s="402"/>
      <c r="O60" s="400"/>
      <c r="P60" s="401" t="e">
        <f t="shared" si="30"/>
        <v>#DIV/0!</v>
      </c>
      <c r="Q60" s="403">
        <f t="shared" si="31"/>
        <v>0</v>
      </c>
      <c r="R60" s="401" t="e">
        <f t="shared" si="32"/>
        <v>#DIV/0!</v>
      </c>
      <c r="S60" s="404">
        <f t="shared" si="33"/>
        <v>0</v>
      </c>
      <c r="T60" s="405" t="s">
        <v>438</v>
      </c>
      <c r="U60" s="405"/>
      <c r="V60" s="406"/>
      <c r="W60" s="406"/>
      <c r="X60" s="406">
        <v>1</v>
      </c>
      <c r="Y60" s="407"/>
    </row>
    <row r="61" spans="2:34" s="150" customFormat="1" ht="27" customHeight="1">
      <c r="B61" s="803"/>
      <c r="C61" s="804"/>
      <c r="D61" s="395">
        <v>7</v>
      </c>
      <c r="E61" s="398"/>
      <c r="F61" s="399"/>
      <c r="G61" s="400"/>
      <c r="H61" s="400"/>
      <c r="I61" s="401" t="e">
        <f t="shared" si="36"/>
        <v>#DIV/0!</v>
      </c>
      <c r="J61" s="400"/>
      <c r="K61" s="401" t="e">
        <f t="shared" si="28"/>
        <v>#DIV/0!</v>
      </c>
      <c r="L61" s="400"/>
      <c r="M61" s="401" t="e">
        <f t="shared" si="29"/>
        <v>#DIV/0!</v>
      </c>
      <c r="N61" s="402"/>
      <c r="O61" s="400"/>
      <c r="P61" s="401" t="e">
        <f t="shared" si="30"/>
        <v>#DIV/0!</v>
      </c>
      <c r="Q61" s="403">
        <f t="shared" si="31"/>
        <v>0</v>
      </c>
      <c r="R61" s="401" t="e">
        <f t="shared" si="32"/>
        <v>#DIV/0!</v>
      </c>
      <c r="S61" s="404">
        <f t="shared" si="33"/>
        <v>0</v>
      </c>
      <c r="T61" s="405" t="s">
        <v>438</v>
      </c>
      <c r="U61" s="405"/>
      <c r="V61" s="406"/>
      <c r="W61" s="406"/>
      <c r="X61" s="406">
        <v>1</v>
      </c>
      <c r="Y61" s="407"/>
    </row>
    <row r="62" spans="2:34" s="150" customFormat="1" ht="27" customHeight="1">
      <c r="B62" s="803"/>
      <c r="C62" s="804"/>
      <c r="D62" s="395">
        <v>8</v>
      </c>
      <c r="E62" s="398"/>
      <c r="F62" s="399"/>
      <c r="G62" s="400"/>
      <c r="H62" s="400"/>
      <c r="I62" s="401" t="e">
        <f t="shared" si="36"/>
        <v>#DIV/0!</v>
      </c>
      <c r="J62" s="400"/>
      <c r="K62" s="401" t="e">
        <f>J62/G62</f>
        <v>#DIV/0!</v>
      </c>
      <c r="L62" s="400"/>
      <c r="M62" s="401" t="e">
        <f>(H62+J62)/G62</f>
        <v>#DIV/0!</v>
      </c>
      <c r="N62" s="402"/>
      <c r="O62" s="400"/>
      <c r="P62" s="401" t="e">
        <f t="shared" si="30"/>
        <v>#DIV/0!</v>
      </c>
      <c r="Q62" s="403">
        <f t="shared" si="31"/>
        <v>0</v>
      </c>
      <c r="R62" s="401" t="e">
        <f t="shared" si="32"/>
        <v>#DIV/0!</v>
      </c>
      <c r="S62" s="404">
        <f t="shared" si="33"/>
        <v>0</v>
      </c>
      <c r="T62" s="405" t="s">
        <v>438</v>
      </c>
      <c r="U62" s="405"/>
      <c r="V62" s="406"/>
      <c r="W62" s="406"/>
      <c r="X62" s="406">
        <v>1</v>
      </c>
      <c r="Y62" s="407"/>
    </row>
    <row r="63" spans="2:34" s="150" customFormat="1" ht="27" customHeight="1">
      <c r="B63" s="803"/>
      <c r="C63" s="804"/>
      <c r="D63" s="395">
        <v>9</v>
      </c>
      <c r="E63" s="398"/>
      <c r="F63" s="399"/>
      <c r="G63" s="400"/>
      <c r="H63" s="400"/>
      <c r="I63" s="401" t="e">
        <f t="shared" si="36"/>
        <v>#DIV/0!</v>
      </c>
      <c r="J63" s="400"/>
      <c r="K63" s="401" t="e">
        <f t="shared" ref="K63:K74" si="37">J63/G63</f>
        <v>#DIV/0!</v>
      </c>
      <c r="L63" s="400"/>
      <c r="M63" s="401" t="e">
        <f t="shared" ref="M63:M74" si="38">(H63+J63)/G63</f>
        <v>#DIV/0!</v>
      </c>
      <c r="N63" s="402"/>
      <c r="O63" s="400"/>
      <c r="P63" s="401" t="e">
        <f t="shared" si="30"/>
        <v>#DIV/0!</v>
      </c>
      <c r="Q63" s="403">
        <f t="shared" si="31"/>
        <v>0</v>
      </c>
      <c r="R63" s="401" t="e">
        <f t="shared" si="32"/>
        <v>#DIV/0!</v>
      </c>
      <c r="S63" s="404">
        <f t="shared" si="33"/>
        <v>0</v>
      </c>
      <c r="T63" s="405" t="s">
        <v>438</v>
      </c>
      <c r="U63" s="405"/>
      <c r="V63" s="406"/>
      <c r="W63" s="431"/>
      <c r="X63" s="406">
        <v>1</v>
      </c>
      <c r="Y63" s="407"/>
    </row>
    <row r="64" spans="2:34" s="150" customFormat="1" ht="27" customHeight="1">
      <c r="B64" s="803"/>
      <c r="C64" s="804"/>
      <c r="D64" s="395">
        <v>10</v>
      </c>
      <c r="E64" s="398"/>
      <c r="F64" s="399"/>
      <c r="G64" s="400"/>
      <c r="H64" s="400"/>
      <c r="I64" s="401" t="e">
        <f t="shared" si="36"/>
        <v>#DIV/0!</v>
      </c>
      <c r="J64" s="400"/>
      <c r="K64" s="401" t="e">
        <f t="shared" si="37"/>
        <v>#DIV/0!</v>
      </c>
      <c r="L64" s="400"/>
      <c r="M64" s="401" t="e">
        <f t="shared" si="38"/>
        <v>#DIV/0!</v>
      </c>
      <c r="N64" s="402"/>
      <c r="O64" s="400"/>
      <c r="P64" s="401" t="e">
        <f t="shared" si="30"/>
        <v>#DIV/0!</v>
      </c>
      <c r="Q64" s="403">
        <f t="shared" si="31"/>
        <v>0</v>
      </c>
      <c r="R64" s="401" t="e">
        <f t="shared" si="32"/>
        <v>#DIV/0!</v>
      </c>
      <c r="S64" s="404">
        <f t="shared" si="33"/>
        <v>0</v>
      </c>
      <c r="T64" s="405" t="s">
        <v>438</v>
      </c>
      <c r="U64" s="405"/>
      <c r="V64" s="406"/>
      <c r="W64" s="406"/>
      <c r="X64" s="406">
        <v>1</v>
      </c>
      <c r="Y64" s="407"/>
    </row>
    <row r="65" spans="2:34" s="150" customFormat="1" ht="27" customHeight="1">
      <c r="B65" s="803"/>
      <c r="C65" s="804"/>
      <c r="D65" s="395">
        <v>11</v>
      </c>
      <c r="E65" s="398"/>
      <c r="F65" s="399"/>
      <c r="G65" s="400"/>
      <c r="H65" s="400"/>
      <c r="I65" s="401" t="e">
        <f t="shared" si="36"/>
        <v>#DIV/0!</v>
      </c>
      <c r="J65" s="400"/>
      <c r="K65" s="401" t="e">
        <f t="shared" si="37"/>
        <v>#DIV/0!</v>
      </c>
      <c r="L65" s="400"/>
      <c r="M65" s="401" t="e">
        <f t="shared" si="38"/>
        <v>#DIV/0!</v>
      </c>
      <c r="N65" s="402"/>
      <c r="O65" s="400"/>
      <c r="P65" s="401" t="e">
        <f t="shared" si="30"/>
        <v>#DIV/0!</v>
      </c>
      <c r="Q65" s="403">
        <f t="shared" si="31"/>
        <v>0</v>
      </c>
      <c r="R65" s="401" t="e">
        <f t="shared" si="32"/>
        <v>#DIV/0!</v>
      </c>
      <c r="S65" s="404">
        <f t="shared" si="33"/>
        <v>0</v>
      </c>
      <c r="T65" s="405" t="s">
        <v>438</v>
      </c>
      <c r="U65" s="405"/>
      <c r="V65" s="406"/>
      <c r="W65" s="406"/>
      <c r="X65" s="406">
        <v>1</v>
      </c>
      <c r="Y65" s="407"/>
    </row>
    <row r="66" spans="2:34" s="150" customFormat="1" ht="27" customHeight="1">
      <c r="B66" s="803"/>
      <c r="C66" s="804"/>
      <c r="D66" s="395">
        <v>12</v>
      </c>
      <c r="E66" s="398"/>
      <c r="F66" s="399"/>
      <c r="G66" s="400"/>
      <c r="H66" s="400"/>
      <c r="I66" s="401" t="e">
        <f t="shared" si="36"/>
        <v>#DIV/0!</v>
      </c>
      <c r="J66" s="400"/>
      <c r="K66" s="401" t="e">
        <f t="shared" si="37"/>
        <v>#DIV/0!</v>
      </c>
      <c r="L66" s="400"/>
      <c r="M66" s="401" t="e">
        <f t="shared" si="38"/>
        <v>#DIV/0!</v>
      </c>
      <c r="N66" s="402"/>
      <c r="O66" s="400"/>
      <c r="P66" s="401" t="e">
        <f t="shared" si="30"/>
        <v>#DIV/0!</v>
      </c>
      <c r="Q66" s="403">
        <f t="shared" si="31"/>
        <v>0</v>
      </c>
      <c r="R66" s="401" t="e">
        <f t="shared" si="32"/>
        <v>#DIV/0!</v>
      </c>
      <c r="S66" s="404">
        <f t="shared" si="33"/>
        <v>0</v>
      </c>
      <c r="T66" s="405" t="s">
        <v>438</v>
      </c>
      <c r="U66" s="405"/>
      <c r="V66" s="406"/>
      <c r="W66" s="406"/>
      <c r="X66" s="406">
        <v>1</v>
      </c>
      <c r="Y66" s="407"/>
    </row>
    <row r="67" spans="2:34" s="150" customFormat="1" ht="27" customHeight="1">
      <c r="B67" s="803"/>
      <c r="C67" s="804"/>
      <c r="D67" s="395">
        <v>13</v>
      </c>
      <c r="E67" s="398"/>
      <c r="F67" s="399"/>
      <c r="G67" s="400"/>
      <c r="H67" s="400"/>
      <c r="I67" s="401" t="e">
        <f t="shared" si="36"/>
        <v>#DIV/0!</v>
      </c>
      <c r="J67" s="400"/>
      <c r="K67" s="401" t="e">
        <f t="shared" si="37"/>
        <v>#DIV/0!</v>
      </c>
      <c r="L67" s="400"/>
      <c r="M67" s="401" t="e">
        <f t="shared" si="38"/>
        <v>#DIV/0!</v>
      </c>
      <c r="N67" s="402"/>
      <c r="O67" s="400"/>
      <c r="P67" s="401" t="e">
        <f t="shared" si="30"/>
        <v>#DIV/0!</v>
      </c>
      <c r="Q67" s="403">
        <f t="shared" si="31"/>
        <v>0</v>
      </c>
      <c r="R67" s="401" t="e">
        <f t="shared" si="32"/>
        <v>#DIV/0!</v>
      </c>
      <c r="S67" s="404">
        <f t="shared" si="33"/>
        <v>0</v>
      </c>
      <c r="T67" s="405" t="s">
        <v>438</v>
      </c>
      <c r="U67" s="405"/>
      <c r="V67" s="406"/>
      <c r="W67" s="431"/>
      <c r="X67" s="406">
        <v>1</v>
      </c>
      <c r="Y67" s="407"/>
    </row>
    <row r="68" spans="2:34" s="150" customFormat="1" ht="27" customHeight="1">
      <c r="B68" s="803"/>
      <c r="C68" s="804"/>
      <c r="D68" s="395">
        <v>14</v>
      </c>
      <c r="E68" s="398"/>
      <c r="F68" s="399"/>
      <c r="G68" s="400"/>
      <c r="H68" s="400"/>
      <c r="I68" s="401" t="e">
        <f t="shared" si="36"/>
        <v>#DIV/0!</v>
      </c>
      <c r="J68" s="400"/>
      <c r="K68" s="401" t="e">
        <f t="shared" si="37"/>
        <v>#DIV/0!</v>
      </c>
      <c r="L68" s="400"/>
      <c r="M68" s="401" t="e">
        <f t="shared" si="38"/>
        <v>#DIV/0!</v>
      </c>
      <c r="N68" s="402"/>
      <c r="O68" s="400"/>
      <c r="P68" s="401" t="e">
        <f t="shared" si="30"/>
        <v>#DIV/0!</v>
      </c>
      <c r="Q68" s="403">
        <f t="shared" si="31"/>
        <v>0</v>
      </c>
      <c r="R68" s="401" t="e">
        <f t="shared" si="32"/>
        <v>#DIV/0!</v>
      </c>
      <c r="S68" s="404">
        <f t="shared" si="33"/>
        <v>0</v>
      </c>
      <c r="T68" s="405" t="s">
        <v>438</v>
      </c>
      <c r="U68" s="405"/>
      <c r="V68" s="406"/>
      <c r="W68" s="406"/>
      <c r="X68" s="406">
        <v>1</v>
      </c>
      <c r="Y68" s="407"/>
    </row>
    <row r="69" spans="2:34" s="150" customFormat="1" ht="27" customHeight="1">
      <c r="B69" s="803"/>
      <c r="C69" s="804"/>
      <c r="D69" s="395">
        <v>15</v>
      </c>
      <c r="E69" s="398"/>
      <c r="F69" s="399"/>
      <c r="G69" s="400"/>
      <c r="H69" s="400"/>
      <c r="I69" s="401" t="e">
        <f t="shared" si="36"/>
        <v>#DIV/0!</v>
      </c>
      <c r="J69" s="400"/>
      <c r="K69" s="401" t="e">
        <f t="shared" si="37"/>
        <v>#DIV/0!</v>
      </c>
      <c r="L69" s="400"/>
      <c r="M69" s="401" t="e">
        <f t="shared" si="38"/>
        <v>#DIV/0!</v>
      </c>
      <c r="N69" s="402"/>
      <c r="O69" s="400"/>
      <c r="P69" s="401" t="e">
        <f t="shared" si="30"/>
        <v>#DIV/0!</v>
      </c>
      <c r="Q69" s="403">
        <f t="shared" si="31"/>
        <v>0</v>
      </c>
      <c r="R69" s="401" t="e">
        <f t="shared" si="32"/>
        <v>#DIV/0!</v>
      </c>
      <c r="S69" s="404">
        <f t="shared" si="33"/>
        <v>0</v>
      </c>
      <c r="T69" s="405" t="s">
        <v>438</v>
      </c>
      <c r="U69" s="405"/>
      <c r="V69" s="406"/>
      <c r="W69" s="406"/>
      <c r="X69" s="406">
        <v>1</v>
      </c>
      <c r="Y69" s="407"/>
    </row>
    <row r="70" spans="2:34" s="150" customFormat="1" ht="27" customHeight="1">
      <c r="B70" s="803"/>
      <c r="C70" s="804"/>
      <c r="D70" s="395">
        <v>16</v>
      </c>
      <c r="E70" s="398"/>
      <c r="F70" s="399"/>
      <c r="G70" s="400"/>
      <c r="H70" s="400"/>
      <c r="I70" s="401" t="e">
        <f t="shared" si="36"/>
        <v>#DIV/0!</v>
      </c>
      <c r="J70" s="400"/>
      <c r="K70" s="401" t="e">
        <f t="shared" si="37"/>
        <v>#DIV/0!</v>
      </c>
      <c r="L70" s="400"/>
      <c r="M70" s="401" t="e">
        <f t="shared" si="38"/>
        <v>#DIV/0!</v>
      </c>
      <c r="N70" s="402"/>
      <c r="O70" s="400"/>
      <c r="P70" s="401" t="e">
        <f t="shared" si="30"/>
        <v>#DIV/0!</v>
      </c>
      <c r="Q70" s="403">
        <f t="shared" si="31"/>
        <v>0</v>
      </c>
      <c r="R70" s="401" t="e">
        <f t="shared" si="32"/>
        <v>#DIV/0!</v>
      </c>
      <c r="S70" s="404">
        <f t="shared" si="33"/>
        <v>0</v>
      </c>
      <c r="T70" s="405" t="s">
        <v>438</v>
      </c>
      <c r="U70" s="405"/>
      <c r="V70" s="406"/>
      <c r="W70" s="406"/>
      <c r="X70" s="406">
        <v>1</v>
      </c>
      <c r="Y70" s="407"/>
      <c r="AC70" s="411"/>
    </row>
    <row r="71" spans="2:34" s="150" customFormat="1" ht="27" customHeight="1">
      <c r="B71" s="803"/>
      <c r="C71" s="804"/>
      <c r="D71" s="395">
        <v>17</v>
      </c>
      <c r="E71" s="398"/>
      <c r="F71" s="399"/>
      <c r="G71" s="400"/>
      <c r="H71" s="400"/>
      <c r="I71" s="401" t="e">
        <f t="shared" si="36"/>
        <v>#DIV/0!</v>
      </c>
      <c r="J71" s="400"/>
      <c r="K71" s="401" t="e">
        <f t="shared" si="37"/>
        <v>#DIV/0!</v>
      </c>
      <c r="L71" s="400"/>
      <c r="M71" s="401" t="e">
        <f t="shared" si="38"/>
        <v>#DIV/0!</v>
      </c>
      <c r="N71" s="402"/>
      <c r="O71" s="400"/>
      <c r="P71" s="401" t="e">
        <f t="shared" si="30"/>
        <v>#DIV/0!</v>
      </c>
      <c r="Q71" s="403">
        <f t="shared" si="31"/>
        <v>0</v>
      </c>
      <c r="R71" s="401" t="e">
        <f t="shared" si="32"/>
        <v>#DIV/0!</v>
      </c>
      <c r="S71" s="404">
        <f t="shared" si="33"/>
        <v>0</v>
      </c>
      <c r="T71" s="405" t="s">
        <v>438</v>
      </c>
      <c r="U71" s="405"/>
      <c r="V71" s="406"/>
      <c r="W71" s="431"/>
      <c r="X71" s="406">
        <v>1</v>
      </c>
      <c r="Y71" s="407"/>
      <c r="AB71" s="413"/>
      <c r="AC71" s="411"/>
    </row>
    <row r="72" spans="2:34" s="150" customFormat="1" ht="27" customHeight="1">
      <c r="B72" s="803"/>
      <c r="C72" s="804"/>
      <c r="D72" s="395">
        <v>18</v>
      </c>
      <c r="E72" s="398"/>
      <c r="F72" s="399"/>
      <c r="G72" s="400"/>
      <c r="H72" s="400"/>
      <c r="I72" s="401" t="e">
        <f t="shared" si="36"/>
        <v>#DIV/0!</v>
      </c>
      <c r="J72" s="400"/>
      <c r="K72" s="401" t="e">
        <f t="shared" si="37"/>
        <v>#DIV/0!</v>
      </c>
      <c r="L72" s="400"/>
      <c r="M72" s="401" t="e">
        <f t="shared" si="38"/>
        <v>#DIV/0!</v>
      </c>
      <c r="N72" s="402"/>
      <c r="O72" s="400"/>
      <c r="P72" s="401" t="e">
        <f t="shared" si="30"/>
        <v>#DIV/0!</v>
      </c>
      <c r="Q72" s="403">
        <f t="shared" si="31"/>
        <v>0</v>
      </c>
      <c r="R72" s="401" t="e">
        <f t="shared" si="32"/>
        <v>#DIV/0!</v>
      </c>
      <c r="S72" s="404">
        <f t="shared" si="33"/>
        <v>0</v>
      </c>
      <c r="T72" s="405" t="s">
        <v>438</v>
      </c>
      <c r="U72" s="405"/>
      <c r="V72" s="406"/>
      <c r="W72" s="406"/>
      <c r="X72" s="406">
        <v>1</v>
      </c>
      <c r="Y72" s="407"/>
      <c r="AC72" s="411"/>
    </row>
    <row r="73" spans="2:34" s="150" customFormat="1" ht="27" customHeight="1">
      <c r="B73" s="803"/>
      <c r="C73" s="804"/>
      <c r="D73" s="395">
        <v>19</v>
      </c>
      <c r="E73" s="398"/>
      <c r="F73" s="399"/>
      <c r="G73" s="400"/>
      <c r="H73" s="400"/>
      <c r="I73" s="401" t="e">
        <f t="shared" si="36"/>
        <v>#DIV/0!</v>
      </c>
      <c r="J73" s="400"/>
      <c r="K73" s="401" t="e">
        <f t="shared" si="37"/>
        <v>#DIV/0!</v>
      </c>
      <c r="L73" s="400"/>
      <c r="M73" s="401" t="e">
        <f t="shared" si="38"/>
        <v>#DIV/0!</v>
      </c>
      <c r="N73" s="402"/>
      <c r="O73" s="400"/>
      <c r="P73" s="401" t="e">
        <f t="shared" si="30"/>
        <v>#DIV/0!</v>
      </c>
      <c r="Q73" s="403">
        <f t="shared" si="31"/>
        <v>0</v>
      </c>
      <c r="R73" s="401" t="e">
        <f t="shared" si="32"/>
        <v>#DIV/0!</v>
      </c>
      <c r="S73" s="404">
        <f t="shared" si="33"/>
        <v>0</v>
      </c>
      <c r="T73" s="405" t="s">
        <v>438</v>
      </c>
      <c r="U73" s="405"/>
      <c r="V73" s="406"/>
      <c r="W73" s="406"/>
      <c r="X73" s="406">
        <v>1</v>
      </c>
      <c r="Y73" s="407"/>
      <c r="AB73" s="414"/>
      <c r="AC73" s="411"/>
    </row>
    <row r="74" spans="2:34" s="150" customFormat="1" ht="27" customHeight="1">
      <c r="B74" s="805"/>
      <c r="C74" s="806"/>
      <c r="D74" s="395">
        <v>20</v>
      </c>
      <c r="E74" s="398"/>
      <c r="F74" s="399"/>
      <c r="G74" s="400"/>
      <c r="H74" s="400"/>
      <c r="I74" s="401" t="e">
        <f t="shared" si="36"/>
        <v>#DIV/0!</v>
      </c>
      <c r="J74" s="400"/>
      <c r="K74" s="401" t="e">
        <f t="shared" si="37"/>
        <v>#DIV/0!</v>
      </c>
      <c r="L74" s="400"/>
      <c r="M74" s="401" t="e">
        <f t="shared" si="38"/>
        <v>#DIV/0!</v>
      </c>
      <c r="N74" s="402"/>
      <c r="O74" s="400"/>
      <c r="P74" s="401" t="e">
        <f t="shared" si="30"/>
        <v>#DIV/0!</v>
      </c>
      <c r="Q74" s="403">
        <f t="shared" si="31"/>
        <v>0</v>
      </c>
      <c r="R74" s="401" t="e">
        <f t="shared" si="32"/>
        <v>#DIV/0!</v>
      </c>
      <c r="S74" s="404">
        <f t="shared" si="33"/>
        <v>0</v>
      </c>
      <c r="T74" s="405" t="s">
        <v>438</v>
      </c>
      <c r="U74" s="405"/>
      <c r="V74" s="406"/>
      <c r="W74" s="406"/>
      <c r="X74" s="406">
        <v>1</v>
      </c>
      <c r="Y74" s="407"/>
      <c r="AB74" s="414"/>
      <c r="AC74" s="411"/>
    </row>
    <row r="75" spans="2:34" ht="17.100000000000001" customHeight="1">
      <c r="B75" s="823" t="s">
        <v>511</v>
      </c>
      <c r="C75" s="824"/>
      <c r="D75" s="829" t="s">
        <v>172</v>
      </c>
      <c r="E75" s="829"/>
      <c r="F75" s="829"/>
      <c r="G75" s="829" t="s">
        <v>186</v>
      </c>
      <c r="H75" s="829"/>
      <c r="I75" s="829"/>
      <c r="J75" s="829"/>
      <c r="K75" s="829"/>
      <c r="L75" s="829"/>
      <c r="M75" s="829"/>
      <c r="N75" s="829"/>
      <c r="O75" s="829"/>
      <c r="P75" s="829"/>
      <c r="Q75" s="829"/>
      <c r="R75" s="829"/>
      <c r="S75" s="829"/>
      <c r="T75" s="829" t="s">
        <v>173</v>
      </c>
      <c r="U75" s="814" t="s">
        <v>252</v>
      </c>
      <c r="V75" s="807" t="s">
        <v>512</v>
      </c>
      <c r="W75" s="807" t="s">
        <v>513</v>
      </c>
      <c r="X75" s="810" t="s">
        <v>253</v>
      </c>
      <c r="Y75" s="813" t="s">
        <v>174</v>
      </c>
      <c r="AA75" s="814" t="s">
        <v>254</v>
      </c>
      <c r="AB75" s="815"/>
      <c r="AC75" s="815"/>
      <c r="AD75" s="815"/>
      <c r="AE75" s="815"/>
      <c r="AF75" s="815"/>
      <c r="AG75" s="815"/>
      <c r="AH75" s="816"/>
    </row>
    <row r="76" spans="2:34" ht="17.100000000000001" customHeight="1">
      <c r="B76" s="825"/>
      <c r="C76" s="826"/>
      <c r="D76" s="830" t="s">
        <v>171</v>
      </c>
      <c r="E76" s="829" t="s">
        <v>175</v>
      </c>
      <c r="F76" s="829"/>
      <c r="G76" s="829" t="s">
        <v>187</v>
      </c>
      <c r="H76" s="829"/>
      <c r="I76" s="829"/>
      <c r="J76" s="829"/>
      <c r="K76" s="829"/>
      <c r="L76" s="829"/>
      <c r="M76" s="829"/>
      <c r="N76" s="829"/>
      <c r="O76" s="829" t="s">
        <v>176</v>
      </c>
      <c r="P76" s="829"/>
      <c r="Q76" s="829"/>
      <c r="R76" s="829"/>
      <c r="S76" s="829"/>
      <c r="T76" s="829"/>
      <c r="U76" s="817"/>
      <c r="V76" s="808"/>
      <c r="W76" s="808"/>
      <c r="X76" s="811"/>
      <c r="Y76" s="813"/>
      <c r="AA76" s="817"/>
      <c r="AB76" s="818"/>
      <c r="AC76" s="818"/>
      <c r="AD76" s="818"/>
      <c r="AE76" s="818"/>
      <c r="AF76" s="818"/>
      <c r="AG76" s="818"/>
      <c r="AH76" s="819"/>
    </row>
    <row r="77" spans="2:34" ht="17.100000000000001" customHeight="1">
      <c r="B77" s="825"/>
      <c r="C77" s="826"/>
      <c r="D77" s="830"/>
      <c r="E77" s="830" t="s">
        <v>177</v>
      </c>
      <c r="F77" s="813" t="s">
        <v>255</v>
      </c>
      <c r="G77" s="831" t="s">
        <v>188</v>
      </c>
      <c r="H77" s="831"/>
      <c r="I77" s="831"/>
      <c r="J77" s="831"/>
      <c r="K77" s="831"/>
      <c r="L77" s="831"/>
      <c r="M77" s="831"/>
      <c r="N77" s="831"/>
      <c r="O77" s="831" t="s">
        <v>170</v>
      </c>
      <c r="P77" s="831"/>
      <c r="Q77" s="831" t="s">
        <v>178</v>
      </c>
      <c r="R77" s="831"/>
      <c r="S77" s="831"/>
      <c r="T77" s="829"/>
      <c r="U77" s="817"/>
      <c r="V77" s="808"/>
      <c r="W77" s="808"/>
      <c r="X77" s="811"/>
      <c r="Y77" s="813"/>
      <c r="AA77" s="820"/>
      <c r="AB77" s="821"/>
      <c r="AC77" s="821"/>
      <c r="AD77" s="821"/>
      <c r="AE77" s="821"/>
      <c r="AF77" s="821"/>
      <c r="AG77" s="821"/>
      <c r="AH77" s="822"/>
    </row>
    <row r="78" spans="2:34" ht="38.450000000000003" customHeight="1">
      <c r="B78" s="827"/>
      <c r="C78" s="828"/>
      <c r="D78" s="830"/>
      <c r="E78" s="830"/>
      <c r="F78" s="813"/>
      <c r="G78" s="396" t="s">
        <v>179</v>
      </c>
      <c r="H78" s="396" t="s">
        <v>259</v>
      </c>
      <c r="I78" s="396" t="s">
        <v>260</v>
      </c>
      <c r="J78" s="396" t="s">
        <v>180</v>
      </c>
      <c r="K78" s="396" t="s">
        <v>257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7" t="s">
        <v>183</v>
      </c>
      <c r="R78" s="397" t="s">
        <v>184</v>
      </c>
      <c r="S78" s="396" t="s">
        <v>185</v>
      </c>
      <c r="T78" s="829"/>
      <c r="U78" s="820"/>
      <c r="V78" s="809"/>
      <c r="W78" s="809"/>
      <c r="X78" s="812"/>
      <c r="Y78" s="813"/>
      <c r="AA78" s="163" t="s">
        <v>251</v>
      </c>
      <c r="AB78" s="163" t="s">
        <v>514</v>
      </c>
      <c r="AC78" s="158" t="s">
        <v>403</v>
      </c>
      <c r="AD78" s="158" t="s">
        <v>346</v>
      </c>
      <c r="AE78" s="158" t="s">
        <v>473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01" t="s">
        <v>710</v>
      </c>
      <c r="C79" s="802"/>
      <c r="D79" s="395">
        <v>1</v>
      </c>
      <c r="E79" s="398"/>
      <c r="F79" s="399"/>
      <c r="G79" s="400"/>
      <c r="H79" s="400"/>
      <c r="I79" s="401" t="e">
        <f>H79/G79</f>
        <v>#DIV/0!</v>
      </c>
      <c r="J79" s="400"/>
      <c r="K79" s="401" t="e">
        <f>J79/G79</f>
        <v>#DIV/0!</v>
      </c>
      <c r="L79" s="400"/>
      <c r="M79" s="401" t="e">
        <f>(H79+J79)/G79</f>
        <v>#DIV/0!</v>
      </c>
      <c r="N79" s="402"/>
      <c r="O79" s="400"/>
      <c r="P79" s="401" t="e">
        <f>O79/G79</f>
        <v>#DIV/0!</v>
      </c>
      <c r="Q79" s="403">
        <f>((H79+J79)-G79)-O79</f>
        <v>0</v>
      </c>
      <c r="R79" s="401" t="e">
        <f>Q79/G79</f>
        <v>#DIV/0!</v>
      </c>
      <c r="S79" s="404">
        <f>Q79*L79</f>
        <v>0</v>
      </c>
      <c r="T79" s="405" t="s">
        <v>438</v>
      </c>
      <c r="U79" s="405"/>
      <c r="V79" s="406"/>
      <c r="W79" s="406"/>
      <c r="X79" s="406">
        <v>1</v>
      </c>
      <c r="Y79" s="407"/>
      <c r="Z79" s="408" t="s">
        <v>515</v>
      </c>
      <c r="AA79" s="418">
        <f>SUM(X79:X98)</f>
        <v>20</v>
      </c>
      <c r="AB79" s="410">
        <f>SUMIF($U$79:$U$98,TRIM(AB78),$X$79:$X$98)</f>
        <v>0</v>
      </c>
      <c r="AC79" s="410">
        <f t="shared" ref="AC79:AH79" si="39">SUMIF($U$79:$U$98,TRIM(AC78),$X$79:$X$98)</f>
        <v>0</v>
      </c>
      <c r="AD79" s="410">
        <f t="shared" si="39"/>
        <v>0</v>
      </c>
      <c r="AE79" s="410">
        <f t="shared" si="39"/>
        <v>0</v>
      </c>
      <c r="AF79" s="410">
        <f t="shared" si="39"/>
        <v>0</v>
      </c>
      <c r="AG79" s="410">
        <f t="shared" si="39"/>
        <v>0</v>
      </c>
      <c r="AH79" s="410">
        <f t="shared" si="39"/>
        <v>0</v>
      </c>
    </row>
    <row r="80" spans="2:34" s="150" customFormat="1" ht="27" customHeight="1">
      <c r="B80" s="803"/>
      <c r="C80" s="804"/>
      <c r="D80" s="395">
        <v>2</v>
      </c>
      <c r="E80" s="398"/>
      <c r="F80" s="399"/>
      <c r="G80" s="400"/>
      <c r="H80" s="400"/>
      <c r="I80" s="401" t="e">
        <f t="shared" ref="I80:I81" si="40">H80/G80</f>
        <v>#DIV/0!</v>
      </c>
      <c r="J80" s="400"/>
      <c r="K80" s="401" t="e">
        <f t="shared" ref="K80:K85" si="41">J80/G80</f>
        <v>#DIV/0!</v>
      </c>
      <c r="L80" s="400"/>
      <c r="M80" s="401" t="e">
        <f t="shared" ref="M80:M85" si="42">(H80+J80)/G80</f>
        <v>#DIV/0!</v>
      </c>
      <c r="N80" s="402"/>
      <c r="O80" s="400"/>
      <c r="P80" s="401" t="e">
        <f t="shared" ref="P80:P98" si="43">O80/G80</f>
        <v>#DIV/0!</v>
      </c>
      <c r="Q80" s="403">
        <f t="shared" ref="Q80:Q98" si="44">((H80+J80)-G80)-O80</f>
        <v>0</v>
      </c>
      <c r="R80" s="401" t="e">
        <f t="shared" ref="R80:R98" si="45">Q80/G80</f>
        <v>#DIV/0!</v>
      </c>
      <c r="S80" s="404">
        <f t="shared" ref="S80:S98" si="46">Q80*L80</f>
        <v>0</v>
      </c>
      <c r="T80" s="405" t="s">
        <v>438</v>
      </c>
      <c r="U80" s="405"/>
      <c r="V80" s="406"/>
      <c r="W80" s="406"/>
      <c r="X80" s="406">
        <v>1</v>
      </c>
      <c r="Y80" s="407"/>
      <c r="AA80" s="419"/>
      <c r="AB80" s="416">
        <f>SUMIF($U$79:$U$98,TRIM(AB78),$F$79:$F$98)</f>
        <v>0</v>
      </c>
      <c r="AC80" s="416">
        <f t="shared" ref="AC80:AH80" si="47">SUMIF($U$79:$U$98,TRIM(AC78),$F$79:$F$98)</f>
        <v>0</v>
      </c>
      <c r="AD80" s="416">
        <f t="shared" si="47"/>
        <v>0</v>
      </c>
      <c r="AE80" s="416">
        <f t="shared" si="47"/>
        <v>0</v>
      </c>
      <c r="AF80" s="416">
        <f t="shared" si="47"/>
        <v>0</v>
      </c>
      <c r="AG80" s="416">
        <f t="shared" si="47"/>
        <v>0</v>
      </c>
      <c r="AH80" s="416">
        <f t="shared" si="47"/>
        <v>0</v>
      </c>
    </row>
    <row r="81" spans="2:34" s="150" customFormat="1" ht="27" customHeight="1">
      <c r="B81" s="803"/>
      <c r="C81" s="804"/>
      <c r="D81" s="395">
        <v>3</v>
      </c>
      <c r="E81" s="398"/>
      <c r="F81" s="399"/>
      <c r="G81" s="400"/>
      <c r="H81" s="400"/>
      <c r="I81" s="401" t="e">
        <f t="shared" si="40"/>
        <v>#DIV/0!</v>
      </c>
      <c r="J81" s="400"/>
      <c r="K81" s="401" t="e">
        <f t="shared" si="41"/>
        <v>#DIV/0!</v>
      </c>
      <c r="L81" s="400"/>
      <c r="M81" s="401" t="e">
        <f t="shared" si="42"/>
        <v>#DIV/0!</v>
      </c>
      <c r="N81" s="402"/>
      <c r="O81" s="400"/>
      <c r="P81" s="401" t="e">
        <f t="shared" si="43"/>
        <v>#DIV/0!</v>
      </c>
      <c r="Q81" s="403">
        <f t="shared" si="44"/>
        <v>0</v>
      </c>
      <c r="R81" s="401" t="e">
        <f t="shared" si="45"/>
        <v>#DIV/0!</v>
      </c>
      <c r="S81" s="404">
        <f t="shared" si="46"/>
        <v>0</v>
      </c>
      <c r="T81" s="405" t="s">
        <v>438</v>
      </c>
      <c r="U81" s="405"/>
      <c r="V81" s="406"/>
      <c r="W81" s="406"/>
      <c r="X81" s="406">
        <v>1</v>
      </c>
      <c r="Y81" s="407"/>
      <c r="AA81" s="395"/>
      <c r="AB81" s="417">
        <f>AB79/$AA79</f>
        <v>0</v>
      </c>
      <c r="AC81" s="417">
        <f t="shared" ref="AC81:AH81" si="48">AC79/$AA79</f>
        <v>0</v>
      </c>
      <c r="AD81" s="417">
        <f t="shared" si="48"/>
        <v>0</v>
      </c>
      <c r="AE81" s="417">
        <f t="shared" si="48"/>
        <v>0</v>
      </c>
      <c r="AF81" s="417">
        <f t="shared" si="48"/>
        <v>0</v>
      </c>
      <c r="AG81" s="417">
        <f t="shared" si="48"/>
        <v>0</v>
      </c>
      <c r="AH81" s="417">
        <f t="shared" si="48"/>
        <v>0</v>
      </c>
    </row>
    <row r="82" spans="2:34" s="150" customFormat="1" ht="27" customHeight="1">
      <c r="B82" s="803"/>
      <c r="C82" s="804"/>
      <c r="D82" s="395">
        <v>4</v>
      </c>
      <c r="E82" s="398"/>
      <c r="F82" s="399"/>
      <c r="G82" s="400"/>
      <c r="H82" s="400"/>
      <c r="I82" s="401" t="e">
        <f>H82/G82</f>
        <v>#DIV/0!</v>
      </c>
      <c r="J82" s="400"/>
      <c r="K82" s="401" t="e">
        <f t="shared" si="41"/>
        <v>#DIV/0!</v>
      </c>
      <c r="L82" s="400"/>
      <c r="M82" s="401" t="e">
        <f t="shared" si="42"/>
        <v>#DIV/0!</v>
      </c>
      <c r="N82" s="402"/>
      <c r="O82" s="400"/>
      <c r="P82" s="401" t="e">
        <f t="shared" si="43"/>
        <v>#DIV/0!</v>
      </c>
      <c r="Q82" s="403">
        <f t="shared" si="44"/>
        <v>0</v>
      </c>
      <c r="R82" s="401" t="e">
        <f t="shared" si="45"/>
        <v>#DIV/0!</v>
      </c>
      <c r="S82" s="404">
        <f t="shared" si="46"/>
        <v>0</v>
      </c>
      <c r="T82" s="405" t="s">
        <v>438</v>
      </c>
      <c r="U82" s="405"/>
      <c r="V82" s="406"/>
      <c r="W82" s="406"/>
      <c r="X82" s="406">
        <v>1</v>
      </c>
      <c r="Y82" s="407"/>
    </row>
    <row r="83" spans="2:34" s="150" customFormat="1" ht="27" customHeight="1">
      <c r="B83" s="803"/>
      <c r="C83" s="804"/>
      <c r="D83" s="395">
        <v>5</v>
      </c>
      <c r="E83" s="398"/>
      <c r="F83" s="399"/>
      <c r="G83" s="400"/>
      <c r="H83" s="400"/>
      <c r="I83" s="401" t="e">
        <f t="shared" ref="I83:I98" si="49">H83/G83</f>
        <v>#DIV/0!</v>
      </c>
      <c r="J83" s="400"/>
      <c r="K83" s="401" t="e">
        <f t="shared" si="41"/>
        <v>#DIV/0!</v>
      </c>
      <c r="L83" s="400"/>
      <c r="M83" s="401" t="e">
        <f t="shared" si="42"/>
        <v>#DIV/0!</v>
      </c>
      <c r="N83" s="402"/>
      <c r="O83" s="400"/>
      <c r="P83" s="401" t="e">
        <f t="shared" si="43"/>
        <v>#DIV/0!</v>
      </c>
      <c r="Q83" s="403">
        <f t="shared" si="44"/>
        <v>0</v>
      </c>
      <c r="R83" s="401" t="e">
        <f t="shared" si="45"/>
        <v>#DIV/0!</v>
      </c>
      <c r="S83" s="404">
        <f t="shared" si="46"/>
        <v>0</v>
      </c>
      <c r="T83" s="405" t="s">
        <v>438</v>
      </c>
      <c r="U83" s="405"/>
      <c r="V83" s="406"/>
      <c r="W83" s="406"/>
      <c r="X83" s="406">
        <v>1</v>
      </c>
      <c r="Y83" s="407"/>
    </row>
    <row r="84" spans="2:34" s="150" customFormat="1" ht="27" customHeight="1">
      <c r="B84" s="803"/>
      <c r="C84" s="804"/>
      <c r="D84" s="395">
        <v>6</v>
      </c>
      <c r="E84" s="398"/>
      <c r="F84" s="399"/>
      <c r="G84" s="400"/>
      <c r="H84" s="400"/>
      <c r="I84" s="401" t="e">
        <f t="shared" si="49"/>
        <v>#DIV/0!</v>
      </c>
      <c r="J84" s="400"/>
      <c r="K84" s="401" t="e">
        <f t="shared" si="41"/>
        <v>#DIV/0!</v>
      </c>
      <c r="L84" s="400"/>
      <c r="M84" s="401" t="e">
        <f t="shared" si="42"/>
        <v>#DIV/0!</v>
      </c>
      <c r="N84" s="402"/>
      <c r="O84" s="400"/>
      <c r="P84" s="401" t="e">
        <f t="shared" si="43"/>
        <v>#DIV/0!</v>
      </c>
      <c r="Q84" s="403">
        <f t="shared" si="44"/>
        <v>0</v>
      </c>
      <c r="R84" s="401" t="e">
        <f t="shared" si="45"/>
        <v>#DIV/0!</v>
      </c>
      <c r="S84" s="404">
        <f t="shared" si="46"/>
        <v>0</v>
      </c>
      <c r="T84" s="405" t="s">
        <v>438</v>
      </c>
      <c r="U84" s="405"/>
      <c r="V84" s="406"/>
      <c r="W84" s="406"/>
      <c r="X84" s="406">
        <v>1</v>
      </c>
      <c r="Y84" s="407"/>
    </row>
    <row r="85" spans="2:34" s="150" customFormat="1" ht="27" customHeight="1">
      <c r="B85" s="803"/>
      <c r="C85" s="804"/>
      <c r="D85" s="395">
        <v>7</v>
      </c>
      <c r="E85" s="398"/>
      <c r="F85" s="399"/>
      <c r="G85" s="400"/>
      <c r="H85" s="400"/>
      <c r="I85" s="401" t="e">
        <f t="shared" si="49"/>
        <v>#DIV/0!</v>
      </c>
      <c r="J85" s="400"/>
      <c r="K85" s="401" t="e">
        <f t="shared" si="41"/>
        <v>#DIV/0!</v>
      </c>
      <c r="L85" s="400"/>
      <c r="M85" s="401" t="e">
        <f t="shared" si="42"/>
        <v>#DIV/0!</v>
      </c>
      <c r="N85" s="402"/>
      <c r="O85" s="400"/>
      <c r="P85" s="401" t="e">
        <f t="shared" si="43"/>
        <v>#DIV/0!</v>
      </c>
      <c r="Q85" s="403">
        <f t="shared" si="44"/>
        <v>0</v>
      </c>
      <c r="R85" s="401" t="e">
        <f t="shared" si="45"/>
        <v>#DIV/0!</v>
      </c>
      <c r="S85" s="404">
        <f t="shared" si="46"/>
        <v>0</v>
      </c>
      <c r="T85" s="405" t="s">
        <v>438</v>
      </c>
      <c r="U85" s="405"/>
      <c r="V85" s="406"/>
      <c r="W85" s="406"/>
      <c r="X85" s="406">
        <v>1</v>
      </c>
      <c r="Y85" s="407"/>
      <c r="AC85" s="411"/>
    </row>
    <row r="86" spans="2:34" s="150" customFormat="1" ht="27" customHeight="1">
      <c r="B86" s="803"/>
      <c r="C86" s="804"/>
      <c r="D86" s="395">
        <v>8</v>
      </c>
      <c r="E86" s="398"/>
      <c r="F86" s="399"/>
      <c r="G86" s="400"/>
      <c r="H86" s="400"/>
      <c r="I86" s="401" t="e">
        <f t="shared" si="49"/>
        <v>#DIV/0!</v>
      </c>
      <c r="J86" s="400"/>
      <c r="K86" s="401" t="e">
        <f>J86/G86</f>
        <v>#DIV/0!</v>
      </c>
      <c r="L86" s="400"/>
      <c r="M86" s="401" t="e">
        <f>(H86+J86)/G86</f>
        <v>#DIV/0!</v>
      </c>
      <c r="N86" s="402"/>
      <c r="O86" s="400"/>
      <c r="P86" s="401" t="e">
        <f t="shared" si="43"/>
        <v>#DIV/0!</v>
      </c>
      <c r="Q86" s="403">
        <f t="shared" si="44"/>
        <v>0</v>
      </c>
      <c r="R86" s="401" t="e">
        <f t="shared" si="45"/>
        <v>#DIV/0!</v>
      </c>
      <c r="S86" s="404">
        <f t="shared" si="46"/>
        <v>0</v>
      </c>
      <c r="T86" s="405" t="s">
        <v>438</v>
      </c>
      <c r="U86" s="405"/>
      <c r="V86" s="406"/>
      <c r="W86" s="406"/>
      <c r="X86" s="406">
        <v>1</v>
      </c>
      <c r="Y86" s="407"/>
      <c r="AC86" s="411"/>
    </row>
    <row r="87" spans="2:34" s="150" customFormat="1" ht="27" customHeight="1">
      <c r="B87" s="803"/>
      <c r="C87" s="804"/>
      <c r="D87" s="395">
        <v>9</v>
      </c>
      <c r="E87" s="398"/>
      <c r="F87" s="399"/>
      <c r="G87" s="400"/>
      <c r="H87" s="400"/>
      <c r="I87" s="401" t="e">
        <f t="shared" si="49"/>
        <v>#DIV/0!</v>
      </c>
      <c r="J87" s="400"/>
      <c r="K87" s="401" t="e">
        <f t="shared" ref="K87:K98" si="50">J87/G87</f>
        <v>#DIV/0!</v>
      </c>
      <c r="L87" s="400"/>
      <c r="M87" s="401" t="e">
        <f t="shared" ref="M87:M98" si="51">(H87+J87)/G87</f>
        <v>#DIV/0!</v>
      </c>
      <c r="N87" s="402"/>
      <c r="O87" s="400"/>
      <c r="P87" s="401" t="e">
        <f t="shared" si="43"/>
        <v>#DIV/0!</v>
      </c>
      <c r="Q87" s="403">
        <f t="shared" si="44"/>
        <v>0</v>
      </c>
      <c r="R87" s="401" t="e">
        <f t="shared" si="45"/>
        <v>#DIV/0!</v>
      </c>
      <c r="S87" s="404">
        <f t="shared" si="46"/>
        <v>0</v>
      </c>
      <c r="T87" s="405" t="s">
        <v>438</v>
      </c>
      <c r="U87" s="405"/>
      <c r="V87" s="406"/>
      <c r="W87" s="406"/>
      <c r="X87" s="406">
        <v>1</v>
      </c>
      <c r="Y87" s="407"/>
      <c r="AC87" s="411"/>
    </row>
    <row r="88" spans="2:34" s="150" customFormat="1" ht="27" customHeight="1">
      <c r="B88" s="803"/>
      <c r="C88" s="804"/>
      <c r="D88" s="395">
        <v>10</v>
      </c>
      <c r="E88" s="398"/>
      <c r="F88" s="399"/>
      <c r="G88" s="400"/>
      <c r="H88" s="400"/>
      <c r="I88" s="401" t="e">
        <f t="shared" si="49"/>
        <v>#DIV/0!</v>
      </c>
      <c r="J88" s="400"/>
      <c r="K88" s="401" t="e">
        <f t="shared" si="50"/>
        <v>#DIV/0!</v>
      </c>
      <c r="L88" s="400"/>
      <c r="M88" s="401" t="e">
        <f t="shared" si="51"/>
        <v>#DIV/0!</v>
      </c>
      <c r="N88" s="402"/>
      <c r="O88" s="400"/>
      <c r="P88" s="401" t="e">
        <f t="shared" si="43"/>
        <v>#DIV/0!</v>
      </c>
      <c r="Q88" s="403">
        <f t="shared" si="44"/>
        <v>0</v>
      </c>
      <c r="R88" s="401" t="e">
        <f t="shared" si="45"/>
        <v>#DIV/0!</v>
      </c>
      <c r="S88" s="404">
        <f t="shared" si="46"/>
        <v>0</v>
      </c>
      <c r="T88" s="405" t="s">
        <v>438</v>
      </c>
      <c r="U88" s="405"/>
      <c r="V88" s="406"/>
      <c r="W88" s="406"/>
      <c r="X88" s="406">
        <v>1</v>
      </c>
      <c r="Y88" s="407"/>
      <c r="AC88" s="411"/>
    </row>
    <row r="89" spans="2:34" s="150" customFormat="1" ht="27" customHeight="1">
      <c r="B89" s="803"/>
      <c r="C89" s="804"/>
      <c r="D89" s="395">
        <v>11</v>
      </c>
      <c r="E89" s="398"/>
      <c r="F89" s="399"/>
      <c r="G89" s="400"/>
      <c r="H89" s="400"/>
      <c r="I89" s="401" t="e">
        <f t="shared" si="49"/>
        <v>#DIV/0!</v>
      </c>
      <c r="J89" s="400"/>
      <c r="K89" s="401" t="e">
        <f t="shared" si="50"/>
        <v>#DIV/0!</v>
      </c>
      <c r="L89" s="400"/>
      <c r="M89" s="401" t="e">
        <f t="shared" si="51"/>
        <v>#DIV/0!</v>
      </c>
      <c r="N89" s="402"/>
      <c r="O89" s="400"/>
      <c r="P89" s="401" t="e">
        <f t="shared" si="43"/>
        <v>#DIV/0!</v>
      </c>
      <c r="Q89" s="403">
        <f t="shared" si="44"/>
        <v>0</v>
      </c>
      <c r="R89" s="401" t="e">
        <f t="shared" si="45"/>
        <v>#DIV/0!</v>
      </c>
      <c r="S89" s="404">
        <f t="shared" si="46"/>
        <v>0</v>
      </c>
      <c r="T89" s="405" t="s">
        <v>438</v>
      </c>
      <c r="U89" s="405"/>
      <c r="V89" s="406"/>
      <c r="W89" s="431"/>
      <c r="X89" s="406">
        <v>1</v>
      </c>
      <c r="Y89" s="407"/>
      <c r="AC89" s="411"/>
    </row>
    <row r="90" spans="2:34" s="150" customFormat="1" ht="27" customHeight="1">
      <c r="B90" s="803"/>
      <c r="C90" s="804"/>
      <c r="D90" s="395">
        <v>12</v>
      </c>
      <c r="E90" s="398"/>
      <c r="F90" s="399"/>
      <c r="G90" s="400"/>
      <c r="H90" s="400"/>
      <c r="I90" s="401" t="e">
        <f t="shared" si="49"/>
        <v>#DIV/0!</v>
      </c>
      <c r="J90" s="400"/>
      <c r="K90" s="401" t="e">
        <f t="shared" si="50"/>
        <v>#DIV/0!</v>
      </c>
      <c r="L90" s="400"/>
      <c r="M90" s="401" t="e">
        <f t="shared" si="51"/>
        <v>#DIV/0!</v>
      </c>
      <c r="N90" s="402"/>
      <c r="O90" s="400"/>
      <c r="P90" s="401" t="e">
        <f t="shared" si="43"/>
        <v>#DIV/0!</v>
      </c>
      <c r="Q90" s="403">
        <f t="shared" si="44"/>
        <v>0</v>
      </c>
      <c r="R90" s="401" t="e">
        <f t="shared" si="45"/>
        <v>#DIV/0!</v>
      </c>
      <c r="S90" s="404">
        <f t="shared" si="46"/>
        <v>0</v>
      </c>
      <c r="T90" s="405" t="s">
        <v>438</v>
      </c>
      <c r="U90" s="405"/>
      <c r="V90" s="406"/>
      <c r="W90" s="406"/>
      <c r="X90" s="406">
        <v>1</v>
      </c>
      <c r="Y90" s="407"/>
      <c r="AC90" s="411"/>
    </row>
    <row r="91" spans="2:34" s="150" customFormat="1" ht="27" customHeight="1">
      <c r="B91" s="803"/>
      <c r="C91" s="804"/>
      <c r="D91" s="395">
        <v>13</v>
      </c>
      <c r="E91" s="398"/>
      <c r="F91" s="399"/>
      <c r="G91" s="400"/>
      <c r="H91" s="400"/>
      <c r="I91" s="401" t="e">
        <f t="shared" si="49"/>
        <v>#DIV/0!</v>
      </c>
      <c r="J91" s="400"/>
      <c r="K91" s="401" t="e">
        <f t="shared" si="50"/>
        <v>#DIV/0!</v>
      </c>
      <c r="L91" s="400"/>
      <c r="M91" s="401" t="e">
        <f t="shared" si="51"/>
        <v>#DIV/0!</v>
      </c>
      <c r="N91" s="402"/>
      <c r="O91" s="400"/>
      <c r="P91" s="401" t="e">
        <f t="shared" si="43"/>
        <v>#DIV/0!</v>
      </c>
      <c r="Q91" s="403">
        <f t="shared" si="44"/>
        <v>0</v>
      </c>
      <c r="R91" s="401" t="e">
        <f t="shared" si="45"/>
        <v>#DIV/0!</v>
      </c>
      <c r="S91" s="404">
        <f t="shared" si="46"/>
        <v>0</v>
      </c>
      <c r="T91" s="405" t="s">
        <v>438</v>
      </c>
      <c r="U91" s="405"/>
      <c r="V91" s="406"/>
      <c r="W91" s="406"/>
      <c r="X91" s="406">
        <v>1</v>
      </c>
      <c r="Y91" s="407"/>
      <c r="AC91" s="411"/>
    </row>
    <row r="92" spans="2:34" s="150" customFormat="1" ht="27" customHeight="1">
      <c r="B92" s="803"/>
      <c r="C92" s="804"/>
      <c r="D92" s="395">
        <v>14</v>
      </c>
      <c r="E92" s="398"/>
      <c r="F92" s="399"/>
      <c r="G92" s="400"/>
      <c r="H92" s="400"/>
      <c r="I92" s="401" t="e">
        <f t="shared" si="49"/>
        <v>#DIV/0!</v>
      </c>
      <c r="J92" s="400"/>
      <c r="K92" s="401" t="e">
        <f t="shared" si="50"/>
        <v>#DIV/0!</v>
      </c>
      <c r="L92" s="400"/>
      <c r="M92" s="401" t="e">
        <f t="shared" si="51"/>
        <v>#DIV/0!</v>
      </c>
      <c r="N92" s="402"/>
      <c r="O92" s="400"/>
      <c r="P92" s="401" t="e">
        <f t="shared" si="43"/>
        <v>#DIV/0!</v>
      </c>
      <c r="Q92" s="403">
        <f t="shared" si="44"/>
        <v>0</v>
      </c>
      <c r="R92" s="401" t="e">
        <f t="shared" si="45"/>
        <v>#DIV/0!</v>
      </c>
      <c r="S92" s="404">
        <f t="shared" si="46"/>
        <v>0</v>
      </c>
      <c r="T92" s="405" t="s">
        <v>438</v>
      </c>
      <c r="U92" s="405"/>
      <c r="V92" s="406"/>
      <c r="W92" s="406"/>
      <c r="X92" s="406">
        <v>1</v>
      </c>
      <c r="Y92" s="407"/>
      <c r="AC92" s="412"/>
    </row>
    <row r="93" spans="2:34" s="150" customFormat="1" ht="27" customHeight="1">
      <c r="B93" s="803"/>
      <c r="C93" s="804"/>
      <c r="D93" s="395">
        <v>15</v>
      </c>
      <c r="E93" s="398"/>
      <c r="F93" s="399"/>
      <c r="G93" s="400"/>
      <c r="H93" s="400"/>
      <c r="I93" s="401" t="e">
        <f t="shared" si="49"/>
        <v>#DIV/0!</v>
      </c>
      <c r="J93" s="400"/>
      <c r="K93" s="401" t="e">
        <f t="shared" si="50"/>
        <v>#DIV/0!</v>
      </c>
      <c r="L93" s="400"/>
      <c r="M93" s="401" t="e">
        <f>(H93+J93)/G93</f>
        <v>#DIV/0!</v>
      </c>
      <c r="N93" s="402"/>
      <c r="O93" s="400"/>
      <c r="P93" s="401" t="e">
        <f t="shared" si="43"/>
        <v>#DIV/0!</v>
      </c>
      <c r="Q93" s="403">
        <f t="shared" si="44"/>
        <v>0</v>
      </c>
      <c r="R93" s="401" t="e">
        <f t="shared" si="45"/>
        <v>#DIV/0!</v>
      </c>
      <c r="S93" s="404">
        <f t="shared" si="46"/>
        <v>0</v>
      </c>
      <c r="T93" s="405" t="s">
        <v>438</v>
      </c>
      <c r="U93" s="405"/>
      <c r="V93" s="406"/>
      <c r="W93" s="406"/>
      <c r="X93" s="406">
        <v>1</v>
      </c>
      <c r="Y93" s="407"/>
      <c r="AC93" s="411"/>
    </row>
    <row r="94" spans="2:34" s="150" customFormat="1" ht="27" customHeight="1">
      <c r="B94" s="803"/>
      <c r="C94" s="804"/>
      <c r="D94" s="395">
        <v>16</v>
      </c>
      <c r="E94" s="398"/>
      <c r="F94" s="399"/>
      <c r="G94" s="400"/>
      <c r="H94" s="400"/>
      <c r="I94" s="401" t="e">
        <f t="shared" si="49"/>
        <v>#DIV/0!</v>
      </c>
      <c r="J94" s="400"/>
      <c r="K94" s="401" t="e">
        <f t="shared" si="50"/>
        <v>#DIV/0!</v>
      </c>
      <c r="L94" s="400"/>
      <c r="M94" s="401" t="e">
        <f t="shared" si="51"/>
        <v>#DIV/0!</v>
      </c>
      <c r="N94" s="402"/>
      <c r="O94" s="400"/>
      <c r="P94" s="401" t="e">
        <f t="shared" si="43"/>
        <v>#DIV/0!</v>
      </c>
      <c r="Q94" s="403">
        <f t="shared" si="44"/>
        <v>0</v>
      </c>
      <c r="R94" s="401" t="e">
        <f t="shared" si="45"/>
        <v>#DIV/0!</v>
      </c>
      <c r="S94" s="404">
        <f t="shared" si="46"/>
        <v>0</v>
      </c>
      <c r="T94" s="405" t="s">
        <v>438</v>
      </c>
      <c r="U94" s="405"/>
      <c r="V94" s="406"/>
      <c r="W94" s="406"/>
      <c r="X94" s="406">
        <v>1</v>
      </c>
      <c r="Y94" s="407"/>
      <c r="AC94" s="411"/>
    </row>
    <row r="95" spans="2:34" s="150" customFormat="1" ht="27" customHeight="1">
      <c r="B95" s="803"/>
      <c r="C95" s="804"/>
      <c r="D95" s="395">
        <v>17</v>
      </c>
      <c r="E95" s="398"/>
      <c r="F95" s="399"/>
      <c r="G95" s="400"/>
      <c r="H95" s="400"/>
      <c r="I95" s="401" t="e">
        <f t="shared" si="49"/>
        <v>#DIV/0!</v>
      </c>
      <c r="J95" s="400"/>
      <c r="K95" s="401" t="e">
        <f t="shared" si="50"/>
        <v>#DIV/0!</v>
      </c>
      <c r="L95" s="400"/>
      <c r="M95" s="401" t="e">
        <f t="shared" si="51"/>
        <v>#DIV/0!</v>
      </c>
      <c r="N95" s="402"/>
      <c r="O95" s="400"/>
      <c r="P95" s="401" t="e">
        <f t="shared" si="43"/>
        <v>#DIV/0!</v>
      </c>
      <c r="Q95" s="403">
        <f t="shared" si="44"/>
        <v>0</v>
      </c>
      <c r="R95" s="401" t="e">
        <f t="shared" si="45"/>
        <v>#DIV/0!</v>
      </c>
      <c r="S95" s="404">
        <f t="shared" si="46"/>
        <v>0</v>
      </c>
      <c r="T95" s="405" t="s">
        <v>438</v>
      </c>
      <c r="U95" s="405"/>
      <c r="V95" s="406"/>
      <c r="W95" s="406"/>
      <c r="X95" s="406">
        <v>1</v>
      </c>
      <c r="Y95" s="407"/>
      <c r="AB95" s="413"/>
      <c r="AC95" s="411"/>
    </row>
    <row r="96" spans="2:34" s="150" customFormat="1" ht="27" customHeight="1">
      <c r="B96" s="803"/>
      <c r="C96" s="804"/>
      <c r="D96" s="395">
        <v>18</v>
      </c>
      <c r="E96" s="398"/>
      <c r="F96" s="399"/>
      <c r="G96" s="400"/>
      <c r="H96" s="400"/>
      <c r="I96" s="401" t="e">
        <f t="shared" si="49"/>
        <v>#DIV/0!</v>
      </c>
      <c r="J96" s="400"/>
      <c r="K96" s="401" t="e">
        <f t="shared" si="50"/>
        <v>#DIV/0!</v>
      </c>
      <c r="L96" s="400"/>
      <c r="M96" s="401" t="e">
        <f t="shared" si="51"/>
        <v>#DIV/0!</v>
      </c>
      <c r="N96" s="402"/>
      <c r="O96" s="400"/>
      <c r="P96" s="401" t="e">
        <f t="shared" si="43"/>
        <v>#DIV/0!</v>
      </c>
      <c r="Q96" s="403">
        <f t="shared" si="44"/>
        <v>0</v>
      </c>
      <c r="R96" s="401" t="e">
        <f t="shared" si="45"/>
        <v>#DIV/0!</v>
      </c>
      <c r="S96" s="404">
        <f t="shared" si="46"/>
        <v>0</v>
      </c>
      <c r="T96" s="405" t="s">
        <v>438</v>
      </c>
      <c r="U96" s="405"/>
      <c r="V96" s="406"/>
      <c r="W96" s="406"/>
      <c r="X96" s="406">
        <v>1</v>
      </c>
      <c r="Y96" s="407"/>
      <c r="AC96" s="411"/>
    </row>
    <row r="97" spans="2:34" s="150" customFormat="1" ht="27" customHeight="1">
      <c r="B97" s="803"/>
      <c r="C97" s="804"/>
      <c r="D97" s="395">
        <v>19</v>
      </c>
      <c r="E97" s="398"/>
      <c r="F97" s="399"/>
      <c r="G97" s="400"/>
      <c r="H97" s="400"/>
      <c r="I97" s="401" t="e">
        <f t="shared" si="49"/>
        <v>#DIV/0!</v>
      </c>
      <c r="J97" s="400"/>
      <c r="K97" s="401" t="e">
        <f t="shared" si="50"/>
        <v>#DIV/0!</v>
      </c>
      <c r="L97" s="400"/>
      <c r="M97" s="401" t="e">
        <f t="shared" si="51"/>
        <v>#DIV/0!</v>
      </c>
      <c r="N97" s="402"/>
      <c r="O97" s="400"/>
      <c r="P97" s="401" t="e">
        <f t="shared" si="43"/>
        <v>#DIV/0!</v>
      </c>
      <c r="Q97" s="403">
        <f t="shared" si="44"/>
        <v>0</v>
      </c>
      <c r="R97" s="401" t="e">
        <f t="shared" si="45"/>
        <v>#DIV/0!</v>
      </c>
      <c r="S97" s="404">
        <f t="shared" si="46"/>
        <v>0</v>
      </c>
      <c r="T97" s="405" t="s">
        <v>438</v>
      </c>
      <c r="U97" s="405"/>
      <c r="V97" s="406"/>
      <c r="W97" s="406"/>
      <c r="X97" s="406">
        <v>1</v>
      </c>
      <c r="Y97" s="407"/>
      <c r="AB97" s="414"/>
      <c r="AC97" s="411"/>
    </row>
    <row r="98" spans="2:34" s="150" customFormat="1" ht="27" customHeight="1">
      <c r="B98" s="805"/>
      <c r="C98" s="806"/>
      <c r="D98" s="395">
        <v>20</v>
      </c>
      <c r="E98" s="398"/>
      <c r="F98" s="399"/>
      <c r="G98" s="400"/>
      <c r="H98" s="400"/>
      <c r="I98" s="401" t="e">
        <f t="shared" si="49"/>
        <v>#DIV/0!</v>
      </c>
      <c r="J98" s="400"/>
      <c r="K98" s="401" t="e">
        <f t="shared" si="50"/>
        <v>#DIV/0!</v>
      </c>
      <c r="L98" s="400"/>
      <c r="M98" s="401" t="e">
        <f t="shared" si="51"/>
        <v>#DIV/0!</v>
      </c>
      <c r="N98" s="402"/>
      <c r="O98" s="400"/>
      <c r="P98" s="401" t="e">
        <f t="shared" si="43"/>
        <v>#DIV/0!</v>
      </c>
      <c r="Q98" s="403">
        <f t="shared" si="44"/>
        <v>0</v>
      </c>
      <c r="R98" s="401" t="e">
        <f t="shared" si="45"/>
        <v>#DIV/0!</v>
      </c>
      <c r="S98" s="404">
        <f t="shared" si="46"/>
        <v>0</v>
      </c>
      <c r="T98" s="405" t="s">
        <v>438</v>
      </c>
      <c r="U98" s="405"/>
      <c r="V98" s="406"/>
      <c r="W98" s="406"/>
      <c r="X98" s="406">
        <v>1</v>
      </c>
      <c r="Y98" s="407"/>
      <c r="AB98" s="414"/>
      <c r="AC98" s="411"/>
    </row>
    <row r="99" spans="2:34" ht="17.100000000000001" customHeight="1">
      <c r="B99" s="823" t="s">
        <v>511</v>
      </c>
      <c r="C99" s="824"/>
      <c r="D99" s="829" t="s">
        <v>172</v>
      </c>
      <c r="E99" s="829"/>
      <c r="F99" s="829"/>
      <c r="G99" s="829" t="s">
        <v>186</v>
      </c>
      <c r="H99" s="829"/>
      <c r="I99" s="829"/>
      <c r="J99" s="829"/>
      <c r="K99" s="829"/>
      <c r="L99" s="829"/>
      <c r="M99" s="829"/>
      <c r="N99" s="829"/>
      <c r="O99" s="829"/>
      <c r="P99" s="829"/>
      <c r="Q99" s="829"/>
      <c r="R99" s="829"/>
      <c r="S99" s="829"/>
      <c r="T99" s="829" t="s">
        <v>173</v>
      </c>
      <c r="U99" s="814" t="s">
        <v>252</v>
      </c>
      <c r="V99" s="807" t="s">
        <v>512</v>
      </c>
      <c r="W99" s="807" t="s">
        <v>513</v>
      </c>
      <c r="X99" s="810" t="s">
        <v>253</v>
      </c>
      <c r="Y99" s="813" t="s">
        <v>174</v>
      </c>
      <c r="AA99" s="814" t="s">
        <v>254</v>
      </c>
      <c r="AB99" s="815"/>
      <c r="AC99" s="815"/>
      <c r="AD99" s="815"/>
      <c r="AE99" s="815"/>
      <c r="AF99" s="815"/>
      <c r="AG99" s="815"/>
      <c r="AH99" s="816"/>
    </row>
    <row r="100" spans="2:34" ht="17.100000000000001" customHeight="1">
      <c r="B100" s="825"/>
      <c r="C100" s="826"/>
      <c r="D100" s="830" t="s">
        <v>171</v>
      </c>
      <c r="E100" s="829" t="s">
        <v>175</v>
      </c>
      <c r="F100" s="829"/>
      <c r="G100" s="829" t="s">
        <v>187</v>
      </c>
      <c r="H100" s="829"/>
      <c r="I100" s="829"/>
      <c r="J100" s="829"/>
      <c r="K100" s="829"/>
      <c r="L100" s="829"/>
      <c r="M100" s="829"/>
      <c r="N100" s="829"/>
      <c r="O100" s="829" t="s">
        <v>176</v>
      </c>
      <c r="P100" s="829"/>
      <c r="Q100" s="829"/>
      <c r="R100" s="829"/>
      <c r="S100" s="829"/>
      <c r="T100" s="829"/>
      <c r="U100" s="817"/>
      <c r="V100" s="808"/>
      <c r="W100" s="808"/>
      <c r="X100" s="811"/>
      <c r="Y100" s="813"/>
      <c r="AA100" s="817"/>
      <c r="AB100" s="818"/>
      <c r="AC100" s="818"/>
      <c r="AD100" s="818"/>
      <c r="AE100" s="818"/>
      <c r="AF100" s="818"/>
      <c r="AG100" s="818"/>
      <c r="AH100" s="819"/>
    </row>
    <row r="101" spans="2:34" ht="17.100000000000001" customHeight="1">
      <c r="B101" s="825"/>
      <c r="C101" s="826"/>
      <c r="D101" s="830"/>
      <c r="E101" s="830" t="s">
        <v>177</v>
      </c>
      <c r="F101" s="813" t="s">
        <v>255</v>
      </c>
      <c r="G101" s="831" t="s">
        <v>188</v>
      </c>
      <c r="H101" s="831"/>
      <c r="I101" s="831"/>
      <c r="J101" s="831"/>
      <c r="K101" s="831"/>
      <c r="L101" s="831"/>
      <c r="M101" s="831"/>
      <c r="N101" s="831"/>
      <c r="O101" s="831" t="s">
        <v>170</v>
      </c>
      <c r="P101" s="831"/>
      <c r="Q101" s="831" t="s">
        <v>178</v>
      </c>
      <c r="R101" s="831"/>
      <c r="S101" s="831"/>
      <c r="T101" s="829"/>
      <c r="U101" s="817"/>
      <c r="V101" s="808"/>
      <c r="W101" s="808"/>
      <c r="X101" s="811"/>
      <c r="Y101" s="813"/>
      <c r="AA101" s="820"/>
      <c r="AB101" s="821"/>
      <c r="AC101" s="821"/>
      <c r="AD101" s="821"/>
      <c r="AE101" s="821"/>
      <c r="AF101" s="821"/>
      <c r="AG101" s="821"/>
      <c r="AH101" s="822"/>
    </row>
    <row r="102" spans="2:34" ht="38.450000000000003" customHeight="1">
      <c r="B102" s="827"/>
      <c r="C102" s="828"/>
      <c r="D102" s="830"/>
      <c r="E102" s="830"/>
      <c r="F102" s="813"/>
      <c r="G102" s="396" t="s">
        <v>179</v>
      </c>
      <c r="H102" s="396" t="s">
        <v>259</v>
      </c>
      <c r="I102" s="396" t="s">
        <v>260</v>
      </c>
      <c r="J102" s="396" t="s">
        <v>180</v>
      </c>
      <c r="K102" s="396" t="s">
        <v>257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7" t="s">
        <v>183</v>
      </c>
      <c r="R102" s="397" t="s">
        <v>184</v>
      </c>
      <c r="S102" s="396" t="s">
        <v>185</v>
      </c>
      <c r="T102" s="829"/>
      <c r="U102" s="820"/>
      <c r="V102" s="809"/>
      <c r="W102" s="809"/>
      <c r="X102" s="812"/>
      <c r="Y102" s="813"/>
      <c r="AA102" s="163" t="s">
        <v>251</v>
      </c>
      <c r="AB102" s="163" t="s">
        <v>514</v>
      </c>
      <c r="AC102" s="158" t="s">
        <v>403</v>
      </c>
      <c r="AD102" s="158" t="s">
        <v>346</v>
      </c>
      <c r="AE102" s="158" t="s">
        <v>473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01" t="s">
        <v>711</v>
      </c>
      <c r="C103" s="802"/>
      <c r="D103" s="395">
        <v>1</v>
      </c>
      <c r="E103" s="398"/>
      <c r="F103" s="399"/>
      <c r="G103" s="400"/>
      <c r="H103" s="400"/>
      <c r="I103" s="401" t="e">
        <f>H103/G103</f>
        <v>#DIV/0!</v>
      </c>
      <c r="J103" s="400"/>
      <c r="K103" s="401" t="e">
        <f>J103/G103</f>
        <v>#DIV/0!</v>
      </c>
      <c r="L103" s="400"/>
      <c r="M103" s="401" t="e">
        <f>(H103+J103)/G103</f>
        <v>#DIV/0!</v>
      </c>
      <c r="N103" s="402"/>
      <c r="O103" s="400"/>
      <c r="P103" s="401" t="e">
        <f>O103/G103</f>
        <v>#DIV/0!</v>
      </c>
      <c r="Q103" s="403">
        <f>((H103+J103)-G103)-O103</f>
        <v>0</v>
      </c>
      <c r="R103" s="401" t="e">
        <f>Q103/G103</f>
        <v>#DIV/0!</v>
      </c>
      <c r="S103" s="404">
        <f>Q103*L103</f>
        <v>0</v>
      </c>
      <c r="T103" s="405" t="s">
        <v>438</v>
      </c>
      <c r="U103" s="405"/>
      <c r="V103" s="406"/>
      <c r="W103" s="406"/>
      <c r="X103" s="406">
        <v>1</v>
      </c>
      <c r="Y103" s="407"/>
      <c r="Z103" s="408" t="s">
        <v>515</v>
      </c>
      <c r="AA103" s="418">
        <f>SUM(X103:X122)</f>
        <v>20</v>
      </c>
      <c r="AB103" s="410">
        <f>SUMIF($U$103:$U$122,TRIM(AB102),$X$103:$X$122)</f>
        <v>0</v>
      </c>
      <c r="AC103" s="410">
        <f t="shared" ref="AC103:AH103" si="52">SUMIF($U$103:$U$122,TRIM(AC102),$X$103:$X$122)</f>
        <v>0</v>
      </c>
      <c r="AD103" s="410">
        <f t="shared" si="52"/>
        <v>0</v>
      </c>
      <c r="AE103" s="410">
        <f t="shared" si="52"/>
        <v>0</v>
      </c>
      <c r="AF103" s="410">
        <f t="shared" si="52"/>
        <v>0</v>
      </c>
      <c r="AG103" s="410">
        <f t="shared" si="52"/>
        <v>0</v>
      </c>
      <c r="AH103" s="410">
        <f t="shared" si="52"/>
        <v>0</v>
      </c>
    </row>
    <row r="104" spans="2:34" s="150" customFormat="1" ht="27" customHeight="1">
      <c r="B104" s="803"/>
      <c r="C104" s="804"/>
      <c r="D104" s="395">
        <v>2</v>
      </c>
      <c r="E104" s="398"/>
      <c r="F104" s="399"/>
      <c r="G104" s="400"/>
      <c r="H104" s="400"/>
      <c r="I104" s="401" t="e">
        <f t="shared" ref="I104:I105" si="53">H104/G104</f>
        <v>#DIV/0!</v>
      </c>
      <c r="J104" s="400"/>
      <c r="K104" s="401" t="e">
        <f t="shared" ref="K104:K109" si="54">J104/G104</f>
        <v>#DIV/0!</v>
      </c>
      <c r="L104" s="400"/>
      <c r="M104" s="401" t="e">
        <f t="shared" ref="M104:M109" si="55">(H104+J104)/G104</f>
        <v>#DIV/0!</v>
      </c>
      <c r="N104" s="402"/>
      <c r="O104" s="400"/>
      <c r="P104" s="401" t="e">
        <f t="shared" ref="P104:P122" si="56">O104/G104</f>
        <v>#DIV/0!</v>
      </c>
      <c r="Q104" s="403">
        <f t="shared" ref="Q104:Q122" si="57">((H104+J104)-G104)-O104</f>
        <v>0</v>
      </c>
      <c r="R104" s="401" t="e">
        <f t="shared" ref="R104:R122" si="58">Q104/G104</f>
        <v>#DIV/0!</v>
      </c>
      <c r="S104" s="404">
        <f t="shared" ref="S104:S122" si="59">Q104*L104</f>
        <v>0</v>
      </c>
      <c r="T104" s="405" t="s">
        <v>438</v>
      </c>
      <c r="U104" s="405"/>
      <c r="V104" s="406"/>
      <c r="W104" s="406"/>
      <c r="X104" s="406">
        <v>1</v>
      </c>
      <c r="Y104" s="407"/>
      <c r="AA104" s="419"/>
      <c r="AB104" s="416">
        <f>SUMIF($U$103:$U122,TRIM(AB102),$F$103:$F$122)</f>
        <v>0</v>
      </c>
      <c r="AC104" s="416">
        <f>SUMIF($U$103:$U122,TRIM(AC102),$F$103:$F$122)</f>
        <v>0</v>
      </c>
      <c r="AD104" s="416">
        <f>SUMIF($U$103:$U122,TRIM(AD102),$F$103:$F$122)</f>
        <v>0</v>
      </c>
      <c r="AE104" s="416">
        <f>SUMIF($U$103:$U122,TRIM(AE102),$F$103:$F$122)</f>
        <v>0</v>
      </c>
      <c r="AF104" s="416">
        <f>SUMIF($U$103:$U122,TRIM(AF102),$F$103:$F$122)</f>
        <v>0</v>
      </c>
      <c r="AG104" s="416">
        <f>SUMIF($U$103:$U122,TRIM(AG102),$F$103:$F$122)</f>
        <v>0</v>
      </c>
      <c r="AH104" s="416">
        <f>SUMIF($U$103:$U122,TRIM(AH102),$F$103:$F$122)</f>
        <v>0</v>
      </c>
    </row>
    <row r="105" spans="2:34" s="150" customFormat="1" ht="27" customHeight="1">
      <c r="B105" s="803"/>
      <c r="C105" s="804"/>
      <c r="D105" s="395">
        <v>3</v>
      </c>
      <c r="E105" s="398"/>
      <c r="F105" s="399"/>
      <c r="G105" s="400"/>
      <c r="H105" s="400"/>
      <c r="I105" s="401" t="e">
        <f t="shared" si="53"/>
        <v>#DIV/0!</v>
      </c>
      <c r="J105" s="400"/>
      <c r="K105" s="401" t="e">
        <f t="shared" si="54"/>
        <v>#DIV/0!</v>
      </c>
      <c r="L105" s="400"/>
      <c r="M105" s="401" t="e">
        <f t="shared" si="55"/>
        <v>#DIV/0!</v>
      </c>
      <c r="N105" s="402"/>
      <c r="O105" s="400"/>
      <c r="P105" s="401" t="e">
        <f t="shared" si="56"/>
        <v>#DIV/0!</v>
      </c>
      <c r="Q105" s="403">
        <f t="shared" si="57"/>
        <v>0</v>
      </c>
      <c r="R105" s="401" t="e">
        <f t="shared" si="58"/>
        <v>#DIV/0!</v>
      </c>
      <c r="S105" s="404">
        <f t="shared" si="59"/>
        <v>0</v>
      </c>
      <c r="T105" s="405" t="s">
        <v>438</v>
      </c>
      <c r="U105" s="405"/>
      <c r="V105" s="406"/>
      <c r="W105" s="406"/>
      <c r="X105" s="406">
        <v>1</v>
      </c>
      <c r="Y105" s="407"/>
      <c r="AA105" s="395"/>
      <c r="AB105" s="417">
        <f>AB103/$AA103</f>
        <v>0</v>
      </c>
      <c r="AC105" s="417">
        <f t="shared" ref="AC105:AH105" si="60">AC103/$AA103</f>
        <v>0</v>
      </c>
      <c r="AD105" s="417">
        <f t="shared" si="60"/>
        <v>0</v>
      </c>
      <c r="AE105" s="417">
        <f t="shared" si="60"/>
        <v>0</v>
      </c>
      <c r="AF105" s="417">
        <f t="shared" si="60"/>
        <v>0</v>
      </c>
      <c r="AG105" s="417">
        <f t="shared" si="60"/>
        <v>0</v>
      </c>
      <c r="AH105" s="417">
        <f t="shared" si="60"/>
        <v>0</v>
      </c>
    </row>
    <row r="106" spans="2:34" s="150" customFormat="1" ht="27" customHeight="1">
      <c r="B106" s="803"/>
      <c r="C106" s="804"/>
      <c r="D106" s="395">
        <v>4</v>
      </c>
      <c r="E106" s="398"/>
      <c r="F106" s="399"/>
      <c r="G106" s="400"/>
      <c r="H106" s="400"/>
      <c r="I106" s="401" t="e">
        <f>H106/G106</f>
        <v>#DIV/0!</v>
      </c>
      <c r="J106" s="400"/>
      <c r="K106" s="401" t="e">
        <f t="shared" si="54"/>
        <v>#DIV/0!</v>
      </c>
      <c r="L106" s="400"/>
      <c r="M106" s="401" t="e">
        <f t="shared" si="55"/>
        <v>#DIV/0!</v>
      </c>
      <c r="N106" s="402"/>
      <c r="O106" s="400"/>
      <c r="P106" s="401" t="e">
        <f t="shared" si="56"/>
        <v>#DIV/0!</v>
      </c>
      <c r="Q106" s="403">
        <f t="shared" si="57"/>
        <v>0</v>
      </c>
      <c r="R106" s="401" t="e">
        <f t="shared" si="58"/>
        <v>#DIV/0!</v>
      </c>
      <c r="S106" s="404">
        <f t="shared" si="59"/>
        <v>0</v>
      </c>
      <c r="T106" s="405" t="s">
        <v>438</v>
      </c>
      <c r="U106" s="405"/>
      <c r="V106" s="406"/>
      <c r="W106" s="406"/>
      <c r="X106" s="406">
        <v>1</v>
      </c>
      <c r="Y106" s="407"/>
    </row>
    <row r="107" spans="2:34" s="150" customFormat="1" ht="27" customHeight="1">
      <c r="B107" s="803"/>
      <c r="C107" s="804"/>
      <c r="D107" s="395">
        <v>5</v>
      </c>
      <c r="E107" s="398"/>
      <c r="F107" s="399"/>
      <c r="G107" s="400"/>
      <c r="H107" s="400"/>
      <c r="I107" s="401" t="e">
        <f t="shared" ref="I107:I122" si="61">H107/G107</f>
        <v>#DIV/0!</v>
      </c>
      <c r="J107" s="400"/>
      <c r="K107" s="401" t="e">
        <f t="shared" si="54"/>
        <v>#DIV/0!</v>
      </c>
      <c r="L107" s="400"/>
      <c r="M107" s="401" t="e">
        <f t="shared" si="55"/>
        <v>#DIV/0!</v>
      </c>
      <c r="N107" s="402"/>
      <c r="O107" s="400"/>
      <c r="P107" s="401" t="e">
        <f t="shared" si="56"/>
        <v>#DIV/0!</v>
      </c>
      <c r="Q107" s="403">
        <f t="shared" si="57"/>
        <v>0</v>
      </c>
      <c r="R107" s="401" t="e">
        <f t="shared" si="58"/>
        <v>#DIV/0!</v>
      </c>
      <c r="S107" s="404">
        <f t="shared" si="59"/>
        <v>0</v>
      </c>
      <c r="T107" s="405" t="s">
        <v>438</v>
      </c>
      <c r="U107" s="405"/>
      <c r="V107" s="406"/>
      <c r="W107" s="406"/>
      <c r="X107" s="406">
        <v>1</v>
      </c>
      <c r="Y107" s="407"/>
    </row>
    <row r="108" spans="2:34" s="150" customFormat="1" ht="27" customHeight="1">
      <c r="B108" s="803"/>
      <c r="C108" s="804"/>
      <c r="D108" s="395">
        <v>6</v>
      </c>
      <c r="E108" s="398"/>
      <c r="F108" s="399"/>
      <c r="G108" s="400"/>
      <c r="H108" s="400"/>
      <c r="I108" s="401" t="e">
        <f t="shared" si="61"/>
        <v>#DIV/0!</v>
      </c>
      <c r="J108" s="400"/>
      <c r="K108" s="401" t="e">
        <f t="shared" si="54"/>
        <v>#DIV/0!</v>
      </c>
      <c r="L108" s="400"/>
      <c r="M108" s="401" t="e">
        <f t="shared" si="55"/>
        <v>#DIV/0!</v>
      </c>
      <c r="N108" s="402"/>
      <c r="O108" s="400"/>
      <c r="P108" s="401" t="e">
        <f t="shared" si="56"/>
        <v>#DIV/0!</v>
      </c>
      <c r="Q108" s="403">
        <f t="shared" si="57"/>
        <v>0</v>
      </c>
      <c r="R108" s="401" t="e">
        <f t="shared" si="58"/>
        <v>#DIV/0!</v>
      </c>
      <c r="S108" s="404">
        <f t="shared" si="59"/>
        <v>0</v>
      </c>
      <c r="T108" s="405" t="s">
        <v>438</v>
      </c>
      <c r="U108" s="405"/>
      <c r="V108" s="406"/>
      <c r="W108" s="406"/>
      <c r="X108" s="406">
        <v>1</v>
      </c>
      <c r="Y108" s="407"/>
    </row>
    <row r="109" spans="2:34" s="150" customFormat="1" ht="27" customHeight="1">
      <c r="B109" s="803"/>
      <c r="C109" s="804"/>
      <c r="D109" s="395">
        <v>7</v>
      </c>
      <c r="E109" s="398"/>
      <c r="F109" s="399"/>
      <c r="G109" s="400"/>
      <c r="H109" s="400"/>
      <c r="I109" s="401" t="e">
        <f t="shared" si="61"/>
        <v>#DIV/0!</v>
      </c>
      <c r="J109" s="400"/>
      <c r="K109" s="401" t="e">
        <f t="shared" si="54"/>
        <v>#DIV/0!</v>
      </c>
      <c r="L109" s="400"/>
      <c r="M109" s="401" t="e">
        <f t="shared" si="55"/>
        <v>#DIV/0!</v>
      </c>
      <c r="N109" s="402"/>
      <c r="O109" s="400"/>
      <c r="P109" s="401" t="e">
        <f t="shared" si="56"/>
        <v>#DIV/0!</v>
      </c>
      <c r="Q109" s="403">
        <f t="shared" si="57"/>
        <v>0</v>
      </c>
      <c r="R109" s="401" t="e">
        <f t="shared" si="58"/>
        <v>#DIV/0!</v>
      </c>
      <c r="S109" s="404">
        <f t="shared" si="59"/>
        <v>0</v>
      </c>
      <c r="T109" s="405" t="s">
        <v>438</v>
      </c>
      <c r="U109" s="405"/>
      <c r="V109" s="406"/>
      <c r="W109" s="406"/>
      <c r="X109" s="406">
        <v>1</v>
      </c>
      <c r="Y109" s="407"/>
      <c r="AC109" s="411"/>
    </row>
    <row r="110" spans="2:34" s="150" customFormat="1" ht="27" customHeight="1">
      <c r="B110" s="803"/>
      <c r="C110" s="804"/>
      <c r="D110" s="395">
        <v>8</v>
      </c>
      <c r="E110" s="398"/>
      <c r="F110" s="399"/>
      <c r="G110" s="400"/>
      <c r="H110" s="400"/>
      <c r="I110" s="401" t="e">
        <f t="shared" si="61"/>
        <v>#DIV/0!</v>
      </c>
      <c r="J110" s="400"/>
      <c r="K110" s="401" t="e">
        <f>J110/G110</f>
        <v>#DIV/0!</v>
      </c>
      <c r="L110" s="400"/>
      <c r="M110" s="401" t="e">
        <f>(H110+J110)/G110</f>
        <v>#DIV/0!</v>
      </c>
      <c r="N110" s="402"/>
      <c r="O110" s="400"/>
      <c r="P110" s="401" t="e">
        <f t="shared" si="56"/>
        <v>#DIV/0!</v>
      </c>
      <c r="Q110" s="403">
        <f t="shared" si="57"/>
        <v>0</v>
      </c>
      <c r="R110" s="401" t="e">
        <f t="shared" si="58"/>
        <v>#DIV/0!</v>
      </c>
      <c r="S110" s="404">
        <f t="shared" si="59"/>
        <v>0</v>
      </c>
      <c r="T110" s="405" t="s">
        <v>438</v>
      </c>
      <c r="U110" s="405"/>
      <c r="V110" s="406"/>
      <c r="W110" s="406"/>
      <c r="X110" s="406">
        <v>1</v>
      </c>
      <c r="Y110" s="407"/>
      <c r="AC110" s="411"/>
    </row>
    <row r="111" spans="2:34" s="150" customFormat="1" ht="27" customHeight="1">
      <c r="B111" s="803"/>
      <c r="C111" s="804"/>
      <c r="D111" s="395">
        <v>9</v>
      </c>
      <c r="E111" s="398"/>
      <c r="F111" s="399"/>
      <c r="G111" s="400"/>
      <c r="H111" s="400"/>
      <c r="I111" s="401" t="e">
        <f t="shared" si="61"/>
        <v>#DIV/0!</v>
      </c>
      <c r="J111" s="400"/>
      <c r="K111" s="401" t="e">
        <f t="shared" ref="K111:K122" si="62">J111/G111</f>
        <v>#DIV/0!</v>
      </c>
      <c r="L111" s="400"/>
      <c r="M111" s="401" t="e">
        <f t="shared" ref="M111:M116" si="63">(H111+J111)/G111</f>
        <v>#DIV/0!</v>
      </c>
      <c r="N111" s="402"/>
      <c r="O111" s="400"/>
      <c r="P111" s="401" t="e">
        <f t="shared" si="56"/>
        <v>#DIV/0!</v>
      </c>
      <c r="Q111" s="403">
        <f t="shared" si="57"/>
        <v>0</v>
      </c>
      <c r="R111" s="401" t="e">
        <f t="shared" si="58"/>
        <v>#DIV/0!</v>
      </c>
      <c r="S111" s="404">
        <f t="shared" si="59"/>
        <v>0</v>
      </c>
      <c r="T111" s="405" t="s">
        <v>438</v>
      </c>
      <c r="U111" s="405"/>
      <c r="V111" s="405"/>
      <c r="W111" s="406"/>
      <c r="X111" s="406">
        <v>1</v>
      </c>
      <c r="Y111" s="407"/>
      <c r="AC111" s="411"/>
    </row>
    <row r="112" spans="2:34" s="150" customFormat="1" ht="27" customHeight="1">
      <c r="B112" s="803"/>
      <c r="C112" s="804"/>
      <c r="D112" s="395">
        <v>10</v>
      </c>
      <c r="E112" s="398"/>
      <c r="F112" s="399"/>
      <c r="G112" s="400"/>
      <c r="H112" s="400"/>
      <c r="I112" s="401" t="e">
        <f t="shared" si="61"/>
        <v>#DIV/0!</v>
      </c>
      <c r="J112" s="400"/>
      <c r="K112" s="401" t="e">
        <f t="shared" si="62"/>
        <v>#DIV/0!</v>
      </c>
      <c r="L112" s="400"/>
      <c r="M112" s="401" t="e">
        <f t="shared" si="63"/>
        <v>#DIV/0!</v>
      </c>
      <c r="N112" s="402"/>
      <c r="O112" s="400"/>
      <c r="P112" s="401" t="e">
        <f t="shared" si="56"/>
        <v>#DIV/0!</v>
      </c>
      <c r="Q112" s="403">
        <f t="shared" si="57"/>
        <v>0</v>
      </c>
      <c r="R112" s="401" t="e">
        <f t="shared" si="58"/>
        <v>#DIV/0!</v>
      </c>
      <c r="S112" s="404">
        <f t="shared" si="59"/>
        <v>0</v>
      </c>
      <c r="T112" s="405" t="s">
        <v>438</v>
      </c>
      <c r="U112" s="405"/>
      <c r="V112" s="448"/>
      <c r="W112" s="406"/>
      <c r="X112" s="406">
        <v>1</v>
      </c>
      <c r="Y112" s="407"/>
      <c r="AC112" s="411"/>
    </row>
    <row r="113" spans="2:29" s="150" customFormat="1" ht="27" customHeight="1">
      <c r="B113" s="803"/>
      <c r="C113" s="804"/>
      <c r="D113" s="395">
        <v>11</v>
      </c>
      <c r="E113" s="398"/>
      <c r="F113" s="399"/>
      <c r="G113" s="400"/>
      <c r="H113" s="400"/>
      <c r="I113" s="401" t="e">
        <f t="shared" si="61"/>
        <v>#DIV/0!</v>
      </c>
      <c r="J113" s="400"/>
      <c r="K113" s="401" t="e">
        <f t="shared" si="62"/>
        <v>#DIV/0!</v>
      </c>
      <c r="L113" s="400"/>
      <c r="M113" s="401" t="e">
        <f t="shared" si="63"/>
        <v>#DIV/0!</v>
      </c>
      <c r="N113" s="402"/>
      <c r="O113" s="400"/>
      <c r="P113" s="401" t="e">
        <f t="shared" si="56"/>
        <v>#DIV/0!</v>
      </c>
      <c r="Q113" s="403">
        <f t="shared" si="57"/>
        <v>0</v>
      </c>
      <c r="R113" s="401" t="e">
        <f t="shared" si="58"/>
        <v>#DIV/0!</v>
      </c>
      <c r="S113" s="404">
        <f t="shared" si="59"/>
        <v>0</v>
      </c>
      <c r="T113" s="405" t="s">
        <v>438</v>
      </c>
      <c r="U113" s="405"/>
      <c r="V113" s="406"/>
      <c r="W113" s="406"/>
      <c r="X113" s="406">
        <v>1</v>
      </c>
      <c r="Y113" s="407"/>
      <c r="AC113" s="411"/>
    </row>
    <row r="114" spans="2:29" s="150" customFormat="1" ht="27" customHeight="1">
      <c r="B114" s="803"/>
      <c r="C114" s="804"/>
      <c r="D114" s="395">
        <v>12</v>
      </c>
      <c r="E114" s="398"/>
      <c r="F114" s="399"/>
      <c r="G114" s="400"/>
      <c r="H114" s="400"/>
      <c r="I114" s="401" t="e">
        <f t="shared" si="61"/>
        <v>#DIV/0!</v>
      </c>
      <c r="J114" s="400"/>
      <c r="K114" s="401" t="e">
        <f t="shared" si="62"/>
        <v>#DIV/0!</v>
      </c>
      <c r="L114" s="400"/>
      <c r="M114" s="401" t="e">
        <f t="shared" si="63"/>
        <v>#DIV/0!</v>
      </c>
      <c r="N114" s="402"/>
      <c r="O114" s="400"/>
      <c r="P114" s="401" t="e">
        <f t="shared" si="56"/>
        <v>#DIV/0!</v>
      </c>
      <c r="Q114" s="403">
        <f t="shared" si="57"/>
        <v>0</v>
      </c>
      <c r="R114" s="401" t="e">
        <f t="shared" si="58"/>
        <v>#DIV/0!</v>
      </c>
      <c r="S114" s="404">
        <f t="shared" si="59"/>
        <v>0</v>
      </c>
      <c r="T114" s="405" t="s">
        <v>438</v>
      </c>
      <c r="U114" s="405"/>
      <c r="V114" s="406"/>
      <c r="W114" s="406"/>
      <c r="X114" s="406">
        <v>1</v>
      </c>
      <c r="Y114" s="407"/>
      <c r="AC114" s="411"/>
    </row>
    <row r="115" spans="2:29" s="150" customFormat="1" ht="27" customHeight="1">
      <c r="B115" s="803"/>
      <c r="C115" s="804"/>
      <c r="D115" s="395">
        <v>13</v>
      </c>
      <c r="E115" s="398"/>
      <c r="F115" s="399"/>
      <c r="G115" s="400"/>
      <c r="H115" s="400"/>
      <c r="I115" s="401" t="e">
        <f t="shared" si="61"/>
        <v>#DIV/0!</v>
      </c>
      <c r="J115" s="400"/>
      <c r="K115" s="401" t="e">
        <f t="shared" si="62"/>
        <v>#DIV/0!</v>
      </c>
      <c r="L115" s="400"/>
      <c r="M115" s="401" t="e">
        <f t="shared" si="63"/>
        <v>#DIV/0!</v>
      </c>
      <c r="N115" s="402"/>
      <c r="O115" s="400"/>
      <c r="P115" s="401" t="e">
        <f t="shared" si="56"/>
        <v>#DIV/0!</v>
      </c>
      <c r="Q115" s="403">
        <f t="shared" si="57"/>
        <v>0</v>
      </c>
      <c r="R115" s="401" t="e">
        <f t="shared" si="58"/>
        <v>#DIV/0!</v>
      </c>
      <c r="S115" s="404">
        <f t="shared" si="59"/>
        <v>0</v>
      </c>
      <c r="T115" s="405" t="s">
        <v>438</v>
      </c>
      <c r="U115" s="405"/>
      <c r="V115" s="405"/>
      <c r="W115" s="406"/>
      <c r="X115" s="406">
        <v>1</v>
      </c>
      <c r="Y115" s="407"/>
      <c r="AC115" s="411"/>
    </row>
    <row r="116" spans="2:29" s="150" customFormat="1" ht="27" customHeight="1">
      <c r="B116" s="803"/>
      <c r="C116" s="804"/>
      <c r="D116" s="395">
        <v>14</v>
      </c>
      <c r="E116" s="398"/>
      <c r="F116" s="399"/>
      <c r="G116" s="400"/>
      <c r="H116" s="400"/>
      <c r="I116" s="401" t="e">
        <f t="shared" si="61"/>
        <v>#DIV/0!</v>
      </c>
      <c r="J116" s="400"/>
      <c r="K116" s="401" t="e">
        <f t="shared" si="62"/>
        <v>#DIV/0!</v>
      </c>
      <c r="L116" s="400"/>
      <c r="M116" s="401" t="e">
        <f t="shared" si="63"/>
        <v>#DIV/0!</v>
      </c>
      <c r="N116" s="402"/>
      <c r="O116" s="400"/>
      <c r="P116" s="401" t="e">
        <f t="shared" si="56"/>
        <v>#DIV/0!</v>
      </c>
      <c r="Q116" s="403">
        <f t="shared" si="57"/>
        <v>0</v>
      </c>
      <c r="R116" s="401" t="e">
        <f t="shared" si="58"/>
        <v>#DIV/0!</v>
      </c>
      <c r="S116" s="404">
        <f t="shared" si="59"/>
        <v>0</v>
      </c>
      <c r="T116" s="405" t="s">
        <v>438</v>
      </c>
      <c r="U116" s="405"/>
      <c r="V116" s="406"/>
      <c r="W116" s="406"/>
      <c r="X116" s="406">
        <v>1</v>
      </c>
      <c r="Y116" s="407"/>
      <c r="AC116" s="412"/>
    </row>
    <row r="117" spans="2:29" s="150" customFormat="1" ht="27" customHeight="1">
      <c r="B117" s="803"/>
      <c r="C117" s="804"/>
      <c r="D117" s="395">
        <v>15</v>
      </c>
      <c r="E117" s="398"/>
      <c r="F117" s="399"/>
      <c r="G117" s="400"/>
      <c r="H117" s="400"/>
      <c r="I117" s="401" t="e">
        <f t="shared" si="61"/>
        <v>#DIV/0!</v>
      </c>
      <c r="J117" s="400"/>
      <c r="K117" s="401" t="e">
        <f t="shared" si="62"/>
        <v>#DIV/0!</v>
      </c>
      <c r="L117" s="400"/>
      <c r="M117" s="401" t="e">
        <f>(H117+J117)/G117</f>
        <v>#DIV/0!</v>
      </c>
      <c r="N117" s="402"/>
      <c r="O117" s="400"/>
      <c r="P117" s="401" t="e">
        <f t="shared" si="56"/>
        <v>#DIV/0!</v>
      </c>
      <c r="Q117" s="403">
        <f t="shared" si="57"/>
        <v>0</v>
      </c>
      <c r="R117" s="401" t="e">
        <f t="shared" si="58"/>
        <v>#DIV/0!</v>
      </c>
      <c r="S117" s="404">
        <f t="shared" si="59"/>
        <v>0</v>
      </c>
      <c r="T117" s="405" t="s">
        <v>438</v>
      </c>
      <c r="U117" s="405"/>
      <c r="V117" s="406"/>
      <c r="W117" s="431"/>
      <c r="X117" s="406">
        <v>1</v>
      </c>
      <c r="Y117" s="407"/>
      <c r="AC117" s="411"/>
    </row>
    <row r="118" spans="2:29" s="150" customFormat="1" ht="27" customHeight="1">
      <c r="B118" s="803"/>
      <c r="C118" s="804"/>
      <c r="D118" s="395">
        <v>16</v>
      </c>
      <c r="E118" s="398"/>
      <c r="F118" s="399"/>
      <c r="G118" s="400"/>
      <c r="H118" s="400"/>
      <c r="I118" s="401" t="e">
        <f t="shared" si="61"/>
        <v>#DIV/0!</v>
      </c>
      <c r="J118" s="400"/>
      <c r="K118" s="401" t="e">
        <f t="shared" si="62"/>
        <v>#DIV/0!</v>
      </c>
      <c r="L118" s="400"/>
      <c r="M118" s="401" t="e">
        <f t="shared" ref="M118:M122" si="64">(H118+J118)/G118</f>
        <v>#DIV/0!</v>
      </c>
      <c r="N118" s="402"/>
      <c r="O118" s="400"/>
      <c r="P118" s="401" t="e">
        <f t="shared" si="56"/>
        <v>#DIV/0!</v>
      </c>
      <c r="Q118" s="403">
        <f t="shared" si="57"/>
        <v>0</v>
      </c>
      <c r="R118" s="401" t="e">
        <f t="shared" si="58"/>
        <v>#DIV/0!</v>
      </c>
      <c r="S118" s="404">
        <f t="shared" si="59"/>
        <v>0</v>
      </c>
      <c r="T118" s="405" t="s">
        <v>438</v>
      </c>
      <c r="U118" s="405"/>
      <c r="V118" s="406"/>
      <c r="W118" s="406"/>
      <c r="X118" s="406">
        <v>1</v>
      </c>
      <c r="Y118" s="407"/>
      <c r="AC118" s="411"/>
    </row>
    <row r="119" spans="2:29" s="150" customFormat="1" ht="27" customHeight="1">
      <c r="B119" s="803"/>
      <c r="C119" s="804"/>
      <c r="D119" s="395">
        <v>17</v>
      </c>
      <c r="E119" s="398"/>
      <c r="F119" s="399"/>
      <c r="G119" s="400"/>
      <c r="H119" s="400"/>
      <c r="I119" s="401" t="e">
        <f t="shared" si="61"/>
        <v>#DIV/0!</v>
      </c>
      <c r="J119" s="400"/>
      <c r="K119" s="401" t="e">
        <f t="shared" si="62"/>
        <v>#DIV/0!</v>
      </c>
      <c r="L119" s="400"/>
      <c r="M119" s="401" t="e">
        <f t="shared" si="64"/>
        <v>#DIV/0!</v>
      </c>
      <c r="N119" s="402"/>
      <c r="O119" s="400"/>
      <c r="P119" s="401" t="e">
        <f t="shared" si="56"/>
        <v>#DIV/0!</v>
      </c>
      <c r="Q119" s="403">
        <f t="shared" si="57"/>
        <v>0</v>
      </c>
      <c r="R119" s="401" t="e">
        <f t="shared" si="58"/>
        <v>#DIV/0!</v>
      </c>
      <c r="S119" s="404">
        <f t="shared" si="59"/>
        <v>0</v>
      </c>
      <c r="T119" s="405" t="s">
        <v>438</v>
      </c>
      <c r="U119" s="405"/>
      <c r="V119" s="406"/>
      <c r="W119" s="406"/>
      <c r="X119" s="406">
        <v>1</v>
      </c>
      <c r="Y119" s="407"/>
      <c r="AB119" s="413"/>
      <c r="AC119" s="411"/>
    </row>
    <row r="120" spans="2:29" s="150" customFormat="1" ht="27" customHeight="1">
      <c r="B120" s="803"/>
      <c r="C120" s="804"/>
      <c r="D120" s="395">
        <v>18</v>
      </c>
      <c r="E120" s="398"/>
      <c r="F120" s="399"/>
      <c r="G120" s="400"/>
      <c r="H120" s="400"/>
      <c r="I120" s="401" t="e">
        <f t="shared" si="61"/>
        <v>#DIV/0!</v>
      </c>
      <c r="J120" s="400"/>
      <c r="K120" s="401" t="e">
        <f t="shared" si="62"/>
        <v>#DIV/0!</v>
      </c>
      <c r="L120" s="400"/>
      <c r="M120" s="401" t="e">
        <f t="shared" si="64"/>
        <v>#DIV/0!</v>
      </c>
      <c r="N120" s="402"/>
      <c r="O120" s="400"/>
      <c r="P120" s="401" t="e">
        <f t="shared" si="56"/>
        <v>#DIV/0!</v>
      </c>
      <c r="Q120" s="403">
        <f t="shared" si="57"/>
        <v>0</v>
      </c>
      <c r="R120" s="401" t="e">
        <f t="shared" si="58"/>
        <v>#DIV/0!</v>
      </c>
      <c r="S120" s="404">
        <f t="shared" si="59"/>
        <v>0</v>
      </c>
      <c r="T120" s="405" t="s">
        <v>438</v>
      </c>
      <c r="U120" s="405"/>
      <c r="V120" s="406"/>
      <c r="W120" s="406"/>
      <c r="X120" s="406">
        <v>1</v>
      </c>
      <c r="Y120" s="407"/>
      <c r="AC120" s="411"/>
    </row>
    <row r="121" spans="2:29" s="150" customFormat="1" ht="27" customHeight="1">
      <c r="B121" s="803"/>
      <c r="C121" s="804"/>
      <c r="D121" s="395">
        <v>19</v>
      </c>
      <c r="E121" s="398"/>
      <c r="F121" s="399"/>
      <c r="G121" s="400"/>
      <c r="H121" s="400"/>
      <c r="I121" s="401" t="e">
        <f t="shared" si="61"/>
        <v>#DIV/0!</v>
      </c>
      <c r="J121" s="400"/>
      <c r="K121" s="401" t="e">
        <f t="shared" si="62"/>
        <v>#DIV/0!</v>
      </c>
      <c r="L121" s="400"/>
      <c r="M121" s="401" t="e">
        <f t="shared" si="64"/>
        <v>#DIV/0!</v>
      </c>
      <c r="N121" s="402"/>
      <c r="O121" s="400"/>
      <c r="P121" s="401" t="e">
        <f t="shared" si="56"/>
        <v>#DIV/0!</v>
      </c>
      <c r="Q121" s="403">
        <f t="shared" si="57"/>
        <v>0</v>
      </c>
      <c r="R121" s="401" t="e">
        <f t="shared" si="58"/>
        <v>#DIV/0!</v>
      </c>
      <c r="S121" s="404">
        <f t="shared" si="59"/>
        <v>0</v>
      </c>
      <c r="T121" s="405" t="s">
        <v>438</v>
      </c>
      <c r="U121" s="405"/>
      <c r="V121" s="406"/>
      <c r="W121" s="406"/>
      <c r="X121" s="406">
        <v>1</v>
      </c>
      <c r="Y121" s="407"/>
      <c r="AB121" s="414"/>
      <c r="AC121" s="411"/>
    </row>
    <row r="122" spans="2:29" s="150" customFormat="1" ht="27" customHeight="1">
      <c r="B122" s="805"/>
      <c r="C122" s="806"/>
      <c r="D122" s="395">
        <v>20</v>
      </c>
      <c r="E122" s="398"/>
      <c r="F122" s="399"/>
      <c r="G122" s="400"/>
      <c r="H122" s="400"/>
      <c r="I122" s="401" t="e">
        <f t="shared" si="61"/>
        <v>#DIV/0!</v>
      </c>
      <c r="J122" s="400"/>
      <c r="K122" s="401" t="e">
        <f t="shared" si="62"/>
        <v>#DIV/0!</v>
      </c>
      <c r="L122" s="400"/>
      <c r="M122" s="401" t="e">
        <f t="shared" si="64"/>
        <v>#DIV/0!</v>
      </c>
      <c r="N122" s="402"/>
      <c r="O122" s="400"/>
      <c r="P122" s="401" t="e">
        <f t="shared" si="56"/>
        <v>#DIV/0!</v>
      </c>
      <c r="Q122" s="403">
        <f t="shared" si="57"/>
        <v>0</v>
      </c>
      <c r="R122" s="401" t="e">
        <f t="shared" si="58"/>
        <v>#DIV/0!</v>
      </c>
      <c r="S122" s="404">
        <f t="shared" si="59"/>
        <v>0</v>
      </c>
      <c r="T122" s="405" t="s">
        <v>438</v>
      </c>
      <c r="U122" s="405"/>
      <c r="V122" s="406"/>
      <c r="W122" s="406"/>
      <c r="X122" s="406">
        <v>1</v>
      </c>
      <c r="Y122" s="407"/>
      <c r="AB122" s="414"/>
      <c r="AC122" s="411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1"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4" type="noConversion"/>
  <dataValidations count="1">
    <dataValidation type="list" allowBlank="1" showInputMessage="1" showErrorMessage="1" sqref="U99:U102 U123:U1048576 T1:U6 T7:T1048576 U27:U30 U51:U78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4" ySplit="2" topLeftCell="W27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50" sqref="U50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32" t="s">
        <v>518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AA2" s="149"/>
      <c r="AB2" s="149"/>
    </row>
    <row r="3" spans="2:34" ht="16.5" customHeight="1">
      <c r="B3" s="823" t="s">
        <v>511</v>
      </c>
      <c r="C3" s="824"/>
      <c r="D3" s="829" t="s">
        <v>172</v>
      </c>
      <c r="E3" s="829"/>
      <c r="F3" s="829"/>
      <c r="G3" s="829" t="s">
        <v>186</v>
      </c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 t="s">
        <v>173</v>
      </c>
      <c r="U3" s="814" t="s">
        <v>252</v>
      </c>
      <c r="V3" s="834" t="s">
        <v>519</v>
      </c>
      <c r="W3" s="834" t="s">
        <v>513</v>
      </c>
      <c r="X3" s="810" t="s">
        <v>253</v>
      </c>
      <c r="Y3" s="813" t="s">
        <v>174</v>
      </c>
      <c r="AA3" s="829" t="s">
        <v>254</v>
      </c>
      <c r="AB3" s="829"/>
      <c r="AC3" s="829"/>
      <c r="AD3" s="829"/>
      <c r="AE3" s="829"/>
      <c r="AF3" s="829"/>
      <c r="AG3" s="829"/>
      <c r="AH3" s="829"/>
    </row>
    <row r="4" spans="2:34" ht="17.100000000000001" customHeight="1">
      <c r="B4" s="825"/>
      <c r="C4" s="826"/>
      <c r="D4" s="830" t="s">
        <v>171</v>
      </c>
      <c r="E4" s="829" t="s">
        <v>175</v>
      </c>
      <c r="F4" s="829"/>
      <c r="G4" s="829" t="s">
        <v>187</v>
      </c>
      <c r="H4" s="829"/>
      <c r="I4" s="829"/>
      <c r="J4" s="829"/>
      <c r="K4" s="829"/>
      <c r="L4" s="829"/>
      <c r="M4" s="829"/>
      <c r="N4" s="829"/>
      <c r="O4" s="829" t="s">
        <v>176</v>
      </c>
      <c r="P4" s="829"/>
      <c r="Q4" s="829"/>
      <c r="R4" s="829"/>
      <c r="S4" s="829"/>
      <c r="T4" s="829"/>
      <c r="U4" s="817"/>
      <c r="V4" s="811"/>
      <c r="W4" s="835"/>
      <c r="X4" s="811"/>
      <c r="Y4" s="813"/>
      <c r="AA4" s="829"/>
      <c r="AB4" s="829"/>
      <c r="AC4" s="829"/>
      <c r="AD4" s="829"/>
      <c r="AE4" s="829"/>
      <c r="AF4" s="829"/>
      <c r="AG4" s="829"/>
      <c r="AH4" s="829"/>
    </row>
    <row r="5" spans="2:34" ht="17.100000000000001" customHeight="1">
      <c r="B5" s="825"/>
      <c r="C5" s="826"/>
      <c r="D5" s="830"/>
      <c r="E5" s="830" t="s">
        <v>177</v>
      </c>
      <c r="F5" s="837" t="s">
        <v>520</v>
      </c>
      <c r="G5" s="831" t="s">
        <v>188</v>
      </c>
      <c r="H5" s="831"/>
      <c r="I5" s="831"/>
      <c r="J5" s="831"/>
      <c r="K5" s="831"/>
      <c r="L5" s="831"/>
      <c r="M5" s="831"/>
      <c r="N5" s="831"/>
      <c r="O5" s="838" t="s">
        <v>170</v>
      </c>
      <c r="P5" s="839"/>
      <c r="Q5" s="840"/>
      <c r="R5" s="831" t="s">
        <v>178</v>
      </c>
      <c r="S5" s="831"/>
      <c r="T5" s="829"/>
      <c r="U5" s="817"/>
      <c r="V5" s="811"/>
      <c r="W5" s="835"/>
      <c r="X5" s="811"/>
      <c r="Y5" s="813"/>
      <c r="AA5" s="829"/>
      <c r="AB5" s="829"/>
      <c r="AC5" s="829"/>
      <c r="AD5" s="829"/>
      <c r="AE5" s="829"/>
      <c r="AF5" s="829"/>
      <c r="AG5" s="829"/>
      <c r="AH5" s="829"/>
    </row>
    <row r="6" spans="2:34" ht="38.450000000000003" customHeight="1">
      <c r="B6" s="827"/>
      <c r="C6" s="828"/>
      <c r="D6" s="830"/>
      <c r="E6" s="830"/>
      <c r="F6" s="837"/>
      <c r="G6" s="396" t="s">
        <v>179</v>
      </c>
      <c r="H6" s="396" t="s">
        <v>259</v>
      </c>
      <c r="I6" s="396" t="s">
        <v>260</v>
      </c>
      <c r="J6" s="396" t="s">
        <v>180</v>
      </c>
      <c r="K6" s="396" t="s">
        <v>257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6" t="s">
        <v>185</v>
      </c>
      <c r="R6" s="397" t="s">
        <v>183</v>
      </c>
      <c r="S6" s="397" t="s">
        <v>184</v>
      </c>
      <c r="T6" s="829"/>
      <c r="U6" s="820"/>
      <c r="V6" s="812"/>
      <c r="W6" s="836"/>
      <c r="X6" s="812"/>
      <c r="Y6" s="813"/>
      <c r="AA6" s="163" t="s">
        <v>251</v>
      </c>
      <c r="AB6" s="163" t="s">
        <v>514</v>
      </c>
      <c r="AC6" s="158" t="s">
        <v>403</v>
      </c>
      <c r="AD6" s="158" t="s">
        <v>346</v>
      </c>
      <c r="AE6" s="158" t="s">
        <v>473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01" t="s">
        <v>650</v>
      </c>
      <c r="C7" s="802"/>
      <c r="D7" s="395">
        <v>1</v>
      </c>
      <c r="E7" s="398" t="s">
        <v>344</v>
      </c>
      <c r="F7" s="399">
        <v>17271.424500000005</v>
      </c>
      <c r="G7" s="400">
        <v>4151.71</v>
      </c>
      <c r="H7" s="400">
        <v>4135.22</v>
      </c>
      <c r="I7" s="401">
        <f>H7/G7</f>
        <v>0.99602814262075146</v>
      </c>
      <c r="J7" s="400">
        <v>133.63999999999999</v>
      </c>
      <c r="K7" s="401">
        <f>J7/G7</f>
        <v>3.218914615905253E-2</v>
      </c>
      <c r="L7" s="400">
        <v>147.43000000000004</v>
      </c>
      <c r="M7" s="401">
        <f>(H7+J7)/G7</f>
        <v>1.028217288779804</v>
      </c>
      <c r="N7" s="402">
        <v>17271.424500000005</v>
      </c>
      <c r="O7" s="400">
        <v>0</v>
      </c>
      <c r="P7" s="401">
        <f>O7/G7</f>
        <v>0</v>
      </c>
      <c r="Q7" s="415">
        <f>O7*L7</f>
        <v>0</v>
      </c>
      <c r="R7" s="403">
        <f>((H7+J7)-G7)-O7</f>
        <v>117.15000000000055</v>
      </c>
      <c r="S7" s="401">
        <f>R7/G7</f>
        <v>2.8217288779804117E-2</v>
      </c>
      <c r="T7" s="405" t="s">
        <v>176</v>
      </c>
      <c r="U7" s="405" t="s">
        <v>218</v>
      </c>
      <c r="V7" s="406" t="s">
        <v>497</v>
      </c>
      <c r="W7" s="406" t="s">
        <v>637</v>
      </c>
      <c r="X7" s="406">
        <v>1</v>
      </c>
      <c r="Y7" s="407" t="s">
        <v>349</v>
      </c>
      <c r="Z7" s="408" t="s">
        <v>515</v>
      </c>
      <c r="AA7" s="409">
        <f>SUM(X7:X26)</f>
        <v>20</v>
      </c>
      <c r="AB7" s="410">
        <f>SUMIF($U$7:$U$26,TRIM(AB6),$X$7:$X$26)</f>
        <v>0</v>
      </c>
      <c r="AC7" s="410">
        <f t="shared" ref="AC7:AH7" si="0">SUMIF($U$7:$U$26,TRIM(AC6),$X$7:$X$26)</f>
        <v>0</v>
      </c>
      <c r="AD7" s="410">
        <f t="shared" si="0"/>
        <v>0</v>
      </c>
      <c r="AE7" s="410">
        <f t="shared" si="0"/>
        <v>15</v>
      </c>
      <c r="AF7" s="410">
        <f t="shared" si="0"/>
        <v>1</v>
      </c>
      <c r="AG7" s="410">
        <f t="shared" si="0"/>
        <v>4</v>
      </c>
      <c r="AH7" s="410">
        <f t="shared" si="0"/>
        <v>0</v>
      </c>
    </row>
    <row r="8" spans="2:34" s="150" customFormat="1" ht="27" customHeight="1">
      <c r="B8" s="803"/>
      <c r="C8" s="804"/>
      <c r="D8" s="395">
        <v>2</v>
      </c>
      <c r="E8" s="398" t="s">
        <v>542</v>
      </c>
      <c r="F8" s="399">
        <v>8343.6714000000065</v>
      </c>
      <c r="G8" s="400">
        <v>1437.03</v>
      </c>
      <c r="H8" s="400">
        <v>1436.65</v>
      </c>
      <c r="I8" s="401">
        <f t="shared" ref="I8:I9" si="1">H8/G8</f>
        <v>0.99973556571539923</v>
      </c>
      <c r="J8" s="400">
        <v>58.65</v>
      </c>
      <c r="K8" s="401">
        <f t="shared" ref="K8:K13" si="2">J8/G8</f>
        <v>4.0813344189056598E-2</v>
      </c>
      <c r="L8" s="400">
        <v>144.78</v>
      </c>
      <c r="M8" s="401">
        <f t="shared" ref="M8:M13" si="3">(H8+J8)/G8</f>
        <v>1.0405489099044558</v>
      </c>
      <c r="N8" s="402">
        <v>8436.3306000000066</v>
      </c>
      <c r="O8" s="400">
        <v>0.64</v>
      </c>
      <c r="P8" s="401">
        <f t="shared" ref="P8:P26" si="4">O8/G8</f>
        <v>4.4536300564358434E-4</v>
      </c>
      <c r="Q8" s="415">
        <f t="shared" ref="Q8:Q26" si="5">O8*L8</f>
        <v>92.659199999999998</v>
      </c>
      <c r="R8" s="403">
        <f t="shared" ref="R8:R26" si="6">((H8+J8)-G8)-O8</f>
        <v>57.630000000000209</v>
      </c>
      <c r="S8" s="401">
        <f t="shared" ref="S8:S26" si="7">R8/G8</f>
        <v>4.0103546898812278E-2</v>
      </c>
      <c r="T8" s="405" t="s">
        <v>176</v>
      </c>
      <c r="U8" s="405" t="s">
        <v>473</v>
      </c>
      <c r="V8" s="406" t="s">
        <v>639</v>
      </c>
      <c r="W8" s="406" t="s">
        <v>531</v>
      </c>
      <c r="X8" s="406">
        <v>1</v>
      </c>
      <c r="Y8" s="407" t="s">
        <v>537</v>
      </c>
      <c r="AA8" s="409"/>
      <c r="AB8" s="416">
        <f>SUMIF($U$7:$U$26,TRIM(AB6),$F$7:$F$26)</f>
        <v>0</v>
      </c>
      <c r="AC8" s="416">
        <f t="shared" ref="AC8:AH8" si="8">SUMIF($U$7:$U$26,TRIM(AC6),$F$7:$F$26)</f>
        <v>0</v>
      </c>
      <c r="AD8" s="416">
        <f t="shared" si="8"/>
        <v>0</v>
      </c>
      <c r="AE8" s="416">
        <f t="shared" si="8"/>
        <v>59318.279899999987</v>
      </c>
      <c r="AF8" s="416">
        <f t="shared" si="8"/>
        <v>17271.424500000005</v>
      </c>
      <c r="AG8" s="416">
        <f t="shared" si="8"/>
        <v>21606.118799999975</v>
      </c>
      <c r="AH8" s="416">
        <f t="shared" si="8"/>
        <v>0</v>
      </c>
    </row>
    <row r="9" spans="2:34" s="150" customFormat="1" ht="27" customHeight="1">
      <c r="B9" s="803"/>
      <c r="C9" s="804"/>
      <c r="D9" s="395">
        <v>3</v>
      </c>
      <c r="E9" s="398" t="s">
        <v>625</v>
      </c>
      <c r="F9" s="399">
        <v>6609.6800000000039</v>
      </c>
      <c r="G9" s="400">
        <v>2860.26</v>
      </c>
      <c r="H9" s="400">
        <v>2717.36</v>
      </c>
      <c r="I9" s="401">
        <f t="shared" si="1"/>
        <v>0.95003950689797423</v>
      </c>
      <c r="J9" s="400">
        <v>244.39999999999998</v>
      </c>
      <c r="K9" s="401">
        <f t="shared" si="2"/>
        <v>8.5446777565675827E-2</v>
      </c>
      <c r="L9" s="400">
        <v>65.12</v>
      </c>
      <c r="M9" s="401">
        <f t="shared" si="3"/>
        <v>1.0354862844636501</v>
      </c>
      <c r="N9" s="402">
        <v>6609.6800000000039</v>
      </c>
      <c r="O9" s="400">
        <v>0</v>
      </c>
      <c r="P9" s="401">
        <f t="shared" si="4"/>
        <v>0</v>
      </c>
      <c r="Q9" s="415">
        <f t="shared" si="5"/>
        <v>0</v>
      </c>
      <c r="R9" s="403">
        <f t="shared" si="6"/>
        <v>101.5</v>
      </c>
      <c r="S9" s="401">
        <f t="shared" si="7"/>
        <v>3.5486284463650153E-2</v>
      </c>
      <c r="T9" s="405" t="s">
        <v>176</v>
      </c>
      <c r="U9" s="405" t="s">
        <v>219</v>
      </c>
      <c r="V9" s="406" t="s">
        <v>581</v>
      </c>
      <c r="W9" s="406" t="s">
        <v>532</v>
      </c>
      <c r="X9" s="406">
        <v>1</v>
      </c>
      <c r="Y9" s="407" t="s">
        <v>618</v>
      </c>
      <c r="AA9" s="395"/>
      <c r="AB9" s="417">
        <f>AB7/$AA7</f>
        <v>0</v>
      </c>
      <c r="AC9" s="417">
        <f t="shared" ref="AC9:AH9" si="9">AC7/$AA7</f>
        <v>0</v>
      </c>
      <c r="AD9" s="417">
        <f t="shared" si="9"/>
        <v>0</v>
      </c>
      <c r="AE9" s="417">
        <f t="shared" si="9"/>
        <v>0.75</v>
      </c>
      <c r="AF9" s="417">
        <f t="shared" si="9"/>
        <v>0.05</v>
      </c>
      <c r="AG9" s="417">
        <f t="shared" si="9"/>
        <v>0.2</v>
      </c>
      <c r="AH9" s="417">
        <f t="shared" si="9"/>
        <v>0</v>
      </c>
    </row>
    <row r="10" spans="2:34" s="150" customFormat="1" ht="27" customHeight="1">
      <c r="B10" s="803"/>
      <c r="C10" s="804"/>
      <c r="D10" s="395">
        <v>4</v>
      </c>
      <c r="E10" s="398" t="s">
        <v>590</v>
      </c>
      <c r="F10" s="399">
        <v>6114.6690000000026</v>
      </c>
      <c r="G10" s="400">
        <v>680.71</v>
      </c>
      <c r="H10" s="400">
        <v>680.71</v>
      </c>
      <c r="I10" s="401">
        <f>H10/G10</f>
        <v>1</v>
      </c>
      <c r="J10" s="400">
        <v>40.33</v>
      </c>
      <c r="K10" s="401">
        <f t="shared" si="2"/>
        <v>5.9246962730090634E-2</v>
      </c>
      <c r="L10" s="400">
        <v>160.49</v>
      </c>
      <c r="M10" s="401">
        <f t="shared" si="3"/>
        <v>1.0592469627300907</v>
      </c>
      <c r="N10" s="402">
        <v>6472.561700000002</v>
      </c>
      <c r="O10" s="400">
        <v>2.23</v>
      </c>
      <c r="P10" s="401">
        <f t="shared" si="4"/>
        <v>3.2759912444359565E-3</v>
      </c>
      <c r="Q10" s="415">
        <f t="shared" si="5"/>
        <v>357.89269999999999</v>
      </c>
      <c r="R10" s="403">
        <f t="shared" si="6"/>
        <v>38.100000000000044</v>
      </c>
      <c r="S10" s="401">
        <f t="shared" si="7"/>
        <v>5.5970971485654747E-2</v>
      </c>
      <c r="T10" s="405" t="s">
        <v>176</v>
      </c>
      <c r="U10" s="405" t="s">
        <v>473</v>
      </c>
      <c r="V10" s="406" t="s">
        <v>638</v>
      </c>
      <c r="W10" s="406" t="s">
        <v>531</v>
      </c>
      <c r="X10" s="406">
        <v>1</v>
      </c>
      <c r="Y10" s="407" t="s">
        <v>479</v>
      </c>
    </row>
    <row r="11" spans="2:34" s="150" customFormat="1" ht="27" customHeight="1">
      <c r="B11" s="803"/>
      <c r="C11" s="804"/>
      <c r="D11" s="395">
        <v>5</v>
      </c>
      <c r="E11" s="398" t="s">
        <v>540</v>
      </c>
      <c r="F11" s="399">
        <v>5990.299599999993</v>
      </c>
      <c r="G11" s="400">
        <v>499.83999999999992</v>
      </c>
      <c r="H11" s="400">
        <v>497.08</v>
      </c>
      <c r="I11" s="401">
        <f t="shared" ref="I11:I26" si="10">H11/G11</f>
        <v>0.99447823303457117</v>
      </c>
      <c r="J11" s="400">
        <v>21.400000000000002</v>
      </c>
      <c r="K11" s="401">
        <f t="shared" si="2"/>
        <v>4.2813700384122931E-2</v>
      </c>
      <c r="L11" s="400">
        <v>327.16000000000003</v>
      </c>
      <c r="M11" s="401">
        <f t="shared" si="3"/>
        <v>1.0372919334186941</v>
      </c>
      <c r="N11" s="402">
        <v>6098.2623999999942</v>
      </c>
      <c r="O11" s="400">
        <v>0.33</v>
      </c>
      <c r="P11" s="401">
        <f t="shared" si="4"/>
        <v>6.602112676056339E-4</v>
      </c>
      <c r="Q11" s="415">
        <f t="shared" si="5"/>
        <v>107.96280000000002</v>
      </c>
      <c r="R11" s="403">
        <f t="shared" si="6"/>
        <v>18.310000000000102</v>
      </c>
      <c r="S11" s="401">
        <f t="shared" si="7"/>
        <v>3.6631722151088557E-2</v>
      </c>
      <c r="T11" s="405" t="s">
        <v>176</v>
      </c>
      <c r="U11" s="405" t="s">
        <v>219</v>
      </c>
      <c r="V11" s="406" t="s">
        <v>547</v>
      </c>
      <c r="W11" s="406" t="s">
        <v>546</v>
      </c>
      <c r="X11" s="406">
        <v>1</v>
      </c>
      <c r="Y11" s="407" t="s">
        <v>537</v>
      </c>
    </row>
    <row r="12" spans="2:34" s="150" customFormat="1" ht="27" customHeight="1">
      <c r="B12" s="803"/>
      <c r="C12" s="804"/>
      <c r="D12" s="395">
        <v>6</v>
      </c>
      <c r="E12" s="398" t="s">
        <v>478</v>
      </c>
      <c r="F12" s="399">
        <v>5338.0300000000034</v>
      </c>
      <c r="G12" s="400">
        <v>427.88</v>
      </c>
      <c r="H12" s="400">
        <v>422.78000000000003</v>
      </c>
      <c r="I12" s="401">
        <f t="shared" si="10"/>
        <v>0.98808077030943264</v>
      </c>
      <c r="J12" s="400">
        <v>20.440000000000001</v>
      </c>
      <c r="K12" s="401">
        <f t="shared" si="2"/>
        <v>4.7770402916705625E-2</v>
      </c>
      <c r="L12" s="400">
        <v>368.13999999999993</v>
      </c>
      <c r="M12" s="401">
        <f t="shared" si="3"/>
        <v>1.0358511732261382</v>
      </c>
      <c r="N12" s="402">
        <v>5647.2676000000029</v>
      </c>
      <c r="O12" s="400">
        <v>0.84000000000000008</v>
      </c>
      <c r="P12" s="401">
        <f t="shared" si="4"/>
        <v>1.9631672431522861E-3</v>
      </c>
      <c r="Q12" s="415">
        <f t="shared" si="5"/>
        <v>309.23759999999999</v>
      </c>
      <c r="R12" s="403">
        <f t="shared" si="6"/>
        <v>14.500000000000032</v>
      </c>
      <c r="S12" s="401">
        <f t="shared" si="7"/>
        <v>3.3888005982985962E-2</v>
      </c>
      <c r="T12" s="405" t="s">
        <v>176</v>
      </c>
      <c r="U12" s="405" t="s">
        <v>473</v>
      </c>
      <c r="V12" s="406" t="s">
        <v>681</v>
      </c>
      <c r="W12" s="406" t="s">
        <v>546</v>
      </c>
      <c r="X12" s="406">
        <v>1</v>
      </c>
      <c r="Y12" s="407" t="s">
        <v>479</v>
      </c>
    </row>
    <row r="13" spans="2:34" s="150" customFormat="1" ht="27" customHeight="1">
      <c r="B13" s="803"/>
      <c r="C13" s="804"/>
      <c r="D13" s="395">
        <v>7</v>
      </c>
      <c r="E13" s="398" t="s">
        <v>406</v>
      </c>
      <c r="F13" s="399">
        <v>5084.1967999999797</v>
      </c>
      <c r="G13" s="400">
        <v>3818.01</v>
      </c>
      <c r="H13" s="400">
        <v>3684.36</v>
      </c>
      <c r="I13" s="401">
        <f t="shared" si="10"/>
        <v>0.96499485333982882</v>
      </c>
      <c r="J13" s="400">
        <v>177.07</v>
      </c>
      <c r="K13" s="401">
        <f t="shared" si="2"/>
        <v>4.6377563180819321E-2</v>
      </c>
      <c r="L13" s="400">
        <v>127.84000000000002</v>
      </c>
      <c r="M13" s="401">
        <f t="shared" si="3"/>
        <v>1.0113724165206481</v>
      </c>
      <c r="N13" s="402">
        <v>5550.8127999999806</v>
      </c>
      <c r="O13" s="400">
        <v>3.65</v>
      </c>
      <c r="P13" s="401">
        <f t="shared" si="4"/>
        <v>9.5599540074541446E-4</v>
      </c>
      <c r="Q13" s="415">
        <f t="shared" si="5"/>
        <v>466.61600000000004</v>
      </c>
      <c r="R13" s="403">
        <f t="shared" si="6"/>
        <v>39.770000000000074</v>
      </c>
      <c r="S13" s="401">
        <f t="shared" si="7"/>
        <v>1.0416421119902795E-2</v>
      </c>
      <c r="T13" s="405" t="s">
        <v>176</v>
      </c>
      <c r="U13" s="405" t="s">
        <v>473</v>
      </c>
      <c r="V13" s="406" t="s">
        <v>638</v>
      </c>
      <c r="W13" s="406" t="s">
        <v>531</v>
      </c>
      <c r="X13" s="406">
        <v>1</v>
      </c>
      <c r="Y13" s="407" t="s">
        <v>349</v>
      </c>
    </row>
    <row r="14" spans="2:34" s="150" customFormat="1" ht="27" customHeight="1">
      <c r="B14" s="803"/>
      <c r="C14" s="804"/>
      <c r="D14" s="395">
        <v>8</v>
      </c>
      <c r="E14" s="398" t="s">
        <v>471</v>
      </c>
      <c r="F14" s="399">
        <v>5014.3089000000027</v>
      </c>
      <c r="G14" s="400">
        <v>1081.6799999999998</v>
      </c>
      <c r="H14" s="400">
        <v>1044.74</v>
      </c>
      <c r="I14" s="401">
        <f t="shared" si="10"/>
        <v>0.9658494194216406</v>
      </c>
      <c r="J14" s="400">
        <v>90</v>
      </c>
      <c r="K14" s="401">
        <f>J14/G14</f>
        <v>8.3203905036609738E-2</v>
      </c>
      <c r="L14" s="400">
        <v>99.51</v>
      </c>
      <c r="M14" s="401">
        <f>(H14+J14)/G14</f>
        <v>1.0490533244582503</v>
      </c>
      <c r="N14" s="402">
        <v>5280.000600000003</v>
      </c>
      <c r="O14" s="400">
        <v>2.67</v>
      </c>
      <c r="P14" s="401">
        <f t="shared" si="4"/>
        <v>2.4683825160860887E-3</v>
      </c>
      <c r="Q14" s="415">
        <f t="shared" si="5"/>
        <v>265.69170000000003</v>
      </c>
      <c r="R14" s="403">
        <f t="shared" si="6"/>
        <v>50.390000000000171</v>
      </c>
      <c r="S14" s="401">
        <f t="shared" si="7"/>
        <v>4.6584941942164206E-2</v>
      </c>
      <c r="T14" s="405" t="s">
        <v>176</v>
      </c>
      <c r="U14" s="405" t="s">
        <v>473</v>
      </c>
      <c r="V14" s="406" t="s">
        <v>581</v>
      </c>
      <c r="W14" s="406" t="s">
        <v>595</v>
      </c>
      <c r="X14" s="406">
        <v>1</v>
      </c>
      <c r="Y14" s="407" t="s">
        <v>364</v>
      </c>
    </row>
    <row r="15" spans="2:34" s="150" customFormat="1" ht="27" customHeight="1">
      <c r="B15" s="803"/>
      <c r="C15" s="804"/>
      <c r="D15" s="395">
        <v>9</v>
      </c>
      <c r="E15" s="398" t="s">
        <v>556</v>
      </c>
      <c r="F15" s="399">
        <v>4682.6793999999809</v>
      </c>
      <c r="G15" s="400">
        <v>1032.55</v>
      </c>
      <c r="H15" s="400">
        <v>1026.5999999999999</v>
      </c>
      <c r="I15" s="401">
        <f t="shared" si="10"/>
        <v>0.99423756718802958</v>
      </c>
      <c r="J15" s="400">
        <v>13.89</v>
      </c>
      <c r="K15" s="401">
        <f t="shared" ref="K15:K26" si="11">J15/G15</f>
        <v>1.3452133068616532E-2</v>
      </c>
      <c r="L15" s="400">
        <v>605.77999999999986</v>
      </c>
      <c r="M15" s="401">
        <f t="shared" ref="M15:M26" si="12">(H15+J15)/G15</f>
        <v>1.0076897002566463</v>
      </c>
      <c r="N15" s="402">
        <v>4809.8931999999813</v>
      </c>
      <c r="O15" s="400">
        <v>0.21</v>
      </c>
      <c r="P15" s="401">
        <f t="shared" si="4"/>
        <v>2.0337998159895403E-4</v>
      </c>
      <c r="Q15" s="415">
        <f t="shared" si="5"/>
        <v>127.21379999999996</v>
      </c>
      <c r="R15" s="403">
        <f t="shared" si="6"/>
        <v>7.7300000000000546</v>
      </c>
      <c r="S15" s="401">
        <f t="shared" si="7"/>
        <v>7.4863202750472665E-3</v>
      </c>
      <c r="T15" s="405" t="s">
        <v>176</v>
      </c>
      <c r="U15" s="405" t="s">
        <v>219</v>
      </c>
      <c r="V15" s="406" t="s">
        <v>561</v>
      </c>
      <c r="W15" s="406" t="s">
        <v>562</v>
      </c>
      <c r="X15" s="406">
        <v>1</v>
      </c>
      <c r="Y15" s="407" t="s">
        <v>351</v>
      </c>
    </row>
    <row r="16" spans="2:34" s="150" customFormat="1" ht="27" customHeight="1">
      <c r="B16" s="803"/>
      <c r="C16" s="804"/>
      <c r="D16" s="395">
        <v>10</v>
      </c>
      <c r="E16" s="398" t="s">
        <v>503</v>
      </c>
      <c r="F16" s="399">
        <v>4323.4597999999978</v>
      </c>
      <c r="G16" s="400">
        <v>2006.37</v>
      </c>
      <c r="H16" s="400">
        <v>1944.96</v>
      </c>
      <c r="I16" s="401">
        <f t="shared" si="10"/>
        <v>0.96939248493548058</v>
      </c>
      <c r="J16" s="400">
        <v>125.81999999999998</v>
      </c>
      <c r="K16" s="401">
        <f t="shared" si="11"/>
        <v>6.271026779706633E-2</v>
      </c>
      <c r="L16" s="400">
        <v>68.42</v>
      </c>
      <c r="M16" s="401">
        <f t="shared" si="12"/>
        <v>1.032102752732547</v>
      </c>
      <c r="N16" s="402">
        <v>4406.9321999999984</v>
      </c>
      <c r="O16" s="400">
        <v>1.22</v>
      </c>
      <c r="P16" s="401">
        <f t="shared" si="4"/>
        <v>6.0806331833111542E-4</v>
      </c>
      <c r="Q16" s="415">
        <f t="shared" si="5"/>
        <v>83.472399999999993</v>
      </c>
      <c r="R16" s="403">
        <f t="shared" si="6"/>
        <v>63.19000000000031</v>
      </c>
      <c r="S16" s="401">
        <f t="shared" si="7"/>
        <v>3.1494689414215876E-2</v>
      </c>
      <c r="T16" s="405" t="s">
        <v>176</v>
      </c>
      <c r="U16" s="405" t="s">
        <v>219</v>
      </c>
      <c r="V16" s="406" t="s">
        <v>581</v>
      </c>
      <c r="W16" s="406" t="s">
        <v>532</v>
      </c>
      <c r="X16" s="406">
        <v>1</v>
      </c>
      <c r="Y16" s="407" t="s">
        <v>500</v>
      </c>
    </row>
    <row r="17" spans="2:34" s="150" customFormat="1" ht="27" customHeight="1">
      <c r="B17" s="803"/>
      <c r="C17" s="804"/>
      <c r="D17" s="395">
        <v>11</v>
      </c>
      <c r="E17" s="398" t="s">
        <v>345</v>
      </c>
      <c r="F17" s="399">
        <v>3807.3284000000003</v>
      </c>
      <c r="G17" s="400">
        <v>1516.34</v>
      </c>
      <c r="H17" s="400">
        <v>1428.2</v>
      </c>
      <c r="I17" s="401">
        <f t="shared" si="10"/>
        <v>0.94187319466610397</v>
      </c>
      <c r="J17" s="400">
        <v>145.1</v>
      </c>
      <c r="K17" s="401">
        <f t="shared" si="11"/>
        <v>9.5690940026643106E-2</v>
      </c>
      <c r="L17" s="400">
        <v>70.220000000000013</v>
      </c>
      <c r="M17" s="401">
        <f t="shared" si="12"/>
        <v>1.0375641346927471</v>
      </c>
      <c r="N17" s="402">
        <v>3999.7312000000002</v>
      </c>
      <c r="O17" s="400">
        <v>2.74</v>
      </c>
      <c r="P17" s="401">
        <f t="shared" si="4"/>
        <v>1.8069826028463275E-3</v>
      </c>
      <c r="Q17" s="415">
        <f t="shared" si="5"/>
        <v>192.40280000000004</v>
      </c>
      <c r="R17" s="403">
        <f t="shared" si="6"/>
        <v>54.220000000000034</v>
      </c>
      <c r="S17" s="401">
        <f t="shared" si="7"/>
        <v>3.5757152089900705E-2</v>
      </c>
      <c r="T17" s="405" t="s">
        <v>176</v>
      </c>
      <c r="U17" s="405" t="s">
        <v>473</v>
      </c>
      <c r="V17" s="406" t="s">
        <v>530</v>
      </c>
      <c r="W17" s="406" t="s">
        <v>595</v>
      </c>
      <c r="X17" s="406">
        <v>1</v>
      </c>
      <c r="Y17" s="407" t="s">
        <v>352</v>
      </c>
    </row>
    <row r="18" spans="2:34" s="150" customFormat="1" ht="27" customHeight="1">
      <c r="B18" s="803"/>
      <c r="C18" s="804"/>
      <c r="D18" s="395">
        <v>12</v>
      </c>
      <c r="E18" s="398" t="s">
        <v>541</v>
      </c>
      <c r="F18" s="399">
        <v>3348.2594999999924</v>
      </c>
      <c r="G18" s="400">
        <v>387.01</v>
      </c>
      <c r="H18" s="400">
        <v>377.08</v>
      </c>
      <c r="I18" s="401">
        <f t="shared" si="10"/>
        <v>0.97434174827523834</v>
      </c>
      <c r="J18" s="400">
        <v>21.28</v>
      </c>
      <c r="K18" s="401">
        <f t="shared" si="11"/>
        <v>5.4985659285289791E-2</v>
      </c>
      <c r="L18" s="400">
        <v>365.92999999999995</v>
      </c>
      <c r="M18" s="401">
        <f t="shared" si="12"/>
        <v>1.0293274075605283</v>
      </c>
      <c r="N18" s="402">
        <v>4153.3054999999922</v>
      </c>
      <c r="O18" s="400">
        <v>2.2000000000000002</v>
      </c>
      <c r="P18" s="401">
        <f t="shared" si="4"/>
        <v>5.6846076328777037E-3</v>
      </c>
      <c r="Q18" s="415">
        <f t="shared" si="5"/>
        <v>805.04599999999994</v>
      </c>
      <c r="R18" s="403">
        <f t="shared" si="6"/>
        <v>9.1500000000000234</v>
      </c>
      <c r="S18" s="401">
        <f t="shared" si="7"/>
        <v>2.3642799927650511E-2</v>
      </c>
      <c r="T18" s="405" t="s">
        <v>176</v>
      </c>
      <c r="U18" s="405" t="s">
        <v>473</v>
      </c>
      <c r="V18" s="406" t="s">
        <v>681</v>
      </c>
      <c r="W18" s="406" t="s">
        <v>605</v>
      </c>
      <c r="X18" s="406">
        <v>1</v>
      </c>
      <c r="Y18" s="407" t="s">
        <v>443</v>
      </c>
    </row>
    <row r="19" spans="2:34" s="150" customFormat="1" ht="27" customHeight="1">
      <c r="B19" s="803"/>
      <c r="C19" s="804"/>
      <c r="D19" s="395">
        <v>13</v>
      </c>
      <c r="E19" s="398" t="s">
        <v>377</v>
      </c>
      <c r="F19" s="399">
        <v>3294.0467999999992</v>
      </c>
      <c r="G19" s="400">
        <v>633.85</v>
      </c>
      <c r="H19" s="400">
        <v>634.77</v>
      </c>
      <c r="I19" s="401">
        <f t="shared" si="10"/>
        <v>1.0014514475033525</v>
      </c>
      <c r="J19" s="400">
        <v>6.8</v>
      </c>
      <c r="K19" s="401">
        <f t="shared" si="11"/>
        <v>1.0728090242170861E-2</v>
      </c>
      <c r="L19" s="400">
        <v>426.69</v>
      </c>
      <c r="M19" s="401">
        <f t="shared" si="12"/>
        <v>1.0121795377455232</v>
      </c>
      <c r="N19" s="402">
        <v>3294.0467999999992</v>
      </c>
      <c r="O19" s="400">
        <v>0</v>
      </c>
      <c r="P19" s="401">
        <f t="shared" si="4"/>
        <v>0</v>
      </c>
      <c r="Q19" s="415">
        <f t="shared" si="5"/>
        <v>0</v>
      </c>
      <c r="R19" s="403">
        <f t="shared" si="6"/>
        <v>7.7199999999999136</v>
      </c>
      <c r="S19" s="401">
        <f t="shared" si="7"/>
        <v>1.2179537745523251E-2</v>
      </c>
      <c r="T19" s="405" t="s">
        <v>176</v>
      </c>
      <c r="U19" s="405" t="s">
        <v>473</v>
      </c>
      <c r="V19" s="406" t="s">
        <v>544</v>
      </c>
      <c r="W19" s="406" t="s">
        <v>545</v>
      </c>
      <c r="X19" s="406">
        <v>1</v>
      </c>
      <c r="Y19" s="407" t="s">
        <v>378</v>
      </c>
    </row>
    <row r="20" spans="2:34" s="150" customFormat="1" ht="27" customHeight="1">
      <c r="B20" s="803"/>
      <c r="C20" s="804"/>
      <c r="D20" s="395">
        <v>14</v>
      </c>
      <c r="E20" s="398" t="s">
        <v>469</v>
      </c>
      <c r="F20" s="399">
        <v>3194.0000000000055</v>
      </c>
      <c r="G20" s="400">
        <v>871.13</v>
      </c>
      <c r="H20" s="400">
        <v>870.09000000000015</v>
      </c>
      <c r="I20" s="401">
        <f t="shared" si="10"/>
        <v>0.9988061483360694</v>
      </c>
      <c r="J20" s="400">
        <v>17.010000000000002</v>
      </c>
      <c r="K20" s="401">
        <f t="shared" si="11"/>
        <v>1.9526362311021318E-2</v>
      </c>
      <c r="L20" s="400">
        <v>200</v>
      </c>
      <c r="M20" s="401">
        <f t="shared" si="12"/>
        <v>1.0183325106470906</v>
      </c>
      <c r="N20" s="402">
        <v>3194.0000000000055</v>
      </c>
      <c r="O20" s="400">
        <v>0</v>
      </c>
      <c r="P20" s="401">
        <f t="shared" si="4"/>
        <v>0</v>
      </c>
      <c r="Q20" s="415">
        <f t="shared" si="5"/>
        <v>0</v>
      </c>
      <c r="R20" s="403">
        <f t="shared" si="6"/>
        <v>15.970000000000141</v>
      </c>
      <c r="S20" s="401">
        <f t="shared" si="7"/>
        <v>1.8332510647090721E-2</v>
      </c>
      <c r="T20" s="405" t="s">
        <v>176</v>
      </c>
      <c r="U20" s="405" t="s">
        <v>473</v>
      </c>
      <c r="V20" s="406" t="s">
        <v>614</v>
      </c>
      <c r="W20" s="406" t="s">
        <v>682</v>
      </c>
      <c r="X20" s="406">
        <v>1</v>
      </c>
      <c r="Y20" s="407" t="s">
        <v>349</v>
      </c>
    </row>
    <row r="21" spans="2:34" s="150" customFormat="1" ht="27" customHeight="1">
      <c r="B21" s="803"/>
      <c r="C21" s="804"/>
      <c r="D21" s="395">
        <v>15</v>
      </c>
      <c r="E21" s="398" t="s">
        <v>501</v>
      </c>
      <c r="F21" s="399">
        <v>3084.7212000000063</v>
      </c>
      <c r="G21" s="400">
        <v>252.06</v>
      </c>
      <c r="H21" s="400">
        <v>250.08</v>
      </c>
      <c r="I21" s="401">
        <f t="shared" si="10"/>
        <v>0.99214472744584625</v>
      </c>
      <c r="J21" s="400">
        <v>9.2999999999999989</v>
      </c>
      <c r="K21" s="401">
        <f t="shared" si="11"/>
        <v>3.6895977148298023E-2</v>
      </c>
      <c r="L21" s="400">
        <v>421.40999999999997</v>
      </c>
      <c r="M21" s="401">
        <f t="shared" si="12"/>
        <v>1.0290407045941443</v>
      </c>
      <c r="N21" s="402">
        <v>3084.7212000000063</v>
      </c>
      <c r="O21" s="400">
        <v>0</v>
      </c>
      <c r="P21" s="401">
        <f t="shared" si="4"/>
        <v>0</v>
      </c>
      <c r="Q21" s="415">
        <f t="shared" si="5"/>
        <v>0</v>
      </c>
      <c r="R21" s="403">
        <f t="shared" si="6"/>
        <v>7.3199999999999932</v>
      </c>
      <c r="S21" s="401">
        <f t="shared" si="7"/>
        <v>2.9040704594144224E-2</v>
      </c>
      <c r="T21" s="405" t="s">
        <v>176</v>
      </c>
      <c r="U21" s="405" t="s">
        <v>473</v>
      </c>
      <c r="V21" s="406" t="s">
        <v>683</v>
      </c>
      <c r="W21" s="406" t="s">
        <v>527</v>
      </c>
      <c r="X21" s="406">
        <v>1</v>
      </c>
      <c r="Y21" s="407" t="s">
        <v>498</v>
      </c>
    </row>
    <row r="22" spans="2:34" s="150" customFormat="1" ht="27" customHeight="1">
      <c r="B22" s="803"/>
      <c r="C22" s="804"/>
      <c r="D22" s="395">
        <v>16</v>
      </c>
      <c r="E22" s="398" t="s">
        <v>626</v>
      </c>
      <c r="F22" s="399">
        <v>2975.824500000002</v>
      </c>
      <c r="G22" s="400">
        <v>220.01999999999998</v>
      </c>
      <c r="H22" s="400">
        <v>225.23</v>
      </c>
      <c r="I22" s="401">
        <f t="shared" si="10"/>
        <v>1.023679665484956</v>
      </c>
      <c r="J22" s="400">
        <v>12.3</v>
      </c>
      <c r="K22" s="401">
        <f t="shared" si="11"/>
        <v>5.5904008726479416E-2</v>
      </c>
      <c r="L22" s="400">
        <v>169.95000000000002</v>
      </c>
      <c r="M22" s="401">
        <f t="shared" si="12"/>
        <v>1.0795836742114355</v>
      </c>
      <c r="N22" s="402">
        <v>2975.824500000002</v>
      </c>
      <c r="O22" s="400">
        <v>0</v>
      </c>
      <c r="P22" s="401">
        <f t="shared" si="4"/>
        <v>0</v>
      </c>
      <c r="Q22" s="415">
        <f t="shared" si="5"/>
        <v>0</v>
      </c>
      <c r="R22" s="403">
        <f t="shared" si="6"/>
        <v>17.510000000000019</v>
      </c>
      <c r="S22" s="401">
        <f t="shared" si="7"/>
        <v>7.9583674211435418E-2</v>
      </c>
      <c r="T22" s="405" t="s">
        <v>176</v>
      </c>
      <c r="U22" s="405" t="s">
        <v>473</v>
      </c>
      <c r="V22" s="406" t="s">
        <v>647</v>
      </c>
      <c r="W22" s="406" t="s">
        <v>560</v>
      </c>
      <c r="X22" s="406">
        <v>1</v>
      </c>
      <c r="Y22" s="407" t="s">
        <v>618</v>
      </c>
    </row>
    <row r="23" spans="2:34" s="150" customFormat="1" ht="27" customHeight="1">
      <c r="B23" s="803"/>
      <c r="C23" s="804"/>
      <c r="D23" s="395">
        <v>17</v>
      </c>
      <c r="E23" s="398" t="s">
        <v>468</v>
      </c>
      <c r="F23" s="399">
        <v>2642.5547999999985</v>
      </c>
      <c r="G23" s="400">
        <v>1647.8000000000002</v>
      </c>
      <c r="H23" s="400">
        <v>1592.16</v>
      </c>
      <c r="I23" s="401">
        <f t="shared" si="10"/>
        <v>0.96623376623376622</v>
      </c>
      <c r="J23" s="400">
        <v>99.600000000000023</v>
      </c>
      <c r="K23" s="401">
        <f t="shared" si="11"/>
        <v>6.0444228668527743E-2</v>
      </c>
      <c r="L23" s="400">
        <v>66.13</v>
      </c>
      <c r="M23" s="401">
        <f t="shared" si="12"/>
        <v>1.0266779949022939</v>
      </c>
      <c r="N23" s="402">
        <v>2907.0747999999985</v>
      </c>
      <c r="O23" s="400">
        <v>4</v>
      </c>
      <c r="P23" s="401">
        <f t="shared" si="4"/>
        <v>2.4274790629930814E-3</v>
      </c>
      <c r="Q23" s="415">
        <f t="shared" si="5"/>
        <v>264.52</v>
      </c>
      <c r="R23" s="403">
        <f t="shared" si="6"/>
        <v>39.960000000000036</v>
      </c>
      <c r="S23" s="401">
        <f t="shared" si="7"/>
        <v>2.4250515839300907E-2</v>
      </c>
      <c r="T23" s="405" t="s">
        <v>176</v>
      </c>
      <c r="U23" s="405" t="s">
        <v>473</v>
      </c>
      <c r="V23" s="406" t="s">
        <v>530</v>
      </c>
      <c r="W23" s="406" t="s">
        <v>595</v>
      </c>
      <c r="X23" s="406">
        <v>1</v>
      </c>
      <c r="Y23" s="407" t="s">
        <v>350</v>
      </c>
    </row>
    <row r="24" spans="2:34" s="150" customFormat="1" ht="27" customHeight="1">
      <c r="B24" s="803"/>
      <c r="C24" s="804"/>
      <c r="D24" s="395">
        <v>18</v>
      </c>
      <c r="E24" s="398" t="s">
        <v>589</v>
      </c>
      <c r="F24" s="399">
        <v>2379.3812000000025</v>
      </c>
      <c r="G24" s="400">
        <v>1610.25</v>
      </c>
      <c r="H24" s="400">
        <v>1604.4899999999998</v>
      </c>
      <c r="I24" s="401">
        <f t="shared" si="10"/>
        <v>0.99642291569632035</v>
      </c>
      <c r="J24" s="400">
        <v>37.6</v>
      </c>
      <c r="K24" s="401">
        <f t="shared" si="11"/>
        <v>2.3350411426797082E-2</v>
      </c>
      <c r="L24" s="400">
        <v>94.570000000000007</v>
      </c>
      <c r="M24" s="401">
        <f t="shared" si="12"/>
        <v>1.0197733271231173</v>
      </c>
      <c r="N24" s="402">
        <v>3011.1088000000027</v>
      </c>
      <c r="O24" s="400">
        <v>6.6800000000000006</v>
      </c>
      <c r="P24" s="401">
        <f t="shared" si="4"/>
        <v>4.1484241577394816E-3</v>
      </c>
      <c r="Q24" s="415">
        <f t="shared" si="5"/>
        <v>631.72760000000005</v>
      </c>
      <c r="R24" s="403">
        <f t="shared" si="6"/>
        <v>25.159999999999691</v>
      </c>
      <c r="S24" s="401">
        <f t="shared" si="7"/>
        <v>1.5624902965377855E-2</v>
      </c>
      <c r="T24" s="405" t="s">
        <v>176</v>
      </c>
      <c r="U24" s="405" t="s">
        <v>473</v>
      </c>
      <c r="V24" s="406" t="s">
        <v>596</v>
      </c>
      <c r="W24" s="406" t="s">
        <v>597</v>
      </c>
      <c r="X24" s="406">
        <v>1</v>
      </c>
      <c r="Y24" s="407" t="s">
        <v>487</v>
      </c>
    </row>
    <row r="25" spans="2:34" s="150" customFormat="1" ht="27" customHeight="1">
      <c r="B25" s="803"/>
      <c r="C25" s="804"/>
      <c r="D25" s="395">
        <v>19</v>
      </c>
      <c r="E25" s="398" t="s">
        <v>602</v>
      </c>
      <c r="F25" s="399">
        <v>2372.4323999999988</v>
      </c>
      <c r="G25" s="400">
        <v>119.14000000000001</v>
      </c>
      <c r="H25" s="400">
        <v>119.55000000000001</v>
      </c>
      <c r="I25" s="401">
        <f t="shared" si="10"/>
        <v>1.003441329528286</v>
      </c>
      <c r="J25" s="400">
        <v>5.41</v>
      </c>
      <c r="K25" s="401">
        <f t="shared" si="11"/>
        <v>4.5408762800067143E-2</v>
      </c>
      <c r="L25" s="400">
        <v>485.15999999999997</v>
      </c>
      <c r="M25" s="401">
        <f t="shared" si="12"/>
        <v>1.0488500923283532</v>
      </c>
      <c r="N25" s="402">
        <v>2823.6311999999989</v>
      </c>
      <c r="O25" s="400">
        <v>0.92999999999999994</v>
      </c>
      <c r="P25" s="401">
        <f t="shared" si="4"/>
        <v>7.805942588551283E-3</v>
      </c>
      <c r="Q25" s="415">
        <f t="shared" si="5"/>
        <v>451.19879999999995</v>
      </c>
      <c r="R25" s="403">
        <f t="shared" si="6"/>
        <v>4.8899999999999935</v>
      </c>
      <c r="S25" s="401">
        <f t="shared" si="7"/>
        <v>4.1044149739801854E-2</v>
      </c>
      <c r="T25" s="405" t="s">
        <v>176</v>
      </c>
      <c r="U25" s="405" t="s">
        <v>473</v>
      </c>
      <c r="V25" s="406" t="s">
        <v>684</v>
      </c>
      <c r="W25" s="406" t="s">
        <v>527</v>
      </c>
      <c r="X25" s="406">
        <v>1</v>
      </c>
      <c r="Y25" s="407" t="s">
        <v>352</v>
      </c>
    </row>
    <row r="26" spans="2:34" s="150" customFormat="1" ht="27" customHeight="1">
      <c r="B26" s="805"/>
      <c r="C26" s="806"/>
      <c r="D26" s="395">
        <v>20</v>
      </c>
      <c r="E26" s="398" t="s">
        <v>375</v>
      </c>
      <c r="F26" s="399">
        <v>2324.8549999999909</v>
      </c>
      <c r="G26" s="400">
        <v>1030.0200000000002</v>
      </c>
      <c r="H26" s="400">
        <v>1065.2099999999998</v>
      </c>
      <c r="I26" s="401">
        <f t="shared" si="10"/>
        <v>1.0341643851575693</v>
      </c>
      <c r="J26" s="400">
        <v>0</v>
      </c>
      <c r="K26" s="401">
        <f t="shared" si="11"/>
        <v>0</v>
      </c>
      <c r="L26" s="400">
        <v>152.75</v>
      </c>
      <c r="M26" s="401">
        <f t="shared" si="12"/>
        <v>1.0341643851575693</v>
      </c>
      <c r="N26" s="402">
        <v>5375.2724999999909</v>
      </c>
      <c r="O26" s="400">
        <v>19.97</v>
      </c>
      <c r="P26" s="401">
        <f t="shared" si="4"/>
        <v>1.9387973049067003E-2</v>
      </c>
      <c r="Q26" s="415">
        <f t="shared" si="5"/>
        <v>3050.4175</v>
      </c>
      <c r="R26" s="403">
        <f t="shared" si="6"/>
        <v>15.219999999999601</v>
      </c>
      <c r="S26" s="401">
        <f t="shared" si="7"/>
        <v>1.4776412108502357E-2</v>
      </c>
      <c r="T26" s="405" t="s">
        <v>176</v>
      </c>
      <c r="U26" s="405" t="s">
        <v>473</v>
      </c>
      <c r="V26" s="406" t="s">
        <v>539</v>
      </c>
      <c r="W26" s="406" t="s">
        <v>531</v>
      </c>
      <c r="X26" s="406">
        <v>1</v>
      </c>
      <c r="Y26" s="407" t="s">
        <v>378</v>
      </c>
      <c r="AC26" s="411"/>
    </row>
    <row r="27" spans="2:34" ht="16.5" customHeight="1">
      <c r="B27" s="823" t="s">
        <v>511</v>
      </c>
      <c r="C27" s="824"/>
      <c r="D27" s="829" t="s">
        <v>172</v>
      </c>
      <c r="E27" s="829"/>
      <c r="F27" s="829"/>
      <c r="G27" s="829" t="s">
        <v>186</v>
      </c>
      <c r="H27" s="829"/>
      <c r="I27" s="829"/>
      <c r="J27" s="829"/>
      <c r="K27" s="829"/>
      <c r="L27" s="829"/>
      <c r="M27" s="829"/>
      <c r="N27" s="829"/>
      <c r="O27" s="829"/>
      <c r="P27" s="829"/>
      <c r="Q27" s="829"/>
      <c r="R27" s="829"/>
      <c r="S27" s="829"/>
      <c r="T27" s="829" t="s">
        <v>173</v>
      </c>
      <c r="U27" s="814" t="s">
        <v>252</v>
      </c>
      <c r="V27" s="834" t="s">
        <v>519</v>
      </c>
      <c r="W27" s="834" t="s">
        <v>513</v>
      </c>
      <c r="X27" s="810" t="s">
        <v>253</v>
      </c>
      <c r="Y27" s="813" t="s">
        <v>174</v>
      </c>
      <c r="AA27" s="829" t="s">
        <v>254</v>
      </c>
      <c r="AB27" s="829"/>
      <c r="AC27" s="829"/>
      <c r="AD27" s="829"/>
      <c r="AE27" s="829"/>
      <c r="AF27" s="829"/>
      <c r="AG27" s="829"/>
      <c r="AH27" s="829"/>
    </row>
    <row r="28" spans="2:34" ht="17.100000000000001" customHeight="1">
      <c r="B28" s="825"/>
      <c r="C28" s="826"/>
      <c r="D28" s="830" t="s">
        <v>171</v>
      </c>
      <c r="E28" s="829" t="s">
        <v>175</v>
      </c>
      <c r="F28" s="829"/>
      <c r="G28" s="829" t="s">
        <v>187</v>
      </c>
      <c r="H28" s="829"/>
      <c r="I28" s="829"/>
      <c r="J28" s="829"/>
      <c r="K28" s="829"/>
      <c r="L28" s="829"/>
      <c r="M28" s="829"/>
      <c r="N28" s="829"/>
      <c r="O28" s="829" t="s">
        <v>176</v>
      </c>
      <c r="P28" s="829"/>
      <c r="Q28" s="829"/>
      <c r="R28" s="829"/>
      <c r="S28" s="829"/>
      <c r="T28" s="829"/>
      <c r="U28" s="817"/>
      <c r="V28" s="811"/>
      <c r="W28" s="835"/>
      <c r="X28" s="811"/>
      <c r="Y28" s="813"/>
      <c r="AA28" s="829"/>
      <c r="AB28" s="829"/>
      <c r="AC28" s="829"/>
      <c r="AD28" s="829"/>
      <c r="AE28" s="829"/>
      <c r="AF28" s="829"/>
      <c r="AG28" s="829"/>
      <c r="AH28" s="829"/>
    </row>
    <row r="29" spans="2:34" ht="17.100000000000001" customHeight="1">
      <c r="B29" s="825"/>
      <c r="C29" s="826"/>
      <c r="D29" s="830"/>
      <c r="E29" s="830" t="s">
        <v>177</v>
      </c>
      <c r="F29" s="837" t="s">
        <v>520</v>
      </c>
      <c r="G29" s="831" t="s">
        <v>188</v>
      </c>
      <c r="H29" s="831"/>
      <c r="I29" s="831"/>
      <c r="J29" s="831"/>
      <c r="K29" s="831"/>
      <c r="L29" s="831"/>
      <c r="M29" s="831"/>
      <c r="N29" s="831"/>
      <c r="O29" s="838" t="s">
        <v>170</v>
      </c>
      <c r="P29" s="839"/>
      <c r="Q29" s="840"/>
      <c r="R29" s="831" t="s">
        <v>178</v>
      </c>
      <c r="S29" s="831"/>
      <c r="T29" s="829"/>
      <c r="U29" s="817"/>
      <c r="V29" s="811"/>
      <c r="W29" s="835"/>
      <c r="X29" s="811"/>
      <c r="Y29" s="813"/>
      <c r="AA29" s="829"/>
      <c r="AB29" s="829"/>
      <c r="AC29" s="829"/>
      <c r="AD29" s="829"/>
      <c r="AE29" s="829"/>
      <c r="AF29" s="829"/>
      <c r="AG29" s="829"/>
      <c r="AH29" s="829"/>
    </row>
    <row r="30" spans="2:34" ht="38.450000000000003" customHeight="1">
      <c r="B30" s="827"/>
      <c r="C30" s="828"/>
      <c r="D30" s="830"/>
      <c r="E30" s="830"/>
      <c r="F30" s="837"/>
      <c r="G30" s="396" t="s">
        <v>179</v>
      </c>
      <c r="H30" s="396" t="s">
        <v>259</v>
      </c>
      <c r="I30" s="396" t="s">
        <v>260</v>
      </c>
      <c r="J30" s="396" t="s">
        <v>180</v>
      </c>
      <c r="K30" s="396" t="s">
        <v>257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6" t="s">
        <v>185</v>
      </c>
      <c r="R30" s="397" t="s">
        <v>183</v>
      </c>
      <c r="S30" s="397" t="s">
        <v>184</v>
      </c>
      <c r="T30" s="829"/>
      <c r="U30" s="820"/>
      <c r="V30" s="812"/>
      <c r="W30" s="836"/>
      <c r="X30" s="812"/>
      <c r="Y30" s="813"/>
      <c r="AA30" s="163" t="s">
        <v>251</v>
      </c>
      <c r="AB30" s="163" t="s">
        <v>514</v>
      </c>
      <c r="AC30" s="158" t="s">
        <v>403</v>
      </c>
      <c r="AD30" s="158" t="s">
        <v>346</v>
      </c>
      <c r="AE30" s="158" t="s">
        <v>473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01" t="s">
        <v>707</v>
      </c>
      <c r="C31" s="802"/>
      <c r="D31" s="395">
        <v>1</v>
      </c>
      <c r="E31" s="398" t="s">
        <v>344</v>
      </c>
      <c r="F31" s="399">
        <v>19513.834799999993</v>
      </c>
      <c r="G31" s="400">
        <v>4142.12</v>
      </c>
      <c r="H31" s="400">
        <v>4063.08</v>
      </c>
      <c r="I31" s="401">
        <f>H31/G31</f>
        <v>0.98091798402750285</v>
      </c>
      <c r="J31" s="400">
        <v>214.9</v>
      </c>
      <c r="K31" s="401">
        <f>J31/G31</f>
        <v>5.1881645147895283E-2</v>
      </c>
      <c r="L31" s="400">
        <v>147.43000000000004</v>
      </c>
      <c r="M31" s="401">
        <f>(H31+J31)/G31</f>
        <v>1.032799629175398</v>
      </c>
      <c r="N31" s="402">
        <v>20029.839799999994</v>
      </c>
      <c r="O31" s="400">
        <v>3.5</v>
      </c>
      <c r="P31" s="401">
        <f>O31/G31</f>
        <v>8.4497793400480916E-4</v>
      </c>
      <c r="Q31" s="415">
        <f>O31*L31</f>
        <v>516.00500000000011</v>
      </c>
      <c r="R31" s="403">
        <f>((H31+J31)-G31)-O31</f>
        <v>132.35999999999967</v>
      </c>
      <c r="S31" s="401">
        <f>R31/G31</f>
        <v>3.1954651241393218E-2</v>
      </c>
      <c r="T31" s="405" t="s">
        <v>176</v>
      </c>
      <c r="U31" s="405" t="s">
        <v>218</v>
      </c>
      <c r="V31" s="406"/>
      <c r="W31" s="406"/>
      <c r="X31" s="406">
        <v>1</v>
      </c>
      <c r="Y31" s="407" t="s">
        <v>349</v>
      </c>
      <c r="Z31" s="408" t="s">
        <v>515</v>
      </c>
      <c r="AA31" s="409">
        <f>SUM(X31:X50)</f>
        <v>20</v>
      </c>
      <c r="AB31" s="410">
        <f>SUMIF($U$31:$U$50,TRIM(AB30),$X$31:$X$50)</f>
        <v>0</v>
      </c>
      <c r="AC31" s="410">
        <f t="shared" ref="AC31:AH31" si="13">SUMIF($U$31:$U$50,TRIM(AC30),$X$31:$X$50)</f>
        <v>0</v>
      </c>
      <c r="AD31" s="410">
        <f t="shared" si="13"/>
        <v>0</v>
      </c>
      <c r="AE31" s="410">
        <f t="shared" si="13"/>
        <v>16</v>
      </c>
      <c r="AF31" s="410">
        <f t="shared" si="13"/>
        <v>1</v>
      </c>
      <c r="AG31" s="410">
        <f t="shared" si="13"/>
        <v>3</v>
      </c>
      <c r="AH31" s="410">
        <f t="shared" si="13"/>
        <v>0</v>
      </c>
    </row>
    <row r="32" spans="2:34" s="150" customFormat="1" ht="27" customHeight="1">
      <c r="B32" s="803"/>
      <c r="C32" s="804"/>
      <c r="D32" s="395">
        <v>2</v>
      </c>
      <c r="E32" s="398" t="s">
        <v>406</v>
      </c>
      <c r="F32" s="399">
        <v>13249.33759999999</v>
      </c>
      <c r="G32" s="400">
        <v>3782.59</v>
      </c>
      <c r="H32" s="400">
        <v>3670.91</v>
      </c>
      <c r="I32" s="401">
        <f t="shared" ref="I32:I33" si="14">H32/G32</f>
        <v>0.97047525637195675</v>
      </c>
      <c r="J32" s="400">
        <v>215.32</v>
      </c>
      <c r="K32" s="401">
        <f t="shared" ref="K32:K37" si="15">J32/G32</f>
        <v>5.6923959509225158E-2</v>
      </c>
      <c r="L32" s="400">
        <v>127.84000000000002</v>
      </c>
      <c r="M32" s="401">
        <f t="shared" ref="M32:M37" si="16">(H32+J32)/G32</f>
        <v>1.027399215881182</v>
      </c>
      <c r="N32" s="402">
        <v>13249.33759999999</v>
      </c>
      <c r="O32" s="400">
        <v>0</v>
      </c>
      <c r="P32" s="401">
        <f t="shared" ref="P32:P50" si="17">O32/G32</f>
        <v>0</v>
      </c>
      <c r="Q32" s="415">
        <f t="shared" ref="Q32:Q50" si="18">O32*L32</f>
        <v>0</v>
      </c>
      <c r="R32" s="403">
        <f t="shared" ref="R32:R50" si="19">((H32+J32)-G32)-O32</f>
        <v>103.63999999999987</v>
      </c>
      <c r="S32" s="401">
        <f t="shared" ref="S32:S50" si="20">R32/G32</f>
        <v>2.7399215881181906E-2</v>
      </c>
      <c r="T32" s="405" t="s">
        <v>176</v>
      </c>
      <c r="U32" s="405" t="s">
        <v>473</v>
      </c>
      <c r="V32" s="406"/>
      <c r="W32" s="406"/>
      <c r="X32" s="406">
        <v>1</v>
      </c>
      <c r="Y32" s="407" t="s">
        <v>349</v>
      </c>
      <c r="AA32" s="409"/>
      <c r="AB32" s="416">
        <f>SUMIF($U$31:$U$50,TRIM(AB30),$F$31:$F$50)</f>
        <v>0</v>
      </c>
      <c r="AC32" s="416">
        <f t="shared" ref="AC32:AH32" si="21">SUMIF($U$31:$U$50,TRIM(AC30),$F$31:$F$50)</f>
        <v>0</v>
      </c>
      <c r="AD32" s="416">
        <f t="shared" si="21"/>
        <v>0</v>
      </c>
      <c r="AE32" s="416">
        <f t="shared" si="21"/>
        <v>65756.071100000016</v>
      </c>
      <c r="AF32" s="416">
        <f t="shared" si="21"/>
        <v>19513.834799999993</v>
      </c>
      <c r="AG32" s="416">
        <f t="shared" si="21"/>
        <v>10625.95149999999</v>
      </c>
      <c r="AH32" s="416">
        <f t="shared" si="21"/>
        <v>0</v>
      </c>
    </row>
    <row r="33" spans="2:34" s="150" customFormat="1" ht="27" customHeight="1">
      <c r="B33" s="803"/>
      <c r="C33" s="804"/>
      <c r="D33" s="395">
        <v>3</v>
      </c>
      <c r="E33" s="398" t="s">
        <v>542</v>
      </c>
      <c r="F33" s="399">
        <v>6283.452000000002</v>
      </c>
      <c r="G33" s="400">
        <v>1387.8300000000002</v>
      </c>
      <c r="H33" s="400">
        <v>1361.8400000000001</v>
      </c>
      <c r="I33" s="401">
        <f t="shared" si="14"/>
        <v>0.98127292247609577</v>
      </c>
      <c r="J33" s="400">
        <v>69.909999999999982</v>
      </c>
      <c r="K33" s="401">
        <f t="shared" si="15"/>
        <v>5.0373604836327197E-2</v>
      </c>
      <c r="L33" s="400">
        <v>144.78</v>
      </c>
      <c r="M33" s="401">
        <f t="shared" si="16"/>
        <v>1.0316465273124231</v>
      </c>
      <c r="N33" s="402">
        <v>6358.7376000000022</v>
      </c>
      <c r="O33" s="400">
        <v>0.52</v>
      </c>
      <c r="P33" s="401">
        <f t="shared" si="17"/>
        <v>3.7468566034744885E-4</v>
      </c>
      <c r="Q33" s="415">
        <f t="shared" si="18"/>
        <v>75.285600000000002</v>
      </c>
      <c r="R33" s="403">
        <f t="shared" si="19"/>
        <v>43.40000000000007</v>
      </c>
      <c r="S33" s="401">
        <f t="shared" si="20"/>
        <v>3.127184165207559E-2</v>
      </c>
      <c r="T33" s="405" t="s">
        <v>176</v>
      </c>
      <c r="U33" s="405" t="s">
        <v>473</v>
      </c>
      <c r="V33" s="406"/>
      <c r="W33" s="406"/>
      <c r="X33" s="406">
        <v>1</v>
      </c>
      <c r="Y33" s="407" t="s">
        <v>537</v>
      </c>
      <c r="AA33" s="395"/>
      <c r="AB33" s="417">
        <f>AB31/$AA31</f>
        <v>0</v>
      </c>
      <c r="AC33" s="417">
        <f t="shared" ref="AC33:AH33" si="22">AC31/$AA31</f>
        <v>0</v>
      </c>
      <c r="AD33" s="417">
        <f t="shared" si="22"/>
        <v>0</v>
      </c>
      <c r="AE33" s="417">
        <f t="shared" si="22"/>
        <v>0.8</v>
      </c>
      <c r="AF33" s="417">
        <f t="shared" si="22"/>
        <v>0.05</v>
      </c>
      <c r="AG33" s="417">
        <f t="shared" si="22"/>
        <v>0.15</v>
      </c>
      <c r="AH33" s="417">
        <f t="shared" si="22"/>
        <v>0</v>
      </c>
    </row>
    <row r="34" spans="2:34" s="150" customFormat="1" ht="27" customHeight="1">
      <c r="B34" s="803"/>
      <c r="C34" s="804"/>
      <c r="D34" s="395">
        <v>4</v>
      </c>
      <c r="E34" s="398" t="s">
        <v>471</v>
      </c>
      <c r="F34" s="399">
        <v>4805.3379000000059</v>
      </c>
      <c r="G34" s="400">
        <v>1129.68</v>
      </c>
      <c r="H34" s="400">
        <v>1103.6400000000001</v>
      </c>
      <c r="I34" s="401">
        <f>H34/G34</f>
        <v>0.97694922455916722</v>
      </c>
      <c r="J34" s="400">
        <v>80.710000000000008</v>
      </c>
      <c r="K34" s="401">
        <f t="shared" si="15"/>
        <v>7.1445010976559739E-2</v>
      </c>
      <c r="L34" s="400">
        <v>99.51</v>
      </c>
      <c r="M34" s="401">
        <f t="shared" si="16"/>
        <v>1.048394235535727</v>
      </c>
      <c r="N34" s="402">
        <v>5440.2117000000053</v>
      </c>
      <c r="O34" s="400">
        <v>6.38</v>
      </c>
      <c r="P34" s="401">
        <f t="shared" si="17"/>
        <v>5.6476170242900636E-3</v>
      </c>
      <c r="Q34" s="415">
        <f t="shared" si="18"/>
        <v>634.87380000000007</v>
      </c>
      <c r="R34" s="403">
        <f t="shared" si="19"/>
        <v>48.29000000000007</v>
      </c>
      <c r="S34" s="401">
        <f t="shared" si="20"/>
        <v>4.2746618511436928E-2</v>
      </c>
      <c r="T34" s="405" t="s">
        <v>176</v>
      </c>
      <c r="U34" s="405" t="s">
        <v>473</v>
      </c>
      <c r="V34" s="406"/>
      <c r="W34" s="406"/>
      <c r="X34" s="406">
        <v>1</v>
      </c>
      <c r="Y34" s="407" t="s">
        <v>364</v>
      </c>
    </row>
    <row r="35" spans="2:34" s="150" customFormat="1" ht="27" customHeight="1">
      <c r="B35" s="803"/>
      <c r="C35" s="804"/>
      <c r="D35" s="395">
        <v>5</v>
      </c>
      <c r="E35" s="398" t="s">
        <v>468</v>
      </c>
      <c r="F35" s="399">
        <v>4704.4882000000034</v>
      </c>
      <c r="G35" s="400">
        <v>1709.3999999999999</v>
      </c>
      <c r="H35" s="400">
        <v>1683.5100000000002</v>
      </c>
      <c r="I35" s="401">
        <f t="shared" ref="I35:I50" si="23">H35/G35</f>
        <v>0.98485433485433505</v>
      </c>
      <c r="J35" s="400">
        <v>105.14</v>
      </c>
      <c r="K35" s="401">
        <f t="shared" si="15"/>
        <v>6.1506961506961513E-2</v>
      </c>
      <c r="L35" s="400">
        <v>66.13</v>
      </c>
      <c r="M35" s="401">
        <f t="shared" si="16"/>
        <v>1.0463612963612967</v>
      </c>
      <c r="N35" s="402">
        <v>5240.8025000000034</v>
      </c>
      <c r="O35" s="400">
        <v>8.11</v>
      </c>
      <c r="P35" s="401">
        <f t="shared" si="17"/>
        <v>4.7443547443547446E-3</v>
      </c>
      <c r="Q35" s="415">
        <f t="shared" si="18"/>
        <v>536.31429999999989</v>
      </c>
      <c r="R35" s="403">
        <f t="shared" si="19"/>
        <v>71.140000000000455</v>
      </c>
      <c r="S35" s="401">
        <f t="shared" si="20"/>
        <v>4.1616941616941884E-2</v>
      </c>
      <c r="T35" s="405" t="s">
        <v>176</v>
      </c>
      <c r="U35" s="405" t="s">
        <v>473</v>
      </c>
      <c r="V35" s="406"/>
      <c r="W35" s="431"/>
      <c r="X35" s="406">
        <v>1</v>
      </c>
      <c r="Y35" s="407" t="s">
        <v>350</v>
      </c>
    </row>
    <row r="36" spans="2:34" s="150" customFormat="1" ht="27" customHeight="1">
      <c r="B36" s="803"/>
      <c r="C36" s="804"/>
      <c r="D36" s="395">
        <v>6</v>
      </c>
      <c r="E36" s="398" t="s">
        <v>503</v>
      </c>
      <c r="F36" s="399">
        <v>4451.4051999999983</v>
      </c>
      <c r="G36" s="400">
        <v>1847.07</v>
      </c>
      <c r="H36" s="400">
        <v>1784.2299999999998</v>
      </c>
      <c r="I36" s="401">
        <f t="shared" si="23"/>
        <v>0.9659785498113227</v>
      </c>
      <c r="J36" s="400">
        <v>127.9</v>
      </c>
      <c r="K36" s="401">
        <f t="shared" si="15"/>
        <v>6.9244803932715066E-2</v>
      </c>
      <c r="L36" s="400">
        <v>68.42</v>
      </c>
      <c r="M36" s="401">
        <f t="shared" si="16"/>
        <v>1.0352233537440378</v>
      </c>
      <c r="N36" s="402">
        <v>4451.4051999999983</v>
      </c>
      <c r="O36" s="400">
        <v>0</v>
      </c>
      <c r="P36" s="401">
        <f t="shared" si="17"/>
        <v>0</v>
      </c>
      <c r="Q36" s="415">
        <f t="shared" si="18"/>
        <v>0</v>
      </c>
      <c r="R36" s="403">
        <f t="shared" si="19"/>
        <v>65.059999999999945</v>
      </c>
      <c r="S36" s="401">
        <f t="shared" si="20"/>
        <v>3.5223353744037823E-2</v>
      </c>
      <c r="T36" s="405" t="s">
        <v>176</v>
      </c>
      <c r="U36" s="405" t="s">
        <v>219</v>
      </c>
      <c r="V36" s="406"/>
      <c r="W36" s="406"/>
      <c r="X36" s="406">
        <v>1</v>
      </c>
      <c r="Y36" s="407" t="s">
        <v>500</v>
      </c>
    </row>
    <row r="37" spans="2:34" s="150" customFormat="1" ht="27" customHeight="1">
      <c r="B37" s="803"/>
      <c r="C37" s="804"/>
      <c r="D37" s="395">
        <v>7</v>
      </c>
      <c r="E37" s="398" t="s">
        <v>478</v>
      </c>
      <c r="F37" s="399">
        <v>3902.2839999999987</v>
      </c>
      <c r="G37" s="400">
        <v>410.91</v>
      </c>
      <c r="H37" s="400">
        <v>404.88</v>
      </c>
      <c r="I37" s="401">
        <f t="shared" si="23"/>
        <v>0.98532525370519086</v>
      </c>
      <c r="J37" s="400">
        <v>16.830000000000002</v>
      </c>
      <c r="K37" s="401">
        <f t="shared" si="15"/>
        <v>4.0957873987004456E-2</v>
      </c>
      <c r="L37" s="400">
        <v>368.13999999999993</v>
      </c>
      <c r="M37" s="401">
        <f t="shared" si="16"/>
        <v>1.0262831276921953</v>
      </c>
      <c r="N37" s="402">
        <v>3975.9119999999984</v>
      </c>
      <c r="O37" s="400">
        <v>0.2</v>
      </c>
      <c r="P37" s="401">
        <f t="shared" si="17"/>
        <v>4.8672458689250688E-4</v>
      </c>
      <c r="Q37" s="415">
        <f t="shared" si="18"/>
        <v>73.627999999999986</v>
      </c>
      <c r="R37" s="403">
        <f t="shared" si="19"/>
        <v>10.599999999999955</v>
      </c>
      <c r="S37" s="401">
        <f t="shared" si="20"/>
        <v>2.5796403105302755E-2</v>
      </c>
      <c r="T37" s="405" t="s">
        <v>176</v>
      </c>
      <c r="U37" s="405" t="s">
        <v>473</v>
      </c>
      <c r="V37" s="406"/>
      <c r="W37" s="406"/>
      <c r="X37" s="406">
        <v>1</v>
      </c>
      <c r="Y37" s="407" t="s">
        <v>479</v>
      </c>
    </row>
    <row r="38" spans="2:34" s="150" customFormat="1" ht="27" customHeight="1">
      <c r="B38" s="803"/>
      <c r="C38" s="804"/>
      <c r="D38" s="395">
        <v>8</v>
      </c>
      <c r="E38" s="398" t="s">
        <v>590</v>
      </c>
      <c r="F38" s="399">
        <v>3832.5011999999997</v>
      </c>
      <c r="G38" s="400">
        <v>653.73</v>
      </c>
      <c r="H38" s="400">
        <v>616.77</v>
      </c>
      <c r="I38" s="401">
        <f t="shared" si="23"/>
        <v>0.9434628975265017</v>
      </c>
      <c r="J38" s="400">
        <v>64.7</v>
      </c>
      <c r="K38" s="401">
        <f>J38/G38</f>
        <v>9.8970522998791555E-2</v>
      </c>
      <c r="L38" s="400">
        <v>160.49</v>
      </c>
      <c r="M38" s="401">
        <f>(H38+J38)/G38</f>
        <v>1.0424334205252934</v>
      </c>
      <c r="N38" s="402">
        <v>4451.9925999999987</v>
      </c>
      <c r="O38" s="400">
        <v>3.86</v>
      </c>
      <c r="P38" s="401">
        <f t="shared" si="17"/>
        <v>5.9045783427408866E-3</v>
      </c>
      <c r="Q38" s="415">
        <f t="shared" si="18"/>
        <v>619.4914</v>
      </c>
      <c r="R38" s="403">
        <f t="shared" si="19"/>
        <v>23.88000000000001</v>
      </c>
      <c r="S38" s="401">
        <f t="shared" si="20"/>
        <v>3.6528842182552444E-2</v>
      </c>
      <c r="T38" s="405" t="s">
        <v>176</v>
      </c>
      <c r="U38" s="405" t="s">
        <v>473</v>
      </c>
      <c r="V38" s="406"/>
      <c r="W38" s="406"/>
      <c r="X38" s="406">
        <v>1</v>
      </c>
      <c r="Y38" s="407" t="s">
        <v>479</v>
      </c>
    </row>
    <row r="39" spans="2:34" s="150" customFormat="1" ht="27" customHeight="1">
      <c r="B39" s="803"/>
      <c r="C39" s="804"/>
      <c r="D39" s="395">
        <v>9</v>
      </c>
      <c r="E39" s="398" t="s">
        <v>469</v>
      </c>
      <c r="F39" s="399">
        <v>3766.0000000000032</v>
      </c>
      <c r="G39" s="400">
        <v>868.08000000000015</v>
      </c>
      <c r="H39" s="400">
        <v>860.03000000000009</v>
      </c>
      <c r="I39" s="401">
        <f t="shared" si="23"/>
        <v>0.9907266611372223</v>
      </c>
      <c r="J39" s="400">
        <v>27.33</v>
      </c>
      <c r="K39" s="401">
        <f t="shared" ref="K39:K50" si="24">J39/G39</f>
        <v>3.1483273431020177E-2</v>
      </c>
      <c r="L39" s="400">
        <v>200</v>
      </c>
      <c r="M39" s="401">
        <f t="shared" ref="M39:M50" si="25">(H39+J39)/G39</f>
        <v>1.0222099345682425</v>
      </c>
      <c r="N39" s="402">
        <v>3856.0000000000032</v>
      </c>
      <c r="O39" s="400">
        <v>0.45</v>
      </c>
      <c r="P39" s="401">
        <f t="shared" si="17"/>
        <v>5.1838540226707209E-4</v>
      </c>
      <c r="Q39" s="415">
        <f t="shared" si="18"/>
        <v>90</v>
      </c>
      <c r="R39" s="403">
        <f t="shared" si="19"/>
        <v>18.829999999999973</v>
      </c>
      <c r="S39" s="401">
        <f t="shared" si="20"/>
        <v>2.1691549165975453E-2</v>
      </c>
      <c r="T39" s="405" t="s">
        <v>176</v>
      </c>
      <c r="U39" s="405" t="s">
        <v>473</v>
      </c>
      <c r="V39" s="406"/>
      <c r="W39" s="406"/>
      <c r="X39" s="406">
        <v>1</v>
      </c>
      <c r="Y39" s="407" t="s">
        <v>349</v>
      </c>
    </row>
    <row r="40" spans="2:34" s="150" customFormat="1" ht="27" customHeight="1">
      <c r="B40" s="803"/>
      <c r="C40" s="804"/>
      <c r="D40" s="395">
        <v>10</v>
      </c>
      <c r="E40" s="398" t="s">
        <v>625</v>
      </c>
      <c r="F40" s="399">
        <v>3453.9647999999934</v>
      </c>
      <c r="G40" s="400">
        <v>2257.3199999999997</v>
      </c>
      <c r="H40" s="400">
        <v>2160.2399999999998</v>
      </c>
      <c r="I40" s="401">
        <f t="shared" si="23"/>
        <v>0.95699324863112012</v>
      </c>
      <c r="J40" s="400">
        <v>159.70000000000002</v>
      </c>
      <c r="K40" s="401">
        <f t="shared" si="24"/>
        <v>7.0747612212712432E-2</v>
      </c>
      <c r="L40" s="400">
        <v>65.12</v>
      </c>
      <c r="M40" s="401">
        <f t="shared" si="25"/>
        <v>1.0277408608438325</v>
      </c>
      <c r="N40" s="402">
        <v>4077.8143999999929</v>
      </c>
      <c r="O40" s="400">
        <v>9.58</v>
      </c>
      <c r="P40" s="401">
        <f t="shared" si="17"/>
        <v>4.2439707263480595E-3</v>
      </c>
      <c r="Q40" s="415">
        <f t="shared" si="18"/>
        <v>623.84960000000001</v>
      </c>
      <c r="R40" s="403">
        <f t="shared" si="19"/>
        <v>53.039999999999893</v>
      </c>
      <c r="S40" s="401">
        <f t="shared" si="20"/>
        <v>2.3496890117484407E-2</v>
      </c>
      <c r="T40" s="405" t="s">
        <v>176</v>
      </c>
      <c r="U40" s="405" t="s">
        <v>219</v>
      </c>
      <c r="V40" s="406"/>
      <c r="W40" s="406"/>
      <c r="X40" s="406">
        <v>1</v>
      </c>
      <c r="Y40" s="407" t="s">
        <v>618</v>
      </c>
    </row>
    <row r="41" spans="2:34" s="150" customFormat="1" ht="27" customHeight="1">
      <c r="B41" s="803"/>
      <c r="C41" s="804"/>
      <c r="D41" s="395">
        <v>11</v>
      </c>
      <c r="E41" s="398" t="s">
        <v>345</v>
      </c>
      <c r="F41" s="399">
        <v>3432.3535999999976</v>
      </c>
      <c r="G41" s="400">
        <v>1587.3200000000002</v>
      </c>
      <c r="H41" s="400">
        <v>1515.9800000000002</v>
      </c>
      <c r="I41" s="401">
        <f t="shared" si="23"/>
        <v>0.9550563213466724</v>
      </c>
      <c r="J41" s="400">
        <v>123.9</v>
      </c>
      <c r="K41" s="401">
        <f t="shared" si="24"/>
        <v>7.805609454930322E-2</v>
      </c>
      <c r="L41" s="400">
        <v>70.220000000000013</v>
      </c>
      <c r="M41" s="401">
        <f t="shared" si="25"/>
        <v>1.0331124158959757</v>
      </c>
      <c r="N41" s="402">
        <v>3690.7631999999976</v>
      </c>
      <c r="O41" s="400">
        <v>3.68</v>
      </c>
      <c r="P41" s="401">
        <f t="shared" si="17"/>
        <v>2.3183731068719599E-3</v>
      </c>
      <c r="Q41" s="415">
        <f t="shared" si="18"/>
        <v>258.40960000000007</v>
      </c>
      <c r="R41" s="403">
        <f t="shared" si="19"/>
        <v>48.880000000000173</v>
      </c>
      <c r="S41" s="401">
        <f t="shared" si="20"/>
        <v>3.0794042789103752E-2</v>
      </c>
      <c r="T41" s="405" t="s">
        <v>176</v>
      </c>
      <c r="U41" s="405" t="s">
        <v>473</v>
      </c>
      <c r="V41" s="406"/>
      <c r="W41" s="406"/>
      <c r="X41" s="406">
        <v>1</v>
      </c>
      <c r="Y41" s="407" t="s">
        <v>352</v>
      </c>
    </row>
    <row r="42" spans="2:34" s="150" customFormat="1" ht="27" customHeight="1">
      <c r="B42" s="803"/>
      <c r="C42" s="804"/>
      <c r="D42" s="395">
        <v>12</v>
      </c>
      <c r="E42" s="398" t="s">
        <v>723</v>
      </c>
      <c r="F42" s="399">
        <v>3081.3600000000019</v>
      </c>
      <c r="G42" s="400">
        <v>860.86</v>
      </c>
      <c r="H42" s="400">
        <v>857.24</v>
      </c>
      <c r="I42" s="401">
        <f t="shared" si="23"/>
        <v>0.99579490277164695</v>
      </c>
      <c r="J42" s="400">
        <v>31.85</v>
      </c>
      <c r="K42" s="401">
        <f t="shared" si="24"/>
        <v>3.699788583509514E-2</v>
      </c>
      <c r="L42" s="400">
        <v>128.38999999999999</v>
      </c>
      <c r="M42" s="401">
        <f t="shared" si="25"/>
        <v>1.0327927886067421</v>
      </c>
      <c r="N42" s="402">
        <v>3624.4497000000019</v>
      </c>
      <c r="O42" s="400">
        <v>4.2300000000000004</v>
      </c>
      <c r="P42" s="401">
        <f t="shared" si="17"/>
        <v>4.9136909602025885E-3</v>
      </c>
      <c r="Q42" s="415">
        <f t="shared" si="18"/>
        <v>543.08969999999999</v>
      </c>
      <c r="R42" s="403">
        <f t="shared" si="19"/>
        <v>24.000000000000018</v>
      </c>
      <c r="S42" s="401">
        <f t="shared" si="20"/>
        <v>2.7879097646539529E-2</v>
      </c>
      <c r="T42" s="405" t="s">
        <v>176</v>
      </c>
      <c r="U42" s="405" t="s">
        <v>473</v>
      </c>
      <c r="V42" s="406"/>
      <c r="W42" s="406"/>
      <c r="X42" s="406">
        <v>1</v>
      </c>
      <c r="Y42" s="407" t="s">
        <v>366</v>
      </c>
    </row>
    <row r="43" spans="2:34" s="150" customFormat="1" ht="27" customHeight="1">
      <c r="B43" s="803"/>
      <c r="C43" s="804"/>
      <c r="D43" s="395">
        <v>13</v>
      </c>
      <c r="E43" s="398" t="s">
        <v>501</v>
      </c>
      <c r="F43" s="399">
        <v>3051.0084000000024</v>
      </c>
      <c r="G43" s="400">
        <v>245.27999999999997</v>
      </c>
      <c r="H43" s="400">
        <v>239.73000000000002</v>
      </c>
      <c r="I43" s="401">
        <f t="shared" si="23"/>
        <v>0.97737279843444247</v>
      </c>
      <c r="J43" s="400">
        <v>13.769999999999998</v>
      </c>
      <c r="K43" s="401">
        <f t="shared" si="24"/>
        <v>5.6139921722113503E-2</v>
      </c>
      <c r="L43" s="400">
        <v>421.40999999999997</v>
      </c>
      <c r="M43" s="401">
        <f t="shared" si="25"/>
        <v>1.0335127201565559</v>
      </c>
      <c r="N43" s="402">
        <v>3463.9902000000029</v>
      </c>
      <c r="O43" s="400">
        <v>0.98</v>
      </c>
      <c r="P43" s="401">
        <f t="shared" si="17"/>
        <v>3.9954337899543385E-3</v>
      </c>
      <c r="Q43" s="415">
        <f t="shared" si="18"/>
        <v>412.98179999999996</v>
      </c>
      <c r="R43" s="403">
        <f t="shared" si="19"/>
        <v>7.2400000000000553</v>
      </c>
      <c r="S43" s="401">
        <f t="shared" si="20"/>
        <v>2.9517286366601662E-2</v>
      </c>
      <c r="T43" s="405" t="s">
        <v>176</v>
      </c>
      <c r="U43" s="405" t="s">
        <v>473</v>
      </c>
      <c r="V43" s="406"/>
      <c r="W43" s="406"/>
      <c r="X43" s="406">
        <v>1</v>
      </c>
      <c r="Y43" s="407" t="s">
        <v>498</v>
      </c>
    </row>
    <row r="44" spans="2:34" s="150" customFormat="1" ht="27" customHeight="1">
      <c r="B44" s="803"/>
      <c r="C44" s="804"/>
      <c r="D44" s="395">
        <v>14</v>
      </c>
      <c r="E44" s="398" t="s">
        <v>377</v>
      </c>
      <c r="F44" s="399">
        <v>3042.2996999999978</v>
      </c>
      <c r="G44" s="400">
        <v>635.87</v>
      </c>
      <c r="H44" s="400">
        <v>637.33999999999992</v>
      </c>
      <c r="I44" s="401">
        <f t="shared" si="23"/>
        <v>1.0023117932910814</v>
      </c>
      <c r="J44" s="400">
        <v>5.66</v>
      </c>
      <c r="K44" s="401">
        <f t="shared" si="24"/>
        <v>8.9011904949124823E-3</v>
      </c>
      <c r="L44" s="400">
        <v>426.69</v>
      </c>
      <c r="M44" s="401">
        <f t="shared" si="25"/>
        <v>1.0112129837859938</v>
      </c>
      <c r="N44" s="402">
        <v>3042.2996999999978</v>
      </c>
      <c r="O44" s="400">
        <v>0</v>
      </c>
      <c r="P44" s="401">
        <f t="shared" si="17"/>
        <v>0</v>
      </c>
      <c r="Q44" s="415">
        <f t="shared" si="18"/>
        <v>0</v>
      </c>
      <c r="R44" s="403">
        <f t="shared" si="19"/>
        <v>7.1299999999998818</v>
      </c>
      <c r="S44" s="401">
        <f t="shared" si="20"/>
        <v>1.1212983785993806E-2</v>
      </c>
      <c r="T44" s="405" t="s">
        <v>176</v>
      </c>
      <c r="U44" s="405" t="s">
        <v>473</v>
      </c>
      <c r="V44" s="406"/>
      <c r="W44" s="406"/>
      <c r="X44" s="406">
        <v>1</v>
      </c>
      <c r="Y44" s="407" t="s">
        <v>378</v>
      </c>
      <c r="AC44" s="412"/>
    </row>
    <row r="45" spans="2:34" s="150" customFormat="1" ht="27" customHeight="1">
      <c r="B45" s="803"/>
      <c r="C45" s="804"/>
      <c r="D45" s="395">
        <v>15</v>
      </c>
      <c r="E45" s="398" t="s">
        <v>724</v>
      </c>
      <c r="F45" s="399">
        <v>2777.1356000000001</v>
      </c>
      <c r="G45" s="400">
        <v>17078</v>
      </c>
      <c r="H45" s="400">
        <v>17859.32</v>
      </c>
      <c r="I45" s="401">
        <f t="shared" si="23"/>
        <v>1.0457500878322989</v>
      </c>
      <c r="J45" s="400">
        <v>200</v>
      </c>
      <c r="K45" s="401">
        <f t="shared" si="24"/>
        <v>1.1710973181871413E-2</v>
      </c>
      <c r="L45" s="400">
        <v>2.8300000000000005</v>
      </c>
      <c r="M45" s="401">
        <f t="shared" si="25"/>
        <v>1.0574610610141704</v>
      </c>
      <c r="N45" s="402">
        <v>2777.1356000000001</v>
      </c>
      <c r="O45" s="400">
        <v>0</v>
      </c>
      <c r="P45" s="401">
        <f t="shared" si="17"/>
        <v>0</v>
      </c>
      <c r="Q45" s="415">
        <f t="shared" si="18"/>
        <v>0</v>
      </c>
      <c r="R45" s="403">
        <f t="shared" si="19"/>
        <v>981.31999999999971</v>
      </c>
      <c r="S45" s="401">
        <f t="shared" si="20"/>
        <v>5.7461061014170263E-2</v>
      </c>
      <c r="T45" s="405" t="s">
        <v>176</v>
      </c>
      <c r="U45" s="405" t="s">
        <v>473</v>
      </c>
      <c r="V45" s="406"/>
      <c r="W45" s="406"/>
      <c r="X45" s="406">
        <v>1</v>
      </c>
      <c r="Y45" s="407" t="s">
        <v>482</v>
      </c>
      <c r="AC45" s="411"/>
    </row>
    <row r="46" spans="2:34" s="150" customFormat="1" ht="27" customHeight="1">
      <c r="B46" s="803"/>
      <c r="C46" s="804"/>
      <c r="D46" s="395">
        <v>16</v>
      </c>
      <c r="E46" s="398" t="s">
        <v>604</v>
      </c>
      <c r="F46" s="399">
        <v>2720.5814999999984</v>
      </c>
      <c r="G46" s="400">
        <v>2012.3999999999999</v>
      </c>
      <c r="H46" s="400">
        <v>1963.37</v>
      </c>
      <c r="I46" s="401">
        <f t="shared" si="23"/>
        <v>0.97563605645000995</v>
      </c>
      <c r="J46" s="400">
        <v>109</v>
      </c>
      <c r="K46" s="401">
        <f t="shared" si="24"/>
        <v>5.416418207115882E-2</v>
      </c>
      <c r="L46" s="400">
        <v>51.87</v>
      </c>
      <c r="M46" s="401">
        <f t="shared" si="25"/>
        <v>1.0298002385211689</v>
      </c>
      <c r="N46" s="402">
        <v>3110.6438999999987</v>
      </c>
      <c r="O46" s="400">
        <v>7.52</v>
      </c>
      <c r="P46" s="401">
        <f t="shared" si="17"/>
        <v>3.736831643808388E-3</v>
      </c>
      <c r="Q46" s="415">
        <f t="shared" si="18"/>
        <v>390.06239999999997</v>
      </c>
      <c r="R46" s="403">
        <f t="shared" si="19"/>
        <v>52.450000000000031</v>
      </c>
      <c r="S46" s="401">
        <f t="shared" si="20"/>
        <v>2.6063406877360383E-2</v>
      </c>
      <c r="T46" s="405" t="s">
        <v>176</v>
      </c>
      <c r="U46" s="405" t="s">
        <v>219</v>
      </c>
      <c r="V46" s="406"/>
      <c r="W46" s="406"/>
      <c r="X46" s="406">
        <v>1</v>
      </c>
      <c r="Y46" s="407" t="s">
        <v>477</v>
      </c>
      <c r="AC46" s="411"/>
    </row>
    <row r="47" spans="2:34" s="150" customFormat="1" ht="27" customHeight="1">
      <c r="B47" s="803"/>
      <c r="C47" s="804"/>
      <c r="D47" s="395">
        <v>17</v>
      </c>
      <c r="E47" s="398" t="s">
        <v>655</v>
      </c>
      <c r="F47" s="399">
        <v>2581.0076000000022</v>
      </c>
      <c r="G47" s="400">
        <v>613.69999999999993</v>
      </c>
      <c r="H47" s="400">
        <v>616.79000000000008</v>
      </c>
      <c r="I47" s="401">
        <f t="shared" si="23"/>
        <v>1.0050350334039435</v>
      </c>
      <c r="J47" s="400">
        <v>6.2</v>
      </c>
      <c r="K47" s="401">
        <f t="shared" si="24"/>
        <v>1.0102656020857097E-2</v>
      </c>
      <c r="L47" s="400">
        <v>339.16</v>
      </c>
      <c r="M47" s="401">
        <f t="shared" si="25"/>
        <v>1.0151376894248008</v>
      </c>
      <c r="N47" s="402">
        <v>3150.7964000000024</v>
      </c>
      <c r="O47" s="400">
        <v>1.68</v>
      </c>
      <c r="P47" s="401">
        <f t="shared" si="17"/>
        <v>2.7374938895225681E-3</v>
      </c>
      <c r="Q47" s="415">
        <f t="shared" si="18"/>
        <v>569.78880000000004</v>
      </c>
      <c r="R47" s="403">
        <f t="shared" si="19"/>
        <v>7.6100000000001913</v>
      </c>
      <c r="S47" s="401">
        <f t="shared" si="20"/>
        <v>1.2400195535278135E-2</v>
      </c>
      <c r="T47" s="405" t="s">
        <v>176</v>
      </c>
      <c r="U47" s="405" t="s">
        <v>473</v>
      </c>
      <c r="V47" s="406"/>
      <c r="W47" s="406"/>
      <c r="X47" s="406">
        <v>1</v>
      </c>
      <c r="Y47" s="407" t="s">
        <v>656</v>
      </c>
      <c r="AB47" s="413"/>
      <c r="AC47" s="411"/>
    </row>
    <row r="48" spans="2:34" s="150" customFormat="1" ht="27" customHeight="1">
      <c r="B48" s="803"/>
      <c r="C48" s="804"/>
      <c r="D48" s="395">
        <v>18</v>
      </c>
      <c r="E48" s="398" t="s">
        <v>540</v>
      </c>
      <c r="F48" s="399">
        <v>2512.5888000000059</v>
      </c>
      <c r="G48" s="400">
        <v>482.71999999999997</v>
      </c>
      <c r="H48" s="400">
        <v>463.88</v>
      </c>
      <c r="I48" s="401">
        <f t="shared" si="23"/>
        <v>0.96097116340735833</v>
      </c>
      <c r="J48" s="400">
        <v>27.4</v>
      </c>
      <c r="K48" s="401">
        <f t="shared" si="24"/>
        <v>5.6761683791846207E-2</v>
      </c>
      <c r="L48" s="400">
        <v>327.16000000000003</v>
      </c>
      <c r="M48" s="401">
        <f t="shared" si="25"/>
        <v>1.0177328471992044</v>
      </c>
      <c r="N48" s="402">
        <v>2800.4896000000058</v>
      </c>
      <c r="O48" s="400">
        <v>0.88</v>
      </c>
      <c r="P48" s="401">
        <f t="shared" si="17"/>
        <v>1.8230029830957905E-3</v>
      </c>
      <c r="Q48" s="415">
        <f t="shared" si="18"/>
        <v>287.9008</v>
      </c>
      <c r="R48" s="403">
        <f t="shared" si="19"/>
        <v>7.6800000000000024</v>
      </c>
      <c r="S48" s="401">
        <f t="shared" si="20"/>
        <v>1.5909844216108724E-2</v>
      </c>
      <c r="T48" s="405" t="s">
        <v>176</v>
      </c>
      <c r="U48" s="405" t="s">
        <v>473</v>
      </c>
      <c r="V48" s="406"/>
      <c r="W48" s="406"/>
      <c r="X48" s="406">
        <v>1</v>
      </c>
      <c r="Y48" s="407" t="s">
        <v>537</v>
      </c>
      <c r="AC48" s="411"/>
    </row>
    <row r="49" spans="2:34" s="150" customFormat="1" ht="27" customHeight="1">
      <c r="B49" s="803"/>
      <c r="C49" s="804"/>
      <c r="D49" s="395">
        <v>19</v>
      </c>
      <c r="E49" s="398" t="s">
        <v>492</v>
      </c>
      <c r="F49" s="399">
        <v>2432.7764999999999</v>
      </c>
      <c r="G49" s="400">
        <v>131.29000000000002</v>
      </c>
      <c r="H49" s="400">
        <v>129.84</v>
      </c>
      <c r="I49" s="401">
        <f t="shared" si="23"/>
        <v>0.98895574682001663</v>
      </c>
      <c r="J49" s="400">
        <v>7.6</v>
      </c>
      <c r="K49" s="401">
        <f t="shared" si="24"/>
        <v>5.7887120115774231E-2</v>
      </c>
      <c r="L49" s="400">
        <v>458.15000000000003</v>
      </c>
      <c r="M49" s="401">
        <f t="shared" si="25"/>
        <v>1.0468428669357908</v>
      </c>
      <c r="N49" s="402">
        <v>2817.6224999999999</v>
      </c>
      <c r="O49" s="400">
        <v>0.84000000000000008</v>
      </c>
      <c r="P49" s="401">
        <f t="shared" si="17"/>
        <v>6.3980501180592574E-3</v>
      </c>
      <c r="Q49" s="415">
        <f t="shared" si="18"/>
        <v>384.84600000000006</v>
      </c>
      <c r="R49" s="403">
        <f t="shared" si="19"/>
        <v>5.3099999999999774</v>
      </c>
      <c r="S49" s="401">
        <f t="shared" si="20"/>
        <v>4.0444816817731558E-2</v>
      </c>
      <c r="T49" s="405" t="s">
        <v>176</v>
      </c>
      <c r="U49" s="405" t="s">
        <v>473</v>
      </c>
      <c r="V49" s="406"/>
      <c r="W49" s="406"/>
      <c r="X49" s="406">
        <v>1</v>
      </c>
      <c r="Y49" s="407" t="s">
        <v>493</v>
      </c>
      <c r="AB49" s="414"/>
      <c r="AC49" s="411"/>
    </row>
    <row r="50" spans="2:34" s="150" customFormat="1" ht="27" customHeight="1">
      <c r="B50" s="805"/>
      <c r="C50" s="806"/>
      <c r="D50" s="395">
        <v>20</v>
      </c>
      <c r="E50" s="398" t="s">
        <v>725</v>
      </c>
      <c r="F50" s="399">
        <v>2302.1400000000026</v>
      </c>
      <c r="G50" s="400">
        <v>150.95999999999998</v>
      </c>
      <c r="H50" s="400">
        <v>145.04</v>
      </c>
      <c r="I50" s="401">
        <f t="shared" si="23"/>
        <v>0.96078431372549022</v>
      </c>
      <c r="J50" s="400">
        <v>10.579999999999998</v>
      </c>
      <c r="K50" s="401">
        <f t="shared" si="24"/>
        <v>7.0084790673025962E-2</v>
      </c>
      <c r="L50" s="400">
        <v>629</v>
      </c>
      <c r="M50" s="401">
        <f t="shared" si="25"/>
        <v>1.0308691043985163</v>
      </c>
      <c r="N50" s="402">
        <v>2931.1400000000026</v>
      </c>
      <c r="O50" s="400">
        <v>1</v>
      </c>
      <c r="P50" s="401">
        <f t="shared" si="17"/>
        <v>6.6242713301536841E-3</v>
      </c>
      <c r="Q50" s="415">
        <f t="shared" si="18"/>
        <v>629</v>
      </c>
      <c r="R50" s="403">
        <f t="shared" si="19"/>
        <v>3.660000000000025</v>
      </c>
      <c r="S50" s="401">
        <f t="shared" si="20"/>
        <v>2.4244833068362649E-2</v>
      </c>
      <c r="T50" s="405" t="s">
        <v>176</v>
      </c>
      <c r="U50" s="405" t="s">
        <v>473</v>
      </c>
      <c r="V50" s="406"/>
      <c r="W50" s="406"/>
      <c r="X50" s="406">
        <v>1</v>
      </c>
      <c r="Y50" s="407" t="s">
        <v>555</v>
      </c>
      <c r="AB50" s="414"/>
      <c r="AC50" s="411"/>
    </row>
    <row r="51" spans="2:34" ht="16.5" customHeight="1">
      <c r="B51" s="823" t="s">
        <v>511</v>
      </c>
      <c r="C51" s="824"/>
      <c r="D51" s="829" t="s">
        <v>172</v>
      </c>
      <c r="E51" s="829"/>
      <c r="F51" s="829"/>
      <c r="G51" s="829" t="s">
        <v>186</v>
      </c>
      <c r="H51" s="829"/>
      <c r="I51" s="829"/>
      <c r="J51" s="829"/>
      <c r="K51" s="829"/>
      <c r="L51" s="829"/>
      <c r="M51" s="829"/>
      <c r="N51" s="829"/>
      <c r="O51" s="829"/>
      <c r="P51" s="829"/>
      <c r="Q51" s="829"/>
      <c r="R51" s="829"/>
      <c r="S51" s="829"/>
      <c r="T51" s="829" t="s">
        <v>173</v>
      </c>
      <c r="U51" s="814" t="s">
        <v>252</v>
      </c>
      <c r="V51" s="834" t="s">
        <v>519</v>
      </c>
      <c r="W51" s="834" t="s">
        <v>513</v>
      </c>
      <c r="X51" s="810" t="s">
        <v>253</v>
      </c>
      <c r="Y51" s="813" t="s">
        <v>174</v>
      </c>
      <c r="AA51" s="829" t="s">
        <v>254</v>
      </c>
      <c r="AB51" s="829"/>
      <c r="AC51" s="829"/>
      <c r="AD51" s="829"/>
      <c r="AE51" s="829"/>
      <c r="AF51" s="829"/>
      <c r="AG51" s="829"/>
      <c r="AH51" s="829"/>
    </row>
    <row r="52" spans="2:34" ht="17.100000000000001" customHeight="1">
      <c r="B52" s="825"/>
      <c r="C52" s="826"/>
      <c r="D52" s="830" t="s">
        <v>171</v>
      </c>
      <c r="E52" s="829" t="s">
        <v>175</v>
      </c>
      <c r="F52" s="829"/>
      <c r="G52" s="829" t="s">
        <v>187</v>
      </c>
      <c r="H52" s="829"/>
      <c r="I52" s="829"/>
      <c r="J52" s="829"/>
      <c r="K52" s="829"/>
      <c r="L52" s="829"/>
      <c r="M52" s="829"/>
      <c r="N52" s="829"/>
      <c r="O52" s="829" t="s">
        <v>176</v>
      </c>
      <c r="P52" s="829"/>
      <c r="Q52" s="829"/>
      <c r="R52" s="829"/>
      <c r="S52" s="829"/>
      <c r="T52" s="829"/>
      <c r="U52" s="817"/>
      <c r="V52" s="811"/>
      <c r="W52" s="835"/>
      <c r="X52" s="811"/>
      <c r="Y52" s="813"/>
      <c r="AA52" s="829"/>
      <c r="AB52" s="829"/>
      <c r="AC52" s="829"/>
      <c r="AD52" s="829"/>
      <c r="AE52" s="829"/>
      <c r="AF52" s="829"/>
      <c r="AG52" s="829"/>
      <c r="AH52" s="829"/>
    </row>
    <row r="53" spans="2:34" ht="17.100000000000001" customHeight="1">
      <c r="B53" s="825"/>
      <c r="C53" s="826"/>
      <c r="D53" s="830"/>
      <c r="E53" s="830" t="s">
        <v>177</v>
      </c>
      <c r="F53" s="837" t="s">
        <v>520</v>
      </c>
      <c r="G53" s="831" t="s">
        <v>188</v>
      </c>
      <c r="H53" s="831"/>
      <c r="I53" s="831"/>
      <c r="J53" s="831"/>
      <c r="K53" s="831"/>
      <c r="L53" s="831"/>
      <c r="M53" s="831"/>
      <c r="N53" s="831"/>
      <c r="O53" s="838" t="s">
        <v>170</v>
      </c>
      <c r="P53" s="839"/>
      <c r="Q53" s="840"/>
      <c r="R53" s="831" t="s">
        <v>178</v>
      </c>
      <c r="S53" s="831"/>
      <c r="T53" s="829"/>
      <c r="U53" s="817"/>
      <c r="V53" s="811"/>
      <c r="W53" s="835"/>
      <c r="X53" s="811"/>
      <c r="Y53" s="813"/>
      <c r="AA53" s="829"/>
      <c r="AB53" s="829"/>
      <c r="AC53" s="829"/>
      <c r="AD53" s="829"/>
      <c r="AE53" s="829"/>
      <c r="AF53" s="829"/>
      <c r="AG53" s="829"/>
      <c r="AH53" s="829"/>
    </row>
    <row r="54" spans="2:34" ht="38.450000000000003" customHeight="1">
      <c r="B54" s="827"/>
      <c r="C54" s="828"/>
      <c r="D54" s="830"/>
      <c r="E54" s="830"/>
      <c r="F54" s="837"/>
      <c r="G54" s="396" t="s">
        <v>179</v>
      </c>
      <c r="H54" s="396" t="s">
        <v>259</v>
      </c>
      <c r="I54" s="396" t="s">
        <v>260</v>
      </c>
      <c r="J54" s="396" t="s">
        <v>180</v>
      </c>
      <c r="K54" s="396" t="s">
        <v>257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6" t="s">
        <v>185</v>
      </c>
      <c r="R54" s="397" t="s">
        <v>183</v>
      </c>
      <c r="S54" s="397" t="s">
        <v>184</v>
      </c>
      <c r="T54" s="829"/>
      <c r="U54" s="820"/>
      <c r="V54" s="812"/>
      <c r="W54" s="836"/>
      <c r="X54" s="812"/>
      <c r="Y54" s="813"/>
      <c r="AA54" s="163" t="s">
        <v>251</v>
      </c>
      <c r="AB54" s="163" t="s">
        <v>514</v>
      </c>
      <c r="AC54" s="158" t="s">
        <v>403</v>
      </c>
      <c r="AD54" s="158" t="s">
        <v>346</v>
      </c>
      <c r="AE54" s="158" t="s">
        <v>473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01" t="s">
        <v>709</v>
      </c>
      <c r="C55" s="802"/>
      <c r="D55" s="395">
        <v>1</v>
      </c>
      <c r="E55" s="398"/>
      <c r="F55" s="399"/>
      <c r="G55" s="400"/>
      <c r="H55" s="400"/>
      <c r="I55" s="401" t="e">
        <f>H55/G55</f>
        <v>#DIV/0!</v>
      </c>
      <c r="J55" s="400"/>
      <c r="K55" s="401" t="e">
        <f>J55/G55</f>
        <v>#DIV/0!</v>
      </c>
      <c r="L55" s="400"/>
      <c r="M55" s="401" t="e">
        <f>(H55+J55)/G55</f>
        <v>#DIV/0!</v>
      </c>
      <c r="N55" s="402"/>
      <c r="O55" s="400"/>
      <c r="P55" s="401" t="e">
        <f>O55/G55</f>
        <v>#DIV/0!</v>
      </c>
      <c r="Q55" s="415">
        <f>O55*L55</f>
        <v>0</v>
      </c>
      <c r="R55" s="403">
        <f>((H55+J55)-G55)-O55</f>
        <v>0</v>
      </c>
      <c r="S55" s="401" t="e">
        <f>R55/G55</f>
        <v>#DIV/0!</v>
      </c>
      <c r="T55" s="405" t="s">
        <v>176</v>
      </c>
      <c r="U55" s="405"/>
      <c r="V55" s="406"/>
      <c r="W55" s="406"/>
      <c r="X55" s="406">
        <v>1</v>
      </c>
      <c r="Y55" s="407"/>
      <c r="Z55" s="408" t="s">
        <v>515</v>
      </c>
      <c r="AA55" s="409">
        <f>SUM(X55:X74)</f>
        <v>20</v>
      </c>
      <c r="AB55" s="410">
        <f>SUMIF($U$55:$U$74,TRIM(AB54),$X$55:$X$74)</f>
        <v>0</v>
      </c>
      <c r="AC55" s="410">
        <f t="shared" ref="AC55:AH55" si="26">SUMIF($U$55:$U$74,TRIM(AC54),$X$55:$X$74)</f>
        <v>0</v>
      </c>
      <c r="AD55" s="410">
        <f t="shared" si="26"/>
        <v>0</v>
      </c>
      <c r="AE55" s="410">
        <f t="shared" si="26"/>
        <v>0</v>
      </c>
      <c r="AF55" s="410">
        <f t="shared" si="26"/>
        <v>0</v>
      </c>
      <c r="AG55" s="410">
        <f t="shared" si="26"/>
        <v>0</v>
      </c>
      <c r="AH55" s="410">
        <f t="shared" si="26"/>
        <v>0</v>
      </c>
    </row>
    <row r="56" spans="2:34" s="150" customFormat="1" ht="27" customHeight="1">
      <c r="B56" s="803"/>
      <c r="C56" s="804"/>
      <c r="D56" s="395">
        <v>2</v>
      </c>
      <c r="E56" s="398"/>
      <c r="F56" s="399"/>
      <c r="G56" s="400"/>
      <c r="H56" s="400"/>
      <c r="I56" s="401" t="e">
        <f t="shared" ref="I56:I57" si="27">H56/G56</f>
        <v>#DIV/0!</v>
      </c>
      <c r="J56" s="400"/>
      <c r="K56" s="401" t="e">
        <f t="shared" ref="K56:K61" si="28">J56/G56</f>
        <v>#DIV/0!</v>
      </c>
      <c r="L56" s="400"/>
      <c r="M56" s="401" t="e">
        <f t="shared" ref="M56:M61" si="29">(H56+J56)/G56</f>
        <v>#DIV/0!</v>
      </c>
      <c r="N56" s="402"/>
      <c r="O56" s="400"/>
      <c r="P56" s="401" t="e">
        <f t="shared" ref="P56:P74" si="30">O56/G56</f>
        <v>#DIV/0!</v>
      </c>
      <c r="Q56" s="415">
        <f t="shared" ref="Q56:Q74" si="31">O56*L56</f>
        <v>0</v>
      </c>
      <c r="R56" s="403">
        <f t="shared" ref="R56:R74" si="32">((H56+J56)-G56)-O56</f>
        <v>0</v>
      </c>
      <c r="S56" s="401" t="e">
        <f t="shared" ref="S56:S74" si="33">R56/G56</f>
        <v>#DIV/0!</v>
      </c>
      <c r="T56" s="405" t="s">
        <v>176</v>
      </c>
      <c r="U56" s="405"/>
      <c r="V56" s="406"/>
      <c r="W56" s="406"/>
      <c r="X56" s="406">
        <v>1</v>
      </c>
      <c r="Y56" s="407"/>
      <c r="AA56" s="409"/>
      <c r="AB56" s="416">
        <f>SUMIF($U$55:$U$74,TRIM(AB54),$F$55:$F$74)</f>
        <v>0</v>
      </c>
      <c r="AC56" s="416">
        <f t="shared" ref="AC56:AF56" si="34">SUMIF($U$55:$U$74,TRIM(AC54),$F$55:$F$74)</f>
        <v>0</v>
      </c>
      <c r="AD56" s="416">
        <f t="shared" si="34"/>
        <v>0</v>
      </c>
      <c r="AE56" s="416">
        <f t="shared" si="34"/>
        <v>0</v>
      </c>
      <c r="AF56" s="416">
        <f t="shared" si="34"/>
        <v>0</v>
      </c>
      <c r="AG56" s="416">
        <f>SUMIF($U$55:$U$74,TRIM(AG54),$F$55:$F$74)</f>
        <v>0</v>
      </c>
      <c r="AH56" s="416">
        <f t="shared" ref="AH56" si="35">SUMIF($U$55:$U$74,TRIM(AH54),$G$55:$G$74)</f>
        <v>0</v>
      </c>
    </row>
    <row r="57" spans="2:34" s="150" customFormat="1" ht="27" customHeight="1">
      <c r="B57" s="803"/>
      <c r="C57" s="804"/>
      <c r="D57" s="395">
        <v>3</v>
      </c>
      <c r="E57" s="398"/>
      <c r="F57" s="399"/>
      <c r="G57" s="400"/>
      <c r="H57" s="400"/>
      <c r="I57" s="401" t="e">
        <f t="shared" si="27"/>
        <v>#DIV/0!</v>
      </c>
      <c r="J57" s="400"/>
      <c r="K57" s="401" t="e">
        <f t="shared" si="28"/>
        <v>#DIV/0!</v>
      </c>
      <c r="L57" s="400"/>
      <c r="M57" s="401" t="e">
        <f t="shared" si="29"/>
        <v>#DIV/0!</v>
      </c>
      <c r="N57" s="402"/>
      <c r="O57" s="400"/>
      <c r="P57" s="401" t="e">
        <f t="shared" si="30"/>
        <v>#DIV/0!</v>
      </c>
      <c r="Q57" s="415">
        <f t="shared" si="31"/>
        <v>0</v>
      </c>
      <c r="R57" s="403">
        <f t="shared" si="32"/>
        <v>0</v>
      </c>
      <c r="S57" s="401" t="e">
        <f t="shared" si="33"/>
        <v>#DIV/0!</v>
      </c>
      <c r="T57" s="405" t="s">
        <v>176</v>
      </c>
      <c r="U57" s="405"/>
      <c r="V57" s="406"/>
      <c r="W57" s="406"/>
      <c r="X57" s="406">
        <v>1</v>
      </c>
      <c r="Y57" s="407"/>
      <c r="AA57" s="395"/>
      <c r="AB57" s="417">
        <f>AB55/$AA55</f>
        <v>0</v>
      </c>
      <c r="AC57" s="417">
        <f t="shared" ref="AC57:AH57" si="36">AC55/$AA55</f>
        <v>0</v>
      </c>
      <c r="AD57" s="417">
        <f t="shared" si="36"/>
        <v>0</v>
      </c>
      <c r="AE57" s="417">
        <f t="shared" si="36"/>
        <v>0</v>
      </c>
      <c r="AF57" s="417">
        <f t="shared" si="36"/>
        <v>0</v>
      </c>
      <c r="AG57" s="417">
        <f t="shared" si="36"/>
        <v>0</v>
      </c>
      <c r="AH57" s="417">
        <f t="shared" si="36"/>
        <v>0</v>
      </c>
    </row>
    <row r="58" spans="2:34" s="150" customFormat="1" ht="27" customHeight="1">
      <c r="B58" s="803"/>
      <c r="C58" s="804"/>
      <c r="D58" s="395">
        <v>4</v>
      </c>
      <c r="E58" s="398"/>
      <c r="F58" s="399"/>
      <c r="G58" s="400"/>
      <c r="H58" s="400"/>
      <c r="I58" s="401" t="e">
        <f>H58/G58</f>
        <v>#DIV/0!</v>
      </c>
      <c r="J58" s="400"/>
      <c r="K58" s="401" t="e">
        <f t="shared" si="28"/>
        <v>#DIV/0!</v>
      </c>
      <c r="L58" s="400"/>
      <c r="M58" s="401" t="e">
        <f t="shared" si="29"/>
        <v>#DIV/0!</v>
      </c>
      <c r="N58" s="402"/>
      <c r="O58" s="400"/>
      <c r="P58" s="401" t="e">
        <f t="shared" si="30"/>
        <v>#DIV/0!</v>
      </c>
      <c r="Q58" s="415">
        <f t="shared" si="31"/>
        <v>0</v>
      </c>
      <c r="R58" s="403">
        <f t="shared" si="32"/>
        <v>0</v>
      </c>
      <c r="S58" s="401" t="e">
        <f t="shared" si="33"/>
        <v>#DIV/0!</v>
      </c>
      <c r="T58" s="405" t="s">
        <v>176</v>
      </c>
      <c r="U58" s="405"/>
      <c r="V58" s="406"/>
      <c r="W58" s="406"/>
      <c r="X58" s="406">
        <v>1</v>
      </c>
      <c r="Y58" s="407"/>
    </row>
    <row r="59" spans="2:34" s="150" customFormat="1" ht="27" customHeight="1">
      <c r="B59" s="803"/>
      <c r="C59" s="804"/>
      <c r="D59" s="395">
        <v>5</v>
      </c>
      <c r="E59" s="398"/>
      <c r="F59" s="399"/>
      <c r="G59" s="400"/>
      <c r="H59" s="400"/>
      <c r="I59" s="401" t="e">
        <f t="shared" ref="I59:I74" si="37">H59/G59</f>
        <v>#DIV/0!</v>
      </c>
      <c r="J59" s="400"/>
      <c r="K59" s="401" t="e">
        <f t="shared" si="28"/>
        <v>#DIV/0!</v>
      </c>
      <c r="L59" s="400"/>
      <c r="M59" s="401" t="e">
        <f t="shared" si="29"/>
        <v>#DIV/0!</v>
      </c>
      <c r="N59" s="402"/>
      <c r="O59" s="400"/>
      <c r="P59" s="401" t="e">
        <f t="shared" si="30"/>
        <v>#DIV/0!</v>
      </c>
      <c r="Q59" s="415">
        <f t="shared" si="31"/>
        <v>0</v>
      </c>
      <c r="R59" s="403">
        <f t="shared" si="32"/>
        <v>0</v>
      </c>
      <c r="S59" s="401" t="e">
        <f t="shared" si="33"/>
        <v>#DIV/0!</v>
      </c>
      <c r="T59" s="405" t="s">
        <v>176</v>
      </c>
      <c r="U59" s="405"/>
      <c r="V59" s="406"/>
      <c r="W59" s="406"/>
      <c r="X59" s="406">
        <v>1</v>
      </c>
      <c r="Y59" s="407"/>
    </row>
    <row r="60" spans="2:34" s="150" customFormat="1" ht="27" customHeight="1">
      <c r="B60" s="803"/>
      <c r="C60" s="804"/>
      <c r="D60" s="395">
        <v>6</v>
      </c>
      <c r="E60" s="398"/>
      <c r="F60" s="399"/>
      <c r="G60" s="400"/>
      <c r="H60" s="400"/>
      <c r="I60" s="401" t="e">
        <f t="shared" si="37"/>
        <v>#DIV/0!</v>
      </c>
      <c r="J60" s="400"/>
      <c r="K60" s="401" t="e">
        <f t="shared" si="28"/>
        <v>#DIV/0!</v>
      </c>
      <c r="L60" s="400"/>
      <c r="M60" s="401" t="e">
        <f t="shared" si="29"/>
        <v>#DIV/0!</v>
      </c>
      <c r="N60" s="402"/>
      <c r="O60" s="400"/>
      <c r="P60" s="401" t="e">
        <f t="shared" si="30"/>
        <v>#DIV/0!</v>
      </c>
      <c r="Q60" s="415">
        <f t="shared" si="31"/>
        <v>0</v>
      </c>
      <c r="R60" s="403">
        <f t="shared" si="32"/>
        <v>0</v>
      </c>
      <c r="S60" s="401" t="e">
        <f t="shared" si="33"/>
        <v>#DIV/0!</v>
      </c>
      <c r="T60" s="405" t="s">
        <v>176</v>
      </c>
      <c r="U60" s="405"/>
      <c r="V60" s="406"/>
      <c r="W60" s="406"/>
      <c r="X60" s="406">
        <v>1</v>
      </c>
      <c r="Y60" s="407"/>
    </row>
    <row r="61" spans="2:34" s="150" customFormat="1" ht="27" customHeight="1">
      <c r="B61" s="803"/>
      <c r="C61" s="804"/>
      <c r="D61" s="395">
        <v>7</v>
      </c>
      <c r="E61" s="398"/>
      <c r="F61" s="399"/>
      <c r="G61" s="400"/>
      <c r="H61" s="400"/>
      <c r="I61" s="401" t="e">
        <f t="shared" si="37"/>
        <v>#DIV/0!</v>
      </c>
      <c r="J61" s="400"/>
      <c r="K61" s="401" t="e">
        <f t="shared" si="28"/>
        <v>#DIV/0!</v>
      </c>
      <c r="L61" s="400"/>
      <c r="M61" s="401" t="e">
        <f t="shared" si="29"/>
        <v>#DIV/0!</v>
      </c>
      <c r="N61" s="402"/>
      <c r="O61" s="400"/>
      <c r="P61" s="401" t="e">
        <f t="shared" si="30"/>
        <v>#DIV/0!</v>
      </c>
      <c r="Q61" s="415">
        <f t="shared" si="31"/>
        <v>0</v>
      </c>
      <c r="R61" s="403">
        <f t="shared" si="32"/>
        <v>0</v>
      </c>
      <c r="S61" s="401" t="e">
        <f t="shared" si="33"/>
        <v>#DIV/0!</v>
      </c>
      <c r="T61" s="405" t="s">
        <v>176</v>
      </c>
      <c r="U61" s="405"/>
      <c r="V61" s="406"/>
      <c r="W61" s="406"/>
      <c r="X61" s="406">
        <v>1</v>
      </c>
      <c r="Y61" s="407"/>
    </row>
    <row r="62" spans="2:34" s="150" customFormat="1" ht="27" customHeight="1">
      <c r="B62" s="803"/>
      <c r="C62" s="804"/>
      <c r="D62" s="395">
        <v>8</v>
      </c>
      <c r="E62" s="398"/>
      <c r="F62" s="399"/>
      <c r="G62" s="400"/>
      <c r="H62" s="400"/>
      <c r="I62" s="401" t="e">
        <f t="shared" si="37"/>
        <v>#DIV/0!</v>
      </c>
      <c r="J62" s="400"/>
      <c r="K62" s="401" t="e">
        <f>J62/G62</f>
        <v>#DIV/0!</v>
      </c>
      <c r="L62" s="400"/>
      <c r="M62" s="401" t="e">
        <f>(H62+J62)/G62</f>
        <v>#DIV/0!</v>
      </c>
      <c r="N62" s="402"/>
      <c r="O62" s="400"/>
      <c r="P62" s="401" t="e">
        <f t="shared" si="30"/>
        <v>#DIV/0!</v>
      </c>
      <c r="Q62" s="415">
        <f t="shared" si="31"/>
        <v>0</v>
      </c>
      <c r="R62" s="403">
        <f t="shared" si="32"/>
        <v>0</v>
      </c>
      <c r="S62" s="401" t="e">
        <f t="shared" si="33"/>
        <v>#DIV/0!</v>
      </c>
      <c r="T62" s="405" t="s">
        <v>176</v>
      </c>
      <c r="U62" s="405"/>
      <c r="V62" s="406"/>
      <c r="W62" s="406"/>
      <c r="X62" s="406">
        <v>1</v>
      </c>
      <c r="Y62" s="407"/>
    </row>
    <row r="63" spans="2:34" s="150" customFormat="1" ht="27" customHeight="1">
      <c r="B63" s="803"/>
      <c r="C63" s="804"/>
      <c r="D63" s="395">
        <v>9</v>
      </c>
      <c r="E63" s="398"/>
      <c r="F63" s="399"/>
      <c r="G63" s="400"/>
      <c r="H63" s="400"/>
      <c r="I63" s="401" t="e">
        <f t="shared" si="37"/>
        <v>#DIV/0!</v>
      </c>
      <c r="J63" s="400"/>
      <c r="K63" s="401" t="e">
        <f t="shared" ref="K63:K74" si="38">J63/G63</f>
        <v>#DIV/0!</v>
      </c>
      <c r="L63" s="400"/>
      <c r="M63" s="401" t="e">
        <f t="shared" ref="M63:M74" si="39">(H63+J63)/G63</f>
        <v>#DIV/0!</v>
      </c>
      <c r="N63" s="402"/>
      <c r="O63" s="400"/>
      <c r="P63" s="401" t="e">
        <f t="shared" si="30"/>
        <v>#DIV/0!</v>
      </c>
      <c r="Q63" s="415">
        <f t="shared" si="31"/>
        <v>0</v>
      </c>
      <c r="R63" s="403">
        <f t="shared" si="32"/>
        <v>0</v>
      </c>
      <c r="S63" s="401" t="e">
        <f t="shared" si="33"/>
        <v>#DIV/0!</v>
      </c>
      <c r="T63" s="405" t="s">
        <v>176</v>
      </c>
      <c r="U63" s="405"/>
      <c r="V63" s="406"/>
      <c r="W63" s="406"/>
      <c r="X63" s="406">
        <v>1</v>
      </c>
      <c r="Y63" s="407"/>
    </row>
    <row r="64" spans="2:34" s="150" customFormat="1" ht="27" customHeight="1">
      <c r="B64" s="803"/>
      <c r="C64" s="804"/>
      <c r="D64" s="395">
        <v>10</v>
      </c>
      <c r="E64" s="398"/>
      <c r="F64" s="399"/>
      <c r="G64" s="400"/>
      <c r="H64" s="400"/>
      <c r="I64" s="401" t="e">
        <f t="shared" si="37"/>
        <v>#DIV/0!</v>
      </c>
      <c r="J64" s="400"/>
      <c r="K64" s="401" t="e">
        <f t="shared" si="38"/>
        <v>#DIV/0!</v>
      </c>
      <c r="L64" s="400"/>
      <c r="M64" s="401" t="e">
        <f t="shared" si="39"/>
        <v>#DIV/0!</v>
      </c>
      <c r="N64" s="402"/>
      <c r="O64" s="400"/>
      <c r="P64" s="401" t="e">
        <f t="shared" si="30"/>
        <v>#DIV/0!</v>
      </c>
      <c r="Q64" s="415">
        <f t="shared" si="31"/>
        <v>0</v>
      </c>
      <c r="R64" s="403">
        <f t="shared" si="32"/>
        <v>0</v>
      </c>
      <c r="S64" s="401" t="e">
        <f t="shared" si="33"/>
        <v>#DIV/0!</v>
      </c>
      <c r="T64" s="405" t="s">
        <v>176</v>
      </c>
      <c r="U64" s="405"/>
      <c r="V64" s="406"/>
      <c r="W64" s="406"/>
      <c r="X64" s="406">
        <v>1</v>
      </c>
      <c r="Y64" s="407"/>
    </row>
    <row r="65" spans="2:34" s="150" customFormat="1" ht="27" customHeight="1">
      <c r="B65" s="803"/>
      <c r="C65" s="804"/>
      <c r="D65" s="395">
        <v>11</v>
      </c>
      <c r="E65" s="398"/>
      <c r="F65" s="399"/>
      <c r="G65" s="400"/>
      <c r="H65" s="400"/>
      <c r="I65" s="401" t="e">
        <f t="shared" si="37"/>
        <v>#DIV/0!</v>
      </c>
      <c r="J65" s="400"/>
      <c r="K65" s="401" t="e">
        <f t="shared" si="38"/>
        <v>#DIV/0!</v>
      </c>
      <c r="L65" s="400"/>
      <c r="M65" s="401" t="e">
        <f t="shared" si="39"/>
        <v>#DIV/0!</v>
      </c>
      <c r="N65" s="402"/>
      <c r="O65" s="400"/>
      <c r="P65" s="401" t="e">
        <f t="shared" si="30"/>
        <v>#DIV/0!</v>
      </c>
      <c r="Q65" s="415">
        <f t="shared" si="31"/>
        <v>0</v>
      </c>
      <c r="R65" s="403">
        <f t="shared" si="32"/>
        <v>0</v>
      </c>
      <c r="S65" s="401" t="e">
        <f t="shared" si="33"/>
        <v>#DIV/0!</v>
      </c>
      <c r="T65" s="405" t="s">
        <v>176</v>
      </c>
      <c r="U65" s="405"/>
      <c r="V65" s="406"/>
      <c r="W65" s="406"/>
      <c r="X65" s="406">
        <v>1</v>
      </c>
      <c r="Y65" s="407"/>
    </row>
    <row r="66" spans="2:34" s="150" customFormat="1" ht="27" customHeight="1">
      <c r="B66" s="803"/>
      <c r="C66" s="804"/>
      <c r="D66" s="395">
        <v>12</v>
      </c>
      <c r="E66" s="398"/>
      <c r="F66" s="399"/>
      <c r="G66" s="400"/>
      <c r="H66" s="400"/>
      <c r="I66" s="401" t="e">
        <f t="shared" si="37"/>
        <v>#DIV/0!</v>
      </c>
      <c r="J66" s="400"/>
      <c r="K66" s="401" t="e">
        <f t="shared" si="38"/>
        <v>#DIV/0!</v>
      </c>
      <c r="L66" s="400"/>
      <c r="M66" s="401" t="e">
        <f t="shared" si="39"/>
        <v>#DIV/0!</v>
      </c>
      <c r="N66" s="402"/>
      <c r="O66" s="400"/>
      <c r="P66" s="401" t="e">
        <f t="shared" si="30"/>
        <v>#DIV/0!</v>
      </c>
      <c r="Q66" s="415">
        <f t="shared" si="31"/>
        <v>0</v>
      </c>
      <c r="R66" s="403">
        <f t="shared" si="32"/>
        <v>0</v>
      </c>
      <c r="S66" s="401" t="e">
        <f t="shared" si="33"/>
        <v>#DIV/0!</v>
      </c>
      <c r="T66" s="405" t="s">
        <v>176</v>
      </c>
      <c r="U66" s="405"/>
      <c r="V66" s="406"/>
      <c r="W66" s="406"/>
      <c r="X66" s="406">
        <v>1</v>
      </c>
      <c r="Y66" s="407"/>
    </row>
    <row r="67" spans="2:34" s="150" customFormat="1" ht="27" customHeight="1">
      <c r="B67" s="803"/>
      <c r="C67" s="804"/>
      <c r="D67" s="395">
        <v>13</v>
      </c>
      <c r="E67" s="398"/>
      <c r="F67" s="399"/>
      <c r="G67" s="400"/>
      <c r="H67" s="400"/>
      <c r="I67" s="401" t="e">
        <f t="shared" si="37"/>
        <v>#DIV/0!</v>
      </c>
      <c r="J67" s="400"/>
      <c r="K67" s="401" t="e">
        <f t="shared" si="38"/>
        <v>#DIV/0!</v>
      </c>
      <c r="L67" s="400"/>
      <c r="M67" s="401" t="e">
        <f t="shared" si="39"/>
        <v>#DIV/0!</v>
      </c>
      <c r="N67" s="402"/>
      <c r="O67" s="400"/>
      <c r="P67" s="401" t="e">
        <f t="shared" si="30"/>
        <v>#DIV/0!</v>
      </c>
      <c r="Q67" s="415">
        <f t="shared" si="31"/>
        <v>0</v>
      </c>
      <c r="R67" s="403">
        <f t="shared" si="32"/>
        <v>0</v>
      </c>
      <c r="S67" s="401" t="e">
        <f t="shared" si="33"/>
        <v>#DIV/0!</v>
      </c>
      <c r="T67" s="405" t="s">
        <v>176</v>
      </c>
      <c r="U67" s="405"/>
      <c r="V67" s="406"/>
      <c r="W67" s="406"/>
      <c r="X67" s="406">
        <v>1</v>
      </c>
      <c r="Y67" s="407"/>
    </row>
    <row r="68" spans="2:34" s="150" customFormat="1" ht="27" customHeight="1">
      <c r="B68" s="803"/>
      <c r="C68" s="804"/>
      <c r="D68" s="395">
        <v>14</v>
      </c>
      <c r="E68" s="398"/>
      <c r="F68" s="399"/>
      <c r="G68" s="400"/>
      <c r="H68" s="400"/>
      <c r="I68" s="401" t="e">
        <f t="shared" si="37"/>
        <v>#DIV/0!</v>
      </c>
      <c r="J68" s="400"/>
      <c r="K68" s="401" t="e">
        <f t="shared" si="38"/>
        <v>#DIV/0!</v>
      </c>
      <c r="L68" s="400"/>
      <c r="M68" s="401" t="e">
        <f t="shared" si="39"/>
        <v>#DIV/0!</v>
      </c>
      <c r="N68" s="402"/>
      <c r="O68" s="400"/>
      <c r="P68" s="401" t="e">
        <f t="shared" si="30"/>
        <v>#DIV/0!</v>
      </c>
      <c r="Q68" s="415">
        <f t="shared" si="31"/>
        <v>0</v>
      </c>
      <c r="R68" s="403">
        <f t="shared" si="32"/>
        <v>0</v>
      </c>
      <c r="S68" s="401" t="e">
        <f t="shared" si="33"/>
        <v>#DIV/0!</v>
      </c>
      <c r="T68" s="405" t="s">
        <v>176</v>
      </c>
      <c r="U68" s="405"/>
      <c r="V68" s="406"/>
      <c r="W68" s="406"/>
      <c r="X68" s="406">
        <v>1</v>
      </c>
      <c r="Y68" s="407"/>
      <c r="AC68" s="412"/>
    </row>
    <row r="69" spans="2:34" s="150" customFormat="1" ht="27" customHeight="1">
      <c r="B69" s="803"/>
      <c r="C69" s="804"/>
      <c r="D69" s="395">
        <v>15</v>
      </c>
      <c r="E69" s="398"/>
      <c r="F69" s="399"/>
      <c r="G69" s="400"/>
      <c r="H69" s="400"/>
      <c r="I69" s="401" t="e">
        <f t="shared" si="37"/>
        <v>#DIV/0!</v>
      </c>
      <c r="J69" s="400"/>
      <c r="K69" s="401" t="e">
        <f t="shared" si="38"/>
        <v>#DIV/0!</v>
      </c>
      <c r="L69" s="400"/>
      <c r="M69" s="401" t="e">
        <f t="shared" si="39"/>
        <v>#DIV/0!</v>
      </c>
      <c r="N69" s="402"/>
      <c r="O69" s="400"/>
      <c r="P69" s="401" t="e">
        <f t="shared" si="30"/>
        <v>#DIV/0!</v>
      </c>
      <c r="Q69" s="415">
        <f t="shared" si="31"/>
        <v>0</v>
      </c>
      <c r="R69" s="403">
        <f t="shared" si="32"/>
        <v>0</v>
      </c>
      <c r="S69" s="401" t="e">
        <f t="shared" si="33"/>
        <v>#DIV/0!</v>
      </c>
      <c r="T69" s="405" t="s">
        <v>176</v>
      </c>
      <c r="U69" s="405"/>
      <c r="V69" s="406"/>
      <c r="W69" s="406"/>
      <c r="X69" s="406">
        <v>1</v>
      </c>
      <c r="Y69" s="407"/>
      <c r="AC69" s="411"/>
    </row>
    <row r="70" spans="2:34" s="150" customFormat="1" ht="27" customHeight="1">
      <c r="B70" s="803"/>
      <c r="C70" s="804"/>
      <c r="D70" s="395">
        <v>16</v>
      </c>
      <c r="E70" s="398"/>
      <c r="F70" s="399"/>
      <c r="G70" s="400"/>
      <c r="H70" s="400"/>
      <c r="I70" s="401" t="e">
        <f t="shared" si="37"/>
        <v>#DIV/0!</v>
      </c>
      <c r="J70" s="400"/>
      <c r="K70" s="401" t="e">
        <f t="shared" si="38"/>
        <v>#DIV/0!</v>
      </c>
      <c r="L70" s="400"/>
      <c r="M70" s="401" t="e">
        <f t="shared" si="39"/>
        <v>#DIV/0!</v>
      </c>
      <c r="N70" s="402"/>
      <c r="O70" s="400"/>
      <c r="P70" s="401" t="e">
        <f t="shared" si="30"/>
        <v>#DIV/0!</v>
      </c>
      <c r="Q70" s="415">
        <f t="shared" si="31"/>
        <v>0</v>
      </c>
      <c r="R70" s="403">
        <f t="shared" si="32"/>
        <v>0</v>
      </c>
      <c r="S70" s="401" t="e">
        <f t="shared" si="33"/>
        <v>#DIV/0!</v>
      </c>
      <c r="T70" s="405" t="s">
        <v>176</v>
      </c>
      <c r="U70" s="405"/>
      <c r="V70" s="406"/>
      <c r="W70" s="406"/>
      <c r="X70" s="406">
        <v>1</v>
      </c>
      <c r="Y70" s="407"/>
      <c r="AC70" s="411"/>
    </row>
    <row r="71" spans="2:34" s="150" customFormat="1" ht="27" customHeight="1">
      <c r="B71" s="803"/>
      <c r="C71" s="804"/>
      <c r="D71" s="395">
        <v>17</v>
      </c>
      <c r="E71" s="398"/>
      <c r="F71" s="399"/>
      <c r="G71" s="400"/>
      <c r="H71" s="400"/>
      <c r="I71" s="401" t="e">
        <f t="shared" si="37"/>
        <v>#DIV/0!</v>
      </c>
      <c r="J71" s="400"/>
      <c r="K71" s="401" t="e">
        <f t="shared" si="38"/>
        <v>#DIV/0!</v>
      </c>
      <c r="L71" s="400"/>
      <c r="M71" s="401" t="e">
        <f t="shared" si="39"/>
        <v>#DIV/0!</v>
      </c>
      <c r="N71" s="402"/>
      <c r="O71" s="400"/>
      <c r="P71" s="401" t="e">
        <f t="shared" si="30"/>
        <v>#DIV/0!</v>
      </c>
      <c r="Q71" s="415">
        <f t="shared" si="31"/>
        <v>0</v>
      </c>
      <c r="R71" s="403">
        <f t="shared" si="32"/>
        <v>0</v>
      </c>
      <c r="S71" s="401" t="e">
        <f t="shared" si="33"/>
        <v>#DIV/0!</v>
      </c>
      <c r="T71" s="405" t="s">
        <v>176</v>
      </c>
      <c r="U71" s="405"/>
      <c r="V71" s="406"/>
      <c r="W71" s="406"/>
      <c r="X71" s="406">
        <v>1</v>
      </c>
      <c r="Y71" s="407"/>
      <c r="AB71" s="413"/>
      <c r="AC71" s="411"/>
    </row>
    <row r="72" spans="2:34" s="150" customFormat="1" ht="27" customHeight="1">
      <c r="B72" s="803"/>
      <c r="C72" s="804"/>
      <c r="D72" s="395">
        <v>18</v>
      </c>
      <c r="E72" s="398"/>
      <c r="F72" s="399"/>
      <c r="G72" s="400"/>
      <c r="H72" s="400"/>
      <c r="I72" s="401" t="e">
        <f t="shared" si="37"/>
        <v>#DIV/0!</v>
      </c>
      <c r="J72" s="400"/>
      <c r="K72" s="401" t="e">
        <f t="shared" si="38"/>
        <v>#DIV/0!</v>
      </c>
      <c r="L72" s="400"/>
      <c r="M72" s="401" t="e">
        <f t="shared" si="39"/>
        <v>#DIV/0!</v>
      </c>
      <c r="N72" s="402"/>
      <c r="O72" s="400"/>
      <c r="P72" s="401" t="e">
        <f t="shared" si="30"/>
        <v>#DIV/0!</v>
      </c>
      <c r="Q72" s="415">
        <f t="shared" si="31"/>
        <v>0</v>
      </c>
      <c r="R72" s="403">
        <f t="shared" si="32"/>
        <v>0</v>
      </c>
      <c r="S72" s="401" t="e">
        <f t="shared" si="33"/>
        <v>#DIV/0!</v>
      </c>
      <c r="T72" s="405" t="s">
        <v>176</v>
      </c>
      <c r="U72" s="405"/>
      <c r="V72" s="406"/>
      <c r="W72" s="406"/>
      <c r="X72" s="406">
        <v>1</v>
      </c>
      <c r="Y72" s="407"/>
      <c r="AC72" s="411"/>
    </row>
    <row r="73" spans="2:34" s="150" customFormat="1" ht="27" customHeight="1">
      <c r="B73" s="803"/>
      <c r="C73" s="804"/>
      <c r="D73" s="395">
        <v>19</v>
      </c>
      <c r="E73" s="398"/>
      <c r="F73" s="399"/>
      <c r="G73" s="400"/>
      <c r="H73" s="400"/>
      <c r="I73" s="401" t="e">
        <f t="shared" si="37"/>
        <v>#DIV/0!</v>
      </c>
      <c r="J73" s="400"/>
      <c r="K73" s="401" t="e">
        <f t="shared" si="38"/>
        <v>#DIV/0!</v>
      </c>
      <c r="L73" s="400"/>
      <c r="M73" s="401" t="e">
        <f t="shared" si="39"/>
        <v>#DIV/0!</v>
      </c>
      <c r="N73" s="402"/>
      <c r="O73" s="400"/>
      <c r="P73" s="401" t="e">
        <f t="shared" si="30"/>
        <v>#DIV/0!</v>
      </c>
      <c r="Q73" s="415">
        <f t="shared" si="31"/>
        <v>0</v>
      </c>
      <c r="R73" s="403">
        <f t="shared" si="32"/>
        <v>0</v>
      </c>
      <c r="S73" s="401" t="e">
        <f t="shared" si="33"/>
        <v>#DIV/0!</v>
      </c>
      <c r="T73" s="405" t="s">
        <v>176</v>
      </c>
      <c r="U73" s="405"/>
      <c r="V73" s="406"/>
      <c r="W73" s="406"/>
      <c r="X73" s="406">
        <v>1</v>
      </c>
      <c r="Y73" s="407"/>
      <c r="AB73" s="414"/>
      <c r="AC73" s="411"/>
    </row>
    <row r="74" spans="2:34" s="150" customFormat="1" ht="27" customHeight="1">
      <c r="B74" s="805"/>
      <c r="C74" s="806"/>
      <c r="D74" s="395">
        <v>20</v>
      </c>
      <c r="E74" s="398"/>
      <c r="F74" s="399"/>
      <c r="G74" s="400"/>
      <c r="H74" s="400"/>
      <c r="I74" s="401" t="e">
        <f t="shared" si="37"/>
        <v>#DIV/0!</v>
      </c>
      <c r="J74" s="400"/>
      <c r="K74" s="401" t="e">
        <f t="shared" si="38"/>
        <v>#DIV/0!</v>
      </c>
      <c r="L74" s="400"/>
      <c r="M74" s="401" t="e">
        <f t="shared" si="39"/>
        <v>#DIV/0!</v>
      </c>
      <c r="N74" s="402"/>
      <c r="O74" s="400"/>
      <c r="P74" s="401" t="e">
        <f t="shared" si="30"/>
        <v>#DIV/0!</v>
      </c>
      <c r="Q74" s="415">
        <f t="shared" si="31"/>
        <v>0</v>
      </c>
      <c r="R74" s="403">
        <f t="shared" si="32"/>
        <v>0</v>
      </c>
      <c r="S74" s="401" t="e">
        <f t="shared" si="33"/>
        <v>#DIV/0!</v>
      </c>
      <c r="T74" s="405" t="s">
        <v>176</v>
      </c>
      <c r="U74" s="405"/>
      <c r="V74" s="406"/>
      <c r="W74" s="406"/>
      <c r="X74" s="406">
        <v>1</v>
      </c>
      <c r="Y74" s="407"/>
      <c r="AB74" s="414"/>
      <c r="AC74" s="411"/>
    </row>
    <row r="75" spans="2:34" ht="16.5" customHeight="1">
      <c r="B75" s="823" t="s">
        <v>511</v>
      </c>
      <c r="C75" s="824"/>
      <c r="D75" s="829" t="s">
        <v>172</v>
      </c>
      <c r="E75" s="829"/>
      <c r="F75" s="829"/>
      <c r="G75" s="829" t="s">
        <v>186</v>
      </c>
      <c r="H75" s="829"/>
      <c r="I75" s="829"/>
      <c r="J75" s="829"/>
      <c r="K75" s="829"/>
      <c r="L75" s="829"/>
      <c r="M75" s="829"/>
      <c r="N75" s="829"/>
      <c r="O75" s="829"/>
      <c r="P75" s="829"/>
      <c r="Q75" s="829"/>
      <c r="R75" s="829"/>
      <c r="S75" s="829"/>
      <c r="T75" s="829" t="s">
        <v>173</v>
      </c>
      <c r="U75" s="814" t="s">
        <v>252</v>
      </c>
      <c r="V75" s="834" t="s">
        <v>519</v>
      </c>
      <c r="W75" s="834" t="s">
        <v>513</v>
      </c>
      <c r="X75" s="810" t="s">
        <v>253</v>
      </c>
      <c r="Y75" s="813" t="s">
        <v>174</v>
      </c>
      <c r="AA75" s="829" t="s">
        <v>254</v>
      </c>
      <c r="AB75" s="829"/>
      <c r="AC75" s="829"/>
      <c r="AD75" s="829"/>
      <c r="AE75" s="829"/>
      <c r="AF75" s="829"/>
      <c r="AG75" s="829"/>
      <c r="AH75" s="829"/>
    </row>
    <row r="76" spans="2:34" ht="17.100000000000001" customHeight="1">
      <c r="B76" s="825"/>
      <c r="C76" s="826"/>
      <c r="D76" s="830" t="s">
        <v>171</v>
      </c>
      <c r="E76" s="829" t="s">
        <v>175</v>
      </c>
      <c r="F76" s="829"/>
      <c r="G76" s="829" t="s">
        <v>187</v>
      </c>
      <c r="H76" s="829"/>
      <c r="I76" s="829"/>
      <c r="J76" s="829"/>
      <c r="K76" s="829"/>
      <c r="L76" s="829"/>
      <c r="M76" s="829"/>
      <c r="N76" s="829"/>
      <c r="O76" s="829" t="s">
        <v>176</v>
      </c>
      <c r="P76" s="829"/>
      <c r="Q76" s="829"/>
      <c r="R76" s="829"/>
      <c r="S76" s="829"/>
      <c r="T76" s="829"/>
      <c r="U76" s="817"/>
      <c r="V76" s="811"/>
      <c r="W76" s="835"/>
      <c r="X76" s="811"/>
      <c r="Y76" s="813"/>
      <c r="AA76" s="829"/>
      <c r="AB76" s="829"/>
      <c r="AC76" s="829"/>
      <c r="AD76" s="829"/>
      <c r="AE76" s="829"/>
      <c r="AF76" s="829"/>
      <c r="AG76" s="829"/>
      <c r="AH76" s="829"/>
    </row>
    <row r="77" spans="2:34" ht="17.100000000000001" customHeight="1">
      <c r="B77" s="825"/>
      <c r="C77" s="826"/>
      <c r="D77" s="830"/>
      <c r="E77" s="830" t="s">
        <v>177</v>
      </c>
      <c r="F77" s="837" t="s">
        <v>520</v>
      </c>
      <c r="G77" s="831" t="s">
        <v>188</v>
      </c>
      <c r="H77" s="831"/>
      <c r="I77" s="831"/>
      <c r="J77" s="831"/>
      <c r="K77" s="831"/>
      <c r="L77" s="831"/>
      <c r="M77" s="831"/>
      <c r="N77" s="831"/>
      <c r="O77" s="838" t="s">
        <v>170</v>
      </c>
      <c r="P77" s="839"/>
      <c r="Q77" s="840"/>
      <c r="R77" s="831" t="s">
        <v>178</v>
      </c>
      <c r="S77" s="831"/>
      <c r="T77" s="829"/>
      <c r="U77" s="817"/>
      <c r="V77" s="811"/>
      <c r="W77" s="835"/>
      <c r="X77" s="811"/>
      <c r="Y77" s="813"/>
      <c r="AA77" s="829"/>
      <c r="AB77" s="829"/>
      <c r="AC77" s="829"/>
      <c r="AD77" s="829"/>
      <c r="AE77" s="829"/>
      <c r="AF77" s="829"/>
      <c r="AG77" s="829"/>
      <c r="AH77" s="829"/>
    </row>
    <row r="78" spans="2:34" ht="38.450000000000003" customHeight="1">
      <c r="B78" s="827"/>
      <c r="C78" s="828"/>
      <c r="D78" s="830"/>
      <c r="E78" s="830"/>
      <c r="F78" s="837"/>
      <c r="G78" s="396" t="s">
        <v>179</v>
      </c>
      <c r="H78" s="396" t="s">
        <v>259</v>
      </c>
      <c r="I78" s="396" t="s">
        <v>260</v>
      </c>
      <c r="J78" s="396" t="s">
        <v>180</v>
      </c>
      <c r="K78" s="396" t="s">
        <v>257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6" t="s">
        <v>185</v>
      </c>
      <c r="R78" s="397" t="s">
        <v>183</v>
      </c>
      <c r="S78" s="397" t="s">
        <v>184</v>
      </c>
      <c r="T78" s="829"/>
      <c r="U78" s="820"/>
      <c r="V78" s="812"/>
      <c r="W78" s="836"/>
      <c r="X78" s="812"/>
      <c r="Y78" s="813"/>
      <c r="AA78" s="163" t="s">
        <v>251</v>
      </c>
      <c r="AB78" s="163" t="s">
        <v>514</v>
      </c>
      <c r="AC78" s="158" t="s">
        <v>403</v>
      </c>
      <c r="AD78" s="158" t="s">
        <v>346</v>
      </c>
      <c r="AE78" s="158" t="s">
        <v>473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01" t="s">
        <v>710</v>
      </c>
      <c r="C79" s="802"/>
      <c r="D79" s="395">
        <v>1</v>
      </c>
      <c r="E79" s="398"/>
      <c r="F79" s="399"/>
      <c r="G79" s="400"/>
      <c r="H79" s="400"/>
      <c r="I79" s="401" t="e">
        <f>H79/G79</f>
        <v>#DIV/0!</v>
      </c>
      <c r="J79" s="400"/>
      <c r="K79" s="401" t="e">
        <f>J79/G79</f>
        <v>#DIV/0!</v>
      </c>
      <c r="L79" s="400"/>
      <c r="M79" s="401" t="e">
        <f>(H79+J79)/G79</f>
        <v>#DIV/0!</v>
      </c>
      <c r="N79" s="402"/>
      <c r="O79" s="400"/>
      <c r="P79" s="401" t="e">
        <f>O79/G79</f>
        <v>#DIV/0!</v>
      </c>
      <c r="Q79" s="415">
        <f>O79*L79</f>
        <v>0</v>
      </c>
      <c r="R79" s="403">
        <f>((H79+J79)-G79)-O79</f>
        <v>0</v>
      </c>
      <c r="S79" s="401" t="e">
        <f>R79/G79</f>
        <v>#DIV/0!</v>
      </c>
      <c r="T79" s="405" t="s">
        <v>176</v>
      </c>
      <c r="U79" s="405"/>
      <c r="V79" s="406"/>
      <c r="W79" s="406"/>
      <c r="X79" s="406">
        <v>1</v>
      </c>
      <c r="Y79" s="407"/>
      <c r="Z79" s="408" t="s">
        <v>515</v>
      </c>
      <c r="AA79" s="409">
        <f>SUM(X79:X98)</f>
        <v>20</v>
      </c>
      <c r="AB79" s="410">
        <f>SUMIF($U$79:$U$98,TRIM(AB78),$X$79:$X$98)</f>
        <v>0</v>
      </c>
      <c r="AC79" s="410">
        <f t="shared" ref="AC79:AH79" si="40">SUMIF($U$79:$U$98,TRIM(AC78),$X$79:$X$98)</f>
        <v>0</v>
      </c>
      <c r="AD79" s="410">
        <f t="shared" si="40"/>
        <v>0</v>
      </c>
      <c r="AE79" s="410">
        <f t="shared" si="40"/>
        <v>0</v>
      </c>
      <c r="AF79" s="410">
        <f t="shared" si="40"/>
        <v>0</v>
      </c>
      <c r="AG79" s="410">
        <f t="shared" si="40"/>
        <v>0</v>
      </c>
      <c r="AH79" s="410">
        <f t="shared" si="40"/>
        <v>0</v>
      </c>
    </row>
    <row r="80" spans="2:34" s="150" customFormat="1" ht="27" customHeight="1">
      <c r="B80" s="803"/>
      <c r="C80" s="804"/>
      <c r="D80" s="395">
        <v>2</v>
      </c>
      <c r="E80" s="398"/>
      <c r="F80" s="399"/>
      <c r="G80" s="400"/>
      <c r="H80" s="400"/>
      <c r="I80" s="401" t="e">
        <f t="shared" ref="I80:I81" si="41">H80/G80</f>
        <v>#DIV/0!</v>
      </c>
      <c r="J80" s="400"/>
      <c r="K80" s="401" t="e">
        <f t="shared" ref="K80:K85" si="42">J80/G80</f>
        <v>#DIV/0!</v>
      </c>
      <c r="L80" s="400"/>
      <c r="M80" s="401" t="e">
        <f t="shared" ref="M80:M85" si="43">(H80+J80)/G80</f>
        <v>#DIV/0!</v>
      </c>
      <c r="N80" s="402"/>
      <c r="O80" s="400"/>
      <c r="P80" s="401" t="e">
        <f t="shared" ref="P80:P98" si="44">O80/G80</f>
        <v>#DIV/0!</v>
      </c>
      <c r="Q80" s="415">
        <f t="shared" ref="Q80:Q98" si="45">O80*L80</f>
        <v>0</v>
      </c>
      <c r="R80" s="403">
        <f t="shared" ref="R80:R98" si="46">((H80+J80)-G80)-O80</f>
        <v>0</v>
      </c>
      <c r="S80" s="401" t="e">
        <f t="shared" ref="S80:S98" si="47">R80/G80</f>
        <v>#DIV/0!</v>
      </c>
      <c r="T80" s="405" t="s">
        <v>176</v>
      </c>
      <c r="U80" s="405"/>
      <c r="V80" s="406"/>
      <c r="W80" s="406"/>
      <c r="X80" s="406">
        <v>1</v>
      </c>
      <c r="Y80" s="407"/>
      <c r="AA80" s="409"/>
      <c r="AB80" s="416">
        <f>SUMIF($U$79:$U$98,TRIM(AB78),$F$79:$F$98)</f>
        <v>0</v>
      </c>
      <c r="AC80" s="416">
        <f t="shared" ref="AC80:AH80" si="48">SUMIF($U$79:$U$98,TRIM(AC78),$F$79:$F$98)</f>
        <v>0</v>
      </c>
      <c r="AD80" s="416">
        <f t="shared" si="48"/>
        <v>0</v>
      </c>
      <c r="AE80" s="416">
        <f t="shared" si="48"/>
        <v>0</v>
      </c>
      <c r="AF80" s="416">
        <f t="shared" si="48"/>
        <v>0</v>
      </c>
      <c r="AG80" s="416">
        <f t="shared" si="48"/>
        <v>0</v>
      </c>
      <c r="AH80" s="416">
        <f t="shared" si="48"/>
        <v>0</v>
      </c>
    </row>
    <row r="81" spans="2:34" s="150" customFormat="1" ht="27" customHeight="1">
      <c r="B81" s="803"/>
      <c r="C81" s="804"/>
      <c r="D81" s="395">
        <v>3</v>
      </c>
      <c r="E81" s="398"/>
      <c r="F81" s="399"/>
      <c r="G81" s="400"/>
      <c r="H81" s="400"/>
      <c r="I81" s="401" t="e">
        <f t="shared" si="41"/>
        <v>#DIV/0!</v>
      </c>
      <c r="J81" s="400"/>
      <c r="K81" s="401" t="e">
        <f t="shared" si="42"/>
        <v>#DIV/0!</v>
      </c>
      <c r="L81" s="400"/>
      <c r="M81" s="401" t="e">
        <f t="shared" si="43"/>
        <v>#DIV/0!</v>
      </c>
      <c r="N81" s="402"/>
      <c r="O81" s="400"/>
      <c r="P81" s="401" t="e">
        <f t="shared" si="44"/>
        <v>#DIV/0!</v>
      </c>
      <c r="Q81" s="415">
        <f t="shared" si="45"/>
        <v>0</v>
      </c>
      <c r="R81" s="403">
        <f t="shared" si="46"/>
        <v>0</v>
      </c>
      <c r="S81" s="401" t="e">
        <f t="shared" si="47"/>
        <v>#DIV/0!</v>
      </c>
      <c r="T81" s="405" t="s">
        <v>176</v>
      </c>
      <c r="U81" s="405"/>
      <c r="V81" s="406"/>
      <c r="W81" s="406"/>
      <c r="X81" s="406">
        <v>1</v>
      </c>
      <c r="Y81" s="407"/>
      <c r="AA81" s="395"/>
      <c r="AB81" s="417">
        <f>AB79/$AA79</f>
        <v>0</v>
      </c>
      <c r="AC81" s="417">
        <f t="shared" ref="AC81:AH81" si="49">AC79/$AA79</f>
        <v>0</v>
      </c>
      <c r="AD81" s="417">
        <f t="shared" si="49"/>
        <v>0</v>
      </c>
      <c r="AE81" s="417">
        <f t="shared" si="49"/>
        <v>0</v>
      </c>
      <c r="AF81" s="417">
        <f t="shared" si="49"/>
        <v>0</v>
      </c>
      <c r="AG81" s="417">
        <f t="shared" si="49"/>
        <v>0</v>
      </c>
      <c r="AH81" s="417">
        <f t="shared" si="49"/>
        <v>0</v>
      </c>
    </row>
    <row r="82" spans="2:34" s="150" customFormat="1" ht="27" customHeight="1">
      <c r="B82" s="803"/>
      <c r="C82" s="804"/>
      <c r="D82" s="395">
        <v>4</v>
      </c>
      <c r="E82" s="398"/>
      <c r="F82" s="399"/>
      <c r="G82" s="400"/>
      <c r="H82" s="400"/>
      <c r="I82" s="401" t="e">
        <f>H82/G82</f>
        <v>#DIV/0!</v>
      </c>
      <c r="J82" s="400"/>
      <c r="K82" s="401" t="e">
        <f t="shared" si="42"/>
        <v>#DIV/0!</v>
      </c>
      <c r="L82" s="400"/>
      <c r="M82" s="401" t="e">
        <f t="shared" si="43"/>
        <v>#DIV/0!</v>
      </c>
      <c r="N82" s="402"/>
      <c r="O82" s="400"/>
      <c r="P82" s="401" t="e">
        <f t="shared" si="44"/>
        <v>#DIV/0!</v>
      </c>
      <c r="Q82" s="415">
        <f t="shared" si="45"/>
        <v>0</v>
      </c>
      <c r="R82" s="403">
        <f t="shared" si="46"/>
        <v>0</v>
      </c>
      <c r="S82" s="401" t="e">
        <f t="shared" si="47"/>
        <v>#DIV/0!</v>
      </c>
      <c r="T82" s="405" t="s">
        <v>176</v>
      </c>
      <c r="U82" s="405"/>
      <c r="V82" s="406"/>
      <c r="W82" s="406"/>
      <c r="X82" s="406">
        <v>1</v>
      </c>
      <c r="Y82" s="407"/>
    </row>
    <row r="83" spans="2:34" s="150" customFormat="1" ht="27" customHeight="1">
      <c r="B83" s="803"/>
      <c r="C83" s="804"/>
      <c r="D83" s="395">
        <v>5</v>
      </c>
      <c r="E83" s="398"/>
      <c r="F83" s="399"/>
      <c r="G83" s="400"/>
      <c r="H83" s="400"/>
      <c r="I83" s="401" t="e">
        <f t="shared" ref="I83:I98" si="50">H83/G83</f>
        <v>#DIV/0!</v>
      </c>
      <c r="J83" s="400"/>
      <c r="K83" s="401" t="e">
        <f t="shared" si="42"/>
        <v>#DIV/0!</v>
      </c>
      <c r="L83" s="400"/>
      <c r="M83" s="401" t="e">
        <f t="shared" si="43"/>
        <v>#DIV/0!</v>
      </c>
      <c r="N83" s="402"/>
      <c r="O83" s="400"/>
      <c r="P83" s="401" t="e">
        <f t="shared" si="44"/>
        <v>#DIV/0!</v>
      </c>
      <c r="Q83" s="415">
        <f t="shared" si="45"/>
        <v>0</v>
      </c>
      <c r="R83" s="403">
        <f t="shared" si="46"/>
        <v>0</v>
      </c>
      <c r="S83" s="401" t="e">
        <f t="shared" si="47"/>
        <v>#DIV/0!</v>
      </c>
      <c r="T83" s="405" t="s">
        <v>176</v>
      </c>
      <c r="U83" s="405"/>
      <c r="V83" s="406"/>
      <c r="W83" s="431"/>
      <c r="X83" s="406">
        <v>1</v>
      </c>
      <c r="Y83" s="407"/>
    </row>
    <row r="84" spans="2:34" s="150" customFormat="1" ht="27" customHeight="1">
      <c r="B84" s="803"/>
      <c r="C84" s="804"/>
      <c r="D84" s="395">
        <v>6</v>
      </c>
      <c r="E84" s="398"/>
      <c r="F84" s="399"/>
      <c r="G84" s="400"/>
      <c r="H84" s="400"/>
      <c r="I84" s="401" t="e">
        <f t="shared" si="50"/>
        <v>#DIV/0!</v>
      </c>
      <c r="J84" s="400"/>
      <c r="K84" s="401" t="e">
        <f t="shared" si="42"/>
        <v>#DIV/0!</v>
      </c>
      <c r="L84" s="400"/>
      <c r="M84" s="401" t="e">
        <f t="shared" si="43"/>
        <v>#DIV/0!</v>
      </c>
      <c r="N84" s="402"/>
      <c r="O84" s="400"/>
      <c r="P84" s="401" t="e">
        <f t="shared" si="44"/>
        <v>#DIV/0!</v>
      </c>
      <c r="Q84" s="415">
        <f t="shared" si="45"/>
        <v>0</v>
      </c>
      <c r="R84" s="403">
        <f t="shared" si="46"/>
        <v>0</v>
      </c>
      <c r="S84" s="401" t="e">
        <f t="shared" si="47"/>
        <v>#DIV/0!</v>
      </c>
      <c r="T84" s="405" t="s">
        <v>176</v>
      </c>
      <c r="U84" s="405"/>
      <c r="V84" s="406"/>
      <c r="W84" s="406"/>
      <c r="X84" s="406">
        <v>1</v>
      </c>
      <c r="Y84" s="407"/>
    </row>
    <row r="85" spans="2:34" s="150" customFormat="1" ht="27" customHeight="1">
      <c r="B85" s="803"/>
      <c r="C85" s="804"/>
      <c r="D85" s="395">
        <v>7</v>
      </c>
      <c r="E85" s="398"/>
      <c r="F85" s="399"/>
      <c r="G85" s="400"/>
      <c r="H85" s="400"/>
      <c r="I85" s="401" t="e">
        <f t="shared" si="50"/>
        <v>#DIV/0!</v>
      </c>
      <c r="J85" s="400"/>
      <c r="K85" s="401" t="e">
        <f t="shared" si="42"/>
        <v>#DIV/0!</v>
      </c>
      <c r="L85" s="400"/>
      <c r="M85" s="401" t="e">
        <f t="shared" si="43"/>
        <v>#DIV/0!</v>
      </c>
      <c r="N85" s="402"/>
      <c r="O85" s="400"/>
      <c r="P85" s="401" t="e">
        <f t="shared" si="44"/>
        <v>#DIV/0!</v>
      </c>
      <c r="Q85" s="415">
        <f t="shared" si="45"/>
        <v>0</v>
      </c>
      <c r="R85" s="403">
        <f t="shared" si="46"/>
        <v>0</v>
      </c>
      <c r="S85" s="401" t="e">
        <f t="shared" si="47"/>
        <v>#DIV/0!</v>
      </c>
      <c r="T85" s="405" t="s">
        <v>176</v>
      </c>
      <c r="U85" s="405"/>
      <c r="V85" s="406"/>
      <c r="W85" s="406"/>
      <c r="X85" s="406">
        <v>1</v>
      </c>
      <c r="Y85" s="407"/>
    </row>
    <row r="86" spans="2:34" s="150" customFormat="1" ht="27" customHeight="1">
      <c r="B86" s="803"/>
      <c r="C86" s="804"/>
      <c r="D86" s="395">
        <v>8</v>
      </c>
      <c r="E86" s="398"/>
      <c r="F86" s="399"/>
      <c r="G86" s="400"/>
      <c r="H86" s="400"/>
      <c r="I86" s="401" t="e">
        <f t="shared" si="50"/>
        <v>#DIV/0!</v>
      </c>
      <c r="J86" s="400"/>
      <c r="K86" s="401" t="e">
        <f>J86/G86</f>
        <v>#DIV/0!</v>
      </c>
      <c r="L86" s="400"/>
      <c r="M86" s="401" t="e">
        <f>(H86+J86)/G86</f>
        <v>#DIV/0!</v>
      </c>
      <c r="N86" s="402"/>
      <c r="O86" s="400"/>
      <c r="P86" s="401" t="e">
        <f t="shared" si="44"/>
        <v>#DIV/0!</v>
      </c>
      <c r="Q86" s="415">
        <f t="shared" si="45"/>
        <v>0</v>
      </c>
      <c r="R86" s="403">
        <f t="shared" si="46"/>
        <v>0</v>
      </c>
      <c r="S86" s="401" t="e">
        <f t="shared" si="47"/>
        <v>#DIV/0!</v>
      </c>
      <c r="T86" s="405" t="s">
        <v>176</v>
      </c>
      <c r="U86" s="405"/>
      <c r="V86" s="406"/>
      <c r="W86" s="406"/>
      <c r="X86" s="406">
        <v>1</v>
      </c>
      <c r="Y86" s="407"/>
    </row>
    <row r="87" spans="2:34" s="150" customFormat="1" ht="27" customHeight="1">
      <c r="B87" s="803"/>
      <c r="C87" s="804"/>
      <c r="D87" s="395">
        <v>9</v>
      </c>
      <c r="E87" s="398"/>
      <c r="F87" s="399"/>
      <c r="G87" s="400"/>
      <c r="H87" s="400"/>
      <c r="I87" s="401" t="e">
        <f t="shared" si="50"/>
        <v>#DIV/0!</v>
      </c>
      <c r="J87" s="400"/>
      <c r="K87" s="401" t="e">
        <f t="shared" ref="K87:K98" si="51">J87/G87</f>
        <v>#DIV/0!</v>
      </c>
      <c r="L87" s="400"/>
      <c r="M87" s="401" t="e">
        <f t="shared" ref="M87:M98" si="52">(H87+J87)/G87</f>
        <v>#DIV/0!</v>
      </c>
      <c r="N87" s="402"/>
      <c r="O87" s="400"/>
      <c r="P87" s="401" t="e">
        <f t="shared" si="44"/>
        <v>#DIV/0!</v>
      </c>
      <c r="Q87" s="415">
        <f t="shared" si="45"/>
        <v>0</v>
      </c>
      <c r="R87" s="403">
        <f t="shared" si="46"/>
        <v>0</v>
      </c>
      <c r="S87" s="401" t="e">
        <f t="shared" si="47"/>
        <v>#DIV/0!</v>
      </c>
      <c r="T87" s="405" t="s">
        <v>176</v>
      </c>
      <c r="U87" s="405"/>
      <c r="V87" s="406"/>
      <c r="W87" s="406"/>
      <c r="X87" s="406">
        <v>1</v>
      </c>
      <c r="Y87" s="407"/>
    </row>
    <row r="88" spans="2:34" s="150" customFormat="1" ht="27" customHeight="1">
      <c r="B88" s="803"/>
      <c r="C88" s="804"/>
      <c r="D88" s="395">
        <v>10</v>
      </c>
      <c r="E88" s="398"/>
      <c r="F88" s="399"/>
      <c r="G88" s="400"/>
      <c r="H88" s="400"/>
      <c r="I88" s="401" t="e">
        <f t="shared" si="50"/>
        <v>#DIV/0!</v>
      </c>
      <c r="J88" s="400"/>
      <c r="K88" s="401" t="e">
        <f t="shared" si="51"/>
        <v>#DIV/0!</v>
      </c>
      <c r="L88" s="400"/>
      <c r="M88" s="401" t="e">
        <f t="shared" si="52"/>
        <v>#DIV/0!</v>
      </c>
      <c r="N88" s="402"/>
      <c r="O88" s="400"/>
      <c r="P88" s="401" t="e">
        <f t="shared" si="44"/>
        <v>#DIV/0!</v>
      </c>
      <c r="Q88" s="415">
        <f t="shared" si="45"/>
        <v>0</v>
      </c>
      <c r="R88" s="403">
        <f t="shared" si="46"/>
        <v>0</v>
      </c>
      <c r="S88" s="401" t="e">
        <f t="shared" si="47"/>
        <v>#DIV/0!</v>
      </c>
      <c r="T88" s="405" t="s">
        <v>176</v>
      </c>
      <c r="U88" s="405"/>
      <c r="V88" s="406"/>
      <c r="W88" s="406"/>
      <c r="X88" s="406">
        <v>1</v>
      </c>
      <c r="Y88" s="407"/>
    </row>
    <row r="89" spans="2:34" s="150" customFormat="1" ht="27" customHeight="1">
      <c r="B89" s="803"/>
      <c r="C89" s="804"/>
      <c r="D89" s="395">
        <v>11</v>
      </c>
      <c r="E89" s="398"/>
      <c r="F89" s="399"/>
      <c r="G89" s="400"/>
      <c r="H89" s="400"/>
      <c r="I89" s="401" t="e">
        <f t="shared" si="50"/>
        <v>#DIV/0!</v>
      </c>
      <c r="J89" s="400"/>
      <c r="K89" s="401" t="e">
        <f t="shared" si="51"/>
        <v>#DIV/0!</v>
      </c>
      <c r="L89" s="400"/>
      <c r="M89" s="401" t="e">
        <f t="shared" si="52"/>
        <v>#DIV/0!</v>
      </c>
      <c r="N89" s="402"/>
      <c r="O89" s="400"/>
      <c r="P89" s="401" t="e">
        <f t="shared" si="44"/>
        <v>#DIV/0!</v>
      </c>
      <c r="Q89" s="415">
        <f t="shared" si="45"/>
        <v>0</v>
      </c>
      <c r="R89" s="403">
        <f t="shared" si="46"/>
        <v>0</v>
      </c>
      <c r="S89" s="401" t="e">
        <f t="shared" si="47"/>
        <v>#DIV/0!</v>
      </c>
      <c r="T89" s="405" t="s">
        <v>176</v>
      </c>
      <c r="U89" s="405"/>
      <c r="V89" s="406"/>
      <c r="W89" s="406"/>
      <c r="X89" s="406">
        <v>1</v>
      </c>
      <c r="Y89" s="407"/>
    </row>
    <row r="90" spans="2:34" s="150" customFormat="1" ht="27" customHeight="1">
      <c r="B90" s="803"/>
      <c r="C90" s="804"/>
      <c r="D90" s="395">
        <v>12</v>
      </c>
      <c r="E90" s="398"/>
      <c r="F90" s="399"/>
      <c r="G90" s="400"/>
      <c r="H90" s="400"/>
      <c r="I90" s="401" t="e">
        <f t="shared" si="50"/>
        <v>#DIV/0!</v>
      </c>
      <c r="J90" s="400"/>
      <c r="K90" s="401" t="e">
        <f t="shared" si="51"/>
        <v>#DIV/0!</v>
      </c>
      <c r="L90" s="400"/>
      <c r="M90" s="401" t="e">
        <f t="shared" si="52"/>
        <v>#DIV/0!</v>
      </c>
      <c r="N90" s="402"/>
      <c r="O90" s="400"/>
      <c r="P90" s="401" t="e">
        <f t="shared" si="44"/>
        <v>#DIV/0!</v>
      </c>
      <c r="Q90" s="415">
        <f t="shared" si="45"/>
        <v>0</v>
      </c>
      <c r="R90" s="403">
        <f t="shared" si="46"/>
        <v>0</v>
      </c>
      <c r="S90" s="401" t="e">
        <f t="shared" si="47"/>
        <v>#DIV/0!</v>
      </c>
      <c r="T90" s="405" t="s">
        <v>176</v>
      </c>
      <c r="U90" s="405"/>
      <c r="V90" s="406"/>
      <c r="W90" s="406"/>
      <c r="X90" s="406">
        <v>1</v>
      </c>
      <c r="Y90" s="407"/>
    </row>
    <row r="91" spans="2:34" s="150" customFormat="1" ht="27" customHeight="1">
      <c r="B91" s="803"/>
      <c r="C91" s="804"/>
      <c r="D91" s="395">
        <v>13</v>
      </c>
      <c r="E91" s="398"/>
      <c r="F91" s="399"/>
      <c r="G91" s="400"/>
      <c r="H91" s="400"/>
      <c r="I91" s="401" t="e">
        <f t="shared" si="50"/>
        <v>#DIV/0!</v>
      </c>
      <c r="J91" s="400"/>
      <c r="K91" s="401" t="e">
        <f t="shared" si="51"/>
        <v>#DIV/0!</v>
      </c>
      <c r="L91" s="400"/>
      <c r="M91" s="401" t="e">
        <f t="shared" si="52"/>
        <v>#DIV/0!</v>
      </c>
      <c r="N91" s="402"/>
      <c r="O91" s="400"/>
      <c r="P91" s="401" t="e">
        <f t="shared" si="44"/>
        <v>#DIV/0!</v>
      </c>
      <c r="Q91" s="415">
        <f t="shared" si="45"/>
        <v>0</v>
      </c>
      <c r="R91" s="403">
        <f t="shared" si="46"/>
        <v>0</v>
      </c>
      <c r="S91" s="401" t="e">
        <f t="shared" si="47"/>
        <v>#DIV/0!</v>
      </c>
      <c r="T91" s="405" t="s">
        <v>176</v>
      </c>
      <c r="U91" s="405"/>
      <c r="V91" s="406"/>
      <c r="W91" s="406"/>
      <c r="X91" s="406">
        <v>1</v>
      </c>
      <c r="Y91" s="407"/>
    </row>
    <row r="92" spans="2:34" s="150" customFormat="1" ht="27" customHeight="1">
      <c r="B92" s="803"/>
      <c r="C92" s="804"/>
      <c r="D92" s="395">
        <v>14</v>
      </c>
      <c r="E92" s="398"/>
      <c r="F92" s="399"/>
      <c r="G92" s="400"/>
      <c r="H92" s="400"/>
      <c r="I92" s="401" t="e">
        <f t="shared" si="50"/>
        <v>#DIV/0!</v>
      </c>
      <c r="J92" s="400"/>
      <c r="K92" s="401" t="e">
        <f t="shared" si="51"/>
        <v>#DIV/0!</v>
      </c>
      <c r="L92" s="400"/>
      <c r="M92" s="401" t="e">
        <f t="shared" si="52"/>
        <v>#DIV/0!</v>
      </c>
      <c r="N92" s="402"/>
      <c r="O92" s="400"/>
      <c r="P92" s="401" t="e">
        <f t="shared" si="44"/>
        <v>#DIV/0!</v>
      </c>
      <c r="Q92" s="415">
        <f t="shared" si="45"/>
        <v>0</v>
      </c>
      <c r="R92" s="403">
        <f t="shared" si="46"/>
        <v>0</v>
      </c>
      <c r="S92" s="401" t="e">
        <f t="shared" si="47"/>
        <v>#DIV/0!</v>
      </c>
      <c r="T92" s="405" t="s">
        <v>176</v>
      </c>
      <c r="U92" s="405"/>
      <c r="V92" s="406"/>
      <c r="W92" s="406"/>
      <c r="X92" s="406">
        <v>1</v>
      </c>
      <c r="Y92" s="407"/>
      <c r="AC92" s="412"/>
    </row>
    <row r="93" spans="2:34" s="150" customFormat="1" ht="27" customHeight="1">
      <c r="B93" s="803"/>
      <c r="C93" s="804"/>
      <c r="D93" s="395">
        <v>15</v>
      </c>
      <c r="E93" s="398"/>
      <c r="F93" s="399"/>
      <c r="G93" s="400"/>
      <c r="H93" s="400"/>
      <c r="I93" s="401" t="e">
        <f t="shared" si="50"/>
        <v>#DIV/0!</v>
      </c>
      <c r="J93" s="400"/>
      <c r="K93" s="401" t="e">
        <f t="shared" si="51"/>
        <v>#DIV/0!</v>
      </c>
      <c r="L93" s="400"/>
      <c r="M93" s="401" t="e">
        <f t="shared" si="52"/>
        <v>#DIV/0!</v>
      </c>
      <c r="N93" s="402"/>
      <c r="O93" s="400"/>
      <c r="P93" s="401" t="e">
        <f t="shared" si="44"/>
        <v>#DIV/0!</v>
      </c>
      <c r="Q93" s="415">
        <f t="shared" si="45"/>
        <v>0</v>
      </c>
      <c r="R93" s="403">
        <f t="shared" si="46"/>
        <v>0</v>
      </c>
      <c r="S93" s="401" t="e">
        <f t="shared" si="47"/>
        <v>#DIV/0!</v>
      </c>
      <c r="T93" s="405" t="s">
        <v>176</v>
      </c>
      <c r="U93" s="405"/>
      <c r="V93" s="406"/>
      <c r="W93" s="406"/>
      <c r="X93" s="406">
        <v>1</v>
      </c>
      <c r="Y93" s="407"/>
      <c r="AC93" s="411"/>
    </row>
    <row r="94" spans="2:34" s="150" customFormat="1" ht="27" customHeight="1">
      <c r="B94" s="803"/>
      <c r="C94" s="804"/>
      <c r="D94" s="395">
        <v>16</v>
      </c>
      <c r="E94" s="398"/>
      <c r="F94" s="399"/>
      <c r="G94" s="400"/>
      <c r="H94" s="400"/>
      <c r="I94" s="401" t="e">
        <f t="shared" si="50"/>
        <v>#DIV/0!</v>
      </c>
      <c r="J94" s="400"/>
      <c r="K94" s="401" t="e">
        <f t="shared" si="51"/>
        <v>#DIV/0!</v>
      </c>
      <c r="L94" s="400"/>
      <c r="M94" s="401" t="e">
        <f t="shared" si="52"/>
        <v>#DIV/0!</v>
      </c>
      <c r="N94" s="402"/>
      <c r="O94" s="400"/>
      <c r="P94" s="401" t="e">
        <f t="shared" si="44"/>
        <v>#DIV/0!</v>
      </c>
      <c r="Q94" s="415">
        <f t="shared" si="45"/>
        <v>0</v>
      </c>
      <c r="R94" s="403">
        <f t="shared" si="46"/>
        <v>0</v>
      </c>
      <c r="S94" s="401" t="e">
        <f t="shared" si="47"/>
        <v>#DIV/0!</v>
      </c>
      <c r="T94" s="405" t="s">
        <v>176</v>
      </c>
      <c r="U94" s="405"/>
      <c r="V94" s="406"/>
      <c r="W94" s="406"/>
      <c r="X94" s="406">
        <v>1</v>
      </c>
      <c r="Y94" s="407"/>
      <c r="AC94" s="411"/>
    </row>
    <row r="95" spans="2:34" s="150" customFormat="1" ht="27" customHeight="1">
      <c r="B95" s="803"/>
      <c r="C95" s="804"/>
      <c r="D95" s="395">
        <v>17</v>
      </c>
      <c r="E95" s="398"/>
      <c r="F95" s="399"/>
      <c r="G95" s="400"/>
      <c r="H95" s="400"/>
      <c r="I95" s="401" t="e">
        <f t="shared" si="50"/>
        <v>#DIV/0!</v>
      </c>
      <c r="J95" s="400"/>
      <c r="K95" s="401" t="e">
        <f t="shared" si="51"/>
        <v>#DIV/0!</v>
      </c>
      <c r="L95" s="400"/>
      <c r="M95" s="401" t="e">
        <f t="shared" si="52"/>
        <v>#DIV/0!</v>
      </c>
      <c r="N95" s="402"/>
      <c r="O95" s="400"/>
      <c r="P95" s="401" t="e">
        <f t="shared" si="44"/>
        <v>#DIV/0!</v>
      </c>
      <c r="Q95" s="415">
        <f t="shared" si="45"/>
        <v>0</v>
      </c>
      <c r="R95" s="403">
        <f t="shared" si="46"/>
        <v>0</v>
      </c>
      <c r="S95" s="401" t="e">
        <f t="shared" si="47"/>
        <v>#DIV/0!</v>
      </c>
      <c r="T95" s="405" t="s">
        <v>176</v>
      </c>
      <c r="U95" s="405"/>
      <c r="V95" s="406"/>
      <c r="W95" s="406"/>
      <c r="X95" s="406">
        <v>1</v>
      </c>
      <c r="Y95" s="407"/>
      <c r="AB95" s="413"/>
      <c r="AC95" s="411"/>
    </row>
    <row r="96" spans="2:34" s="150" customFormat="1" ht="27" customHeight="1">
      <c r="B96" s="803"/>
      <c r="C96" s="804"/>
      <c r="D96" s="395">
        <v>18</v>
      </c>
      <c r="E96" s="398"/>
      <c r="F96" s="399"/>
      <c r="G96" s="400"/>
      <c r="H96" s="400"/>
      <c r="I96" s="401" t="e">
        <f t="shared" si="50"/>
        <v>#DIV/0!</v>
      </c>
      <c r="J96" s="400"/>
      <c r="K96" s="401" t="e">
        <f t="shared" si="51"/>
        <v>#DIV/0!</v>
      </c>
      <c r="L96" s="400"/>
      <c r="M96" s="401" t="e">
        <f t="shared" si="52"/>
        <v>#DIV/0!</v>
      </c>
      <c r="N96" s="402"/>
      <c r="O96" s="400"/>
      <c r="P96" s="401" t="e">
        <f t="shared" si="44"/>
        <v>#DIV/0!</v>
      </c>
      <c r="Q96" s="415">
        <f t="shared" si="45"/>
        <v>0</v>
      </c>
      <c r="R96" s="403">
        <f t="shared" si="46"/>
        <v>0</v>
      </c>
      <c r="S96" s="401" t="e">
        <f t="shared" si="47"/>
        <v>#DIV/0!</v>
      </c>
      <c r="T96" s="405" t="s">
        <v>176</v>
      </c>
      <c r="U96" s="405"/>
      <c r="V96" s="406"/>
      <c r="W96" s="406"/>
      <c r="X96" s="406">
        <v>1</v>
      </c>
      <c r="Y96" s="407"/>
      <c r="AC96" s="411"/>
    </row>
    <row r="97" spans="2:34" s="150" customFormat="1" ht="27" customHeight="1">
      <c r="B97" s="803"/>
      <c r="C97" s="804"/>
      <c r="D97" s="395">
        <v>19</v>
      </c>
      <c r="E97" s="398"/>
      <c r="F97" s="399"/>
      <c r="G97" s="400"/>
      <c r="H97" s="400"/>
      <c r="I97" s="401" t="e">
        <f t="shared" si="50"/>
        <v>#DIV/0!</v>
      </c>
      <c r="J97" s="400"/>
      <c r="K97" s="401" t="e">
        <f t="shared" si="51"/>
        <v>#DIV/0!</v>
      </c>
      <c r="L97" s="400"/>
      <c r="M97" s="401" t="e">
        <f t="shared" si="52"/>
        <v>#DIV/0!</v>
      </c>
      <c r="N97" s="402"/>
      <c r="O97" s="400"/>
      <c r="P97" s="401" t="e">
        <f t="shared" si="44"/>
        <v>#DIV/0!</v>
      </c>
      <c r="Q97" s="415">
        <f t="shared" si="45"/>
        <v>0</v>
      </c>
      <c r="R97" s="403">
        <f t="shared" si="46"/>
        <v>0</v>
      </c>
      <c r="S97" s="401" t="e">
        <f t="shared" si="47"/>
        <v>#DIV/0!</v>
      </c>
      <c r="T97" s="405" t="s">
        <v>176</v>
      </c>
      <c r="U97" s="405"/>
      <c r="V97" s="406"/>
      <c r="W97" s="406"/>
      <c r="X97" s="406">
        <v>1</v>
      </c>
      <c r="Y97" s="407"/>
      <c r="AB97" s="414"/>
      <c r="AC97" s="411"/>
    </row>
    <row r="98" spans="2:34" s="150" customFormat="1" ht="27" customHeight="1">
      <c r="B98" s="805"/>
      <c r="C98" s="806"/>
      <c r="D98" s="395">
        <v>20</v>
      </c>
      <c r="E98" s="398"/>
      <c r="F98" s="399"/>
      <c r="G98" s="400"/>
      <c r="H98" s="400"/>
      <c r="I98" s="401" t="e">
        <f t="shared" si="50"/>
        <v>#DIV/0!</v>
      </c>
      <c r="J98" s="400"/>
      <c r="K98" s="401" t="e">
        <f t="shared" si="51"/>
        <v>#DIV/0!</v>
      </c>
      <c r="L98" s="400"/>
      <c r="M98" s="401" t="e">
        <f t="shared" si="52"/>
        <v>#DIV/0!</v>
      </c>
      <c r="N98" s="402"/>
      <c r="O98" s="400"/>
      <c r="P98" s="401" t="e">
        <f t="shared" si="44"/>
        <v>#DIV/0!</v>
      </c>
      <c r="Q98" s="415">
        <f t="shared" si="45"/>
        <v>0</v>
      </c>
      <c r="R98" s="403">
        <f t="shared" si="46"/>
        <v>0</v>
      </c>
      <c r="S98" s="401" t="e">
        <f t="shared" si="47"/>
        <v>#DIV/0!</v>
      </c>
      <c r="T98" s="405" t="s">
        <v>176</v>
      </c>
      <c r="U98" s="405"/>
      <c r="V98" s="406"/>
      <c r="W98" s="406"/>
      <c r="X98" s="406">
        <v>1</v>
      </c>
      <c r="Y98" s="407"/>
      <c r="AB98" s="414"/>
      <c r="AC98" s="411"/>
    </row>
    <row r="99" spans="2:34" ht="16.5" customHeight="1">
      <c r="B99" s="823" t="s">
        <v>511</v>
      </c>
      <c r="C99" s="824"/>
      <c r="D99" s="829" t="s">
        <v>172</v>
      </c>
      <c r="E99" s="829"/>
      <c r="F99" s="829"/>
      <c r="G99" s="829" t="s">
        <v>186</v>
      </c>
      <c r="H99" s="829"/>
      <c r="I99" s="829"/>
      <c r="J99" s="829"/>
      <c r="K99" s="829"/>
      <c r="L99" s="829"/>
      <c r="M99" s="829"/>
      <c r="N99" s="829"/>
      <c r="O99" s="829"/>
      <c r="P99" s="829"/>
      <c r="Q99" s="829"/>
      <c r="R99" s="829"/>
      <c r="S99" s="829"/>
      <c r="T99" s="829" t="s">
        <v>173</v>
      </c>
      <c r="U99" s="814" t="s">
        <v>252</v>
      </c>
      <c r="V99" s="834" t="s">
        <v>519</v>
      </c>
      <c r="W99" s="834" t="s">
        <v>513</v>
      </c>
      <c r="X99" s="810" t="s">
        <v>253</v>
      </c>
      <c r="Y99" s="813" t="s">
        <v>174</v>
      </c>
      <c r="AA99" s="829" t="s">
        <v>254</v>
      </c>
      <c r="AB99" s="829"/>
      <c r="AC99" s="829"/>
      <c r="AD99" s="829"/>
      <c r="AE99" s="829"/>
      <c r="AF99" s="829"/>
      <c r="AG99" s="829"/>
      <c r="AH99" s="829"/>
    </row>
    <row r="100" spans="2:34" ht="17.100000000000001" customHeight="1">
      <c r="B100" s="825"/>
      <c r="C100" s="826"/>
      <c r="D100" s="830" t="s">
        <v>171</v>
      </c>
      <c r="E100" s="829" t="s">
        <v>175</v>
      </c>
      <c r="F100" s="829"/>
      <c r="G100" s="829" t="s">
        <v>187</v>
      </c>
      <c r="H100" s="829"/>
      <c r="I100" s="829"/>
      <c r="J100" s="829"/>
      <c r="K100" s="829"/>
      <c r="L100" s="829"/>
      <c r="M100" s="829"/>
      <c r="N100" s="829"/>
      <c r="O100" s="829" t="s">
        <v>176</v>
      </c>
      <c r="P100" s="829"/>
      <c r="Q100" s="829"/>
      <c r="R100" s="829"/>
      <c r="S100" s="829"/>
      <c r="T100" s="829"/>
      <c r="U100" s="817"/>
      <c r="V100" s="811"/>
      <c r="W100" s="835"/>
      <c r="X100" s="811"/>
      <c r="Y100" s="813"/>
      <c r="AA100" s="829"/>
      <c r="AB100" s="829"/>
      <c r="AC100" s="829"/>
      <c r="AD100" s="829"/>
      <c r="AE100" s="829"/>
      <c r="AF100" s="829"/>
      <c r="AG100" s="829"/>
      <c r="AH100" s="829"/>
    </row>
    <row r="101" spans="2:34" ht="17.100000000000001" customHeight="1">
      <c r="B101" s="825"/>
      <c r="C101" s="826"/>
      <c r="D101" s="830"/>
      <c r="E101" s="830" t="s">
        <v>177</v>
      </c>
      <c r="F101" s="837" t="s">
        <v>520</v>
      </c>
      <c r="G101" s="831" t="s">
        <v>188</v>
      </c>
      <c r="H101" s="831"/>
      <c r="I101" s="831"/>
      <c r="J101" s="831"/>
      <c r="K101" s="831"/>
      <c r="L101" s="831"/>
      <c r="M101" s="831"/>
      <c r="N101" s="831"/>
      <c r="O101" s="838" t="s">
        <v>170</v>
      </c>
      <c r="P101" s="839"/>
      <c r="Q101" s="840"/>
      <c r="R101" s="831" t="s">
        <v>178</v>
      </c>
      <c r="S101" s="831"/>
      <c r="T101" s="829"/>
      <c r="U101" s="817"/>
      <c r="V101" s="811"/>
      <c r="W101" s="835"/>
      <c r="X101" s="811"/>
      <c r="Y101" s="813"/>
      <c r="AA101" s="829"/>
      <c r="AB101" s="829"/>
      <c r="AC101" s="829"/>
      <c r="AD101" s="829"/>
      <c r="AE101" s="829"/>
      <c r="AF101" s="829"/>
      <c r="AG101" s="829"/>
      <c r="AH101" s="829"/>
    </row>
    <row r="102" spans="2:34" ht="38.450000000000003" customHeight="1">
      <c r="B102" s="827"/>
      <c r="C102" s="828"/>
      <c r="D102" s="830"/>
      <c r="E102" s="830"/>
      <c r="F102" s="837"/>
      <c r="G102" s="396" t="s">
        <v>179</v>
      </c>
      <c r="H102" s="396" t="s">
        <v>259</v>
      </c>
      <c r="I102" s="396" t="s">
        <v>260</v>
      </c>
      <c r="J102" s="396" t="s">
        <v>180</v>
      </c>
      <c r="K102" s="396" t="s">
        <v>257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6" t="s">
        <v>185</v>
      </c>
      <c r="R102" s="397" t="s">
        <v>183</v>
      </c>
      <c r="S102" s="397" t="s">
        <v>184</v>
      </c>
      <c r="T102" s="829"/>
      <c r="U102" s="820"/>
      <c r="V102" s="812"/>
      <c r="W102" s="836"/>
      <c r="X102" s="812"/>
      <c r="Y102" s="813"/>
      <c r="AA102" s="163" t="s">
        <v>251</v>
      </c>
      <c r="AB102" s="163" t="s">
        <v>514</v>
      </c>
      <c r="AC102" s="158" t="s">
        <v>403</v>
      </c>
      <c r="AD102" s="158" t="s">
        <v>346</v>
      </c>
      <c r="AE102" s="158" t="s">
        <v>473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01" t="s">
        <v>711</v>
      </c>
      <c r="C103" s="802"/>
      <c r="D103" s="395">
        <v>1</v>
      </c>
      <c r="E103" s="398"/>
      <c r="F103" s="399"/>
      <c r="G103" s="400"/>
      <c r="H103" s="400"/>
      <c r="I103" s="401" t="e">
        <f>H103/G103</f>
        <v>#DIV/0!</v>
      </c>
      <c r="J103" s="400"/>
      <c r="K103" s="401" t="e">
        <f>J103/G103</f>
        <v>#DIV/0!</v>
      </c>
      <c r="L103" s="400"/>
      <c r="M103" s="401" t="e">
        <f>(H103+J103)/G103</f>
        <v>#DIV/0!</v>
      </c>
      <c r="N103" s="402"/>
      <c r="O103" s="400"/>
      <c r="P103" s="401" t="e">
        <f>O103/G103</f>
        <v>#DIV/0!</v>
      </c>
      <c r="Q103" s="415">
        <f>O103*L103</f>
        <v>0</v>
      </c>
      <c r="R103" s="403">
        <f>((H103+J103)-G103)-O103</f>
        <v>0</v>
      </c>
      <c r="S103" s="401" t="e">
        <f>R103/G103</f>
        <v>#DIV/0!</v>
      </c>
      <c r="T103" s="405" t="s">
        <v>176</v>
      </c>
      <c r="U103" s="405"/>
      <c r="V103" s="406"/>
      <c r="W103" s="406"/>
      <c r="X103" s="406">
        <v>1</v>
      </c>
      <c r="Y103" s="407"/>
      <c r="Z103" s="408" t="s">
        <v>515</v>
      </c>
      <c r="AA103" s="409">
        <f>SUM(X103:X122)</f>
        <v>20</v>
      </c>
      <c r="AB103" s="410">
        <f>SUMIF($U$103:$U$122,TRIM(AB102),$X$103:$X$122)</f>
        <v>0</v>
      </c>
      <c r="AC103" s="410">
        <f t="shared" ref="AC103:AH103" si="53">SUMIF($U$103:$U$122,TRIM(AC102),$X$103:$X$122)</f>
        <v>0</v>
      </c>
      <c r="AD103" s="410">
        <f t="shared" si="53"/>
        <v>0</v>
      </c>
      <c r="AE103" s="410">
        <f t="shared" si="53"/>
        <v>0</v>
      </c>
      <c r="AF103" s="410">
        <f t="shared" si="53"/>
        <v>0</v>
      </c>
      <c r="AG103" s="410">
        <f t="shared" si="53"/>
        <v>0</v>
      </c>
      <c r="AH103" s="410">
        <f t="shared" si="53"/>
        <v>0</v>
      </c>
    </row>
    <row r="104" spans="2:34" s="150" customFormat="1" ht="27" customHeight="1">
      <c r="B104" s="803"/>
      <c r="C104" s="804"/>
      <c r="D104" s="395">
        <v>2</v>
      </c>
      <c r="E104" s="398"/>
      <c r="F104" s="399"/>
      <c r="G104" s="400"/>
      <c r="H104" s="400"/>
      <c r="I104" s="401" t="e">
        <f t="shared" ref="I104:I105" si="54">H104/G104</f>
        <v>#DIV/0!</v>
      </c>
      <c r="J104" s="400"/>
      <c r="K104" s="401" t="e">
        <f t="shared" ref="K104:K109" si="55">J104/G104</f>
        <v>#DIV/0!</v>
      </c>
      <c r="L104" s="400"/>
      <c r="M104" s="401" t="e">
        <f t="shared" ref="M104:M109" si="56">(H104+J104)/G104</f>
        <v>#DIV/0!</v>
      </c>
      <c r="N104" s="402"/>
      <c r="O104" s="400"/>
      <c r="P104" s="401" t="e">
        <f t="shared" ref="P104:P122" si="57">O104/G104</f>
        <v>#DIV/0!</v>
      </c>
      <c r="Q104" s="415">
        <f t="shared" ref="Q104:Q122" si="58">O104*L104</f>
        <v>0</v>
      </c>
      <c r="R104" s="403">
        <f t="shared" ref="R104:R122" si="59">((H104+J104)-G104)-O104</f>
        <v>0</v>
      </c>
      <c r="S104" s="401" t="e">
        <f t="shared" ref="S104:S122" si="60">R104/G104</f>
        <v>#DIV/0!</v>
      </c>
      <c r="T104" s="405" t="s">
        <v>176</v>
      </c>
      <c r="U104" s="405"/>
      <c r="V104" s="406"/>
      <c r="W104" s="406"/>
      <c r="X104" s="406">
        <v>1</v>
      </c>
      <c r="Y104" s="407"/>
      <c r="AA104" s="409"/>
      <c r="AB104" s="416">
        <f>SUMIF($U$103:$U$122,TRIM(AB102),$F$103:$F$122)</f>
        <v>0</v>
      </c>
      <c r="AC104" s="416">
        <f t="shared" ref="AC104:AH104" si="61">SUMIF($U$103:$U$122,TRIM(AC102),$F$103:$F$122)</f>
        <v>0</v>
      </c>
      <c r="AD104" s="416">
        <f t="shared" si="61"/>
        <v>0</v>
      </c>
      <c r="AE104" s="416">
        <f t="shared" si="61"/>
        <v>0</v>
      </c>
      <c r="AF104" s="416">
        <f t="shared" si="61"/>
        <v>0</v>
      </c>
      <c r="AG104" s="416">
        <f t="shared" si="61"/>
        <v>0</v>
      </c>
      <c r="AH104" s="416">
        <f t="shared" si="61"/>
        <v>0</v>
      </c>
    </row>
    <row r="105" spans="2:34" s="150" customFormat="1" ht="27" customHeight="1">
      <c r="B105" s="803"/>
      <c r="C105" s="804"/>
      <c r="D105" s="395">
        <v>3</v>
      </c>
      <c r="E105" s="398"/>
      <c r="F105" s="399"/>
      <c r="G105" s="400"/>
      <c r="H105" s="400"/>
      <c r="I105" s="401" t="e">
        <f t="shared" si="54"/>
        <v>#DIV/0!</v>
      </c>
      <c r="J105" s="400"/>
      <c r="K105" s="401" t="e">
        <f t="shared" si="55"/>
        <v>#DIV/0!</v>
      </c>
      <c r="L105" s="400"/>
      <c r="M105" s="401" t="e">
        <f t="shared" si="56"/>
        <v>#DIV/0!</v>
      </c>
      <c r="N105" s="402"/>
      <c r="O105" s="400"/>
      <c r="P105" s="401" t="e">
        <f t="shared" si="57"/>
        <v>#DIV/0!</v>
      </c>
      <c r="Q105" s="415">
        <f t="shared" si="58"/>
        <v>0</v>
      </c>
      <c r="R105" s="403">
        <f t="shared" si="59"/>
        <v>0</v>
      </c>
      <c r="S105" s="401" t="e">
        <f t="shared" si="60"/>
        <v>#DIV/0!</v>
      </c>
      <c r="T105" s="405" t="s">
        <v>176</v>
      </c>
      <c r="U105" s="405"/>
      <c r="V105" s="406"/>
      <c r="W105" s="406"/>
      <c r="X105" s="406">
        <v>1</v>
      </c>
      <c r="Y105" s="407"/>
      <c r="AA105" s="395"/>
      <c r="AB105" s="417">
        <f>AB103/$AA103</f>
        <v>0</v>
      </c>
      <c r="AC105" s="417">
        <f t="shared" ref="AC105:AH105" si="62">AC103/$AA103</f>
        <v>0</v>
      </c>
      <c r="AD105" s="417">
        <f t="shared" si="62"/>
        <v>0</v>
      </c>
      <c r="AE105" s="417">
        <f t="shared" si="62"/>
        <v>0</v>
      </c>
      <c r="AF105" s="417">
        <f t="shared" si="62"/>
        <v>0</v>
      </c>
      <c r="AG105" s="417">
        <f t="shared" si="62"/>
        <v>0</v>
      </c>
      <c r="AH105" s="417">
        <f t="shared" si="62"/>
        <v>0</v>
      </c>
    </row>
    <row r="106" spans="2:34" s="150" customFormat="1" ht="27" customHeight="1">
      <c r="B106" s="803"/>
      <c r="C106" s="804"/>
      <c r="D106" s="395">
        <v>4</v>
      </c>
      <c r="E106" s="398"/>
      <c r="F106" s="399"/>
      <c r="G106" s="400"/>
      <c r="H106" s="400"/>
      <c r="I106" s="401" t="e">
        <f>H106/G106</f>
        <v>#DIV/0!</v>
      </c>
      <c r="J106" s="400"/>
      <c r="K106" s="401" t="e">
        <f t="shared" si="55"/>
        <v>#DIV/0!</v>
      </c>
      <c r="L106" s="400"/>
      <c r="M106" s="401" t="e">
        <f t="shared" si="56"/>
        <v>#DIV/0!</v>
      </c>
      <c r="N106" s="402"/>
      <c r="O106" s="400"/>
      <c r="P106" s="401" t="e">
        <f t="shared" si="57"/>
        <v>#DIV/0!</v>
      </c>
      <c r="Q106" s="415">
        <f t="shared" si="58"/>
        <v>0</v>
      </c>
      <c r="R106" s="403">
        <f t="shared" si="59"/>
        <v>0</v>
      </c>
      <c r="S106" s="401" t="e">
        <f t="shared" si="60"/>
        <v>#DIV/0!</v>
      </c>
      <c r="T106" s="405" t="s">
        <v>176</v>
      </c>
      <c r="U106" s="405"/>
      <c r="V106" s="406"/>
      <c r="W106" s="406"/>
      <c r="X106" s="406">
        <v>1</v>
      </c>
      <c r="Y106" s="407"/>
    </row>
    <row r="107" spans="2:34" s="150" customFormat="1" ht="27" customHeight="1">
      <c r="B107" s="803"/>
      <c r="C107" s="804"/>
      <c r="D107" s="395">
        <v>5</v>
      </c>
      <c r="E107" s="398"/>
      <c r="F107" s="399"/>
      <c r="G107" s="400"/>
      <c r="H107" s="400"/>
      <c r="I107" s="401" t="e">
        <f t="shared" ref="I107:I122" si="63">H107/G107</f>
        <v>#DIV/0!</v>
      </c>
      <c r="J107" s="400"/>
      <c r="K107" s="401" t="e">
        <f t="shared" si="55"/>
        <v>#DIV/0!</v>
      </c>
      <c r="L107" s="400"/>
      <c r="M107" s="401" t="e">
        <f t="shared" si="56"/>
        <v>#DIV/0!</v>
      </c>
      <c r="N107" s="402"/>
      <c r="O107" s="400"/>
      <c r="P107" s="401" t="e">
        <f t="shared" si="57"/>
        <v>#DIV/0!</v>
      </c>
      <c r="Q107" s="415">
        <f t="shared" si="58"/>
        <v>0</v>
      </c>
      <c r="R107" s="403">
        <f t="shared" si="59"/>
        <v>0</v>
      </c>
      <c r="S107" s="401" t="e">
        <f t="shared" si="60"/>
        <v>#DIV/0!</v>
      </c>
      <c r="T107" s="405" t="s">
        <v>176</v>
      </c>
      <c r="U107" s="405"/>
      <c r="V107" s="406"/>
      <c r="W107" s="406"/>
      <c r="X107" s="406">
        <v>1</v>
      </c>
      <c r="Y107" s="407"/>
    </row>
    <row r="108" spans="2:34" s="150" customFormat="1" ht="27" customHeight="1">
      <c r="B108" s="803"/>
      <c r="C108" s="804"/>
      <c r="D108" s="395">
        <v>6</v>
      </c>
      <c r="E108" s="398"/>
      <c r="F108" s="399"/>
      <c r="G108" s="400"/>
      <c r="H108" s="400"/>
      <c r="I108" s="401" t="e">
        <f t="shared" si="63"/>
        <v>#DIV/0!</v>
      </c>
      <c r="J108" s="400"/>
      <c r="K108" s="401" t="e">
        <f t="shared" si="55"/>
        <v>#DIV/0!</v>
      </c>
      <c r="L108" s="400"/>
      <c r="M108" s="401" t="e">
        <f t="shared" si="56"/>
        <v>#DIV/0!</v>
      </c>
      <c r="N108" s="402"/>
      <c r="O108" s="400"/>
      <c r="P108" s="401" t="e">
        <f t="shared" si="57"/>
        <v>#DIV/0!</v>
      </c>
      <c r="Q108" s="415">
        <f t="shared" si="58"/>
        <v>0</v>
      </c>
      <c r="R108" s="403">
        <f t="shared" si="59"/>
        <v>0</v>
      </c>
      <c r="S108" s="401" t="e">
        <f t="shared" si="60"/>
        <v>#DIV/0!</v>
      </c>
      <c r="T108" s="405" t="s">
        <v>176</v>
      </c>
      <c r="U108" s="405"/>
      <c r="V108" s="406"/>
      <c r="W108" s="406"/>
      <c r="X108" s="406">
        <v>1</v>
      </c>
      <c r="Y108" s="407"/>
    </row>
    <row r="109" spans="2:34" s="150" customFormat="1" ht="27" customHeight="1">
      <c r="B109" s="803"/>
      <c r="C109" s="804"/>
      <c r="D109" s="395">
        <v>7</v>
      </c>
      <c r="E109" s="398"/>
      <c r="F109" s="399"/>
      <c r="G109" s="400"/>
      <c r="H109" s="400"/>
      <c r="I109" s="401" t="e">
        <f t="shared" si="63"/>
        <v>#DIV/0!</v>
      </c>
      <c r="J109" s="400"/>
      <c r="K109" s="401" t="e">
        <f t="shared" si="55"/>
        <v>#DIV/0!</v>
      </c>
      <c r="L109" s="400"/>
      <c r="M109" s="401" t="e">
        <f t="shared" si="56"/>
        <v>#DIV/0!</v>
      </c>
      <c r="N109" s="402"/>
      <c r="O109" s="400"/>
      <c r="P109" s="401" t="e">
        <f t="shared" si="57"/>
        <v>#DIV/0!</v>
      </c>
      <c r="Q109" s="415">
        <f t="shared" si="58"/>
        <v>0</v>
      </c>
      <c r="R109" s="403">
        <f t="shared" si="59"/>
        <v>0</v>
      </c>
      <c r="S109" s="401" t="e">
        <f t="shared" si="60"/>
        <v>#DIV/0!</v>
      </c>
      <c r="T109" s="405" t="s">
        <v>176</v>
      </c>
      <c r="U109" s="405"/>
      <c r="V109" s="406"/>
      <c r="W109" s="406"/>
      <c r="X109" s="406">
        <v>1</v>
      </c>
      <c r="Y109" s="407"/>
    </row>
    <row r="110" spans="2:34" s="150" customFormat="1" ht="27" customHeight="1">
      <c r="B110" s="803"/>
      <c r="C110" s="804"/>
      <c r="D110" s="395">
        <v>8</v>
      </c>
      <c r="E110" s="398"/>
      <c r="F110" s="399"/>
      <c r="G110" s="400"/>
      <c r="H110" s="400"/>
      <c r="I110" s="401" t="e">
        <f t="shared" si="63"/>
        <v>#DIV/0!</v>
      </c>
      <c r="J110" s="400"/>
      <c r="K110" s="401" t="e">
        <f>J110/G110</f>
        <v>#DIV/0!</v>
      </c>
      <c r="L110" s="400"/>
      <c r="M110" s="401" t="e">
        <f>(H110+J110)/G110</f>
        <v>#DIV/0!</v>
      </c>
      <c r="N110" s="402"/>
      <c r="O110" s="400"/>
      <c r="P110" s="401" t="e">
        <f t="shared" si="57"/>
        <v>#DIV/0!</v>
      </c>
      <c r="Q110" s="415">
        <f t="shared" si="58"/>
        <v>0</v>
      </c>
      <c r="R110" s="403">
        <f t="shared" si="59"/>
        <v>0</v>
      </c>
      <c r="S110" s="401" t="e">
        <f t="shared" si="60"/>
        <v>#DIV/0!</v>
      </c>
      <c r="T110" s="405" t="s">
        <v>176</v>
      </c>
      <c r="U110" s="405"/>
      <c r="V110" s="406"/>
      <c r="W110" s="406"/>
      <c r="X110" s="406">
        <v>1</v>
      </c>
      <c r="Y110" s="407"/>
    </row>
    <row r="111" spans="2:34" s="150" customFormat="1" ht="27" customHeight="1">
      <c r="B111" s="803"/>
      <c r="C111" s="804"/>
      <c r="D111" s="395">
        <v>9</v>
      </c>
      <c r="E111" s="398"/>
      <c r="F111" s="399"/>
      <c r="G111" s="400"/>
      <c r="H111" s="400"/>
      <c r="I111" s="401" t="e">
        <f t="shared" si="63"/>
        <v>#DIV/0!</v>
      </c>
      <c r="J111" s="400"/>
      <c r="K111" s="401" t="e">
        <f t="shared" ref="K111:K122" si="64">J111/G111</f>
        <v>#DIV/0!</v>
      </c>
      <c r="L111" s="400"/>
      <c r="M111" s="401" t="e">
        <f t="shared" ref="M111:M122" si="65">(H111+J111)/G111</f>
        <v>#DIV/0!</v>
      </c>
      <c r="N111" s="402"/>
      <c r="O111" s="400"/>
      <c r="P111" s="401" t="e">
        <f t="shared" si="57"/>
        <v>#DIV/0!</v>
      </c>
      <c r="Q111" s="415">
        <f t="shared" si="58"/>
        <v>0</v>
      </c>
      <c r="R111" s="403">
        <f t="shared" si="59"/>
        <v>0</v>
      </c>
      <c r="S111" s="401" t="e">
        <f t="shared" si="60"/>
        <v>#DIV/0!</v>
      </c>
      <c r="T111" s="405" t="s">
        <v>176</v>
      </c>
      <c r="U111" s="405"/>
      <c r="V111" s="405"/>
      <c r="W111" s="431"/>
      <c r="X111" s="406">
        <v>1</v>
      </c>
      <c r="Y111" s="407"/>
    </row>
    <row r="112" spans="2:34" s="150" customFormat="1" ht="27" customHeight="1">
      <c r="B112" s="803"/>
      <c r="C112" s="804"/>
      <c r="D112" s="395">
        <v>10</v>
      </c>
      <c r="E112" s="398"/>
      <c r="F112" s="399"/>
      <c r="G112" s="400"/>
      <c r="H112" s="400"/>
      <c r="I112" s="401" t="e">
        <f t="shared" si="63"/>
        <v>#DIV/0!</v>
      </c>
      <c r="J112" s="400"/>
      <c r="K112" s="401" t="e">
        <f t="shared" si="64"/>
        <v>#DIV/0!</v>
      </c>
      <c r="L112" s="400"/>
      <c r="M112" s="401" t="e">
        <f t="shared" si="65"/>
        <v>#DIV/0!</v>
      </c>
      <c r="N112" s="402"/>
      <c r="O112" s="400"/>
      <c r="P112" s="401" t="e">
        <f t="shared" si="57"/>
        <v>#DIV/0!</v>
      </c>
      <c r="Q112" s="415">
        <f t="shared" si="58"/>
        <v>0</v>
      </c>
      <c r="R112" s="403">
        <f t="shared" si="59"/>
        <v>0</v>
      </c>
      <c r="S112" s="401" t="e">
        <f t="shared" si="60"/>
        <v>#DIV/0!</v>
      </c>
      <c r="T112" s="405" t="s">
        <v>176</v>
      </c>
      <c r="U112" s="405"/>
      <c r="V112" s="406"/>
      <c r="W112" s="406"/>
      <c r="X112" s="406">
        <v>1</v>
      </c>
      <c r="Y112" s="407"/>
    </row>
    <row r="113" spans="2:34" s="150" customFormat="1" ht="27" customHeight="1">
      <c r="B113" s="803"/>
      <c r="C113" s="804"/>
      <c r="D113" s="395">
        <v>11</v>
      </c>
      <c r="E113" s="398"/>
      <c r="F113" s="399"/>
      <c r="G113" s="400"/>
      <c r="H113" s="400"/>
      <c r="I113" s="401" t="e">
        <f t="shared" si="63"/>
        <v>#DIV/0!</v>
      </c>
      <c r="J113" s="400"/>
      <c r="K113" s="401" t="e">
        <f t="shared" si="64"/>
        <v>#DIV/0!</v>
      </c>
      <c r="L113" s="400"/>
      <c r="M113" s="401" t="e">
        <f t="shared" si="65"/>
        <v>#DIV/0!</v>
      </c>
      <c r="N113" s="402"/>
      <c r="O113" s="400"/>
      <c r="P113" s="401" t="e">
        <f t="shared" si="57"/>
        <v>#DIV/0!</v>
      </c>
      <c r="Q113" s="415">
        <f t="shared" si="58"/>
        <v>0</v>
      </c>
      <c r="R113" s="403">
        <f t="shared" si="59"/>
        <v>0</v>
      </c>
      <c r="S113" s="401" t="e">
        <f t="shared" si="60"/>
        <v>#DIV/0!</v>
      </c>
      <c r="T113" s="405" t="s">
        <v>176</v>
      </c>
      <c r="U113" s="405"/>
      <c r="V113" s="406"/>
      <c r="W113" s="406"/>
      <c r="X113" s="406">
        <v>1</v>
      </c>
      <c r="Y113" s="407"/>
    </row>
    <row r="114" spans="2:34" s="150" customFormat="1" ht="27" customHeight="1">
      <c r="B114" s="803"/>
      <c r="C114" s="804"/>
      <c r="D114" s="395">
        <v>12</v>
      </c>
      <c r="E114" s="398"/>
      <c r="F114" s="399"/>
      <c r="G114" s="400"/>
      <c r="H114" s="400"/>
      <c r="I114" s="401" t="e">
        <f t="shared" si="63"/>
        <v>#DIV/0!</v>
      </c>
      <c r="J114" s="400"/>
      <c r="K114" s="401" t="e">
        <f t="shared" si="64"/>
        <v>#DIV/0!</v>
      </c>
      <c r="L114" s="400"/>
      <c r="M114" s="401" t="e">
        <f t="shared" si="65"/>
        <v>#DIV/0!</v>
      </c>
      <c r="N114" s="402"/>
      <c r="O114" s="400"/>
      <c r="P114" s="401" t="e">
        <f t="shared" si="57"/>
        <v>#DIV/0!</v>
      </c>
      <c r="Q114" s="415">
        <f t="shared" si="58"/>
        <v>0</v>
      </c>
      <c r="R114" s="403">
        <f t="shared" si="59"/>
        <v>0</v>
      </c>
      <c r="S114" s="401" t="e">
        <f t="shared" si="60"/>
        <v>#DIV/0!</v>
      </c>
      <c r="T114" s="405" t="s">
        <v>176</v>
      </c>
      <c r="U114" s="405"/>
      <c r="V114" s="406"/>
      <c r="W114" s="406"/>
      <c r="X114" s="406">
        <v>1</v>
      </c>
      <c r="Y114" s="407"/>
    </row>
    <row r="115" spans="2:34" s="150" customFormat="1" ht="27" customHeight="1">
      <c r="B115" s="803"/>
      <c r="C115" s="804"/>
      <c r="D115" s="395">
        <v>13</v>
      </c>
      <c r="E115" s="398"/>
      <c r="F115" s="399"/>
      <c r="G115" s="400"/>
      <c r="H115" s="400"/>
      <c r="I115" s="401" t="e">
        <f t="shared" si="63"/>
        <v>#DIV/0!</v>
      </c>
      <c r="J115" s="400"/>
      <c r="K115" s="401" t="e">
        <f t="shared" si="64"/>
        <v>#DIV/0!</v>
      </c>
      <c r="L115" s="400"/>
      <c r="M115" s="401" t="e">
        <f t="shared" si="65"/>
        <v>#DIV/0!</v>
      </c>
      <c r="N115" s="402"/>
      <c r="O115" s="400"/>
      <c r="P115" s="401" t="e">
        <f t="shared" si="57"/>
        <v>#DIV/0!</v>
      </c>
      <c r="Q115" s="415">
        <f t="shared" si="58"/>
        <v>0</v>
      </c>
      <c r="R115" s="403">
        <f t="shared" si="59"/>
        <v>0</v>
      </c>
      <c r="S115" s="401" t="e">
        <f t="shared" si="60"/>
        <v>#DIV/0!</v>
      </c>
      <c r="T115" s="405" t="s">
        <v>176</v>
      </c>
      <c r="U115" s="405"/>
      <c r="V115" s="406"/>
      <c r="W115" s="406"/>
      <c r="X115" s="406">
        <v>1</v>
      </c>
      <c r="Y115" s="407"/>
    </row>
    <row r="116" spans="2:34" s="150" customFormat="1" ht="27" customHeight="1">
      <c r="B116" s="803"/>
      <c r="C116" s="804"/>
      <c r="D116" s="395">
        <v>14</v>
      </c>
      <c r="E116" s="398"/>
      <c r="F116" s="399"/>
      <c r="G116" s="400"/>
      <c r="H116" s="400"/>
      <c r="I116" s="401" t="e">
        <f t="shared" si="63"/>
        <v>#DIV/0!</v>
      </c>
      <c r="J116" s="400"/>
      <c r="K116" s="401" t="e">
        <f t="shared" si="64"/>
        <v>#DIV/0!</v>
      </c>
      <c r="L116" s="400"/>
      <c r="M116" s="401" t="e">
        <f t="shared" si="65"/>
        <v>#DIV/0!</v>
      </c>
      <c r="N116" s="402"/>
      <c r="O116" s="400"/>
      <c r="P116" s="401" t="e">
        <f t="shared" si="57"/>
        <v>#DIV/0!</v>
      </c>
      <c r="Q116" s="415">
        <f t="shared" si="58"/>
        <v>0</v>
      </c>
      <c r="R116" s="403">
        <f t="shared" si="59"/>
        <v>0</v>
      </c>
      <c r="S116" s="401" t="e">
        <f t="shared" si="60"/>
        <v>#DIV/0!</v>
      </c>
      <c r="T116" s="405" t="s">
        <v>176</v>
      </c>
      <c r="U116" s="405"/>
      <c r="V116" s="406"/>
      <c r="W116" s="406"/>
      <c r="X116" s="406">
        <v>1</v>
      </c>
      <c r="Y116" s="407"/>
      <c r="AC116" s="412"/>
    </row>
    <row r="117" spans="2:34" s="150" customFormat="1" ht="27" customHeight="1">
      <c r="B117" s="803"/>
      <c r="C117" s="804"/>
      <c r="D117" s="395">
        <v>15</v>
      </c>
      <c r="E117" s="398"/>
      <c r="F117" s="399"/>
      <c r="G117" s="400"/>
      <c r="H117" s="400"/>
      <c r="I117" s="401" t="e">
        <f t="shared" si="63"/>
        <v>#DIV/0!</v>
      </c>
      <c r="J117" s="400"/>
      <c r="K117" s="401" t="e">
        <f t="shared" si="64"/>
        <v>#DIV/0!</v>
      </c>
      <c r="L117" s="400"/>
      <c r="M117" s="401" t="e">
        <f t="shared" si="65"/>
        <v>#DIV/0!</v>
      </c>
      <c r="N117" s="402"/>
      <c r="O117" s="400"/>
      <c r="P117" s="401" t="e">
        <f t="shared" si="57"/>
        <v>#DIV/0!</v>
      </c>
      <c r="Q117" s="415">
        <f t="shared" si="58"/>
        <v>0</v>
      </c>
      <c r="R117" s="403">
        <f t="shared" si="59"/>
        <v>0</v>
      </c>
      <c r="S117" s="401" t="e">
        <f t="shared" si="60"/>
        <v>#DIV/0!</v>
      </c>
      <c r="T117" s="405" t="s">
        <v>176</v>
      </c>
      <c r="U117" s="405"/>
      <c r="V117" s="406"/>
      <c r="W117" s="406"/>
      <c r="X117" s="406">
        <v>1</v>
      </c>
      <c r="Y117" s="407"/>
      <c r="AC117" s="411"/>
    </row>
    <row r="118" spans="2:34" s="150" customFormat="1" ht="27" customHeight="1">
      <c r="B118" s="803"/>
      <c r="C118" s="804"/>
      <c r="D118" s="395">
        <v>16</v>
      </c>
      <c r="E118" s="398"/>
      <c r="F118" s="399"/>
      <c r="G118" s="400"/>
      <c r="H118" s="400"/>
      <c r="I118" s="401" t="e">
        <f t="shared" si="63"/>
        <v>#DIV/0!</v>
      </c>
      <c r="J118" s="400"/>
      <c r="K118" s="401" t="e">
        <f t="shared" si="64"/>
        <v>#DIV/0!</v>
      </c>
      <c r="L118" s="400"/>
      <c r="M118" s="401" t="e">
        <f t="shared" si="65"/>
        <v>#DIV/0!</v>
      </c>
      <c r="N118" s="402"/>
      <c r="O118" s="400"/>
      <c r="P118" s="401" t="e">
        <f t="shared" si="57"/>
        <v>#DIV/0!</v>
      </c>
      <c r="Q118" s="415">
        <f t="shared" si="58"/>
        <v>0</v>
      </c>
      <c r="R118" s="403">
        <f t="shared" si="59"/>
        <v>0</v>
      </c>
      <c r="S118" s="401" t="e">
        <f t="shared" si="60"/>
        <v>#DIV/0!</v>
      </c>
      <c r="T118" s="405" t="s">
        <v>176</v>
      </c>
      <c r="U118" s="405"/>
      <c r="V118" s="406"/>
      <c r="W118" s="406"/>
      <c r="X118" s="406">
        <v>1</v>
      </c>
      <c r="Y118" s="407"/>
      <c r="AC118" s="411"/>
    </row>
    <row r="119" spans="2:34" s="150" customFormat="1" ht="27" customHeight="1">
      <c r="B119" s="803"/>
      <c r="C119" s="804"/>
      <c r="D119" s="395">
        <v>17</v>
      </c>
      <c r="E119" s="398"/>
      <c r="F119" s="399"/>
      <c r="G119" s="400"/>
      <c r="H119" s="400"/>
      <c r="I119" s="401" t="e">
        <f t="shared" si="63"/>
        <v>#DIV/0!</v>
      </c>
      <c r="J119" s="400"/>
      <c r="K119" s="401" t="e">
        <f t="shared" si="64"/>
        <v>#DIV/0!</v>
      </c>
      <c r="L119" s="400"/>
      <c r="M119" s="401" t="e">
        <f t="shared" si="65"/>
        <v>#DIV/0!</v>
      </c>
      <c r="N119" s="402"/>
      <c r="O119" s="400"/>
      <c r="P119" s="401" t="e">
        <f t="shared" si="57"/>
        <v>#DIV/0!</v>
      </c>
      <c r="Q119" s="415">
        <f t="shared" si="58"/>
        <v>0</v>
      </c>
      <c r="R119" s="403">
        <f t="shared" si="59"/>
        <v>0</v>
      </c>
      <c r="S119" s="401" t="e">
        <f t="shared" si="60"/>
        <v>#DIV/0!</v>
      </c>
      <c r="T119" s="405" t="s">
        <v>176</v>
      </c>
      <c r="U119" s="405"/>
      <c r="V119" s="406"/>
      <c r="W119" s="431"/>
      <c r="X119" s="406">
        <v>1</v>
      </c>
      <c r="Y119" s="407"/>
      <c r="AB119" s="413"/>
      <c r="AC119" s="411"/>
    </row>
    <row r="120" spans="2:34" s="150" customFormat="1" ht="27" customHeight="1">
      <c r="B120" s="803"/>
      <c r="C120" s="804"/>
      <c r="D120" s="395">
        <v>18</v>
      </c>
      <c r="E120" s="398"/>
      <c r="F120" s="399"/>
      <c r="G120" s="400"/>
      <c r="H120" s="400"/>
      <c r="I120" s="401" t="e">
        <f t="shared" si="63"/>
        <v>#DIV/0!</v>
      </c>
      <c r="J120" s="400"/>
      <c r="K120" s="401" t="e">
        <f t="shared" si="64"/>
        <v>#DIV/0!</v>
      </c>
      <c r="L120" s="400"/>
      <c r="M120" s="401" t="e">
        <f t="shared" si="65"/>
        <v>#DIV/0!</v>
      </c>
      <c r="N120" s="402"/>
      <c r="O120" s="400"/>
      <c r="P120" s="401" t="e">
        <f t="shared" si="57"/>
        <v>#DIV/0!</v>
      </c>
      <c r="Q120" s="415">
        <f t="shared" si="58"/>
        <v>0</v>
      </c>
      <c r="R120" s="403">
        <f t="shared" si="59"/>
        <v>0</v>
      </c>
      <c r="S120" s="401" t="e">
        <f t="shared" si="60"/>
        <v>#DIV/0!</v>
      </c>
      <c r="T120" s="405" t="s">
        <v>176</v>
      </c>
      <c r="U120" s="405"/>
      <c r="V120" s="406"/>
      <c r="W120" s="406"/>
      <c r="X120" s="406">
        <v>1</v>
      </c>
      <c r="Y120" s="407"/>
      <c r="AC120" s="411"/>
    </row>
    <row r="121" spans="2:34" s="150" customFormat="1" ht="27" customHeight="1">
      <c r="B121" s="803"/>
      <c r="C121" s="804"/>
      <c r="D121" s="395">
        <v>19</v>
      </c>
      <c r="E121" s="398"/>
      <c r="F121" s="399"/>
      <c r="G121" s="400"/>
      <c r="H121" s="400"/>
      <c r="I121" s="401" t="e">
        <f t="shared" si="63"/>
        <v>#DIV/0!</v>
      </c>
      <c r="J121" s="400"/>
      <c r="K121" s="401" t="e">
        <f t="shared" si="64"/>
        <v>#DIV/0!</v>
      </c>
      <c r="L121" s="400"/>
      <c r="M121" s="401" t="e">
        <f t="shared" si="65"/>
        <v>#DIV/0!</v>
      </c>
      <c r="N121" s="402"/>
      <c r="O121" s="400"/>
      <c r="P121" s="401" t="e">
        <f t="shared" si="57"/>
        <v>#DIV/0!</v>
      </c>
      <c r="Q121" s="415">
        <f t="shared" si="58"/>
        <v>0</v>
      </c>
      <c r="R121" s="403">
        <f t="shared" si="59"/>
        <v>0</v>
      </c>
      <c r="S121" s="401" t="e">
        <f t="shared" si="60"/>
        <v>#DIV/0!</v>
      </c>
      <c r="T121" s="405" t="s">
        <v>176</v>
      </c>
      <c r="U121" s="405"/>
      <c r="V121" s="406"/>
      <c r="W121" s="406"/>
      <c r="X121" s="406">
        <v>1</v>
      </c>
      <c r="Y121" s="407"/>
      <c r="AB121" s="414"/>
      <c r="AC121" s="411"/>
    </row>
    <row r="122" spans="2:34" s="150" customFormat="1" ht="27" customHeight="1">
      <c r="B122" s="805"/>
      <c r="C122" s="806"/>
      <c r="D122" s="395">
        <v>20</v>
      </c>
      <c r="E122" s="398"/>
      <c r="F122" s="399"/>
      <c r="G122" s="400"/>
      <c r="H122" s="400"/>
      <c r="I122" s="401" t="e">
        <f t="shared" si="63"/>
        <v>#DIV/0!</v>
      </c>
      <c r="J122" s="400"/>
      <c r="K122" s="401" t="e">
        <f t="shared" si="64"/>
        <v>#DIV/0!</v>
      </c>
      <c r="L122" s="400"/>
      <c r="M122" s="401" t="e">
        <f t="shared" si="65"/>
        <v>#DIV/0!</v>
      </c>
      <c r="N122" s="402"/>
      <c r="O122" s="400"/>
      <c r="P122" s="401" t="e">
        <f t="shared" si="57"/>
        <v>#DIV/0!</v>
      </c>
      <c r="Q122" s="415">
        <f t="shared" si="58"/>
        <v>0</v>
      </c>
      <c r="R122" s="403">
        <f t="shared" si="59"/>
        <v>0</v>
      </c>
      <c r="S122" s="401" t="e">
        <f t="shared" si="60"/>
        <v>#DIV/0!</v>
      </c>
      <c r="T122" s="405" t="s">
        <v>176</v>
      </c>
      <c r="U122" s="405"/>
      <c r="V122" s="406"/>
      <c r="W122" s="406"/>
      <c r="X122" s="406">
        <v>1</v>
      </c>
      <c r="Y122" s="407"/>
      <c r="AB122" s="414"/>
      <c r="AC122" s="411"/>
    </row>
    <row r="123" spans="2:34">
      <c r="Z123" s="150"/>
      <c r="AA123" s="150"/>
      <c r="AB123" s="150"/>
      <c r="AC123" s="411"/>
      <c r="AD123" s="150"/>
      <c r="AE123" s="150"/>
      <c r="AF123" s="150"/>
      <c r="AG123" s="150"/>
      <c r="AH123" s="150"/>
    </row>
    <row r="124" spans="2:34">
      <c r="Z124" s="150"/>
      <c r="AA124" s="150"/>
      <c r="AB124" s="413"/>
      <c r="AC124" s="411"/>
      <c r="AD124" s="150"/>
      <c r="AE124" s="150"/>
      <c r="AF124" s="150"/>
      <c r="AG124" s="150"/>
      <c r="AH124" s="150"/>
    </row>
    <row r="125" spans="2:34">
      <c r="Z125" s="150"/>
      <c r="AA125" s="150"/>
      <c r="AB125" s="150"/>
      <c r="AC125" s="411"/>
      <c r="AD125" s="150"/>
      <c r="AE125" s="150"/>
      <c r="AF125" s="150"/>
      <c r="AG125" s="150"/>
      <c r="AH125" s="150"/>
    </row>
    <row r="126" spans="2:34">
      <c r="Z126" s="150"/>
      <c r="AA126" s="150"/>
      <c r="AB126" s="414"/>
      <c r="AC126" s="411"/>
      <c r="AD126" s="150"/>
      <c r="AE126" s="150"/>
      <c r="AF126" s="150"/>
      <c r="AG126" s="150"/>
      <c r="AH126" s="150"/>
    </row>
    <row r="127" spans="2:34">
      <c r="Z127" s="150"/>
      <c r="AA127" s="150"/>
      <c r="AB127" s="414"/>
      <c r="AC127" s="411"/>
      <c r="AD127" s="150"/>
      <c r="AE127" s="150"/>
      <c r="AF127" s="150"/>
      <c r="AG127" s="150"/>
      <c r="AH127" s="150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1"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4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66" t="s">
        <v>12</v>
      </c>
      <c r="D21" s="849"/>
      <c r="E21" s="842"/>
      <c r="F21" s="49" t="s">
        <v>46</v>
      </c>
      <c r="G21" s="49" t="s">
        <v>48</v>
      </c>
      <c r="H21" s="49" t="s">
        <v>49</v>
      </c>
      <c r="I21" s="8" t="s">
        <v>13</v>
      </c>
      <c r="J21" s="858" t="s">
        <v>51</v>
      </c>
      <c r="K21" s="842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1" t="s">
        <v>14</v>
      </c>
      <c r="D22" s="849"/>
      <c r="E22" s="842"/>
      <c r="F22" s="4">
        <v>3</v>
      </c>
      <c r="G22" s="4">
        <v>3000</v>
      </c>
      <c r="H22" s="4">
        <v>1000</v>
      </c>
      <c r="I22" s="4">
        <v>10</v>
      </c>
      <c r="J22" s="848" t="s">
        <v>76</v>
      </c>
      <c r="K22" s="842"/>
      <c r="M22" s="52" t="s">
        <v>26</v>
      </c>
      <c r="N22" s="57" t="s">
        <v>47</v>
      </c>
      <c r="O22" s="854" t="s">
        <v>12</v>
      </c>
      <c r="P22" s="849"/>
      <c r="Q22" s="842"/>
      <c r="R22" s="860" t="s">
        <v>53</v>
      </c>
      <c r="S22" s="849"/>
      <c r="T22" s="842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58" t="s">
        <v>51</v>
      </c>
      <c r="AA22" s="842"/>
    </row>
    <row r="23" spans="1:27" ht="15.75" customHeight="1">
      <c r="A23" s="23"/>
      <c r="B23" s="6">
        <v>2</v>
      </c>
      <c r="C23" s="863"/>
      <c r="D23" s="849"/>
      <c r="E23" s="842"/>
      <c r="F23" s="4"/>
      <c r="G23" s="4"/>
      <c r="H23" s="4"/>
      <c r="I23" s="4"/>
      <c r="J23" s="863"/>
      <c r="K23" s="842"/>
      <c r="M23" s="56" t="s">
        <v>42</v>
      </c>
      <c r="N23" s="24">
        <v>1</v>
      </c>
      <c r="O23" s="848" t="s">
        <v>82</v>
      </c>
      <c r="P23" s="849"/>
      <c r="Q23" s="842"/>
      <c r="R23" s="848" t="s">
        <v>85</v>
      </c>
      <c r="S23" s="849"/>
      <c r="T23" s="842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48" t="s">
        <v>86</v>
      </c>
      <c r="AA23" s="842"/>
    </row>
    <row r="24" spans="1:27" ht="15.75" customHeight="1">
      <c r="A24" s="23"/>
      <c r="B24" s="6">
        <v>3</v>
      </c>
      <c r="C24" s="863"/>
      <c r="D24" s="849"/>
      <c r="E24" s="842"/>
      <c r="F24" s="4"/>
      <c r="G24" s="4"/>
      <c r="H24" s="4"/>
      <c r="I24" s="4"/>
      <c r="J24" s="863"/>
      <c r="K24" s="842"/>
      <c r="M24" s="25"/>
      <c r="N24" s="24">
        <v>2</v>
      </c>
      <c r="O24" s="841"/>
      <c r="P24" s="849"/>
      <c r="Q24" s="842"/>
      <c r="R24" s="841"/>
      <c r="S24" s="849"/>
      <c r="T24" s="842"/>
      <c r="U24" s="4"/>
      <c r="V24" s="14"/>
      <c r="W24" s="4"/>
      <c r="X24" s="16">
        <f t="shared" si="16"/>
        <v>0</v>
      </c>
      <c r="Y24" s="4"/>
      <c r="Z24" s="841"/>
      <c r="AA24" s="842"/>
    </row>
    <row r="25" spans="1:27" ht="15.75" customHeight="1">
      <c r="A25" s="23"/>
      <c r="B25" s="6">
        <v>4</v>
      </c>
      <c r="C25" s="863"/>
      <c r="D25" s="849"/>
      <c r="E25" s="842"/>
      <c r="F25" s="4"/>
      <c r="G25" s="4"/>
      <c r="H25" s="4"/>
      <c r="I25" s="4"/>
      <c r="J25" s="863"/>
      <c r="K25" s="842"/>
      <c r="M25" s="25"/>
      <c r="N25" s="24">
        <v>3</v>
      </c>
      <c r="O25" s="841"/>
      <c r="P25" s="849"/>
      <c r="Q25" s="842"/>
      <c r="R25" s="841"/>
      <c r="S25" s="849"/>
      <c r="T25" s="842"/>
      <c r="U25" s="4"/>
      <c r="V25" s="14"/>
      <c r="W25" s="4"/>
      <c r="X25" s="16">
        <f t="shared" si="16"/>
        <v>0</v>
      </c>
      <c r="Y25" s="4"/>
      <c r="Z25" s="841"/>
      <c r="AA25" s="842"/>
    </row>
    <row r="26" spans="1:27" ht="15.75" customHeight="1">
      <c r="A26" s="23"/>
      <c r="B26" s="26">
        <v>5</v>
      </c>
      <c r="C26" s="867"/>
      <c r="D26" s="850"/>
      <c r="E26" s="844"/>
      <c r="F26" s="27"/>
      <c r="G26" s="27"/>
      <c r="H26" s="27"/>
      <c r="I26" s="27"/>
      <c r="J26" s="867"/>
      <c r="K26" s="844"/>
      <c r="M26" s="25"/>
      <c r="N26" s="24">
        <v>4</v>
      </c>
      <c r="O26" s="841"/>
      <c r="P26" s="849"/>
      <c r="Q26" s="842"/>
      <c r="R26" s="841"/>
      <c r="S26" s="849"/>
      <c r="T26" s="842"/>
      <c r="U26" s="4"/>
      <c r="V26" s="14"/>
      <c r="W26" s="4"/>
      <c r="X26" s="16">
        <f t="shared" si="16"/>
        <v>0</v>
      </c>
      <c r="Y26" s="4"/>
      <c r="Z26" s="841"/>
      <c r="AA26" s="842"/>
    </row>
    <row r="27" spans="1:27" ht="15.75" customHeight="1">
      <c r="A27" s="23"/>
      <c r="B27" s="69" t="s">
        <v>101</v>
      </c>
      <c r="C27" s="851" t="s">
        <v>75</v>
      </c>
      <c r="D27" s="852"/>
      <c r="E27" s="853"/>
      <c r="F27" s="28">
        <v>4</v>
      </c>
      <c r="G27" s="28">
        <v>2800</v>
      </c>
      <c r="H27" s="28">
        <v>700</v>
      </c>
      <c r="I27" s="28" t="s">
        <v>15</v>
      </c>
      <c r="J27" s="851" t="s">
        <v>77</v>
      </c>
      <c r="K27" s="853"/>
      <c r="M27" s="25"/>
      <c r="N27" s="29">
        <v>5</v>
      </c>
      <c r="O27" s="843"/>
      <c r="P27" s="850"/>
      <c r="Q27" s="844"/>
      <c r="R27" s="843"/>
      <c r="S27" s="850"/>
      <c r="T27" s="844"/>
      <c r="U27" s="27"/>
      <c r="V27" s="30"/>
      <c r="W27" s="27"/>
      <c r="X27" s="31">
        <f t="shared" si="16"/>
        <v>0</v>
      </c>
      <c r="Y27" s="4"/>
      <c r="Z27" s="843"/>
      <c r="AA27" s="844"/>
    </row>
    <row r="28" spans="1:27" ht="15.75" customHeight="1">
      <c r="A28" s="23"/>
      <c r="B28" s="70" t="s">
        <v>102</v>
      </c>
      <c r="C28" s="863"/>
      <c r="D28" s="849"/>
      <c r="E28" s="842"/>
      <c r="F28" s="4"/>
      <c r="G28" s="4"/>
      <c r="H28" s="4"/>
      <c r="I28" s="4"/>
      <c r="J28" s="863"/>
      <c r="K28" s="842"/>
      <c r="M28" s="32"/>
      <c r="N28" s="55"/>
      <c r="O28" s="845"/>
      <c r="P28" s="849"/>
      <c r="Q28" s="849"/>
      <c r="R28" s="845"/>
      <c r="S28" s="849"/>
      <c r="T28" s="84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45"/>
      <c r="AA28" s="842"/>
    </row>
    <row r="29" spans="1:27" ht="15.75" customHeight="1">
      <c r="A29" s="23"/>
      <c r="B29" s="70" t="s">
        <v>100</v>
      </c>
      <c r="C29" s="863"/>
      <c r="D29" s="849"/>
      <c r="E29" s="842"/>
      <c r="F29" s="4"/>
      <c r="G29" s="4"/>
      <c r="H29" s="4"/>
      <c r="I29" s="4"/>
      <c r="J29" s="863"/>
      <c r="K29" s="842"/>
      <c r="M29" s="56" t="s">
        <v>43</v>
      </c>
      <c r="N29" s="24">
        <v>1</v>
      </c>
      <c r="O29" s="864" t="s">
        <v>16</v>
      </c>
      <c r="P29" s="865"/>
      <c r="Q29" s="847"/>
      <c r="R29" s="846" t="s">
        <v>87</v>
      </c>
      <c r="S29" s="865"/>
      <c r="T29" s="84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46" t="s">
        <v>88</v>
      </c>
      <c r="AA29" s="847"/>
    </row>
    <row r="30" spans="1:27" ht="15.75" customHeight="1">
      <c r="A30" s="23"/>
      <c r="B30" s="70" t="s">
        <v>99</v>
      </c>
      <c r="C30" s="863"/>
      <c r="D30" s="849"/>
      <c r="E30" s="842"/>
      <c r="F30" s="4"/>
      <c r="G30" s="4"/>
      <c r="H30" s="4"/>
      <c r="I30" s="4"/>
      <c r="J30" s="863"/>
      <c r="K30" s="842"/>
      <c r="M30" s="25"/>
      <c r="N30" s="24">
        <v>2</v>
      </c>
      <c r="O30" s="841"/>
      <c r="P30" s="849"/>
      <c r="Q30" s="842"/>
      <c r="R30" s="841"/>
      <c r="S30" s="849"/>
      <c r="T30" s="842"/>
      <c r="U30" s="4"/>
      <c r="V30" s="14"/>
      <c r="W30" s="4"/>
      <c r="X30" s="16">
        <f t="shared" si="17"/>
        <v>0</v>
      </c>
      <c r="Y30" s="4"/>
      <c r="Z30" s="841"/>
      <c r="AA30" s="842"/>
    </row>
    <row r="31" spans="1:27" ht="15.75" customHeight="1">
      <c r="A31" s="20"/>
      <c r="B31" s="70" t="s">
        <v>103</v>
      </c>
      <c r="C31" s="863"/>
      <c r="D31" s="849"/>
      <c r="E31" s="842"/>
      <c r="F31" s="4"/>
      <c r="G31" s="4"/>
      <c r="H31" s="4"/>
      <c r="I31" s="4"/>
      <c r="J31" s="863"/>
      <c r="K31" s="842"/>
      <c r="M31" s="25"/>
      <c r="N31" s="24">
        <v>3</v>
      </c>
      <c r="O31" s="841"/>
      <c r="P31" s="849"/>
      <c r="Q31" s="842"/>
      <c r="R31" s="841"/>
      <c r="S31" s="849"/>
      <c r="T31" s="842"/>
      <c r="U31" s="4"/>
      <c r="V31" s="14"/>
      <c r="W31" s="4"/>
      <c r="X31" s="16">
        <f t="shared" si="17"/>
        <v>0</v>
      </c>
      <c r="Y31" s="4"/>
      <c r="Z31" s="841"/>
      <c r="AA31" s="842"/>
    </row>
    <row r="32" spans="1:27" ht="15.75" customHeight="1">
      <c r="A32" s="67"/>
      <c r="M32" s="25"/>
      <c r="N32" s="24">
        <v>4</v>
      </c>
      <c r="O32" s="841"/>
      <c r="P32" s="849"/>
      <c r="Q32" s="842"/>
      <c r="R32" s="841"/>
      <c r="S32" s="849"/>
      <c r="T32" s="842"/>
      <c r="U32" s="4"/>
      <c r="V32" s="14"/>
      <c r="W32" s="4"/>
      <c r="X32" s="16">
        <f t="shared" si="17"/>
        <v>0</v>
      </c>
      <c r="Y32" s="4"/>
      <c r="Z32" s="841"/>
      <c r="AA32" s="842"/>
    </row>
    <row r="33" spans="1:27" ht="15.75" customHeight="1">
      <c r="A33" s="18"/>
      <c r="B33" s="49" t="s">
        <v>47</v>
      </c>
      <c r="C33" s="866" t="s">
        <v>12</v>
      </c>
      <c r="D33" s="849"/>
      <c r="E33" s="842"/>
      <c r="F33" s="49" t="s">
        <v>46</v>
      </c>
      <c r="G33" s="49" t="s">
        <v>48</v>
      </c>
      <c r="H33" s="49" t="s">
        <v>49</v>
      </c>
      <c r="I33" s="8" t="s">
        <v>13</v>
      </c>
      <c r="J33" s="858" t="s">
        <v>51</v>
      </c>
      <c r="K33" s="842"/>
      <c r="M33" s="25"/>
      <c r="N33" s="29">
        <v>5</v>
      </c>
      <c r="O33" s="841"/>
      <c r="P33" s="849"/>
      <c r="Q33" s="842"/>
      <c r="R33" s="841"/>
      <c r="S33" s="849"/>
      <c r="T33" s="842"/>
      <c r="U33" s="27"/>
      <c r="V33" s="30"/>
      <c r="W33" s="27"/>
      <c r="X33" s="31">
        <f t="shared" si="17"/>
        <v>0</v>
      </c>
      <c r="Y33" s="4"/>
      <c r="Z33" s="841"/>
      <c r="AA33" s="842"/>
    </row>
    <row r="34" spans="1:27" ht="15.75" customHeight="1">
      <c r="A34" s="52" t="s">
        <v>35</v>
      </c>
      <c r="B34" s="6">
        <v>1</v>
      </c>
      <c r="C34" s="848" t="s">
        <v>79</v>
      </c>
      <c r="D34" s="849"/>
      <c r="E34" s="842"/>
      <c r="F34" s="4">
        <v>3</v>
      </c>
      <c r="G34" s="4">
        <v>2500</v>
      </c>
      <c r="H34" s="4">
        <v>833.33</v>
      </c>
      <c r="I34" s="4">
        <v>20</v>
      </c>
      <c r="J34" s="848" t="s">
        <v>78</v>
      </c>
      <c r="K34" s="842"/>
      <c r="M34" s="68"/>
      <c r="N34" s="45"/>
      <c r="O34" s="845"/>
      <c r="P34" s="849"/>
      <c r="Q34" s="849"/>
      <c r="R34" s="845"/>
      <c r="S34" s="849"/>
      <c r="T34" s="84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45"/>
      <c r="AA34" s="842"/>
    </row>
    <row r="35" spans="1:27" ht="15.75" customHeight="1">
      <c r="A35" s="23"/>
      <c r="B35" s="6">
        <v>2</v>
      </c>
      <c r="C35" s="841"/>
      <c r="D35" s="849"/>
      <c r="E35" s="842"/>
      <c r="F35" s="4"/>
      <c r="G35" s="4"/>
      <c r="H35" s="4"/>
      <c r="I35" s="4"/>
      <c r="J35" s="841"/>
      <c r="K35" s="842"/>
      <c r="M35" s="1"/>
      <c r="N35" s="1"/>
      <c r="O35" s="856"/>
      <c r="P35" s="857"/>
      <c r="Q35" s="857"/>
      <c r="R35" s="856"/>
      <c r="S35" s="857"/>
      <c r="T35" s="857"/>
      <c r="U35" s="1"/>
      <c r="V35" s="38"/>
      <c r="W35" s="1"/>
      <c r="X35" s="1"/>
      <c r="Y35" s="856"/>
      <c r="Z35" s="857"/>
      <c r="AA35" s="857"/>
    </row>
    <row r="36" spans="1:27" ht="15.75" customHeight="1">
      <c r="A36" s="23"/>
      <c r="B36" s="6">
        <v>3</v>
      </c>
      <c r="C36" s="841"/>
      <c r="D36" s="849"/>
      <c r="E36" s="842"/>
      <c r="F36" s="4"/>
      <c r="G36" s="4"/>
      <c r="H36" s="4"/>
      <c r="I36" s="4"/>
      <c r="J36" s="841"/>
      <c r="K36" s="842"/>
      <c r="M36" s="52" t="s">
        <v>27</v>
      </c>
      <c r="N36" s="57" t="s">
        <v>47</v>
      </c>
      <c r="O36" s="854" t="s">
        <v>12</v>
      </c>
      <c r="P36" s="845"/>
      <c r="Q36" s="855"/>
      <c r="R36" s="860" t="s">
        <v>53</v>
      </c>
      <c r="S36" s="861"/>
      <c r="T36" s="862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58" t="s">
        <v>51</v>
      </c>
      <c r="AA36" s="859"/>
    </row>
    <row r="37" spans="1:27" ht="15.75" customHeight="1">
      <c r="A37" s="23"/>
      <c r="B37" s="6">
        <v>4</v>
      </c>
      <c r="C37" s="841"/>
      <c r="D37" s="849"/>
      <c r="E37" s="842"/>
      <c r="F37" s="4"/>
      <c r="G37" s="4"/>
      <c r="H37" s="4"/>
      <c r="I37" s="4"/>
      <c r="J37" s="841"/>
      <c r="K37" s="842"/>
      <c r="M37" s="56" t="s">
        <v>42</v>
      </c>
      <c r="N37" s="24">
        <v>1</v>
      </c>
      <c r="O37" s="848" t="s">
        <v>89</v>
      </c>
      <c r="P37" s="849"/>
      <c r="Q37" s="842"/>
      <c r="R37" s="848" t="s">
        <v>90</v>
      </c>
      <c r="S37" s="849"/>
      <c r="T37" s="842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48" t="s">
        <v>91</v>
      </c>
      <c r="AA37" s="842"/>
    </row>
    <row r="38" spans="1:27" ht="15.75" customHeight="1">
      <c r="A38" s="23"/>
      <c r="B38" s="26">
        <v>5</v>
      </c>
      <c r="C38" s="843"/>
      <c r="D38" s="850"/>
      <c r="E38" s="844"/>
      <c r="F38" s="27"/>
      <c r="G38" s="27"/>
      <c r="H38" s="27"/>
      <c r="I38" s="27"/>
      <c r="J38" s="843"/>
      <c r="K38" s="844"/>
      <c r="M38" s="25"/>
      <c r="N38" s="24">
        <v>2</v>
      </c>
      <c r="O38" s="841"/>
      <c r="P38" s="849"/>
      <c r="Q38" s="842"/>
      <c r="R38" s="841"/>
      <c r="S38" s="849"/>
      <c r="T38" s="842"/>
      <c r="U38" s="4"/>
      <c r="V38" s="14"/>
      <c r="W38" s="4"/>
      <c r="X38" s="16">
        <f t="shared" si="18"/>
        <v>0</v>
      </c>
      <c r="Y38" s="4"/>
      <c r="Z38" s="841"/>
      <c r="AA38" s="842"/>
    </row>
    <row r="39" spans="1:27" ht="14.25">
      <c r="A39" s="23"/>
      <c r="B39" s="69" t="s">
        <v>101</v>
      </c>
      <c r="C39" s="851" t="s">
        <v>80</v>
      </c>
      <c r="D39" s="852"/>
      <c r="E39" s="853"/>
      <c r="F39" s="28">
        <v>7</v>
      </c>
      <c r="G39" s="28">
        <v>2200</v>
      </c>
      <c r="H39" s="28">
        <v>314.29000000000002</v>
      </c>
      <c r="I39" s="28">
        <v>-15</v>
      </c>
      <c r="J39" s="851" t="s">
        <v>81</v>
      </c>
      <c r="K39" s="853"/>
      <c r="M39" s="25"/>
      <c r="N39" s="24">
        <v>3</v>
      </c>
      <c r="O39" s="841"/>
      <c r="P39" s="849"/>
      <c r="Q39" s="842"/>
      <c r="R39" s="841"/>
      <c r="S39" s="849"/>
      <c r="T39" s="842"/>
      <c r="U39" s="4"/>
      <c r="V39" s="14"/>
      <c r="W39" s="4"/>
      <c r="X39" s="16">
        <f t="shared" si="18"/>
        <v>0</v>
      </c>
      <c r="Y39" s="4"/>
      <c r="Z39" s="841"/>
      <c r="AA39" s="842"/>
    </row>
    <row r="40" spans="1:27" ht="14.25">
      <c r="A40" s="23"/>
      <c r="B40" s="70" t="s">
        <v>102</v>
      </c>
      <c r="C40" s="841"/>
      <c r="D40" s="849"/>
      <c r="E40" s="842"/>
      <c r="F40" s="4"/>
      <c r="G40" s="4"/>
      <c r="H40" s="4"/>
      <c r="I40" s="4"/>
      <c r="J40" s="841"/>
      <c r="K40" s="842"/>
      <c r="M40" s="25"/>
      <c r="N40" s="24">
        <v>4</v>
      </c>
      <c r="O40" s="841"/>
      <c r="P40" s="849"/>
      <c r="Q40" s="842"/>
      <c r="R40" s="841"/>
      <c r="S40" s="849"/>
      <c r="T40" s="842"/>
      <c r="U40" s="4"/>
      <c r="V40" s="14"/>
      <c r="W40" s="4"/>
      <c r="X40" s="16">
        <f t="shared" si="18"/>
        <v>0</v>
      </c>
      <c r="Y40" s="4"/>
      <c r="Z40" s="841"/>
      <c r="AA40" s="842"/>
    </row>
    <row r="41" spans="1:27" ht="14.25">
      <c r="A41" s="23"/>
      <c r="B41" s="70" t="s">
        <v>100</v>
      </c>
      <c r="C41" s="841"/>
      <c r="D41" s="849"/>
      <c r="E41" s="842"/>
      <c r="F41" s="4"/>
      <c r="G41" s="4"/>
      <c r="H41" s="4"/>
      <c r="I41" s="4"/>
      <c r="J41" s="841"/>
      <c r="K41" s="842"/>
      <c r="M41" s="25"/>
      <c r="N41" s="29">
        <v>5</v>
      </c>
      <c r="O41" s="843"/>
      <c r="P41" s="850"/>
      <c r="Q41" s="844"/>
      <c r="R41" s="843"/>
      <c r="S41" s="850"/>
      <c r="T41" s="844"/>
      <c r="U41" s="27"/>
      <c r="V41" s="30"/>
      <c r="W41" s="27"/>
      <c r="X41" s="31">
        <f t="shared" si="18"/>
        <v>0</v>
      </c>
      <c r="Y41" s="4"/>
      <c r="Z41" s="841"/>
      <c r="AA41" s="842"/>
    </row>
    <row r="42" spans="1:27" ht="14.25">
      <c r="A42" s="23"/>
      <c r="B42" s="70" t="s">
        <v>99</v>
      </c>
      <c r="C42" s="841"/>
      <c r="D42" s="849"/>
      <c r="E42" s="842"/>
      <c r="F42" s="4"/>
      <c r="G42" s="4"/>
      <c r="H42" s="4"/>
      <c r="I42" s="4"/>
      <c r="J42" s="841"/>
      <c r="K42" s="842"/>
      <c r="M42" s="32"/>
      <c r="N42" s="54"/>
      <c r="O42" s="845"/>
      <c r="P42" s="849"/>
      <c r="Q42" s="849"/>
      <c r="R42" s="845"/>
      <c r="S42" s="849"/>
      <c r="T42" s="84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45"/>
      <c r="AA42" s="842"/>
    </row>
    <row r="43" spans="1:27" ht="14.25">
      <c r="A43" s="20"/>
      <c r="B43" s="70" t="s">
        <v>103</v>
      </c>
      <c r="C43" s="841"/>
      <c r="D43" s="849"/>
      <c r="E43" s="842"/>
      <c r="F43" s="4"/>
      <c r="G43" s="4"/>
      <c r="H43" s="4"/>
      <c r="I43" s="4"/>
      <c r="J43" s="841"/>
      <c r="K43" s="842"/>
      <c r="M43" s="56" t="s">
        <v>43</v>
      </c>
      <c r="N43" s="24">
        <v>1</v>
      </c>
      <c r="O43" s="848" t="s">
        <v>89</v>
      </c>
      <c r="P43" s="849"/>
      <c r="Q43" s="842"/>
      <c r="R43" s="846" t="s">
        <v>93</v>
      </c>
      <c r="S43" s="865"/>
      <c r="T43" s="84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48" t="s">
        <v>92</v>
      </c>
      <c r="AA43" s="842"/>
    </row>
    <row r="44" spans="1:27" ht="14.25">
      <c r="A44" s="67"/>
      <c r="M44" s="25"/>
      <c r="N44" s="24">
        <v>2</v>
      </c>
      <c r="O44" s="841"/>
      <c r="P44" s="849"/>
      <c r="Q44" s="842"/>
      <c r="R44" s="841"/>
      <c r="S44" s="849"/>
      <c r="T44" s="842"/>
      <c r="U44" s="4"/>
      <c r="V44" s="14"/>
      <c r="W44" s="4"/>
      <c r="X44" s="37">
        <f t="shared" si="19"/>
        <v>0</v>
      </c>
      <c r="Y44" s="4"/>
      <c r="Z44" s="841"/>
      <c r="AA44" s="842"/>
    </row>
    <row r="45" spans="1:27" ht="14.25">
      <c r="A45" s="18"/>
      <c r="B45" s="49" t="s">
        <v>47</v>
      </c>
      <c r="C45" s="866" t="s">
        <v>12</v>
      </c>
      <c r="D45" s="849"/>
      <c r="E45" s="842"/>
      <c r="F45" s="49" t="s">
        <v>46</v>
      </c>
      <c r="G45" s="49" t="s">
        <v>48</v>
      </c>
      <c r="H45" s="49" t="s">
        <v>49</v>
      </c>
      <c r="I45" s="8" t="s">
        <v>13</v>
      </c>
      <c r="J45" s="858" t="s">
        <v>51</v>
      </c>
      <c r="K45" s="842"/>
      <c r="M45" s="25"/>
      <c r="N45" s="24">
        <v>3</v>
      </c>
      <c r="O45" s="841"/>
      <c r="P45" s="849"/>
      <c r="Q45" s="842"/>
      <c r="R45" s="841"/>
      <c r="S45" s="849"/>
      <c r="T45" s="842"/>
      <c r="U45" s="4"/>
      <c r="V45" s="14"/>
      <c r="W45" s="4"/>
      <c r="X45" s="37">
        <f t="shared" si="19"/>
        <v>0</v>
      </c>
      <c r="Y45" s="4"/>
      <c r="Z45" s="841"/>
      <c r="AA45" s="842"/>
    </row>
    <row r="46" spans="1:27" ht="14.25">
      <c r="A46" s="52" t="s">
        <v>36</v>
      </c>
      <c r="B46" s="6">
        <v>1</v>
      </c>
      <c r="C46" s="848" t="s">
        <v>82</v>
      </c>
      <c r="D46" s="849"/>
      <c r="E46" s="842"/>
      <c r="F46" s="4">
        <v>15</v>
      </c>
      <c r="G46" s="4">
        <v>1200</v>
      </c>
      <c r="H46" s="4">
        <v>80</v>
      </c>
      <c r="I46" s="4">
        <v>5</v>
      </c>
      <c r="J46" s="848" t="s">
        <v>83</v>
      </c>
      <c r="K46" s="842"/>
      <c r="M46" s="25"/>
      <c r="N46" s="24">
        <v>4</v>
      </c>
      <c r="O46" s="841"/>
      <c r="P46" s="849"/>
      <c r="Q46" s="842"/>
      <c r="R46" s="841"/>
      <c r="S46" s="849"/>
      <c r="T46" s="842"/>
      <c r="U46" s="4"/>
      <c r="V46" s="14"/>
      <c r="W46" s="4"/>
      <c r="X46" s="37">
        <f t="shared" si="19"/>
        <v>0</v>
      </c>
      <c r="Y46" s="4"/>
      <c r="Z46" s="841"/>
      <c r="AA46" s="842"/>
    </row>
    <row r="47" spans="1:27" ht="14.25">
      <c r="A47" s="23"/>
      <c r="B47" s="6">
        <v>2</v>
      </c>
      <c r="C47" s="841"/>
      <c r="D47" s="849"/>
      <c r="E47" s="842"/>
      <c r="F47" s="4"/>
      <c r="G47" s="4"/>
      <c r="H47" s="4"/>
      <c r="I47" s="4"/>
      <c r="J47" s="841"/>
      <c r="K47" s="842"/>
      <c r="M47" s="25"/>
      <c r="N47" s="29">
        <v>5</v>
      </c>
      <c r="O47" s="841"/>
      <c r="P47" s="849"/>
      <c r="Q47" s="842"/>
      <c r="R47" s="841"/>
      <c r="S47" s="849"/>
      <c r="T47" s="842"/>
      <c r="U47" s="27"/>
      <c r="V47" s="30"/>
      <c r="W47" s="27"/>
      <c r="X47" s="40">
        <f t="shared" si="19"/>
        <v>0</v>
      </c>
      <c r="Y47" s="4"/>
      <c r="Z47" s="841"/>
      <c r="AA47" s="842"/>
    </row>
    <row r="48" spans="1:27" ht="14.25">
      <c r="A48" s="23"/>
      <c r="B48" s="6">
        <v>3</v>
      </c>
      <c r="C48" s="841"/>
      <c r="D48" s="849"/>
      <c r="E48" s="842"/>
      <c r="F48" s="4"/>
      <c r="G48" s="4"/>
      <c r="H48" s="4"/>
      <c r="I48" s="4"/>
      <c r="J48" s="841"/>
      <c r="K48" s="842"/>
      <c r="M48" s="68"/>
      <c r="N48" s="45"/>
      <c r="O48" s="845"/>
      <c r="P48" s="849"/>
      <c r="Q48" s="849"/>
      <c r="R48" s="845"/>
      <c r="S48" s="849"/>
      <c r="T48" s="84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45"/>
      <c r="AA48" s="842"/>
    </row>
    <row r="49" spans="1:27" ht="14.25">
      <c r="A49" s="23"/>
      <c r="B49" s="6">
        <v>4</v>
      </c>
      <c r="C49" s="841"/>
      <c r="D49" s="849"/>
      <c r="E49" s="842"/>
      <c r="F49" s="4"/>
      <c r="G49" s="4"/>
      <c r="H49" s="4"/>
      <c r="I49" s="4"/>
      <c r="J49" s="841"/>
      <c r="K49" s="84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43"/>
      <c r="D50" s="850"/>
      <c r="E50" s="844"/>
      <c r="F50" s="27"/>
      <c r="G50" s="27"/>
      <c r="H50" s="27"/>
      <c r="I50" s="27"/>
      <c r="J50" s="843"/>
      <c r="K50" s="84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51" t="s">
        <v>89</v>
      </c>
      <c r="D51" s="852"/>
      <c r="E51" s="853"/>
      <c r="F51" s="28">
        <v>18</v>
      </c>
      <c r="G51" s="28">
        <v>800</v>
      </c>
      <c r="H51" s="28">
        <v>44.44</v>
      </c>
      <c r="I51" s="28">
        <v>-15</v>
      </c>
      <c r="J51" s="851" t="s">
        <v>84</v>
      </c>
      <c r="K51" s="853"/>
      <c r="M51" s="8"/>
      <c r="N51" s="8" t="s">
        <v>18</v>
      </c>
      <c r="O51" s="854" t="s">
        <v>12</v>
      </c>
      <c r="P51" s="845"/>
      <c r="Q51" s="855"/>
      <c r="R51" s="860" t="s">
        <v>53</v>
      </c>
      <c r="S51" s="861"/>
      <c r="T51" s="862"/>
      <c r="U51" s="57" t="s">
        <v>54</v>
      </c>
      <c r="V51" s="39" t="s">
        <v>19</v>
      </c>
      <c r="W51" s="57" t="s">
        <v>57</v>
      </c>
      <c r="X51" s="8" t="s">
        <v>2</v>
      </c>
      <c r="Y51" s="854" t="s">
        <v>50</v>
      </c>
      <c r="Z51" s="845"/>
      <c r="AA51" s="855"/>
    </row>
    <row r="52" spans="1:27" ht="14.25">
      <c r="A52" s="23"/>
      <c r="B52" s="70" t="s">
        <v>102</v>
      </c>
      <c r="C52" s="841"/>
      <c r="D52" s="849"/>
      <c r="E52" s="842"/>
      <c r="F52" s="4"/>
      <c r="G52" s="4"/>
      <c r="H52" s="4"/>
      <c r="I52" s="4"/>
      <c r="J52" s="841"/>
      <c r="K52" s="842"/>
      <c r="M52" s="56" t="s">
        <v>42</v>
      </c>
      <c r="N52" s="24">
        <v>1</v>
      </c>
      <c r="O52" s="848" t="s">
        <v>89</v>
      </c>
      <c r="P52" s="849"/>
      <c r="Q52" s="842"/>
      <c r="R52" s="846" t="s">
        <v>93</v>
      </c>
      <c r="S52" s="865"/>
      <c r="T52" s="84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48" t="s">
        <v>97</v>
      </c>
      <c r="Z52" s="849"/>
      <c r="AA52" s="842"/>
    </row>
    <row r="53" spans="1:27" ht="14.25">
      <c r="A53" s="23"/>
      <c r="B53" s="70" t="s">
        <v>100</v>
      </c>
      <c r="C53" s="841"/>
      <c r="D53" s="849"/>
      <c r="E53" s="842"/>
      <c r="F53" s="4"/>
      <c r="G53" s="4"/>
      <c r="H53" s="4"/>
      <c r="I53" s="4"/>
      <c r="J53" s="841"/>
      <c r="K53" s="842"/>
      <c r="M53" s="25"/>
      <c r="N53" s="29">
        <v>2</v>
      </c>
      <c r="O53" s="843"/>
      <c r="P53" s="850"/>
      <c r="Q53" s="844"/>
      <c r="R53" s="843"/>
      <c r="S53" s="850"/>
      <c r="T53" s="844"/>
      <c r="U53" s="27"/>
      <c r="V53" s="30"/>
      <c r="W53" s="30"/>
      <c r="X53" s="41">
        <f t="shared" si="20"/>
        <v>0</v>
      </c>
      <c r="Y53" s="843"/>
      <c r="Z53" s="850"/>
      <c r="AA53" s="844"/>
    </row>
    <row r="54" spans="1:27" ht="14.25">
      <c r="A54" s="23"/>
      <c r="B54" s="70" t="s">
        <v>99</v>
      </c>
      <c r="C54" s="841"/>
      <c r="D54" s="849"/>
      <c r="E54" s="842"/>
      <c r="F54" s="4"/>
      <c r="G54" s="4"/>
      <c r="H54" s="4"/>
      <c r="I54" s="4"/>
      <c r="J54" s="841"/>
      <c r="K54" s="842"/>
      <c r="M54" s="56" t="s">
        <v>43</v>
      </c>
      <c r="N54" s="42">
        <v>1</v>
      </c>
      <c r="O54" s="851" t="s">
        <v>94</v>
      </c>
      <c r="P54" s="852"/>
      <c r="Q54" s="853"/>
      <c r="R54" s="851" t="s">
        <v>95</v>
      </c>
      <c r="S54" s="852"/>
      <c r="T54" s="85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1" t="s">
        <v>96</v>
      </c>
      <c r="Z54" s="852"/>
      <c r="AA54" s="853"/>
    </row>
    <row r="55" spans="1:27" ht="14.25">
      <c r="A55" s="20"/>
      <c r="B55" s="70" t="s">
        <v>103</v>
      </c>
      <c r="C55" s="841"/>
      <c r="D55" s="849"/>
      <c r="E55" s="842"/>
      <c r="F55" s="4"/>
      <c r="G55" s="4"/>
      <c r="H55" s="4"/>
      <c r="I55" s="4"/>
      <c r="J55" s="841"/>
      <c r="K55" s="842"/>
      <c r="M55" s="22"/>
      <c r="N55" s="24">
        <v>2</v>
      </c>
      <c r="O55" s="841"/>
      <c r="P55" s="849"/>
      <c r="Q55" s="842"/>
      <c r="R55" s="841"/>
      <c r="S55" s="849"/>
      <c r="T55" s="842"/>
      <c r="U55" s="4"/>
      <c r="V55" s="14"/>
      <c r="W55" s="14"/>
      <c r="X55" s="13">
        <f t="shared" si="20"/>
        <v>0</v>
      </c>
      <c r="Y55" s="841"/>
      <c r="Z55" s="849"/>
      <c r="AA55" s="84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1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68" t="s">
        <v>262</v>
      </c>
      <c r="C2" s="868"/>
      <c r="D2" s="868"/>
      <c r="E2" s="868"/>
      <c r="F2" s="868"/>
    </row>
    <row r="3" spans="2:7" ht="1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5">
      <c r="B20" s="154" t="s">
        <v>326</v>
      </c>
      <c r="C20" s="154" t="s">
        <v>327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4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382</v>
      </c>
    </row>
    <row r="4" spans="1:2" ht="14.25">
      <c r="A4">
        <v>2</v>
      </c>
      <c r="B4" s="151" t="s">
        <v>403</v>
      </c>
    </row>
    <row r="5" spans="1:2" ht="14.25">
      <c r="A5">
        <v>3</v>
      </c>
      <c r="B5" s="151" t="s">
        <v>346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404</v>
      </c>
    </row>
    <row r="10" spans="1:2" ht="14.25">
      <c r="A10">
        <v>8</v>
      </c>
      <c r="B10" s="151" t="s">
        <v>405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3135F83-2CD1-40DE-949A-4CB27E47D5FE}"/>
</file>

<file path=customXml/itemProps3.xml><?xml version="1.0" encoding="utf-8"?>
<ds:datastoreItem xmlns:ds="http://schemas.openxmlformats.org/officeDocument/2006/customXml" ds:itemID="{37B5CF40-8BCF-44AA-A6C6-553011B5EC8A}"/>
</file>

<file path=customXml/itemProps4.xml><?xml version="1.0" encoding="utf-8"?>
<ds:datastoreItem xmlns:ds="http://schemas.openxmlformats.org/officeDocument/2006/customXml" ds:itemID="{D824D94B-573D-4C4B-94AA-9FF98EB8F7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2026-02-25T03:14:25Z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