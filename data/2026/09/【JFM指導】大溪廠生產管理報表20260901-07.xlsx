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xr:revisionPtr revIDLastSave="0" documentId="11_E9DA649DAB8373A1C26888080CA2ACCDBA0E0835" xr6:coauthVersionLast="47" xr6:coauthVersionMax="47" xr10:uidLastSave="{00000000-0000-0000-0000-000000000000}"/>
  <bookViews>
    <workbookView xWindow="-120" yWindow="-120" windowWidth="29040" windowHeight="15720" tabRatio="866" firstSheet="34" activeTab="34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8-5(週報廢)'!$A$1:$P$30</definedName>
    <definedName name="_xlnm.Print_Area" localSheetId="28">'生產管理報表 8-6(週報廢)'!$A$1:$P$38</definedName>
    <definedName name="_xlnm.Print_Area" localSheetId="29">'生產管理報表 8-7(週超用)'!$A$1:$Q$30</definedName>
    <definedName name="_xlnm.Print_Area" localSheetId="30">'生產管理報表 8-8(週超用) '!$A$1:$P$30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56" l="1"/>
  <c r="H39" i="56"/>
  <c r="G39" i="56"/>
  <c r="F39" i="56"/>
  <c r="D39" i="56"/>
  <c r="G38" i="56"/>
  <c r="H38" i="56" s="1"/>
  <c r="F38" i="56"/>
  <c r="D38" i="56"/>
  <c r="G37" i="56"/>
  <c r="H37" i="56" s="1"/>
  <c r="F37" i="56"/>
  <c r="D37" i="56"/>
  <c r="G36" i="56"/>
  <c r="H36" i="56" s="1"/>
  <c r="F36" i="56"/>
  <c r="D36" i="56"/>
  <c r="H35" i="56"/>
  <c r="G35" i="56"/>
  <c r="F35" i="56"/>
  <c r="D35" i="56"/>
  <c r="G34" i="56"/>
  <c r="H34" i="56" s="1"/>
  <c r="F34" i="56"/>
  <c r="D34" i="56"/>
  <c r="J33" i="56"/>
  <c r="I33" i="56"/>
  <c r="G33" i="56"/>
  <c r="H33" i="56" s="1"/>
  <c r="F33" i="56"/>
  <c r="D33" i="56"/>
  <c r="G32" i="56"/>
  <c r="H32" i="56" s="1"/>
  <c r="F32" i="56"/>
  <c r="D32" i="56"/>
  <c r="G31" i="56"/>
  <c r="H31" i="56" s="1"/>
  <c r="F31" i="56"/>
  <c r="D31" i="56"/>
  <c r="G30" i="56"/>
  <c r="H30" i="56" s="1"/>
  <c r="F30" i="56"/>
  <c r="D30" i="56"/>
  <c r="G29" i="56"/>
  <c r="H29" i="56" s="1"/>
  <c r="F29" i="56"/>
  <c r="D29" i="56"/>
  <c r="G28" i="56"/>
  <c r="H28" i="56" s="1"/>
  <c r="F28" i="56"/>
  <c r="D28" i="56"/>
  <c r="G27" i="56"/>
  <c r="H27" i="56" s="1"/>
  <c r="F27" i="56"/>
  <c r="D27" i="56"/>
  <c r="J26" i="56"/>
  <c r="I26" i="56"/>
  <c r="H26" i="56"/>
  <c r="G26" i="56"/>
  <c r="F26" i="56"/>
  <c r="D26" i="56"/>
  <c r="G25" i="56"/>
  <c r="H25" i="56" s="1"/>
  <c r="F25" i="56"/>
  <c r="D25" i="56"/>
  <c r="G24" i="56"/>
  <c r="H24" i="56" s="1"/>
  <c r="F24" i="56"/>
  <c r="D24" i="56"/>
  <c r="G23" i="56"/>
  <c r="H23" i="56" s="1"/>
  <c r="F23" i="56"/>
  <c r="D23" i="56"/>
  <c r="H22" i="56"/>
  <c r="G22" i="56"/>
  <c r="F22" i="56"/>
  <c r="D22" i="56"/>
  <c r="G21" i="56"/>
  <c r="H21" i="56" s="1"/>
  <c r="F21" i="56"/>
  <c r="D21" i="56"/>
  <c r="G20" i="56"/>
  <c r="H20" i="56" s="1"/>
  <c r="F20" i="56"/>
  <c r="D20" i="56"/>
  <c r="J19" i="56"/>
  <c r="I19" i="56"/>
  <c r="G19" i="56"/>
  <c r="H19" i="56" s="1"/>
  <c r="F19" i="56"/>
  <c r="D19" i="56"/>
  <c r="H18" i="56"/>
  <c r="G18" i="56"/>
  <c r="F18" i="56"/>
  <c r="D18" i="56"/>
  <c r="G17" i="56"/>
  <c r="H17" i="56" s="1"/>
  <c r="F17" i="56"/>
  <c r="D17" i="56"/>
  <c r="G16" i="56"/>
  <c r="H16" i="56" s="1"/>
  <c r="F16" i="56"/>
  <c r="D16" i="56"/>
  <c r="G15" i="56"/>
  <c r="H15" i="56" s="1"/>
  <c r="F15" i="56"/>
  <c r="D15" i="56"/>
  <c r="H14" i="56"/>
  <c r="G14" i="56"/>
  <c r="F14" i="56"/>
  <c r="D14" i="56"/>
  <c r="G13" i="56"/>
  <c r="H13" i="56" s="1"/>
  <c r="F13" i="56"/>
  <c r="D13" i="56"/>
  <c r="J12" i="56"/>
  <c r="I12" i="56"/>
  <c r="G12" i="56"/>
  <c r="H12" i="56" s="1"/>
  <c r="F12" i="56"/>
  <c r="D12" i="56"/>
  <c r="E11" i="56"/>
  <c r="F11" i="56" s="1"/>
  <c r="C11" i="56"/>
  <c r="D11" i="56" s="1"/>
  <c r="E10" i="56"/>
  <c r="C10" i="56"/>
  <c r="D10" i="56" s="1"/>
  <c r="E9" i="56"/>
  <c r="C9" i="56"/>
  <c r="D9" i="56" s="1"/>
  <c r="G8" i="56"/>
  <c r="H8" i="56" s="1"/>
  <c r="E8" i="56"/>
  <c r="F8" i="56" s="1"/>
  <c r="C8" i="56"/>
  <c r="D8" i="56" s="1"/>
  <c r="E7" i="56"/>
  <c r="G7" i="56" s="1"/>
  <c r="H7" i="56" s="1"/>
  <c r="C7" i="56"/>
  <c r="D7" i="56" s="1"/>
  <c r="E6" i="56"/>
  <c r="C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E5" i="56"/>
  <c r="C5" i="56"/>
  <c r="B5" i="41"/>
  <c r="I5" i="56" l="1"/>
  <c r="B9" i="41" s="1"/>
  <c r="G6" i="56"/>
  <c r="H6" i="56" s="1"/>
  <c r="F7" i="56"/>
  <c r="G9" i="56"/>
  <c r="H9" i="56" s="1"/>
  <c r="G10" i="56"/>
  <c r="H10" i="56" s="1"/>
  <c r="B2" i="56"/>
  <c r="D2" i="56" s="1"/>
  <c r="E3" i="56"/>
  <c r="F3" i="56" s="1"/>
  <c r="G11" i="56"/>
  <c r="H11" i="56" s="1"/>
  <c r="D6" i="56"/>
  <c r="F10" i="56"/>
  <c r="D5" i="56"/>
  <c r="F5" i="56"/>
  <c r="G5" i="56"/>
  <c r="J5" i="56"/>
  <c r="B10" i="41" s="1"/>
  <c r="F6" i="56"/>
  <c r="F9" i="56"/>
  <c r="K15" i="39"/>
  <c r="E15" i="39"/>
  <c r="K11" i="39"/>
  <c r="K10" i="39"/>
  <c r="K9" i="39"/>
  <c r="K8" i="39"/>
  <c r="K7" i="39"/>
  <c r="K6" i="39"/>
  <c r="E7" i="39"/>
  <c r="E6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I10" i="39"/>
  <c r="I9" i="39"/>
  <c r="I8" i="39"/>
  <c r="I7" i="39"/>
  <c r="I6" i="39"/>
  <c r="B7" i="39"/>
  <c r="B6" i="39"/>
  <c r="J34" i="25"/>
  <c r="J53" i="23"/>
  <c r="J52" i="23"/>
  <c r="J51" i="23"/>
  <c r="J50" i="23"/>
  <c r="J49" i="23"/>
  <c r="J48" i="23"/>
  <c r="J47" i="23"/>
  <c r="J46" i="23"/>
  <c r="J45" i="23"/>
  <c r="J51" i="24"/>
  <c r="J50" i="24"/>
  <c r="J49" i="24"/>
  <c r="J48" i="24"/>
  <c r="J47" i="24"/>
  <c r="J46" i="24"/>
  <c r="J45" i="24"/>
  <c r="J38" i="23"/>
  <c r="J41" i="23"/>
  <c r="J40" i="23"/>
  <c r="J39" i="23"/>
  <c r="J34" i="23"/>
  <c r="J37" i="23"/>
  <c r="J36" i="23"/>
  <c r="J35" i="23"/>
  <c r="G3" i="56" l="1"/>
  <c r="H3" i="56" s="1"/>
  <c r="H5" i="56"/>
  <c r="J51" i="22"/>
  <c r="J50" i="22"/>
  <c r="J49" i="22"/>
  <c r="J48" i="22"/>
  <c r="J47" i="22"/>
  <c r="J46" i="22"/>
  <c r="J45" i="22"/>
  <c r="J61" i="25"/>
  <c r="J60" i="25"/>
  <c r="B60" i="25"/>
  <c r="A60" i="25"/>
  <c r="J78" i="24"/>
  <c r="J77" i="24"/>
  <c r="J76" i="24"/>
  <c r="J75" i="24"/>
  <c r="J74" i="24"/>
  <c r="J73" i="24"/>
  <c r="J72" i="24"/>
  <c r="J71" i="24"/>
  <c r="J80" i="23"/>
  <c r="J79" i="23"/>
  <c r="J78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0" i="23"/>
  <c r="J34" i="22"/>
  <c r="J75" i="22"/>
  <c r="J74" i="22"/>
  <c r="J73" i="22"/>
  <c r="J72" i="22"/>
  <c r="J71" i="22"/>
  <c r="J60" i="22"/>
  <c r="J60" i="15"/>
  <c r="J48" i="15"/>
  <c r="J47" i="15"/>
  <c r="J46" i="15"/>
  <c r="J45" i="15"/>
  <c r="J42" i="15"/>
  <c r="J41" i="15"/>
  <c r="J40" i="15"/>
  <c r="J39" i="15"/>
  <c r="J38" i="15"/>
  <c r="J37" i="15"/>
  <c r="J36" i="15"/>
  <c r="J34" i="15"/>
  <c r="J73" i="15"/>
  <c r="J72" i="15"/>
  <c r="J71" i="15"/>
  <c r="J68" i="15"/>
  <c r="J67" i="15"/>
  <c r="J66" i="15"/>
  <c r="J65" i="15"/>
  <c r="J63" i="15"/>
  <c r="J62" i="15"/>
  <c r="J61" i="15"/>
  <c r="AV8" i="52"/>
  <c r="AQ8" i="52"/>
  <c r="AL8" i="52"/>
  <c r="AG8" i="52"/>
  <c r="AB8" i="52"/>
  <c r="W8" i="52"/>
  <c r="X8" i="52" s="1"/>
  <c r="R8" i="52"/>
  <c r="S8" i="52" s="1"/>
  <c r="J8" i="52"/>
  <c r="I8" i="52"/>
  <c r="G8" i="52"/>
  <c r="AV7" i="52"/>
  <c r="AW7" i="52" s="1"/>
  <c r="AQ7" i="52"/>
  <c r="AS7" i="52" s="1"/>
  <c r="AL7" i="52"/>
  <c r="AM7" i="52" s="1"/>
  <c r="AG7" i="52"/>
  <c r="AI7" i="52" s="1"/>
  <c r="AB7" i="52"/>
  <c r="AC8" i="52" s="1"/>
  <c r="W7" i="52"/>
  <c r="R7" i="52"/>
  <c r="J7" i="52"/>
  <c r="I7" i="52"/>
  <c r="G7" i="52"/>
  <c r="L7" i="51"/>
  <c r="AV13" i="51"/>
  <c r="AQ13" i="51"/>
  <c r="AL13" i="51"/>
  <c r="AG13" i="51"/>
  <c r="AB13" i="51"/>
  <c r="W13" i="51"/>
  <c r="R13" i="51"/>
  <c r="J13" i="51"/>
  <c r="I13" i="51"/>
  <c r="G13" i="51"/>
  <c r="AV12" i="51"/>
  <c r="AQ12" i="51"/>
  <c r="AL12" i="51"/>
  <c r="AG12" i="51"/>
  <c r="AB12" i="51"/>
  <c r="W12" i="51"/>
  <c r="R12" i="51"/>
  <c r="J12" i="51"/>
  <c r="I12" i="51"/>
  <c r="G12" i="51"/>
  <c r="AV11" i="51"/>
  <c r="AQ11" i="51"/>
  <c r="AL11" i="51"/>
  <c r="AG11" i="51"/>
  <c r="AB11" i="51"/>
  <c r="W11" i="51"/>
  <c r="R11" i="51"/>
  <c r="K11" i="51"/>
  <c r="J11" i="51"/>
  <c r="I11" i="51"/>
  <c r="G11" i="51"/>
  <c r="AV10" i="51"/>
  <c r="AQ10" i="51"/>
  <c r="AL10" i="51"/>
  <c r="AG10" i="51"/>
  <c r="AB10" i="51"/>
  <c r="W10" i="51"/>
  <c r="R10" i="51"/>
  <c r="J10" i="51"/>
  <c r="I10" i="51"/>
  <c r="G10" i="51"/>
  <c r="AV9" i="51"/>
  <c r="AQ9" i="51"/>
  <c r="AL9" i="51"/>
  <c r="AG9" i="51"/>
  <c r="AB9" i="51"/>
  <c r="W9" i="51"/>
  <c r="R9" i="51"/>
  <c r="J9" i="51"/>
  <c r="I9" i="51"/>
  <c r="G9" i="51"/>
  <c r="AV8" i="51"/>
  <c r="AQ8" i="51"/>
  <c r="AR8" i="51" s="1"/>
  <c r="AL8" i="51"/>
  <c r="AM8" i="51" s="1"/>
  <c r="AG8" i="51"/>
  <c r="AC8" i="51"/>
  <c r="AB8" i="51"/>
  <c r="W8" i="51"/>
  <c r="X8" i="51" s="1"/>
  <c r="R8" i="51"/>
  <c r="S8" i="51" s="1"/>
  <c r="J8" i="51"/>
  <c r="I8" i="51"/>
  <c r="G8" i="51"/>
  <c r="AV7" i="51"/>
  <c r="AQ7" i="51"/>
  <c r="AR12" i="51" s="1"/>
  <c r="AL7" i="51"/>
  <c r="AG7" i="51"/>
  <c r="AD7" i="51"/>
  <c r="AB7" i="51"/>
  <c r="W7" i="51"/>
  <c r="R7" i="51"/>
  <c r="J7" i="51"/>
  <c r="I7" i="51"/>
  <c r="G7" i="51"/>
  <c r="P2" i="50"/>
  <c r="U2" i="50" s="1"/>
  <c r="Z2" i="50" s="1"/>
  <c r="AE2" i="50" s="1"/>
  <c r="AJ2" i="50" s="1"/>
  <c r="AO2" i="50" s="1"/>
  <c r="AT2" i="50" s="1"/>
  <c r="AV15" i="49"/>
  <c r="AQ15" i="49"/>
  <c r="AL15" i="49"/>
  <c r="AG15" i="49"/>
  <c r="AB15" i="49"/>
  <c r="W15" i="49"/>
  <c r="R15" i="49"/>
  <c r="K15" i="49" s="1"/>
  <c r="J15" i="49"/>
  <c r="I15" i="49"/>
  <c r="G15" i="49"/>
  <c r="AV14" i="49"/>
  <c r="AW14" i="49" s="1"/>
  <c r="AQ14" i="49"/>
  <c r="AL14" i="49"/>
  <c r="AG14" i="49"/>
  <c r="AB14" i="49"/>
  <c r="W14" i="49"/>
  <c r="R14" i="49"/>
  <c r="J14" i="49"/>
  <c r="I14" i="49"/>
  <c r="G14" i="49"/>
  <c r="AV13" i="49"/>
  <c r="AQ13" i="49"/>
  <c r="AL13" i="49"/>
  <c r="AG13" i="49"/>
  <c r="AB13" i="49"/>
  <c r="W13" i="49"/>
  <c r="R13" i="49"/>
  <c r="J13" i="49"/>
  <c r="I13" i="49"/>
  <c r="G13" i="49"/>
  <c r="AV12" i="49"/>
  <c r="AR12" i="49"/>
  <c r="AQ12" i="49"/>
  <c r="AL12" i="49"/>
  <c r="AG12" i="49"/>
  <c r="AB12" i="49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J11" i="49"/>
  <c r="I11" i="49"/>
  <c r="G11" i="49"/>
  <c r="AV10" i="49"/>
  <c r="AQ10" i="49"/>
  <c r="AL10" i="49"/>
  <c r="AM10" i="49" s="1"/>
  <c r="AG10" i="49"/>
  <c r="AB10" i="49"/>
  <c r="W10" i="49"/>
  <c r="R10" i="49"/>
  <c r="K10" i="49" s="1"/>
  <c r="J10" i="49"/>
  <c r="I10" i="49"/>
  <c r="G10" i="49"/>
  <c r="AV9" i="49"/>
  <c r="AQ9" i="49"/>
  <c r="AL9" i="49"/>
  <c r="AG9" i="49"/>
  <c r="AB9" i="49"/>
  <c r="W9" i="49"/>
  <c r="R9" i="49"/>
  <c r="J9" i="49"/>
  <c r="I9" i="49"/>
  <c r="G9" i="49"/>
  <c r="AV8" i="49"/>
  <c r="AQ8" i="49"/>
  <c r="AL8" i="49"/>
  <c r="AM12" i="49" s="1"/>
  <c r="AH8" i="49"/>
  <c r="AG8" i="49"/>
  <c r="AB8" i="49"/>
  <c r="W8" i="49"/>
  <c r="R8" i="49"/>
  <c r="J8" i="49"/>
  <c r="I8" i="49"/>
  <c r="G8" i="49"/>
  <c r="AV7" i="49"/>
  <c r="AQ7" i="49"/>
  <c r="AL7" i="49"/>
  <c r="AG7" i="49"/>
  <c r="AB7" i="49"/>
  <c r="AC7" i="49" s="1"/>
  <c r="W7" i="49"/>
  <c r="R7" i="49"/>
  <c r="J7" i="49"/>
  <c r="I7" i="49"/>
  <c r="G7" i="49"/>
  <c r="H7" i="49" s="1"/>
  <c r="L7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R13" i="48"/>
  <c r="J13" i="48"/>
  <c r="I13" i="48"/>
  <c r="G13" i="48"/>
  <c r="AV12" i="48"/>
  <c r="AQ12" i="48"/>
  <c r="AL12" i="48"/>
  <c r="AG12" i="48"/>
  <c r="AB12" i="48"/>
  <c r="W12" i="48"/>
  <c r="R12" i="48"/>
  <c r="J12" i="48"/>
  <c r="I12" i="48"/>
  <c r="G12" i="48"/>
  <c r="AV11" i="48"/>
  <c r="AQ11" i="48"/>
  <c r="AL11" i="48"/>
  <c r="AG11" i="48"/>
  <c r="AB11" i="48"/>
  <c r="W11" i="48"/>
  <c r="R11" i="48"/>
  <c r="J11" i="48"/>
  <c r="I11" i="48"/>
  <c r="G11" i="48"/>
  <c r="AV10" i="48"/>
  <c r="AQ10" i="48"/>
  <c r="AL10" i="48"/>
  <c r="AG10" i="48"/>
  <c r="AB10" i="48"/>
  <c r="W10" i="48"/>
  <c r="R10" i="48"/>
  <c r="J10" i="48"/>
  <c r="I10" i="48"/>
  <c r="G10" i="48"/>
  <c r="AV9" i="48"/>
  <c r="AQ9" i="48"/>
  <c r="AL9" i="48"/>
  <c r="AG9" i="48"/>
  <c r="AB9" i="48"/>
  <c r="AC9" i="48" s="1"/>
  <c r="W9" i="48"/>
  <c r="R9" i="48"/>
  <c r="S9" i="48" s="1"/>
  <c r="J9" i="48"/>
  <c r="I9" i="48"/>
  <c r="G9" i="48"/>
  <c r="AV8" i="48"/>
  <c r="AQ8" i="48"/>
  <c r="AL8" i="48"/>
  <c r="AG8" i="48"/>
  <c r="AB8" i="48"/>
  <c r="W8" i="48"/>
  <c r="X8" i="48" s="1"/>
  <c r="R8" i="48"/>
  <c r="J8" i="48"/>
  <c r="I8" i="48"/>
  <c r="G8" i="48"/>
  <c r="H7" i="48" s="1"/>
  <c r="AV7" i="48"/>
  <c r="AW14" i="48" s="1"/>
  <c r="AQ7" i="48"/>
  <c r="AR12" i="48" s="1"/>
  <c r="AL7" i="48"/>
  <c r="AM11" i="48" s="1"/>
  <c r="AG7" i="48"/>
  <c r="AH8" i="48" s="1"/>
  <c r="AB7" i="48"/>
  <c r="W7" i="48"/>
  <c r="R7" i="48"/>
  <c r="J7" i="48"/>
  <c r="I7" i="48"/>
  <c r="G7" i="48"/>
  <c r="AV13" i="47"/>
  <c r="AQ13" i="47"/>
  <c r="AL13" i="47"/>
  <c r="AG13" i="47"/>
  <c r="AB13" i="47"/>
  <c r="W13" i="47"/>
  <c r="R13" i="47"/>
  <c r="J13" i="47"/>
  <c r="I13" i="47"/>
  <c r="G13" i="47"/>
  <c r="AV12" i="47"/>
  <c r="AW12" i="47" s="1"/>
  <c r="AQ12" i="47"/>
  <c r="AL12" i="47"/>
  <c r="AG12" i="47"/>
  <c r="AB12" i="47"/>
  <c r="W12" i="47"/>
  <c r="R12" i="47"/>
  <c r="S12" i="47" s="1"/>
  <c r="J12" i="47"/>
  <c r="I12" i="47"/>
  <c r="G12" i="47"/>
  <c r="AV11" i="47"/>
  <c r="AQ11" i="47"/>
  <c r="AL11" i="47"/>
  <c r="AG11" i="47"/>
  <c r="AB11" i="47"/>
  <c r="W11" i="47"/>
  <c r="R11" i="47"/>
  <c r="J11" i="47"/>
  <c r="I11" i="47"/>
  <c r="G11" i="47"/>
  <c r="R10" i="47"/>
  <c r="K10" i="47" s="1"/>
  <c r="J10" i="47"/>
  <c r="I10" i="47"/>
  <c r="G10" i="47"/>
  <c r="AV9" i="47"/>
  <c r="AQ9" i="47"/>
  <c r="AL9" i="47"/>
  <c r="AG9" i="47"/>
  <c r="K9" i="47" s="1"/>
  <c r="AB9" i="47"/>
  <c r="W9" i="47"/>
  <c r="R9" i="47"/>
  <c r="J9" i="47"/>
  <c r="I9" i="47"/>
  <c r="G9" i="47"/>
  <c r="AV8" i="47"/>
  <c r="AQ8" i="47"/>
  <c r="AR13" i="47" s="1"/>
  <c r="AL8" i="47"/>
  <c r="AG8" i="47"/>
  <c r="AB8" i="47"/>
  <c r="W8" i="47"/>
  <c r="R8" i="47"/>
  <c r="K8" i="47" s="1"/>
  <c r="J8" i="47"/>
  <c r="I8" i="47"/>
  <c r="G8" i="47"/>
  <c r="AV7" i="47"/>
  <c r="AW7" i="47" s="1"/>
  <c r="AR7" i="47"/>
  <c r="AQ7" i="47"/>
  <c r="AL7" i="47"/>
  <c r="AG7" i="47"/>
  <c r="AB7" i="47"/>
  <c r="AC11" i="47" s="1"/>
  <c r="W7" i="47"/>
  <c r="R7" i="47"/>
  <c r="J7" i="47"/>
  <c r="I7" i="47"/>
  <c r="G7" i="47"/>
  <c r="L7" i="46"/>
  <c r="AV7" i="46"/>
  <c r="AX7" i="46" s="1"/>
  <c r="AQ7" i="46"/>
  <c r="AR7" i="46" s="1"/>
  <c r="AL7" i="46"/>
  <c r="AG7" i="46"/>
  <c r="AI7" i="46" s="1"/>
  <c r="AB7" i="46"/>
  <c r="AD7" i="46" s="1"/>
  <c r="W7" i="46"/>
  <c r="X7" i="46" s="1"/>
  <c r="R7" i="46"/>
  <c r="T7" i="46" s="1"/>
  <c r="J7" i="46"/>
  <c r="I7" i="46"/>
  <c r="G7" i="46"/>
  <c r="H7" i="46" s="1"/>
  <c r="C1" i="45"/>
  <c r="AV10" i="45"/>
  <c r="AQ10" i="45"/>
  <c r="AL10" i="45"/>
  <c r="AG10" i="45"/>
  <c r="AB10" i="45"/>
  <c r="W10" i="45"/>
  <c r="R10" i="45"/>
  <c r="J10" i="45"/>
  <c r="I10" i="45"/>
  <c r="G10" i="45"/>
  <c r="AV9" i="45"/>
  <c r="AQ9" i="45"/>
  <c r="AR9" i="45" s="1"/>
  <c r="AL9" i="45"/>
  <c r="AG9" i="45"/>
  <c r="AB9" i="45"/>
  <c r="W9" i="45"/>
  <c r="K9" i="45" s="1"/>
  <c r="R9" i="45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L7" i="45"/>
  <c r="AN7" i="45" s="1"/>
  <c r="AG7" i="45"/>
  <c r="AH9" i="45" s="1"/>
  <c r="AB7" i="45"/>
  <c r="W7" i="45"/>
  <c r="R7" i="45"/>
  <c r="J7" i="45"/>
  <c r="I7" i="45"/>
  <c r="G7" i="45"/>
  <c r="H7" i="45" s="1"/>
  <c r="B34" i="39"/>
  <c r="M7" i="44"/>
  <c r="B28" i="39"/>
  <c r="C1" i="44"/>
  <c r="AV42" i="44"/>
  <c r="AQ42" i="44"/>
  <c r="AL42" i="44"/>
  <c r="AG42" i="44"/>
  <c r="AB42" i="44"/>
  <c r="W42" i="44"/>
  <c r="R42" i="44"/>
  <c r="J42" i="44"/>
  <c r="I42" i="44"/>
  <c r="G42" i="44"/>
  <c r="AV41" i="44"/>
  <c r="AQ41" i="44"/>
  <c r="AL41" i="44"/>
  <c r="AG41" i="44"/>
  <c r="AB41" i="44"/>
  <c r="W41" i="44"/>
  <c r="R41" i="44"/>
  <c r="J41" i="44"/>
  <c r="I41" i="44"/>
  <c r="G41" i="44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K39" i="44" s="1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R37" i="44"/>
  <c r="K37" i="44"/>
  <c r="J37" i="44"/>
  <c r="I37" i="44"/>
  <c r="G37" i="44"/>
  <c r="AV36" i="44"/>
  <c r="AQ36" i="44"/>
  <c r="AL36" i="44"/>
  <c r="AG36" i="44"/>
  <c r="AB36" i="44"/>
  <c r="W36" i="44"/>
  <c r="R36" i="44"/>
  <c r="K36" i="44" s="1"/>
  <c r="J36" i="44"/>
  <c r="I36" i="44"/>
  <c r="G36" i="44"/>
  <c r="AV35" i="44"/>
  <c r="AQ35" i="44"/>
  <c r="AL35" i="44"/>
  <c r="AG35" i="44"/>
  <c r="AB35" i="44"/>
  <c r="W35" i="44"/>
  <c r="R35" i="44"/>
  <c r="J35" i="44"/>
  <c r="I35" i="44"/>
  <c r="G35" i="44"/>
  <c r="AV34" i="44"/>
  <c r="AQ34" i="44"/>
  <c r="AL34" i="44"/>
  <c r="AG34" i="44"/>
  <c r="AH34" i="44" s="1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H32" i="44" s="1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H30" i="44" s="1"/>
  <c r="AB30" i="44"/>
  <c r="W30" i="44"/>
  <c r="R30" i="44"/>
  <c r="J30" i="44"/>
  <c r="I30" i="44"/>
  <c r="G30" i="44"/>
  <c r="AV29" i="44"/>
  <c r="AQ29" i="44"/>
  <c r="AL29" i="44"/>
  <c r="AM29" i="44" s="1"/>
  <c r="AG29" i="44"/>
  <c r="AB29" i="44"/>
  <c r="W29" i="44"/>
  <c r="R29" i="44"/>
  <c r="J29" i="44"/>
  <c r="I29" i="44"/>
  <c r="G29" i="44"/>
  <c r="AV28" i="44"/>
  <c r="AQ28" i="44"/>
  <c r="AL28" i="44"/>
  <c r="AM28" i="44" s="1"/>
  <c r="AG28" i="44"/>
  <c r="AB28" i="44"/>
  <c r="W28" i="44"/>
  <c r="R28" i="44"/>
  <c r="J28" i="44"/>
  <c r="I28" i="44"/>
  <c r="G28" i="44"/>
  <c r="AV27" i="44"/>
  <c r="AQ27" i="44"/>
  <c r="AL27" i="44"/>
  <c r="AG27" i="44"/>
  <c r="AH27" i="44" s="1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W22" i="44" s="1"/>
  <c r="AQ22" i="44"/>
  <c r="AL22" i="44"/>
  <c r="AG22" i="44"/>
  <c r="AB22" i="44"/>
  <c r="W22" i="44"/>
  <c r="R22" i="44"/>
  <c r="J22" i="44"/>
  <c r="I22" i="44"/>
  <c r="G22" i="44"/>
  <c r="AV21" i="44"/>
  <c r="AQ21" i="44"/>
  <c r="AL21" i="44"/>
  <c r="AG21" i="44"/>
  <c r="AB21" i="44"/>
  <c r="W21" i="44"/>
  <c r="R21" i="44"/>
  <c r="K21" i="44" s="1"/>
  <c r="J21" i="44"/>
  <c r="I21" i="44"/>
  <c r="G21" i="44"/>
  <c r="AV20" i="44"/>
  <c r="AQ20" i="44"/>
  <c r="AL20" i="44"/>
  <c r="AG20" i="44"/>
  <c r="AB20" i="44"/>
  <c r="W20" i="44"/>
  <c r="R20" i="44"/>
  <c r="K20" i="44" s="1"/>
  <c r="J20" i="44"/>
  <c r="I20" i="44"/>
  <c r="G20" i="44"/>
  <c r="AV19" i="44"/>
  <c r="AQ19" i="44"/>
  <c r="AL19" i="44"/>
  <c r="AG19" i="44"/>
  <c r="AB19" i="44"/>
  <c r="W19" i="44"/>
  <c r="R19" i="44"/>
  <c r="K19" i="44" s="1"/>
  <c r="J19" i="44"/>
  <c r="I19" i="44"/>
  <c r="G19" i="44"/>
  <c r="AV18" i="44"/>
  <c r="AQ18" i="44"/>
  <c r="AL18" i="44"/>
  <c r="AG18" i="44"/>
  <c r="AB18" i="44"/>
  <c r="W18" i="44"/>
  <c r="R18" i="44"/>
  <c r="K18" i="44"/>
  <c r="J18" i="44"/>
  <c r="I18" i="44"/>
  <c r="G18" i="44"/>
  <c r="AV17" i="44"/>
  <c r="AQ17" i="44"/>
  <c r="AL17" i="44"/>
  <c r="AG17" i="44"/>
  <c r="AB17" i="44"/>
  <c r="W17" i="44"/>
  <c r="R17" i="44"/>
  <c r="K17" i="44"/>
  <c r="J17" i="44"/>
  <c r="I17" i="44"/>
  <c r="G17" i="44"/>
  <c r="AV16" i="44"/>
  <c r="AQ16" i="44"/>
  <c r="AL16" i="44"/>
  <c r="AG16" i="44"/>
  <c r="AB16" i="44"/>
  <c r="W16" i="44"/>
  <c r="K16" i="44" s="1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J12" i="44"/>
  <c r="I12" i="44"/>
  <c r="G12" i="44"/>
  <c r="AV11" i="44"/>
  <c r="AQ11" i="44"/>
  <c r="AL11" i="44"/>
  <c r="AG11" i="44"/>
  <c r="AB11" i="44"/>
  <c r="W11" i="44"/>
  <c r="R11" i="44"/>
  <c r="K11" i="44" s="1"/>
  <c r="J11" i="44"/>
  <c r="I11" i="44"/>
  <c r="G11" i="44"/>
  <c r="AV10" i="44"/>
  <c r="AQ10" i="44"/>
  <c r="AL10" i="44"/>
  <c r="AG10" i="44"/>
  <c r="AB10" i="44"/>
  <c r="W10" i="44"/>
  <c r="R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J8" i="44"/>
  <c r="I8" i="44"/>
  <c r="G8" i="44"/>
  <c r="AV7" i="44"/>
  <c r="AQ7" i="44"/>
  <c r="AL7" i="44"/>
  <c r="AG7" i="44"/>
  <c r="AB7" i="44"/>
  <c r="AC25" i="44" s="1"/>
  <c r="W7" i="44"/>
  <c r="R7" i="44"/>
  <c r="S22" i="44" s="1"/>
  <c r="J7" i="44"/>
  <c r="I7" i="44"/>
  <c r="G7" i="44"/>
  <c r="H7" i="44" s="1"/>
  <c r="AC48" i="6"/>
  <c r="F48" i="6" s="1"/>
  <c r="AL48" i="6" s="1"/>
  <c r="S48" i="6"/>
  <c r="M48" i="6"/>
  <c r="AC47" i="6"/>
  <c r="S47" i="6"/>
  <c r="M47" i="6"/>
  <c r="F47" i="6"/>
  <c r="AL47" i="6" s="1"/>
  <c r="AC46" i="6"/>
  <c r="S46" i="6"/>
  <c r="M46" i="6"/>
  <c r="AC45" i="6"/>
  <c r="S45" i="6"/>
  <c r="M45" i="6"/>
  <c r="F45" i="6" s="1"/>
  <c r="AL45" i="6" s="1"/>
  <c r="AC44" i="6"/>
  <c r="S44" i="6"/>
  <c r="M44" i="6"/>
  <c r="F44" i="6" s="1"/>
  <c r="AL44" i="6" s="1"/>
  <c r="AC43" i="6"/>
  <c r="F43" i="6" s="1"/>
  <c r="AL43" i="6" s="1"/>
  <c r="S43" i="6"/>
  <c r="M43" i="6"/>
  <c r="AC42" i="6"/>
  <c r="S42" i="6"/>
  <c r="M42" i="6"/>
  <c r="F42" i="6"/>
  <c r="AL42" i="6" s="1"/>
  <c r="AC48" i="7"/>
  <c r="S48" i="7"/>
  <c r="M48" i="7"/>
  <c r="F48" i="7" s="1"/>
  <c r="AL48" i="7" s="1"/>
  <c r="AC47" i="7"/>
  <c r="S47" i="7"/>
  <c r="M47" i="7"/>
  <c r="F47" i="7"/>
  <c r="AL47" i="7" s="1"/>
  <c r="AC46" i="7"/>
  <c r="S46" i="7"/>
  <c r="M46" i="7"/>
  <c r="F46" i="7"/>
  <c r="AL46" i="7" s="1"/>
  <c r="AC45" i="7"/>
  <c r="S45" i="7"/>
  <c r="M45" i="7"/>
  <c r="F45" i="7" s="1"/>
  <c r="AL45" i="7" s="1"/>
  <c r="AC44" i="7"/>
  <c r="S44" i="7"/>
  <c r="M44" i="7"/>
  <c r="AC43" i="7"/>
  <c r="S43" i="7"/>
  <c r="M43" i="7"/>
  <c r="F43" i="7" s="1"/>
  <c r="AL43" i="7" s="1"/>
  <c r="AC42" i="7"/>
  <c r="S42" i="7"/>
  <c r="M42" i="7"/>
  <c r="F42" i="7"/>
  <c r="AL42" i="7" s="1"/>
  <c r="U41" i="5"/>
  <c r="U42" i="5"/>
  <c r="U43" i="5"/>
  <c r="U44" i="5"/>
  <c r="U45" i="5"/>
  <c r="U46" i="5"/>
  <c r="U40" i="5"/>
  <c r="AN7" i="52" l="1"/>
  <c r="AX7" i="52"/>
  <c r="H7" i="52"/>
  <c r="AH7" i="52"/>
  <c r="AH8" i="52"/>
  <c r="AM8" i="52"/>
  <c r="K7" i="52"/>
  <c r="M7" i="52" s="1"/>
  <c r="AR8" i="52"/>
  <c r="Y7" i="52"/>
  <c r="AW8" i="52"/>
  <c r="S7" i="52"/>
  <c r="T7" i="52"/>
  <c r="X7" i="52"/>
  <c r="K8" i="52"/>
  <c r="AC7" i="52"/>
  <c r="AD7" i="52"/>
  <c r="AR7" i="52"/>
  <c r="S10" i="51"/>
  <c r="H7" i="51"/>
  <c r="AC10" i="51"/>
  <c r="T7" i="51"/>
  <c r="S7" i="51"/>
  <c r="AW8" i="51"/>
  <c r="AW10" i="51"/>
  <c r="X10" i="51"/>
  <c r="X12" i="51"/>
  <c r="AC12" i="51"/>
  <c r="AH12" i="51"/>
  <c r="K7" i="51"/>
  <c r="AC7" i="51"/>
  <c r="AH8" i="51"/>
  <c r="S9" i="51"/>
  <c r="AC9" i="51"/>
  <c r="AC13" i="51"/>
  <c r="AX7" i="51"/>
  <c r="AM9" i="51"/>
  <c r="AH11" i="51"/>
  <c r="S13" i="51"/>
  <c r="AR9" i="51"/>
  <c r="AM7" i="51"/>
  <c r="AM13" i="51"/>
  <c r="AH9" i="51"/>
  <c r="AR11" i="51"/>
  <c r="AR13" i="51"/>
  <c r="AI7" i="51"/>
  <c r="X11" i="51"/>
  <c r="AW11" i="51"/>
  <c r="AW13" i="51"/>
  <c r="AR10" i="51"/>
  <c r="AW12" i="51"/>
  <c r="AR7" i="51"/>
  <c r="AS7" i="51"/>
  <c r="AW9" i="51"/>
  <c r="AW7" i="51"/>
  <c r="K13" i="51"/>
  <c r="K12" i="51"/>
  <c r="K10" i="51"/>
  <c r="K9" i="51"/>
  <c r="S12" i="51"/>
  <c r="X7" i="51"/>
  <c r="K8" i="51"/>
  <c r="S11" i="51"/>
  <c r="X13" i="51"/>
  <c r="Y7" i="51"/>
  <c r="X9" i="51"/>
  <c r="AC11" i="51"/>
  <c r="AH13" i="51"/>
  <c r="AH7" i="51"/>
  <c r="AH10" i="51"/>
  <c r="AM12" i="51"/>
  <c r="AM11" i="51"/>
  <c r="AM10" i="51"/>
  <c r="AN7" i="51"/>
  <c r="K12" i="49"/>
  <c r="S14" i="49"/>
  <c r="T7" i="49"/>
  <c r="AR10" i="49"/>
  <c r="AW12" i="49"/>
  <c r="AH10" i="49"/>
  <c r="S9" i="49"/>
  <c r="X9" i="49"/>
  <c r="S11" i="49"/>
  <c r="AM7" i="49"/>
  <c r="AC9" i="49"/>
  <c r="X11" i="49"/>
  <c r="S13" i="49"/>
  <c r="AR14" i="49"/>
  <c r="AH9" i="49"/>
  <c r="AC11" i="49"/>
  <c r="X13" i="49"/>
  <c r="X8" i="49"/>
  <c r="X15" i="49"/>
  <c r="AR9" i="49"/>
  <c r="AM11" i="49"/>
  <c r="AH13" i="49"/>
  <c r="AC15" i="49"/>
  <c r="AM14" i="49"/>
  <c r="AW9" i="49"/>
  <c r="AR11" i="49"/>
  <c r="AM13" i="49"/>
  <c r="AH15" i="49"/>
  <c r="AC13" i="49"/>
  <c r="AX7" i="49"/>
  <c r="AR13" i="49"/>
  <c r="AM15" i="49"/>
  <c r="AC8" i="49"/>
  <c r="AH11" i="49"/>
  <c r="AW13" i="49"/>
  <c r="AR15" i="49"/>
  <c r="S8" i="49"/>
  <c r="AW15" i="49"/>
  <c r="AN7" i="49"/>
  <c r="AM9" i="49"/>
  <c r="AM8" i="49"/>
  <c r="AR7" i="49"/>
  <c r="AW11" i="49"/>
  <c r="K7" i="49"/>
  <c r="AS7" i="49"/>
  <c r="AR8" i="49"/>
  <c r="AW10" i="49"/>
  <c r="K14" i="49"/>
  <c r="AW7" i="49"/>
  <c r="AW8" i="49"/>
  <c r="K13" i="49"/>
  <c r="S15" i="49"/>
  <c r="S7" i="49"/>
  <c r="K11" i="49"/>
  <c r="K9" i="49"/>
  <c r="S12" i="49"/>
  <c r="X14" i="49"/>
  <c r="X7" i="49"/>
  <c r="K8" i="49"/>
  <c r="Y7" i="49"/>
  <c r="S10" i="49"/>
  <c r="X12" i="49"/>
  <c r="AC14" i="49"/>
  <c r="X10" i="49"/>
  <c r="AC12" i="49"/>
  <c r="AH14" i="49"/>
  <c r="AD7" i="49"/>
  <c r="AC10" i="49"/>
  <c r="AH12" i="49"/>
  <c r="AH7" i="49"/>
  <c r="AI7" i="49"/>
  <c r="S8" i="48"/>
  <c r="X10" i="48"/>
  <c r="S11" i="48"/>
  <c r="X9" i="48"/>
  <c r="X11" i="48"/>
  <c r="X13" i="48"/>
  <c r="AC11" i="48"/>
  <c r="AD7" i="48"/>
  <c r="AH11" i="48"/>
  <c r="AH13" i="48"/>
  <c r="AN7" i="48"/>
  <c r="AM13" i="48"/>
  <c r="K9" i="48"/>
  <c r="AR13" i="48"/>
  <c r="AW9" i="48"/>
  <c r="AX7" i="48"/>
  <c r="S10" i="48"/>
  <c r="S14" i="48"/>
  <c r="X12" i="48"/>
  <c r="AC8" i="48"/>
  <c r="AC10" i="48"/>
  <c r="AC14" i="48"/>
  <c r="AH10" i="48"/>
  <c r="AH12" i="48"/>
  <c r="AM10" i="48"/>
  <c r="AM12" i="48"/>
  <c r="AM14" i="48"/>
  <c r="AR10" i="48"/>
  <c r="AR14" i="48"/>
  <c r="AW8" i="48"/>
  <c r="K12" i="48"/>
  <c r="AM9" i="48"/>
  <c r="AR11" i="48"/>
  <c r="AW13" i="48"/>
  <c r="AM8" i="48"/>
  <c r="AW12" i="48"/>
  <c r="AR7" i="48"/>
  <c r="AR9" i="48"/>
  <c r="AW11" i="48"/>
  <c r="K7" i="48"/>
  <c r="AS7" i="48"/>
  <c r="AR8" i="48"/>
  <c r="AW10" i="48"/>
  <c r="K14" i="48"/>
  <c r="AW7" i="48"/>
  <c r="K13" i="48"/>
  <c r="S7" i="48"/>
  <c r="K11" i="48"/>
  <c r="T7" i="48"/>
  <c r="K10" i="48"/>
  <c r="S13" i="48"/>
  <c r="S12" i="48"/>
  <c r="X14" i="48"/>
  <c r="X7" i="48"/>
  <c r="K8" i="48"/>
  <c r="Y7" i="48"/>
  <c r="AC13" i="48"/>
  <c r="AC7" i="48"/>
  <c r="AC12" i="48"/>
  <c r="AH14" i="48"/>
  <c r="AH7" i="48"/>
  <c r="AI7" i="48"/>
  <c r="AH9" i="48"/>
  <c r="AM7" i="48"/>
  <c r="X12" i="47"/>
  <c r="AC12" i="47"/>
  <c r="AH12" i="47"/>
  <c r="AM12" i="47"/>
  <c r="S8" i="47"/>
  <c r="AR12" i="47"/>
  <c r="AC8" i="47"/>
  <c r="H7" i="47"/>
  <c r="AH8" i="47"/>
  <c r="AM11" i="47"/>
  <c r="AW8" i="47"/>
  <c r="S13" i="47"/>
  <c r="T7" i="47"/>
  <c r="X11" i="47"/>
  <c r="AH11" i="47"/>
  <c r="AR11" i="47"/>
  <c r="AM7" i="47"/>
  <c r="S9" i="47"/>
  <c r="AX7" i="47"/>
  <c r="AN7" i="47"/>
  <c r="X9" i="47"/>
  <c r="AW13" i="47"/>
  <c r="AC9" i="47"/>
  <c r="Y7" i="47"/>
  <c r="S10" i="47"/>
  <c r="AC7" i="47"/>
  <c r="K13" i="47"/>
  <c r="AW11" i="47"/>
  <c r="AD7" i="47"/>
  <c r="K12" i="47"/>
  <c r="X8" i="47"/>
  <c r="K11" i="47"/>
  <c r="AH7" i="47"/>
  <c r="X7" i="47"/>
  <c r="AI7" i="47"/>
  <c r="AH9" i="47"/>
  <c r="S11" i="47"/>
  <c r="X13" i="47"/>
  <c r="AM9" i="47"/>
  <c r="AC13" i="47"/>
  <c r="AM8" i="47"/>
  <c r="AR9" i="47"/>
  <c r="AH13" i="47"/>
  <c r="K7" i="47"/>
  <c r="L7" i="47" s="1"/>
  <c r="AS7" i="47"/>
  <c r="AR8" i="47"/>
  <c r="AW9" i="47"/>
  <c r="AM13" i="47"/>
  <c r="S7" i="47"/>
  <c r="S7" i="46"/>
  <c r="Y7" i="46"/>
  <c r="AC7" i="46"/>
  <c r="AH7" i="46"/>
  <c r="K7" i="46"/>
  <c r="AN7" i="46"/>
  <c r="AS7" i="46"/>
  <c r="AW7" i="46"/>
  <c r="M7" i="46"/>
  <c r="AM7" i="46"/>
  <c r="X7" i="45"/>
  <c r="AC9" i="45"/>
  <c r="AD7" i="45"/>
  <c r="AS7" i="45"/>
  <c r="AM9" i="45"/>
  <c r="K8" i="45"/>
  <c r="S10" i="45"/>
  <c r="X8" i="45"/>
  <c r="X10" i="45"/>
  <c r="AC8" i="45"/>
  <c r="AC10" i="45"/>
  <c r="AH7" i="45"/>
  <c r="AH10" i="45"/>
  <c r="AM10" i="45"/>
  <c r="AR8" i="45"/>
  <c r="AR7" i="45"/>
  <c r="K7" i="45"/>
  <c r="AW8" i="45"/>
  <c r="AW10" i="45"/>
  <c r="AH8" i="45"/>
  <c r="AM8" i="45"/>
  <c r="Y7" i="45"/>
  <c r="AW9" i="45"/>
  <c r="AW7" i="45"/>
  <c r="S7" i="45"/>
  <c r="T7" i="45"/>
  <c r="K10" i="45"/>
  <c r="M10" i="45" s="1"/>
  <c r="S9" i="45"/>
  <c r="AC7" i="45"/>
  <c r="X9" i="45"/>
  <c r="AI7" i="45"/>
  <c r="AM7" i="45"/>
  <c r="AR10" i="45"/>
  <c r="AW32" i="44"/>
  <c r="AM11" i="44"/>
  <c r="AM13" i="44"/>
  <c r="AC17" i="44"/>
  <c r="X19" i="44"/>
  <c r="S21" i="44"/>
  <c r="S23" i="44"/>
  <c r="S25" i="44"/>
  <c r="AW36" i="44"/>
  <c r="AR32" i="44"/>
  <c r="AR9" i="44"/>
  <c r="AR13" i="44"/>
  <c r="AR15" i="44"/>
  <c r="AC19" i="44"/>
  <c r="X21" i="44"/>
  <c r="X25" i="44"/>
  <c r="S15" i="44"/>
  <c r="S41" i="44"/>
  <c r="AM30" i="44"/>
  <c r="AW34" i="44"/>
  <c r="AW9" i="44"/>
  <c r="AW11" i="44"/>
  <c r="AW15" i="44"/>
  <c r="AH19" i="44"/>
  <c r="AC21" i="44"/>
  <c r="K23" i="44"/>
  <c r="X27" i="44"/>
  <c r="AH39" i="44"/>
  <c r="AW17" i="44"/>
  <c r="AM21" i="44"/>
  <c r="AM23" i="44"/>
  <c r="AH25" i="44"/>
  <c r="AC29" i="44"/>
  <c r="X35" i="44"/>
  <c r="AR41" i="44"/>
  <c r="AW30" i="44"/>
  <c r="S35" i="44"/>
  <c r="AR23" i="44"/>
  <c r="AM25" i="44"/>
  <c r="AH29" i="44"/>
  <c r="S37" i="44"/>
  <c r="AW39" i="44"/>
  <c r="AR36" i="44"/>
  <c r="AR28" i="44"/>
  <c r="AC9" i="44"/>
  <c r="S27" i="44"/>
  <c r="S10" i="44"/>
  <c r="K14" i="44"/>
  <c r="AR25" i="44"/>
  <c r="AM27" i="44"/>
  <c r="AH31" i="44"/>
  <c r="X8" i="44"/>
  <c r="X10" i="44"/>
  <c r="X12" i="44"/>
  <c r="AW25" i="44"/>
  <c r="AR27" i="44"/>
  <c r="AM31" i="44"/>
  <c r="AM33" i="44"/>
  <c r="AH21" i="44"/>
  <c r="AC8" i="44"/>
  <c r="AC10" i="44"/>
  <c r="AC12" i="44"/>
  <c r="AC14" i="44"/>
  <c r="AW27" i="44"/>
  <c r="AR29" i="44"/>
  <c r="AR33" i="44"/>
  <c r="AR35" i="44"/>
  <c r="S17" i="44"/>
  <c r="X17" i="44"/>
  <c r="AH23" i="44"/>
  <c r="AH10" i="44"/>
  <c r="AH12" i="44"/>
  <c r="AH14" i="44"/>
  <c r="AW29" i="44"/>
  <c r="AW31" i="44"/>
  <c r="AW35" i="44"/>
  <c r="S38" i="44"/>
  <c r="K42" i="44"/>
  <c r="S13" i="44"/>
  <c r="AM10" i="44"/>
  <c r="AM12" i="44"/>
  <c r="AM14" i="44"/>
  <c r="AH16" i="44"/>
  <c r="S24" i="44"/>
  <c r="X38" i="44"/>
  <c r="X40" i="44"/>
  <c r="AR34" i="44"/>
  <c r="AH11" i="44"/>
  <c r="AC27" i="44"/>
  <c r="AR8" i="44"/>
  <c r="AR31" i="44"/>
  <c r="AR14" i="44"/>
  <c r="AM16" i="44"/>
  <c r="X22" i="44"/>
  <c r="S26" i="44"/>
  <c r="AC38" i="44"/>
  <c r="AC40" i="44"/>
  <c r="AC42" i="44"/>
  <c r="X24" i="44"/>
  <c r="AC26" i="44"/>
  <c r="AH9" i="44"/>
  <c r="AW14" i="44"/>
  <c r="AW13" i="44"/>
  <c r="AR16" i="44"/>
  <c r="AC24" i="44"/>
  <c r="X26" i="44"/>
  <c r="S28" i="44"/>
  <c r="X15" i="44"/>
  <c r="AM34" i="44"/>
  <c r="AM41" i="44"/>
  <c r="AH40" i="44"/>
  <c r="AW16" i="44"/>
  <c r="AM18" i="44"/>
  <c r="AH24" i="44"/>
  <c r="X28" i="44"/>
  <c r="S30" i="44"/>
  <c r="K34" i="44"/>
  <c r="AM38" i="44"/>
  <c r="AM40" i="44"/>
  <c r="AM42" i="44"/>
  <c r="AM32" i="44"/>
  <c r="AM36" i="44"/>
  <c r="AH28" i="44"/>
  <c r="AM39" i="44"/>
  <c r="AH42" i="44"/>
  <c r="AR18" i="44"/>
  <c r="AR20" i="44"/>
  <c r="AC28" i="44"/>
  <c r="X30" i="44"/>
  <c r="X32" i="44"/>
  <c r="AR38" i="44"/>
  <c r="AR40" i="44"/>
  <c r="AR42" i="44"/>
  <c r="AH36" i="44"/>
  <c r="AR11" i="44"/>
  <c r="S33" i="44"/>
  <c r="AH38" i="44"/>
  <c r="AW18" i="44"/>
  <c r="AW20" i="44"/>
  <c r="AM26" i="44"/>
  <c r="AC30" i="44"/>
  <c r="AC32" i="44"/>
  <c r="AC34" i="44"/>
  <c r="AW38" i="44"/>
  <c r="AW40" i="44"/>
  <c r="AW42" i="44"/>
  <c r="AR7" i="44"/>
  <c r="S19" i="44"/>
  <c r="AC23" i="44"/>
  <c r="AM9" i="44"/>
  <c r="K7" i="44"/>
  <c r="AS7" i="44"/>
  <c r="AW10" i="44"/>
  <c r="K15" i="44"/>
  <c r="S18" i="44"/>
  <c r="X20" i="44"/>
  <c r="AC22" i="44"/>
  <c r="K35" i="44"/>
  <c r="AR39" i="44"/>
  <c r="AW33" i="44"/>
  <c r="AR10" i="44"/>
  <c r="AW7" i="44"/>
  <c r="AW8" i="44"/>
  <c r="K13" i="44"/>
  <c r="S16" i="44"/>
  <c r="X18" i="44"/>
  <c r="AC20" i="44"/>
  <c r="AH22" i="44"/>
  <c r="AM24" i="44"/>
  <c r="AR26" i="44"/>
  <c r="AW28" i="44"/>
  <c r="K33" i="44"/>
  <c r="S36" i="44"/>
  <c r="K41" i="44"/>
  <c r="AN7" i="44"/>
  <c r="AM8" i="44"/>
  <c r="AX7" i="44"/>
  <c r="K12" i="44"/>
  <c r="K32" i="44"/>
  <c r="K40" i="44"/>
  <c r="X23" i="44"/>
  <c r="S7" i="44"/>
  <c r="S14" i="44"/>
  <c r="X16" i="44"/>
  <c r="AC18" i="44"/>
  <c r="AH20" i="44"/>
  <c r="AM22" i="44"/>
  <c r="AR24" i="44"/>
  <c r="AW26" i="44"/>
  <c r="K31" i="44"/>
  <c r="S34" i="44"/>
  <c r="X36" i="44"/>
  <c r="S42" i="44"/>
  <c r="AW12" i="44"/>
  <c r="S20" i="44"/>
  <c r="T7" i="44"/>
  <c r="K10" i="44"/>
  <c r="K30" i="44"/>
  <c r="K38" i="44"/>
  <c r="K9" i="44"/>
  <c r="S12" i="44"/>
  <c r="X14" i="44"/>
  <c r="AC16" i="44"/>
  <c r="AH18" i="44"/>
  <c r="AM20" i="44"/>
  <c r="AR22" i="44"/>
  <c r="AW24" i="44"/>
  <c r="K29" i="44"/>
  <c r="S32" i="44"/>
  <c r="X34" i="44"/>
  <c r="AC36" i="44"/>
  <c r="S40" i="44"/>
  <c r="X42" i="44"/>
  <c r="AR30" i="44"/>
  <c r="X7" i="44"/>
  <c r="K8" i="44"/>
  <c r="S11" i="44"/>
  <c r="X13" i="44"/>
  <c r="AC15" i="44"/>
  <c r="AH17" i="44"/>
  <c r="AM19" i="44"/>
  <c r="AR21" i="44"/>
  <c r="AW23" i="44"/>
  <c r="K28" i="44"/>
  <c r="S31" i="44"/>
  <c r="X33" i="44"/>
  <c r="AC35" i="44"/>
  <c r="S39" i="44"/>
  <c r="X41" i="44"/>
  <c r="Y7" i="44"/>
  <c r="K27" i="44"/>
  <c r="S9" i="44"/>
  <c r="X11" i="44"/>
  <c r="AC13" i="44"/>
  <c r="AH15" i="44"/>
  <c r="AM17" i="44"/>
  <c r="AR19" i="44"/>
  <c r="AW21" i="44"/>
  <c r="K26" i="44"/>
  <c r="S29" i="44"/>
  <c r="X31" i="44"/>
  <c r="AC33" i="44"/>
  <c r="AH35" i="44"/>
  <c r="X39" i="44"/>
  <c r="AC41" i="44"/>
  <c r="AW41" i="44"/>
  <c r="AC7" i="44"/>
  <c r="S8" i="44"/>
  <c r="K25" i="44"/>
  <c r="AD7" i="44"/>
  <c r="X9" i="44"/>
  <c r="AC11" i="44"/>
  <c r="AH13" i="44"/>
  <c r="AM15" i="44"/>
  <c r="AR17" i="44"/>
  <c r="AW19" i="44"/>
  <c r="K24" i="44"/>
  <c r="X29" i="44"/>
  <c r="AC31" i="44"/>
  <c r="AH33" i="44"/>
  <c r="AM35" i="44"/>
  <c r="AC39" i="44"/>
  <c r="AH41" i="44"/>
  <c r="AH26" i="44"/>
  <c r="AH7" i="44"/>
  <c r="K22" i="44"/>
  <c r="AI7" i="44"/>
  <c r="AM7" i="44"/>
  <c r="AH8" i="44"/>
  <c r="AR12" i="44"/>
  <c r="T42" i="6"/>
  <c r="T47" i="6"/>
  <c r="N43" i="6"/>
  <c r="N48" i="6"/>
  <c r="T43" i="6"/>
  <c r="T48" i="6"/>
  <c r="N42" i="6"/>
  <c r="N44" i="6"/>
  <c r="T44" i="6"/>
  <c r="N45" i="6"/>
  <c r="N47" i="6"/>
  <c r="T45" i="6"/>
  <c r="F46" i="6"/>
  <c r="AL46" i="6" s="1"/>
  <c r="H42" i="6"/>
  <c r="G42" i="6"/>
  <c r="J42" i="6"/>
  <c r="J43" i="6"/>
  <c r="J44" i="6"/>
  <c r="J45" i="6"/>
  <c r="J47" i="6"/>
  <c r="J48" i="6"/>
  <c r="L48" i="6"/>
  <c r="L43" i="6"/>
  <c r="L42" i="6"/>
  <c r="L45" i="6"/>
  <c r="P47" i="6"/>
  <c r="R47" i="6"/>
  <c r="P45" i="6"/>
  <c r="R48" i="6"/>
  <c r="V42" i="6"/>
  <c r="V43" i="6"/>
  <c r="V44" i="6"/>
  <c r="V45" i="6"/>
  <c r="V46" i="6"/>
  <c r="V47" i="6"/>
  <c r="V48" i="6"/>
  <c r="X42" i="6"/>
  <c r="X43" i="6"/>
  <c r="X44" i="6"/>
  <c r="X45" i="6"/>
  <c r="X47" i="6"/>
  <c r="X48" i="6"/>
  <c r="P43" i="6"/>
  <c r="P44" i="6"/>
  <c r="R44" i="6"/>
  <c r="Z47" i="6"/>
  <c r="AB42" i="6"/>
  <c r="AB43" i="6"/>
  <c r="AB44" i="6"/>
  <c r="AB45" i="6"/>
  <c r="AB47" i="6"/>
  <c r="AB48" i="6"/>
  <c r="L47" i="6"/>
  <c r="P48" i="6"/>
  <c r="Z48" i="6"/>
  <c r="Z45" i="6"/>
  <c r="AD42" i="6"/>
  <c r="AD43" i="6"/>
  <c r="AD44" i="6"/>
  <c r="AD45" i="6"/>
  <c r="AD47" i="6"/>
  <c r="AD48" i="6"/>
  <c r="Z44" i="6"/>
  <c r="AF42" i="6"/>
  <c r="AF43" i="6"/>
  <c r="AF44" i="6"/>
  <c r="AF45" i="6"/>
  <c r="AF46" i="6"/>
  <c r="AF47" i="6"/>
  <c r="AF48" i="6"/>
  <c r="L44" i="6"/>
  <c r="R43" i="6"/>
  <c r="Z43" i="6"/>
  <c r="AH42" i="6"/>
  <c r="AH43" i="6"/>
  <c r="AH44" i="6"/>
  <c r="AH45" i="6"/>
  <c r="AH47" i="6"/>
  <c r="AH48" i="6"/>
  <c r="R42" i="6"/>
  <c r="Z42" i="6"/>
  <c r="AJ42" i="6"/>
  <c r="AJ43" i="6"/>
  <c r="AJ44" i="6"/>
  <c r="AJ45" i="6"/>
  <c r="AJ46" i="6"/>
  <c r="AJ47" i="6"/>
  <c r="AJ48" i="6"/>
  <c r="P42" i="6"/>
  <c r="P46" i="6"/>
  <c r="R45" i="6"/>
  <c r="AD44" i="7"/>
  <c r="N45" i="7"/>
  <c r="T45" i="7"/>
  <c r="N46" i="7"/>
  <c r="T46" i="7"/>
  <c r="AD45" i="7"/>
  <c r="AD46" i="7"/>
  <c r="N42" i="7"/>
  <c r="T42" i="7"/>
  <c r="N48" i="7"/>
  <c r="T43" i="7"/>
  <c r="T48" i="7"/>
  <c r="N47" i="7"/>
  <c r="T47" i="7"/>
  <c r="AD42" i="7"/>
  <c r="AD43" i="7"/>
  <c r="AD48" i="7"/>
  <c r="AD47" i="7"/>
  <c r="N43" i="7"/>
  <c r="F44" i="7"/>
  <c r="N44" i="7"/>
  <c r="J43" i="7"/>
  <c r="J42" i="7"/>
  <c r="L42" i="7"/>
  <c r="P42" i="7"/>
  <c r="P44" i="7"/>
  <c r="P47" i="7"/>
  <c r="R43" i="7"/>
  <c r="R45" i="7"/>
  <c r="R48" i="7"/>
  <c r="J48" i="7"/>
  <c r="L48" i="7"/>
  <c r="P43" i="7"/>
  <c r="P45" i="7"/>
  <c r="P46" i="7"/>
  <c r="P48" i="7"/>
  <c r="R42" i="7"/>
  <c r="R44" i="7"/>
  <c r="R46" i="7"/>
  <c r="R47" i="7"/>
  <c r="V42" i="7"/>
  <c r="V43" i="7"/>
  <c r="V45" i="7"/>
  <c r="V46" i="7"/>
  <c r="V47" i="7"/>
  <c r="V48" i="7"/>
  <c r="X45" i="7"/>
  <c r="Z42" i="7"/>
  <c r="Z43" i="7"/>
  <c r="Z45" i="7"/>
  <c r="Z46" i="7"/>
  <c r="Z47" i="7"/>
  <c r="Z48" i="7"/>
  <c r="X42" i="7"/>
  <c r="AB42" i="7"/>
  <c r="AB43" i="7"/>
  <c r="AB45" i="7"/>
  <c r="AB46" i="7"/>
  <c r="AB47" i="7"/>
  <c r="AB48" i="7"/>
  <c r="J45" i="7"/>
  <c r="X43" i="7"/>
  <c r="L43" i="7"/>
  <c r="L47" i="7"/>
  <c r="X46" i="7"/>
  <c r="AF43" i="7"/>
  <c r="AF46" i="7"/>
  <c r="AH42" i="7"/>
  <c r="AH43" i="7"/>
  <c r="AH45" i="7"/>
  <c r="AH46" i="7"/>
  <c r="AH47" i="7"/>
  <c r="AH48" i="7"/>
  <c r="J46" i="7"/>
  <c r="L45" i="7"/>
  <c r="X47" i="7"/>
  <c r="AF42" i="7"/>
  <c r="AF45" i="7"/>
  <c r="AF47" i="7"/>
  <c r="AJ42" i="7"/>
  <c r="AJ43" i="7"/>
  <c r="AJ45" i="7"/>
  <c r="AJ46" i="7"/>
  <c r="AJ47" i="7"/>
  <c r="AJ48" i="7"/>
  <c r="J47" i="7"/>
  <c r="L46" i="7"/>
  <c r="X48" i="7"/>
  <c r="AF48" i="7"/>
  <c r="AB46" i="6" l="1"/>
  <c r="AL44" i="7"/>
  <c r="H42" i="7"/>
  <c r="M8" i="52"/>
  <c r="L7" i="52"/>
  <c r="M9" i="51"/>
  <c r="M8" i="51"/>
  <c r="M10" i="51"/>
  <c r="M12" i="51"/>
  <c r="M13" i="51"/>
  <c r="M11" i="51"/>
  <c r="M7" i="51"/>
  <c r="M9" i="49"/>
  <c r="M11" i="49"/>
  <c r="M13" i="49"/>
  <c r="M14" i="49"/>
  <c r="M7" i="49"/>
  <c r="L7" i="49"/>
  <c r="M8" i="49"/>
  <c r="M15" i="49"/>
  <c r="M10" i="49"/>
  <c r="M12" i="49"/>
  <c r="M11" i="48"/>
  <c r="M13" i="48"/>
  <c r="M14" i="48"/>
  <c r="M7" i="48"/>
  <c r="M8" i="48"/>
  <c r="M12" i="48"/>
  <c r="M10" i="48"/>
  <c r="M9" i="48"/>
  <c r="M11" i="47"/>
  <c r="M12" i="47"/>
  <c r="M13" i="47"/>
  <c r="M7" i="47"/>
  <c r="M9" i="47"/>
  <c r="M10" i="47"/>
  <c r="M8" i="47"/>
  <c r="B30" i="39"/>
  <c r="C1" i="46"/>
  <c r="L7" i="45"/>
  <c r="B29" i="39"/>
  <c r="M7" i="45"/>
  <c r="M8" i="45"/>
  <c r="M9" i="45"/>
  <c r="M8" i="44"/>
  <c r="M36" i="44"/>
  <c r="M29" i="44"/>
  <c r="M22" i="44"/>
  <c r="M28" i="44"/>
  <c r="M13" i="44"/>
  <c r="M35" i="44"/>
  <c r="M11" i="44"/>
  <c r="M34" i="44"/>
  <c r="M15" i="44"/>
  <c r="M42" i="44"/>
  <c r="M20" i="44"/>
  <c r="M38" i="44"/>
  <c r="M31" i="44"/>
  <c r="M18" i="44"/>
  <c r="M30" i="44"/>
  <c r="L7" i="44"/>
  <c r="M16" i="44"/>
  <c r="M10" i="44"/>
  <c r="M14" i="44"/>
  <c r="M25" i="44"/>
  <c r="M37" i="44"/>
  <c r="M40" i="44"/>
  <c r="M41" i="44"/>
  <c r="M23" i="44"/>
  <c r="M32" i="44"/>
  <c r="M39" i="44"/>
  <c r="M24" i="44"/>
  <c r="M12" i="44"/>
  <c r="M33" i="44"/>
  <c r="M21" i="44"/>
  <c r="M26" i="44"/>
  <c r="M27" i="44"/>
  <c r="M9" i="44"/>
  <c r="M19" i="44"/>
  <c r="M17" i="44"/>
  <c r="AD46" i="6"/>
  <c r="L46" i="6"/>
  <c r="AH46" i="6"/>
  <c r="X46" i="6"/>
  <c r="J46" i="6"/>
  <c r="T46" i="6"/>
  <c r="Z46" i="6"/>
  <c r="R46" i="6"/>
  <c r="N46" i="6"/>
  <c r="AF44" i="7"/>
  <c r="AH44" i="7"/>
  <c r="Z44" i="7"/>
  <c r="AJ44" i="7"/>
  <c r="X44" i="7"/>
  <c r="L44" i="7"/>
  <c r="J44" i="7"/>
  <c r="V44" i="7"/>
  <c r="G42" i="7"/>
  <c r="AB44" i="7"/>
  <c r="T44" i="7"/>
  <c r="C1" i="52" l="1"/>
  <c r="B36" i="39"/>
  <c r="C1" i="51"/>
  <c r="B35" i="39"/>
  <c r="B33" i="39"/>
  <c r="C1" i="49"/>
  <c r="B32" i="39"/>
  <c r="C1" i="48"/>
  <c r="C1" i="47"/>
  <c r="B31" i="39"/>
  <c r="M125" i="62" l="1"/>
  <c r="M124" i="62"/>
  <c r="M123" i="62"/>
  <c r="M122" i="62"/>
  <c r="M121" i="62"/>
  <c r="M137" i="62"/>
  <c r="M129" i="62"/>
  <c r="W40" i="5" l="1"/>
  <c r="T40" i="5"/>
  <c r="Q40" i="5"/>
  <c r="N40" i="5"/>
  <c r="K40" i="5"/>
  <c r="H40" i="5"/>
  <c r="G68" i="5"/>
  <c r="I68" i="5"/>
  <c r="M68" i="5"/>
  <c r="P68" i="5"/>
  <c r="S68" i="5"/>
  <c r="I69" i="5"/>
  <c r="V68" i="5"/>
  <c r="I70" i="5"/>
  <c r="I71" i="5"/>
  <c r="I72" i="5"/>
  <c r="I73" i="5"/>
  <c r="I74" i="5"/>
  <c r="G61" i="5"/>
  <c r="I61" i="5"/>
  <c r="M61" i="5"/>
  <c r="P61" i="5"/>
  <c r="S61" i="5"/>
  <c r="I62" i="5"/>
  <c r="V61" i="5"/>
  <c r="I63" i="5"/>
  <c r="I64" i="5"/>
  <c r="I65" i="5"/>
  <c r="I66" i="5"/>
  <c r="I67" i="5"/>
  <c r="G40" i="5"/>
  <c r="I40" i="5"/>
  <c r="M40" i="5"/>
  <c r="P40" i="5"/>
  <c r="S40" i="5"/>
  <c r="I41" i="5"/>
  <c r="V40" i="5"/>
  <c r="I42" i="5"/>
  <c r="I43" i="5"/>
  <c r="I44" i="5"/>
  <c r="I45" i="5"/>
  <c r="I46" i="5"/>
  <c r="G47" i="5"/>
  <c r="I47" i="5"/>
  <c r="M47" i="5"/>
  <c r="P47" i="5"/>
  <c r="S47" i="5"/>
  <c r="I48" i="5"/>
  <c r="V47" i="5"/>
  <c r="I49" i="5"/>
  <c r="I50" i="5"/>
  <c r="I51" i="5"/>
  <c r="I52" i="5"/>
  <c r="I53" i="5"/>
  <c r="G54" i="5"/>
  <c r="I54" i="5"/>
  <c r="M54" i="5"/>
  <c r="P54" i="5"/>
  <c r="S54" i="5"/>
  <c r="I55" i="5"/>
  <c r="J54" i="5" s="1"/>
  <c r="V54" i="5"/>
  <c r="I56" i="5"/>
  <c r="I57" i="5"/>
  <c r="I58" i="5"/>
  <c r="I59" i="5"/>
  <c r="I60" i="5"/>
  <c r="G5" i="3"/>
  <c r="J5" i="3"/>
  <c r="M5" i="3"/>
  <c r="O5" i="3"/>
  <c r="P5" i="3"/>
  <c r="S5" i="3"/>
  <c r="U5" i="3"/>
  <c r="V5" i="3"/>
  <c r="D6" i="3"/>
  <c r="B5" i="3" s="1"/>
  <c r="B12" i="3" s="1"/>
  <c r="B19" i="3" s="1"/>
  <c r="B26" i="3" s="1"/>
  <c r="B33" i="3" s="1"/>
  <c r="B40" i="3" s="1"/>
  <c r="B47" i="3" s="1"/>
  <c r="B54" i="3" s="1"/>
  <c r="B61" i="3" s="1"/>
  <c r="B68" i="3" s="1"/>
  <c r="O6" i="3"/>
  <c r="U6" i="3"/>
  <c r="O7" i="3"/>
  <c r="U7" i="3"/>
  <c r="O8" i="3"/>
  <c r="U8" i="3"/>
  <c r="H9" i="3"/>
  <c r="Q9" i="3" s="1"/>
  <c r="K9" i="3"/>
  <c r="N9" i="3"/>
  <c r="O9" i="3"/>
  <c r="T9" i="3"/>
  <c r="W9" i="3" s="1"/>
  <c r="U9" i="3"/>
  <c r="O10" i="3"/>
  <c r="U10" i="3"/>
  <c r="O11" i="3"/>
  <c r="U11" i="3"/>
  <c r="G12" i="3"/>
  <c r="J12" i="3"/>
  <c r="M12" i="3"/>
  <c r="O12" i="3"/>
  <c r="P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P19" i="3" s="1"/>
  <c r="O19" i="3"/>
  <c r="S19" i="3"/>
  <c r="V19" i="3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P26" i="3"/>
  <c r="S26" i="3"/>
  <c r="U26" i="3"/>
  <c r="V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P33" i="3" s="1"/>
  <c r="J33" i="3"/>
  <c r="M33" i="3"/>
  <c r="O33" i="3"/>
  <c r="S33" i="3"/>
  <c r="V33" i="3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T40" i="3"/>
  <c r="E10" i="39" s="1"/>
  <c r="N40" i="3"/>
  <c r="E8" i="39" s="1"/>
  <c r="K40" i="3"/>
  <c r="H40" i="3"/>
  <c r="G68" i="3"/>
  <c r="J68" i="3"/>
  <c r="M68" i="3"/>
  <c r="P68" i="3" s="1"/>
  <c r="O68" i="3"/>
  <c r="S68" i="3"/>
  <c r="U68" i="3"/>
  <c r="O69" i="3"/>
  <c r="U69" i="3"/>
  <c r="O70" i="3"/>
  <c r="U70" i="3"/>
  <c r="O71" i="3"/>
  <c r="U71" i="3"/>
  <c r="O72" i="3"/>
  <c r="U72" i="3"/>
  <c r="O73" i="3"/>
  <c r="U73" i="3"/>
  <c r="O74" i="3"/>
  <c r="U74" i="3"/>
  <c r="G54" i="3"/>
  <c r="J54" i="3"/>
  <c r="M54" i="3"/>
  <c r="O54" i="3"/>
  <c r="P54" i="3"/>
  <c r="S54" i="3"/>
  <c r="U54" i="3"/>
  <c r="V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P61" i="3"/>
  <c r="S61" i="3"/>
  <c r="U61" i="3"/>
  <c r="V61" i="3"/>
  <c r="O62" i="3"/>
  <c r="U62" i="3"/>
  <c r="O63" i="3"/>
  <c r="U63" i="3"/>
  <c r="O64" i="3"/>
  <c r="U64" i="3"/>
  <c r="O65" i="3"/>
  <c r="U65" i="3"/>
  <c r="O66" i="3"/>
  <c r="U66" i="3"/>
  <c r="O67" i="3"/>
  <c r="U67" i="3"/>
  <c r="G47" i="3"/>
  <c r="J47" i="3"/>
  <c r="M47" i="3"/>
  <c r="O47" i="3"/>
  <c r="P47" i="3"/>
  <c r="S47" i="3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40" i="3"/>
  <c r="J40" i="3"/>
  <c r="M40" i="3"/>
  <c r="B8" i="39" s="1"/>
  <c r="O40" i="3"/>
  <c r="S40" i="3"/>
  <c r="B10" i="39" s="1"/>
  <c r="U40" i="3"/>
  <c r="O41" i="3"/>
  <c r="U41" i="3"/>
  <c r="O42" i="3"/>
  <c r="U42" i="3"/>
  <c r="O43" i="3"/>
  <c r="U43" i="3"/>
  <c r="O44" i="3"/>
  <c r="U44" i="3"/>
  <c r="O45" i="3"/>
  <c r="U45" i="3"/>
  <c r="O46" i="3"/>
  <c r="U46" i="3"/>
  <c r="V12" i="3" l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Q40" i="3"/>
  <c r="E9" i="39" s="1"/>
  <c r="W40" i="3"/>
  <c r="E11" i="39" s="1"/>
  <c r="J47" i="5"/>
  <c r="J40" i="5"/>
  <c r="J61" i="5"/>
  <c r="J68" i="5"/>
  <c r="V47" i="3"/>
  <c r="V68" i="3"/>
  <c r="P40" i="3"/>
  <c r="B9" i="39" s="1"/>
  <c r="V40" i="3"/>
  <c r="B11" i="39" s="1"/>
  <c r="AG112" i="66" l="1"/>
  <c r="AH110" i="66"/>
  <c r="AI110" i="66"/>
  <c r="AJ110" i="66"/>
  <c r="AK110" i="66"/>
  <c r="AL110" i="66"/>
  <c r="AM110" i="66"/>
  <c r="AG110" i="66"/>
  <c r="AF110" i="66"/>
  <c r="AF110" i="63"/>
  <c r="H23" i="13"/>
  <c r="H22" i="13"/>
  <c r="H21" i="13"/>
  <c r="H20" i="13"/>
  <c r="H18" i="13"/>
  <c r="H17" i="13"/>
  <c r="B23" i="13"/>
  <c r="B22" i="13"/>
  <c r="B21" i="13"/>
  <c r="B20" i="13"/>
  <c r="B18" i="13"/>
  <c r="B17" i="13"/>
  <c r="B11" i="13"/>
  <c r="B10" i="13"/>
  <c r="B9" i="13"/>
  <c r="B8" i="13"/>
  <c r="B7" i="13"/>
  <c r="B6" i="13"/>
  <c r="B5" i="40" s="1"/>
  <c r="AC41" i="6" l="1"/>
  <c r="S41" i="6"/>
  <c r="M41" i="6"/>
  <c r="F41" i="6"/>
  <c r="AL41" i="6" s="1"/>
  <c r="AC40" i="6"/>
  <c r="S40" i="6"/>
  <c r="M40" i="6"/>
  <c r="F40" i="6"/>
  <c r="AL40" i="6" s="1"/>
  <c r="AC39" i="6"/>
  <c r="S39" i="6"/>
  <c r="M39" i="6"/>
  <c r="F39" i="6"/>
  <c r="AL39" i="6" s="1"/>
  <c r="AC38" i="6"/>
  <c r="S38" i="6"/>
  <c r="M38" i="6"/>
  <c r="F38" i="6" s="1"/>
  <c r="AL38" i="6" s="1"/>
  <c r="AC37" i="6"/>
  <c r="S37" i="6"/>
  <c r="M37" i="6"/>
  <c r="AC36" i="6"/>
  <c r="S36" i="6"/>
  <c r="F36" i="6" s="1"/>
  <c r="AL36" i="6" s="1"/>
  <c r="M36" i="6"/>
  <c r="AC35" i="6"/>
  <c r="S35" i="6"/>
  <c r="M35" i="6"/>
  <c r="F35" i="6"/>
  <c r="AL35" i="6" s="1"/>
  <c r="AC41" i="7"/>
  <c r="S41" i="7"/>
  <c r="M41" i="7"/>
  <c r="F41" i="7"/>
  <c r="J41" i="7" s="1"/>
  <c r="AC40" i="7"/>
  <c r="S40" i="7"/>
  <c r="M40" i="7"/>
  <c r="F40" i="7"/>
  <c r="AC39" i="7"/>
  <c r="S39" i="7"/>
  <c r="M39" i="7"/>
  <c r="F39" i="7" s="1"/>
  <c r="AC38" i="7"/>
  <c r="S38" i="7"/>
  <c r="F38" i="7" s="1"/>
  <c r="M38" i="7"/>
  <c r="AC37" i="7"/>
  <c r="F37" i="7" s="1"/>
  <c r="S37" i="7"/>
  <c r="M37" i="7"/>
  <c r="AC36" i="7"/>
  <c r="S36" i="7"/>
  <c r="M36" i="7"/>
  <c r="F36" i="7"/>
  <c r="AC35" i="7"/>
  <c r="S35" i="7"/>
  <c r="M35" i="7"/>
  <c r="F35" i="7"/>
  <c r="U34" i="5"/>
  <c r="U35" i="5"/>
  <c r="U36" i="5"/>
  <c r="U37" i="5"/>
  <c r="U38" i="5"/>
  <c r="U39" i="5"/>
  <c r="U33" i="5"/>
  <c r="T38" i="6" l="1"/>
  <c r="AD38" i="6"/>
  <c r="N39" i="6"/>
  <c r="T39" i="6"/>
  <c r="AD39" i="6"/>
  <c r="N35" i="6"/>
  <c r="N40" i="6"/>
  <c r="T35" i="6"/>
  <c r="T40" i="6"/>
  <c r="AD35" i="6"/>
  <c r="AD40" i="6"/>
  <c r="N38" i="6"/>
  <c r="N36" i="6"/>
  <c r="N41" i="6"/>
  <c r="T36" i="6"/>
  <c r="T41" i="6"/>
  <c r="AD36" i="6"/>
  <c r="AD41" i="6"/>
  <c r="F37" i="6"/>
  <c r="AL37" i="6" s="1"/>
  <c r="T35" i="7"/>
  <c r="N35" i="7"/>
  <c r="T38" i="7"/>
  <c r="AD35" i="7"/>
  <c r="AD38" i="7"/>
  <c r="P36" i="6"/>
  <c r="AF41" i="6"/>
  <c r="J36" i="6"/>
  <c r="J39" i="6"/>
  <c r="J40" i="6"/>
  <c r="L36" i="6"/>
  <c r="L40" i="6"/>
  <c r="P40" i="6"/>
  <c r="R35" i="6"/>
  <c r="R38" i="6"/>
  <c r="R41" i="6"/>
  <c r="V35" i="6"/>
  <c r="V39" i="6"/>
  <c r="V40" i="6"/>
  <c r="X36" i="6"/>
  <c r="X39" i="6"/>
  <c r="X41" i="6"/>
  <c r="Z36" i="6"/>
  <c r="Z38" i="6"/>
  <c r="Z41" i="6"/>
  <c r="AB36" i="6"/>
  <c r="AB38" i="6"/>
  <c r="AF35" i="6"/>
  <c r="AF36" i="6"/>
  <c r="AF38" i="6"/>
  <c r="AF40" i="6"/>
  <c r="AH35" i="6"/>
  <c r="AH36" i="6"/>
  <c r="AH38" i="6"/>
  <c r="AH39" i="6"/>
  <c r="AH41" i="6"/>
  <c r="AJ35" i="6"/>
  <c r="AJ36" i="6"/>
  <c r="AJ38" i="6"/>
  <c r="AJ39" i="6"/>
  <c r="AJ40" i="6"/>
  <c r="AJ41" i="6"/>
  <c r="J35" i="6"/>
  <c r="J38" i="6"/>
  <c r="J41" i="6"/>
  <c r="L35" i="6"/>
  <c r="L38" i="6"/>
  <c r="L39" i="6"/>
  <c r="L41" i="6"/>
  <c r="P35" i="6"/>
  <c r="P38" i="6"/>
  <c r="P39" i="6"/>
  <c r="P41" i="6"/>
  <c r="R36" i="6"/>
  <c r="R39" i="6"/>
  <c r="R40" i="6"/>
  <c r="V36" i="6"/>
  <c r="V38" i="6"/>
  <c r="V41" i="6"/>
  <c r="X35" i="6"/>
  <c r="X38" i="6"/>
  <c r="X40" i="6"/>
  <c r="Z35" i="6"/>
  <c r="Z39" i="6"/>
  <c r="Z40" i="6"/>
  <c r="AB35" i="6"/>
  <c r="AB39" i="6"/>
  <c r="AB40" i="6"/>
  <c r="AB41" i="6"/>
  <c r="AF39" i="6"/>
  <c r="AH40" i="6"/>
  <c r="AL36" i="7"/>
  <c r="L36" i="7"/>
  <c r="AJ36" i="7"/>
  <c r="AH36" i="7"/>
  <c r="AF36" i="7"/>
  <c r="AB36" i="7"/>
  <c r="Z36" i="7"/>
  <c r="X36" i="7"/>
  <c r="V36" i="7"/>
  <c r="R36" i="7"/>
  <c r="P36" i="7"/>
  <c r="J36" i="7"/>
  <c r="N39" i="7"/>
  <c r="T39" i="7"/>
  <c r="AD39" i="7"/>
  <c r="AD36" i="7"/>
  <c r="AL37" i="7"/>
  <c r="AJ37" i="7"/>
  <c r="AH37" i="7"/>
  <c r="AF37" i="7"/>
  <c r="AB37" i="7"/>
  <c r="Z37" i="7"/>
  <c r="X37" i="7"/>
  <c r="V37" i="7"/>
  <c r="R37" i="7"/>
  <c r="P37" i="7"/>
  <c r="J37" i="7"/>
  <c r="T40" i="7"/>
  <c r="AD40" i="7"/>
  <c r="AL35" i="7"/>
  <c r="AJ35" i="7"/>
  <c r="AH35" i="7"/>
  <c r="AF35" i="7"/>
  <c r="AB35" i="7"/>
  <c r="Z35" i="7"/>
  <c r="X35" i="7"/>
  <c r="V35" i="7"/>
  <c r="R35" i="7"/>
  <c r="P35" i="7"/>
  <c r="G35" i="7"/>
  <c r="T41" i="7"/>
  <c r="AL39" i="7"/>
  <c r="L39" i="7"/>
  <c r="AJ39" i="7"/>
  <c r="AH39" i="7"/>
  <c r="AF39" i="7"/>
  <c r="AB39" i="7"/>
  <c r="Z39" i="7"/>
  <c r="X39" i="7"/>
  <c r="V39" i="7"/>
  <c r="R39" i="7"/>
  <c r="P39" i="7"/>
  <c r="J39" i="7"/>
  <c r="N36" i="7"/>
  <c r="T36" i="7"/>
  <c r="AL40" i="7"/>
  <c r="AJ40" i="7"/>
  <c r="AH40" i="7"/>
  <c r="AF40" i="7"/>
  <c r="AB40" i="7"/>
  <c r="Z40" i="7"/>
  <c r="X40" i="7"/>
  <c r="V40" i="7"/>
  <c r="R40" i="7"/>
  <c r="P40" i="7"/>
  <c r="L40" i="7"/>
  <c r="J40" i="7"/>
  <c r="N40" i="7"/>
  <c r="L37" i="7"/>
  <c r="N37" i="7"/>
  <c r="T37" i="7"/>
  <c r="AD37" i="7"/>
  <c r="AL41" i="7"/>
  <c r="AJ41" i="7"/>
  <c r="AH41" i="7"/>
  <c r="AF41" i="7"/>
  <c r="AB41" i="7"/>
  <c r="Z41" i="7"/>
  <c r="X41" i="7"/>
  <c r="V41" i="7"/>
  <c r="R41" i="7"/>
  <c r="P41" i="7"/>
  <c r="L41" i="7"/>
  <c r="AL38" i="7"/>
  <c r="AJ38" i="7"/>
  <c r="AH38" i="7"/>
  <c r="AF38" i="7"/>
  <c r="AB38" i="7"/>
  <c r="Z38" i="7"/>
  <c r="X38" i="7"/>
  <c r="V38" i="7"/>
  <c r="R38" i="7"/>
  <c r="P38" i="7"/>
  <c r="L38" i="7"/>
  <c r="N41" i="7"/>
  <c r="J35" i="7"/>
  <c r="J38" i="7"/>
  <c r="L35" i="7"/>
  <c r="N38" i="7"/>
  <c r="AD41" i="7"/>
  <c r="P37" i="6" l="1"/>
  <c r="Z37" i="6"/>
  <c r="J37" i="6"/>
  <c r="AH37" i="6"/>
  <c r="L37" i="6"/>
  <c r="G35" i="6"/>
  <c r="AJ37" i="6"/>
  <c r="AB37" i="6"/>
  <c r="T37" i="6"/>
  <c r="AF37" i="6"/>
  <c r="X37" i="6"/>
  <c r="R37" i="6"/>
  <c r="V37" i="6"/>
  <c r="N37" i="6"/>
  <c r="AD37" i="6"/>
  <c r="I58" i="41" l="1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T131" i="66"/>
  <c r="V131" i="66" s="1"/>
  <c r="S131" i="66"/>
  <c r="R131" i="66"/>
  <c r="O131" i="66"/>
  <c r="P131" i="66" s="1"/>
  <c r="N131" i="66"/>
  <c r="L131" i="66"/>
  <c r="J131" i="66"/>
  <c r="T130" i="66"/>
  <c r="F130" i="66" s="1"/>
  <c r="S130" i="66"/>
  <c r="R130" i="66"/>
  <c r="O130" i="66"/>
  <c r="P130" i="66" s="1"/>
  <c r="N130" i="66"/>
  <c r="L130" i="66"/>
  <c r="J130" i="66"/>
  <c r="S129" i="66"/>
  <c r="R129" i="66"/>
  <c r="O129" i="66"/>
  <c r="T129" i="66" s="1"/>
  <c r="N129" i="66"/>
  <c r="L129" i="66"/>
  <c r="J129" i="66"/>
  <c r="T128" i="66"/>
  <c r="V128" i="66" s="1"/>
  <c r="S128" i="66"/>
  <c r="R128" i="66"/>
  <c r="O128" i="66"/>
  <c r="P128" i="66" s="1"/>
  <c r="N128" i="66"/>
  <c r="L128" i="66"/>
  <c r="J128" i="66"/>
  <c r="T127" i="66"/>
  <c r="F127" i="66" s="1"/>
  <c r="S127" i="66"/>
  <c r="R127" i="66"/>
  <c r="O127" i="66"/>
  <c r="P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T124" i="66"/>
  <c r="F124" i="66" s="1"/>
  <c r="S124" i="66"/>
  <c r="R124" i="66"/>
  <c r="P124" i="66"/>
  <c r="O124" i="66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P121" i="66"/>
  <c r="O121" i="66"/>
  <c r="T121" i="66" s="1"/>
  <c r="N121" i="66"/>
  <c r="L121" i="66"/>
  <c r="J121" i="66"/>
  <c r="S120" i="66"/>
  <c r="R120" i="66"/>
  <c r="O120" i="66"/>
  <c r="T120" i="66" s="1"/>
  <c r="N120" i="66"/>
  <c r="L120" i="66"/>
  <c r="J120" i="66"/>
  <c r="S119" i="66"/>
  <c r="R119" i="66"/>
  <c r="O119" i="66"/>
  <c r="T119" i="66" s="1"/>
  <c r="N119" i="66"/>
  <c r="L119" i="66"/>
  <c r="J119" i="66"/>
  <c r="AM118" i="66"/>
  <c r="AI118" i="66"/>
  <c r="AH118" i="66"/>
  <c r="AG118" i="66"/>
  <c r="S118" i="66"/>
  <c r="R118" i="66"/>
  <c r="O118" i="66"/>
  <c r="T118" i="66" s="1"/>
  <c r="N118" i="66"/>
  <c r="L118" i="66"/>
  <c r="J118" i="66"/>
  <c r="AM117" i="66"/>
  <c r="AL117" i="66"/>
  <c r="AK117" i="66"/>
  <c r="AJ117" i="66"/>
  <c r="AI117" i="66"/>
  <c r="AH117" i="66"/>
  <c r="AH119" i="66" s="1"/>
  <c r="AG117" i="66"/>
  <c r="AG119" i="66" s="1"/>
  <c r="AF117" i="66"/>
  <c r="S117" i="66"/>
  <c r="R117" i="66"/>
  <c r="P117" i="66"/>
  <c r="O117" i="66"/>
  <c r="T117" i="66" s="1"/>
  <c r="N117" i="66"/>
  <c r="L117" i="66"/>
  <c r="J117" i="66"/>
  <c r="S116" i="66"/>
  <c r="R116" i="66"/>
  <c r="O116" i="66"/>
  <c r="T116" i="66" s="1"/>
  <c r="N116" i="66"/>
  <c r="L116" i="66"/>
  <c r="J116" i="66"/>
  <c r="S115" i="66"/>
  <c r="R115" i="66"/>
  <c r="O115" i="66"/>
  <c r="T115" i="66" s="1"/>
  <c r="N115" i="66"/>
  <c r="L115" i="66"/>
  <c r="J115" i="66"/>
  <c r="R134" i="63"/>
  <c r="P134" i="63"/>
  <c r="O134" i="63"/>
  <c r="S134" i="63" s="1"/>
  <c r="N134" i="63"/>
  <c r="L134" i="63"/>
  <c r="J134" i="63"/>
  <c r="F134" i="63"/>
  <c r="S133" i="63"/>
  <c r="T133" i="63" s="1"/>
  <c r="R133" i="63"/>
  <c r="P133" i="63"/>
  <c r="O133" i="63"/>
  <c r="N133" i="63"/>
  <c r="L133" i="63"/>
  <c r="J133" i="63"/>
  <c r="F133" i="63"/>
  <c r="S132" i="63"/>
  <c r="U132" i="63" s="1"/>
  <c r="R132" i="63"/>
  <c r="O132" i="63"/>
  <c r="P132" i="63" s="1"/>
  <c r="N132" i="63"/>
  <c r="L132" i="63"/>
  <c r="J132" i="63"/>
  <c r="F132" i="63"/>
  <c r="R131" i="63"/>
  <c r="O131" i="63"/>
  <c r="S131" i="63" s="1"/>
  <c r="N131" i="63"/>
  <c r="L131" i="63"/>
  <c r="J131" i="63"/>
  <c r="F131" i="63"/>
  <c r="R130" i="63"/>
  <c r="P130" i="63"/>
  <c r="O130" i="63"/>
  <c r="S130" i="63" s="1"/>
  <c r="N130" i="63"/>
  <c r="L130" i="63"/>
  <c r="J130" i="63"/>
  <c r="F130" i="63"/>
  <c r="V129" i="63"/>
  <c r="X129" i="63" s="1"/>
  <c r="U129" i="63"/>
  <c r="S129" i="63"/>
  <c r="T129" i="63" s="1"/>
  <c r="R129" i="63"/>
  <c r="P129" i="63"/>
  <c r="O129" i="63"/>
  <c r="N129" i="63"/>
  <c r="L129" i="63"/>
  <c r="J129" i="63"/>
  <c r="F129" i="63"/>
  <c r="S128" i="63"/>
  <c r="V128" i="63" s="1"/>
  <c r="R128" i="63"/>
  <c r="P128" i="63"/>
  <c r="O128" i="63"/>
  <c r="N128" i="63"/>
  <c r="L128" i="63"/>
  <c r="J128" i="63"/>
  <c r="F128" i="63"/>
  <c r="R127" i="63"/>
  <c r="O127" i="63"/>
  <c r="P127" i="63" s="1"/>
  <c r="N127" i="63"/>
  <c r="L127" i="63"/>
  <c r="J127" i="63"/>
  <c r="F127" i="63"/>
  <c r="R126" i="63"/>
  <c r="O126" i="63"/>
  <c r="S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P124" i="63"/>
  <c r="O124" i="63"/>
  <c r="S124" i="63" s="1"/>
  <c r="N124" i="63"/>
  <c r="L124" i="63"/>
  <c r="J124" i="63"/>
  <c r="F124" i="63"/>
  <c r="S123" i="63"/>
  <c r="V123" i="63" s="1"/>
  <c r="R123" i="63"/>
  <c r="P123" i="63"/>
  <c r="O123" i="63"/>
  <c r="N123" i="63"/>
  <c r="L123" i="63"/>
  <c r="J123" i="63"/>
  <c r="F123" i="63"/>
  <c r="R122" i="63"/>
  <c r="P122" i="63"/>
  <c r="O122" i="63"/>
  <c r="S122" i="63" s="1"/>
  <c r="N122" i="63"/>
  <c r="L122" i="63"/>
  <c r="J122" i="63"/>
  <c r="F122" i="63"/>
  <c r="R121" i="63"/>
  <c r="O121" i="63"/>
  <c r="S121" i="63" s="1"/>
  <c r="N121" i="63"/>
  <c r="L121" i="63"/>
  <c r="J121" i="63"/>
  <c r="F121" i="63"/>
  <c r="S120" i="63"/>
  <c r="V120" i="63" s="1"/>
  <c r="R120" i="63"/>
  <c r="O120" i="63"/>
  <c r="P120" i="63" s="1"/>
  <c r="N120" i="63"/>
  <c r="L120" i="63"/>
  <c r="J120" i="63"/>
  <c r="F120" i="63"/>
  <c r="S119" i="63"/>
  <c r="V119" i="63" s="1"/>
  <c r="R119" i="63"/>
  <c r="O119" i="63"/>
  <c r="P119" i="63" s="1"/>
  <c r="N119" i="63"/>
  <c r="L119" i="63"/>
  <c r="J119" i="63"/>
  <c r="F119" i="63"/>
  <c r="AM118" i="63"/>
  <c r="AJ118" i="63"/>
  <c r="AH118" i="63"/>
  <c r="S118" i="63"/>
  <c r="V118" i="63" s="1"/>
  <c r="R118" i="63"/>
  <c r="O118" i="63"/>
  <c r="P118" i="63" s="1"/>
  <c r="N118" i="63"/>
  <c r="L118" i="63"/>
  <c r="J118" i="63"/>
  <c r="F118" i="63"/>
  <c r="AM117" i="63"/>
  <c r="AL117" i="63"/>
  <c r="AK117" i="63"/>
  <c r="AJ117" i="63"/>
  <c r="AJ119" i="63" s="1"/>
  <c r="AI117" i="63"/>
  <c r="AI119" i="63" s="1"/>
  <c r="AH117" i="63"/>
  <c r="AH119" i="63" s="1"/>
  <c r="AG117" i="63"/>
  <c r="AG119" i="63" s="1"/>
  <c r="AF117" i="63"/>
  <c r="S117" i="63"/>
  <c r="V117" i="63" s="1"/>
  <c r="R117" i="63"/>
  <c r="P117" i="63"/>
  <c r="O117" i="63"/>
  <c r="N117" i="63"/>
  <c r="L117" i="63"/>
  <c r="J117" i="63"/>
  <c r="F117" i="63"/>
  <c r="S116" i="63"/>
  <c r="T116" i="63" s="1"/>
  <c r="R116" i="63"/>
  <c r="P116" i="63"/>
  <c r="O116" i="63"/>
  <c r="N116" i="63"/>
  <c r="L116" i="63"/>
  <c r="J116" i="63"/>
  <c r="F116" i="63"/>
  <c r="R115" i="63"/>
  <c r="P115" i="63"/>
  <c r="O115" i="63"/>
  <c r="S115" i="63" s="1"/>
  <c r="N115" i="63"/>
  <c r="L115" i="63"/>
  <c r="J115" i="63"/>
  <c r="F115" i="63"/>
  <c r="P123" i="66" l="1"/>
  <c r="F128" i="66"/>
  <c r="F131" i="66"/>
  <c r="AI119" i="66"/>
  <c r="P115" i="66"/>
  <c r="AJ119" i="66"/>
  <c r="F115" i="66"/>
  <c r="V115" i="66"/>
  <c r="U115" i="66"/>
  <c r="V122" i="66"/>
  <c r="U122" i="66"/>
  <c r="F122" i="66"/>
  <c r="V119" i="66"/>
  <c r="U119" i="66"/>
  <c r="F119" i="66"/>
  <c r="V125" i="66"/>
  <c r="U125" i="66"/>
  <c r="F125" i="66"/>
  <c r="V133" i="66"/>
  <c r="U133" i="66"/>
  <c r="F133" i="66"/>
  <c r="X128" i="66"/>
  <c r="W128" i="66"/>
  <c r="V123" i="66"/>
  <c r="U123" i="66"/>
  <c r="F123" i="66"/>
  <c r="X131" i="66"/>
  <c r="W131" i="66"/>
  <c r="V116" i="66"/>
  <c r="U116" i="66"/>
  <c r="F116" i="66"/>
  <c r="V120" i="66"/>
  <c r="U120" i="66"/>
  <c r="F120" i="66"/>
  <c r="V126" i="66"/>
  <c r="U126" i="66"/>
  <c r="F126" i="66"/>
  <c r="V118" i="66"/>
  <c r="U118" i="66"/>
  <c r="F118" i="66"/>
  <c r="V129" i="66"/>
  <c r="U129" i="66"/>
  <c r="F129" i="66"/>
  <c r="F132" i="66"/>
  <c r="V132" i="66"/>
  <c r="U132" i="66"/>
  <c r="V134" i="66"/>
  <c r="U134" i="66"/>
  <c r="F134" i="66"/>
  <c r="V117" i="66"/>
  <c r="U117" i="66"/>
  <c r="F117" i="66"/>
  <c r="F121" i="66"/>
  <c r="V121" i="66"/>
  <c r="U121" i="66"/>
  <c r="AK119" i="66"/>
  <c r="AL119" i="66"/>
  <c r="AM119" i="66"/>
  <c r="U130" i="66"/>
  <c r="U127" i="66"/>
  <c r="V130" i="66"/>
  <c r="U124" i="66"/>
  <c r="V127" i="66"/>
  <c r="P132" i="66"/>
  <c r="V124" i="66"/>
  <c r="P129" i="66"/>
  <c r="P133" i="66"/>
  <c r="P134" i="66"/>
  <c r="P126" i="66"/>
  <c r="P118" i="66"/>
  <c r="P119" i="66"/>
  <c r="P120" i="66"/>
  <c r="P125" i="66"/>
  <c r="P116" i="66"/>
  <c r="P122" i="66"/>
  <c r="U131" i="66"/>
  <c r="U128" i="66"/>
  <c r="T132" i="63"/>
  <c r="V132" i="63"/>
  <c r="X132" i="63" s="1"/>
  <c r="U133" i="63"/>
  <c r="U116" i="63"/>
  <c r="V133" i="63"/>
  <c r="X133" i="63" s="1"/>
  <c r="V116" i="63"/>
  <c r="V115" i="63"/>
  <c r="U115" i="63"/>
  <c r="T115" i="63"/>
  <c r="V121" i="63"/>
  <c r="U121" i="63"/>
  <c r="T121" i="63"/>
  <c r="X117" i="63"/>
  <c r="W117" i="63"/>
  <c r="V124" i="63"/>
  <c r="U124" i="63"/>
  <c r="T124" i="63"/>
  <c r="V130" i="63"/>
  <c r="U130" i="63"/>
  <c r="T130" i="63"/>
  <c r="V122" i="63"/>
  <c r="U122" i="63"/>
  <c r="T122" i="63"/>
  <c r="X119" i="63"/>
  <c r="W119" i="63"/>
  <c r="V125" i="63"/>
  <c r="U125" i="63"/>
  <c r="T125" i="63"/>
  <c r="X128" i="63"/>
  <c r="W128" i="63"/>
  <c r="V131" i="63"/>
  <c r="U131" i="63"/>
  <c r="T131" i="63"/>
  <c r="V126" i="63"/>
  <c r="U126" i="63"/>
  <c r="T126" i="63"/>
  <c r="X120" i="63"/>
  <c r="W120" i="63"/>
  <c r="X118" i="63"/>
  <c r="W118" i="63"/>
  <c r="X123" i="63"/>
  <c r="W123" i="63"/>
  <c r="V134" i="63"/>
  <c r="U134" i="63"/>
  <c r="T134" i="63"/>
  <c r="AK119" i="63"/>
  <c r="AL119" i="63"/>
  <c r="P121" i="63"/>
  <c r="S127" i="63"/>
  <c r="AM119" i="63"/>
  <c r="P126" i="63"/>
  <c r="T117" i="63"/>
  <c r="T123" i="63"/>
  <c r="W132" i="63"/>
  <c r="U117" i="63"/>
  <c r="T118" i="63"/>
  <c r="T119" i="63"/>
  <c r="T120" i="63"/>
  <c r="U123" i="63"/>
  <c r="W129" i="63"/>
  <c r="P131" i="63"/>
  <c r="W133" i="63"/>
  <c r="U118" i="63"/>
  <c r="U119" i="63"/>
  <c r="U120" i="63"/>
  <c r="P125" i="63"/>
  <c r="T128" i="63"/>
  <c r="U128" i="63"/>
  <c r="X124" i="66" l="1"/>
  <c r="W124" i="66"/>
  <c r="X132" i="66"/>
  <c r="W132" i="66"/>
  <c r="X123" i="66"/>
  <c r="W123" i="66"/>
  <c r="X127" i="66"/>
  <c r="W127" i="66"/>
  <c r="X130" i="66"/>
  <c r="W130" i="66"/>
  <c r="X129" i="66"/>
  <c r="W129" i="66"/>
  <c r="X133" i="66"/>
  <c r="W133" i="66"/>
  <c r="X118" i="66"/>
  <c r="W118" i="66"/>
  <c r="W125" i="66"/>
  <c r="X125" i="66"/>
  <c r="X126" i="66"/>
  <c r="W126" i="66"/>
  <c r="X121" i="66"/>
  <c r="W121" i="66"/>
  <c r="X119" i="66"/>
  <c r="W119" i="66"/>
  <c r="X120" i="66"/>
  <c r="W120" i="66"/>
  <c r="X117" i="66"/>
  <c r="W117" i="66"/>
  <c r="X122" i="66"/>
  <c r="W122" i="66"/>
  <c r="X116" i="66"/>
  <c r="W116" i="66"/>
  <c r="X115" i="66"/>
  <c r="W115" i="66"/>
  <c r="X134" i="66"/>
  <c r="W134" i="66"/>
  <c r="W116" i="63"/>
  <c r="X116" i="63"/>
  <c r="X134" i="63"/>
  <c r="W134" i="63"/>
  <c r="X122" i="63"/>
  <c r="W122" i="63"/>
  <c r="X130" i="63"/>
  <c r="W130" i="63"/>
  <c r="X126" i="63"/>
  <c r="W126" i="63"/>
  <c r="X124" i="63"/>
  <c r="W124" i="63"/>
  <c r="X131" i="63"/>
  <c r="W131" i="63"/>
  <c r="V127" i="63"/>
  <c r="U127" i="63"/>
  <c r="T127" i="63"/>
  <c r="X121" i="63"/>
  <c r="W121" i="63"/>
  <c r="W125" i="63"/>
  <c r="X125" i="63"/>
  <c r="X115" i="63"/>
  <c r="W115" i="63"/>
  <c r="X127" i="63" l="1"/>
  <c r="W127" i="63"/>
  <c r="M215" i="20" l="1"/>
  <c r="M214" i="20"/>
  <c r="M213" i="20"/>
  <c r="M218" i="20" s="1"/>
  <c r="M209" i="20"/>
  <c r="M208" i="20"/>
  <c r="M207" i="20"/>
  <c r="M206" i="20"/>
  <c r="M205" i="20"/>
  <c r="M210" i="20" s="1"/>
  <c r="M201" i="20"/>
  <c r="M200" i="20"/>
  <c r="M199" i="20"/>
  <c r="M198" i="20"/>
  <c r="M197" i="20"/>
  <c r="M202" i="20" s="1"/>
  <c r="M194" i="20"/>
  <c r="M193" i="20"/>
  <c r="M192" i="20"/>
  <c r="M191" i="20"/>
  <c r="M190" i="20"/>
  <c r="M189" i="20"/>
  <c r="M169" i="19"/>
  <c r="M168" i="19"/>
  <c r="M167" i="19"/>
  <c r="M166" i="19"/>
  <c r="M165" i="19"/>
  <c r="M170" i="19" s="1"/>
  <c r="M161" i="19"/>
  <c r="M160" i="19"/>
  <c r="M159" i="19"/>
  <c r="M158" i="19"/>
  <c r="M157" i="19"/>
  <c r="M162" i="19" s="1"/>
  <c r="M153" i="19"/>
  <c r="M152" i="19"/>
  <c r="M151" i="19"/>
  <c r="M150" i="19"/>
  <c r="M154" i="19" s="1"/>
  <c r="M149" i="19"/>
  <c r="M170" i="62"/>
  <c r="M169" i="62"/>
  <c r="M168" i="62"/>
  <c r="M167" i="62"/>
  <c r="M166" i="62"/>
  <c r="M165" i="62"/>
  <c r="M161" i="62"/>
  <c r="M160" i="62"/>
  <c r="M159" i="62"/>
  <c r="M158" i="62"/>
  <c r="M157" i="62"/>
  <c r="M162" i="62" s="1"/>
  <c r="M153" i="62"/>
  <c r="M152" i="62"/>
  <c r="M151" i="62"/>
  <c r="M150" i="62"/>
  <c r="M149" i="62"/>
  <c r="M154" i="62" s="1"/>
  <c r="J35" i="25"/>
  <c r="B34" i="25"/>
  <c r="A34" i="25"/>
  <c r="M141" i="62" l="1"/>
  <c r="M140" i="62"/>
  <c r="M139" i="62"/>
  <c r="M138" i="62"/>
  <c r="M133" i="62"/>
  <c r="M132" i="62"/>
  <c r="M131" i="62"/>
  <c r="M130" i="62"/>
  <c r="M134" i="62" s="1"/>
  <c r="M179" i="20"/>
  <c r="M178" i="20"/>
  <c r="M177" i="20"/>
  <c r="M182" i="20" s="1"/>
  <c r="M173" i="20"/>
  <c r="M172" i="20"/>
  <c r="M171" i="20"/>
  <c r="M170" i="20"/>
  <c r="M169" i="20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20" s="1"/>
  <c r="M141" i="19"/>
  <c r="M140" i="19"/>
  <c r="M139" i="19"/>
  <c r="M138" i="19"/>
  <c r="M137" i="19"/>
  <c r="M134" i="19"/>
  <c r="M133" i="19"/>
  <c r="M132" i="19"/>
  <c r="M131" i="19"/>
  <c r="M130" i="19"/>
  <c r="M129" i="19"/>
  <c r="M125" i="19"/>
  <c r="M124" i="19"/>
  <c r="M123" i="19"/>
  <c r="M122" i="19"/>
  <c r="M121" i="19"/>
  <c r="M126" i="19" l="1"/>
  <c r="M142" i="19"/>
  <c r="M174" i="20"/>
  <c r="M126" i="62"/>
  <c r="M142" i="62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34" i="7"/>
  <c r="S34" i="7"/>
  <c r="M34" i="7"/>
  <c r="F34" i="7"/>
  <c r="AL34" i="7" s="1"/>
  <c r="AC33" i="7"/>
  <c r="S33" i="7"/>
  <c r="M33" i="7"/>
  <c r="AC32" i="7"/>
  <c r="S32" i="7"/>
  <c r="M32" i="7"/>
  <c r="F32" i="7"/>
  <c r="AL32" i="7" s="1"/>
  <c r="AC31" i="7"/>
  <c r="S31" i="7"/>
  <c r="M31" i="7"/>
  <c r="F31" i="7" s="1"/>
  <c r="AL31" i="7" s="1"/>
  <c r="AC30" i="7"/>
  <c r="S30" i="7"/>
  <c r="M30" i="7"/>
  <c r="F30" i="7" s="1"/>
  <c r="AL30" i="7" s="1"/>
  <c r="AC29" i="7"/>
  <c r="S29" i="7"/>
  <c r="M29" i="7"/>
  <c r="F29" i="7"/>
  <c r="AL29" i="7" s="1"/>
  <c r="AC28" i="7"/>
  <c r="S28" i="7"/>
  <c r="M28" i="7"/>
  <c r="F28" i="7"/>
  <c r="AL28" i="7" s="1"/>
  <c r="U27" i="5"/>
  <c r="U28" i="5"/>
  <c r="U29" i="5"/>
  <c r="U30" i="5"/>
  <c r="U31" i="5"/>
  <c r="U32" i="5"/>
  <c r="U26" i="5"/>
  <c r="N30" i="7" l="1"/>
  <c r="R30" i="7"/>
  <c r="R31" i="7"/>
  <c r="R32" i="7"/>
  <c r="AD31" i="7"/>
  <c r="T32" i="7"/>
  <c r="AD32" i="7"/>
  <c r="T30" i="7"/>
  <c r="F33" i="7"/>
  <c r="G28" i="7" s="1"/>
  <c r="N32" i="7"/>
  <c r="AD28" i="7"/>
  <c r="N29" i="7"/>
  <c r="N31" i="7"/>
  <c r="T31" i="7"/>
  <c r="R29" i="7"/>
  <c r="N33" i="7"/>
  <c r="AD30" i="7"/>
  <c r="N28" i="7"/>
  <c r="T29" i="7"/>
  <c r="T28" i="7"/>
  <c r="AD29" i="7"/>
  <c r="J34" i="7"/>
  <c r="N34" i="7"/>
  <c r="R34" i="7"/>
  <c r="AD34" i="7"/>
  <c r="T34" i="7"/>
  <c r="F28" i="6"/>
  <c r="T28" i="6" s="1"/>
  <c r="F29" i="6"/>
  <c r="T29" i="6" s="1"/>
  <c r="F30" i="6"/>
  <c r="T30" i="6" s="1"/>
  <c r="F31" i="6"/>
  <c r="N31" i="6" s="1"/>
  <c r="F32" i="6"/>
  <c r="T32" i="6" s="1"/>
  <c r="F33" i="6"/>
  <c r="AD33" i="6" s="1"/>
  <c r="F34" i="6"/>
  <c r="N34" i="6" s="1"/>
  <c r="J28" i="7"/>
  <c r="J29" i="7"/>
  <c r="J30" i="7"/>
  <c r="J31" i="7"/>
  <c r="J32" i="7"/>
  <c r="L28" i="7"/>
  <c r="L30" i="7"/>
  <c r="L31" i="7"/>
  <c r="L29" i="7"/>
  <c r="L32" i="7"/>
  <c r="L34" i="7"/>
  <c r="P28" i="7"/>
  <c r="P29" i="7"/>
  <c r="P30" i="7"/>
  <c r="P31" i="7"/>
  <c r="P32" i="7"/>
  <c r="P33" i="7"/>
  <c r="P34" i="7"/>
  <c r="R28" i="7"/>
  <c r="V34" i="7"/>
  <c r="X28" i="7"/>
  <c r="X29" i="7"/>
  <c r="X30" i="7"/>
  <c r="X31" i="7"/>
  <c r="X32" i="7"/>
  <c r="X34" i="7"/>
  <c r="Z28" i="7"/>
  <c r="Z29" i="7"/>
  <c r="Z30" i="7"/>
  <c r="Z31" i="7"/>
  <c r="Z32" i="7"/>
  <c r="Z34" i="7"/>
  <c r="V28" i="7"/>
  <c r="AB28" i="7"/>
  <c r="AB29" i="7"/>
  <c r="AB30" i="7"/>
  <c r="AB31" i="7"/>
  <c r="AB32" i="7"/>
  <c r="AB33" i="7"/>
  <c r="AB34" i="7"/>
  <c r="V29" i="7"/>
  <c r="V32" i="7"/>
  <c r="AF28" i="7"/>
  <c r="AF29" i="7"/>
  <c r="AF30" i="7"/>
  <c r="AF31" i="7"/>
  <c r="AF32" i="7"/>
  <c r="AF34" i="7"/>
  <c r="AH28" i="7"/>
  <c r="AH29" i="7"/>
  <c r="AH30" i="7"/>
  <c r="AH31" i="7"/>
  <c r="AH32" i="7"/>
  <c r="V30" i="7"/>
  <c r="AH34" i="7"/>
  <c r="AJ28" i="7"/>
  <c r="AJ29" i="7"/>
  <c r="AJ30" i="7"/>
  <c r="AJ31" i="7"/>
  <c r="AJ32" i="7"/>
  <c r="AJ34" i="7"/>
  <c r="V31" i="7"/>
  <c r="AD31" i="6" l="1"/>
  <c r="AD32" i="6"/>
  <c r="N32" i="6"/>
  <c r="AD30" i="6"/>
  <c r="T31" i="6"/>
  <c r="AD28" i="6"/>
  <c r="AJ33" i="7"/>
  <c r="V33" i="7"/>
  <c r="N28" i="6"/>
  <c r="T33" i="6"/>
  <c r="N33" i="6"/>
  <c r="Z33" i="7"/>
  <c r="AF33" i="7"/>
  <c r="AL33" i="7"/>
  <c r="R33" i="7"/>
  <c r="J33" i="7"/>
  <c r="AH33" i="7"/>
  <c r="T33" i="7"/>
  <c r="AD33" i="7"/>
  <c r="L33" i="7"/>
  <c r="X33" i="7"/>
  <c r="T34" i="6"/>
  <c r="AL34" i="6"/>
  <c r="X34" i="6"/>
  <c r="AJ34" i="6"/>
  <c r="AH34" i="6"/>
  <c r="V34" i="6"/>
  <c r="AF34" i="6"/>
  <c r="AB34" i="6"/>
  <c r="Z34" i="6"/>
  <c r="R34" i="6"/>
  <c r="P34" i="6"/>
  <c r="L34" i="6"/>
  <c r="J34" i="6"/>
  <c r="AL33" i="6"/>
  <c r="AJ33" i="6"/>
  <c r="V33" i="6"/>
  <c r="AH33" i="6"/>
  <c r="X33" i="6"/>
  <c r="AF33" i="6"/>
  <c r="Z33" i="6"/>
  <c r="AB33" i="6"/>
  <c r="P33" i="6"/>
  <c r="L33" i="6"/>
  <c r="R33" i="6"/>
  <c r="J33" i="6"/>
  <c r="AL32" i="6"/>
  <c r="V32" i="6"/>
  <c r="AJ32" i="6"/>
  <c r="X32" i="6"/>
  <c r="AH32" i="6"/>
  <c r="AF32" i="6"/>
  <c r="Z32" i="6"/>
  <c r="AB32" i="6"/>
  <c r="L32" i="6"/>
  <c r="P32" i="6"/>
  <c r="R32" i="6"/>
  <c r="J32" i="6"/>
  <c r="AL31" i="6"/>
  <c r="AJ31" i="6"/>
  <c r="Z31" i="6"/>
  <c r="AH31" i="6"/>
  <c r="X31" i="6"/>
  <c r="AF31" i="6"/>
  <c r="AB31" i="6"/>
  <c r="P31" i="6"/>
  <c r="R31" i="6"/>
  <c r="L31" i="6"/>
  <c r="J31" i="6"/>
  <c r="V31" i="6"/>
  <c r="AL30" i="6"/>
  <c r="Z30" i="6"/>
  <c r="X30" i="6"/>
  <c r="AJ30" i="6"/>
  <c r="AH30" i="6"/>
  <c r="AF30" i="6"/>
  <c r="AB30" i="6"/>
  <c r="L30" i="6"/>
  <c r="R30" i="6"/>
  <c r="P30" i="6"/>
  <c r="J30" i="6"/>
  <c r="V30" i="6"/>
  <c r="N30" i="6"/>
  <c r="AL29" i="6"/>
  <c r="AJ29" i="6"/>
  <c r="AH29" i="6"/>
  <c r="Z29" i="6"/>
  <c r="X29" i="6"/>
  <c r="AF29" i="6"/>
  <c r="V29" i="6"/>
  <c r="AB29" i="6"/>
  <c r="P29" i="6"/>
  <c r="L29" i="6"/>
  <c r="R29" i="6"/>
  <c r="J29" i="6"/>
  <c r="AD29" i="6"/>
  <c r="AL28" i="6"/>
  <c r="X28" i="6"/>
  <c r="V28" i="6"/>
  <c r="AJ28" i="6"/>
  <c r="AH28" i="6"/>
  <c r="AF28" i="6"/>
  <c r="AB28" i="6"/>
  <c r="R28" i="6"/>
  <c r="P28" i="6"/>
  <c r="L28" i="6"/>
  <c r="J28" i="6"/>
  <c r="G28" i="6"/>
  <c r="Z28" i="6"/>
  <c r="N29" i="6"/>
  <c r="AD34" i="6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3" i="20"/>
  <c r="M129" i="20"/>
  <c r="M128" i="20"/>
  <c r="M127" i="20"/>
  <c r="M126" i="20"/>
  <c r="M125" i="20"/>
  <c r="M130" i="20" s="1"/>
  <c r="M121" i="20"/>
  <c r="M120" i="20"/>
  <c r="M119" i="20"/>
  <c r="M118" i="20"/>
  <c r="M117" i="20"/>
  <c r="M122" i="20" s="1"/>
  <c r="M113" i="19"/>
  <c r="M112" i="19"/>
  <c r="M111" i="19"/>
  <c r="M110" i="19"/>
  <c r="M109" i="19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B8" i="25"/>
  <c r="A8" i="25"/>
  <c r="M114" i="19" l="1"/>
  <c r="M138" i="20"/>
  <c r="M98" i="62"/>
  <c r="M114" i="62"/>
  <c r="B65" i="41"/>
  <c r="B64" i="41"/>
  <c r="B53" i="41"/>
  <c r="B32" i="41"/>
  <c r="B31" i="41"/>
  <c r="M37" i="62"/>
  <c r="M38" i="62"/>
  <c r="M39" i="62"/>
  <c r="M40" i="62"/>
  <c r="M41" i="62"/>
  <c r="B54" i="41"/>
  <c r="B43" i="41"/>
  <c r="B42" i="41"/>
  <c r="AC27" i="6"/>
  <c r="S27" i="6"/>
  <c r="M27" i="6"/>
  <c r="F27" i="6" s="1"/>
  <c r="AL27" i="6" s="1"/>
  <c r="AC26" i="6"/>
  <c r="S26" i="6"/>
  <c r="M26" i="6"/>
  <c r="F26" i="6" s="1"/>
  <c r="AL26" i="6" s="1"/>
  <c r="AC25" i="6"/>
  <c r="S25" i="6"/>
  <c r="M25" i="6"/>
  <c r="F25" i="6"/>
  <c r="AL25" i="6" s="1"/>
  <c r="AC24" i="6"/>
  <c r="S24" i="6"/>
  <c r="M24" i="6"/>
  <c r="F24" i="6"/>
  <c r="AL24" i="6" s="1"/>
  <c r="AC23" i="6"/>
  <c r="S23" i="6"/>
  <c r="M23" i="6"/>
  <c r="AC22" i="6"/>
  <c r="S22" i="6"/>
  <c r="M22" i="6"/>
  <c r="F22" i="6"/>
  <c r="AL22" i="6" s="1"/>
  <c r="AC21" i="6"/>
  <c r="S21" i="6"/>
  <c r="M21" i="6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0" i="5"/>
  <c r="U21" i="5"/>
  <c r="U22" i="5"/>
  <c r="U23" i="5"/>
  <c r="U24" i="5"/>
  <c r="U25" i="5"/>
  <c r="U19" i="5"/>
  <c r="F21" i="6" l="1"/>
  <c r="K202" i="20"/>
  <c r="K162" i="19"/>
  <c r="K210" i="20"/>
  <c r="K154" i="19"/>
  <c r="K194" i="20"/>
  <c r="K170" i="19"/>
  <c r="K218" i="20"/>
  <c r="C42" i="41"/>
  <c r="K170" i="62"/>
  <c r="K154" i="62"/>
  <c r="K162" i="62"/>
  <c r="C43" i="41"/>
  <c r="AL21" i="6"/>
  <c r="N21" i="6"/>
  <c r="AD25" i="6"/>
  <c r="AD24" i="6"/>
  <c r="AD26" i="6"/>
  <c r="AD22" i="6"/>
  <c r="F23" i="6"/>
  <c r="AL23" i="6" s="1"/>
  <c r="AD21" i="6"/>
  <c r="K134" i="62"/>
  <c r="K126" i="62"/>
  <c r="K142" i="62"/>
  <c r="K174" i="20"/>
  <c r="K158" i="20"/>
  <c r="K182" i="20"/>
  <c r="K166" i="20"/>
  <c r="K126" i="19"/>
  <c r="K130" i="20"/>
  <c r="K122" i="20"/>
  <c r="K138" i="20"/>
  <c r="K114" i="19"/>
  <c r="K106" i="19"/>
  <c r="K98" i="19"/>
  <c r="K146" i="20"/>
  <c r="K114" i="62"/>
  <c r="K106" i="62"/>
  <c r="K98" i="62"/>
  <c r="AD27" i="6"/>
  <c r="J21" i="6"/>
  <c r="J22" i="6"/>
  <c r="J24" i="6"/>
  <c r="J25" i="6"/>
  <c r="J26" i="6"/>
  <c r="J27" i="6"/>
  <c r="L21" i="6"/>
  <c r="L22" i="6"/>
  <c r="L24" i="6"/>
  <c r="L25" i="6"/>
  <c r="L26" i="6"/>
  <c r="L27" i="6"/>
  <c r="N27" i="6"/>
  <c r="P21" i="6"/>
  <c r="P22" i="6"/>
  <c r="P24" i="6"/>
  <c r="P25" i="6"/>
  <c r="P26" i="6"/>
  <c r="P27" i="6"/>
  <c r="R21" i="6"/>
  <c r="R22" i="6"/>
  <c r="R24" i="6"/>
  <c r="R25" i="6"/>
  <c r="R26" i="6"/>
  <c r="R27" i="6"/>
  <c r="T21" i="6"/>
  <c r="T22" i="6"/>
  <c r="T24" i="6"/>
  <c r="T25" i="6"/>
  <c r="T26" i="6"/>
  <c r="T27" i="6"/>
  <c r="V21" i="6"/>
  <c r="V22" i="6"/>
  <c r="V24" i="6"/>
  <c r="V25" i="6"/>
  <c r="V26" i="6"/>
  <c r="V27" i="6"/>
  <c r="X21" i="6"/>
  <c r="X22" i="6"/>
  <c r="X24" i="6"/>
  <c r="X25" i="6"/>
  <c r="X26" i="6"/>
  <c r="X27" i="6"/>
  <c r="N26" i="6"/>
  <c r="Z21" i="6"/>
  <c r="Z22" i="6"/>
  <c r="Z24" i="6"/>
  <c r="Z25" i="6"/>
  <c r="Z26" i="6"/>
  <c r="Z27" i="6"/>
  <c r="AB21" i="6"/>
  <c r="AB22" i="6"/>
  <c r="AB24" i="6"/>
  <c r="AB25" i="6"/>
  <c r="AB26" i="6"/>
  <c r="AB27" i="6"/>
  <c r="N24" i="6"/>
  <c r="N25" i="6"/>
  <c r="AF21" i="6"/>
  <c r="AF22" i="6"/>
  <c r="AF24" i="6"/>
  <c r="AF25" i="6"/>
  <c r="AF26" i="6"/>
  <c r="AF27" i="6"/>
  <c r="N22" i="6"/>
  <c r="AH21" i="6"/>
  <c r="AH22" i="6"/>
  <c r="AH24" i="6"/>
  <c r="AH25" i="6"/>
  <c r="AH26" i="6"/>
  <c r="AH27" i="6"/>
  <c r="AJ21" i="6"/>
  <c r="AJ22" i="6"/>
  <c r="AJ24" i="6"/>
  <c r="AJ25" i="6"/>
  <c r="AJ26" i="6"/>
  <c r="AJ27" i="6"/>
  <c r="F21" i="7"/>
  <c r="N21" i="7" s="1"/>
  <c r="F22" i="7"/>
  <c r="N22" i="7" s="1"/>
  <c r="F23" i="7"/>
  <c r="T23" i="7" s="1"/>
  <c r="F24" i="7"/>
  <c r="AD24" i="7" s="1"/>
  <c r="F25" i="7"/>
  <c r="N25" i="7" s="1"/>
  <c r="F26" i="7"/>
  <c r="N26" i="7" s="1"/>
  <c r="F27" i="7"/>
  <c r="X23" i="6" l="1"/>
  <c r="R23" i="6"/>
  <c r="J23" i="6"/>
  <c r="AB23" i="6"/>
  <c r="V23" i="6"/>
  <c r="P23" i="6"/>
  <c r="AH23" i="6"/>
  <c r="AJ23" i="6"/>
  <c r="N24" i="7"/>
  <c r="N23" i="7"/>
  <c r="AD23" i="7"/>
  <c r="AD22" i="7"/>
  <c r="Z23" i="6"/>
  <c r="AF23" i="6"/>
  <c r="AD23" i="6"/>
  <c r="G21" i="6"/>
  <c r="T23" i="6"/>
  <c r="N23" i="6"/>
  <c r="L23" i="6"/>
  <c r="T21" i="7"/>
  <c r="T26" i="7"/>
  <c r="AD26" i="7"/>
  <c r="T24" i="7"/>
  <c r="N27" i="7"/>
  <c r="T27" i="7"/>
  <c r="AD25" i="7"/>
  <c r="T25" i="7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V26" i="7"/>
  <c r="AJ26" i="7"/>
  <c r="AH26" i="7"/>
  <c r="AF26" i="7"/>
  <c r="AB26" i="7"/>
  <c r="Z26" i="7"/>
  <c r="X26" i="7"/>
  <c r="L26" i="7"/>
  <c r="P26" i="7"/>
  <c r="R26" i="7"/>
  <c r="J26" i="7"/>
  <c r="AL25" i="7"/>
  <c r="AJ25" i="7"/>
  <c r="V25" i="7"/>
  <c r="AH25" i="7"/>
  <c r="AF25" i="7"/>
  <c r="AB25" i="7"/>
  <c r="Z25" i="7"/>
  <c r="X25" i="7"/>
  <c r="P25" i="7"/>
  <c r="R25" i="7"/>
  <c r="L25" i="7"/>
  <c r="J25" i="7"/>
  <c r="AL24" i="7"/>
  <c r="L24" i="7"/>
  <c r="AJ24" i="7"/>
  <c r="AH24" i="7"/>
  <c r="AF24" i="7"/>
  <c r="AB24" i="7"/>
  <c r="Z24" i="7"/>
  <c r="X24" i="7"/>
  <c r="V24" i="7"/>
  <c r="P24" i="7"/>
  <c r="R24" i="7"/>
  <c r="J24" i="7"/>
  <c r="AL23" i="7"/>
  <c r="AJ23" i="7"/>
  <c r="V23" i="7"/>
  <c r="AH23" i="7"/>
  <c r="L23" i="7"/>
  <c r="AF23" i="7"/>
  <c r="AB23" i="7"/>
  <c r="Z23" i="7"/>
  <c r="X23" i="7"/>
  <c r="P23" i="7"/>
  <c r="R23" i="7"/>
  <c r="J23" i="7"/>
  <c r="AL22" i="7"/>
  <c r="V22" i="7"/>
  <c r="AJ22" i="7"/>
  <c r="AH22" i="7"/>
  <c r="AF22" i="7"/>
  <c r="L22" i="7"/>
  <c r="AB22" i="7"/>
  <c r="Z22" i="7"/>
  <c r="X22" i="7"/>
  <c r="P22" i="7"/>
  <c r="R22" i="7"/>
  <c r="J22" i="7"/>
  <c r="T22" i="7"/>
  <c r="AL21" i="7"/>
  <c r="AJ21" i="7"/>
  <c r="L21" i="7"/>
  <c r="AH21" i="7"/>
  <c r="AF21" i="7"/>
  <c r="AB21" i="7"/>
  <c r="Z21" i="7"/>
  <c r="X21" i="7"/>
  <c r="V21" i="7"/>
  <c r="P21" i="7"/>
  <c r="R21" i="7"/>
  <c r="J21" i="7"/>
  <c r="G21" i="7"/>
  <c r="AD27" i="7"/>
  <c r="AD21" i="7"/>
  <c r="M85" i="19" l="1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0" i="20"/>
  <c r="M89" i="20"/>
  <c r="M85" i="20"/>
  <c r="M84" i="20"/>
  <c r="M83" i="20"/>
  <c r="M82" i="20"/>
  <c r="M81" i="20"/>
  <c r="M86" i="20" s="1"/>
  <c r="M85" i="62"/>
  <c r="M84" i="62"/>
  <c r="M83" i="62"/>
  <c r="M82" i="62"/>
  <c r="M81" i="62"/>
  <c r="M86" i="62" s="1"/>
  <c r="M77" i="62"/>
  <c r="M76" i="62"/>
  <c r="M75" i="62"/>
  <c r="M74" i="62"/>
  <c r="M73" i="62"/>
  <c r="M69" i="62"/>
  <c r="M68" i="62"/>
  <c r="M67" i="62"/>
  <c r="M66" i="62"/>
  <c r="M65" i="62"/>
  <c r="M94" i="20" l="1"/>
  <c r="M102" i="20"/>
  <c r="M70" i="62"/>
  <c r="M78" i="62"/>
  <c r="M86" i="19"/>
  <c r="B21" i="41"/>
  <c r="B20" i="41"/>
  <c r="K50" i="19" l="1"/>
  <c r="B14" i="6"/>
  <c r="B21" i="6" s="1"/>
  <c r="B28" i="6" s="1"/>
  <c r="B35" i="6" s="1"/>
  <c r="B42" i="6" s="1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F14" i="6"/>
  <c r="AL14" i="6" s="1"/>
  <c r="B14" i="7"/>
  <c r="B21" i="7" s="1"/>
  <c r="B28" i="7" s="1"/>
  <c r="B35" i="7" s="1"/>
  <c r="B42" i="7" s="1"/>
  <c r="AC20" i="7"/>
  <c r="S20" i="7"/>
  <c r="M20" i="7"/>
  <c r="AC19" i="7"/>
  <c r="S19" i="7"/>
  <c r="M19" i="7"/>
  <c r="F19" i="7"/>
  <c r="AL19" i="7" s="1"/>
  <c r="AC18" i="7"/>
  <c r="S18" i="7"/>
  <c r="M18" i="7"/>
  <c r="AC17" i="7"/>
  <c r="S17" i="7"/>
  <c r="M17" i="7"/>
  <c r="AC16" i="7"/>
  <c r="S16" i="7"/>
  <c r="F16" i="7" s="1"/>
  <c r="AL16" i="7" s="1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L14" i="6" l="1"/>
  <c r="N14" i="6"/>
  <c r="T14" i="6"/>
  <c r="V14" i="6"/>
  <c r="AD14" i="6"/>
  <c r="X14" i="6"/>
  <c r="F15" i="7"/>
  <c r="AL15" i="7" s="1"/>
  <c r="F20" i="7"/>
  <c r="AL20" i="7" s="1"/>
  <c r="AD19" i="7"/>
  <c r="T19" i="7"/>
  <c r="T16" i="7"/>
  <c r="AD16" i="7"/>
  <c r="F18" i="7"/>
  <c r="AL18" i="7" s="1"/>
  <c r="N19" i="7"/>
  <c r="F17" i="7"/>
  <c r="AL17" i="7" s="1"/>
  <c r="N16" i="7"/>
  <c r="F15" i="6"/>
  <c r="F16" i="6"/>
  <c r="T16" i="6" s="1"/>
  <c r="F17" i="6"/>
  <c r="N17" i="6" s="1"/>
  <c r="F18" i="6"/>
  <c r="T18" i="6" s="1"/>
  <c r="F19" i="6"/>
  <c r="N19" i="6" s="1"/>
  <c r="F20" i="6"/>
  <c r="J14" i="6"/>
  <c r="P14" i="6"/>
  <c r="R14" i="6"/>
  <c r="AB14" i="6"/>
  <c r="AF14" i="6"/>
  <c r="AH14" i="6"/>
  <c r="Z14" i="6"/>
  <c r="AJ14" i="6"/>
  <c r="AB19" i="7"/>
  <c r="F14" i="7"/>
  <c r="J19" i="7"/>
  <c r="L18" i="7"/>
  <c r="P19" i="7"/>
  <c r="R19" i="7"/>
  <c r="J16" i="7"/>
  <c r="L16" i="7"/>
  <c r="L19" i="7"/>
  <c r="P16" i="7"/>
  <c r="R16" i="7"/>
  <c r="V16" i="7"/>
  <c r="V19" i="7"/>
  <c r="AF16" i="7"/>
  <c r="Z16" i="7"/>
  <c r="AB16" i="7"/>
  <c r="X16" i="7"/>
  <c r="X19" i="7"/>
  <c r="Z20" i="7"/>
  <c r="AF20" i="7"/>
  <c r="AH15" i="7"/>
  <c r="AJ16" i="7"/>
  <c r="AJ19" i="7"/>
  <c r="Z19" i="7"/>
  <c r="AF19" i="7"/>
  <c r="AH16" i="7"/>
  <c r="AH19" i="7"/>
  <c r="P20" i="7" l="1"/>
  <c r="AD18" i="6"/>
  <c r="N18" i="6"/>
  <c r="N16" i="6"/>
  <c r="AH18" i="7"/>
  <c r="N20" i="6"/>
  <c r="G14" i="6"/>
  <c r="P15" i="7"/>
  <c r="AD15" i="7"/>
  <c r="T20" i="7"/>
  <c r="AF15" i="7"/>
  <c r="R15" i="7"/>
  <c r="AB15" i="7"/>
  <c r="T15" i="7"/>
  <c r="Z15" i="7"/>
  <c r="J15" i="7"/>
  <c r="L15" i="7"/>
  <c r="AB20" i="7"/>
  <c r="X20" i="7"/>
  <c r="Z18" i="7"/>
  <c r="R18" i="7"/>
  <c r="X15" i="7"/>
  <c r="V20" i="7"/>
  <c r="L20" i="7"/>
  <c r="AJ20" i="7"/>
  <c r="J20" i="7"/>
  <c r="V18" i="7"/>
  <c r="N15" i="7"/>
  <c r="AD20" i="7"/>
  <c r="AJ15" i="7"/>
  <c r="V15" i="7"/>
  <c r="N20" i="7"/>
  <c r="AH20" i="7"/>
  <c r="R20" i="7"/>
  <c r="V17" i="7"/>
  <c r="AB17" i="7"/>
  <c r="L17" i="7"/>
  <c r="X17" i="7"/>
  <c r="AF18" i="7"/>
  <c r="AF17" i="7"/>
  <c r="AJ18" i="7"/>
  <c r="N18" i="7"/>
  <c r="N17" i="7"/>
  <c r="AD17" i="7"/>
  <c r="X18" i="7"/>
  <c r="R17" i="7"/>
  <c r="P18" i="7"/>
  <c r="P17" i="7"/>
  <c r="AD18" i="7"/>
  <c r="AH17" i="7"/>
  <c r="AB18" i="7"/>
  <c r="J17" i="7"/>
  <c r="Z17" i="7"/>
  <c r="T17" i="7"/>
  <c r="J18" i="7"/>
  <c r="AJ17" i="7"/>
  <c r="T18" i="7"/>
  <c r="AD20" i="6"/>
  <c r="T20" i="6"/>
  <c r="AL15" i="6"/>
  <c r="Z15" i="6"/>
  <c r="AJ15" i="6"/>
  <c r="AH15" i="6"/>
  <c r="X15" i="6"/>
  <c r="AF15" i="6"/>
  <c r="V15" i="6"/>
  <c r="AB15" i="6"/>
  <c r="R15" i="6"/>
  <c r="P15" i="6"/>
  <c r="L15" i="6"/>
  <c r="J15" i="6"/>
  <c r="AD19" i="6"/>
  <c r="T19" i="6"/>
  <c r="AD17" i="6"/>
  <c r="T17" i="6"/>
  <c r="AD16" i="6"/>
  <c r="AL20" i="6"/>
  <c r="X20" i="6"/>
  <c r="AJ20" i="6"/>
  <c r="AH20" i="6"/>
  <c r="V20" i="6"/>
  <c r="AF20" i="6"/>
  <c r="Z20" i="6"/>
  <c r="AB20" i="6"/>
  <c r="L20" i="6"/>
  <c r="R20" i="6"/>
  <c r="P20" i="6"/>
  <c r="J20" i="6"/>
  <c r="AL19" i="6"/>
  <c r="V19" i="6"/>
  <c r="AJ19" i="6"/>
  <c r="AH19" i="6"/>
  <c r="X19" i="6"/>
  <c r="AF19" i="6"/>
  <c r="Z19" i="6"/>
  <c r="AB19" i="6"/>
  <c r="R19" i="6"/>
  <c r="P19" i="6"/>
  <c r="L19" i="6"/>
  <c r="J19" i="6"/>
  <c r="AL18" i="6"/>
  <c r="AJ18" i="6"/>
  <c r="X18" i="6"/>
  <c r="V18" i="6"/>
  <c r="AH18" i="6"/>
  <c r="AF18" i="6"/>
  <c r="AB18" i="6"/>
  <c r="Z18" i="6"/>
  <c r="L18" i="6"/>
  <c r="R18" i="6"/>
  <c r="P18" i="6"/>
  <c r="J18" i="6"/>
  <c r="AD15" i="6"/>
  <c r="AL17" i="6"/>
  <c r="AJ17" i="6"/>
  <c r="AH17" i="6"/>
  <c r="Z17" i="6"/>
  <c r="X17" i="6"/>
  <c r="AF17" i="6"/>
  <c r="AB17" i="6"/>
  <c r="V17" i="6"/>
  <c r="R17" i="6"/>
  <c r="L17" i="6"/>
  <c r="P17" i="6"/>
  <c r="J17" i="6"/>
  <c r="T15" i="6"/>
  <c r="AL16" i="6"/>
  <c r="AJ16" i="6"/>
  <c r="AH16" i="6"/>
  <c r="X16" i="6"/>
  <c r="AF16" i="6"/>
  <c r="Z16" i="6"/>
  <c r="AB16" i="6"/>
  <c r="R16" i="6"/>
  <c r="P16" i="6"/>
  <c r="L16" i="6"/>
  <c r="V16" i="6"/>
  <c r="J16" i="6"/>
  <c r="N15" i="6"/>
  <c r="AL14" i="7"/>
  <c r="AH14" i="7"/>
  <c r="AJ14" i="7"/>
  <c r="X14" i="7"/>
  <c r="AF14" i="7"/>
  <c r="AB14" i="7"/>
  <c r="Z14" i="7"/>
  <c r="J14" i="7"/>
  <c r="V14" i="7"/>
  <c r="R14" i="7"/>
  <c r="P14" i="7"/>
  <c r="L14" i="7"/>
  <c r="G14" i="7"/>
  <c r="N14" i="7"/>
  <c r="AD14" i="7"/>
  <c r="T14" i="7"/>
  <c r="K22" i="19" l="1"/>
  <c r="C9" i="41"/>
  <c r="R24" i="63"/>
  <c r="O24" i="63"/>
  <c r="S24" i="63" s="1"/>
  <c r="V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P21" i="63" s="1"/>
  <c r="N21" i="63"/>
  <c r="L21" i="63"/>
  <c r="J21" i="63"/>
  <c r="F21" i="63"/>
  <c r="R20" i="63"/>
  <c r="O20" i="63"/>
  <c r="P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P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P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P11" i="63" s="1"/>
  <c r="N11" i="63"/>
  <c r="L11" i="63"/>
  <c r="J11" i="63"/>
  <c r="F11" i="63"/>
  <c r="R10" i="63"/>
  <c r="O10" i="63"/>
  <c r="S10" i="63" s="1"/>
  <c r="U10" i="63" s="1"/>
  <c r="N10" i="63"/>
  <c r="L10" i="63"/>
  <c r="J10" i="63"/>
  <c r="F10" i="63"/>
  <c r="R9" i="63"/>
  <c r="O9" i="63"/>
  <c r="P9" i="63" s="1"/>
  <c r="N9" i="63"/>
  <c r="L9" i="63"/>
  <c r="J9" i="63"/>
  <c r="F9" i="63"/>
  <c r="R8" i="63"/>
  <c r="O8" i="63"/>
  <c r="P8" i="63" s="1"/>
  <c r="N8" i="63"/>
  <c r="L8" i="63"/>
  <c r="J8" i="63"/>
  <c r="F8" i="63"/>
  <c r="R7" i="63"/>
  <c r="O7" i="63"/>
  <c r="P7" i="63" s="1"/>
  <c r="N7" i="63"/>
  <c r="L7" i="63"/>
  <c r="J7" i="63"/>
  <c r="F7" i="63"/>
  <c r="R6" i="63"/>
  <c r="O6" i="63"/>
  <c r="P6" i="63" s="1"/>
  <c r="N6" i="63"/>
  <c r="L6" i="63"/>
  <c r="J6" i="63"/>
  <c r="F6" i="63"/>
  <c r="R5" i="63"/>
  <c r="O5" i="63"/>
  <c r="S5" i="63" s="1"/>
  <c r="N5" i="63"/>
  <c r="L5" i="63"/>
  <c r="J5" i="63"/>
  <c r="F5" i="63"/>
  <c r="S24" i="66"/>
  <c r="R24" i="66"/>
  <c r="O24" i="66"/>
  <c r="P24" i="66" s="1"/>
  <c r="N24" i="66"/>
  <c r="L24" i="66"/>
  <c r="J24" i="66"/>
  <c r="S23" i="66"/>
  <c r="R23" i="66"/>
  <c r="O23" i="66"/>
  <c r="T23" i="66" s="1"/>
  <c r="V23" i="66" s="1"/>
  <c r="N23" i="66"/>
  <c r="L23" i="66"/>
  <c r="J23" i="66"/>
  <c r="S22" i="66"/>
  <c r="R22" i="66"/>
  <c r="O22" i="66"/>
  <c r="T22" i="66" s="1"/>
  <c r="N22" i="66"/>
  <c r="L22" i="66"/>
  <c r="J22" i="66"/>
  <c r="S21" i="66"/>
  <c r="R21" i="66"/>
  <c r="O21" i="66"/>
  <c r="P21" i="66" s="1"/>
  <c r="N21" i="66"/>
  <c r="L21" i="66"/>
  <c r="J21" i="66"/>
  <c r="S20" i="66"/>
  <c r="R20" i="66"/>
  <c r="O20" i="66"/>
  <c r="T20" i="66" s="1"/>
  <c r="V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P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P11" i="66" s="1"/>
  <c r="N11" i="66"/>
  <c r="L11" i="66"/>
  <c r="J11" i="66"/>
  <c r="S10" i="66"/>
  <c r="R10" i="66"/>
  <c r="O10" i="66"/>
  <c r="P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T8" i="66" s="1"/>
  <c r="N8" i="66"/>
  <c r="L8" i="66"/>
  <c r="J8" i="66"/>
  <c r="S7" i="66"/>
  <c r="R7" i="66"/>
  <c r="O7" i="66"/>
  <c r="T7" i="66" s="1"/>
  <c r="N7" i="66"/>
  <c r="L7" i="66"/>
  <c r="J7" i="66"/>
  <c r="S6" i="66"/>
  <c r="R6" i="66"/>
  <c r="O6" i="66"/>
  <c r="P6" i="66" s="1"/>
  <c r="N6" i="66"/>
  <c r="L6" i="66"/>
  <c r="J6" i="66"/>
  <c r="S5" i="66"/>
  <c r="R5" i="66"/>
  <c r="O5" i="66"/>
  <c r="P5" i="66" s="1"/>
  <c r="N5" i="66"/>
  <c r="L5" i="66"/>
  <c r="J5" i="66"/>
  <c r="M57" i="62"/>
  <c r="M56" i="62"/>
  <c r="M55" i="62"/>
  <c r="M54" i="62"/>
  <c r="M53" i="62"/>
  <c r="M49" i="62"/>
  <c r="M48" i="62"/>
  <c r="M47" i="62"/>
  <c r="M46" i="62"/>
  <c r="M45" i="62"/>
  <c r="T9" i="66" l="1"/>
  <c r="F9" i="66" s="1"/>
  <c r="T6" i="66"/>
  <c r="F6" i="66" s="1"/>
  <c r="P23" i="66"/>
  <c r="P20" i="66"/>
  <c r="P10" i="63"/>
  <c r="S7" i="63"/>
  <c r="U7" i="63" s="1"/>
  <c r="P24" i="63"/>
  <c r="S16" i="63"/>
  <c r="M58" i="62"/>
  <c r="K58" i="62" s="1"/>
  <c r="M42" i="62"/>
  <c r="K42" i="62" s="1"/>
  <c r="M50" i="62"/>
  <c r="K50" i="62" s="1"/>
  <c r="V22" i="63"/>
  <c r="U22" i="63"/>
  <c r="T22" i="63"/>
  <c r="U19" i="63"/>
  <c r="T19" i="63"/>
  <c r="V19" i="63"/>
  <c r="V23" i="63"/>
  <c r="T23" i="63"/>
  <c r="U23" i="63"/>
  <c r="V5" i="63"/>
  <c r="U5" i="63"/>
  <c r="T5" i="63"/>
  <c r="T12" i="63"/>
  <c r="V12" i="63"/>
  <c r="U12" i="63"/>
  <c r="V13" i="63"/>
  <c r="U13" i="63"/>
  <c r="T13" i="63"/>
  <c r="U14" i="63"/>
  <c r="T14" i="63"/>
  <c r="V14" i="63"/>
  <c r="U17" i="63"/>
  <c r="T17" i="63"/>
  <c r="V17" i="63"/>
  <c r="V15" i="63"/>
  <c r="U15" i="63"/>
  <c r="T15" i="63"/>
  <c r="X24" i="63"/>
  <c r="W24" i="63"/>
  <c r="V10" i="63"/>
  <c r="S21" i="63"/>
  <c r="P23" i="63"/>
  <c r="S6" i="63"/>
  <c r="P17" i="63"/>
  <c r="S20" i="63"/>
  <c r="P5" i="63"/>
  <c r="S11" i="63"/>
  <c r="S8" i="63"/>
  <c r="P22" i="63"/>
  <c r="T24" i="63"/>
  <c r="V7" i="63"/>
  <c r="P12" i="63"/>
  <c r="S18" i="63"/>
  <c r="U24" i="63"/>
  <c r="S9" i="63"/>
  <c r="P19" i="63"/>
  <c r="P13" i="63"/>
  <c r="T10" i="63"/>
  <c r="T7" i="63"/>
  <c r="P15" i="63"/>
  <c r="P14" i="63"/>
  <c r="V17" i="66"/>
  <c r="F17" i="66"/>
  <c r="U17" i="66"/>
  <c r="U14" i="66"/>
  <c r="F14" i="66"/>
  <c r="V14" i="66"/>
  <c r="X20" i="66"/>
  <c r="W20" i="66"/>
  <c r="F8" i="66"/>
  <c r="V8" i="66"/>
  <c r="U8" i="66"/>
  <c r="V18" i="66"/>
  <c r="F18" i="66"/>
  <c r="U18" i="66"/>
  <c r="V12" i="66"/>
  <c r="F12" i="66"/>
  <c r="U12" i="66"/>
  <c r="V19" i="66"/>
  <c r="F19" i="66"/>
  <c r="U19" i="66"/>
  <c r="V22" i="66"/>
  <c r="F22" i="66"/>
  <c r="U22" i="66"/>
  <c r="F7" i="66"/>
  <c r="V7" i="66"/>
  <c r="U7" i="66"/>
  <c r="X23" i="66"/>
  <c r="W23" i="66"/>
  <c r="U15" i="66"/>
  <c r="F15" i="66"/>
  <c r="V15" i="66"/>
  <c r="U6" i="66"/>
  <c r="V9" i="66"/>
  <c r="P14" i="66"/>
  <c r="P8" i="66"/>
  <c r="U20" i="66"/>
  <c r="T11" i="66"/>
  <c r="P22" i="66"/>
  <c r="P19" i="66"/>
  <c r="T5" i="66"/>
  <c r="P7" i="66"/>
  <c r="T16" i="66"/>
  <c r="T13" i="66"/>
  <c r="T10" i="66"/>
  <c r="P18" i="66"/>
  <c r="F23" i="66"/>
  <c r="P15" i="66"/>
  <c r="F20" i="66"/>
  <c r="T24" i="66"/>
  <c r="P12" i="66"/>
  <c r="T21" i="66"/>
  <c r="U9" i="66"/>
  <c r="P17" i="66"/>
  <c r="U23" i="66"/>
  <c r="V6" i="66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K42" i="19" s="1"/>
  <c r="M37" i="19"/>
  <c r="K70" i="41"/>
  <c r="J70" i="41"/>
  <c r="I70" i="41"/>
  <c r="H70" i="41"/>
  <c r="G70" i="41"/>
  <c r="F70" i="41"/>
  <c r="K69" i="41"/>
  <c r="J69" i="41"/>
  <c r="H69" i="41"/>
  <c r="G69" i="41"/>
  <c r="F69" i="41"/>
  <c r="M65" i="41"/>
  <c r="L65" i="41"/>
  <c r="J65" i="41"/>
  <c r="I65" i="41"/>
  <c r="H65" i="41"/>
  <c r="G65" i="41"/>
  <c r="F65" i="41"/>
  <c r="M64" i="41"/>
  <c r="L64" i="41"/>
  <c r="K64" i="41"/>
  <c r="J64" i="41"/>
  <c r="I64" i="41"/>
  <c r="H64" i="41"/>
  <c r="G64" i="41"/>
  <c r="F64" i="41"/>
  <c r="M71" i="20"/>
  <c r="M70" i="20"/>
  <c r="M69" i="20"/>
  <c r="M74" i="20" s="1"/>
  <c r="K74" i="20" s="1"/>
  <c r="M65" i="20"/>
  <c r="M64" i="20"/>
  <c r="M63" i="20"/>
  <c r="M62" i="20"/>
  <c r="M61" i="20"/>
  <c r="M57" i="20"/>
  <c r="M56" i="20"/>
  <c r="M55" i="20"/>
  <c r="M54" i="20"/>
  <c r="M53" i="20"/>
  <c r="M49" i="20"/>
  <c r="M48" i="20"/>
  <c r="M47" i="20"/>
  <c r="M46" i="20"/>
  <c r="M45" i="20"/>
  <c r="M50" i="20" s="1"/>
  <c r="K50" i="20" s="1"/>
  <c r="T16" i="63" l="1"/>
  <c r="U16" i="63"/>
  <c r="V16" i="63"/>
  <c r="M66" i="20"/>
  <c r="K66" i="20" s="1"/>
  <c r="M58" i="20"/>
  <c r="K58" i="20" s="1"/>
  <c r="X12" i="63"/>
  <c r="W12" i="63"/>
  <c r="V11" i="63"/>
  <c r="U11" i="63"/>
  <c r="T11" i="63"/>
  <c r="V20" i="63"/>
  <c r="T20" i="63"/>
  <c r="U20" i="63"/>
  <c r="W5" i="63"/>
  <c r="X5" i="63"/>
  <c r="X23" i="63"/>
  <c r="W23" i="63"/>
  <c r="V9" i="63"/>
  <c r="T9" i="63"/>
  <c r="U9" i="63"/>
  <c r="V18" i="63"/>
  <c r="U18" i="63"/>
  <c r="T18" i="63"/>
  <c r="X17" i="63"/>
  <c r="W17" i="63"/>
  <c r="X7" i="63"/>
  <c r="W7" i="63"/>
  <c r="V8" i="63"/>
  <c r="U8" i="63"/>
  <c r="T8" i="63"/>
  <c r="W13" i="63"/>
  <c r="X13" i="63"/>
  <c r="U6" i="63"/>
  <c r="V6" i="63"/>
  <c r="T6" i="63"/>
  <c r="U21" i="63"/>
  <c r="V21" i="63"/>
  <c r="T21" i="63"/>
  <c r="X10" i="63"/>
  <c r="W10" i="63"/>
  <c r="X19" i="63"/>
  <c r="W19" i="63"/>
  <c r="W15" i="63"/>
  <c r="X15" i="63"/>
  <c r="X14" i="63"/>
  <c r="W14" i="63"/>
  <c r="X22" i="63"/>
  <c r="W22" i="63"/>
  <c r="V5" i="66"/>
  <c r="U5" i="66"/>
  <c r="F5" i="66"/>
  <c r="X19" i="66"/>
  <c r="W19" i="66"/>
  <c r="F11" i="66"/>
  <c r="U11" i="66"/>
  <c r="V11" i="66"/>
  <c r="X6" i="66"/>
  <c r="W6" i="66"/>
  <c r="W12" i="66"/>
  <c r="X12" i="66"/>
  <c r="X8" i="66"/>
  <c r="W8" i="66"/>
  <c r="V21" i="66"/>
  <c r="U21" i="66"/>
  <c r="F21" i="66"/>
  <c r="X18" i="66"/>
  <c r="W18" i="66"/>
  <c r="X15" i="66"/>
  <c r="W15" i="66"/>
  <c r="F10" i="66"/>
  <c r="U10" i="66"/>
  <c r="V10" i="66"/>
  <c r="V13" i="66"/>
  <c r="U13" i="66"/>
  <c r="F13" i="66"/>
  <c r="X9" i="66"/>
  <c r="W9" i="66"/>
  <c r="F24" i="66"/>
  <c r="V24" i="66"/>
  <c r="U24" i="66"/>
  <c r="X14" i="66"/>
  <c r="W14" i="66"/>
  <c r="X7" i="66"/>
  <c r="W7" i="66"/>
  <c r="V16" i="66"/>
  <c r="F16" i="66"/>
  <c r="U16" i="66"/>
  <c r="X22" i="66"/>
  <c r="W22" i="66"/>
  <c r="W17" i="66"/>
  <c r="X17" i="66"/>
  <c r="B10" i="40"/>
  <c r="W16" i="63" l="1"/>
  <c r="X16" i="63"/>
  <c r="X18" i="63"/>
  <c r="W18" i="63"/>
  <c r="X11" i="63"/>
  <c r="W11" i="63"/>
  <c r="W9" i="63"/>
  <c r="X9" i="63"/>
  <c r="W21" i="63"/>
  <c r="X21" i="63"/>
  <c r="X6" i="63"/>
  <c r="W6" i="63"/>
  <c r="W20" i="63"/>
  <c r="X20" i="63"/>
  <c r="X8" i="63"/>
  <c r="W8" i="63"/>
  <c r="W5" i="66"/>
  <c r="X5" i="66"/>
  <c r="W16" i="66"/>
  <c r="X16" i="66"/>
  <c r="W21" i="66"/>
  <c r="X21" i="66"/>
  <c r="X24" i="66"/>
  <c r="W24" i="66"/>
  <c r="X11" i="66"/>
  <c r="W11" i="66"/>
  <c r="X13" i="66"/>
  <c r="W13" i="66"/>
  <c r="X10" i="66"/>
  <c r="W10" i="66"/>
  <c r="W9" i="5" l="1"/>
  <c r="I11" i="13" s="1"/>
  <c r="T9" i="5"/>
  <c r="I10" i="13" s="1"/>
  <c r="Q9" i="5"/>
  <c r="I9" i="13" s="1"/>
  <c r="N9" i="5"/>
  <c r="I8" i="13" s="1"/>
  <c r="H9" i="5"/>
  <c r="I6" i="13" s="1"/>
  <c r="G33" i="5"/>
  <c r="I33" i="5"/>
  <c r="M33" i="5"/>
  <c r="P33" i="5"/>
  <c r="S33" i="5"/>
  <c r="V33" i="5"/>
  <c r="I34" i="5"/>
  <c r="I35" i="5"/>
  <c r="I36" i="5"/>
  <c r="I37" i="5"/>
  <c r="I38" i="5"/>
  <c r="I39" i="5"/>
  <c r="G26" i="5"/>
  <c r="I26" i="5"/>
  <c r="M26" i="5"/>
  <c r="P26" i="5"/>
  <c r="S26" i="5"/>
  <c r="V26" i="5"/>
  <c r="I27" i="5"/>
  <c r="I28" i="5"/>
  <c r="I29" i="5"/>
  <c r="I30" i="5"/>
  <c r="I31" i="5"/>
  <c r="I32" i="5"/>
  <c r="G19" i="5"/>
  <c r="I19" i="5"/>
  <c r="M19" i="5"/>
  <c r="P19" i="5"/>
  <c r="S19" i="5"/>
  <c r="V19" i="5"/>
  <c r="I20" i="5"/>
  <c r="I21" i="5"/>
  <c r="I22" i="5"/>
  <c r="I23" i="5"/>
  <c r="I24" i="5"/>
  <c r="I25" i="5"/>
  <c r="U6" i="5"/>
  <c r="U7" i="5"/>
  <c r="U8" i="5"/>
  <c r="U9" i="5"/>
  <c r="U10" i="5"/>
  <c r="U11" i="5"/>
  <c r="U5" i="5"/>
  <c r="B12" i="5"/>
  <c r="B19" i="5" s="1"/>
  <c r="B26" i="5" s="1"/>
  <c r="B33" i="5" s="1"/>
  <c r="B40" i="5" s="1"/>
  <c r="B47" i="5" s="1"/>
  <c r="B54" i="5" s="1"/>
  <c r="B61" i="5" s="1"/>
  <c r="B68" i="5" s="1"/>
  <c r="G12" i="5"/>
  <c r="I12" i="5"/>
  <c r="M12" i="5"/>
  <c r="P12" i="5"/>
  <c r="S12" i="5"/>
  <c r="V12" i="5"/>
  <c r="I13" i="5"/>
  <c r="I14" i="5"/>
  <c r="I15" i="5"/>
  <c r="I16" i="5"/>
  <c r="I17" i="5"/>
  <c r="I18" i="5"/>
  <c r="J26" i="5" l="1"/>
  <c r="J19" i="5"/>
  <c r="J33" i="5"/>
  <c r="J12" i="5"/>
  <c r="B49" i="41" l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13" i="6"/>
  <c r="S13" i="6"/>
  <c r="M13" i="6"/>
  <c r="F13" i="6"/>
  <c r="AL13" i="6" s="1"/>
  <c r="AC12" i="6"/>
  <c r="S12" i="6"/>
  <c r="F12" i="6" s="1"/>
  <c r="AL12" i="6" s="1"/>
  <c r="M12" i="6"/>
  <c r="AC11" i="6"/>
  <c r="H19" i="13" s="1"/>
  <c r="S11" i="6"/>
  <c r="H16" i="13" s="1"/>
  <c r="M11" i="6"/>
  <c r="AC10" i="6"/>
  <c r="S10" i="6"/>
  <c r="M10" i="6"/>
  <c r="F10" i="6"/>
  <c r="AL10" i="6" s="1"/>
  <c r="AC9" i="6"/>
  <c r="S9" i="6"/>
  <c r="M9" i="6"/>
  <c r="F9" i="6" s="1"/>
  <c r="AL9" i="6" s="1"/>
  <c r="AC8" i="6"/>
  <c r="S8" i="6"/>
  <c r="M8" i="6"/>
  <c r="F8" i="6" s="1"/>
  <c r="AL8" i="6" s="1"/>
  <c r="AC7" i="6"/>
  <c r="S7" i="6"/>
  <c r="M7" i="6"/>
  <c r="AC13" i="7"/>
  <c r="S13" i="7"/>
  <c r="M13" i="7"/>
  <c r="F13" i="7"/>
  <c r="AL13" i="7" s="1"/>
  <c r="AC12" i="7"/>
  <c r="S12" i="7"/>
  <c r="M12" i="7"/>
  <c r="AC11" i="7"/>
  <c r="B19" i="13" s="1"/>
  <c r="S11" i="7"/>
  <c r="B16" i="13" s="1"/>
  <c r="M11" i="7"/>
  <c r="B15" i="13" s="1"/>
  <c r="F11" i="7"/>
  <c r="AC10" i="7"/>
  <c r="S10" i="7"/>
  <c r="M10" i="7"/>
  <c r="AC9" i="7"/>
  <c r="S9" i="7"/>
  <c r="M9" i="7"/>
  <c r="F9" i="7" s="1"/>
  <c r="AL9" i="7" s="1"/>
  <c r="AC8" i="7"/>
  <c r="S8" i="7"/>
  <c r="M8" i="7"/>
  <c r="F8" i="7"/>
  <c r="AL8" i="7" s="1"/>
  <c r="AC7" i="7"/>
  <c r="S7" i="7"/>
  <c r="M7" i="7"/>
  <c r="F11" i="6" l="1"/>
  <c r="H11" i="6" s="1"/>
  <c r="H15" i="13"/>
  <c r="F10" i="7"/>
  <c r="AL10" i="7" s="1"/>
  <c r="AL11" i="6"/>
  <c r="T13" i="6"/>
  <c r="T9" i="6"/>
  <c r="T10" i="6"/>
  <c r="AD13" i="6"/>
  <c r="AD9" i="6"/>
  <c r="N8" i="6"/>
  <c r="N13" i="6"/>
  <c r="AD8" i="6"/>
  <c r="N9" i="6"/>
  <c r="N10" i="6"/>
  <c r="N11" i="6"/>
  <c r="AD11" i="6"/>
  <c r="AD12" i="6"/>
  <c r="T8" i="6"/>
  <c r="F7" i="6"/>
  <c r="AL7" i="6" s="1"/>
  <c r="T12" i="6"/>
  <c r="AD10" i="6"/>
  <c r="T11" i="6"/>
  <c r="N12" i="6"/>
  <c r="N13" i="7"/>
  <c r="N9" i="7"/>
  <c r="N10" i="7"/>
  <c r="T13" i="7"/>
  <c r="T10" i="7"/>
  <c r="T9" i="7"/>
  <c r="AL11" i="7"/>
  <c r="T8" i="7"/>
  <c r="N11" i="7"/>
  <c r="T11" i="7"/>
  <c r="N8" i="7"/>
  <c r="F7" i="7"/>
  <c r="AL7" i="7" s="1"/>
  <c r="F12" i="7"/>
  <c r="AL12" i="7" s="1"/>
  <c r="J9" i="6"/>
  <c r="L9" i="6"/>
  <c r="J13" i="6"/>
  <c r="L10" i="6"/>
  <c r="P11" i="6"/>
  <c r="R12" i="6"/>
  <c r="V10" i="6"/>
  <c r="X10" i="6"/>
  <c r="Z13" i="6"/>
  <c r="J8" i="6"/>
  <c r="J10" i="6"/>
  <c r="L12" i="6"/>
  <c r="P8" i="6"/>
  <c r="P12" i="6"/>
  <c r="R8" i="6"/>
  <c r="R9" i="6"/>
  <c r="R10" i="6"/>
  <c r="R13" i="6"/>
  <c r="V12" i="6"/>
  <c r="X12" i="6"/>
  <c r="Z8" i="6"/>
  <c r="Z9" i="6"/>
  <c r="Z12" i="6"/>
  <c r="AB11" i="6"/>
  <c r="AF11" i="6"/>
  <c r="AH8" i="6"/>
  <c r="AH9" i="6"/>
  <c r="AH10" i="6"/>
  <c r="AH11" i="6"/>
  <c r="AH12" i="6"/>
  <c r="AH13" i="6"/>
  <c r="J11" i="6"/>
  <c r="L11" i="6"/>
  <c r="P9" i="6"/>
  <c r="P10" i="6"/>
  <c r="P13" i="6"/>
  <c r="R11" i="6"/>
  <c r="V11" i="6"/>
  <c r="X11" i="6"/>
  <c r="Z10" i="6"/>
  <c r="AB8" i="6"/>
  <c r="AB10" i="6"/>
  <c r="AB12" i="6"/>
  <c r="AF12" i="6"/>
  <c r="AJ8" i="6"/>
  <c r="AJ9" i="6"/>
  <c r="AJ10" i="6"/>
  <c r="AJ11" i="6"/>
  <c r="AJ12" i="6"/>
  <c r="AJ13" i="6"/>
  <c r="J12" i="6"/>
  <c r="L8" i="6"/>
  <c r="L13" i="6"/>
  <c r="V8" i="6"/>
  <c r="V9" i="6"/>
  <c r="V13" i="6"/>
  <c r="X8" i="6"/>
  <c r="X9" i="6"/>
  <c r="X13" i="6"/>
  <c r="Z11" i="6"/>
  <c r="AB9" i="6"/>
  <c r="AB13" i="6"/>
  <c r="AF8" i="6"/>
  <c r="AF9" i="6"/>
  <c r="AF10" i="6"/>
  <c r="AF13" i="6"/>
  <c r="J9" i="7"/>
  <c r="J13" i="7"/>
  <c r="L11" i="7"/>
  <c r="P8" i="7"/>
  <c r="P13" i="7"/>
  <c r="V11" i="7"/>
  <c r="X8" i="7"/>
  <c r="X9" i="7"/>
  <c r="X11" i="7"/>
  <c r="Z11" i="7"/>
  <c r="AB10" i="7"/>
  <c r="L8" i="7"/>
  <c r="R13" i="7"/>
  <c r="X13" i="7"/>
  <c r="AB11" i="7"/>
  <c r="AF13" i="7"/>
  <c r="AH8" i="7"/>
  <c r="AH9" i="7"/>
  <c r="AH11" i="7"/>
  <c r="AH13" i="7"/>
  <c r="J8" i="7"/>
  <c r="J11" i="7"/>
  <c r="P9" i="7"/>
  <c r="P10" i="7"/>
  <c r="R8" i="7"/>
  <c r="R9" i="7"/>
  <c r="R10" i="7"/>
  <c r="V8" i="7"/>
  <c r="V10" i="7"/>
  <c r="X10" i="7"/>
  <c r="Z8" i="7"/>
  <c r="Z9" i="7"/>
  <c r="Z13" i="7"/>
  <c r="AB8" i="7"/>
  <c r="AB9" i="7"/>
  <c r="AB13" i="7"/>
  <c r="AD8" i="7"/>
  <c r="AD9" i="7"/>
  <c r="AD10" i="7"/>
  <c r="AD11" i="7"/>
  <c r="AF8" i="7"/>
  <c r="AF9" i="7"/>
  <c r="AF10" i="7"/>
  <c r="AF11" i="7"/>
  <c r="AJ8" i="7"/>
  <c r="AJ9" i="7"/>
  <c r="AJ10" i="7"/>
  <c r="AJ11" i="7"/>
  <c r="AJ13" i="7"/>
  <c r="J10" i="7"/>
  <c r="L9" i="7"/>
  <c r="L10" i="7"/>
  <c r="L13" i="7"/>
  <c r="P11" i="7"/>
  <c r="R11" i="7"/>
  <c r="V9" i="7"/>
  <c r="V13" i="7"/>
  <c r="Z10" i="7"/>
  <c r="AD13" i="7"/>
  <c r="L7" i="7" l="1"/>
  <c r="P7" i="7"/>
  <c r="AH10" i="7"/>
  <c r="P7" i="6"/>
  <c r="AJ7" i="6"/>
  <c r="N7" i="6"/>
  <c r="V7" i="6"/>
  <c r="X7" i="6"/>
  <c r="L7" i="6"/>
  <c r="AF7" i="6"/>
  <c r="R7" i="6"/>
  <c r="AD7" i="6"/>
  <c r="Z7" i="6"/>
  <c r="G7" i="6"/>
  <c r="T12" i="7"/>
  <c r="V12" i="7"/>
  <c r="AB7" i="7"/>
  <c r="X7" i="7"/>
  <c r="T7" i="7"/>
  <c r="X12" i="7"/>
  <c r="AD7" i="7"/>
  <c r="AH7" i="7"/>
  <c r="R12" i="7"/>
  <c r="Z7" i="7"/>
  <c r="AD12" i="7"/>
  <c r="AF12" i="7"/>
  <c r="AJ7" i="7"/>
  <c r="AF7" i="7"/>
  <c r="R7" i="7"/>
  <c r="P12" i="7"/>
  <c r="V7" i="7"/>
  <c r="H11" i="7"/>
  <c r="J7" i="7"/>
  <c r="N7" i="7"/>
  <c r="T7" i="6"/>
  <c r="J7" i="6"/>
  <c r="AB7" i="6"/>
  <c r="AH7" i="6"/>
  <c r="J12" i="7"/>
  <c r="L12" i="7"/>
  <c r="AJ12" i="7"/>
  <c r="AB12" i="7"/>
  <c r="AH12" i="7"/>
  <c r="Z12" i="7"/>
  <c r="G7" i="7"/>
  <c r="N12" i="7"/>
  <c r="C54" i="41"/>
  <c r="C53" i="41"/>
  <c r="K54" i="41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21" i="19"/>
  <c r="M20" i="19"/>
  <c r="M19" i="19"/>
  <c r="M18" i="19"/>
  <c r="M17" i="19"/>
  <c r="M22" i="19" s="1"/>
  <c r="M13" i="19"/>
  <c r="M12" i="19"/>
  <c r="M11" i="19"/>
  <c r="M10" i="19"/>
  <c r="M9" i="19"/>
  <c r="M14" i="19" s="1"/>
  <c r="K14" i="19" s="1"/>
  <c r="M38" i="20" l="1"/>
  <c r="K38" i="20" s="1"/>
  <c r="M22" i="62"/>
  <c r="K22" i="62" s="1"/>
  <c r="M30" i="62"/>
  <c r="K30" i="62" s="1"/>
  <c r="M22" i="20"/>
  <c r="K22" i="20" s="1"/>
  <c r="M30" i="20"/>
  <c r="K30" i="20" s="1"/>
  <c r="M30" i="19"/>
  <c r="K30" i="19" s="1"/>
  <c r="M14" i="62"/>
  <c r="K14" i="62" s="1"/>
  <c r="AH95" i="66"/>
  <c r="AI95" i="66"/>
  <c r="AJ95" i="66"/>
  <c r="AK95" i="66"/>
  <c r="AL95" i="66"/>
  <c r="AM95" i="66"/>
  <c r="AH96" i="66"/>
  <c r="AI96" i="66"/>
  <c r="AM96" i="66"/>
  <c r="AG95" i="66"/>
  <c r="AG96" i="66"/>
  <c r="S112" i="66"/>
  <c r="R112" i="66"/>
  <c r="O112" i="66"/>
  <c r="T112" i="66" s="1"/>
  <c r="N112" i="66"/>
  <c r="L112" i="66"/>
  <c r="J112" i="66"/>
  <c r="S111" i="66"/>
  <c r="R111" i="66"/>
  <c r="O111" i="66"/>
  <c r="P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F108" i="66" s="1"/>
  <c r="N108" i="66"/>
  <c r="L108" i="66"/>
  <c r="J108" i="66"/>
  <c r="S107" i="66"/>
  <c r="R107" i="66"/>
  <c r="O107" i="66"/>
  <c r="P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F105" i="66" s="1"/>
  <c r="N105" i="66"/>
  <c r="L105" i="66"/>
  <c r="J105" i="66"/>
  <c r="S104" i="66"/>
  <c r="R104" i="66"/>
  <c r="O104" i="66"/>
  <c r="P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P102" i="66" s="1"/>
  <c r="N102" i="66"/>
  <c r="L102" i="66"/>
  <c r="J102" i="66"/>
  <c r="S101" i="66"/>
  <c r="R101" i="66"/>
  <c r="O101" i="66"/>
  <c r="P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P98" i="66" s="1"/>
  <c r="N98" i="66"/>
  <c r="L98" i="66"/>
  <c r="J98" i="66"/>
  <c r="S97" i="66"/>
  <c r="R97" i="66"/>
  <c r="O97" i="66"/>
  <c r="T97" i="66" s="1"/>
  <c r="V97" i="66" s="1"/>
  <c r="N97" i="66"/>
  <c r="L97" i="66"/>
  <c r="J97" i="66"/>
  <c r="S96" i="66"/>
  <c r="R96" i="66"/>
  <c r="O96" i="66"/>
  <c r="T96" i="66" s="1"/>
  <c r="V96" i="66" s="1"/>
  <c r="N96" i="66"/>
  <c r="L96" i="66"/>
  <c r="J96" i="66"/>
  <c r="AF95" i="66"/>
  <c r="S95" i="66"/>
  <c r="R95" i="66"/>
  <c r="O95" i="66"/>
  <c r="P95" i="66" s="1"/>
  <c r="N95" i="66"/>
  <c r="L95" i="66"/>
  <c r="J95" i="66"/>
  <c r="S94" i="66"/>
  <c r="R94" i="66"/>
  <c r="O94" i="66"/>
  <c r="T94" i="66" s="1"/>
  <c r="N94" i="66"/>
  <c r="L94" i="66"/>
  <c r="J94" i="66"/>
  <c r="S93" i="66"/>
  <c r="R93" i="66"/>
  <c r="O93" i="66"/>
  <c r="T93" i="66" s="1"/>
  <c r="N93" i="66"/>
  <c r="L93" i="66"/>
  <c r="J93" i="66"/>
  <c r="AH95" i="63"/>
  <c r="AI95" i="63"/>
  <c r="AJ95" i="63"/>
  <c r="AK95" i="63"/>
  <c r="AL95" i="63"/>
  <c r="AM95" i="63"/>
  <c r="AH96" i="63"/>
  <c r="AJ96" i="63"/>
  <c r="AM96" i="63"/>
  <c r="AG95" i="63"/>
  <c r="R112" i="63"/>
  <c r="O112" i="63"/>
  <c r="S112" i="63" s="1"/>
  <c r="N112" i="63"/>
  <c r="L112" i="63"/>
  <c r="J112" i="63"/>
  <c r="F112" i="63"/>
  <c r="R111" i="63"/>
  <c r="O111" i="63"/>
  <c r="P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V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V99" i="63" s="1"/>
  <c r="N99" i="63"/>
  <c r="L99" i="63"/>
  <c r="J99" i="63"/>
  <c r="F99" i="63"/>
  <c r="R98" i="63"/>
  <c r="O98" i="63"/>
  <c r="P98" i="63" s="1"/>
  <c r="N98" i="63"/>
  <c r="L98" i="63"/>
  <c r="J98" i="63"/>
  <c r="F98" i="63"/>
  <c r="R97" i="63"/>
  <c r="O97" i="63"/>
  <c r="P97" i="63" s="1"/>
  <c r="N97" i="63"/>
  <c r="L97" i="63"/>
  <c r="J97" i="63"/>
  <c r="F97" i="63"/>
  <c r="R96" i="63"/>
  <c r="O96" i="63"/>
  <c r="P96" i="63" s="1"/>
  <c r="N96" i="63"/>
  <c r="L96" i="63"/>
  <c r="J96" i="63"/>
  <c r="F96" i="63"/>
  <c r="AF95" i="63"/>
  <c r="R95" i="63"/>
  <c r="O95" i="63"/>
  <c r="S95" i="63" s="1"/>
  <c r="N95" i="63"/>
  <c r="L95" i="63"/>
  <c r="J95" i="63"/>
  <c r="F95" i="63"/>
  <c r="R94" i="63"/>
  <c r="O94" i="63"/>
  <c r="P94" i="63" s="1"/>
  <c r="N94" i="63"/>
  <c r="L94" i="63"/>
  <c r="J94" i="63"/>
  <c r="F94" i="63"/>
  <c r="R93" i="63"/>
  <c r="O93" i="63"/>
  <c r="S93" i="63" s="1"/>
  <c r="N93" i="63"/>
  <c r="L93" i="63"/>
  <c r="J93" i="63"/>
  <c r="F93" i="63"/>
  <c r="AI96" i="63" l="1"/>
  <c r="J53" i="41" s="1"/>
  <c r="AI118" i="63"/>
  <c r="AI97" i="66"/>
  <c r="K65" i="41" s="1"/>
  <c r="AG96" i="63"/>
  <c r="F53" i="41" s="1"/>
  <c r="AG118" i="63"/>
  <c r="AK96" i="63"/>
  <c r="F58" i="41" s="1"/>
  <c r="AK118" i="63"/>
  <c r="AL96" i="63"/>
  <c r="H58" i="41" s="1"/>
  <c r="AL118" i="63"/>
  <c r="T104" i="66"/>
  <c r="V104" i="66" s="1"/>
  <c r="X104" i="66" s="1"/>
  <c r="AH97" i="66"/>
  <c r="I54" i="41" s="1"/>
  <c r="T98" i="66"/>
  <c r="V98" i="66" s="1"/>
  <c r="X98" i="66" s="1"/>
  <c r="T101" i="66"/>
  <c r="V101" i="66" s="1"/>
  <c r="W101" i="66" s="1"/>
  <c r="P108" i="66"/>
  <c r="F54" i="41"/>
  <c r="AG97" i="66"/>
  <c r="G54" i="41" s="1"/>
  <c r="J54" i="41"/>
  <c r="H54" i="41"/>
  <c r="AM97" i="66"/>
  <c r="K59" i="41" s="1"/>
  <c r="AL97" i="66"/>
  <c r="I59" i="41" s="1"/>
  <c r="AK97" i="66"/>
  <c r="G59" i="41" s="1"/>
  <c r="AJ97" i="66"/>
  <c r="M54" i="41" s="1"/>
  <c r="J59" i="41"/>
  <c r="J58" i="41"/>
  <c r="L53" i="41"/>
  <c r="H53" i="41"/>
  <c r="AG97" i="63"/>
  <c r="G53" i="41" s="1"/>
  <c r="AM97" i="63"/>
  <c r="K58" i="41" s="1"/>
  <c r="AK97" i="63"/>
  <c r="G58" i="41" s="1"/>
  <c r="AJ97" i="63"/>
  <c r="M53" i="41" s="1"/>
  <c r="AI97" i="63"/>
  <c r="K53" i="41" s="1"/>
  <c r="AH97" i="63"/>
  <c r="I53" i="41" s="1"/>
  <c r="AL97" i="63"/>
  <c r="P97" i="66"/>
  <c r="P93" i="66"/>
  <c r="P96" i="66"/>
  <c r="T107" i="66"/>
  <c r="F107" i="66" s="1"/>
  <c r="P99" i="66"/>
  <c r="P105" i="66"/>
  <c r="T102" i="66"/>
  <c r="F102" i="66" s="1"/>
  <c r="T95" i="66"/>
  <c r="V95" i="66" s="1"/>
  <c r="W95" i="66" s="1"/>
  <c r="T111" i="66"/>
  <c r="U105" i="66"/>
  <c r="F97" i="66"/>
  <c r="U108" i="66"/>
  <c r="F96" i="66"/>
  <c r="V108" i="66"/>
  <c r="X108" i="66" s="1"/>
  <c r="P107" i="63"/>
  <c r="S105" i="63"/>
  <c r="V105" i="63" s="1"/>
  <c r="W105" i="63" s="1"/>
  <c r="V108" i="63"/>
  <c r="X108" i="63" s="1"/>
  <c r="U108" i="63"/>
  <c r="T108" i="63"/>
  <c r="P108" i="63"/>
  <c r="S111" i="63"/>
  <c r="V111" i="63" s="1"/>
  <c r="X111" i="63" s="1"/>
  <c r="P104" i="63"/>
  <c r="F99" i="66"/>
  <c r="V99" i="66"/>
  <c r="U99" i="66"/>
  <c r="V110" i="66"/>
  <c r="U110" i="66"/>
  <c r="F110" i="66"/>
  <c r="F94" i="66"/>
  <c r="V94" i="66"/>
  <c r="U94" i="66"/>
  <c r="X97" i="66"/>
  <c r="W97" i="66"/>
  <c r="F100" i="66"/>
  <c r="V100" i="66"/>
  <c r="U100" i="66"/>
  <c r="U103" i="66"/>
  <c r="F103" i="66"/>
  <c r="V103" i="66"/>
  <c r="V106" i="66"/>
  <c r="U106" i="66"/>
  <c r="F106" i="66"/>
  <c r="X96" i="66"/>
  <c r="W96" i="66"/>
  <c r="V109" i="66"/>
  <c r="U109" i="66"/>
  <c r="F109" i="66"/>
  <c r="V112" i="66"/>
  <c r="U112" i="66"/>
  <c r="F112" i="66"/>
  <c r="F93" i="66"/>
  <c r="V93" i="66"/>
  <c r="U93" i="66"/>
  <c r="V105" i="66"/>
  <c r="P110" i="66"/>
  <c r="P112" i="66"/>
  <c r="P109" i="66"/>
  <c r="U96" i="66"/>
  <c r="U97" i="66"/>
  <c r="P106" i="66"/>
  <c r="P103" i="66"/>
  <c r="P94" i="66"/>
  <c r="P100" i="66"/>
  <c r="S94" i="63"/>
  <c r="T94" i="63" s="1"/>
  <c r="P99" i="63"/>
  <c r="P102" i="63"/>
  <c r="S97" i="63"/>
  <c r="V97" i="63" s="1"/>
  <c r="W97" i="63" s="1"/>
  <c r="S96" i="63"/>
  <c r="V96" i="63" s="1"/>
  <c r="X96" i="63" s="1"/>
  <c r="S98" i="63"/>
  <c r="V98" i="63" s="1"/>
  <c r="X98" i="63" s="1"/>
  <c r="V95" i="63"/>
  <c r="U95" i="63"/>
  <c r="T95" i="63"/>
  <c r="V110" i="63"/>
  <c r="U110" i="63"/>
  <c r="T110" i="63"/>
  <c r="X99" i="63"/>
  <c r="W99" i="63"/>
  <c r="X102" i="63"/>
  <c r="W102" i="63"/>
  <c r="V93" i="63"/>
  <c r="U93" i="63"/>
  <c r="T93" i="63"/>
  <c r="T100" i="63"/>
  <c r="V100" i="63"/>
  <c r="U100" i="63"/>
  <c r="U103" i="63"/>
  <c r="T103" i="63"/>
  <c r="V103" i="63"/>
  <c r="V106" i="63"/>
  <c r="U106" i="63"/>
  <c r="T106" i="63"/>
  <c r="V101" i="63"/>
  <c r="U101" i="63"/>
  <c r="T101" i="63"/>
  <c r="V104" i="63"/>
  <c r="U104" i="63"/>
  <c r="T104" i="63"/>
  <c r="V109" i="63"/>
  <c r="U109" i="63"/>
  <c r="T109" i="63"/>
  <c r="V107" i="63"/>
  <c r="U107" i="63"/>
  <c r="T107" i="63"/>
  <c r="V112" i="63"/>
  <c r="U112" i="63"/>
  <c r="T112" i="63"/>
  <c r="P93" i="63"/>
  <c r="T102" i="63"/>
  <c r="T99" i="63"/>
  <c r="U102" i="63"/>
  <c r="P110" i="63"/>
  <c r="U99" i="63"/>
  <c r="P95" i="63"/>
  <c r="P101" i="63"/>
  <c r="P112" i="63"/>
  <c r="P109" i="63"/>
  <c r="P106" i="63"/>
  <c r="P103" i="63"/>
  <c r="P100" i="63"/>
  <c r="U104" i="66" l="1"/>
  <c r="V102" i="66"/>
  <c r="X102" i="66" s="1"/>
  <c r="F104" i="66"/>
  <c r="AK96" i="66"/>
  <c r="F59" i="41" s="1"/>
  <c r="AK118" i="66"/>
  <c r="AL118" i="66"/>
  <c r="T111" i="63"/>
  <c r="T105" i="63"/>
  <c r="U111" i="63"/>
  <c r="W104" i="66"/>
  <c r="U95" i="66"/>
  <c r="X95" i="66"/>
  <c r="U102" i="66"/>
  <c r="W98" i="66"/>
  <c r="U101" i="66"/>
  <c r="F101" i="66"/>
  <c r="U98" i="66"/>
  <c r="X101" i="66"/>
  <c r="F98" i="66"/>
  <c r="W111" i="63"/>
  <c r="F95" i="66"/>
  <c r="V107" i="66"/>
  <c r="U107" i="66"/>
  <c r="V111" i="66"/>
  <c r="U111" i="66"/>
  <c r="F111" i="66"/>
  <c r="AL96" i="66" s="1"/>
  <c r="H59" i="41" s="1"/>
  <c r="W108" i="66"/>
  <c r="X105" i="63"/>
  <c r="U105" i="63"/>
  <c r="W108" i="63"/>
  <c r="T97" i="63"/>
  <c r="T96" i="63"/>
  <c r="U97" i="63"/>
  <c r="X93" i="66"/>
  <c r="W93" i="66"/>
  <c r="X103" i="66"/>
  <c r="W103" i="66"/>
  <c r="X112" i="66"/>
  <c r="W112" i="66"/>
  <c r="X94" i="66"/>
  <c r="W94" i="66"/>
  <c r="X105" i="66"/>
  <c r="W105" i="66"/>
  <c r="X99" i="66"/>
  <c r="W99" i="66"/>
  <c r="X106" i="66"/>
  <c r="W106" i="66"/>
  <c r="X100" i="66"/>
  <c r="W100" i="66"/>
  <c r="W109" i="66"/>
  <c r="X109" i="66"/>
  <c r="X110" i="66"/>
  <c r="W110" i="66"/>
  <c r="X97" i="63"/>
  <c r="W96" i="63"/>
  <c r="V94" i="63"/>
  <c r="X94" i="63" s="1"/>
  <c r="U98" i="63"/>
  <c r="U94" i="63"/>
  <c r="U96" i="63"/>
  <c r="T98" i="63"/>
  <c r="W98" i="63"/>
  <c r="X100" i="63"/>
  <c r="W100" i="63"/>
  <c r="X93" i="63"/>
  <c r="W93" i="63"/>
  <c r="X104" i="63"/>
  <c r="W104" i="63"/>
  <c r="X101" i="63"/>
  <c r="W101" i="63"/>
  <c r="X106" i="63"/>
  <c r="W106" i="63"/>
  <c r="X110" i="63"/>
  <c r="W110" i="63"/>
  <c r="X112" i="63"/>
  <c r="W112" i="63"/>
  <c r="X103" i="63"/>
  <c r="W103" i="63"/>
  <c r="X107" i="63"/>
  <c r="W107" i="63"/>
  <c r="W109" i="63"/>
  <c r="X109" i="63"/>
  <c r="X95" i="63"/>
  <c r="W95" i="63"/>
  <c r="W102" i="66" l="1"/>
  <c r="AJ96" i="66"/>
  <c r="L54" i="41" s="1"/>
  <c r="AJ118" i="66"/>
  <c r="X111" i="66"/>
  <c r="W111" i="66"/>
  <c r="W107" i="66"/>
  <c r="X107" i="66"/>
  <c r="W94" i="63"/>
  <c r="R67" i="63" l="1"/>
  <c r="O67" i="63"/>
  <c r="S67" i="63" s="1"/>
  <c r="N67" i="63"/>
  <c r="L67" i="63"/>
  <c r="J67" i="63"/>
  <c r="F67" i="63"/>
  <c r="R66" i="63"/>
  <c r="O66" i="63"/>
  <c r="P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AG73" i="66"/>
  <c r="AH73" i="66"/>
  <c r="AI73" i="66"/>
  <c r="AJ73" i="66"/>
  <c r="AJ75" i="66" s="1"/>
  <c r="M43" i="41" s="1"/>
  <c r="AK73" i="66"/>
  <c r="AK75" i="66" s="1"/>
  <c r="G48" i="41" s="1"/>
  <c r="AL73" i="66"/>
  <c r="AL75" i="66" s="1"/>
  <c r="I48" i="41" s="1"/>
  <c r="AM73" i="66"/>
  <c r="AM75" i="66" s="1"/>
  <c r="K48" i="41" s="1"/>
  <c r="AH74" i="66"/>
  <c r="H43" i="41" s="1"/>
  <c r="AI74" i="66"/>
  <c r="J43" i="41" s="1"/>
  <c r="AM74" i="66"/>
  <c r="J48" i="41" s="1"/>
  <c r="AG74" i="66"/>
  <c r="F43" i="41" s="1"/>
  <c r="S90" i="66"/>
  <c r="R90" i="66"/>
  <c r="O90" i="66"/>
  <c r="T90" i="66" s="1"/>
  <c r="N90" i="66"/>
  <c r="L90" i="66"/>
  <c r="J90" i="66"/>
  <c r="S89" i="66"/>
  <c r="R89" i="66"/>
  <c r="O89" i="66"/>
  <c r="P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F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P84" i="66" s="1"/>
  <c r="N84" i="66"/>
  <c r="L84" i="66"/>
  <c r="J84" i="66"/>
  <c r="S83" i="66"/>
  <c r="R83" i="66"/>
  <c r="O83" i="66"/>
  <c r="P83" i="66" s="1"/>
  <c r="N83" i="66"/>
  <c r="L83" i="66"/>
  <c r="J83" i="66"/>
  <c r="S82" i="66"/>
  <c r="R82" i="66"/>
  <c r="O82" i="66"/>
  <c r="P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P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T74" i="66" s="1"/>
  <c r="N74" i="66"/>
  <c r="L74" i="66"/>
  <c r="J74" i="66"/>
  <c r="AF73" i="66"/>
  <c r="S73" i="66"/>
  <c r="R73" i="66"/>
  <c r="O73" i="66"/>
  <c r="T73" i="66" s="1"/>
  <c r="N73" i="66"/>
  <c r="L73" i="66"/>
  <c r="J73" i="66"/>
  <c r="S72" i="66"/>
  <c r="R72" i="66"/>
  <c r="O72" i="66"/>
  <c r="T72" i="66" s="1"/>
  <c r="N72" i="66"/>
  <c r="L72" i="66"/>
  <c r="J72" i="66"/>
  <c r="S71" i="66"/>
  <c r="R71" i="66"/>
  <c r="O71" i="66"/>
  <c r="P71" i="66" s="1"/>
  <c r="N71" i="66"/>
  <c r="L71" i="66"/>
  <c r="J71" i="66"/>
  <c r="AH51" i="66"/>
  <c r="AI51" i="66"/>
  <c r="AI53" i="66" s="1"/>
  <c r="K32" i="41" s="1"/>
  <c r="AJ51" i="66"/>
  <c r="AJ53" i="66" s="1"/>
  <c r="M32" i="41" s="1"/>
  <c r="AK51" i="66"/>
  <c r="AK53" i="66" s="1"/>
  <c r="G37" i="41" s="1"/>
  <c r="AL51" i="66"/>
  <c r="AL53" i="66" s="1"/>
  <c r="I37" i="41" s="1"/>
  <c r="AM51" i="66"/>
  <c r="AM53" i="66" s="1"/>
  <c r="K37" i="41" s="1"/>
  <c r="AH52" i="66"/>
  <c r="H32" i="41" s="1"/>
  <c r="AI52" i="66"/>
  <c r="J32" i="41" s="1"/>
  <c r="AM52" i="66"/>
  <c r="J37" i="41" s="1"/>
  <c r="AG52" i="66"/>
  <c r="F32" i="41" s="1"/>
  <c r="AG51" i="66"/>
  <c r="S68" i="66"/>
  <c r="R68" i="66"/>
  <c r="O68" i="66"/>
  <c r="T68" i="66" s="1"/>
  <c r="V68" i="66" s="1"/>
  <c r="N68" i="66"/>
  <c r="L68" i="66"/>
  <c r="J68" i="66"/>
  <c r="S67" i="66"/>
  <c r="R67" i="66"/>
  <c r="O67" i="66"/>
  <c r="P67" i="66" s="1"/>
  <c r="N67" i="66"/>
  <c r="L67" i="66"/>
  <c r="J67" i="66"/>
  <c r="S66" i="66"/>
  <c r="R66" i="66"/>
  <c r="O66" i="66"/>
  <c r="P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F64" i="66" s="1"/>
  <c r="N64" i="66"/>
  <c r="L64" i="66"/>
  <c r="J64" i="66"/>
  <c r="S63" i="66"/>
  <c r="R63" i="66"/>
  <c r="O63" i="66"/>
  <c r="P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P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P58" i="66" s="1"/>
  <c r="N58" i="66"/>
  <c r="L58" i="66"/>
  <c r="J58" i="66"/>
  <c r="S57" i="66"/>
  <c r="R57" i="66"/>
  <c r="O57" i="66"/>
  <c r="P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P54" i="66" s="1"/>
  <c r="N54" i="66"/>
  <c r="L54" i="66"/>
  <c r="J54" i="66"/>
  <c r="S53" i="66"/>
  <c r="R53" i="66"/>
  <c r="O53" i="66"/>
  <c r="P53" i="66" s="1"/>
  <c r="N53" i="66"/>
  <c r="L53" i="66"/>
  <c r="J53" i="66"/>
  <c r="S52" i="66"/>
  <c r="R52" i="66"/>
  <c r="O52" i="66"/>
  <c r="P52" i="66" s="1"/>
  <c r="N52" i="66"/>
  <c r="L52" i="66"/>
  <c r="J52" i="66"/>
  <c r="AF51" i="66"/>
  <c r="S51" i="66"/>
  <c r="R51" i="66"/>
  <c r="O51" i="66"/>
  <c r="T51" i="66" s="1"/>
  <c r="V51" i="66" s="1"/>
  <c r="N51" i="66"/>
  <c r="L51" i="66"/>
  <c r="J51" i="66"/>
  <c r="S50" i="66"/>
  <c r="R50" i="66"/>
  <c r="O50" i="66"/>
  <c r="T50" i="66" s="1"/>
  <c r="N50" i="66"/>
  <c r="L50" i="66"/>
  <c r="J50" i="66"/>
  <c r="S49" i="66"/>
  <c r="R49" i="66"/>
  <c r="O49" i="66"/>
  <c r="P49" i="66" s="1"/>
  <c r="N49" i="66"/>
  <c r="L49" i="66"/>
  <c r="J49" i="66"/>
  <c r="AH73" i="63"/>
  <c r="AI73" i="63"/>
  <c r="AI75" i="63" s="1"/>
  <c r="K42" i="41" s="1"/>
  <c r="AJ73" i="63"/>
  <c r="AJ75" i="63" s="1"/>
  <c r="M42" i="41" s="1"/>
  <c r="AK73" i="63"/>
  <c r="AK75" i="63" s="1"/>
  <c r="G47" i="41" s="1"/>
  <c r="AL73" i="63"/>
  <c r="AL75" i="63" s="1"/>
  <c r="I47" i="41" s="1"/>
  <c r="AM73" i="63"/>
  <c r="AM75" i="63" s="1"/>
  <c r="K47" i="41" s="1"/>
  <c r="AH74" i="63"/>
  <c r="H42" i="41" s="1"/>
  <c r="AJ74" i="63"/>
  <c r="L42" i="41" s="1"/>
  <c r="AK74" i="63"/>
  <c r="F47" i="41" s="1"/>
  <c r="AM74" i="63"/>
  <c r="J47" i="41" s="1"/>
  <c r="AG73" i="63"/>
  <c r="AF73" i="63"/>
  <c r="AH51" i="63"/>
  <c r="AI51" i="63"/>
  <c r="AJ51" i="63"/>
  <c r="AK51" i="63"/>
  <c r="AL51" i="63"/>
  <c r="AM51" i="63"/>
  <c r="AH52" i="63"/>
  <c r="H31" i="41" s="1"/>
  <c r="AJ52" i="63"/>
  <c r="L31" i="41" s="1"/>
  <c r="AM52" i="63"/>
  <c r="J36" i="41" s="1"/>
  <c r="AG5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S86" i="63" s="1"/>
  <c r="U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S84" i="63" s="1"/>
  <c r="N84" i="63"/>
  <c r="L84" i="63"/>
  <c r="J84" i="63"/>
  <c r="F84" i="63"/>
  <c r="R83" i="63"/>
  <c r="O83" i="63"/>
  <c r="P83" i="63" s="1"/>
  <c r="N83" i="63"/>
  <c r="L83" i="63"/>
  <c r="J83" i="63"/>
  <c r="F83" i="63"/>
  <c r="R82" i="63"/>
  <c r="O82" i="63"/>
  <c r="S82" i="63" s="1"/>
  <c r="N82" i="63"/>
  <c r="L82" i="63"/>
  <c r="J82" i="63"/>
  <c r="F82" i="63"/>
  <c r="R81" i="63"/>
  <c r="O81" i="63"/>
  <c r="S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S77" i="63" s="1"/>
  <c r="N77" i="63"/>
  <c r="L77" i="63"/>
  <c r="J77" i="63"/>
  <c r="F77" i="63"/>
  <c r="R76" i="63"/>
  <c r="O76" i="63"/>
  <c r="S76" i="63" s="1"/>
  <c r="N76" i="63"/>
  <c r="L76" i="63"/>
  <c r="J76" i="63"/>
  <c r="F76" i="63"/>
  <c r="R75" i="63"/>
  <c r="O75" i="63"/>
  <c r="S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R72" i="63"/>
  <c r="O72" i="63"/>
  <c r="P72" i="63" s="1"/>
  <c r="N72" i="63"/>
  <c r="L72" i="63"/>
  <c r="J72" i="63"/>
  <c r="F72" i="63"/>
  <c r="R71" i="63"/>
  <c r="O71" i="63"/>
  <c r="P71" i="63" s="1"/>
  <c r="N71" i="63"/>
  <c r="L71" i="63"/>
  <c r="J71" i="63"/>
  <c r="F71" i="63"/>
  <c r="R68" i="63"/>
  <c r="O68" i="63"/>
  <c r="S68" i="63" s="1"/>
  <c r="N68" i="63"/>
  <c r="L68" i="63"/>
  <c r="J68" i="63"/>
  <c r="F68" i="63"/>
  <c r="R60" i="63"/>
  <c r="O60" i="63"/>
  <c r="S60" i="63" s="1"/>
  <c r="N60" i="63"/>
  <c r="L60" i="63"/>
  <c r="J60" i="63"/>
  <c r="F60" i="63"/>
  <c r="R59" i="63"/>
  <c r="O59" i="63"/>
  <c r="P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T56" i="63" s="1"/>
  <c r="N56" i="63"/>
  <c r="L56" i="63"/>
  <c r="J56" i="63"/>
  <c r="F56" i="63"/>
  <c r="R55" i="63"/>
  <c r="O55" i="63"/>
  <c r="S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N53" i="63"/>
  <c r="L53" i="63"/>
  <c r="J53" i="63"/>
  <c r="F53" i="63"/>
  <c r="R52" i="63"/>
  <c r="O52" i="63"/>
  <c r="S52" i="63" s="1"/>
  <c r="N52" i="63"/>
  <c r="L52" i="63"/>
  <c r="J52" i="63"/>
  <c r="F52" i="63"/>
  <c r="AF51" i="63"/>
  <c r="R51" i="63"/>
  <c r="O51" i="63"/>
  <c r="S51" i="63" s="1"/>
  <c r="N51" i="63"/>
  <c r="L51" i="63"/>
  <c r="J51" i="63"/>
  <c r="F51" i="63"/>
  <c r="R50" i="63"/>
  <c r="O50" i="63"/>
  <c r="P50" i="63" s="1"/>
  <c r="N50" i="63"/>
  <c r="L50" i="63"/>
  <c r="J50" i="63"/>
  <c r="F50" i="63"/>
  <c r="R49" i="63"/>
  <c r="O49" i="63"/>
  <c r="S49" i="63" s="1"/>
  <c r="N49" i="63"/>
  <c r="L49" i="63"/>
  <c r="J49" i="63"/>
  <c r="F49" i="63"/>
  <c r="AL74" i="63" l="1"/>
  <c r="H47" i="41" s="1"/>
  <c r="AH53" i="66"/>
  <c r="I32" i="41" s="1"/>
  <c r="AG53" i="66"/>
  <c r="G32" i="41" s="1"/>
  <c r="AI75" i="66"/>
  <c r="K43" i="41" s="1"/>
  <c r="AH75" i="66"/>
  <c r="I43" i="41" s="1"/>
  <c r="AG75" i="66"/>
  <c r="G43" i="41" s="1"/>
  <c r="AK52" i="63"/>
  <c r="F36" i="41" s="1"/>
  <c r="C32" i="41"/>
  <c r="K78" i="62"/>
  <c r="K86" i="62"/>
  <c r="K70" i="62"/>
  <c r="K102" i="20"/>
  <c r="K86" i="19"/>
  <c r="K94" i="20"/>
  <c r="K78" i="19"/>
  <c r="K86" i="20"/>
  <c r="K110" i="20"/>
  <c r="K70" i="19"/>
  <c r="AI74" i="63"/>
  <c r="J42" i="41" s="1"/>
  <c r="AG74" i="63"/>
  <c r="F42" i="41" s="1"/>
  <c r="U63" i="63"/>
  <c r="T63" i="63"/>
  <c r="V63" i="63"/>
  <c r="X63" i="63" s="1"/>
  <c r="AH75" i="63"/>
  <c r="I42" i="41" s="1"/>
  <c r="P62" i="63"/>
  <c r="AL53" i="63"/>
  <c r="I36" i="41" s="1"/>
  <c r="AK53" i="63"/>
  <c r="G36" i="41" s="1"/>
  <c r="AG53" i="63"/>
  <c r="G31" i="41" s="1"/>
  <c r="AM53" i="63"/>
  <c r="K36" i="41" s="1"/>
  <c r="AJ53" i="63"/>
  <c r="M31" i="41" s="1"/>
  <c r="AI52" i="63"/>
  <c r="J31" i="41" s="1"/>
  <c r="AI53" i="63"/>
  <c r="K31" i="41" s="1"/>
  <c r="P63" i="63"/>
  <c r="AG75" i="63"/>
  <c r="G42" i="41" s="1"/>
  <c r="S72" i="63"/>
  <c r="T72" i="63" s="1"/>
  <c r="S66" i="63"/>
  <c r="T89" i="66"/>
  <c r="F89" i="66" s="1"/>
  <c r="V85" i="66"/>
  <c r="X85" i="66" s="1"/>
  <c r="F85" i="66"/>
  <c r="P86" i="66"/>
  <c r="P85" i="66"/>
  <c r="T88" i="66"/>
  <c r="V88" i="66" s="1"/>
  <c r="S89" i="63"/>
  <c r="T89" i="63" s="1"/>
  <c r="P86" i="63"/>
  <c r="S78" i="63"/>
  <c r="T78" i="63" s="1"/>
  <c r="C31" i="41"/>
  <c r="V65" i="63"/>
  <c r="U65" i="63"/>
  <c r="T65" i="63"/>
  <c r="V61" i="63"/>
  <c r="U61" i="63"/>
  <c r="T61" i="63"/>
  <c r="V64" i="63"/>
  <c r="U64" i="63"/>
  <c r="T64" i="63"/>
  <c r="V67" i="63"/>
  <c r="U67" i="63"/>
  <c r="T67" i="63"/>
  <c r="V62" i="63"/>
  <c r="X62" i="63" s="1"/>
  <c r="U62" i="63"/>
  <c r="T62" i="63"/>
  <c r="P65" i="63"/>
  <c r="P67" i="63"/>
  <c r="P64" i="63"/>
  <c r="P61" i="63"/>
  <c r="AG52" i="63"/>
  <c r="F31" i="41" s="1"/>
  <c r="AL52" i="63"/>
  <c r="H36" i="41" s="1"/>
  <c r="S50" i="63"/>
  <c r="V50" i="63" s="1"/>
  <c r="W50" i="63" s="1"/>
  <c r="V76" i="66"/>
  <c r="U76" i="66"/>
  <c r="F76" i="66"/>
  <c r="U72" i="66"/>
  <c r="F72" i="66"/>
  <c r="V72" i="66"/>
  <c r="U90" i="66"/>
  <c r="V90" i="66"/>
  <c r="F90" i="66"/>
  <c r="U74" i="66"/>
  <c r="V74" i="66"/>
  <c r="F74" i="66"/>
  <c r="U73" i="66"/>
  <c r="V73" i="66"/>
  <c r="F73" i="66"/>
  <c r="V78" i="66"/>
  <c r="F78" i="66"/>
  <c r="U78" i="66"/>
  <c r="V79" i="66"/>
  <c r="U79" i="66"/>
  <c r="F79" i="66"/>
  <c r="U81" i="66"/>
  <c r="F81" i="66"/>
  <c r="V81" i="66"/>
  <c r="F87" i="66"/>
  <c r="V87" i="66"/>
  <c r="U87" i="66"/>
  <c r="V75" i="66"/>
  <c r="U75" i="66"/>
  <c r="F75" i="66"/>
  <c r="T83" i="66"/>
  <c r="U86" i="66"/>
  <c r="T80" i="66"/>
  <c r="V86" i="66"/>
  <c r="T71" i="66"/>
  <c r="T77" i="66"/>
  <c r="T82" i="66"/>
  <c r="P73" i="66"/>
  <c r="P79" i="66"/>
  <c r="P74" i="66"/>
  <c r="P76" i="66"/>
  <c r="U85" i="66"/>
  <c r="P81" i="66"/>
  <c r="T84" i="66"/>
  <c r="P75" i="66"/>
  <c r="P90" i="66"/>
  <c r="P87" i="66"/>
  <c r="P72" i="66"/>
  <c r="P78" i="66"/>
  <c r="T52" i="66"/>
  <c r="V52" i="66" s="1"/>
  <c r="W52" i="66" s="1"/>
  <c r="T60" i="66"/>
  <c r="F60" i="66" s="1"/>
  <c r="T57" i="66"/>
  <c r="V57" i="66" s="1"/>
  <c r="X57" i="66" s="1"/>
  <c r="T54" i="66"/>
  <c r="V54" i="66" s="1"/>
  <c r="X54" i="66" s="1"/>
  <c r="P51" i="66"/>
  <c r="P64" i="66"/>
  <c r="T67" i="66"/>
  <c r="F67" i="66" s="1"/>
  <c r="T63" i="66"/>
  <c r="U63" i="66" s="1"/>
  <c r="T66" i="66"/>
  <c r="V66" i="66" s="1"/>
  <c r="W66" i="66" s="1"/>
  <c r="T53" i="66"/>
  <c r="V53" i="66" s="1"/>
  <c r="X53" i="66" s="1"/>
  <c r="P68" i="66"/>
  <c r="X51" i="66"/>
  <c r="W51" i="66"/>
  <c r="F55" i="66"/>
  <c r="V55" i="66"/>
  <c r="U55" i="66"/>
  <c r="F56" i="66"/>
  <c r="U56" i="66"/>
  <c r="V56" i="66"/>
  <c r="F61" i="66"/>
  <c r="V61" i="66"/>
  <c r="U61" i="66"/>
  <c r="U59" i="66"/>
  <c r="F59" i="66"/>
  <c r="V59" i="66"/>
  <c r="V62" i="66"/>
  <c r="U62" i="66"/>
  <c r="F62" i="66"/>
  <c r="U50" i="66"/>
  <c r="F50" i="66"/>
  <c r="V50" i="66"/>
  <c r="V65" i="66"/>
  <c r="U65" i="66"/>
  <c r="F65" i="66"/>
  <c r="X68" i="66"/>
  <c r="W68" i="66"/>
  <c r="P61" i="66"/>
  <c r="P55" i="66"/>
  <c r="F51" i="66"/>
  <c r="U64" i="66"/>
  <c r="T58" i="66"/>
  <c r="V64" i="66"/>
  <c r="T49" i="66"/>
  <c r="F68" i="66"/>
  <c r="U51" i="66"/>
  <c r="P65" i="66"/>
  <c r="P62" i="66"/>
  <c r="P59" i="66"/>
  <c r="P50" i="66"/>
  <c r="P56" i="66"/>
  <c r="U68" i="66"/>
  <c r="V79" i="63"/>
  <c r="U79" i="63"/>
  <c r="T79" i="63"/>
  <c r="U81" i="63"/>
  <c r="T81" i="63"/>
  <c r="V81" i="63"/>
  <c r="V75" i="63"/>
  <c r="U75" i="63"/>
  <c r="T75" i="63"/>
  <c r="V85" i="63"/>
  <c r="U85" i="63"/>
  <c r="T85" i="63"/>
  <c r="V82" i="63"/>
  <c r="U82" i="63"/>
  <c r="T82" i="63"/>
  <c r="V76" i="63"/>
  <c r="U76" i="63"/>
  <c r="T76" i="63"/>
  <c r="V74" i="63"/>
  <c r="U74" i="63"/>
  <c r="T74" i="63"/>
  <c r="U77" i="63"/>
  <c r="V77" i="63"/>
  <c r="T77" i="63"/>
  <c r="V73" i="63"/>
  <c r="U73" i="63"/>
  <c r="T73" i="63"/>
  <c r="V90" i="63"/>
  <c r="U90" i="63"/>
  <c r="T90" i="63"/>
  <c r="V84" i="63"/>
  <c r="U84" i="63"/>
  <c r="T84" i="63"/>
  <c r="V87" i="63"/>
  <c r="U87" i="63"/>
  <c r="T87" i="63"/>
  <c r="P77" i="63"/>
  <c r="S83" i="63"/>
  <c r="T86" i="63"/>
  <c r="S80" i="63"/>
  <c r="S71" i="63"/>
  <c r="V86" i="63"/>
  <c r="P82" i="63"/>
  <c r="S88" i="63"/>
  <c r="P85" i="63"/>
  <c r="P73" i="63"/>
  <c r="P79" i="63"/>
  <c r="P74" i="63"/>
  <c r="P75" i="63"/>
  <c r="P76" i="63"/>
  <c r="P90" i="63"/>
  <c r="P87" i="63"/>
  <c r="P84" i="63"/>
  <c r="P81" i="63"/>
  <c r="U56" i="63"/>
  <c r="S59" i="63"/>
  <c r="U59" i="63" s="1"/>
  <c r="V56" i="63"/>
  <c r="W56" i="63" s="1"/>
  <c r="V55" i="63"/>
  <c r="U55" i="63"/>
  <c r="T55" i="63"/>
  <c r="V58" i="63"/>
  <c r="U58" i="63"/>
  <c r="T58" i="63"/>
  <c r="V49" i="63"/>
  <c r="U49" i="63"/>
  <c r="T49" i="63"/>
  <c r="P49" i="63"/>
  <c r="AH53" i="63"/>
  <c r="I31" i="41" s="1"/>
  <c r="V54" i="63"/>
  <c r="U54" i="63"/>
  <c r="T54" i="63"/>
  <c r="V57" i="63"/>
  <c r="U57" i="63"/>
  <c r="T57" i="63"/>
  <c r="V53" i="63"/>
  <c r="U53" i="63"/>
  <c r="T53" i="63"/>
  <c r="P55" i="63"/>
  <c r="V60" i="63"/>
  <c r="U60" i="63"/>
  <c r="T60" i="63"/>
  <c r="P58" i="63"/>
  <c r="V52" i="63"/>
  <c r="U52" i="63"/>
  <c r="T52" i="63"/>
  <c r="U68" i="63"/>
  <c r="T68" i="63"/>
  <c r="V51" i="63"/>
  <c r="U51" i="63"/>
  <c r="T51" i="63"/>
  <c r="V68" i="63"/>
  <c r="P60" i="63"/>
  <c r="P51" i="63"/>
  <c r="P57" i="63"/>
  <c r="P52" i="63"/>
  <c r="P53" i="63"/>
  <c r="P54" i="63"/>
  <c r="P68" i="63"/>
  <c r="P56" i="63"/>
  <c r="U54" i="66" l="1"/>
  <c r="U89" i="63"/>
  <c r="V89" i="63"/>
  <c r="X89" i="63" s="1"/>
  <c r="W54" i="66"/>
  <c r="W63" i="63"/>
  <c r="X50" i="63"/>
  <c r="F54" i="66"/>
  <c r="AL52" i="66" s="1"/>
  <c r="H37" i="41" s="1"/>
  <c r="F57" i="66"/>
  <c r="T66" i="63"/>
  <c r="U66" i="63"/>
  <c r="V66" i="63"/>
  <c r="V72" i="63"/>
  <c r="X72" i="63" s="1"/>
  <c r="T50" i="63"/>
  <c r="U72" i="63"/>
  <c r="U50" i="63"/>
  <c r="V89" i="66"/>
  <c r="X89" i="66" s="1"/>
  <c r="W85" i="66"/>
  <c r="U89" i="66"/>
  <c r="U88" i="66"/>
  <c r="F88" i="66"/>
  <c r="U78" i="63"/>
  <c r="V78" i="63"/>
  <c r="U57" i="66"/>
  <c r="V67" i="66"/>
  <c r="X67" i="66" s="1"/>
  <c r="X66" i="66"/>
  <c r="U52" i="66"/>
  <c r="X52" i="66"/>
  <c r="U60" i="66"/>
  <c r="F53" i="66"/>
  <c r="F52" i="66"/>
  <c r="V60" i="66"/>
  <c r="X60" i="66" s="1"/>
  <c r="W62" i="63"/>
  <c r="X67" i="63"/>
  <c r="W67" i="63"/>
  <c r="W64" i="63"/>
  <c r="X64" i="63"/>
  <c r="X61" i="63"/>
  <c r="W61" i="63"/>
  <c r="X65" i="63"/>
  <c r="W65" i="63"/>
  <c r="V59" i="63"/>
  <c r="X59" i="63" s="1"/>
  <c r="T59" i="63"/>
  <c r="X56" i="63"/>
  <c r="F77" i="66"/>
  <c r="AL74" i="66" s="1"/>
  <c r="H48" i="41" s="1"/>
  <c r="V77" i="66"/>
  <c r="U77" i="66"/>
  <c r="F71" i="66"/>
  <c r="AK74" i="66" s="1"/>
  <c r="F48" i="41" s="1"/>
  <c r="U71" i="66"/>
  <c r="V71" i="66"/>
  <c r="W78" i="66"/>
  <c r="X78" i="66"/>
  <c r="X86" i="66"/>
  <c r="W86" i="66"/>
  <c r="X73" i="66"/>
  <c r="W73" i="66"/>
  <c r="F80" i="66"/>
  <c r="V80" i="66"/>
  <c r="U80" i="66"/>
  <c r="F83" i="66"/>
  <c r="V83" i="66"/>
  <c r="U83" i="66"/>
  <c r="X74" i="66"/>
  <c r="W74" i="66"/>
  <c r="X90" i="66"/>
  <c r="W90" i="66"/>
  <c r="V84" i="66"/>
  <c r="U84" i="66"/>
  <c r="F84" i="66"/>
  <c r="W87" i="66"/>
  <c r="X87" i="66"/>
  <c r="X72" i="66"/>
  <c r="W72" i="66"/>
  <c r="W81" i="66"/>
  <c r="X81" i="66"/>
  <c r="W75" i="66"/>
  <c r="X75" i="66"/>
  <c r="W76" i="66"/>
  <c r="X76" i="66"/>
  <c r="X88" i="66"/>
  <c r="W88" i="66"/>
  <c r="V82" i="66"/>
  <c r="U82" i="66"/>
  <c r="F82" i="66"/>
  <c r="X79" i="66"/>
  <c r="W79" i="66"/>
  <c r="W57" i="66"/>
  <c r="W53" i="66"/>
  <c r="V63" i="66"/>
  <c r="X63" i="66" s="1"/>
  <c r="U53" i="66"/>
  <c r="F66" i="66"/>
  <c r="F63" i="66"/>
  <c r="U66" i="66"/>
  <c r="U67" i="66"/>
  <c r="X59" i="66"/>
  <c r="W59" i="66"/>
  <c r="X61" i="66"/>
  <c r="W61" i="66"/>
  <c r="W56" i="66"/>
  <c r="X56" i="66"/>
  <c r="F49" i="66"/>
  <c r="AK52" i="66" s="1"/>
  <c r="F37" i="41" s="1"/>
  <c r="V49" i="66"/>
  <c r="U49" i="66"/>
  <c r="X64" i="66"/>
  <c r="W64" i="66"/>
  <c r="F58" i="66"/>
  <c r="V58" i="66"/>
  <c r="U58" i="66"/>
  <c r="W65" i="66"/>
  <c r="X65" i="66"/>
  <c r="X50" i="66"/>
  <c r="W50" i="66"/>
  <c r="X55" i="66"/>
  <c r="W55" i="66"/>
  <c r="W62" i="66"/>
  <c r="X62" i="66"/>
  <c r="V83" i="63"/>
  <c r="U83" i="63"/>
  <c r="T83" i="63"/>
  <c r="X74" i="63"/>
  <c r="W74" i="63"/>
  <c r="W87" i="63"/>
  <c r="X87" i="63"/>
  <c r="X82" i="63"/>
  <c r="W82" i="63"/>
  <c r="X84" i="63"/>
  <c r="W84" i="63"/>
  <c r="X85" i="63"/>
  <c r="W85" i="63"/>
  <c r="X76" i="63"/>
  <c r="W76" i="63"/>
  <c r="X90" i="63"/>
  <c r="W90" i="63"/>
  <c r="V88" i="63"/>
  <c r="U88" i="63"/>
  <c r="T88" i="63"/>
  <c r="X75" i="63"/>
  <c r="W75" i="63"/>
  <c r="X81" i="63"/>
  <c r="W81" i="63"/>
  <c r="W86" i="63"/>
  <c r="X86" i="63"/>
  <c r="X73" i="63"/>
  <c r="W73" i="63"/>
  <c r="U71" i="63"/>
  <c r="V71" i="63"/>
  <c r="T71" i="63"/>
  <c r="X77" i="63"/>
  <c r="W77" i="63"/>
  <c r="V80" i="63"/>
  <c r="U80" i="63"/>
  <c r="T80" i="63"/>
  <c r="X79" i="63"/>
  <c r="W79" i="63"/>
  <c r="W53" i="63"/>
  <c r="X53" i="63"/>
  <c r="X49" i="63"/>
  <c r="W49" i="63"/>
  <c r="X57" i="63"/>
  <c r="W57" i="63"/>
  <c r="W59" i="63"/>
  <c r="W52" i="63"/>
  <c r="X52" i="63"/>
  <c r="X58" i="63"/>
  <c r="W58" i="63"/>
  <c r="W54" i="63"/>
  <c r="X54" i="63"/>
  <c r="X55" i="63"/>
  <c r="W55" i="63"/>
  <c r="X68" i="63"/>
  <c r="W68" i="63"/>
  <c r="X60" i="63"/>
  <c r="W60" i="63"/>
  <c r="X51" i="63"/>
  <c r="W51" i="63"/>
  <c r="W89" i="63" l="1"/>
  <c r="W72" i="63"/>
  <c r="AJ74" i="66"/>
  <c r="L43" i="41" s="1"/>
  <c r="W89" i="66"/>
  <c r="X66" i="63"/>
  <c r="W66" i="63"/>
  <c r="W78" i="63"/>
  <c r="X78" i="63"/>
  <c r="W60" i="66"/>
  <c r="W67" i="66"/>
  <c r="AJ52" i="66"/>
  <c r="L32" i="41" s="1"/>
  <c r="W82" i="66"/>
  <c r="X82" i="66"/>
  <c r="X80" i="66"/>
  <c r="W80" i="66"/>
  <c r="X83" i="66"/>
  <c r="W83" i="66"/>
  <c r="X71" i="66"/>
  <c r="W71" i="66"/>
  <c r="X84" i="66"/>
  <c r="W84" i="66"/>
  <c r="X77" i="66"/>
  <c r="W77" i="66"/>
  <c r="W63" i="66"/>
  <c r="X58" i="66"/>
  <c r="W58" i="66"/>
  <c r="X49" i="66"/>
  <c r="W49" i="66"/>
  <c r="X88" i="63"/>
  <c r="W88" i="63"/>
  <c r="X80" i="63"/>
  <c r="W80" i="63"/>
  <c r="X71" i="63"/>
  <c r="W71" i="63"/>
  <c r="X83" i="63"/>
  <c r="W83" i="63"/>
  <c r="R46" i="63" l="1"/>
  <c r="R45" i="63"/>
  <c r="R44" i="63"/>
  <c r="R43" i="63"/>
  <c r="R42" i="63"/>
  <c r="R41" i="63"/>
  <c r="R40" i="63"/>
  <c r="R39" i="63"/>
  <c r="R38" i="63"/>
  <c r="R37" i="63"/>
  <c r="R36" i="63"/>
  <c r="R35" i="63"/>
  <c r="R34" i="63"/>
  <c r="R33" i="63"/>
  <c r="R32" i="63"/>
  <c r="R31" i="63"/>
  <c r="R30" i="63"/>
  <c r="R29" i="63"/>
  <c r="R28" i="63"/>
  <c r="R27" i="63"/>
  <c r="AH29" i="66" l="1"/>
  <c r="AI29" i="66"/>
  <c r="AJ29" i="66"/>
  <c r="AK29" i="66"/>
  <c r="AL29" i="66"/>
  <c r="AM29" i="66"/>
  <c r="AH30" i="66"/>
  <c r="AH111" i="66" s="1"/>
  <c r="AI30" i="66"/>
  <c r="AI111" i="66" s="1"/>
  <c r="AM30" i="66"/>
  <c r="AM111" i="66" s="1"/>
  <c r="AG30" i="66"/>
  <c r="AG111" i="66" s="1"/>
  <c r="AG29" i="66"/>
  <c r="S46" i="66"/>
  <c r="R46" i="66"/>
  <c r="O46" i="66"/>
  <c r="P46" i="66" s="1"/>
  <c r="N46" i="66"/>
  <c r="L46" i="66"/>
  <c r="J46" i="66"/>
  <c r="S45" i="66"/>
  <c r="R45" i="66"/>
  <c r="O45" i="66"/>
  <c r="T45" i="66" s="1"/>
  <c r="N45" i="66"/>
  <c r="L45" i="66"/>
  <c r="J45" i="66"/>
  <c r="S44" i="66"/>
  <c r="R44" i="66"/>
  <c r="O44" i="66"/>
  <c r="P44" i="66" s="1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T42" i="66" s="1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T40" i="66" s="1"/>
  <c r="F40" i="66" s="1"/>
  <c r="N40" i="66"/>
  <c r="L40" i="66"/>
  <c r="J40" i="66"/>
  <c r="S39" i="66"/>
  <c r="R39" i="66"/>
  <c r="O39" i="66"/>
  <c r="T39" i="66" s="1"/>
  <c r="N39" i="66"/>
  <c r="L39" i="66"/>
  <c r="J39" i="66"/>
  <c r="S38" i="66"/>
  <c r="R38" i="66"/>
  <c r="O38" i="66"/>
  <c r="P38" i="66" s="1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P36" i="66" s="1"/>
  <c r="N36" i="66"/>
  <c r="L36" i="66"/>
  <c r="J36" i="66"/>
  <c r="S35" i="66"/>
  <c r="R35" i="66"/>
  <c r="O35" i="66"/>
  <c r="T35" i="66" s="1"/>
  <c r="U35" i="66" s="1"/>
  <c r="N35" i="66"/>
  <c r="L35" i="66"/>
  <c r="J35" i="66"/>
  <c r="S34" i="66"/>
  <c r="R34" i="66"/>
  <c r="O34" i="66"/>
  <c r="T34" i="66" s="1"/>
  <c r="N34" i="66"/>
  <c r="L34" i="66"/>
  <c r="J34" i="66"/>
  <c r="S33" i="66"/>
  <c r="R33" i="66"/>
  <c r="O33" i="66"/>
  <c r="P33" i="66" s="1"/>
  <c r="N33" i="66"/>
  <c r="L33" i="66"/>
  <c r="J33" i="66"/>
  <c r="S32" i="66"/>
  <c r="R32" i="66"/>
  <c r="O32" i="66"/>
  <c r="T32" i="66" s="1"/>
  <c r="N32" i="66"/>
  <c r="L32" i="66"/>
  <c r="J32" i="66"/>
  <c r="S31" i="66"/>
  <c r="R31" i="66"/>
  <c r="O31" i="66"/>
  <c r="T31" i="66" s="1"/>
  <c r="N31" i="66"/>
  <c r="L31" i="66"/>
  <c r="J31" i="66"/>
  <c r="S30" i="66"/>
  <c r="R30" i="66"/>
  <c r="O30" i="66"/>
  <c r="T30" i="66" s="1"/>
  <c r="N30" i="66"/>
  <c r="L30" i="66"/>
  <c r="J30" i="66"/>
  <c r="AF29" i="66"/>
  <c r="S29" i="66"/>
  <c r="R29" i="66"/>
  <c r="O29" i="66"/>
  <c r="T29" i="66" s="1"/>
  <c r="U29" i="66" s="1"/>
  <c r="N29" i="66"/>
  <c r="L29" i="66"/>
  <c r="J29" i="66"/>
  <c r="S28" i="66"/>
  <c r="R28" i="66"/>
  <c r="O28" i="66"/>
  <c r="P28" i="66" s="1"/>
  <c r="N28" i="66"/>
  <c r="L28" i="66"/>
  <c r="J28" i="66"/>
  <c r="S27" i="66"/>
  <c r="R27" i="66"/>
  <c r="O27" i="66"/>
  <c r="P27" i="66" s="1"/>
  <c r="N27" i="66"/>
  <c r="L27" i="66"/>
  <c r="J27" i="66"/>
  <c r="AH29" i="63"/>
  <c r="AI29" i="63"/>
  <c r="AJ29" i="63"/>
  <c r="AK29" i="63"/>
  <c r="AL29" i="63"/>
  <c r="AM29" i="63"/>
  <c r="AH30" i="63"/>
  <c r="AJ30" i="63"/>
  <c r="AM30" i="63"/>
  <c r="AG29" i="63"/>
  <c r="AG110" i="63" s="1"/>
  <c r="F27" i="63"/>
  <c r="F28" i="63"/>
  <c r="F29" i="63"/>
  <c r="F30" i="63"/>
  <c r="AK30" i="63" s="1"/>
  <c r="F31" i="63"/>
  <c r="F32" i="63"/>
  <c r="F33" i="63"/>
  <c r="F34" i="63"/>
  <c r="F35" i="63"/>
  <c r="F36" i="63"/>
  <c r="F37" i="63"/>
  <c r="F38" i="63"/>
  <c r="F39" i="63"/>
  <c r="AG30" i="63" s="1"/>
  <c r="F40" i="63"/>
  <c r="F41" i="63"/>
  <c r="F42" i="63"/>
  <c r="F43" i="63"/>
  <c r="F44" i="63"/>
  <c r="F45" i="63"/>
  <c r="F46" i="63"/>
  <c r="O46" i="63"/>
  <c r="S46" i="63" s="1"/>
  <c r="N46" i="63"/>
  <c r="L46" i="63"/>
  <c r="J46" i="63"/>
  <c r="O45" i="63"/>
  <c r="P45" i="63" s="1"/>
  <c r="N45" i="63"/>
  <c r="L45" i="63"/>
  <c r="J45" i="63"/>
  <c r="O44" i="63"/>
  <c r="S44" i="63" s="1"/>
  <c r="N44" i="63"/>
  <c r="L44" i="63"/>
  <c r="J44" i="63"/>
  <c r="O43" i="63"/>
  <c r="S43" i="63" s="1"/>
  <c r="N43" i="63"/>
  <c r="L43" i="63"/>
  <c r="J43" i="63"/>
  <c r="O42" i="63"/>
  <c r="S42" i="63" s="1"/>
  <c r="U42" i="63" s="1"/>
  <c r="N42" i="63"/>
  <c r="L42" i="63"/>
  <c r="J42" i="63"/>
  <c r="O41" i="63"/>
  <c r="S41" i="63" s="1"/>
  <c r="N41" i="63"/>
  <c r="L41" i="63"/>
  <c r="J41" i="63"/>
  <c r="O40" i="63"/>
  <c r="S40" i="63" s="1"/>
  <c r="N40" i="63"/>
  <c r="L40" i="63"/>
  <c r="J40" i="63"/>
  <c r="O39" i="63"/>
  <c r="S39" i="63" s="1"/>
  <c r="N39" i="63"/>
  <c r="L39" i="63"/>
  <c r="J39" i="63"/>
  <c r="O38" i="63"/>
  <c r="P38" i="63" s="1"/>
  <c r="N38" i="63"/>
  <c r="L38" i="63"/>
  <c r="J38" i="63"/>
  <c r="O37" i="63"/>
  <c r="S37" i="63" s="1"/>
  <c r="N37" i="63"/>
  <c r="L37" i="63"/>
  <c r="J37" i="63"/>
  <c r="O36" i="63"/>
  <c r="P36" i="63" s="1"/>
  <c r="N36" i="63"/>
  <c r="L36" i="63"/>
  <c r="J36" i="63"/>
  <c r="O35" i="63"/>
  <c r="P35" i="63" s="1"/>
  <c r="N35" i="63"/>
  <c r="L35" i="63"/>
  <c r="J35" i="63"/>
  <c r="O34" i="63"/>
  <c r="S34" i="63" s="1"/>
  <c r="N34" i="63"/>
  <c r="L34" i="63"/>
  <c r="J34" i="63"/>
  <c r="O33" i="63"/>
  <c r="P33" i="63" s="1"/>
  <c r="N33" i="63"/>
  <c r="L33" i="63"/>
  <c r="J33" i="63"/>
  <c r="O32" i="63"/>
  <c r="S32" i="63" s="1"/>
  <c r="V32" i="63" s="1"/>
  <c r="N32" i="63"/>
  <c r="L32" i="63"/>
  <c r="J32" i="63"/>
  <c r="O31" i="63"/>
  <c r="P31" i="63" s="1"/>
  <c r="N31" i="63"/>
  <c r="L31" i="63"/>
  <c r="J31" i="63"/>
  <c r="O30" i="63"/>
  <c r="S30" i="63" s="1"/>
  <c r="V30" i="63" s="1"/>
  <c r="N30" i="63"/>
  <c r="L30" i="63"/>
  <c r="J30" i="63"/>
  <c r="AF29" i="63"/>
  <c r="O29" i="63"/>
  <c r="P29" i="63" s="1"/>
  <c r="N29" i="63"/>
  <c r="L29" i="63"/>
  <c r="J29" i="63"/>
  <c r="O28" i="63"/>
  <c r="S28" i="63" s="1"/>
  <c r="N28" i="63"/>
  <c r="L28" i="63"/>
  <c r="J28" i="63"/>
  <c r="O27" i="63"/>
  <c r="S27" i="63" s="1"/>
  <c r="N27" i="63"/>
  <c r="L27" i="63"/>
  <c r="J27" i="63"/>
  <c r="C10" i="41"/>
  <c r="C21" i="41"/>
  <c r="AJ31" i="63" l="1"/>
  <c r="M20" i="41" s="1"/>
  <c r="AJ110" i="63"/>
  <c r="AK31" i="63"/>
  <c r="G25" i="41" s="1"/>
  <c r="AK110" i="63"/>
  <c r="AH31" i="63"/>
  <c r="I20" i="41" s="1"/>
  <c r="AH110" i="63"/>
  <c r="F25" i="41"/>
  <c r="AK111" i="63"/>
  <c r="L20" i="41"/>
  <c r="AJ111" i="63"/>
  <c r="AM31" i="63"/>
  <c r="K25" i="41" s="1"/>
  <c r="AM110" i="63"/>
  <c r="F20" i="41"/>
  <c r="AG111" i="63"/>
  <c r="H20" i="41"/>
  <c r="AH111" i="63"/>
  <c r="AL31" i="63"/>
  <c r="I25" i="41" s="1"/>
  <c r="AL110" i="63"/>
  <c r="AI31" i="63"/>
  <c r="K20" i="41" s="1"/>
  <c r="AI110" i="63"/>
  <c r="J25" i="41"/>
  <c r="AM111" i="63"/>
  <c r="AG31" i="63"/>
  <c r="G20" i="41" s="1"/>
  <c r="AL30" i="63"/>
  <c r="AG31" i="66"/>
  <c r="G21" i="41" s="1"/>
  <c r="F21" i="41"/>
  <c r="J26" i="41"/>
  <c r="J21" i="41"/>
  <c r="AM31" i="66"/>
  <c r="K26" i="41" s="1"/>
  <c r="AL31" i="66"/>
  <c r="I26" i="41" s="1"/>
  <c r="AJ31" i="66"/>
  <c r="M21" i="41" s="1"/>
  <c r="AI31" i="66"/>
  <c r="K21" i="41" s="1"/>
  <c r="H21" i="41"/>
  <c r="AK31" i="66"/>
  <c r="G26" i="41" s="1"/>
  <c r="AH31" i="66"/>
  <c r="I21" i="41" s="1"/>
  <c r="AI30" i="63"/>
  <c r="P35" i="66"/>
  <c r="T38" i="66"/>
  <c r="V38" i="66" s="1"/>
  <c r="X38" i="66" s="1"/>
  <c r="T41" i="66"/>
  <c r="V41" i="66" s="1"/>
  <c r="X41" i="66" s="1"/>
  <c r="T44" i="66"/>
  <c r="V44" i="66" s="1"/>
  <c r="X44" i="66" s="1"/>
  <c r="P29" i="66"/>
  <c r="P40" i="66"/>
  <c r="T43" i="66"/>
  <c r="V43" i="66" s="1"/>
  <c r="T46" i="66"/>
  <c r="V46" i="66" s="1"/>
  <c r="X46" i="66" s="1"/>
  <c r="V35" i="66"/>
  <c r="X35" i="66" s="1"/>
  <c r="V29" i="66"/>
  <c r="X29" i="66" s="1"/>
  <c r="F35" i="66"/>
  <c r="F29" i="66"/>
  <c r="V30" i="66"/>
  <c r="U30" i="66"/>
  <c r="F30" i="66"/>
  <c r="F39" i="66"/>
  <c r="V39" i="66"/>
  <c r="U39" i="66"/>
  <c r="U45" i="66"/>
  <c r="V45" i="66"/>
  <c r="F45" i="66"/>
  <c r="F34" i="66"/>
  <c r="U34" i="66"/>
  <c r="V34" i="66"/>
  <c r="V31" i="66"/>
  <c r="U31" i="66"/>
  <c r="F31" i="66"/>
  <c r="F42" i="66"/>
  <c r="V42" i="66"/>
  <c r="U42" i="66"/>
  <c r="X43" i="66"/>
  <c r="W43" i="66"/>
  <c r="V32" i="66"/>
  <c r="F32" i="66"/>
  <c r="U32" i="66"/>
  <c r="T37" i="66"/>
  <c r="U40" i="66"/>
  <c r="T28" i="66"/>
  <c r="P39" i="66"/>
  <c r="T36" i="66"/>
  <c r="T27" i="66"/>
  <c r="T33" i="66"/>
  <c r="P34" i="66"/>
  <c r="V40" i="66"/>
  <c r="P45" i="66"/>
  <c r="P42" i="66"/>
  <c r="P30" i="66"/>
  <c r="P31" i="66"/>
  <c r="P32" i="66"/>
  <c r="P32" i="63"/>
  <c r="P30" i="63"/>
  <c r="S45" i="63"/>
  <c r="T45" i="63" s="1"/>
  <c r="S38" i="63"/>
  <c r="V38" i="63" s="1"/>
  <c r="X38" i="63" s="1"/>
  <c r="S31" i="63"/>
  <c r="V31" i="63" s="1"/>
  <c r="X31" i="63" s="1"/>
  <c r="P37" i="63"/>
  <c r="S29" i="63"/>
  <c r="V29" i="63" s="1"/>
  <c r="X29" i="63" s="1"/>
  <c r="P42" i="63"/>
  <c r="S35" i="63"/>
  <c r="V35" i="63" s="1"/>
  <c r="X35" i="63" s="1"/>
  <c r="T34" i="63"/>
  <c r="V34" i="63"/>
  <c r="U34" i="63"/>
  <c r="T41" i="63"/>
  <c r="V41" i="63"/>
  <c r="U41" i="63"/>
  <c r="V28" i="63"/>
  <c r="U28" i="63"/>
  <c r="T28" i="63"/>
  <c r="U44" i="63"/>
  <c r="V44" i="63"/>
  <c r="T44" i="63"/>
  <c r="X30" i="63"/>
  <c r="W30" i="63"/>
  <c r="V27" i="63"/>
  <c r="U27" i="63"/>
  <c r="T27" i="63"/>
  <c r="V46" i="63"/>
  <c r="U46" i="63"/>
  <c r="T46" i="63"/>
  <c r="X32" i="63"/>
  <c r="W32" i="63"/>
  <c r="U39" i="63"/>
  <c r="V39" i="63"/>
  <c r="T39" i="63"/>
  <c r="U37" i="63"/>
  <c r="T37" i="63"/>
  <c r="V37" i="63"/>
  <c r="V40" i="63"/>
  <c r="U40" i="63"/>
  <c r="T40" i="63"/>
  <c r="V43" i="63"/>
  <c r="U43" i="63"/>
  <c r="T43" i="63"/>
  <c r="S33" i="63"/>
  <c r="P44" i="63"/>
  <c r="P41" i="63"/>
  <c r="P39" i="63"/>
  <c r="T42" i="63"/>
  <c r="S36" i="63"/>
  <c r="V42" i="63"/>
  <c r="P46" i="63"/>
  <c r="T30" i="63"/>
  <c r="T32" i="63"/>
  <c r="P43" i="63"/>
  <c r="U30" i="63"/>
  <c r="U32" i="63"/>
  <c r="P40" i="63"/>
  <c r="P28" i="63"/>
  <c r="P34" i="63"/>
  <c r="P27" i="63"/>
  <c r="C20" i="41"/>
  <c r="H25" i="41" l="1"/>
  <c r="AL111" i="63"/>
  <c r="J20" i="41"/>
  <c r="AI111" i="63"/>
  <c r="U46" i="66"/>
  <c r="W35" i="66"/>
  <c r="F43" i="66"/>
  <c r="F38" i="66"/>
  <c r="W29" i="66"/>
  <c r="F41" i="66"/>
  <c r="F46" i="66"/>
  <c r="U38" i="66"/>
  <c r="U41" i="66"/>
  <c r="W38" i="66"/>
  <c r="F44" i="66"/>
  <c r="W44" i="66"/>
  <c r="U44" i="66"/>
  <c r="W41" i="66"/>
  <c r="W46" i="66"/>
  <c r="U43" i="66"/>
  <c r="X42" i="66"/>
  <c r="W42" i="66"/>
  <c r="X30" i="66"/>
  <c r="W30" i="66"/>
  <c r="X31" i="66"/>
  <c r="W31" i="66"/>
  <c r="V33" i="66"/>
  <c r="U33" i="66"/>
  <c r="F33" i="66"/>
  <c r="W34" i="66"/>
  <c r="X34" i="66"/>
  <c r="F27" i="66"/>
  <c r="AK30" i="66" s="1"/>
  <c r="AK111" i="66" s="1"/>
  <c r="V27" i="66"/>
  <c r="U27" i="66"/>
  <c r="F36" i="66"/>
  <c r="V36" i="66"/>
  <c r="U36" i="66"/>
  <c r="F28" i="66"/>
  <c r="V28" i="66"/>
  <c r="U28" i="66"/>
  <c r="X45" i="66"/>
  <c r="W45" i="66"/>
  <c r="F37" i="66"/>
  <c r="V37" i="66"/>
  <c r="U37" i="66"/>
  <c r="X39" i="66"/>
  <c r="W39" i="66"/>
  <c r="X32" i="66"/>
  <c r="W32" i="66"/>
  <c r="W40" i="66"/>
  <c r="X40" i="66"/>
  <c r="U35" i="63"/>
  <c r="U38" i="63"/>
  <c r="W35" i="63"/>
  <c r="V45" i="63"/>
  <c r="X45" i="63" s="1"/>
  <c r="U45" i="63"/>
  <c r="U31" i="63"/>
  <c r="W29" i="63"/>
  <c r="W31" i="63"/>
  <c r="T31" i="63"/>
  <c r="U29" i="63"/>
  <c r="T35" i="63"/>
  <c r="W38" i="63"/>
  <c r="T29" i="63"/>
  <c r="T38" i="63"/>
  <c r="W40" i="63"/>
  <c r="X40" i="63"/>
  <c r="X42" i="63"/>
  <c r="W42" i="63"/>
  <c r="X46" i="63"/>
  <c r="W46" i="63"/>
  <c r="W34" i="63"/>
  <c r="X34" i="63"/>
  <c r="W43" i="63"/>
  <c r="X43" i="63"/>
  <c r="X44" i="63"/>
  <c r="W44" i="63"/>
  <c r="X37" i="63"/>
  <c r="W37" i="63"/>
  <c r="X28" i="63"/>
  <c r="W28" i="63"/>
  <c r="X39" i="63"/>
  <c r="W39" i="63"/>
  <c r="X41" i="63"/>
  <c r="W41" i="63"/>
  <c r="V36" i="63"/>
  <c r="U36" i="63"/>
  <c r="T36" i="63"/>
  <c r="V33" i="63"/>
  <c r="U33" i="63"/>
  <c r="T33" i="63"/>
  <c r="X27" i="63"/>
  <c r="W27" i="63"/>
  <c r="AJ30" i="66" l="1"/>
  <c r="AJ111" i="66" s="1"/>
  <c r="F26" i="41"/>
  <c r="AL30" i="66"/>
  <c r="AL111" i="66" s="1"/>
  <c r="W45" i="63"/>
  <c r="X28" i="66"/>
  <c r="W28" i="66"/>
  <c r="X36" i="66"/>
  <c r="W36" i="66"/>
  <c r="X27" i="66"/>
  <c r="W27" i="66"/>
  <c r="X33" i="66"/>
  <c r="W33" i="66"/>
  <c r="X37" i="66"/>
  <c r="W37" i="66"/>
  <c r="X33" i="63"/>
  <c r="W33" i="63"/>
  <c r="X36" i="63"/>
  <c r="W36" i="63"/>
  <c r="L21" i="41" l="1"/>
  <c r="H26" i="41"/>
  <c r="AH7" i="66" l="1"/>
  <c r="AI7" i="66"/>
  <c r="AJ7" i="66"/>
  <c r="AK7" i="66"/>
  <c r="AL7" i="66"/>
  <c r="AM7" i="66"/>
  <c r="AH8" i="66"/>
  <c r="AI8" i="66"/>
  <c r="AM8" i="66"/>
  <c r="AG8" i="66"/>
  <c r="AG7" i="66"/>
  <c r="AF7" i="66"/>
  <c r="AH8" i="63"/>
  <c r="AJ8" i="63"/>
  <c r="AK8" i="63"/>
  <c r="AM8" i="63"/>
  <c r="AG7" i="63"/>
  <c r="AG112" i="63" s="1"/>
  <c r="G9" i="40" s="1"/>
  <c r="AH7" i="63"/>
  <c r="AH112" i="63" s="1"/>
  <c r="I9" i="40" s="1"/>
  <c r="AI7" i="63"/>
  <c r="AI112" i="63" s="1"/>
  <c r="K9" i="40" s="1"/>
  <c r="AJ7" i="63"/>
  <c r="AJ112" i="63" s="1"/>
  <c r="M9" i="40" s="1"/>
  <c r="AK7" i="63"/>
  <c r="AK112" i="63" s="1"/>
  <c r="G14" i="40" s="1"/>
  <c r="AL7" i="63"/>
  <c r="AM7" i="63"/>
  <c r="AF7" i="63"/>
  <c r="AM112" i="66" l="1"/>
  <c r="K15" i="40" s="1"/>
  <c r="AL112" i="66"/>
  <c r="I15" i="40" s="1"/>
  <c r="AK112" i="66"/>
  <c r="G15" i="40" s="1"/>
  <c r="J15" i="41"/>
  <c r="J15" i="40"/>
  <c r="J10" i="41"/>
  <c r="G10" i="40"/>
  <c r="F10" i="41"/>
  <c r="F10" i="40"/>
  <c r="AI112" i="66"/>
  <c r="K10" i="40" s="1"/>
  <c r="H10" i="41"/>
  <c r="H10" i="40"/>
  <c r="AJ112" i="66"/>
  <c r="M10" i="40" s="1"/>
  <c r="AH112" i="66"/>
  <c r="I10" i="40" s="1"/>
  <c r="F14" i="41"/>
  <c r="F14" i="40"/>
  <c r="H9" i="41"/>
  <c r="H9" i="40"/>
  <c r="L9" i="41"/>
  <c r="L9" i="40"/>
  <c r="AL8" i="63"/>
  <c r="AM112" i="63"/>
  <c r="K14" i="40" s="1"/>
  <c r="J14" i="41"/>
  <c r="J14" i="40"/>
  <c r="AL112" i="63"/>
  <c r="I14" i="40" s="1"/>
  <c r="AK9" i="63"/>
  <c r="G14" i="41" s="1"/>
  <c r="AJ9" i="63"/>
  <c r="M9" i="41" s="1"/>
  <c r="AG8" i="63"/>
  <c r="AI9" i="63"/>
  <c r="K9" i="41" s="1"/>
  <c r="AG9" i="63"/>
  <c r="G9" i="41" s="1"/>
  <c r="AI8" i="63"/>
  <c r="AG9" i="66"/>
  <c r="G10" i="41" s="1"/>
  <c r="AJ9" i="66"/>
  <c r="M10" i="41" s="1"/>
  <c r="AK9" i="66"/>
  <c r="G15" i="41" s="1"/>
  <c r="AH9" i="66"/>
  <c r="I10" i="41" s="1"/>
  <c r="AI9" i="66"/>
  <c r="K10" i="41" s="1"/>
  <c r="AM9" i="66"/>
  <c r="K15" i="41" s="1"/>
  <c r="AL9" i="66"/>
  <c r="I15" i="41" s="1"/>
  <c r="AH9" i="63"/>
  <c r="I9" i="41" s="1"/>
  <c r="AL9" i="63"/>
  <c r="I14" i="41" s="1"/>
  <c r="AM9" i="63"/>
  <c r="K14" i="41" s="1"/>
  <c r="H14" i="41" l="1"/>
  <c r="H14" i="40"/>
  <c r="F9" i="40"/>
  <c r="F9" i="41"/>
  <c r="J9" i="41"/>
  <c r="AK8" i="66"/>
  <c r="AL8" i="66"/>
  <c r="F15" i="41" l="1"/>
  <c r="F15" i="40"/>
  <c r="H15" i="41"/>
  <c r="H15" i="40"/>
  <c r="AJ8" i="66"/>
  <c r="J10" i="40"/>
  <c r="J9" i="40"/>
  <c r="L10" i="41" l="1"/>
  <c r="L10" i="40"/>
  <c r="G5" i="5"/>
  <c r="I5" i="5"/>
  <c r="M5" i="5"/>
  <c r="P5" i="5"/>
  <c r="S5" i="5"/>
  <c r="V5" i="5"/>
  <c r="I6" i="5"/>
  <c r="I7" i="5"/>
  <c r="I8" i="5"/>
  <c r="I9" i="5"/>
  <c r="K9" i="5" s="1"/>
  <c r="I7" i="13" s="1"/>
  <c r="I10" i="5"/>
  <c r="I11" i="5"/>
  <c r="C64" i="41" l="1"/>
  <c r="C65" i="41"/>
  <c r="J5" i="5"/>
  <c r="M26" i="58" l="1"/>
  <c r="M27" i="58"/>
  <c r="M28" i="58"/>
  <c r="M29" i="58"/>
  <c r="B9" i="40" l="1"/>
  <c r="P15" i="65" l="1"/>
  <c r="K11" i="13" s="1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I69" i="41" l="1"/>
  <c r="C15" i="39" l="1"/>
  <c r="D10" i="13"/>
  <c r="D8" i="13"/>
  <c r="I18" i="13" l="1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C24" i="13" l="1"/>
  <c r="E15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P7" i="65"/>
  <c r="E11" i="13" s="1"/>
  <c r="P6" i="65"/>
  <c r="E10" i="13" s="1"/>
  <c r="O5" i="65"/>
  <c r="N5" i="65"/>
  <c r="M5" i="65"/>
  <c r="P5" i="65" s="1"/>
  <c r="E9" i="13" s="1"/>
  <c r="L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22" i="58" l="1"/>
  <c r="M14" i="57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3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<sst xmlns="http://schemas.openxmlformats.org/spreadsheetml/2006/main" count="5152" uniqueCount="609">
  <si>
    <t>項目</t>
    <phoneticPr fontId="13" type="noConversion"/>
  </si>
  <si>
    <t>1月</t>
    <phoneticPr fontId="13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</si>
  <si>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</si>
  <si>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</si>
  <si>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</si>
  <si>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</si>
  <si>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</si>
  <si>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</si>
  <si>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</si>
  <si>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</si>
  <si>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</si>
  <si>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</si>
  <si>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</si>
  <si>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</si>
  <si>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（１）收支狀況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</si>
  <si>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</si>
  <si>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</si>
  <si>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</si>
  <si>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材料費率(%)</t>
    <phoneticPr fontId="13" type="noConversion"/>
  </si>
  <si>
    <t>勞務成本(千元)</t>
    <phoneticPr fontId="13" type="noConversion"/>
  </si>
  <si>
    <t>勞務費率(%)</t>
    <phoneticPr fontId="13" type="noConversion"/>
  </si>
  <si>
    <t>（２）ＫＰＩ達成進度</t>
    <phoneticPr fontId="13" type="noConversion"/>
  </si>
  <si>
    <t>人時性KPI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</si>
  <si>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</si>
  <si>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</si>
  <si>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</si>
  <si>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</si>
  <si>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</si>
  <si>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</si>
  <si>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</si>
  <si>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</si>
  <si>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18℃-壽司手卷(071,072,075,076)</t>
  </si>
  <si>
    <t>4℃-飯糰(065)</t>
  </si>
  <si>
    <t>4℃-壽司手卷(077)</t>
  </si>
  <si>
    <t>主食(091,092,093,094,095)</t>
  </si>
  <si>
    <t>便當(083)</t>
  </si>
  <si>
    <t>熱食義麵(122,123,124,126)</t>
  </si>
  <si>
    <t>季節調理麵(111,112)</t>
  </si>
  <si>
    <t>微波小吃(153,154,155)</t>
  </si>
  <si>
    <t>（４）訂單數量構成比</t>
    <phoneticPr fontId="13" type="noConversion"/>
  </si>
  <si>
    <t>（５）品群別人時生產性</t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</si>
  <si>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</si>
  <si>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月別</t>
    <phoneticPr fontId="10"/>
  </si>
  <si>
    <t>工廠</t>
    <phoneticPr fontId="10"/>
  </si>
  <si>
    <t>大溪廠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</si>
  <si>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</si>
  <si>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※單位：千元</t>
    <phoneticPr fontId="10"/>
  </si>
  <si>
    <t>（２）ＫＰＩ達成進度</t>
    <phoneticPr fontId="10"/>
  </si>
  <si>
    <t>當月</t>
    <phoneticPr fontId="10"/>
  </si>
  <si>
    <t>前月</t>
  </si>
  <si>
    <t>差異</t>
  </si>
  <si>
    <t>累計</t>
  </si>
  <si>
    <t>KPI</t>
    <phoneticPr fontId="10"/>
  </si>
  <si>
    <t>前月</t>
    <phoneticPr fontId="10"/>
  </si>
  <si>
    <t>※補充</t>
    <phoneticPr fontId="10"/>
  </si>
  <si>
    <t>業績金額</t>
    <phoneticPr fontId="10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</si>
  <si>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</si>
  <si>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個／MH</t>
    <phoneticPr fontId="10"/>
  </si>
  <si>
    <t>訂單數量</t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</si>
  <si>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</si>
  <si>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達成率</t>
  </si>
  <si>
    <t>材料費</t>
  </si>
  <si>
    <t>半成品-報廢(%)</t>
    <phoneticPr fontId="10"/>
  </si>
  <si>
    <t>報廢率</t>
    <phoneticPr fontId="10"/>
  </si>
  <si>
    <t>材料費率</t>
  </si>
  <si>
    <t>半成品-超用(%)</t>
    <phoneticPr fontId="10"/>
  </si>
  <si>
    <t>超用率</t>
    <phoneticPr fontId="10"/>
  </si>
  <si>
    <t>勞務成本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</si>
  <si>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</si>
  <si>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t>導入率</t>
  </si>
  <si>
    <t>勞務費率</t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</si>
  <si>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</si>
  <si>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實施率</t>
    <phoneticPr fontId="10"/>
  </si>
  <si>
    <t>（３）業績構成比</t>
    <phoneticPr fontId="10"/>
  </si>
  <si>
    <t>（４）訂單數量構成比</t>
    <phoneticPr fontId="10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</si>
  <si>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</si>
  <si>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比例</t>
    <phoneticPr fontId="10"/>
  </si>
  <si>
    <t>差異</t>
    <phoneticPr fontId="10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</si>
  <si>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</si>
  <si>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</si>
  <si>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t>18℃-壽司手卷(071,072,075,076)</t>
    <phoneticPr fontId="13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</si>
  <si>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</si>
  <si>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  <phoneticPr fontId="13" type="noConversion"/>
  </si>
  <si>
    <t>主食(091,092,093,094,095)</t>
    <phoneticPr fontId="13" type="noConversion"/>
  </si>
  <si>
    <t>便當(083)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</si>
  <si>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</si>
  <si>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</si>
  <si>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</si>
  <si>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</si>
  <si>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品群</t>
    <phoneticPr fontId="10"/>
  </si>
  <si>
    <t>18℃-飯A15:A23糰(061,063)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</si>
  <si>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</si>
  <si>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週別</t>
    <phoneticPr fontId="13" type="noConversion"/>
  </si>
  <si>
    <t>W1</t>
    <phoneticPr fontId="13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</si>
  <si>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</si>
  <si>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</si>
  <si>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</si>
  <si>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</si>
  <si>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</si>
  <si>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</si>
  <si>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</si>
  <si>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t>材料費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</si>
  <si>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</si>
  <si>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</si>
  <si>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前週</t>
    <phoneticPr fontId="10"/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</si>
  <si>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</si>
  <si>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</si>
  <si>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</si>
  <si>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</si>
  <si>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</si>
  <si>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</si>
  <si>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</si>
  <si>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</si>
  <si>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</si>
  <si>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</si>
  <si>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</si>
  <si>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</si>
  <si>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</si>
  <si>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</si>
  <si>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</si>
  <si>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</si>
  <si>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</si>
  <si>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</si>
  <si>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八</t>
    <phoneticPr fontId="13" type="noConversion"/>
  </si>
  <si>
    <t>六</t>
    <phoneticPr fontId="13" type="noConversion"/>
  </si>
  <si>
    <t>一</t>
    <phoneticPr fontId="13" type="noConversion"/>
  </si>
  <si>
    <t>九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</si>
  <si>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</si>
  <si>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 xml:space="preserve">人時生產性(個/人) </t>
  </si>
  <si>
    <t xml:space="preserve">人時生產性達成率(%) </t>
  </si>
  <si>
    <t xml:space="preserve">半成品報廢(%) </t>
    <phoneticPr fontId="13" type="noConversion"/>
  </si>
  <si>
    <t xml:space="preserve">半成品超用(%) </t>
  </si>
  <si>
    <t>固定產線-導入率(固定產線數/總產線數)</t>
    <phoneticPr fontId="13" type="noConversion"/>
  </si>
  <si>
    <t>教育訓練-實施率(進度/計畫)</t>
    <phoneticPr fontId="13" type="noConversion"/>
  </si>
  <si>
    <t>週平均</t>
    <phoneticPr fontId="13" type="noConversion"/>
  </si>
  <si>
    <t>月平均</t>
    <phoneticPr fontId="13" type="noConversion"/>
  </si>
  <si>
    <t>（3）業績構成比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</si>
  <si>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</si>
  <si>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t>營業額</t>
    <phoneticPr fontId="13" type="noConversion"/>
  </si>
  <si>
    <t>品類業績</t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</si>
  <si>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</si>
  <si>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</si>
  <si>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</si>
  <si>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</si>
  <si>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</si>
  <si>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</si>
  <si>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</si>
  <si>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</si>
  <si>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</si>
  <si>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</si>
  <si>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</si>
  <si>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</si>
  <si>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業績(元)</t>
    <phoneticPr fontId="13" type="noConversion"/>
  </si>
  <si>
    <t>比例(%)</t>
    <phoneticPr fontId="13" type="noConversion"/>
  </si>
  <si>
    <t>（4）訂單數量構成比</t>
    <phoneticPr fontId="13" type="noConversion"/>
  </si>
  <si>
    <t>訂單量</t>
    <phoneticPr fontId="13" type="noConversion"/>
  </si>
  <si>
    <t>品類訂單量</t>
    <phoneticPr fontId="13" type="noConversion"/>
  </si>
  <si>
    <t>訂單數</t>
    <phoneticPr fontId="13" type="noConversion"/>
  </si>
  <si>
    <r>
      <t>9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</si>
  <si>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週更新(0901-0907)</t>
    </r>
    <phoneticPr fontId="13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</si>
  <si>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</si>
  <si>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</si>
  <si>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</si>
  <si>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</si>
  <si>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</si>
  <si>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 (週平均)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</si>
  <si>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</si>
  <si>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</si>
  <si>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</si>
  <si>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</si>
  <si>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</si>
  <si>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t>人數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</si>
  <si>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</si>
  <si>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t>人時性</t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</si>
  <si>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</si>
  <si>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一配鹽蔥燒肉飯糰</t>
  </si>
  <si>
    <t>一配鮪魚飯糰</t>
  </si>
  <si>
    <t>一配雞肉飯飯糰</t>
  </si>
  <si>
    <t>一配明太子龍蝦風味沙拉飯糰</t>
  </si>
  <si>
    <t>一配贅沢鮭魚肚飯糰</t>
  </si>
  <si>
    <t>一配蔬食鮪魚飯糰</t>
  </si>
  <si>
    <t>一配熟成紅鮭飯糰</t>
  </si>
  <si>
    <t>一配北海道秋鮭親子飯糰</t>
  </si>
  <si>
    <t>一配經典肉鬆飯糰</t>
  </si>
  <si>
    <t>一配兩粒飯糰(鮪魚.焦糖鮭魚)</t>
  </si>
  <si>
    <t>一配鮭魚奶油醬油飯糰</t>
  </si>
  <si>
    <t>一配椒鹽檸檬鯖魚飯糰</t>
  </si>
  <si>
    <t>一配黑胡椒洋蔥豬飯糰</t>
  </si>
  <si>
    <t>一配筋子銀鮭飯糰</t>
  </si>
  <si>
    <t>一配鹽蔥生鮭飯糰</t>
  </si>
  <si>
    <t>一配醬燒炙烤牛飯糰</t>
  </si>
  <si>
    <t>一配卵黃牛挽肉飯糰</t>
  </si>
  <si>
    <t>一配生鱈魚子鮭魚飯糰</t>
  </si>
  <si>
    <t>二配雞肉飯飯糰</t>
  </si>
  <si>
    <t>二配鮪魚飯糰</t>
  </si>
  <si>
    <t>二配鹽蔥燒肉飯糰</t>
  </si>
  <si>
    <t>二配明太子龍蝦風味沙拉飯糰</t>
  </si>
  <si>
    <t>二配贅沢鮭魚肚飯糰</t>
  </si>
  <si>
    <t>二配蔬食鮪魚飯糰</t>
  </si>
  <si>
    <t>二配熟成紅鮭飯糰</t>
  </si>
  <si>
    <t>二配北海道秋鮭親子飯糰</t>
  </si>
  <si>
    <t>二配芝麻香鬆飯糰</t>
  </si>
  <si>
    <t>二配三杯醬爆菇菇飯糰</t>
  </si>
  <si>
    <t>二配大飯糰韓式蒜烤豬五花</t>
  </si>
  <si>
    <t>二配大飯糰泡菜鮪魚</t>
  </si>
  <si>
    <t>二配柚香雞胸五穀飯糰</t>
  </si>
  <si>
    <t>二配經典肉鬆飯糰</t>
  </si>
  <si>
    <t>二配兩粒飯糰(鮪魚.焦糖鮭魚)</t>
  </si>
  <si>
    <t>二配醬燒炙烤牛飯糰</t>
  </si>
  <si>
    <t>二配卵黃牛挽肉飯糰</t>
  </si>
  <si>
    <t>二配生鱈魚子鮭魚飯糰</t>
  </si>
  <si>
    <t>9月平均人時性</t>
    <phoneticPr fontId="13" type="noConversion"/>
  </si>
  <si>
    <t>產線配置圖－每週更新(0901-0907)</t>
  </si>
  <si>
    <t>18℃-壽司手卷</t>
    <phoneticPr fontId="13" type="noConversion"/>
  </si>
  <si>
    <t>一配長野稻荷壽司</t>
  </si>
  <si>
    <t>一配經典人氣雙手卷</t>
  </si>
  <si>
    <t>一配鮭鮪海饌雙手卷</t>
  </si>
  <si>
    <t>一配青木瓜雞絲泰泰雙手卷</t>
  </si>
  <si>
    <t>4℃-飯糰</t>
    <phoneticPr fontId="13" type="noConversion"/>
  </si>
  <si>
    <t>麻油雞飯糰</t>
  </si>
  <si>
    <t>4℃-壽司手卷</t>
    <phoneticPr fontId="13" type="noConversion"/>
  </si>
  <si>
    <t>鮪魚昆布細卷</t>
  </si>
  <si>
    <t>肉鬆火腿細卷</t>
  </si>
  <si>
    <t>海陸雙拼壽司</t>
  </si>
  <si>
    <t>厚香料優格咖哩烤雞飯卷</t>
  </si>
  <si>
    <t>醬油生鮭脆卷</t>
  </si>
  <si>
    <t>蔥花生鮪魚脆卷</t>
  </si>
  <si>
    <t>香濃明太子嫩雞飯卷</t>
  </si>
  <si>
    <t>微波主食</t>
    <phoneticPr fontId="13" type="noConversion"/>
  </si>
  <si>
    <t>糖燻野郎三十天熟成牛飯</t>
  </si>
  <si>
    <t>日式鮭魚茶泡烤飯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</si>
  <si>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</si>
  <si>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</si>
  <si>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</si>
  <si>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</si>
  <si>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二配香烤魚排青醬燉飯</t>
  </si>
  <si>
    <t>二配西班牙風味海鮮燉飯</t>
  </si>
  <si>
    <t>健身G肉餐盒</t>
  </si>
  <si>
    <t>烤蛋白餐盒</t>
  </si>
  <si>
    <t>海陸雙拼肉肉餐盒</t>
  </si>
  <si>
    <t>蔬活腿排補力餐盒</t>
  </si>
  <si>
    <t>香腸腿排雙拼便當</t>
  </si>
  <si>
    <t>懷舊滷雙拼便當</t>
  </si>
  <si>
    <t>地中海布格麥烤魚餐盒</t>
  </si>
  <si>
    <t>香烤鱈魚輕蔬餐盒</t>
  </si>
  <si>
    <t>益活雞胸補力餐盒</t>
  </si>
  <si>
    <t>熱食義麵</t>
    <phoneticPr fontId="13" type="noConversion"/>
  </si>
  <si>
    <t>季節調理麵</t>
    <phoneticPr fontId="13" type="noConversion"/>
  </si>
  <si>
    <t>大滿足香辣涼麵</t>
  </si>
  <si>
    <t>大滿足麻醬涼麵</t>
  </si>
  <si>
    <t>日式胡麻雞絲冷麵</t>
  </si>
  <si>
    <t>和風涓絲冷麵</t>
  </si>
  <si>
    <t>招牌雞絲胡麻涼麵</t>
  </si>
  <si>
    <t>日式蕎麥沾麵</t>
  </si>
  <si>
    <t>韓式泡菜冷麵</t>
  </si>
  <si>
    <t>越式牛肉寬粉</t>
  </si>
  <si>
    <t>日式茶碗蒸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</si>
  <si>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</si>
  <si>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性前幾名品項(0825-0831)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</si>
  <si>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</si>
  <si>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</si>
  <si>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</si>
  <si>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</si>
  <si>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</si>
  <si>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</si>
  <si>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</si>
  <si>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</si>
  <si>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10"/>
  </si>
  <si>
    <t>商品名</t>
  </si>
  <si>
    <t>人數</t>
    <phoneticPr fontId="10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</si>
  <si>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</si>
  <si>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</si>
  <si>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t>前週比</t>
    <phoneticPr fontId="13" type="noConversion"/>
  </si>
  <si>
    <t>主要原因&amp;對策</t>
    <phoneticPr fontId="10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</si>
  <si>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</si>
  <si>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</si>
  <si>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10"/>
  </si>
  <si>
    <t>▼2</t>
    <phoneticPr fontId="10"/>
  </si>
  <si>
    <t>▼3</t>
    <phoneticPr fontId="10"/>
  </si>
  <si>
    <t>二配大飯糰乾燒風味鮮蝦</t>
  </si>
  <si>
    <t>▼4</t>
    <phoneticPr fontId="10"/>
  </si>
  <si>
    <t>▼5</t>
    <phoneticPr fontId="10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</si>
  <si>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達成率提高</t>
    </r>
    <phoneticPr fontId="13" type="noConversion"/>
  </si>
  <si>
    <t>主要原因&amp;對策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</si>
  <si>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性前幾名品項(0901-0907)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</si>
  <si>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性前幾名品項(0908-0914)</t>
    </r>
    <phoneticPr fontId="13" type="noConversion"/>
  </si>
  <si>
    <t xml:space="preserve">                                   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</si>
  <si>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</t>
    <phoneticPr fontId="13" type="noConversion"/>
  </si>
  <si>
    <r>
      <t>4℃-飯</t>
    </r>
    <r>
      <rPr>
        <sz val="11"/>
        <color theme="1"/>
        <rFont val="Meiryo UI"/>
        <family val="2"/>
      </rPr>
      <t>糰</t>
    </r>
  </si>
  <si>
    <t>新品,達成率提升中</t>
    <phoneticPr fontId="13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</si>
  <si>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</si>
  <si>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</si>
  <si>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</si>
  <si>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t>嘉義崇文白醋涼麵</t>
  </si>
  <si>
    <t>切換膜料,不用人工貼促銷標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</si>
  <si>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</si>
  <si>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</si>
  <si>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</si>
  <si>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合計</t>
  </si>
  <si>
    <t>展開量高於需求量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</si>
  <si>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</si>
  <si>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</si>
  <si>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</si>
  <si>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金額</t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</si>
  <si>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</si>
  <si>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</si>
  <si>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</si>
  <si>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</si>
  <si>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</si>
  <si>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t>（８）報廢原因別前幾名品項</t>
    <phoneticPr fontId="13" type="noConversion"/>
  </si>
  <si>
    <t>類型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</si>
  <si>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</si>
  <si>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</si>
  <si>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</si>
  <si>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半成品名</t>
    <phoneticPr fontId="10"/>
  </si>
  <si>
    <t>單價</t>
    <phoneticPr fontId="10"/>
  </si>
  <si>
    <t>數量</t>
    <phoneticPr fontId="10"/>
  </si>
  <si>
    <t>前週比</t>
  </si>
  <si>
    <t>展開量高於需求量</t>
    <phoneticPr fontId="13" type="noConversion"/>
  </si>
  <si>
    <t>共用類</t>
  </si>
  <si>
    <t>蒜炒紅k高麗菜(111年)</t>
  </si>
  <si>
    <t>對策:蔬菜截切教育訓練持續進行中，已降低菜梗規格差異影響放料，並持續針對人員抓量秤重進行教育訓練，目前用量已有穩定控制，報廢率控制0.3%以下報廢金額對比前月減少896元</t>
    <phoneticPr fontId="13" type="noConversion"/>
  </si>
  <si>
    <t>(V)消毒小黃瓜絲</t>
  </si>
  <si>
    <t>作業人員抓取量控制不一致，單次投料量偏高，造成半成品超用，生產餘料報廢。針對作業人員進行定量抓取手法再教育，並提高線上抽秤頻率，並改採多次補單方式供料。</t>
    <phoneticPr fontId="13" type="noConversion"/>
  </si>
  <si>
    <t>蒜炒紅K油菜(A7)</t>
  </si>
  <si>
    <t>對策:蔬菜截切教育訓練持續進行中，已降低菜梗規格差異影響放料，並持續針對人員抓量秤重進行教育訓練，目前用量已有穩定控制，改善措施：下修調理展開量設定，並改採多次補單方式供料，降低一次性備料過多及超用風險，提升用量控管精準度。</t>
    <phoneticPr fontId="13" type="noConversion"/>
  </si>
  <si>
    <t>蒸益活雞胸丁</t>
  </si>
  <si>
    <t>原物料肉塊大小差異較大，造成抓量及秤重不易控制，單份重量偏高而產生超用，補單生產完成後產生少量餘料，因無後續訂單可續用，故予以報廢。並改採多次補單方式供料，降低一次性備料過多及超用風險，提升用量控管精準度。</t>
    <phoneticPr fontId="13" type="noConversion"/>
  </si>
  <si>
    <t>雞肉飯飯糰</t>
  </si>
  <si>
    <t>蒸-全熟雞肉絲CL(113年)</t>
  </si>
  <si>
    <t>主因:抓量較不穩定造成超用，導致餘料報廢。並持續針對人員抓量秤重進行教育訓練，並改採多次補單方式供料，降低一次性備料過多及超用風險，提升用量控管精準度。</t>
    <phoneticPr fontId="13" type="noConversion"/>
  </si>
  <si>
    <t>前幾名合計比例</t>
    <phoneticPr fontId="10"/>
  </si>
  <si>
    <t>前幾名合計金額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</si>
  <si>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</si>
  <si>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製程不穩</t>
    <phoneticPr fontId="79" type="noConversion"/>
  </si>
  <si>
    <t>60切-烤豆腐蛋白丁</t>
  </si>
  <si>
    <t>因烤箱製程蛋片厚薄規格存在差異，準備室於分切時進行篩選剔除，確保產品外觀及賣相穩定，造成剃除報廢。</t>
    <phoneticPr fontId="13" type="noConversion"/>
  </si>
  <si>
    <t>烤12切家常豆腐</t>
  </si>
  <si>
    <t>主要原因:烤盤產生炭渣，豆腐沾黏焦化物。對策:定期更換烤盤，制定烤盤更換時程</t>
    <phoneticPr fontId="13" type="noConversion"/>
  </si>
  <si>
    <t>糖燻野郎三十天熟成牛飯(115年)</t>
  </si>
  <si>
    <t>切-烤牛五花(115年)</t>
  </si>
  <si>
    <t>主因:抓量較不穩定造成超用，導致餘料報廢。對策:調整人員分切方式，穩定產品長短一致性降低抓量誤差並減少超用及報廢。前月比報廢率減少0.1%。</t>
    <phoneticPr fontId="13" type="noConversion"/>
  </si>
  <si>
    <t>健身G肉餐盒(113年)</t>
  </si>
  <si>
    <t>切烤雞胸肉(111年)</t>
  </si>
  <si>
    <t>切烤雞胸肉（111年）因原物料肉片大小差異影響分切規格穩定性，已回饋研發納入後續開發評估，並調整分切方式強化厚薄控制，規格異常情形持續改善。</t>
    <phoneticPr fontId="13" type="noConversion"/>
  </si>
  <si>
    <t>96切-蒸大漢板豆腐</t>
  </si>
  <si>
    <t>主因：96切蒸大漢板豆腐於分切作業中發生破損，加強分切作業教育訓練，落實標準操作手法，降低破損報廢。</t>
    <phoneticPr fontId="13" type="noConversion"/>
  </si>
  <si>
    <t>原物料規格</t>
  </si>
  <si>
    <t>(V)川燙小青花菜</t>
  </si>
  <si>
    <t>主因:青花菜原物料規格偏大造成影響抓量手感，剩餘料報廢，以調整下修展開量報廢量持續減少，報廢數量已穩定控制在0.3%內。</t>
    <phoneticPr fontId="13" type="noConversion"/>
  </si>
  <si>
    <t>川燙青白花菜</t>
  </si>
  <si>
    <t>青、白花菜原物料規格大小差異造成影響抓量手感，剩餘料報廢，以調整下修展開量報廢量持續減少，報廢數量已控制1%內。</t>
    <phoneticPr fontId="13" type="noConversion"/>
  </si>
  <si>
    <t>研發設定</t>
  </si>
  <si>
    <t>贅沢鮭魚肚飯糰</t>
  </si>
  <si>
    <t>烤銀鮭魚肚</t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</si>
  <si>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</si>
  <si>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煮中華冷麵(110年)</t>
  </si>
  <si>
    <t>因煮中華冷麵採批量設定生產，實際需求量無法完全符合整籃出料單位，造成生產結束後產生餘料報廢，已調整尾數拆半批生產(半籃)，目前報廢量設定目標控制在半批內。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</si>
  <si>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 xml:space="preserve">煮白細麵生(方#10) </t>
    <phoneticPr fontId="13" type="noConversion"/>
  </si>
  <si>
    <t>因煮白細麵生(方#10) 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</si>
  <si>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煮熊本蕎麥生麵(角#18)</t>
    <phoneticPr fontId="13" type="noConversion"/>
  </si>
  <si>
    <t>因煮熊本蕎麥生麵(角#18)採批量設定生產，實際需求量無法完全符合整籃出料單位，造成生產結束後產生餘料報廢，已調整尾數拆半批生產(半籃)，目前報廢量設定目標控制在半批內。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</si>
  <si>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煮寬粉(114年)</t>
    <phoneticPr fontId="13" type="noConversion"/>
  </si>
  <si>
    <t>因煮寬粉(114年)採批量設定生產，實際需求量無法完全符合整籃出料單位，造成生產結束後產生餘料報廢，已調整尾數拆半批生產(半籃)，目前報廢量設定目標控制在半批內。</t>
    <phoneticPr fontId="13" type="noConversion"/>
  </si>
  <si>
    <t>其他原因</t>
    <phoneticPr fontId="13" type="noConversion"/>
  </si>
  <si>
    <t>（８）超用原因別前幾名品項</t>
    <phoneticPr fontId="13" type="noConversion"/>
  </si>
  <si>
    <t>切－烤牛五花（112年）因原料肉片長短及形狀差異較大，分切後規格一致性不易控制，造成部分產品規格異常及用量偏差。針對作業人員加強分切手法教育訓練，同步加強線上秤重抽查管理，確保產品規格及配量符合標準。目前超用率控制在1%內。</t>
    <phoneticPr fontId="13" type="noConversion"/>
  </si>
  <si>
    <t>對策:蔬菜截切教育訓練持續進行中，已降低菜梗規格差異影響放料，並持續針對人員抓量秤重進行教育訓練，目前用量已有穩定控制在1.5%內，對比前月</t>
    <phoneticPr fontId="13" type="noConversion"/>
  </si>
  <si>
    <t>對策:持續採定量撥料管理，對應線上生產用量；作業中搭配抓量教育及抽秤確認，降低重量差異與超用。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</si>
  <si>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針對各類麵體建立單條重量管理基準，並加強秤麵人員重量上下限規範教育訓練及用量追蹤管理，提升配量準確度。對比前月用量有逐步下降。超用量對比前月下降0.1%百分比，本月超用率控制在0.5%。</t>
    <phoneticPr fontId="13" type="noConversion"/>
  </si>
  <si>
    <t>主因:原物料雞胸肉塊規格差異過大，部分肉塊偏大，造成作業人員配量及秤重不穩定，導致超用。評估依肉塊大小於前端進行比例對切截小，使單塊重量趨於一致，提升後段配量穩定性並降低超用。</t>
    <phoneticPr fontId="13" type="noConversion"/>
  </si>
  <si>
    <t>青花菜原物料規格偏大造成超用。對策:量測設定放料量範圍，後續開發列入考量調整，並持續針對人員抓量秤重進行教育訓練，超用率持續維持2%內。</t>
    <phoneticPr fontId="13" type="noConversion"/>
  </si>
  <si>
    <t>切烤雞胸肉（111年）因原物料肉片大小差異影響分切規格穩定性，已調整分切方式強化厚薄控制，規格異常情形持續改善，超用率對比前月減少0.1%。本月超用率控制在1.1%。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</si>
  <si>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</si>
  <si>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</si>
  <si>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</si>
  <si>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0901-0907 總合計↑</t>
    <phoneticPr fontId="13" type="noConversion"/>
  </si>
  <si>
    <t>超用</t>
    <phoneticPr fontId="13" type="noConversion"/>
  </si>
  <si>
    <t>0908-0914 總合計↑</t>
    <phoneticPr fontId="13" type="noConversion"/>
  </si>
  <si>
    <t>0915-0921 總合計↑</t>
    <phoneticPr fontId="13" type="noConversion"/>
  </si>
  <si>
    <t>0922-0928 總合計↑</t>
    <phoneticPr fontId="13" type="noConversion"/>
  </si>
  <si>
    <t>0929-1005 總合計↑</t>
    <phoneticPr fontId="13" type="noConversion"/>
  </si>
  <si>
    <t>（８）報廢原因別前幾名品項(0901-0907)</t>
    <phoneticPr fontId="13" type="noConversion"/>
  </si>
  <si>
    <t>（８）報廢原因別前幾名品項(0908-0914)</t>
    <phoneticPr fontId="13" type="noConversion"/>
  </si>
  <si>
    <t>（８）報廢原因別前幾名品項(0915-0921)</t>
    <phoneticPr fontId="13" type="noConversion"/>
  </si>
  <si>
    <t>（８）報廢原因別前幾名品項(0922-0928)</t>
    <phoneticPr fontId="13" type="noConversion"/>
  </si>
  <si>
    <t>（８）報廢原因別前幾名品項(0929-1005)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</si>
  <si>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</si>
  <si>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原物料肉片的大小塊差異
加強教育人員穩定分切厚薄減少規格異常</t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</si>
  <si>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</si>
  <si>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</si>
  <si>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</si>
  <si>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No.</t>
  </si>
  <si>
    <t>規格</t>
  </si>
  <si>
    <t>實績</t>
    <phoneticPr fontId="10"/>
  </si>
  <si>
    <t>作業原因</t>
    <phoneticPr fontId="10"/>
  </si>
  <si>
    <t>原料原因</t>
    <phoneticPr fontId="10"/>
  </si>
  <si>
    <t>屏榮大溪廠半成品管理日別總表</t>
    <phoneticPr fontId="13" type="noConversion"/>
  </si>
  <si>
    <t>9月總報廢合計</t>
    <phoneticPr fontId="13" type="noConversion"/>
  </si>
  <si>
    <t>9月總報廢率</t>
    <phoneticPr fontId="13" type="noConversion"/>
  </si>
  <si>
    <r>
      <t>9月總超用A合計金額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</si>
  <si>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9月總超用率A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</si>
  <si>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9月總超用B合計金額
(多展-報廢)</t>
    <phoneticPr fontId="13" type="noConversion"/>
  </si>
  <si>
    <t>9月總超用率B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</si>
  <si>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</si>
  <si>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</si>
  <si>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79" type="noConversion"/>
  </si>
  <si>
    <t>報廢額</t>
    <phoneticPr fontId="79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</si>
  <si>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</si>
  <si>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79" type="noConversion"/>
  </si>
  <si>
    <t>超用率A</t>
    <phoneticPr fontId="13" type="noConversion"/>
  </si>
  <si>
    <t>超用額B</t>
    <phoneticPr fontId="79" type="noConversion"/>
  </si>
  <si>
    <t>超用率B</t>
    <phoneticPr fontId="13" type="noConversion"/>
  </si>
  <si>
    <t>營業額合計</t>
    <phoneticPr fontId="79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</si>
  <si>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</si>
  <si>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</si>
  <si>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</si>
  <si>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</si>
  <si>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</si>
  <si>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</si>
  <si>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</si>
  <si>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</si>
  <si>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</si>
  <si>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</si>
  <si>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</si>
  <si>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t>超用B(多展-報廢)</t>
    <phoneticPr fontId="13" type="noConversion"/>
  </si>
  <si>
    <t>類別</t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</si>
  <si>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</si>
  <si>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</si>
  <si>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</si>
  <si>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</si>
  <si>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備註-商品名稱</t>
  </si>
  <si>
    <t>分析原因（件）</t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</si>
  <si>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</si>
  <si>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</si>
  <si>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</si>
  <si>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t>0901-0907</t>
    <phoneticPr fontId="13" type="noConversion"/>
  </si>
  <si>
    <t>調理端</t>
  </si>
  <si>
    <t>製程不穩</t>
  </si>
  <si>
    <t>總件數</t>
    <phoneticPr fontId="13" type="noConversion"/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</si>
  <si>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</si>
  <si>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</si>
  <si>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其他原因</t>
  </si>
  <si>
    <t>百分比</t>
  </si>
  <si>
    <t>歐姆蛋-黑咖哩醬</t>
  </si>
  <si>
    <t>瀝-僑瑞切片泡菜(準備室)</t>
  </si>
  <si>
    <t>煮茄汁豆腐</t>
  </si>
  <si>
    <t>焗飯-義式蕃茄紅醬</t>
  </si>
  <si>
    <t>烤黑胡椒洋蔥絲</t>
  </si>
  <si>
    <t>燉飯青醬(115年)</t>
  </si>
  <si>
    <t>煮蝦湯凍</t>
  </si>
  <si>
    <t>焗飯-奶香白醬(114年)</t>
  </si>
  <si>
    <t>烤照燒雞腿丁</t>
  </si>
  <si>
    <t>0908-0914</t>
    <phoneticPr fontId="13" type="noConversion"/>
  </si>
  <si>
    <t>0915-0921</t>
    <phoneticPr fontId="13" type="noConversion"/>
  </si>
  <si>
    <t>0922-0928</t>
    <phoneticPr fontId="13" type="noConversion"/>
  </si>
  <si>
    <t>0929-1005</t>
    <phoneticPr fontId="13" type="noConversion"/>
  </si>
  <si>
    <t>調理多產</t>
  </si>
  <si>
    <t>月</t>
    <phoneticPr fontId="13" type="noConversion"/>
  </si>
  <si>
    <t>1006-1012</t>
    <phoneticPr fontId="13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</si>
  <si>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</si>
  <si>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</si>
  <si>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</si>
  <si>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t>組合端</t>
  </si>
  <si>
    <t>和風滷肉</t>
  </si>
  <si>
    <r>
      <t>卵</t>
    </r>
    <r>
      <rPr>
        <sz val="12"/>
        <color theme="1"/>
        <rFont val="細明體"/>
        <family val="3"/>
        <charset val="136"/>
      </rPr>
      <t>黃</t>
    </r>
    <r>
      <rPr>
        <sz val="12"/>
        <color theme="1"/>
        <rFont val="Meiryo UI"/>
        <family val="2"/>
      </rPr>
      <t>牛挽肉飯</t>
    </r>
    <r>
      <rPr>
        <sz val="12"/>
        <color theme="1"/>
        <rFont val="細明體"/>
        <family val="3"/>
        <charset val="136"/>
      </rPr>
      <t>糰</t>
    </r>
    <phoneticPr fontId="13" type="noConversion"/>
  </si>
  <si>
    <t>炙燒牛五花(115年)</t>
  </si>
  <si>
    <t>醬燒炙烤牛飯糰</t>
  </si>
  <si>
    <t>拌bongo鮭魚沙拉</t>
  </si>
  <si>
    <t>生鱈魚子鮭魚飯糰</t>
  </si>
  <si>
    <r>
      <t>二配</t>
    </r>
    <r>
      <rPr>
        <sz val="12"/>
        <color theme="1"/>
        <rFont val="細明體"/>
        <family val="3"/>
        <charset val="136"/>
      </rPr>
      <t>哞哞</t>
    </r>
    <r>
      <rPr>
        <sz val="12"/>
        <color theme="1"/>
        <rFont val="Meiryo UI"/>
        <family val="2"/>
      </rPr>
      <t>培根</t>
    </r>
    <r>
      <rPr>
        <sz val="12"/>
        <color theme="1"/>
        <rFont val="細明體"/>
        <family val="3"/>
        <charset val="136"/>
      </rPr>
      <t>奶</t>
    </r>
    <r>
      <rPr>
        <sz val="12"/>
        <color theme="1"/>
        <rFont val="Meiryo UI"/>
        <family val="2"/>
      </rPr>
      <t>香海陸</t>
    </r>
    <r>
      <rPr>
        <sz val="12"/>
        <color theme="1"/>
        <rFont val="細明體"/>
        <family val="3"/>
        <charset val="136"/>
      </rPr>
      <t>焗</t>
    </r>
    <r>
      <rPr>
        <sz val="12"/>
        <color theme="1"/>
        <rFont val="Meiryo UI"/>
        <family val="2"/>
      </rPr>
      <t>飯</t>
    </r>
    <phoneticPr fontId="13" type="noConversion"/>
  </si>
  <si>
    <t>拌明太子龍蝦沙拉(114年)</t>
  </si>
  <si>
    <t>明太子龍蝦風味沙拉飯糰(114年)</t>
  </si>
  <si>
    <t>112年拌鮪魚沙拉</t>
  </si>
  <si>
    <t>鮪魚飯糰</t>
  </si>
  <si>
    <t>蘑菇白醬</t>
  </si>
  <si>
    <t>炒紅K碎蛋</t>
  </si>
  <si>
    <t>工廠名</t>
    <phoneticPr fontId="10"/>
  </si>
  <si>
    <t>・・・・・・・・</t>
  </si>
  <si>
    <t>（１）收支狀況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</si>
  <si>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</si>
  <si>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</si>
  <si>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飯糰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</si>
  <si>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</si>
  <si>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大口飯糰</t>
    <phoneticPr fontId="10"/>
  </si>
  <si>
    <t>半成品報廢</t>
    <phoneticPr fontId="10"/>
  </si>
  <si>
    <t>便當</t>
    <phoneticPr fontId="10"/>
  </si>
  <si>
    <t>半成品超用</t>
    <phoneticPr fontId="10"/>
  </si>
  <si>
    <t>調理麵</t>
    <phoneticPr fontId="10"/>
  </si>
  <si>
    <t>固定產線</t>
    <phoneticPr fontId="10"/>
  </si>
  <si>
    <t>調理麵包</t>
    <phoneticPr fontId="10"/>
  </si>
  <si>
    <t>-</t>
  </si>
  <si>
    <t>-%</t>
  </si>
  <si>
    <t>教育訓練</t>
    <phoneticPr fontId="10"/>
  </si>
  <si>
    <t>袋裝調理麵包</t>
    <phoneticPr fontId="10"/>
  </si>
  <si>
    <t>義大利麵</t>
    <phoneticPr fontId="10"/>
  </si>
  <si>
    <t>（５）品群別人時生產性</t>
    <phoneticPr fontId="10"/>
  </si>
  <si>
    <t>調理包</t>
    <phoneticPr fontId="10"/>
  </si>
  <si>
    <t>（７）原因別分析</t>
    <phoneticPr fontId="10"/>
  </si>
  <si>
    <t>規格原因</t>
    <phoneticPr fontId="10"/>
  </si>
  <si>
    <t>（６）人時生產性前幾名品項</t>
    <phoneticPr fontId="10"/>
  </si>
  <si>
    <t>產能</t>
    <phoneticPr fontId="10"/>
  </si>
  <si>
    <t>人時生產性</t>
    <phoneticPr fontId="10"/>
  </si>
  <si>
    <t>前月比</t>
  </si>
  <si>
    <t>（８）報廢原因別前幾名品項</t>
    <phoneticPr fontId="10"/>
  </si>
  <si>
    <t>手巻明太子</t>
  </si>
  <si>
    <t>減少暫時停止生產,人時UP</t>
    <phoneticPr fontId="10"/>
  </si>
  <si>
    <t>明太子海苔便當</t>
    <phoneticPr fontId="10"/>
  </si>
  <si>
    <t>油炸白身魚</t>
    <phoneticPr fontId="10"/>
  </si>
  <si>
    <t>油調過多報廢。變更條件。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</si>
  <si>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</si>
  <si>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t>手巻卵黄雞絞肉</t>
    <phoneticPr fontId="10"/>
  </si>
  <si>
    <t>6/30新商品</t>
  </si>
  <si>
    <t>因組裝2食材,人員增加,產速減少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</si>
  <si>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</si>
  <si>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</si>
  <si>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t>海老炒飯</t>
  </si>
  <si>
    <t>川燙蝦子拌醬</t>
    <phoneticPr fontId="10"/>
  </si>
  <si>
    <t>蝦子入數不足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</si>
  <si>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</si>
  <si>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</si>
  <si>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直巻明太子美奶茲</t>
    <phoneticPr fontId="10"/>
  </si>
  <si>
    <t>透由調整速度提升。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</si>
  <si>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</si>
  <si>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</si>
  <si>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</si>
  <si>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大口飯糰燒肉美奶滋</t>
    <phoneticPr fontId="10"/>
  </si>
  <si>
    <t>因摺疊增員。實施教育訓練。</t>
    <phoneticPr fontId="10"/>
  </si>
  <si>
    <t>牛五花燒成</t>
    <phoneticPr fontId="10"/>
  </si>
  <si>
    <t>因原料變更。</t>
    <phoneticPr fontId="10"/>
  </si>
  <si>
    <t>指導鋪開炒柴魚片</t>
    <phoneticPr fontId="10"/>
  </si>
  <si>
    <t>（９）歩留</t>
  </si>
  <si>
    <t>肉狀態不良，已連動開發</t>
    <phoneticPr fontId="10"/>
  </si>
  <si>
    <t>燒成過多，調整調理條件。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</si>
  <si>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</si>
  <si>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</si>
  <si>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</si>
  <si>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</si>
  <si>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</si>
  <si>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</si>
  <si>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</si>
  <si>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</si>
  <si>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</si>
  <si>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</si>
  <si>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</si>
  <si>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</si>
  <si>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</si>
  <si>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</si>
  <si>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</si>
  <si>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</si>
  <si>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</si>
  <si>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</si>
  <si>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</si>
  <si>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</si>
  <si>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</si>
  <si>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</si>
  <si>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</si>
  <si>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</si>
  <si>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</si>
  <si>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</si>
  <si>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</si>
  <si>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</si>
  <si>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</si>
  <si>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</si>
  <si>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</si>
  <si>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</si>
  <si>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</si>
  <si>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</si>
  <si>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</si>
  <si>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</si>
  <si>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</si>
  <si>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</si>
  <si>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</si>
  <si>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</si>
  <si>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</si>
  <si>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</si>
  <si>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</si>
  <si>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</si>
  <si>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</si>
  <si>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</si>
  <si>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</si>
  <si>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</si>
  <si>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</si>
  <si>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</si>
  <si>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</si>
  <si>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</si>
  <si>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</si>
  <si>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</si>
  <si>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</si>
  <si>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</si>
  <si>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</si>
  <si>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</si>
  <si>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</si>
  <si>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</si>
  <si>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</si>
  <si>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</si>
  <si>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</si>
  <si>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</si>
  <si>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</si>
  <si>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</si>
  <si>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</si>
  <si>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</si>
  <si>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</si>
  <si>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</si>
  <si>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</si>
  <si>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展開量105%</t>
  </si>
  <si>
    <t>抓樣不穩</t>
  </si>
  <si>
    <t>原物料規格</t>
    <phoneticPr fontId="13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</si>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</sst>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rgb="FF000000"/>
      <name val="Microsoft JhengHei"/>
      <family val="2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0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7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3" fillId="9" borderId="30" xfId="5" applyFont="1" applyFill="1" applyBorder="1"/>
    <xf numFmtId="0" fontId="63" fillId="0" borderId="0" xfId="5" applyFont="1"/>
    <xf numFmtId="0" fontId="63" fillId="0" borderId="22" xfId="5" applyFont="1" applyBorder="1"/>
    <xf numFmtId="0" fontId="63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6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6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6" fillId="5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6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1" fontId="56" fillId="0" borderId="22" xfId="0" applyNumberFormat="1" applyFont="1" applyBorder="1" applyAlignment="1">
      <alignment shrinkToFit="1"/>
    </xf>
    <xf numFmtId="183" fontId="56" fillId="0" borderId="22" xfId="0" applyNumberFormat="1" applyFont="1" applyBorder="1" applyAlignment="1">
      <alignment shrinkToFit="1"/>
    </xf>
    <xf numFmtId="0" fontId="56" fillId="0" borderId="22" xfId="0" applyFont="1" applyBorder="1" applyAlignment="1">
      <alignment horizontal="right" shrinkToFit="1"/>
    </xf>
    <xf numFmtId="1" fontId="71" fillId="0" borderId="22" xfId="0" applyNumberFormat="1" applyFont="1" applyBorder="1" applyAlignment="1">
      <alignment shrinkToFit="1"/>
    </xf>
    <xf numFmtId="183" fontId="71" fillId="0" borderId="22" xfId="0" applyNumberFormat="1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7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3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6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7" fillId="0" borderId="6" xfId="11" applyFont="1" applyBorder="1" applyAlignment="1">
      <alignment horizontal="center" shrinkToFit="1"/>
    </xf>
    <xf numFmtId="0" fontId="57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3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5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3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3" fillId="0" borderId="1" xfId="11" applyFont="1" applyBorder="1" applyAlignment="1">
      <alignment horizontal="left" vertical="center" shrinkToFit="1"/>
    </xf>
    <xf numFmtId="0" fontId="67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3" fillId="0" borderId="55" xfId="11" applyFont="1" applyBorder="1" applyAlignment="1">
      <alignment horizontal="left" vertical="center" shrinkToFit="1"/>
    </xf>
    <xf numFmtId="0" fontId="75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3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2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7" fillId="0" borderId="0" xfId="0" applyFont="1" applyAlignment="1">
      <alignment shrinkToFit="1"/>
    </xf>
    <xf numFmtId="0" fontId="65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7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6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5" fillId="0" borderId="0" xfId="11" applyFont="1" applyAlignment="1">
      <alignment vertical="center" shrinkToFit="1"/>
    </xf>
    <xf numFmtId="0" fontId="65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7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7" fillId="0" borderId="0" xfId="11" applyFont="1" applyAlignment="1">
      <alignment horizontal="left" vertical="center"/>
    </xf>
    <xf numFmtId="0" fontId="67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6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6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2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1" fontId="60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7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0" fontId="93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4" fillId="0" borderId="0" xfId="0" applyFont="1" applyAlignment="1">
      <alignment horizontal="left" vertical="center" indent="1"/>
    </xf>
    <xf numFmtId="0" fontId="65" fillId="0" borderId="0" xfId="0" applyFont="1" applyAlignment="1">
      <alignment horizontal="left" vertical="center" indent="2"/>
    </xf>
    <xf numFmtId="0" fontId="65" fillId="0" borderId="0" xfId="11" applyFont="1"/>
    <xf numFmtId="0" fontId="65" fillId="0" borderId="0" xfId="11" applyFont="1" applyAlignment="1">
      <alignment horizontal="left" vertical="center"/>
    </xf>
    <xf numFmtId="0" fontId="65" fillId="0" borderId="0" xfId="11" applyFont="1" applyAlignment="1">
      <alignment horizontal="left" vertical="center" indent="2"/>
    </xf>
    <xf numFmtId="0" fontId="94" fillId="0" borderId="0" xfId="11" applyFont="1" applyAlignment="1">
      <alignment horizontal="left" vertical="center" indent="1"/>
    </xf>
    <xf numFmtId="0" fontId="94" fillId="0" borderId="0" xfId="11" applyFont="1" applyAlignment="1">
      <alignment horizontal="left" vertical="center"/>
    </xf>
    <xf numFmtId="0" fontId="65" fillId="0" borderId="0" xfId="0" applyFont="1" applyAlignment="1">
      <alignment shrinkToFit="1"/>
    </xf>
    <xf numFmtId="0" fontId="65" fillId="0" borderId="0" xfId="0" applyFont="1"/>
    <xf numFmtId="3" fontId="28" fillId="6" borderId="22" xfId="0" applyNumberFormat="1" applyFont="1" applyFill="1" applyBorder="1" applyAlignment="1">
      <alignment shrinkToFit="1"/>
    </xf>
    <xf numFmtId="0" fontId="95" fillId="0" borderId="83" xfId="11" applyFont="1" applyBorder="1" applyAlignment="1">
      <alignment horizontal="center" vertical="center"/>
    </xf>
    <xf numFmtId="0" fontId="95" fillId="0" borderId="84" xfId="11" applyFont="1" applyBorder="1" applyAlignment="1">
      <alignment horizontal="center" vertical="center"/>
    </xf>
    <xf numFmtId="196" fontId="96" fillId="0" borderId="22" xfId="11" applyNumberFormat="1" applyFont="1" applyBorder="1" applyAlignment="1">
      <alignment horizontal="right" vertical="center"/>
    </xf>
    <xf numFmtId="198" fontId="96" fillId="0" borderId="22" xfId="11" applyNumberFormat="1" applyFont="1" applyBorder="1" applyAlignment="1">
      <alignment horizontal="right" vertical="center"/>
    </xf>
    <xf numFmtId="186" fontId="96" fillId="0" borderId="22" xfId="13" applyNumberFormat="1" applyFont="1" applyBorder="1" applyAlignment="1">
      <alignment vertical="center"/>
    </xf>
    <xf numFmtId="10" fontId="96" fillId="0" borderId="22" xfId="13" applyNumberFormat="1" applyFont="1" applyBorder="1" applyAlignment="1">
      <alignment vertical="center"/>
    </xf>
    <xf numFmtId="183" fontId="96" fillId="0" borderId="22" xfId="11" applyNumberFormat="1" applyFont="1" applyBorder="1" applyAlignment="1">
      <alignment vertical="center"/>
    </xf>
    <xf numFmtId="183" fontId="96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6" fillId="0" borderId="22" xfId="11" applyFont="1" applyBorder="1" applyAlignment="1">
      <alignment vertical="center"/>
    </xf>
    <xf numFmtId="196" fontId="96" fillId="9" borderId="86" xfId="11" applyNumberFormat="1" applyFont="1" applyFill="1" applyBorder="1"/>
    <xf numFmtId="0" fontId="96" fillId="9" borderId="22" xfId="11" applyFont="1" applyFill="1" applyBorder="1" applyAlignment="1">
      <alignment vertical="center"/>
    </xf>
    <xf numFmtId="10" fontId="97" fillId="9" borderId="22" xfId="13" applyNumberFormat="1" applyFont="1" applyFill="1" applyBorder="1" applyAlignment="1">
      <alignment horizontal="right" vertical="center"/>
    </xf>
    <xf numFmtId="10" fontId="96" fillId="9" borderId="22" xfId="13" applyNumberFormat="1" applyFont="1" applyFill="1" applyBorder="1" applyAlignment="1">
      <alignment horizontal="right" vertical="center"/>
    </xf>
    <xf numFmtId="10" fontId="96" fillId="9" borderId="86" xfId="13" applyNumberFormat="1" applyFont="1" applyFill="1" applyBorder="1" applyAlignment="1"/>
    <xf numFmtId="0" fontId="96" fillId="0" borderId="85" xfId="11" applyFont="1" applyBorder="1" applyAlignment="1">
      <alignment horizontal="left"/>
    </xf>
    <xf numFmtId="197" fontId="96" fillId="0" borderId="22" xfId="11" applyNumberFormat="1" applyFont="1" applyBorder="1" applyAlignment="1">
      <alignment horizontal="right" vertical="center"/>
    </xf>
    <xf numFmtId="198" fontId="96" fillId="9" borderId="86" xfId="11" applyNumberFormat="1" applyFont="1" applyFill="1" applyBorder="1"/>
    <xf numFmtId="10" fontId="96" fillId="9" borderId="86" xfId="13" applyNumberFormat="1" applyFont="1" applyFill="1" applyBorder="1" applyAlignment="1">
      <alignment horizontal="right" vertical="center"/>
    </xf>
    <xf numFmtId="186" fontId="96" fillId="9" borderId="86" xfId="13" applyNumberFormat="1" applyFont="1" applyFill="1" applyBorder="1" applyAlignment="1">
      <alignment horizontal="right" vertical="center"/>
    </xf>
    <xf numFmtId="10" fontId="96" fillId="0" borderId="22" xfId="13" applyNumberFormat="1" applyFont="1" applyBorder="1" applyAlignment="1"/>
    <xf numFmtId="197" fontId="96" fillId="9" borderId="86" xfId="13" applyNumberFormat="1" applyFont="1" applyFill="1" applyBorder="1" applyAlignment="1">
      <alignment horizontal="right" vertical="center"/>
    </xf>
    <xf numFmtId="0" fontId="96" fillId="0" borderId="23" xfId="11" applyFont="1" applyBorder="1" applyAlignment="1">
      <alignment vertical="center"/>
    </xf>
    <xf numFmtId="183" fontId="96" fillId="0" borderId="23" xfId="11" applyNumberFormat="1" applyFont="1" applyBorder="1" applyAlignment="1">
      <alignment vertical="center"/>
    </xf>
    <xf numFmtId="0" fontId="96" fillId="0" borderId="88" xfId="11" applyFont="1" applyBorder="1" applyAlignment="1">
      <alignment vertical="center"/>
    </xf>
    <xf numFmtId="197" fontId="96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1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5" fillId="0" borderId="0" xfId="11" applyFont="1" applyAlignment="1">
      <alignment horizontal="center" shrinkToFit="1"/>
    </xf>
    <xf numFmtId="0" fontId="105" fillId="0" borderId="0" xfId="15" applyFont="1">
      <alignment vertical="center"/>
    </xf>
    <xf numFmtId="193" fontId="105" fillId="0" borderId="0" xfId="15" applyNumberFormat="1" applyFont="1">
      <alignment vertical="center"/>
    </xf>
    <xf numFmtId="193" fontId="109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1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57" fillId="0" borderId="0" xfId="0" applyFont="1" applyAlignment="1">
      <alignment vertical="center"/>
    </xf>
    <xf numFmtId="198" fontId="60" fillId="0" borderId="22" xfId="11" applyNumberFormat="1" applyFont="1" applyBorder="1" applyAlignment="1">
      <alignment horizontal="center" vertical="center"/>
    </xf>
    <xf numFmtId="185" fontId="60" fillId="0" borderId="22" xfId="13" applyNumberFormat="1" applyFont="1" applyFill="1" applyBorder="1" applyAlignment="1">
      <alignment horizontal="center" vertical="center"/>
    </xf>
    <xf numFmtId="196" fontId="60" fillId="0" borderId="22" xfId="13" applyNumberFormat="1" applyFont="1" applyFill="1" applyBorder="1" applyAlignment="1">
      <alignment horizontal="center" vertical="center"/>
    </xf>
    <xf numFmtId="0" fontId="115" fillId="0" borderId="0" xfId="15" applyFont="1">
      <alignment vertical="center"/>
    </xf>
    <xf numFmtId="0" fontId="37" fillId="0" borderId="0" xfId="15" applyFont="1">
      <alignment vertical="center"/>
    </xf>
    <xf numFmtId="193" fontId="105" fillId="0" borderId="23" xfId="15" applyNumberFormat="1" applyFont="1" applyBorder="1" applyAlignment="1">
      <alignment horizontal="center" vertical="center"/>
    </xf>
    <xf numFmtId="0" fontId="105" fillId="0" borderId="27" xfId="15" applyFont="1" applyBorder="1" applyAlignment="1">
      <alignment horizontal="center" vertical="center" wrapText="1"/>
    </xf>
    <xf numFmtId="0" fontId="105" fillId="0" borderId="25" xfId="15" applyFont="1" applyBorder="1" applyAlignment="1">
      <alignment horizontal="center" vertical="center" wrapText="1"/>
    </xf>
    <xf numFmtId="0" fontId="116" fillId="0" borderId="23" xfId="15" applyFont="1" applyBorder="1" applyAlignment="1">
      <alignment horizontal="center" vertical="center" wrapText="1"/>
    </xf>
    <xf numFmtId="0" fontId="116" fillId="0" borderId="25" xfId="15" applyFont="1" applyBorder="1" applyAlignment="1">
      <alignment horizontal="center" vertical="center" wrapText="1"/>
    </xf>
    <xf numFmtId="10" fontId="105" fillId="0" borderId="23" xfId="3" applyNumberFormat="1" applyFont="1" applyBorder="1" applyAlignment="1">
      <alignment horizontal="center" vertical="center"/>
    </xf>
    <xf numFmtId="193" fontId="116" fillId="0" borderId="23" xfId="15" applyNumberFormat="1" applyFont="1" applyBorder="1" applyAlignment="1">
      <alignment horizontal="center" vertical="center"/>
    </xf>
    <xf numFmtId="10" fontId="116" fillId="0" borderId="23" xfId="3" applyNumberFormat="1" applyFont="1" applyBorder="1" applyAlignment="1">
      <alignment horizontal="center" vertical="center"/>
    </xf>
    <xf numFmtId="0" fontId="105" fillId="0" borderId="0" xfId="15" applyFont="1" applyAlignment="1">
      <alignment horizontal="center" vertical="center"/>
    </xf>
    <xf numFmtId="10" fontId="105" fillId="0" borderId="0" xfId="3" applyNumberFormat="1" applyFont="1" applyFill="1" applyBorder="1" applyAlignment="1">
      <alignment horizontal="center" vertical="center"/>
    </xf>
    <xf numFmtId="0" fontId="106" fillId="0" borderId="23" xfId="15" applyFont="1" applyBorder="1" applyAlignment="1">
      <alignment horizontal="center" vertical="center" wrapText="1"/>
    </xf>
    <xf numFmtId="0" fontId="117" fillId="0" borderId="23" xfId="15" applyFont="1" applyBorder="1" applyAlignment="1">
      <alignment horizontal="center" vertical="center" wrapText="1"/>
    </xf>
    <xf numFmtId="193" fontId="108" fillId="0" borderId="0" xfId="15" applyNumberFormat="1" applyFont="1">
      <alignment vertical="center"/>
    </xf>
    <xf numFmtId="195" fontId="115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0" fillId="5" borderId="22" xfId="5" applyNumberFormat="1" applyFont="1" applyFill="1" applyBorder="1" applyAlignment="1">
      <alignment horizontal="center" vertical="center"/>
    </xf>
    <xf numFmtId="10" fontId="115" fillId="0" borderId="22" xfId="3" applyNumberFormat="1" applyFont="1" applyBorder="1" applyAlignment="1">
      <alignment horizontal="center" vertical="center"/>
    </xf>
    <xf numFmtId="193" fontId="118" fillId="9" borderId="22" xfId="6" applyNumberFormat="1" applyFont="1" applyFill="1" applyBorder="1" applyAlignment="1">
      <alignment horizontal="center" vertical="center"/>
    </xf>
    <xf numFmtId="10" fontId="118" fillId="0" borderId="22" xfId="3" applyNumberFormat="1" applyFont="1" applyBorder="1" applyAlignment="1">
      <alignment horizontal="center" vertical="center"/>
    </xf>
    <xf numFmtId="194" fontId="80" fillId="10" borderId="22" xfId="5" applyNumberFormat="1" applyFont="1" applyFill="1" applyBorder="1" applyAlignment="1">
      <alignment horizontal="center" vertical="center"/>
    </xf>
    <xf numFmtId="194" fontId="80" fillId="0" borderId="22" xfId="5" applyNumberFormat="1" applyFont="1" applyBorder="1" applyAlignment="1">
      <alignment horizontal="center" vertical="center"/>
    </xf>
    <xf numFmtId="193" fontId="115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193" fontId="115" fillId="9" borderId="22" xfId="15" applyNumberFormat="1" applyFont="1" applyFill="1" applyBorder="1" applyAlignment="1">
      <alignment horizontal="center" vertical="center"/>
    </xf>
    <xf numFmtId="186" fontId="115" fillId="0" borderId="22" xfId="15" applyNumberFormat="1" applyFont="1" applyBorder="1" applyAlignment="1">
      <alignment horizontal="center" vertical="center"/>
    </xf>
    <xf numFmtId="0" fontId="28" fillId="0" borderId="27" xfId="11" applyFont="1" applyBorder="1" applyAlignment="1">
      <alignment vertical="center"/>
    </xf>
    <xf numFmtId="0" fontId="69" fillId="0" borderId="0" xfId="0" applyFont="1" applyAlignment="1">
      <alignment vertical="center"/>
    </xf>
    <xf numFmtId="191" fontId="43" fillId="0" borderId="22" xfId="0" applyNumberFormat="1" applyFont="1" applyBorder="1" applyAlignment="1">
      <alignment horizontal="right" shrinkToFit="1"/>
    </xf>
    <xf numFmtId="10" fontId="43" fillId="0" borderId="22" xfId="0" applyNumberFormat="1" applyFont="1" applyBorder="1" applyAlignment="1">
      <alignment shrinkToFit="1"/>
    </xf>
    <xf numFmtId="0" fontId="85" fillId="0" borderId="0" xfId="0" applyFont="1" applyAlignment="1">
      <alignment shrinkToFit="1"/>
    </xf>
    <xf numFmtId="0" fontId="28" fillId="0" borderId="97" xfId="11" applyFont="1" applyBorder="1" applyAlignment="1">
      <alignment vertical="center"/>
    </xf>
    <xf numFmtId="185" fontId="26" fillId="0" borderId="0" xfId="13" applyNumberFormat="1" applyFont="1" applyAlignment="1"/>
    <xf numFmtId="180" fontId="26" fillId="0" borderId="0" xfId="0" applyNumberFormat="1" applyFont="1"/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6" fillId="0" borderId="33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8" fillId="5" borderId="31" xfId="5" applyFont="1" applyFill="1" applyBorder="1" applyAlignment="1">
      <alignment horizontal="center" vertical="center"/>
    </xf>
    <xf numFmtId="0" fontId="48" fillId="5" borderId="37" xfId="5" applyFont="1" applyFill="1" applyBorder="1" applyAlignment="1">
      <alignment horizontal="center" vertical="center"/>
    </xf>
    <xf numFmtId="0" fontId="48" fillId="5" borderId="32" xfId="5" applyFont="1" applyFill="1" applyBorder="1" applyAlignment="1">
      <alignment horizontal="center" vertical="center"/>
    </xf>
    <xf numFmtId="0" fontId="48" fillId="5" borderId="33" xfId="5" applyFont="1" applyFill="1" applyBorder="1" applyAlignment="1">
      <alignment horizontal="center" vertical="center"/>
    </xf>
    <xf numFmtId="0" fontId="48" fillId="5" borderId="0" xfId="5" applyFont="1" applyFill="1" applyAlignment="1">
      <alignment horizontal="center" vertical="center"/>
    </xf>
    <xf numFmtId="0" fontId="48" fillId="5" borderId="34" xfId="5" applyFont="1" applyFill="1" applyBorder="1" applyAlignment="1">
      <alignment horizontal="center" vertical="center"/>
    </xf>
    <xf numFmtId="0" fontId="48" fillId="5" borderId="35" xfId="5" applyFont="1" applyFill="1" applyBorder="1" applyAlignment="1">
      <alignment horizontal="center" vertical="center"/>
    </xf>
    <xf numFmtId="0" fontId="48" fillId="5" borderId="26" xfId="5" applyFont="1" applyFill="1" applyBorder="1" applyAlignment="1">
      <alignment horizontal="center" vertical="center"/>
    </xf>
    <xf numFmtId="0" fontId="48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60" fillId="5" borderId="31" xfId="22" applyFont="1" applyFill="1" applyBorder="1" applyAlignment="1">
      <alignment horizontal="center" vertical="center" wrapText="1"/>
    </xf>
    <xf numFmtId="0" fontId="60" fillId="5" borderId="37" xfId="22" applyFont="1" applyFill="1" applyBorder="1" applyAlignment="1">
      <alignment horizontal="center" vertical="center" wrapText="1"/>
    </xf>
    <xf numFmtId="0" fontId="60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/>
    </xf>
    <xf numFmtId="0" fontId="91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 wrapText="1"/>
    </xf>
    <xf numFmtId="0" fontId="91" fillId="5" borderId="23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96" fillId="0" borderId="85" xfId="11" applyFont="1" applyBorder="1" applyAlignment="1">
      <alignment horizontal="left" vertical="center"/>
    </xf>
    <xf numFmtId="0" fontId="96" fillId="0" borderId="90" xfId="11" applyFont="1" applyBorder="1" applyAlignment="1">
      <alignment horizontal="left" vertical="center"/>
    </xf>
    <xf numFmtId="0" fontId="96" fillId="0" borderId="87" xfId="11" applyFont="1" applyBorder="1" applyAlignment="1">
      <alignment horizontal="left" vertical="center"/>
    </xf>
    <xf numFmtId="0" fontId="95" fillId="0" borderId="82" xfId="11" applyFont="1" applyBorder="1" applyAlignment="1">
      <alignment horizontal="center" vertical="center"/>
    </xf>
    <xf numFmtId="0" fontId="95" fillId="0" borderId="83" xfId="11" applyFont="1" applyBorder="1" applyAlignment="1">
      <alignment horizontal="center" vertical="center"/>
    </xf>
    <xf numFmtId="0" fontId="96" fillId="0" borderId="91" xfId="11" applyFont="1" applyBorder="1" applyAlignment="1">
      <alignment horizontal="left" vertical="center"/>
    </xf>
    <xf numFmtId="0" fontId="96" fillId="0" borderId="92" xfId="11" applyFont="1" applyBorder="1" applyAlignment="1">
      <alignment horizontal="left" vertical="center"/>
    </xf>
    <xf numFmtId="0" fontId="68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0" fontId="102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0" fontId="111" fillId="0" borderId="22" xfId="0" applyFont="1" applyBorder="1" applyAlignment="1">
      <alignment horizontal="center" vertical="center"/>
    </xf>
    <xf numFmtId="0" fontId="122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0" fontId="111" fillId="0" borderId="29" xfId="0" applyFont="1" applyBorder="1" applyAlignment="1">
      <alignment horizontal="center" vertical="center"/>
    </xf>
    <xf numFmtId="0" fontId="111" fillId="0" borderId="30" xfId="0" applyFont="1" applyBorder="1" applyAlignment="1">
      <alignment horizontal="center" vertical="center"/>
    </xf>
    <xf numFmtId="0" fontId="111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3" xfId="0" applyNumberFormat="1" applyFont="1" applyBorder="1" applyAlignment="1">
      <alignment horizontal="center" vertical="center"/>
    </xf>
    <xf numFmtId="177" fontId="78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0" fontId="112" fillId="0" borderId="37" xfId="0" applyFont="1" applyBorder="1" applyAlignment="1">
      <alignment horizontal="left" vertical="center"/>
    </xf>
    <xf numFmtId="0" fontId="114" fillId="0" borderId="37" xfId="0" applyFont="1" applyBorder="1" applyAlignment="1">
      <alignment horizontal="left" vertical="center"/>
    </xf>
    <xf numFmtId="0" fontId="114" fillId="0" borderId="32" xfId="0" applyFont="1" applyBorder="1" applyAlignment="1">
      <alignment horizontal="left" vertical="center"/>
    </xf>
    <xf numFmtId="0" fontId="114" fillId="0" borderId="26" xfId="0" applyFont="1" applyBorder="1" applyAlignment="1">
      <alignment horizontal="left" vertical="center"/>
    </xf>
    <xf numFmtId="0" fontId="114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0" fontId="81" fillId="0" borderId="37" xfId="0" applyFont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56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56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6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1" fillId="0" borderId="22" xfId="0" applyFont="1" applyBorder="1" applyAlignment="1">
      <alignment horizontal="center" vertical="center" shrinkToFit="1"/>
    </xf>
    <xf numFmtId="0" fontId="119" fillId="0" borderId="22" xfId="0" applyFont="1" applyBorder="1" applyAlignment="1">
      <alignment shrinkToFit="1"/>
    </xf>
    <xf numFmtId="0" fontId="56" fillId="0" borderId="27" xfId="0" applyFont="1" applyBorder="1" applyAlignment="1">
      <alignment shrinkToFit="1"/>
    </xf>
    <xf numFmtId="0" fontId="56" fillId="0" borderId="28" xfId="0" applyFont="1" applyBorder="1" applyAlignment="1">
      <alignment shrinkToFit="1"/>
    </xf>
    <xf numFmtId="0" fontId="56" fillId="0" borderId="25" xfId="0" applyFont="1" applyBorder="1" applyAlignment="1">
      <alignment shrinkToFit="1"/>
    </xf>
    <xf numFmtId="0" fontId="56" fillId="2" borderId="27" xfId="0" applyFont="1" applyFill="1" applyBorder="1" applyAlignment="1">
      <alignment horizontal="center" shrinkToFit="1"/>
    </xf>
    <xf numFmtId="0" fontId="56" fillId="2" borderId="28" xfId="0" applyFont="1" applyFill="1" applyBorder="1" applyAlignment="1">
      <alignment horizontal="center" shrinkToFit="1"/>
    </xf>
    <xf numFmtId="0" fontId="56" fillId="2" borderId="25" xfId="0" applyFont="1" applyFill="1" applyBorder="1" applyAlignment="1">
      <alignment horizontal="center" shrinkToFit="1"/>
    </xf>
    <xf numFmtId="0" fontId="120" fillId="0" borderId="22" xfId="0" applyFont="1" applyBorder="1" applyAlignment="1">
      <alignment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56" fillId="2" borderId="29" xfId="0" applyFont="1" applyFill="1" applyBorder="1" applyAlignment="1">
      <alignment horizontal="center" vertical="center" shrinkToFit="1"/>
    </xf>
    <xf numFmtId="0" fontId="56" fillId="2" borderId="30" xfId="0" applyFont="1" applyFill="1" applyBorder="1" applyAlignment="1">
      <alignment horizontal="center" vertical="center" shrinkToFit="1"/>
    </xf>
    <xf numFmtId="0" fontId="56" fillId="2" borderId="27" xfId="0" applyFont="1" applyFill="1" applyBorder="1" applyAlignment="1">
      <alignment horizontal="center" vertical="center" shrinkToFit="1"/>
    </xf>
    <xf numFmtId="0" fontId="56" fillId="2" borderId="25" xfId="0" applyFont="1" applyFill="1" applyBorder="1" applyAlignment="1">
      <alignment horizontal="center" vertical="center" shrinkToFit="1"/>
    </xf>
    <xf numFmtId="0" fontId="56" fillId="2" borderId="28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54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left" vertical="center" wrapText="1"/>
    </xf>
    <xf numFmtId="0" fontId="63" fillId="2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wrapText="1"/>
    </xf>
    <xf numFmtId="0" fontId="42" fillId="2" borderId="22" xfId="11" applyFont="1" applyFill="1" applyBorder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3" fillId="4" borderId="22" xfId="11" applyFont="1" applyFill="1" applyBorder="1" applyAlignment="1">
      <alignment vertical="center" wrapText="1"/>
    </xf>
    <xf numFmtId="0" fontId="63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/>
    </xf>
    <xf numFmtId="0" fontId="76" fillId="0" borderId="3" xfId="11" applyFont="1" applyBorder="1" applyAlignment="1">
      <alignment horizontal="left" vertical="center" wrapText="1"/>
    </xf>
    <xf numFmtId="0" fontId="76" fillId="4" borderId="4" xfId="11" applyFont="1" applyFill="1" applyBorder="1" applyAlignment="1">
      <alignment horizontal="left" vertical="center" wrapText="1"/>
    </xf>
    <xf numFmtId="0" fontId="76" fillId="4" borderId="3" xfId="11" applyFont="1" applyFill="1" applyBorder="1" applyAlignment="1">
      <alignment horizontal="left" vertical="center" wrapText="1"/>
    </xf>
    <xf numFmtId="0" fontId="76" fillId="0" borderId="4" xfId="11" applyFont="1" applyBorder="1" applyAlignment="1">
      <alignment horizontal="left" vertical="center" wrapText="1" shrinkToFit="1"/>
    </xf>
    <xf numFmtId="0" fontId="76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76" fillId="0" borderId="4" xfId="11" applyFont="1" applyBorder="1" applyAlignment="1">
      <alignment vertical="center" wrapText="1"/>
    </xf>
    <xf numFmtId="0" fontId="76" fillId="0" borderId="3" xfId="11" applyFont="1" applyBorder="1" applyAlignment="1">
      <alignment vertical="center" wrapText="1"/>
    </xf>
    <xf numFmtId="0" fontId="76" fillId="0" borderId="4" xfId="11" applyFont="1" applyBorder="1" applyAlignment="1">
      <alignment horizontal="left" vertical="top" wrapText="1"/>
    </xf>
    <xf numFmtId="0" fontId="76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6" fillId="4" borderId="4" xfId="11" applyFont="1" applyFill="1" applyBorder="1" applyAlignment="1">
      <alignment vertical="center" wrapText="1"/>
    </xf>
    <xf numFmtId="0" fontId="76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6" fillId="0" borderId="4" xfId="11" applyFont="1" applyBorder="1" applyAlignment="1">
      <alignment vertical="center" wrapText="1" shrinkToFit="1"/>
    </xf>
    <xf numFmtId="0" fontId="76" fillId="0" borderId="3" xfId="11" applyFont="1" applyBorder="1" applyAlignment="1">
      <alignment vertical="center" wrapText="1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76" fillId="0" borderId="4" xfId="11" applyFont="1" applyBorder="1" applyAlignment="1">
      <alignment horizontal="center" vertical="center" shrinkToFit="1"/>
    </xf>
    <xf numFmtId="0" fontId="76" fillId="0" borderId="3" xfId="11" applyFont="1" applyBorder="1" applyAlignment="1">
      <alignment horizontal="center" vertical="center" shrinkToFit="1"/>
    </xf>
    <xf numFmtId="0" fontId="76" fillId="0" borderId="4" xfId="11" applyFont="1" applyBorder="1" applyAlignment="1">
      <alignment horizontal="center" shrinkToFit="1"/>
    </xf>
    <xf numFmtId="0" fontId="76" fillId="0" borderId="3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63" fillId="0" borderId="68" xfId="11" applyFont="1" applyBorder="1" applyAlignment="1">
      <alignment horizontal="left" vertical="center" wrapText="1"/>
    </xf>
    <xf numFmtId="0" fontId="63" fillId="0" borderId="61" xfId="11" applyFont="1" applyBorder="1" applyAlignment="1">
      <alignment horizontal="left" vertical="center" wrapText="1"/>
    </xf>
    <xf numFmtId="0" fontId="63" fillId="2" borderId="52" xfId="11" applyFont="1" applyFill="1" applyBorder="1" applyAlignment="1">
      <alignment horizontal="left" vertical="center" shrinkToFit="1"/>
    </xf>
    <xf numFmtId="0" fontId="63" fillId="2" borderId="26" xfId="11" applyFont="1" applyFill="1" applyBorder="1" applyAlignment="1">
      <alignment horizontal="left" vertical="center" shrinkToFit="1"/>
    </xf>
    <xf numFmtId="0" fontId="63" fillId="2" borderId="53" xfId="11" applyFont="1" applyFill="1" applyBorder="1" applyAlignment="1">
      <alignment horizontal="left" vertical="center" shrinkToFit="1"/>
    </xf>
    <xf numFmtId="0" fontId="63" fillId="2" borderId="57" xfId="11" applyFont="1" applyFill="1" applyBorder="1" applyAlignment="1">
      <alignment horizontal="left" vertical="center" shrinkToFit="1"/>
    </xf>
    <xf numFmtId="0" fontId="63" fillId="2" borderId="61" xfId="11" applyFont="1" applyFill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shrinkToFit="1"/>
    </xf>
    <xf numFmtId="0" fontId="63" fillId="0" borderId="62" xfId="11" applyFont="1" applyBorder="1" applyAlignment="1">
      <alignment horizontal="left" vertical="center" shrinkToFit="1"/>
    </xf>
    <xf numFmtId="0" fontId="63" fillId="2" borderId="52" xfId="11" applyFont="1" applyFill="1" applyBorder="1" applyAlignment="1">
      <alignment horizontal="center" vertical="center" shrinkToFit="1"/>
    </xf>
    <xf numFmtId="0" fontId="63" fillId="2" borderId="26" xfId="11" applyFont="1" applyFill="1" applyBorder="1" applyAlignment="1">
      <alignment horizontal="center" vertical="center" shrinkToFit="1"/>
    </xf>
    <xf numFmtId="0" fontId="63" fillId="2" borderId="36" xfId="11" applyFont="1" applyFill="1" applyBorder="1" applyAlignment="1">
      <alignment horizontal="center" vertical="center" shrinkToFit="1"/>
    </xf>
    <xf numFmtId="0" fontId="63" fillId="0" borderId="4" xfId="11" applyFont="1" applyBorder="1" applyAlignment="1">
      <alignment horizontal="left" vertical="center" wrapText="1"/>
    </xf>
    <xf numFmtId="0" fontId="63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3" fillId="2" borderId="57" xfId="11" applyFont="1" applyFill="1" applyBorder="1" applyAlignment="1">
      <alignment horizontal="center" vertical="center" shrinkToFit="1"/>
    </xf>
    <xf numFmtId="0" fontId="63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76" fillId="4" borderId="4" xfId="11" applyFont="1" applyFill="1" applyBorder="1" applyAlignment="1">
      <alignment horizontal="left" vertical="center" wrapText="1" shrinkToFit="1"/>
    </xf>
    <xf numFmtId="0" fontId="76" fillId="4" borderId="3" xfId="11" applyFont="1" applyFill="1" applyBorder="1" applyAlignment="1">
      <alignment horizontal="left" vertical="center" wrapText="1" shrinkToFit="1"/>
    </xf>
    <xf numFmtId="0" fontId="76" fillId="0" borderId="4" xfId="11" applyFont="1" applyBorder="1" applyAlignment="1">
      <alignment vertical="top" wrapText="1" shrinkToFit="1"/>
    </xf>
    <xf numFmtId="0" fontId="76" fillId="0" borderId="3" xfId="11" applyFont="1" applyBorder="1" applyAlignment="1">
      <alignment vertical="top" wrapText="1" shrinkToFit="1"/>
    </xf>
    <xf numFmtId="0" fontId="76" fillId="4" borderId="4" xfId="11" applyFont="1" applyFill="1" applyBorder="1" applyAlignment="1">
      <alignment vertical="top" wrapText="1" shrinkToFit="1"/>
    </xf>
    <xf numFmtId="0" fontId="76" fillId="4" borderId="3" xfId="11" applyFont="1" applyFill="1" applyBorder="1" applyAlignment="1">
      <alignment vertical="top" wrapText="1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4" fillId="0" borderId="27" xfId="11" applyFont="1" applyBorder="1" applyAlignment="1">
      <alignment horizontal="center" vertical="center" shrinkToFit="1"/>
    </xf>
    <xf numFmtId="0" fontId="54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8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2" fillId="2" borderId="27" xfId="11" applyFont="1" applyFill="1" applyBorder="1" applyAlignment="1">
      <alignment horizontal="center" vertical="center" shrinkToFit="1"/>
    </xf>
    <xf numFmtId="0" fontId="42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3" fillId="0" borderId="71" xfId="11" applyFont="1" applyBorder="1" applyAlignment="1">
      <alignment horizontal="left" vertical="center" wrapText="1"/>
    </xf>
    <xf numFmtId="0" fontId="63" fillId="2" borderId="36" xfId="11" applyFont="1" applyFill="1" applyBorder="1" applyAlignment="1">
      <alignment horizontal="left" vertical="center" shrinkToFit="1"/>
    </xf>
    <xf numFmtId="0" fontId="50" fillId="0" borderId="37" xfId="11" applyFont="1" applyBorder="1" applyAlignment="1">
      <alignment horizontal="left" vertical="center" shrinkToFit="1"/>
    </xf>
    <xf numFmtId="0" fontId="50" fillId="0" borderId="31" xfId="11" applyFont="1" applyBorder="1" applyAlignment="1">
      <alignment horizontal="left" vertical="center" shrinkToFit="1"/>
    </xf>
    <xf numFmtId="0" fontId="50" fillId="0" borderId="35" xfId="11" applyFont="1" applyBorder="1" applyAlignment="1">
      <alignment horizontal="left" vertical="center" shrinkToFit="1"/>
    </xf>
    <xf numFmtId="0" fontId="63" fillId="0" borderId="4" xfId="11" applyFont="1" applyBorder="1" applyAlignment="1">
      <alignment horizontal="left" vertical="center" wrapText="1" shrinkToFit="1"/>
    </xf>
    <xf numFmtId="0" fontId="63" fillId="0" borderId="3" xfId="11" applyFont="1" applyBorder="1" applyAlignment="1">
      <alignment horizontal="left" vertical="center" wrapText="1" shrinkToFit="1"/>
    </xf>
    <xf numFmtId="0" fontId="86" fillId="0" borderId="4" xfId="11" applyFont="1" applyBorder="1" applyAlignment="1">
      <alignment horizontal="left" vertical="center" wrapText="1"/>
    </xf>
    <xf numFmtId="0" fontId="86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3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vertical="center" wrapText="1"/>
    </xf>
    <xf numFmtId="0" fontId="76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6" fillId="0" borderId="62" xfId="11" applyFont="1" applyBorder="1" applyAlignment="1">
      <alignment horizontal="left" vertical="center" wrapText="1"/>
    </xf>
    <xf numFmtId="0" fontId="76" fillId="4" borderId="62" xfId="11" applyFont="1" applyFill="1" applyBorder="1" applyAlignment="1">
      <alignment horizontal="left" vertical="center" wrapText="1"/>
    </xf>
    <xf numFmtId="0" fontId="41" fillId="0" borderId="31" xfId="11" applyFont="1" applyBorder="1" applyAlignment="1">
      <alignment horizontal="center" vertical="center" shrinkToFit="1"/>
    </xf>
    <xf numFmtId="0" fontId="41" fillId="0" borderId="37" xfId="11" applyFont="1" applyBorder="1" applyAlignment="1">
      <alignment horizontal="center" vertical="center" shrinkToFit="1"/>
    </xf>
    <xf numFmtId="0" fontId="41" fillId="0" borderId="32" xfId="11" applyFont="1" applyBorder="1" applyAlignment="1">
      <alignment horizontal="center" vertical="center" shrinkToFit="1"/>
    </xf>
    <xf numFmtId="0" fontId="41" fillId="0" borderId="33" xfId="11" applyFont="1" applyBorder="1" applyAlignment="1">
      <alignment horizontal="center" vertical="center" shrinkToFit="1"/>
    </xf>
    <xf numFmtId="0" fontId="41" fillId="0" borderId="34" xfId="11" applyFont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195" fontId="115" fillId="5" borderId="22" xfId="15" applyNumberFormat="1" applyFont="1" applyFill="1" applyBorder="1" applyAlignment="1">
      <alignment horizontal="center" vertical="center"/>
    </xf>
    <xf numFmtId="195" fontId="115" fillId="10" borderId="22" xfId="15" applyNumberFormat="1" applyFont="1" applyFill="1" applyBorder="1" applyAlignment="1">
      <alignment horizontal="center" vertical="center"/>
    </xf>
    <xf numFmtId="0" fontId="104" fillId="11" borderId="22" xfId="15" applyFont="1" applyFill="1" applyBorder="1" applyAlignment="1">
      <alignment horizontal="center" vertical="center"/>
    </xf>
    <xf numFmtId="0" fontId="105" fillId="0" borderId="23" xfId="15" applyFont="1" applyBorder="1" applyAlignment="1">
      <alignment horizontal="center" vertical="center"/>
    </xf>
    <xf numFmtId="0" fontId="105" fillId="0" borderId="30" xfId="15" applyFont="1" applyBorder="1" applyAlignment="1">
      <alignment horizontal="center" vertical="center"/>
    </xf>
    <xf numFmtId="193" fontId="105" fillId="0" borderId="23" xfId="15" applyNumberFormat="1" applyFont="1" applyBorder="1" applyAlignment="1">
      <alignment horizontal="center" vertical="center"/>
    </xf>
    <xf numFmtId="193" fontId="105" fillId="0" borderId="30" xfId="15" applyNumberFormat="1" applyFont="1" applyBorder="1" applyAlignment="1">
      <alignment horizontal="center" vertical="center"/>
    </xf>
    <xf numFmtId="186" fontId="105" fillId="0" borderId="23" xfId="15" applyNumberFormat="1" applyFont="1" applyBorder="1" applyAlignment="1">
      <alignment horizontal="center" vertical="center"/>
    </xf>
    <xf numFmtId="186" fontId="105" fillId="0" borderId="30" xfId="15" applyNumberFormat="1" applyFont="1" applyBorder="1" applyAlignment="1">
      <alignment horizontal="center" vertical="center"/>
    </xf>
    <xf numFmtId="0" fontId="107" fillId="0" borderId="23" xfId="11" applyFont="1" applyBorder="1" applyAlignment="1">
      <alignment horizontal="center" vertical="center"/>
    </xf>
    <xf numFmtId="0" fontId="107" fillId="0" borderId="29" xfId="11" applyFont="1" applyBorder="1" applyAlignment="1">
      <alignment horizontal="center" vertical="center"/>
    </xf>
    <xf numFmtId="0" fontId="107" fillId="0" borderId="30" xfId="11" applyFont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00000000-0005-0000-0000-000002000000}"/>
    <cellStyle name="一般 2 2 2" xfId="9" xr:uid="{00000000-0005-0000-0000-000003000000}"/>
    <cellStyle name="一般 2 2 30 2 2 30 2" xfId="4" xr:uid="{00000000-0005-0000-0000-000004000000}"/>
    <cellStyle name="一般 2 2 30 2 2 30 2 2" xfId="12" xr:uid="{00000000-0005-0000-0000-000005000000}"/>
    <cellStyle name="一般 2 2 30 2 2 30 2 2 2" xfId="17" xr:uid="{00000000-0005-0000-0000-000006000000}"/>
    <cellStyle name="一般 2 2 30 2 2 30 2 2 2 2" xfId="20" xr:uid="{00000000-0005-0000-0000-000007000000}"/>
    <cellStyle name="一般 2 2 30 2 2 30 2 2 2 2 2" xfId="22" xr:uid="{00000000-0005-0000-0000-000008000000}"/>
    <cellStyle name="一般 2 2 30 2 2 30 2 2 2 2 2 2" xfId="35" xr:uid="{00000000-0005-0000-0000-000009000000}"/>
    <cellStyle name="一般 2 2 30 2 2 30 2 2 2 2 3" xfId="33" xr:uid="{00000000-0005-0000-0000-00000A000000}"/>
    <cellStyle name="一般 2 2 30 2 2 30 2 2 2 3" xfId="31" xr:uid="{00000000-0005-0000-0000-00000B000000}"/>
    <cellStyle name="一般 2 2 30 2 2 30 2 2 3" xfId="28" xr:uid="{00000000-0005-0000-0000-00000C000000}"/>
    <cellStyle name="一般 2 2 30 2 2 30 2 3" xfId="15" xr:uid="{00000000-0005-0000-0000-00000D000000}"/>
    <cellStyle name="一般 2 2 30 2 2 30 2 3 2" xfId="29" xr:uid="{00000000-0005-0000-0000-00000E000000}"/>
    <cellStyle name="一般 2 2 30 2 2 30 2 4" xfId="25" xr:uid="{00000000-0005-0000-0000-00000F000000}"/>
    <cellStyle name="一般 2 2 30 2 3 2" xfId="6" xr:uid="{00000000-0005-0000-0000-000010000000}"/>
    <cellStyle name="一般 2 2 30 2 3 2 2" xfId="16" xr:uid="{00000000-0005-0000-0000-000011000000}"/>
    <cellStyle name="一般 2 2 30 2 3 2 2 2" xfId="18" xr:uid="{00000000-0005-0000-0000-000012000000}"/>
    <cellStyle name="一般 2 2 30 2 3 2 2 2 2" xfId="32" xr:uid="{00000000-0005-0000-0000-000013000000}"/>
    <cellStyle name="一般 2 2 30 2 3 2 2 3" xfId="30" xr:uid="{00000000-0005-0000-0000-000014000000}"/>
    <cellStyle name="一般 2 2 30 2 3 2 3" xfId="26" xr:uid="{00000000-0005-0000-0000-000015000000}"/>
    <cellStyle name="一般 2 2 30 3 30" xfId="7" xr:uid="{00000000-0005-0000-0000-000016000000}"/>
    <cellStyle name="一般 2 2 30 3 30 2" xfId="27" xr:uid="{00000000-0005-0000-0000-000017000000}"/>
    <cellStyle name="一般 3" xfId="11" xr:uid="{00000000-0005-0000-0000-000018000000}"/>
    <cellStyle name="一般 4" xfId="5" xr:uid="{00000000-0005-0000-0000-000019000000}"/>
    <cellStyle name="千分位 2" xfId="2" xr:uid="{00000000-0005-0000-0000-00001A000000}"/>
    <cellStyle name="千分位 2 2" xfId="24" xr:uid="{00000000-0005-0000-0000-00001B000000}"/>
    <cellStyle name="千分位 3" xfId="21" xr:uid="{00000000-0005-0000-0000-00001C000000}"/>
    <cellStyle name="千分位 3 2" xfId="34" xr:uid="{00000000-0005-0000-0000-00001D000000}"/>
    <cellStyle name="百分比" xfId="14" builtinId="5"/>
    <cellStyle name="百分比 2" xfId="8" xr:uid="{00000000-0005-0000-0000-00001F000000}"/>
    <cellStyle name="百分比 2 2" xfId="10" xr:uid="{00000000-0005-0000-0000-000020000000}"/>
    <cellStyle name="百分比 2 2 2" xfId="19" xr:uid="{00000000-0005-0000-0000-000021000000}"/>
    <cellStyle name="百分比 3" xfId="3" xr:uid="{00000000-0005-0000-0000-000022000000}"/>
    <cellStyle name="百分比 4" xfId="13" xr:uid="{00000000-0005-0000-0000-000023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901-090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6-09&#23631;&#27054;&#22823;&#28330;&#24288;&#21322;&#25104;&#21697;&#29983;&#29986;&#31649;&#29702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產能清單0901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產能清單0623"/>
      <sheetName val="產能清單0629"/>
      <sheetName val="（５-8）品群別人時生產性(季節調理麵) --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D5">
            <v>46266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別報廢率總表"/>
      <sheetName val="9月份"/>
      <sheetName val="0901-30合計"/>
      <sheetName val="0909分析日報"/>
      <sheetName val="0909合計"/>
      <sheetName val="0908分析日報"/>
      <sheetName val="0908合計"/>
      <sheetName val="0907分析日報"/>
      <sheetName val="0907合計"/>
      <sheetName val="0906分析日報"/>
      <sheetName val="0906合計"/>
      <sheetName val="0905分析日報"/>
      <sheetName val="0905合計"/>
      <sheetName val="0904分析日報"/>
      <sheetName val="0904合計"/>
      <sheetName val="0903分析日報"/>
      <sheetName val="0903合計"/>
      <sheetName val="0902分析日報"/>
      <sheetName val="0902合計"/>
      <sheetName val="0901分析日報"/>
      <sheetName val="0901合計"/>
      <sheetName val="名詞定義"/>
      <sheetName val="列入前十名共用類半成品超用.報廢商品展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>
            <v>11917.315800000004</v>
          </cell>
          <cell r="S2">
            <v>35765.925999999978</v>
          </cell>
        </row>
      </sheetData>
      <sheetData sheetId="9"/>
      <sheetData sheetId="10">
        <row r="2">
          <cell r="P2">
            <v>12557.155999999997</v>
          </cell>
          <cell r="S2">
            <v>37683.530899999983</v>
          </cell>
        </row>
      </sheetData>
      <sheetData sheetId="11"/>
      <sheetData sheetId="12">
        <row r="2">
          <cell r="P2">
            <v>8396.8690999999999</v>
          </cell>
          <cell r="S2">
            <v>25166.71330000001</v>
          </cell>
        </row>
      </sheetData>
      <sheetData sheetId="13"/>
      <sheetData sheetId="14">
        <row r="2">
          <cell r="P2">
            <v>7724.6625999999997</v>
          </cell>
          <cell r="S2">
            <v>23151.212299999996</v>
          </cell>
        </row>
      </sheetData>
      <sheetData sheetId="15"/>
      <sheetData sheetId="16">
        <row r="2">
          <cell r="P2">
            <v>9799.2260000000042</v>
          </cell>
          <cell r="S2">
            <v>29368.674999999999</v>
          </cell>
        </row>
      </sheetData>
      <sheetData sheetId="17"/>
      <sheetData sheetId="18">
        <row r="2">
          <cell r="P2">
            <v>10755.6901</v>
          </cell>
          <cell r="S2">
            <v>32204.721800000018</v>
          </cell>
        </row>
      </sheetData>
      <sheetData sheetId="19"/>
      <sheetData sheetId="20">
        <row r="2">
          <cell r="P2">
            <v>11917.29050000001</v>
          </cell>
          <cell r="S2">
            <v>35615.114899999993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P45"/>
  <sheetViews>
    <sheetView workbookViewId="0">
      <selection activeCell="K37" sqref="K37:K45"/>
    </sheetView>
  </sheetViews>
  <sheetFormatPr defaultColWidth="8.7109375" defaultRowHeight="13.5"/>
  <cols>
    <col min="1" max="1" width="8.7109375" style="386"/>
    <col min="2" max="2" width="27.7109375" style="386" bestFit="1" customWidth="1"/>
    <col min="3" max="3" width="34.7109375" style="386" customWidth="1"/>
    <col min="4" max="15" width="12.7109375" style="386" customWidth="1"/>
    <col min="16" max="16" width="15.7109375" style="386" customWidth="1"/>
    <col min="17" max="16384" width="8.7109375" style="386"/>
  </cols>
  <sheetData>
    <row r="1" spans="2:16" ht="18.75">
      <c r="B1" s="575" t="s">
        <v>0</v>
      </c>
      <c r="C1" s="576"/>
      <c r="D1" s="394" t="s">
        <v>1</v>
      </c>
      <c r="E1" s="394" t="s">
        <v>2</v>
      </c>
      <c r="F1" s="394" t="s">
        <v>3</v>
      </c>
      <c r="G1" s="394" t="s">
        <v>4</v>
      </c>
      <c r="H1" s="394" t="s">
        <v>5</v>
      </c>
      <c r="I1" s="394" t="s">
        <v>6</v>
      </c>
      <c r="J1" s="394" t="s">
        <v>7</v>
      </c>
      <c r="K1" s="394" t="s">
        <v>8</v>
      </c>
      <c r="L1" s="394" t="s">
        <v>9</v>
      </c>
      <c r="M1" s="394" t="s">
        <v>10</v>
      </c>
      <c r="N1" s="394" t="s">
        <v>11</v>
      </c>
      <c r="O1" s="394" t="s">
        <v>12</v>
      </c>
      <c r="P1" s="395" t="s">
        <v>13</v>
      </c>
    </row>
    <row r="2" spans="2:16" ht="15.75">
      <c r="B2" s="572" t="s">
        <v>14</v>
      </c>
      <c r="C2" s="407" t="s">
        <v>15</v>
      </c>
      <c r="D2" s="396">
        <v>146299.93539000006</v>
      </c>
      <c r="E2" s="396">
        <v>116569.43023000001</v>
      </c>
      <c r="F2" s="396">
        <v>148837.99842999995</v>
      </c>
      <c r="G2" s="396">
        <v>160648.31477000003</v>
      </c>
      <c r="H2" s="396">
        <v>181836.62618999998</v>
      </c>
      <c r="I2" s="396">
        <v>194099.28702000002</v>
      </c>
      <c r="J2" s="396">
        <v>199388.61726000003</v>
      </c>
      <c r="K2" s="396">
        <v>175321.62117</v>
      </c>
      <c r="L2" s="396"/>
      <c r="M2" s="396"/>
      <c r="N2" s="396"/>
      <c r="O2" s="396"/>
      <c r="P2" s="408">
        <f>SUM(D2:O2)</f>
        <v>1323001.8304600001</v>
      </c>
    </row>
    <row r="3" spans="2:16" ht="15.75">
      <c r="B3" s="572"/>
      <c r="C3" s="407" t="s">
        <v>16</v>
      </c>
      <c r="D3" s="396">
        <v>4768701</v>
      </c>
      <c r="E3" s="396">
        <v>3787002</v>
      </c>
      <c r="F3" s="396">
        <v>5045753</v>
      </c>
      <c r="G3" s="396">
        <v>5396292</v>
      </c>
      <c r="H3" s="396">
        <v>6084520</v>
      </c>
      <c r="I3" s="396">
        <v>6275618</v>
      </c>
      <c r="J3" s="396">
        <v>6323244</v>
      </c>
      <c r="K3" s="396">
        <v>5581950</v>
      </c>
      <c r="L3" s="396"/>
      <c r="M3" s="396"/>
      <c r="N3" s="396"/>
      <c r="O3" s="396"/>
      <c r="P3" s="408">
        <f>SUM(D3:O3)</f>
        <v>43263080</v>
      </c>
    </row>
    <row r="4" spans="2:16" ht="15.75">
      <c r="B4" s="572"/>
      <c r="C4" s="407" t="s">
        <v>17</v>
      </c>
      <c r="D4" s="396">
        <v>93253</v>
      </c>
      <c r="E4" s="396">
        <v>74777</v>
      </c>
      <c r="F4" s="396">
        <v>93614</v>
      </c>
      <c r="G4" s="396">
        <v>104435</v>
      </c>
      <c r="H4" s="396">
        <v>116562</v>
      </c>
      <c r="I4" s="396">
        <v>126964</v>
      </c>
      <c r="J4" s="396">
        <v>134056.59496639523</v>
      </c>
      <c r="K4" s="396">
        <v>119419.26352012459</v>
      </c>
      <c r="L4" s="396"/>
      <c r="M4" s="396"/>
      <c r="N4" s="396"/>
      <c r="O4" s="396"/>
      <c r="P4" s="408">
        <f>SUM(D4:O4)</f>
        <v>863080.85848651989</v>
      </c>
    </row>
    <row r="5" spans="2:16" ht="15.75">
      <c r="B5" s="572"/>
      <c r="C5" s="409" t="s">
        <v>18</v>
      </c>
      <c r="D5" s="410">
        <v>0.65500000000000003</v>
      </c>
      <c r="E5" s="410">
        <v>0.65300000000000002</v>
      </c>
      <c r="F5" s="410">
        <v>0.64800000000000002</v>
      </c>
      <c r="G5" s="410">
        <v>0.66300000000000003</v>
      </c>
      <c r="H5" s="410">
        <v>0.67200000000000004</v>
      </c>
      <c r="I5" s="410">
        <v>0.67500000000000004</v>
      </c>
      <c r="J5" s="410">
        <v>0.67233825485427423</v>
      </c>
      <c r="K5" s="410">
        <v>0.68114396115656561</v>
      </c>
      <c r="L5" s="411" t="str">
        <f t="shared" ref="L5:O5" si="0">IFERROR(L4/L2, "")</f>
        <v/>
      </c>
      <c r="M5" s="411" t="str">
        <f t="shared" si="0"/>
        <v/>
      </c>
      <c r="N5" s="411" t="str">
        <f t="shared" si="0"/>
        <v/>
      </c>
      <c r="O5" s="411" t="str">
        <f t="shared" si="0"/>
        <v/>
      </c>
      <c r="P5" s="412">
        <f>AVERAGEIF(D5:O5, "&gt;0")</f>
        <v>0.66493527700135502</v>
      </c>
    </row>
    <row r="6" spans="2:16" ht="15.75">
      <c r="B6" s="572"/>
      <c r="C6" s="407" t="s">
        <v>19</v>
      </c>
      <c r="D6" s="396">
        <v>22378</v>
      </c>
      <c r="E6" s="396">
        <v>22860</v>
      </c>
      <c r="F6" s="396">
        <v>22710</v>
      </c>
      <c r="G6" s="396">
        <v>23226</v>
      </c>
      <c r="H6" s="396">
        <v>24474</v>
      </c>
      <c r="I6" s="396">
        <v>26795</v>
      </c>
      <c r="J6" s="396">
        <v>27431.996822000001</v>
      </c>
      <c r="K6" s="396">
        <v>25354.549750000002</v>
      </c>
      <c r="L6" s="396"/>
      <c r="M6" s="396"/>
      <c r="N6" s="396"/>
      <c r="O6" s="396"/>
      <c r="P6" s="408">
        <f t="shared" ref="P6" si="1">SUM(D6:O6)</f>
        <v>195229.54657200002</v>
      </c>
    </row>
    <row r="7" spans="2:16" ht="15.75">
      <c r="B7" s="572"/>
      <c r="C7" s="409" t="s">
        <v>20</v>
      </c>
      <c r="D7" s="410">
        <v>0.157</v>
      </c>
      <c r="E7" s="410">
        <v>0.2</v>
      </c>
      <c r="F7" s="410">
        <v>0.157</v>
      </c>
      <c r="G7" s="410">
        <v>0.14699999999999999</v>
      </c>
      <c r="H7" s="410">
        <v>0.14099999999999999</v>
      </c>
      <c r="I7" s="410">
        <v>0.14199999999999999</v>
      </c>
      <c r="J7" s="410">
        <v>0.13758055599647925</v>
      </c>
      <c r="K7" s="410">
        <v>0.14461735854823665</v>
      </c>
      <c r="L7" s="411" t="str">
        <f t="shared" ref="L7:O7" si="2">IFERROR(L6/L2, "")</f>
        <v/>
      </c>
      <c r="M7" s="411" t="str">
        <f t="shared" si="2"/>
        <v/>
      </c>
      <c r="N7" s="411" t="str">
        <f t="shared" si="2"/>
        <v/>
      </c>
      <c r="O7" s="411" t="str">
        <f t="shared" si="2"/>
        <v/>
      </c>
      <c r="P7" s="412">
        <f>AVERAGEIF(D7:O7, "&gt;0")</f>
        <v>0.15327473931808949</v>
      </c>
    </row>
    <row r="8" spans="2:16" ht="15.75">
      <c r="B8" s="413"/>
      <c r="C8" s="407"/>
      <c r="D8" s="396"/>
      <c r="E8" s="396"/>
      <c r="F8" s="396"/>
      <c r="G8" s="396"/>
      <c r="H8" s="396"/>
      <c r="I8" s="396"/>
      <c r="J8" s="396"/>
      <c r="K8" s="396"/>
      <c r="L8" s="396"/>
      <c r="M8" s="396"/>
      <c r="N8" s="396"/>
      <c r="O8" s="396"/>
      <c r="P8" s="408"/>
    </row>
    <row r="9" spans="2:16" ht="15.75">
      <c r="B9" s="572" t="s">
        <v>21</v>
      </c>
      <c r="C9" s="407" t="s">
        <v>22</v>
      </c>
      <c r="D9" s="414">
        <v>497.6</v>
      </c>
      <c r="E9" s="414">
        <v>497.6</v>
      </c>
      <c r="F9" s="414">
        <v>497.6</v>
      </c>
      <c r="G9" s="414">
        <v>497.6</v>
      </c>
      <c r="H9" s="397">
        <v>497.6</v>
      </c>
      <c r="I9" s="397">
        <v>497.6</v>
      </c>
      <c r="J9" s="397">
        <v>497.6</v>
      </c>
      <c r="K9" s="397">
        <v>500.4</v>
      </c>
      <c r="L9" s="397"/>
      <c r="M9" s="397"/>
      <c r="N9" s="397"/>
      <c r="O9" s="397"/>
      <c r="P9" s="415">
        <f>AVERAGEIF(D9:O9, "&gt;0")</f>
        <v>497.95</v>
      </c>
    </row>
    <row r="10" spans="2:16" ht="15.75">
      <c r="B10" s="572"/>
      <c r="C10" s="407" t="s">
        <v>23</v>
      </c>
      <c r="D10" s="414">
        <v>458.3841382804668</v>
      </c>
      <c r="E10" s="414">
        <v>476.04171528829499</v>
      </c>
      <c r="F10" s="414">
        <v>409.81563372836604</v>
      </c>
      <c r="G10" s="397">
        <v>402.86432092718081</v>
      </c>
      <c r="H10" s="397">
        <v>419.38045550218868</v>
      </c>
      <c r="I10" s="397">
        <v>425.95259125022073</v>
      </c>
      <c r="J10" s="397">
        <v>434.66889417885551</v>
      </c>
      <c r="K10" s="397">
        <v>448.73865593082098</v>
      </c>
      <c r="L10" s="397"/>
      <c r="M10" s="397"/>
      <c r="N10" s="397"/>
      <c r="O10" s="397"/>
      <c r="P10" s="415">
        <f>AVERAGEIF(D10:O10, "&gt;0")</f>
        <v>434.48080063579937</v>
      </c>
    </row>
    <row r="11" spans="2:16" ht="15.75">
      <c r="B11" s="572"/>
      <c r="C11" s="409" t="s">
        <v>24</v>
      </c>
      <c r="D11" s="411">
        <f t="shared" ref="D11:O11" si="3">IFERROR(D10/D9, "")</f>
        <v>0.92118998850576117</v>
      </c>
      <c r="E11" s="411">
        <f t="shared" si="3"/>
        <v>0.95667547284625198</v>
      </c>
      <c r="F11" s="411">
        <f t="shared" si="3"/>
        <v>0.82358447292678061</v>
      </c>
      <c r="G11" s="411">
        <f t="shared" si="3"/>
        <v>0.80961479286008997</v>
      </c>
      <c r="H11" s="411">
        <v>0.94796667156914272</v>
      </c>
      <c r="I11" s="411">
        <v>0.96282231295257903</v>
      </c>
      <c r="J11" s="411">
        <v>0.98252462517824501</v>
      </c>
      <c r="K11" s="411">
        <v>0.89675990393849114</v>
      </c>
      <c r="L11" s="411" t="str">
        <f t="shared" si="3"/>
        <v/>
      </c>
      <c r="M11" s="411" t="str">
        <f t="shared" si="3"/>
        <v/>
      </c>
      <c r="N11" s="411" t="str">
        <f t="shared" si="3"/>
        <v/>
      </c>
      <c r="O11" s="411" t="str">
        <f t="shared" si="3"/>
        <v/>
      </c>
      <c r="P11" s="416">
        <f>AVERAGEIF(D11:O11, "&gt;0")</f>
        <v>0.91264228009716764</v>
      </c>
    </row>
    <row r="12" spans="2:16" ht="15.75">
      <c r="B12" s="572"/>
      <c r="C12" s="407" t="s">
        <v>25</v>
      </c>
      <c r="D12" s="399">
        <v>2.4135432458014692E-3</v>
      </c>
      <c r="E12" s="398">
        <v>2.3657636051419204E-3</v>
      </c>
      <c r="F12" s="398">
        <v>2.0222247634522129E-3</v>
      </c>
      <c r="G12" s="398">
        <v>2.0113648122943311E-3</v>
      </c>
      <c r="H12" s="398">
        <v>2.0088240498114199E-3</v>
      </c>
      <c r="I12" s="398">
        <v>2.0072505835617024E-3</v>
      </c>
      <c r="J12" s="398">
        <v>2.0067058203413666E-3</v>
      </c>
      <c r="K12" s="398">
        <v>2.0066949915476767E-3</v>
      </c>
      <c r="L12" s="398"/>
      <c r="M12" s="398"/>
      <c r="N12" s="398"/>
      <c r="O12" s="398"/>
      <c r="P12" s="417">
        <f>AVERAGEIF(D12:O12, "&gt;0")</f>
        <v>2.1052964839940124E-3</v>
      </c>
    </row>
    <row r="13" spans="2:16" ht="15.75">
      <c r="B13" s="572"/>
      <c r="C13" s="407" t="s">
        <v>26</v>
      </c>
      <c r="D13" s="399">
        <v>5.599443330875099E-3</v>
      </c>
      <c r="E13" s="399">
        <v>5.2393000579921759E-3</v>
      </c>
      <c r="F13" s="399">
        <v>4.8799137535570384E-3</v>
      </c>
      <c r="G13" s="399">
        <v>4.3085188206646403E-3</v>
      </c>
      <c r="H13" s="399">
        <v>6.1874817008048359E-3</v>
      </c>
      <c r="I13" s="399">
        <v>6.077521140456379E-3</v>
      </c>
      <c r="J13" s="399">
        <v>6.0144112131268234E-3</v>
      </c>
      <c r="K13" s="399">
        <v>6.0131110259086448E-3</v>
      </c>
      <c r="L13" s="399"/>
      <c r="M13" s="399"/>
      <c r="N13" s="399"/>
      <c r="O13" s="399"/>
      <c r="P13" s="416">
        <f>AVERAGEIF(D13:O13, "&gt;0")</f>
        <v>5.5399626304232048E-3</v>
      </c>
    </row>
    <row r="14" spans="2:16" ht="15.75">
      <c r="B14" s="572"/>
      <c r="C14" s="407" t="s">
        <v>27</v>
      </c>
      <c r="D14" s="399">
        <v>0.89999999999999947</v>
      </c>
      <c r="E14" s="399">
        <v>0.89999999999999958</v>
      </c>
      <c r="F14" s="399">
        <v>0.89999999999999947</v>
      </c>
      <c r="G14" s="399">
        <v>0.89999999999999958</v>
      </c>
      <c r="H14" s="399">
        <v>0.89999999999999947</v>
      </c>
      <c r="I14" s="399">
        <v>0.89999999999999958</v>
      </c>
      <c r="J14" s="399">
        <v>0.89999999999999947</v>
      </c>
      <c r="K14" s="399">
        <v>0.89999999999999947</v>
      </c>
      <c r="L14" s="399"/>
      <c r="M14" s="399"/>
      <c r="N14" s="399"/>
      <c r="O14" s="399"/>
      <c r="P14" s="416">
        <f t="shared" ref="P14" si="4">AVERAGEIF(D14:O14, "&gt;0")</f>
        <v>0.89999999999999947</v>
      </c>
    </row>
    <row r="15" spans="2:16" ht="15.75">
      <c r="B15" s="572"/>
      <c r="C15" s="407" t="s">
        <v>28</v>
      </c>
      <c r="D15" s="399">
        <v>5.7692307692307702E-2</v>
      </c>
      <c r="E15" s="399">
        <v>0.13873626373626369</v>
      </c>
      <c r="F15" s="399">
        <v>0.21960297766749381</v>
      </c>
      <c r="G15" s="399">
        <v>0.30384615384615377</v>
      </c>
      <c r="H15" s="399">
        <v>0.38709677419354849</v>
      </c>
      <c r="I15" s="399">
        <v>0.47115384615384609</v>
      </c>
      <c r="J15" s="399">
        <v>0.55521091811414403</v>
      </c>
      <c r="K15" s="399">
        <v>0.63957816377171217</v>
      </c>
      <c r="L15" s="399"/>
      <c r="M15" s="399"/>
      <c r="N15" s="399"/>
      <c r="O15" s="399"/>
      <c r="P15" s="416">
        <f>MAX(D15:O15)</f>
        <v>0.63957816377171217</v>
      </c>
    </row>
    <row r="16" spans="2:16" ht="15.75">
      <c r="B16" s="413"/>
      <c r="C16" s="407"/>
      <c r="D16" s="399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416"/>
    </row>
    <row r="17" spans="2:16" ht="15.75">
      <c r="B17" s="573" t="s">
        <v>29</v>
      </c>
      <c r="C17" s="407" t="s">
        <v>30</v>
      </c>
      <c r="D17" s="418">
        <v>0.36139567422949059</v>
      </c>
      <c r="E17" s="418">
        <v>0.34737656751091073</v>
      </c>
      <c r="F17" s="418">
        <v>0.36414345188530645</v>
      </c>
      <c r="G17" s="418">
        <v>0.38079955956950995</v>
      </c>
      <c r="H17" s="418">
        <v>0.36318310058720077</v>
      </c>
      <c r="I17" s="418">
        <v>0.29977346874027683</v>
      </c>
      <c r="J17" s="418">
        <v>0.28835229016623554</v>
      </c>
      <c r="K17" s="418">
        <v>0.29075759167530862</v>
      </c>
      <c r="L17" s="418"/>
      <c r="M17" s="418"/>
      <c r="N17" s="418"/>
      <c r="O17" s="418"/>
      <c r="P17" s="416">
        <f>AVERAGEIF(D17:O17, "&gt;0")</f>
        <v>0.33697271304552995</v>
      </c>
    </row>
    <row r="18" spans="2:16" ht="15.75">
      <c r="B18" s="577"/>
      <c r="C18" s="407" t="s">
        <v>31</v>
      </c>
      <c r="D18" s="418">
        <v>6.9633574224369291E-2</v>
      </c>
      <c r="E18" s="418">
        <v>7.7793665132509071E-2</v>
      </c>
      <c r="F18" s="418">
        <v>8.4480826486750038E-2</v>
      </c>
      <c r="G18" s="418">
        <v>6.0267903798814304E-2</v>
      </c>
      <c r="H18" s="418">
        <v>4.1707027010475142E-2</v>
      </c>
      <c r="I18" s="418">
        <v>3.5290065487433755E-2</v>
      </c>
      <c r="J18" s="418">
        <v>4.0105546996058235E-2</v>
      </c>
      <c r="K18" s="418">
        <v>4.4488660713654524E-2</v>
      </c>
      <c r="L18" s="418"/>
      <c r="M18" s="418"/>
      <c r="N18" s="418"/>
      <c r="O18" s="418"/>
      <c r="P18" s="416">
        <f t="shared" ref="P18:P45" si="5">AVERAGEIF(D18:O18, "&gt;0")</f>
        <v>5.6720908731258041E-2</v>
      </c>
    </row>
    <row r="19" spans="2:16" ht="15.75">
      <c r="B19" s="577"/>
      <c r="C19" s="407" t="s">
        <v>32</v>
      </c>
      <c r="D19" s="418">
        <v>2.2453221877666876E-2</v>
      </c>
      <c r="E19" s="418">
        <v>2.1676449691951108E-2</v>
      </c>
      <c r="F19" s="418">
        <v>2.4365160296787799E-2</v>
      </c>
      <c r="G19" s="418">
        <v>1.8891117808144807E-2</v>
      </c>
      <c r="H19" s="418">
        <v>1.3969000103124941E-2</v>
      </c>
      <c r="I19" s="418">
        <v>1.0903808522397734E-2</v>
      </c>
      <c r="J19" s="418">
        <v>2.3749545962421303E-2</v>
      </c>
      <c r="K19" s="418">
        <v>1.1407879625187018E-2</v>
      </c>
      <c r="L19" s="418"/>
      <c r="M19" s="418"/>
      <c r="N19" s="418"/>
      <c r="O19" s="418"/>
      <c r="P19" s="416">
        <f t="shared" si="5"/>
        <v>1.84270229859602E-2</v>
      </c>
    </row>
    <row r="20" spans="2:16" ht="15.75">
      <c r="B20" s="577"/>
      <c r="C20" s="407" t="s">
        <v>33</v>
      </c>
      <c r="D20" s="418">
        <v>8.5850389930237133E-3</v>
      </c>
      <c r="E20" s="418">
        <v>9.9523222144173289E-3</v>
      </c>
      <c r="F20" s="418">
        <v>1.4684918119400437E-2</v>
      </c>
      <c r="G20" s="418">
        <v>2.8316295795027466E-2</v>
      </c>
      <c r="H20" s="418">
        <v>3.4128077824737396E-2</v>
      </c>
      <c r="I20" s="418">
        <v>4.9548361396139648E-2</v>
      </c>
      <c r="J20" s="418">
        <v>3.7024873543174894E-2</v>
      </c>
      <c r="K20" s="418">
        <v>4.8449399984521024E-2</v>
      </c>
      <c r="L20" s="418"/>
      <c r="M20" s="418"/>
      <c r="N20" s="418"/>
      <c r="O20" s="418"/>
      <c r="P20" s="416">
        <f t="shared" si="5"/>
        <v>2.8836160983805238E-2</v>
      </c>
    </row>
    <row r="21" spans="2:16" ht="15.75">
      <c r="B21" s="577"/>
      <c r="C21" s="407" t="s">
        <v>34</v>
      </c>
      <c r="D21" s="418">
        <v>0.16215294044225204</v>
      </c>
      <c r="E21" s="418">
        <v>0.18214707911075978</v>
      </c>
      <c r="F21" s="418">
        <v>0.20289323995580696</v>
      </c>
      <c r="G21" s="418">
        <v>0.15628267987712793</v>
      </c>
      <c r="H21" s="418">
        <v>0.13415543936957161</v>
      </c>
      <c r="I21" s="418">
        <v>0.13432459995236101</v>
      </c>
      <c r="J21" s="418">
        <v>0.15806064650573423</v>
      </c>
      <c r="K21" s="418">
        <v>0.14990660595429861</v>
      </c>
      <c r="L21" s="418"/>
      <c r="M21" s="418"/>
      <c r="N21" s="418"/>
      <c r="O21" s="418"/>
      <c r="P21" s="416">
        <f t="shared" si="5"/>
        <v>0.15999040389598904</v>
      </c>
    </row>
    <row r="22" spans="2:16" ht="15.75">
      <c r="B22" s="577"/>
      <c r="C22" s="407" t="s">
        <v>35</v>
      </c>
      <c r="D22" s="418">
        <v>0.27057088032525339</v>
      </c>
      <c r="E22" s="418">
        <v>0.27529225824200032</v>
      </c>
      <c r="F22" s="418">
        <v>0.29293399487971084</v>
      </c>
      <c r="G22" s="418">
        <v>0.27842233710348685</v>
      </c>
      <c r="H22" s="418">
        <v>0.26474822074458115</v>
      </c>
      <c r="I22" s="418">
        <v>0.22905816354399502</v>
      </c>
      <c r="J22" s="418">
        <v>0.22396345871524598</v>
      </c>
      <c r="K22" s="418">
        <v>0.25307982503182791</v>
      </c>
      <c r="L22" s="418"/>
      <c r="M22" s="418"/>
      <c r="N22" s="418"/>
      <c r="O22" s="418"/>
      <c r="P22" s="416">
        <f t="shared" si="5"/>
        <v>0.26100864232326271</v>
      </c>
    </row>
    <row r="23" spans="2:16" ht="15.75">
      <c r="B23" s="577"/>
      <c r="C23" s="407" t="s">
        <v>36</v>
      </c>
      <c r="D23" s="418">
        <v>2.9234371078829206E-2</v>
      </c>
      <c r="E23" s="418">
        <v>8.9796818765835347E-3</v>
      </c>
      <c r="F23" s="418">
        <v>0</v>
      </c>
      <c r="G23" s="418">
        <v>0</v>
      </c>
      <c r="H23" s="418">
        <v>0</v>
      </c>
      <c r="I23" s="418">
        <v>0</v>
      </c>
      <c r="J23" s="418">
        <v>0</v>
      </c>
      <c r="K23" s="418">
        <v>0</v>
      </c>
      <c r="L23" s="418"/>
      <c r="M23" s="418"/>
      <c r="N23" s="418"/>
      <c r="O23" s="418"/>
      <c r="P23" s="416">
        <f t="shared" si="5"/>
        <v>1.910702647770637E-2</v>
      </c>
    </row>
    <row r="24" spans="2:16" ht="15.75">
      <c r="B24" s="577"/>
      <c r="C24" s="407" t="s">
        <v>37</v>
      </c>
      <c r="D24" s="418">
        <v>4.0564165966170615E-2</v>
      </c>
      <c r="E24" s="418">
        <v>4.0109498783470192E-2</v>
      </c>
      <c r="F24" s="418">
        <v>1.6541184549440737E-3</v>
      </c>
      <c r="G24" s="418">
        <v>6.4343547299571813E-2</v>
      </c>
      <c r="H24" s="418">
        <v>0.13502459319909141</v>
      </c>
      <c r="I24" s="418">
        <v>0.17184921115430482</v>
      </c>
      <c r="J24" s="418">
        <v>0.16810091634415497</v>
      </c>
      <c r="K24" s="418">
        <v>0.16627334059233648</v>
      </c>
      <c r="L24" s="418"/>
      <c r="M24" s="418"/>
      <c r="N24" s="418"/>
      <c r="O24" s="418"/>
      <c r="P24" s="416">
        <f t="shared" si="5"/>
        <v>9.8489923974255544E-2</v>
      </c>
    </row>
    <row r="25" spans="2:16" ht="15.75">
      <c r="B25" s="578"/>
      <c r="C25" s="407" t="s">
        <v>38</v>
      </c>
      <c r="D25" s="418">
        <v>3.5410132862943831E-2</v>
      </c>
      <c r="E25" s="418">
        <v>3.6672477437397863E-2</v>
      </c>
      <c r="F25" s="418">
        <v>1.4844289921293864E-2</v>
      </c>
      <c r="G25" s="418">
        <v>1.2676558748316833E-2</v>
      </c>
      <c r="H25" s="418">
        <v>1.308454116121764E-2</v>
      </c>
      <c r="I25" s="418">
        <v>6.925232120309105E-2</v>
      </c>
      <c r="J25" s="418">
        <v>6.0642721766974744E-2</v>
      </c>
      <c r="K25" s="418">
        <v>3.5636696422865967E-2</v>
      </c>
      <c r="L25" s="418"/>
      <c r="M25" s="418"/>
      <c r="N25" s="418"/>
      <c r="O25" s="418"/>
      <c r="P25" s="416">
        <f t="shared" si="5"/>
        <v>3.4777467440512723E-2</v>
      </c>
    </row>
    <row r="26" spans="2:16" ht="15.75">
      <c r="B26" s="413"/>
      <c r="C26" s="407"/>
      <c r="D26" s="399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416"/>
    </row>
    <row r="27" spans="2:16" ht="15.75">
      <c r="B27" s="573" t="s">
        <v>39</v>
      </c>
      <c r="C27" s="407" t="s">
        <v>30</v>
      </c>
      <c r="D27" s="418">
        <v>0.58577126139802016</v>
      </c>
      <c r="E27" s="418">
        <v>0.57025346170928881</v>
      </c>
      <c r="F27" s="418">
        <v>0.57640851623137324</v>
      </c>
      <c r="G27" s="418">
        <v>0.58366911946203059</v>
      </c>
      <c r="H27" s="418">
        <v>0.56064800510147061</v>
      </c>
      <c r="I27" s="418">
        <v>0.49244058513440431</v>
      </c>
      <c r="J27" s="418">
        <v>0.47778244837618161</v>
      </c>
      <c r="K27" s="418">
        <v>0.48579009127634609</v>
      </c>
      <c r="L27" s="418"/>
      <c r="M27" s="418"/>
      <c r="N27" s="418"/>
      <c r="O27" s="418"/>
      <c r="P27" s="416">
        <f>AVERAGEIF(D27:O27, "&gt;0")</f>
        <v>0.54159543608613936</v>
      </c>
    </row>
    <row r="28" spans="2:16" ht="15.75">
      <c r="B28" s="577"/>
      <c r="C28" s="407" t="s">
        <v>31</v>
      </c>
      <c r="D28" s="418">
        <v>8.1693945583923164E-2</v>
      </c>
      <c r="E28" s="418">
        <v>9.1615478418020382E-2</v>
      </c>
      <c r="F28" s="418">
        <v>0.10179987010858439</v>
      </c>
      <c r="G28" s="418">
        <v>6.8907686982098079E-2</v>
      </c>
      <c r="H28" s="418">
        <v>4.4634580870799995E-2</v>
      </c>
      <c r="I28" s="418">
        <v>3.785093356542734E-2</v>
      </c>
      <c r="J28" s="418">
        <v>4.3692920912114096E-2</v>
      </c>
      <c r="K28" s="418">
        <v>4.8227053269914638E-2</v>
      </c>
      <c r="L28" s="418"/>
      <c r="M28" s="418"/>
      <c r="N28" s="418"/>
      <c r="O28" s="418"/>
      <c r="P28" s="416">
        <f t="shared" si="5"/>
        <v>6.4802808713860252E-2</v>
      </c>
    </row>
    <row r="29" spans="2:16" ht="15.75">
      <c r="B29" s="577"/>
      <c r="C29" s="407" t="s">
        <v>32</v>
      </c>
      <c r="D29" s="418">
        <v>2.4966128092325353E-2</v>
      </c>
      <c r="E29" s="418">
        <v>2.3825971045169769E-2</v>
      </c>
      <c r="F29" s="418">
        <v>2.6809080825002728E-2</v>
      </c>
      <c r="G29" s="418">
        <v>2.031339297428679E-2</v>
      </c>
      <c r="H29" s="418">
        <v>1.4309263508049936E-2</v>
      </c>
      <c r="I29" s="418">
        <v>1.1252756302247842E-2</v>
      </c>
      <c r="J29" s="418">
        <v>2.5356763079204283E-2</v>
      </c>
      <c r="K29" s="418">
        <v>1.1955499422244914E-2</v>
      </c>
      <c r="L29" s="418"/>
      <c r="M29" s="418"/>
      <c r="N29" s="418"/>
      <c r="O29" s="418"/>
      <c r="P29" s="416">
        <f t="shared" si="5"/>
        <v>1.9848606906066452E-2</v>
      </c>
    </row>
    <row r="30" spans="2:16" ht="15.75">
      <c r="B30" s="577"/>
      <c r="C30" s="407" t="s">
        <v>33</v>
      </c>
      <c r="D30" s="418">
        <v>9.7963785106258503E-3</v>
      </c>
      <c r="E30" s="418">
        <v>1.1706621755150907E-2</v>
      </c>
      <c r="F30" s="418">
        <v>1.640151628508173E-2</v>
      </c>
      <c r="G30" s="418">
        <v>3.1347821800599376E-2</v>
      </c>
      <c r="H30" s="418">
        <v>4.8132802587550046E-2</v>
      </c>
      <c r="I30" s="418">
        <v>6.2276894482742574E-2</v>
      </c>
      <c r="J30" s="418">
        <v>4.8683239172804336E-2</v>
      </c>
      <c r="K30" s="418">
        <v>6.2519191322029044E-2</v>
      </c>
      <c r="L30" s="418"/>
      <c r="M30" s="418"/>
      <c r="N30" s="418"/>
      <c r="O30" s="418"/>
      <c r="P30" s="416">
        <f t="shared" si="5"/>
        <v>3.6358058239572985E-2</v>
      </c>
    </row>
    <row r="31" spans="2:16" ht="15.75">
      <c r="B31" s="577"/>
      <c r="C31" s="407" t="s">
        <v>34</v>
      </c>
      <c r="D31" s="418">
        <v>8.9953008167213674E-2</v>
      </c>
      <c r="E31" s="418">
        <v>0.10114834901064219</v>
      </c>
      <c r="F31" s="418">
        <v>0.11343936177613133</v>
      </c>
      <c r="G31" s="418">
        <v>8.956298139537297E-2</v>
      </c>
      <c r="H31" s="418">
        <v>7.5610894532354242E-2</v>
      </c>
      <c r="I31" s="418">
        <v>7.6646793989054149E-2</v>
      </c>
      <c r="J31" s="418">
        <v>9.2940901853542271E-2</v>
      </c>
      <c r="K31" s="418">
        <v>8.7620992663854036E-2</v>
      </c>
      <c r="L31" s="418"/>
      <c r="M31" s="418"/>
      <c r="N31" s="418"/>
      <c r="O31" s="418"/>
      <c r="P31" s="416">
        <f t="shared" si="5"/>
        <v>9.0865410423520615E-2</v>
      </c>
    </row>
    <row r="32" spans="2:16" ht="15.75">
      <c r="B32" s="577"/>
      <c r="C32" s="407" t="s">
        <v>35</v>
      </c>
      <c r="D32" s="418">
        <v>0.13708177551916129</v>
      </c>
      <c r="E32" s="418">
        <v>0.14060779476747043</v>
      </c>
      <c r="F32" s="418">
        <v>0.14223546019791297</v>
      </c>
      <c r="G32" s="418">
        <v>0.13317793032697267</v>
      </c>
      <c r="H32" s="418">
        <v>0.12743437444531369</v>
      </c>
      <c r="I32" s="418">
        <v>0.11321896903221325</v>
      </c>
      <c r="J32" s="418">
        <v>0.11314919999924089</v>
      </c>
      <c r="K32" s="418">
        <v>0.1282962047313215</v>
      </c>
      <c r="L32" s="418"/>
      <c r="M32" s="418"/>
      <c r="N32" s="418"/>
      <c r="O32" s="418"/>
      <c r="P32" s="416">
        <f t="shared" si="5"/>
        <v>0.12940021362745083</v>
      </c>
    </row>
    <row r="33" spans="2:16" ht="15.75">
      <c r="B33" s="577"/>
      <c r="C33" s="407" t="s">
        <v>36</v>
      </c>
      <c r="D33" s="418">
        <v>1.5652480623129864E-2</v>
      </c>
      <c r="E33" s="418">
        <v>4.823868590510383E-3</v>
      </c>
      <c r="F33" s="418">
        <v>0</v>
      </c>
      <c r="G33" s="418">
        <v>0</v>
      </c>
      <c r="H33" s="418">
        <v>0</v>
      </c>
      <c r="I33" s="418">
        <v>0</v>
      </c>
      <c r="J33" s="418">
        <v>0</v>
      </c>
      <c r="K33" s="418">
        <v>0</v>
      </c>
      <c r="L33" s="418"/>
      <c r="M33" s="418"/>
      <c r="N33" s="418"/>
      <c r="O33" s="418"/>
      <c r="P33" s="416">
        <f t="shared" si="5"/>
        <v>1.0238174606820123E-2</v>
      </c>
    </row>
    <row r="34" spans="2:16" ht="15.75">
      <c r="B34" s="577"/>
      <c r="C34" s="407" t="s">
        <v>37</v>
      </c>
      <c r="D34" s="418">
        <v>2.2004734622699137E-2</v>
      </c>
      <c r="E34" s="418">
        <v>2.0902022232890293E-2</v>
      </c>
      <c r="F34" s="418">
        <v>6.7918504928798538E-4</v>
      </c>
      <c r="G34" s="418">
        <v>5.3864579603920618E-2</v>
      </c>
      <c r="H34" s="418">
        <v>0.11022479998422226</v>
      </c>
      <c r="I34" s="418">
        <v>0.14207987165566802</v>
      </c>
      <c r="J34" s="418">
        <v>0.13977856935459076</v>
      </c>
      <c r="K34" s="418">
        <v>0.13758704395417373</v>
      </c>
      <c r="L34" s="418"/>
      <c r="M34" s="418"/>
      <c r="N34" s="418"/>
      <c r="O34" s="418"/>
      <c r="P34" s="416">
        <f t="shared" si="5"/>
        <v>7.8390100807181604E-2</v>
      </c>
    </row>
    <row r="35" spans="2:16" ht="15.75">
      <c r="B35" s="578"/>
      <c r="C35" s="407" t="s">
        <v>38</v>
      </c>
      <c r="D35" s="418">
        <v>3.3080287482901531E-2</v>
      </c>
      <c r="E35" s="418">
        <v>3.5116432470856891E-2</v>
      </c>
      <c r="F35" s="418">
        <v>2.2227009526625659E-2</v>
      </c>
      <c r="G35" s="418">
        <v>1.9156487454718908E-2</v>
      </c>
      <c r="H35" s="418">
        <v>1.900527897023923E-2</v>
      </c>
      <c r="I35" s="418">
        <v>6.4233195838242538E-2</v>
      </c>
      <c r="J35" s="418">
        <v>5.861595725232175E-2</v>
      </c>
      <c r="K35" s="418">
        <v>3.8003923360116092E-2</v>
      </c>
      <c r="L35" s="418"/>
      <c r="M35" s="418"/>
      <c r="N35" s="418"/>
      <c r="O35" s="418"/>
      <c r="P35" s="416">
        <f t="shared" si="5"/>
        <v>3.6179821544502826E-2</v>
      </c>
    </row>
    <row r="36" spans="2:16" ht="15.75">
      <c r="B36" s="413"/>
      <c r="C36" s="407"/>
      <c r="D36" s="399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416"/>
    </row>
    <row r="37" spans="2:16" ht="15.75">
      <c r="B37" s="572" t="s">
        <v>40</v>
      </c>
      <c r="C37" s="407" t="s">
        <v>30</v>
      </c>
      <c r="D37" s="400">
        <v>768.96508698264131</v>
      </c>
      <c r="E37" s="400">
        <v>774.12086448722914</v>
      </c>
      <c r="F37" s="400">
        <v>757.5904244152307</v>
      </c>
      <c r="G37" s="400">
        <v>740.76981301731939</v>
      </c>
      <c r="H37" s="400">
        <v>765.35781664687147</v>
      </c>
      <c r="I37" s="400">
        <v>783.42710865003369</v>
      </c>
      <c r="J37" s="400">
        <v>771.87393132465104</v>
      </c>
      <c r="K37" s="400">
        <v>782.5286838234781</v>
      </c>
      <c r="L37" s="400"/>
      <c r="M37" s="400"/>
      <c r="N37" s="400"/>
      <c r="O37" s="400"/>
      <c r="P37" s="419">
        <f>AVERAGEIF(D37:O37, "&gt;0")</f>
        <v>768.0792161684318</v>
      </c>
    </row>
    <row r="38" spans="2:16" ht="15.75">
      <c r="B38" s="573"/>
      <c r="C38" s="420" t="s">
        <v>31</v>
      </c>
      <c r="D38" s="421">
        <v>280.52357557404559</v>
      </c>
      <c r="E38" s="421">
        <v>304.46478382945497</v>
      </c>
      <c r="F38" s="421">
        <v>311.70581961708376</v>
      </c>
      <c r="G38" s="421">
        <v>320.67204374311393</v>
      </c>
      <c r="H38" s="421">
        <v>308.1159721716769</v>
      </c>
      <c r="I38" s="421">
        <v>298.23676867480344</v>
      </c>
      <c r="J38" s="421">
        <v>296.14735806418179</v>
      </c>
      <c r="K38" s="421">
        <v>295.72183077104819</v>
      </c>
      <c r="L38" s="421"/>
      <c r="M38" s="421"/>
      <c r="N38" s="421"/>
      <c r="O38" s="421"/>
      <c r="P38" s="419">
        <f t="shared" si="5"/>
        <v>301.94851905567606</v>
      </c>
    </row>
    <row r="39" spans="2:16" ht="15.75">
      <c r="B39" s="573"/>
      <c r="C39" s="420" t="s">
        <v>32</v>
      </c>
      <c r="D39" s="421">
        <v>258.56166578115295</v>
      </c>
      <c r="E39" s="421">
        <v>203.2437413385673</v>
      </c>
      <c r="F39" s="421">
        <v>331.13667122055222</v>
      </c>
      <c r="G39" s="421">
        <v>331.07659362533582</v>
      </c>
      <c r="H39" s="421">
        <v>209.58696420097431</v>
      </c>
      <c r="I39" s="421">
        <v>118.56652276295132</v>
      </c>
      <c r="J39" s="421">
        <v>117.05022912035081</v>
      </c>
      <c r="K39" s="421">
        <v>119.39248251748248</v>
      </c>
      <c r="L39" s="421"/>
      <c r="M39" s="421"/>
      <c r="N39" s="421"/>
      <c r="O39" s="421"/>
      <c r="P39" s="419">
        <f t="shared" si="5"/>
        <v>211.0768588209209</v>
      </c>
    </row>
    <row r="40" spans="2:16" ht="15.75">
      <c r="B40" s="573"/>
      <c r="C40" s="420" t="s">
        <v>33</v>
      </c>
      <c r="D40" s="421">
        <v>486.07170829520021</v>
      </c>
      <c r="E40" s="421">
        <v>490.19814173593841</v>
      </c>
      <c r="F40" s="421">
        <v>493.97618103140815</v>
      </c>
      <c r="G40" s="421">
        <v>416.80190173613738</v>
      </c>
      <c r="H40" s="421">
        <v>367.707567900654</v>
      </c>
      <c r="I40" s="421">
        <v>397.08854160526414</v>
      </c>
      <c r="J40" s="421">
        <v>437.64998264612387</v>
      </c>
      <c r="K40" s="421">
        <v>448.4207728009294</v>
      </c>
      <c r="L40" s="421"/>
      <c r="M40" s="421"/>
      <c r="N40" s="421"/>
      <c r="O40" s="421"/>
      <c r="P40" s="419">
        <f t="shared" si="5"/>
        <v>442.23934971895699</v>
      </c>
    </row>
    <row r="41" spans="2:16" ht="15.75">
      <c r="B41" s="573"/>
      <c r="C41" s="420" t="s">
        <v>34</v>
      </c>
      <c r="D41" s="421">
        <v>82.669482447974161</v>
      </c>
      <c r="E41" s="421">
        <v>81.452411562244222</v>
      </c>
      <c r="F41" s="421">
        <v>79.94999927589204</v>
      </c>
      <c r="G41" s="421">
        <v>82.282454157599574</v>
      </c>
      <c r="H41" s="421">
        <v>81.90398870846974</v>
      </c>
      <c r="I41" s="421">
        <v>84.227709910361142</v>
      </c>
      <c r="J41" s="421">
        <v>84.954232333344365</v>
      </c>
      <c r="K41" s="421">
        <v>84.887087996889008</v>
      </c>
      <c r="L41" s="421"/>
      <c r="M41" s="421"/>
      <c r="N41" s="421"/>
      <c r="O41" s="421"/>
      <c r="P41" s="419">
        <f t="shared" si="5"/>
        <v>82.790920799096796</v>
      </c>
    </row>
    <row r="42" spans="2:16" ht="15.75">
      <c r="B42" s="573"/>
      <c r="C42" s="420" t="s">
        <v>35</v>
      </c>
      <c r="D42" s="421">
        <v>78.306366965294018</v>
      </c>
      <c r="E42" s="421">
        <v>77.971322564328403</v>
      </c>
      <c r="F42" s="421">
        <v>77.906796798443906</v>
      </c>
      <c r="G42" s="421">
        <v>78.189351465199536</v>
      </c>
      <c r="H42" s="421">
        <v>79.190461701431943</v>
      </c>
      <c r="I42" s="421">
        <v>79.718377211575145</v>
      </c>
      <c r="J42" s="421">
        <v>79.472250627696354</v>
      </c>
      <c r="K42" s="421">
        <v>79.704121168901651</v>
      </c>
      <c r="L42" s="421"/>
      <c r="M42" s="421"/>
      <c r="N42" s="421"/>
      <c r="O42" s="421"/>
      <c r="P42" s="419">
        <f t="shared" si="5"/>
        <v>78.80738106285888</v>
      </c>
    </row>
    <row r="43" spans="2:16" ht="15.75">
      <c r="B43" s="573"/>
      <c r="C43" s="420" t="s">
        <v>36</v>
      </c>
      <c r="D43" s="421">
        <v>76.250132772766719</v>
      </c>
      <c r="E43" s="421">
        <v>72.949975663847383</v>
      </c>
      <c r="F43" s="421">
        <v>0</v>
      </c>
      <c r="G43" s="421">
        <v>0</v>
      </c>
      <c r="H43" s="421">
        <v>0</v>
      </c>
      <c r="I43" s="421">
        <v>0</v>
      </c>
      <c r="J43" s="421">
        <v>0</v>
      </c>
      <c r="K43" s="421">
        <v>0</v>
      </c>
      <c r="L43" s="421"/>
      <c r="M43" s="421"/>
      <c r="N43" s="421"/>
      <c r="O43" s="421"/>
      <c r="P43" s="419">
        <f t="shared" si="5"/>
        <v>74.600054218307051</v>
      </c>
    </row>
    <row r="44" spans="2:16" ht="15.75">
      <c r="B44" s="573"/>
      <c r="C44" s="420" t="s">
        <v>37</v>
      </c>
      <c r="D44" s="421">
        <v>110.80830487807768</v>
      </c>
      <c r="E44" s="421">
        <v>97.15750138812345</v>
      </c>
      <c r="F44" s="421">
        <v>84.60142398436416</v>
      </c>
      <c r="G44" s="421">
        <v>159.74228643292116</v>
      </c>
      <c r="H44" s="421">
        <v>161.80618458291255</v>
      </c>
      <c r="I44" s="421">
        <v>157.36335172582426</v>
      </c>
      <c r="J44" s="421">
        <v>155.73662529229455</v>
      </c>
      <c r="K44" s="421">
        <v>158.12481452190781</v>
      </c>
      <c r="L44" s="421"/>
      <c r="M44" s="421"/>
      <c r="N44" s="421"/>
      <c r="O44" s="421"/>
      <c r="P44" s="419">
        <f t="shared" si="5"/>
        <v>135.6675616008032</v>
      </c>
    </row>
    <row r="45" spans="2:16" ht="16.5" thickBot="1">
      <c r="B45" s="574"/>
      <c r="C45" s="422" t="s">
        <v>38</v>
      </c>
      <c r="D45" s="401">
        <v>76.123665150077642</v>
      </c>
      <c r="E45" s="401">
        <v>77.592138128204311</v>
      </c>
      <c r="F45" s="401">
        <v>83.044478559400275</v>
      </c>
      <c r="G45" s="401">
        <v>83.064526679068933</v>
      </c>
      <c r="H45" s="401">
        <v>89.419712752776604</v>
      </c>
      <c r="I45" s="401">
        <v>118.28436587813741</v>
      </c>
      <c r="J45" s="401">
        <v>117.58780675275712</v>
      </c>
      <c r="K45" s="401">
        <v>102.5938619423931</v>
      </c>
      <c r="L45" s="401"/>
      <c r="M45" s="401"/>
      <c r="N45" s="401"/>
      <c r="O45" s="401"/>
      <c r="P45" s="423">
        <f t="shared" si="5"/>
        <v>93.46381948035193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K37" sqref="K37:K45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79" t="s">
        <v>41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98"/>
    </row>
    <row r="2" spans="1:12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2" ht="21.6" customHeight="1">
      <c r="A3" s="113" t="s">
        <v>42</v>
      </c>
      <c r="B3" s="114">
        <v>8</v>
      </c>
      <c r="C3" s="113" t="s">
        <v>43</v>
      </c>
      <c r="D3" s="581" t="s">
        <v>44</v>
      </c>
      <c r="E3" s="581"/>
      <c r="F3" s="99"/>
      <c r="G3" s="108"/>
      <c r="H3" s="99"/>
      <c r="I3" s="99"/>
      <c r="J3" s="99"/>
      <c r="K3" s="99"/>
    </row>
    <row r="4" spans="1:12" ht="15.75" customHeight="1">
      <c r="A4" s="109" t="s">
        <v>45</v>
      </c>
      <c r="E4" s="101" t="s">
        <v>46</v>
      </c>
      <c r="G4" s="110" t="s">
        <v>47</v>
      </c>
      <c r="L4" s="98"/>
    </row>
    <row r="5" spans="1:12" s="103" customFormat="1" ht="15.75" customHeight="1">
      <c r="A5" s="120" t="s">
        <v>0</v>
      </c>
      <c r="B5" s="115" t="s">
        <v>48</v>
      </c>
      <c r="C5" s="115" t="s">
        <v>49</v>
      </c>
      <c r="D5" s="115" t="s">
        <v>50</v>
      </c>
      <c r="E5" s="115" t="s">
        <v>51</v>
      </c>
      <c r="G5" s="120" t="s">
        <v>0</v>
      </c>
      <c r="H5" s="115" t="s">
        <v>52</v>
      </c>
      <c r="I5" s="115" t="s">
        <v>48</v>
      </c>
      <c r="J5" s="115" t="s">
        <v>53</v>
      </c>
      <c r="K5" s="115" t="s">
        <v>51</v>
      </c>
      <c r="L5" s="104" t="s">
        <v>54</v>
      </c>
    </row>
    <row r="6" spans="1:12" ht="18" customHeight="1">
      <c r="A6" s="106" t="s">
        <v>55</v>
      </c>
      <c r="B6" s="424">
        <f>'（１）收支狀況'!H9/1000</f>
        <v>175321.62117</v>
      </c>
      <c r="C6" s="393">
        <v>199388.61726000003</v>
      </c>
      <c r="D6" s="116">
        <f t="shared" ref="D6:D11" si="0">B6-C6</f>
        <v>-24066.99609000003</v>
      </c>
      <c r="E6" s="393">
        <f>'數值累積總表(月)'!P2</f>
        <v>1323001.8304600001</v>
      </c>
      <c r="G6" s="106" t="s">
        <v>56</v>
      </c>
      <c r="H6" s="118">
        <v>497.6</v>
      </c>
      <c r="I6" s="425">
        <f>'（２）ＫＰＩ達成進度'!H9</f>
        <v>448.73865593082098</v>
      </c>
      <c r="J6" s="403">
        <v>434.66889417885551</v>
      </c>
      <c r="K6" s="403">
        <f>'數值累積總表(月)'!P10</f>
        <v>434.48080063579937</v>
      </c>
      <c r="L6" s="100" t="s">
        <v>57</v>
      </c>
    </row>
    <row r="7" spans="1:12" ht="18" customHeight="1">
      <c r="A7" s="106" t="s">
        <v>58</v>
      </c>
      <c r="B7" s="424">
        <f>'（１）收支狀況'!K9</f>
        <v>5581950</v>
      </c>
      <c r="C7" s="393">
        <v>6323244</v>
      </c>
      <c r="D7" s="116">
        <f t="shared" si="0"/>
        <v>-741294</v>
      </c>
      <c r="E7" s="393">
        <f>'數值累積總表(月)'!P3</f>
        <v>43263080</v>
      </c>
      <c r="G7" s="106" t="s">
        <v>59</v>
      </c>
      <c r="H7" s="117">
        <v>0.8</v>
      </c>
      <c r="I7" s="402">
        <f>'（２）ＫＰＩ達成進度'!K9</f>
        <v>0.89675990393849114</v>
      </c>
      <c r="J7" s="405">
        <v>0.98252462517824479</v>
      </c>
      <c r="K7" s="405">
        <f>'數值累積總表(月)'!P11</f>
        <v>0.91264228009716764</v>
      </c>
      <c r="L7" s="100" t="s">
        <v>60</v>
      </c>
    </row>
    <row r="8" spans="1:12" ht="18" customHeight="1">
      <c r="A8" s="106" t="s">
        <v>61</v>
      </c>
      <c r="B8" s="424">
        <f>'（１）收支狀況'!N9/1000</f>
        <v>119419.26352012459</v>
      </c>
      <c r="C8" s="393">
        <v>131878</v>
      </c>
      <c r="D8" s="116">
        <f>B8-C8</f>
        <v>-12458.736479875413</v>
      </c>
      <c r="E8" s="393">
        <f>'數值累積總表(月)'!P4</f>
        <v>863080.85848651989</v>
      </c>
      <c r="G8" s="106" t="s">
        <v>62</v>
      </c>
      <c r="H8" s="117">
        <v>2.5000000000000001E-3</v>
      </c>
      <c r="I8" s="426">
        <f>'（２）ＫＰＩ達成進度'!N9</f>
        <v>2.0066949915476767E-3</v>
      </c>
      <c r="J8" s="404">
        <v>2.0067058203413666E-3</v>
      </c>
      <c r="K8" s="404">
        <f>'數值累積總表(月)'!P12</f>
        <v>2.1052964839940124E-3</v>
      </c>
      <c r="L8" s="100" t="s">
        <v>63</v>
      </c>
    </row>
    <row r="9" spans="1:12" ht="18" customHeight="1">
      <c r="A9" s="106" t="s">
        <v>64</v>
      </c>
      <c r="B9" s="448">
        <f>'（１）收支狀況'!Q9</f>
        <v>0.68114396115656561</v>
      </c>
      <c r="C9" s="427">
        <v>0.67500000000000004</v>
      </c>
      <c r="D9" s="117">
        <f t="shared" si="0"/>
        <v>6.1439611565655694E-3</v>
      </c>
      <c r="E9" s="427">
        <f>'數值累積總表(月)'!P5</f>
        <v>0.66493527700135502</v>
      </c>
      <c r="G9" s="106" t="s">
        <v>65</v>
      </c>
      <c r="H9" s="117">
        <v>4.0000000000000001E-3</v>
      </c>
      <c r="I9" s="402">
        <f>'（２）ＫＰＩ達成進度'!Q9</f>
        <v>6.0131110259086448E-3</v>
      </c>
      <c r="J9" s="405">
        <v>6.0144112131268234E-3</v>
      </c>
      <c r="K9" s="405">
        <f>'數值累積總表(月)'!P13</f>
        <v>5.5399626304232048E-3</v>
      </c>
      <c r="L9" s="100" t="s">
        <v>66</v>
      </c>
    </row>
    <row r="10" spans="1:12" ht="18" customHeight="1">
      <c r="A10" s="106" t="s">
        <v>67</v>
      </c>
      <c r="B10" s="424">
        <f>'（１）收支狀況'!T9/1000</f>
        <v>25354.549750000002</v>
      </c>
      <c r="C10" s="393">
        <v>26966</v>
      </c>
      <c r="D10" s="116">
        <f>B10-C10</f>
        <v>-1611.4502499999981</v>
      </c>
      <c r="E10" s="393">
        <f>'數值累積總表(月)'!P6</f>
        <v>195229.54657200002</v>
      </c>
      <c r="G10" s="106" t="s">
        <v>68</v>
      </c>
      <c r="H10" s="117">
        <v>0.8</v>
      </c>
      <c r="I10" s="402">
        <f>'（２）ＫＰＩ達成進度'!T9</f>
        <v>0.89999999999999947</v>
      </c>
      <c r="J10" s="405">
        <v>0.89999999999999947</v>
      </c>
      <c r="K10" s="405">
        <f>'數值累積總表(月)'!P14</f>
        <v>0.89999999999999947</v>
      </c>
      <c r="L10" s="100" t="s">
        <v>69</v>
      </c>
    </row>
    <row r="11" spans="1:12" ht="18" customHeight="1">
      <c r="A11" s="106" t="s">
        <v>70</v>
      </c>
      <c r="B11" s="448">
        <f>'（１）收支狀況'!W9</f>
        <v>0.14461735854823665</v>
      </c>
      <c r="C11" s="427">
        <v>0.13800000000000001</v>
      </c>
      <c r="D11" s="117">
        <f t="shared" si="0"/>
        <v>6.6173585482366404E-3</v>
      </c>
      <c r="E11" s="427">
        <f>'數值累積總表(月)'!P7</f>
        <v>0.15327473931808949</v>
      </c>
      <c r="G11" s="106" t="s">
        <v>71</v>
      </c>
      <c r="H11" s="117">
        <v>1</v>
      </c>
      <c r="I11" s="402">
        <f>'（２）ＫＰＩ達成進度'!W9</f>
        <v>0.63957816377171217</v>
      </c>
      <c r="J11" s="405">
        <v>0.55521091811414403</v>
      </c>
      <c r="K11" s="405">
        <f>'數值累積總表(月)'!P15</f>
        <v>0.63957816377171217</v>
      </c>
      <c r="L11" s="100" t="s">
        <v>72</v>
      </c>
    </row>
    <row r="12" spans="1:12" ht="9.6" customHeight="1">
      <c r="L12" s="98"/>
    </row>
    <row r="13" spans="1:12" ht="15.75" customHeight="1">
      <c r="A13" s="109" t="s">
        <v>73</v>
      </c>
      <c r="E13" s="308" t="s">
        <v>46</v>
      </c>
      <c r="G13" s="109" t="s">
        <v>74</v>
      </c>
      <c r="K13" s="308" t="s">
        <v>75</v>
      </c>
      <c r="L13" s="98"/>
    </row>
    <row r="14" spans="1:12" s="105" customFormat="1" ht="12">
      <c r="A14" s="119"/>
      <c r="B14" s="119" t="s">
        <v>48</v>
      </c>
      <c r="C14" s="119" t="s">
        <v>76</v>
      </c>
      <c r="D14" s="119" t="s">
        <v>53</v>
      </c>
      <c r="E14" s="119" t="s">
        <v>77</v>
      </c>
      <c r="G14" s="119"/>
      <c r="H14" s="119" t="s">
        <v>48</v>
      </c>
      <c r="I14" s="119" t="s">
        <v>76</v>
      </c>
      <c r="J14" s="119" t="s">
        <v>53</v>
      </c>
      <c r="K14" s="119" t="s">
        <v>77</v>
      </c>
    </row>
    <row r="15" spans="1:12" ht="18" customHeight="1">
      <c r="A15" s="106" t="s">
        <v>78</v>
      </c>
      <c r="B15" s="424">
        <f>SUM('（３）業績構成比'!M11:M41)/1000</f>
        <v>50976.092340000003</v>
      </c>
      <c r="C15" s="117">
        <f>IFERROR(B15/$B$6,"")</f>
        <v>0.29075759167530862</v>
      </c>
      <c r="D15" s="428">
        <v>0.29977346874027683</v>
      </c>
      <c r="E15" s="117">
        <f>IFERROR(C15-D15,"")</f>
        <v>-9.015877064968203E-3</v>
      </c>
      <c r="G15" s="106" t="s">
        <v>79</v>
      </c>
      <c r="H15" s="424">
        <f>SUM('（４）訂單數量構成比'!M11:M41)</f>
        <v>2711656</v>
      </c>
      <c r="I15" s="117">
        <f t="shared" ref="I15:I23" si="1">IFERROR(H15/$B$7,"")</f>
        <v>0.48579009127634609</v>
      </c>
      <c r="J15" s="428">
        <v>0.47778244837618161</v>
      </c>
      <c r="K15" s="117">
        <f>IFERROR(I15-J15,"")</f>
        <v>8.00764290016448E-3</v>
      </c>
      <c r="L15" s="98"/>
    </row>
    <row r="16" spans="1:12" ht="18" customHeight="1">
      <c r="A16" s="106" t="s">
        <v>80</v>
      </c>
      <c r="B16" s="424">
        <f>SUM('（３）業績構成比'!S11:S41)/1000</f>
        <v>7799.8241200000002</v>
      </c>
      <c r="C16" s="117">
        <f t="shared" ref="C16:C23" si="2">IFERROR(B16/$B$6,"")</f>
        <v>4.4488660713654524E-2</v>
      </c>
      <c r="D16" s="428">
        <v>3.5290065487433755E-2</v>
      </c>
      <c r="E16" s="117">
        <f t="shared" ref="E16:E23" si="3">IFERROR(C16-D16,"")</f>
        <v>9.1985952262207682E-3</v>
      </c>
      <c r="G16" s="106" t="s">
        <v>80</v>
      </c>
      <c r="H16" s="424">
        <f>SUM('（４）訂單數量構成比'!S11:S41)</f>
        <v>269201</v>
      </c>
      <c r="I16" s="117">
        <f t="shared" si="1"/>
        <v>4.8227053269914638E-2</v>
      </c>
      <c r="J16" s="428">
        <v>4.3692920912114096E-2</v>
      </c>
      <c r="K16" s="117">
        <f t="shared" ref="K16:K23" si="4">IFERROR(I16-J16,"")</f>
        <v>4.5341323578005424E-3</v>
      </c>
      <c r="L16" s="98"/>
    </row>
    <row r="17" spans="1:16" ht="18" customHeight="1">
      <c r="A17" s="106" t="s">
        <v>81</v>
      </c>
      <c r="B17" s="424">
        <f>SUM('（３）業績構成比'!U11:U41)/1000</f>
        <v>2000.0479499999999</v>
      </c>
      <c r="C17" s="117">
        <f t="shared" si="2"/>
        <v>1.1407879625187018E-2</v>
      </c>
      <c r="D17" s="428">
        <v>1.0903808522397734E-2</v>
      </c>
      <c r="E17" s="117">
        <f t="shared" si="3"/>
        <v>5.0407110278928406E-4</v>
      </c>
      <c r="G17" s="106" t="s">
        <v>32</v>
      </c>
      <c r="H17" s="424">
        <f>SUM('（４）訂單數量構成比'!U11:U41)</f>
        <v>66735</v>
      </c>
      <c r="I17" s="117">
        <f t="shared" si="1"/>
        <v>1.1955499422244914E-2</v>
      </c>
      <c r="J17" s="428">
        <v>2.5356763079204283E-2</v>
      </c>
      <c r="K17" s="117">
        <f t="shared" si="4"/>
        <v>-1.3401263656959369E-2</v>
      </c>
      <c r="L17" s="98"/>
    </row>
    <row r="18" spans="1:16" ht="18" customHeight="1">
      <c r="A18" s="106" t="s">
        <v>82</v>
      </c>
      <c r="B18" s="424">
        <f>SUM('（３）業績構成比'!W11:W41)/1000</f>
        <v>8494.2273499999992</v>
      </c>
      <c r="C18" s="117">
        <f t="shared" si="2"/>
        <v>4.8449399984521024E-2</v>
      </c>
      <c r="D18" s="428">
        <v>4.9548361396139648E-2</v>
      </c>
      <c r="E18" s="117">
        <f t="shared" si="3"/>
        <v>-1.0989614116186236E-3</v>
      </c>
      <c r="G18" s="106" t="s">
        <v>33</v>
      </c>
      <c r="H18" s="424">
        <f>SUM('（４）訂單數量構成比'!W11:W41)</f>
        <v>348979</v>
      </c>
      <c r="I18" s="117">
        <f t="shared" si="1"/>
        <v>6.2519191322029044E-2</v>
      </c>
      <c r="J18" s="428">
        <v>4.8683239172804336E-2</v>
      </c>
      <c r="K18" s="117">
        <f t="shared" si="4"/>
        <v>1.3835952149224708E-2</v>
      </c>
      <c r="L18" s="98"/>
    </row>
    <row r="19" spans="1:16" ht="18" customHeight="1">
      <c r="A19" s="106" t="s">
        <v>83</v>
      </c>
      <c r="B19" s="424">
        <f>SUM('（３）業績構成比'!AC11:AC41)/1000</f>
        <v>26281.869180000005</v>
      </c>
      <c r="C19" s="117">
        <f t="shared" si="2"/>
        <v>0.14990660595429861</v>
      </c>
      <c r="D19" s="428">
        <v>0.13432459995236101</v>
      </c>
      <c r="E19" s="117">
        <f t="shared" si="3"/>
        <v>1.5582006001937598E-2</v>
      </c>
      <c r="G19" s="106" t="s">
        <v>34</v>
      </c>
      <c r="H19" s="424">
        <f>SUM('（４）訂單數量構成比'!AC11:AC41)</f>
        <v>489096</v>
      </c>
      <c r="I19" s="117">
        <f t="shared" si="1"/>
        <v>8.7620992663854036E-2</v>
      </c>
      <c r="J19" s="428">
        <v>9.2940901853542271E-2</v>
      </c>
      <c r="K19" s="117">
        <f t="shared" si="4"/>
        <v>-5.319909189688235E-3</v>
      </c>
      <c r="L19" s="98"/>
    </row>
    <row r="20" spans="1:16" ht="18" customHeight="1">
      <c r="A20" s="106" t="s">
        <v>84</v>
      </c>
      <c r="B20" s="424">
        <f>SUM('（３）業績構成比'!AE11:AE41)/1000</f>
        <v>44370.365210000011</v>
      </c>
      <c r="C20" s="117">
        <f t="shared" si="2"/>
        <v>0.25307982503182791</v>
      </c>
      <c r="D20" s="428">
        <v>0.22905816354399502</v>
      </c>
      <c r="E20" s="117">
        <f t="shared" si="3"/>
        <v>2.4021661487832885E-2</v>
      </c>
      <c r="G20" s="106" t="s">
        <v>35</v>
      </c>
      <c r="H20" s="424">
        <f>SUM('（４）訂單數量構成比'!AE11:AE41)</f>
        <v>716143</v>
      </c>
      <c r="I20" s="117">
        <f t="shared" si="1"/>
        <v>0.1282962047313215</v>
      </c>
      <c r="J20" s="428">
        <v>0.11314919999924089</v>
      </c>
      <c r="K20" s="117">
        <f t="shared" si="4"/>
        <v>1.514700473208061E-2</v>
      </c>
      <c r="L20" s="98"/>
    </row>
    <row r="21" spans="1:16" ht="18" customHeight="1">
      <c r="A21" s="106" t="s">
        <v>85</v>
      </c>
      <c r="B21" s="424">
        <f>SUM('（３）業績構成比'!AG11:AG41)/1000</f>
        <v>0</v>
      </c>
      <c r="C21" s="117">
        <f t="shared" si="2"/>
        <v>0</v>
      </c>
      <c r="D21" s="428">
        <v>0</v>
      </c>
      <c r="E21" s="117">
        <f t="shared" si="3"/>
        <v>0</v>
      </c>
      <c r="G21" s="106" t="s">
        <v>36</v>
      </c>
      <c r="H21" s="424">
        <f>SUM('（４）訂單數量構成比'!AG11:AG41)</f>
        <v>0</v>
      </c>
      <c r="I21" s="117">
        <f t="shared" si="1"/>
        <v>0</v>
      </c>
      <c r="J21" s="428">
        <v>0</v>
      </c>
      <c r="K21" s="117">
        <f t="shared" si="4"/>
        <v>0</v>
      </c>
      <c r="L21" s="98"/>
    </row>
    <row r="22" spans="1:16" ht="18" customHeight="1">
      <c r="A22" s="106" t="s">
        <v>86</v>
      </c>
      <c r="B22" s="424">
        <f>SUM('（３）業績構成比'!AI11:AI41)/1000</f>
        <v>29151.31163</v>
      </c>
      <c r="C22" s="117">
        <f t="shared" si="2"/>
        <v>0.16627334059233648</v>
      </c>
      <c r="D22" s="428">
        <v>0.17184921115430482</v>
      </c>
      <c r="E22" s="117">
        <f t="shared" si="3"/>
        <v>-5.5758705619683435E-3</v>
      </c>
      <c r="G22" s="106" t="s">
        <v>37</v>
      </c>
      <c r="H22" s="424">
        <f>SUM('（４）訂單數量構成比'!AI11:AI41)</f>
        <v>768004</v>
      </c>
      <c r="I22" s="117">
        <f t="shared" si="1"/>
        <v>0.13758704395417373</v>
      </c>
      <c r="J22" s="428">
        <v>0.13977856935459076</v>
      </c>
      <c r="K22" s="117">
        <f t="shared" si="4"/>
        <v>-2.1915254004170326E-3</v>
      </c>
      <c r="L22" s="98"/>
    </row>
    <row r="23" spans="1:16" ht="18" customHeight="1">
      <c r="A23" s="106" t="s">
        <v>87</v>
      </c>
      <c r="B23" s="424">
        <f>SUM('（３）業績構成比'!AK11:AK41)/1000</f>
        <v>6247.8833900000009</v>
      </c>
      <c r="C23" s="117">
        <f t="shared" si="2"/>
        <v>3.5636696422865967E-2</v>
      </c>
      <c r="D23" s="428">
        <v>6.925232120309105E-2</v>
      </c>
      <c r="E23" s="117">
        <f t="shared" si="3"/>
        <v>-3.3615624780225083E-2</v>
      </c>
      <c r="G23" s="106" t="s">
        <v>38</v>
      </c>
      <c r="H23" s="424">
        <f>SUM('（４）訂單數量構成比'!AK11:AK41)</f>
        <v>212136</v>
      </c>
      <c r="I23" s="117">
        <f t="shared" si="1"/>
        <v>3.8003923360116092E-2</v>
      </c>
      <c r="J23" s="428">
        <v>5.861595725232175E-2</v>
      </c>
      <c r="K23" s="117">
        <f t="shared" si="4"/>
        <v>-2.0612033892205658E-2</v>
      </c>
      <c r="L23" s="98"/>
    </row>
    <row r="24" spans="1:16" ht="15.75" customHeight="1">
      <c r="C24" s="111">
        <f>SUM(C15:C23)</f>
        <v>1.0000000000000002</v>
      </c>
      <c r="D24" s="111">
        <f t="shared" ref="D24" si="5">SUM(D15:D23)</f>
        <v>1</v>
      </c>
      <c r="I24" s="111">
        <f t="shared" ref="I24:J24" si="6">SUM(I15:I23)</f>
        <v>1</v>
      </c>
      <c r="J24" s="111">
        <f t="shared" si="6"/>
        <v>1.0000000000000002</v>
      </c>
      <c r="L24" s="98"/>
    </row>
    <row r="25" spans="1:16" ht="9.6" customHeight="1">
      <c r="A25" s="112"/>
      <c r="L25" s="98"/>
    </row>
    <row r="26" spans="1:16" ht="15.75" customHeight="1">
      <c r="A26" s="109" t="s">
        <v>88</v>
      </c>
      <c r="L26" s="98"/>
    </row>
    <row r="27" spans="1:16" ht="15.75" customHeight="1">
      <c r="A27" s="106" t="s">
        <v>89</v>
      </c>
      <c r="B27" s="106" t="s">
        <v>48</v>
      </c>
      <c r="C27" s="106" t="s">
        <v>49</v>
      </c>
      <c r="D27" s="106" t="s">
        <v>50</v>
      </c>
      <c r="E27" s="106" t="s">
        <v>51</v>
      </c>
      <c r="L27" s="98"/>
    </row>
    <row r="28" spans="1:16" ht="18" customHeight="1">
      <c r="A28" s="106" t="s">
        <v>90</v>
      </c>
      <c r="B28" s="429">
        <f>'（５-1）品群別人時生產性(18℃-飯糰)'!C1</f>
        <v>800.69875641764111</v>
      </c>
      <c r="C28" s="430">
        <v>771.87393132465104</v>
      </c>
      <c r="D28" s="221">
        <f t="shared" ref="D28:D36" si="7">B28-C28</f>
        <v>28.824825092990068</v>
      </c>
      <c r="E28" s="406">
        <f>'數值累積總表(月)'!P37</f>
        <v>768.0792161684318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31</v>
      </c>
      <c r="B29" s="429">
        <f>'（５-2）品群別人時生產性(18℃-壽司手卷)'!C1</f>
        <v>295.69211221705984</v>
      </c>
      <c r="C29" s="430">
        <v>296.14735806418179</v>
      </c>
      <c r="D29" s="221">
        <f t="shared" si="7"/>
        <v>-0.45524584712194383</v>
      </c>
      <c r="E29" s="406">
        <f>'數值累積總表(月)'!P38</f>
        <v>301.94851905567606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32</v>
      </c>
      <c r="B30" s="429">
        <f>'（５-3）品群別人時生產性(4℃-飯糰)'!C1</f>
        <v>119.39248251748248</v>
      </c>
      <c r="C30" s="430">
        <v>117.05022912035081</v>
      </c>
      <c r="D30" s="221">
        <f t="shared" si="7"/>
        <v>2.342253397131671</v>
      </c>
      <c r="E30" s="406">
        <f>'數值累積總表(月)'!P39</f>
        <v>211.0768588209209</v>
      </c>
      <c r="L30" s="98"/>
    </row>
    <row r="31" spans="1:16" ht="18" customHeight="1">
      <c r="A31" s="106" t="s">
        <v>33</v>
      </c>
      <c r="B31" s="429">
        <f>'（５-4）品群別人時生產性(4℃-壽司手卷)'!C1</f>
        <v>471.17142282877063</v>
      </c>
      <c r="C31" s="430">
        <v>437.64998264612387</v>
      </c>
      <c r="D31" s="221">
        <f t="shared" si="7"/>
        <v>33.521440182646757</v>
      </c>
      <c r="E31" s="406">
        <f>'數值累積總表(月)'!P40</f>
        <v>442.23934971895699</v>
      </c>
      <c r="L31" s="98"/>
    </row>
    <row r="32" spans="1:16" ht="18" customHeight="1">
      <c r="A32" s="106" t="s">
        <v>34</v>
      </c>
      <c r="B32" s="429">
        <f>'（５-5）品群別人時生產性(微波主食) '!C1</f>
        <v>84.966441948873936</v>
      </c>
      <c r="C32" s="430">
        <v>84.954232333344365</v>
      </c>
      <c r="D32" s="221">
        <f t="shared" si="7"/>
        <v>1.2209615529570783E-2</v>
      </c>
      <c r="E32" s="406">
        <f>'數值累積總表(月)'!P41</f>
        <v>82.790920799096796</v>
      </c>
      <c r="L32" s="98"/>
    </row>
    <row r="33" spans="1:12" ht="18" customHeight="1">
      <c r="A33" s="106" t="s">
        <v>35</v>
      </c>
      <c r="B33" s="429">
        <f>'（５-6）品群別人時生產性(便當)'!C1</f>
        <v>80.05227699550008</v>
      </c>
      <c r="C33" s="430">
        <v>79.472250627696354</v>
      </c>
      <c r="D33" s="221">
        <f t="shared" si="7"/>
        <v>0.58002636780372541</v>
      </c>
      <c r="E33" s="406">
        <f>'數值累積總表(月)'!P42</f>
        <v>78.80738106285888</v>
      </c>
      <c r="L33" s="98"/>
    </row>
    <row r="34" spans="1:12" ht="18" customHeight="1">
      <c r="A34" s="106" t="s">
        <v>36</v>
      </c>
      <c r="B34" s="429">
        <f>'（５-7）品群別人時生產性(熱食義麵) '!C1</f>
        <v>0</v>
      </c>
      <c r="C34" s="430">
        <v>0</v>
      </c>
      <c r="D34" s="221">
        <f t="shared" si="7"/>
        <v>0</v>
      </c>
      <c r="E34" s="406">
        <f>'數值累積總表(月)'!P43</f>
        <v>74.600054218307051</v>
      </c>
      <c r="L34" s="98"/>
    </row>
    <row r="35" spans="1:12" ht="18" customHeight="1">
      <c r="A35" s="106" t="s">
        <v>37</v>
      </c>
      <c r="B35" s="429">
        <f>'（５-8）品群別人時生產性(季節調理麵) '!C1</f>
        <v>160.0901569355139</v>
      </c>
      <c r="C35" s="430">
        <v>155.73662529229455</v>
      </c>
      <c r="D35" s="221">
        <f t="shared" si="7"/>
        <v>4.3535316432193554</v>
      </c>
      <c r="E35" s="406">
        <f>'數值累積總表(月)'!P44</f>
        <v>135.6675616008032</v>
      </c>
      <c r="L35" s="98"/>
    </row>
    <row r="36" spans="1:12" ht="18" customHeight="1">
      <c r="A36" s="102" t="s">
        <v>38</v>
      </c>
      <c r="B36" s="429">
        <f>'（５-9）品群別人時生產性(微波小吃)'!C1</f>
        <v>89.112331588411166</v>
      </c>
      <c r="C36" s="430">
        <v>117.58780675275712</v>
      </c>
      <c r="D36" s="221">
        <f t="shared" si="7"/>
        <v>-28.475475164345951</v>
      </c>
      <c r="E36" s="406">
        <f>'數值累積總表(月)'!P45</f>
        <v>93.46381948035193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N14" sqref="N14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79" t="s">
        <v>91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98"/>
    </row>
    <row r="2" spans="1:16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6" ht="21.6" customHeight="1">
      <c r="A3" s="113" t="s">
        <v>42</v>
      </c>
      <c r="B3" s="114">
        <v>9</v>
      </c>
      <c r="C3" s="156" t="s">
        <v>92</v>
      </c>
      <c r="D3" s="114" t="s">
        <v>93</v>
      </c>
      <c r="E3" s="113" t="s">
        <v>43</v>
      </c>
      <c r="F3" s="582" t="s">
        <v>44</v>
      </c>
      <c r="G3" s="583"/>
      <c r="H3" s="99"/>
      <c r="I3" s="108"/>
      <c r="J3" s="99"/>
      <c r="K3" s="99"/>
      <c r="M3" s="99"/>
      <c r="N3" s="99"/>
    </row>
    <row r="4" spans="1:16" ht="15.75" customHeight="1">
      <c r="A4" s="109" t="s">
        <v>94</v>
      </c>
      <c r="E4" s="101" t="s">
        <v>46</v>
      </c>
      <c r="G4" s="110" t="s">
        <v>47</v>
      </c>
      <c r="L4" s="98"/>
    </row>
    <row r="5" spans="1:16" s="103" customFormat="1" ht="15.75" customHeight="1">
      <c r="A5" s="120" t="s">
        <v>0</v>
      </c>
      <c r="B5" s="120" t="s">
        <v>95</v>
      </c>
      <c r="C5" s="120" t="s">
        <v>96</v>
      </c>
      <c r="D5" s="115" t="s">
        <v>50</v>
      </c>
      <c r="E5" s="115" t="s">
        <v>51</v>
      </c>
      <c r="G5" s="120" t="s">
        <v>0</v>
      </c>
      <c r="H5" s="115" t="s">
        <v>52</v>
      </c>
      <c r="I5" s="115" t="s">
        <v>97</v>
      </c>
      <c r="J5" s="115" t="s">
        <v>98</v>
      </c>
      <c r="K5" s="115" t="s">
        <v>51</v>
      </c>
      <c r="L5" s="104" t="s">
        <v>54</v>
      </c>
    </row>
    <row r="6" spans="1:16" ht="18" customHeight="1">
      <c r="A6" s="106" t="s">
        <v>55</v>
      </c>
      <c r="B6" s="116">
        <f>'（１）收支狀況'!G40/1000</f>
        <v>36405.586840000004</v>
      </c>
      <c r="C6" s="116">
        <v>36749.311969999995</v>
      </c>
      <c r="D6" s="116">
        <f>B6-C6</f>
        <v>-343.72512999999162</v>
      </c>
      <c r="E6" s="215">
        <f>'（１）收支狀況'!H40:H40/1000</f>
        <v>36405.586840000004</v>
      </c>
      <c r="G6" s="216" t="s">
        <v>99</v>
      </c>
      <c r="H6" s="514">
        <v>500.4</v>
      </c>
      <c r="I6" s="217">
        <f>'（２）ＫＰＩ達成進度'!G40</f>
        <v>440.66773315843358</v>
      </c>
      <c r="J6" s="217">
        <v>451.70211489829472</v>
      </c>
      <c r="K6" s="217">
        <f>'（２）ＫＰＩ達成進度'!H40</f>
        <v>440.66773315843358</v>
      </c>
      <c r="L6" s="100" t="s">
        <v>57</v>
      </c>
    </row>
    <row r="7" spans="1:16" ht="18" customHeight="1">
      <c r="A7" s="106" t="s">
        <v>58</v>
      </c>
      <c r="B7" s="116">
        <f>'（１）收支狀況'!J40</f>
        <v>1128982</v>
      </c>
      <c r="C7" s="116">
        <v>1138303</v>
      </c>
      <c r="D7" s="116">
        <f t="shared" ref="D7:D11" si="0">B7-C7</f>
        <v>-9321</v>
      </c>
      <c r="E7" s="215">
        <f>'（１）收支狀況'!K40:K40</f>
        <v>1128982</v>
      </c>
      <c r="G7" s="216" t="s">
        <v>100</v>
      </c>
      <c r="H7" s="218">
        <v>0.8</v>
      </c>
      <c r="I7" s="117">
        <f>'（２）ＫＰＩ達成進度'!J40</f>
        <v>0.88063096154762899</v>
      </c>
      <c r="J7" s="117">
        <v>0.90268208412928608</v>
      </c>
      <c r="K7" s="218">
        <f>'（２）ＫＰＩ達成進度'!K40</f>
        <v>0.88063096154762899</v>
      </c>
      <c r="L7" s="100" t="s">
        <v>60</v>
      </c>
    </row>
    <row r="8" spans="1:16" ht="18" customHeight="1">
      <c r="A8" s="106" t="s">
        <v>101</v>
      </c>
      <c r="B8" s="116">
        <f>'（１）收支狀況'!M40/1000</f>
        <v>24718.254359633611</v>
      </c>
      <c r="C8" s="116">
        <v>24963.663615531757</v>
      </c>
      <c r="D8" s="116">
        <f>B8-C8</f>
        <v>-245.40925589814651</v>
      </c>
      <c r="E8" s="215">
        <f>'（１）收支狀況'!N40:N40/1000</f>
        <v>24718.254359633611</v>
      </c>
      <c r="G8" s="216" t="s">
        <v>62</v>
      </c>
      <c r="H8" s="117">
        <v>2.5000000000000001E-3</v>
      </c>
      <c r="I8" s="219">
        <f>'（２）ＫＰＩ達成進度'!M40</f>
        <v>2.0065695899956814E-3</v>
      </c>
      <c r="J8" s="219">
        <v>2.0090437528970531E-3</v>
      </c>
      <c r="K8" s="219">
        <f>'（２）ＫＰＩ達成進度'!N40</f>
        <v>2.0065695899956814E-3</v>
      </c>
      <c r="L8" s="100" t="s">
        <v>63</v>
      </c>
    </row>
    <row r="9" spans="1:16" ht="18" customHeight="1">
      <c r="A9" s="106" t="s">
        <v>64</v>
      </c>
      <c r="B9" s="218">
        <f>'（１）收支狀況'!P40</f>
        <v>0.67896871071653375</v>
      </c>
      <c r="C9" s="218">
        <v>0.67929608140448017</v>
      </c>
      <c r="D9" s="218">
        <f t="shared" si="0"/>
        <v>-3.2737068794641555E-4</v>
      </c>
      <c r="E9" s="218">
        <f>'（１）收支狀況'!Q40</f>
        <v>0.67896871071653375</v>
      </c>
      <c r="G9" s="216" t="s">
        <v>65</v>
      </c>
      <c r="H9" s="515">
        <v>2.5000000000000001E-3</v>
      </c>
      <c r="I9" s="117">
        <f>'（２）ＫＰＩ達成進度'!P40</f>
        <v>6.0128427480316384E-3</v>
      </c>
      <c r="J9" s="117">
        <v>6.0132432682844092E-3</v>
      </c>
      <c r="K9" s="117">
        <f>'（２）ＫＰＩ達成進度'!Q40</f>
        <v>6.0128427480316384E-3</v>
      </c>
      <c r="L9" s="100" t="s">
        <v>66</v>
      </c>
    </row>
    <row r="10" spans="1:16" ht="18" customHeight="1">
      <c r="A10" s="106" t="s">
        <v>67</v>
      </c>
      <c r="B10" s="116">
        <f>'（１）收支狀況'!S40/1000</f>
        <v>5251.2683580000003</v>
      </c>
      <c r="C10" s="116">
        <v>5571.3564319999996</v>
      </c>
      <c r="D10" s="116">
        <f t="shared" si="0"/>
        <v>-320.08807399999932</v>
      </c>
      <c r="E10" s="215">
        <f>'（１）收支狀況'!T40/1000</f>
        <v>5251.2683580000003</v>
      </c>
      <c r="G10" s="216" t="s">
        <v>102</v>
      </c>
      <c r="H10" s="218">
        <v>0.8</v>
      </c>
      <c r="I10" s="218">
        <f>'（２）ＫＰＩ達成進度'!S40</f>
        <v>0.90000000000000013</v>
      </c>
      <c r="J10" s="218">
        <v>0.90000000000000013</v>
      </c>
      <c r="K10" s="218">
        <f>'（２）ＫＰＩ達成進度'!T40</f>
        <v>0.90000000000000013</v>
      </c>
      <c r="L10" s="100" t="s">
        <v>69</v>
      </c>
      <c r="M10" s="309"/>
      <c r="N10" s="309"/>
      <c r="O10" s="309"/>
      <c r="P10" s="309"/>
    </row>
    <row r="11" spans="1:16" ht="18" customHeight="1">
      <c r="A11" s="106" t="s">
        <v>70</v>
      </c>
      <c r="B11" s="218">
        <f>'（１）收支狀況'!V40</f>
        <v>0.14424347507647536</v>
      </c>
      <c r="C11" s="218">
        <v>0.15160437388727527</v>
      </c>
      <c r="D11" s="218">
        <f t="shared" si="0"/>
        <v>-7.360898810799904E-3</v>
      </c>
      <c r="E11" s="218">
        <f>'（１）收支狀況'!W40</f>
        <v>0.14424347507647536</v>
      </c>
      <c r="G11" s="216" t="s">
        <v>103</v>
      </c>
      <c r="H11" s="218">
        <v>1</v>
      </c>
      <c r="I11" s="306">
        <f>36/52*100%</f>
        <v>0.69230769230769229</v>
      </c>
      <c r="J11" s="306">
        <v>0.67307692307692313</v>
      </c>
      <c r="K11" s="306">
        <f>'（２）ＫＰＩ達成進度'!W40</f>
        <v>0.6923076923076924</v>
      </c>
      <c r="L11" s="100" t="s">
        <v>72</v>
      </c>
      <c r="M11" s="310"/>
      <c r="N11" s="310"/>
      <c r="O11" s="310"/>
      <c r="P11" s="310"/>
    </row>
    <row r="12" spans="1:16" ht="9.6" customHeight="1">
      <c r="L12" s="98"/>
    </row>
    <row r="13" spans="1:16" ht="15.75" customHeight="1">
      <c r="A13" s="109" t="s">
        <v>73</v>
      </c>
      <c r="E13" s="308" t="s">
        <v>46</v>
      </c>
      <c r="G13" s="109" t="s">
        <v>74</v>
      </c>
      <c r="K13" s="308" t="s">
        <v>75</v>
      </c>
      <c r="L13" s="98"/>
    </row>
    <row r="14" spans="1:16" s="105" customFormat="1" ht="14.25">
      <c r="A14" s="119"/>
      <c r="B14" s="157" t="s">
        <v>95</v>
      </c>
      <c r="C14" s="119" t="s">
        <v>76</v>
      </c>
      <c r="D14" s="157" t="s">
        <v>104</v>
      </c>
      <c r="E14" s="119" t="s">
        <v>77</v>
      </c>
      <c r="G14" s="119"/>
      <c r="H14" s="157" t="s">
        <v>95</v>
      </c>
      <c r="I14" s="119" t="s">
        <v>76</v>
      </c>
      <c r="J14" s="157" t="s">
        <v>104</v>
      </c>
      <c r="K14" s="119" t="s">
        <v>77</v>
      </c>
    </row>
    <row r="15" spans="1:16" ht="18" customHeight="1">
      <c r="A15" s="106" t="s">
        <v>78</v>
      </c>
      <c r="B15" s="116">
        <f>SUM('（３）業績構成比'!M42:M48)/1000</f>
        <v>11298.812439999998</v>
      </c>
      <c r="C15" s="218">
        <f>IFERROR(B15/$B$6,"")</f>
        <v>0.31035929978707621</v>
      </c>
      <c r="D15" s="218">
        <v>0.26335696482972826</v>
      </c>
      <c r="E15" s="218">
        <f>IFERROR(C15-D15,"")</f>
        <v>4.7002334957347958E-2</v>
      </c>
      <c r="G15" s="106" t="s">
        <v>79</v>
      </c>
      <c r="H15" s="116">
        <f>SUM('（４）訂單數量構成比'!M42:M48)</f>
        <v>564774</v>
      </c>
      <c r="I15" s="218">
        <f>IFERROR(H15/$B$7,"")</f>
        <v>0.50025066830117748</v>
      </c>
      <c r="J15" s="218">
        <v>0.45047496141185606</v>
      </c>
      <c r="K15" s="218">
        <f>IFERROR(I15-J15,"")</f>
        <v>4.9775706889321425E-2</v>
      </c>
      <c r="L15" s="98"/>
    </row>
    <row r="16" spans="1:16" ht="18" customHeight="1">
      <c r="A16" s="106" t="s">
        <v>80</v>
      </c>
      <c r="B16" s="116">
        <f>SUM('（３）業績構成比'!S42:S48)/1000</f>
        <v>1188.32879</v>
      </c>
      <c r="C16" s="218">
        <f t="shared" ref="C16:C23" si="1">IFERROR(B16/$B$6,"")</f>
        <v>3.2641385379189779E-2</v>
      </c>
      <c r="D16" s="218">
        <v>3.6756348284906412E-2</v>
      </c>
      <c r="E16" s="218">
        <f t="shared" ref="E16:E23" si="2">IFERROR(C16-D16,"")</f>
        <v>-4.1149629057166334E-3</v>
      </c>
      <c r="G16" s="106" t="s">
        <v>80</v>
      </c>
      <c r="H16" s="116">
        <f>SUM('（４）訂單數量構成比'!S42:S48)</f>
        <v>41126</v>
      </c>
      <c r="I16" s="218">
        <f>IFERROR(H16/$B$7,"")</f>
        <v>3.6427507258751692E-2</v>
      </c>
      <c r="J16" s="218">
        <v>4.1041796428543192E-2</v>
      </c>
      <c r="K16" s="218">
        <f t="shared" ref="K16:K23" si="3">IFERROR(I16-J16,"")</f>
        <v>-4.6142891697915009E-3</v>
      </c>
      <c r="L16" s="98"/>
    </row>
    <row r="17" spans="1:17" ht="18" customHeight="1">
      <c r="A17" s="106" t="s">
        <v>81</v>
      </c>
      <c r="B17" s="116">
        <f>SUM('（３）業績構成比'!U42:U48)/1000</f>
        <v>407.95164</v>
      </c>
      <c r="C17" s="218">
        <f t="shared" si="1"/>
        <v>1.1205742728249892E-2</v>
      </c>
      <c r="D17" s="218">
        <v>1.2022476512231695E-2</v>
      </c>
      <c r="E17" s="218">
        <f t="shared" si="2"/>
        <v>-8.1673378398180313E-4</v>
      </c>
      <c r="G17" s="106" t="s">
        <v>32</v>
      </c>
      <c r="H17" s="116">
        <f>SUM('（４）訂單數量構成比'!U42:U48)</f>
        <v>13612</v>
      </c>
      <c r="I17" s="218">
        <f t="shared" ref="I17:I23" si="4">IFERROR(H17/$B$7,"")</f>
        <v>1.2056879560524437E-2</v>
      </c>
      <c r="J17" s="218">
        <v>1.2950857548473473E-2</v>
      </c>
      <c r="K17" s="218">
        <f t="shared" si="3"/>
        <v>-8.9397798794903574E-4</v>
      </c>
      <c r="L17" s="98"/>
    </row>
    <row r="18" spans="1:17" ht="18" customHeight="1">
      <c r="A18" s="106" t="s">
        <v>82</v>
      </c>
      <c r="B18" s="116">
        <f>SUM('（３）業績構成比'!W42:W48)/1000</f>
        <v>2174.5727800000004</v>
      </c>
      <c r="C18" s="218">
        <f t="shared" si="1"/>
        <v>5.9731842520684947E-2</v>
      </c>
      <c r="D18" s="218">
        <v>8.3245969135350872E-2</v>
      </c>
      <c r="E18" s="218">
        <f t="shared" si="2"/>
        <v>-2.3514126614665926E-2</v>
      </c>
      <c r="G18" s="106" t="s">
        <v>33</v>
      </c>
      <c r="H18" s="116">
        <f>SUM('（４）訂單數量構成比'!W42:W48)</f>
        <v>83280</v>
      </c>
      <c r="I18" s="218">
        <f t="shared" si="4"/>
        <v>7.3765569335915007E-2</v>
      </c>
      <c r="J18" s="218">
        <v>0.1016978783329219</v>
      </c>
      <c r="K18" s="218">
        <f t="shared" si="3"/>
        <v>-2.7932308997006897E-2</v>
      </c>
      <c r="L18" s="98"/>
    </row>
    <row r="19" spans="1:17" ht="18" customHeight="1">
      <c r="A19" s="106" t="s">
        <v>83</v>
      </c>
      <c r="B19" s="116">
        <f>SUM('（３）業績構成比'!AC42:AC48)/1000</f>
        <v>5841.899159999999</v>
      </c>
      <c r="C19" s="218">
        <f t="shared" si="1"/>
        <v>0.16046710593279914</v>
      </c>
      <c r="D19" s="218">
        <v>0.16015975468615015</v>
      </c>
      <c r="E19" s="218">
        <f t="shared" si="2"/>
        <v>3.0735124664899027E-4</v>
      </c>
      <c r="G19" s="106" t="s">
        <v>34</v>
      </c>
      <c r="H19" s="116">
        <f>SUM('（４）訂單數量構成比'!AC42:AC48)</f>
        <v>108360</v>
      </c>
      <c r="I19" s="218">
        <f t="shared" si="4"/>
        <v>9.5980272493272706E-2</v>
      </c>
      <c r="J19" s="218">
        <v>9.5904166113943298E-2</v>
      </c>
      <c r="K19" s="218">
        <f t="shared" si="3"/>
        <v>7.6106379329407559E-5</v>
      </c>
      <c r="L19" s="98"/>
    </row>
    <row r="20" spans="1:17" ht="18" customHeight="1">
      <c r="A20" s="106" t="s">
        <v>84</v>
      </c>
      <c r="B20" s="116">
        <f>SUM('（３）業績構成比'!AE42:AE48)/1000</f>
        <v>9837.4476499999982</v>
      </c>
      <c r="C20" s="218">
        <f t="shared" si="1"/>
        <v>0.27021807650663315</v>
      </c>
      <c r="D20" s="218">
        <v>0.2693371622325913</v>
      </c>
      <c r="E20" s="218">
        <f t="shared" si="2"/>
        <v>8.8091427404185518E-4</v>
      </c>
      <c r="G20" s="106" t="s">
        <v>35</v>
      </c>
      <c r="H20" s="116">
        <f>SUM('（４）訂單數量構成比'!AE42:AE48)</f>
        <v>159850</v>
      </c>
      <c r="I20" s="218">
        <f t="shared" si="4"/>
        <v>0.14158773124815099</v>
      </c>
      <c r="J20" s="218">
        <v>0.14062073103558542</v>
      </c>
      <c r="K20" s="218">
        <f t="shared" si="3"/>
        <v>9.6700021256557189E-4</v>
      </c>
      <c r="L20" s="98"/>
    </row>
    <row r="21" spans="1:17" ht="18" customHeight="1">
      <c r="A21" s="106" t="s">
        <v>85</v>
      </c>
      <c r="B21" s="116">
        <f>SUM('（３）業績構成比'!AG42:AG48)/1000</f>
        <v>0</v>
      </c>
      <c r="C21" s="218">
        <f t="shared" si="1"/>
        <v>0</v>
      </c>
      <c r="D21" s="218">
        <v>0</v>
      </c>
      <c r="E21" s="218">
        <f t="shared" si="2"/>
        <v>0</v>
      </c>
      <c r="G21" s="106" t="s">
        <v>36</v>
      </c>
      <c r="H21" s="116">
        <f>SUM('（４）訂單數量構成比'!AG42:AG48)</f>
        <v>0</v>
      </c>
      <c r="I21" s="218">
        <f t="shared" si="4"/>
        <v>0</v>
      </c>
      <c r="J21" s="218">
        <v>0</v>
      </c>
      <c r="K21" s="218">
        <f t="shared" si="3"/>
        <v>0</v>
      </c>
      <c r="L21" s="98"/>
    </row>
    <row r="22" spans="1:17" ht="18" customHeight="1">
      <c r="A22" s="106" t="s">
        <v>86</v>
      </c>
      <c r="B22" s="116">
        <f>SUM('（３）業績構成比'!AI42:AI48)/1000</f>
        <v>4788.3250599999992</v>
      </c>
      <c r="C22" s="218">
        <f t="shared" si="1"/>
        <v>0.13152720435586854</v>
      </c>
      <c r="D22" s="218">
        <v>0.15020728291474461</v>
      </c>
      <c r="E22" s="218">
        <f t="shared" si="2"/>
        <v>-1.8680078558876073E-2</v>
      </c>
      <c r="G22" s="106" t="s">
        <v>37</v>
      </c>
      <c r="H22" s="116">
        <f>SUM('（４）訂單數量構成比'!AI42:AI48)</f>
        <v>125415</v>
      </c>
      <c r="I22" s="218">
        <f t="shared" si="4"/>
        <v>0.11108680209250457</v>
      </c>
      <c r="J22" s="218">
        <v>0.12758729441985131</v>
      </c>
      <c r="K22" s="218">
        <f t="shared" si="3"/>
        <v>-1.6500492327346739E-2</v>
      </c>
      <c r="L22" s="98"/>
    </row>
    <row r="23" spans="1:17" ht="18" customHeight="1">
      <c r="A23" s="106" t="s">
        <v>87</v>
      </c>
      <c r="B23" s="116">
        <f>SUM('（３）業績構成比'!AK42:AK48)/1000</f>
        <v>868.24932000000001</v>
      </c>
      <c r="C23" s="218">
        <f t="shared" si="1"/>
        <v>2.3849342789498074E-2</v>
      </c>
      <c r="D23" s="218">
        <v>2.4914041404296806E-2</v>
      </c>
      <c r="E23" s="218">
        <f t="shared" si="2"/>
        <v>-1.0646986147987321E-3</v>
      </c>
      <c r="G23" s="106" t="s">
        <v>38</v>
      </c>
      <c r="H23" s="116">
        <f>SUM('（４）訂單數量構成比'!AK42:AK48)</f>
        <v>32565</v>
      </c>
      <c r="I23" s="218">
        <f t="shared" si="4"/>
        <v>2.8844569709703078E-2</v>
      </c>
      <c r="J23" s="218">
        <v>2.9722314708825331E-2</v>
      </c>
      <c r="K23" s="218">
        <f t="shared" si="3"/>
        <v>-8.7774499912225343E-4</v>
      </c>
      <c r="L23" s="98"/>
    </row>
    <row r="24" spans="1:17" ht="15.75" customHeight="1">
      <c r="B24" s="101"/>
      <c r="C24" s="111">
        <f>SUM(C15:C23)</f>
        <v>0.99999999999999956</v>
      </c>
      <c r="D24" s="111">
        <f>SUM(D15:D23)</f>
        <v>1.0000000000000002</v>
      </c>
      <c r="I24" s="111">
        <f>SUM(I15:I23)</f>
        <v>0.99999999999999989</v>
      </c>
      <c r="J24" s="111">
        <f>SUM(J15:J23)</f>
        <v>0.99999999999999989</v>
      </c>
      <c r="L24" s="98"/>
    </row>
    <row r="25" spans="1:17" ht="9.6" customHeight="1">
      <c r="A25" s="112"/>
      <c r="L25" s="98"/>
    </row>
    <row r="26" spans="1:17" ht="15.75" customHeight="1">
      <c r="A26" s="110" t="s">
        <v>105</v>
      </c>
      <c r="L26" s="98"/>
    </row>
    <row r="27" spans="1:17" ht="15.75" customHeight="1">
      <c r="A27" s="106" t="s">
        <v>89</v>
      </c>
      <c r="B27" s="158" t="s">
        <v>95</v>
      </c>
      <c r="C27" s="158" t="s">
        <v>96</v>
      </c>
      <c r="D27" s="106" t="s">
        <v>50</v>
      </c>
      <c r="E27" s="106" t="s">
        <v>51</v>
      </c>
      <c r="L27" s="98"/>
    </row>
    <row r="28" spans="1:17" ht="18" customHeight="1">
      <c r="A28" s="106" t="s">
        <v>79</v>
      </c>
      <c r="B28" s="209">
        <f>'（５-1）品群別人時生產性(18℃-飯糰)'!L7</f>
        <v>800.69875641764111</v>
      </c>
      <c r="C28" s="209">
        <v>784.91185488547501</v>
      </c>
      <c r="D28" s="220">
        <f>B28-C28</f>
        <v>15.786901532166098</v>
      </c>
      <c r="E28" s="221">
        <f>'（５-1）品群別人時生產性(18℃-飯糰)'!C1</f>
        <v>800.69875641764111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31</v>
      </c>
      <c r="B29" s="209">
        <f>'（５-2）品群別人時生產性(18℃-壽司手卷)'!L7</f>
        <v>295.69211221705984</v>
      </c>
      <c r="C29" s="209">
        <v>295.74145034041237</v>
      </c>
      <c r="D29" s="220">
        <f>B29-C29</f>
        <v>-4.9338123352526964E-2</v>
      </c>
      <c r="E29" s="221">
        <f>'（５-2）品群別人時生產性(18℃-壽司手卷)'!C1</f>
        <v>295.69211221705984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32</v>
      </c>
      <c r="B30" s="209">
        <f>'（５-3）品群別人時生產性(4℃-飯糰)'!L7</f>
        <v>119.39248251748248</v>
      </c>
      <c r="C30" s="209">
        <v>119.39248251748248</v>
      </c>
      <c r="D30" s="220">
        <f>B30-C30</f>
        <v>0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33</v>
      </c>
      <c r="B31" s="209">
        <f>'（５-4）品群別人時生產性(4℃-壽司手卷)'!L7</f>
        <v>471.17142282877063</v>
      </c>
      <c r="C31" s="209">
        <v>452.58861480177103</v>
      </c>
      <c r="D31" s="220">
        <f>B31-C31</f>
        <v>18.582808026999601</v>
      </c>
      <c r="E31" s="221">
        <f>'（５-4）品群別人時生產性(4℃-壽司手卷)'!C1</f>
        <v>471.17142282877063</v>
      </c>
      <c r="L31" s="98"/>
    </row>
    <row r="32" spans="1:17" ht="18" customHeight="1">
      <c r="A32" s="106" t="s">
        <v>83</v>
      </c>
      <c r="B32" s="209">
        <f>'（５-5）品群別人時生產性(微波主食) '!L7</f>
        <v>84.966441948873936</v>
      </c>
      <c r="C32" s="209">
        <v>84.953502597504084</v>
      </c>
      <c r="D32" s="220">
        <f t="shared" ref="D32:D36" si="5">B32-C32</f>
        <v>1.2939351369851693E-2</v>
      </c>
      <c r="E32" s="221">
        <f>'（５-5）品群別人時生產性(微波主食) '!C1</f>
        <v>84.966441948873936</v>
      </c>
      <c r="L32" s="98"/>
    </row>
    <row r="33" spans="1:12" ht="18" customHeight="1">
      <c r="A33" s="106" t="s">
        <v>35</v>
      </c>
      <c r="B33" s="209">
        <f>'（５-6）品群別人時生產性(便當)'!L7</f>
        <v>80.05227699550008</v>
      </c>
      <c r="C33" s="209">
        <v>80.0581520479505</v>
      </c>
      <c r="D33" s="220">
        <f t="shared" si="5"/>
        <v>-5.8750524504205259E-3</v>
      </c>
      <c r="E33" s="221">
        <f>'（５-6）品群別人時生產性(便當)'!C1</f>
        <v>80.05227699550008</v>
      </c>
      <c r="L33" s="98"/>
    </row>
    <row r="34" spans="1:12" ht="18" customHeight="1">
      <c r="A34" s="106" t="s">
        <v>36</v>
      </c>
      <c r="B34" s="209">
        <f>'（５-7）品群別人時生產性(熱食義麵) '!L7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37</v>
      </c>
      <c r="B35" s="209">
        <f>'（５-8）品群別人時生產性(季節調理麵) '!L7</f>
        <v>160.0901569355139</v>
      </c>
      <c r="C35" s="209">
        <v>162.29407598337048</v>
      </c>
      <c r="D35" s="220">
        <f t="shared" si="5"/>
        <v>-2.2039190478565729</v>
      </c>
      <c r="E35" s="221">
        <f>'（５-8）品群別人時生產性(季節調理麵) '!C1</f>
        <v>160.0901569355139</v>
      </c>
      <c r="L35" s="98"/>
    </row>
    <row r="36" spans="1:12" ht="18" customHeight="1">
      <c r="A36" s="102" t="s">
        <v>38</v>
      </c>
      <c r="B36" s="209">
        <f>'（５-9）品群別人時生產性(微波小吃)'!L7</f>
        <v>89.112331588411166</v>
      </c>
      <c r="C36" s="209">
        <v>89.167635232135822</v>
      </c>
      <c r="D36" s="220">
        <f t="shared" si="5"/>
        <v>-5.5303643724656126E-2</v>
      </c>
      <c r="E36" s="222">
        <f>'（５-9）品群別人時生產性(微波小吃)'!C1</f>
        <v>89.112331588411166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  <pageSetUpPr fitToPage="1"/>
  </sheetPr>
  <dimension ref="B2:W74"/>
  <sheetViews>
    <sheetView zoomScale="80" zoomScaleNormal="80" workbookViewId="0">
      <selection activeCell="J61" sqref="J61:J67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92" t="s">
        <v>106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</row>
    <row r="3" spans="2:23" s="77" customFormat="1" ht="23.45" customHeight="1">
      <c r="B3" s="596" t="s">
        <v>107</v>
      </c>
      <c r="C3" s="597" t="s">
        <v>108</v>
      </c>
      <c r="D3" s="598" t="s">
        <v>109</v>
      </c>
      <c r="E3" s="598"/>
      <c r="F3" s="595" t="s">
        <v>110</v>
      </c>
      <c r="G3" s="595"/>
      <c r="H3" s="595"/>
      <c r="I3" s="593" t="s">
        <v>111</v>
      </c>
      <c r="J3" s="593"/>
      <c r="K3" s="593"/>
      <c r="L3" s="594" t="s">
        <v>112</v>
      </c>
      <c r="M3" s="594"/>
      <c r="N3" s="594"/>
      <c r="O3" s="591" t="s">
        <v>113</v>
      </c>
      <c r="P3" s="591"/>
      <c r="Q3" s="591"/>
      <c r="R3" s="599" t="s">
        <v>114</v>
      </c>
      <c r="S3" s="599"/>
      <c r="T3" s="599"/>
      <c r="U3" s="591" t="s">
        <v>115</v>
      </c>
      <c r="V3" s="591"/>
      <c r="W3" s="591"/>
    </row>
    <row r="4" spans="2:23" s="77" customFormat="1" ht="23.45" customHeight="1">
      <c r="B4" s="596"/>
      <c r="C4" s="597"/>
      <c r="D4" s="598"/>
      <c r="E4" s="598"/>
      <c r="F4" s="76" t="s">
        <v>116</v>
      </c>
      <c r="G4" s="76" t="s">
        <v>117</v>
      </c>
      <c r="H4" s="76" t="s">
        <v>118</v>
      </c>
      <c r="I4" s="86" t="s">
        <v>116</v>
      </c>
      <c r="J4" s="86" t="s">
        <v>117</v>
      </c>
      <c r="K4" s="86" t="s">
        <v>118</v>
      </c>
      <c r="L4" s="85" t="s">
        <v>116</v>
      </c>
      <c r="M4" s="85" t="s">
        <v>117</v>
      </c>
      <c r="N4" s="85" t="s">
        <v>118</v>
      </c>
      <c r="O4" s="79" t="s">
        <v>116</v>
      </c>
      <c r="P4" s="79" t="s">
        <v>117</v>
      </c>
      <c r="Q4" s="79" t="s">
        <v>118</v>
      </c>
      <c r="R4" s="79" t="s">
        <v>116</v>
      </c>
      <c r="S4" s="79" t="s">
        <v>117</v>
      </c>
      <c r="T4" s="79" t="s">
        <v>118</v>
      </c>
      <c r="U4" s="79" t="s">
        <v>116</v>
      </c>
      <c r="V4" s="79" t="s">
        <v>117</v>
      </c>
      <c r="W4" s="79" t="s">
        <v>118</v>
      </c>
    </row>
    <row r="5" spans="2:23" hidden="1">
      <c r="B5" s="590">
        <f>D6+7</f>
        <v>46239</v>
      </c>
      <c r="C5" s="586"/>
      <c r="D5" s="80">
        <v>46231</v>
      </c>
      <c r="E5" s="80" t="s">
        <v>119</v>
      </c>
      <c r="F5" s="163">
        <v>6626056.8699999992</v>
      </c>
      <c r="G5" s="587">
        <f>SUM(F5:F11)</f>
        <v>42486866.159999996</v>
      </c>
      <c r="H5" s="587"/>
      <c r="I5" s="213">
        <v>213264</v>
      </c>
      <c r="J5" s="588">
        <f t="shared" ref="J5" si="0">SUM(I5:I11)</f>
        <v>1361947</v>
      </c>
      <c r="K5" s="588"/>
      <c r="L5" s="163">
        <v>4366639.7871946385</v>
      </c>
      <c r="M5" s="587">
        <f t="shared" ref="M5" si="1">SUM(L5:L11)</f>
        <v>28602573.767007634</v>
      </c>
      <c r="N5" s="587"/>
      <c r="O5" s="153">
        <f t="shared" ref="O5:O11" si="2">L5/F5</f>
        <v>0.65901030927835047</v>
      </c>
      <c r="P5" s="585">
        <f>M5/G5</f>
        <v>0.67320977874183685</v>
      </c>
      <c r="Q5" s="589"/>
      <c r="R5" s="164">
        <v>925337.42799999996</v>
      </c>
      <c r="S5" s="584">
        <f t="shared" ref="S5" si="3">SUM(R5:R11)</f>
        <v>6007602.3720000004</v>
      </c>
      <c r="T5" s="587"/>
      <c r="U5" s="153">
        <f t="shared" ref="U5:U11" si="4">R5/F5</f>
        <v>0.13965129580905636</v>
      </c>
      <c r="V5" s="585">
        <f>S5/G5</f>
        <v>0.14139904669306871</v>
      </c>
      <c r="W5" s="589"/>
    </row>
    <row r="6" spans="2:23" hidden="1">
      <c r="B6" s="590"/>
      <c r="C6" s="586"/>
      <c r="D6" s="80">
        <f t="shared" ref="D6:D69" si="5">D5+1</f>
        <v>46232</v>
      </c>
      <c r="E6" s="80" t="s">
        <v>120</v>
      </c>
      <c r="F6" s="163">
        <v>6255627.21</v>
      </c>
      <c r="G6" s="587"/>
      <c r="H6" s="587"/>
      <c r="I6" s="213">
        <v>201459</v>
      </c>
      <c r="J6" s="588"/>
      <c r="K6" s="588"/>
      <c r="L6" s="163">
        <v>4227643.1559210317</v>
      </c>
      <c r="M6" s="587"/>
      <c r="N6" s="587"/>
      <c r="O6" s="153">
        <f t="shared" si="2"/>
        <v>0.67581443298969091</v>
      </c>
      <c r="P6" s="585"/>
      <c r="Q6" s="589"/>
      <c r="R6" s="164">
        <v>889269.56400000001</v>
      </c>
      <c r="S6" s="584"/>
      <c r="T6" s="587"/>
      <c r="U6" s="153">
        <f t="shared" si="4"/>
        <v>0.14215514034762952</v>
      </c>
      <c r="V6" s="585"/>
      <c r="W6" s="589"/>
    </row>
    <row r="7" spans="2:23" hidden="1">
      <c r="B7" s="590"/>
      <c r="C7" s="586"/>
      <c r="D7" s="80">
        <f t="shared" si="5"/>
        <v>46233</v>
      </c>
      <c r="E7" s="80" t="s">
        <v>121</v>
      </c>
      <c r="F7" s="163">
        <v>5785963.21</v>
      </c>
      <c r="G7" s="587"/>
      <c r="H7" s="587"/>
      <c r="I7" s="213">
        <v>187092</v>
      </c>
      <c r="J7" s="588"/>
      <c r="K7" s="588"/>
      <c r="L7" s="163">
        <v>3888763.7681725775</v>
      </c>
      <c r="M7" s="587"/>
      <c r="N7" s="587"/>
      <c r="O7" s="153">
        <f t="shared" si="2"/>
        <v>0.67210309278350522</v>
      </c>
      <c r="P7" s="585"/>
      <c r="Q7" s="589"/>
      <c r="R7" s="164">
        <v>833792.64</v>
      </c>
      <c r="S7" s="584"/>
      <c r="T7" s="587"/>
      <c r="U7" s="153">
        <f t="shared" si="4"/>
        <v>0.14410610813406816</v>
      </c>
      <c r="V7" s="585"/>
      <c r="W7" s="589"/>
    </row>
    <row r="8" spans="2:23" hidden="1">
      <c r="B8" s="590"/>
      <c r="C8" s="586"/>
      <c r="D8" s="80">
        <f t="shared" si="5"/>
        <v>46234</v>
      </c>
      <c r="E8" s="80" t="s">
        <v>122</v>
      </c>
      <c r="F8" s="163">
        <v>4936115.0199999996</v>
      </c>
      <c r="G8" s="587"/>
      <c r="H8" s="587"/>
      <c r="I8" s="213">
        <v>159659</v>
      </c>
      <c r="J8" s="588"/>
      <c r="K8" s="588"/>
      <c r="L8" s="163">
        <v>3353708.4977121642</v>
      </c>
      <c r="M8" s="587"/>
      <c r="N8" s="587"/>
      <c r="O8" s="153">
        <f t="shared" si="2"/>
        <v>0.67942268041237108</v>
      </c>
      <c r="P8" s="585"/>
      <c r="Q8" s="589"/>
      <c r="R8" s="164">
        <v>775080.81</v>
      </c>
      <c r="S8" s="584"/>
      <c r="T8" s="587"/>
      <c r="U8" s="153">
        <f t="shared" si="4"/>
        <v>0.15702243705009938</v>
      </c>
      <c r="V8" s="585"/>
      <c r="W8" s="589"/>
    </row>
    <row r="9" spans="2:23" hidden="1">
      <c r="B9" s="590"/>
      <c r="C9" s="586" t="s">
        <v>123</v>
      </c>
      <c r="D9" s="80">
        <f t="shared" si="5"/>
        <v>46235</v>
      </c>
      <c r="E9" s="80" t="s">
        <v>124</v>
      </c>
      <c r="F9" s="163">
        <v>5278918.5600000005</v>
      </c>
      <c r="G9" s="587"/>
      <c r="H9" s="587">
        <f>SUM(F9:F39)</f>
        <v>175321621.16999999</v>
      </c>
      <c r="I9" s="213">
        <v>170810</v>
      </c>
      <c r="J9" s="588"/>
      <c r="K9" s="588">
        <f>SUM(I9:I39)</f>
        <v>5581950</v>
      </c>
      <c r="L9" s="163">
        <v>3538725.7777880416</v>
      </c>
      <c r="M9" s="587"/>
      <c r="N9" s="587">
        <f>SUM(L9:L39)</f>
        <v>119419263.52012458</v>
      </c>
      <c r="O9" s="153">
        <f t="shared" si="2"/>
        <v>0.67035051546391755</v>
      </c>
      <c r="P9" s="585"/>
      <c r="Q9" s="589">
        <f>N9/H9</f>
        <v>0.68114396115656561</v>
      </c>
      <c r="R9" s="164">
        <v>791868.99199999997</v>
      </c>
      <c r="S9" s="584"/>
      <c r="T9" s="587">
        <f>SUM(R9:R39)</f>
        <v>25354549.750000004</v>
      </c>
      <c r="U9" s="153">
        <f t="shared" si="4"/>
        <v>0.15000591181690817</v>
      </c>
      <c r="V9" s="585"/>
      <c r="W9" s="589">
        <f>T9/H9</f>
        <v>0.14461735854823665</v>
      </c>
    </row>
    <row r="10" spans="2:23" hidden="1">
      <c r="B10" s="590"/>
      <c r="C10" s="586"/>
      <c r="D10" s="80">
        <f t="shared" si="5"/>
        <v>46236</v>
      </c>
      <c r="E10" s="80" t="s">
        <v>116</v>
      </c>
      <c r="F10" s="163">
        <v>6878371.4600000009</v>
      </c>
      <c r="G10" s="587"/>
      <c r="H10" s="587"/>
      <c r="I10" s="213">
        <v>216220</v>
      </c>
      <c r="J10" s="588"/>
      <c r="K10" s="588"/>
      <c r="L10" s="163">
        <v>4644248.0453736102</v>
      </c>
      <c r="M10" s="587"/>
      <c r="N10" s="587"/>
      <c r="O10" s="153">
        <f t="shared" si="2"/>
        <v>0.67519587628865996</v>
      </c>
      <c r="P10" s="585"/>
      <c r="Q10" s="589"/>
      <c r="R10" s="164">
        <v>910527.826</v>
      </c>
      <c r="S10" s="584"/>
      <c r="T10" s="587"/>
      <c r="U10" s="153">
        <f t="shared" si="4"/>
        <v>0.13237549488203998</v>
      </c>
      <c r="V10" s="585"/>
      <c r="W10" s="589"/>
    </row>
    <row r="11" spans="2:23" hidden="1">
      <c r="B11" s="590"/>
      <c r="C11" s="586"/>
      <c r="D11" s="80">
        <f t="shared" si="5"/>
        <v>46237</v>
      </c>
      <c r="E11" s="80" t="s">
        <v>125</v>
      </c>
      <c r="F11" s="163">
        <v>6725813.8300000001</v>
      </c>
      <c r="G11" s="587"/>
      <c r="H11" s="587"/>
      <c r="I11" s="213">
        <v>213443</v>
      </c>
      <c r="J11" s="588"/>
      <c r="K11" s="588"/>
      <c r="L11" s="163">
        <v>4582844.7348455666</v>
      </c>
      <c r="M11" s="587"/>
      <c r="N11" s="587"/>
      <c r="O11" s="153">
        <f t="shared" si="2"/>
        <v>0.68138144329896899</v>
      </c>
      <c r="P11" s="585"/>
      <c r="Q11" s="589"/>
      <c r="R11" s="164">
        <v>881725.11199999996</v>
      </c>
      <c r="S11" s="584"/>
      <c r="T11" s="587"/>
      <c r="U11" s="153">
        <f t="shared" si="4"/>
        <v>0.13109567619417736</v>
      </c>
      <c r="V11" s="585"/>
      <c r="W11" s="589"/>
    </row>
    <row r="12" spans="2:23" hidden="1">
      <c r="B12" s="590">
        <f>B5+7</f>
        <v>46246</v>
      </c>
      <c r="C12" s="586"/>
      <c r="D12" s="80">
        <f t="shared" si="5"/>
        <v>46238</v>
      </c>
      <c r="E12" s="80" t="s">
        <v>119</v>
      </c>
      <c r="F12" s="163">
        <v>6631265.1100000003</v>
      </c>
      <c r="G12" s="587">
        <f>SUM(F12:F18)</f>
        <v>41863930.679999992</v>
      </c>
      <c r="H12" s="587"/>
      <c r="I12" s="213">
        <v>211425</v>
      </c>
      <c r="J12" s="588">
        <f t="shared" ref="J12" si="6">SUM(I12:I18)</f>
        <v>1345846</v>
      </c>
      <c r="K12" s="588"/>
      <c r="L12" s="163">
        <v>4510217.3646096913</v>
      </c>
      <c r="M12" s="587">
        <f t="shared" ref="M12" si="7">SUM(L12:L18)</f>
        <v>28482742.541629076</v>
      </c>
      <c r="N12" s="587"/>
      <c r="O12" s="153">
        <f t="shared" ref="O12:O18" si="8">L12/F12</f>
        <v>0.68014432989690732</v>
      </c>
      <c r="P12" s="585">
        <f>M12/G12</f>
        <v>0.68036474547375403</v>
      </c>
      <c r="Q12" s="589"/>
      <c r="R12" s="164">
        <v>904901.96</v>
      </c>
      <c r="S12" s="584">
        <f t="shared" ref="S12" si="9">SUM(R12:R18)</f>
        <v>5978077.1260000002</v>
      </c>
      <c r="T12" s="587"/>
      <c r="U12" s="153">
        <f t="shared" ref="U12:U18" si="10">R12/F12</f>
        <v>0.136459928081506</v>
      </c>
      <c r="V12" s="585">
        <f>S12/G12</f>
        <v>0.14279779822146413</v>
      </c>
      <c r="W12" s="589"/>
    </row>
    <row r="13" spans="2:23" hidden="1">
      <c r="B13" s="590"/>
      <c r="C13" s="586"/>
      <c r="D13" s="80">
        <f t="shared" si="5"/>
        <v>46239</v>
      </c>
      <c r="E13" s="80" t="s">
        <v>120</v>
      </c>
      <c r="F13" s="163">
        <v>6359055.9800000004</v>
      </c>
      <c r="G13" s="587"/>
      <c r="H13" s="587"/>
      <c r="I13" s="213">
        <v>203649</v>
      </c>
      <c r="J13" s="588"/>
      <c r="K13" s="588"/>
      <c r="L13" s="163">
        <v>4293608.3747847434</v>
      </c>
      <c r="M13" s="587"/>
      <c r="N13" s="587"/>
      <c r="O13" s="153">
        <f t="shared" si="8"/>
        <v>0.67519587628865996</v>
      </c>
      <c r="P13" s="585"/>
      <c r="Q13" s="589"/>
      <c r="R13" s="164">
        <v>873214.77</v>
      </c>
      <c r="S13" s="584"/>
      <c r="T13" s="587"/>
      <c r="U13" s="153">
        <f t="shared" si="10"/>
        <v>0.13731830207917117</v>
      </c>
      <c r="V13" s="585"/>
      <c r="W13" s="589"/>
    </row>
    <row r="14" spans="2:23" hidden="1">
      <c r="B14" s="590"/>
      <c r="C14" s="586"/>
      <c r="D14" s="80">
        <f t="shared" si="5"/>
        <v>46240</v>
      </c>
      <c r="E14" s="80" t="s">
        <v>121</v>
      </c>
      <c r="F14" s="163">
        <v>5817645.9100000001</v>
      </c>
      <c r="G14" s="587"/>
      <c r="H14" s="587"/>
      <c r="I14" s="213">
        <v>188918</v>
      </c>
      <c r="J14" s="588"/>
      <c r="K14" s="588"/>
      <c r="L14" s="163">
        <v>3989225.7737911344</v>
      </c>
      <c r="M14" s="587"/>
      <c r="N14" s="587"/>
      <c r="O14" s="153">
        <f t="shared" si="8"/>
        <v>0.68571134020618563</v>
      </c>
      <c r="P14" s="585"/>
      <c r="Q14" s="589"/>
      <c r="R14" s="164">
        <v>838149.93599999999</v>
      </c>
      <c r="S14" s="584"/>
      <c r="T14" s="587"/>
      <c r="U14" s="153">
        <f t="shared" si="10"/>
        <v>0.14407029045189859</v>
      </c>
      <c r="V14" s="585"/>
      <c r="W14" s="589"/>
    </row>
    <row r="15" spans="2:23" hidden="1">
      <c r="B15" s="590"/>
      <c r="C15" s="586"/>
      <c r="D15" s="80">
        <f t="shared" si="5"/>
        <v>46241</v>
      </c>
      <c r="E15" s="80" t="s">
        <v>122</v>
      </c>
      <c r="F15" s="163">
        <v>4858510.08</v>
      </c>
      <c r="G15" s="587"/>
      <c r="H15" s="587"/>
      <c r="I15" s="213">
        <v>157640</v>
      </c>
      <c r="J15" s="588"/>
      <c r="K15" s="588"/>
      <c r="L15" s="163">
        <v>3320015.2798218564</v>
      </c>
      <c r="M15" s="587"/>
      <c r="N15" s="587"/>
      <c r="O15" s="153">
        <f t="shared" si="8"/>
        <v>0.68334020618556712</v>
      </c>
      <c r="P15" s="585"/>
      <c r="Q15" s="589"/>
      <c r="R15" s="164">
        <v>766305.87199999997</v>
      </c>
      <c r="S15" s="584"/>
      <c r="T15" s="587"/>
      <c r="U15" s="153">
        <f t="shared" si="10"/>
        <v>0.15772445860604245</v>
      </c>
      <c r="V15" s="585"/>
      <c r="W15" s="589"/>
    </row>
    <row r="16" spans="2:23" hidden="1">
      <c r="B16" s="590"/>
      <c r="C16" s="586"/>
      <c r="D16" s="80">
        <f t="shared" si="5"/>
        <v>46242</v>
      </c>
      <c r="E16" s="80" t="s">
        <v>124</v>
      </c>
      <c r="F16" s="163">
        <v>5207709.95</v>
      </c>
      <c r="G16" s="587"/>
      <c r="H16" s="587"/>
      <c r="I16" s="213">
        <v>168530</v>
      </c>
      <c r="J16" s="588"/>
      <c r="K16" s="588"/>
      <c r="L16" s="163">
        <v>3540920.6396113406</v>
      </c>
      <c r="M16" s="587"/>
      <c r="N16" s="587"/>
      <c r="O16" s="153">
        <f t="shared" si="8"/>
        <v>0.67993814432989697</v>
      </c>
      <c r="P16" s="585"/>
      <c r="Q16" s="589"/>
      <c r="R16" s="164">
        <v>804139.21799999999</v>
      </c>
      <c r="S16" s="584"/>
      <c r="T16" s="587"/>
      <c r="U16" s="153">
        <f t="shared" si="10"/>
        <v>0.15441321151152052</v>
      </c>
      <c r="V16" s="585"/>
      <c r="W16" s="589"/>
    </row>
    <row r="17" spans="2:23" hidden="1">
      <c r="B17" s="590"/>
      <c r="C17" s="586"/>
      <c r="D17" s="80">
        <f t="shared" si="5"/>
        <v>46243</v>
      </c>
      <c r="E17" s="80" t="s">
        <v>116</v>
      </c>
      <c r="F17" s="163">
        <v>6655646.0600000005</v>
      </c>
      <c r="G17" s="587"/>
      <c r="H17" s="587"/>
      <c r="I17" s="213">
        <v>211756</v>
      </c>
      <c r="J17" s="588"/>
      <c r="K17" s="588"/>
      <c r="L17" s="163">
        <v>4561793.532505569</v>
      </c>
      <c r="M17" s="587"/>
      <c r="N17" s="587"/>
      <c r="O17" s="153">
        <f t="shared" si="8"/>
        <v>0.68540206185567032</v>
      </c>
      <c r="P17" s="585"/>
      <c r="Q17" s="589"/>
      <c r="R17" s="164">
        <v>912097.29599999997</v>
      </c>
      <c r="S17" s="584"/>
      <c r="T17" s="587"/>
      <c r="U17" s="153">
        <f t="shared" si="10"/>
        <v>0.13704113586833369</v>
      </c>
      <c r="V17" s="585"/>
      <c r="W17" s="589"/>
    </row>
    <row r="18" spans="2:23" hidden="1">
      <c r="B18" s="590"/>
      <c r="C18" s="586"/>
      <c r="D18" s="80">
        <f t="shared" si="5"/>
        <v>46244</v>
      </c>
      <c r="E18" s="80" t="s">
        <v>125</v>
      </c>
      <c r="F18" s="163">
        <v>6334097.5899999999</v>
      </c>
      <c r="G18" s="587"/>
      <c r="H18" s="587"/>
      <c r="I18" s="213">
        <v>203928</v>
      </c>
      <c r="J18" s="588"/>
      <c r="K18" s="588"/>
      <c r="L18" s="163">
        <v>4266961.5765047427</v>
      </c>
      <c r="M18" s="587"/>
      <c r="N18" s="587"/>
      <c r="O18" s="153">
        <f t="shared" si="8"/>
        <v>0.67364948453608253</v>
      </c>
      <c r="P18" s="585"/>
      <c r="Q18" s="589"/>
      <c r="R18" s="164">
        <v>879268.07400000002</v>
      </c>
      <c r="S18" s="584"/>
      <c r="T18" s="587"/>
      <c r="U18" s="153">
        <f t="shared" si="10"/>
        <v>0.13881505005356257</v>
      </c>
      <c r="V18" s="585"/>
      <c r="W18" s="589"/>
    </row>
    <row r="19" spans="2:23" hidden="1">
      <c r="B19" s="590">
        <f>B12+7</f>
        <v>46253</v>
      </c>
      <c r="C19" s="586"/>
      <c r="D19" s="80">
        <f t="shared" si="5"/>
        <v>46245</v>
      </c>
      <c r="E19" s="80" t="s">
        <v>119</v>
      </c>
      <c r="F19" s="163">
        <v>5779689.7399999984</v>
      </c>
      <c r="G19" s="587">
        <f>SUM(F19:F25)</f>
        <v>38288004.869999997</v>
      </c>
      <c r="H19" s="587"/>
      <c r="I19" s="213">
        <v>187621</v>
      </c>
      <c r="J19" s="588">
        <f t="shared" ref="J19" si="11">SUM(I19:I25)</f>
        <v>1244793</v>
      </c>
      <c r="K19" s="588"/>
      <c r="L19" s="163">
        <v>3925660.6064964943</v>
      </c>
      <c r="M19" s="587">
        <f t="shared" ref="M19" si="12">SUM(L19:L25)</f>
        <v>26120853.639865775</v>
      </c>
      <c r="N19" s="587"/>
      <c r="O19" s="153">
        <f t="shared" ref="O19:O32" si="13">L19/F19</f>
        <v>0.67921649484536095</v>
      </c>
      <c r="P19" s="585">
        <f>M19/G19</f>
        <v>0.68222028618504449</v>
      </c>
      <c r="Q19" s="589"/>
      <c r="R19" s="164">
        <v>808693.20799999998</v>
      </c>
      <c r="S19" s="584">
        <f t="shared" ref="S19" si="14">SUM(R19:R25)</f>
        <v>5469240.4580000006</v>
      </c>
      <c r="T19" s="587"/>
      <c r="U19" s="153">
        <f t="shared" ref="U19:U32" si="15">R19/F19</f>
        <v>0.13991983036791872</v>
      </c>
      <c r="V19" s="585">
        <f>S19/G19</f>
        <v>0.14284474932997471</v>
      </c>
      <c r="W19" s="589"/>
    </row>
    <row r="20" spans="2:23" hidden="1">
      <c r="B20" s="590"/>
      <c r="C20" s="586"/>
      <c r="D20" s="80">
        <f t="shared" si="5"/>
        <v>46246</v>
      </c>
      <c r="E20" s="80" t="s">
        <v>120</v>
      </c>
      <c r="F20" s="163">
        <v>5663016.0199999996</v>
      </c>
      <c r="G20" s="587"/>
      <c r="H20" s="587"/>
      <c r="I20" s="213">
        <v>184147</v>
      </c>
      <c r="J20" s="588"/>
      <c r="K20" s="588"/>
      <c r="L20" s="163">
        <v>3904795.4998111343</v>
      </c>
      <c r="M20" s="587"/>
      <c r="N20" s="587"/>
      <c r="O20" s="153">
        <f t="shared" si="13"/>
        <v>0.68952577319587638</v>
      </c>
      <c r="P20" s="585"/>
      <c r="Q20" s="589"/>
      <c r="R20" s="164">
        <v>808683.83799999999</v>
      </c>
      <c r="S20" s="584"/>
      <c r="T20" s="587"/>
      <c r="U20" s="153">
        <f t="shared" si="15"/>
        <v>0.14280090947014487</v>
      </c>
      <c r="V20" s="585"/>
      <c r="W20" s="589"/>
    </row>
    <row r="21" spans="2:23" hidden="1">
      <c r="B21" s="590"/>
      <c r="C21" s="586"/>
      <c r="D21" s="80">
        <f t="shared" si="5"/>
        <v>46247</v>
      </c>
      <c r="E21" s="80" t="s">
        <v>121</v>
      </c>
      <c r="F21" s="163">
        <v>5284211.26</v>
      </c>
      <c r="G21" s="587"/>
      <c r="H21" s="587"/>
      <c r="I21" s="213">
        <v>172846</v>
      </c>
      <c r="J21" s="588"/>
      <c r="K21" s="588"/>
      <c r="L21" s="163">
        <v>3602197.7871777322</v>
      </c>
      <c r="M21" s="587"/>
      <c r="N21" s="587"/>
      <c r="O21" s="153">
        <f t="shared" si="13"/>
        <v>0.68169072164948463</v>
      </c>
      <c r="P21" s="585"/>
      <c r="Q21" s="589"/>
      <c r="R21" s="164">
        <v>759116.79599999997</v>
      </c>
      <c r="S21" s="584"/>
      <c r="T21" s="587"/>
      <c r="U21" s="153">
        <f t="shared" si="15"/>
        <v>0.14365754104993902</v>
      </c>
      <c r="V21" s="585"/>
      <c r="W21" s="589"/>
    </row>
    <row r="22" spans="2:23" hidden="1">
      <c r="B22" s="590"/>
      <c r="C22" s="586"/>
      <c r="D22" s="80">
        <f t="shared" si="5"/>
        <v>46248</v>
      </c>
      <c r="E22" s="80" t="s">
        <v>122</v>
      </c>
      <c r="F22" s="163">
        <v>4470999.01</v>
      </c>
      <c r="G22" s="587"/>
      <c r="H22" s="587"/>
      <c r="I22" s="213">
        <v>146977</v>
      </c>
      <c r="J22" s="588"/>
      <c r="K22" s="588"/>
      <c r="L22" s="163">
        <v>3078259.771998351</v>
      </c>
      <c r="M22" s="587"/>
      <c r="N22" s="587"/>
      <c r="O22" s="153">
        <f t="shared" si="13"/>
        <v>0.68849484536082484</v>
      </c>
      <c r="P22" s="585"/>
      <c r="Q22" s="589"/>
      <c r="R22" s="164">
        <v>708139.37</v>
      </c>
      <c r="S22" s="584"/>
      <c r="T22" s="587"/>
      <c r="U22" s="153">
        <f t="shared" si="15"/>
        <v>0.15838504289894711</v>
      </c>
      <c r="V22" s="585"/>
      <c r="W22" s="589"/>
    </row>
    <row r="23" spans="2:23" hidden="1">
      <c r="B23" s="590"/>
      <c r="C23" s="586"/>
      <c r="D23" s="80">
        <f t="shared" si="5"/>
        <v>46249</v>
      </c>
      <c r="E23" s="80" t="s">
        <v>124</v>
      </c>
      <c r="F23" s="163">
        <v>4735598.2299999995</v>
      </c>
      <c r="G23" s="587"/>
      <c r="H23" s="587"/>
      <c r="I23" s="213">
        <v>155408</v>
      </c>
      <c r="J23" s="588"/>
      <c r="K23" s="588"/>
      <c r="L23" s="163">
        <v>3231630.8168723709</v>
      </c>
      <c r="M23" s="587"/>
      <c r="N23" s="587"/>
      <c r="O23" s="153">
        <f t="shared" si="13"/>
        <v>0.68241237113402065</v>
      </c>
      <c r="P23" s="585"/>
      <c r="Q23" s="589"/>
      <c r="R23" s="164">
        <v>734523.98</v>
      </c>
      <c r="S23" s="584"/>
      <c r="T23" s="587"/>
      <c r="U23" s="153">
        <f t="shared" si="15"/>
        <v>0.15510690399088187</v>
      </c>
      <c r="V23" s="585"/>
      <c r="W23" s="589"/>
    </row>
    <row r="24" spans="2:23" hidden="1">
      <c r="B24" s="590"/>
      <c r="C24" s="586"/>
      <c r="D24" s="80">
        <f t="shared" si="5"/>
        <v>46250</v>
      </c>
      <c r="E24" s="80" t="s">
        <v>116</v>
      </c>
      <c r="F24" s="163">
        <v>6269913.0899999999</v>
      </c>
      <c r="G24" s="587"/>
      <c r="H24" s="587"/>
      <c r="I24" s="213">
        <v>200927</v>
      </c>
      <c r="J24" s="588"/>
      <c r="K24" s="588"/>
      <c r="L24" s="163">
        <v>4219845.424407836</v>
      </c>
      <c r="M24" s="587"/>
      <c r="N24" s="587"/>
      <c r="O24" s="153">
        <f t="shared" si="13"/>
        <v>0.6730309278350517</v>
      </c>
      <c r="P24" s="585"/>
      <c r="Q24" s="589"/>
      <c r="R24" s="164">
        <v>884957.24199999997</v>
      </c>
      <c r="S24" s="584"/>
      <c r="T24" s="587"/>
      <c r="U24" s="153">
        <f t="shared" si="15"/>
        <v>0.14114346232508942</v>
      </c>
      <c r="V24" s="585"/>
      <c r="W24" s="589"/>
    </row>
    <row r="25" spans="2:23" hidden="1">
      <c r="B25" s="590"/>
      <c r="C25" s="586"/>
      <c r="D25" s="80">
        <f t="shared" si="5"/>
        <v>46251</v>
      </c>
      <c r="E25" s="80" t="s">
        <v>125</v>
      </c>
      <c r="F25" s="163">
        <v>6084577.5200000005</v>
      </c>
      <c r="G25" s="587"/>
      <c r="H25" s="587"/>
      <c r="I25" s="213">
        <v>196867</v>
      </c>
      <c r="J25" s="588"/>
      <c r="K25" s="588"/>
      <c r="L25" s="163">
        <v>4158463.7331018569</v>
      </c>
      <c r="M25" s="587"/>
      <c r="N25" s="587"/>
      <c r="O25" s="153">
        <f t="shared" si="13"/>
        <v>0.6834432989690723</v>
      </c>
      <c r="P25" s="585"/>
      <c r="Q25" s="589"/>
      <c r="R25" s="164">
        <v>765126.02399999998</v>
      </c>
      <c r="S25" s="584"/>
      <c r="T25" s="587"/>
      <c r="U25" s="153">
        <f t="shared" si="15"/>
        <v>0.12574842238183859</v>
      </c>
      <c r="V25" s="585"/>
      <c r="W25" s="589"/>
    </row>
    <row r="26" spans="2:23" hidden="1">
      <c r="B26" s="590">
        <f>B19+7</f>
        <v>46260</v>
      </c>
      <c r="C26" s="586"/>
      <c r="D26" s="80">
        <f t="shared" si="5"/>
        <v>46252</v>
      </c>
      <c r="E26" s="80" t="s">
        <v>119</v>
      </c>
      <c r="F26" s="163">
        <v>6583839.5199999996</v>
      </c>
      <c r="G26" s="587">
        <f>SUM(F26:F32)</f>
        <v>39537269.799999997</v>
      </c>
      <c r="H26" s="587"/>
      <c r="I26" s="213">
        <v>201857</v>
      </c>
      <c r="J26" s="588">
        <f t="shared" ref="J26" si="16">SUM(I26:I32)</f>
        <v>1252535</v>
      </c>
      <c r="K26" s="588"/>
      <c r="L26" s="163">
        <v>4492214.7916668039</v>
      </c>
      <c r="M26" s="587">
        <f t="shared" ref="M26" si="17">SUM(L26:L32)</f>
        <v>27086185.165090725</v>
      </c>
      <c r="N26" s="587"/>
      <c r="O26" s="153">
        <f t="shared" si="13"/>
        <v>0.68230927835051547</v>
      </c>
      <c r="P26" s="585">
        <f>M26/G26</f>
        <v>0.68507980703034599</v>
      </c>
      <c r="Q26" s="589"/>
      <c r="R26" s="164">
        <v>901149.48800000001</v>
      </c>
      <c r="S26" s="584">
        <f t="shared" ref="S26" si="18">SUM(R26:R32)</f>
        <v>5751753.8040000005</v>
      </c>
      <c r="T26" s="587"/>
      <c r="U26" s="153">
        <f t="shared" si="15"/>
        <v>0.13687294249237716</v>
      </c>
      <c r="V26" s="585">
        <f>S26/G26</f>
        <v>0.14547675732531234</v>
      </c>
      <c r="W26" s="589"/>
    </row>
    <row r="27" spans="2:23" hidden="1">
      <c r="B27" s="590"/>
      <c r="C27" s="586"/>
      <c r="D27" s="80">
        <f t="shared" si="5"/>
        <v>46253</v>
      </c>
      <c r="E27" s="80" t="s">
        <v>120</v>
      </c>
      <c r="F27" s="163">
        <v>5965361.7000000002</v>
      </c>
      <c r="G27" s="587"/>
      <c r="H27" s="587"/>
      <c r="I27" s="213">
        <v>188974</v>
      </c>
      <c r="J27" s="588"/>
      <c r="K27" s="588"/>
      <c r="L27" s="163">
        <v>4067146.7079154649</v>
      </c>
      <c r="M27" s="587"/>
      <c r="N27" s="587"/>
      <c r="O27" s="153">
        <f t="shared" si="13"/>
        <v>0.68179381443298981</v>
      </c>
      <c r="P27" s="585"/>
      <c r="Q27" s="589"/>
      <c r="R27" s="164">
        <v>844162.55799999996</v>
      </c>
      <c r="S27" s="584"/>
      <c r="T27" s="587"/>
      <c r="U27" s="153">
        <f t="shared" si="15"/>
        <v>0.14151070805983146</v>
      </c>
      <c r="V27" s="585"/>
      <c r="W27" s="589"/>
    </row>
    <row r="28" spans="2:23" hidden="1">
      <c r="B28" s="590"/>
      <c r="C28" s="586"/>
      <c r="D28" s="80">
        <f t="shared" si="5"/>
        <v>46254</v>
      </c>
      <c r="E28" s="80" t="s">
        <v>121</v>
      </c>
      <c r="F28" s="163">
        <v>5515098.4399999995</v>
      </c>
      <c r="G28" s="587"/>
      <c r="H28" s="587"/>
      <c r="I28" s="213">
        <v>175085</v>
      </c>
      <c r="J28" s="588"/>
      <c r="K28" s="588"/>
      <c r="L28" s="163">
        <v>3809056.7514367006</v>
      </c>
      <c r="M28" s="587"/>
      <c r="N28" s="587"/>
      <c r="O28" s="153">
        <f t="shared" si="13"/>
        <v>0.69065979381443299</v>
      </c>
      <c r="P28" s="585"/>
      <c r="Q28" s="589"/>
      <c r="R28" s="164">
        <v>808002.69200000004</v>
      </c>
      <c r="S28" s="584"/>
      <c r="T28" s="587"/>
      <c r="U28" s="153">
        <f t="shared" si="15"/>
        <v>0.14650739253169162</v>
      </c>
      <c r="V28" s="585"/>
      <c r="W28" s="589"/>
    </row>
    <row r="29" spans="2:23" hidden="1">
      <c r="B29" s="590"/>
      <c r="C29" s="586"/>
      <c r="D29" s="80">
        <f t="shared" si="5"/>
        <v>46255</v>
      </c>
      <c r="E29" s="80" t="s">
        <v>122</v>
      </c>
      <c r="F29" s="163">
        <v>4265125.8</v>
      </c>
      <c r="G29" s="587"/>
      <c r="H29" s="587"/>
      <c r="I29" s="213">
        <v>140181</v>
      </c>
      <c r="J29" s="588"/>
      <c r="K29" s="588"/>
      <c r="L29" s="163">
        <v>2935637.7207340207</v>
      </c>
      <c r="M29" s="587"/>
      <c r="N29" s="587"/>
      <c r="O29" s="153">
        <f t="shared" si="13"/>
        <v>0.68828865979381448</v>
      </c>
      <c r="P29" s="585"/>
      <c r="Q29" s="589"/>
      <c r="R29" s="164">
        <v>727337.01800000004</v>
      </c>
      <c r="S29" s="584"/>
      <c r="T29" s="587"/>
      <c r="U29" s="153">
        <f t="shared" si="15"/>
        <v>0.17053119933766081</v>
      </c>
      <c r="V29" s="585"/>
      <c r="W29" s="589"/>
    </row>
    <row r="30" spans="2:23" hidden="1">
      <c r="B30" s="590"/>
      <c r="C30" s="586"/>
      <c r="D30" s="80">
        <f t="shared" si="5"/>
        <v>46256</v>
      </c>
      <c r="E30" s="80" t="s">
        <v>124</v>
      </c>
      <c r="F30" s="163">
        <v>4672768.7700000005</v>
      </c>
      <c r="G30" s="587"/>
      <c r="H30" s="587"/>
      <c r="I30" s="213">
        <v>150801</v>
      </c>
      <c r="J30" s="588"/>
      <c r="K30" s="588"/>
      <c r="L30" s="163">
        <v>3213805.1105338149</v>
      </c>
      <c r="M30" s="587"/>
      <c r="N30" s="587"/>
      <c r="O30" s="153">
        <f t="shared" si="13"/>
        <v>0.68777319587628871</v>
      </c>
      <c r="P30" s="585"/>
      <c r="Q30" s="589"/>
      <c r="R30" s="164">
        <v>740066.26</v>
      </c>
      <c r="S30" s="584"/>
      <c r="T30" s="587"/>
      <c r="U30" s="153">
        <f t="shared" si="15"/>
        <v>0.15837853239204899</v>
      </c>
      <c r="V30" s="585"/>
      <c r="W30" s="589"/>
    </row>
    <row r="31" spans="2:23" hidden="1">
      <c r="B31" s="590"/>
      <c r="C31" s="586"/>
      <c r="D31" s="80">
        <f t="shared" si="5"/>
        <v>46257</v>
      </c>
      <c r="E31" s="80" t="s">
        <v>116</v>
      </c>
      <c r="F31" s="163">
        <v>6356809.7199999997</v>
      </c>
      <c r="G31" s="587"/>
      <c r="H31" s="587"/>
      <c r="I31" s="213">
        <v>197801</v>
      </c>
      <c r="J31" s="588"/>
      <c r="K31" s="588"/>
      <c r="L31" s="163">
        <v>4345829.6883719591</v>
      </c>
      <c r="M31" s="587"/>
      <c r="N31" s="587"/>
      <c r="O31" s="153">
        <f t="shared" si="13"/>
        <v>0.68364948453608254</v>
      </c>
      <c r="P31" s="585"/>
      <c r="Q31" s="589"/>
      <c r="R31" s="164">
        <v>886504.03</v>
      </c>
      <c r="S31" s="584"/>
      <c r="T31" s="587"/>
      <c r="U31" s="153">
        <f t="shared" si="15"/>
        <v>0.13945738020297391</v>
      </c>
      <c r="V31" s="585"/>
      <c r="W31" s="589"/>
    </row>
    <row r="32" spans="2:23" hidden="1">
      <c r="B32" s="590"/>
      <c r="C32" s="586"/>
      <c r="D32" s="80">
        <f t="shared" si="5"/>
        <v>46258</v>
      </c>
      <c r="E32" s="80" t="s">
        <v>125</v>
      </c>
      <c r="F32" s="163">
        <v>6178265.8499999996</v>
      </c>
      <c r="G32" s="587"/>
      <c r="H32" s="587"/>
      <c r="I32" s="213">
        <v>197836</v>
      </c>
      <c r="J32" s="588"/>
      <c r="K32" s="588"/>
      <c r="L32" s="163">
        <v>4222494.394431958</v>
      </c>
      <c r="M32" s="587"/>
      <c r="N32" s="587"/>
      <c r="O32" s="153">
        <f t="shared" si="13"/>
        <v>0.68344329896907208</v>
      </c>
      <c r="P32" s="585"/>
      <c r="Q32" s="589"/>
      <c r="R32" s="164">
        <v>844531.75800000003</v>
      </c>
      <c r="S32" s="584"/>
      <c r="T32" s="587"/>
      <c r="U32" s="153">
        <f t="shared" si="15"/>
        <v>0.13669398153205078</v>
      </c>
      <c r="V32" s="585"/>
      <c r="W32" s="589"/>
    </row>
    <row r="33" spans="2:23" hidden="1">
      <c r="B33" s="590">
        <f>B26+7</f>
        <v>46267</v>
      </c>
      <c r="C33" s="586"/>
      <c r="D33" s="80">
        <f t="shared" si="5"/>
        <v>46259</v>
      </c>
      <c r="E33" s="80" t="s">
        <v>119</v>
      </c>
      <c r="F33" s="163">
        <v>6384123.5300000003</v>
      </c>
      <c r="G33" s="587">
        <f>SUM(F33:F39)</f>
        <v>36749311.969999999</v>
      </c>
      <c r="H33" s="587"/>
      <c r="I33" s="213">
        <v>208377</v>
      </c>
      <c r="J33" s="588">
        <f t="shared" ref="J33" si="19">SUM(I33:I39)</f>
        <v>1138303</v>
      </c>
      <c r="K33" s="588"/>
      <c r="L33" s="163">
        <v>4287498.3839002065</v>
      </c>
      <c r="M33" s="587">
        <f t="shared" ref="M33" si="20">SUM(L33:L39)</f>
        <v>24963663.615531757</v>
      </c>
      <c r="N33" s="587"/>
      <c r="O33" s="153">
        <f t="shared" ref="O33:O39" si="21">L33/F33</f>
        <v>0.67158762886597945</v>
      </c>
      <c r="P33" s="585">
        <f>M33/G33</f>
        <v>0.67929608140448017</v>
      </c>
      <c r="Q33" s="589"/>
      <c r="R33" s="164">
        <v>934133.47199999995</v>
      </c>
      <c r="S33" s="584">
        <f t="shared" ref="S33" si="22">SUM(R33:R39)</f>
        <v>5571356.432</v>
      </c>
      <c r="T33" s="587"/>
      <c r="U33" s="153">
        <f t="shared" ref="U33:U39" si="23">R33/F33</f>
        <v>0.1463213341048869</v>
      </c>
      <c r="V33" s="585">
        <f>S33/G33</f>
        <v>0.15160437388727527</v>
      </c>
      <c r="W33" s="589"/>
    </row>
    <row r="34" spans="2:23" hidden="1">
      <c r="B34" s="590"/>
      <c r="C34" s="586"/>
      <c r="D34" s="80">
        <f t="shared" si="5"/>
        <v>46260</v>
      </c>
      <c r="E34" s="80" t="s">
        <v>120</v>
      </c>
      <c r="F34" s="163">
        <v>5681937.0600000005</v>
      </c>
      <c r="G34" s="587"/>
      <c r="H34" s="587"/>
      <c r="I34" s="213">
        <v>184347</v>
      </c>
      <c r="J34" s="588"/>
      <c r="K34" s="588"/>
      <c r="L34" s="163">
        <v>3807132.1368828872</v>
      </c>
      <c r="M34" s="587"/>
      <c r="N34" s="587"/>
      <c r="O34" s="153">
        <f t="shared" si="21"/>
        <v>0.67004123711340213</v>
      </c>
      <c r="P34" s="585"/>
      <c r="Q34" s="589"/>
      <c r="R34" s="164">
        <v>841535.96600000001</v>
      </c>
      <c r="S34" s="584"/>
      <c r="T34" s="587"/>
      <c r="U34" s="153">
        <f t="shared" si="23"/>
        <v>0.14810723123356806</v>
      </c>
      <c r="V34" s="585"/>
      <c r="W34" s="589"/>
    </row>
    <row r="35" spans="2:23" hidden="1">
      <c r="B35" s="590"/>
      <c r="C35" s="586"/>
      <c r="D35" s="80">
        <f t="shared" si="5"/>
        <v>46261</v>
      </c>
      <c r="E35" s="80" t="s">
        <v>121</v>
      </c>
      <c r="F35" s="163">
        <v>4735272.9000000004</v>
      </c>
      <c r="G35" s="587"/>
      <c r="H35" s="587"/>
      <c r="I35" s="213">
        <v>144091</v>
      </c>
      <c r="J35" s="588"/>
      <c r="K35" s="588"/>
      <c r="L35" s="163">
        <v>3255817.430851547</v>
      </c>
      <c r="M35" s="587"/>
      <c r="N35" s="587"/>
      <c r="O35" s="153">
        <f t="shared" si="21"/>
        <v>0.68756701030927847</v>
      </c>
      <c r="P35" s="585"/>
      <c r="Q35" s="589"/>
      <c r="R35" s="164">
        <v>752033.99399999995</v>
      </c>
      <c r="S35" s="584"/>
      <c r="T35" s="587"/>
      <c r="U35" s="153">
        <f t="shared" si="23"/>
        <v>0.15881534388440419</v>
      </c>
      <c r="V35" s="585"/>
      <c r="W35" s="589"/>
    </row>
    <row r="36" spans="2:23" hidden="1">
      <c r="B36" s="590"/>
      <c r="C36" s="586"/>
      <c r="D36" s="80">
        <f t="shared" si="5"/>
        <v>46262</v>
      </c>
      <c r="E36" s="80" t="s">
        <v>122</v>
      </c>
      <c r="F36" s="163">
        <v>3911723.8</v>
      </c>
      <c r="G36" s="587"/>
      <c r="H36" s="587"/>
      <c r="I36" s="213">
        <v>119527</v>
      </c>
      <c r="J36" s="588"/>
      <c r="K36" s="588"/>
      <c r="L36" s="163">
        <v>2700460.5416824743</v>
      </c>
      <c r="M36" s="587"/>
      <c r="N36" s="587"/>
      <c r="O36" s="153">
        <f t="shared" si="21"/>
        <v>0.69035051546391757</v>
      </c>
      <c r="P36" s="585"/>
      <c r="Q36" s="589"/>
      <c r="R36" s="164">
        <v>681681.272</v>
      </c>
      <c r="S36" s="584"/>
      <c r="T36" s="587"/>
      <c r="U36" s="153">
        <f t="shared" si="23"/>
        <v>0.17426620764993683</v>
      </c>
      <c r="V36" s="585"/>
      <c r="W36" s="589"/>
    </row>
    <row r="37" spans="2:23" hidden="1">
      <c r="B37" s="590"/>
      <c r="C37" s="586"/>
      <c r="D37" s="80">
        <f t="shared" si="5"/>
        <v>46263</v>
      </c>
      <c r="E37" s="80" t="s">
        <v>124</v>
      </c>
      <c r="F37" s="163">
        <v>4263630.51</v>
      </c>
      <c r="G37" s="587"/>
      <c r="H37" s="587"/>
      <c r="I37" s="213">
        <v>130180</v>
      </c>
      <c r="J37" s="588"/>
      <c r="K37" s="588"/>
      <c r="L37" s="163">
        <v>2908675.1068942272</v>
      </c>
      <c r="M37" s="587"/>
      <c r="N37" s="587"/>
      <c r="O37" s="153">
        <f t="shared" si="21"/>
        <v>0.6822061855670104</v>
      </c>
      <c r="P37" s="585"/>
      <c r="Q37" s="589"/>
      <c r="R37" s="164">
        <v>698343.08799999999</v>
      </c>
      <c r="S37" s="584"/>
      <c r="T37" s="587"/>
      <c r="U37" s="153">
        <f t="shared" si="23"/>
        <v>0.163790714594544</v>
      </c>
      <c r="V37" s="585"/>
      <c r="W37" s="589"/>
    </row>
    <row r="38" spans="2:23" hidden="1">
      <c r="B38" s="590"/>
      <c r="C38" s="586"/>
      <c r="D38" s="80">
        <f t="shared" si="5"/>
        <v>46264</v>
      </c>
      <c r="E38" s="80" t="s">
        <v>116</v>
      </c>
      <c r="F38" s="163">
        <v>5874431.6899999995</v>
      </c>
      <c r="G38" s="587"/>
      <c r="H38" s="587"/>
      <c r="I38" s="213">
        <v>174500</v>
      </c>
      <c r="J38" s="588"/>
      <c r="K38" s="588"/>
      <c r="L38" s="163">
        <v>3986377.2326037111</v>
      </c>
      <c r="M38" s="587"/>
      <c r="N38" s="587"/>
      <c r="O38" s="153">
        <f t="shared" si="21"/>
        <v>0.67859793814432989</v>
      </c>
      <c r="P38" s="585"/>
      <c r="Q38" s="589"/>
      <c r="R38" s="164">
        <v>821515.77599999995</v>
      </c>
      <c r="S38" s="584"/>
      <c r="T38" s="587"/>
      <c r="U38" s="153">
        <f t="shared" si="23"/>
        <v>0.13984600032007521</v>
      </c>
      <c r="V38" s="585"/>
      <c r="W38" s="589"/>
    </row>
    <row r="39" spans="2:23" hidden="1">
      <c r="B39" s="590"/>
      <c r="C39" s="586"/>
      <c r="D39" s="80">
        <f t="shared" si="5"/>
        <v>46265</v>
      </c>
      <c r="E39" s="80" t="s">
        <v>125</v>
      </c>
      <c r="F39" s="163">
        <v>5898192.4800000004</v>
      </c>
      <c r="G39" s="587"/>
      <c r="H39" s="587"/>
      <c r="I39" s="213">
        <v>177281</v>
      </c>
      <c r="J39" s="588"/>
      <c r="K39" s="588"/>
      <c r="L39" s="163">
        <v>4017702.7827167013</v>
      </c>
      <c r="M39" s="587"/>
      <c r="N39" s="587"/>
      <c r="O39" s="153">
        <f t="shared" si="21"/>
        <v>0.68117525773195875</v>
      </c>
      <c r="P39" s="585"/>
      <c r="Q39" s="589"/>
      <c r="R39" s="164">
        <v>842112.86399999994</v>
      </c>
      <c r="S39" s="584"/>
      <c r="T39" s="587"/>
      <c r="U39" s="153">
        <f t="shared" si="23"/>
        <v>0.14277473426909931</v>
      </c>
      <c r="V39" s="585"/>
      <c r="W39" s="589"/>
    </row>
    <row r="40" spans="2:23">
      <c r="B40" s="590">
        <f>B33+7</f>
        <v>46274</v>
      </c>
      <c r="C40" s="586" t="s">
        <v>126</v>
      </c>
      <c r="D40" s="80">
        <f>D39+1</f>
        <v>46266</v>
      </c>
      <c r="E40" s="80" t="s">
        <v>119</v>
      </c>
      <c r="F40" s="163">
        <v>5905912.6799999997</v>
      </c>
      <c r="G40" s="587">
        <f>SUM(F40:F46)</f>
        <v>36405586.840000004</v>
      </c>
      <c r="H40" s="587">
        <f>SUM(F40:F69)</f>
        <v>36405586.840000004</v>
      </c>
      <c r="I40" s="213">
        <v>184538</v>
      </c>
      <c r="J40" s="588">
        <f t="shared" ref="J40" si="24">SUM(I40:I46)</f>
        <v>1128982</v>
      </c>
      <c r="K40" s="588">
        <f>SUM(I40:I69)</f>
        <v>1128982</v>
      </c>
      <c r="L40" s="163">
        <v>3997389.5988940201</v>
      </c>
      <c r="M40" s="587">
        <f t="shared" ref="M40" si="25">SUM(L40:L46)</f>
        <v>24718254.35963361</v>
      </c>
      <c r="N40" s="587">
        <f>SUM(L40:L69)</f>
        <v>24718254.35963361</v>
      </c>
      <c r="O40" s="153">
        <f t="shared" ref="O40:O46" si="26">L40/F40</f>
        <v>0.67684536082474223</v>
      </c>
      <c r="P40" s="585">
        <f>M40/G40</f>
        <v>0.67896871071653375</v>
      </c>
      <c r="Q40" s="589">
        <f>N40/H40</f>
        <v>0.67896871071653375</v>
      </c>
      <c r="R40" s="164">
        <v>806832.00199999998</v>
      </c>
      <c r="S40" s="584">
        <f t="shared" ref="S40" si="27">SUM(R40:R46)</f>
        <v>5251268.358</v>
      </c>
      <c r="T40" s="587">
        <f>SUM(R40:R69)</f>
        <v>5251268.358</v>
      </c>
      <c r="U40" s="153">
        <f t="shared" ref="U40:U46" si="28">R40/F40</f>
        <v>0.13661427889584038</v>
      </c>
      <c r="V40" s="585">
        <f>S40/G40</f>
        <v>0.14424347507647536</v>
      </c>
      <c r="W40" s="589">
        <f>T40/H40</f>
        <v>0.14424347507647536</v>
      </c>
    </row>
    <row r="41" spans="2:23">
      <c r="B41" s="590"/>
      <c r="C41" s="586"/>
      <c r="D41" s="80">
        <f t="shared" si="5"/>
        <v>46267</v>
      </c>
      <c r="E41" s="80" t="s">
        <v>120</v>
      </c>
      <c r="F41" s="163">
        <v>5349912.8599999985</v>
      </c>
      <c r="G41" s="587"/>
      <c r="H41" s="587"/>
      <c r="I41" s="213">
        <v>166898</v>
      </c>
      <c r="J41" s="588"/>
      <c r="K41" s="588"/>
      <c r="L41" s="163">
        <v>3724201.1954498962</v>
      </c>
      <c r="M41" s="587"/>
      <c r="N41" s="587"/>
      <c r="O41" s="153">
        <f t="shared" si="26"/>
        <v>0.69612371134020623</v>
      </c>
      <c r="P41" s="585"/>
      <c r="Q41" s="589"/>
      <c r="R41" s="164">
        <v>764317.86199999996</v>
      </c>
      <c r="S41" s="584"/>
      <c r="T41" s="587"/>
      <c r="U41" s="153">
        <f t="shared" si="28"/>
        <v>0.14286547874725575</v>
      </c>
      <c r="V41" s="585"/>
      <c r="W41" s="589"/>
    </row>
    <row r="42" spans="2:23">
      <c r="B42" s="590"/>
      <c r="C42" s="586"/>
      <c r="D42" s="80">
        <f t="shared" si="5"/>
        <v>46268</v>
      </c>
      <c r="E42" s="80" t="s">
        <v>121</v>
      </c>
      <c r="F42" s="163">
        <v>4890176.0899999989</v>
      </c>
      <c r="G42" s="587"/>
      <c r="H42" s="587"/>
      <c r="I42" s="213">
        <v>152603</v>
      </c>
      <c r="J42" s="588"/>
      <c r="K42" s="588"/>
      <c r="L42" s="163">
        <v>3231751.0110655664</v>
      </c>
      <c r="M42" s="587"/>
      <c r="N42" s="587"/>
      <c r="O42" s="153">
        <f t="shared" si="26"/>
        <v>0.66086597938144331</v>
      </c>
      <c r="P42" s="585"/>
      <c r="Q42" s="589"/>
      <c r="R42" s="164">
        <v>727557.13600000006</v>
      </c>
      <c r="S42" s="584"/>
      <c r="T42" s="587"/>
      <c r="U42" s="153">
        <f t="shared" si="28"/>
        <v>0.14877933281130581</v>
      </c>
      <c r="V42" s="585"/>
      <c r="W42" s="589"/>
    </row>
    <row r="43" spans="2:23">
      <c r="B43" s="590"/>
      <c r="C43" s="586"/>
      <c r="D43" s="80">
        <f t="shared" si="5"/>
        <v>46269</v>
      </c>
      <c r="E43" s="80" t="s">
        <v>122</v>
      </c>
      <c r="F43" s="163">
        <v>3858381.1400000006</v>
      </c>
      <c r="G43" s="587"/>
      <c r="H43" s="587"/>
      <c r="I43" s="213">
        <v>123500</v>
      </c>
      <c r="J43" s="588"/>
      <c r="K43" s="588"/>
      <c r="L43" s="163">
        <v>2660055.4675913411</v>
      </c>
      <c r="M43" s="587"/>
      <c r="N43" s="587"/>
      <c r="O43" s="153">
        <f t="shared" si="26"/>
        <v>0.68942268041237131</v>
      </c>
      <c r="P43" s="585"/>
      <c r="Q43" s="589"/>
      <c r="R43" s="164">
        <v>682690.08600000001</v>
      </c>
      <c r="S43" s="584"/>
      <c r="T43" s="587"/>
      <c r="U43" s="153">
        <f t="shared" si="28"/>
        <v>0.17693692282561799</v>
      </c>
      <c r="V43" s="585"/>
      <c r="W43" s="589"/>
    </row>
    <row r="44" spans="2:23">
      <c r="B44" s="590"/>
      <c r="C44" s="586"/>
      <c r="D44" s="80">
        <f t="shared" si="5"/>
        <v>46270</v>
      </c>
      <c r="E44" s="80" t="s">
        <v>124</v>
      </c>
      <c r="F44" s="163">
        <v>4194791.4399999995</v>
      </c>
      <c r="G44" s="587"/>
      <c r="H44" s="587"/>
      <c r="I44" s="213">
        <v>131637</v>
      </c>
      <c r="J44" s="588"/>
      <c r="K44" s="588"/>
      <c r="L44" s="163">
        <v>2845711.9166779374</v>
      </c>
      <c r="M44" s="587"/>
      <c r="N44" s="587"/>
      <c r="O44" s="153">
        <f t="shared" si="26"/>
        <v>0.67839175257731954</v>
      </c>
      <c r="P44" s="585"/>
      <c r="Q44" s="589"/>
      <c r="R44" s="164">
        <v>698947.94400000002</v>
      </c>
      <c r="S44" s="584"/>
      <c r="T44" s="587"/>
      <c r="U44" s="153">
        <f t="shared" si="28"/>
        <v>0.16662281164567269</v>
      </c>
      <c r="V44" s="585"/>
      <c r="W44" s="589"/>
    </row>
    <row r="45" spans="2:23">
      <c r="B45" s="590"/>
      <c r="C45" s="586"/>
      <c r="D45" s="80">
        <f t="shared" si="5"/>
        <v>46271</v>
      </c>
      <c r="E45" s="80" t="s">
        <v>116</v>
      </c>
      <c r="F45" s="163">
        <v>6259357.5599999996</v>
      </c>
      <c r="G45" s="587"/>
      <c r="H45" s="587"/>
      <c r="I45" s="213">
        <v>188421</v>
      </c>
      <c r="J45" s="588"/>
      <c r="K45" s="588"/>
      <c r="L45" s="163">
        <v>4219194.1721962886</v>
      </c>
      <c r="M45" s="587"/>
      <c r="N45" s="587"/>
      <c r="O45" s="153">
        <f t="shared" si="26"/>
        <v>0.67406185567010313</v>
      </c>
      <c r="P45" s="585"/>
      <c r="Q45" s="589"/>
      <c r="R45" s="164">
        <v>861641.52800000005</v>
      </c>
      <c r="S45" s="584"/>
      <c r="T45" s="587"/>
      <c r="U45" s="153">
        <f t="shared" si="28"/>
        <v>0.13765654378114806</v>
      </c>
      <c r="V45" s="585"/>
      <c r="W45" s="589"/>
    </row>
    <row r="46" spans="2:23">
      <c r="B46" s="590"/>
      <c r="C46" s="586"/>
      <c r="D46" s="80">
        <f t="shared" si="5"/>
        <v>46272</v>
      </c>
      <c r="E46" s="80" t="s">
        <v>125</v>
      </c>
      <c r="F46" s="163">
        <v>5947055.0700000003</v>
      </c>
      <c r="G46" s="587"/>
      <c r="H46" s="587"/>
      <c r="I46" s="213">
        <v>181385</v>
      </c>
      <c r="J46" s="588"/>
      <c r="K46" s="588"/>
      <c r="L46" s="163">
        <v>4039950.997758558</v>
      </c>
      <c r="M46" s="587"/>
      <c r="N46" s="587"/>
      <c r="O46" s="153">
        <f t="shared" si="26"/>
        <v>0.67931958762886613</v>
      </c>
      <c r="P46" s="585"/>
      <c r="Q46" s="589"/>
      <c r="R46" s="164">
        <v>709281.8</v>
      </c>
      <c r="S46" s="584"/>
      <c r="T46" s="587"/>
      <c r="U46" s="153">
        <f t="shared" si="28"/>
        <v>0.11926605549324433</v>
      </c>
      <c r="V46" s="585"/>
      <c r="W46" s="589"/>
    </row>
    <row r="47" spans="2:23">
      <c r="B47" s="590">
        <f>B40+7</f>
        <v>46281</v>
      </c>
      <c r="C47" s="586"/>
      <c r="D47" s="80">
        <f t="shared" si="5"/>
        <v>46273</v>
      </c>
      <c r="E47" s="80" t="s">
        <v>119</v>
      </c>
      <c r="F47" s="163"/>
      <c r="G47" s="587">
        <f>SUM(F47:F53)</f>
        <v>0</v>
      </c>
      <c r="H47" s="587"/>
      <c r="I47" s="213"/>
      <c r="J47" s="588">
        <f t="shared" ref="J47" si="29">SUM(I47:I53)</f>
        <v>0</v>
      </c>
      <c r="K47" s="588"/>
      <c r="L47" s="163"/>
      <c r="M47" s="587">
        <f t="shared" ref="M47" si="30">SUM(L47:L53)</f>
        <v>0</v>
      </c>
      <c r="N47" s="587"/>
      <c r="O47" s="153" t="e">
        <f t="shared" ref="O47:O60" si="31">L47/F47</f>
        <v>#DIV/0!</v>
      </c>
      <c r="P47" s="585" t="e">
        <f>M47/G47</f>
        <v>#DIV/0!</v>
      </c>
      <c r="Q47" s="589"/>
      <c r="R47" s="164"/>
      <c r="S47" s="584">
        <f t="shared" ref="S47" si="32">SUM(R47:R53)</f>
        <v>0</v>
      </c>
      <c r="T47" s="587"/>
      <c r="U47" s="153" t="e">
        <f t="shared" ref="U47:U60" si="33">R47/F47</f>
        <v>#DIV/0!</v>
      </c>
      <c r="V47" s="585" t="e">
        <f>S47/G47</f>
        <v>#DIV/0!</v>
      </c>
      <c r="W47" s="589"/>
    </row>
    <row r="48" spans="2:23">
      <c r="B48" s="590"/>
      <c r="C48" s="586"/>
      <c r="D48" s="80">
        <f t="shared" si="5"/>
        <v>46274</v>
      </c>
      <c r="E48" s="80" t="s">
        <v>120</v>
      </c>
      <c r="F48" s="163"/>
      <c r="G48" s="587"/>
      <c r="H48" s="587"/>
      <c r="I48" s="213"/>
      <c r="J48" s="588"/>
      <c r="K48" s="588"/>
      <c r="L48" s="163"/>
      <c r="M48" s="587"/>
      <c r="N48" s="587"/>
      <c r="O48" s="153" t="e">
        <f t="shared" si="31"/>
        <v>#DIV/0!</v>
      </c>
      <c r="P48" s="585"/>
      <c r="Q48" s="589"/>
      <c r="R48" s="164"/>
      <c r="S48" s="584"/>
      <c r="T48" s="587"/>
      <c r="U48" s="153" t="e">
        <f t="shared" si="33"/>
        <v>#DIV/0!</v>
      </c>
      <c r="V48" s="585"/>
      <c r="W48" s="589"/>
    </row>
    <row r="49" spans="2:23">
      <c r="B49" s="590"/>
      <c r="C49" s="586"/>
      <c r="D49" s="80">
        <f t="shared" si="5"/>
        <v>46275</v>
      </c>
      <c r="E49" s="80" t="s">
        <v>121</v>
      </c>
      <c r="F49" s="163"/>
      <c r="G49" s="587"/>
      <c r="H49" s="587"/>
      <c r="I49" s="213"/>
      <c r="J49" s="588"/>
      <c r="K49" s="588"/>
      <c r="L49" s="163"/>
      <c r="M49" s="587"/>
      <c r="N49" s="587"/>
      <c r="O49" s="153" t="e">
        <f t="shared" si="31"/>
        <v>#DIV/0!</v>
      </c>
      <c r="P49" s="585"/>
      <c r="Q49" s="589"/>
      <c r="R49" s="164"/>
      <c r="S49" s="584"/>
      <c r="T49" s="587"/>
      <c r="U49" s="153" t="e">
        <f t="shared" si="33"/>
        <v>#DIV/0!</v>
      </c>
      <c r="V49" s="585"/>
      <c r="W49" s="589"/>
    </row>
    <row r="50" spans="2:23">
      <c r="B50" s="590"/>
      <c r="C50" s="586"/>
      <c r="D50" s="80">
        <f t="shared" si="5"/>
        <v>46276</v>
      </c>
      <c r="E50" s="80" t="s">
        <v>122</v>
      </c>
      <c r="F50" s="163"/>
      <c r="G50" s="587"/>
      <c r="H50" s="587"/>
      <c r="I50" s="213"/>
      <c r="J50" s="588"/>
      <c r="K50" s="588"/>
      <c r="L50" s="163"/>
      <c r="M50" s="587"/>
      <c r="N50" s="587"/>
      <c r="O50" s="153" t="e">
        <f t="shared" si="31"/>
        <v>#DIV/0!</v>
      </c>
      <c r="P50" s="585"/>
      <c r="Q50" s="589"/>
      <c r="R50" s="164"/>
      <c r="S50" s="584"/>
      <c r="T50" s="587"/>
      <c r="U50" s="153" t="e">
        <f t="shared" si="33"/>
        <v>#DIV/0!</v>
      </c>
      <c r="V50" s="585"/>
      <c r="W50" s="589"/>
    </row>
    <row r="51" spans="2:23">
      <c r="B51" s="590"/>
      <c r="C51" s="586"/>
      <c r="D51" s="80">
        <f t="shared" si="5"/>
        <v>46277</v>
      </c>
      <c r="E51" s="80" t="s">
        <v>124</v>
      </c>
      <c r="F51" s="163"/>
      <c r="G51" s="587"/>
      <c r="H51" s="587"/>
      <c r="I51" s="213"/>
      <c r="J51" s="588"/>
      <c r="K51" s="588"/>
      <c r="L51" s="163"/>
      <c r="M51" s="587"/>
      <c r="N51" s="587"/>
      <c r="O51" s="153" t="e">
        <f t="shared" si="31"/>
        <v>#DIV/0!</v>
      </c>
      <c r="P51" s="585"/>
      <c r="Q51" s="589"/>
      <c r="R51" s="164"/>
      <c r="S51" s="584"/>
      <c r="T51" s="587"/>
      <c r="U51" s="153" t="e">
        <f t="shared" si="33"/>
        <v>#DIV/0!</v>
      </c>
      <c r="V51" s="585"/>
      <c r="W51" s="589"/>
    </row>
    <row r="52" spans="2:23">
      <c r="B52" s="590"/>
      <c r="C52" s="586"/>
      <c r="D52" s="80">
        <f t="shared" si="5"/>
        <v>46278</v>
      </c>
      <c r="E52" s="80" t="s">
        <v>116</v>
      </c>
      <c r="F52" s="163"/>
      <c r="G52" s="587"/>
      <c r="H52" s="587"/>
      <c r="I52" s="213"/>
      <c r="J52" s="588"/>
      <c r="K52" s="588"/>
      <c r="L52" s="163"/>
      <c r="M52" s="587"/>
      <c r="N52" s="587"/>
      <c r="O52" s="153" t="e">
        <f t="shared" si="31"/>
        <v>#DIV/0!</v>
      </c>
      <c r="P52" s="585"/>
      <c r="Q52" s="589"/>
      <c r="R52" s="164"/>
      <c r="S52" s="584"/>
      <c r="T52" s="587"/>
      <c r="U52" s="153" t="e">
        <f t="shared" si="33"/>
        <v>#DIV/0!</v>
      </c>
      <c r="V52" s="585"/>
      <c r="W52" s="589"/>
    </row>
    <row r="53" spans="2:23">
      <c r="B53" s="590"/>
      <c r="C53" s="586"/>
      <c r="D53" s="80">
        <f t="shared" si="5"/>
        <v>46279</v>
      </c>
      <c r="E53" s="80" t="s">
        <v>125</v>
      </c>
      <c r="F53" s="163"/>
      <c r="G53" s="587"/>
      <c r="H53" s="587"/>
      <c r="I53" s="213"/>
      <c r="J53" s="588"/>
      <c r="K53" s="588"/>
      <c r="L53" s="163"/>
      <c r="M53" s="587"/>
      <c r="N53" s="587"/>
      <c r="O53" s="153" t="e">
        <f t="shared" si="31"/>
        <v>#DIV/0!</v>
      </c>
      <c r="P53" s="585"/>
      <c r="Q53" s="589"/>
      <c r="R53" s="164"/>
      <c r="S53" s="584"/>
      <c r="T53" s="587"/>
      <c r="U53" s="153" t="e">
        <f t="shared" si="33"/>
        <v>#DIV/0!</v>
      </c>
      <c r="V53" s="585"/>
      <c r="W53" s="589"/>
    </row>
    <row r="54" spans="2:23">
      <c r="B54" s="590">
        <f>B47+7</f>
        <v>46288</v>
      </c>
      <c r="C54" s="586"/>
      <c r="D54" s="80">
        <f t="shared" si="5"/>
        <v>46280</v>
      </c>
      <c r="E54" s="80" t="s">
        <v>119</v>
      </c>
      <c r="F54" s="163"/>
      <c r="G54" s="587">
        <f>SUM(F54:F60)</f>
        <v>0</v>
      </c>
      <c r="H54" s="587"/>
      <c r="I54" s="213"/>
      <c r="J54" s="588">
        <f t="shared" ref="J54" si="34">SUM(I54:I60)</f>
        <v>0</v>
      </c>
      <c r="K54" s="588"/>
      <c r="L54" s="163"/>
      <c r="M54" s="587">
        <f t="shared" ref="M54" si="35">SUM(L54:L60)</f>
        <v>0</v>
      </c>
      <c r="N54" s="587"/>
      <c r="O54" s="153" t="e">
        <f t="shared" si="31"/>
        <v>#DIV/0!</v>
      </c>
      <c r="P54" s="585" t="e">
        <f>M54/G54</f>
        <v>#DIV/0!</v>
      </c>
      <c r="Q54" s="589"/>
      <c r="R54" s="164"/>
      <c r="S54" s="584">
        <f t="shared" ref="S54" si="36">SUM(R54:R60)</f>
        <v>0</v>
      </c>
      <c r="T54" s="587"/>
      <c r="U54" s="153" t="e">
        <f t="shared" si="33"/>
        <v>#DIV/0!</v>
      </c>
      <c r="V54" s="585" t="e">
        <f>S54/G54</f>
        <v>#DIV/0!</v>
      </c>
      <c r="W54" s="589"/>
    </row>
    <row r="55" spans="2:23">
      <c r="B55" s="590"/>
      <c r="C55" s="586"/>
      <c r="D55" s="80">
        <f t="shared" si="5"/>
        <v>46281</v>
      </c>
      <c r="E55" s="80" t="s">
        <v>120</v>
      </c>
      <c r="F55" s="163"/>
      <c r="G55" s="587"/>
      <c r="H55" s="587"/>
      <c r="I55" s="213"/>
      <c r="J55" s="588"/>
      <c r="K55" s="588"/>
      <c r="L55" s="163"/>
      <c r="M55" s="587"/>
      <c r="N55" s="587"/>
      <c r="O55" s="153" t="e">
        <f t="shared" si="31"/>
        <v>#DIV/0!</v>
      </c>
      <c r="P55" s="585"/>
      <c r="Q55" s="589"/>
      <c r="R55" s="164"/>
      <c r="S55" s="584"/>
      <c r="T55" s="587"/>
      <c r="U55" s="153" t="e">
        <f t="shared" si="33"/>
        <v>#DIV/0!</v>
      </c>
      <c r="V55" s="585"/>
      <c r="W55" s="589"/>
    </row>
    <row r="56" spans="2:23">
      <c r="B56" s="590"/>
      <c r="C56" s="586"/>
      <c r="D56" s="80">
        <f t="shared" si="5"/>
        <v>46282</v>
      </c>
      <c r="E56" s="80" t="s">
        <v>121</v>
      </c>
      <c r="F56" s="163"/>
      <c r="G56" s="587"/>
      <c r="H56" s="587"/>
      <c r="I56" s="213"/>
      <c r="J56" s="588"/>
      <c r="K56" s="588"/>
      <c r="L56" s="163"/>
      <c r="M56" s="587"/>
      <c r="N56" s="587"/>
      <c r="O56" s="153" t="e">
        <f t="shared" si="31"/>
        <v>#DIV/0!</v>
      </c>
      <c r="P56" s="585"/>
      <c r="Q56" s="589"/>
      <c r="R56" s="164"/>
      <c r="S56" s="584"/>
      <c r="T56" s="587"/>
      <c r="U56" s="153" t="e">
        <f t="shared" si="33"/>
        <v>#DIV/0!</v>
      </c>
      <c r="V56" s="585"/>
      <c r="W56" s="589"/>
    </row>
    <row r="57" spans="2:23">
      <c r="B57" s="590"/>
      <c r="C57" s="586"/>
      <c r="D57" s="80">
        <f t="shared" si="5"/>
        <v>46283</v>
      </c>
      <c r="E57" s="80" t="s">
        <v>122</v>
      </c>
      <c r="F57" s="163"/>
      <c r="G57" s="587"/>
      <c r="H57" s="587"/>
      <c r="I57" s="213"/>
      <c r="J57" s="588"/>
      <c r="K57" s="588"/>
      <c r="L57" s="163"/>
      <c r="M57" s="587"/>
      <c r="N57" s="587"/>
      <c r="O57" s="153" t="e">
        <f t="shared" si="31"/>
        <v>#DIV/0!</v>
      </c>
      <c r="P57" s="585"/>
      <c r="Q57" s="589"/>
      <c r="R57" s="164"/>
      <c r="S57" s="584"/>
      <c r="T57" s="587"/>
      <c r="U57" s="153" t="e">
        <f t="shared" si="33"/>
        <v>#DIV/0!</v>
      </c>
      <c r="V57" s="585"/>
      <c r="W57" s="589"/>
    </row>
    <row r="58" spans="2:23">
      <c r="B58" s="590"/>
      <c r="C58" s="586"/>
      <c r="D58" s="80">
        <f t="shared" si="5"/>
        <v>46284</v>
      </c>
      <c r="E58" s="80" t="s">
        <v>124</v>
      </c>
      <c r="F58" s="163"/>
      <c r="G58" s="587"/>
      <c r="H58" s="587"/>
      <c r="I58" s="213"/>
      <c r="J58" s="588"/>
      <c r="K58" s="588"/>
      <c r="L58" s="163"/>
      <c r="M58" s="587"/>
      <c r="N58" s="587"/>
      <c r="O58" s="153" t="e">
        <f t="shared" si="31"/>
        <v>#DIV/0!</v>
      </c>
      <c r="P58" s="585"/>
      <c r="Q58" s="589"/>
      <c r="R58" s="164"/>
      <c r="S58" s="584"/>
      <c r="T58" s="587"/>
      <c r="U58" s="153" t="e">
        <f t="shared" si="33"/>
        <v>#DIV/0!</v>
      </c>
      <c r="V58" s="585"/>
      <c r="W58" s="589"/>
    </row>
    <row r="59" spans="2:23">
      <c r="B59" s="590"/>
      <c r="C59" s="586"/>
      <c r="D59" s="80">
        <f t="shared" si="5"/>
        <v>46285</v>
      </c>
      <c r="E59" s="80" t="s">
        <v>116</v>
      </c>
      <c r="F59" s="163"/>
      <c r="G59" s="587"/>
      <c r="H59" s="587"/>
      <c r="I59" s="213"/>
      <c r="J59" s="588"/>
      <c r="K59" s="588"/>
      <c r="L59" s="163"/>
      <c r="M59" s="587"/>
      <c r="N59" s="587"/>
      <c r="O59" s="153" t="e">
        <f t="shared" si="31"/>
        <v>#DIV/0!</v>
      </c>
      <c r="P59" s="585"/>
      <c r="Q59" s="589"/>
      <c r="R59" s="164"/>
      <c r="S59" s="584"/>
      <c r="T59" s="587"/>
      <c r="U59" s="153" t="e">
        <f t="shared" si="33"/>
        <v>#DIV/0!</v>
      </c>
      <c r="V59" s="585"/>
      <c r="W59" s="589"/>
    </row>
    <row r="60" spans="2:23">
      <c r="B60" s="590"/>
      <c r="C60" s="586"/>
      <c r="D60" s="80">
        <f t="shared" si="5"/>
        <v>46286</v>
      </c>
      <c r="E60" s="80" t="s">
        <v>125</v>
      </c>
      <c r="F60" s="163"/>
      <c r="G60" s="587"/>
      <c r="H60" s="587"/>
      <c r="I60" s="213"/>
      <c r="J60" s="588"/>
      <c r="K60" s="588"/>
      <c r="L60" s="163"/>
      <c r="M60" s="587"/>
      <c r="N60" s="587"/>
      <c r="O60" s="153" t="e">
        <f t="shared" si="31"/>
        <v>#DIV/0!</v>
      </c>
      <c r="P60" s="585"/>
      <c r="Q60" s="589"/>
      <c r="R60" s="164"/>
      <c r="S60" s="584"/>
      <c r="T60" s="587"/>
      <c r="U60" s="153" t="e">
        <f t="shared" si="33"/>
        <v>#DIV/0!</v>
      </c>
      <c r="V60" s="585"/>
      <c r="W60" s="589"/>
    </row>
    <row r="61" spans="2:23">
      <c r="B61" s="590">
        <f>B54+7</f>
        <v>46295</v>
      </c>
      <c r="C61" s="586"/>
      <c r="D61" s="80">
        <f t="shared" si="5"/>
        <v>46287</v>
      </c>
      <c r="E61" s="80" t="s">
        <v>119</v>
      </c>
      <c r="F61" s="163"/>
      <c r="G61" s="587">
        <f>SUM(F61:F67)</f>
        <v>0</v>
      </c>
      <c r="H61" s="587"/>
      <c r="I61" s="213"/>
      <c r="J61" s="588">
        <f t="shared" ref="J61" si="37">SUM(I61:I67)</f>
        <v>0</v>
      </c>
      <c r="K61" s="588"/>
      <c r="L61" s="163"/>
      <c r="M61" s="587">
        <f t="shared" ref="M61" si="38">SUM(L61:L67)</f>
        <v>0</v>
      </c>
      <c r="N61" s="587"/>
      <c r="O61" s="153" t="e">
        <f t="shared" ref="O61:O67" si="39">L61/F61</f>
        <v>#DIV/0!</v>
      </c>
      <c r="P61" s="585" t="e">
        <f>M61/G61</f>
        <v>#DIV/0!</v>
      </c>
      <c r="Q61" s="589"/>
      <c r="R61" s="164"/>
      <c r="S61" s="584">
        <f t="shared" ref="S61" si="40">SUM(R61:R67)</f>
        <v>0</v>
      </c>
      <c r="T61" s="587"/>
      <c r="U61" s="153" t="e">
        <f t="shared" ref="U61:U67" si="41">R61/F61</f>
        <v>#DIV/0!</v>
      </c>
      <c r="V61" s="585" t="e">
        <f>S61/G61</f>
        <v>#DIV/0!</v>
      </c>
      <c r="W61" s="589"/>
    </row>
    <row r="62" spans="2:23">
      <c r="B62" s="590"/>
      <c r="C62" s="586"/>
      <c r="D62" s="80">
        <f t="shared" si="5"/>
        <v>46288</v>
      </c>
      <c r="E62" s="80" t="s">
        <v>120</v>
      </c>
      <c r="F62" s="163"/>
      <c r="G62" s="587"/>
      <c r="H62" s="587"/>
      <c r="I62" s="213"/>
      <c r="J62" s="588"/>
      <c r="K62" s="588"/>
      <c r="L62" s="163"/>
      <c r="M62" s="587"/>
      <c r="N62" s="587"/>
      <c r="O62" s="153" t="e">
        <f t="shared" si="39"/>
        <v>#DIV/0!</v>
      </c>
      <c r="P62" s="585"/>
      <c r="Q62" s="589"/>
      <c r="R62" s="164"/>
      <c r="S62" s="584"/>
      <c r="T62" s="587"/>
      <c r="U62" s="153" t="e">
        <f t="shared" si="41"/>
        <v>#DIV/0!</v>
      </c>
      <c r="V62" s="585"/>
      <c r="W62" s="589"/>
    </row>
    <row r="63" spans="2:23">
      <c r="B63" s="590"/>
      <c r="C63" s="586"/>
      <c r="D63" s="80">
        <f t="shared" si="5"/>
        <v>46289</v>
      </c>
      <c r="E63" s="80" t="s">
        <v>121</v>
      </c>
      <c r="F63" s="163"/>
      <c r="G63" s="587"/>
      <c r="H63" s="587"/>
      <c r="I63" s="213"/>
      <c r="J63" s="588"/>
      <c r="K63" s="588"/>
      <c r="L63" s="163"/>
      <c r="M63" s="587"/>
      <c r="N63" s="587"/>
      <c r="O63" s="153" t="e">
        <f t="shared" si="39"/>
        <v>#DIV/0!</v>
      </c>
      <c r="P63" s="585"/>
      <c r="Q63" s="589"/>
      <c r="R63" s="164"/>
      <c r="S63" s="584"/>
      <c r="T63" s="587"/>
      <c r="U63" s="153" t="e">
        <f t="shared" si="41"/>
        <v>#DIV/0!</v>
      </c>
      <c r="V63" s="585"/>
      <c r="W63" s="589"/>
    </row>
    <row r="64" spans="2:23">
      <c r="B64" s="590"/>
      <c r="C64" s="586"/>
      <c r="D64" s="80">
        <f t="shared" si="5"/>
        <v>46290</v>
      </c>
      <c r="E64" s="80" t="s">
        <v>122</v>
      </c>
      <c r="F64" s="163"/>
      <c r="G64" s="587"/>
      <c r="H64" s="587"/>
      <c r="I64" s="213"/>
      <c r="J64" s="588"/>
      <c r="K64" s="588"/>
      <c r="L64" s="163"/>
      <c r="M64" s="587"/>
      <c r="N64" s="587"/>
      <c r="O64" s="153" t="e">
        <f t="shared" si="39"/>
        <v>#DIV/0!</v>
      </c>
      <c r="P64" s="585"/>
      <c r="Q64" s="589"/>
      <c r="R64" s="164"/>
      <c r="S64" s="584"/>
      <c r="T64" s="587"/>
      <c r="U64" s="153" t="e">
        <f t="shared" si="41"/>
        <v>#DIV/0!</v>
      </c>
      <c r="V64" s="585"/>
      <c r="W64" s="589"/>
    </row>
    <row r="65" spans="2:23">
      <c r="B65" s="590"/>
      <c r="C65" s="586"/>
      <c r="D65" s="80">
        <f t="shared" si="5"/>
        <v>46291</v>
      </c>
      <c r="E65" s="80" t="s">
        <v>124</v>
      </c>
      <c r="F65" s="163"/>
      <c r="G65" s="587"/>
      <c r="H65" s="587"/>
      <c r="I65" s="213"/>
      <c r="J65" s="588"/>
      <c r="K65" s="588"/>
      <c r="L65" s="163"/>
      <c r="M65" s="587"/>
      <c r="N65" s="587"/>
      <c r="O65" s="153" t="e">
        <f t="shared" si="39"/>
        <v>#DIV/0!</v>
      </c>
      <c r="P65" s="585"/>
      <c r="Q65" s="589"/>
      <c r="R65" s="164"/>
      <c r="S65" s="584"/>
      <c r="T65" s="587"/>
      <c r="U65" s="153" t="e">
        <f t="shared" si="41"/>
        <v>#DIV/0!</v>
      </c>
      <c r="V65" s="585"/>
      <c r="W65" s="589"/>
    </row>
    <row r="66" spans="2:23">
      <c r="B66" s="590"/>
      <c r="C66" s="586"/>
      <c r="D66" s="80">
        <f t="shared" si="5"/>
        <v>46292</v>
      </c>
      <c r="E66" s="80" t="s">
        <v>116</v>
      </c>
      <c r="F66" s="163"/>
      <c r="G66" s="587"/>
      <c r="H66" s="587"/>
      <c r="I66" s="213"/>
      <c r="J66" s="588"/>
      <c r="K66" s="588"/>
      <c r="L66" s="163"/>
      <c r="M66" s="587"/>
      <c r="N66" s="587"/>
      <c r="O66" s="153" t="e">
        <f t="shared" si="39"/>
        <v>#DIV/0!</v>
      </c>
      <c r="P66" s="585"/>
      <c r="Q66" s="589"/>
      <c r="R66" s="164"/>
      <c r="S66" s="584"/>
      <c r="T66" s="587"/>
      <c r="U66" s="153" t="e">
        <f t="shared" si="41"/>
        <v>#DIV/0!</v>
      </c>
      <c r="V66" s="585"/>
      <c r="W66" s="589"/>
    </row>
    <row r="67" spans="2:23">
      <c r="B67" s="590"/>
      <c r="C67" s="586"/>
      <c r="D67" s="80">
        <f t="shared" si="5"/>
        <v>46293</v>
      </c>
      <c r="E67" s="80" t="s">
        <v>125</v>
      </c>
      <c r="F67" s="163"/>
      <c r="G67" s="587"/>
      <c r="H67" s="587"/>
      <c r="I67" s="213"/>
      <c r="J67" s="588"/>
      <c r="K67" s="588"/>
      <c r="L67" s="163"/>
      <c r="M67" s="587"/>
      <c r="N67" s="587"/>
      <c r="O67" s="153" t="e">
        <f t="shared" si="39"/>
        <v>#DIV/0!</v>
      </c>
      <c r="P67" s="585"/>
      <c r="Q67" s="589"/>
      <c r="R67" s="164"/>
      <c r="S67" s="584"/>
      <c r="T67" s="587"/>
      <c r="U67" s="153" t="e">
        <f t="shared" si="41"/>
        <v>#DIV/0!</v>
      </c>
      <c r="V67" s="585"/>
      <c r="W67" s="589"/>
    </row>
    <row r="68" spans="2:23">
      <c r="B68" s="590">
        <f>B61+7</f>
        <v>46302</v>
      </c>
      <c r="C68" s="586"/>
      <c r="D68" s="80">
        <f t="shared" si="5"/>
        <v>46294</v>
      </c>
      <c r="E68" s="80" t="s">
        <v>119</v>
      </c>
      <c r="F68" s="163"/>
      <c r="G68" s="587">
        <f>SUM(F68:F74)</f>
        <v>0</v>
      </c>
      <c r="H68" s="587"/>
      <c r="I68" s="213"/>
      <c r="J68" s="588">
        <f t="shared" ref="J68" si="42">SUM(I68:I74)</f>
        <v>0</v>
      </c>
      <c r="K68" s="588"/>
      <c r="L68" s="163"/>
      <c r="M68" s="587">
        <f t="shared" ref="M68" si="43">SUM(L68:L74)</f>
        <v>0</v>
      </c>
      <c r="N68" s="587"/>
      <c r="O68" s="153" t="e">
        <f t="shared" ref="O68:O74" si="44">L68/F68</f>
        <v>#DIV/0!</v>
      </c>
      <c r="P68" s="585" t="e">
        <f>M68/G68</f>
        <v>#DIV/0!</v>
      </c>
      <c r="Q68" s="589"/>
      <c r="R68" s="164"/>
      <c r="S68" s="584">
        <f t="shared" ref="S68" si="45">SUM(R68:R74)</f>
        <v>0</v>
      </c>
      <c r="T68" s="587"/>
      <c r="U68" s="153" t="e">
        <f t="shared" ref="U68:U74" si="46">R68/F68</f>
        <v>#DIV/0!</v>
      </c>
      <c r="V68" s="585" t="e">
        <f>S68/G68</f>
        <v>#DIV/0!</v>
      </c>
      <c r="W68" s="589"/>
    </row>
    <row r="69" spans="2:23">
      <c r="B69" s="590"/>
      <c r="C69" s="586"/>
      <c r="D69" s="80">
        <f t="shared" si="5"/>
        <v>46295</v>
      </c>
      <c r="E69" s="80" t="s">
        <v>120</v>
      </c>
      <c r="F69" s="163"/>
      <c r="G69" s="587"/>
      <c r="H69" s="587"/>
      <c r="I69" s="213"/>
      <c r="J69" s="588"/>
      <c r="K69" s="588"/>
      <c r="L69" s="163"/>
      <c r="M69" s="587"/>
      <c r="N69" s="587"/>
      <c r="O69" s="153" t="e">
        <f t="shared" si="44"/>
        <v>#DIV/0!</v>
      </c>
      <c r="P69" s="585"/>
      <c r="Q69" s="589"/>
      <c r="R69" s="164"/>
      <c r="S69" s="584"/>
      <c r="T69" s="587"/>
      <c r="U69" s="153" t="e">
        <f t="shared" si="46"/>
        <v>#DIV/0!</v>
      </c>
      <c r="V69" s="585"/>
      <c r="W69" s="589"/>
    </row>
    <row r="70" spans="2:23">
      <c r="B70" s="590"/>
      <c r="C70" s="586"/>
      <c r="D70" s="80">
        <f t="shared" ref="D70:D74" si="47">D69+1</f>
        <v>46296</v>
      </c>
      <c r="E70" s="80" t="s">
        <v>121</v>
      </c>
      <c r="F70" s="163"/>
      <c r="G70" s="587"/>
      <c r="H70" s="163"/>
      <c r="I70" s="213"/>
      <c r="J70" s="588"/>
      <c r="K70" s="213"/>
      <c r="L70" s="163"/>
      <c r="M70" s="587"/>
      <c r="N70" s="163"/>
      <c r="O70" s="153" t="e">
        <f t="shared" si="44"/>
        <v>#DIV/0!</v>
      </c>
      <c r="P70" s="585"/>
      <c r="Q70" s="518"/>
      <c r="R70" s="164"/>
      <c r="S70" s="584"/>
      <c r="T70" s="163"/>
      <c r="U70" s="153" t="e">
        <f t="shared" si="46"/>
        <v>#DIV/0!</v>
      </c>
      <c r="V70" s="585"/>
      <c r="W70" s="518"/>
    </row>
    <row r="71" spans="2:23">
      <c r="B71" s="590"/>
      <c r="D71" s="80">
        <f t="shared" si="47"/>
        <v>46297</v>
      </c>
      <c r="E71" s="80" t="s">
        <v>122</v>
      </c>
      <c r="F71" s="163"/>
      <c r="G71" s="587"/>
      <c r="I71" s="213"/>
      <c r="J71" s="588"/>
      <c r="L71" s="163"/>
      <c r="M71" s="587"/>
      <c r="O71" s="153" t="e">
        <f t="shared" si="44"/>
        <v>#DIV/0!</v>
      </c>
      <c r="P71" s="585"/>
      <c r="R71" s="164"/>
      <c r="S71" s="584"/>
      <c r="U71" s="153" t="e">
        <f t="shared" si="46"/>
        <v>#DIV/0!</v>
      </c>
      <c r="V71" s="585"/>
    </row>
    <row r="72" spans="2:23">
      <c r="B72" s="590"/>
      <c r="D72" s="80">
        <f t="shared" si="47"/>
        <v>46298</v>
      </c>
      <c r="E72" s="80" t="s">
        <v>124</v>
      </c>
      <c r="F72" s="163"/>
      <c r="G72" s="587"/>
      <c r="I72" s="213"/>
      <c r="J72" s="588"/>
      <c r="L72" s="163"/>
      <c r="M72" s="587"/>
      <c r="O72" s="153" t="e">
        <f t="shared" si="44"/>
        <v>#DIV/0!</v>
      </c>
      <c r="P72" s="585"/>
      <c r="R72" s="164"/>
      <c r="S72" s="584"/>
      <c r="U72" s="153" t="e">
        <f t="shared" si="46"/>
        <v>#DIV/0!</v>
      </c>
      <c r="V72" s="585"/>
    </row>
    <row r="73" spans="2:23">
      <c r="B73" s="590"/>
      <c r="D73" s="80">
        <f t="shared" si="47"/>
        <v>46299</v>
      </c>
      <c r="E73" s="80" t="s">
        <v>116</v>
      </c>
      <c r="F73" s="163"/>
      <c r="G73" s="587"/>
      <c r="I73" s="213"/>
      <c r="J73" s="588"/>
      <c r="L73" s="163"/>
      <c r="M73" s="587"/>
      <c r="O73" s="153" t="e">
        <f t="shared" si="44"/>
        <v>#DIV/0!</v>
      </c>
      <c r="P73" s="585"/>
      <c r="R73" s="164"/>
      <c r="S73" s="584"/>
      <c r="U73" s="153" t="e">
        <f t="shared" si="46"/>
        <v>#DIV/0!</v>
      </c>
      <c r="V73" s="585"/>
    </row>
    <row r="74" spans="2:23">
      <c r="B74" s="590"/>
      <c r="D74" s="80">
        <f t="shared" si="47"/>
        <v>46300</v>
      </c>
      <c r="E74" s="80" t="s">
        <v>125</v>
      </c>
      <c r="F74" s="163"/>
      <c r="G74" s="587"/>
      <c r="I74" s="213"/>
      <c r="J74" s="588"/>
      <c r="L74" s="163"/>
      <c r="M74" s="587"/>
      <c r="O74" s="153" t="e">
        <f t="shared" si="44"/>
        <v>#DIV/0!</v>
      </c>
      <c r="P74" s="585"/>
      <c r="R74" s="164"/>
      <c r="S74" s="584"/>
      <c r="U74" s="153" t="e">
        <f t="shared" si="46"/>
        <v>#DIV/0!</v>
      </c>
      <c r="V74" s="585"/>
    </row>
  </sheetData>
  <mergeCells count="101">
    <mergeCell ref="W40:W69"/>
    <mergeCell ref="S68:S74"/>
    <mergeCell ref="V68:V74"/>
    <mergeCell ref="B68:B74"/>
    <mergeCell ref="G68:G74"/>
    <mergeCell ref="J68:J74"/>
    <mergeCell ref="M68:M74"/>
    <mergeCell ref="P68:P74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P40:P46"/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B40:B46"/>
    <mergeCell ref="C40:C70"/>
    <mergeCell ref="G40:G46"/>
    <mergeCell ref="J40:J46"/>
    <mergeCell ref="M40:M46"/>
    <mergeCell ref="H40:H69"/>
    <mergeCell ref="K40:K69"/>
    <mergeCell ref="N40:N69"/>
    <mergeCell ref="Q40:Q69"/>
    <mergeCell ref="T40:T6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5:B11"/>
    <mergeCell ref="G5:G11"/>
    <mergeCell ref="J5:J11"/>
    <mergeCell ref="M5:M11"/>
    <mergeCell ref="W5:W8"/>
    <mergeCell ref="H5:H8"/>
    <mergeCell ref="K5:K8"/>
    <mergeCell ref="T5:T8"/>
    <mergeCell ref="V5:V11"/>
    <mergeCell ref="N5:N8"/>
    <mergeCell ref="S5:S11"/>
    <mergeCell ref="C5:C8"/>
    <mergeCell ref="Q5:Q8"/>
    <mergeCell ref="W9:W39"/>
    <mergeCell ref="S26:S32"/>
    <mergeCell ref="V26:V32"/>
    <mergeCell ref="B12:B18"/>
    <mergeCell ref="G12:G18"/>
    <mergeCell ref="J12:J18"/>
    <mergeCell ref="M12:M18"/>
    <mergeCell ref="P12:P18"/>
    <mergeCell ref="B19:B25"/>
    <mergeCell ref="G19:G25"/>
    <mergeCell ref="J19:J25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S33:S39"/>
    <mergeCell ref="V33:V39"/>
    <mergeCell ref="C9:C39"/>
    <mergeCell ref="H9:H39"/>
    <mergeCell ref="K9:K39"/>
    <mergeCell ref="N9:N39"/>
    <mergeCell ref="Q9:Q39"/>
    <mergeCell ref="T9:T39"/>
    <mergeCell ref="S12:S18"/>
    <mergeCell ref="V12:V18"/>
    <mergeCell ref="P5:P11"/>
    <mergeCell ref="S19:S25"/>
    <mergeCell ref="V19:V25"/>
    <mergeCell ref="M19:M25"/>
    <mergeCell ref="P19:P25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74"/>
  <sheetViews>
    <sheetView zoomScale="80" zoomScaleNormal="80" workbookViewId="0">
      <selection activeCell="G61" sqref="G61:G67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127</v>
      </c>
      <c r="C1" s="165">
        <v>500.4</v>
      </c>
    </row>
    <row r="2" spans="2:23" ht="38.1" customHeight="1">
      <c r="B2" s="592" t="s">
        <v>21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</row>
    <row r="3" spans="2:23" s="71" customFormat="1" ht="23.45" customHeight="1">
      <c r="B3" s="596" t="s">
        <v>107</v>
      </c>
      <c r="C3" s="597" t="s">
        <v>108</v>
      </c>
      <c r="D3" s="598" t="s">
        <v>109</v>
      </c>
      <c r="E3" s="598"/>
      <c r="F3" s="606" t="s">
        <v>128</v>
      </c>
      <c r="G3" s="606"/>
      <c r="H3" s="606"/>
      <c r="I3" s="608" t="s">
        <v>129</v>
      </c>
      <c r="J3" s="608"/>
      <c r="K3" s="608"/>
      <c r="L3" s="607" t="s">
        <v>130</v>
      </c>
      <c r="M3" s="607"/>
      <c r="N3" s="607"/>
      <c r="O3" s="607" t="s">
        <v>131</v>
      </c>
      <c r="P3" s="607"/>
      <c r="Q3" s="607"/>
      <c r="R3" s="607" t="s">
        <v>132</v>
      </c>
      <c r="S3" s="607"/>
      <c r="T3" s="607"/>
      <c r="U3" s="607" t="s">
        <v>133</v>
      </c>
      <c r="V3" s="607"/>
      <c r="W3" s="607"/>
    </row>
    <row r="4" spans="2:23" ht="15.75">
      <c r="B4" s="596"/>
      <c r="C4" s="597"/>
      <c r="D4" s="598"/>
      <c r="E4" s="598"/>
      <c r="F4" s="79" t="s">
        <v>116</v>
      </c>
      <c r="G4" s="89" t="s">
        <v>134</v>
      </c>
      <c r="H4" s="89" t="s">
        <v>135</v>
      </c>
      <c r="I4" s="79" t="s">
        <v>116</v>
      </c>
      <c r="J4" s="88" t="s">
        <v>134</v>
      </c>
      <c r="K4" s="88" t="s">
        <v>135</v>
      </c>
      <c r="L4" s="168" t="s">
        <v>116</v>
      </c>
      <c r="M4" s="88" t="s">
        <v>134</v>
      </c>
      <c r="N4" s="88" t="s">
        <v>135</v>
      </c>
      <c r="O4" s="166" t="s">
        <v>116</v>
      </c>
      <c r="P4" s="88" t="s">
        <v>134</v>
      </c>
      <c r="Q4" s="88" t="s">
        <v>135</v>
      </c>
      <c r="R4" s="79" t="s">
        <v>116</v>
      </c>
      <c r="S4" s="88" t="s">
        <v>134</v>
      </c>
      <c r="T4" s="88" t="s">
        <v>135</v>
      </c>
      <c r="U4" s="79" t="s">
        <v>116</v>
      </c>
      <c r="V4" s="88" t="s">
        <v>134</v>
      </c>
      <c r="W4" s="88" t="s">
        <v>135</v>
      </c>
    </row>
    <row r="5" spans="2:23" hidden="1">
      <c r="B5" s="590">
        <v>46239</v>
      </c>
      <c r="C5" s="586"/>
      <c r="D5" s="80">
        <v>46231</v>
      </c>
      <c r="E5" s="431" t="s">
        <v>119</v>
      </c>
      <c r="F5" s="87">
        <v>435.56217864447569</v>
      </c>
      <c r="G5" s="600">
        <f t="shared" ref="G5" si="0">AVERAGE(F5:F11)</f>
        <v>441.50044683537647</v>
      </c>
      <c r="H5" s="604"/>
      <c r="I5" s="153">
        <f t="shared" ref="I5:I11" si="1">F5/$C$1</f>
        <v>0.87042801487704979</v>
      </c>
      <c r="J5" s="601">
        <f t="shared" ref="J5" si="2">AVERAGE(I5:I11)</f>
        <v>0.88229505762465343</v>
      </c>
      <c r="K5" s="603"/>
      <c r="L5" s="161">
        <v>2.003779723067786E-3</v>
      </c>
      <c r="M5" s="602">
        <f t="shared" ref="M5" si="3">AVERAGE(L5:L11)</f>
        <v>2.0021910448978601E-3</v>
      </c>
      <c r="N5" s="602"/>
      <c r="O5" s="84">
        <v>6.0038060765995179E-3</v>
      </c>
      <c r="P5" s="603">
        <f t="shared" ref="P5" si="4">AVERAGE(O5:O11)</f>
        <v>6.0080319327112108E-3</v>
      </c>
      <c r="Q5" s="602"/>
      <c r="R5" s="153">
        <v>0.9</v>
      </c>
      <c r="S5" s="601">
        <f t="shared" ref="S5" si="5">AVERAGE(R5:R11)</f>
        <v>0.90000000000000013</v>
      </c>
      <c r="T5" s="603"/>
      <c r="U5" s="153">
        <f>31/52*100%</f>
        <v>0.59615384615384615</v>
      </c>
      <c r="V5" s="585">
        <f t="shared" ref="V5" si="6">AVERAGE(U5:U11)</f>
        <v>0.59615384615384615</v>
      </c>
      <c r="W5" s="603"/>
    </row>
    <row r="6" spans="2:23" hidden="1">
      <c r="B6" s="590"/>
      <c r="C6" s="586"/>
      <c r="D6" s="80">
        <f t="shared" ref="D6:D69" si="7">D5+1</f>
        <v>46232</v>
      </c>
      <c r="E6" s="431" t="s">
        <v>120</v>
      </c>
      <c r="F6" s="87">
        <v>438.34046289481421</v>
      </c>
      <c r="G6" s="600"/>
      <c r="H6" s="604"/>
      <c r="I6" s="153">
        <f t="shared" si="1"/>
        <v>0.87598014167628746</v>
      </c>
      <c r="J6" s="601"/>
      <c r="K6" s="603"/>
      <c r="L6" s="161">
        <v>2.001947891009318E-3</v>
      </c>
      <c r="M6" s="602"/>
      <c r="N6" s="602"/>
      <c r="O6" s="84">
        <v>6.001752540493858E-3</v>
      </c>
      <c r="P6" s="603"/>
      <c r="Q6" s="602"/>
      <c r="R6" s="153">
        <v>0.9</v>
      </c>
      <c r="S6" s="601"/>
      <c r="T6" s="603"/>
      <c r="U6" s="153">
        <f t="shared" ref="U6:U11" si="8">31/52*100%</f>
        <v>0.59615384615384615</v>
      </c>
      <c r="V6" s="585"/>
      <c r="W6" s="603"/>
    </row>
    <row r="7" spans="2:23" hidden="1">
      <c r="B7" s="590"/>
      <c r="C7" s="586"/>
      <c r="D7" s="80">
        <f t="shared" si="7"/>
        <v>46233</v>
      </c>
      <c r="E7" s="431" t="s">
        <v>121</v>
      </c>
      <c r="F7" s="87">
        <v>441.47627351718859</v>
      </c>
      <c r="G7" s="600"/>
      <c r="H7" s="604"/>
      <c r="I7" s="153">
        <f t="shared" si="1"/>
        <v>0.88224674963466942</v>
      </c>
      <c r="J7" s="601"/>
      <c r="K7" s="603"/>
      <c r="L7" s="161">
        <v>1.998529005510217E-3</v>
      </c>
      <c r="M7" s="602"/>
      <c r="N7" s="602"/>
      <c r="O7" s="84">
        <v>5.9985558394174427E-3</v>
      </c>
      <c r="P7" s="603"/>
      <c r="Q7" s="602"/>
      <c r="R7" s="153">
        <v>0.9</v>
      </c>
      <c r="S7" s="601"/>
      <c r="T7" s="603"/>
      <c r="U7" s="153">
        <f t="shared" si="8"/>
        <v>0.59615384615384615</v>
      </c>
      <c r="V7" s="585"/>
      <c r="W7" s="603"/>
    </row>
    <row r="8" spans="2:23" hidden="1">
      <c r="B8" s="590"/>
      <c r="C8" s="586"/>
      <c r="D8" s="80">
        <f t="shared" si="7"/>
        <v>46234</v>
      </c>
      <c r="E8" s="431" t="s">
        <v>122</v>
      </c>
      <c r="F8" s="87">
        <v>442.8554545488073</v>
      </c>
      <c r="G8" s="600"/>
      <c r="H8" s="604"/>
      <c r="I8" s="153">
        <f t="shared" si="1"/>
        <v>0.88500290677219684</v>
      </c>
      <c r="J8" s="601"/>
      <c r="K8" s="603"/>
      <c r="L8" s="161">
        <v>1.9964655928945505E-3</v>
      </c>
      <c r="M8" s="602"/>
      <c r="N8" s="602"/>
      <c r="O8" s="84">
        <v>5.9963010545892826E-3</v>
      </c>
      <c r="P8" s="603"/>
      <c r="Q8" s="602"/>
      <c r="R8" s="153">
        <v>0.9</v>
      </c>
      <c r="S8" s="601"/>
      <c r="T8" s="603"/>
      <c r="U8" s="153">
        <f t="shared" si="8"/>
        <v>0.59615384615384615</v>
      </c>
      <c r="V8" s="585"/>
      <c r="W8" s="603"/>
    </row>
    <row r="9" spans="2:23" hidden="1">
      <c r="B9" s="590"/>
      <c r="C9" s="586" t="s">
        <v>123</v>
      </c>
      <c r="D9" s="80">
        <f t="shared" si="7"/>
        <v>46235</v>
      </c>
      <c r="E9" s="431" t="s">
        <v>124</v>
      </c>
      <c r="F9" s="87">
        <v>443.7999820460866</v>
      </c>
      <c r="G9" s="600"/>
      <c r="H9" s="604">
        <f>AVERAGEIF(F9:F39,"&lt;&gt;0")</f>
        <v>448.73865593082098</v>
      </c>
      <c r="I9" s="153">
        <f t="shared" si="1"/>
        <v>0.88689045173078862</v>
      </c>
      <c r="J9" s="601"/>
      <c r="K9" s="603">
        <f>AVERAGEIF(I9:I39,"&lt;&gt;0")</f>
        <v>0.89675990393849114</v>
      </c>
      <c r="L9" s="161">
        <v>2.0022606865145497E-3</v>
      </c>
      <c r="M9" s="602"/>
      <c r="N9" s="602">
        <f>AVERAGEIF(L9:L39,"&lt;&gt;0")</f>
        <v>2.0066949915476767E-3</v>
      </c>
      <c r="O9" s="84">
        <v>6.002430543274E-3</v>
      </c>
      <c r="P9" s="603"/>
      <c r="Q9" s="602">
        <f>AVERAGEIF(O9:O39,"&lt;&gt;0")</f>
        <v>6.0131110259086448E-3</v>
      </c>
      <c r="R9" s="153">
        <v>0.9</v>
      </c>
      <c r="S9" s="601"/>
      <c r="T9" s="603">
        <f>AVERAGEIF(R9:R39,"&lt;&gt;0")</f>
        <v>0.89999999999999947</v>
      </c>
      <c r="U9" s="153">
        <f t="shared" si="8"/>
        <v>0.59615384615384615</v>
      </c>
      <c r="V9" s="585"/>
      <c r="W9" s="603">
        <f>AVERAGEIF(U9:U39,"&lt;&gt;0")</f>
        <v>0.63957816377171217</v>
      </c>
    </row>
    <row r="10" spans="2:23" hidden="1">
      <c r="B10" s="590"/>
      <c r="C10" s="586"/>
      <c r="D10" s="80">
        <f t="shared" si="7"/>
        <v>46236</v>
      </c>
      <c r="E10" s="431" t="s">
        <v>116</v>
      </c>
      <c r="F10" s="87">
        <v>443.89283392882203</v>
      </c>
      <c r="G10" s="600"/>
      <c r="H10" s="604"/>
      <c r="I10" s="153">
        <f t="shared" si="1"/>
        <v>0.88707600705200251</v>
      </c>
      <c r="J10" s="601"/>
      <c r="K10" s="603"/>
      <c r="L10" s="161">
        <v>2.0060667092847008E-3</v>
      </c>
      <c r="M10" s="602"/>
      <c r="N10" s="602"/>
      <c r="O10" s="84">
        <v>6.039855122915971E-3</v>
      </c>
      <c r="P10" s="603"/>
      <c r="Q10" s="602"/>
      <c r="R10" s="153">
        <v>0.9</v>
      </c>
      <c r="S10" s="601"/>
      <c r="T10" s="603"/>
      <c r="U10" s="153">
        <f t="shared" si="8"/>
        <v>0.59615384615384615</v>
      </c>
      <c r="V10" s="585"/>
      <c r="W10" s="603"/>
    </row>
    <row r="11" spans="2:23" hidden="1">
      <c r="B11" s="590"/>
      <c r="C11" s="586"/>
      <c r="D11" s="80">
        <f t="shared" si="7"/>
        <v>46237</v>
      </c>
      <c r="E11" s="431" t="s">
        <v>125</v>
      </c>
      <c r="F11" s="87">
        <v>444.57594226744095</v>
      </c>
      <c r="G11" s="600"/>
      <c r="H11" s="604"/>
      <c r="I11" s="153">
        <f t="shared" si="1"/>
        <v>0.88844113162957827</v>
      </c>
      <c r="J11" s="601"/>
      <c r="K11" s="603"/>
      <c r="L11" s="161">
        <v>2.0062877060038997E-3</v>
      </c>
      <c r="M11" s="602"/>
      <c r="N11" s="602"/>
      <c r="O11" s="84">
        <v>6.0135223516884009E-3</v>
      </c>
      <c r="P11" s="603"/>
      <c r="Q11" s="602"/>
      <c r="R11" s="153">
        <v>0.9</v>
      </c>
      <c r="S11" s="601"/>
      <c r="T11" s="603"/>
      <c r="U11" s="153">
        <f t="shared" si="8"/>
        <v>0.59615384615384615</v>
      </c>
      <c r="V11" s="585"/>
      <c r="W11" s="603"/>
    </row>
    <row r="12" spans="2:23" hidden="1">
      <c r="B12" s="590">
        <f t="shared" ref="B12" si="9">B5+7</f>
        <v>46246</v>
      </c>
      <c r="C12" s="586"/>
      <c r="D12" s="80">
        <f t="shared" si="7"/>
        <v>46238</v>
      </c>
      <c r="E12" s="431" t="s">
        <v>119</v>
      </c>
      <c r="F12" s="87">
        <v>444.8745339433334</v>
      </c>
      <c r="G12" s="600">
        <f t="shared" ref="G12" si="10">AVERAGE(F12:F18)</f>
        <v>444.98752613705216</v>
      </c>
      <c r="H12" s="604"/>
      <c r="I12" s="153">
        <f t="shared" ref="I12:I18" si="11">F12/$C$1</f>
        <v>0.88903783761657362</v>
      </c>
      <c r="J12" s="601">
        <f t="shared" ref="J12" si="12">AVERAGE(I12:I18)</f>
        <v>0.88926364136101566</v>
      </c>
      <c r="K12" s="603"/>
      <c r="L12" s="161">
        <v>2.0035649879182704E-3</v>
      </c>
      <c r="M12" s="602">
        <f t="shared" ref="M12" si="13">AVERAGE(L12:L18)</f>
        <v>2.0032276116361881E-3</v>
      </c>
      <c r="N12" s="602"/>
      <c r="O12" s="84">
        <v>6.0082803415470757E-3</v>
      </c>
      <c r="P12" s="603">
        <f t="shared" ref="P12" si="14">AVERAGE(O12:O18)</f>
        <v>6.0088059078215522E-3</v>
      </c>
      <c r="Q12" s="602"/>
      <c r="R12" s="153">
        <v>0.9</v>
      </c>
      <c r="S12" s="601">
        <f t="shared" ref="S12" si="15">AVERAGE(R12:R18)</f>
        <v>0.90000000000000013</v>
      </c>
      <c r="T12" s="603"/>
      <c r="U12" s="153">
        <f>32/52*100%</f>
        <v>0.61538461538461542</v>
      </c>
      <c r="V12" s="585">
        <f t="shared" ref="V12" si="16">AVERAGE(U12:U18)</f>
        <v>0.61538461538461553</v>
      </c>
      <c r="W12" s="603"/>
    </row>
    <row r="13" spans="2:23" hidden="1">
      <c r="B13" s="590"/>
      <c r="C13" s="586"/>
      <c r="D13" s="80">
        <f t="shared" si="7"/>
        <v>46239</v>
      </c>
      <c r="E13" s="431" t="s">
        <v>120</v>
      </c>
      <c r="F13" s="87">
        <v>444.99873215552265</v>
      </c>
      <c r="G13" s="600"/>
      <c r="H13" s="604"/>
      <c r="I13" s="153">
        <f t="shared" si="11"/>
        <v>0.88928603548265917</v>
      </c>
      <c r="J13" s="601"/>
      <c r="K13" s="603"/>
      <c r="L13" s="161">
        <v>2.0020241589381316E-3</v>
      </c>
      <c r="M13" s="602"/>
      <c r="N13" s="602"/>
      <c r="O13" s="84">
        <v>6.0023976860791818E-3</v>
      </c>
      <c r="P13" s="603"/>
      <c r="Q13" s="602"/>
      <c r="R13" s="153">
        <v>0.9</v>
      </c>
      <c r="S13" s="601"/>
      <c r="T13" s="603"/>
      <c r="U13" s="153">
        <f t="shared" ref="U13:U18" si="17">32/52*100%</f>
        <v>0.61538461538461542</v>
      </c>
      <c r="V13" s="585"/>
      <c r="W13" s="603"/>
    </row>
    <row r="14" spans="2:23" hidden="1">
      <c r="B14" s="590"/>
      <c r="C14" s="586"/>
      <c r="D14" s="80">
        <f t="shared" si="7"/>
        <v>46240</v>
      </c>
      <c r="E14" s="431" t="s">
        <v>121</v>
      </c>
      <c r="F14" s="87">
        <v>444.39754394761871</v>
      </c>
      <c r="G14" s="600"/>
      <c r="H14" s="604"/>
      <c r="I14" s="153">
        <f t="shared" si="11"/>
        <v>0.88808462019907819</v>
      </c>
      <c r="J14" s="601"/>
      <c r="K14" s="603"/>
      <c r="L14" s="161">
        <v>1.9980106523877464E-3</v>
      </c>
      <c r="M14" s="602"/>
      <c r="N14" s="602"/>
      <c r="O14" s="84">
        <v>6.0038798408066033E-3</v>
      </c>
      <c r="P14" s="603"/>
      <c r="Q14" s="602"/>
      <c r="R14" s="153">
        <v>0.9</v>
      </c>
      <c r="S14" s="601"/>
      <c r="T14" s="603"/>
      <c r="U14" s="153">
        <f t="shared" si="17"/>
        <v>0.61538461538461542</v>
      </c>
      <c r="V14" s="585"/>
      <c r="W14" s="603"/>
    </row>
    <row r="15" spans="2:23" hidden="1">
      <c r="B15" s="590"/>
      <c r="C15" s="586"/>
      <c r="D15" s="80">
        <f t="shared" si="7"/>
        <v>46241</v>
      </c>
      <c r="E15" s="431" t="s">
        <v>122</v>
      </c>
      <c r="F15" s="87">
        <v>444.01185470423195</v>
      </c>
      <c r="G15" s="600"/>
      <c r="H15" s="604"/>
      <c r="I15" s="153">
        <f t="shared" si="11"/>
        <v>0.88731385832180654</v>
      </c>
      <c r="J15" s="601"/>
      <c r="K15" s="603"/>
      <c r="L15" s="161">
        <v>1.9963328551949821E-3</v>
      </c>
      <c r="M15" s="602"/>
      <c r="N15" s="602"/>
      <c r="O15" s="84">
        <v>5.9962863553429096E-3</v>
      </c>
      <c r="P15" s="603"/>
      <c r="Q15" s="602"/>
      <c r="R15" s="153">
        <v>0.9</v>
      </c>
      <c r="S15" s="601"/>
      <c r="T15" s="603"/>
      <c r="U15" s="153">
        <f t="shared" si="17"/>
        <v>0.61538461538461542</v>
      </c>
      <c r="V15" s="585"/>
      <c r="W15" s="603"/>
    </row>
    <row r="16" spans="2:23" hidden="1">
      <c r="B16" s="590"/>
      <c r="C16" s="586"/>
      <c r="D16" s="80">
        <f t="shared" si="7"/>
        <v>46242</v>
      </c>
      <c r="E16" s="431" t="s">
        <v>124</v>
      </c>
      <c r="F16" s="87">
        <v>444.63999207797815</v>
      </c>
      <c r="G16" s="600"/>
      <c r="H16" s="604"/>
      <c r="I16" s="153">
        <f t="shared" si="11"/>
        <v>0.88856912885287409</v>
      </c>
      <c r="J16" s="601"/>
      <c r="K16" s="603"/>
      <c r="L16" s="161">
        <v>2.0022747042584433E-3</v>
      </c>
      <c r="M16" s="602"/>
      <c r="N16" s="602"/>
      <c r="O16" s="84">
        <v>6.0082593885629112E-3</v>
      </c>
      <c r="P16" s="603"/>
      <c r="Q16" s="602"/>
      <c r="R16" s="153">
        <v>0.9</v>
      </c>
      <c r="S16" s="601"/>
      <c r="T16" s="603"/>
      <c r="U16" s="153">
        <f t="shared" si="17"/>
        <v>0.61538461538461542</v>
      </c>
      <c r="V16" s="585"/>
      <c r="W16" s="603"/>
    </row>
    <row r="17" spans="2:23" hidden="1">
      <c r="B17" s="590"/>
      <c r="C17" s="586"/>
      <c r="D17" s="80">
        <f t="shared" si="7"/>
        <v>46243</v>
      </c>
      <c r="E17" s="431" t="s">
        <v>116</v>
      </c>
      <c r="F17" s="87">
        <v>445.08292708957987</v>
      </c>
      <c r="G17" s="600"/>
      <c r="H17" s="604"/>
      <c r="I17" s="153">
        <f t="shared" si="11"/>
        <v>0.88945429074656257</v>
      </c>
      <c r="J17" s="601"/>
      <c r="K17" s="603"/>
      <c r="L17" s="161">
        <v>2.0120046467735392E-3</v>
      </c>
      <c r="M17" s="602"/>
      <c r="N17" s="602"/>
      <c r="O17" s="84">
        <v>6.0243766928916326E-3</v>
      </c>
      <c r="P17" s="603"/>
      <c r="Q17" s="602"/>
      <c r="R17" s="153">
        <v>0.9</v>
      </c>
      <c r="S17" s="601"/>
      <c r="T17" s="603"/>
      <c r="U17" s="153">
        <f t="shared" si="17"/>
        <v>0.61538461538461542</v>
      </c>
      <c r="V17" s="585"/>
      <c r="W17" s="603"/>
    </row>
    <row r="18" spans="2:23" hidden="1">
      <c r="B18" s="590"/>
      <c r="C18" s="586"/>
      <c r="D18" s="80">
        <f t="shared" si="7"/>
        <v>46244</v>
      </c>
      <c r="E18" s="431" t="s">
        <v>125</v>
      </c>
      <c r="F18" s="87">
        <v>446.90709904110037</v>
      </c>
      <c r="G18" s="600"/>
      <c r="H18" s="604"/>
      <c r="I18" s="153">
        <f t="shared" si="11"/>
        <v>0.89309971830755475</v>
      </c>
      <c r="J18" s="601"/>
      <c r="K18" s="603"/>
      <c r="L18" s="161">
        <v>2.0083812759822042E-3</v>
      </c>
      <c r="M18" s="602"/>
      <c r="N18" s="602"/>
      <c r="O18" s="84">
        <v>6.0181610495205502E-3</v>
      </c>
      <c r="P18" s="603"/>
      <c r="Q18" s="602"/>
      <c r="R18" s="153">
        <v>0.9</v>
      </c>
      <c r="S18" s="601"/>
      <c r="T18" s="603"/>
      <c r="U18" s="153">
        <f t="shared" si="17"/>
        <v>0.61538461538461542</v>
      </c>
      <c r="V18" s="585"/>
      <c r="W18" s="603"/>
    </row>
    <row r="19" spans="2:23" hidden="1">
      <c r="B19" s="590">
        <f t="shared" ref="B19" si="18">B12+7</f>
        <v>46253</v>
      </c>
      <c r="C19" s="586"/>
      <c r="D19" s="80">
        <f t="shared" si="7"/>
        <v>46245</v>
      </c>
      <c r="E19" s="431" t="s">
        <v>119</v>
      </c>
      <c r="F19" s="87">
        <v>447.04911568533424</v>
      </c>
      <c r="G19" s="600">
        <f t="shared" ref="G19" si="19">AVERAGE(F19:F25)</f>
        <v>447.03097810828018</v>
      </c>
      <c r="H19" s="604"/>
      <c r="I19" s="153">
        <f t="shared" ref="I19:I25" si="20">F19/$C$1</f>
        <v>0.89338352455102765</v>
      </c>
      <c r="J19" s="601">
        <f t="shared" ref="J19" si="21">AVERAGE(I19:I25)</f>
        <v>0.8933472783938452</v>
      </c>
      <c r="K19" s="603"/>
      <c r="L19" s="161">
        <v>2.0055281375709272E-3</v>
      </c>
      <c r="M19" s="602">
        <f t="shared" ref="M19" si="22">AVERAGE(L19:L25)</f>
        <v>2.0059773483459046E-3</v>
      </c>
      <c r="N19" s="602"/>
      <c r="O19" s="84">
        <v>6.0164484538576595E-3</v>
      </c>
      <c r="P19" s="603">
        <f t="shared" ref="P19" si="23">AVERAGE(O19:O25)</f>
        <v>6.0108530573013946E-3</v>
      </c>
      <c r="Q19" s="602"/>
      <c r="R19" s="153">
        <v>0.9</v>
      </c>
      <c r="S19" s="601">
        <f t="shared" ref="S19" si="24">AVERAGE(R19:R25)</f>
        <v>0.90000000000000013</v>
      </c>
      <c r="T19" s="603"/>
      <c r="U19" s="153">
        <f>33/52*100%</f>
        <v>0.63461538461538458</v>
      </c>
      <c r="V19" s="585">
        <f t="shared" ref="V19" si="25">AVERAGE(U19:U25)</f>
        <v>0.63461538461538447</v>
      </c>
      <c r="W19" s="603"/>
    </row>
    <row r="20" spans="2:23" hidden="1">
      <c r="B20" s="590"/>
      <c r="C20" s="586"/>
      <c r="D20" s="80">
        <f t="shared" si="7"/>
        <v>46246</v>
      </c>
      <c r="E20" s="431" t="s">
        <v>120</v>
      </c>
      <c r="F20" s="87">
        <v>447.17079051995063</v>
      </c>
      <c r="G20" s="600"/>
      <c r="H20" s="604"/>
      <c r="I20" s="153">
        <f t="shared" si="20"/>
        <v>0.8936266796961444</v>
      </c>
      <c r="J20" s="601"/>
      <c r="K20" s="603"/>
      <c r="L20" s="161">
        <v>2.0042621387463427E-3</v>
      </c>
      <c r="M20" s="602"/>
      <c r="N20" s="602"/>
      <c r="O20" s="84">
        <v>6.0102545498361467E-3</v>
      </c>
      <c r="P20" s="603"/>
      <c r="Q20" s="602"/>
      <c r="R20" s="153">
        <v>0.9</v>
      </c>
      <c r="S20" s="601"/>
      <c r="T20" s="603"/>
      <c r="U20" s="153">
        <f t="shared" ref="U20:U25" si="26">33/52*100%</f>
        <v>0.63461538461538458</v>
      </c>
      <c r="V20" s="585"/>
      <c r="W20" s="603"/>
    </row>
    <row r="21" spans="2:23" hidden="1">
      <c r="B21" s="590"/>
      <c r="C21" s="586"/>
      <c r="D21" s="80">
        <f t="shared" si="7"/>
        <v>46247</v>
      </c>
      <c r="E21" s="431" t="s">
        <v>121</v>
      </c>
      <c r="F21" s="87">
        <v>446.55731391334319</v>
      </c>
      <c r="G21" s="600"/>
      <c r="H21" s="604"/>
      <c r="I21" s="153">
        <f t="shared" si="20"/>
        <v>0.89240070726087772</v>
      </c>
      <c r="J21" s="601"/>
      <c r="K21" s="603"/>
      <c r="L21" s="161">
        <v>2.0036080086623942E-3</v>
      </c>
      <c r="M21" s="602"/>
      <c r="N21" s="602"/>
      <c r="O21" s="84">
        <v>6.005796804573629E-3</v>
      </c>
      <c r="P21" s="603"/>
      <c r="Q21" s="602"/>
      <c r="R21" s="153">
        <v>0.9</v>
      </c>
      <c r="S21" s="601"/>
      <c r="T21" s="603"/>
      <c r="U21" s="153">
        <f t="shared" si="26"/>
        <v>0.63461538461538458</v>
      </c>
      <c r="V21" s="585"/>
      <c r="W21" s="603"/>
    </row>
    <row r="22" spans="2:23" hidden="1">
      <c r="B22" s="590"/>
      <c r="C22" s="586"/>
      <c r="D22" s="80">
        <f t="shared" si="7"/>
        <v>46248</v>
      </c>
      <c r="E22" s="431" t="s">
        <v>122</v>
      </c>
      <c r="F22" s="87">
        <v>448.30134768549226</v>
      </c>
      <c r="G22" s="600"/>
      <c r="H22" s="604"/>
      <c r="I22" s="153">
        <f t="shared" si="20"/>
        <v>0.89588598658171914</v>
      </c>
      <c r="J22" s="601"/>
      <c r="K22" s="603"/>
      <c r="L22" s="161">
        <v>2.0019534291956824E-3</v>
      </c>
      <c r="M22" s="602"/>
      <c r="N22" s="602"/>
      <c r="O22" s="84">
        <v>6.0037292426061151E-3</v>
      </c>
      <c r="P22" s="603"/>
      <c r="Q22" s="602"/>
      <c r="R22" s="153">
        <v>0.9</v>
      </c>
      <c r="S22" s="601"/>
      <c r="T22" s="603"/>
      <c r="U22" s="153">
        <f t="shared" si="26"/>
        <v>0.63461538461538458</v>
      </c>
      <c r="V22" s="585"/>
      <c r="W22" s="603"/>
    </row>
    <row r="23" spans="2:23" hidden="1">
      <c r="B23" s="590"/>
      <c r="C23" s="586"/>
      <c r="D23" s="80">
        <f t="shared" si="7"/>
        <v>46249</v>
      </c>
      <c r="E23" s="431" t="s">
        <v>124</v>
      </c>
      <c r="F23" s="87">
        <v>446.41708896835672</v>
      </c>
      <c r="G23" s="600"/>
      <c r="H23" s="604"/>
      <c r="I23" s="153">
        <f t="shared" si="20"/>
        <v>0.89212048155147228</v>
      </c>
      <c r="J23" s="601"/>
      <c r="K23" s="603"/>
      <c r="L23" s="161">
        <v>2.0038676296236383E-3</v>
      </c>
      <c r="M23" s="602"/>
      <c r="N23" s="602"/>
      <c r="O23" s="84">
        <v>6.0078387604262564E-3</v>
      </c>
      <c r="P23" s="603"/>
      <c r="Q23" s="602"/>
      <c r="R23" s="153">
        <v>0.9</v>
      </c>
      <c r="S23" s="601"/>
      <c r="T23" s="603"/>
      <c r="U23" s="153">
        <f t="shared" si="26"/>
        <v>0.63461538461538458</v>
      </c>
      <c r="V23" s="585"/>
      <c r="W23" s="603"/>
    </row>
    <row r="24" spans="2:23" hidden="1">
      <c r="B24" s="590"/>
      <c r="C24" s="586"/>
      <c r="D24" s="80">
        <f t="shared" si="7"/>
        <v>46250</v>
      </c>
      <c r="E24" s="431" t="s">
        <v>116</v>
      </c>
      <c r="F24" s="87">
        <v>446.80394608953105</v>
      </c>
      <c r="G24" s="600"/>
      <c r="H24" s="604"/>
      <c r="I24" s="153">
        <f t="shared" si="20"/>
        <v>0.89289357731720842</v>
      </c>
      <c r="J24" s="601"/>
      <c r="K24" s="603"/>
      <c r="L24" s="161">
        <v>2.014407874352211E-3</v>
      </c>
      <c r="M24" s="602"/>
      <c r="N24" s="602"/>
      <c r="O24" s="84">
        <v>6.0199032200620164E-3</v>
      </c>
      <c r="P24" s="603"/>
      <c r="Q24" s="602"/>
      <c r="R24" s="153">
        <v>0.9</v>
      </c>
      <c r="S24" s="601"/>
      <c r="T24" s="603"/>
      <c r="U24" s="153">
        <f t="shared" si="26"/>
        <v>0.63461538461538458</v>
      </c>
      <c r="V24" s="585"/>
      <c r="W24" s="603"/>
    </row>
    <row r="25" spans="2:23" hidden="1">
      <c r="B25" s="590"/>
      <c r="C25" s="586"/>
      <c r="D25" s="80">
        <f t="shared" si="7"/>
        <v>46251</v>
      </c>
      <c r="E25" s="431" t="s">
        <v>125</v>
      </c>
      <c r="F25" s="87">
        <v>446.91724389595288</v>
      </c>
      <c r="G25" s="600"/>
      <c r="H25" s="604"/>
      <c r="I25" s="153">
        <f t="shared" si="20"/>
        <v>0.89311999179846702</v>
      </c>
      <c r="J25" s="601"/>
      <c r="K25" s="603"/>
      <c r="L25" s="161">
        <v>2.0082142202701371E-3</v>
      </c>
      <c r="M25" s="602"/>
      <c r="N25" s="602"/>
      <c r="O25" s="84">
        <v>6.012000369747938E-3</v>
      </c>
      <c r="P25" s="603"/>
      <c r="Q25" s="602"/>
      <c r="R25" s="153">
        <v>0.9</v>
      </c>
      <c r="S25" s="601"/>
      <c r="T25" s="603"/>
      <c r="U25" s="153">
        <f t="shared" si="26"/>
        <v>0.63461538461538458</v>
      </c>
      <c r="V25" s="585"/>
      <c r="W25" s="603"/>
    </row>
    <row r="26" spans="2:23" hidden="1">
      <c r="B26" s="590">
        <f t="shared" ref="B26" si="27">B19+7</f>
        <v>46260</v>
      </c>
      <c r="C26" s="586"/>
      <c r="D26" s="80">
        <f t="shared" si="7"/>
        <v>46252</v>
      </c>
      <c r="E26" s="431" t="s">
        <v>119</v>
      </c>
      <c r="F26" s="87">
        <v>449.7826722307878</v>
      </c>
      <c r="G26" s="600">
        <f t="shared" ref="G26" si="28">AVERAGE(F26:F32)</f>
        <v>453.22646308681612</v>
      </c>
      <c r="H26" s="604"/>
      <c r="I26" s="153">
        <f t="shared" ref="I26:I32" si="29">F26/$C$1</f>
        <v>0.89884626744761753</v>
      </c>
      <c r="J26" s="601">
        <f t="shared" ref="J26" si="30">AVERAGE(I26:I32)</f>
        <v>0.90572834349883313</v>
      </c>
      <c r="K26" s="603"/>
      <c r="L26" s="161">
        <v>2.0120114501211294E-3</v>
      </c>
      <c r="M26" s="602">
        <f t="shared" ref="M26" si="31">AVERAGE(L26:L32)</f>
        <v>2.0093126637172574E-3</v>
      </c>
      <c r="N26" s="602"/>
      <c r="O26" s="84">
        <v>6.0242774113060471E-3</v>
      </c>
      <c r="P26" s="603">
        <f t="shared" ref="P26" si="32">AVERAGE(O26:O32)</f>
        <v>6.0171883073483054E-3</v>
      </c>
      <c r="Q26" s="602"/>
      <c r="R26" s="153">
        <v>0.9</v>
      </c>
      <c r="S26" s="601">
        <f t="shared" ref="S26" si="33">AVERAGE(R26:R32)</f>
        <v>0.90000000000000013</v>
      </c>
      <c r="T26" s="603"/>
      <c r="U26" s="153">
        <f>34/52*100%</f>
        <v>0.65384615384615385</v>
      </c>
      <c r="V26" s="585">
        <f t="shared" ref="V26" si="34">AVERAGE(U26:U32)</f>
        <v>0.65384615384615385</v>
      </c>
      <c r="W26" s="603"/>
    </row>
    <row r="27" spans="2:23" hidden="1">
      <c r="B27" s="590"/>
      <c r="C27" s="586"/>
      <c r="D27" s="80">
        <f t="shared" si="7"/>
        <v>46253</v>
      </c>
      <c r="E27" s="431" t="s">
        <v>120</v>
      </c>
      <c r="F27" s="87">
        <v>450.85113187298828</v>
      </c>
      <c r="G27" s="600"/>
      <c r="H27" s="604"/>
      <c r="I27" s="153">
        <f t="shared" si="29"/>
        <v>0.90098147856312605</v>
      </c>
      <c r="J27" s="601"/>
      <c r="K27" s="603"/>
      <c r="L27" s="161">
        <v>2.0060207078474385E-3</v>
      </c>
      <c r="M27" s="602"/>
      <c r="N27" s="602"/>
      <c r="O27" s="84">
        <v>6.0115048681792429E-3</v>
      </c>
      <c r="P27" s="603"/>
      <c r="Q27" s="602"/>
      <c r="R27" s="153">
        <v>0.9</v>
      </c>
      <c r="S27" s="601"/>
      <c r="T27" s="603"/>
      <c r="U27" s="153">
        <f t="shared" ref="U27:U32" si="35">34/52*100%</f>
        <v>0.65384615384615385</v>
      </c>
      <c r="V27" s="585"/>
      <c r="W27" s="603"/>
    </row>
    <row r="28" spans="2:23" hidden="1">
      <c r="B28" s="590"/>
      <c r="C28" s="586"/>
      <c r="D28" s="80">
        <f t="shared" si="7"/>
        <v>46254</v>
      </c>
      <c r="E28" s="431" t="s">
        <v>121</v>
      </c>
      <c r="F28" s="87">
        <v>451.28890681251289</v>
      </c>
      <c r="G28" s="600"/>
      <c r="H28" s="604"/>
      <c r="I28" s="153">
        <f t="shared" si="29"/>
        <v>0.90185632856217612</v>
      </c>
      <c r="J28" s="601"/>
      <c r="K28" s="603"/>
      <c r="L28" s="161">
        <v>2.0078395735761336E-3</v>
      </c>
      <c r="M28" s="602"/>
      <c r="N28" s="602"/>
      <c r="O28" s="84">
        <v>6.0216162651123908E-3</v>
      </c>
      <c r="P28" s="603"/>
      <c r="Q28" s="602"/>
      <c r="R28" s="153">
        <v>0.9</v>
      </c>
      <c r="S28" s="601"/>
      <c r="T28" s="603"/>
      <c r="U28" s="153">
        <f t="shared" si="35"/>
        <v>0.65384615384615385</v>
      </c>
      <c r="V28" s="585"/>
      <c r="W28" s="603"/>
    </row>
    <row r="29" spans="2:23" hidden="1">
      <c r="B29" s="590"/>
      <c r="C29" s="586"/>
      <c r="D29" s="80">
        <f t="shared" si="7"/>
        <v>46255</v>
      </c>
      <c r="E29" s="431" t="s">
        <v>122</v>
      </c>
      <c r="F29" s="87">
        <v>453.28714798285432</v>
      </c>
      <c r="G29" s="600"/>
      <c r="H29" s="604"/>
      <c r="I29" s="153">
        <f t="shared" si="29"/>
        <v>0.90584961627269056</v>
      </c>
      <c r="J29" s="601"/>
      <c r="K29" s="603"/>
      <c r="L29" s="161">
        <v>2.0053932993019797E-3</v>
      </c>
      <c r="M29" s="602"/>
      <c r="N29" s="602"/>
      <c r="O29" s="84">
        <v>6.0117639437504942E-3</v>
      </c>
      <c r="P29" s="603"/>
      <c r="Q29" s="602"/>
      <c r="R29" s="153">
        <v>0.9</v>
      </c>
      <c r="S29" s="601"/>
      <c r="T29" s="603"/>
      <c r="U29" s="153">
        <f t="shared" si="35"/>
        <v>0.65384615384615385</v>
      </c>
      <c r="V29" s="585"/>
      <c r="W29" s="603"/>
    </row>
    <row r="30" spans="2:23" hidden="1">
      <c r="B30" s="590"/>
      <c r="C30" s="586"/>
      <c r="D30" s="80">
        <f t="shared" si="7"/>
        <v>46256</v>
      </c>
      <c r="E30" s="431" t="s">
        <v>124</v>
      </c>
      <c r="F30" s="87">
        <v>452.55058186391261</v>
      </c>
      <c r="G30" s="600"/>
      <c r="H30" s="604"/>
      <c r="I30" s="153">
        <f t="shared" si="29"/>
        <v>0.90437766159854638</v>
      </c>
      <c r="J30" s="601"/>
      <c r="K30" s="603"/>
      <c r="L30" s="161">
        <v>2.009878181924247E-3</v>
      </c>
      <c r="M30" s="602"/>
      <c r="N30" s="602"/>
      <c r="O30" s="84">
        <v>6.0097968083278322E-3</v>
      </c>
      <c r="P30" s="603"/>
      <c r="Q30" s="602"/>
      <c r="R30" s="153">
        <v>0.9</v>
      </c>
      <c r="S30" s="601"/>
      <c r="T30" s="603"/>
      <c r="U30" s="153">
        <f t="shared" si="35"/>
        <v>0.65384615384615385</v>
      </c>
      <c r="V30" s="585"/>
      <c r="W30" s="603"/>
    </row>
    <row r="31" spans="2:23" hidden="1">
      <c r="B31" s="590"/>
      <c r="C31" s="586"/>
      <c r="D31" s="80">
        <f t="shared" si="7"/>
        <v>46257</v>
      </c>
      <c r="E31" s="431" t="s">
        <v>116</v>
      </c>
      <c r="F31" s="87">
        <v>454.36932622675317</v>
      </c>
      <c r="G31" s="600"/>
      <c r="H31" s="604"/>
      <c r="I31" s="153">
        <f t="shared" si="29"/>
        <v>0.90801224265937885</v>
      </c>
      <c r="J31" s="601"/>
      <c r="K31" s="603"/>
      <c r="L31" s="161">
        <v>2.0143218633261219E-3</v>
      </c>
      <c r="M31" s="602"/>
      <c r="N31" s="602"/>
      <c r="O31" s="84">
        <v>6.023716412263477E-3</v>
      </c>
      <c r="P31" s="603"/>
      <c r="Q31" s="602"/>
      <c r="R31" s="153">
        <v>0.9</v>
      </c>
      <c r="S31" s="601"/>
      <c r="T31" s="603"/>
      <c r="U31" s="153">
        <f t="shared" si="35"/>
        <v>0.65384615384615385</v>
      </c>
      <c r="V31" s="585"/>
      <c r="W31" s="603"/>
    </row>
    <row r="32" spans="2:23" hidden="1">
      <c r="B32" s="590"/>
      <c r="C32" s="586"/>
      <c r="D32" s="80">
        <f t="shared" si="7"/>
        <v>46258</v>
      </c>
      <c r="E32" s="431" t="s">
        <v>125</v>
      </c>
      <c r="F32" s="87">
        <v>460.45547461790341</v>
      </c>
      <c r="G32" s="600"/>
      <c r="H32" s="604"/>
      <c r="I32" s="153">
        <f t="shared" si="29"/>
        <v>0.92017480938829621</v>
      </c>
      <c r="J32" s="601"/>
      <c r="K32" s="603"/>
      <c r="L32" s="161">
        <v>2.0097235699237511E-3</v>
      </c>
      <c r="M32" s="602"/>
      <c r="N32" s="602"/>
      <c r="O32" s="84">
        <v>6.0176424424986498E-3</v>
      </c>
      <c r="P32" s="603"/>
      <c r="Q32" s="602"/>
      <c r="R32" s="153">
        <v>0.9</v>
      </c>
      <c r="S32" s="601"/>
      <c r="T32" s="603"/>
      <c r="U32" s="153">
        <f t="shared" si="35"/>
        <v>0.65384615384615385</v>
      </c>
      <c r="V32" s="585"/>
      <c r="W32" s="603"/>
    </row>
    <row r="33" spans="2:23" hidden="1">
      <c r="B33" s="590">
        <f t="shared" ref="B33" si="36">B26+7</f>
        <v>46267</v>
      </c>
      <c r="C33" s="586"/>
      <c r="D33" s="80">
        <f t="shared" si="7"/>
        <v>46259</v>
      </c>
      <c r="E33" s="431" t="s">
        <v>119</v>
      </c>
      <c r="F33" s="87">
        <v>450.42791447795366</v>
      </c>
      <c r="G33" s="600">
        <f t="shared" ref="G33" si="37">AVERAGE(F33:F39)</f>
        <v>451.70211489829472</v>
      </c>
      <c r="H33" s="604"/>
      <c r="I33" s="153">
        <f t="shared" ref="I33:I39" si="38">F33/$C$1</f>
        <v>0.90013572037960365</v>
      </c>
      <c r="J33" s="601">
        <f t="shared" ref="J33" si="39">AVERAGE(I33:I39)</f>
        <v>0.90268208412928608</v>
      </c>
      <c r="K33" s="603"/>
      <c r="L33" s="161">
        <v>2.0037384677611346E-3</v>
      </c>
      <c r="M33" s="602">
        <f t="shared" ref="M33" si="40">AVERAGE(L33:L39)</f>
        <v>2.0090437528970531E-3</v>
      </c>
      <c r="N33" s="602"/>
      <c r="O33" s="84">
        <v>6.0135773876543383E-3</v>
      </c>
      <c r="P33" s="603">
        <f t="shared" ref="P33" si="41">AVERAGE(O33:O39)</f>
        <v>6.0132432682844092E-3</v>
      </c>
      <c r="Q33" s="602"/>
      <c r="R33" s="153">
        <v>0.9</v>
      </c>
      <c r="S33" s="601">
        <f t="shared" ref="S33" si="42">AVERAGE(R33:R39)</f>
        <v>0.90000000000000013</v>
      </c>
      <c r="T33" s="603"/>
      <c r="U33" s="153">
        <f>35/52*100%</f>
        <v>0.67307692307692313</v>
      </c>
      <c r="V33" s="585">
        <f t="shared" ref="V33" si="43">AVERAGE(U33:U39)</f>
        <v>0.67307692307692324</v>
      </c>
      <c r="W33" s="603"/>
    </row>
    <row r="34" spans="2:23" hidden="1">
      <c r="B34" s="590"/>
      <c r="C34" s="586"/>
      <c r="D34" s="80">
        <f t="shared" si="7"/>
        <v>46260</v>
      </c>
      <c r="E34" s="431" t="s">
        <v>120</v>
      </c>
      <c r="F34" s="87">
        <v>450.16071809276951</v>
      </c>
      <c r="G34" s="600"/>
      <c r="H34" s="604"/>
      <c r="I34" s="153">
        <f t="shared" si="38"/>
        <v>0.89960175478171367</v>
      </c>
      <c r="J34" s="601"/>
      <c r="K34" s="603"/>
      <c r="L34" s="161">
        <v>2.0181624820743791E-3</v>
      </c>
      <c r="M34" s="602"/>
      <c r="N34" s="602"/>
      <c r="O34" s="84">
        <v>6.017874914651028E-3</v>
      </c>
      <c r="P34" s="603"/>
      <c r="Q34" s="602"/>
      <c r="R34" s="153">
        <v>0.9</v>
      </c>
      <c r="S34" s="601"/>
      <c r="T34" s="603"/>
      <c r="U34" s="153">
        <f t="shared" ref="U34:U39" si="44">35/52*100%</f>
        <v>0.67307692307692313</v>
      </c>
      <c r="V34" s="585"/>
      <c r="W34" s="603"/>
    </row>
    <row r="35" spans="2:23" hidden="1">
      <c r="B35" s="590"/>
      <c r="C35" s="586"/>
      <c r="D35" s="80">
        <f t="shared" si="7"/>
        <v>46261</v>
      </c>
      <c r="E35" s="431" t="s">
        <v>121</v>
      </c>
      <c r="F35" s="87">
        <v>449.82107516401845</v>
      </c>
      <c r="G35" s="600"/>
      <c r="H35" s="604"/>
      <c r="I35" s="153">
        <f t="shared" si="38"/>
        <v>0.8989230119185021</v>
      </c>
      <c r="J35" s="601"/>
      <c r="K35" s="603"/>
      <c r="L35" s="161">
        <v>2.0116664659390595E-3</v>
      </c>
      <c r="M35" s="602"/>
      <c r="N35" s="602"/>
      <c r="O35" s="84">
        <v>6.0119581914698126E-3</v>
      </c>
      <c r="P35" s="603"/>
      <c r="Q35" s="602"/>
      <c r="R35" s="153">
        <v>0.9</v>
      </c>
      <c r="S35" s="601"/>
      <c r="T35" s="603"/>
      <c r="U35" s="153">
        <f t="shared" si="44"/>
        <v>0.67307692307692313</v>
      </c>
      <c r="V35" s="585"/>
      <c r="W35" s="603"/>
    </row>
    <row r="36" spans="2:23" hidden="1">
      <c r="B36" s="590"/>
      <c r="C36" s="586"/>
      <c r="D36" s="80">
        <f t="shared" si="7"/>
        <v>46262</v>
      </c>
      <c r="E36" s="431" t="s">
        <v>122</v>
      </c>
      <c r="F36" s="87">
        <v>453.08650273769558</v>
      </c>
      <c r="G36" s="600"/>
      <c r="H36" s="604"/>
      <c r="I36" s="153">
        <f t="shared" si="38"/>
        <v>0.90544864655814472</v>
      </c>
      <c r="J36" s="601"/>
      <c r="K36" s="603"/>
      <c r="L36" s="161">
        <v>2.0003443494655739E-3</v>
      </c>
      <c r="M36" s="602"/>
      <c r="N36" s="602"/>
      <c r="O36" s="84">
        <v>6.0095149100250897E-3</v>
      </c>
      <c r="P36" s="603"/>
      <c r="Q36" s="602"/>
      <c r="R36" s="153">
        <v>0.9</v>
      </c>
      <c r="S36" s="601"/>
      <c r="T36" s="603"/>
      <c r="U36" s="153">
        <f t="shared" si="44"/>
        <v>0.67307692307692313</v>
      </c>
      <c r="V36" s="585"/>
      <c r="W36" s="603"/>
    </row>
    <row r="37" spans="2:23" hidden="1">
      <c r="B37" s="590"/>
      <c r="C37" s="586"/>
      <c r="D37" s="80">
        <f t="shared" si="7"/>
        <v>46263</v>
      </c>
      <c r="E37" s="431" t="s">
        <v>124</v>
      </c>
      <c r="F37" s="87">
        <v>455.90035891547546</v>
      </c>
      <c r="G37" s="600"/>
      <c r="H37" s="604"/>
      <c r="I37" s="153">
        <f t="shared" si="38"/>
        <v>0.91107186034267684</v>
      </c>
      <c r="J37" s="601"/>
      <c r="K37" s="603"/>
      <c r="L37" s="161">
        <v>2.0036691922443351E-3</v>
      </c>
      <c r="M37" s="602"/>
      <c r="N37" s="602"/>
      <c r="O37" s="84">
        <v>6.0054863900483712E-3</v>
      </c>
      <c r="P37" s="603"/>
      <c r="Q37" s="602"/>
      <c r="R37" s="153">
        <v>0.9</v>
      </c>
      <c r="S37" s="601"/>
      <c r="T37" s="603"/>
      <c r="U37" s="153">
        <f t="shared" si="44"/>
        <v>0.67307692307692313</v>
      </c>
      <c r="V37" s="585"/>
      <c r="W37" s="603"/>
    </row>
    <row r="38" spans="2:23" hidden="1">
      <c r="B38" s="590"/>
      <c r="C38" s="586"/>
      <c r="D38" s="80">
        <f t="shared" si="7"/>
        <v>46264</v>
      </c>
      <c r="E38" s="431" t="s">
        <v>116</v>
      </c>
      <c r="F38" s="87">
        <v>454.23384888649366</v>
      </c>
      <c r="G38" s="600"/>
      <c r="H38" s="604"/>
      <c r="I38" s="153">
        <f t="shared" si="38"/>
        <v>0.90774150456933189</v>
      </c>
      <c r="J38" s="601"/>
      <c r="K38" s="603"/>
      <c r="L38" s="161">
        <v>2.0137153046033626E-3</v>
      </c>
      <c r="M38" s="602"/>
      <c r="N38" s="602"/>
      <c r="O38" s="84">
        <v>6.0144913013704653E-3</v>
      </c>
      <c r="P38" s="603"/>
      <c r="Q38" s="602"/>
      <c r="R38" s="153">
        <v>0.9</v>
      </c>
      <c r="S38" s="601"/>
      <c r="T38" s="603"/>
      <c r="U38" s="153">
        <f t="shared" si="44"/>
        <v>0.67307692307692313</v>
      </c>
      <c r="V38" s="585"/>
      <c r="W38" s="603"/>
    </row>
    <row r="39" spans="2:23" hidden="1">
      <c r="B39" s="590"/>
      <c r="C39" s="586"/>
      <c r="D39" s="80">
        <f t="shared" si="7"/>
        <v>46265</v>
      </c>
      <c r="E39" s="431" t="s">
        <v>125</v>
      </c>
      <c r="F39" s="87">
        <v>448.28438601365673</v>
      </c>
      <c r="G39" s="600"/>
      <c r="H39" s="604"/>
      <c r="I39" s="153">
        <f t="shared" si="38"/>
        <v>0.89585209035502944</v>
      </c>
      <c r="J39" s="601"/>
      <c r="K39" s="603"/>
      <c r="L39" s="161">
        <v>2.0120100081915267E-3</v>
      </c>
      <c r="M39" s="602"/>
      <c r="N39" s="602"/>
      <c r="O39" s="84">
        <v>6.0197997827717573E-3</v>
      </c>
      <c r="P39" s="603"/>
      <c r="Q39" s="602"/>
      <c r="R39" s="153">
        <v>0.9</v>
      </c>
      <c r="S39" s="601"/>
      <c r="T39" s="603"/>
      <c r="U39" s="153">
        <f t="shared" si="44"/>
        <v>0.67307692307692313</v>
      </c>
      <c r="V39" s="585"/>
      <c r="W39" s="603"/>
    </row>
    <row r="40" spans="2:23">
      <c r="B40" s="590">
        <f t="shared" ref="B40:B54" si="45">B33+7</f>
        <v>46274</v>
      </c>
      <c r="D40" s="80">
        <f t="shared" si="7"/>
        <v>46266</v>
      </c>
      <c r="E40" s="431" t="s">
        <v>119</v>
      </c>
      <c r="F40" s="87">
        <v>447.38328854304223</v>
      </c>
      <c r="G40" s="600">
        <f t="shared" ref="G40" si="46">AVERAGE(F40:F46)</f>
        <v>440.66773315843358</v>
      </c>
      <c r="H40" s="604">
        <f>AVERAGEIF(F40:F69,"&lt;&gt;0")</f>
        <v>440.66773315843358</v>
      </c>
      <c r="I40" s="153">
        <f t="shared" ref="I40:I60" si="47">F40/$C$1</f>
        <v>0.89405133601727071</v>
      </c>
      <c r="J40" s="601">
        <f t="shared" ref="J40" si="48">AVERAGE(I40:I46)</f>
        <v>0.88063096154762899</v>
      </c>
      <c r="K40" s="603">
        <f>AVERAGEIF(I40:I69,"&lt;&gt;0")</f>
        <v>0.88063096154762899</v>
      </c>
      <c r="L40" s="161">
        <v>2.0178575515274987E-3</v>
      </c>
      <c r="M40" s="602">
        <f t="shared" ref="M40" si="49">AVERAGE(L40:L46)</f>
        <v>2.0065695899956814E-3</v>
      </c>
      <c r="N40" s="602">
        <f>AVERAGEIF(L40:L69,"&lt;&gt;0")</f>
        <v>2.0065695899956814E-3</v>
      </c>
      <c r="O40" s="84">
        <v>6.0304167754813452E-3</v>
      </c>
      <c r="P40" s="603">
        <f t="shared" ref="P40" si="50">AVERAGE(O40:O46)</f>
        <v>6.0128427480316384E-3</v>
      </c>
      <c r="Q40" s="602">
        <f>AVERAGEIF(O40:O69,"&lt;&gt;0")</f>
        <v>6.0128427480316384E-3</v>
      </c>
      <c r="R40" s="153">
        <v>0.9</v>
      </c>
      <c r="S40" s="601">
        <f t="shared" ref="S40" si="51">AVERAGE(R40:R46)</f>
        <v>0.90000000000000013</v>
      </c>
      <c r="T40" s="603">
        <f>AVERAGEIF(R40:R69,"&lt;&gt;0")</f>
        <v>0.90000000000000013</v>
      </c>
      <c r="U40" s="153">
        <f>36/52*100%</f>
        <v>0.69230769230769229</v>
      </c>
      <c r="V40" s="585">
        <f t="shared" ref="V40" si="52">AVERAGE(U40:U46)</f>
        <v>0.6923076923076924</v>
      </c>
      <c r="W40" s="603">
        <f>AVERAGEIF(U40:U69,"&lt;&gt;0")</f>
        <v>0.6923076923076924</v>
      </c>
    </row>
    <row r="41" spans="2:23">
      <c r="B41" s="590"/>
      <c r="D41" s="80">
        <f t="shared" si="7"/>
        <v>46267</v>
      </c>
      <c r="E41" s="431" t="s">
        <v>120</v>
      </c>
      <c r="F41" s="87">
        <v>438.70880948911037</v>
      </c>
      <c r="G41" s="600"/>
      <c r="H41" s="604"/>
      <c r="I41" s="153">
        <f t="shared" si="47"/>
        <v>0.8767162459814356</v>
      </c>
      <c r="J41" s="601"/>
      <c r="K41" s="603"/>
      <c r="L41" s="161">
        <v>2.0104421102664465E-3</v>
      </c>
      <c r="M41" s="602"/>
      <c r="N41" s="602"/>
      <c r="O41" s="84">
        <v>6.0196722157452153E-3</v>
      </c>
      <c r="P41" s="603"/>
      <c r="Q41" s="602"/>
      <c r="R41" s="153">
        <v>0.9</v>
      </c>
      <c r="S41" s="601"/>
      <c r="T41" s="603"/>
      <c r="U41" s="153">
        <f t="shared" ref="U41:U46" si="53">36/52*100%</f>
        <v>0.69230769230769229</v>
      </c>
      <c r="V41" s="585"/>
      <c r="W41" s="603"/>
    </row>
    <row r="42" spans="2:23">
      <c r="B42" s="590"/>
      <c r="D42" s="80">
        <f t="shared" si="7"/>
        <v>46268</v>
      </c>
      <c r="E42" s="431" t="s">
        <v>121</v>
      </c>
      <c r="F42" s="87">
        <v>438.59098725312685</v>
      </c>
      <c r="G42" s="600"/>
      <c r="H42" s="604"/>
      <c r="I42" s="153">
        <f t="shared" si="47"/>
        <v>0.87648078987435429</v>
      </c>
      <c r="J42" s="601"/>
      <c r="K42" s="603"/>
      <c r="L42" s="161">
        <v>2.003859537908788E-3</v>
      </c>
      <c r="M42" s="602"/>
      <c r="N42" s="602"/>
      <c r="O42" s="84">
        <v>6.0056477434537537E-3</v>
      </c>
      <c r="P42" s="603"/>
      <c r="Q42" s="602"/>
      <c r="R42" s="153">
        <v>0.9</v>
      </c>
      <c r="S42" s="601"/>
      <c r="T42" s="603"/>
      <c r="U42" s="153">
        <f t="shared" si="53"/>
        <v>0.69230769230769229</v>
      </c>
      <c r="V42" s="585"/>
      <c r="W42" s="603"/>
    </row>
    <row r="43" spans="2:23">
      <c r="B43" s="590"/>
      <c r="D43" s="80">
        <f t="shared" si="7"/>
        <v>46269</v>
      </c>
      <c r="E43" s="431" t="s">
        <v>122</v>
      </c>
      <c r="F43" s="87">
        <v>438.323829217038</v>
      </c>
      <c r="G43" s="600"/>
      <c r="H43" s="604"/>
      <c r="I43" s="153">
        <f t="shared" si="47"/>
        <v>0.87594690091334537</v>
      </c>
      <c r="J43" s="601"/>
      <c r="K43" s="603"/>
      <c r="L43" s="161">
        <v>2.002047573765613E-3</v>
      </c>
      <c r="M43" s="602"/>
      <c r="N43" s="602"/>
      <c r="O43" s="84">
        <v>6.0002398570712474E-3</v>
      </c>
      <c r="P43" s="603"/>
      <c r="Q43" s="602"/>
      <c r="R43" s="153">
        <v>0.9</v>
      </c>
      <c r="S43" s="601"/>
      <c r="T43" s="603"/>
      <c r="U43" s="153">
        <f t="shared" si="53"/>
        <v>0.69230769230769229</v>
      </c>
      <c r="V43" s="585"/>
      <c r="W43" s="603"/>
    </row>
    <row r="44" spans="2:23">
      <c r="B44" s="590"/>
      <c r="D44" s="80">
        <f t="shared" si="7"/>
        <v>46270</v>
      </c>
      <c r="E44" s="431" t="s">
        <v>124</v>
      </c>
      <c r="F44" s="87">
        <v>439.81499166991472</v>
      </c>
      <c r="G44" s="600"/>
      <c r="H44" s="604"/>
      <c r="I44" s="153">
        <f t="shared" si="47"/>
        <v>0.87892684186633641</v>
      </c>
      <c r="J44" s="601"/>
      <c r="K44" s="603"/>
      <c r="L44" s="161">
        <v>2.0017369683580743E-3</v>
      </c>
      <c r="M44" s="602"/>
      <c r="N44" s="602"/>
      <c r="O44" s="84">
        <v>5.9995147935173656E-3</v>
      </c>
      <c r="P44" s="603"/>
      <c r="Q44" s="602"/>
      <c r="R44" s="153">
        <v>0.9</v>
      </c>
      <c r="S44" s="601"/>
      <c r="T44" s="603"/>
      <c r="U44" s="153">
        <f t="shared" si="53"/>
        <v>0.69230769230769229</v>
      </c>
      <c r="V44" s="585"/>
      <c r="W44" s="603"/>
    </row>
    <row r="45" spans="2:23">
      <c r="B45" s="590"/>
      <c r="D45" s="80">
        <f t="shared" si="7"/>
        <v>46271</v>
      </c>
      <c r="E45" s="431" t="s">
        <v>116</v>
      </c>
      <c r="F45" s="87">
        <v>440.8797487374755</v>
      </c>
      <c r="G45" s="600"/>
      <c r="H45" s="604"/>
      <c r="I45" s="153">
        <f t="shared" si="47"/>
        <v>0.88105465375194947</v>
      </c>
      <c r="J45" s="601"/>
      <c r="K45" s="603"/>
      <c r="L45" s="161">
        <v>2.0061413459179344E-3</v>
      </c>
      <c r="M45" s="602"/>
      <c r="N45" s="602"/>
      <c r="O45" s="84">
        <v>6.0203512163634863E-3</v>
      </c>
      <c r="P45" s="603"/>
      <c r="Q45" s="602"/>
      <c r="R45" s="153">
        <v>0.9</v>
      </c>
      <c r="S45" s="601"/>
      <c r="T45" s="603"/>
      <c r="U45" s="153">
        <f t="shared" si="53"/>
        <v>0.69230769230769229</v>
      </c>
      <c r="V45" s="585"/>
      <c r="W45" s="603"/>
    </row>
    <row r="46" spans="2:23">
      <c r="B46" s="590"/>
      <c r="D46" s="80">
        <f t="shared" si="7"/>
        <v>46272</v>
      </c>
      <c r="E46" s="431" t="s">
        <v>125</v>
      </c>
      <c r="F46" s="87">
        <v>440.9724771993267</v>
      </c>
      <c r="G46" s="600"/>
      <c r="H46" s="604"/>
      <c r="I46" s="153">
        <f t="shared" si="47"/>
        <v>0.8812399624287105</v>
      </c>
      <c r="J46" s="601"/>
      <c r="K46" s="603"/>
      <c r="L46" s="161">
        <v>2.0039020422254147E-3</v>
      </c>
      <c r="M46" s="602"/>
      <c r="N46" s="602"/>
      <c r="O46" s="84">
        <v>6.014056634589056E-3</v>
      </c>
      <c r="P46" s="603"/>
      <c r="Q46" s="602"/>
      <c r="R46" s="153">
        <v>0.9</v>
      </c>
      <c r="S46" s="601"/>
      <c r="T46" s="603"/>
      <c r="U46" s="153">
        <f t="shared" si="53"/>
        <v>0.69230769230769229</v>
      </c>
      <c r="V46" s="585"/>
      <c r="W46" s="603"/>
    </row>
    <row r="47" spans="2:23">
      <c r="B47" s="590">
        <f t="shared" si="45"/>
        <v>46281</v>
      </c>
      <c r="D47" s="80">
        <f t="shared" si="7"/>
        <v>46273</v>
      </c>
      <c r="E47" s="431" t="s">
        <v>119</v>
      </c>
      <c r="G47" s="600" t="e">
        <f t="shared" ref="G47" si="54">AVERAGE(F47:F53)</f>
        <v>#DIV/0!</v>
      </c>
      <c r="H47" s="604"/>
      <c r="I47" s="153">
        <f t="shared" si="47"/>
        <v>0</v>
      </c>
      <c r="J47" s="601">
        <f t="shared" ref="J47" si="55">AVERAGE(I47:I53)</f>
        <v>0</v>
      </c>
      <c r="K47" s="603"/>
      <c r="L47" s="161"/>
      <c r="M47" s="602" t="e">
        <f t="shared" ref="M47" si="56">AVERAGE(L47:L53)</f>
        <v>#DIV/0!</v>
      </c>
      <c r="N47" s="602"/>
      <c r="O47" s="84"/>
      <c r="P47" s="603" t="e">
        <f t="shared" ref="P47" si="57">AVERAGE(O47:O53)</f>
        <v>#DIV/0!</v>
      </c>
      <c r="Q47" s="602"/>
      <c r="R47" s="153"/>
      <c r="S47" s="601" t="e">
        <f t="shared" ref="S47" si="58">AVERAGE(R47:R53)</f>
        <v>#DIV/0!</v>
      </c>
      <c r="T47" s="603"/>
      <c r="U47" s="153"/>
      <c r="V47" s="585" t="e">
        <f t="shared" ref="V47" si="59">AVERAGE(U47:U53)</f>
        <v>#DIV/0!</v>
      </c>
      <c r="W47" s="603"/>
    </row>
    <row r="48" spans="2:23">
      <c r="B48" s="590"/>
      <c r="D48" s="80">
        <f t="shared" si="7"/>
        <v>46274</v>
      </c>
      <c r="E48" s="431" t="s">
        <v>120</v>
      </c>
      <c r="G48" s="600"/>
      <c r="H48" s="604"/>
      <c r="I48" s="153">
        <f t="shared" si="47"/>
        <v>0</v>
      </c>
      <c r="J48" s="601"/>
      <c r="K48" s="603"/>
      <c r="L48" s="161"/>
      <c r="M48" s="602"/>
      <c r="N48" s="602"/>
      <c r="O48" s="84"/>
      <c r="P48" s="603"/>
      <c r="Q48" s="602"/>
      <c r="R48" s="153"/>
      <c r="S48" s="601"/>
      <c r="T48" s="603"/>
      <c r="U48" s="153"/>
      <c r="V48" s="585"/>
      <c r="W48" s="603"/>
    </row>
    <row r="49" spans="2:23">
      <c r="B49" s="590"/>
      <c r="D49" s="80">
        <f t="shared" si="7"/>
        <v>46275</v>
      </c>
      <c r="E49" s="431" t="s">
        <v>121</v>
      </c>
      <c r="G49" s="600"/>
      <c r="H49" s="604"/>
      <c r="I49" s="153">
        <f t="shared" si="47"/>
        <v>0</v>
      </c>
      <c r="J49" s="601"/>
      <c r="K49" s="603"/>
      <c r="L49" s="161"/>
      <c r="M49" s="602"/>
      <c r="N49" s="602"/>
      <c r="O49" s="84"/>
      <c r="P49" s="603"/>
      <c r="Q49" s="602"/>
      <c r="R49" s="153"/>
      <c r="S49" s="601"/>
      <c r="T49" s="603"/>
      <c r="U49" s="153"/>
      <c r="V49" s="585"/>
      <c r="W49" s="603"/>
    </row>
    <row r="50" spans="2:23">
      <c r="B50" s="590"/>
      <c r="D50" s="80">
        <f t="shared" si="7"/>
        <v>46276</v>
      </c>
      <c r="E50" s="431" t="s">
        <v>122</v>
      </c>
      <c r="G50" s="600"/>
      <c r="H50" s="604"/>
      <c r="I50" s="153">
        <f t="shared" si="47"/>
        <v>0</v>
      </c>
      <c r="J50" s="601"/>
      <c r="K50" s="603"/>
      <c r="L50" s="161"/>
      <c r="M50" s="602"/>
      <c r="N50" s="602"/>
      <c r="O50" s="84"/>
      <c r="P50" s="603"/>
      <c r="Q50" s="602"/>
      <c r="R50" s="153"/>
      <c r="S50" s="601"/>
      <c r="T50" s="603"/>
      <c r="U50" s="153"/>
      <c r="V50" s="585"/>
      <c r="W50" s="603"/>
    </row>
    <row r="51" spans="2:23">
      <c r="B51" s="590"/>
      <c r="D51" s="80">
        <f t="shared" si="7"/>
        <v>46277</v>
      </c>
      <c r="E51" s="431" t="s">
        <v>124</v>
      </c>
      <c r="G51" s="600"/>
      <c r="H51" s="604"/>
      <c r="I51" s="153">
        <f t="shared" si="47"/>
        <v>0</v>
      </c>
      <c r="J51" s="601"/>
      <c r="K51" s="603"/>
      <c r="L51" s="161"/>
      <c r="M51" s="602"/>
      <c r="N51" s="602"/>
      <c r="O51" s="84"/>
      <c r="P51" s="603"/>
      <c r="Q51" s="602"/>
      <c r="R51" s="153"/>
      <c r="S51" s="601"/>
      <c r="T51" s="603"/>
      <c r="U51" s="153"/>
      <c r="V51" s="585"/>
      <c r="W51" s="603"/>
    </row>
    <row r="52" spans="2:23">
      <c r="B52" s="590"/>
      <c r="D52" s="80">
        <f t="shared" si="7"/>
        <v>46278</v>
      </c>
      <c r="E52" s="431" t="s">
        <v>116</v>
      </c>
      <c r="G52" s="600"/>
      <c r="H52" s="604"/>
      <c r="I52" s="153">
        <f t="shared" si="47"/>
        <v>0</v>
      </c>
      <c r="J52" s="601"/>
      <c r="K52" s="603"/>
      <c r="L52" s="161"/>
      <c r="M52" s="602"/>
      <c r="N52" s="602"/>
      <c r="O52" s="84"/>
      <c r="P52" s="603"/>
      <c r="Q52" s="602"/>
      <c r="R52" s="153"/>
      <c r="S52" s="601"/>
      <c r="T52" s="603"/>
      <c r="U52" s="153"/>
      <c r="V52" s="585"/>
      <c r="W52" s="603"/>
    </row>
    <row r="53" spans="2:23">
      <c r="B53" s="590"/>
      <c r="D53" s="80">
        <f t="shared" si="7"/>
        <v>46279</v>
      </c>
      <c r="E53" s="431" t="s">
        <v>125</v>
      </c>
      <c r="G53" s="600"/>
      <c r="H53" s="604"/>
      <c r="I53" s="153">
        <f t="shared" si="47"/>
        <v>0</v>
      </c>
      <c r="J53" s="601"/>
      <c r="K53" s="603"/>
      <c r="L53" s="161"/>
      <c r="M53" s="602"/>
      <c r="N53" s="602"/>
      <c r="O53" s="84"/>
      <c r="P53" s="603"/>
      <c r="Q53" s="602"/>
      <c r="R53" s="153"/>
      <c r="S53" s="601"/>
      <c r="T53" s="603"/>
      <c r="U53" s="153"/>
      <c r="V53" s="585"/>
      <c r="W53" s="603"/>
    </row>
    <row r="54" spans="2:23">
      <c r="B54" s="590">
        <f t="shared" si="45"/>
        <v>46288</v>
      </c>
      <c r="D54" s="80">
        <f t="shared" si="7"/>
        <v>46280</v>
      </c>
      <c r="E54" s="431" t="s">
        <v>119</v>
      </c>
      <c r="G54" s="600" t="e">
        <f t="shared" ref="G54" si="60">AVERAGE(F54:F60)</f>
        <v>#DIV/0!</v>
      </c>
      <c r="H54" s="604"/>
      <c r="I54" s="153">
        <f t="shared" si="47"/>
        <v>0</v>
      </c>
      <c r="J54" s="601">
        <f t="shared" ref="J54" si="61">AVERAGE(I54:I60)</f>
        <v>0</v>
      </c>
      <c r="K54" s="603"/>
      <c r="L54" s="161"/>
      <c r="M54" s="602" t="e">
        <f t="shared" ref="M54" si="62">AVERAGE(L54:L60)</f>
        <v>#DIV/0!</v>
      </c>
      <c r="N54" s="602"/>
      <c r="O54" s="84"/>
      <c r="P54" s="603" t="e">
        <f t="shared" ref="P54" si="63">AVERAGE(O54:O60)</f>
        <v>#DIV/0!</v>
      </c>
      <c r="Q54" s="602"/>
      <c r="R54" s="153"/>
      <c r="S54" s="601" t="e">
        <f t="shared" ref="S54" si="64">AVERAGE(R54:R60)</f>
        <v>#DIV/0!</v>
      </c>
      <c r="T54" s="603"/>
      <c r="U54" s="153"/>
      <c r="V54" s="585" t="e">
        <f t="shared" ref="V54" si="65">AVERAGE(U54:U60)</f>
        <v>#DIV/0!</v>
      </c>
      <c r="W54" s="603"/>
    </row>
    <row r="55" spans="2:23">
      <c r="B55" s="590"/>
      <c r="D55" s="80">
        <f t="shared" si="7"/>
        <v>46281</v>
      </c>
      <c r="E55" s="431" t="s">
        <v>120</v>
      </c>
      <c r="G55" s="600"/>
      <c r="H55" s="604"/>
      <c r="I55" s="153">
        <f t="shared" si="47"/>
        <v>0</v>
      </c>
      <c r="J55" s="601"/>
      <c r="K55" s="603"/>
      <c r="L55" s="161"/>
      <c r="M55" s="602"/>
      <c r="N55" s="602"/>
      <c r="O55" s="84"/>
      <c r="P55" s="603"/>
      <c r="Q55" s="602"/>
      <c r="R55" s="153"/>
      <c r="S55" s="601"/>
      <c r="T55" s="603"/>
      <c r="U55" s="153"/>
      <c r="V55" s="585"/>
      <c r="W55" s="603"/>
    </row>
    <row r="56" spans="2:23">
      <c r="B56" s="590"/>
      <c r="D56" s="80">
        <f t="shared" si="7"/>
        <v>46282</v>
      </c>
      <c r="E56" s="431" t="s">
        <v>121</v>
      </c>
      <c r="G56" s="600"/>
      <c r="H56" s="604"/>
      <c r="I56" s="153">
        <f t="shared" si="47"/>
        <v>0</v>
      </c>
      <c r="J56" s="601"/>
      <c r="K56" s="603"/>
      <c r="L56" s="161"/>
      <c r="M56" s="602"/>
      <c r="N56" s="602"/>
      <c r="O56" s="84"/>
      <c r="P56" s="603"/>
      <c r="Q56" s="602"/>
      <c r="R56" s="153"/>
      <c r="S56" s="601"/>
      <c r="T56" s="603"/>
      <c r="U56" s="153"/>
      <c r="V56" s="585"/>
      <c r="W56" s="603"/>
    </row>
    <row r="57" spans="2:23">
      <c r="B57" s="590"/>
      <c r="D57" s="80">
        <f t="shared" si="7"/>
        <v>46283</v>
      </c>
      <c r="E57" s="431" t="s">
        <v>122</v>
      </c>
      <c r="G57" s="600"/>
      <c r="H57" s="604"/>
      <c r="I57" s="153">
        <f t="shared" si="47"/>
        <v>0</v>
      </c>
      <c r="J57" s="601"/>
      <c r="K57" s="603"/>
      <c r="L57" s="161"/>
      <c r="M57" s="602"/>
      <c r="N57" s="602"/>
      <c r="O57" s="84"/>
      <c r="P57" s="603"/>
      <c r="Q57" s="602"/>
      <c r="R57" s="153"/>
      <c r="S57" s="601"/>
      <c r="T57" s="603"/>
      <c r="U57" s="153"/>
      <c r="V57" s="585"/>
      <c r="W57" s="603"/>
    </row>
    <row r="58" spans="2:23">
      <c r="B58" s="590"/>
      <c r="D58" s="80">
        <f t="shared" si="7"/>
        <v>46284</v>
      </c>
      <c r="E58" s="431" t="s">
        <v>124</v>
      </c>
      <c r="G58" s="600"/>
      <c r="H58" s="604"/>
      <c r="I58" s="153">
        <f t="shared" si="47"/>
        <v>0</v>
      </c>
      <c r="J58" s="601"/>
      <c r="K58" s="603"/>
      <c r="L58" s="161"/>
      <c r="M58" s="602"/>
      <c r="N58" s="602"/>
      <c r="O58" s="84"/>
      <c r="P58" s="603"/>
      <c r="Q58" s="602"/>
      <c r="R58" s="153"/>
      <c r="S58" s="601"/>
      <c r="T58" s="603"/>
      <c r="U58" s="153"/>
      <c r="V58" s="585"/>
      <c r="W58" s="603"/>
    </row>
    <row r="59" spans="2:23">
      <c r="B59" s="590"/>
      <c r="D59" s="80">
        <f t="shared" si="7"/>
        <v>46285</v>
      </c>
      <c r="E59" s="431" t="s">
        <v>116</v>
      </c>
      <c r="G59" s="600"/>
      <c r="H59" s="604"/>
      <c r="I59" s="153">
        <f t="shared" si="47"/>
        <v>0</v>
      </c>
      <c r="J59" s="601"/>
      <c r="K59" s="603"/>
      <c r="L59" s="161"/>
      <c r="M59" s="602"/>
      <c r="N59" s="602"/>
      <c r="O59" s="84"/>
      <c r="P59" s="603"/>
      <c r="Q59" s="602"/>
      <c r="R59" s="153"/>
      <c r="S59" s="601"/>
      <c r="T59" s="603"/>
      <c r="U59" s="153"/>
      <c r="V59" s="585"/>
      <c r="W59" s="603"/>
    </row>
    <row r="60" spans="2:23">
      <c r="B60" s="590"/>
      <c r="D60" s="80">
        <f t="shared" si="7"/>
        <v>46286</v>
      </c>
      <c r="E60" s="431" t="s">
        <v>125</v>
      </c>
      <c r="G60" s="600"/>
      <c r="H60" s="604"/>
      <c r="I60" s="153">
        <f t="shared" si="47"/>
        <v>0</v>
      </c>
      <c r="J60" s="601"/>
      <c r="K60" s="603"/>
      <c r="L60" s="161"/>
      <c r="M60" s="602"/>
      <c r="N60" s="602"/>
      <c r="O60" s="84"/>
      <c r="P60" s="603"/>
      <c r="Q60" s="602"/>
      <c r="R60" s="153"/>
      <c r="S60" s="601"/>
      <c r="T60" s="603"/>
      <c r="U60" s="153"/>
      <c r="V60" s="585"/>
      <c r="W60" s="603"/>
    </row>
    <row r="61" spans="2:23">
      <c r="B61" s="590">
        <f t="shared" ref="B61" si="66">B54+7</f>
        <v>46295</v>
      </c>
      <c r="D61" s="80">
        <f t="shared" si="7"/>
        <v>46287</v>
      </c>
      <c r="E61" s="431" t="s">
        <v>119</v>
      </c>
      <c r="G61" s="600" t="e">
        <f t="shared" ref="G61" si="67">AVERAGE(F61:F67)</f>
        <v>#DIV/0!</v>
      </c>
      <c r="H61" s="604"/>
      <c r="I61" s="153">
        <f t="shared" ref="I61:I67" si="68">F61/$C$1</f>
        <v>0</v>
      </c>
      <c r="J61" s="601">
        <f t="shared" ref="J61" si="69">AVERAGE(I61:I67)</f>
        <v>0</v>
      </c>
      <c r="K61" s="603"/>
      <c r="L61" s="161"/>
      <c r="M61" s="602" t="e">
        <f t="shared" ref="M61" si="70">AVERAGE(L61:L67)</f>
        <v>#DIV/0!</v>
      </c>
      <c r="N61" s="602"/>
      <c r="O61" s="84"/>
      <c r="P61" s="603" t="e">
        <f t="shared" ref="P61" si="71">AVERAGE(O61:O67)</f>
        <v>#DIV/0!</v>
      </c>
      <c r="Q61" s="602"/>
      <c r="R61" s="153"/>
      <c r="S61" s="601" t="e">
        <f t="shared" ref="S61" si="72">AVERAGE(R61:R67)</f>
        <v>#DIV/0!</v>
      </c>
      <c r="T61" s="603"/>
      <c r="U61" s="153"/>
      <c r="V61" s="585" t="e">
        <f t="shared" ref="V61" si="73">AVERAGE(U61:U67)</f>
        <v>#DIV/0!</v>
      </c>
      <c r="W61" s="603"/>
    </row>
    <row r="62" spans="2:23">
      <c r="B62" s="590"/>
      <c r="D62" s="80">
        <f t="shared" si="7"/>
        <v>46288</v>
      </c>
      <c r="E62" s="431" t="s">
        <v>120</v>
      </c>
      <c r="G62" s="600"/>
      <c r="H62" s="604"/>
      <c r="I62" s="153">
        <f t="shared" si="68"/>
        <v>0</v>
      </c>
      <c r="J62" s="601"/>
      <c r="K62" s="603"/>
      <c r="L62" s="161"/>
      <c r="M62" s="602"/>
      <c r="N62" s="602"/>
      <c r="O62" s="84"/>
      <c r="P62" s="603"/>
      <c r="Q62" s="602"/>
      <c r="R62" s="153"/>
      <c r="S62" s="601"/>
      <c r="T62" s="603"/>
      <c r="U62" s="153"/>
      <c r="V62" s="585"/>
      <c r="W62" s="603"/>
    </row>
    <row r="63" spans="2:23">
      <c r="B63" s="590"/>
      <c r="D63" s="80">
        <f t="shared" si="7"/>
        <v>46289</v>
      </c>
      <c r="E63" s="431" t="s">
        <v>121</v>
      </c>
      <c r="G63" s="600"/>
      <c r="H63" s="604"/>
      <c r="I63" s="153">
        <f t="shared" si="68"/>
        <v>0</v>
      </c>
      <c r="J63" s="601"/>
      <c r="K63" s="603"/>
      <c r="L63" s="161"/>
      <c r="M63" s="602"/>
      <c r="N63" s="602"/>
      <c r="O63" s="84"/>
      <c r="P63" s="603"/>
      <c r="Q63" s="602"/>
      <c r="R63" s="153"/>
      <c r="S63" s="601"/>
      <c r="T63" s="603"/>
      <c r="U63" s="153"/>
      <c r="V63" s="585"/>
      <c r="W63" s="603"/>
    </row>
    <row r="64" spans="2:23">
      <c r="B64" s="590"/>
      <c r="D64" s="80">
        <f t="shared" si="7"/>
        <v>46290</v>
      </c>
      <c r="E64" s="431" t="s">
        <v>122</v>
      </c>
      <c r="G64" s="600"/>
      <c r="H64" s="604"/>
      <c r="I64" s="153">
        <f t="shared" si="68"/>
        <v>0</v>
      </c>
      <c r="J64" s="601"/>
      <c r="K64" s="603"/>
      <c r="L64" s="161"/>
      <c r="M64" s="602"/>
      <c r="N64" s="602"/>
      <c r="O64" s="84"/>
      <c r="P64" s="603"/>
      <c r="Q64" s="602"/>
      <c r="R64" s="153"/>
      <c r="S64" s="601"/>
      <c r="T64" s="603"/>
      <c r="U64" s="153"/>
      <c r="V64" s="585"/>
      <c r="W64" s="603"/>
    </row>
    <row r="65" spans="2:23">
      <c r="B65" s="590"/>
      <c r="D65" s="80">
        <f t="shared" si="7"/>
        <v>46291</v>
      </c>
      <c r="E65" s="431" t="s">
        <v>124</v>
      </c>
      <c r="G65" s="600"/>
      <c r="H65" s="604"/>
      <c r="I65" s="153">
        <f t="shared" si="68"/>
        <v>0</v>
      </c>
      <c r="J65" s="601"/>
      <c r="K65" s="603"/>
      <c r="L65" s="161"/>
      <c r="M65" s="602"/>
      <c r="N65" s="602"/>
      <c r="O65" s="84"/>
      <c r="P65" s="603"/>
      <c r="Q65" s="602"/>
      <c r="R65" s="153"/>
      <c r="S65" s="601"/>
      <c r="T65" s="603"/>
      <c r="U65" s="153"/>
      <c r="V65" s="585"/>
      <c r="W65" s="603"/>
    </row>
    <row r="66" spans="2:23">
      <c r="B66" s="590"/>
      <c r="D66" s="80">
        <f t="shared" si="7"/>
        <v>46292</v>
      </c>
      <c r="E66" s="431" t="s">
        <v>116</v>
      </c>
      <c r="G66" s="600"/>
      <c r="H66" s="604"/>
      <c r="I66" s="153">
        <f t="shared" si="68"/>
        <v>0</v>
      </c>
      <c r="J66" s="601"/>
      <c r="K66" s="603"/>
      <c r="L66" s="161"/>
      <c r="M66" s="602"/>
      <c r="N66" s="602"/>
      <c r="O66" s="84"/>
      <c r="P66" s="603"/>
      <c r="Q66" s="602"/>
      <c r="R66" s="153"/>
      <c r="S66" s="601"/>
      <c r="T66" s="603"/>
      <c r="U66" s="153"/>
      <c r="V66" s="585"/>
      <c r="W66" s="603"/>
    </row>
    <row r="67" spans="2:23">
      <c r="B67" s="590"/>
      <c r="D67" s="80">
        <f t="shared" si="7"/>
        <v>46293</v>
      </c>
      <c r="E67" s="431" t="s">
        <v>125</v>
      </c>
      <c r="G67" s="600"/>
      <c r="H67" s="604"/>
      <c r="I67" s="153">
        <f t="shared" si="68"/>
        <v>0</v>
      </c>
      <c r="J67" s="601"/>
      <c r="K67" s="603"/>
      <c r="L67" s="161"/>
      <c r="M67" s="602"/>
      <c r="N67" s="602"/>
      <c r="O67" s="84"/>
      <c r="P67" s="603"/>
      <c r="Q67" s="602"/>
      <c r="R67" s="153"/>
      <c r="S67" s="601"/>
      <c r="T67" s="603"/>
      <c r="U67" s="153"/>
      <c r="V67" s="585"/>
      <c r="W67" s="603"/>
    </row>
    <row r="68" spans="2:23">
      <c r="B68" s="590">
        <f t="shared" ref="B68" si="74">B61+7</f>
        <v>46302</v>
      </c>
      <c r="D68" s="80">
        <f t="shared" si="7"/>
        <v>46294</v>
      </c>
      <c r="E68" s="431" t="s">
        <v>119</v>
      </c>
      <c r="G68" s="600" t="e">
        <f t="shared" ref="G68" si="75">AVERAGE(F68:F74)</f>
        <v>#DIV/0!</v>
      </c>
      <c r="H68" s="604"/>
      <c r="I68" s="153">
        <f t="shared" ref="I68:I74" si="76">F68/$C$1</f>
        <v>0</v>
      </c>
      <c r="J68" s="601">
        <f t="shared" ref="J68" si="77">AVERAGE(I68:I74)</f>
        <v>0</v>
      </c>
      <c r="K68" s="603"/>
      <c r="L68" s="161"/>
      <c r="M68" s="602" t="e">
        <f t="shared" ref="M68" si="78">AVERAGE(L68:L74)</f>
        <v>#DIV/0!</v>
      </c>
      <c r="N68" s="602"/>
      <c r="O68" s="84"/>
      <c r="P68" s="603" t="e">
        <f t="shared" ref="P68" si="79">AVERAGE(O68:O74)</f>
        <v>#DIV/0!</v>
      </c>
      <c r="Q68" s="602"/>
      <c r="R68" s="153"/>
      <c r="S68" s="601" t="e">
        <f t="shared" ref="S68" si="80">AVERAGE(R68:R74)</f>
        <v>#DIV/0!</v>
      </c>
      <c r="T68" s="603"/>
      <c r="U68" s="153"/>
      <c r="V68" s="585" t="e">
        <f t="shared" ref="V68" si="81">AVERAGE(U68:U74)</f>
        <v>#DIV/0!</v>
      </c>
      <c r="W68" s="603"/>
    </row>
    <row r="69" spans="2:23">
      <c r="B69" s="590"/>
      <c r="D69" s="80">
        <f t="shared" si="7"/>
        <v>46295</v>
      </c>
      <c r="E69" s="431" t="s">
        <v>120</v>
      </c>
      <c r="G69" s="600"/>
      <c r="H69" s="604"/>
      <c r="I69" s="153">
        <f t="shared" si="76"/>
        <v>0</v>
      </c>
      <c r="J69" s="601"/>
      <c r="K69" s="603"/>
      <c r="L69" s="161"/>
      <c r="M69" s="602"/>
      <c r="N69" s="602"/>
      <c r="O69" s="84"/>
      <c r="P69" s="603"/>
      <c r="Q69" s="602"/>
      <c r="R69" s="153"/>
      <c r="S69" s="601"/>
      <c r="T69" s="603"/>
      <c r="U69" s="153"/>
      <c r="V69" s="585"/>
      <c r="W69" s="603"/>
    </row>
    <row r="70" spans="2:23">
      <c r="B70" s="590"/>
      <c r="D70" s="80">
        <f t="shared" ref="D70:D74" si="82">D69+1</f>
        <v>46296</v>
      </c>
      <c r="E70" s="431" t="s">
        <v>121</v>
      </c>
      <c r="G70" s="600"/>
      <c r="H70" s="519"/>
      <c r="I70" s="153">
        <f t="shared" si="76"/>
        <v>0</v>
      </c>
      <c r="J70" s="601"/>
      <c r="K70" s="84"/>
      <c r="L70" s="161"/>
      <c r="M70" s="602"/>
      <c r="N70" s="161"/>
      <c r="O70" s="84"/>
      <c r="P70" s="603"/>
      <c r="Q70" s="161"/>
      <c r="R70" s="153"/>
      <c r="S70" s="601"/>
      <c r="T70" s="84"/>
      <c r="U70" s="153"/>
      <c r="V70" s="585"/>
      <c r="W70" s="84"/>
    </row>
    <row r="71" spans="2:23">
      <c r="B71" s="590"/>
      <c r="D71" s="80">
        <f t="shared" si="82"/>
        <v>46297</v>
      </c>
      <c r="E71" s="431" t="s">
        <v>122</v>
      </c>
      <c r="G71" s="600"/>
      <c r="I71" s="153">
        <f t="shared" si="76"/>
        <v>0</v>
      </c>
      <c r="J71" s="601"/>
      <c r="L71" s="161"/>
      <c r="M71" s="602"/>
      <c r="O71" s="84"/>
      <c r="P71" s="603"/>
      <c r="R71" s="153"/>
      <c r="S71" s="601"/>
      <c r="U71" s="153"/>
      <c r="V71" s="585"/>
    </row>
    <row r="72" spans="2:23">
      <c r="B72" s="590"/>
      <c r="D72" s="80">
        <f t="shared" si="82"/>
        <v>46298</v>
      </c>
      <c r="E72" s="431" t="s">
        <v>124</v>
      </c>
      <c r="G72" s="600"/>
      <c r="I72" s="153">
        <f t="shared" si="76"/>
        <v>0</v>
      </c>
      <c r="J72" s="601"/>
      <c r="L72" s="161"/>
      <c r="M72" s="602"/>
      <c r="O72" s="84"/>
      <c r="P72" s="603"/>
      <c r="R72" s="153"/>
      <c r="S72" s="601"/>
      <c r="U72" s="153"/>
      <c r="V72" s="585"/>
    </row>
    <row r="73" spans="2:23">
      <c r="B73" s="590"/>
      <c r="D73" s="80">
        <f t="shared" si="82"/>
        <v>46299</v>
      </c>
      <c r="E73" s="431" t="s">
        <v>116</v>
      </c>
      <c r="G73" s="600"/>
      <c r="I73" s="153">
        <f t="shared" si="76"/>
        <v>0</v>
      </c>
      <c r="J73" s="601"/>
      <c r="L73" s="161"/>
      <c r="M73" s="602"/>
      <c r="O73" s="84"/>
      <c r="P73" s="603"/>
      <c r="R73" s="153"/>
      <c r="S73" s="601"/>
      <c r="U73" s="153"/>
      <c r="V73" s="585"/>
    </row>
    <row r="74" spans="2:23">
      <c r="B74" s="590"/>
      <c r="D74" s="80">
        <f t="shared" si="82"/>
        <v>46300</v>
      </c>
      <c r="E74" s="431" t="s">
        <v>125</v>
      </c>
      <c r="G74" s="600"/>
      <c r="I74" s="153">
        <f t="shared" si="76"/>
        <v>0</v>
      </c>
      <c r="J74" s="601"/>
      <c r="L74" s="161"/>
      <c r="M74" s="602"/>
      <c r="O74" s="84"/>
      <c r="P74" s="603"/>
      <c r="R74" s="153"/>
      <c r="S74" s="601"/>
      <c r="U74" s="153"/>
      <c r="V74" s="585"/>
    </row>
  </sheetData>
  <mergeCells count="100">
    <mergeCell ref="W40:W69"/>
    <mergeCell ref="S68:S74"/>
    <mergeCell ref="V68:V74"/>
    <mergeCell ref="H40:H69"/>
    <mergeCell ref="K40:K69"/>
    <mergeCell ref="N40:N69"/>
    <mergeCell ref="S54:S60"/>
    <mergeCell ref="V54:V60"/>
    <mergeCell ref="S61:S67"/>
    <mergeCell ref="V61:V67"/>
    <mergeCell ref="Q40:Q69"/>
    <mergeCell ref="T40:T69"/>
    <mergeCell ref="S40:S46"/>
    <mergeCell ref="V40:V46"/>
    <mergeCell ref="S47:S53"/>
    <mergeCell ref="V47:V53"/>
    <mergeCell ref="B68:B74"/>
    <mergeCell ref="G68:G74"/>
    <mergeCell ref="J68:J74"/>
    <mergeCell ref="M68:M74"/>
    <mergeCell ref="P68:P74"/>
    <mergeCell ref="B61:B67"/>
    <mergeCell ref="G61:G67"/>
    <mergeCell ref="J61:J67"/>
    <mergeCell ref="M61:M67"/>
    <mergeCell ref="P61:P67"/>
    <mergeCell ref="B54:B60"/>
    <mergeCell ref="G54:G60"/>
    <mergeCell ref="J54:J60"/>
    <mergeCell ref="M54:M60"/>
    <mergeCell ref="P54:P60"/>
    <mergeCell ref="B47:B53"/>
    <mergeCell ref="G47:G53"/>
    <mergeCell ref="J47:J53"/>
    <mergeCell ref="M47:M53"/>
    <mergeCell ref="P47:P53"/>
    <mergeCell ref="B40:B46"/>
    <mergeCell ref="G40:G46"/>
    <mergeCell ref="J40:J46"/>
    <mergeCell ref="M40:M46"/>
    <mergeCell ref="P40:P46"/>
    <mergeCell ref="C5:C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W5:W8"/>
    <mergeCell ref="H5:H8"/>
    <mergeCell ref="K5:K8"/>
    <mergeCell ref="N5:N8"/>
    <mergeCell ref="Q5:Q8"/>
    <mergeCell ref="W9:W39"/>
    <mergeCell ref="S26:S32"/>
    <mergeCell ref="V26:V32"/>
    <mergeCell ref="S33:S39"/>
    <mergeCell ref="V33:V39"/>
    <mergeCell ref="S19:S25"/>
    <mergeCell ref="V19:V25"/>
    <mergeCell ref="J5:J11"/>
    <mergeCell ref="M5:M11"/>
    <mergeCell ref="P5:P11"/>
    <mergeCell ref="S12:S18"/>
    <mergeCell ref="V12:V18"/>
    <mergeCell ref="Q9:Q39"/>
    <mergeCell ref="T9:T39"/>
    <mergeCell ref="T5:T8"/>
    <mergeCell ref="S5:S11"/>
    <mergeCell ref="V5:V11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9:C39"/>
    <mergeCell ref="H9:H39"/>
    <mergeCell ref="K9:K39"/>
    <mergeCell ref="N9:N39"/>
    <mergeCell ref="B26:B32"/>
    <mergeCell ref="G26:G32"/>
    <mergeCell ref="J26:J32"/>
    <mergeCell ref="M26:M32"/>
    <mergeCell ref="P26:P32"/>
    <mergeCell ref="B5:B11"/>
    <mergeCell ref="G5:G1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72"/>
  <sheetViews>
    <sheetView zoomScale="85" zoomScaleNormal="85" workbookViewId="0">
      <selection activeCell="F91" sqref="F91"/>
    </sheetView>
  </sheetViews>
  <sheetFormatPr defaultColWidth="8.85546875" defaultRowHeight="14.25" outlineLevelRow="1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8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92" t="s">
        <v>136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</row>
    <row r="3" spans="1:40" ht="25.35" customHeight="1">
      <c r="B3" s="623" t="s">
        <v>107</v>
      </c>
      <c r="C3" s="624" t="s">
        <v>137</v>
      </c>
      <c r="D3" s="625" t="s">
        <v>109</v>
      </c>
      <c r="E3" s="625"/>
      <c r="F3" s="627" t="s">
        <v>138</v>
      </c>
      <c r="G3" s="627"/>
      <c r="H3" s="627"/>
      <c r="I3" s="628" t="s">
        <v>139</v>
      </c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8"/>
      <c r="AH3" s="628"/>
      <c r="AI3" s="628"/>
      <c r="AJ3" s="628"/>
      <c r="AK3" s="628"/>
      <c r="AL3" s="628"/>
    </row>
    <row r="4" spans="1:40" ht="25.35" customHeight="1">
      <c r="B4" s="623"/>
      <c r="C4" s="624"/>
      <c r="D4" s="625"/>
      <c r="E4" s="625"/>
      <c r="F4" s="627"/>
      <c r="G4" s="627"/>
      <c r="H4" s="627"/>
      <c r="I4" s="621" t="s">
        <v>140</v>
      </c>
      <c r="J4" s="621"/>
      <c r="K4" s="621"/>
      <c r="L4" s="621"/>
      <c r="M4" s="621"/>
      <c r="N4" s="621"/>
      <c r="O4" s="621" t="s">
        <v>141</v>
      </c>
      <c r="P4" s="621"/>
      <c r="Q4" s="621"/>
      <c r="R4" s="621"/>
      <c r="S4" s="621"/>
      <c r="T4" s="621"/>
      <c r="U4" s="621" t="s">
        <v>142</v>
      </c>
      <c r="V4" s="621"/>
      <c r="W4" s="621" t="s">
        <v>143</v>
      </c>
      <c r="X4" s="621"/>
      <c r="Y4" s="621" t="s">
        <v>144</v>
      </c>
      <c r="Z4" s="621"/>
      <c r="AA4" s="621"/>
      <c r="AB4" s="621"/>
      <c r="AC4" s="621"/>
      <c r="AD4" s="621"/>
      <c r="AE4" s="621" t="s">
        <v>145</v>
      </c>
      <c r="AF4" s="621"/>
      <c r="AG4" s="621" t="s">
        <v>146</v>
      </c>
      <c r="AH4" s="621"/>
      <c r="AI4" s="621" t="s">
        <v>147</v>
      </c>
      <c r="AJ4" s="621"/>
      <c r="AK4" s="621" t="s">
        <v>148</v>
      </c>
      <c r="AL4" s="621"/>
    </row>
    <row r="5" spans="1:40" ht="25.35" customHeight="1">
      <c r="B5" s="623"/>
      <c r="C5" s="624"/>
      <c r="D5" s="625"/>
      <c r="E5" s="625"/>
      <c r="F5" s="629" t="s">
        <v>116</v>
      </c>
      <c r="G5" s="631" t="s">
        <v>117</v>
      </c>
      <c r="H5" s="631" t="s">
        <v>118</v>
      </c>
      <c r="I5" s="621" t="s">
        <v>149</v>
      </c>
      <c r="J5" s="621"/>
      <c r="K5" s="621" t="s">
        <v>150</v>
      </c>
      <c r="L5" s="621"/>
      <c r="M5" s="622" t="s">
        <v>151</v>
      </c>
      <c r="N5" s="621"/>
      <c r="O5" s="621" t="s">
        <v>149</v>
      </c>
      <c r="P5" s="621"/>
      <c r="Q5" s="621" t="s">
        <v>150</v>
      </c>
      <c r="R5" s="621"/>
      <c r="S5" s="622" t="s">
        <v>151</v>
      </c>
      <c r="T5" s="621"/>
      <c r="U5" s="621" t="s">
        <v>149</v>
      </c>
      <c r="V5" s="621"/>
      <c r="W5" s="621" t="s">
        <v>149</v>
      </c>
      <c r="X5" s="621"/>
      <c r="Y5" s="621" t="s">
        <v>149</v>
      </c>
      <c r="Z5" s="621"/>
      <c r="AA5" s="621" t="s">
        <v>150</v>
      </c>
      <c r="AB5" s="621"/>
      <c r="AC5" s="622" t="s">
        <v>151</v>
      </c>
      <c r="AD5" s="621"/>
      <c r="AE5" s="621" t="s">
        <v>149</v>
      </c>
      <c r="AF5" s="621"/>
      <c r="AG5" s="621" t="s">
        <v>149</v>
      </c>
      <c r="AH5" s="621"/>
      <c r="AI5" s="621" t="s">
        <v>149</v>
      </c>
      <c r="AJ5" s="621"/>
      <c r="AK5" s="621" t="s">
        <v>149</v>
      </c>
      <c r="AL5" s="621"/>
    </row>
    <row r="6" spans="1:40" s="77" customFormat="1" ht="23.45" customHeight="1">
      <c r="B6" s="623"/>
      <c r="C6" s="624"/>
      <c r="D6" s="626"/>
      <c r="E6" s="626"/>
      <c r="F6" s="630"/>
      <c r="G6" s="631"/>
      <c r="H6" s="631"/>
      <c r="I6" s="91" t="s">
        <v>152</v>
      </c>
      <c r="J6" s="92" t="s">
        <v>153</v>
      </c>
      <c r="K6" s="91" t="s">
        <v>152</v>
      </c>
      <c r="L6" s="92" t="s">
        <v>153</v>
      </c>
      <c r="M6" s="91" t="s">
        <v>152</v>
      </c>
      <c r="N6" s="92" t="s">
        <v>153</v>
      </c>
      <c r="O6" s="91" t="s">
        <v>152</v>
      </c>
      <c r="P6" s="92" t="s">
        <v>153</v>
      </c>
      <c r="Q6" s="91" t="s">
        <v>152</v>
      </c>
      <c r="R6" s="92" t="s">
        <v>153</v>
      </c>
      <c r="S6" s="91" t="s">
        <v>152</v>
      </c>
      <c r="T6" s="92" t="s">
        <v>153</v>
      </c>
      <c r="U6" s="91" t="s">
        <v>152</v>
      </c>
      <c r="V6" s="92" t="s">
        <v>153</v>
      </c>
      <c r="W6" s="91" t="s">
        <v>152</v>
      </c>
      <c r="X6" s="92" t="s">
        <v>153</v>
      </c>
      <c r="Y6" s="91" t="s">
        <v>152</v>
      </c>
      <c r="Z6" s="92" t="s">
        <v>153</v>
      </c>
      <c r="AA6" s="91" t="s">
        <v>152</v>
      </c>
      <c r="AB6" s="92" t="s">
        <v>153</v>
      </c>
      <c r="AC6" s="91" t="s">
        <v>152</v>
      </c>
      <c r="AD6" s="92" t="s">
        <v>153</v>
      </c>
      <c r="AE6" s="91" t="s">
        <v>152</v>
      </c>
      <c r="AF6" s="92" t="s">
        <v>153</v>
      </c>
      <c r="AG6" s="91" t="s">
        <v>152</v>
      </c>
      <c r="AH6" s="92" t="s">
        <v>153</v>
      </c>
      <c r="AI6" s="91" t="s">
        <v>152</v>
      </c>
      <c r="AJ6" s="92" t="s">
        <v>153</v>
      </c>
      <c r="AK6" s="91" t="s">
        <v>152</v>
      </c>
      <c r="AL6" s="92" t="s">
        <v>153</v>
      </c>
    </row>
    <row r="7" spans="1:40" s="73" customFormat="1" ht="14.25" hidden="1" customHeight="1">
      <c r="B7" s="609">
        <v>46239</v>
      </c>
      <c r="C7" s="618"/>
      <c r="D7" s="170">
        <v>46231</v>
      </c>
      <c r="E7" s="170" t="s">
        <v>119</v>
      </c>
      <c r="F7" s="319">
        <f t="shared" ref="F7:F48" si="0">SUM(M7,S7,U7,W7,AC7,AE7,AG7,AI7,AK7)</f>
        <v>6626056.8699999992</v>
      </c>
      <c r="G7" s="614">
        <f t="shared" ref="G7" si="1">SUM(F7:F13)</f>
        <v>42486866.159999996</v>
      </c>
      <c r="H7" s="616"/>
      <c r="I7" s="171">
        <v>916210.92</v>
      </c>
      <c r="J7" s="172">
        <f t="shared" ref="J7:J48" si="2">I7/$F7</f>
        <v>0.13827392942372982</v>
      </c>
      <c r="K7" s="171">
        <v>1056654.74</v>
      </c>
      <c r="L7" s="172">
        <f t="shared" ref="L7:L48" si="3">K7/$F7</f>
        <v>0.15946961529776307</v>
      </c>
      <c r="M7" s="171">
        <f t="shared" ref="M7:M48" si="4">I7+K7</f>
        <v>1972865.6600000001</v>
      </c>
      <c r="N7" s="172">
        <f t="shared" ref="N7" si="5">M7/$F7</f>
        <v>0.29774354472149289</v>
      </c>
      <c r="O7" s="171">
        <v>332859.43</v>
      </c>
      <c r="P7" s="172">
        <f t="shared" ref="P7:P48" si="6">O7/$F7</f>
        <v>5.0234918976782048E-2</v>
      </c>
      <c r="Q7" s="171">
        <v>0</v>
      </c>
      <c r="R7" s="172">
        <f t="shared" ref="R7:R48" si="7">Q7/$F7</f>
        <v>0</v>
      </c>
      <c r="S7" s="171">
        <f t="shared" ref="S7:S48" si="8">O7+Q7</f>
        <v>332859.43</v>
      </c>
      <c r="T7" s="172">
        <f t="shared" ref="T7" si="9">S7/$F7</f>
        <v>5.0234918976782048E-2</v>
      </c>
      <c r="U7" s="171">
        <v>72647.28</v>
      </c>
      <c r="V7" s="172">
        <f t="shared" ref="V7" si="10">U7/$F7</f>
        <v>1.0963878129225897E-2</v>
      </c>
      <c r="W7" s="171">
        <v>405052.75</v>
      </c>
      <c r="X7" s="172">
        <f t="shared" ref="X7:X48" si="11">W7/$F7</f>
        <v>6.1130285771302181E-2</v>
      </c>
      <c r="Y7" s="171">
        <v>391742.31</v>
      </c>
      <c r="Z7" s="172">
        <f t="shared" ref="Z7:Z48" si="12">Y7/$F7</f>
        <v>5.9121483211779326E-2</v>
      </c>
      <c r="AA7" s="171">
        <v>564780.37</v>
      </c>
      <c r="AB7" s="172">
        <f t="shared" ref="AB7:AB48" si="13">AA7/$F7</f>
        <v>8.5236269636786266E-2</v>
      </c>
      <c r="AC7" s="171">
        <f t="shared" ref="AC7:AC48" si="14">Y7+AA7</f>
        <v>956522.67999999993</v>
      </c>
      <c r="AD7" s="172">
        <f t="shared" ref="AD7:AD48" si="15">AC7/$F7</f>
        <v>0.14435775284856558</v>
      </c>
      <c r="AE7" s="171">
        <v>1542665.3900000001</v>
      </c>
      <c r="AF7" s="172">
        <f t="shared" ref="AF7:AF48" si="16">AE7/F7</f>
        <v>0.23281801232110469</v>
      </c>
      <c r="AG7" s="171">
        <v>0</v>
      </c>
      <c r="AH7" s="172">
        <f t="shared" ref="AH7:AH48" si="17">AG7/$F7</f>
        <v>0</v>
      </c>
      <c r="AI7" s="171">
        <v>974769.30999999994</v>
      </c>
      <c r="AJ7" s="172">
        <f t="shared" ref="AJ7:AJ48" si="18">AI7/$F7</f>
        <v>0.14711152184843834</v>
      </c>
      <c r="AK7" s="171">
        <v>368674.37</v>
      </c>
      <c r="AL7" s="172">
        <f t="shared" ref="AL7:AL48" si="19">AK7/$F7</f>
        <v>5.5640085383088483E-2</v>
      </c>
      <c r="AN7" s="72"/>
    </row>
    <row r="8" spans="1:40" s="73" customFormat="1" ht="14.25" hidden="1" customHeight="1">
      <c r="B8" s="610"/>
      <c r="C8" s="618"/>
      <c r="D8" s="170">
        <v>46232</v>
      </c>
      <c r="E8" s="170" t="s">
        <v>120</v>
      </c>
      <c r="F8" s="319">
        <f t="shared" si="0"/>
        <v>6255627.21</v>
      </c>
      <c r="G8" s="614"/>
      <c r="H8" s="616"/>
      <c r="I8" s="171">
        <v>892990.06000000017</v>
      </c>
      <c r="J8" s="172">
        <f t="shared" si="2"/>
        <v>0.14274988422783591</v>
      </c>
      <c r="K8" s="171">
        <v>1002618.0599999998</v>
      </c>
      <c r="L8" s="172">
        <f t="shared" si="3"/>
        <v>0.1602745857996867</v>
      </c>
      <c r="M8" s="171">
        <f t="shared" si="4"/>
        <v>1895608.12</v>
      </c>
      <c r="N8" s="172">
        <f t="shared" ref="N8" si="20">M8/F8</f>
        <v>0.30302447002752264</v>
      </c>
      <c r="O8" s="171">
        <v>335009.01</v>
      </c>
      <c r="P8" s="172">
        <f t="shared" si="6"/>
        <v>5.3553224761294559E-2</v>
      </c>
      <c r="Q8" s="171">
        <v>0</v>
      </c>
      <c r="R8" s="172">
        <f t="shared" si="7"/>
        <v>0</v>
      </c>
      <c r="S8" s="171">
        <f t="shared" si="8"/>
        <v>335009.01</v>
      </c>
      <c r="T8" s="172">
        <f t="shared" ref="T8" si="21">S8/F8</f>
        <v>5.3553224761294559E-2</v>
      </c>
      <c r="U8" s="171">
        <v>65034.899999999994</v>
      </c>
      <c r="V8" s="172">
        <f t="shared" ref="V8" si="22">U8/F8</f>
        <v>1.0396223722545001E-2</v>
      </c>
      <c r="W8" s="171">
        <v>310798.37</v>
      </c>
      <c r="X8" s="172">
        <f t="shared" si="11"/>
        <v>4.9683006925855477E-2</v>
      </c>
      <c r="Y8" s="171">
        <v>360085.06</v>
      </c>
      <c r="Z8" s="172">
        <f t="shared" si="12"/>
        <v>5.7561783640876517E-2</v>
      </c>
      <c r="AA8" s="171">
        <v>557071.84000000008</v>
      </c>
      <c r="AB8" s="172">
        <f t="shared" si="13"/>
        <v>8.9051316726400653E-2</v>
      </c>
      <c r="AC8" s="171">
        <f t="shared" si="14"/>
        <v>917156.90000000014</v>
      </c>
      <c r="AD8" s="172">
        <f t="shared" si="15"/>
        <v>0.14661310036727718</v>
      </c>
      <c r="AE8" s="171">
        <v>1411466.67</v>
      </c>
      <c r="AF8" s="172">
        <f t="shared" si="16"/>
        <v>0.22563151904955026</v>
      </c>
      <c r="AG8" s="171">
        <v>0</v>
      </c>
      <c r="AH8" s="172">
        <f t="shared" si="17"/>
        <v>0</v>
      </c>
      <c r="AI8" s="171">
        <v>957447.54999999993</v>
      </c>
      <c r="AJ8" s="172">
        <f t="shared" si="18"/>
        <v>0.15305380545526465</v>
      </c>
      <c r="AK8" s="171">
        <v>363105.69</v>
      </c>
      <c r="AL8" s="172">
        <f t="shared" si="19"/>
        <v>5.8044649690690252E-2</v>
      </c>
      <c r="AN8" s="72"/>
    </row>
    <row r="9" spans="1:40" s="73" customFormat="1" ht="14.25" hidden="1" customHeight="1">
      <c r="B9" s="610"/>
      <c r="C9" s="618"/>
      <c r="D9" s="170">
        <v>46233</v>
      </c>
      <c r="E9" s="170" t="s">
        <v>121</v>
      </c>
      <c r="F9" s="319">
        <f t="shared" si="0"/>
        <v>5785963.21</v>
      </c>
      <c r="G9" s="614"/>
      <c r="H9" s="616"/>
      <c r="I9" s="171">
        <v>838667.45</v>
      </c>
      <c r="J9" s="172">
        <f t="shared" si="2"/>
        <v>0.14494863163846491</v>
      </c>
      <c r="K9" s="171">
        <v>888975.99999999988</v>
      </c>
      <c r="L9" s="172">
        <f t="shared" si="3"/>
        <v>0.15364356248646108</v>
      </c>
      <c r="M9" s="171">
        <f t="shared" si="4"/>
        <v>1727643.4499999997</v>
      </c>
      <c r="N9" s="172">
        <f t="shared" ref="N9" si="23">M9/$F9</f>
        <v>0.29859219412492594</v>
      </c>
      <c r="O9" s="171">
        <v>317196.07</v>
      </c>
      <c r="P9" s="172">
        <f t="shared" si="6"/>
        <v>5.4821653454654444E-2</v>
      </c>
      <c r="Q9" s="171">
        <v>0</v>
      </c>
      <c r="R9" s="172">
        <f t="shared" si="7"/>
        <v>0</v>
      </c>
      <c r="S9" s="171">
        <f t="shared" si="8"/>
        <v>317196.07</v>
      </c>
      <c r="T9" s="172">
        <f t="shared" ref="T9" si="24">S9/$F9</f>
        <v>5.4821653454654444E-2</v>
      </c>
      <c r="U9" s="171">
        <v>65454.479999999996</v>
      </c>
      <c r="V9" s="172">
        <f t="shared" ref="V9" si="25">U9/$F9</f>
        <v>1.1312633285824159E-2</v>
      </c>
      <c r="W9" s="171">
        <v>297300.07</v>
      </c>
      <c r="X9" s="172">
        <f t="shared" si="11"/>
        <v>5.1382986584873225E-2</v>
      </c>
      <c r="Y9" s="171">
        <v>336180.01</v>
      </c>
      <c r="Z9" s="172">
        <f t="shared" si="12"/>
        <v>5.8102687106439448E-2</v>
      </c>
      <c r="AA9" s="171">
        <v>426289.69999999995</v>
      </c>
      <c r="AB9" s="172">
        <f t="shared" si="13"/>
        <v>7.3676531379120183E-2</v>
      </c>
      <c r="AC9" s="171">
        <f t="shared" si="14"/>
        <v>762469.71</v>
      </c>
      <c r="AD9" s="172">
        <f t="shared" si="15"/>
        <v>0.13177921848555962</v>
      </c>
      <c r="AE9" s="171">
        <v>1297947.98</v>
      </c>
      <c r="AF9" s="172">
        <f t="shared" si="16"/>
        <v>0.22432703646589552</v>
      </c>
      <c r="AG9" s="171">
        <v>0</v>
      </c>
      <c r="AH9" s="172">
        <f t="shared" si="17"/>
        <v>0</v>
      </c>
      <c r="AI9" s="171">
        <v>974797.78999999992</v>
      </c>
      <c r="AJ9" s="172">
        <f t="shared" si="18"/>
        <v>0.16847632012509806</v>
      </c>
      <c r="AK9" s="171">
        <v>343153.66000000003</v>
      </c>
      <c r="AL9" s="172">
        <f t="shared" si="19"/>
        <v>5.9307957473168936E-2</v>
      </c>
      <c r="AN9" s="72"/>
    </row>
    <row r="10" spans="1:40" s="73" customFormat="1" ht="14.25" hidden="1" customHeight="1">
      <c r="B10" s="610"/>
      <c r="C10" s="619"/>
      <c r="D10" s="170">
        <v>46234</v>
      </c>
      <c r="E10" s="170" t="s">
        <v>122</v>
      </c>
      <c r="F10" s="319">
        <f t="shared" si="0"/>
        <v>4936115.0199999996</v>
      </c>
      <c r="G10" s="614"/>
      <c r="H10" s="617"/>
      <c r="I10" s="171">
        <v>642135.92999999993</v>
      </c>
      <c r="J10" s="172">
        <f t="shared" si="2"/>
        <v>0.13008933693769559</v>
      </c>
      <c r="K10" s="171">
        <v>816869.93</v>
      </c>
      <c r="L10" s="172">
        <f t="shared" si="3"/>
        <v>0.16548843102120422</v>
      </c>
      <c r="M10" s="171">
        <f t="shared" si="4"/>
        <v>1459005.8599999999</v>
      </c>
      <c r="N10" s="172">
        <f t="shared" ref="N10" si="26">M10/F10</f>
        <v>0.29557776795889978</v>
      </c>
      <c r="O10" s="171">
        <v>253053.06</v>
      </c>
      <c r="P10" s="172">
        <f t="shared" si="6"/>
        <v>5.1265632785031823E-2</v>
      </c>
      <c r="Q10" s="171">
        <v>0</v>
      </c>
      <c r="R10" s="172">
        <f t="shared" si="7"/>
        <v>0</v>
      </c>
      <c r="S10" s="171">
        <f t="shared" si="8"/>
        <v>253053.06</v>
      </c>
      <c r="T10" s="172">
        <f t="shared" ref="T10" si="27">S10/F10</f>
        <v>5.1265632785031823E-2</v>
      </c>
      <c r="U10" s="171">
        <v>48281.67</v>
      </c>
      <c r="V10" s="172">
        <f t="shared" ref="V10" si="28">U10/F10</f>
        <v>9.7813097556223479E-3</v>
      </c>
      <c r="W10" s="171">
        <v>216372.37</v>
      </c>
      <c r="X10" s="172">
        <f t="shared" si="11"/>
        <v>4.3834547842444727E-2</v>
      </c>
      <c r="Y10" s="171">
        <v>296368.40000000002</v>
      </c>
      <c r="Z10" s="172">
        <f t="shared" si="12"/>
        <v>6.004082133402152E-2</v>
      </c>
      <c r="AA10" s="171">
        <v>405960.25999999995</v>
      </c>
      <c r="AB10" s="172">
        <f t="shared" si="13"/>
        <v>8.224286880575972E-2</v>
      </c>
      <c r="AC10" s="171">
        <f t="shared" si="14"/>
        <v>702328.65999999992</v>
      </c>
      <c r="AD10" s="172">
        <f t="shared" si="15"/>
        <v>0.14228369013978123</v>
      </c>
      <c r="AE10" s="171">
        <v>966163.91999999993</v>
      </c>
      <c r="AF10" s="172">
        <f t="shared" si="16"/>
        <v>0.19573367234866421</v>
      </c>
      <c r="AG10" s="171">
        <v>0</v>
      </c>
      <c r="AH10" s="172">
        <f t="shared" si="17"/>
        <v>0</v>
      </c>
      <c r="AI10" s="171">
        <v>1001971.85</v>
      </c>
      <c r="AJ10" s="172">
        <f t="shared" si="18"/>
        <v>0.20298794617634336</v>
      </c>
      <c r="AK10" s="171">
        <v>288937.63</v>
      </c>
      <c r="AL10" s="172">
        <f t="shared" si="19"/>
        <v>5.8535432993212552E-2</v>
      </c>
      <c r="AN10" s="72"/>
    </row>
    <row r="11" spans="1:40" s="73" customFormat="1" ht="14.25" hidden="1" customHeight="1">
      <c r="B11" s="610"/>
      <c r="C11" s="620" t="s">
        <v>123</v>
      </c>
      <c r="D11" s="170">
        <v>46235</v>
      </c>
      <c r="E11" s="170" t="s">
        <v>124</v>
      </c>
      <c r="F11" s="319">
        <f t="shared" si="0"/>
        <v>5278918.5600000005</v>
      </c>
      <c r="G11" s="614"/>
      <c r="H11" s="615">
        <f>SUM(F11:F41)</f>
        <v>175321621.16999999</v>
      </c>
      <c r="I11" s="171">
        <v>603913.17000000004</v>
      </c>
      <c r="J11" s="172">
        <f t="shared" si="2"/>
        <v>0.1144009257077836</v>
      </c>
      <c r="K11" s="171">
        <v>950774.94000000006</v>
      </c>
      <c r="L11" s="172">
        <f t="shared" si="3"/>
        <v>0.18010790073639626</v>
      </c>
      <c r="M11" s="171">
        <f t="shared" si="4"/>
        <v>1554688.11</v>
      </c>
      <c r="N11" s="172">
        <f t="shared" ref="N11" si="29">M11/$F11</f>
        <v>0.29450882644417986</v>
      </c>
      <c r="O11" s="171">
        <v>244351.8</v>
      </c>
      <c r="P11" s="172">
        <f t="shared" si="6"/>
        <v>4.6288230671245656E-2</v>
      </c>
      <c r="Q11" s="171">
        <v>0</v>
      </c>
      <c r="R11" s="172">
        <f t="shared" si="7"/>
        <v>0</v>
      </c>
      <c r="S11" s="171">
        <f t="shared" si="8"/>
        <v>244351.8</v>
      </c>
      <c r="T11" s="172">
        <f t="shared" ref="T11" si="30">S11/$F11</f>
        <v>4.6288230671245656E-2</v>
      </c>
      <c r="U11" s="171">
        <v>49630.32</v>
      </c>
      <c r="V11" s="172">
        <f t="shared" ref="V11" si="31">U11/$F11</f>
        <v>9.4016074383235036E-3</v>
      </c>
      <c r="W11" s="171">
        <v>239798.25</v>
      </c>
      <c r="X11" s="172">
        <f t="shared" si="11"/>
        <v>4.5425639224106536E-2</v>
      </c>
      <c r="Y11" s="171">
        <v>320707.3</v>
      </c>
      <c r="Z11" s="172">
        <f t="shared" si="12"/>
        <v>6.0752462148232107E-2</v>
      </c>
      <c r="AA11" s="171">
        <v>528342.76</v>
      </c>
      <c r="AB11" s="172">
        <f t="shared" si="13"/>
        <v>0.10008541597959411</v>
      </c>
      <c r="AC11" s="171">
        <f t="shared" si="14"/>
        <v>849050.06</v>
      </c>
      <c r="AD11" s="172">
        <f t="shared" si="15"/>
        <v>0.16083787812782624</v>
      </c>
      <c r="AE11" s="171">
        <v>1036536.8799999999</v>
      </c>
      <c r="AF11" s="172">
        <f t="shared" si="16"/>
        <v>0.19635401990365234</v>
      </c>
      <c r="AG11" s="171">
        <v>0</v>
      </c>
      <c r="AH11" s="172">
        <f t="shared" si="17"/>
        <v>0</v>
      </c>
      <c r="AI11" s="171">
        <v>1014723.1600000001</v>
      </c>
      <c r="AJ11" s="172">
        <f t="shared" si="18"/>
        <v>0.19222178718362345</v>
      </c>
      <c r="AK11" s="171">
        <v>290139.98</v>
      </c>
      <c r="AL11" s="172">
        <f t="shared" si="19"/>
        <v>5.4962011007042309E-2</v>
      </c>
      <c r="AN11" s="72"/>
    </row>
    <row r="12" spans="1:40" s="73" customFormat="1" ht="14.25" hidden="1" customHeight="1">
      <c r="B12" s="610"/>
      <c r="C12" s="618"/>
      <c r="D12" s="170">
        <v>46236</v>
      </c>
      <c r="E12" s="170" t="s">
        <v>116</v>
      </c>
      <c r="F12" s="319">
        <f t="shared" si="0"/>
        <v>6878371.4600000009</v>
      </c>
      <c r="G12" s="614"/>
      <c r="H12" s="616"/>
      <c r="I12" s="171">
        <v>877498.45000000007</v>
      </c>
      <c r="J12" s="172">
        <f t="shared" si="2"/>
        <v>0.12757357684198115</v>
      </c>
      <c r="K12" s="171">
        <v>1090163.8799999999</v>
      </c>
      <c r="L12" s="172">
        <f t="shared" si="3"/>
        <v>0.15849156829340527</v>
      </c>
      <c r="M12" s="171">
        <f t="shared" si="4"/>
        <v>1967662.33</v>
      </c>
      <c r="N12" s="172">
        <f t="shared" ref="N12" si="32">M12/F12</f>
        <v>0.28606514513538644</v>
      </c>
      <c r="O12" s="171">
        <v>327772.14</v>
      </c>
      <c r="P12" s="172">
        <f t="shared" si="6"/>
        <v>4.765257908882984E-2</v>
      </c>
      <c r="Q12" s="171">
        <v>0</v>
      </c>
      <c r="R12" s="172">
        <f t="shared" si="7"/>
        <v>0</v>
      </c>
      <c r="S12" s="171">
        <f t="shared" si="8"/>
        <v>327772.14</v>
      </c>
      <c r="T12" s="172">
        <f t="shared" ref="T12" si="33">S12/F12</f>
        <v>4.765257908882984E-2</v>
      </c>
      <c r="U12" s="171">
        <v>81368.55</v>
      </c>
      <c r="V12" s="172">
        <f t="shared" ref="V12" si="34">U12/F12</f>
        <v>1.1829624275627591E-2</v>
      </c>
      <c r="W12" s="171">
        <v>267861.06</v>
      </c>
      <c r="X12" s="172">
        <f t="shared" si="11"/>
        <v>3.8942511546185082E-2</v>
      </c>
      <c r="Y12" s="171">
        <v>391389.14</v>
      </c>
      <c r="Z12" s="172">
        <f t="shared" si="12"/>
        <v>5.6901425326628112E-2</v>
      </c>
      <c r="AA12" s="171">
        <v>621079.82999999996</v>
      </c>
      <c r="AB12" s="172">
        <f t="shared" si="13"/>
        <v>9.0294604414981661E-2</v>
      </c>
      <c r="AC12" s="171">
        <f t="shared" si="14"/>
        <v>1012468.97</v>
      </c>
      <c r="AD12" s="172">
        <f t="shared" si="15"/>
        <v>0.14719602974160978</v>
      </c>
      <c r="AE12" s="171">
        <v>1726381.57</v>
      </c>
      <c r="AF12" s="172">
        <f t="shared" si="16"/>
        <v>0.25098696399859738</v>
      </c>
      <c r="AG12" s="171">
        <v>0</v>
      </c>
      <c r="AH12" s="172">
        <f t="shared" si="17"/>
        <v>0</v>
      </c>
      <c r="AI12" s="171">
        <v>1134622.1099999999</v>
      </c>
      <c r="AJ12" s="172">
        <f t="shared" si="18"/>
        <v>0.16495505027581045</v>
      </c>
      <c r="AK12" s="171">
        <v>360234.73000000004</v>
      </c>
      <c r="AL12" s="172">
        <f t="shared" si="19"/>
        <v>5.2372095937953313E-2</v>
      </c>
      <c r="AN12" s="72"/>
    </row>
    <row r="13" spans="1:40" s="73" customFormat="1" ht="14.25" hidden="1" customHeight="1">
      <c r="B13" s="611"/>
      <c r="C13" s="618"/>
      <c r="D13" s="170">
        <v>46237</v>
      </c>
      <c r="E13" s="170" t="s">
        <v>125</v>
      </c>
      <c r="F13" s="319">
        <f t="shared" si="0"/>
        <v>6725813.8300000001</v>
      </c>
      <c r="G13" s="614"/>
      <c r="H13" s="616"/>
      <c r="I13" s="171">
        <v>864009.9600000002</v>
      </c>
      <c r="J13" s="172">
        <f t="shared" si="2"/>
        <v>0.12846177159203354</v>
      </c>
      <c r="K13" s="171">
        <v>1075351.23</v>
      </c>
      <c r="L13" s="172">
        <f t="shared" si="3"/>
        <v>0.15988418014240516</v>
      </c>
      <c r="M13" s="171">
        <f t="shared" si="4"/>
        <v>1939361.1900000002</v>
      </c>
      <c r="N13" s="172">
        <f t="shared" ref="N13:N14" si="35">M13/$F13</f>
        <v>0.28834595173443867</v>
      </c>
      <c r="O13" s="171">
        <v>315262.73</v>
      </c>
      <c r="P13" s="172">
        <f t="shared" si="6"/>
        <v>4.6873543926207663E-2</v>
      </c>
      <c r="Q13" s="171">
        <v>0</v>
      </c>
      <c r="R13" s="172">
        <f t="shared" si="7"/>
        <v>0</v>
      </c>
      <c r="S13" s="171">
        <f t="shared" si="8"/>
        <v>315262.73</v>
      </c>
      <c r="T13" s="172">
        <f t="shared" ref="T13:T14" si="36">S13/$F13</f>
        <v>4.6873543926207663E-2</v>
      </c>
      <c r="U13" s="171">
        <v>70998.929999999993</v>
      </c>
      <c r="V13" s="172">
        <f t="shared" ref="V13:V14" si="37">U13/$F13</f>
        <v>1.0556184246925549E-2</v>
      </c>
      <c r="W13" s="171">
        <v>303013.85000000003</v>
      </c>
      <c r="X13" s="172">
        <f t="shared" si="11"/>
        <v>4.505236952120633E-2</v>
      </c>
      <c r="Y13" s="171">
        <v>401346.24</v>
      </c>
      <c r="Z13" s="172">
        <f t="shared" si="12"/>
        <v>5.9672516983717935E-2</v>
      </c>
      <c r="AA13" s="171">
        <v>561753.03</v>
      </c>
      <c r="AB13" s="172">
        <f t="shared" si="13"/>
        <v>8.352194161163691E-2</v>
      </c>
      <c r="AC13" s="171">
        <f t="shared" si="14"/>
        <v>963099.27</v>
      </c>
      <c r="AD13" s="172">
        <f t="shared" si="15"/>
        <v>0.14319445859535485</v>
      </c>
      <c r="AE13" s="171">
        <v>1604276.7799999998</v>
      </c>
      <c r="AF13" s="172">
        <f t="shared" si="16"/>
        <v>0.23852530274392084</v>
      </c>
      <c r="AG13" s="171">
        <v>0</v>
      </c>
      <c r="AH13" s="172">
        <f t="shared" si="17"/>
        <v>0</v>
      </c>
      <c r="AI13" s="171">
        <v>1129650.8400000001</v>
      </c>
      <c r="AJ13" s="172">
        <f t="shared" si="18"/>
        <v>0.16795749459511877</v>
      </c>
      <c r="AK13" s="171">
        <v>400150.24</v>
      </c>
      <c r="AL13" s="172">
        <f t="shared" si="19"/>
        <v>5.9494694636827314E-2</v>
      </c>
      <c r="AN13" s="72"/>
    </row>
    <row r="14" spans="1:40" s="73" customFormat="1" ht="14.25" hidden="1" customHeight="1">
      <c r="B14" s="609">
        <f>B7+7</f>
        <v>46246</v>
      </c>
      <c r="C14" s="618"/>
      <c r="D14" s="170">
        <v>46238</v>
      </c>
      <c r="E14" s="170" t="s">
        <v>119</v>
      </c>
      <c r="F14" s="319">
        <f t="shared" si="0"/>
        <v>6631265.1100000003</v>
      </c>
      <c r="G14" s="614">
        <f t="shared" ref="G14" si="38">SUM(F14:F20)</f>
        <v>41863930.679999992</v>
      </c>
      <c r="H14" s="616"/>
      <c r="I14" s="171">
        <v>857079.16999999981</v>
      </c>
      <c r="J14" s="172">
        <f t="shared" si="2"/>
        <v>0.12924821369417391</v>
      </c>
      <c r="K14" s="171">
        <v>1068334.81</v>
      </c>
      <c r="L14" s="172">
        <f t="shared" si="3"/>
        <v>0.16110573054739474</v>
      </c>
      <c r="M14" s="171">
        <f t="shared" si="4"/>
        <v>1925413.98</v>
      </c>
      <c r="N14" s="172">
        <f t="shared" si="35"/>
        <v>0.29035394424156868</v>
      </c>
      <c r="O14" s="171">
        <v>313871.57</v>
      </c>
      <c r="P14" s="172">
        <f t="shared" si="6"/>
        <v>4.7332079896289951E-2</v>
      </c>
      <c r="Q14" s="171">
        <v>0</v>
      </c>
      <c r="R14" s="172">
        <f t="shared" si="7"/>
        <v>0</v>
      </c>
      <c r="S14" s="171">
        <f t="shared" si="8"/>
        <v>313871.57</v>
      </c>
      <c r="T14" s="172">
        <f t="shared" si="36"/>
        <v>4.7332079896289951E-2</v>
      </c>
      <c r="U14" s="171">
        <v>74355.569999999992</v>
      </c>
      <c r="V14" s="172">
        <f t="shared" si="37"/>
        <v>1.1212878503058368E-2</v>
      </c>
      <c r="W14" s="171">
        <v>257387.76</v>
      </c>
      <c r="X14" s="172">
        <f t="shared" si="11"/>
        <v>3.8814276873331034E-2</v>
      </c>
      <c r="Y14" s="171">
        <v>362160.97000000003</v>
      </c>
      <c r="Z14" s="172">
        <f t="shared" si="12"/>
        <v>5.461415943902747E-2</v>
      </c>
      <c r="AA14" s="171">
        <v>560720.56000000006</v>
      </c>
      <c r="AB14" s="172">
        <f t="shared" si="13"/>
        <v>8.455710195546684E-2</v>
      </c>
      <c r="AC14" s="171">
        <f t="shared" si="14"/>
        <v>922881.53</v>
      </c>
      <c r="AD14" s="172">
        <f t="shared" si="15"/>
        <v>0.13917126139449429</v>
      </c>
      <c r="AE14" s="171">
        <v>1541947.74</v>
      </c>
      <c r="AF14" s="172">
        <f t="shared" si="16"/>
        <v>0.23252693331091989</v>
      </c>
      <c r="AG14" s="171">
        <v>0</v>
      </c>
      <c r="AH14" s="172">
        <f t="shared" si="17"/>
        <v>0</v>
      </c>
      <c r="AI14" s="171">
        <v>1242921.71</v>
      </c>
      <c r="AJ14" s="172">
        <f t="shared" si="18"/>
        <v>0.18743357253590481</v>
      </c>
      <c r="AK14" s="171">
        <v>352485.25</v>
      </c>
      <c r="AL14" s="172">
        <f t="shared" si="19"/>
        <v>5.315505324443287E-2</v>
      </c>
      <c r="AN14" s="72"/>
    </row>
    <row r="15" spans="1:40" s="73" customFormat="1" ht="14.25" hidden="1" customHeight="1">
      <c r="B15" s="610"/>
      <c r="C15" s="618"/>
      <c r="D15" s="170">
        <v>46239</v>
      </c>
      <c r="E15" s="170" t="s">
        <v>120</v>
      </c>
      <c r="F15" s="319">
        <f t="shared" si="0"/>
        <v>6359055.9800000004</v>
      </c>
      <c r="G15" s="614"/>
      <c r="H15" s="616"/>
      <c r="I15" s="171">
        <v>842955.62</v>
      </c>
      <c r="J15" s="172">
        <f t="shared" si="2"/>
        <v>0.13255986779345821</v>
      </c>
      <c r="K15" s="171">
        <v>1022362.32</v>
      </c>
      <c r="L15" s="172">
        <f t="shared" si="3"/>
        <v>0.16077265606961993</v>
      </c>
      <c r="M15" s="171">
        <f t="shared" si="4"/>
        <v>1865317.94</v>
      </c>
      <c r="N15" s="172">
        <f t="shared" ref="N15" si="39">M15/F15</f>
        <v>0.29333252386307818</v>
      </c>
      <c r="O15" s="171">
        <v>312054.82</v>
      </c>
      <c r="P15" s="172">
        <f t="shared" si="6"/>
        <v>4.9072507142797629E-2</v>
      </c>
      <c r="Q15" s="171">
        <v>0</v>
      </c>
      <c r="R15" s="172">
        <f t="shared" si="7"/>
        <v>0</v>
      </c>
      <c r="S15" s="171">
        <f t="shared" si="8"/>
        <v>312054.82</v>
      </c>
      <c r="T15" s="172">
        <f t="shared" ref="T15" si="40">S15/F15</f>
        <v>4.9072507142797629E-2</v>
      </c>
      <c r="U15" s="171">
        <v>63146.79</v>
      </c>
      <c r="V15" s="172">
        <f t="shared" ref="V15" si="41">U15/F15</f>
        <v>9.9302145158973731E-3</v>
      </c>
      <c r="W15" s="171">
        <v>255786.58000000002</v>
      </c>
      <c r="X15" s="172">
        <f t="shared" si="11"/>
        <v>4.022398620243E-2</v>
      </c>
      <c r="Y15" s="171">
        <v>329826.56</v>
      </c>
      <c r="Z15" s="172">
        <f t="shared" si="12"/>
        <v>5.186722070655525E-2</v>
      </c>
      <c r="AA15" s="171">
        <v>546079.94000000006</v>
      </c>
      <c r="AB15" s="172">
        <f t="shared" si="13"/>
        <v>8.5874372189439357E-2</v>
      </c>
      <c r="AC15" s="171">
        <f t="shared" si="14"/>
        <v>875906.5</v>
      </c>
      <c r="AD15" s="172">
        <f t="shared" si="15"/>
        <v>0.13774159289599458</v>
      </c>
      <c r="AE15" s="171">
        <v>1436100.6800000002</v>
      </c>
      <c r="AF15" s="172">
        <f t="shared" si="16"/>
        <v>0.22583551466077834</v>
      </c>
      <c r="AG15" s="171">
        <v>0</v>
      </c>
      <c r="AH15" s="172">
        <f t="shared" si="17"/>
        <v>0</v>
      </c>
      <c r="AI15" s="171">
        <v>1204932.28</v>
      </c>
      <c r="AJ15" s="172">
        <f t="shared" si="18"/>
        <v>0.18948288610599712</v>
      </c>
      <c r="AK15" s="171">
        <v>345810.39</v>
      </c>
      <c r="AL15" s="172">
        <f t="shared" si="19"/>
        <v>5.4380774613026761E-2</v>
      </c>
      <c r="AN15" s="72"/>
    </row>
    <row r="16" spans="1:40" s="73" customFormat="1" ht="14.25" hidden="1" customHeight="1">
      <c r="B16" s="610"/>
      <c r="C16" s="618"/>
      <c r="D16" s="170">
        <v>46240</v>
      </c>
      <c r="E16" s="170" t="s">
        <v>121</v>
      </c>
      <c r="F16" s="319">
        <f t="shared" si="0"/>
        <v>5817645.9100000001</v>
      </c>
      <c r="G16" s="614"/>
      <c r="H16" s="616"/>
      <c r="I16" s="171">
        <v>805504.79000000015</v>
      </c>
      <c r="J16" s="172">
        <f t="shared" si="2"/>
        <v>0.13845888912135598</v>
      </c>
      <c r="K16" s="171">
        <v>921519.6</v>
      </c>
      <c r="L16" s="172">
        <f t="shared" si="3"/>
        <v>0.15840077142130501</v>
      </c>
      <c r="M16" s="171">
        <f t="shared" si="4"/>
        <v>1727024.3900000001</v>
      </c>
      <c r="N16" s="172">
        <f t="shared" ref="N16" si="42">M16/$F16</f>
        <v>0.296859660542661</v>
      </c>
      <c r="O16" s="171">
        <v>294598.61</v>
      </c>
      <c r="P16" s="172">
        <f t="shared" si="6"/>
        <v>5.0638800394092735E-2</v>
      </c>
      <c r="Q16" s="171">
        <v>0</v>
      </c>
      <c r="R16" s="172">
        <f t="shared" si="7"/>
        <v>0</v>
      </c>
      <c r="S16" s="171">
        <f t="shared" si="8"/>
        <v>294598.61</v>
      </c>
      <c r="T16" s="172">
        <f t="shared" ref="T16" si="43">S16/$F16</f>
        <v>5.0638800394092735E-2</v>
      </c>
      <c r="U16" s="171">
        <v>64974.96</v>
      </c>
      <c r="V16" s="172">
        <f t="shared" ref="V16" si="44">U16/$F16</f>
        <v>1.1168599981018783E-2</v>
      </c>
      <c r="W16" s="171">
        <v>249989.26</v>
      </c>
      <c r="X16" s="172">
        <f t="shared" si="11"/>
        <v>4.2970862075034748E-2</v>
      </c>
      <c r="Y16" s="171">
        <v>309485.95</v>
      </c>
      <c r="Z16" s="172">
        <f t="shared" si="12"/>
        <v>5.3197797663832036E-2</v>
      </c>
      <c r="AA16" s="171">
        <v>415950.19</v>
      </c>
      <c r="AB16" s="172">
        <f t="shared" si="13"/>
        <v>7.1498024533431945E-2</v>
      </c>
      <c r="AC16" s="171">
        <f t="shared" si="14"/>
        <v>725436.14</v>
      </c>
      <c r="AD16" s="172">
        <f t="shared" si="15"/>
        <v>0.12469582219726398</v>
      </c>
      <c r="AE16" s="171">
        <v>1249878.6999999997</v>
      </c>
      <c r="AF16" s="172">
        <f t="shared" si="16"/>
        <v>0.21484269055488112</v>
      </c>
      <c r="AG16" s="171">
        <v>0</v>
      </c>
      <c r="AH16" s="172">
        <f t="shared" si="17"/>
        <v>0</v>
      </c>
      <c r="AI16" s="171">
        <v>1166850.9500000002</v>
      </c>
      <c r="AJ16" s="172">
        <f t="shared" si="18"/>
        <v>0.20057098146765692</v>
      </c>
      <c r="AK16" s="171">
        <v>338892.9</v>
      </c>
      <c r="AL16" s="172">
        <f t="shared" si="19"/>
        <v>5.8252582787390719E-2</v>
      </c>
      <c r="AN16" s="72"/>
    </row>
    <row r="17" spans="2:40" s="73" customFormat="1" ht="14.25" hidden="1" customHeight="1">
      <c r="B17" s="610"/>
      <c r="C17" s="618"/>
      <c r="D17" s="170">
        <v>46241</v>
      </c>
      <c r="E17" s="170" t="s">
        <v>122</v>
      </c>
      <c r="F17" s="319">
        <f t="shared" si="0"/>
        <v>4858510.08</v>
      </c>
      <c r="G17" s="614"/>
      <c r="H17" s="616"/>
      <c r="I17" s="171">
        <v>608534.94999999995</v>
      </c>
      <c r="J17" s="172">
        <f t="shared" si="2"/>
        <v>0.12525135071861371</v>
      </c>
      <c r="K17" s="171">
        <v>819416.28</v>
      </c>
      <c r="L17" s="172">
        <f t="shared" si="3"/>
        <v>0.16865587731784637</v>
      </c>
      <c r="M17" s="171">
        <f t="shared" si="4"/>
        <v>1427951.23</v>
      </c>
      <c r="N17" s="172">
        <f t="shared" ref="N17" si="45">M17/F17</f>
        <v>0.29390722803646008</v>
      </c>
      <c r="O17" s="171">
        <v>225136.19</v>
      </c>
      <c r="P17" s="172">
        <f t="shared" si="6"/>
        <v>4.6338524834345925E-2</v>
      </c>
      <c r="Q17" s="171">
        <v>0</v>
      </c>
      <c r="R17" s="172">
        <f t="shared" si="7"/>
        <v>0</v>
      </c>
      <c r="S17" s="171">
        <f t="shared" si="8"/>
        <v>225136.19</v>
      </c>
      <c r="T17" s="172">
        <f t="shared" ref="T17" si="46">S17/F17</f>
        <v>4.6338524834345925E-2</v>
      </c>
      <c r="U17" s="171">
        <v>44205.75</v>
      </c>
      <c r="V17" s="172">
        <f t="shared" ref="V17" si="47">U17/F17</f>
        <v>9.0986226789921566E-3</v>
      </c>
      <c r="W17" s="171">
        <v>183306.33000000002</v>
      </c>
      <c r="X17" s="172">
        <f t="shared" si="11"/>
        <v>3.7728918327159265E-2</v>
      </c>
      <c r="Y17" s="171">
        <v>272663.26</v>
      </c>
      <c r="Z17" s="172">
        <f t="shared" si="12"/>
        <v>5.61207562627924E-2</v>
      </c>
      <c r="AA17" s="171">
        <v>413793.20000000007</v>
      </c>
      <c r="AB17" s="172">
        <f t="shared" si="13"/>
        <v>8.5168743747877557E-2</v>
      </c>
      <c r="AC17" s="171">
        <f t="shared" si="14"/>
        <v>686456.46000000008</v>
      </c>
      <c r="AD17" s="172">
        <f t="shared" si="15"/>
        <v>0.14128950001066995</v>
      </c>
      <c r="AE17" s="171">
        <v>937494.25</v>
      </c>
      <c r="AF17" s="172">
        <f t="shared" si="16"/>
        <v>0.19295920653930185</v>
      </c>
      <c r="AG17" s="171">
        <v>0</v>
      </c>
      <c r="AH17" s="172">
        <f t="shared" si="17"/>
        <v>0</v>
      </c>
      <c r="AI17" s="171">
        <v>1071266.26</v>
      </c>
      <c r="AJ17" s="172">
        <f t="shared" si="18"/>
        <v>0.22049275237893506</v>
      </c>
      <c r="AK17" s="171">
        <v>282693.61</v>
      </c>
      <c r="AL17" s="172">
        <f t="shared" si="19"/>
        <v>5.8185247194135696E-2</v>
      </c>
      <c r="AN17" s="72"/>
    </row>
    <row r="18" spans="2:40" s="73" customFormat="1" ht="14.25" hidden="1" customHeight="1">
      <c r="B18" s="610"/>
      <c r="C18" s="618"/>
      <c r="D18" s="170">
        <v>46242</v>
      </c>
      <c r="E18" s="170" t="s">
        <v>124</v>
      </c>
      <c r="F18" s="319">
        <f t="shared" si="0"/>
        <v>5207709.95</v>
      </c>
      <c r="G18" s="614"/>
      <c r="H18" s="616"/>
      <c r="I18" s="171">
        <v>574346.98999999987</v>
      </c>
      <c r="J18" s="172">
        <f t="shared" si="2"/>
        <v>0.11028782238534615</v>
      </c>
      <c r="K18" s="171">
        <v>958866.58</v>
      </c>
      <c r="L18" s="172">
        <f t="shared" si="3"/>
        <v>0.18412442113831626</v>
      </c>
      <c r="M18" s="171">
        <f t="shared" si="4"/>
        <v>1533213.5699999998</v>
      </c>
      <c r="N18" s="172">
        <f t="shared" ref="N18" si="48">M18/$F18</f>
        <v>0.29441224352366241</v>
      </c>
      <c r="O18" s="171">
        <v>213936.77000000002</v>
      </c>
      <c r="P18" s="172">
        <f t="shared" si="6"/>
        <v>4.1080776781740699E-2</v>
      </c>
      <c r="Q18" s="171">
        <v>0</v>
      </c>
      <c r="R18" s="172">
        <f t="shared" si="7"/>
        <v>0</v>
      </c>
      <c r="S18" s="171">
        <f t="shared" si="8"/>
        <v>213936.77000000002</v>
      </c>
      <c r="T18" s="172">
        <f t="shared" ref="T18" si="49">S18/$F18</f>
        <v>4.1080776781740699E-2</v>
      </c>
      <c r="U18" s="171">
        <v>47652.299999999996</v>
      </c>
      <c r="V18" s="172">
        <f t="shared" ref="V18" si="50">U18/$F18</f>
        <v>9.1503368001514748E-3</v>
      </c>
      <c r="W18" s="171">
        <v>193061.75999999998</v>
      </c>
      <c r="X18" s="172">
        <f t="shared" si="11"/>
        <v>3.7072295088170178E-2</v>
      </c>
      <c r="Y18" s="171">
        <v>290648.93</v>
      </c>
      <c r="Z18" s="172">
        <f t="shared" si="12"/>
        <v>5.5811274589131057E-2</v>
      </c>
      <c r="AA18" s="171">
        <v>526138.22</v>
      </c>
      <c r="AB18" s="172">
        <f t="shared" si="13"/>
        <v>0.10103063055575896</v>
      </c>
      <c r="AC18" s="171">
        <f t="shared" si="14"/>
        <v>816787.14999999991</v>
      </c>
      <c r="AD18" s="172">
        <f t="shared" si="15"/>
        <v>0.15684190514488999</v>
      </c>
      <c r="AE18" s="171">
        <v>1057265.08</v>
      </c>
      <c r="AF18" s="172">
        <f t="shared" si="16"/>
        <v>0.20301919464619952</v>
      </c>
      <c r="AG18" s="171">
        <v>0</v>
      </c>
      <c r="AH18" s="172">
        <f t="shared" si="17"/>
        <v>0</v>
      </c>
      <c r="AI18" s="171">
        <v>1064846.29</v>
      </c>
      <c r="AJ18" s="172">
        <f t="shared" si="18"/>
        <v>0.20447496120631681</v>
      </c>
      <c r="AK18" s="171">
        <v>280947.03000000003</v>
      </c>
      <c r="AL18" s="172">
        <f t="shared" si="19"/>
        <v>5.3948286808868845E-2</v>
      </c>
      <c r="AN18" s="72"/>
    </row>
    <row r="19" spans="2:40" s="73" customFormat="1" ht="14.25" hidden="1" customHeight="1">
      <c r="B19" s="610"/>
      <c r="C19" s="618"/>
      <c r="D19" s="170">
        <v>46243</v>
      </c>
      <c r="E19" s="170" t="s">
        <v>116</v>
      </c>
      <c r="F19" s="319">
        <f t="shared" si="0"/>
        <v>6655646.0600000005</v>
      </c>
      <c r="G19" s="614"/>
      <c r="H19" s="616"/>
      <c r="I19" s="171">
        <v>834309.99</v>
      </c>
      <c r="J19" s="172">
        <f t="shared" si="2"/>
        <v>0.12535371960569669</v>
      </c>
      <c r="K19" s="171">
        <v>1100928.43</v>
      </c>
      <c r="L19" s="172">
        <f t="shared" si="3"/>
        <v>0.16541270675682532</v>
      </c>
      <c r="M19" s="171">
        <f t="shared" si="4"/>
        <v>1935238.42</v>
      </c>
      <c r="N19" s="172">
        <f t="shared" ref="N19" si="51">M19/F19</f>
        <v>0.29076642636252203</v>
      </c>
      <c r="O19" s="171">
        <v>299433.43</v>
      </c>
      <c r="P19" s="172">
        <f t="shared" si="6"/>
        <v>4.4989386049173408E-2</v>
      </c>
      <c r="Q19" s="171">
        <v>0</v>
      </c>
      <c r="R19" s="172">
        <f t="shared" si="7"/>
        <v>0</v>
      </c>
      <c r="S19" s="171">
        <f t="shared" si="8"/>
        <v>299433.43</v>
      </c>
      <c r="T19" s="172">
        <f t="shared" ref="T19" si="52">S19/F19</f>
        <v>4.4989386049173408E-2</v>
      </c>
      <c r="U19" s="171">
        <v>81218.7</v>
      </c>
      <c r="V19" s="172">
        <f t="shared" ref="V19" si="53">U19/F19</f>
        <v>1.2202977632497482E-2</v>
      </c>
      <c r="W19" s="171">
        <v>253716.25000000003</v>
      </c>
      <c r="X19" s="172">
        <f t="shared" si="11"/>
        <v>3.8120454079554826E-2</v>
      </c>
      <c r="Y19" s="171">
        <v>364346.75</v>
      </c>
      <c r="Z19" s="172">
        <f t="shared" si="12"/>
        <v>5.4742506845383537E-2</v>
      </c>
      <c r="AA19" s="171">
        <v>614255.53999999992</v>
      </c>
      <c r="AB19" s="172">
        <f t="shared" si="13"/>
        <v>9.2290896249972748E-2</v>
      </c>
      <c r="AC19" s="171">
        <f t="shared" si="14"/>
        <v>978602.28999999992</v>
      </c>
      <c r="AD19" s="172">
        <f t="shared" si="15"/>
        <v>0.14703340309535629</v>
      </c>
      <c r="AE19" s="171">
        <v>1623092.2300000002</v>
      </c>
      <c r="AF19" s="172">
        <f t="shared" si="16"/>
        <v>0.2438669687913062</v>
      </c>
      <c r="AG19" s="171">
        <v>0</v>
      </c>
      <c r="AH19" s="172">
        <f t="shared" si="17"/>
        <v>0</v>
      </c>
      <c r="AI19" s="171">
        <v>1235753.1199999999</v>
      </c>
      <c r="AJ19" s="172">
        <f t="shared" si="18"/>
        <v>0.18566989723609187</v>
      </c>
      <c r="AK19" s="171">
        <v>248591.62</v>
      </c>
      <c r="AL19" s="172">
        <f t="shared" si="19"/>
        <v>3.7350486753497822E-2</v>
      </c>
      <c r="AN19" s="72"/>
    </row>
    <row r="20" spans="2:40" s="73" customFormat="1" ht="14.25" hidden="1" customHeight="1">
      <c r="B20" s="611"/>
      <c r="C20" s="618"/>
      <c r="D20" s="170">
        <v>46244</v>
      </c>
      <c r="E20" s="170" t="s">
        <v>125</v>
      </c>
      <c r="F20" s="319">
        <f t="shared" si="0"/>
        <v>6334097.5899999999</v>
      </c>
      <c r="G20" s="614"/>
      <c r="H20" s="616"/>
      <c r="I20" s="171">
        <v>801920.08999999985</v>
      </c>
      <c r="J20" s="172">
        <f t="shared" si="2"/>
        <v>0.12660368404585945</v>
      </c>
      <c r="K20" s="171">
        <v>1078602.6800000002</v>
      </c>
      <c r="L20" s="172">
        <f t="shared" si="3"/>
        <v>0.1702851376497343</v>
      </c>
      <c r="M20" s="171">
        <f t="shared" si="4"/>
        <v>1880522.77</v>
      </c>
      <c r="N20" s="172">
        <f t="shared" ref="N20:N21" si="54">M20/$F20</f>
        <v>0.29688882169559372</v>
      </c>
      <c r="O20" s="171">
        <v>312805.92000000004</v>
      </c>
      <c r="P20" s="172">
        <f t="shared" si="6"/>
        <v>4.9384449095613007E-2</v>
      </c>
      <c r="Q20" s="171">
        <v>0</v>
      </c>
      <c r="R20" s="172">
        <f t="shared" si="7"/>
        <v>0</v>
      </c>
      <c r="S20" s="171">
        <f t="shared" si="8"/>
        <v>312805.92000000004</v>
      </c>
      <c r="T20" s="172">
        <f t="shared" ref="T20:T21" si="55">S20/$F20</f>
        <v>4.9384449095613007E-2</v>
      </c>
      <c r="U20" s="171">
        <v>71418.509999999995</v>
      </c>
      <c r="V20" s="172">
        <f t="shared" ref="V20:V21" si="56">U20/$F20</f>
        <v>1.1275246234404797E-2</v>
      </c>
      <c r="W20" s="171">
        <v>281829.55000000005</v>
      </c>
      <c r="X20" s="172">
        <f t="shared" si="11"/>
        <v>4.4494033442891753E-2</v>
      </c>
      <c r="Y20" s="171">
        <v>375996.35</v>
      </c>
      <c r="Z20" s="172">
        <f t="shared" si="12"/>
        <v>5.9360681558428594E-2</v>
      </c>
      <c r="AA20" s="171">
        <v>573928.04</v>
      </c>
      <c r="AB20" s="172">
        <f t="shared" si="13"/>
        <v>9.0609282829189883E-2</v>
      </c>
      <c r="AC20" s="171">
        <f t="shared" si="14"/>
        <v>949924.39</v>
      </c>
      <c r="AD20" s="172">
        <f t="shared" si="15"/>
        <v>0.14996996438761848</v>
      </c>
      <c r="AE20" s="171">
        <v>1559266.41</v>
      </c>
      <c r="AF20" s="172">
        <f t="shared" si="16"/>
        <v>0.24617025359093023</v>
      </c>
      <c r="AG20" s="171">
        <v>0</v>
      </c>
      <c r="AH20" s="172">
        <f t="shared" si="17"/>
        <v>0</v>
      </c>
      <c r="AI20" s="171">
        <v>989183.96</v>
      </c>
      <c r="AJ20" s="172">
        <f t="shared" si="18"/>
        <v>0.156168095919722</v>
      </c>
      <c r="AK20" s="171">
        <v>289146.07999999996</v>
      </c>
      <c r="AL20" s="172">
        <f t="shared" si="19"/>
        <v>4.5649135633226007E-2</v>
      </c>
      <c r="AN20" s="72"/>
    </row>
    <row r="21" spans="2:40" s="73" customFormat="1" ht="14.25" hidden="1" customHeight="1">
      <c r="B21" s="609">
        <f>B14+7</f>
        <v>46253</v>
      </c>
      <c r="C21" s="618"/>
      <c r="D21" s="170">
        <v>46245</v>
      </c>
      <c r="E21" s="170" t="s">
        <v>119</v>
      </c>
      <c r="F21" s="319">
        <f t="shared" si="0"/>
        <v>5779689.7399999984</v>
      </c>
      <c r="G21" s="614">
        <f t="shared" ref="G21" si="57">SUM(F21:F27)</f>
        <v>38288004.869999997</v>
      </c>
      <c r="H21" s="616"/>
      <c r="I21" s="171">
        <v>769716.01</v>
      </c>
      <c r="J21" s="172">
        <f t="shared" si="2"/>
        <v>0.13317600851010392</v>
      </c>
      <c r="K21" s="171">
        <v>1030354.47</v>
      </c>
      <c r="L21" s="172">
        <f t="shared" si="3"/>
        <v>0.17827158832923795</v>
      </c>
      <c r="M21" s="171">
        <f t="shared" si="4"/>
        <v>1800070.48</v>
      </c>
      <c r="N21" s="172">
        <f t="shared" si="54"/>
        <v>0.31144759683934187</v>
      </c>
      <c r="O21" s="171">
        <v>278005.31</v>
      </c>
      <c r="P21" s="172">
        <f t="shared" si="6"/>
        <v>4.8100386440466623E-2</v>
      </c>
      <c r="Q21" s="171">
        <v>0</v>
      </c>
      <c r="R21" s="172">
        <f t="shared" si="7"/>
        <v>0</v>
      </c>
      <c r="S21" s="171">
        <f t="shared" si="8"/>
        <v>278005.31</v>
      </c>
      <c r="T21" s="172">
        <f t="shared" si="55"/>
        <v>4.8100386440466623E-2</v>
      </c>
      <c r="U21" s="171">
        <v>76273.649999999994</v>
      </c>
      <c r="V21" s="172">
        <f t="shared" si="56"/>
        <v>1.3196841600705026E-2</v>
      </c>
      <c r="W21" s="171">
        <v>238085.11000000002</v>
      </c>
      <c r="X21" s="172">
        <f t="shared" si="11"/>
        <v>4.1193406689681598E-2</v>
      </c>
      <c r="Y21" s="171">
        <v>343228.02</v>
      </c>
      <c r="Z21" s="172">
        <f t="shared" si="12"/>
        <v>5.9385198071203057E-2</v>
      </c>
      <c r="AA21" s="171">
        <v>564492.78</v>
      </c>
      <c r="AB21" s="172">
        <f t="shared" si="13"/>
        <v>9.7668353388118065E-2</v>
      </c>
      <c r="AC21" s="171">
        <f t="shared" si="14"/>
        <v>907720.8</v>
      </c>
      <c r="AD21" s="172">
        <f t="shared" si="15"/>
        <v>0.15705355145932112</v>
      </c>
      <c r="AE21" s="171">
        <v>1468121.85</v>
      </c>
      <c r="AF21" s="172">
        <f t="shared" si="16"/>
        <v>0.25401395508126368</v>
      </c>
      <c r="AG21" s="171">
        <v>0</v>
      </c>
      <c r="AH21" s="172">
        <f t="shared" si="17"/>
        <v>0</v>
      </c>
      <c r="AI21" s="171">
        <v>804901.5199999999</v>
      </c>
      <c r="AJ21" s="172">
        <f t="shared" si="18"/>
        <v>0.13926379376897144</v>
      </c>
      <c r="AK21" s="171">
        <v>206511.02</v>
      </c>
      <c r="AL21" s="172">
        <f t="shared" si="19"/>
        <v>3.5730468120248965E-2</v>
      </c>
      <c r="AN21" s="72"/>
    </row>
    <row r="22" spans="2:40" s="73" customFormat="1" ht="14.25" hidden="1" customHeight="1">
      <c r="B22" s="610"/>
      <c r="C22" s="618"/>
      <c r="D22" s="170">
        <v>46246</v>
      </c>
      <c r="E22" s="170" t="s">
        <v>120</v>
      </c>
      <c r="F22" s="319">
        <f t="shared" si="0"/>
        <v>5663016.0199999996</v>
      </c>
      <c r="G22" s="614"/>
      <c r="H22" s="616"/>
      <c r="I22" s="171">
        <v>758266.73</v>
      </c>
      <c r="J22" s="172">
        <f t="shared" si="2"/>
        <v>0.13389803725118193</v>
      </c>
      <c r="K22" s="171">
        <v>987157.76</v>
      </c>
      <c r="L22" s="172">
        <f t="shared" si="3"/>
        <v>0.17431661088608399</v>
      </c>
      <c r="M22" s="171">
        <f t="shared" si="4"/>
        <v>1745424.49</v>
      </c>
      <c r="N22" s="172">
        <f t="shared" ref="N22" si="58">M22/F22</f>
        <v>0.30821464813726596</v>
      </c>
      <c r="O22" s="171">
        <v>281150.71000000002</v>
      </c>
      <c r="P22" s="172">
        <f t="shared" si="6"/>
        <v>4.9646815231859445E-2</v>
      </c>
      <c r="Q22" s="171">
        <v>0</v>
      </c>
      <c r="R22" s="172">
        <f t="shared" si="7"/>
        <v>0</v>
      </c>
      <c r="S22" s="171">
        <f t="shared" si="8"/>
        <v>281150.71000000002</v>
      </c>
      <c r="T22" s="172">
        <f t="shared" ref="T22" si="59">S22/F22</f>
        <v>4.9646815231859445E-2</v>
      </c>
      <c r="U22" s="171">
        <v>65694.239999999991</v>
      </c>
      <c r="V22" s="172">
        <f t="shared" ref="V22" si="60">U22/F22</f>
        <v>1.1600574635139386E-2</v>
      </c>
      <c r="W22" s="171">
        <v>243905.42</v>
      </c>
      <c r="X22" s="172">
        <f t="shared" si="11"/>
        <v>4.3069879925926827E-2</v>
      </c>
      <c r="Y22" s="171">
        <v>314787.56</v>
      </c>
      <c r="Z22" s="172">
        <f t="shared" si="12"/>
        <v>5.5586556507745855E-2</v>
      </c>
      <c r="AA22" s="171">
        <v>555141.96</v>
      </c>
      <c r="AB22" s="172">
        <f t="shared" si="13"/>
        <v>9.8029381876973742E-2</v>
      </c>
      <c r="AC22" s="171">
        <f t="shared" si="14"/>
        <v>869929.52</v>
      </c>
      <c r="AD22" s="172">
        <f t="shared" si="15"/>
        <v>0.15361593838471962</v>
      </c>
      <c r="AE22" s="171">
        <v>1371919.8900000001</v>
      </c>
      <c r="AF22" s="172">
        <f t="shared" si="16"/>
        <v>0.24225958131758918</v>
      </c>
      <c r="AG22" s="171">
        <v>0</v>
      </c>
      <c r="AH22" s="172">
        <f t="shared" si="17"/>
        <v>0</v>
      </c>
      <c r="AI22" s="171">
        <v>888246.86</v>
      </c>
      <c r="AJ22" s="172">
        <f t="shared" si="18"/>
        <v>0.15685049395286721</v>
      </c>
      <c r="AK22" s="171">
        <v>196744.88999999998</v>
      </c>
      <c r="AL22" s="172">
        <f t="shared" si="19"/>
        <v>3.4742068414632524E-2</v>
      </c>
      <c r="AN22" s="72"/>
    </row>
    <row r="23" spans="2:40" s="73" customFormat="1" ht="14.25" hidden="1" customHeight="1">
      <c r="B23" s="610"/>
      <c r="C23" s="618"/>
      <c r="D23" s="170">
        <v>46247</v>
      </c>
      <c r="E23" s="170" t="s">
        <v>121</v>
      </c>
      <c r="F23" s="319">
        <f t="shared" si="0"/>
        <v>5284211.26</v>
      </c>
      <c r="G23" s="614"/>
      <c r="H23" s="616"/>
      <c r="I23" s="171">
        <v>730872.76999999979</v>
      </c>
      <c r="J23" s="172">
        <f t="shared" si="2"/>
        <v>0.13831255679206131</v>
      </c>
      <c r="K23" s="171">
        <v>888383.44000000006</v>
      </c>
      <c r="L23" s="172">
        <f t="shared" si="3"/>
        <v>0.1681203487689476</v>
      </c>
      <c r="M23" s="171">
        <f t="shared" si="4"/>
        <v>1619256.21</v>
      </c>
      <c r="N23" s="172">
        <f t="shared" ref="N23" si="61">M23/$F23</f>
        <v>0.30643290556100894</v>
      </c>
      <c r="O23" s="171">
        <v>271371.64</v>
      </c>
      <c r="P23" s="172">
        <f t="shared" si="6"/>
        <v>5.1355183706262346E-2</v>
      </c>
      <c r="Q23" s="171">
        <v>0</v>
      </c>
      <c r="R23" s="172">
        <f t="shared" si="7"/>
        <v>0</v>
      </c>
      <c r="S23" s="171">
        <f t="shared" si="8"/>
        <v>271371.64</v>
      </c>
      <c r="T23" s="172">
        <f t="shared" ref="T23" si="62">S23/$F23</f>
        <v>5.1355183706262346E-2</v>
      </c>
      <c r="U23" s="171">
        <v>67102.83</v>
      </c>
      <c r="V23" s="172">
        <f t="shared" ref="V23" si="63">U23/$F23</f>
        <v>1.2698740965931783E-2</v>
      </c>
      <c r="W23" s="171">
        <v>234136.44000000003</v>
      </c>
      <c r="X23" s="172">
        <f t="shared" si="11"/>
        <v>4.4308682692599244E-2</v>
      </c>
      <c r="Y23" s="171">
        <v>298896.26</v>
      </c>
      <c r="Z23" s="172">
        <f t="shared" si="12"/>
        <v>5.6564025413321575E-2</v>
      </c>
      <c r="AA23" s="171">
        <v>411941.73000000004</v>
      </c>
      <c r="AB23" s="172">
        <f t="shared" si="13"/>
        <v>7.795708947488221E-2</v>
      </c>
      <c r="AC23" s="171">
        <f t="shared" si="14"/>
        <v>710837.99</v>
      </c>
      <c r="AD23" s="172">
        <f t="shared" si="15"/>
        <v>0.13452111488820379</v>
      </c>
      <c r="AE23" s="171">
        <v>1285534.43</v>
      </c>
      <c r="AF23" s="172">
        <f t="shared" si="16"/>
        <v>0.24327839421015124</v>
      </c>
      <c r="AG23" s="171">
        <v>0</v>
      </c>
      <c r="AH23" s="172">
        <f t="shared" si="17"/>
        <v>0</v>
      </c>
      <c r="AI23" s="171">
        <v>897256.87999999977</v>
      </c>
      <c r="AJ23" s="172">
        <f t="shared" si="18"/>
        <v>0.16979958518918106</v>
      </c>
      <c r="AK23" s="171">
        <v>198714.83999999997</v>
      </c>
      <c r="AL23" s="172">
        <f t="shared" si="19"/>
        <v>3.7605392786661591E-2</v>
      </c>
      <c r="AN23" s="72"/>
    </row>
    <row r="24" spans="2:40" s="73" customFormat="1" ht="14.25" hidden="1" customHeight="1">
      <c r="B24" s="610"/>
      <c r="C24" s="618"/>
      <c r="D24" s="170">
        <v>46248</v>
      </c>
      <c r="E24" s="170" t="s">
        <v>122</v>
      </c>
      <c r="F24" s="319">
        <f t="shared" si="0"/>
        <v>4470999.01</v>
      </c>
      <c r="G24" s="614"/>
      <c r="H24" s="616"/>
      <c r="I24" s="171">
        <v>552586.48</v>
      </c>
      <c r="J24" s="172">
        <f t="shared" si="2"/>
        <v>0.12359351428261667</v>
      </c>
      <c r="K24" s="171">
        <v>812891.67999999993</v>
      </c>
      <c r="L24" s="172">
        <f t="shared" si="3"/>
        <v>0.18181432788999879</v>
      </c>
      <c r="M24" s="171">
        <f t="shared" si="4"/>
        <v>1365478.16</v>
      </c>
      <c r="N24" s="172">
        <f t="shared" ref="N24" si="64">M24/F24</f>
        <v>0.30540784217261546</v>
      </c>
      <c r="O24" s="171">
        <v>214671.62</v>
      </c>
      <c r="P24" s="172">
        <f t="shared" si="6"/>
        <v>4.8014240110511676E-2</v>
      </c>
      <c r="Q24" s="171">
        <v>0</v>
      </c>
      <c r="R24" s="172">
        <f t="shared" si="7"/>
        <v>0</v>
      </c>
      <c r="S24" s="171">
        <f t="shared" si="8"/>
        <v>214671.62</v>
      </c>
      <c r="T24" s="172">
        <f t="shared" ref="T24" si="65">S24/F24</f>
        <v>4.8014240110511676E-2</v>
      </c>
      <c r="U24" s="171">
        <v>49300.65</v>
      </c>
      <c r="V24" s="172">
        <f t="shared" ref="V24" si="66">U24/F24</f>
        <v>1.1026763792551143E-2</v>
      </c>
      <c r="W24" s="171">
        <v>183154.84</v>
      </c>
      <c r="X24" s="172">
        <f t="shared" si="11"/>
        <v>4.0965081761447315E-2</v>
      </c>
      <c r="Y24" s="171">
        <v>255370.1</v>
      </c>
      <c r="Z24" s="172">
        <f t="shared" si="12"/>
        <v>5.7117011081601651E-2</v>
      </c>
      <c r="AA24" s="171">
        <v>401533.3</v>
      </c>
      <c r="AB24" s="172">
        <f t="shared" si="13"/>
        <v>8.9808407271376248E-2</v>
      </c>
      <c r="AC24" s="171">
        <f t="shared" si="14"/>
        <v>656903.4</v>
      </c>
      <c r="AD24" s="172">
        <f t="shared" si="15"/>
        <v>0.1469254183529779</v>
      </c>
      <c r="AE24" s="171">
        <v>972783.65</v>
      </c>
      <c r="AF24" s="172">
        <f t="shared" si="16"/>
        <v>0.21757635101780085</v>
      </c>
      <c r="AG24" s="171">
        <v>0</v>
      </c>
      <c r="AH24" s="172">
        <f t="shared" si="17"/>
        <v>0</v>
      </c>
      <c r="AI24" s="171">
        <v>866402.55999999994</v>
      </c>
      <c r="AJ24" s="172">
        <f t="shared" si="18"/>
        <v>0.19378276713150067</v>
      </c>
      <c r="AK24" s="171">
        <v>162304.13</v>
      </c>
      <c r="AL24" s="172">
        <f t="shared" si="19"/>
        <v>3.6301535660595019E-2</v>
      </c>
      <c r="AN24" s="72"/>
    </row>
    <row r="25" spans="2:40" s="73" customFormat="1" ht="14.25" hidden="1" customHeight="1">
      <c r="B25" s="610"/>
      <c r="C25" s="618"/>
      <c r="D25" s="170">
        <v>46249</v>
      </c>
      <c r="E25" s="170" t="s">
        <v>124</v>
      </c>
      <c r="F25" s="319">
        <f t="shared" si="0"/>
        <v>4735598.2299999995</v>
      </c>
      <c r="G25" s="614"/>
      <c r="H25" s="616"/>
      <c r="I25" s="171">
        <v>523224.6399999999</v>
      </c>
      <c r="J25" s="172">
        <f t="shared" si="2"/>
        <v>0.11048754868716976</v>
      </c>
      <c r="K25" s="171">
        <v>952595.77</v>
      </c>
      <c r="L25" s="172">
        <f t="shared" si="3"/>
        <v>0.20115637428135455</v>
      </c>
      <c r="M25" s="171">
        <f t="shared" si="4"/>
        <v>1475820.41</v>
      </c>
      <c r="N25" s="172">
        <f t="shared" ref="N25" si="67">M25/$F25</f>
        <v>0.31164392296852433</v>
      </c>
      <c r="O25" s="171">
        <v>203943.4</v>
      </c>
      <c r="P25" s="172">
        <f t="shared" si="6"/>
        <v>4.306602673935031E-2</v>
      </c>
      <c r="Q25" s="171">
        <v>0</v>
      </c>
      <c r="R25" s="172">
        <f t="shared" si="7"/>
        <v>0</v>
      </c>
      <c r="S25" s="171">
        <f t="shared" si="8"/>
        <v>203943.4</v>
      </c>
      <c r="T25" s="172">
        <f t="shared" ref="T25" si="68">S25/$F25</f>
        <v>4.306602673935031E-2</v>
      </c>
      <c r="U25" s="171">
        <v>52087.86</v>
      </c>
      <c r="V25" s="172">
        <f t="shared" ref="V25" si="69">U25/$F25</f>
        <v>1.0999214348468917E-2</v>
      </c>
      <c r="W25" s="171">
        <v>161920.18000000002</v>
      </c>
      <c r="X25" s="172">
        <f t="shared" si="11"/>
        <v>3.4192127823309881E-2</v>
      </c>
      <c r="Y25" s="171">
        <v>275461.34999999998</v>
      </c>
      <c r="Z25" s="172">
        <f t="shared" si="12"/>
        <v>5.8168226403784259E-2</v>
      </c>
      <c r="AA25" s="171">
        <v>537538.14</v>
      </c>
      <c r="AB25" s="172">
        <f t="shared" si="13"/>
        <v>0.11351008128069177</v>
      </c>
      <c r="AC25" s="171">
        <f t="shared" si="14"/>
        <v>812999.49</v>
      </c>
      <c r="AD25" s="172">
        <f t="shared" si="15"/>
        <v>0.17167830768447603</v>
      </c>
      <c r="AE25" s="171">
        <v>1025283.05</v>
      </c>
      <c r="AF25" s="172">
        <f t="shared" si="16"/>
        <v>0.21650549734241289</v>
      </c>
      <c r="AG25" s="171">
        <v>0</v>
      </c>
      <c r="AH25" s="172">
        <f t="shared" si="17"/>
        <v>0</v>
      </c>
      <c r="AI25" s="171">
        <v>846485.73999999987</v>
      </c>
      <c r="AJ25" s="172">
        <f t="shared" si="18"/>
        <v>0.17874948399074808</v>
      </c>
      <c r="AK25" s="171">
        <v>157058.1</v>
      </c>
      <c r="AL25" s="172">
        <f t="shared" si="19"/>
        <v>3.3165419102709655E-2</v>
      </c>
      <c r="AN25" s="72"/>
    </row>
    <row r="26" spans="2:40" s="73" customFormat="1" ht="14.25" hidden="1" customHeight="1">
      <c r="B26" s="610"/>
      <c r="C26" s="618"/>
      <c r="D26" s="170">
        <v>46250</v>
      </c>
      <c r="E26" s="170" t="s">
        <v>116</v>
      </c>
      <c r="F26" s="319">
        <f t="shared" si="0"/>
        <v>6269913.0899999999</v>
      </c>
      <c r="G26" s="614"/>
      <c r="H26" s="616"/>
      <c r="I26" s="171">
        <v>793652.12999999989</v>
      </c>
      <c r="J26" s="172">
        <f t="shared" si="2"/>
        <v>0.12658104165204623</v>
      </c>
      <c r="K26" s="171">
        <v>1093741.4399999997</v>
      </c>
      <c r="L26" s="172">
        <f t="shared" si="3"/>
        <v>0.17444283904739097</v>
      </c>
      <c r="M26" s="171">
        <f t="shared" si="4"/>
        <v>1887393.5699999996</v>
      </c>
      <c r="N26" s="172">
        <f t="shared" ref="N26" si="70">M26/F26</f>
        <v>0.3010238806994372</v>
      </c>
      <c r="O26" s="171">
        <v>288498.48</v>
      </c>
      <c r="P26" s="172">
        <f t="shared" si="6"/>
        <v>4.6013154545974731E-2</v>
      </c>
      <c r="Q26" s="171">
        <v>0</v>
      </c>
      <c r="R26" s="172">
        <f t="shared" si="7"/>
        <v>0</v>
      </c>
      <c r="S26" s="171">
        <f t="shared" si="8"/>
        <v>288498.48</v>
      </c>
      <c r="T26" s="172">
        <f t="shared" ref="T26" si="71">S26/F26</f>
        <v>4.6013154545974731E-2</v>
      </c>
      <c r="U26" s="171">
        <v>84335.58</v>
      </c>
      <c r="V26" s="172">
        <f t="shared" ref="V26" si="72">U26/F26</f>
        <v>1.3450837163039528E-2</v>
      </c>
      <c r="W26" s="171">
        <v>220963.28</v>
      </c>
      <c r="X26" s="172">
        <f t="shared" si="11"/>
        <v>3.5241840967846653E-2</v>
      </c>
      <c r="Y26" s="171">
        <v>350031.54000000004</v>
      </c>
      <c r="Z26" s="172">
        <f t="shared" si="12"/>
        <v>5.5827175747981544E-2</v>
      </c>
      <c r="AA26" s="171">
        <v>627063.07000000007</v>
      </c>
      <c r="AB26" s="172">
        <f t="shared" si="13"/>
        <v>0.10001144529421221</v>
      </c>
      <c r="AC26" s="171">
        <f t="shared" si="14"/>
        <v>977094.6100000001</v>
      </c>
      <c r="AD26" s="172">
        <f t="shared" si="15"/>
        <v>0.15583862104219376</v>
      </c>
      <c r="AE26" s="171">
        <v>1640135.9000000001</v>
      </c>
      <c r="AF26" s="172">
        <f t="shared" si="16"/>
        <v>0.26158829898549679</v>
      </c>
      <c r="AG26" s="171">
        <v>0</v>
      </c>
      <c r="AH26" s="172">
        <f t="shared" si="17"/>
        <v>0</v>
      </c>
      <c r="AI26" s="171">
        <v>1026305.5099999999</v>
      </c>
      <c r="AJ26" s="172">
        <f t="shared" si="18"/>
        <v>0.16368735822460975</v>
      </c>
      <c r="AK26" s="171">
        <v>145186.15999999997</v>
      </c>
      <c r="AL26" s="172">
        <f t="shared" si="19"/>
        <v>2.3156008371401519E-2</v>
      </c>
      <c r="AN26" s="72"/>
    </row>
    <row r="27" spans="2:40" s="73" customFormat="1" ht="14.25" hidden="1" customHeight="1">
      <c r="B27" s="611"/>
      <c r="C27" s="618"/>
      <c r="D27" s="170">
        <v>46251</v>
      </c>
      <c r="E27" s="170" t="s">
        <v>125</v>
      </c>
      <c r="F27" s="319">
        <f t="shared" si="0"/>
        <v>6084577.5200000005</v>
      </c>
      <c r="G27" s="614"/>
      <c r="H27" s="616"/>
      <c r="I27" s="171">
        <v>784514.72000000009</v>
      </c>
      <c r="J27" s="172">
        <f t="shared" si="2"/>
        <v>0.12893495356436843</v>
      </c>
      <c r="K27" s="171">
        <v>1082040.97</v>
      </c>
      <c r="L27" s="172">
        <f t="shared" si="3"/>
        <v>0.17783337732871876</v>
      </c>
      <c r="M27" s="171">
        <f t="shared" si="4"/>
        <v>1866555.69</v>
      </c>
      <c r="N27" s="172">
        <f t="shared" ref="N27:N28" si="73">M27/$F27</f>
        <v>0.30676833089308719</v>
      </c>
      <c r="O27" s="171">
        <v>281762.01</v>
      </c>
      <c r="P27" s="172">
        <f t="shared" si="6"/>
        <v>4.6307571737536184E-2</v>
      </c>
      <c r="Q27" s="171">
        <v>0</v>
      </c>
      <c r="R27" s="172">
        <f t="shared" si="7"/>
        <v>0</v>
      </c>
      <c r="S27" s="171">
        <f t="shared" si="8"/>
        <v>281762.01</v>
      </c>
      <c r="T27" s="172">
        <f t="shared" ref="T27:T28" si="74">S27/$F27</f>
        <v>4.6307571737536184E-2</v>
      </c>
      <c r="U27" s="171">
        <v>73456.47</v>
      </c>
      <c r="V27" s="172">
        <f t="shared" ref="V27:V28" si="75">U27/$F27</f>
        <v>1.2072567036667484E-2</v>
      </c>
      <c r="W27" s="171">
        <v>250384.3</v>
      </c>
      <c r="X27" s="172">
        <f t="shared" si="11"/>
        <v>4.115064672559221E-2</v>
      </c>
      <c r="Y27" s="171">
        <v>371928.8</v>
      </c>
      <c r="Z27" s="172">
        <f t="shared" si="12"/>
        <v>6.1126478999974997E-2</v>
      </c>
      <c r="AA27" s="171">
        <v>576313.35</v>
      </c>
      <c r="AB27" s="172">
        <f t="shared" si="13"/>
        <v>9.4717069197599757E-2</v>
      </c>
      <c r="AC27" s="171">
        <f t="shared" si="14"/>
        <v>948242.14999999991</v>
      </c>
      <c r="AD27" s="172">
        <f t="shared" si="15"/>
        <v>0.15584354819757476</v>
      </c>
      <c r="AE27" s="171">
        <v>1551809.46</v>
      </c>
      <c r="AF27" s="172">
        <f t="shared" si="16"/>
        <v>0.25503980430838524</v>
      </c>
      <c r="AG27" s="171">
        <v>0</v>
      </c>
      <c r="AH27" s="172">
        <f t="shared" si="17"/>
        <v>0</v>
      </c>
      <c r="AI27" s="171">
        <v>951265.58</v>
      </c>
      <c r="AJ27" s="172">
        <f t="shared" si="18"/>
        <v>0.15634044876134637</v>
      </c>
      <c r="AK27" s="171">
        <v>161101.85999999999</v>
      </c>
      <c r="AL27" s="172">
        <f t="shared" si="19"/>
        <v>2.6477082339810502E-2</v>
      </c>
      <c r="AN27" s="72"/>
    </row>
    <row r="28" spans="2:40" s="73" customFormat="1" ht="14.25" hidden="1" customHeight="1">
      <c r="B28" s="609">
        <f>B21+7</f>
        <v>46260</v>
      </c>
      <c r="C28" s="618"/>
      <c r="D28" s="170">
        <v>46252</v>
      </c>
      <c r="E28" s="170" t="s">
        <v>119</v>
      </c>
      <c r="F28" s="319">
        <f t="shared" si="0"/>
        <v>6583839.5199999996</v>
      </c>
      <c r="G28" s="614">
        <f t="shared" ref="G28" si="76">SUM(F28:F34)</f>
        <v>39537269.799999997</v>
      </c>
      <c r="H28" s="616"/>
      <c r="I28" s="171">
        <v>782871.45</v>
      </c>
      <c r="J28" s="172">
        <f t="shared" si="2"/>
        <v>0.11890803954468197</v>
      </c>
      <c r="K28" s="171">
        <v>1078113.71</v>
      </c>
      <c r="L28" s="172">
        <f t="shared" si="3"/>
        <v>0.16375151713904473</v>
      </c>
      <c r="M28" s="171">
        <f t="shared" si="4"/>
        <v>1860985.16</v>
      </c>
      <c r="N28" s="172">
        <f t="shared" si="73"/>
        <v>0.28265955668372672</v>
      </c>
      <c r="O28" s="171">
        <v>280506.93</v>
      </c>
      <c r="P28" s="172">
        <f t="shared" si="6"/>
        <v>4.2605371705657855E-2</v>
      </c>
      <c r="Q28" s="171">
        <v>0</v>
      </c>
      <c r="R28" s="172">
        <f t="shared" si="7"/>
        <v>0</v>
      </c>
      <c r="S28" s="171">
        <f t="shared" si="8"/>
        <v>280506.93</v>
      </c>
      <c r="T28" s="172">
        <f t="shared" si="74"/>
        <v>4.2605371705657855E-2</v>
      </c>
      <c r="U28" s="171">
        <v>77112.81</v>
      </c>
      <c r="V28" s="172">
        <f t="shared" si="75"/>
        <v>1.1712437668893849E-2</v>
      </c>
      <c r="W28" s="171">
        <v>213416.36000000002</v>
      </c>
      <c r="X28" s="172">
        <f t="shared" si="11"/>
        <v>3.2415182562043982E-2</v>
      </c>
      <c r="Y28" s="171">
        <v>316364.53999999998</v>
      </c>
      <c r="Z28" s="172">
        <f t="shared" si="12"/>
        <v>4.805167851357349E-2</v>
      </c>
      <c r="AA28" s="171">
        <v>560524.93000000005</v>
      </c>
      <c r="AB28" s="172">
        <f t="shared" si="13"/>
        <v>8.5136481273164463E-2</v>
      </c>
      <c r="AC28" s="171">
        <f t="shared" si="14"/>
        <v>876889.47</v>
      </c>
      <c r="AD28" s="172">
        <f t="shared" si="15"/>
        <v>0.13318815978673795</v>
      </c>
      <c r="AE28" s="171">
        <v>2195493.54</v>
      </c>
      <c r="AF28" s="172">
        <f t="shared" si="16"/>
        <v>0.33346704963428392</v>
      </c>
      <c r="AG28" s="171">
        <v>0</v>
      </c>
      <c r="AH28" s="172">
        <f t="shared" si="17"/>
        <v>0</v>
      </c>
      <c r="AI28" s="171">
        <v>944361.97</v>
      </c>
      <c r="AJ28" s="172">
        <f t="shared" si="18"/>
        <v>0.14343635915354147</v>
      </c>
      <c r="AK28" s="171">
        <v>135073.28</v>
      </c>
      <c r="AL28" s="172">
        <f t="shared" si="19"/>
        <v>2.0515882805114304E-2</v>
      </c>
      <c r="AN28" s="72"/>
    </row>
    <row r="29" spans="2:40" s="73" customFormat="1" ht="14.25" hidden="1" customHeight="1">
      <c r="B29" s="610"/>
      <c r="C29" s="618"/>
      <c r="D29" s="170">
        <v>46253</v>
      </c>
      <c r="E29" s="170" t="s">
        <v>120</v>
      </c>
      <c r="F29" s="319">
        <f t="shared" si="0"/>
        <v>5965361.7000000002</v>
      </c>
      <c r="G29" s="614"/>
      <c r="H29" s="616"/>
      <c r="I29" s="171">
        <v>765410.53000000014</v>
      </c>
      <c r="J29" s="172">
        <f t="shared" si="2"/>
        <v>0.12830915684458835</v>
      </c>
      <c r="K29" s="171">
        <v>1019616.8999999999</v>
      </c>
      <c r="L29" s="172">
        <f t="shared" si="3"/>
        <v>0.17092289642721914</v>
      </c>
      <c r="M29" s="171">
        <f t="shared" si="4"/>
        <v>1785027.4300000002</v>
      </c>
      <c r="N29" s="172">
        <f t="shared" ref="N29" si="77">M29/F29</f>
        <v>0.29923205327180752</v>
      </c>
      <c r="O29" s="171">
        <v>279389.89</v>
      </c>
      <c r="P29" s="172">
        <f t="shared" si="6"/>
        <v>4.6835364568086457E-2</v>
      </c>
      <c r="Q29" s="171">
        <v>0</v>
      </c>
      <c r="R29" s="172">
        <f t="shared" si="7"/>
        <v>0</v>
      </c>
      <c r="S29" s="171">
        <f t="shared" si="8"/>
        <v>279389.89</v>
      </c>
      <c r="T29" s="172">
        <f t="shared" ref="T29" si="78">S29/F29</f>
        <v>4.6835364568086457E-2</v>
      </c>
      <c r="U29" s="171">
        <v>65604.33</v>
      </c>
      <c r="V29" s="172">
        <f t="shared" ref="V29" si="79">U29/F29</f>
        <v>1.0997544373545698E-2</v>
      </c>
      <c r="W29" s="171">
        <v>218864.16</v>
      </c>
      <c r="X29" s="172">
        <f t="shared" si="11"/>
        <v>3.668916840365271E-2</v>
      </c>
      <c r="Y29" s="171">
        <v>288132.69</v>
      </c>
      <c r="Z29" s="172">
        <f t="shared" si="12"/>
        <v>4.8300958850491828E-2</v>
      </c>
      <c r="AA29" s="171">
        <v>538565.61</v>
      </c>
      <c r="AB29" s="172">
        <f t="shared" si="13"/>
        <v>9.0282138298504178E-2</v>
      </c>
      <c r="AC29" s="171">
        <f t="shared" si="14"/>
        <v>826698.3</v>
      </c>
      <c r="AD29" s="172">
        <f t="shared" si="15"/>
        <v>0.13858309714899603</v>
      </c>
      <c r="AE29" s="171">
        <v>1741295.75</v>
      </c>
      <c r="AF29" s="172">
        <f t="shared" si="16"/>
        <v>0.29190111808308289</v>
      </c>
      <c r="AG29" s="171">
        <v>0</v>
      </c>
      <c r="AH29" s="172">
        <f t="shared" si="17"/>
        <v>0</v>
      </c>
      <c r="AI29" s="171">
        <v>913466.65999999992</v>
      </c>
      <c r="AJ29" s="172">
        <f t="shared" si="18"/>
        <v>0.15312846159856491</v>
      </c>
      <c r="AK29" s="171">
        <v>135015.18</v>
      </c>
      <c r="AL29" s="172">
        <f t="shared" si="19"/>
        <v>2.2633192552263846E-2</v>
      </c>
      <c r="AN29" s="72"/>
    </row>
    <row r="30" spans="2:40" s="73" customFormat="1" ht="14.25" hidden="1" customHeight="1">
      <c r="B30" s="610"/>
      <c r="C30" s="618"/>
      <c r="D30" s="170">
        <v>46254</v>
      </c>
      <c r="E30" s="170" t="s">
        <v>121</v>
      </c>
      <c r="F30" s="319">
        <f t="shared" si="0"/>
        <v>5515098.4399999995</v>
      </c>
      <c r="G30" s="614"/>
      <c r="H30" s="616"/>
      <c r="I30" s="171">
        <v>735594.52</v>
      </c>
      <c r="J30" s="172">
        <f t="shared" si="2"/>
        <v>0.13337831192003166</v>
      </c>
      <c r="K30" s="171">
        <v>902228.39999999991</v>
      </c>
      <c r="L30" s="172">
        <f t="shared" si="3"/>
        <v>0.16359243807078808</v>
      </c>
      <c r="M30" s="171">
        <f t="shared" si="4"/>
        <v>1637822.92</v>
      </c>
      <c r="N30" s="172">
        <f t="shared" ref="N30" si="80">M30/$F30</f>
        <v>0.29697074999081974</v>
      </c>
      <c r="O30" s="171">
        <v>267973.56</v>
      </c>
      <c r="P30" s="172">
        <f t="shared" si="6"/>
        <v>4.8589080125286038E-2</v>
      </c>
      <c r="Q30" s="171">
        <v>0</v>
      </c>
      <c r="R30" s="172">
        <f t="shared" si="7"/>
        <v>0</v>
      </c>
      <c r="S30" s="171">
        <f t="shared" si="8"/>
        <v>267973.56</v>
      </c>
      <c r="T30" s="172">
        <f t="shared" ref="T30" si="81">S30/$F30</f>
        <v>4.8589080125286038E-2</v>
      </c>
      <c r="U30" s="171">
        <v>67912.02</v>
      </c>
      <c r="V30" s="172">
        <f t="shared" ref="V30" si="82">U30/$F30</f>
        <v>1.2313836414495623E-2</v>
      </c>
      <c r="W30" s="171">
        <v>215496.56</v>
      </c>
      <c r="X30" s="172">
        <f t="shared" si="11"/>
        <v>3.9073928116503398E-2</v>
      </c>
      <c r="Y30" s="171">
        <v>280436.89</v>
      </c>
      <c r="Z30" s="172">
        <f t="shared" si="12"/>
        <v>5.0848936433490033E-2</v>
      </c>
      <c r="AA30" s="171">
        <v>418454.30000000005</v>
      </c>
      <c r="AB30" s="172">
        <f t="shared" si="13"/>
        <v>7.5874312045824538E-2</v>
      </c>
      <c r="AC30" s="171">
        <f t="shared" si="14"/>
        <v>698891.19000000006</v>
      </c>
      <c r="AD30" s="172">
        <f t="shared" si="15"/>
        <v>0.12672324847931457</v>
      </c>
      <c r="AE30" s="171">
        <v>1631479.75</v>
      </c>
      <c r="AF30" s="172">
        <f t="shared" si="16"/>
        <v>0.29582060370258778</v>
      </c>
      <c r="AG30" s="171">
        <v>0</v>
      </c>
      <c r="AH30" s="172">
        <f t="shared" si="17"/>
        <v>0</v>
      </c>
      <c r="AI30" s="171">
        <v>861399.18000000017</v>
      </c>
      <c r="AJ30" s="172">
        <f t="shared" si="18"/>
        <v>0.15618926649657414</v>
      </c>
      <c r="AK30" s="171">
        <v>134123.26</v>
      </c>
      <c r="AL30" s="172">
        <f t="shared" si="19"/>
        <v>2.4319286674418818E-2</v>
      </c>
      <c r="AN30" s="72"/>
    </row>
    <row r="31" spans="2:40" s="73" customFormat="1" ht="14.25" hidden="1" customHeight="1">
      <c r="B31" s="610"/>
      <c r="C31" s="618"/>
      <c r="D31" s="170">
        <v>46255</v>
      </c>
      <c r="E31" s="170" t="s">
        <v>122</v>
      </c>
      <c r="F31" s="319">
        <f t="shared" si="0"/>
        <v>4265125.8</v>
      </c>
      <c r="G31" s="614"/>
      <c r="H31" s="616"/>
      <c r="I31" s="171">
        <v>549940.70000000007</v>
      </c>
      <c r="J31" s="172">
        <f t="shared" si="2"/>
        <v>0.12893891664344345</v>
      </c>
      <c r="K31" s="171">
        <v>808605.96999999986</v>
      </c>
      <c r="L31" s="172">
        <f t="shared" si="3"/>
        <v>0.18958549124154789</v>
      </c>
      <c r="M31" s="171">
        <f t="shared" si="4"/>
        <v>1358546.67</v>
      </c>
      <c r="N31" s="172">
        <f t="shared" ref="N31" si="83">M31/F31</f>
        <v>0.31852440788499131</v>
      </c>
      <c r="O31" s="171">
        <v>207281.09</v>
      </c>
      <c r="P31" s="172">
        <f t="shared" si="6"/>
        <v>4.8599056562411362E-2</v>
      </c>
      <c r="Q31" s="171">
        <v>0</v>
      </c>
      <c r="R31" s="172">
        <f t="shared" si="7"/>
        <v>0</v>
      </c>
      <c r="S31" s="171">
        <f t="shared" si="8"/>
        <v>207281.09</v>
      </c>
      <c r="T31" s="172">
        <f t="shared" ref="T31" si="84">S31/F31</f>
        <v>4.8599056562411362E-2</v>
      </c>
      <c r="U31" s="171">
        <v>41388.57</v>
      </c>
      <c r="V31" s="172">
        <f t="shared" ref="V31" si="85">U31/F31</f>
        <v>9.7039505845290669E-3</v>
      </c>
      <c r="W31" s="171">
        <v>161157</v>
      </c>
      <c r="X31" s="172">
        <f t="shared" si="11"/>
        <v>3.7784817507610209E-2</v>
      </c>
      <c r="Y31" s="171">
        <v>223588.4</v>
      </c>
      <c r="Z31" s="172">
        <f t="shared" si="12"/>
        <v>5.2422463131099203E-2</v>
      </c>
      <c r="AA31" s="171">
        <v>409792.47000000003</v>
      </c>
      <c r="AB31" s="172">
        <f t="shared" si="13"/>
        <v>9.607980847833375E-2</v>
      </c>
      <c r="AC31" s="171">
        <f t="shared" si="14"/>
        <v>633380.87</v>
      </c>
      <c r="AD31" s="172">
        <f t="shared" si="15"/>
        <v>0.14850227160943297</v>
      </c>
      <c r="AE31" s="171">
        <v>1016350.82</v>
      </c>
      <c r="AF31" s="172">
        <f t="shared" si="16"/>
        <v>0.23829328082186932</v>
      </c>
      <c r="AG31" s="171">
        <v>0</v>
      </c>
      <c r="AH31" s="172">
        <f t="shared" si="17"/>
        <v>0</v>
      </c>
      <c r="AI31" s="171">
        <v>735764.15999999992</v>
      </c>
      <c r="AJ31" s="172">
        <f t="shared" si="18"/>
        <v>0.17250702429457063</v>
      </c>
      <c r="AK31" s="171">
        <v>111256.62</v>
      </c>
      <c r="AL31" s="172">
        <f t="shared" si="19"/>
        <v>2.6085190734585133E-2</v>
      </c>
      <c r="AN31" s="72"/>
    </row>
    <row r="32" spans="2:40" s="73" customFormat="1" ht="14.25" hidden="1" customHeight="1">
      <c r="B32" s="610"/>
      <c r="C32" s="618"/>
      <c r="D32" s="170">
        <v>46256</v>
      </c>
      <c r="E32" s="170" t="s">
        <v>124</v>
      </c>
      <c r="F32" s="319">
        <f t="shared" si="0"/>
        <v>4672768.7700000005</v>
      </c>
      <c r="G32" s="614"/>
      <c r="H32" s="616"/>
      <c r="I32" s="171">
        <v>519200.71999999991</v>
      </c>
      <c r="J32" s="172">
        <f t="shared" si="2"/>
        <v>0.11111200779575486</v>
      </c>
      <c r="K32" s="171">
        <v>922716.42000000027</v>
      </c>
      <c r="L32" s="172">
        <f t="shared" si="3"/>
        <v>0.19746674090188293</v>
      </c>
      <c r="M32" s="171">
        <f t="shared" si="4"/>
        <v>1441917.1400000001</v>
      </c>
      <c r="N32" s="172">
        <f t="shared" ref="N32" si="86">M32/$F32</f>
        <v>0.30857874869763779</v>
      </c>
      <c r="O32" s="171">
        <v>192243.65</v>
      </c>
      <c r="P32" s="172">
        <f t="shared" si="6"/>
        <v>4.1141271794623804E-2</v>
      </c>
      <c r="Q32" s="171">
        <v>0</v>
      </c>
      <c r="R32" s="172">
        <f t="shared" si="7"/>
        <v>0</v>
      </c>
      <c r="S32" s="171">
        <f t="shared" si="8"/>
        <v>192243.65</v>
      </c>
      <c r="T32" s="172">
        <f t="shared" ref="T32" si="87">S32/$F32</f>
        <v>4.1141271794623804E-2</v>
      </c>
      <c r="U32" s="171">
        <v>49450.5</v>
      </c>
      <c r="V32" s="172">
        <f t="shared" ref="V32" si="88">U32/$F32</f>
        <v>1.0582697846613111E-2</v>
      </c>
      <c r="W32" s="171">
        <v>159615.63999999998</v>
      </c>
      <c r="X32" s="172">
        <f t="shared" si="11"/>
        <v>3.4158685750675391E-2</v>
      </c>
      <c r="Y32" s="171">
        <v>252289.81999999998</v>
      </c>
      <c r="Z32" s="172">
        <f t="shared" si="12"/>
        <v>5.3991505340419389E-2</v>
      </c>
      <c r="AA32" s="171">
        <v>539320.57999999996</v>
      </c>
      <c r="AB32" s="172">
        <f t="shared" si="13"/>
        <v>0.11541777617213443</v>
      </c>
      <c r="AC32" s="171">
        <f t="shared" si="14"/>
        <v>791610.39999999991</v>
      </c>
      <c r="AD32" s="172">
        <f t="shared" si="15"/>
        <v>0.16940928151255383</v>
      </c>
      <c r="AE32" s="171">
        <v>1199863.1500000001</v>
      </c>
      <c r="AF32" s="172">
        <f t="shared" si="16"/>
        <v>0.25677777117997647</v>
      </c>
      <c r="AG32" s="171">
        <v>0</v>
      </c>
      <c r="AH32" s="172">
        <f t="shared" si="17"/>
        <v>0</v>
      </c>
      <c r="AI32" s="171">
        <v>726920.03</v>
      </c>
      <c r="AJ32" s="172">
        <f t="shared" si="18"/>
        <v>0.15556516185156749</v>
      </c>
      <c r="AK32" s="171">
        <v>111148.26</v>
      </c>
      <c r="AL32" s="172">
        <f t="shared" si="19"/>
        <v>2.3786381366352093E-2</v>
      </c>
      <c r="AN32" s="72"/>
    </row>
    <row r="33" spans="2:40" s="73" customFormat="1" ht="14.25" hidden="1" customHeight="1">
      <c r="B33" s="610"/>
      <c r="C33" s="618"/>
      <c r="D33" s="170">
        <v>46257</v>
      </c>
      <c r="E33" s="170" t="s">
        <v>116</v>
      </c>
      <c r="F33" s="319">
        <f t="shared" si="0"/>
        <v>6356809.7199999997</v>
      </c>
      <c r="G33" s="614"/>
      <c r="H33" s="616"/>
      <c r="I33" s="171">
        <v>776450.46</v>
      </c>
      <c r="J33" s="172">
        <f t="shared" si="2"/>
        <v>0.12214467542690581</v>
      </c>
      <c r="K33" s="171">
        <v>1036042.5600000002</v>
      </c>
      <c r="L33" s="172">
        <f t="shared" si="3"/>
        <v>0.16298152778434907</v>
      </c>
      <c r="M33" s="171">
        <f t="shared" si="4"/>
        <v>1812493.02</v>
      </c>
      <c r="N33" s="172">
        <f t="shared" ref="N33" si="89">M33/F33</f>
        <v>0.28512620321125487</v>
      </c>
      <c r="O33" s="171">
        <v>274550.11</v>
      </c>
      <c r="P33" s="172">
        <f t="shared" si="6"/>
        <v>4.3189921059962132E-2</v>
      </c>
      <c r="Q33" s="171">
        <v>0</v>
      </c>
      <c r="R33" s="172">
        <f t="shared" si="7"/>
        <v>0</v>
      </c>
      <c r="S33" s="171">
        <f t="shared" si="8"/>
        <v>274550.11</v>
      </c>
      <c r="T33" s="172">
        <f t="shared" ref="T33" si="90">S33/F33</f>
        <v>4.3189921059962132E-2</v>
      </c>
      <c r="U33" s="171">
        <v>67912.02</v>
      </c>
      <c r="V33" s="172">
        <f t="shared" ref="V33" si="91">U33/F33</f>
        <v>1.0683349508847657E-2</v>
      </c>
      <c r="W33" s="171">
        <v>213834.51</v>
      </c>
      <c r="X33" s="172">
        <f t="shared" si="11"/>
        <v>3.3638651999795897E-2</v>
      </c>
      <c r="Y33" s="171">
        <v>328398.43</v>
      </c>
      <c r="Z33" s="172">
        <f t="shared" si="12"/>
        <v>5.1660887216237142E-2</v>
      </c>
      <c r="AA33" s="171">
        <v>640538.58000000007</v>
      </c>
      <c r="AB33" s="172">
        <f t="shared" si="13"/>
        <v>0.10076415815699452</v>
      </c>
      <c r="AC33" s="171">
        <f t="shared" si="14"/>
        <v>968937.01</v>
      </c>
      <c r="AD33" s="172">
        <f t="shared" si="15"/>
        <v>0.15242504537323165</v>
      </c>
      <c r="AE33" s="171">
        <v>1957909.84</v>
      </c>
      <c r="AF33" s="172">
        <f t="shared" si="16"/>
        <v>0.30800195793810864</v>
      </c>
      <c r="AG33" s="171">
        <v>0</v>
      </c>
      <c r="AH33" s="172">
        <f t="shared" si="17"/>
        <v>0</v>
      </c>
      <c r="AI33" s="171">
        <v>924390.3899999999</v>
      </c>
      <c r="AJ33" s="172">
        <f t="shared" si="18"/>
        <v>0.14541734466137204</v>
      </c>
      <c r="AK33" s="171">
        <v>136782.82</v>
      </c>
      <c r="AL33" s="172">
        <f t="shared" si="19"/>
        <v>2.1517526247427147E-2</v>
      </c>
      <c r="AN33" s="72"/>
    </row>
    <row r="34" spans="2:40" s="73" customFormat="1" ht="14.25" hidden="1" customHeight="1">
      <c r="B34" s="611"/>
      <c r="C34" s="618"/>
      <c r="D34" s="170">
        <v>46258</v>
      </c>
      <c r="E34" s="170" t="s">
        <v>125</v>
      </c>
      <c r="F34" s="319">
        <f t="shared" si="0"/>
        <v>6178265.8499999996</v>
      </c>
      <c r="G34" s="614"/>
      <c r="H34" s="616"/>
      <c r="I34" s="171">
        <v>747335.19000000006</v>
      </c>
      <c r="J34" s="172">
        <f t="shared" si="2"/>
        <v>0.12096196702186263</v>
      </c>
      <c r="K34" s="171">
        <v>1137384.6100000003</v>
      </c>
      <c r="L34" s="172">
        <f t="shared" si="3"/>
        <v>0.18409447531300396</v>
      </c>
      <c r="M34" s="171">
        <f t="shared" si="4"/>
        <v>1884719.8000000003</v>
      </c>
      <c r="N34" s="172">
        <f t="shared" ref="N34:N35" si="92">M34/$F34</f>
        <v>0.30505644233486656</v>
      </c>
      <c r="O34" s="171">
        <v>268481.23</v>
      </c>
      <c r="P34" s="172">
        <f t="shared" si="6"/>
        <v>4.3455758706142433E-2</v>
      </c>
      <c r="Q34" s="171">
        <v>0</v>
      </c>
      <c r="R34" s="172">
        <f t="shared" si="7"/>
        <v>0</v>
      </c>
      <c r="S34" s="171">
        <f t="shared" si="8"/>
        <v>268481.23</v>
      </c>
      <c r="T34" s="172">
        <f t="shared" ref="T34:T35" si="93">S34/$F34</f>
        <v>4.3455758706142433E-2</v>
      </c>
      <c r="U34" s="171">
        <v>71628.3</v>
      </c>
      <c r="V34" s="172">
        <f t="shared" ref="V34:V35" si="94">U34/$F34</f>
        <v>1.1593593046825593E-2</v>
      </c>
      <c r="W34" s="171">
        <v>234310.81</v>
      </c>
      <c r="X34" s="172">
        <f t="shared" si="11"/>
        <v>3.7925012566430757E-2</v>
      </c>
      <c r="Y34" s="171">
        <v>359260.78</v>
      </c>
      <c r="Z34" s="172">
        <f t="shared" si="12"/>
        <v>5.814912933861531E-2</v>
      </c>
      <c r="AA34" s="171">
        <v>576099.65</v>
      </c>
      <c r="AB34" s="172">
        <f t="shared" si="13"/>
        <v>9.3246173600639096E-2</v>
      </c>
      <c r="AC34" s="171">
        <f t="shared" si="14"/>
        <v>935360.43</v>
      </c>
      <c r="AD34" s="172">
        <f t="shared" si="15"/>
        <v>0.15139530293925441</v>
      </c>
      <c r="AE34" s="171">
        <v>1642188.4100000001</v>
      </c>
      <c r="AF34" s="172">
        <f t="shared" si="16"/>
        <v>0.26580086546453813</v>
      </c>
      <c r="AG34" s="171">
        <v>0</v>
      </c>
      <c r="AH34" s="172">
        <f t="shared" si="17"/>
        <v>0</v>
      </c>
      <c r="AI34" s="171">
        <v>989379.60999999987</v>
      </c>
      <c r="AJ34" s="172">
        <f t="shared" si="18"/>
        <v>0.16013872404017707</v>
      </c>
      <c r="AK34" s="171">
        <v>152197.26</v>
      </c>
      <c r="AL34" s="172">
        <f t="shared" si="19"/>
        <v>2.4634300901765181E-2</v>
      </c>
      <c r="AN34" s="72"/>
    </row>
    <row r="35" spans="2:40" s="73" customFormat="1" ht="14.25" hidden="1" customHeight="1">
      <c r="B35" s="609">
        <f>B28+7</f>
        <v>46267</v>
      </c>
      <c r="C35" s="618"/>
      <c r="D35" s="170">
        <v>46259</v>
      </c>
      <c r="E35" s="170" t="s">
        <v>119</v>
      </c>
      <c r="F35" s="319">
        <f t="shared" si="0"/>
        <v>6384123.5300000003</v>
      </c>
      <c r="G35" s="614">
        <f t="shared" ref="G35" si="95">SUM(F35:F41)</f>
        <v>36749311.969999999</v>
      </c>
      <c r="H35" s="616"/>
      <c r="I35" s="171">
        <v>844808.66</v>
      </c>
      <c r="J35" s="172">
        <f t="shared" si="2"/>
        <v>0.13232962301404591</v>
      </c>
      <c r="K35" s="171">
        <v>1081544.08</v>
      </c>
      <c r="L35" s="172">
        <f t="shared" si="3"/>
        <v>0.1694115213964226</v>
      </c>
      <c r="M35" s="171">
        <f t="shared" si="4"/>
        <v>1926352.7400000002</v>
      </c>
      <c r="N35" s="172">
        <f t="shared" si="92"/>
        <v>0.30174114441046851</v>
      </c>
      <c r="O35" s="171">
        <v>265106.03000000003</v>
      </c>
      <c r="P35" s="172">
        <f t="shared" si="6"/>
        <v>4.1525830249716365E-2</v>
      </c>
      <c r="Q35" s="171">
        <v>0</v>
      </c>
      <c r="R35" s="172">
        <f t="shared" si="7"/>
        <v>0</v>
      </c>
      <c r="S35" s="171">
        <f t="shared" si="8"/>
        <v>265106.03000000003</v>
      </c>
      <c r="T35" s="172">
        <f t="shared" si="93"/>
        <v>4.1525830249716365E-2</v>
      </c>
      <c r="U35" s="171">
        <v>72107.819999999992</v>
      </c>
      <c r="V35" s="172">
        <f t="shared" si="94"/>
        <v>1.1294866031516153E-2</v>
      </c>
      <c r="W35" s="171">
        <v>681524.04</v>
      </c>
      <c r="X35" s="172">
        <f t="shared" si="11"/>
        <v>0.10675295313403813</v>
      </c>
      <c r="Y35" s="171">
        <v>314464.18</v>
      </c>
      <c r="Z35" s="172">
        <f t="shared" si="12"/>
        <v>4.9257220434768122E-2</v>
      </c>
      <c r="AA35" s="171">
        <v>577712.30000000005</v>
      </c>
      <c r="AB35" s="172">
        <f t="shared" si="13"/>
        <v>9.0492030313204172E-2</v>
      </c>
      <c r="AC35" s="171">
        <f t="shared" si="14"/>
        <v>892176.48</v>
      </c>
      <c r="AD35" s="172">
        <f t="shared" si="15"/>
        <v>0.13974925074797229</v>
      </c>
      <c r="AE35" s="171">
        <v>1528116.18</v>
      </c>
      <c r="AF35" s="172">
        <f t="shared" si="16"/>
        <v>0.23936193791037122</v>
      </c>
      <c r="AG35" s="171">
        <v>0</v>
      </c>
      <c r="AH35" s="172">
        <f t="shared" si="17"/>
        <v>0</v>
      </c>
      <c r="AI35" s="171">
        <v>877749.24</v>
      </c>
      <c r="AJ35" s="172">
        <f t="shared" si="18"/>
        <v>0.13748938846112835</v>
      </c>
      <c r="AK35" s="171">
        <v>140991</v>
      </c>
      <c r="AL35" s="172">
        <f t="shared" si="19"/>
        <v>2.208462905478898E-2</v>
      </c>
      <c r="AN35" s="72"/>
    </row>
    <row r="36" spans="2:40" s="73" customFormat="1" ht="14.25" hidden="1" customHeight="1">
      <c r="B36" s="610"/>
      <c r="C36" s="618"/>
      <c r="D36" s="170">
        <v>46260</v>
      </c>
      <c r="E36" s="170" t="s">
        <v>120</v>
      </c>
      <c r="F36" s="319">
        <f t="shared" si="0"/>
        <v>5681937.0600000005</v>
      </c>
      <c r="G36" s="614"/>
      <c r="H36" s="616"/>
      <c r="I36" s="171">
        <v>761561.61999999988</v>
      </c>
      <c r="J36" s="172">
        <f t="shared" si="2"/>
        <v>0.13403204082658385</v>
      </c>
      <c r="K36" s="171">
        <v>997664.85000000009</v>
      </c>
      <c r="L36" s="172">
        <f t="shared" si="3"/>
        <v>0.17558533990519071</v>
      </c>
      <c r="M36" s="171">
        <f t="shared" si="4"/>
        <v>1759226.47</v>
      </c>
      <c r="N36" s="172">
        <f t="shared" ref="N36" si="96">M36/F36</f>
        <v>0.30961738073177458</v>
      </c>
      <c r="O36" s="171">
        <v>256375</v>
      </c>
      <c r="P36" s="172">
        <f t="shared" si="6"/>
        <v>4.5121055951999577E-2</v>
      </c>
      <c r="Q36" s="171">
        <v>0</v>
      </c>
      <c r="R36" s="172">
        <f t="shared" si="7"/>
        <v>0</v>
      </c>
      <c r="S36" s="171">
        <f t="shared" si="8"/>
        <v>256375</v>
      </c>
      <c r="T36" s="172">
        <f t="shared" ref="T36" si="97">S36/F36</f>
        <v>4.5121055951999577E-2</v>
      </c>
      <c r="U36" s="171">
        <v>66023.91</v>
      </c>
      <c r="V36" s="172">
        <f t="shared" ref="V36" si="98">U36/F36</f>
        <v>1.161996504058424E-2</v>
      </c>
      <c r="W36" s="171">
        <v>466566.22000000003</v>
      </c>
      <c r="X36" s="172">
        <f t="shared" si="11"/>
        <v>8.2113936686232847E-2</v>
      </c>
      <c r="Y36" s="171">
        <v>294301.31</v>
      </c>
      <c r="Z36" s="172">
        <f t="shared" si="12"/>
        <v>5.1795946856194139E-2</v>
      </c>
      <c r="AA36" s="171">
        <v>559759.08000000007</v>
      </c>
      <c r="AB36" s="172">
        <f t="shared" si="13"/>
        <v>9.8515536882768637E-2</v>
      </c>
      <c r="AC36" s="171">
        <f t="shared" si="14"/>
        <v>854060.39000000013</v>
      </c>
      <c r="AD36" s="172">
        <f t="shared" si="15"/>
        <v>0.1503114837389628</v>
      </c>
      <c r="AE36" s="171">
        <v>1478396.4500000002</v>
      </c>
      <c r="AF36" s="172">
        <f t="shared" si="16"/>
        <v>0.26019233131033664</v>
      </c>
      <c r="AG36" s="171">
        <v>0</v>
      </c>
      <c r="AH36" s="172">
        <f t="shared" si="17"/>
        <v>0</v>
      </c>
      <c r="AI36" s="171">
        <v>660096.28</v>
      </c>
      <c r="AJ36" s="172">
        <f t="shared" si="18"/>
        <v>0.11617451461174756</v>
      </c>
      <c r="AK36" s="171">
        <v>141192.34</v>
      </c>
      <c r="AL36" s="172">
        <f t="shared" si="19"/>
        <v>2.4849331928361765E-2</v>
      </c>
      <c r="AN36" s="72"/>
    </row>
    <row r="37" spans="2:40" s="73" customFormat="1" ht="14.25" hidden="1" customHeight="1">
      <c r="B37" s="610"/>
      <c r="C37" s="618"/>
      <c r="D37" s="170">
        <v>46261</v>
      </c>
      <c r="E37" s="170" t="s">
        <v>121</v>
      </c>
      <c r="F37" s="319">
        <f t="shared" si="0"/>
        <v>4735272.9000000004</v>
      </c>
      <c r="G37" s="614"/>
      <c r="H37" s="616"/>
      <c r="I37" s="171">
        <v>513495.99000000005</v>
      </c>
      <c r="J37" s="172">
        <f t="shared" si="2"/>
        <v>0.10844063285138224</v>
      </c>
      <c r="K37" s="171">
        <v>626133.05000000005</v>
      </c>
      <c r="L37" s="172">
        <f t="shared" si="3"/>
        <v>0.13222744775702366</v>
      </c>
      <c r="M37" s="171">
        <f t="shared" si="4"/>
        <v>1139629.04</v>
      </c>
      <c r="N37" s="172">
        <f t="shared" ref="N37" si="99">M37/$F37</f>
        <v>0.24066808060840589</v>
      </c>
      <c r="O37" s="171">
        <v>179289</v>
      </c>
      <c r="P37" s="172">
        <f t="shared" si="6"/>
        <v>3.7862442943890309E-2</v>
      </c>
      <c r="Q37" s="171">
        <v>0</v>
      </c>
      <c r="R37" s="172">
        <f t="shared" si="7"/>
        <v>0</v>
      </c>
      <c r="S37" s="171">
        <f t="shared" si="8"/>
        <v>179289</v>
      </c>
      <c r="T37" s="172">
        <f t="shared" ref="T37" si="100">S37/$F37</f>
        <v>3.7862442943890309E-2</v>
      </c>
      <c r="U37" s="171">
        <v>65814.12</v>
      </c>
      <c r="V37" s="172">
        <f t="shared" ref="V37" si="101">U37/$F37</f>
        <v>1.3898696313785841E-2</v>
      </c>
      <c r="W37" s="171">
        <v>412713.43000000005</v>
      </c>
      <c r="X37" s="172">
        <f t="shared" si="11"/>
        <v>8.7157263945653485E-2</v>
      </c>
      <c r="Y37" s="171">
        <v>332660.69</v>
      </c>
      <c r="Z37" s="172">
        <f t="shared" si="12"/>
        <v>7.0251640618220756E-2</v>
      </c>
      <c r="AA37" s="171">
        <v>429954.3</v>
      </c>
      <c r="AB37" s="172">
        <f t="shared" si="13"/>
        <v>9.0798209328125518E-2</v>
      </c>
      <c r="AC37" s="171">
        <f t="shared" si="14"/>
        <v>762614.99</v>
      </c>
      <c r="AD37" s="172">
        <f t="shared" si="15"/>
        <v>0.16104984994634627</v>
      </c>
      <c r="AE37" s="171">
        <v>1329457.99</v>
      </c>
      <c r="AF37" s="172">
        <f t="shared" si="16"/>
        <v>0.28075636147601968</v>
      </c>
      <c r="AG37" s="171">
        <v>0</v>
      </c>
      <c r="AH37" s="172">
        <f t="shared" si="17"/>
        <v>0</v>
      </c>
      <c r="AI37" s="171">
        <v>705939.90999999992</v>
      </c>
      <c r="AJ37" s="172">
        <f t="shared" si="18"/>
        <v>0.14908114588284865</v>
      </c>
      <c r="AK37" s="171">
        <v>139814.41999999998</v>
      </c>
      <c r="AL37" s="172">
        <f t="shared" si="19"/>
        <v>2.9526158883049797E-2</v>
      </c>
      <c r="AN37" s="72"/>
    </row>
    <row r="38" spans="2:40" s="73" customFormat="1" ht="14.25" hidden="1" customHeight="1">
      <c r="B38" s="610"/>
      <c r="C38" s="618"/>
      <c r="D38" s="170">
        <v>46262</v>
      </c>
      <c r="E38" s="170" t="s">
        <v>122</v>
      </c>
      <c r="F38" s="319">
        <f t="shared" si="0"/>
        <v>3911723.8</v>
      </c>
      <c r="G38" s="614"/>
      <c r="H38" s="616"/>
      <c r="I38" s="171">
        <v>391060.31000000006</v>
      </c>
      <c r="J38" s="172">
        <f t="shared" si="2"/>
        <v>9.9971350226721031E-2</v>
      </c>
      <c r="K38" s="171">
        <v>567850.69999999995</v>
      </c>
      <c r="L38" s="172">
        <f t="shared" si="3"/>
        <v>0.14516635862685395</v>
      </c>
      <c r="M38" s="171">
        <f t="shared" si="4"/>
        <v>958911.01</v>
      </c>
      <c r="N38" s="172">
        <f t="shared" ref="N38" si="102">M38/F38</f>
        <v>0.245137708853575</v>
      </c>
      <c r="O38" s="171">
        <v>135920.25</v>
      </c>
      <c r="P38" s="172">
        <f t="shared" si="6"/>
        <v>3.4746893428416394E-2</v>
      </c>
      <c r="Q38" s="171">
        <v>0</v>
      </c>
      <c r="R38" s="172">
        <f t="shared" si="7"/>
        <v>0</v>
      </c>
      <c r="S38" s="171">
        <f t="shared" si="8"/>
        <v>135920.25</v>
      </c>
      <c r="T38" s="172">
        <f t="shared" ref="T38" si="103">S38/F38</f>
        <v>3.4746893428416394E-2</v>
      </c>
      <c r="U38" s="171">
        <v>45434.52</v>
      </c>
      <c r="V38" s="172">
        <f t="shared" ref="V38" si="104">U38/F38</f>
        <v>1.1614961158556236E-2</v>
      </c>
      <c r="W38" s="171">
        <v>278845.5</v>
      </c>
      <c r="X38" s="172">
        <f t="shared" si="11"/>
        <v>7.1284557462876083E-2</v>
      </c>
      <c r="Y38" s="171">
        <v>230273.7</v>
      </c>
      <c r="Z38" s="172">
        <f t="shared" si="12"/>
        <v>5.8867576488912644E-2</v>
      </c>
      <c r="AA38" s="171">
        <v>411891.81</v>
      </c>
      <c r="AB38" s="172">
        <f t="shared" si="13"/>
        <v>0.10529675177986748</v>
      </c>
      <c r="AC38" s="171">
        <f t="shared" si="14"/>
        <v>642165.51</v>
      </c>
      <c r="AD38" s="172">
        <f t="shared" si="15"/>
        <v>0.16416432826878014</v>
      </c>
      <c r="AE38" s="171">
        <v>1036322.51</v>
      </c>
      <c r="AF38" s="172">
        <f t="shared" si="16"/>
        <v>0.26492732181142237</v>
      </c>
      <c r="AG38" s="171">
        <v>0</v>
      </c>
      <c r="AH38" s="172">
        <f t="shared" si="17"/>
        <v>0</v>
      </c>
      <c r="AI38" s="171">
        <v>700833.25999999989</v>
      </c>
      <c r="AJ38" s="172">
        <f t="shared" si="18"/>
        <v>0.17916225578094239</v>
      </c>
      <c r="AK38" s="171">
        <v>113291.23999999999</v>
      </c>
      <c r="AL38" s="172">
        <f t="shared" si="19"/>
        <v>2.8961973235431395E-2</v>
      </c>
      <c r="AN38" s="72"/>
    </row>
    <row r="39" spans="2:40" s="73" customFormat="1" ht="14.25" hidden="1" customHeight="1">
      <c r="B39" s="610"/>
      <c r="C39" s="618"/>
      <c r="D39" s="170">
        <v>46263</v>
      </c>
      <c r="E39" s="170" t="s">
        <v>124</v>
      </c>
      <c r="F39" s="319">
        <f t="shared" si="0"/>
        <v>4263630.51</v>
      </c>
      <c r="G39" s="614"/>
      <c r="H39" s="616"/>
      <c r="I39" s="171">
        <v>383080.00000000006</v>
      </c>
      <c r="J39" s="172">
        <f t="shared" si="2"/>
        <v>8.9848310987905022E-2</v>
      </c>
      <c r="K39" s="171">
        <v>655542.65</v>
      </c>
      <c r="L39" s="172">
        <f t="shared" si="3"/>
        <v>0.15375221855235294</v>
      </c>
      <c r="M39" s="171">
        <f t="shared" si="4"/>
        <v>1038622.6500000001</v>
      </c>
      <c r="N39" s="172">
        <f t="shared" ref="N39" si="105">M39/$F39</f>
        <v>0.24360052954025799</v>
      </c>
      <c r="O39" s="171">
        <v>132370.34</v>
      </c>
      <c r="P39" s="172">
        <f t="shared" si="6"/>
        <v>3.1046391025098468E-2</v>
      </c>
      <c r="Q39" s="171">
        <v>0</v>
      </c>
      <c r="R39" s="172">
        <f t="shared" si="7"/>
        <v>0</v>
      </c>
      <c r="S39" s="171">
        <f t="shared" si="8"/>
        <v>132370.34</v>
      </c>
      <c r="T39" s="172">
        <f t="shared" ref="T39" si="106">S39/$F39</f>
        <v>3.1046391025098468E-2</v>
      </c>
      <c r="U39" s="171">
        <v>46992.959999999999</v>
      </c>
      <c r="V39" s="172">
        <f t="shared" ref="V39" si="107">U39/$F39</f>
        <v>1.1021818117161377E-2</v>
      </c>
      <c r="W39" s="171">
        <v>304440.24</v>
      </c>
      <c r="X39" s="172">
        <f t="shared" si="11"/>
        <v>7.1403992275118608E-2</v>
      </c>
      <c r="Y39" s="171">
        <v>254274.45</v>
      </c>
      <c r="Z39" s="172">
        <f t="shared" si="12"/>
        <v>5.96380125819111E-2</v>
      </c>
      <c r="AA39" s="171">
        <v>527752.7300000001</v>
      </c>
      <c r="AB39" s="172">
        <f t="shared" si="13"/>
        <v>0.12378012793608613</v>
      </c>
      <c r="AC39" s="171">
        <f t="shared" si="14"/>
        <v>782027.18000000017</v>
      </c>
      <c r="AD39" s="172">
        <f t="shared" si="15"/>
        <v>0.18341814051799724</v>
      </c>
      <c r="AE39" s="171">
        <v>1095434.4100000001</v>
      </c>
      <c r="AF39" s="172">
        <f t="shared" si="16"/>
        <v>0.25692526766349655</v>
      </c>
      <c r="AG39" s="171">
        <v>0</v>
      </c>
      <c r="AH39" s="172">
        <f t="shared" si="17"/>
        <v>0</v>
      </c>
      <c r="AI39" s="171">
        <v>755198.10999999987</v>
      </c>
      <c r="AJ39" s="172">
        <f t="shared" si="18"/>
        <v>0.17712559946945305</v>
      </c>
      <c r="AK39" s="171">
        <v>108544.62</v>
      </c>
      <c r="AL39" s="172">
        <f t="shared" si="19"/>
        <v>2.5458261391416867E-2</v>
      </c>
      <c r="AN39" s="72"/>
    </row>
    <row r="40" spans="2:40" s="73" customFormat="1" ht="14.25" hidden="1" customHeight="1">
      <c r="B40" s="610"/>
      <c r="C40" s="618"/>
      <c r="D40" s="170">
        <v>46264</v>
      </c>
      <c r="E40" s="170" t="s">
        <v>116</v>
      </c>
      <c r="F40" s="319">
        <f t="shared" si="0"/>
        <v>5874431.6899999995</v>
      </c>
      <c r="G40" s="614"/>
      <c r="H40" s="616"/>
      <c r="I40" s="171">
        <v>588885.4</v>
      </c>
      <c r="J40" s="172">
        <f t="shared" si="2"/>
        <v>0.10024550987671797</v>
      </c>
      <c r="K40" s="171">
        <v>736038.74999999988</v>
      </c>
      <c r="L40" s="172">
        <f t="shared" si="3"/>
        <v>0.12529531175806385</v>
      </c>
      <c r="M40" s="171">
        <f t="shared" si="4"/>
        <v>1324924.1499999999</v>
      </c>
      <c r="N40" s="172">
        <f t="shared" ref="N40" si="108">M40/F40</f>
        <v>0.22554082163478184</v>
      </c>
      <c r="O40" s="171">
        <v>192057.2</v>
      </c>
      <c r="P40" s="172">
        <f t="shared" si="6"/>
        <v>3.2693749818716512E-2</v>
      </c>
      <c r="Q40" s="171">
        <v>0</v>
      </c>
      <c r="R40" s="172">
        <f t="shared" si="7"/>
        <v>0</v>
      </c>
      <c r="S40" s="171">
        <f t="shared" si="8"/>
        <v>192057.2</v>
      </c>
      <c r="T40" s="172">
        <f t="shared" ref="T40" si="109">S40/F40</f>
        <v>3.2693749818716512E-2</v>
      </c>
      <c r="U40" s="171">
        <v>77652.27</v>
      </c>
      <c r="V40" s="172">
        <f t="shared" ref="V40" si="110">U40/F40</f>
        <v>1.3218686350917464E-2</v>
      </c>
      <c r="W40" s="171">
        <v>489386.11</v>
      </c>
      <c r="X40" s="172">
        <f t="shared" si="11"/>
        <v>8.3307822071210444E-2</v>
      </c>
      <c r="Y40" s="171">
        <v>369697.79</v>
      </c>
      <c r="Z40" s="172">
        <f t="shared" si="12"/>
        <v>6.2933371176880609E-2</v>
      </c>
      <c r="AA40" s="171">
        <v>618760.44999999995</v>
      </c>
      <c r="AB40" s="172">
        <f t="shared" si="13"/>
        <v>0.10533111671947963</v>
      </c>
      <c r="AC40" s="171">
        <f t="shared" si="14"/>
        <v>988458.24</v>
      </c>
      <c r="AD40" s="172">
        <f t="shared" si="15"/>
        <v>0.16826448789636025</v>
      </c>
      <c r="AE40" s="171">
        <v>1730148.0199999998</v>
      </c>
      <c r="AF40" s="172">
        <f t="shared" si="16"/>
        <v>0.29452177015611869</v>
      </c>
      <c r="AG40" s="171">
        <v>0</v>
      </c>
      <c r="AH40" s="172">
        <f t="shared" si="17"/>
        <v>0</v>
      </c>
      <c r="AI40" s="171">
        <v>941499.84</v>
      </c>
      <c r="AJ40" s="172">
        <f t="shared" si="18"/>
        <v>0.16027079548864412</v>
      </c>
      <c r="AK40" s="171">
        <v>130305.86</v>
      </c>
      <c r="AL40" s="172">
        <f t="shared" si="19"/>
        <v>2.2181866583250713E-2</v>
      </c>
      <c r="AN40" s="72"/>
    </row>
    <row r="41" spans="2:40" s="73" customFormat="1" ht="14.25" hidden="1" customHeight="1">
      <c r="B41" s="611"/>
      <c r="C41" s="619"/>
      <c r="D41" s="170">
        <v>46265</v>
      </c>
      <c r="E41" s="170" t="s">
        <v>125</v>
      </c>
      <c r="F41" s="319">
        <f t="shared" si="0"/>
        <v>5898192.4800000004</v>
      </c>
      <c r="G41" s="614"/>
      <c r="H41" s="617"/>
      <c r="I41" s="171">
        <v>575773.89</v>
      </c>
      <c r="J41" s="172">
        <f t="shared" si="2"/>
        <v>9.7618701314406739E-2</v>
      </c>
      <c r="K41" s="171">
        <v>954747.30999999982</v>
      </c>
      <c r="L41" s="172">
        <f t="shared" si="3"/>
        <v>0.16187116870760374</v>
      </c>
      <c r="M41" s="171">
        <f t="shared" si="4"/>
        <v>1530521.1999999997</v>
      </c>
      <c r="N41" s="172">
        <f t="shared" ref="N41:N42" si="111">M41/$F41</f>
        <v>0.25948987002201046</v>
      </c>
      <c r="O41" s="171">
        <v>189652.69</v>
      </c>
      <c r="P41" s="172">
        <f t="shared" si="6"/>
        <v>3.2154374521192297E-2</v>
      </c>
      <c r="Q41" s="171">
        <v>0</v>
      </c>
      <c r="R41" s="172">
        <f t="shared" si="7"/>
        <v>0</v>
      </c>
      <c r="S41" s="171">
        <f t="shared" si="8"/>
        <v>189652.69</v>
      </c>
      <c r="T41" s="172">
        <f t="shared" ref="T41:T42" si="112">S41/$F41</f>
        <v>3.2154374521192297E-2</v>
      </c>
      <c r="U41" s="171">
        <v>67792.14</v>
      </c>
      <c r="V41" s="172">
        <f t="shared" ref="V41:V42" si="113">U41/$F41</f>
        <v>1.1493714426898458E-2</v>
      </c>
      <c r="W41" s="171">
        <v>425756.55000000005</v>
      </c>
      <c r="X41" s="172">
        <f t="shared" si="11"/>
        <v>7.2184241433911292E-2</v>
      </c>
      <c r="Y41" s="171">
        <v>362942.91000000003</v>
      </c>
      <c r="Z41" s="172">
        <f t="shared" si="12"/>
        <v>6.1534599155706089E-2</v>
      </c>
      <c r="AA41" s="171">
        <v>601315.09</v>
      </c>
      <c r="AB41" s="172">
        <f t="shared" si="13"/>
        <v>0.10194904490468577</v>
      </c>
      <c r="AC41" s="171">
        <f t="shared" si="14"/>
        <v>964258</v>
      </c>
      <c r="AD41" s="172">
        <f t="shared" si="15"/>
        <v>0.16348364406039187</v>
      </c>
      <c r="AE41" s="171">
        <v>1700079.8399999999</v>
      </c>
      <c r="AF41" s="172">
        <f t="shared" si="16"/>
        <v>0.28823742964726029</v>
      </c>
      <c r="AG41" s="171">
        <v>0</v>
      </c>
      <c r="AH41" s="172">
        <f t="shared" si="17"/>
        <v>0</v>
      </c>
      <c r="AI41" s="171">
        <v>878697.66</v>
      </c>
      <c r="AJ41" s="172">
        <f t="shared" si="18"/>
        <v>0.14897744740944771</v>
      </c>
      <c r="AK41" s="171">
        <v>141434.4</v>
      </c>
      <c r="AL41" s="172">
        <f t="shared" si="19"/>
        <v>2.3979278478887481E-2</v>
      </c>
      <c r="AN41" s="72"/>
    </row>
    <row r="42" spans="2:40" s="73" customFormat="1" ht="14.25" customHeight="1">
      <c r="B42" s="609">
        <f>B35+7</f>
        <v>46274</v>
      </c>
      <c r="C42" s="612" t="s">
        <v>126</v>
      </c>
      <c r="D42" s="170">
        <v>46266</v>
      </c>
      <c r="E42" s="170" t="s">
        <v>119</v>
      </c>
      <c r="F42" s="319">
        <f t="shared" si="0"/>
        <v>5905912.6799999997</v>
      </c>
      <c r="G42" s="614">
        <f t="shared" ref="G42" si="114">SUM(F42:F48)</f>
        <v>36405586.840000004</v>
      </c>
      <c r="H42" s="615">
        <f>SUM(F42:F71)</f>
        <v>36405586.840000004</v>
      </c>
      <c r="I42" s="171">
        <v>965665.33</v>
      </c>
      <c r="J42" s="172">
        <f t="shared" si="2"/>
        <v>0.16350823019618366</v>
      </c>
      <c r="K42" s="171">
        <v>996527.24000000011</v>
      </c>
      <c r="L42" s="172">
        <f t="shared" si="3"/>
        <v>0.16873382557359451</v>
      </c>
      <c r="M42" s="171">
        <f t="shared" si="4"/>
        <v>1962192.57</v>
      </c>
      <c r="N42" s="172">
        <f t="shared" si="111"/>
        <v>0.33224205576977817</v>
      </c>
      <c r="O42" s="171">
        <v>186091.66</v>
      </c>
      <c r="P42" s="172">
        <f t="shared" si="6"/>
        <v>3.1509382221343647E-2</v>
      </c>
      <c r="Q42" s="171">
        <v>0</v>
      </c>
      <c r="R42" s="172">
        <f t="shared" si="7"/>
        <v>0</v>
      </c>
      <c r="S42" s="171">
        <f t="shared" si="8"/>
        <v>186091.66</v>
      </c>
      <c r="T42" s="172">
        <f t="shared" si="112"/>
        <v>3.1509382221343647E-2</v>
      </c>
      <c r="U42" s="171">
        <v>73486.44</v>
      </c>
      <c r="V42" s="172">
        <f t="shared" si="113"/>
        <v>1.2442859212744068E-2</v>
      </c>
      <c r="W42" s="171">
        <v>330329.82</v>
      </c>
      <c r="X42" s="172">
        <f t="shared" si="11"/>
        <v>5.5932052825406829E-2</v>
      </c>
      <c r="Y42" s="171">
        <v>347793.25</v>
      </c>
      <c r="Z42" s="172">
        <f t="shared" si="12"/>
        <v>5.8888992920227194E-2</v>
      </c>
      <c r="AA42" s="171">
        <v>591844.44000000006</v>
      </c>
      <c r="AB42" s="172">
        <f t="shared" si="13"/>
        <v>0.10021218938848248</v>
      </c>
      <c r="AC42" s="171">
        <f t="shared" si="14"/>
        <v>939637.69000000006</v>
      </c>
      <c r="AD42" s="172">
        <f t="shared" si="15"/>
        <v>0.15910118230870968</v>
      </c>
      <c r="AE42" s="171">
        <v>1564716.5699999998</v>
      </c>
      <c r="AF42" s="172">
        <f t="shared" si="16"/>
        <v>0.26494068821891215</v>
      </c>
      <c r="AG42" s="171">
        <v>0</v>
      </c>
      <c r="AH42" s="172">
        <f t="shared" si="17"/>
        <v>0</v>
      </c>
      <c r="AI42" s="171">
        <v>727670.25</v>
      </c>
      <c r="AJ42" s="172">
        <f t="shared" si="18"/>
        <v>0.12321046541446665</v>
      </c>
      <c r="AK42" s="171">
        <v>121787.68</v>
      </c>
      <c r="AL42" s="172">
        <f t="shared" si="19"/>
        <v>2.062131402863884E-2</v>
      </c>
      <c r="AN42" s="72"/>
    </row>
    <row r="43" spans="2:40" s="73" customFormat="1" ht="14.25" customHeight="1">
      <c r="B43" s="610"/>
      <c r="C43" s="613"/>
      <c r="D43" s="170">
        <v>46267</v>
      </c>
      <c r="E43" s="170" t="s">
        <v>120</v>
      </c>
      <c r="F43" s="319">
        <f t="shared" si="0"/>
        <v>5349912.8599999985</v>
      </c>
      <c r="G43" s="614"/>
      <c r="H43" s="616"/>
      <c r="I43" s="171">
        <v>785268.90999999992</v>
      </c>
      <c r="J43" s="172">
        <f t="shared" si="2"/>
        <v>0.14678162627119876</v>
      </c>
      <c r="K43" s="171">
        <v>913527.77999999991</v>
      </c>
      <c r="L43" s="172">
        <f t="shared" si="3"/>
        <v>0.17075563731705345</v>
      </c>
      <c r="M43" s="171">
        <f t="shared" si="4"/>
        <v>1698796.69</v>
      </c>
      <c r="N43" s="172">
        <f t="shared" ref="N43" si="115">M43/F43</f>
        <v>0.31753726358825224</v>
      </c>
      <c r="O43" s="171">
        <v>183347.53999999998</v>
      </c>
      <c r="P43" s="172">
        <f t="shared" si="6"/>
        <v>3.4271126427281667E-2</v>
      </c>
      <c r="Q43" s="171">
        <v>0</v>
      </c>
      <c r="R43" s="172">
        <f t="shared" si="7"/>
        <v>0</v>
      </c>
      <c r="S43" s="171">
        <f t="shared" si="8"/>
        <v>183347.53999999998</v>
      </c>
      <c r="T43" s="172">
        <f t="shared" ref="T43" si="116">S43/F43</f>
        <v>3.4271126427281667E-2</v>
      </c>
      <c r="U43" s="171">
        <v>61888.049999999996</v>
      </c>
      <c r="V43" s="172">
        <f t="shared" ref="V43" si="117">U43/F43</f>
        <v>1.1568048231723912E-2</v>
      </c>
      <c r="W43" s="171">
        <v>307617.76</v>
      </c>
      <c r="X43" s="172">
        <f t="shared" si="11"/>
        <v>5.7499583273586272E-2</v>
      </c>
      <c r="Y43" s="171">
        <v>313309.67</v>
      </c>
      <c r="Z43" s="172">
        <f t="shared" si="12"/>
        <v>5.856350901386459E-2</v>
      </c>
      <c r="AA43" s="171">
        <v>537598.79</v>
      </c>
      <c r="AB43" s="172">
        <f t="shared" si="13"/>
        <v>0.10048739186379947</v>
      </c>
      <c r="AC43" s="171">
        <f t="shared" si="14"/>
        <v>850908.46</v>
      </c>
      <c r="AD43" s="172">
        <f t="shared" si="15"/>
        <v>0.15905090087766405</v>
      </c>
      <c r="AE43" s="171">
        <v>1429210.7899999996</v>
      </c>
      <c r="AF43" s="172">
        <f t="shared" si="16"/>
        <v>0.26714655498145812</v>
      </c>
      <c r="AG43" s="171">
        <v>0</v>
      </c>
      <c r="AH43" s="172">
        <f t="shared" si="17"/>
        <v>0</v>
      </c>
      <c r="AI43" s="171">
        <v>686065.8899999999</v>
      </c>
      <c r="AJ43" s="172">
        <f t="shared" si="18"/>
        <v>0.1282387036861008</v>
      </c>
      <c r="AK43" s="171">
        <v>132077.68</v>
      </c>
      <c r="AL43" s="172">
        <f t="shared" si="19"/>
        <v>2.468781893393307E-2</v>
      </c>
      <c r="AN43" s="72"/>
    </row>
    <row r="44" spans="2:40" s="73" customFormat="1" ht="14.25" customHeight="1">
      <c r="B44" s="610"/>
      <c r="C44" s="613"/>
      <c r="D44" s="170">
        <v>46268</v>
      </c>
      <c r="E44" s="170" t="s">
        <v>121</v>
      </c>
      <c r="F44" s="319">
        <f t="shared" si="0"/>
        <v>4890176.0899999989</v>
      </c>
      <c r="G44" s="614"/>
      <c r="H44" s="616"/>
      <c r="I44" s="171">
        <v>714607.30999999994</v>
      </c>
      <c r="J44" s="172">
        <f t="shared" si="2"/>
        <v>0.14613120199522306</v>
      </c>
      <c r="K44" s="171">
        <v>798948.47</v>
      </c>
      <c r="L44" s="172">
        <f t="shared" si="3"/>
        <v>0.16337826190631105</v>
      </c>
      <c r="M44" s="171">
        <f t="shared" si="4"/>
        <v>1513555.7799999998</v>
      </c>
      <c r="N44" s="172">
        <f t="shared" ref="N44" si="118">M44/$F44</f>
        <v>0.30950946390153411</v>
      </c>
      <c r="O44" s="171">
        <v>177854.49</v>
      </c>
      <c r="P44" s="172">
        <f t="shared" si="6"/>
        <v>3.63697516667544E-2</v>
      </c>
      <c r="Q44" s="171">
        <v>0</v>
      </c>
      <c r="R44" s="172">
        <f t="shared" si="7"/>
        <v>0</v>
      </c>
      <c r="S44" s="171">
        <f t="shared" si="8"/>
        <v>177854.49</v>
      </c>
      <c r="T44" s="172">
        <f t="shared" ref="T44" si="119">S44/$F44</f>
        <v>3.63697516667544E-2</v>
      </c>
      <c r="U44" s="171">
        <v>48131.82</v>
      </c>
      <c r="V44" s="172">
        <f t="shared" ref="V44" si="120">U44/$F44</f>
        <v>9.842553542892974E-3</v>
      </c>
      <c r="W44" s="171">
        <v>328586.73</v>
      </c>
      <c r="X44" s="172">
        <f t="shared" si="11"/>
        <v>6.7193230663397246E-2</v>
      </c>
      <c r="Y44" s="171">
        <v>311720.44</v>
      </c>
      <c r="Z44" s="172">
        <f t="shared" si="12"/>
        <v>6.3744215803893486E-2</v>
      </c>
      <c r="AA44" s="171">
        <v>414068.89</v>
      </c>
      <c r="AB44" s="172">
        <f t="shared" si="13"/>
        <v>8.4673615505735322E-2</v>
      </c>
      <c r="AC44" s="171">
        <f t="shared" si="14"/>
        <v>725789.33000000007</v>
      </c>
      <c r="AD44" s="172">
        <f t="shared" si="15"/>
        <v>0.14841783130962882</v>
      </c>
      <c r="AE44" s="171">
        <v>1330554.1100000001</v>
      </c>
      <c r="AF44" s="172">
        <f t="shared" si="16"/>
        <v>0.27208715709049253</v>
      </c>
      <c r="AG44" s="171">
        <v>0</v>
      </c>
      <c r="AH44" s="172">
        <f t="shared" si="17"/>
        <v>0</v>
      </c>
      <c r="AI44" s="171">
        <v>644164.68999999983</v>
      </c>
      <c r="AJ44" s="172">
        <f t="shared" si="18"/>
        <v>0.13172627695703285</v>
      </c>
      <c r="AK44" s="171">
        <v>121539.13999999998</v>
      </c>
      <c r="AL44" s="172">
        <f t="shared" si="19"/>
        <v>2.4853734868267294E-2</v>
      </c>
      <c r="AN44" s="72"/>
    </row>
    <row r="45" spans="2:40" s="73" customFormat="1" ht="14.25" customHeight="1">
      <c r="B45" s="610"/>
      <c r="C45" s="613"/>
      <c r="D45" s="170">
        <v>46269</v>
      </c>
      <c r="E45" s="170" t="s">
        <v>122</v>
      </c>
      <c r="F45" s="319">
        <f t="shared" si="0"/>
        <v>3858381.1400000006</v>
      </c>
      <c r="G45" s="614"/>
      <c r="H45" s="616"/>
      <c r="I45" s="171">
        <v>564097.31000000006</v>
      </c>
      <c r="J45" s="172">
        <f t="shared" si="2"/>
        <v>0.14620051506886642</v>
      </c>
      <c r="K45" s="171">
        <v>696752.3899999999</v>
      </c>
      <c r="L45" s="172">
        <f t="shared" si="3"/>
        <v>0.18058153529124907</v>
      </c>
      <c r="M45" s="171">
        <f t="shared" si="4"/>
        <v>1260849.7</v>
      </c>
      <c r="N45" s="172">
        <f t="shared" ref="N45" si="121">M45/F45</f>
        <v>0.32678205036011548</v>
      </c>
      <c r="O45" s="171">
        <v>130835.86</v>
      </c>
      <c r="P45" s="172">
        <f t="shared" si="6"/>
        <v>3.3909521960808667E-2</v>
      </c>
      <c r="Q45" s="171">
        <v>0</v>
      </c>
      <c r="R45" s="172">
        <f t="shared" si="7"/>
        <v>0</v>
      </c>
      <c r="S45" s="171">
        <f t="shared" si="8"/>
        <v>130835.86</v>
      </c>
      <c r="T45" s="172">
        <f t="shared" ref="T45" si="122">S45/F45</f>
        <v>3.3909521960808667E-2</v>
      </c>
      <c r="U45" s="171">
        <v>42677.279999999999</v>
      </c>
      <c r="V45" s="172">
        <f t="shared" ref="V45" si="123">U45/F45</f>
        <v>1.1060929040307301E-2</v>
      </c>
      <c r="W45" s="171">
        <v>274594.18</v>
      </c>
      <c r="X45" s="172">
        <f t="shared" si="11"/>
        <v>7.1168236116766828E-2</v>
      </c>
      <c r="Y45" s="171">
        <v>168532.13</v>
      </c>
      <c r="Z45" s="172">
        <f t="shared" si="12"/>
        <v>4.3679492482694433E-2</v>
      </c>
      <c r="AA45" s="171">
        <v>401378.00999999995</v>
      </c>
      <c r="AB45" s="172">
        <f t="shared" si="13"/>
        <v>0.1040275689301135</v>
      </c>
      <c r="AC45" s="171">
        <f t="shared" si="14"/>
        <v>569910.1399999999</v>
      </c>
      <c r="AD45" s="172">
        <f t="shared" si="15"/>
        <v>0.14770706141280793</v>
      </c>
      <c r="AE45" s="171">
        <v>902139.72000000009</v>
      </c>
      <c r="AF45" s="172">
        <f t="shared" si="16"/>
        <v>0.23381301309180666</v>
      </c>
      <c r="AG45" s="171">
        <v>0</v>
      </c>
      <c r="AH45" s="172">
        <f t="shared" si="17"/>
        <v>0</v>
      </c>
      <c r="AI45" s="171">
        <v>572419.53999999992</v>
      </c>
      <c r="AJ45" s="172">
        <f t="shared" si="18"/>
        <v>0.14835743780356542</v>
      </c>
      <c r="AK45" s="171">
        <v>104954.72</v>
      </c>
      <c r="AL45" s="172">
        <f t="shared" si="19"/>
        <v>2.7201750213821537E-2</v>
      </c>
      <c r="AN45" s="72"/>
    </row>
    <row r="46" spans="2:40" s="73" customFormat="1" ht="14.25" customHeight="1">
      <c r="B46" s="610"/>
      <c r="C46" s="613"/>
      <c r="D46" s="170">
        <v>46270</v>
      </c>
      <c r="E46" s="170" t="s">
        <v>124</v>
      </c>
      <c r="F46" s="319">
        <f t="shared" si="0"/>
        <v>4194791.4399999995</v>
      </c>
      <c r="G46" s="614"/>
      <c r="H46" s="616"/>
      <c r="I46" s="171">
        <v>516206.97</v>
      </c>
      <c r="J46" s="172">
        <f t="shared" si="2"/>
        <v>0.12305903103492555</v>
      </c>
      <c r="K46" s="171">
        <v>779670.35</v>
      </c>
      <c r="L46" s="172">
        <f t="shared" si="3"/>
        <v>0.18586629660901569</v>
      </c>
      <c r="M46" s="171">
        <f t="shared" si="4"/>
        <v>1295877.3199999998</v>
      </c>
      <c r="N46" s="172">
        <f t="shared" ref="N46" si="124">M46/$F46</f>
        <v>0.30892532764394121</v>
      </c>
      <c r="O46" s="171">
        <v>126410.44</v>
      </c>
      <c r="P46" s="172">
        <f t="shared" si="6"/>
        <v>3.0135095345765275E-2</v>
      </c>
      <c r="Q46" s="171">
        <v>0</v>
      </c>
      <c r="R46" s="172">
        <f t="shared" si="7"/>
        <v>0</v>
      </c>
      <c r="S46" s="171">
        <f t="shared" si="8"/>
        <v>126410.44</v>
      </c>
      <c r="T46" s="172">
        <f t="shared" ref="T46" si="125">S46/$F46</f>
        <v>3.0135095345765275E-2</v>
      </c>
      <c r="U46" s="171">
        <v>46873.08</v>
      </c>
      <c r="V46" s="172">
        <f t="shared" ref="V46" si="126">U46/$F46</f>
        <v>1.1174114534762188E-2</v>
      </c>
      <c r="W46" s="171">
        <v>250750.03</v>
      </c>
      <c r="X46" s="172">
        <f t="shared" si="11"/>
        <v>5.9776518948937311E-2</v>
      </c>
      <c r="Y46" s="171">
        <v>228529.22</v>
      </c>
      <c r="Z46" s="172">
        <f t="shared" si="12"/>
        <v>5.4479280619491303E-2</v>
      </c>
      <c r="AA46" s="171">
        <v>540594.66999999993</v>
      </c>
      <c r="AB46" s="172">
        <f t="shared" si="13"/>
        <v>0.12887283616655801</v>
      </c>
      <c r="AC46" s="171">
        <f t="shared" si="14"/>
        <v>769123.8899999999</v>
      </c>
      <c r="AD46" s="172">
        <f t="shared" si="15"/>
        <v>0.18335211678604932</v>
      </c>
      <c r="AE46" s="171">
        <v>1005224.71</v>
      </c>
      <c r="AF46" s="172">
        <f t="shared" si="16"/>
        <v>0.23963639775139811</v>
      </c>
      <c r="AG46" s="171">
        <v>0</v>
      </c>
      <c r="AH46" s="172">
        <f t="shared" si="17"/>
        <v>0</v>
      </c>
      <c r="AI46" s="171">
        <v>589891.56999999995</v>
      </c>
      <c r="AJ46" s="172">
        <f t="shared" si="18"/>
        <v>0.14062476727090872</v>
      </c>
      <c r="AK46" s="171">
        <v>110640.4</v>
      </c>
      <c r="AL46" s="172">
        <f t="shared" si="19"/>
        <v>2.6375661718237894E-2</v>
      </c>
      <c r="AN46" s="72"/>
    </row>
    <row r="47" spans="2:40" s="73" customFormat="1" ht="14.25" customHeight="1">
      <c r="B47" s="610"/>
      <c r="C47" s="613"/>
      <c r="D47" s="170">
        <v>46271</v>
      </c>
      <c r="E47" s="170" t="s">
        <v>116</v>
      </c>
      <c r="F47" s="319">
        <f t="shared" si="0"/>
        <v>6259357.5599999996</v>
      </c>
      <c r="G47" s="614"/>
      <c r="H47" s="616"/>
      <c r="I47" s="171">
        <v>857430.22999999986</v>
      </c>
      <c r="J47" s="172">
        <f t="shared" si="2"/>
        <v>0.1369837434243012</v>
      </c>
      <c r="K47" s="171">
        <v>960137.9</v>
      </c>
      <c r="L47" s="172">
        <f t="shared" si="3"/>
        <v>0.15339240342103097</v>
      </c>
      <c r="M47" s="171">
        <f t="shared" si="4"/>
        <v>1817568.13</v>
      </c>
      <c r="N47" s="172">
        <f t="shared" ref="N47" si="127">M47/F47</f>
        <v>0.29037614684533214</v>
      </c>
      <c r="O47" s="171">
        <v>190377.86</v>
      </c>
      <c r="P47" s="172">
        <f t="shared" si="6"/>
        <v>3.0414920089658529E-2</v>
      </c>
      <c r="Q47" s="171">
        <v>0</v>
      </c>
      <c r="R47" s="172">
        <f t="shared" si="7"/>
        <v>0</v>
      </c>
      <c r="S47" s="171">
        <f t="shared" si="8"/>
        <v>190377.86</v>
      </c>
      <c r="T47" s="172">
        <f t="shared" ref="T47" si="128">S47/F47</f>
        <v>3.0414920089658529E-2</v>
      </c>
      <c r="U47" s="171">
        <v>65604.33</v>
      </c>
      <c r="V47" s="172">
        <f t="shared" ref="V47" si="129">U47/F47</f>
        <v>1.0481000545365875E-2</v>
      </c>
      <c r="W47" s="171">
        <v>345771.09</v>
      </c>
      <c r="X47" s="172">
        <f t="shared" si="11"/>
        <v>5.5240667542245353E-2</v>
      </c>
      <c r="Y47" s="171">
        <v>319403.98</v>
      </c>
      <c r="Z47" s="172">
        <f t="shared" si="12"/>
        <v>5.102823683394115E-2</v>
      </c>
      <c r="AA47" s="171">
        <v>685268.95</v>
      </c>
      <c r="AB47" s="172">
        <f t="shared" si="13"/>
        <v>0.10947911881231466</v>
      </c>
      <c r="AC47" s="171">
        <f t="shared" si="14"/>
        <v>1004672.9299999999</v>
      </c>
      <c r="AD47" s="172">
        <f t="shared" si="15"/>
        <v>0.16050735564625582</v>
      </c>
      <c r="AE47" s="171">
        <v>1916719.4799999997</v>
      </c>
      <c r="AF47" s="172">
        <f t="shared" si="16"/>
        <v>0.30621664629748357</v>
      </c>
      <c r="AG47" s="171">
        <v>0</v>
      </c>
      <c r="AH47" s="172">
        <f t="shared" si="17"/>
        <v>0</v>
      </c>
      <c r="AI47" s="171">
        <v>787967.96</v>
      </c>
      <c r="AJ47" s="172">
        <f t="shared" si="18"/>
        <v>0.12588639528047668</v>
      </c>
      <c r="AK47" s="171">
        <v>130675.78</v>
      </c>
      <c r="AL47" s="172">
        <f t="shared" si="19"/>
        <v>2.0876867753182007E-2</v>
      </c>
      <c r="AN47" s="72"/>
    </row>
    <row r="48" spans="2:40" s="73" customFormat="1" ht="14.25" customHeight="1">
      <c r="B48" s="611"/>
      <c r="C48" s="613"/>
      <c r="D48" s="170">
        <v>46272</v>
      </c>
      <c r="E48" s="170" t="s">
        <v>125</v>
      </c>
      <c r="F48" s="319">
        <f t="shared" si="0"/>
        <v>5947055.0700000003</v>
      </c>
      <c r="G48" s="614"/>
      <c r="H48" s="616"/>
      <c r="I48" s="171">
        <v>813537.1</v>
      </c>
      <c r="J48" s="172">
        <f t="shared" si="2"/>
        <v>0.13679663134513398</v>
      </c>
      <c r="K48" s="171">
        <v>936435.15</v>
      </c>
      <c r="L48" s="172">
        <f t="shared" si="3"/>
        <v>0.15746199404203601</v>
      </c>
      <c r="M48" s="171">
        <f t="shared" si="4"/>
        <v>1749972.25</v>
      </c>
      <c r="N48" s="172">
        <f t="shared" ref="N48" si="130">M48/$F48</f>
        <v>0.29425862538716996</v>
      </c>
      <c r="O48" s="171">
        <v>193410.94</v>
      </c>
      <c r="P48" s="172">
        <f t="shared" si="6"/>
        <v>3.2522137044881945E-2</v>
      </c>
      <c r="Q48" s="171">
        <v>0</v>
      </c>
      <c r="R48" s="172">
        <f t="shared" si="7"/>
        <v>0</v>
      </c>
      <c r="S48" s="171">
        <f t="shared" si="8"/>
        <v>193410.94</v>
      </c>
      <c r="T48" s="172">
        <f t="shared" ref="T48" si="131">S48/$F48</f>
        <v>3.2522137044881945E-2</v>
      </c>
      <c r="U48" s="171">
        <v>69290.64</v>
      </c>
      <c r="V48" s="172">
        <f t="shared" ref="V48" si="132">U48/$F48</f>
        <v>1.1651252457630259E-2</v>
      </c>
      <c r="W48" s="171">
        <v>336923.17000000004</v>
      </c>
      <c r="X48" s="172">
        <f t="shared" si="11"/>
        <v>5.6653783433016039E-2</v>
      </c>
      <c r="Y48" s="171">
        <v>338496.34</v>
      </c>
      <c r="Z48" s="172">
        <f t="shared" si="12"/>
        <v>5.6918312680094285E-2</v>
      </c>
      <c r="AA48" s="171">
        <v>643360.38</v>
      </c>
      <c r="AB48" s="172">
        <f t="shared" si="13"/>
        <v>0.10818133890258393</v>
      </c>
      <c r="AC48" s="171">
        <f t="shared" si="14"/>
        <v>981856.72</v>
      </c>
      <c r="AD48" s="172">
        <f t="shared" si="15"/>
        <v>0.1650996515826782</v>
      </c>
      <c r="AE48" s="171">
        <v>1688882.27</v>
      </c>
      <c r="AF48" s="172">
        <f t="shared" si="16"/>
        <v>0.28398631761787269</v>
      </c>
      <c r="AG48" s="171">
        <v>0</v>
      </c>
      <c r="AH48" s="172">
        <f t="shared" si="17"/>
        <v>0</v>
      </c>
      <c r="AI48" s="171">
        <v>780145.15999999992</v>
      </c>
      <c r="AJ48" s="172">
        <f t="shared" si="18"/>
        <v>0.13118176153024927</v>
      </c>
      <c r="AK48" s="171">
        <v>146573.91999999998</v>
      </c>
      <c r="AL48" s="172">
        <f t="shared" si="19"/>
        <v>2.4646470946501589E-2</v>
      </c>
      <c r="AN48" s="72"/>
    </row>
    <row r="49" spans="8:8" hidden="1" outlineLevel="1">
      <c r="H49" s="616"/>
    </row>
    <row r="50" spans="8:8" hidden="1" outlineLevel="1">
      <c r="H50" s="616"/>
    </row>
    <row r="51" spans="8:8" hidden="1" outlineLevel="1">
      <c r="H51" s="616"/>
    </row>
    <row r="52" spans="8:8" hidden="1" outlineLevel="1">
      <c r="H52" s="616"/>
    </row>
    <row r="53" spans="8:8" hidden="1" outlineLevel="1">
      <c r="H53" s="616"/>
    </row>
    <row r="54" spans="8:8" hidden="1" outlineLevel="1">
      <c r="H54" s="616"/>
    </row>
    <row r="55" spans="8:8" hidden="1" outlineLevel="1">
      <c r="H55" s="616"/>
    </row>
    <row r="56" spans="8:8" hidden="1" outlineLevel="1">
      <c r="H56" s="616"/>
    </row>
    <row r="57" spans="8:8" hidden="1" outlineLevel="1">
      <c r="H57" s="616"/>
    </row>
    <row r="58" spans="8:8" hidden="1" outlineLevel="1">
      <c r="H58" s="616"/>
    </row>
    <row r="59" spans="8:8" hidden="1" outlineLevel="1">
      <c r="H59" s="616"/>
    </row>
    <row r="60" spans="8:8" hidden="1" outlineLevel="1">
      <c r="H60" s="616"/>
    </row>
    <row r="61" spans="8:8" hidden="1" outlineLevel="1">
      <c r="H61" s="616"/>
    </row>
    <row r="62" spans="8:8" hidden="1" outlineLevel="1">
      <c r="H62" s="616"/>
    </row>
    <row r="63" spans="8:8" hidden="1" outlineLevel="1">
      <c r="H63" s="616"/>
    </row>
    <row r="64" spans="8:8" hidden="1" outlineLevel="1">
      <c r="H64" s="616"/>
    </row>
    <row r="65" spans="8:8" hidden="1" outlineLevel="1">
      <c r="H65" s="616"/>
    </row>
    <row r="66" spans="8:8" hidden="1" outlineLevel="1">
      <c r="H66" s="616"/>
    </row>
    <row r="67" spans="8:8" hidden="1" outlineLevel="1">
      <c r="H67" s="616"/>
    </row>
    <row r="68" spans="8:8" hidden="1" outlineLevel="1">
      <c r="H68" s="616"/>
    </row>
    <row r="69" spans="8:8" hidden="1" outlineLevel="1">
      <c r="H69" s="616"/>
    </row>
    <row r="70" spans="8:8" hidden="1" outlineLevel="1">
      <c r="H70" s="616"/>
    </row>
    <row r="71" spans="8:8" hidden="1" outlineLevel="1">
      <c r="H71" s="617"/>
    </row>
    <row r="72" spans="8:8" collapsed="1"/>
  </sheetData>
  <mergeCells count="51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35:G41"/>
    <mergeCell ref="C11:C41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42:B48"/>
    <mergeCell ref="C42:C48"/>
    <mergeCell ref="G42:G48"/>
    <mergeCell ref="H42:H71"/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72"/>
  <sheetViews>
    <sheetView zoomScale="85" zoomScaleNormal="85" workbookViewId="0">
      <selection activeCell="H93" sqref="H93"/>
    </sheetView>
  </sheetViews>
  <sheetFormatPr defaultColWidth="8.85546875" defaultRowHeight="14.25" outlineLevelRow="1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92" t="s">
        <v>154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  <c r="AH2" s="592"/>
      <c r="AI2" s="592"/>
      <c r="AJ2" s="592"/>
      <c r="AK2" s="592"/>
      <c r="AL2" s="592"/>
    </row>
    <row r="3" spans="1:38" ht="25.35" customHeight="1">
      <c r="B3" s="623" t="s">
        <v>107</v>
      </c>
      <c r="C3" s="624" t="s">
        <v>137</v>
      </c>
      <c r="D3" s="625" t="s">
        <v>109</v>
      </c>
      <c r="E3" s="625"/>
      <c r="F3" s="640" t="s">
        <v>155</v>
      </c>
      <c r="G3" s="640"/>
      <c r="H3" s="640"/>
      <c r="I3" s="642" t="s">
        <v>156</v>
      </c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  <c r="Y3" s="642"/>
      <c r="Z3" s="642"/>
      <c r="AA3" s="642"/>
      <c r="AB3" s="642"/>
      <c r="AC3" s="642"/>
      <c r="AD3" s="642"/>
      <c r="AE3" s="642"/>
      <c r="AF3" s="642"/>
      <c r="AG3" s="642"/>
      <c r="AH3" s="642"/>
      <c r="AI3" s="642"/>
      <c r="AJ3" s="642"/>
      <c r="AK3" s="642"/>
      <c r="AL3" s="642"/>
    </row>
    <row r="4" spans="1:38" ht="25.35" customHeight="1">
      <c r="B4" s="623"/>
      <c r="C4" s="624"/>
      <c r="D4" s="625"/>
      <c r="E4" s="625"/>
      <c r="F4" s="640"/>
      <c r="G4" s="640"/>
      <c r="H4" s="640"/>
      <c r="I4" s="639" t="s">
        <v>140</v>
      </c>
      <c r="J4" s="639"/>
      <c r="K4" s="639"/>
      <c r="L4" s="639"/>
      <c r="M4" s="639"/>
      <c r="N4" s="639"/>
      <c r="O4" s="639" t="s">
        <v>141</v>
      </c>
      <c r="P4" s="639"/>
      <c r="Q4" s="639"/>
      <c r="R4" s="639"/>
      <c r="S4" s="639"/>
      <c r="T4" s="639"/>
      <c r="U4" s="639" t="s">
        <v>142</v>
      </c>
      <c r="V4" s="639"/>
      <c r="W4" s="639" t="s">
        <v>143</v>
      </c>
      <c r="X4" s="639"/>
      <c r="Y4" s="639" t="s">
        <v>144</v>
      </c>
      <c r="Z4" s="639"/>
      <c r="AA4" s="639"/>
      <c r="AB4" s="639"/>
      <c r="AC4" s="639"/>
      <c r="AD4" s="639"/>
      <c r="AE4" s="639" t="s">
        <v>145</v>
      </c>
      <c r="AF4" s="639"/>
      <c r="AG4" s="639" t="s">
        <v>146</v>
      </c>
      <c r="AH4" s="639"/>
      <c r="AI4" s="639" t="s">
        <v>147</v>
      </c>
      <c r="AJ4" s="639"/>
      <c r="AK4" s="639" t="s">
        <v>148</v>
      </c>
      <c r="AL4" s="639"/>
    </row>
    <row r="5" spans="1:38" ht="25.35" customHeight="1">
      <c r="B5" s="623"/>
      <c r="C5" s="624"/>
      <c r="D5" s="625"/>
      <c r="E5" s="625"/>
      <c r="F5" s="638" t="s">
        <v>116</v>
      </c>
      <c r="G5" s="638" t="s">
        <v>117</v>
      </c>
      <c r="H5" s="638" t="s">
        <v>118</v>
      </c>
      <c r="I5" s="639" t="s">
        <v>149</v>
      </c>
      <c r="J5" s="639"/>
      <c r="K5" s="639" t="s">
        <v>150</v>
      </c>
      <c r="L5" s="639"/>
      <c r="M5" s="639" t="s">
        <v>151</v>
      </c>
      <c r="N5" s="639"/>
      <c r="O5" s="639" t="s">
        <v>149</v>
      </c>
      <c r="P5" s="639"/>
      <c r="Q5" s="639" t="s">
        <v>150</v>
      </c>
      <c r="R5" s="639"/>
      <c r="S5" s="639" t="s">
        <v>151</v>
      </c>
      <c r="T5" s="639"/>
      <c r="U5" s="639" t="s">
        <v>149</v>
      </c>
      <c r="V5" s="639"/>
      <c r="W5" s="639" t="s">
        <v>149</v>
      </c>
      <c r="X5" s="639"/>
      <c r="Y5" s="639" t="s">
        <v>149</v>
      </c>
      <c r="Z5" s="639"/>
      <c r="AA5" s="639" t="s">
        <v>150</v>
      </c>
      <c r="AB5" s="639"/>
      <c r="AC5" s="639" t="s">
        <v>151</v>
      </c>
      <c r="AD5" s="639"/>
      <c r="AE5" s="639" t="s">
        <v>149</v>
      </c>
      <c r="AF5" s="639"/>
      <c r="AG5" s="639" t="s">
        <v>149</v>
      </c>
      <c r="AH5" s="639"/>
      <c r="AI5" s="639" t="s">
        <v>149</v>
      </c>
      <c r="AJ5" s="639"/>
      <c r="AK5" s="639" t="s">
        <v>149</v>
      </c>
      <c r="AL5" s="639"/>
    </row>
    <row r="6" spans="1:38" s="77" customFormat="1" ht="23.45" customHeight="1">
      <c r="B6" s="623"/>
      <c r="C6" s="624"/>
      <c r="D6" s="626"/>
      <c r="E6" s="626"/>
      <c r="F6" s="641"/>
      <c r="G6" s="638"/>
      <c r="H6" s="638"/>
      <c r="I6" s="214" t="s">
        <v>157</v>
      </c>
      <c r="J6" s="173" t="s">
        <v>153</v>
      </c>
      <c r="K6" s="214" t="s">
        <v>157</v>
      </c>
      <c r="L6" s="173" t="s">
        <v>153</v>
      </c>
      <c r="M6" s="214" t="s">
        <v>157</v>
      </c>
      <c r="N6" s="173" t="s">
        <v>153</v>
      </c>
      <c r="O6" s="214" t="s">
        <v>157</v>
      </c>
      <c r="P6" s="173" t="s">
        <v>153</v>
      </c>
      <c r="Q6" s="214" t="s">
        <v>157</v>
      </c>
      <c r="R6" s="173" t="s">
        <v>153</v>
      </c>
      <c r="S6" s="214" t="s">
        <v>157</v>
      </c>
      <c r="T6" s="173" t="s">
        <v>153</v>
      </c>
      <c r="U6" s="214" t="s">
        <v>157</v>
      </c>
      <c r="V6" s="173" t="s">
        <v>153</v>
      </c>
      <c r="W6" s="214" t="s">
        <v>157</v>
      </c>
      <c r="X6" s="173" t="s">
        <v>153</v>
      </c>
      <c r="Y6" s="214" t="s">
        <v>157</v>
      </c>
      <c r="Z6" s="173" t="s">
        <v>153</v>
      </c>
      <c r="AA6" s="214" t="s">
        <v>157</v>
      </c>
      <c r="AB6" s="173" t="s">
        <v>153</v>
      </c>
      <c r="AC6" s="214" t="s">
        <v>157</v>
      </c>
      <c r="AD6" s="173" t="s">
        <v>153</v>
      </c>
      <c r="AE6" s="214" t="s">
        <v>157</v>
      </c>
      <c r="AF6" s="173" t="s">
        <v>153</v>
      </c>
      <c r="AG6" s="214" t="s">
        <v>157</v>
      </c>
      <c r="AH6" s="173" t="s">
        <v>153</v>
      </c>
      <c r="AI6" s="214" t="s">
        <v>157</v>
      </c>
      <c r="AJ6" s="173" t="s">
        <v>153</v>
      </c>
      <c r="AK6" s="214" t="s">
        <v>157</v>
      </c>
      <c r="AL6" s="173" t="s">
        <v>153</v>
      </c>
    </row>
    <row r="7" spans="1:38" s="73" customFormat="1" ht="14.25" hidden="1" customHeight="1">
      <c r="B7" s="609">
        <v>46239</v>
      </c>
      <c r="C7" s="618"/>
      <c r="D7" s="170">
        <v>46230</v>
      </c>
      <c r="E7" s="170" t="s">
        <v>119</v>
      </c>
      <c r="F7" s="320">
        <f t="shared" ref="F7:F48" si="0">SUM(M7,S7,U7,W7,AC7,AE7,AG7,AI7,AK7)</f>
        <v>213264</v>
      </c>
      <c r="G7" s="634">
        <f t="shared" ref="G7" si="1">SUM(F7:F13)</f>
        <v>1361947</v>
      </c>
      <c r="H7" s="636"/>
      <c r="I7" s="307">
        <v>45488</v>
      </c>
      <c r="J7" s="230">
        <f t="shared" ref="J7:J48" si="2">I7/$F7</f>
        <v>0.21329432065421261</v>
      </c>
      <c r="K7" s="307">
        <v>57537</v>
      </c>
      <c r="L7" s="230">
        <f t="shared" ref="L7:L48" si="3">K7/$F7</f>
        <v>0.26979237002025658</v>
      </c>
      <c r="M7" s="307">
        <f t="shared" ref="M7:M48" si="4">I7+K7</f>
        <v>103025</v>
      </c>
      <c r="N7" s="230">
        <f t="shared" ref="N7:N48" si="5">M7/$F7</f>
        <v>0.48308669067446919</v>
      </c>
      <c r="O7" s="307">
        <v>11432</v>
      </c>
      <c r="P7" s="230">
        <f t="shared" ref="P7:P48" si="6">O7/$F7</f>
        <v>5.3604921599519843E-2</v>
      </c>
      <c r="Q7" s="307">
        <v>0</v>
      </c>
      <c r="R7" s="230">
        <f t="shared" ref="R7:R48" si="7">Q7/$F7</f>
        <v>0</v>
      </c>
      <c r="S7" s="307">
        <f t="shared" ref="S7:S48" si="8">O7+Q7</f>
        <v>11432</v>
      </c>
      <c r="T7" s="230">
        <f t="shared" ref="T7:T48" si="9">S7/$F7</f>
        <v>5.3604921599519843E-2</v>
      </c>
      <c r="U7" s="307">
        <v>2424</v>
      </c>
      <c r="V7" s="230">
        <f t="shared" ref="V7:V48" si="10">U7/$F7</f>
        <v>1.1366194013054243E-2</v>
      </c>
      <c r="W7" s="307">
        <v>17095</v>
      </c>
      <c r="X7" s="230">
        <f t="shared" ref="X7:X48" si="11">W7/$F7</f>
        <v>8.0158864130842528E-2</v>
      </c>
      <c r="Y7" s="307">
        <v>7471</v>
      </c>
      <c r="Z7" s="230">
        <f t="shared" ref="Z7:Z48" si="12">Y7/$F7</f>
        <v>3.5031697801785583E-2</v>
      </c>
      <c r="AA7" s="307">
        <v>10322</v>
      </c>
      <c r="AB7" s="230">
        <f t="shared" ref="AB7:AB48" si="13">AA7/$F7</f>
        <v>4.8400105034136096E-2</v>
      </c>
      <c r="AC7" s="307">
        <f t="shared" ref="AC7:AC48" si="14">Y7+AA7</f>
        <v>17793</v>
      </c>
      <c r="AD7" s="230">
        <f t="shared" ref="AD7:AD48" si="15">AC7/$F7</f>
        <v>8.3431802835921678E-2</v>
      </c>
      <c r="AE7" s="307">
        <v>24810</v>
      </c>
      <c r="AF7" s="230">
        <f t="shared" ref="AF7:AF48" si="16">AE7/$F7</f>
        <v>0.11633468377222597</v>
      </c>
      <c r="AG7" s="307">
        <v>0</v>
      </c>
      <c r="AH7" s="230">
        <f t="shared" ref="AH7:AH48" si="17">AG7/$F7</f>
        <v>0</v>
      </c>
      <c r="AI7" s="307">
        <v>25278</v>
      </c>
      <c r="AJ7" s="230">
        <f t="shared" ref="AJ7:AJ48" si="18">AI7/$F7</f>
        <v>0.11852914697276615</v>
      </c>
      <c r="AK7" s="307">
        <v>11407</v>
      </c>
      <c r="AL7" s="230">
        <f t="shared" ref="AL7:AL48" si="19">AK7/$F7</f>
        <v>5.3487696001200388E-2</v>
      </c>
    </row>
    <row r="8" spans="1:38" s="73" customFormat="1" ht="14.25" hidden="1" customHeight="1">
      <c r="B8" s="610"/>
      <c r="C8" s="618"/>
      <c r="D8" s="170">
        <f t="shared" ref="D8:D48" si="20">D7+1</f>
        <v>46231</v>
      </c>
      <c r="E8" s="170" t="s">
        <v>120</v>
      </c>
      <c r="F8" s="320">
        <f t="shared" si="0"/>
        <v>201459</v>
      </c>
      <c r="G8" s="634"/>
      <c r="H8" s="636"/>
      <c r="I8" s="307">
        <v>44279</v>
      </c>
      <c r="J8" s="230">
        <f t="shared" si="2"/>
        <v>0.21979162013114331</v>
      </c>
      <c r="K8" s="307">
        <v>54467</v>
      </c>
      <c r="L8" s="230">
        <f t="shared" si="3"/>
        <v>0.27036270407378177</v>
      </c>
      <c r="M8" s="307">
        <f t="shared" si="4"/>
        <v>98746</v>
      </c>
      <c r="N8" s="230">
        <f t="shared" si="5"/>
        <v>0.49015432420492505</v>
      </c>
      <c r="O8" s="307">
        <v>11501</v>
      </c>
      <c r="P8" s="230">
        <f t="shared" si="6"/>
        <v>5.7088539107212885E-2</v>
      </c>
      <c r="Q8" s="307">
        <v>0</v>
      </c>
      <c r="R8" s="230">
        <f t="shared" si="7"/>
        <v>0</v>
      </c>
      <c r="S8" s="307">
        <f t="shared" si="8"/>
        <v>11501</v>
      </c>
      <c r="T8" s="230">
        <f t="shared" si="9"/>
        <v>5.7088539107212885E-2</v>
      </c>
      <c r="U8" s="307">
        <v>2170</v>
      </c>
      <c r="V8" s="230">
        <f t="shared" si="10"/>
        <v>1.0771422473059034E-2</v>
      </c>
      <c r="W8" s="307">
        <v>13175</v>
      </c>
      <c r="X8" s="230">
        <f t="shared" si="11"/>
        <v>6.5397922157858418E-2</v>
      </c>
      <c r="Y8" s="307">
        <v>6883</v>
      </c>
      <c r="Z8" s="230">
        <f t="shared" si="12"/>
        <v>3.4165760775145312E-2</v>
      </c>
      <c r="AA8" s="307">
        <v>10192</v>
      </c>
      <c r="AB8" s="230">
        <f t="shared" si="13"/>
        <v>5.0590939099270822E-2</v>
      </c>
      <c r="AC8" s="307">
        <f t="shared" si="14"/>
        <v>17075</v>
      </c>
      <c r="AD8" s="230">
        <f t="shared" si="15"/>
        <v>8.4756699874416128E-2</v>
      </c>
      <c r="AE8" s="307">
        <v>22675</v>
      </c>
      <c r="AF8" s="230">
        <f t="shared" si="16"/>
        <v>0.11255391915972977</v>
      </c>
      <c r="AG8" s="307">
        <v>0</v>
      </c>
      <c r="AH8" s="230">
        <f t="shared" si="17"/>
        <v>0</v>
      </c>
      <c r="AI8" s="307">
        <v>24753</v>
      </c>
      <c r="AJ8" s="230">
        <f t="shared" si="18"/>
        <v>0.12286867303024437</v>
      </c>
      <c r="AK8" s="307">
        <v>11364</v>
      </c>
      <c r="AL8" s="230">
        <f t="shared" si="19"/>
        <v>5.6408499992554317E-2</v>
      </c>
    </row>
    <row r="9" spans="1:38" s="73" customFormat="1" ht="14.25" hidden="1" customHeight="1">
      <c r="B9" s="610"/>
      <c r="C9" s="618"/>
      <c r="D9" s="170">
        <f t="shared" si="20"/>
        <v>46232</v>
      </c>
      <c r="E9" s="170" t="s">
        <v>121</v>
      </c>
      <c r="F9" s="320">
        <f t="shared" si="0"/>
        <v>187092</v>
      </c>
      <c r="G9" s="634"/>
      <c r="H9" s="636"/>
      <c r="I9" s="307">
        <v>41849</v>
      </c>
      <c r="J9" s="230">
        <f t="shared" si="2"/>
        <v>0.2236813973873816</v>
      </c>
      <c r="K9" s="307">
        <v>48419</v>
      </c>
      <c r="L9" s="230">
        <f t="shared" si="3"/>
        <v>0.25879781070275587</v>
      </c>
      <c r="M9" s="307">
        <f t="shared" si="4"/>
        <v>90268</v>
      </c>
      <c r="N9" s="230">
        <f t="shared" si="5"/>
        <v>0.48247920809013745</v>
      </c>
      <c r="O9" s="307">
        <v>10895</v>
      </c>
      <c r="P9" s="230">
        <f t="shared" si="6"/>
        <v>5.8233382507001906E-2</v>
      </c>
      <c r="Q9" s="307">
        <v>0</v>
      </c>
      <c r="R9" s="230">
        <f t="shared" si="7"/>
        <v>0</v>
      </c>
      <c r="S9" s="307">
        <f t="shared" si="8"/>
        <v>10895</v>
      </c>
      <c r="T9" s="230">
        <f t="shared" si="9"/>
        <v>5.8233382507001906E-2</v>
      </c>
      <c r="U9" s="307">
        <v>2184</v>
      </c>
      <c r="V9" s="230">
        <f t="shared" si="10"/>
        <v>1.1673401321275095E-2</v>
      </c>
      <c r="W9" s="307">
        <v>12625</v>
      </c>
      <c r="X9" s="230">
        <f t="shared" si="11"/>
        <v>6.748017018365296E-2</v>
      </c>
      <c r="Y9" s="307">
        <v>6417</v>
      </c>
      <c r="Z9" s="230">
        <f t="shared" si="12"/>
        <v>3.4298633827208005E-2</v>
      </c>
      <c r="AA9" s="307">
        <v>7813</v>
      </c>
      <c r="AB9" s="230">
        <f t="shared" si="13"/>
        <v>4.1760203536228169E-2</v>
      </c>
      <c r="AC9" s="307">
        <f t="shared" si="14"/>
        <v>14230</v>
      </c>
      <c r="AD9" s="230">
        <f t="shared" si="15"/>
        <v>7.6058837363436174E-2</v>
      </c>
      <c r="AE9" s="307">
        <v>20863</v>
      </c>
      <c r="AF9" s="230">
        <f t="shared" si="16"/>
        <v>0.11151198340923182</v>
      </c>
      <c r="AG9" s="307">
        <v>0</v>
      </c>
      <c r="AH9" s="230">
        <f t="shared" si="17"/>
        <v>0</v>
      </c>
      <c r="AI9" s="307">
        <v>25158</v>
      </c>
      <c r="AJ9" s="230">
        <f t="shared" si="18"/>
        <v>0.13446860368161118</v>
      </c>
      <c r="AK9" s="307">
        <v>10869</v>
      </c>
      <c r="AL9" s="230">
        <f t="shared" si="19"/>
        <v>5.8094413443653389E-2</v>
      </c>
    </row>
    <row r="10" spans="1:38" s="73" customFormat="1" ht="14.25" hidden="1" customHeight="1">
      <c r="B10" s="610"/>
      <c r="C10" s="619"/>
      <c r="D10" s="170">
        <f t="shared" si="20"/>
        <v>46233</v>
      </c>
      <c r="E10" s="170" t="s">
        <v>122</v>
      </c>
      <c r="F10" s="320">
        <f t="shared" si="0"/>
        <v>159659</v>
      </c>
      <c r="G10" s="634"/>
      <c r="H10" s="637"/>
      <c r="I10" s="307">
        <v>31930</v>
      </c>
      <c r="J10" s="230">
        <f t="shared" si="2"/>
        <v>0.1999887259722283</v>
      </c>
      <c r="K10" s="307">
        <v>44449</v>
      </c>
      <c r="L10" s="230">
        <f t="shared" si="3"/>
        <v>0.27839958912432122</v>
      </c>
      <c r="M10" s="307">
        <f t="shared" si="4"/>
        <v>76379</v>
      </c>
      <c r="N10" s="230">
        <f t="shared" si="5"/>
        <v>0.4783883150965495</v>
      </c>
      <c r="O10" s="307">
        <v>8693</v>
      </c>
      <c r="P10" s="230">
        <f t="shared" si="6"/>
        <v>5.4447290788492975E-2</v>
      </c>
      <c r="Q10" s="307">
        <v>0</v>
      </c>
      <c r="R10" s="230">
        <f t="shared" si="7"/>
        <v>0</v>
      </c>
      <c r="S10" s="307">
        <f t="shared" si="8"/>
        <v>8693</v>
      </c>
      <c r="T10" s="230">
        <f t="shared" si="9"/>
        <v>5.4447290788492975E-2</v>
      </c>
      <c r="U10" s="307">
        <v>1611</v>
      </c>
      <c r="V10" s="230">
        <f t="shared" si="10"/>
        <v>1.0090254855661127E-2</v>
      </c>
      <c r="W10" s="307">
        <v>9171</v>
      </c>
      <c r="X10" s="230">
        <f t="shared" si="11"/>
        <v>5.7441171496752451E-2</v>
      </c>
      <c r="Y10" s="307">
        <v>5633</v>
      </c>
      <c r="Z10" s="230">
        <f t="shared" si="12"/>
        <v>3.5281443576622676E-2</v>
      </c>
      <c r="AA10" s="307">
        <v>7457</v>
      </c>
      <c r="AB10" s="230">
        <f t="shared" si="13"/>
        <v>4.6705791718600266E-2</v>
      </c>
      <c r="AC10" s="307">
        <f t="shared" si="14"/>
        <v>13090</v>
      </c>
      <c r="AD10" s="230">
        <f t="shared" si="15"/>
        <v>8.1987235295222949E-2</v>
      </c>
      <c r="AE10" s="307">
        <v>15571</v>
      </c>
      <c r="AF10" s="230">
        <f t="shared" si="16"/>
        <v>9.7526603573866805E-2</v>
      </c>
      <c r="AG10" s="307">
        <v>0</v>
      </c>
      <c r="AH10" s="230">
        <f t="shared" si="17"/>
        <v>0</v>
      </c>
      <c r="AI10" s="307">
        <v>25690</v>
      </c>
      <c r="AJ10" s="230">
        <f t="shared" si="18"/>
        <v>0.16090542969704183</v>
      </c>
      <c r="AK10" s="307">
        <v>9454</v>
      </c>
      <c r="AL10" s="230">
        <f t="shared" si="19"/>
        <v>5.9213699196412353E-2</v>
      </c>
    </row>
    <row r="11" spans="1:38" s="73" customFormat="1" ht="14.25" hidden="1" customHeight="1">
      <c r="B11" s="610"/>
      <c r="C11" s="620" t="s">
        <v>123</v>
      </c>
      <c r="D11" s="170">
        <f t="shared" si="20"/>
        <v>46234</v>
      </c>
      <c r="E11" s="170" t="s">
        <v>124</v>
      </c>
      <c r="F11" s="320">
        <f t="shared" si="0"/>
        <v>170810</v>
      </c>
      <c r="G11" s="634"/>
      <c r="H11" s="635">
        <f>SUM(F11:F41)</f>
        <v>5581950</v>
      </c>
      <c r="I11" s="307">
        <v>30379</v>
      </c>
      <c r="J11" s="230">
        <f t="shared" si="2"/>
        <v>0.177852584743282</v>
      </c>
      <c r="K11" s="307">
        <v>51912</v>
      </c>
      <c r="L11" s="230">
        <f t="shared" si="3"/>
        <v>0.3039166325156607</v>
      </c>
      <c r="M11" s="307">
        <f t="shared" si="4"/>
        <v>82291</v>
      </c>
      <c r="N11" s="230">
        <f t="shared" si="5"/>
        <v>0.48176921725894267</v>
      </c>
      <c r="O11" s="307">
        <v>8393</v>
      </c>
      <c r="P11" s="230">
        <f t="shared" si="6"/>
        <v>4.9136467419940287E-2</v>
      </c>
      <c r="Q11" s="307">
        <v>0</v>
      </c>
      <c r="R11" s="230">
        <f t="shared" si="7"/>
        <v>0</v>
      </c>
      <c r="S11" s="307">
        <f t="shared" si="8"/>
        <v>8393</v>
      </c>
      <c r="T11" s="230">
        <f t="shared" si="9"/>
        <v>4.9136467419940287E-2</v>
      </c>
      <c r="U11" s="307">
        <v>1656</v>
      </c>
      <c r="V11" s="230">
        <f t="shared" si="10"/>
        <v>9.6949827293483989E-3</v>
      </c>
      <c r="W11" s="307">
        <v>10193</v>
      </c>
      <c r="X11" s="230">
        <f t="shared" si="11"/>
        <v>5.9674492125753764E-2</v>
      </c>
      <c r="Y11" s="307">
        <v>6072</v>
      </c>
      <c r="Z11" s="230">
        <f t="shared" si="12"/>
        <v>3.5548270007610794E-2</v>
      </c>
      <c r="AA11" s="307">
        <v>9679</v>
      </c>
      <c r="AB11" s="230">
        <f t="shared" si="13"/>
        <v>5.6665300626427023E-2</v>
      </c>
      <c r="AC11" s="307">
        <f t="shared" si="14"/>
        <v>15751</v>
      </c>
      <c r="AD11" s="230">
        <f t="shared" si="15"/>
        <v>9.2213570634037817E-2</v>
      </c>
      <c r="AE11" s="307">
        <v>16749</v>
      </c>
      <c r="AF11" s="230">
        <f t="shared" si="16"/>
        <v>9.8056319887594404E-2</v>
      </c>
      <c r="AG11" s="307">
        <v>0</v>
      </c>
      <c r="AH11" s="230">
        <f t="shared" si="17"/>
        <v>0</v>
      </c>
      <c r="AI11" s="307">
        <v>26285</v>
      </c>
      <c r="AJ11" s="230">
        <f t="shared" si="18"/>
        <v>0.15388443299572624</v>
      </c>
      <c r="AK11" s="307">
        <v>9492</v>
      </c>
      <c r="AL11" s="230">
        <f t="shared" si="19"/>
        <v>5.5570516948656404E-2</v>
      </c>
    </row>
    <row r="12" spans="1:38" s="73" customFormat="1" ht="14.25" hidden="1" customHeight="1">
      <c r="B12" s="610"/>
      <c r="C12" s="618"/>
      <c r="D12" s="170">
        <f t="shared" si="20"/>
        <v>46235</v>
      </c>
      <c r="E12" s="170" t="s">
        <v>116</v>
      </c>
      <c r="F12" s="320">
        <f t="shared" si="0"/>
        <v>216220</v>
      </c>
      <c r="G12" s="634"/>
      <c r="H12" s="636"/>
      <c r="I12" s="307">
        <v>44211</v>
      </c>
      <c r="J12" s="230">
        <f t="shared" si="2"/>
        <v>0.20447229673480713</v>
      </c>
      <c r="K12" s="307">
        <v>59625</v>
      </c>
      <c r="L12" s="230">
        <f t="shared" si="3"/>
        <v>0.27576079918601426</v>
      </c>
      <c r="M12" s="307">
        <f t="shared" si="4"/>
        <v>103836</v>
      </c>
      <c r="N12" s="230">
        <f t="shared" si="5"/>
        <v>0.48023309592082136</v>
      </c>
      <c r="O12" s="307">
        <v>11257</v>
      </c>
      <c r="P12" s="230">
        <f t="shared" si="6"/>
        <v>5.2062713902506705E-2</v>
      </c>
      <c r="Q12" s="307">
        <v>0</v>
      </c>
      <c r="R12" s="230">
        <f t="shared" si="7"/>
        <v>0</v>
      </c>
      <c r="S12" s="307">
        <f t="shared" si="8"/>
        <v>11257</v>
      </c>
      <c r="T12" s="230">
        <f t="shared" si="9"/>
        <v>5.2062713902506705E-2</v>
      </c>
      <c r="U12" s="307">
        <v>2715</v>
      </c>
      <c r="V12" s="230">
        <f t="shared" si="10"/>
        <v>1.2556655258532976E-2</v>
      </c>
      <c r="W12" s="307">
        <v>11384</v>
      </c>
      <c r="X12" s="230">
        <f t="shared" si="11"/>
        <v>5.2650078623624086E-2</v>
      </c>
      <c r="Y12" s="307">
        <v>7444</v>
      </c>
      <c r="Z12" s="230">
        <f t="shared" si="12"/>
        <v>3.4427897511793544E-2</v>
      </c>
      <c r="AA12" s="307">
        <v>11380</v>
      </c>
      <c r="AB12" s="230">
        <f t="shared" si="13"/>
        <v>5.2631578947368418E-2</v>
      </c>
      <c r="AC12" s="307">
        <f t="shared" si="14"/>
        <v>18824</v>
      </c>
      <c r="AD12" s="230">
        <f t="shared" si="15"/>
        <v>8.7059476459161969E-2</v>
      </c>
      <c r="AE12" s="307">
        <v>27748</v>
      </c>
      <c r="AF12" s="230">
        <f t="shared" si="16"/>
        <v>0.12833225418555175</v>
      </c>
      <c r="AG12" s="307">
        <v>0</v>
      </c>
      <c r="AH12" s="230">
        <f t="shared" si="17"/>
        <v>0</v>
      </c>
      <c r="AI12" s="307">
        <v>29293</v>
      </c>
      <c r="AJ12" s="230">
        <f t="shared" si="18"/>
        <v>0.13547775413930258</v>
      </c>
      <c r="AK12" s="307">
        <v>11163</v>
      </c>
      <c r="AL12" s="230">
        <f t="shared" si="19"/>
        <v>5.1627971510498569E-2</v>
      </c>
    </row>
    <row r="13" spans="1:38" s="73" customFormat="1" ht="14.25" hidden="1" customHeight="1">
      <c r="B13" s="611"/>
      <c r="C13" s="618"/>
      <c r="D13" s="170">
        <f t="shared" si="20"/>
        <v>46236</v>
      </c>
      <c r="E13" s="170" t="s">
        <v>125</v>
      </c>
      <c r="F13" s="320">
        <f t="shared" si="0"/>
        <v>213443</v>
      </c>
      <c r="G13" s="634"/>
      <c r="H13" s="636"/>
      <c r="I13" s="307">
        <v>43672</v>
      </c>
      <c r="J13" s="230">
        <f t="shared" si="2"/>
        <v>0.20460731905005083</v>
      </c>
      <c r="K13" s="307">
        <v>58843</v>
      </c>
      <c r="L13" s="230">
        <f t="shared" si="3"/>
        <v>0.27568484326026155</v>
      </c>
      <c r="M13" s="307">
        <f t="shared" si="4"/>
        <v>102515</v>
      </c>
      <c r="N13" s="230">
        <f t="shared" si="5"/>
        <v>0.48029216231031235</v>
      </c>
      <c r="O13" s="307">
        <v>10839</v>
      </c>
      <c r="P13" s="230">
        <f t="shared" si="6"/>
        <v>5.0781707528473642E-2</v>
      </c>
      <c r="Q13" s="307">
        <v>0</v>
      </c>
      <c r="R13" s="230">
        <f t="shared" si="7"/>
        <v>0</v>
      </c>
      <c r="S13" s="307">
        <f t="shared" si="8"/>
        <v>10839</v>
      </c>
      <c r="T13" s="230">
        <f t="shared" si="9"/>
        <v>5.0781707528473642E-2</v>
      </c>
      <c r="U13" s="307">
        <v>2369</v>
      </c>
      <c r="V13" s="230">
        <f t="shared" si="10"/>
        <v>1.1098981929601815E-2</v>
      </c>
      <c r="W13" s="307">
        <v>12791</v>
      </c>
      <c r="X13" s="230">
        <f t="shared" si="11"/>
        <v>5.9927006273337614E-2</v>
      </c>
      <c r="Y13" s="307">
        <v>7631</v>
      </c>
      <c r="Z13" s="230">
        <f t="shared" si="12"/>
        <v>3.5751933771545563E-2</v>
      </c>
      <c r="AA13" s="307">
        <v>10280</v>
      </c>
      <c r="AB13" s="230">
        <f t="shared" si="13"/>
        <v>4.8162741340779504E-2</v>
      </c>
      <c r="AC13" s="307">
        <f t="shared" si="14"/>
        <v>17911</v>
      </c>
      <c r="AD13" s="230">
        <f t="shared" si="15"/>
        <v>8.3914675112325074E-2</v>
      </c>
      <c r="AE13" s="307">
        <v>25707</v>
      </c>
      <c r="AF13" s="230">
        <f t="shared" si="16"/>
        <v>0.12043964899293956</v>
      </c>
      <c r="AG13" s="307">
        <v>0</v>
      </c>
      <c r="AH13" s="230">
        <f t="shared" si="17"/>
        <v>0</v>
      </c>
      <c r="AI13" s="307">
        <v>29105</v>
      </c>
      <c r="AJ13" s="230">
        <f t="shared" si="18"/>
        <v>0.13635959014818944</v>
      </c>
      <c r="AK13" s="307">
        <v>12206</v>
      </c>
      <c r="AL13" s="230">
        <f t="shared" si="19"/>
        <v>5.7186227704820493E-2</v>
      </c>
    </row>
    <row r="14" spans="1:38" s="73" customFormat="1" ht="14.25" hidden="1" customHeight="1">
      <c r="B14" s="632">
        <f>B7+7</f>
        <v>46246</v>
      </c>
      <c r="C14" s="618"/>
      <c r="D14" s="170">
        <f t="shared" si="20"/>
        <v>46237</v>
      </c>
      <c r="E14" s="170" t="s">
        <v>119</v>
      </c>
      <c r="F14" s="320">
        <f t="shared" si="0"/>
        <v>211425</v>
      </c>
      <c r="G14" s="634">
        <f t="shared" ref="G14" si="21">SUM(F14:F20)</f>
        <v>1345846</v>
      </c>
      <c r="H14" s="636"/>
      <c r="I14" s="307">
        <v>43309</v>
      </c>
      <c r="J14" s="230">
        <f t="shared" si="2"/>
        <v>0.20484332505616648</v>
      </c>
      <c r="K14" s="307">
        <v>58265</v>
      </c>
      <c r="L14" s="230">
        <f t="shared" si="3"/>
        <v>0.27558235781009816</v>
      </c>
      <c r="M14" s="307">
        <f t="shared" si="4"/>
        <v>101574</v>
      </c>
      <c r="N14" s="230">
        <f t="shared" si="5"/>
        <v>0.48042568286626464</v>
      </c>
      <c r="O14" s="307">
        <v>10803</v>
      </c>
      <c r="P14" s="230">
        <f t="shared" si="6"/>
        <v>5.1096133380631431E-2</v>
      </c>
      <c r="Q14" s="307">
        <v>0</v>
      </c>
      <c r="R14" s="230">
        <f t="shared" si="7"/>
        <v>0</v>
      </c>
      <c r="S14" s="307">
        <f t="shared" si="8"/>
        <v>10803</v>
      </c>
      <c r="T14" s="230">
        <f t="shared" si="9"/>
        <v>5.1096133380631431E-2</v>
      </c>
      <c r="U14" s="307">
        <v>2481</v>
      </c>
      <c r="V14" s="230">
        <f t="shared" si="10"/>
        <v>1.1734657680028378E-2</v>
      </c>
      <c r="W14" s="307">
        <v>10926</v>
      </c>
      <c r="X14" s="230">
        <f t="shared" si="11"/>
        <v>5.167789996452643E-2</v>
      </c>
      <c r="Y14" s="307">
        <v>6864</v>
      </c>
      <c r="Z14" s="230">
        <f t="shared" si="12"/>
        <v>3.2465413267116001E-2</v>
      </c>
      <c r="AA14" s="307">
        <v>10278</v>
      </c>
      <c r="AB14" s="230">
        <f t="shared" si="13"/>
        <v>4.8612983327421068E-2</v>
      </c>
      <c r="AC14" s="307">
        <f t="shared" si="14"/>
        <v>17142</v>
      </c>
      <c r="AD14" s="230">
        <f t="shared" si="15"/>
        <v>8.1078396594537069E-2</v>
      </c>
      <c r="AE14" s="307">
        <v>24827</v>
      </c>
      <c r="AF14" s="230">
        <f t="shared" si="16"/>
        <v>0.11742698356391156</v>
      </c>
      <c r="AG14" s="307">
        <v>0</v>
      </c>
      <c r="AH14" s="230">
        <f t="shared" si="17"/>
        <v>0</v>
      </c>
      <c r="AI14" s="307">
        <v>32596</v>
      </c>
      <c r="AJ14" s="230">
        <f t="shared" si="18"/>
        <v>0.1541728745417997</v>
      </c>
      <c r="AK14" s="307">
        <v>11076</v>
      </c>
      <c r="AL14" s="230">
        <f t="shared" si="19"/>
        <v>5.2387371408300819E-2</v>
      </c>
    </row>
    <row r="15" spans="1:38" s="73" customFormat="1" ht="14.25" hidden="1" customHeight="1">
      <c r="B15" s="633"/>
      <c r="C15" s="618"/>
      <c r="D15" s="170">
        <f t="shared" si="20"/>
        <v>46238</v>
      </c>
      <c r="E15" s="170" t="s">
        <v>120</v>
      </c>
      <c r="F15" s="320">
        <f t="shared" si="0"/>
        <v>203649</v>
      </c>
      <c r="G15" s="634"/>
      <c r="H15" s="636"/>
      <c r="I15" s="307">
        <v>42566</v>
      </c>
      <c r="J15" s="230">
        <f t="shared" si="2"/>
        <v>0.20901649406577003</v>
      </c>
      <c r="K15" s="307">
        <v>55591</v>
      </c>
      <c r="L15" s="230">
        <f t="shared" si="3"/>
        <v>0.27297457880961851</v>
      </c>
      <c r="M15" s="307">
        <f t="shared" si="4"/>
        <v>98157</v>
      </c>
      <c r="N15" s="230">
        <f t="shared" si="5"/>
        <v>0.48199107287538856</v>
      </c>
      <c r="O15" s="307">
        <v>10739</v>
      </c>
      <c r="P15" s="230">
        <f t="shared" si="6"/>
        <v>5.2732888450225633E-2</v>
      </c>
      <c r="Q15" s="307">
        <v>0</v>
      </c>
      <c r="R15" s="230">
        <f t="shared" si="7"/>
        <v>0</v>
      </c>
      <c r="S15" s="307">
        <f t="shared" si="8"/>
        <v>10739</v>
      </c>
      <c r="T15" s="230">
        <f t="shared" si="9"/>
        <v>5.2732888450225633E-2</v>
      </c>
      <c r="U15" s="307">
        <v>2107</v>
      </c>
      <c r="V15" s="230">
        <f t="shared" si="10"/>
        <v>1.0346232979292803E-2</v>
      </c>
      <c r="W15" s="307">
        <v>10904</v>
      </c>
      <c r="X15" s="230">
        <f t="shared" si="11"/>
        <v>5.3543106030474005E-2</v>
      </c>
      <c r="Y15" s="307">
        <v>6264</v>
      </c>
      <c r="Z15" s="230">
        <f t="shared" si="12"/>
        <v>3.0758805591974428E-2</v>
      </c>
      <c r="AA15" s="307">
        <v>10014</v>
      </c>
      <c r="AB15" s="230">
        <f t="shared" si="13"/>
        <v>4.9172841506710072E-2</v>
      </c>
      <c r="AC15" s="307">
        <f t="shared" si="14"/>
        <v>16278</v>
      </c>
      <c r="AD15" s="230">
        <f t="shared" si="15"/>
        <v>7.99316470986845E-2</v>
      </c>
      <c r="AE15" s="307">
        <v>23106</v>
      </c>
      <c r="AF15" s="230">
        <f t="shared" si="16"/>
        <v>0.11345992369223518</v>
      </c>
      <c r="AG15" s="307">
        <v>0</v>
      </c>
      <c r="AH15" s="230">
        <f t="shared" si="17"/>
        <v>0</v>
      </c>
      <c r="AI15" s="307">
        <v>31313</v>
      </c>
      <c r="AJ15" s="230">
        <f t="shared" si="18"/>
        <v>0.15375965509283129</v>
      </c>
      <c r="AK15" s="307">
        <v>11045</v>
      </c>
      <c r="AL15" s="230">
        <f t="shared" si="19"/>
        <v>5.4235473780868064E-2</v>
      </c>
    </row>
    <row r="16" spans="1:38" s="73" customFormat="1" ht="14.25" hidden="1" customHeight="1">
      <c r="B16" s="633"/>
      <c r="C16" s="618"/>
      <c r="D16" s="170">
        <f t="shared" si="20"/>
        <v>46239</v>
      </c>
      <c r="E16" s="170" t="s">
        <v>121</v>
      </c>
      <c r="F16" s="320">
        <f t="shared" si="0"/>
        <v>188918</v>
      </c>
      <c r="G16" s="634"/>
      <c r="H16" s="636"/>
      <c r="I16" s="307">
        <v>40837</v>
      </c>
      <c r="J16" s="230">
        <f t="shared" si="2"/>
        <v>0.2161625678865963</v>
      </c>
      <c r="K16" s="307">
        <v>50083</v>
      </c>
      <c r="L16" s="230">
        <f t="shared" si="3"/>
        <v>0.26510443684561558</v>
      </c>
      <c r="M16" s="307">
        <f t="shared" si="4"/>
        <v>90920</v>
      </c>
      <c r="N16" s="230">
        <f t="shared" si="5"/>
        <v>0.48126700473221184</v>
      </c>
      <c r="O16" s="307">
        <v>10151</v>
      </c>
      <c r="P16" s="230">
        <f t="shared" si="6"/>
        <v>5.3732307138546882E-2</v>
      </c>
      <c r="Q16" s="307">
        <v>0</v>
      </c>
      <c r="R16" s="230">
        <f t="shared" si="7"/>
        <v>0</v>
      </c>
      <c r="S16" s="307">
        <f t="shared" si="8"/>
        <v>10151</v>
      </c>
      <c r="T16" s="230">
        <f t="shared" si="9"/>
        <v>5.3732307138546882E-2</v>
      </c>
      <c r="U16" s="307">
        <v>2168</v>
      </c>
      <c r="V16" s="230">
        <f t="shared" si="10"/>
        <v>1.1475878423442975E-2</v>
      </c>
      <c r="W16" s="307">
        <v>10626</v>
      </c>
      <c r="X16" s="230">
        <f t="shared" si="11"/>
        <v>5.6246625520066908E-2</v>
      </c>
      <c r="Y16" s="307">
        <v>5871</v>
      </c>
      <c r="Z16" s="230">
        <f t="shared" si="12"/>
        <v>3.1076975195587504E-2</v>
      </c>
      <c r="AA16" s="307">
        <v>7631</v>
      </c>
      <c r="AB16" s="230">
        <f t="shared" si="13"/>
        <v>4.0393186461851173E-2</v>
      </c>
      <c r="AC16" s="307">
        <f t="shared" si="14"/>
        <v>13502</v>
      </c>
      <c r="AD16" s="230">
        <f t="shared" si="15"/>
        <v>7.1470161657438677E-2</v>
      </c>
      <c r="AE16" s="307">
        <v>20278</v>
      </c>
      <c r="AF16" s="230">
        <f t="shared" si="16"/>
        <v>0.10733757503255381</v>
      </c>
      <c r="AG16" s="307">
        <v>0</v>
      </c>
      <c r="AH16" s="230">
        <f t="shared" si="17"/>
        <v>0</v>
      </c>
      <c r="AI16" s="307">
        <v>30366</v>
      </c>
      <c r="AJ16" s="230">
        <f t="shared" si="18"/>
        <v>0.1607364041541833</v>
      </c>
      <c r="AK16" s="307">
        <v>10907</v>
      </c>
      <c r="AL16" s="230">
        <f t="shared" si="19"/>
        <v>5.7734043341555595E-2</v>
      </c>
    </row>
    <row r="17" spans="2:38" s="73" customFormat="1" ht="14.25" hidden="1" customHeight="1">
      <c r="B17" s="633"/>
      <c r="C17" s="618"/>
      <c r="D17" s="170">
        <f t="shared" si="20"/>
        <v>46240</v>
      </c>
      <c r="E17" s="170" t="s">
        <v>122</v>
      </c>
      <c r="F17" s="320">
        <f t="shared" si="0"/>
        <v>157640</v>
      </c>
      <c r="G17" s="634"/>
      <c r="H17" s="636"/>
      <c r="I17" s="307">
        <v>30769</v>
      </c>
      <c r="J17" s="230">
        <f t="shared" si="2"/>
        <v>0.19518523217457498</v>
      </c>
      <c r="K17" s="307">
        <v>44602</v>
      </c>
      <c r="L17" s="230">
        <f t="shared" si="3"/>
        <v>0.28293580309566102</v>
      </c>
      <c r="M17" s="307">
        <f t="shared" si="4"/>
        <v>75371</v>
      </c>
      <c r="N17" s="230">
        <f t="shared" si="5"/>
        <v>0.47812103527023597</v>
      </c>
      <c r="O17" s="307">
        <v>7769</v>
      </c>
      <c r="P17" s="230">
        <f t="shared" si="6"/>
        <v>4.928317685866531E-2</v>
      </c>
      <c r="Q17" s="307">
        <v>0</v>
      </c>
      <c r="R17" s="230">
        <f t="shared" si="7"/>
        <v>0</v>
      </c>
      <c r="S17" s="307">
        <f t="shared" si="8"/>
        <v>7769</v>
      </c>
      <c r="T17" s="230">
        <f t="shared" si="9"/>
        <v>4.928317685866531E-2</v>
      </c>
      <c r="U17" s="307">
        <v>1475</v>
      </c>
      <c r="V17" s="230">
        <f t="shared" si="10"/>
        <v>9.3567622430855112E-3</v>
      </c>
      <c r="W17" s="307">
        <v>7835</v>
      </c>
      <c r="X17" s="230">
        <f t="shared" si="11"/>
        <v>4.9701852321745753E-2</v>
      </c>
      <c r="Y17" s="307">
        <v>5138</v>
      </c>
      <c r="Z17" s="230">
        <f t="shared" si="12"/>
        <v>3.2593250444049732E-2</v>
      </c>
      <c r="AA17" s="307">
        <v>7598</v>
      </c>
      <c r="AB17" s="230">
        <f t="shared" si="13"/>
        <v>4.8198426795229635E-2</v>
      </c>
      <c r="AC17" s="307">
        <f t="shared" si="14"/>
        <v>12736</v>
      </c>
      <c r="AD17" s="230">
        <f t="shared" si="15"/>
        <v>8.0791677239279366E-2</v>
      </c>
      <c r="AE17" s="307">
        <v>15213</v>
      </c>
      <c r="AF17" s="230">
        <f t="shared" si="16"/>
        <v>9.65046942400406E-2</v>
      </c>
      <c r="AG17" s="307">
        <v>0</v>
      </c>
      <c r="AH17" s="230">
        <f t="shared" si="17"/>
        <v>0</v>
      </c>
      <c r="AI17" s="307">
        <v>27885</v>
      </c>
      <c r="AJ17" s="230">
        <f t="shared" si="18"/>
        <v>0.17689038315148439</v>
      </c>
      <c r="AK17" s="307">
        <v>9356</v>
      </c>
      <c r="AL17" s="230">
        <f t="shared" si="19"/>
        <v>5.9350418675463083E-2</v>
      </c>
    </row>
    <row r="18" spans="2:38" s="73" customFormat="1" ht="14.25" hidden="1" customHeight="1">
      <c r="B18" s="633"/>
      <c r="C18" s="618"/>
      <c r="D18" s="170">
        <f t="shared" si="20"/>
        <v>46241</v>
      </c>
      <c r="E18" s="170" t="s">
        <v>124</v>
      </c>
      <c r="F18" s="320">
        <f t="shared" si="0"/>
        <v>168530</v>
      </c>
      <c r="G18" s="634"/>
      <c r="H18" s="636"/>
      <c r="I18" s="307">
        <v>29367</v>
      </c>
      <c r="J18" s="230">
        <f t="shared" si="2"/>
        <v>0.17425384204592653</v>
      </c>
      <c r="K18" s="307">
        <v>52357</v>
      </c>
      <c r="L18" s="230">
        <f t="shared" si="3"/>
        <v>0.31066872366937637</v>
      </c>
      <c r="M18" s="307">
        <f t="shared" si="4"/>
        <v>81724</v>
      </c>
      <c r="N18" s="230">
        <f t="shared" si="5"/>
        <v>0.4849225657153029</v>
      </c>
      <c r="O18" s="307">
        <v>7386</v>
      </c>
      <c r="P18" s="230">
        <f t="shared" si="6"/>
        <v>4.3826025040052216E-2</v>
      </c>
      <c r="Q18" s="307">
        <v>0</v>
      </c>
      <c r="R18" s="230">
        <f t="shared" si="7"/>
        <v>0</v>
      </c>
      <c r="S18" s="307">
        <f t="shared" si="8"/>
        <v>7386</v>
      </c>
      <c r="T18" s="230">
        <f t="shared" si="9"/>
        <v>4.3826025040052216E-2</v>
      </c>
      <c r="U18" s="307">
        <v>1590</v>
      </c>
      <c r="V18" s="230">
        <f t="shared" si="10"/>
        <v>9.4345220435530768E-3</v>
      </c>
      <c r="W18" s="307">
        <v>8272</v>
      </c>
      <c r="X18" s="230">
        <f t="shared" si="11"/>
        <v>4.9083249273126447E-2</v>
      </c>
      <c r="Y18" s="307">
        <v>5571</v>
      </c>
      <c r="Z18" s="230">
        <f t="shared" si="12"/>
        <v>3.305642912241144E-2</v>
      </c>
      <c r="AA18" s="307">
        <v>9663</v>
      </c>
      <c r="AB18" s="230">
        <f t="shared" si="13"/>
        <v>5.7336972645819738E-2</v>
      </c>
      <c r="AC18" s="307">
        <f t="shared" si="14"/>
        <v>15234</v>
      </c>
      <c r="AD18" s="230">
        <f t="shared" si="15"/>
        <v>9.0393401768231171E-2</v>
      </c>
      <c r="AE18" s="307">
        <v>17261</v>
      </c>
      <c r="AF18" s="230">
        <f t="shared" si="16"/>
        <v>0.1024209339583457</v>
      </c>
      <c r="AG18" s="307">
        <v>0</v>
      </c>
      <c r="AH18" s="230">
        <f t="shared" si="17"/>
        <v>0</v>
      </c>
      <c r="AI18" s="307">
        <v>27784</v>
      </c>
      <c r="AJ18" s="230">
        <f t="shared" si="18"/>
        <v>0.16486085563401176</v>
      </c>
      <c r="AK18" s="307">
        <v>9279</v>
      </c>
      <c r="AL18" s="230">
        <f t="shared" si="19"/>
        <v>5.5058446567376726E-2</v>
      </c>
    </row>
    <row r="19" spans="2:38" s="73" customFormat="1" ht="14.25" hidden="1" customHeight="1">
      <c r="B19" s="633"/>
      <c r="C19" s="618"/>
      <c r="D19" s="170">
        <f t="shared" si="20"/>
        <v>46242</v>
      </c>
      <c r="E19" s="170" t="s">
        <v>116</v>
      </c>
      <c r="F19" s="320">
        <f t="shared" si="0"/>
        <v>211756</v>
      </c>
      <c r="G19" s="634"/>
      <c r="H19" s="636"/>
      <c r="I19" s="307">
        <v>42732</v>
      </c>
      <c r="J19" s="230">
        <f t="shared" si="2"/>
        <v>0.20179829615217515</v>
      </c>
      <c r="K19" s="307">
        <v>60127</v>
      </c>
      <c r="L19" s="230">
        <f t="shared" si="3"/>
        <v>0.28394472883885225</v>
      </c>
      <c r="M19" s="307">
        <f t="shared" si="4"/>
        <v>102859</v>
      </c>
      <c r="N19" s="230">
        <f t="shared" si="5"/>
        <v>0.48574302499102739</v>
      </c>
      <c r="O19" s="307">
        <v>10326</v>
      </c>
      <c r="P19" s="230">
        <f t="shared" si="6"/>
        <v>4.8763671395379585E-2</v>
      </c>
      <c r="Q19" s="307">
        <v>0</v>
      </c>
      <c r="R19" s="230">
        <f t="shared" si="7"/>
        <v>0</v>
      </c>
      <c r="S19" s="307">
        <f t="shared" si="8"/>
        <v>10326</v>
      </c>
      <c r="T19" s="230">
        <f t="shared" si="9"/>
        <v>4.8763671395379585E-2</v>
      </c>
      <c r="U19" s="307">
        <v>2710</v>
      </c>
      <c r="V19" s="230">
        <f t="shared" si="10"/>
        <v>1.2797748351876689E-2</v>
      </c>
      <c r="W19" s="307">
        <v>10879</v>
      </c>
      <c r="X19" s="230">
        <f t="shared" si="11"/>
        <v>5.1375167645780991E-2</v>
      </c>
      <c r="Y19" s="307">
        <v>7035</v>
      </c>
      <c r="Z19" s="230">
        <f t="shared" si="12"/>
        <v>3.3222199134853324E-2</v>
      </c>
      <c r="AA19" s="307">
        <v>11267</v>
      </c>
      <c r="AB19" s="230">
        <f t="shared" si="13"/>
        <v>5.3207465195791386E-2</v>
      </c>
      <c r="AC19" s="307">
        <f t="shared" si="14"/>
        <v>18302</v>
      </c>
      <c r="AD19" s="230">
        <f t="shared" si="15"/>
        <v>8.6429664330644709E-2</v>
      </c>
      <c r="AE19" s="307">
        <v>26403</v>
      </c>
      <c r="AF19" s="230">
        <f t="shared" si="16"/>
        <v>0.12468595931166059</v>
      </c>
      <c r="AG19" s="307">
        <v>0</v>
      </c>
      <c r="AH19" s="230">
        <f t="shared" si="17"/>
        <v>0</v>
      </c>
      <c r="AI19" s="307">
        <v>32210</v>
      </c>
      <c r="AJ19" s="230">
        <f t="shared" si="18"/>
        <v>0.15210903114905835</v>
      </c>
      <c r="AK19" s="307">
        <v>8067</v>
      </c>
      <c r="AL19" s="230">
        <f t="shared" si="19"/>
        <v>3.8095732824571675E-2</v>
      </c>
    </row>
    <row r="20" spans="2:38" s="73" customFormat="1" ht="14.25" hidden="1" customHeight="1">
      <c r="B20" s="633"/>
      <c r="C20" s="618"/>
      <c r="D20" s="170">
        <f t="shared" si="20"/>
        <v>46243</v>
      </c>
      <c r="E20" s="170" t="s">
        <v>125</v>
      </c>
      <c r="F20" s="320">
        <f t="shared" si="0"/>
        <v>203928</v>
      </c>
      <c r="G20" s="634"/>
      <c r="H20" s="636"/>
      <c r="I20" s="307">
        <v>41198</v>
      </c>
      <c r="J20" s="230">
        <f t="shared" si="2"/>
        <v>0.20202228237417127</v>
      </c>
      <c r="K20" s="307">
        <v>58990</v>
      </c>
      <c r="L20" s="230">
        <f t="shared" si="3"/>
        <v>0.28926876152367503</v>
      </c>
      <c r="M20" s="307">
        <f t="shared" si="4"/>
        <v>100188</v>
      </c>
      <c r="N20" s="230">
        <f t="shared" si="5"/>
        <v>0.49129104389784628</v>
      </c>
      <c r="O20" s="307">
        <v>10764</v>
      </c>
      <c r="P20" s="230">
        <f t="shared" si="6"/>
        <v>5.2783335294809934E-2</v>
      </c>
      <c r="Q20" s="307">
        <v>0</v>
      </c>
      <c r="R20" s="230">
        <f t="shared" si="7"/>
        <v>0</v>
      </c>
      <c r="S20" s="307">
        <f t="shared" si="8"/>
        <v>10764</v>
      </c>
      <c r="T20" s="230">
        <f t="shared" si="9"/>
        <v>5.2783335294809934E-2</v>
      </c>
      <c r="U20" s="307">
        <v>2383</v>
      </c>
      <c r="V20" s="230">
        <f t="shared" si="10"/>
        <v>1.1685496842022674E-2</v>
      </c>
      <c r="W20" s="307">
        <v>12017</v>
      </c>
      <c r="X20" s="230">
        <f t="shared" si="11"/>
        <v>5.8927660743007336E-2</v>
      </c>
      <c r="Y20" s="307">
        <v>7275</v>
      </c>
      <c r="Z20" s="230">
        <f t="shared" si="12"/>
        <v>3.567435565493704E-2</v>
      </c>
      <c r="AA20" s="307">
        <v>10527</v>
      </c>
      <c r="AB20" s="230">
        <f t="shared" si="13"/>
        <v>5.1621160409556312E-2</v>
      </c>
      <c r="AC20" s="307">
        <f t="shared" si="14"/>
        <v>17802</v>
      </c>
      <c r="AD20" s="230">
        <f t="shared" si="15"/>
        <v>8.7295516064493345E-2</v>
      </c>
      <c r="AE20" s="307">
        <v>25325</v>
      </c>
      <c r="AF20" s="230">
        <f t="shared" si="16"/>
        <v>0.12418598721117258</v>
      </c>
      <c r="AG20" s="307">
        <v>0</v>
      </c>
      <c r="AH20" s="230">
        <f t="shared" si="17"/>
        <v>0</v>
      </c>
      <c r="AI20" s="307">
        <v>26296</v>
      </c>
      <c r="AJ20" s="230">
        <f t="shared" si="18"/>
        <v>0.12894747165666315</v>
      </c>
      <c r="AK20" s="307">
        <v>9153</v>
      </c>
      <c r="AL20" s="230">
        <f t="shared" si="19"/>
        <v>4.4883488289984702E-2</v>
      </c>
    </row>
    <row r="21" spans="2:38" s="73" customFormat="1" ht="14.25" hidden="1" customHeight="1">
      <c r="B21" s="632">
        <f>B14+7</f>
        <v>46253</v>
      </c>
      <c r="C21" s="618"/>
      <c r="D21" s="170">
        <f t="shared" si="20"/>
        <v>46244</v>
      </c>
      <c r="E21" s="170" t="s">
        <v>119</v>
      </c>
      <c r="F21" s="320">
        <f t="shared" si="0"/>
        <v>187621</v>
      </c>
      <c r="G21" s="634">
        <f t="shared" ref="G21" si="22">SUM(F21:F27)</f>
        <v>1244793</v>
      </c>
      <c r="H21" s="636"/>
      <c r="I21" s="307">
        <v>39636</v>
      </c>
      <c r="J21" s="230">
        <f t="shared" si="2"/>
        <v>0.21125566967450338</v>
      </c>
      <c r="K21" s="307">
        <v>56401</v>
      </c>
      <c r="L21" s="230">
        <f t="shared" si="3"/>
        <v>0.30061133881601737</v>
      </c>
      <c r="M21" s="307">
        <f t="shared" si="4"/>
        <v>96037</v>
      </c>
      <c r="N21" s="230">
        <f t="shared" si="5"/>
        <v>0.5118670084905208</v>
      </c>
      <c r="O21" s="307">
        <v>9595</v>
      </c>
      <c r="P21" s="230">
        <f t="shared" si="6"/>
        <v>5.114033077320769E-2</v>
      </c>
      <c r="Q21" s="307">
        <v>0</v>
      </c>
      <c r="R21" s="230">
        <f t="shared" si="7"/>
        <v>0</v>
      </c>
      <c r="S21" s="307">
        <f t="shared" si="8"/>
        <v>9595</v>
      </c>
      <c r="T21" s="230">
        <f t="shared" si="9"/>
        <v>5.114033077320769E-2</v>
      </c>
      <c r="U21" s="307">
        <v>2545</v>
      </c>
      <c r="V21" s="230">
        <f t="shared" si="10"/>
        <v>1.3564579657927418E-2</v>
      </c>
      <c r="W21" s="307">
        <v>10221</v>
      </c>
      <c r="X21" s="230">
        <f t="shared" si="11"/>
        <v>5.4476844276493568E-2</v>
      </c>
      <c r="Y21" s="307">
        <v>6599</v>
      </c>
      <c r="Z21" s="230">
        <f t="shared" si="12"/>
        <v>3.517196902265738E-2</v>
      </c>
      <c r="AA21" s="307">
        <v>10346</v>
      </c>
      <c r="AB21" s="230">
        <f t="shared" si="13"/>
        <v>5.5143080998395703E-2</v>
      </c>
      <c r="AC21" s="307">
        <f t="shared" si="14"/>
        <v>16945</v>
      </c>
      <c r="AD21" s="230">
        <f t="shared" si="15"/>
        <v>9.0315050021053084E-2</v>
      </c>
      <c r="AE21" s="307">
        <v>23942</v>
      </c>
      <c r="AF21" s="230">
        <f t="shared" si="16"/>
        <v>0.12760831676624684</v>
      </c>
      <c r="AG21" s="307">
        <v>0</v>
      </c>
      <c r="AH21" s="230">
        <f t="shared" si="17"/>
        <v>0</v>
      </c>
      <c r="AI21" s="307">
        <v>21462</v>
      </c>
      <c r="AJ21" s="230">
        <f t="shared" si="18"/>
        <v>0.11439018020370854</v>
      </c>
      <c r="AK21" s="307">
        <v>6874</v>
      </c>
      <c r="AL21" s="230">
        <f t="shared" si="19"/>
        <v>3.6637689810842068E-2</v>
      </c>
    </row>
    <row r="22" spans="2:38" s="73" customFormat="1" ht="14.25" hidden="1" customHeight="1">
      <c r="B22" s="633"/>
      <c r="C22" s="618"/>
      <c r="D22" s="170">
        <f t="shared" si="20"/>
        <v>46245</v>
      </c>
      <c r="E22" s="170" t="s">
        <v>120</v>
      </c>
      <c r="F22" s="320">
        <f t="shared" si="0"/>
        <v>184147</v>
      </c>
      <c r="G22" s="634"/>
      <c r="H22" s="636"/>
      <c r="I22" s="307">
        <v>39019</v>
      </c>
      <c r="J22" s="230">
        <f t="shared" si="2"/>
        <v>0.21189050052403785</v>
      </c>
      <c r="K22" s="307">
        <v>53877</v>
      </c>
      <c r="L22" s="230">
        <f t="shared" si="3"/>
        <v>0.29257603979429475</v>
      </c>
      <c r="M22" s="307">
        <f t="shared" si="4"/>
        <v>92896</v>
      </c>
      <c r="N22" s="230">
        <f t="shared" si="5"/>
        <v>0.5044665403183326</v>
      </c>
      <c r="O22" s="307">
        <v>9704</v>
      </c>
      <c r="P22" s="230">
        <f t="shared" si="6"/>
        <v>5.2697030090091065E-2</v>
      </c>
      <c r="Q22" s="307">
        <v>0</v>
      </c>
      <c r="R22" s="230">
        <f t="shared" si="7"/>
        <v>0</v>
      </c>
      <c r="S22" s="307">
        <f t="shared" si="8"/>
        <v>9704</v>
      </c>
      <c r="T22" s="230">
        <f t="shared" si="9"/>
        <v>5.2697030090091065E-2</v>
      </c>
      <c r="U22" s="307">
        <v>2192</v>
      </c>
      <c r="V22" s="230">
        <f t="shared" si="10"/>
        <v>1.1903533590012326E-2</v>
      </c>
      <c r="W22" s="307">
        <v>10414</v>
      </c>
      <c r="X22" s="230">
        <f t="shared" si="11"/>
        <v>5.6552645440870609E-2</v>
      </c>
      <c r="Y22" s="307">
        <v>6047</v>
      </c>
      <c r="Z22" s="230">
        <f t="shared" si="12"/>
        <v>3.2837895811498423E-2</v>
      </c>
      <c r="AA22" s="307">
        <v>10179</v>
      </c>
      <c r="AB22" s="230">
        <f t="shared" si="13"/>
        <v>5.5276491064204139E-2</v>
      </c>
      <c r="AC22" s="307">
        <f t="shared" si="14"/>
        <v>16226</v>
      </c>
      <c r="AD22" s="230">
        <f t="shared" si="15"/>
        <v>8.8114386875702569E-2</v>
      </c>
      <c r="AE22" s="307">
        <v>22338</v>
      </c>
      <c r="AF22" s="230">
        <f t="shared" si="16"/>
        <v>0.12130526155734278</v>
      </c>
      <c r="AG22" s="307">
        <v>0</v>
      </c>
      <c r="AH22" s="230">
        <f t="shared" si="17"/>
        <v>0</v>
      </c>
      <c r="AI22" s="307">
        <v>23675</v>
      </c>
      <c r="AJ22" s="230">
        <f t="shared" si="18"/>
        <v>0.12856576539395156</v>
      </c>
      <c r="AK22" s="307">
        <v>6702</v>
      </c>
      <c r="AL22" s="230">
        <f t="shared" si="19"/>
        <v>3.6394836733696451E-2</v>
      </c>
    </row>
    <row r="23" spans="2:38" s="73" customFormat="1" ht="14.25" hidden="1" customHeight="1">
      <c r="B23" s="633"/>
      <c r="C23" s="618"/>
      <c r="D23" s="170">
        <f t="shared" si="20"/>
        <v>46246</v>
      </c>
      <c r="E23" s="170" t="s">
        <v>121</v>
      </c>
      <c r="F23" s="320">
        <f t="shared" si="0"/>
        <v>172846</v>
      </c>
      <c r="G23" s="634"/>
      <c r="H23" s="636"/>
      <c r="I23" s="307">
        <v>37661</v>
      </c>
      <c r="J23" s="230">
        <f t="shared" si="2"/>
        <v>0.21788759936590954</v>
      </c>
      <c r="K23" s="307">
        <v>48557</v>
      </c>
      <c r="L23" s="230">
        <f t="shared" si="3"/>
        <v>0.2809263737662428</v>
      </c>
      <c r="M23" s="307">
        <f t="shared" si="4"/>
        <v>86218</v>
      </c>
      <c r="N23" s="230">
        <f t="shared" si="5"/>
        <v>0.49881397313215231</v>
      </c>
      <c r="O23" s="307">
        <v>9368</v>
      </c>
      <c r="P23" s="230">
        <f t="shared" si="6"/>
        <v>5.4198535112180785E-2</v>
      </c>
      <c r="Q23" s="307">
        <v>0</v>
      </c>
      <c r="R23" s="230">
        <f t="shared" si="7"/>
        <v>0</v>
      </c>
      <c r="S23" s="307">
        <f t="shared" si="8"/>
        <v>9368</v>
      </c>
      <c r="T23" s="230">
        <f t="shared" si="9"/>
        <v>5.4198535112180785E-2</v>
      </c>
      <c r="U23" s="307">
        <v>2239</v>
      </c>
      <c r="V23" s="230">
        <f t="shared" si="10"/>
        <v>1.2953727595663192E-2</v>
      </c>
      <c r="W23" s="307">
        <v>10042</v>
      </c>
      <c r="X23" s="230">
        <f t="shared" si="11"/>
        <v>5.8097960033787303E-2</v>
      </c>
      <c r="Y23" s="307">
        <v>5757</v>
      </c>
      <c r="Z23" s="230">
        <f t="shared" si="12"/>
        <v>3.3307105747312639E-2</v>
      </c>
      <c r="AA23" s="307">
        <v>7575</v>
      </c>
      <c r="AB23" s="230">
        <f t="shared" si="13"/>
        <v>4.3825139141200835E-2</v>
      </c>
      <c r="AC23" s="307">
        <f t="shared" si="14"/>
        <v>13332</v>
      </c>
      <c r="AD23" s="230">
        <f t="shared" si="15"/>
        <v>7.7132244888513474E-2</v>
      </c>
      <c r="AE23" s="307">
        <v>20979</v>
      </c>
      <c r="AF23" s="230">
        <f t="shared" si="16"/>
        <v>0.12137393980769008</v>
      </c>
      <c r="AG23" s="307">
        <v>0</v>
      </c>
      <c r="AH23" s="230">
        <f t="shared" si="17"/>
        <v>0</v>
      </c>
      <c r="AI23" s="307">
        <v>23915</v>
      </c>
      <c r="AJ23" s="230">
        <f t="shared" si="18"/>
        <v>0.13836015875403537</v>
      </c>
      <c r="AK23" s="307">
        <v>6753</v>
      </c>
      <c r="AL23" s="230">
        <f t="shared" si="19"/>
        <v>3.9069460675977462E-2</v>
      </c>
    </row>
    <row r="24" spans="2:38" s="73" customFormat="1" ht="14.25" hidden="1" customHeight="1">
      <c r="B24" s="633"/>
      <c r="C24" s="618"/>
      <c r="D24" s="170">
        <f t="shared" si="20"/>
        <v>46247</v>
      </c>
      <c r="E24" s="170" t="s">
        <v>122</v>
      </c>
      <c r="F24" s="320">
        <f t="shared" si="0"/>
        <v>146977</v>
      </c>
      <c r="G24" s="634"/>
      <c r="H24" s="636"/>
      <c r="I24" s="307">
        <v>28515</v>
      </c>
      <c r="J24" s="230">
        <f t="shared" si="2"/>
        <v>0.19400994713458569</v>
      </c>
      <c r="K24" s="307">
        <v>44407</v>
      </c>
      <c r="L24" s="230">
        <f t="shared" si="3"/>
        <v>0.3021357083081026</v>
      </c>
      <c r="M24" s="307">
        <f t="shared" si="4"/>
        <v>72922</v>
      </c>
      <c r="N24" s="230">
        <f t="shared" si="5"/>
        <v>0.49614565544268829</v>
      </c>
      <c r="O24" s="307">
        <v>7420</v>
      </c>
      <c r="P24" s="230">
        <f t="shared" si="6"/>
        <v>5.0484089347312848E-2</v>
      </c>
      <c r="Q24" s="307">
        <v>0</v>
      </c>
      <c r="R24" s="230">
        <f t="shared" si="7"/>
        <v>0</v>
      </c>
      <c r="S24" s="307">
        <f t="shared" si="8"/>
        <v>7420</v>
      </c>
      <c r="T24" s="230">
        <f t="shared" si="9"/>
        <v>5.0484089347312848E-2</v>
      </c>
      <c r="U24" s="307">
        <v>1645</v>
      </c>
      <c r="V24" s="230">
        <f t="shared" si="10"/>
        <v>1.1192227355300489E-2</v>
      </c>
      <c r="W24" s="307">
        <v>7822</v>
      </c>
      <c r="X24" s="230">
        <f t="shared" si="11"/>
        <v>5.3219211169094484E-2</v>
      </c>
      <c r="Y24" s="307">
        <v>4885</v>
      </c>
      <c r="Z24" s="230">
        <f t="shared" si="12"/>
        <v>3.3236492784585341E-2</v>
      </c>
      <c r="AA24" s="307">
        <v>7387</v>
      </c>
      <c r="AB24" s="230">
        <f t="shared" si="13"/>
        <v>5.0259564421644205E-2</v>
      </c>
      <c r="AC24" s="307">
        <f t="shared" si="14"/>
        <v>12272</v>
      </c>
      <c r="AD24" s="230">
        <f t="shared" si="15"/>
        <v>8.3496057206229546E-2</v>
      </c>
      <c r="AE24" s="307">
        <v>15866</v>
      </c>
      <c r="AF24" s="230">
        <f t="shared" si="16"/>
        <v>0.10794886274723256</v>
      </c>
      <c r="AG24" s="307">
        <v>0</v>
      </c>
      <c r="AH24" s="230">
        <f t="shared" si="17"/>
        <v>0</v>
      </c>
      <c r="AI24" s="307">
        <v>23167</v>
      </c>
      <c r="AJ24" s="230">
        <f t="shared" si="18"/>
        <v>0.15762330160501303</v>
      </c>
      <c r="AK24" s="307">
        <v>5863</v>
      </c>
      <c r="AL24" s="230">
        <f t="shared" si="19"/>
        <v>3.9890595127128732E-2</v>
      </c>
    </row>
    <row r="25" spans="2:38" s="73" customFormat="1" ht="14.25" hidden="1" customHeight="1">
      <c r="B25" s="633"/>
      <c r="C25" s="618"/>
      <c r="D25" s="170">
        <f t="shared" si="20"/>
        <v>46248</v>
      </c>
      <c r="E25" s="170" t="s">
        <v>124</v>
      </c>
      <c r="F25" s="320">
        <f t="shared" si="0"/>
        <v>155408</v>
      </c>
      <c r="G25" s="634"/>
      <c r="H25" s="636"/>
      <c r="I25" s="307">
        <v>27250</v>
      </c>
      <c r="J25" s="230">
        <f t="shared" si="2"/>
        <v>0.17534489858951921</v>
      </c>
      <c r="K25" s="307">
        <v>52210</v>
      </c>
      <c r="L25" s="230">
        <f t="shared" si="3"/>
        <v>0.3359543910223412</v>
      </c>
      <c r="M25" s="307">
        <f t="shared" si="4"/>
        <v>79460</v>
      </c>
      <c r="N25" s="230">
        <f t="shared" si="5"/>
        <v>0.51129928961186044</v>
      </c>
      <c r="O25" s="307">
        <v>7054</v>
      </c>
      <c r="P25" s="230">
        <f t="shared" si="6"/>
        <v>4.5390198702769481E-2</v>
      </c>
      <c r="Q25" s="307">
        <v>0</v>
      </c>
      <c r="R25" s="230">
        <f t="shared" si="7"/>
        <v>0</v>
      </c>
      <c r="S25" s="307">
        <f t="shared" si="8"/>
        <v>7054</v>
      </c>
      <c r="T25" s="230">
        <f t="shared" si="9"/>
        <v>4.5390198702769481E-2</v>
      </c>
      <c r="U25" s="307">
        <v>1738</v>
      </c>
      <c r="V25" s="230">
        <f t="shared" si="10"/>
        <v>1.1183465458663647E-2</v>
      </c>
      <c r="W25" s="307">
        <v>7056</v>
      </c>
      <c r="X25" s="230">
        <f t="shared" si="11"/>
        <v>4.5403068053124676E-2</v>
      </c>
      <c r="Y25" s="307">
        <v>5245</v>
      </c>
      <c r="Z25" s="230">
        <f t="shared" si="12"/>
        <v>3.3749871306496447E-2</v>
      </c>
      <c r="AA25" s="307">
        <v>9880</v>
      </c>
      <c r="AB25" s="230">
        <f t="shared" si="13"/>
        <v>6.3574590754658711E-2</v>
      </c>
      <c r="AC25" s="307">
        <f t="shared" si="14"/>
        <v>15125</v>
      </c>
      <c r="AD25" s="230">
        <f t="shared" si="15"/>
        <v>9.7324462061155151E-2</v>
      </c>
      <c r="AE25" s="307">
        <v>16765</v>
      </c>
      <c r="AF25" s="230">
        <f t="shared" si="16"/>
        <v>0.10787732935241429</v>
      </c>
      <c r="AG25" s="307">
        <v>0</v>
      </c>
      <c r="AH25" s="230">
        <f t="shared" si="17"/>
        <v>0</v>
      </c>
      <c r="AI25" s="307">
        <v>22612</v>
      </c>
      <c r="AJ25" s="230">
        <f t="shared" si="18"/>
        <v>0.14550087511582416</v>
      </c>
      <c r="AK25" s="307">
        <v>5598</v>
      </c>
      <c r="AL25" s="230">
        <f t="shared" si="19"/>
        <v>3.6021311644188203E-2</v>
      </c>
    </row>
    <row r="26" spans="2:38" s="73" customFormat="1" ht="14.25" hidden="1" customHeight="1">
      <c r="B26" s="633"/>
      <c r="C26" s="618"/>
      <c r="D26" s="170">
        <f t="shared" si="20"/>
        <v>46249</v>
      </c>
      <c r="E26" s="170" t="s">
        <v>116</v>
      </c>
      <c r="F26" s="320">
        <f t="shared" si="0"/>
        <v>200927</v>
      </c>
      <c r="G26" s="634"/>
      <c r="H26" s="636"/>
      <c r="I26" s="307">
        <v>41131</v>
      </c>
      <c r="J26" s="230">
        <f t="shared" si="2"/>
        <v>0.20470618682407044</v>
      </c>
      <c r="K26" s="307">
        <v>59949</v>
      </c>
      <c r="L26" s="230">
        <f t="shared" si="3"/>
        <v>0.29836209170494754</v>
      </c>
      <c r="M26" s="307">
        <f t="shared" si="4"/>
        <v>101080</v>
      </c>
      <c r="N26" s="230">
        <f t="shared" si="5"/>
        <v>0.50306827852901803</v>
      </c>
      <c r="O26" s="307">
        <v>9965</v>
      </c>
      <c r="P26" s="230">
        <f t="shared" si="6"/>
        <v>4.95951265882634E-2</v>
      </c>
      <c r="Q26" s="307">
        <v>0</v>
      </c>
      <c r="R26" s="230">
        <f t="shared" si="7"/>
        <v>0</v>
      </c>
      <c r="S26" s="307">
        <f t="shared" si="8"/>
        <v>9965</v>
      </c>
      <c r="T26" s="230">
        <f t="shared" si="9"/>
        <v>4.95951265882634E-2</v>
      </c>
      <c r="U26" s="307">
        <v>2814</v>
      </c>
      <c r="V26" s="230">
        <f t="shared" si="10"/>
        <v>1.4005086424422801E-2</v>
      </c>
      <c r="W26" s="307">
        <v>9600</v>
      </c>
      <c r="X26" s="230">
        <f t="shared" si="11"/>
        <v>4.7778546437263286E-2</v>
      </c>
      <c r="Y26" s="307">
        <v>6693</v>
      </c>
      <c r="Z26" s="230">
        <f t="shared" si="12"/>
        <v>3.3310605344229499E-2</v>
      </c>
      <c r="AA26" s="307">
        <v>11505</v>
      </c>
      <c r="AB26" s="230">
        <f t="shared" si="13"/>
        <v>5.7259601745907718E-2</v>
      </c>
      <c r="AC26" s="307">
        <f t="shared" si="14"/>
        <v>18198</v>
      </c>
      <c r="AD26" s="230">
        <f t="shared" si="15"/>
        <v>9.0570207090137217E-2</v>
      </c>
      <c r="AE26" s="307">
        <v>26774</v>
      </c>
      <c r="AF26" s="230">
        <f t="shared" si="16"/>
        <v>0.13325237524075909</v>
      </c>
      <c r="AG26" s="307">
        <v>0</v>
      </c>
      <c r="AH26" s="230">
        <f t="shared" si="17"/>
        <v>0</v>
      </c>
      <c r="AI26" s="307">
        <v>27356</v>
      </c>
      <c r="AJ26" s="230">
        <f t="shared" si="18"/>
        <v>0.13614894961851817</v>
      </c>
      <c r="AK26" s="307">
        <v>5140</v>
      </c>
      <c r="AL26" s="230">
        <f t="shared" si="19"/>
        <v>2.5581430071618051E-2</v>
      </c>
    </row>
    <row r="27" spans="2:38" s="73" customFormat="1" ht="14.25" hidden="1" customHeight="1">
      <c r="B27" s="633"/>
      <c r="C27" s="618"/>
      <c r="D27" s="170">
        <f t="shared" si="20"/>
        <v>46250</v>
      </c>
      <c r="E27" s="170" t="s">
        <v>125</v>
      </c>
      <c r="F27" s="320">
        <f t="shared" si="0"/>
        <v>196867</v>
      </c>
      <c r="G27" s="634"/>
      <c r="H27" s="636"/>
      <c r="I27" s="307">
        <v>40733</v>
      </c>
      <c r="J27" s="230">
        <f t="shared" si="2"/>
        <v>0.20690618539420014</v>
      </c>
      <c r="K27" s="307">
        <v>59338</v>
      </c>
      <c r="L27" s="230">
        <f t="shared" si="3"/>
        <v>0.30141161291633439</v>
      </c>
      <c r="M27" s="307">
        <f t="shared" si="4"/>
        <v>100071</v>
      </c>
      <c r="N27" s="230">
        <f t="shared" si="5"/>
        <v>0.50831779831053447</v>
      </c>
      <c r="O27" s="307">
        <v>9735</v>
      </c>
      <c r="P27" s="230">
        <f t="shared" si="6"/>
        <v>4.94496284293457E-2</v>
      </c>
      <c r="Q27" s="307">
        <v>0</v>
      </c>
      <c r="R27" s="230">
        <f t="shared" si="7"/>
        <v>0</v>
      </c>
      <c r="S27" s="307">
        <f t="shared" si="8"/>
        <v>9735</v>
      </c>
      <c r="T27" s="230">
        <f t="shared" si="9"/>
        <v>4.94496284293457E-2</v>
      </c>
      <c r="U27" s="307">
        <v>2451</v>
      </c>
      <c r="V27" s="230">
        <f t="shared" si="10"/>
        <v>1.2450029715493201E-2</v>
      </c>
      <c r="W27" s="307">
        <v>10812</v>
      </c>
      <c r="X27" s="230">
        <f t="shared" si="11"/>
        <v>5.4920326921220924E-2</v>
      </c>
      <c r="Y27" s="307">
        <v>7140</v>
      </c>
      <c r="Z27" s="230">
        <f t="shared" si="12"/>
        <v>3.6268140419674195E-2</v>
      </c>
      <c r="AA27" s="307">
        <v>10569</v>
      </c>
      <c r="AB27" s="230">
        <f t="shared" si="13"/>
        <v>5.3685991049795038E-2</v>
      </c>
      <c r="AC27" s="307">
        <f t="shared" si="14"/>
        <v>17709</v>
      </c>
      <c r="AD27" s="230">
        <f t="shared" si="15"/>
        <v>8.9954131469469234E-2</v>
      </c>
      <c r="AE27" s="307">
        <v>25236</v>
      </c>
      <c r="AF27" s="230">
        <f t="shared" si="16"/>
        <v>0.12818806605474761</v>
      </c>
      <c r="AG27" s="307">
        <v>0</v>
      </c>
      <c r="AH27" s="230">
        <f t="shared" si="17"/>
        <v>0</v>
      </c>
      <c r="AI27" s="307">
        <v>25324</v>
      </c>
      <c r="AJ27" s="230">
        <f t="shared" si="18"/>
        <v>0.12863506834563437</v>
      </c>
      <c r="AK27" s="307">
        <v>5529</v>
      </c>
      <c r="AL27" s="230">
        <f t="shared" si="19"/>
        <v>2.8084950753554432E-2</v>
      </c>
    </row>
    <row r="28" spans="2:38" s="73" customFormat="1" ht="14.25" hidden="1" customHeight="1">
      <c r="B28" s="632">
        <f>B21+7</f>
        <v>46260</v>
      </c>
      <c r="C28" s="618"/>
      <c r="D28" s="170">
        <f t="shared" si="20"/>
        <v>46251</v>
      </c>
      <c r="E28" s="170" t="s">
        <v>119</v>
      </c>
      <c r="F28" s="320">
        <f t="shared" si="0"/>
        <v>201857</v>
      </c>
      <c r="G28" s="634">
        <f t="shared" ref="G28" si="23">SUM(F28:F34)</f>
        <v>1252535</v>
      </c>
      <c r="H28" s="636"/>
      <c r="I28" s="307">
        <v>40589</v>
      </c>
      <c r="J28" s="230">
        <f t="shared" si="2"/>
        <v>0.20107799085491215</v>
      </c>
      <c r="K28" s="307">
        <v>58859</v>
      </c>
      <c r="L28" s="230">
        <f t="shared" si="3"/>
        <v>0.291587609049971</v>
      </c>
      <c r="M28" s="307">
        <f t="shared" si="4"/>
        <v>99448</v>
      </c>
      <c r="N28" s="230">
        <f t="shared" si="5"/>
        <v>0.49266559990488318</v>
      </c>
      <c r="O28" s="307">
        <v>9695</v>
      </c>
      <c r="P28" s="230">
        <f t="shared" si="6"/>
        <v>4.802905026825921E-2</v>
      </c>
      <c r="Q28" s="307">
        <v>0</v>
      </c>
      <c r="R28" s="230">
        <f t="shared" si="7"/>
        <v>0</v>
      </c>
      <c r="S28" s="307">
        <f t="shared" si="8"/>
        <v>9695</v>
      </c>
      <c r="T28" s="230">
        <f t="shared" si="9"/>
        <v>4.802905026825921E-2</v>
      </c>
      <c r="U28" s="307">
        <v>2573</v>
      </c>
      <c r="V28" s="230">
        <f t="shared" si="10"/>
        <v>1.2746647379085194E-2</v>
      </c>
      <c r="W28" s="307">
        <v>9314</v>
      </c>
      <c r="X28" s="230">
        <f t="shared" si="11"/>
        <v>4.6141575471744849E-2</v>
      </c>
      <c r="Y28" s="307">
        <v>6033</v>
      </c>
      <c r="Z28" s="230">
        <f t="shared" si="12"/>
        <v>2.9887494612522728E-2</v>
      </c>
      <c r="AA28" s="307">
        <v>10280</v>
      </c>
      <c r="AB28" s="230">
        <f t="shared" si="13"/>
        <v>5.0927141491253707E-2</v>
      </c>
      <c r="AC28" s="307">
        <f t="shared" si="14"/>
        <v>16313</v>
      </c>
      <c r="AD28" s="230">
        <f t="shared" si="15"/>
        <v>8.0814636103776441E-2</v>
      </c>
      <c r="AE28" s="307">
        <v>34409</v>
      </c>
      <c r="AF28" s="230">
        <f t="shared" si="16"/>
        <v>0.17046225793507286</v>
      </c>
      <c r="AG28" s="307">
        <v>0</v>
      </c>
      <c r="AH28" s="230">
        <f t="shared" si="17"/>
        <v>0</v>
      </c>
      <c r="AI28" s="307">
        <v>25169</v>
      </c>
      <c r="AJ28" s="230">
        <f t="shared" si="18"/>
        <v>0.12468727861803158</v>
      </c>
      <c r="AK28" s="307">
        <v>4936</v>
      </c>
      <c r="AL28" s="230">
        <f t="shared" si="19"/>
        <v>2.4452954319146722E-2</v>
      </c>
    </row>
    <row r="29" spans="2:38" s="73" customFormat="1" ht="14.25" hidden="1" customHeight="1">
      <c r="B29" s="633"/>
      <c r="C29" s="618"/>
      <c r="D29" s="170">
        <f t="shared" si="20"/>
        <v>46252</v>
      </c>
      <c r="E29" s="170" t="s">
        <v>120</v>
      </c>
      <c r="F29" s="320">
        <f t="shared" si="0"/>
        <v>188974</v>
      </c>
      <c r="G29" s="634"/>
      <c r="H29" s="636"/>
      <c r="I29" s="307">
        <v>39602</v>
      </c>
      <c r="J29" s="230">
        <f t="shared" si="2"/>
        <v>0.20956322033718924</v>
      </c>
      <c r="K29" s="307">
        <v>55530</v>
      </c>
      <c r="L29" s="230">
        <f t="shared" si="3"/>
        <v>0.2938499476118408</v>
      </c>
      <c r="M29" s="307">
        <f t="shared" si="4"/>
        <v>95132</v>
      </c>
      <c r="N29" s="230">
        <f t="shared" si="5"/>
        <v>0.50341316794903002</v>
      </c>
      <c r="O29" s="307">
        <v>9651</v>
      </c>
      <c r="P29" s="230">
        <f t="shared" si="6"/>
        <v>5.1070517637346935E-2</v>
      </c>
      <c r="Q29" s="307">
        <v>0</v>
      </c>
      <c r="R29" s="230">
        <f t="shared" si="7"/>
        <v>0</v>
      </c>
      <c r="S29" s="307">
        <f t="shared" si="8"/>
        <v>9651</v>
      </c>
      <c r="T29" s="230">
        <f t="shared" si="9"/>
        <v>5.1070517637346935E-2</v>
      </c>
      <c r="U29" s="307">
        <v>2189</v>
      </c>
      <c r="V29" s="230">
        <f t="shared" si="10"/>
        <v>1.1583604093684845E-2</v>
      </c>
      <c r="W29" s="307">
        <v>9446</v>
      </c>
      <c r="X29" s="230">
        <f t="shared" si="11"/>
        <v>4.9985712320213364E-2</v>
      </c>
      <c r="Y29" s="307">
        <v>5508</v>
      </c>
      <c r="Z29" s="230">
        <f t="shared" si="12"/>
        <v>2.9146866764740122E-2</v>
      </c>
      <c r="AA29" s="307">
        <v>9874</v>
      </c>
      <c r="AB29" s="230">
        <f t="shared" si="13"/>
        <v>5.2250574153058095E-2</v>
      </c>
      <c r="AC29" s="307">
        <f t="shared" si="14"/>
        <v>15382</v>
      </c>
      <c r="AD29" s="230">
        <f t="shared" si="15"/>
        <v>8.1397440917798214E-2</v>
      </c>
      <c r="AE29" s="307">
        <v>27741</v>
      </c>
      <c r="AF29" s="230">
        <f t="shared" si="16"/>
        <v>0.14679797220781696</v>
      </c>
      <c r="AG29" s="307">
        <v>0</v>
      </c>
      <c r="AH29" s="230">
        <f t="shared" si="17"/>
        <v>0</v>
      </c>
      <c r="AI29" s="307">
        <v>24363</v>
      </c>
      <c r="AJ29" s="230">
        <f t="shared" si="18"/>
        <v>0.12892249727475738</v>
      </c>
      <c r="AK29" s="307">
        <v>5070</v>
      </c>
      <c r="AL29" s="230">
        <f t="shared" si="19"/>
        <v>2.6829087599352291E-2</v>
      </c>
    </row>
    <row r="30" spans="2:38" s="73" customFormat="1" ht="14.25" hidden="1" customHeight="1">
      <c r="B30" s="633"/>
      <c r="C30" s="618"/>
      <c r="D30" s="170">
        <f t="shared" si="20"/>
        <v>46253</v>
      </c>
      <c r="E30" s="170" t="s">
        <v>121</v>
      </c>
      <c r="F30" s="320">
        <f t="shared" si="0"/>
        <v>175085</v>
      </c>
      <c r="G30" s="634"/>
      <c r="H30" s="636"/>
      <c r="I30" s="307">
        <v>38087</v>
      </c>
      <c r="J30" s="230">
        <f t="shared" si="2"/>
        <v>0.21753434046320358</v>
      </c>
      <c r="K30" s="307">
        <v>49134</v>
      </c>
      <c r="L30" s="230">
        <f t="shared" si="3"/>
        <v>0.28062940857297886</v>
      </c>
      <c r="M30" s="307">
        <f t="shared" si="4"/>
        <v>87221</v>
      </c>
      <c r="N30" s="230">
        <f t="shared" si="5"/>
        <v>0.49816374903618243</v>
      </c>
      <c r="O30" s="307">
        <v>9255</v>
      </c>
      <c r="P30" s="230">
        <f t="shared" si="6"/>
        <v>5.2860039409429703E-2</v>
      </c>
      <c r="Q30" s="307">
        <v>0</v>
      </c>
      <c r="R30" s="230">
        <f t="shared" si="7"/>
        <v>0</v>
      </c>
      <c r="S30" s="307">
        <f t="shared" si="8"/>
        <v>9255</v>
      </c>
      <c r="T30" s="230">
        <f t="shared" si="9"/>
        <v>5.2860039409429703E-2</v>
      </c>
      <c r="U30" s="307">
        <v>2266</v>
      </c>
      <c r="V30" s="230">
        <f t="shared" si="10"/>
        <v>1.2942285175771768E-2</v>
      </c>
      <c r="W30" s="307">
        <v>9330</v>
      </c>
      <c r="X30" s="230">
        <f t="shared" si="11"/>
        <v>5.3288402775794615E-2</v>
      </c>
      <c r="Y30" s="307">
        <v>5363</v>
      </c>
      <c r="Z30" s="230">
        <f t="shared" si="12"/>
        <v>3.0630836450866721E-2</v>
      </c>
      <c r="AA30" s="307">
        <v>7696</v>
      </c>
      <c r="AB30" s="230">
        <f t="shared" si="13"/>
        <v>4.3955792900591144E-2</v>
      </c>
      <c r="AC30" s="307">
        <f t="shared" si="14"/>
        <v>13059</v>
      </c>
      <c r="AD30" s="230">
        <f t="shared" si="15"/>
        <v>7.4586629351457864E-2</v>
      </c>
      <c r="AE30" s="307">
        <v>26039</v>
      </c>
      <c r="AF30" s="230">
        <f t="shared" si="16"/>
        <v>0.14872204929034469</v>
      </c>
      <c r="AG30" s="307">
        <v>0</v>
      </c>
      <c r="AH30" s="230">
        <f t="shared" si="17"/>
        <v>0</v>
      </c>
      <c r="AI30" s="307">
        <v>22966</v>
      </c>
      <c r="AJ30" s="230">
        <f t="shared" si="18"/>
        <v>0.13117057429248652</v>
      </c>
      <c r="AK30" s="307">
        <v>4949</v>
      </c>
      <c r="AL30" s="230">
        <f t="shared" si="19"/>
        <v>2.8266270668532427E-2</v>
      </c>
    </row>
    <row r="31" spans="2:38" s="73" customFormat="1" ht="14.25" hidden="1" customHeight="1">
      <c r="B31" s="633"/>
      <c r="C31" s="618"/>
      <c r="D31" s="170">
        <f t="shared" si="20"/>
        <v>46254</v>
      </c>
      <c r="E31" s="170" t="s">
        <v>122</v>
      </c>
      <c r="F31" s="320">
        <f t="shared" si="0"/>
        <v>140181</v>
      </c>
      <c r="G31" s="634"/>
      <c r="H31" s="636"/>
      <c r="I31" s="307">
        <v>28545</v>
      </c>
      <c r="J31" s="230">
        <f t="shared" si="2"/>
        <v>0.20362959316883172</v>
      </c>
      <c r="K31" s="307">
        <v>44096</v>
      </c>
      <c r="L31" s="230">
        <f t="shared" si="3"/>
        <v>0.31456474129874945</v>
      </c>
      <c r="M31" s="307">
        <f t="shared" si="4"/>
        <v>72641</v>
      </c>
      <c r="N31" s="230">
        <f t="shared" si="5"/>
        <v>0.51819433446758123</v>
      </c>
      <c r="O31" s="307">
        <v>7178</v>
      </c>
      <c r="P31" s="230">
        <f t="shared" si="6"/>
        <v>5.1205227527268318E-2</v>
      </c>
      <c r="Q31" s="307">
        <v>0</v>
      </c>
      <c r="R31" s="230">
        <f t="shared" si="7"/>
        <v>0</v>
      </c>
      <c r="S31" s="307">
        <f t="shared" si="8"/>
        <v>7178</v>
      </c>
      <c r="T31" s="230">
        <f t="shared" si="9"/>
        <v>5.1205227527268318E-2</v>
      </c>
      <c r="U31" s="307">
        <v>1381</v>
      </c>
      <c r="V31" s="230">
        <f t="shared" si="10"/>
        <v>9.8515490687040332E-3</v>
      </c>
      <c r="W31" s="307">
        <v>6918</v>
      </c>
      <c r="X31" s="230">
        <f t="shared" si="11"/>
        <v>4.9350482590365313E-2</v>
      </c>
      <c r="Y31" s="307">
        <v>4240</v>
      </c>
      <c r="Z31" s="230">
        <f t="shared" si="12"/>
        <v>3.0246609740264371E-2</v>
      </c>
      <c r="AA31" s="307">
        <v>7536</v>
      </c>
      <c r="AB31" s="230">
        <f t="shared" si="13"/>
        <v>5.3759068632696298E-2</v>
      </c>
      <c r="AC31" s="307">
        <f t="shared" si="14"/>
        <v>11776</v>
      </c>
      <c r="AD31" s="230">
        <f t="shared" si="15"/>
        <v>8.4005678372960677E-2</v>
      </c>
      <c r="AE31" s="307">
        <v>16258</v>
      </c>
      <c r="AF31" s="230">
        <f t="shared" si="16"/>
        <v>0.11597862763141938</v>
      </c>
      <c r="AG31" s="307">
        <v>0</v>
      </c>
      <c r="AH31" s="230">
        <f t="shared" si="17"/>
        <v>0</v>
      </c>
      <c r="AI31" s="307">
        <v>19643</v>
      </c>
      <c r="AJ31" s="230">
        <f t="shared" si="18"/>
        <v>0.14012597998302195</v>
      </c>
      <c r="AK31" s="307">
        <v>4386</v>
      </c>
      <c r="AL31" s="230">
        <f t="shared" si="19"/>
        <v>3.1288120358679138E-2</v>
      </c>
    </row>
    <row r="32" spans="2:38" s="73" customFormat="1" ht="14.25" hidden="1" customHeight="1">
      <c r="B32" s="633"/>
      <c r="C32" s="618"/>
      <c r="D32" s="170">
        <f t="shared" si="20"/>
        <v>46255</v>
      </c>
      <c r="E32" s="170" t="s">
        <v>124</v>
      </c>
      <c r="F32" s="320">
        <f t="shared" si="0"/>
        <v>150801</v>
      </c>
      <c r="G32" s="634"/>
      <c r="H32" s="636"/>
      <c r="I32" s="307">
        <v>27187</v>
      </c>
      <c r="J32" s="230">
        <f t="shared" si="2"/>
        <v>0.18028395037168188</v>
      </c>
      <c r="K32" s="307">
        <v>50671</v>
      </c>
      <c r="L32" s="230">
        <f t="shared" si="3"/>
        <v>0.33601236066073831</v>
      </c>
      <c r="M32" s="307">
        <f t="shared" si="4"/>
        <v>77858</v>
      </c>
      <c r="N32" s="230">
        <f t="shared" si="5"/>
        <v>0.51629631103242024</v>
      </c>
      <c r="O32" s="307">
        <v>6654</v>
      </c>
      <c r="P32" s="230">
        <f t="shared" si="6"/>
        <v>4.4124375833051503E-2</v>
      </c>
      <c r="Q32" s="307">
        <v>0</v>
      </c>
      <c r="R32" s="230">
        <f t="shared" si="7"/>
        <v>0</v>
      </c>
      <c r="S32" s="307">
        <f t="shared" si="8"/>
        <v>6654</v>
      </c>
      <c r="T32" s="230">
        <f t="shared" si="9"/>
        <v>4.4124375833051503E-2</v>
      </c>
      <c r="U32" s="307">
        <v>1650</v>
      </c>
      <c r="V32" s="230">
        <f t="shared" si="10"/>
        <v>1.0941572005490679E-2</v>
      </c>
      <c r="W32" s="307">
        <v>6934</v>
      </c>
      <c r="X32" s="230">
        <f t="shared" si="11"/>
        <v>4.5981127446104469E-2</v>
      </c>
      <c r="Y32" s="307">
        <v>4764</v>
      </c>
      <c r="Z32" s="230">
        <f t="shared" si="12"/>
        <v>3.1591302444944E-2</v>
      </c>
      <c r="AA32" s="307">
        <v>9902</v>
      </c>
      <c r="AB32" s="230">
        <f t="shared" si="13"/>
        <v>6.5662694544465883E-2</v>
      </c>
      <c r="AC32" s="307">
        <f t="shared" si="14"/>
        <v>14666</v>
      </c>
      <c r="AD32" s="230">
        <f t="shared" si="15"/>
        <v>9.7253996989409883E-2</v>
      </c>
      <c r="AE32" s="307">
        <v>19219</v>
      </c>
      <c r="AF32" s="230">
        <f t="shared" si="16"/>
        <v>0.12744610446880325</v>
      </c>
      <c r="AG32" s="307">
        <v>0</v>
      </c>
      <c r="AH32" s="230">
        <f t="shared" si="17"/>
        <v>0</v>
      </c>
      <c r="AI32" s="307">
        <v>19425</v>
      </c>
      <c r="AJ32" s="230">
        <f t="shared" si="18"/>
        <v>0.12881214315554937</v>
      </c>
      <c r="AK32" s="307">
        <v>4395</v>
      </c>
      <c r="AL32" s="230">
        <f t="shared" si="19"/>
        <v>2.9144369069170627E-2</v>
      </c>
    </row>
    <row r="33" spans="2:38" s="73" customFormat="1" ht="14.25" hidden="1" customHeight="1">
      <c r="B33" s="633"/>
      <c r="C33" s="618"/>
      <c r="D33" s="170">
        <f t="shared" si="20"/>
        <v>46256</v>
      </c>
      <c r="E33" s="170" t="s">
        <v>116</v>
      </c>
      <c r="F33" s="320">
        <f t="shared" si="0"/>
        <v>197801</v>
      </c>
      <c r="G33" s="634"/>
      <c r="H33" s="636"/>
      <c r="I33" s="307">
        <v>40594</v>
      </c>
      <c r="J33" s="230">
        <f t="shared" si="2"/>
        <v>0.2052264649824824</v>
      </c>
      <c r="K33" s="307">
        <v>57151</v>
      </c>
      <c r="L33" s="230">
        <f t="shared" si="3"/>
        <v>0.2889318051981537</v>
      </c>
      <c r="M33" s="307">
        <f t="shared" si="4"/>
        <v>97745</v>
      </c>
      <c r="N33" s="230">
        <f t="shared" si="5"/>
        <v>0.49415827018063607</v>
      </c>
      <c r="O33" s="307">
        <v>9494</v>
      </c>
      <c r="P33" s="230">
        <f t="shared" si="6"/>
        <v>4.7997735097395869E-2</v>
      </c>
      <c r="Q33" s="307">
        <v>0</v>
      </c>
      <c r="R33" s="230">
        <f t="shared" si="7"/>
        <v>0</v>
      </c>
      <c r="S33" s="307">
        <f t="shared" si="8"/>
        <v>9494</v>
      </c>
      <c r="T33" s="230">
        <f t="shared" si="9"/>
        <v>4.7997735097395869E-2</v>
      </c>
      <c r="U33" s="307">
        <v>2266</v>
      </c>
      <c r="V33" s="230">
        <f t="shared" si="10"/>
        <v>1.1455958261080581E-2</v>
      </c>
      <c r="W33" s="307">
        <v>9327</v>
      </c>
      <c r="X33" s="230">
        <f t="shared" si="11"/>
        <v>4.7153452207016146E-2</v>
      </c>
      <c r="Y33" s="307">
        <v>6236</v>
      </c>
      <c r="Z33" s="230">
        <f t="shared" si="12"/>
        <v>3.152663535573632E-2</v>
      </c>
      <c r="AA33" s="307">
        <v>11757</v>
      </c>
      <c r="AB33" s="230">
        <f t="shared" si="13"/>
        <v>5.943852659996663E-2</v>
      </c>
      <c r="AC33" s="307">
        <f t="shared" si="14"/>
        <v>17993</v>
      </c>
      <c r="AD33" s="230">
        <f t="shared" si="15"/>
        <v>9.096516195570295E-2</v>
      </c>
      <c r="AE33" s="307">
        <v>31333</v>
      </c>
      <c r="AF33" s="230">
        <f t="shared" si="16"/>
        <v>0.15840668146268219</v>
      </c>
      <c r="AG33" s="307">
        <v>0</v>
      </c>
      <c r="AH33" s="230">
        <f t="shared" si="17"/>
        <v>0</v>
      </c>
      <c r="AI33" s="307">
        <v>24646</v>
      </c>
      <c r="AJ33" s="230">
        <f t="shared" si="18"/>
        <v>0.12459997674430362</v>
      </c>
      <c r="AK33" s="307">
        <v>4997</v>
      </c>
      <c r="AL33" s="230">
        <f t="shared" si="19"/>
        <v>2.5262764091182551E-2</v>
      </c>
    </row>
    <row r="34" spans="2:38" s="73" customFormat="1" ht="14.25" hidden="1" customHeight="1">
      <c r="B34" s="633"/>
      <c r="C34" s="618"/>
      <c r="D34" s="170">
        <f t="shared" si="20"/>
        <v>46257</v>
      </c>
      <c r="E34" s="170" t="s">
        <v>125</v>
      </c>
      <c r="F34" s="320">
        <f t="shared" si="0"/>
        <v>197836</v>
      </c>
      <c r="G34" s="634"/>
      <c r="H34" s="636"/>
      <c r="I34" s="307">
        <v>39125</v>
      </c>
      <c r="J34" s="230">
        <f t="shared" si="2"/>
        <v>0.19776481530156292</v>
      </c>
      <c r="K34" s="307">
        <v>61590</v>
      </c>
      <c r="L34" s="230">
        <f t="shared" si="3"/>
        <v>0.31131846579995553</v>
      </c>
      <c r="M34" s="307">
        <f t="shared" si="4"/>
        <v>100715</v>
      </c>
      <c r="N34" s="230">
        <f t="shared" si="5"/>
        <v>0.50908328110151846</v>
      </c>
      <c r="O34" s="307">
        <v>9288</v>
      </c>
      <c r="P34" s="230">
        <f t="shared" si="6"/>
        <v>4.6947977112355689E-2</v>
      </c>
      <c r="Q34" s="307">
        <v>0</v>
      </c>
      <c r="R34" s="230">
        <f t="shared" si="7"/>
        <v>0</v>
      </c>
      <c r="S34" s="307">
        <f t="shared" si="8"/>
        <v>9288</v>
      </c>
      <c r="T34" s="230">
        <f t="shared" si="9"/>
        <v>4.6947977112355689E-2</v>
      </c>
      <c r="U34" s="307">
        <v>2390</v>
      </c>
      <c r="V34" s="230">
        <f t="shared" si="10"/>
        <v>1.2080713318101862E-2</v>
      </c>
      <c r="W34" s="307">
        <v>10153</v>
      </c>
      <c r="X34" s="230">
        <f t="shared" si="11"/>
        <v>5.1320285488990883E-2</v>
      </c>
      <c r="Y34" s="307">
        <v>6871</v>
      </c>
      <c r="Z34" s="230">
        <f t="shared" si="12"/>
        <v>3.473078711660163E-2</v>
      </c>
      <c r="AA34" s="307">
        <v>10579</v>
      </c>
      <c r="AB34" s="230">
        <f t="shared" si="13"/>
        <v>5.3473584180836656E-2</v>
      </c>
      <c r="AC34" s="307">
        <f t="shared" si="14"/>
        <v>17450</v>
      </c>
      <c r="AD34" s="230">
        <f t="shared" si="15"/>
        <v>8.8204371297438286E-2</v>
      </c>
      <c r="AE34" s="307">
        <v>26558</v>
      </c>
      <c r="AF34" s="230">
        <f t="shared" si="16"/>
        <v>0.13424250389211265</v>
      </c>
      <c r="AG34" s="307">
        <v>0</v>
      </c>
      <c r="AH34" s="230">
        <f t="shared" si="17"/>
        <v>0</v>
      </c>
      <c r="AI34" s="307">
        <v>25915</v>
      </c>
      <c r="AJ34" s="230">
        <f t="shared" si="18"/>
        <v>0.13099233708728442</v>
      </c>
      <c r="AK34" s="307">
        <v>5367</v>
      </c>
      <c r="AL34" s="230">
        <f t="shared" si="19"/>
        <v>2.712853070219778E-2</v>
      </c>
    </row>
    <row r="35" spans="2:38" s="73" customFormat="1" ht="14.25" hidden="1" customHeight="1">
      <c r="B35" s="632">
        <f>B28+7</f>
        <v>46267</v>
      </c>
      <c r="C35" s="618"/>
      <c r="D35" s="170">
        <f t="shared" si="20"/>
        <v>46258</v>
      </c>
      <c r="E35" s="170" t="s">
        <v>119</v>
      </c>
      <c r="F35" s="320">
        <f t="shared" si="0"/>
        <v>208377</v>
      </c>
      <c r="G35" s="634">
        <f t="shared" ref="G35" si="24">SUM(F35:F41)</f>
        <v>1138303</v>
      </c>
      <c r="H35" s="636"/>
      <c r="I35" s="307">
        <v>43403</v>
      </c>
      <c r="J35" s="230">
        <f t="shared" si="2"/>
        <v>0.20829074226042221</v>
      </c>
      <c r="K35" s="307">
        <v>58790</v>
      </c>
      <c r="L35" s="230">
        <f t="shared" si="3"/>
        <v>0.28213286495150619</v>
      </c>
      <c r="M35" s="307">
        <f t="shared" si="4"/>
        <v>102193</v>
      </c>
      <c r="N35" s="230">
        <f t="shared" si="5"/>
        <v>0.4904236072119284</v>
      </c>
      <c r="O35" s="307">
        <v>9171</v>
      </c>
      <c r="P35" s="230">
        <f t="shared" si="6"/>
        <v>4.4011575173843562E-2</v>
      </c>
      <c r="Q35" s="307">
        <v>0</v>
      </c>
      <c r="R35" s="230">
        <f t="shared" si="7"/>
        <v>0</v>
      </c>
      <c r="S35" s="307">
        <f t="shared" si="8"/>
        <v>9171</v>
      </c>
      <c r="T35" s="230">
        <f t="shared" si="9"/>
        <v>4.4011575173843562E-2</v>
      </c>
      <c r="U35" s="307">
        <v>2406</v>
      </c>
      <c r="V35" s="230">
        <f t="shared" si="10"/>
        <v>1.1546379878777407E-2</v>
      </c>
      <c r="W35" s="307">
        <v>24984</v>
      </c>
      <c r="X35" s="230">
        <f t="shared" si="11"/>
        <v>0.11989806936466117</v>
      </c>
      <c r="Y35" s="307">
        <v>5966</v>
      </c>
      <c r="Z35" s="230">
        <f t="shared" si="12"/>
        <v>2.8630798984532843E-2</v>
      </c>
      <c r="AA35" s="307">
        <v>10608</v>
      </c>
      <c r="AB35" s="230">
        <f t="shared" si="13"/>
        <v>5.090772973984653E-2</v>
      </c>
      <c r="AC35" s="307">
        <f t="shared" si="14"/>
        <v>16574</v>
      </c>
      <c r="AD35" s="230">
        <f t="shared" si="15"/>
        <v>7.9538528724379373E-2</v>
      </c>
      <c r="AE35" s="307">
        <v>24802</v>
      </c>
      <c r="AF35" s="230">
        <f t="shared" si="16"/>
        <v>0.11902465243285007</v>
      </c>
      <c r="AG35" s="307">
        <v>0</v>
      </c>
      <c r="AH35" s="230">
        <f t="shared" si="17"/>
        <v>0</v>
      </c>
      <c r="AI35" s="307">
        <v>23096</v>
      </c>
      <c r="AJ35" s="230">
        <f t="shared" si="18"/>
        <v>0.11083756844565379</v>
      </c>
      <c r="AK35" s="307">
        <v>5151</v>
      </c>
      <c r="AL35" s="230">
        <f t="shared" si="19"/>
        <v>2.4719618767906248E-2</v>
      </c>
    </row>
    <row r="36" spans="2:38" s="73" customFormat="1" ht="14.25" hidden="1" customHeight="1">
      <c r="B36" s="633"/>
      <c r="C36" s="618"/>
      <c r="D36" s="170">
        <f t="shared" si="20"/>
        <v>46259</v>
      </c>
      <c r="E36" s="170" t="s">
        <v>120</v>
      </c>
      <c r="F36" s="320">
        <f t="shared" si="0"/>
        <v>184347</v>
      </c>
      <c r="G36" s="634"/>
      <c r="H36" s="636"/>
      <c r="I36" s="307">
        <v>39355</v>
      </c>
      <c r="J36" s="230">
        <f t="shared" si="2"/>
        <v>0.21348326796747438</v>
      </c>
      <c r="K36" s="307">
        <v>53973</v>
      </c>
      <c r="L36" s="230">
        <f t="shared" si="3"/>
        <v>0.29277937802079773</v>
      </c>
      <c r="M36" s="307">
        <f t="shared" si="4"/>
        <v>93328</v>
      </c>
      <c r="N36" s="230">
        <f t="shared" si="5"/>
        <v>0.50626264598827209</v>
      </c>
      <c r="O36" s="307">
        <v>8871</v>
      </c>
      <c r="P36" s="230">
        <f t="shared" si="6"/>
        <v>4.8121206203518362E-2</v>
      </c>
      <c r="Q36" s="307">
        <v>0</v>
      </c>
      <c r="R36" s="230">
        <f t="shared" si="7"/>
        <v>0</v>
      </c>
      <c r="S36" s="307">
        <f t="shared" si="8"/>
        <v>8871</v>
      </c>
      <c r="T36" s="230">
        <f t="shared" si="9"/>
        <v>4.8121206203518362E-2</v>
      </c>
      <c r="U36" s="307">
        <v>2203</v>
      </c>
      <c r="V36" s="230">
        <f t="shared" si="10"/>
        <v>1.1950289399881745E-2</v>
      </c>
      <c r="W36" s="307">
        <v>17556</v>
      </c>
      <c r="X36" s="230">
        <f t="shared" si="11"/>
        <v>9.5233445621572363E-2</v>
      </c>
      <c r="Y36" s="307">
        <v>5577</v>
      </c>
      <c r="Z36" s="230">
        <f t="shared" si="12"/>
        <v>3.0252729906100995E-2</v>
      </c>
      <c r="AA36" s="307">
        <v>10293</v>
      </c>
      <c r="AB36" s="230">
        <f t="shared" si="13"/>
        <v>5.5834920014971763E-2</v>
      </c>
      <c r="AC36" s="307">
        <f t="shared" si="14"/>
        <v>15870</v>
      </c>
      <c r="AD36" s="230">
        <f t="shared" si="15"/>
        <v>8.6087649921072762E-2</v>
      </c>
      <c r="AE36" s="307">
        <v>23941</v>
      </c>
      <c r="AF36" s="230">
        <f t="shared" si="16"/>
        <v>0.12986921403657234</v>
      </c>
      <c r="AG36" s="307">
        <v>0</v>
      </c>
      <c r="AH36" s="230">
        <f t="shared" si="17"/>
        <v>0</v>
      </c>
      <c r="AI36" s="307">
        <v>17362</v>
      </c>
      <c r="AJ36" s="230">
        <f t="shared" si="18"/>
        <v>9.418108241522781E-2</v>
      </c>
      <c r="AK36" s="307">
        <v>5216</v>
      </c>
      <c r="AL36" s="230">
        <f t="shared" si="19"/>
        <v>2.8294466413882516E-2</v>
      </c>
    </row>
    <row r="37" spans="2:38" s="73" customFormat="1" ht="14.25" hidden="1" customHeight="1">
      <c r="B37" s="633"/>
      <c r="C37" s="618"/>
      <c r="D37" s="170">
        <f t="shared" si="20"/>
        <v>46260</v>
      </c>
      <c r="E37" s="170" t="s">
        <v>121</v>
      </c>
      <c r="F37" s="320">
        <f t="shared" si="0"/>
        <v>144091</v>
      </c>
      <c r="G37" s="634"/>
      <c r="H37" s="636"/>
      <c r="I37" s="307">
        <v>26589</v>
      </c>
      <c r="J37" s="230">
        <f t="shared" si="2"/>
        <v>0.18452922111721065</v>
      </c>
      <c r="K37" s="307">
        <v>33980</v>
      </c>
      <c r="L37" s="230">
        <f t="shared" si="3"/>
        <v>0.23582319506423025</v>
      </c>
      <c r="M37" s="307">
        <f t="shared" si="4"/>
        <v>60569</v>
      </c>
      <c r="N37" s="230">
        <f t="shared" si="5"/>
        <v>0.42035241618144087</v>
      </c>
      <c r="O37" s="307">
        <v>6196</v>
      </c>
      <c r="P37" s="230">
        <f t="shared" si="6"/>
        <v>4.3000603785108019E-2</v>
      </c>
      <c r="Q37" s="307">
        <v>0</v>
      </c>
      <c r="R37" s="230">
        <f t="shared" si="7"/>
        <v>0</v>
      </c>
      <c r="S37" s="307">
        <f t="shared" si="8"/>
        <v>6196</v>
      </c>
      <c r="T37" s="230">
        <f t="shared" si="9"/>
        <v>4.3000603785108019E-2</v>
      </c>
      <c r="U37" s="307">
        <v>2196</v>
      </c>
      <c r="V37" s="230">
        <f t="shared" si="10"/>
        <v>1.5240368933521178E-2</v>
      </c>
      <c r="W37" s="307">
        <v>15793</v>
      </c>
      <c r="X37" s="230">
        <f t="shared" si="11"/>
        <v>0.10960434725277776</v>
      </c>
      <c r="Y37" s="307">
        <v>6233</v>
      </c>
      <c r="Z37" s="230">
        <f t="shared" si="12"/>
        <v>4.3257385957485198E-2</v>
      </c>
      <c r="AA37" s="307">
        <v>7910</v>
      </c>
      <c r="AB37" s="230">
        <f t="shared" si="13"/>
        <v>5.4895864419012987E-2</v>
      </c>
      <c r="AC37" s="307">
        <f t="shared" si="14"/>
        <v>14143</v>
      </c>
      <c r="AD37" s="230">
        <f t="shared" si="15"/>
        <v>9.8153250376498191E-2</v>
      </c>
      <c r="AE37" s="307">
        <v>21531</v>
      </c>
      <c r="AF37" s="230">
        <f t="shared" si="16"/>
        <v>0.14942640414737909</v>
      </c>
      <c r="AG37" s="307">
        <v>0</v>
      </c>
      <c r="AH37" s="230">
        <f t="shared" si="17"/>
        <v>0</v>
      </c>
      <c r="AI37" s="307">
        <v>18496</v>
      </c>
      <c r="AJ37" s="230">
        <f t="shared" si="18"/>
        <v>0.12836332595373756</v>
      </c>
      <c r="AK37" s="307">
        <v>5167</v>
      </c>
      <c r="AL37" s="230">
        <f t="shared" si="19"/>
        <v>3.5859283369537309E-2</v>
      </c>
    </row>
    <row r="38" spans="2:38" s="73" customFormat="1" ht="14.25" hidden="1" customHeight="1">
      <c r="B38" s="633"/>
      <c r="C38" s="618"/>
      <c r="D38" s="170">
        <f t="shared" si="20"/>
        <v>46261</v>
      </c>
      <c r="E38" s="170" t="s">
        <v>122</v>
      </c>
      <c r="F38" s="320">
        <f t="shared" si="0"/>
        <v>119527</v>
      </c>
      <c r="G38" s="634"/>
      <c r="H38" s="636"/>
      <c r="I38" s="307">
        <v>20170</v>
      </c>
      <c r="J38" s="230">
        <f t="shared" si="2"/>
        <v>0.1687484836062145</v>
      </c>
      <c r="K38" s="307">
        <v>30829</v>
      </c>
      <c r="L38" s="230">
        <f t="shared" si="3"/>
        <v>0.25792498765969196</v>
      </c>
      <c r="M38" s="307">
        <f t="shared" si="4"/>
        <v>50999</v>
      </c>
      <c r="N38" s="230">
        <f t="shared" si="5"/>
        <v>0.42667347126590643</v>
      </c>
      <c r="O38" s="307">
        <v>4705</v>
      </c>
      <c r="P38" s="230">
        <f t="shared" si="6"/>
        <v>3.9363491094062432E-2</v>
      </c>
      <c r="Q38" s="307">
        <v>0</v>
      </c>
      <c r="R38" s="230">
        <f t="shared" si="7"/>
        <v>0</v>
      </c>
      <c r="S38" s="307">
        <f t="shared" si="8"/>
        <v>4705</v>
      </c>
      <c r="T38" s="230">
        <f t="shared" si="9"/>
        <v>3.9363491094062432E-2</v>
      </c>
      <c r="U38" s="307">
        <v>1516</v>
      </c>
      <c r="V38" s="230">
        <f t="shared" si="10"/>
        <v>1.2683326779723409E-2</v>
      </c>
      <c r="W38" s="307">
        <v>10924</v>
      </c>
      <c r="X38" s="230">
        <f t="shared" si="11"/>
        <v>9.1393576346766842E-2</v>
      </c>
      <c r="Y38" s="307">
        <v>4310</v>
      </c>
      <c r="Z38" s="230">
        <f t="shared" si="12"/>
        <v>3.6058798430480141E-2</v>
      </c>
      <c r="AA38" s="307">
        <v>7581</v>
      </c>
      <c r="AB38" s="230">
        <f t="shared" si="13"/>
        <v>6.342500020915777E-2</v>
      </c>
      <c r="AC38" s="307">
        <f t="shared" si="14"/>
        <v>11891</v>
      </c>
      <c r="AD38" s="230">
        <f t="shared" si="15"/>
        <v>9.948379863963791E-2</v>
      </c>
      <c r="AE38" s="307">
        <v>16610</v>
      </c>
      <c r="AF38" s="230">
        <f t="shared" si="16"/>
        <v>0.13896441808127033</v>
      </c>
      <c r="AG38" s="307">
        <v>0</v>
      </c>
      <c r="AH38" s="230">
        <f t="shared" si="17"/>
        <v>0</v>
      </c>
      <c r="AI38" s="307">
        <v>18462</v>
      </c>
      <c r="AJ38" s="230">
        <f t="shared" si="18"/>
        <v>0.15445882520267387</v>
      </c>
      <c r="AK38" s="307">
        <v>4420</v>
      </c>
      <c r="AL38" s="230">
        <f t="shared" si="19"/>
        <v>3.6979092589958754E-2</v>
      </c>
    </row>
    <row r="39" spans="2:38" s="73" customFormat="1" ht="14.25" hidden="1" customHeight="1">
      <c r="B39" s="633"/>
      <c r="C39" s="618"/>
      <c r="D39" s="170">
        <f t="shared" si="20"/>
        <v>46262</v>
      </c>
      <c r="E39" s="170" t="s">
        <v>124</v>
      </c>
      <c r="F39" s="320">
        <f t="shared" si="0"/>
        <v>130180</v>
      </c>
      <c r="G39" s="634"/>
      <c r="H39" s="636"/>
      <c r="I39" s="307">
        <v>19908</v>
      </c>
      <c r="J39" s="230">
        <f t="shared" si="2"/>
        <v>0.15292671685358733</v>
      </c>
      <c r="K39" s="307">
        <v>35814</v>
      </c>
      <c r="L39" s="230">
        <f t="shared" si="3"/>
        <v>0.27511138423721004</v>
      </c>
      <c r="M39" s="307">
        <f t="shared" si="4"/>
        <v>55722</v>
      </c>
      <c r="N39" s="230">
        <f t="shared" si="5"/>
        <v>0.42803810109079737</v>
      </c>
      <c r="O39" s="307">
        <v>4580</v>
      </c>
      <c r="P39" s="230">
        <f t="shared" si="6"/>
        <v>3.518205561530189E-2</v>
      </c>
      <c r="Q39" s="307">
        <v>0</v>
      </c>
      <c r="R39" s="230">
        <f t="shared" si="7"/>
        <v>0</v>
      </c>
      <c r="S39" s="307">
        <f t="shared" si="8"/>
        <v>4580</v>
      </c>
      <c r="T39" s="230">
        <f t="shared" si="9"/>
        <v>3.518205561530189E-2</v>
      </c>
      <c r="U39" s="307">
        <v>1568</v>
      </c>
      <c r="V39" s="230">
        <f t="shared" si="10"/>
        <v>1.2044860961745276E-2</v>
      </c>
      <c r="W39" s="307">
        <v>11982</v>
      </c>
      <c r="X39" s="230">
        <f t="shared" si="11"/>
        <v>9.2041788293132587E-2</v>
      </c>
      <c r="Y39" s="307">
        <v>4750</v>
      </c>
      <c r="Z39" s="230">
        <f t="shared" si="12"/>
        <v>3.6487939775695193E-2</v>
      </c>
      <c r="AA39" s="307">
        <v>9721</v>
      </c>
      <c r="AB39" s="230">
        <f t="shared" si="13"/>
        <v>7.4673528959901675E-2</v>
      </c>
      <c r="AC39" s="307">
        <f t="shared" si="14"/>
        <v>14471</v>
      </c>
      <c r="AD39" s="230">
        <f t="shared" si="15"/>
        <v>0.11116146873559686</v>
      </c>
      <c r="AE39" s="307">
        <v>17709</v>
      </c>
      <c r="AF39" s="230">
        <f t="shared" si="16"/>
        <v>0.13603472115532339</v>
      </c>
      <c r="AG39" s="307">
        <v>0</v>
      </c>
      <c r="AH39" s="230">
        <f t="shared" si="17"/>
        <v>0</v>
      </c>
      <c r="AI39" s="307">
        <v>19948</v>
      </c>
      <c r="AJ39" s="230">
        <f t="shared" si="18"/>
        <v>0.15323398371485636</v>
      </c>
      <c r="AK39" s="307">
        <v>4200</v>
      </c>
      <c r="AL39" s="230">
        <f t="shared" si="19"/>
        <v>3.2263020433246276E-2</v>
      </c>
    </row>
    <row r="40" spans="2:38" s="73" customFormat="1" ht="14.25" hidden="1" customHeight="1">
      <c r="B40" s="633"/>
      <c r="C40" s="618"/>
      <c r="D40" s="170">
        <f t="shared" si="20"/>
        <v>46263</v>
      </c>
      <c r="E40" s="170" t="s">
        <v>116</v>
      </c>
      <c r="F40" s="320">
        <f t="shared" si="0"/>
        <v>174500</v>
      </c>
      <c r="G40" s="634"/>
      <c r="H40" s="636"/>
      <c r="I40" s="307">
        <v>30578</v>
      </c>
      <c r="J40" s="230">
        <f t="shared" si="2"/>
        <v>0.17523209169054441</v>
      </c>
      <c r="K40" s="307">
        <v>40407</v>
      </c>
      <c r="L40" s="230">
        <f t="shared" si="3"/>
        <v>0.23155873925501433</v>
      </c>
      <c r="M40" s="307">
        <f t="shared" si="4"/>
        <v>70985</v>
      </c>
      <c r="N40" s="230">
        <f t="shared" si="5"/>
        <v>0.40679083094555873</v>
      </c>
      <c r="O40" s="307">
        <v>6640</v>
      </c>
      <c r="P40" s="230">
        <f t="shared" si="6"/>
        <v>3.8051575931232089E-2</v>
      </c>
      <c r="Q40" s="307">
        <v>0</v>
      </c>
      <c r="R40" s="230">
        <f t="shared" si="7"/>
        <v>0</v>
      </c>
      <c r="S40" s="307">
        <f t="shared" si="8"/>
        <v>6640</v>
      </c>
      <c r="T40" s="230">
        <f t="shared" si="9"/>
        <v>3.8051575931232089E-2</v>
      </c>
      <c r="U40" s="307">
        <v>2591</v>
      </c>
      <c r="V40" s="230">
        <f t="shared" si="10"/>
        <v>1.4848137535816619E-2</v>
      </c>
      <c r="W40" s="307">
        <v>18437</v>
      </c>
      <c r="X40" s="230">
        <f t="shared" si="11"/>
        <v>0.10565616045845272</v>
      </c>
      <c r="Y40" s="307">
        <v>6918</v>
      </c>
      <c r="Z40" s="230">
        <f t="shared" si="12"/>
        <v>3.9644699140401148E-2</v>
      </c>
      <c r="AA40" s="307">
        <v>11370</v>
      </c>
      <c r="AB40" s="230">
        <f t="shared" si="13"/>
        <v>6.5157593123209165E-2</v>
      </c>
      <c r="AC40" s="307">
        <f t="shared" si="14"/>
        <v>18288</v>
      </c>
      <c r="AD40" s="230">
        <f t="shared" si="15"/>
        <v>0.10480229226361032</v>
      </c>
      <c r="AE40" s="307">
        <v>28012</v>
      </c>
      <c r="AF40" s="230">
        <f t="shared" si="16"/>
        <v>0.1605272206303725</v>
      </c>
      <c r="AG40" s="307">
        <v>0</v>
      </c>
      <c r="AH40" s="230">
        <f t="shared" si="17"/>
        <v>0</v>
      </c>
      <c r="AI40" s="307">
        <v>24824</v>
      </c>
      <c r="AJ40" s="230">
        <f t="shared" si="18"/>
        <v>0.14225787965616046</v>
      </c>
      <c r="AK40" s="307">
        <v>4723</v>
      </c>
      <c r="AL40" s="230">
        <f t="shared" si="19"/>
        <v>2.7065902578796562E-2</v>
      </c>
    </row>
    <row r="41" spans="2:38" s="73" customFormat="1" ht="14.25" hidden="1" customHeight="1">
      <c r="B41" s="633"/>
      <c r="C41" s="619"/>
      <c r="D41" s="170">
        <f t="shared" si="20"/>
        <v>46264</v>
      </c>
      <c r="E41" s="170" t="s">
        <v>125</v>
      </c>
      <c r="F41" s="320">
        <f t="shared" si="0"/>
        <v>177281</v>
      </c>
      <c r="G41" s="634"/>
      <c r="H41" s="637"/>
      <c r="I41" s="307">
        <v>29852</v>
      </c>
      <c r="J41" s="230">
        <f t="shared" si="2"/>
        <v>0.16838803932739549</v>
      </c>
      <c r="K41" s="307">
        <v>49129</v>
      </c>
      <c r="L41" s="230">
        <f t="shared" si="3"/>
        <v>0.27712501621719193</v>
      </c>
      <c r="M41" s="307">
        <f t="shared" si="4"/>
        <v>78981</v>
      </c>
      <c r="N41" s="230">
        <f t="shared" si="5"/>
        <v>0.44551305554458742</v>
      </c>
      <c r="O41" s="307">
        <v>6555</v>
      </c>
      <c r="P41" s="230">
        <f t="shared" si="6"/>
        <v>3.6975197567703254E-2</v>
      </c>
      <c r="Q41" s="307">
        <v>0</v>
      </c>
      <c r="R41" s="230">
        <f t="shared" si="7"/>
        <v>0</v>
      </c>
      <c r="S41" s="307">
        <f t="shared" si="8"/>
        <v>6555</v>
      </c>
      <c r="T41" s="230">
        <f t="shared" si="9"/>
        <v>3.6975197567703254E-2</v>
      </c>
      <c r="U41" s="307">
        <v>2262</v>
      </c>
      <c r="V41" s="230">
        <f t="shared" si="10"/>
        <v>1.2759404561120482E-2</v>
      </c>
      <c r="W41" s="307">
        <v>16087</v>
      </c>
      <c r="X41" s="230">
        <f t="shared" si="11"/>
        <v>9.0742944816421381E-2</v>
      </c>
      <c r="Y41" s="307">
        <v>6847</v>
      </c>
      <c r="Z41" s="230">
        <f t="shared" si="12"/>
        <v>3.8622300190093696E-2</v>
      </c>
      <c r="AA41" s="307">
        <v>11084</v>
      </c>
      <c r="AB41" s="230">
        <f t="shared" si="13"/>
        <v>6.2522210501971445E-2</v>
      </c>
      <c r="AC41" s="307">
        <f t="shared" si="14"/>
        <v>17931</v>
      </c>
      <c r="AD41" s="230">
        <f t="shared" si="15"/>
        <v>0.10114451069206513</v>
      </c>
      <c r="AE41" s="307">
        <v>27464</v>
      </c>
      <c r="AF41" s="230">
        <f t="shared" si="16"/>
        <v>0.15491789870318873</v>
      </c>
      <c r="AG41" s="307">
        <v>0</v>
      </c>
      <c r="AH41" s="230">
        <f t="shared" si="17"/>
        <v>0</v>
      </c>
      <c r="AI41" s="307">
        <v>23045</v>
      </c>
      <c r="AJ41" s="230">
        <f t="shared" si="18"/>
        <v>0.12999136963351968</v>
      </c>
      <c r="AK41" s="307">
        <v>4956</v>
      </c>
      <c r="AL41" s="230">
        <f t="shared" si="19"/>
        <v>2.7955618481393944E-2</v>
      </c>
    </row>
    <row r="42" spans="2:38" s="73" customFormat="1" ht="14.25" customHeight="1">
      <c r="B42" s="632">
        <f>B35+7</f>
        <v>46274</v>
      </c>
      <c r="C42" s="620" t="s">
        <v>126</v>
      </c>
      <c r="D42" s="170">
        <f t="shared" si="20"/>
        <v>46265</v>
      </c>
      <c r="E42" s="170" t="s">
        <v>119</v>
      </c>
      <c r="F42" s="320">
        <f t="shared" si="0"/>
        <v>184538</v>
      </c>
      <c r="G42" s="634">
        <f t="shared" ref="G42" si="25">SUM(F42:F48)</f>
        <v>1128982</v>
      </c>
      <c r="H42" s="635">
        <f>SUM(F42:F71)</f>
        <v>1128982</v>
      </c>
      <c r="I42" s="307">
        <v>45617</v>
      </c>
      <c r="J42" s="230">
        <f t="shared" si="2"/>
        <v>0.24719569953071996</v>
      </c>
      <c r="K42" s="307">
        <v>50776</v>
      </c>
      <c r="L42" s="230">
        <f t="shared" si="3"/>
        <v>0.27515200121384215</v>
      </c>
      <c r="M42" s="307">
        <f t="shared" si="4"/>
        <v>96393</v>
      </c>
      <c r="N42" s="230">
        <f t="shared" si="5"/>
        <v>0.52234770074456205</v>
      </c>
      <c r="O42" s="307">
        <v>6438</v>
      </c>
      <c r="P42" s="230">
        <f t="shared" si="6"/>
        <v>3.4887123519275164E-2</v>
      </c>
      <c r="Q42" s="307">
        <v>0</v>
      </c>
      <c r="R42" s="230">
        <f t="shared" si="7"/>
        <v>0</v>
      </c>
      <c r="S42" s="307">
        <f t="shared" si="8"/>
        <v>6438</v>
      </c>
      <c r="T42" s="230">
        <f t="shared" si="9"/>
        <v>3.4887123519275164E-2</v>
      </c>
      <c r="U42" s="307">
        <v>2452</v>
      </c>
      <c r="V42" s="230">
        <f t="shared" si="10"/>
        <v>1.3287236233187744E-2</v>
      </c>
      <c r="W42" s="307">
        <v>12764</v>
      </c>
      <c r="X42" s="230">
        <f t="shared" si="11"/>
        <v>6.9167325970802759E-2</v>
      </c>
      <c r="Y42" s="307">
        <v>6500</v>
      </c>
      <c r="Z42" s="230">
        <f t="shared" si="12"/>
        <v>3.5223097681778281E-2</v>
      </c>
      <c r="AA42" s="307">
        <v>10919</v>
      </c>
      <c r="AB42" s="230">
        <f t="shared" si="13"/>
        <v>5.9169385167282616E-2</v>
      </c>
      <c r="AC42" s="307">
        <f t="shared" si="14"/>
        <v>17419</v>
      </c>
      <c r="AD42" s="230">
        <f t="shared" si="15"/>
        <v>9.4392482849060905E-2</v>
      </c>
      <c r="AE42" s="307">
        <v>25526</v>
      </c>
      <c r="AF42" s="230">
        <f t="shared" si="16"/>
        <v>0.13832381406539573</v>
      </c>
      <c r="AG42" s="307">
        <v>0</v>
      </c>
      <c r="AH42" s="230">
        <f t="shared" si="17"/>
        <v>0</v>
      </c>
      <c r="AI42" s="307">
        <v>19083</v>
      </c>
      <c r="AJ42" s="230">
        <f t="shared" si="18"/>
        <v>0.10340959585559614</v>
      </c>
      <c r="AK42" s="307">
        <v>4463</v>
      </c>
      <c r="AL42" s="230">
        <f t="shared" si="19"/>
        <v>2.4184720762119454E-2</v>
      </c>
    </row>
    <row r="43" spans="2:38" s="73" customFormat="1" ht="14.25" customHeight="1">
      <c r="B43" s="633"/>
      <c r="C43" s="618"/>
      <c r="D43" s="170">
        <f t="shared" si="20"/>
        <v>46266</v>
      </c>
      <c r="E43" s="170" t="s">
        <v>120</v>
      </c>
      <c r="F43" s="320">
        <f t="shared" si="0"/>
        <v>166898</v>
      </c>
      <c r="G43" s="634"/>
      <c r="H43" s="636"/>
      <c r="I43" s="307">
        <v>37979</v>
      </c>
      <c r="J43" s="230">
        <f t="shared" si="2"/>
        <v>0.22755814928878718</v>
      </c>
      <c r="K43" s="307">
        <v>46638</v>
      </c>
      <c r="L43" s="230">
        <f t="shared" si="3"/>
        <v>0.27944013708971949</v>
      </c>
      <c r="M43" s="307">
        <f t="shared" si="4"/>
        <v>84617</v>
      </c>
      <c r="N43" s="230">
        <f t="shared" si="5"/>
        <v>0.50699828637850664</v>
      </c>
      <c r="O43" s="307">
        <v>6347</v>
      </c>
      <c r="P43" s="230">
        <f t="shared" si="6"/>
        <v>3.8029215448956849E-2</v>
      </c>
      <c r="Q43" s="307">
        <v>0</v>
      </c>
      <c r="R43" s="230">
        <f t="shared" si="7"/>
        <v>0</v>
      </c>
      <c r="S43" s="307">
        <f t="shared" si="8"/>
        <v>6347</v>
      </c>
      <c r="T43" s="230">
        <f t="shared" si="9"/>
        <v>3.8029215448956849E-2</v>
      </c>
      <c r="U43" s="307">
        <v>2065</v>
      </c>
      <c r="V43" s="230">
        <f t="shared" si="10"/>
        <v>1.2372826516794689E-2</v>
      </c>
      <c r="W43" s="307">
        <v>11956</v>
      </c>
      <c r="X43" s="230">
        <f t="shared" si="11"/>
        <v>7.163656844300112E-2</v>
      </c>
      <c r="Y43" s="307">
        <v>5874</v>
      </c>
      <c r="Z43" s="230">
        <f t="shared" si="12"/>
        <v>3.5195149133003388E-2</v>
      </c>
      <c r="AA43" s="307">
        <v>9914</v>
      </c>
      <c r="AB43" s="230">
        <f t="shared" si="13"/>
        <v>5.9401550647700994E-2</v>
      </c>
      <c r="AC43" s="307">
        <f t="shared" si="14"/>
        <v>15788</v>
      </c>
      <c r="AD43" s="230">
        <f t="shared" si="15"/>
        <v>9.4596699780704382E-2</v>
      </c>
      <c r="AE43" s="307">
        <v>23199</v>
      </c>
      <c r="AF43" s="230">
        <f t="shared" si="16"/>
        <v>0.1390010665196707</v>
      </c>
      <c r="AG43" s="307">
        <v>0</v>
      </c>
      <c r="AH43" s="230">
        <f t="shared" si="17"/>
        <v>0</v>
      </c>
      <c r="AI43" s="307">
        <v>17989</v>
      </c>
      <c r="AJ43" s="230">
        <f t="shared" si="18"/>
        <v>0.10778439525937998</v>
      </c>
      <c r="AK43" s="307">
        <v>4937</v>
      </c>
      <c r="AL43" s="230">
        <f t="shared" si="19"/>
        <v>2.9580941652985655E-2</v>
      </c>
    </row>
    <row r="44" spans="2:38" s="73" customFormat="1" ht="14.25" customHeight="1">
      <c r="B44" s="633"/>
      <c r="C44" s="618"/>
      <c r="D44" s="170">
        <f t="shared" si="20"/>
        <v>46267</v>
      </c>
      <c r="E44" s="170" t="s">
        <v>121</v>
      </c>
      <c r="F44" s="320">
        <f t="shared" si="0"/>
        <v>152603</v>
      </c>
      <c r="G44" s="634"/>
      <c r="H44" s="636"/>
      <c r="I44" s="307">
        <v>34780</v>
      </c>
      <c r="J44" s="230">
        <f t="shared" si="2"/>
        <v>0.2279116400070772</v>
      </c>
      <c r="K44" s="307">
        <v>40831</v>
      </c>
      <c r="L44" s="230">
        <f t="shared" si="3"/>
        <v>0.26756354724350112</v>
      </c>
      <c r="M44" s="307">
        <f t="shared" si="4"/>
        <v>75611</v>
      </c>
      <c r="N44" s="230">
        <f t="shared" si="5"/>
        <v>0.49547518725057832</v>
      </c>
      <c r="O44" s="307">
        <v>6155</v>
      </c>
      <c r="P44" s="230">
        <f t="shared" si="6"/>
        <v>4.033341415306383E-2</v>
      </c>
      <c r="Q44" s="307">
        <v>0</v>
      </c>
      <c r="R44" s="230">
        <f t="shared" si="7"/>
        <v>0</v>
      </c>
      <c r="S44" s="307">
        <f t="shared" si="8"/>
        <v>6155</v>
      </c>
      <c r="T44" s="230">
        <f t="shared" si="9"/>
        <v>4.033341415306383E-2</v>
      </c>
      <c r="U44" s="307">
        <v>1606</v>
      </c>
      <c r="V44" s="230">
        <f t="shared" si="10"/>
        <v>1.052403950118936E-2</v>
      </c>
      <c r="W44" s="307">
        <v>12687</v>
      </c>
      <c r="X44" s="230">
        <f t="shared" si="11"/>
        <v>8.3137290878947334E-2</v>
      </c>
      <c r="Y44" s="307">
        <v>5823</v>
      </c>
      <c r="Z44" s="230">
        <f t="shared" si="12"/>
        <v>3.8157834380713351E-2</v>
      </c>
      <c r="AA44" s="307">
        <v>7654</v>
      </c>
      <c r="AB44" s="230">
        <f t="shared" si="13"/>
        <v>5.0156287884248668E-2</v>
      </c>
      <c r="AC44" s="307">
        <f t="shared" si="14"/>
        <v>13477</v>
      </c>
      <c r="AD44" s="230">
        <f t="shared" si="15"/>
        <v>8.8314122264962019E-2</v>
      </c>
      <c r="AE44" s="307">
        <v>21599</v>
      </c>
      <c r="AF44" s="230">
        <f t="shared" si="16"/>
        <v>0.14153719127409028</v>
      </c>
      <c r="AG44" s="307">
        <v>0</v>
      </c>
      <c r="AH44" s="230">
        <f t="shared" si="17"/>
        <v>0</v>
      </c>
      <c r="AI44" s="307">
        <v>16871</v>
      </c>
      <c r="AJ44" s="230">
        <f t="shared" si="18"/>
        <v>0.11055483837146059</v>
      </c>
      <c r="AK44" s="307">
        <v>4597</v>
      </c>
      <c r="AL44" s="230">
        <f t="shared" si="19"/>
        <v>3.0123916305708275E-2</v>
      </c>
    </row>
    <row r="45" spans="2:38" s="73" customFormat="1" ht="14.25" customHeight="1">
      <c r="B45" s="633"/>
      <c r="C45" s="618"/>
      <c r="D45" s="170">
        <f t="shared" si="20"/>
        <v>46268</v>
      </c>
      <c r="E45" s="170" t="s">
        <v>122</v>
      </c>
      <c r="F45" s="320">
        <f t="shared" si="0"/>
        <v>123500</v>
      </c>
      <c r="G45" s="634"/>
      <c r="H45" s="636"/>
      <c r="I45" s="307">
        <v>27214</v>
      </c>
      <c r="J45" s="230">
        <f t="shared" si="2"/>
        <v>0.22035627530364371</v>
      </c>
      <c r="K45" s="307">
        <v>35918</v>
      </c>
      <c r="L45" s="230">
        <f t="shared" si="3"/>
        <v>0.29083400809716597</v>
      </c>
      <c r="M45" s="307">
        <f t="shared" si="4"/>
        <v>63132</v>
      </c>
      <c r="N45" s="230">
        <f t="shared" si="5"/>
        <v>0.51119028340080974</v>
      </c>
      <c r="O45" s="307">
        <v>4535</v>
      </c>
      <c r="P45" s="230">
        <f t="shared" si="6"/>
        <v>3.6720647773279352E-2</v>
      </c>
      <c r="Q45" s="307">
        <v>0</v>
      </c>
      <c r="R45" s="230">
        <f t="shared" si="7"/>
        <v>0</v>
      </c>
      <c r="S45" s="307">
        <f t="shared" si="8"/>
        <v>4535</v>
      </c>
      <c r="T45" s="230">
        <f t="shared" si="9"/>
        <v>3.6720647773279352E-2</v>
      </c>
      <c r="U45" s="307">
        <v>1424</v>
      </c>
      <c r="V45" s="230">
        <f t="shared" si="10"/>
        <v>1.1530364372469636E-2</v>
      </c>
      <c r="W45" s="307">
        <v>10068</v>
      </c>
      <c r="X45" s="230">
        <f t="shared" si="11"/>
        <v>8.1522267206477733E-2</v>
      </c>
      <c r="Y45" s="307">
        <v>3221</v>
      </c>
      <c r="Z45" s="230">
        <f t="shared" si="12"/>
        <v>2.6080971659919027E-2</v>
      </c>
      <c r="AA45" s="307">
        <v>7427</v>
      </c>
      <c r="AB45" s="230">
        <f t="shared" si="13"/>
        <v>6.0137651821862349E-2</v>
      </c>
      <c r="AC45" s="307">
        <f t="shared" si="14"/>
        <v>10648</v>
      </c>
      <c r="AD45" s="230">
        <f t="shared" si="15"/>
        <v>8.6218623481781373E-2</v>
      </c>
      <c r="AE45" s="307">
        <v>14536</v>
      </c>
      <c r="AF45" s="230">
        <f t="shared" si="16"/>
        <v>0.11770040485829959</v>
      </c>
      <c r="AG45" s="307">
        <v>0</v>
      </c>
      <c r="AH45" s="230">
        <f t="shared" si="17"/>
        <v>0</v>
      </c>
      <c r="AI45" s="307">
        <v>14962</v>
      </c>
      <c r="AJ45" s="230">
        <f t="shared" si="18"/>
        <v>0.1211497975708502</v>
      </c>
      <c r="AK45" s="307">
        <v>4195</v>
      </c>
      <c r="AL45" s="230">
        <f t="shared" si="19"/>
        <v>3.3967611336032391E-2</v>
      </c>
    </row>
    <row r="46" spans="2:38" s="73" customFormat="1" ht="14.25" customHeight="1">
      <c r="B46" s="633"/>
      <c r="C46" s="618"/>
      <c r="D46" s="170">
        <f t="shared" si="20"/>
        <v>46269</v>
      </c>
      <c r="E46" s="170" t="s">
        <v>124</v>
      </c>
      <c r="F46" s="320">
        <f t="shared" si="0"/>
        <v>131637</v>
      </c>
      <c r="G46" s="634"/>
      <c r="H46" s="636"/>
      <c r="I46" s="307">
        <v>25168</v>
      </c>
      <c r="J46" s="230">
        <f t="shared" si="2"/>
        <v>0.19119244589287207</v>
      </c>
      <c r="K46" s="307">
        <v>40624</v>
      </c>
      <c r="L46" s="230">
        <f t="shared" si="3"/>
        <v>0.30860624292562122</v>
      </c>
      <c r="M46" s="307">
        <f t="shared" si="4"/>
        <v>65792</v>
      </c>
      <c r="N46" s="230">
        <f t="shared" si="5"/>
        <v>0.49979868881849326</v>
      </c>
      <c r="O46" s="307">
        <v>4379</v>
      </c>
      <c r="P46" s="230">
        <f t="shared" si="6"/>
        <v>3.3265723162940512E-2</v>
      </c>
      <c r="Q46" s="307">
        <v>0</v>
      </c>
      <c r="R46" s="230">
        <f t="shared" si="7"/>
        <v>0</v>
      </c>
      <c r="S46" s="307">
        <f t="shared" si="8"/>
        <v>4379</v>
      </c>
      <c r="T46" s="230">
        <f t="shared" si="9"/>
        <v>3.3265723162940512E-2</v>
      </c>
      <c r="U46" s="307">
        <v>1564</v>
      </c>
      <c r="V46" s="230">
        <f t="shared" si="10"/>
        <v>1.1881158033075807E-2</v>
      </c>
      <c r="W46" s="307">
        <v>9443</v>
      </c>
      <c r="X46" s="230">
        <f t="shared" si="11"/>
        <v>7.1735150451620738E-2</v>
      </c>
      <c r="Y46" s="307">
        <v>4294</v>
      </c>
      <c r="Z46" s="230">
        <f t="shared" si="12"/>
        <v>3.2620008052447261E-2</v>
      </c>
      <c r="AA46" s="307">
        <v>9932</v>
      </c>
      <c r="AB46" s="230">
        <f t="shared" si="13"/>
        <v>7.5449911499046618E-2</v>
      </c>
      <c r="AC46" s="307">
        <f t="shared" si="14"/>
        <v>14226</v>
      </c>
      <c r="AD46" s="230">
        <f t="shared" si="15"/>
        <v>0.10806991955149388</v>
      </c>
      <c r="AE46" s="307">
        <v>16299</v>
      </c>
      <c r="AF46" s="230">
        <f t="shared" si="16"/>
        <v>0.12381777159917044</v>
      </c>
      <c r="AG46" s="307">
        <v>0</v>
      </c>
      <c r="AH46" s="230">
        <f t="shared" si="17"/>
        <v>0</v>
      </c>
      <c r="AI46" s="307">
        <v>15510</v>
      </c>
      <c r="AJ46" s="230">
        <f t="shared" si="18"/>
        <v>0.11782401604412134</v>
      </c>
      <c r="AK46" s="307">
        <v>4424</v>
      </c>
      <c r="AL46" s="230">
        <f t="shared" si="19"/>
        <v>3.3607572339083999E-2</v>
      </c>
    </row>
    <row r="47" spans="2:38" s="73" customFormat="1" ht="14.25" customHeight="1">
      <c r="B47" s="633"/>
      <c r="C47" s="618"/>
      <c r="D47" s="170">
        <f t="shared" si="20"/>
        <v>46270</v>
      </c>
      <c r="E47" s="170" t="s">
        <v>116</v>
      </c>
      <c r="F47" s="320">
        <f t="shared" si="0"/>
        <v>188421</v>
      </c>
      <c r="G47" s="634"/>
      <c r="H47" s="636"/>
      <c r="I47" s="307">
        <v>41643</v>
      </c>
      <c r="J47" s="230">
        <f t="shared" si="2"/>
        <v>0.22101039693027846</v>
      </c>
      <c r="K47" s="307">
        <v>49549</v>
      </c>
      <c r="L47" s="230">
        <f t="shared" si="3"/>
        <v>0.26296962652782863</v>
      </c>
      <c r="M47" s="307">
        <f t="shared" si="4"/>
        <v>91192</v>
      </c>
      <c r="N47" s="230">
        <f t="shared" si="5"/>
        <v>0.48398002345810709</v>
      </c>
      <c r="O47" s="307">
        <v>6591</v>
      </c>
      <c r="P47" s="230">
        <f t="shared" si="6"/>
        <v>3.4980177368764631E-2</v>
      </c>
      <c r="Q47" s="307">
        <v>0</v>
      </c>
      <c r="R47" s="230">
        <f t="shared" si="7"/>
        <v>0</v>
      </c>
      <c r="S47" s="307">
        <f t="shared" si="8"/>
        <v>6591</v>
      </c>
      <c r="T47" s="230">
        <f t="shared" si="9"/>
        <v>3.4980177368764631E-2</v>
      </c>
      <c r="U47" s="307">
        <v>2189</v>
      </c>
      <c r="V47" s="230">
        <f t="shared" si="10"/>
        <v>1.1617601010503076E-2</v>
      </c>
      <c r="W47" s="307">
        <v>13167</v>
      </c>
      <c r="X47" s="230">
        <f t="shared" si="11"/>
        <v>6.9880745776744635E-2</v>
      </c>
      <c r="Y47" s="307">
        <v>6006</v>
      </c>
      <c r="Z47" s="230">
        <f t="shared" si="12"/>
        <v>3.1875427898164214E-2</v>
      </c>
      <c r="AA47" s="307">
        <v>12601</v>
      </c>
      <c r="AB47" s="230">
        <f t="shared" si="13"/>
        <v>6.6876834323138082E-2</v>
      </c>
      <c r="AC47" s="307">
        <f t="shared" si="14"/>
        <v>18607</v>
      </c>
      <c r="AD47" s="230">
        <f t="shared" si="15"/>
        <v>9.8752262221302303E-2</v>
      </c>
      <c r="AE47" s="307">
        <v>31280</v>
      </c>
      <c r="AF47" s="230">
        <f t="shared" si="16"/>
        <v>0.16601121955620657</v>
      </c>
      <c r="AG47" s="307">
        <v>0</v>
      </c>
      <c r="AH47" s="230">
        <f t="shared" si="17"/>
        <v>0</v>
      </c>
      <c r="AI47" s="307">
        <v>20650</v>
      </c>
      <c r="AJ47" s="230">
        <f t="shared" si="18"/>
        <v>0.10959500268016835</v>
      </c>
      <c r="AK47" s="307">
        <v>4745</v>
      </c>
      <c r="AL47" s="230">
        <f t="shared" si="19"/>
        <v>2.5182967928203331E-2</v>
      </c>
    </row>
    <row r="48" spans="2:38" s="73" customFormat="1" ht="14.25" customHeight="1">
      <c r="B48" s="633"/>
      <c r="C48" s="618"/>
      <c r="D48" s="170">
        <f t="shared" si="20"/>
        <v>46271</v>
      </c>
      <c r="E48" s="170" t="s">
        <v>125</v>
      </c>
      <c r="F48" s="320">
        <f t="shared" si="0"/>
        <v>181385</v>
      </c>
      <c r="G48" s="634"/>
      <c r="H48" s="636"/>
      <c r="I48" s="307">
        <v>39618</v>
      </c>
      <c r="J48" s="230">
        <f t="shared" si="2"/>
        <v>0.21841938418281556</v>
      </c>
      <c r="K48" s="307">
        <v>48419</v>
      </c>
      <c r="L48" s="230">
        <f t="shared" si="3"/>
        <v>0.26694048570719742</v>
      </c>
      <c r="M48" s="307">
        <f t="shared" si="4"/>
        <v>88037</v>
      </c>
      <c r="N48" s="230">
        <f t="shared" si="5"/>
        <v>0.48535986989001295</v>
      </c>
      <c r="O48" s="307">
        <v>6681</v>
      </c>
      <c r="P48" s="230">
        <f t="shared" si="6"/>
        <v>3.6833255230586871E-2</v>
      </c>
      <c r="Q48" s="307">
        <v>0</v>
      </c>
      <c r="R48" s="230">
        <f t="shared" si="7"/>
        <v>0</v>
      </c>
      <c r="S48" s="307">
        <f t="shared" si="8"/>
        <v>6681</v>
      </c>
      <c r="T48" s="230">
        <f t="shared" si="9"/>
        <v>3.6833255230586871E-2</v>
      </c>
      <c r="U48" s="307">
        <v>2312</v>
      </c>
      <c r="V48" s="230">
        <f t="shared" si="10"/>
        <v>1.2746368222289604E-2</v>
      </c>
      <c r="W48" s="307">
        <v>13195</v>
      </c>
      <c r="X48" s="230">
        <f t="shared" si="11"/>
        <v>7.2745816908785177E-2</v>
      </c>
      <c r="Y48" s="307">
        <v>6373</v>
      </c>
      <c r="Z48" s="230">
        <f t="shared" si="12"/>
        <v>3.5135209636960055E-2</v>
      </c>
      <c r="AA48" s="307">
        <v>11822</v>
      </c>
      <c r="AB48" s="230">
        <f t="shared" si="13"/>
        <v>6.5176282493039667E-2</v>
      </c>
      <c r="AC48" s="307">
        <f t="shared" si="14"/>
        <v>18195</v>
      </c>
      <c r="AD48" s="230">
        <f t="shared" si="15"/>
        <v>0.10031149212999972</v>
      </c>
      <c r="AE48" s="307">
        <v>27411</v>
      </c>
      <c r="AF48" s="230">
        <f t="shared" si="16"/>
        <v>0.15112054469774236</v>
      </c>
      <c r="AG48" s="307">
        <v>0</v>
      </c>
      <c r="AH48" s="230">
        <f t="shared" si="17"/>
        <v>0</v>
      </c>
      <c r="AI48" s="307">
        <v>20350</v>
      </c>
      <c r="AJ48" s="230">
        <f t="shared" si="18"/>
        <v>0.11219229815034319</v>
      </c>
      <c r="AK48" s="307">
        <v>5204</v>
      </c>
      <c r="AL48" s="230">
        <f t="shared" si="19"/>
        <v>2.8690354770240099E-2</v>
      </c>
    </row>
    <row r="49" spans="8:8" hidden="1" outlineLevel="1">
      <c r="H49" s="636"/>
    </row>
    <row r="50" spans="8:8" hidden="1" outlineLevel="1">
      <c r="H50" s="636"/>
    </row>
    <row r="51" spans="8:8" hidden="1" outlineLevel="1">
      <c r="H51" s="636"/>
    </row>
    <row r="52" spans="8:8" hidden="1" outlineLevel="1">
      <c r="H52" s="636"/>
    </row>
    <row r="53" spans="8:8" hidden="1" outlineLevel="1">
      <c r="H53" s="636"/>
    </row>
    <row r="54" spans="8:8" hidden="1" outlineLevel="1">
      <c r="H54" s="636"/>
    </row>
    <row r="55" spans="8:8" hidden="1" outlineLevel="1">
      <c r="H55" s="636"/>
    </row>
    <row r="56" spans="8:8" hidden="1" outlineLevel="1">
      <c r="H56" s="636"/>
    </row>
    <row r="57" spans="8:8" hidden="1" outlineLevel="1">
      <c r="H57" s="636"/>
    </row>
    <row r="58" spans="8:8" hidden="1" outlineLevel="1">
      <c r="H58" s="636"/>
    </row>
    <row r="59" spans="8:8" hidden="1" outlineLevel="1">
      <c r="H59" s="636"/>
    </row>
    <row r="60" spans="8:8" hidden="1" outlineLevel="1">
      <c r="H60" s="636"/>
    </row>
    <row r="61" spans="8:8" hidden="1" outlineLevel="1">
      <c r="H61" s="636"/>
    </row>
    <row r="62" spans="8:8" hidden="1" outlineLevel="1">
      <c r="H62" s="636"/>
    </row>
    <row r="63" spans="8:8" hidden="1" outlineLevel="1">
      <c r="H63" s="636"/>
    </row>
    <row r="64" spans="8:8" hidden="1" outlineLevel="1">
      <c r="H64" s="636"/>
    </row>
    <row r="65" spans="8:8" hidden="1" outlineLevel="1">
      <c r="H65" s="636"/>
    </row>
    <row r="66" spans="8:8" hidden="1" outlineLevel="1">
      <c r="H66" s="636"/>
    </row>
    <row r="67" spans="8:8" hidden="1" outlineLevel="1">
      <c r="H67" s="636"/>
    </row>
    <row r="68" spans="8:8" hidden="1" outlineLevel="1">
      <c r="H68" s="636"/>
    </row>
    <row r="69" spans="8:8" hidden="1" outlineLevel="1">
      <c r="H69" s="636"/>
    </row>
    <row r="70" spans="8:8" hidden="1" outlineLevel="1">
      <c r="H70" s="636"/>
    </row>
    <row r="71" spans="8:8" hidden="1" outlineLevel="1">
      <c r="H71" s="637"/>
    </row>
    <row r="72" spans="8:8" collapsed="1"/>
  </sheetData>
  <mergeCells count="51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O5:P5"/>
    <mergeCell ref="AI5:AJ5"/>
    <mergeCell ref="K5:L5"/>
    <mergeCell ref="S5:T5"/>
    <mergeCell ref="H5:H6"/>
    <mergeCell ref="AA5:AB5"/>
    <mergeCell ref="I5:J5"/>
    <mergeCell ref="M5:N5"/>
    <mergeCell ref="G35:G41"/>
    <mergeCell ref="C11:C41"/>
    <mergeCell ref="G5:G6"/>
    <mergeCell ref="B3:B6"/>
    <mergeCell ref="C3:C6"/>
    <mergeCell ref="D3:E6"/>
    <mergeCell ref="B42:B48"/>
    <mergeCell ref="C42:C48"/>
    <mergeCell ref="G42:G48"/>
    <mergeCell ref="H42:H71"/>
    <mergeCell ref="H7:H10"/>
    <mergeCell ref="B7:B13"/>
    <mergeCell ref="G7:G13"/>
    <mergeCell ref="C7:C10"/>
    <mergeCell ref="H11:H41"/>
    <mergeCell ref="B14:B20"/>
    <mergeCell ref="G14:G20"/>
    <mergeCell ref="B21:B27"/>
    <mergeCell ref="G21:G27"/>
    <mergeCell ref="B28:B34"/>
    <mergeCell ref="G28:G34"/>
    <mergeCell ref="B35:B41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43"/>
  <sheetViews>
    <sheetView zoomScale="85" zoomScaleNormal="85" workbookViewId="0">
      <pane xSplit="13" ySplit="1" topLeftCell="N2" activePane="bottomRight" state="frozen"/>
      <selection pane="bottomRight" activeCell="C1" sqref="C1"/>
      <selection pane="bottomLeft" activeCell="G19" sqref="G19:G25"/>
      <selection pane="topRight" activeCell="G19" sqref="G19:G25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49" t="s">
        <v>158</v>
      </c>
      <c r="C1" s="174">
        <f>AVERAGE(L7)</f>
        <v>800.69875641764111</v>
      </c>
    </row>
    <row r="2" spans="1:50" ht="14.25" customHeight="1">
      <c r="B2" s="659" t="s">
        <v>159</v>
      </c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1"/>
      <c r="N2" s="664" t="s">
        <v>160</v>
      </c>
      <c r="O2" s="664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3"/>
      <c r="N3" s="665"/>
      <c r="O3" s="665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56"/>
      <c r="O4" s="646" t="s">
        <v>167</v>
      </c>
      <c r="P4" s="646" t="s">
        <v>168</v>
      </c>
      <c r="Q4" s="646"/>
      <c r="R4" s="646"/>
      <c r="S4" s="646"/>
      <c r="T4" s="646" t="s">
        <v>164</v>
      </c>
      <c r="U4" s="646" t="s">
        <v>168</v>
      </c>
      <c r="V4" s="646"/>
      <c r="W4" s="646"/>
      <c r="X4" s="646"/>
      <c r="Y4" s="646" t="s">
        <v>164</v>
      </c>
      <c r="Z4" s="646" t="s">
        <v>168</v>
      </c>
      <c r="AA4" s="646"/>
      <c r="AB4" s="646"/>
      <c r="AC4" s="646"/>
      <c r="AD4" s="646" t="s">
        <v>164</v>
      </c>
      <c r="AE4" s="646" t="s">
        <v>168</v>
      </c>
      <c r="AF4" s="646"/>
      <c r="AG4" s="646"/>
      <c r="AH4" s="646"/>
      <c r="AI4" s="646" t="s">
        <v>164</v>
      </c>
      <c r="AJ4" s="646" t="s">
        <v>168</v>
      </c>
      <c r="AK4" s="646"/>
      <c r="AL4" s="646"/>
      <c r="AM4" s="646"/>
      <c r="AN4" s="646" t="s">
        <v>164</v>
      </c>
      <c r="AO4" s="646" t="s">
        <v>168</v>
      </c>
      <c r="AP4" s="646"/>
      <c r="AQ4" s="646"/>
      <c r="AR4" s="646"/>
      <c r="AS4" s="646" t="s">
        <v>164</v>
      </c>
      <c r="AT4" s="646" t="s">
        <v>168</v>
      </c>
      <c r="AU4" s="646"/>
      <c r="AV4" s="646"/>
      <c r="AW4" s="646"/>
      <c r="AX4" s="646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56"/>
      <c r="O5" s="646"/>
      <c r="P5" s="646" t="s">
        <v>170</v>
      </c>
      <c r="Q5" s="646"/>
      <c r="R5" s="646"/>
      <c r="S5" s="646"/>
      <c r="T5" s="646"/>
      <c r="U5" s="646" t="s">
        <v>170</v>
      </c>
      <c r="V5" s="646"/>
      <c r="W5" s="646"/>
      <c r="X5" s="646"/>
      <c r="Y5" s="646"/>
      <c r="Z5" s="646" t="s">
        <v>170</v>
      </c>
      <c r="AA5" s="646"/>
      <c r="AB5" s="646"/>
      <c r="AC5" s="646"/>
      <c r="AD5" s="646"/>
      <c r="AE5" s="646" t="s">
        <v>170</v>
      </c>
      <c r="AF5" s="646"/>
      <c r="AG5" s="646"/>
      <c r="AH5" s="646"/>
      <c r="AI5" s="646"/>
      <c r="AJ5" s="646" t="s">
        <v>170</v>
      </c>
      <c r="AK5" s="646"/>
      <c r="AL5" s="646"/>
      <c r="AM5" s="646"/>
      <c r="AN5" s="646"/>
      <c r="AO5" s="646" t="s">
        <v>170</v>
      </c>
      <c r="AP5" s="646"/>
      <c r="AQ5" s="646"/>
      <c r="AR5" s="646"/>
      <c r="AS5" s="646"/>
      <c r="AT5" s="646" t="s">
        <v>170</v>
      </c>
      <c r="AU5" s="646"/>
      <c r="AV5" s="646"/>
      <c r="AW5" s="646"/>
      <c r="AX5" s="646"/>
    </row>
    <row r="6" spans="1:50" ht="14.25" customHeight="1">
      <c r="A6" s="176"/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56"/>
      <c r="O6" s="646"/>
      <c r="P6" s="181" t="s">
        <v>171</v>
      </c>
      <c r="Q6" s="181" t="s">
        <v>172</v>
      </c>
      <c r="R6" s="181" t="s">
        <v>173</v>
      </c>
      <c r="S6" s="181" t="s">
        <v>166</v>
      </c>
      <c r="T6" s="646"/>
      <c r="U6" s="181" t="s">
        <v>171</v>
      </c>
      <c r="V6" s="181" t="s">
        <v>172</v>
      </c>
      <c r="W6" s="181" t="s">
        <v>173</v>
      </c>
      <c r="X6" s="181" t="s">
        <v>166</v>
      </c>
      <c r="Y6" s="646"/>
      <c r="Z6" s="181" t="s">
        <v>171</v>
      </c>
      <c r="AA6" s="181" t="s">
        <v>172</v>
      </c>
      <c r="AB6" s="181" t="s">
        <v>173</v>
      </c>
      <c r="AC6" s="181" t="s">
        <v>166</v>
      </c>
      <c r="AD6" s="646"/>
      <c r="AE6" s="181" t="s">
        <v>171</v>
      </c>
      <c r="AF6" s="181" t="s">
        <v>172</v>
      </c>
      <c r="AG6" s="181" t="s">
        <v>173</v>
      </c>
      <c r="AH6" s="181" t="s">
        <v>166</v>
      </c>
      <c r="AI6" s="646"/>
      <c r="AJ6" s="181" t="s">
        <v>171</v>
      </c>
      <c r="AK6" s="181" t="s">
        <v>172</v>
      </c>
      <c r="AL6" s="181" t="s">
        <v>173</v>
      </c>
      <c r="AM6" s="181" t="s">
        <v>166</v>
      </c>
      <c r="AN6" s="646"/>
      <c r="AO6" s="181" t="s">
        <v>171</v>
      </c>
      <c r="AP6" s="181" t="s">
        <v>172</v>
      </c>
      <c r="AQ6" s="181" t="s">
        <v>173</v>
      </c>
      <c r="AR6" s="181" t="s">
        <v>166</v>
      </c>
      <c r="AS6" s="646"/>
      <c r="AT6" s="181" t="s">
        <v>171</v>
      </c>
      <c r="AU6" s="181" t="s">
        <v>172</v>
      </c>
      <c r="AV6" s="181" t="s">
        <v>173</v>
      </c>
      <c r="AW6" s="181" t="s">
        <v>166</v>
      </c>
      <c r="AX6" s="646"/>
    </row>
    <row r="7" spans="1:50" ht="14.25" customHeight="1">
      <c r="B7" s="633" t="s">
        <v>174</v>
      </c>
      <c r="C7" s="179">
        <v>1</v>
      </c>
      <c r="D7" s="182" t="s">
        <v>175</v>
      </c>
      <c r="E7" s="183">
        <v>4</v>
      </c>
      <c r="F7" s="179">
        <v>3300</v>
      </c>
      <c r="G7" s="184">
        <f>IFERROR(F7/E7,"")</f>
        <v>825</v>
      </c>
      <c r="H7" s="644">
        <f>AVERAGE(G7:G43)</f>
        <v>884.86111111111109</v>
      </c>
      <c r="I7" s="185">
        <f>AVERAGE(P7,U7,Z7,AE7,AJ7,AO7,AT7)</f>
        <v>4</v>
      </c>
      <c r="J7" s="185">
        <f>AVERAGE(Q7,V7,AA7,AF7,AK7,AP7,AU7)</f>
        <v>3039.8454406772503</v>
      </c>
      <c r="K7" s="186">
        <f>AVERAGE(R7,W7,AB7,AG7,AL7,AQ7,AV7)</f>
        <v>759.96136016931257</v>
      </c>
      <c r="L7" s="645">
        <f>IFERROR(AVERAGE(K7:K43),"-")</f>
        <v>800.69875641764111</v>
      </c>
      <c r="M7" s="185">
        <f>RANK(K7, K$7:$K$43)</f>
        <v>22</v>
      </c>
      <c r="N7" s="656"/>
      <c r="O7" s="646"/>
      <c r="P7" s="187">
        <v>4</v>
      </c>
      <c r="Q7" s="187">
        <v>3036.9448216625092</v>
      </c>
      <c r="R7" s="184">
        <f>IFERROR(Q7/P7,"")</f>
        <v>759.2362054156273</v>
      </c>
      <c r="S7" s="181">
        <f>RANK(R7, R$7:R$43)</f>
        <v>18</v>
      </c>
      <c r="T7" s="643">
        <f>AVERAGE(R7:R43)</f>
        <v>795.89668207718967</v>
      </c>
      <c r="U7" s="187">
        <v>4</v>
      </c>
      <c r="V7" s="187">
        <v>3037.604821662509</v>
      </c>
      <c r="W7" s="184">
        <f t="shared" ref="W7:W36" si="0">IFERROR(V7/U7,"")</f>
        <v>759.40120541562726</v>
      </c>
      <c r="X7" s="181">
        <f>RANK(W7, W$7:W$43)</f>
        <v>22</v>
      </c>
      <c r="Y7" s="643">
        <f>AVERAGE(W7:W43)</f>
        <v>801.84658257586943</v>
      </c>
      <c r="Z7" s="187">
        <v>4</v>
      </c>
      <c r="AA7" s="187">
        <v>3039.1365448784359</v>
      </c>
      <c r="AB7" s="184">
        <f>IFERROR(AA7/Z7,"")</f>
        <v>759.78413621960897</v>
      </c>
      <c r="AC7" s="181">
        <f>RANK(AB7, AB$7:AB$43)</f>
        <v>21</v>
      </c>
      <c r="AD7" s="643">
        <f>AVERAGE(AB7:AB43)</f>
        <v>803.80601894344056</v>
      </c>
      <c r="AE7" s="187">
        <v>4</v>
      </c>
      <c r="AF7" s="187">
        <v>3040.1265448784361</v>
      </c>
      <c r="AG7" s="184">
        <f>IFERROR(AF7/AE7,"")</f>
        <v>760.03163621960903</v>
      </c>
      <c r="AH7" s="181">
        <f>RANK(AG7, AG$7:AG$43)</f>
        <v>21</v>
      </c>
      <c r="AI7" s="643">
        <f>AVERAGE(AG7:AG43)</f>
        <v>806.02294192086663</v>
      </c>
      <c r="AJ7" s="187">
        <v>4</v>
      </c>
      <c r="AK7" s="187">
        <v>3040.456544878436</v>
      </c>
      <c r="AL7" s="184">
        <f>IFERROR(AK7/AJ7,"")</f>
        <v>760.11413621960901</v>
      </c>
      <c r="AM7" s="181">
        <f>RANK(AL7, AL$7:AL$43)</f>
        <v>22</v>
      </c>
      <c r="AN7" s="643">
        <f>AVERAGE(AL7:AL43)</f>
        <v>807.5043666198311</v>
      </c>
      <c r="AO7" s="187">
        <v>4</v>
      </c>
      <c r="AP7" s="187">
        <v>3040.456544878436</v>
      </c>
      <c r="AQ7" s="184">
        <f>IFERROR(AP7/AO7,"")</f>
        <v>760.11413621960901</v>
      </c>
      <c r="AR7" s="181">
        <f>RANK(AQ7, AQ$7:AQ$43)</f>
        <v>22</v>
      </c>
      <c r="AS7" s="643">
        <f>AVERAGE(AQ7:AQ43)</f>
        <v>807.62765884072917</v>
      </c>
      <c r="AT7" s="187">
        <v>4</v>
      </c>
      <c r="AU7" s="187">
        <v>3044.1922619019892</v>
      </c>
      <c r="AV7" s="184">
        <f>IFERROR(AU7/AT7,"")</f>
        <v>761.04806547549731</v>
      </c>
      <c r="AW7" s="181">
        <f>RANK(AV7, AV$7:AV$43)</f>
        <v>22</v>
      </c>
      <c r="AX7" s="643">
        <f>AVERAGE(AV7:AV43)</f>
        <v>807.8714015900822</v>
      </c>
    </row>
    <row r="8" spans="1:50" ht="14.25" customHeight="1">
      <c r="B8" s="633"/>
      <c r="C8" s="179">
        <v>2</v>
      </c>
      <c r="D8" s="182" t="s">
        <v>176</v>
      </c>
      <c r="E8" s="183">
        <v>3</v>
      </c>
      <c r="F8" s="179">
        <v>3600</v>
      </c>
      <c r="G8" s="184">
        <f t="shared" ref="G8:G42" si="1">IFERROR(F8/E8,"")</f>
        <v>1200</v>
      </c>
      <c r="H8" s="644"/>
      <c r="I8" s="185">
        <f t="shared" ref="I8:K37" si="2">AVERAGE(P8,U8,Z8,AE8,AJ8,AO8,AT8)</f>
        <v>3</v>
      </c>
      <c r="J8" s="185">
        <f t="shared" si="2"/>
        <v>3243.8620405715628</v>
      </c>
      <c r="K8" s="186">
        <f t="shared" si="2"/>
        <v>1081.2873468571877</v>
      </c>
      <c r="L8" s="645"/>
      <c r="M8" s="185">
        <f>RANK(K8, K$7:$K$43)</f>
        <v>3</v>
      </c>
      <c r="N8" s="656"/>
      <c r="O8" s="646"/>
      <c r="P8" s="187">
        <v>3</v>
      </c>
      <c r="Q8" s="187">
        <v>3239.5452368905449</v>
      </c>
      <c r="R8" s="184">
        <f t="shared" ref="R8:R42" si="3">IFERROR(Q8/P8,"")</f>
        <v>1079.8484122968482</v>
      </c>
      <c r="S8" s="181">
        <f t="shared" ref="S8:S42" si="4">RANK(R8, R$7:R$43)</f>
        <v>8</v>
      </c>
      <c r="T8" s="643"/>
      <c r="U8" s="187">
        <v>3</v>
      </c>
      <c r="V8" s="187">
        <v>3240.6252368905448</v>
      </c>
      <c r="W8" s="184">
        <f t="shared" si="0"/>
        <v>1080.2084122968483</v>
      </c>
      <c r="X8" s="181">
        <f t="shared" ref="X8:X36" si="5">RANK(W8, W$7:W$43)</f>
        <v>7</v>
      </c>
      <c r="Y8" s="643"/>
      <c r="Z8" s="187">
        <v>3</v>
      </c>
      <c r="AA8" s="187">
        <v>3240.9852368905445</v>
      </c>
      <c r="AB8" s="184">
        <f t="shared" ref="AB8:AB36" si="6">IFERROR(AA8/Z8,"")</f>
        <v>1080.3284122968482</v>
      </c>
      <c r="AC8" s="181">
        <f t="shared" ref="AC8:AC36" si="7">RANK(AB8, AB$7:AB$43)</f>
        <v>7</v>
      </c>
      <c r="AD8" s="643"/>
      <c r="AE8" s="187">
        <v>3</v>
      </c>
      <c r="AF8" s="187">
        <v>3245.4796433323268</v>
      </c>
      <c r="AG8" s="184">
        <f t="shared" ref="AG8:AG36" si="8">IFERROR(AF8/AE8,"")</f>
        <v>1081.8265477774423</v>
      </c>
      <c r="AH8" s="181">
        <f t="shared" ref="AH8:AH36" si="9">RANK(AG8, AG$7:AG$43)</f>
        <v>2</v>
      </c>
      <c r="AI8" s="643"/>
      <c r="AJ8" s="187">
        <v>3</v>
      </c>
      <c r="AK8" s="187">
        <v>3246.199643332327</v>
      </c>
      <c r="AL8" s="184">
        <f t="shared" ref="AL8:AL36" si="10">IFERROR(AK8/AJ8,"")</f>
        <v>1082.0665477774423</v>
      </c>
      <c r="AM8" s="181">
        <f t="shared" ref="AM8:AM36" si="11">RANK(AL8, AL$7:AL$43)</f>
        <v>2</v>
      </c>
      <c r="AN8" s="643"/>
      <c r="AO8" s="187">
        <v>3</v>
      </c>
      <c r="AP8" s="187">
        <v>3246.5596433323267</v>
      </c>
      <c r="AQ8" s="184">
        <f t="shared" ref="AQ8:AQ36" si="12">IFERROR(AP8/AO8,"")</f>
        <v>1082.1865477774422</v>
      </c>
      <c r="AR8" s="181">
        <f t="shared" ref="AR8:AR36" si="13">RANK(AQ8, AQ$7:AQ$43)</f>
        <v>3</v>
      </c>
      <c r="AS8" s="643"/>
      <c r="AT8" s="187">
        <v>3</v>
      </c>
      <c r="AU8" s="187">
        <v>3247.6396433323262</v>
      </c>
      <c r="AV8" s="184">
        <f t="shared" ref="AV8:AV36" si="14">IFERROR(AU8/AT8,"")</f>
        <v>1082.5465477774421</v>
      </c>
      <c r="AW8" s="181">
        <f t="shared" ref="AW8:AW36" si="15">RANK(AV8, AV$7:AV$43)</f>
        <v>1</v>
      </c>
      <c r="AX8" s="643"/>
    </row>
    <row r="9" spans="1:50" ht="14.25" customHeight="1">
      <c r="B9" s="633"/>
      <c r="C9" s="179">
        <v>3</v>
      </c>
      <c r="D9" s="182" t="s">
        <v>177</v>
      </c>
      <c r="E9" s="183">
        <v>5</v>
      </c>
      <c r="F9" s="179">
        <v>3600</v>
      </c>
      <c r="G9" s="184">
        <f t="shared" si="1"/>
        <v>720</v>
      </c>
      <c r="H9" s="644"/>
      <c r="I9" s="185">
        <f t="shared" si="2"/>
        <v>5</v>
      </c>
      <c r="J9" s="185">
        <f t="shared" si="2"/>
        <v>3245.3332006233809</v>
      </c>
      <c r="K9" s="186">
        <f t="shared" si="2"/>
        <v>649.06664012467627</v>
      </c>
      <c r="L9" s="645"/>
      <c r="M9" s="185">
        <f>RANK(K9, K$7:$K$43)</f>
        <v>29</v>
      </c>
      <c r="N9" s="656"/>
      <c r="O9" s="646"/>
      <c r="P9" s="187">
        <v>5</v>
      </c>
      <c r="Q9" s="187">
        <v>3243.5332006233816</v>
      </c>
      <c r="R9" s="184">
        <f t="shared" si="3"/>
        <v>648.70664012467637</v>
      </c>
      <c r="S9" s="181">
        <f t="shared" si="4"/>
        <v>29</v>
      </c>
      <c r="T9" s="643"/>
      <c r="U9" s="187">
        <v>5</v>
      </c>
      <c r="V9" s="187">
        <v>3243.8932006233817</v>
      </c>
      <c r="W9" s="184">
        <f t="shared" si="0"/>
        <v>648.77864012467637</v>
      </c>
      <c r="X9" s="181">
        <f t="shared" si="5"/>
        <v>27</v>
      </c>
      <c r="Y9" s="643"/>
      <c r="Z9" s="187">
        <v>5</v>
      </c>
      <c r="AA9" s="187">
        <v>3244.6132006233815</v>
      </c>
      <c r="AB9" s="184">
        <f t="shared" si="6"/>
        <v>648.92264012467626</v>
      </c>
      <c r="AC9" s="181">
        <f t="shared" si="7"/>
        <v>27</v>
      </c>
      <c r="AD9" s="643"/>
      <c r="AE9" s="187">
        <v>5</v>
      </c>
      <c r="AF9" s="187">
        <v>3245.6932006233815</v>
      </c>
      <c r="AG9" s="184">
        <f t="shared" si="8"/>
        <v>649.13864012467627</v>
      </c>
      <c r="AH9" s="181">
        <f t="shared" si="9"/>
        <v>27</v>
      </c>
      <c r="AI9" s="643"/>
      <c r="AJ9" s="187">
        <v>5</v>
      </c>
      <c r="AK9" s="187">
        <v>3246.0532006233811</v>
      </c>
      <c r="AL9" s="184">
        <f t="shared" si="10"/>
        <v>649.21064012467627</v>
      </c>
      <c r="AM9" s="181">
        <f t="shared" si="11"/>
        <v>29</v>
      </c>
      <c r="AN9" s="643"/>
      <c r="AO9" s="187">
        <v>5</v>
      </c>
      <c r="AP9" s="187">
        <v>3246.4132006233808</v>
      </c>
      <c r="AQ9" s="184">
        <f t="shared" si="12"/>
        <v>649.28264012467616</v>
      </c>
      <c r="AR9" s="181">
        <f t="shared" si="13"/>
        <v>28</v>
      </c>
      <c r="AS9" s="643"/>
      <c r="AT9" s="187">
        <v>5</v>
      </c>
      <c r="AU9" s="187">
        <v>3247.1332006233806</v>
      </c>
      <c r="AV9" s="184">
        <f t="shared" si="14"/>
        <v>649.42664012467617</v>
      </c>
      <c r="AW9" s="181">
        <f t="shared" si="15"/>
        <v>29</v>
      </c>
      <c r="AX9" s="643"/>
    </row>
    <row r="10" spans="1:50" ht="14.25" customHeight="1">
      <c r="B10" s="633"/>
      <c r="C10" s="179">
        <v>4</v>
      </c>
      <c r="D10" s="182" t="s">
        <v>178</v>
      </c>
      <c r="E10" s="183">
        <v>3</v>
      </c>
      <c r="F10" s="179">
        <v>3600</v>
      </c>
      <c r="G10" s="184">
        <f t="shared" si="1"/>
        <v>1200</v>
      </c>
      <c r="H10" s="644"/>
      <c r="I10" s="185">
        <f t="shared" si="2"/>
        <v>3</v>
      </c>
      <c r="J10" s="185">
        <f t="shared" si="2"/>
        <v>3243.1956310719179</v>
      </c>
      <c r="K10" s="186">
        <f t="shared" si="2"/>
        <v>1081.0652103573061</v>
      </c>
      <c r="L10" s="645"/>
      <c r="M10" s="185">
        <f>RANK(K10, K$7:$K$43)</f>
        <v>5</v>
      </c>
      <c r="N10" s="656"/>
      <c r="O10" s="646"/>
      <c r="P10" s="187">
        <v>3</v>
      </c>
      <c r="Q10" s="187">
        <v>3242.4756310719181</v>
      </c>
      <c r="R10" s="184">
        <f t="shared" si="3"/>
        <v>1080.8252103573061</v>
      </c>
      <c r="S10" s="181">
        <f t="shared" si="4"/>
        <v>2</v>
      </c>
      <c r="T10" s="643"/>
      <c r="U10" s="187">
        <v>3</v>
      </c>
      <c r="V10" s="187">
        <v>3242.4756310719181</v>
      </c>
      <c r="W10" s="184">
        <f t="shared" si="0"/>
        <v>1080.8252103573061</v>
      </c>
      <c r="X10" s="181">
        <f t="shared" si="5"/>
        <v>4</v>
      </c>
      <c r="Y10" s="643"/>
      <c r="Z10" s="187">
        <v>3</v>
      </c>
      <c r="AA10" s="187">
        <v>3242.4756310719176</v>
      </c>
      <c r="AB10" s="184">
        <f t="shared" si="6"/>
        <v>1080.8252103573059</v>
      </c>
      <c r="AC10" s="181">
        <f t="shared" si="7"/>
        <v>4</v>
      </c>
      <c r="AD10" s="643"/>
      <c r="AE10" s="187">
        <v>3</v>
      </c>
      <c r="AF10" s="187">
        <v>3243.1956310719174</v>
      </c>
      <c r="AG10" s="184">
        <f t="shared" si="8"/>
        <v>1081.0652103573059</v>
      </c>
      <c r="AH10" s="181">
        <f t="shared" si="9"/>
        <v>4</v>
      </c>
      <c r="AI10" s="643"/>
      <c r="AJ10" s="187">
        <v>3</v>
      </c>
      <c r="AK10" s="187">
        <v>3243.555631071918</v>
      </c>
      <c r="AL10" s="184">
        <f t="shared" si="10"/>
        <v>1081.185210357306</v>
      </c>
      <c r="AM10" s="181">
        <f t="shared" si="11"/>
        <v>5</v>
      </c>
      <c r="AN10" s="643"/>
      <c r="AO10" s="187">
        <v>3</v>
      </c>
      <c r="AP10" s="187">
        <v>3243.9156310719177</v>
      </c>
      <c r="AQ10" s="184">
        <f t="shared" si="12"/>
        <v>1081.3052103573059</v>
      </c>
      <c r="AR10" s="181">
        <f t="shared" si="13"/>
        <v>5</v>
      </c>
      <c r="AS10" s="643"/>
      <c r="AT10" s="187">
        <v>3</v>
      </c>
      <c r="AU10" s="187">
        <v>3244.2756310719174</v>
      </c>
      <c r="AV10" s="184">
        <f t="shared" si="14"/>
        <v>1081.4252103573058</v>
      </c>
      <c r="AW10" s="181">
        <f t="shared" si="15"/>
        <v>6</v>
      </c>
      <c r="AX10" s="643"/>
    </row>
    <row r="11" spans="1:50" ht="14.25" customHeight="1">
      <c r="B11" s="633"/>
      <c r="C11" s="179">
        <v>5</v>
      </c>
      <c r="D11" s="182" t="s">
        <v>179</v>
      </c>
      <c r="E11" s="183">
        <v>4</v>
      </c>
      <c r="F11" s="179">
        <v>3600</v>
      </c>
      <c r="G11" s="184">
        <f t="shared" si="1"/>
        <v>900</v>
      </c>
      <c r="H11" s="644"/>
      <c r="I11" s="185">
        <f t="shared" si="2"/>
        <v>4</v>
      </c>
      <c r="J11" s="185">
        <f t="shared" si="2"/>
        <v>3243.5434987399376</v>
      </c>
      <c r="K11" s="186">
        <f t="shared" si="2"/>
        <v>810.8858746849844</v>
      </c>
      <c r="L11" s="645"/>
      <c r="M11" s="185">
        <f>RANK(K11, K$7:$K$43)</f>
        <v>15</v>
      </c>
      <c r="N11" s="656"/>
      <c r="O11" s="646"/>
      <c r="P11" s="187">
        <v>4</v>
      </c>
      <c r="Q11" s="187">
        <v>3241.1777844542239</v>
      </c>
      <c r="R11" s="184">
        <f t="shared" si="3"/>
        <v>810.29444611355598</v>
      </c>
      <c r="S11" s="181">
        <f t="shared" si="4"/>
        <v>15</v>
      </c>
      <c r="T11" s="643"/>
      <c r="U11" s="187">
        <v>4</v>
      </c>
      <c r="V11" s="187">
        <v>3241.8977844542237</v>
      </c>
      <c r="W11" s="184">
        <f t="shared" si="0"/>
        <v>810.47444611355593</v>
      </c>
      <c r="X11" s="181">
        <f t="shared" si="5"/>
        <v>15</v>
      </c>
      <c r="Y11" s="643"/>
      <c r="Z11" s="187">
        <v>4</v>
      </c>
      <c r="AA11" s="187">
        <v>3242.9777844542236</v>
      </c>
      <c r="AB11" s="184">
        <f t="shared" si="6"/>
        <v>810.74444611355591</v>
      </c>
      <c r="AC11" s="181">
        <f t="shared" si="7"/>
        <v>15</v>
      </c>
      <c r="AD11" s="643"/>
      <c r="AE11" s="187">
        <v>4</v>
      </c>
      <c r="AF11" s="187">
        <v>3244.0577844542231</v>
      </c>
      <c r="AG11" s="184">
        <f t="shared" si="8"/>
        <v>811.01444611355578</v>
      </c>
      <c r="AH11" s="181">
        <f t="shared" si="9"/>
        <v>15</v>
      </c>
      <c r="AI11" s="643"/>
      <c r="AJ11" s="187">
        <v>4</v>
      </c>
      <c r="AK11" s="187">
        <v>3244.4177844542232</v>
      </c>
      <c r="AL11" s="184">
        <f t="shared" si="10"/>
        <v>811.10444611355581</v>
      </c>
      <c r="AM11" s="181">
        <f t="shared" si="11"/>
        <v>18</v>
      </c>
      <c r="AN11" s="643"/>
      <c r="AO11" s="187">
        <v>4</v>
      </c>
      <c r="AP11" s="187">
        <v>3245.137784454223</v>
      </c>
      <c r="AQ11" s="184">
        <f t="shared" si="12"/>
        <v>811.28444611355576</v>
      </c>
      <c r="AR11" s="181">
        <f t="shared" si="13"/>
        <v>18</v>
      </c>
      <c r="AS11" s="643"/>
      <c r="AT11" s="187">
        <v>4</v>
      </c>
      <c r="AU11" s="187">
        <v>3245.137784454223</v>
      </c>
      <c r="AV11" s="184">
        <f t="shared" si="14"/>
        <v>811.28444611355576</v>
      </c>
      <c r="AW11" s="181">
        <f t="shared" si="15"/>
        <v>18</v>
      </c>
      <c r="AX11" s="643"/>
    </row>
    <row r="12" spans="1:50" ht="14.25" customHeight="1">
      <c r="B12" s="633"/>
      <c r="C12" s="179">
        <v>6</v>
      </c>
      <c r="D12" s="182" t="s">
        <v>180</v>
      </c>
      <c r="E12" s="183">
        <v>3</v>
      </c>
      <c r="F12" s="179">
        <v>3600</v>
      </c>
      <c r="G12" s="184">
        <f t="shared" si="1"/>
        <v>1200</v>
      </c>
      <c r="H12" s="644"/>
      <c r="I12" s="185">
        <f t="shared" si="2"/>
        <v>3</v>
      </c>
      <c r="J12" s="185">
        <f t="shared" si="2"/>
        <v>3243.0660965949733</v>
      </c>
      <c r="K12" s="186">
        <f t="shared" si="2"/>
        <v>1081.0220321983243</v>
      </c>
      <c r="L12" s="645"/>
      <c r="M12" s="185">
        <f>RANK(K12, K$7:$K$43)</f>
        <v>6</v>
      </c>
      <c r="N12" s="656"/>
      <c r="O12" s="646"/>
      <c r="P12" s="187">
        <v>3</v>
      </c>
      <c r="Q12" s="187">
        <v>3242.2432394521165</v>
      </c>
      <c r="R12" s="184">
        <f t="shared" si="3"/>
        <v>1080.7477464840388</v>
      </c>
      <c r="S12" s="181">
        <f t="shared" si="4"/>
        <v>3</v>
      </c>
      <c r="T12" s="643"/>
      <c r="U12" s="187">
        <v>3</v>
      </c>
      <c r="V12" s="187">
        <v>3242.6032394521162</v>
      </c>
      <c r="W12" s="184">
        <f t="shared" si="0"/>
        <v>1080.8677464840387</v>
      </c>
      <c r="X12" s="181">
        <f t="shared" si="5"/>
        <v>3</v>
      </c>
      <c r="Y12" s="643"/>
      <c r="Z12" s="187">
        <v>3</v>
      </c>
      <c r="AA12" s="187">
        <v>3242.6032394521162</v>
      </c>
      <c r="AB12" s="184">
        <f t="shared" si="6"/>
        <v>1080.8677464840387</v>
      </c>
      <c r="AC12" s="181">
        <f t="shared" si="7"/>
        <v>3</v>
      </c>
      <c r="AD12" s="643"/>
      <c r="AE12" s="187">
        <v>3</v>
      </c>
      <c r="AF12" s="187">
        <v>3242.6032394521162</v>
      </c>
      <c r="AG12" s="184">
        <f t="shared" si="8"/>
        <v>1080.8677464840387</v>
      </c>
      <c r="AH12" s="181">
        <f t="shared" si="9"/>
        <v>5</v>
      </c>
      <c r="AI12" s="643"/>
      <c r="AJ12" s="187">
        <v>3</v>
      </c>
      <c r="AK12" s="187">
        <v>3242.9632394521159</v>
      </c>
      <c r="AL12" s="184">
        <f t="shared" si="10"/>
        <v>1080.9877464840386</v>
      </c>
      <c r="AM12" s="181">
        <f t="shared" si="11"/>
        <v>7</v>
      </c>
      <c r="AN12" s="643"/>
      <c r="AO12" s="187">
        <v>3</v>
      </c>
      <c r="AP12" s="187">
        <v>3243.6832394521157</v>
      </c>
      <c r="AQ12" s="184">
        <f t="shared" si="12"/>
        <v>1081.2277464840386</v>
      </c>
      <c r="AR12" s="181">
        <f t="shared" si="13"/>
        <v>6</v>
      </c>
      <c r="AS12" s="643"/>
      <c r="AT12" s="187">
        <v>3</v>
      </c>
      <c r="AU12" s="187">
        <v>3244.7632394521156</v>
      </c>
      <c r="AV12" s="184">
        <f t="shared" si="14"/>
        <v>1081.5877464840385</v>
      </c>
      <c r="AW12" s="181">
        <f t="shared" si="15"/>
        <v>5</v>
      </c>
      <c r="AX12" s="643"/>
    </row>
    <row r="13" spans="1:50" ht="14.25" customHeight="1">
      <c r="B13" s="633"/>
      <c r="C13" s="179">
        <v>7</v>
      </c>
      <c r="D13" s="182" t="s">
        <v>181</v>
      </c>
      <c r="E13" s="183">
        <v>5</v>
      </c>
      <c r="F13" s="179">
        <v>3600</v>
      </c>
      <c r="G13" s="184">
        <f t="shared" si="1"/>
        <v>720</v>
      </c>
      <c r="H13" s="644"/>
      <c r="I13" s="185">
        <f t="shared" si="2"/>
        <v>5</v>
      </c>
      <c r="J13" s="185">
        <f t="shared" si="2"/>
        <v>3246.9102238402461</v>
      </c>
      <c r="K13" s="186">
        <f t="shared" si="2"/>
        <v>649.38204476804924</v>
      </c>
      <c r="L13" s="645"/>
      <c r="M13" s="185">
        <f>RANK(K13, K$7:$K$43)</f>
        <v>27</v>
      </c>
      <c r="N13" s="656"/>
      <c r="O13" s="646"/>
      <c r="P13" s="187">
        <v>5</v>
      </c>
      <c r="Q13" s="187">
        <v>3245.4702238402465</v>
      </c>
      <c r="R13" s="184">
        <f t="shared" si="3"/>
        <v>649.09404476804934</v>
      </c>
      <c r="S13" s="181">
        <f t="shared" si="4"/>
        <v>27</v>
      </c>
      <c r="T13" s="643"/>
      <c r="U13" s="187">
        <v>5</v>
      </c>
      <c r="V13" s="187">
        <v>3245.8302238402471</v>
      </c>
      <c r="W13" s="184">
        <f t="shared" si="0"/>
        <v>649.16604476804946</v>
      </c>
      <c r="X13" s="181">
        <f t="shared" si="5"/>
        <v>26</v>
      </c>
      <c r="Y13" s="643"/>
      <c r="Z13" s="187">
        <v>5</v>
      </c>
      <c r="AA13" s="187">
        <v>3246.5502238402464</v>
      </c>
      <c r="AB13" s="184">
        <f t="shared" si="6"/>
        <v>649.31004476804924</v>
      </c>
      <c r="AC13" s="181">
        <f t="shared" si="7"/>
        <v>26</v>
      </c>
      <c r="AD13" s="643"/>
      <c r="AE13" s="187">
        <v>5</v>
      </c>
      <c r="AF13" s="187">
        <v>3246.550223840246</v>
      </c>
      <c r="AG13" s="184">
        <f t="shared" si="8"/>
        <v>649.31004476804924</v>
      </c>
      <c r="AH13" s="181">
        <f t="shared" si="9"/>
        <v>26</v>
      </c>
      <c r="AI13" s="643"/>
      <c r="AJ13" s="187">
        <v>5</v>
      </c>
      <c r="AK13" s="187">
        <v>3247.2702238402462</v>
      </c>
      <c r="AL13" s="184">
        <f t="shared" si="10"/>
        <v>649.45404476804924</v>
      </c>
      <c r="AM13" s="181">
        <f t="shared" si="11"/>
        <v>27</v>
      </c>
      <c r="AN13" s="643"/>
      <c r="AO13" s="187">
        <v>5</v>
      </c>
      <c r="AP13" s="187">
        <v>3247.990223840246</v>
      </c>
      <c r="AQ13" s="184">
        <f t="shared" si="12"/>
        <v>649.59804476804925</v>
      </c>
      <c r="AR13" s="181">
        <f t="shared" si="13"/>
        <v>27</v>
      </c>
      <c r="AS13" s="643"/>
      <c r="AT13" s="187">
        <v>5</v>
      </c>
      <c r="AU13" s="187">
        <v>3248.7102238402458</v>
      </c>
      <c r="AV13" s="184">
        <f t="shared" si="14"/>
        <v>649.74204476804914</v>
      </c>
      <c r="AW13" s="181">
        <f t="shared" si="15"/>
        <v>27</v>
      </c>
      <c r="AX13" s="643"/>
    </row>
    <row r="14" spans="1:50" ht="14.25" customHeight="1">
      <c r="B14" s="633"/>
      <c r="C14" s="179">
        <v>8</v>
      </c>
      <c r="D14" s="182" t="s">
        <v>182</v>
      </c>
      <c r="E14" s="183">
        <v>5</v>
      </c>
      <c r="F14" s="179">
        <v>3600</v>
      </c>
      <c r="G14" s="184">
        <f t="shared" si="1"/>
        <v>720</v>
      </c>
      <c r="H14" s="644"/>
      <c r="I14" s="185">
        <f t="shared" si="2"/>
        <v>5</v>
      </c>
      <c r="J14" s="185">
        <f t="shared" si="2"/>
        <v>3248.0427496376242</v>
      </c>
      <c r="K14" s="186">
        <f t="shared" si="2"/>
        <v>649.60854992752502</v>
      </c>
      <c r="L14" s="645"/>
      <c r="M14" s="185">
        <f>RANK(K14, K$7:$K$43)</f>
        <v>26</v>
      </c>
      <c r="N14" s="656"/>
      <c r="O14" s="646"/>
      <c r="P14" s="187">
        <v>5</v>
      </c>
      <c r="Q14" s="187">
        <v>3245.9856067804808</v>
      </c>
      <c r="R14" s="184">
        <f t="shared" si="3"/>
        <v>649.1971213560962</v>
      </c>
      <c r="S14" s="181">
        <f t="shared" si="4"/>
        <v>26</v>
      </c>
      <c r="T14" s="643"/>
      <c r="U14" s="187">
        <v>5</v>
      </c>
      <c r="V14" s="187">
        <v>3246.3456067804809</v>
      </c>
      <c r="W14" s="184">
        <f t="shared" si="0"/>
        <v>649.26912135609621</v>
      </c>
      <c r="X14" s="181">
        <f t="shared" si="5"/>
        <v>25</v>
      </c>
      <c r="Y14" s="643"/>
      <c r="Z14" s="187">
        <v>5</v>
      </c>
      <c r="AA14" s="187">
        <v>3247.4256067804808</v>
      </c>
      <c r="AB14" s="184">
        <f t="shared" si="6"/>
        <v>649.48512135609622</v>
      </c>
      <c r="AC14" s="181">
        <f t="shared" si="7"/>
        <v>25</v>
      </c>
      <c r="AD14" s="643"/>
      <c r="AE14" s="187">
        <v>5</v>
      </c>
      <c r="AF14" s="187">
        <v>3248.1456067804816</v>
      </c>
      <c r="AG14" s="184">
        <f t="shared" si="8"/>
        <v>649.62912135609633</v>
      </c>
      <c r="AH14" s="181">
        <f t="shared" si="9"/>
        <v>25</v>
      </c>
      <c r="AI14" s="643"/>
      <c r="AJ14" s="187">
        <v>5</v>
      </c>
      <c r="AK14" s="187">
        <v>3249.2256067804815</v>
      </c>
      <c r="AL14" s="184">
        <f t="shared" si="10"/>
        <v>649.84512135609634</v>
      </c>
      <c r="AM14" s="181">
        <f t="shared" si="11"/>
        <v>25</v>
      </c>
      <c r="AN14" s="643"/>
      <c r="AO14" s="187">
        <v>5</v>
      </c>
      <c r="AP14" s="187">
        <v>3249.2256067804815</v>
      </c>
      <c r="AQ14" s="184">
        <f t="shared" si="12"/>
        <v>649.84512135609634</v>
      </c>
      <c r="AR14" s="181">
        <f t="shared" si="13"/>
        <v>25</v>
      </c>
      <c r="AS14" s="643"/>
      <c r="AT14" s="187">
        <v>5</v>
      </c>
      <c r="AU14" s="187">
        <v>3249.9456067804822</v>
      </c>
      <c r="AV14" s="184">
        <f t="shared" si="14"/>
        <v>649.98912135609646</v>
      </c>
      <c r="AW14" s="181">
        <f t="shared" si="15"/>
        <v>25</v>
      </c>
      <c r="AX14" s="643"/>
    </row>
    <row r="15" spans="1:50" ht="14.25" customHeight="1">
      <c r="B15" s="633"/>
      <c r="C15" s="179">
        <v>9</v>
      </c>
      <c r="D15" s="182" t="s">
        <v>183</v>
      </c>
      <c r="E15" s="183">
        <v>3</v>
      </c>
      <c r="F15" s="179">
        <v>3000</v>
      </c>
      <c r="G15" s="184">
        <f t="shared" si="1"/>
        <v>1000</v>
      </c>
      <c r="H15" s="644"/>
      <c r="I15" s="185">
        <f t="shared" si="2"/>
        <v>3</v>
      </c>
      <c r="J15" s="185">
        <f t="shared" si="2"/>
        <v>2764.9366157023383</v>
      </c>
      <c r="K15" s="186">
        <f t="shared" si="2"/>
        <v>921.64553856744601</v>
      </c>
      <c r="L15" s="645"/>
      <c r="M15" s="185">
        <f>RANK(K15, K$7:$K$43)</f>
        <v>12</v>
      </c>
      <c r="N15" s="656"/>
      <c r="O15" s="646"/>
      <c r="P15" s="187">
        <v>3</v>
      </c>
      <c r="Q15" s="187">
        <v>2763.2903043486281</v>
      </c>
      <c r="R15" s="184">
        <f t="shared" si="3"/>
        <v>921.09676811620932</v>
      </c>
      <c r="S15" s="181">
        <f t="shared" si="4"/>
        <v>11</v>
      </c>
      <c r="T15" s="643"/>
      <c r="U15" s="187">
        <v>3</v>
      </c>
      <c r="V15" s="187">
        <v>2763.5903043486278</v>
      </c>
      <c r="W15" s="184">
        <f t="shared" si="0"/>
        <v>921.19676811620923</v>
      </c>
      <c r="X15" s="181">
        <f t="shared" si="5"/>
        <v>11</v>
      </c>
      <c r="Y15" s="643"/>
      <c r="Z15" s="187">
        <v>3</v>
      </c>
      <c r="AA15" s="187">
        <v>2764.1903043486277</v>
      </c>
      <c r="AB15" s="184">
        <f t="shared" si="6"/>
        <v>921.39676811620927</v>
      </c>
      <c r="AC15" s="181">
        <f t="shared" si="7"/>
        <v>11</v>
      </c>
      <c r="AD15" s="643"/>
      <c r="AE15" s="187">
        <v>3</v>
      </c>
      <c r="AF15" s="187">
        <v>2764.7903043486272</v>
      </c>
      <c r="AG15" s="184">
        <f t="shared" si="8"/>
        <v>921.59676811620909</v>
      </c>
      <c r="AH15" s="181">
        <f t="shared" si="9"/>
        <v>12</v>
      </c>
      <c r="AI15" s="643"/>
      <c r="AJ15" s="187">
        <v>3</v>
      </c>
      <c r="AK15" s="187">
        <v>2765.3903043486266</v>
      </c>
      <c r="AL15" s="184">
        <f t="shared" si="10"/>
        <v>921.79676811620891</v>
      </c>
      <c r="AM15" s="181">
        <f t="shared" si="11"/>
        <v>12</v>
      </c>
      <c r="AN15" s="643"/>
      <c r="AO15" s="187">
        <v>3</v>
      </c>
      <c r="AP15" s="187">
        <v>2765.9903043486265</v>
      </c>
      <c r="AQ15" s="184">
        <f t="shared" si="12"/>
        <v>921.99676811620884</v>
      </c>
      <c r="AR15" s="181">
        <f t="shared" si="13"/>
        <v>12</v>
      </c>
      <c r="AS15" s="643"/>
      <c r="AT15" s="187">
        <v>3</v>
      </c>
      <c r="AU15" s="187">
        <v>2767.314483824603</v>
      </c>
      <c r="AV15" s="184">
        <f t="shared" si="14"/>
        <v>922.43816127486764</v>
      </c>
      <c r="AW15" s="181">
        <f t="shared" si="15"/>
        <v>11</v>
      </c>
      <c r="AX15" s="643"/>
    </row>
    <row r="16" spans="1:50" ht="14.25" customHeight="1">
      <c r="B16" s="633"/>
      <c r="C16" s="179">
        <v>10</v>
      </c>
      <c r="D16" s="182" t="s">
        <v>184</v>
      </c>
      <c r="E16" s="183">
        <v>12</v>
      </c>
      <c r="F16" s="179">
        <v>3600</v>
      </c>
      <c r="G16" s="184">
        <f t="shared" si="1"/>
        <v>300</v>
      </c>
      <c r="H16" s="644"/>
      <c r="I16" s="185">
        <f t="shared" si="2"/>
        <v>12</v>
      </c>
      <c r="J16" s="185">
        <f t="shared" si="2"/>
        <v>3121.9814749665193</v>
      </c>
      <c r="K16" s="186">
        <f t="shared" si="2"/>
        <v>260.16512291387659</v>
      </c>
      <c r="L16" s="645"/>
      <c r="M16" s="185">
        <f>RANK(K16, K$7:$K$43)</f>
        <v>35</v>
      </c>
      <c r="N16" s="656"/>
      <c r="O16" s="646"/>
      <c r="P16" s="187">
        <v>12</v>
      </c>
      <c r="Q16" s="187">
        <v>3122.9602836642553</v>
      </c>
      <c r="R16" s="184">
        <f t="shared" si="3"/>
        <v>260.2466903053546</v>
      </c>
      <c r="S16" s="181">
        <f t="shared" si="4"/>
        <v>35</v>
      </c>
      <c r="T16" s="643"/>
      <c r="U16" s="187">
        <v>12</v>
      </c>
      <c r="V16" s="187">
        <v>3122.6002836642556</v>
      </c>
      <c r="W16" s="184">
        <f t="shared" si="0"/>
        <v>260.21669030535463</v>
      </c>
      <c r="X16" s="181">
        <f t="shared" si="5"/>
        <v>34</v>
      </c>
      <c r="Y16" s="643"/>
      <c r="Z16" s="187">
        <v>12</v>
      </c>
      <c r="AA16" s="187">
        <v>3121.5202836642561</v>
      </c>
      <c r="AB16" s="184">
        <f t="shared" si="6"/>
        <v>260.12669030535466</v>
      </c>
      <c r="AC16" s="181">
        <f t="shared" si="7"/>
        <v>34</v>
      </c>
      <c r="AD16" s="643"/>
      <c r="AE16" s="187">
        <v>12</v>
      </c>
      <c r="AF16" s="187">
        <v>3122.2402836642555</v>
      </c>
      <c r="AG16" s="184">
        <f t="shared" si="8"/>
        <v>260.1866903053546</v>
      </c>
      <c r="AH16" s="181">
        <f t="shared" si="9"/>
        <v>34</v>
      </c>
      <c r="AI16" s="643"/>
      <c r="AJ16" s="187">
        <v>12</v>
      </c>
      <c r="AK16" s="187">
        <v>3121.2763967028704</v>
      </c>
      <c r="AL16" s="184">
        <f t="shared" si="10"/>
        <v>260.10636639190585</v>
      </c>
      <c r="AM16" s="181">
        <f t="shared" si="11"/>
        <v>34</v>
      </c>
      <c r="AN16" s="643"/>
      <c r="AO16" s="187">
        <v>12</v>
      </c>
      <c r="AP16" s="187">
        <v>3121.9963967028698</v>
      </c>
      <c r="AQ16" s="184">
        <f t="shared" si="12"/>
        <v>260.1663663919058</v>
      </c>
      <c r="AR16" s="181">
        <f t="shared" si="13"/>
        <v>34</v>
      </c>
      <c r="AS16" s="643"/>
      <c r="AT16" s="187">
        <v>12</v>
      </c>
      <c r="AU16" s="187">
        <v>3121.27639670287</v>
      </c>
      <c r="AV16" s="184">
        <f t="shared" si="14"/>
        <v>260.10636639190585</v>
      </c>
      <c r="AW16" s="181">
        <f t="shared" si="15"/>
        <v>34</v>
      </c>
      <c r="AX16" s="643"/>
    </row>
    <row r="17" spans="2:50" ht="14.25" customHeight="1">
      <c r="B17" s="633"/>
      <c r="C17" s="179">
        <v>11</v>
      </c>
      <c r="D17" s="182" t="s">
        <v>185</v>
      </c>
      <c r="E17" s="183">
        <v>3</v>
      </c>
      <c r="F17" s="179">
        <v>3300</v>
      </c>
      <c r="G17" s="184">
        <f t="shared" si="1"/>
        <v>1100</v>
      </c>
      <c r="H17" s="644"/>
      <c r="I17" s="185">
        <f t="shared" si="2"/>
        <v>3</v>
      </c>
      <c r="J17" s="185">
        <f t="shared" si="2"/>
        <v>3039.2604273909346</v>
      </c>
      <c r="K17" s="186">
        <f t="shared" si="2"/>
        <v>1013.0868091303117</v>
      </c>
      <c r="L17" s="645"/>
      <c r="M17" s="185">
        <f>RANK(K17, K$7:$K$43)</f>
        <v>10</v>
      </c>
      <c r="N17" s="656"/>
      <c r="O17" s="646"/>
      <c r="P17" s="187">
        <v>3</v>
      </c>
      <c r="Q17" s="187">
        <v>3037.6652056073935</v>
      </c>
      <c r="R17" s="184">
        <f t="shared" si="3"/>
        <v>1012.5550685357979</v>
      </c>
      <c r="S17" s="181">
        <f t="shared" si="4"/>
        <v>10</v>
      </c>
      <c r="T17" s="643"/>
      <c r="U17" s="187">
        <v>3</v>
      </c>
      <c r="V17" s="187">
        <v>3037.665205607394</v>
      </c>
      <c r="W17" s="184">
        <f t="shared" si="0"/>
        <v>1012.555068535798</v>
      </c>
      <c r="X17" s="181">
        <f t="shared" si="5"/>
        <v>10</v>
      </c>
      <c r="Y17" s="643"/>
      <c r="Z17" s="187">
        <v>3</v>
      </c>
      <c r="AA17" s="187">
        <v>3037.9952056073939</v>
      </c>
      <c r="AB17" s="184">
        <f t="shared" si="6"/>
        <v>1012.665068535798</v>
      </c>
      <c r="AC17" s="181">
        <f t="shared" si="7"/>
        <v>10</v>
      </c>
      <c r="AD17" s="643"/>
      <c r="AE17" s="187">
        <v>3</v>
      </c>
      <c r="AF17" s="187">
        <v>3038.6552056073938</v>
      </c>
      <c r="AG17" s="184">
        <f t="shared" si="8"/>
        <v>1012.8850685357979</v>
      </c>
      <c r="AH17" s="181">
        <f t="shared" si="9"/>
        <v>10</v>
      </c>
      <c r="AI17" s="643"/>
      <c r="AJ17" s="187">
        <v>3</v>
      </c>
      <c r="AK17" s="187">
        <v>3039.3152056073941</v>
      </c>
      <c r="AL17" s="184">
        <f t="shared" si="10"/>
        <v>1013.1050685357981</v>
      </c>
      <c r="AM17" s="181">
        <f t="shared" si="11"/>
        <v>10</v>
      </c>
      <c r="AN17" s="643"/>
      <c r="AO17" s="187">
        <v>3</v>
      </c>
      <c r="AP17" s="187">
        <v>3039.6452056073936</v>
      </c>
      <c r="AQ17" s="184">
        <f t="shared" si="12"/>
        <v>1013.2150685357979</v>
      </c>
      <c r="AR17" s="181">
        <f t="shared" si="13"/>
        <v>10</v>
      </c>
      <c r="AS17" s="643"/>
      <c r="AT17" s="187">
        <v>3</v>
      </c>
      <c r="AU17" s="187">
        <v>3043.8817580921791</v>
      </c>
      <c r="AV17" s="184">
        <f t="shared" si="14"/>
        <v>1014.627252697393</v>
      </c>
      <c r="AW17" s="181">
        <f t="shared" si="15"/>
        <v>10</v>
      </c>
      <c r="AX17" s="643"/>
    </row>
    <row r="18" spans="2:50" ht="14.25" customHeight="1">
      <c r="B18" s="633"/>
      <c r="C18" s="179">
        <v>12</v>
      </c>
      <c r="D18" s="182" t="s">
        <v>186</v>
      </c>
      <c r="E18" s="183">
        <v>3</v>
      </c>
      <c r="F18" s="179">
        <v>3600</v>
      </c>
      <c r="G18" s="184">
        <f t="shared" si="1"/>
        <v>1200</v>
      </c>
      <c r="H18" s="644"/>
      <c r="I18" s="185">
        <f t="shared" si="2"/>
        <v>3</v>
      </c>
      <c r="J18" s="185">
        <f t="shared" si="2"/>
        <v>3244.3447142446357</v>
      </c>
      <c r="K18" s="186">
        <f t="shared" si="2"/>
        <v>1081.4482380815452</v>
      </c>
      <c r="L18" s="645"/>
      <c r="M18" s="185">
        <f>RANK(K18, K$7:$K$43)</f>
        <v>2</v>
      </c>
      <c r="N18" s="656"/>
      <c r="O18" s="646"/>
      <c r="P18" s="187">
        <v>3</v>
      </c>
      <c r="Q18" s="187">
        <v>3242.2361428160648</v>
      </c>
      <c r="R18" s="184">
        <f t="shared" si="3"/>
        <v>1080.7453809386882</v>
      </c>
      <c r="S18" s="181">
        <f t="shared" si="4"/>
        <v>4</v>
      </c>
      <c r="T18" s="643"/>
      <c r="U18" s="187">
        <v>3</v>
      </c>
      <c r="V18" s="187">
        <v>3243.3161428160643</v>
      </c>
      <c r="W18" s="184">
        <f t="shared" si="0"/>
        <v>1081.1053809386881</v>
      </c>
      <c r="X18" s="181">
        <f t="shared" si="5"/>
        <v>2</v>
      </c>
      <c r="Y18" s="643"/>
      <c r="Z18" s="187">
        <v>3</v>
      </c>
      <c r="AA18" s="187">
        <v>3244.0361428160645</v>
      </c>
      <c r="AB18" s="184">
        <f t="shared" si="6"/>
        <v>1081.3453809386881</v>
      </c>
      <c r="AC18" s="181">
        <f t="shared" si="7"/>
        <v>2</v>
      </c>
      <c r="AD18" s="643"/>
      <c r="AE18" s="187">
        <v>3</v>
      </c>
      <c r="AF18" s="187">
        <v>3244.7561428160643</v>
      </c>
      <c r="AG18" s="184">
        <f t="shared" si="8"/>
        <v>1081.5853809386881</v>
      </c>
      <c r="AH18" s="181">
        <f t="shared" si="9"/>
        <v>3</v>
      </c>
      <c r="AI18" s="643"/>
      <c r="AJ18" s="187">
        <v>3</v>
      </c>
      <c r="AK18" s="187">
        <v>3245.116142816064</v>
      </c>
      <c r="AL18" s="184">
        <f t="shared" si="10"/>
        <v>1081.705380938688</v>
      </c>
      <c r="AM18" s="181">
        <f t="shared" si="11"/>
        <v>4</v>
      </c>
      <c r="AN18" s="643"/>
      <c r="AO18" s="187">
        <v>3</v>
      </c>
      <c r="AP18" s="187">
        <v>3245.4761428160637</v>
      </c>
      <c r="AQ18" s="184">
        <f t="shared" si="12"/>
        <v>1081.8253809386879</v>
      </c>
      <c r="AR18" s="181">
        <f t="shared" si="13"/>
        <v>4</v>
      </c>
      <c r="AS18" s="643"/>
      <c r="AT18" s="187">
        <v>3</v>
      </c>
      <c r="AU18" s="187">
        <v>3245.4761428160637</v>
      </c>
      <c r="AV18" s="184">
        <f t="shared" si="14"/>
        <v>1081.8253809386879</v>
      </c>
      <c r="AW18" s="181">
        <f t="shared" si="15"/>
        <v>4</v>
      </c>
      <c r="AX18" s="643"/>
    </row>
    <row r="19" spans="2:50" ht="14.25" customHeight="1">
      <c r="B19" s="633"/>
      <c r="C19" s="179">
        <v>13</v>
      </c>
      <c r="D19" s="182" t="s">
        <v>187</v>
      </c>
      <c r="E19" s="183">
        <v>3</v>
      </c>
      <c r="F19" s="179">
        <v>3300</v>
      </c>
      <c r="G19" s="184">
        <f t="shared" si="1"/>
        <v>1100</v>
      </c>
      <c r="H19" s="644"/>
      <c r="I19" s="185">
        <f t="shared" si="2"/>
        <v>3</v>
      </c>
      <c r="J19" s="185">
        <f t="shared" si="2"/>
        <v>3044.0250645588635</v>
      </c>
      <c r="K19" s="186">
        <f t="shared" si="2"/>
        <v>1014.6750215196209</v>
      </c>
      <c r="L19" s="645"/>
      <c r="M19" s="185">
        <f>RANK(K19, K$7:$K$43)</f>
        <v>9</v>
      </c>
      <c r="N19" s="656"/>
      <c r="O19" s="646"/>
      <c r="P19" s="187">
        <v>3</v>
      </c>
      <c r="Q19" s="187">
        <v>3041.4000668271801</v>
      </c>
      <c r="R19" s="184">
        <f t="shared" si="3"/>
        <v>1013.8000222757267</v>
      </c>
      <c r="S19" s="181">
        <f t="shared" si="4"/>
        <v>9</v>
      </c>
      <c r="T19" s="643"/>
      <c r="U19" s="187">
        <v>3</v>
      </c>
      <c r="V19" s="187">
        <v>3042.06006682718</v>
      </c>
      <c r="W19" s="184">
        <f t="shared" si="0"/>
        <v>1014.0200222757267</v>
      </c>
      <c r="X19" s="181">
        <f t="shared" si="5"/>
        <v>9</v>
      </c>
      <c r="Y19" s="643"/>
      <c r="Z19" s="187">
        <v>3</v>
      </c>
      <c r="AA19" s="187">
        <v>3042.7200668271798</v>
      </c>
      <c r="AB19" s="184">
        <f t="shared" si="6"/>
        <v>1014.2400222757266</v>
      </c>
      <c r="AC19" s="181">
        <f t="shared" si="7"/>
        <v>9</v>
      </c>
      <c r="AD19" s="643"/>
      <c r="AE19" s="187">
        <v>3</v>
      </c>
      <c r="AF19" s="187">
        <v>3044.6738128576258</v>
      </c>
      <c r="AG19" s="184">
        <f t="shared" si="8"/>
        <v>1014.891270952542</v>
      </c>
      <c r="AH19" s="181">
        <f t="shared" si="9"/>
        <v>9</v>
      </c>
      <c r="AI19" s="643"/>
      <c r="AJ19" s="187">
        <v>3</v>
      </c>
      <c r="AK19" s="187">
        <v>3045.3338128576256</v>
      </c>
      <c r="AL19" s="184">
        <f t="shared" si="10"/>
        <v>1015.1112709525419</v>
      </c>
      <c r="AM19" s="181">
        <f t="shared" si="11"/>
        <v>9</v>
      </c>
      <c r="AN19" s="643"/>
      <c r="AO19" s="187">
        <v>3</v>
      </c>
      <c r="AP19" s="187">
        <v>3045.6638128576251</v>
      </c>
      <c r="AQ19" s="184">
        <f t="shared" si="12"/>
        <v>1015.2212709525417</v>
      </c>
      <c r="AR19" s="181">
        <f t="shared" si="13"/>
        <v>9</v>
      </c>
      <c r="AS19" s="643"/>
      <c r="AT19" s="187">
        <v>3</v>
      </c>
      <c r="AU19" s="187">
        <v>3046.3238128576249</v>
      </c>
      <c r="AV19" s="184">
        <f t="shared" si="14"/>
        <v>1015.4412709525417</v>
      </c>
      <c r="AW19" s="181">
        <f t="shared" si="15"/>
        <v>9</v>
      </c>
      <c r="AX19" s="643"/>
    </row>
    <row r="20" spans="2:50" ht="14.25" customHeight="1">
      <c r="B20" s="633"/>
      <c r="C20" s="179">
        <v>14</v>
      </c>
      <c r="D20" s="182" t="s">
        <v>188</v>
      </c>
      <c r="E20" s="183">
        <v>4</v>
      </c>
      <c r="F20" s="179">
        <v>3300</v>
      </c>
      <c r="G20" s="184">
        <f t="shared" si="1"/>
        <v>825</v>
      </c>
      <c r="H20" s="644"/>
      <c r="I20" s="185">
        <f t="shared" si="2"/>
        <v>4</v>
      </c>
      <c r="J20" s="185">
        <f t="shared" si="2"/>
        <v>3044.9934976697709</v>
      </c>
      <c r="K20" s="186">
        <f t="shared" si="2"/>
        <v>761.24837441744273</v>
      </c>
      <c r="L20" s="645"/>
      <c r="M20" s="185">
        <f>RANK(K20, K$7:$K$43)</f>
        <v>20</v>
      </c>
      <c r="N20" s="656"/>
      <c r="O20" s="646"/>
      <c r="P20" s="187">
        <v>4</v>
      </c>
      <c r="Q20" s="187">
        <v>3042.7933201489072</v>
      </c>
      <c r="R20" s="184">
        <f t="shared" si="3"/>
        <v>760.69833003722681</v>
      </c>
      <c r="S20" s="181">
        <f t="shared" si="4"/>
        <v>16</v>
      </c>
      <c r="T20" s="643"/>
      <c r="U20" s="187">
        <v>4</v>
      </c>
      <c r="V20" s="187">
        <v>3042.7933201489077</v>
      </c>
      <c r="W20" s="184">
        <f t="shared" si="0"/>
        <v>760.69833003722692</v>
      </c>
      <c r="X20" s="181">
        <f t="shared" si="5"/>
        <v>20</v>
      </c>
      <c r="Y20" s="643"/>
      <c r="Z20" s="187">
        <v>4</v>
      </c>
      <c r="AA20" s="187">
        <v>3043.783320148907</v>
      </c>
      <c r="AB20" s="184">
        <f t="shared" si="6"/>
        <v>760.94583003722676</v>
      </c>
      <c r="AC20" s="181">
        <f t="shared" si="7"/>
        <v>20</v>
      </c>
      <c r="AD20" s="643"/>
      <c r="AE20" s="187">
        <v>4</v>
      </c>
      <c r="AF20" s="187">
        <v>3046.9475125802214</v>
      </c>
      <c r="AG20" s="184">
        <f t="shared" si="8"/>
        <v>761.73687814505536</v>
      </c>
      <c r="AH20" s="181">
        <f t="shared" si="9"/>
        <v>20</v>
      </c>
      <c r="AI20" s="643"/>
      <c r="AJ20" s="187">
        <v>4</v>
      </c>
      <c r="AK20" s="187">
        <v>3045.7723368871511</v>
      </c>
      <c r="AL20" s="184">
        <f t="shared" si="10"/>
        <v>761.44308422178779</v>
      </c>
      <c r="AM20" s="181">
        <f t="shared" si="11"/>
        <v>20</v>
      </c>
      <c r="AN20" s="643"/>
      <c r="AO20" s="187">
        <v>4</v>
      </c>
      <c r="AP20" s="187">
        <v>3046.432336887151</v>
      </c>
      <c r="AQ20" s="184">
        <f t="shared" si="12"/>
        <v>761.60808422178775</v>
      </c>
      <c r="AR20" s="181">
        <f t="shared" si="13"/>
        <v>20</v>
      </c>
      <c r="AS20" s="643"/>
      <c r="AT20" s="187">
        <v>4</v>
      </c>
      <c r="AU20" s="187">
        <v>3046.432336887151</v>
      </c>
      <c r="AV20" s="184">
        <f t="shared" si="14"/>
        <v>761.60808422178775</v>
      </c>
      <c r="AW20" s="181">
        <f t="shared" si="15"/>
        <v>20</v>
      </c>
      <c r="AX20" s="643"/>
    </row>
    <row r="21" spans="2:50" ht="14.25" customHeight="1">
      <c r="B21" s="633"/>
      <c r="C21" s="179">
        <v>15</v>
      </c>
      <c r="D21" s="182" t="s">
        <v>189</v>
      </c>
      <c r="E21" s="183">
        <v>5</v>
      </c>
      <c r="F21" s="179">
        <v>3600</v>
      </c>
      <c r="G21" s="184">
        <f t="shared" si="1"/>
        <v>720</v>
      </c>
      <c r="H21" s="644"/>
      <c r="I21" s="185">
        <f t="shared" si="2"/>
        <v>5</v>
      </c>
      <c r="J21" s="185">
        <f t="shared" si="2"/>
        <v>3241.1007949899272</v>
      </c>
      <c r="K21" s="186">
        <f t="shared" si="2"/>
        <v>648.22015899798555</v>
      </c>
      <c r="L21" s="645"/>
      <c r="M21" s="185">
        <f>RANK(K21, K$7:$K$43)</f>
        <v>32</v>
      </c>
      <c r="N21" s="656"/>
      <c r="O21" s="646"/>
      <c r="P21" s="187">
        <v>5</v>
      </c>
      <c r="Q21" s="187">
        <v>3238.6512900593175</v>
      </c>
      <c r="R21" s="184">
        <f t="shared" si="3"/>
        <v>647.7302580118635</v>
      </c>
      <c r="S21" s="181">
        <f t="shared" si="4"/>
        <v>32</v>
      </c>
      <c r="T21" s="643"/>
      <c r="U21" s="187">
        <v>5</v>
      </c>
      <c r="V21" s="187">
        <v>3239.3712900593173</v>
      </c>
      <c r="W21" s="184">
        <f t="shared" si="0"/>
        <v>647.8742580118635</v>
      </c>
      <c r="X21" s="181">
        <f t="shared" si="5"/>
        <v>31</v>
      </c>
      <c r="Y21" s="643"/>
      <c r="Z21" s="187">
        <v>5</v>
      </c>
      <c r="AA21" s="187">
        <v>3239.731290059317</v>
      </c>
      <c r="AB21" s="184">
        <f t="shared" si="6"/>
        <v>647.94625801186339</v>
      </c>
      <c r="AC21" s="181">
        <f t="shared" si="7"/>
        <v>31</v>
      </c>
      <c r="AD21" s="643"/>
      <c r="AE21" s="187">
        <v>5</v>
      </c>
      <c r="AF21" s="187">
        <v>3240.0912900593162</v>
      </c>
      <c r="AG21" s="184">
        <f t="shared" si="8"/>
        <v>648.01825801186328</v>
      </c>
      <c r="AH21" s="181">
        <f t="shared" si="9"/>
        <v>31</v>
      </c>
      <c r="AI21" s="643"/>
      <c r="AJ21" s="187">
        <v>5</v>
      </c>
      <c r="AK21" s="187">
        <v>3242.9268015640741</v>
      </c>
      <c r="AL21" s="184">
        <f t="shared" si="10"/>
        <v>648.58536031281483</v>
      </c>
      <c r="AM21" s="181">
        <f t="shared" si="11"/>
        <v>31</v>
      </c>
      <c r="AN21" s="643"/>
      <c r="AO21" s="187">
        <v>5</v>
      </c>
      <c r="AP21" s="187">
        <v>3243.2868015640743</v>
      </c>
      <c r="AQ21" s="184">
        <f t="shared" si="12"/>
        <v>648.65736031281483</v>
      </c>
      <c r="AR21" s="181">
        <f t="shared" si="13"/>
        <v>31</v>
      </c>
      <c r="AS21" s="643"/>
      <c r="AT21" s="187">
        <v>5</v>
      </c>
      <c r="AU21" s="187">
        <v>3243.6468015640739</v>
      </c>
      <c r="AV21" s="184">
        <f t="shared" si="14"/>
        <v>648.72936031281483</v>
      </c>
      <c r="AW21" s="181">
        <f t="shared" si="15"/>
        <v>31</v>
      </c>
      <c r="AX21" s="643"/>
    </row>
    <row r="22" spans="2:50" ht="14.25" customHeight="1">
      <c r="B22" s="633"/>
      <c r="C22" s="179">
        <v>16</v>
      </c>
      <c r="D22" s="182" t="s">
        <v>190</v>
      </c>
      <c r="E22" s="183">
        <v>5</v>
      </c>
      <c r="F22" s="179">
        <v>3300</v>
      </c>
      <c r="G22" s="184">
        <f t="shared" si="1"/>
        <v>660</v>
      </c>
      <c r="H22" s="644"/>
      <c r="I22" s="185">
        <f t="shared" si="2"/>
        <v>5</v>
      </c>
      <c r="J22" s="185">
        <f t="shared" si="2"/>
        <v>3041.1423682271347</v>
      </c>
      <c r="K22" s="186">
        <f t="shared" si="2"/>
        <v>608.22847364542702</v>
      </c>
      <c r="L22" s="645"/>
      <c r="M22" s="185">
        <f>RANK(K22, K$7:$K$43)</f>
        <v>34</v>
      </c>
      <c r="N22" s="656"/>
      <c r="O22" s="646"/>
      <c r="P22" s="187">
        <v>5</v>
      </c>
      <c r="Q22" s="187">
        <v>3038.5272737795567</v>
      </c>
      <c r="R22" s="184">
        <f t="shared" si="3"/>
        <v>607.70545475591132</v>
      </c>
      <c r="S22" s="181">
        <f t="shared" si="4"/>
        <v>34</v>
      </c>
      <c r="T22" s="643"/>
      <c r="U22" s="187">
        <v>5</v>
      </c>
      <c r="V22" s="187">
        <v>3038.8572737795566</v>
      </c>
      <c r="W22" s="184">
        <f t="shared" si="0"/>
        <v>607.77145475591135</v>
      </c>
      <c r="X22" s="181">
        <f t="shared" si="5"/>
        <v>33</v>
      </c>
      <c r="Y22" s="643"/>
      <c r="Z22" s="187">
        <v>5</v>
      </c>
      <c r="AA22" s="187">
        <v>3039.8472737795569</v>
      </c>
      <c r="AB22" s="184">
        <f t="shared" si="6"/>
        <v>607.96945475591133</v>
      </c>
      <c r="AC22" s="181">
        <f t="shared" si="7"/>
        <v>33</v>
      </c>
      <c r="AD22" s="643"/>
      <c r="AE22" s="187">
        <v>5</v>
      </c>
      <c r="AF22" s="187">
        <v>3039.8472737795569</v>
      </c>
      <c r="AG22" s="184">
        <f t="shared" si="8"/>
        <v>607.96945475591133</v>
      </c>
      <c r="AH22" s="181">
        <f t="shared" si="9"/>
        <v>33</v>
      </c>
      <c r="AI22" s="643"/>
      <c r="AJ22" s="187">
        <v>5</v>
      </c>
      <c r="AK22" s="187">
        <v>3043.1991608239064</v>
      </c>
      <c r="AL22" s="184">
        <f t="shared" si="10"/>
        <v>608.6398321647813</v>
      </c>
      <c r="AM22" s="181">
        <f t="shared" si="11"/>
        <v>32</v>
      </c>
      <c r="AN22" s="643"/>
      <c r="AO22" s="187">
        <v>5</v>
      </c>
      <c r="AP22" s="187">
        <v>3043.5291608239063</v>
      </c>
      <c r="AQ22" s="184">
        <f t="shared" si="12"/>
        <v>608.70583216478121</v>
      </c>
      <c r="AR22" s="181">
        <f t="shared" si="13"/>
        <v>32</v>
      </c>
      <c r="AS22" s="643"/>
      <c r="AT22" s="187">
        <v>5</v>
      </c>
      <c r="AU22" s="187">
        <v>3044.1891608239057</v>
      </c>
      <c r="AV22" s="184">
        <f t="shared" si="14"/>
        <v>608.83783216478116</v>
      </c>
      <c r="AW22" s="181">
        <f t="shared" si="15"/>
        <v>32</v>
      </c>
      <c r="AX22" s="643"/>
    </row>
    <row r="23" spans="2:50" ht="14.25" customHeight="1">
      <c r="B23" s="633"/>
      <c r="C23" s="179">
        <v>17</v>
      </c>
      <c r="D23" s="182" t="s">
        <v>191</v>
      </c>
      <c r="E23" s="183">
        <v>4</v>
      </c>
      <c r="F23" s="179">
        <v>3600</v>
      </c>
      <c r="G23" s="184">
        <f t="shared" si="1"/>
        <v>900</v>
      </c>
      <c r="H23" s="644"/>
      <c r="I23" s="185">
        <f t="shared" si="2"/>
        <v>4</v>
      </c>
      <c r="J23" s="185">
        <f t="shared" si="2"/>
        <v>3153.9952476102362</v>
      </c>
      <c r="K23" s="186">
        <f t="shared" si="2"/>
        <v>788.49881190255905</v>
      </c>
      <c r="L23" s="645"/>
      <c r="M23" s="185">
        <f>RANK(K23, K$7:$K$43)</f>
        <v>19</v>
      </c>
      <c r="N23" s="656"/>
      <c r="O23" s="646"/>
      <c r="P23" s="187">
        <v>4</v>
      </c>
      <c r="Q23" s="187">
        <v>2992</v>
      </c>
      <c r="R23" s="184">
        <f t="shared" si="3"/>
        <v>748</v>
      </c>
      <c r="S23" s="181">
        <f t="shared" si="4"/>
        <v>22</v>
      </c>
      <c r="T23" s="643"/>
      <c r="U23" s="187">
        <v>4</v>
      </c>
      <c r="V23" s="187">
        <v>3051.84</v>
      </c>
      <c r="W23" s="184">
        <f t="shared" si="0"/>
        <v>762.96</v>
      </c>
      <c r="X23" s="181">
        <f t="shared" si="5"/>
        <v>19</v>
      </c>
      <c r="Y23" s="643"/>
      <c r="Z23" s="187">
        <v>4</v>
      </c>
      <c r="AA23" s="187">
        <v>3116.3263116634375</v>
      </c>
      <c r="AB23" s="184">
        <f t="shared" si="6"/>
        <v>779.08157791585938</v>
      </c>
      <c r="AC23" s="181">
        <f t="shared" si="7"/>
        <v>19</v>
      </c>
      <c r="AD23" s="643"/>
      <c r="AE23" s="187">
        <v>4</v>
      </c>
      <c r="AF23" s="187">
        <v>3185.9892505200332</v>
      </c>
      <c r="AG23" s="184">
        <f t="shared" si="8"/>
        <v>796.49731263000831</v>
      </c>
      <c r="AH23" s="181">
        <f t="shared" si="9"/>
        <v>19</v>
      </c>
      <c r="AI23" s="643"/>
      <c r="AJ23" s="187">
        <v>4</v>
      </c>
      <c r="AK23" s="187">
        <v>3243.3370570293937</v>
      </c>
      <c r="AL23" s="184">
        <f t="shared" si="10"/>
        <v>810.83426425734842</v>
      </c>
      <c r="AM23" s="181">
        <f t="shared" si="11"/>
        <v>19</v>
      </c>
      <c r="AN23" s="643"/>
      <c r="AO23" s="187">
        <v>4</v>
      </c>
      <c r="AP23" s="187">
        <v>3243.6970570293934</v>
      </c>
      <c r="AQ23" s="184">
        <f t="shared" si="12"/>
        <v>810.92426425734834</v>
      </c>
      <c r="AR23" s="181">
        <f t="shared" si="13"/>
        <v>19</v>
      </c>
      <c r="AS23" s="643"/>
      <c r="AT23" s="187">
        <v>4</v>
      </c>
      <c r="AU23" s="187">
        <v>3244.7770570293933</v>
      </c>
      <c r="AV23" s="184">
        <f t="shared" si="14"/>
        <v>811.19426425734832</v>
      </c>
      <c r="AW23" s="181">
        <f t="shared" si="15"/>
        <v>19</v>
      </c>
      <c r="AX23" s="643"/>
    </row>
    <row r="24" spans="2:50" ht="14.25" customHeight="1">
      <c r="B24" s="633"/>
      <c r="C24" s="179">
        <v>18</v>
      </c>
      <c r="D24" s="182" t="s">
        <v>192</v>
      </c>
      <c r="E24" s="183">
        <v>4</v>
      </c>
      <c r="F24" s="179">
        <v>3600</v>
      </c>
      <c r="G24" s="184">
        <f t="shared" si="1"/>
        <v>900</v>
      </c>
      <c r="H24" s="644"/>
      <c r="I24" s="185">
        <f t="shared" si="2"/>
        <v>4</v>
      </c>
      <c r="J24" s="185">
        <f t="shared" si="2"/>
        <v>3159.6002285990858</v>
      </c>
      <c r="K24" s="186">
        <f t="shared" si="2"/>
        <v>789.90005714977144</v>
      </c>
      <c r="L24" s="645"/>
      <c r="M24" s="185">
        <f>RANK(K24, K$7:$K$43)</f>
        <v>18</v>
      </c>
      <c r="N24" s="656"/>
      <c r="O24" s="646"/>
      <c r="P24" s="187">
        <v>4</v>
      </c>
      <c r="Q24" s="187">
        <v>2995</v>
      </c>
      <c r="R24" s="184">
        <f t="shared" si="3"/>
        <v>748.75</v>
      </c>
      <c r="S24" s="181">
        <f t="shared" si="4"/>
        <v>21</v>
      </c>
      <c r="T24" s="643"/>
      <c r="U24" s="187">
        <v>4</v>
      </c>
      <c r="V24" s="187">
        <v>3055.6344000000008</v>
      </c>
      <c r="W24" s="184">
        <f t="shared" si="0"/>
        <v>763.90860000000021</v>
      </c>
      <c r="X24" s="181">
        <f t="shared" si="5"/>
        <v>18</v>
      </c>
      <c r="Y24" s="643"/>
      <c r="Z24" s="187">
        <v>4</v>
      </c>
      <c r="AA24" s="187">
        <v>3123.2862419560784</v>
      </c>
      <c r="AB24" s="184">
        <f t="shared" si="6"/>
        <v>780.82156048901959</v>
      </c>
      <c r="AC24" s="181">
        <f t="shared" si="7"/>
        <v>18</v>
      </c>
      <c r="AD24" s="643"/>
      <c r="AE24" s="187">
        <v>4</v>
      </c>
      <c r="AF24" s="187">
        <v>3191.9985392791118</v>
      </c>
      <c r="AG24" s="184">
        <f t="shared" si="8"/>
        <v>797.99963481977795</v>
      </c>
      <c r="AH24" s="181">
        <f t="shared" si="9"/>
        <v>18</v>
      </c>
      <c r="AI24" s="643"/>
      <c r="AJ24" s="187">
        <v>4</v>
      </c>
      <c r="AK24" s="187">
        <v>3250.1874729861365</v>
      </c>
      <c r="AL24" s="184">
        <f t="shared" si="10"/>
        <v>812.54686824653413</v>
      </c>
      <c r="AM24" s="181">
        <f t="shared" si="11"/>
        <v>14</v>
      </c>
      <c r="AN24" s="643"/>
      <c r="AO24" s="187">
        <v>4</v>
      </c>
      <c r="AP24" s="187">
        <v>3250.5474729861362</v>
      </c>
      <c r="AQ24" s="184">
        <f t="shared" si="12"/>
        <v>812.63686824653405</v>
      </c>
      <c r="AR24" s="181">
        <f t="shared" si="13"/>
        <v>14</v>
      </c>
      <c r="AS24" s="643"/>
      <c r="AT24" s="187">
        <v>4</v>
      </c>
      <c r="AU24" s="187">
        <v>3250.5474729861362</v>
      </c>
      <c r="AV24" s="184">
        <f t="shared" si="14"/>
        <v>812.63686824653405</v>
      </c>
      <c r="AW24" s="181">
        <f t="shared" si="15"/>
        <v>14</v>
      </c>
      <c r="AX24" s="643"/>
    </row>
    <row r="25" spans="2:50" ht="14.25" customHeight="1">
      <c r="B25" s="633"/>
      <c r="C25" s="179">
        <v>19</v>
      </c>
      <c r="D25" s="182" t="s">
        <v>193</v>
      </c>
      <c r="E25" s="183">
        <v>5</v>
      </c>
      <c r="F25" s="179">
        <v>3600</v>
      </c>
      <c r="G25" s="184">
        <f t="shared" si="1"/>
        <v>720</v>
      </c>
      <c r="H25" s="644"/>
      <c r="I25" s="185">
        <f t="shared" si="2"/>
        <v>5</v>
      </c>
      <c r="J25" s="185">
        <f t="shared" si="2"/>
        <v>3245.1720491456094</v>
      </c>
      <c r="K25" s="186">
        <f t="shared" si="2"/>
        <v>649.03440982912184</v>
      </c>
      <c r="L25" s="645"/>
      <c r="M25" s="185">
        <f>RANK(K25, K$7:$K$43)</f>
        <v>30</v>
      </c>
      <c r="N25" s="656"/>
      <c r="O25" s="646"/>
      <c r="P25" s="187">
        <v>5</v>
      </c>
      <c r="Q25" s="187">
        <v>3240.3688705715363</v>
      </c>
      <c r="R25" s="184">
        <f t="shared" si="3"/>
        <v>648.0737741143073</v>
      </c>
      <c r="S25" s="181">
        <f t="shared" si="4"/>
        <v>30</v>
      </c>
      <c r="T25" s="643"/>
      <c r="U25" s="187">
        <v>5</v>
      </c>
      <c r="V25" s="187">
        <v>3242.3360250357982</v>
      </c>
      <c r="W25" s="184">
        <f t="shared" si="0"/>
        <v>648.46720500715969</v>
      </c>
      <c r="X25" s="181">
        <f t="shared" si="5"/>
        <v>29</v>
      </c>
      <c r="Y25" s="643"/>
      <c r="Z25" s="187">
        <v>5</v>
      </c>
      <c r="AA25" s="187">
        <v>3242.6960250357979</v>
      </c>
      <c r="AB25" s="184">
        <f t="shared" si="6"/>
        <v>648.53920500715958</v>
      </c>
      <c r="AC25" s="181">
        <f t="shared" si="7"/>
        <v>29</v>
      </c>
      <c r="AD25" s="643"/>
      <c r="AE25" s="187">
        <v>5</v>
      </c>
      <c r="AF25" s="187">
        <v>3245.6137487611513</v>
      </c>
      <c r="AG25" s="184">
        <f t="shared" si="8"/>
        <v>649.12274975223022</v>
      </c>
      <c r="AH25" s="181">
        <f t="shared" si="9"/>
        <v>28</v>
      </c>
      <c r="AI25" s="643"/>
      <c r="AJ25" s="187">
        <v>5</v>
      </c>
      <c r="AK25" s="187">
        <v>3247.4692580255983</v>
      </c>
      <c r="AL25" s="184">
        <f t="shared" si="10"/>
        <v>649.49385160511963</v>
      </c>
      <c r="AM25" s="181">
        <f t="shared" si="11"/>
        <v>26</v>
      </c>
      <c r="AN25" s="643"/>
      <c r="AO25" s="187">
        <v>5</v>
      </c>
      <c r="AP25" s="187">
        <v>3248.8602082946909</v>
      </c>
      <c r="AQ25" s="184">
        <f t="shared" si="12"/>
        <v>649.77204165893818</v>
      </c>
      <c r="AR25" s="181">
        <f t="shared" si="13"/>
        <v>26</v>
      </c>
      <c r="AS25" s="643"/>
      <c r="AT25" s="187">
        <v>5</v>
      </c>
      <c r="AU25" s="187">
        <v>3248.8602082946909</v>
      </c>
      <c r="AV25" s="184">
        <f t="shared" si="14"/>
        <v>649.77204165893818</v>
      </c>
      <c r="AW25" s="181">
        <f t="shared" si="15"/>
        <v>26</v>
      </c>
      <c r="AX25" s="643"/>
    </row>
    <row r="26" spans="2:50" ht="14.25" customHeight="1">
      <c r="B26" s="633"/>
      <c r="C26" s="179">
        <v>20</v>
      </c>
      <c r="D26" s="182" t="s">
        <v>194</v>
      </c>
      <c r="E26" s="183">
        <v>3</v>
      </c>
      <c r="F26" s="179">
        <v>3600</v>
      </c>
      <c r="G26" s="184">
        <f t="shared" si="1"/>
        <v>1200</v>
      </c>
      <c r="H26" s="644"/>
      <c r="I26" s="185">
        <f t="shared" si="2"/>
        <v>3</v>
      </c>
      <c r="J26" s="185">
        <f t="shared" si="2"/>
        <v>3243.8402617645584</v>
      </c>
      <c r="K26" s="186">
        <f t="shared" si="2"/>
        <v>1081.2800872548528</v>
      </c>
      <c r="L26" s="645"/>
      <c r="M26" s="185">
        <f>RANK(K26, K$7:$K$43)</f>
        <v>4</v>
      </c>
      <c r="N26" s="656"/>
      <c r="O26" s="646"/>
      <c r="P26" s="187">
        <v>3</v>
      </c>
      <c r="Q26" s="187">
        <v>3241.6593003762991</v>
      </c>
      <c r="R26" s="184">
        <f t="shared" si="3"/>
        <v>1080.553100125433</v>
      </c>
      <c r="S26" s="181">
        <f t="shared" si="4"/>
        <v>5</v>
      </c>
      <c r="T26" s="643"/>
      <c r="U26" s="187">
        <v>3</v>
      </c>
      <c r="V26" s="187">
        <v>3240.7880964494152</v>
      </c>
      <c r="W26" s="184">
        <f t="shared" si="0"/>
        <v>1080.2626988164718</v>
      </c>
      <c r="X26" s="181">
        <f t="shared" si="5"/>
        <v>6</v>
      </c>
      <c r="Y26" s="643"/>
      <c r="Z26" s="187">
        <v>3</v>
      </c>
      <c r="AA26" s="187">
        <v>3241.8680964494151</v>
      </c>
      <c r="AB26" s="184">
        <f t="shared" si="6"/>
        <v>1080.6226988164717</v>
      </c>
      <c r="AC26" s="181">
        <f t="shared" si="7"/>
        <v>5</v>
      </c>
      <c r="AD26" s="643"/>
      <c r="AE26" s="187">
        <v>3</v>
      </c>
      <c r="AF26" s="187">
        <v>3242.2280964494157</v>
      </c>
      <c r="AG26" s="184">
        <f t="shared" si="8"/>
        <v>1080.7426988164718</v>
      </c>
      <c r="AH26" s="181">
        <f t="shared" si="9"/>
        <v>6</v>
      </c>
      <c r="AI26" s="643"/>
      <c r="AJ26" s="187">
        <v>3</v>
      </c>
      <c r="AK26" s="187">
        <v>3245.9013388538833</v>
      </c>
      <c r="AL26" s="184">
        <f t="shared" si="10"/>
        <v>1081.9671129512944</v>
      </c>
      <c r="AM26" s="181">
        <f t="shared" si="11"/>
        <v>3</v>
      </c>
      <c r="AN26" s="643"/>
      <c r="AO26" s="187">
        <v>3</v>
      </c>
      <c r="AP26" s="187">
        <v>3247.0384518867386</v>
      </c>
      <c r="AQ26" s="184">
        <f t="shared" si="12"/>
        <v>1082.3461506289129</v>
      </c>
      <c r="AR26" s="181">
        <f t="shared" si="13"/>
        <v>2</v>
      </c>
      <c r="AS26" s="643"/>
      <c r="AT26" s="187">
        <v>3</v>
      </c>
      <c r="AU26" s="187">
        <v>3247.3984518867387</v>
      </c>
      <c r="AV26" s="184">
        <f t="shared" si="14"/>
        <v>1082.4661506289128</v>
      </c>
      <c r="AW26" s="181">
        <f t="shared" si="15"/>
        <v>3</v>
      </c>
      <c r="AX26" s="643"/>
    </row>
    <row r="27" spans="2:50" ht="14.25" customHeight="1">
      <c r="B27" s="633"/>
      <c r="C27" s="179">
        <v>21</v>
      </c>
      <c r="D27" s="182" t="s">
        <v>195</v>
      </c>
      <c r="E27" s="183">
        <v>4</v>
      </c>
      <c r="F27" s="179">
        <v>3300</v>
      </c>
      <c r="G27" s="184">
        <f t="shared" si="1"/>
        <v>825</v>
      </c>
      <c r="H27" s="644"/>
      <c r="I27" s="185">
        <f t="shared" si="2"/>
        <v>4</v>
      </c>
      <c r="J27" s="185">
        <f t="shared" si="2"/>
        <v>3040.0404734053795</v>
      </c>
      <c r="K27" s="186">
        <f t="shared" si="2"/>
        <v>760.01011835134489</v>
      </c>
      <c r="L27" s="645"/>
      <c r="M27" s="185">
        <f>RANK(K27, K$7:$K$43)</f>
        <v>21</v>
      </c>
      <c r="N27" s="656"/>
      <c r="O27" s="646"/>
      <c r="P27" s="187">
        <v>4</v>
      </c>
      <c r="Q27" s="187">
        <v>3037.284535023713</v>
      </c>
      <c r="R27" s="184">
        <f t="shared" si="3"/>
        <v>759.32113375592826</v>
      </c>
      <c r="S27" s="181">
        <f t="shared" si="4"/>
        <v>17</v>
      </c>
      <c r="T27" s="643"/>
      <c r="U27" s="187">
        <v>4</v>
      </c>
      <c r="V27" s="187">
        <v>3037.6145350237125</v>
      </c>
      <c r="W27" s="184">
        <f t="shared" si="0"/>
        <v>759.40363375592813</v>
      </c>
      <c r="X27" s="181">
        <f t="shared" si="5"/>
        <v>21</v>
      </c>
      <c r="Y27" s="643"/>
      <c r="Z27" s="187">
        <v>4</v>
      </c>
      <c r="AA27" s="187">
        <v>3037.9445350237129</v>
      </c>
      <c r="AB27" s="184">
        <f t="shared" si="6"/>
        <v>759.48613375592822</v>
      </c>
      <c r="AC27" s="181">
        <f t="shared" si="7"/>
        <v>22</v>
      </c>
      <c r="AD27" s="643"/>
      <c r="AE27" s="187">
        <v>4</v>
      </c>
      <c r="AF27" s="187">
        <v>3038.6045350237132</v>
      </c>
      <c r="AG27" s="184">
        <f t="shared" si="8"/>
        <v>759.6511337559283</v>
      </c>
      <c r="AH27" s="181">
        <f t="shared" si="9"/>
        <v>22</v>
      </c>
      <c r="AI27" s="643"/>
      <c r="AJ27" s="187">
        <v>4</v>
      </c>
      <c r="AK27" s="187">
        <v>3041.4441058979342</v>
      </c>
      <c r="AL27" s="184">
        <f t="shared" si="10"/>
        <v>760.36102647448354</v>
      </c>
      <c r="AM27" s="181">
        <f t="shared" si="11"/>
        <v>21</v>
      </c>
      <c r="AN27" s="643"/>
      <c r="AO27" s="187">
        <v>4</v>
      </c>
      <c r="AP27" s="187">
        <v>3042.104105897934</v>
      </c>
      <c r="AQ27" s="184">
        <f t="shared" si="12"/>
        <v>760.5260264744835</v>
      </c>
      <c r="AR27" s="181">
        <f t="shared" si="13"/>
        <v>21</v>
      </c>
      <c r="AS27" s="643"/>
      <c r="AT27" s="187">
        <v>4</v>
      </c>
      <c r="AU27" s="187">
        <v>3045.2869619469343</v>
      </c>
      <c r="AV27" s="184">
        <f t="shared" si="14"/>
        <v>761.32174048673357</v>
      </c>
      <c r="AW27" s="181">
        <f t="shared" si="15"/>
        <v>21</v>
      </c>
      <c r="AX27" s="643"/>
    </row>
    <row r="28" spans="2:50" ht="14.25" customHeight="1">
      <c r="B28" s="633"/>
      <c r="C28" s="179">
        <v>22</v>
      </c>
      <c r="D28" s="182" t="s">
        <v>196</v>
      </c>
      <c r="E28" s="183">
        <v>3</v>
      </c>
      <c r="F28" s="179">
        <v>3600</v>
      </c>
      <c r="G28" s="184">
        <f t="shared" si="1"/>
        <v>1200</v>
      </c>
      <c r="H28" s="644"/>
      <c r="I28" s="185">
        <f t="shared" si="2"/>
        <v>3</v>
      </c>
      <c r="J28" s="185">
        <f t="shared" si="2"/>
        <v>3245.9634114390851</v>
      </c>
      <c r="K28" s="186">
        <f t="shared" si="2"/>
        <v>1081.987803813028</v>
      </c>
      <c r="L28" s="645"/>
      <c r="M28" s="185">
        <f>RANK(K28, K$7:$K$43)</f>
        <v>1</v>
      </c>
      <c r="N28" s="656"/>
      <c r="O28" s="646"/>
      <c r="P28" s="187">
        <v>3</v>
      </c>
      <c r="Q28" s="187">
        <v>3244.1634114390849</v>
      </c>
      <c r="R28" s="184">
        <f t="shared" si="3"/>
        <v>1081.3878038130283</v>
      </c>
      <c r="S28" s="181">
        <f t="shared" si="4"/>
        <v>1</v>
      </c>
      <c r="T28" s="643"/>
      <c r="U28" s="187">
        <v>3</v>
      </c>
      <c r="V28" s="187">
        <v>3244.8834114390847</v>
      </c>
      <c r="W28" s="184">
        <f t="shared" si="0"/>
        <v>1081.6278038130283</v>
      </c>
      <c r="X28" s="181">
        <f t="shared" si="5"/>
        <v>1</v>
      </c>
      <c r="Y28" s="643"/>
      <c r="Z28" s="187">
        <v>3</v>
      </c>
      <c r="AA28" s="187">
        <v>3245.2434114390849</v>
      </c>
      <c r="AB28" s="184">
        <f t="shared" si="6"/>
        <v>1081.7478038130282</v>
      </c>
      <c r="AC28" s="181">
        <f t="shared" si="7"/>
        <v>1</v>
      </c>
      <c r="AD28" s="643"/>
      <c r="AE28" s="187">
        <v>3</v>
      </c>
      <c r="AF28" s="187">
        <v>3245.9634114390838</v>
      </c>
      <c r="AG28" s="184">
        <f t="shared" si="8"/>
        <v>1081.987803813028</v>
      </c>
      <c r="AH28" s="181">
        <f t="shared" si="9"/>
        <v>1</v>
      </c>
      <c r="AI28" s="643"/>
      <c r="AJ28" s="187">
        <v>3</v>
      </c>
      <c r="AK28" s="187">
        <v>3247.0434114390837</v>
      </c>
      <c r="AL28" s="184">
        <f t="shared" si="10"/>
        <v>1082.3478038130279</v>
      </c>
      <c r="AM28" s="181">
        <f t="shared" si="11"/>
        <v>1</v>
      </c>
      <c r="AN28" s="643"/>
      <c r="AO28" s="187">
        <v>3</v>
      </c>
      <c r="AP28" s="187">
        <v>3247.0434114390846</v>
      </c>
      <c r="AQ28" s="184">
        <f t="shared" si="12"/>
        <v>1082.3478038130281</v>
      </c>
      <c r="AR28" s="181">
        <f t="shared" si="13"/>
        <v>1</v>
      </c>
      <c r="AS28" s="643"/>
      <c r="AT28" s="187">
        <v>3</v>
      </c>
      <c r="AU28" s="187">
        <v>3247.4034114390843</v>
      </c>
      <c r="AV28" s="184">
        <f t="shared" si="14"/>
        <v>1082.467803813028</v>
      </c>
      <c r="AW28" s="181">
        <f t="shared" si="15"/>
        <v>2</v>
      </c>
      <c r="AX28" s="643"/>
    </row>
    <row r="29" spans="2:50" ht="14.25" customHeight="1">
      <c r="B29" s="633"/>
      <c r="C29" s="179">
        <v>23</v>
      </c>
      <c r="D29" s="182" t="s">
        <v>197</v>
      </c>
      <c r="E29" s="183">
        <v>4</v>
      </c>
      <c r="F29" s="179">
        <v>3600</v>
      </c>
      <c r="G29" s="184">
        <f t="shared" si="1"/>
        <v>900</v>
      </c>
      <c r="H29" s="644"/>
      <c r="I29" s="185">
        <f t="shared" si="2"/>
        <v>4</v>
      </c>
      <c r="J29" s="185">
        <f t="shared" si="2"/>
        <v>3246.08555943496</v>
      </c>
      <c r="K29" s="186">
        <f t="shared" si="2"/>
        <v>811.52138985874001</v>
      </c>
      <c r="L29" s="645"/>
      <c r="M29" s="185">
        <f>RANK(K29, K$7:$K$43)</f>
        <v>14</v>
      </c>
      <c r="N29" s="656"/>
      <c r="O29" s="646"/>
      <c r="P29" s="187">
        <v>4</v>
      </c>
      <c r="Q29" s="187">
        <v>3244.5427022921026</v>
      </c>
      <c r="R29" s="184">
        <f t="shared" si="3"/>
        <v>811.13567557302565</v>
      </c>
      <c r="S29" s="181">
        <f t="shared" si="4"/>
        <v>14</v>
      </c>
      <c r="T29" s="643"/>
      <c r="U29" s="187">
        <v>4</v>
      </c>
      <c r="V29" s="187">
        <v>3244.9027022921027</v>
      </c>
      <c r="W29" s="184">
        <f t="shared" si="0"/>
        <v>811.22567557302568</v>
      </c>
      <c r="X29" s="181">
        <f t="shared" si="5"/>
        <v>14</v>
      </c>
      <c r="Y29" s="643"/>
      <c r="Z29" s="187">
        <v>4</v>
      </c>
      <c r="AA29" s="187">
        <v>3245.2627022921033</v>
      </c>
      <c r="AB29" s="184">
        <f t="shared" si="6"/>
        <v>811.31567557302583</v>
      </c>
      <c r="AC29" s="181">
        <f t="shared" si="7"/>
        <v>14</v>
      </c>
      <c r="AD29" s="643"/>
      <c r="AE29" s="187">
        <v>4</v>
      </c>
      <c r="AF29" s="187">
        <v>3246.3427022921032</v>
      </c>
      <c r="AG29" s="184">
        <f t="shared" si="8"/>
        <v>811.58567557302581</v>
      </c>
      <c r="AH29" s="181">
        <f t="shared" si="9"/>
        <v>14</v>
      </c>
      <c r="AI29" s="643"/>
      <c r="AJ29" s="187">
        <v>4</v>
      </c>
      <c r="AK29" s="187">
        <v>3246.7027022921034</v>
      </c>
      <c r="AL29" s="184">
        <f t="shared" si="10"/>
        <v>811.67567557302584</v>
      </c>
      <c r="AM29" s="181">
        <f t="shared" si="11"/>
        <v>16</v>
      </c>
      <c r="AN29" s="643"/>
      <c r="AO29" s="187">
        <v>4</v>
      </c>
      <c r="AP29" s="187">
        <v>3247.0627022921035</v>
      </c>
      <c r="AQ29" s="184">
        <f t="shared" si="12"/>
        <v>811.76567557302587</v>
      </c>
      <c r="AR29" s="181">
        <f t="shared" si="13"/>
        <v>17</v>
      </c>
      <c r="AS29" s="643"/>
      <c r="AT29" s="187">
        <v>4</v>
      </c>
      <c r="AU29" s="187">
        <v>3247.7827022921037</v>
      </c>
      <c r="AV29" s="184">
        <f t="shared" si="14"/>
        <v>811.94567557302594</v>
      </c>
      <c r="AW29" s="181">
        <f t="shared" si="15"/>
        <v>16</v>
      </c>
      <c r="AX29" s="643"/>
    </row>
    <row r="30" spans="2:50" ht="14.25" customHeight="1">
      <c r="B30" s="633"/>
      <c r="C30" s="179">
        <v>24</v>
      </c>
      <c r="D30" s="182" t="s">
        <v>198</v>
      </c>
      <c r="E30" s="183">
        <v>3</v>
      </c>
      <c r="F30" s="179">
        <v>3600</v>
      </c>
      <c r="G30" s="184">
        <f t="shared" si="1"/>
        <v>1200</v>
      </c>
      <c r="H30" s="644"/>
      <c r="I30" s="185">
        <f t="shared" si="2"/>
        <v>3</v>
      </c>
      <c r="J30" s="185">
        <f t="shared" si="2"/>
        <v>3241.6225480675625</v>
      </c>
      <c r="K30" s="186">
        <f t="shared" si="2"/>
        <v>1080.5408493558541</v>
      </c>
      <c r="L30" s="645"/>
      <c r="M30" s="185">
        <f>RANK(K30, K$7:$K$43)</f>
        <v>8</v>
      </c>
      <c r="N30" s="656"/>
      <c r="O30" s="646"/>
      <c r="P30" s="187">
        <v>3</v>
      </c>
      <c r="Q30" s="187">
        <v>3240.131119496134</v>
      </c>
      <c r="R30" s="184">
        <f t="shared" si="3"/>
        <v>1080.0437064987113</v>
      </c>
      <c r="S30" s="181">
        <f t="shared" si="4"/>
        <v>6</v>
      </c>
      <c r="T30" s="643"/>
      <c r="U30" s="187">
        <v>3</v>
      </c>
      <c r="V30" s="187">
        <v>3240.1311194961336</v>
      </c>
      <c r="W30" s="184">
        <f t="shared" si="0"/>
        <v>1080.0437064987111</v>
      </c>
      <c r="X30" s="181">
        <f t="shared" si="5"/>
        <v>8</v>
      </c>
      <c r="Y30" s="643"/>
      <c r="Z30" s="187">
        <v>3</v>
      </c>
      <c r="AA30" s="187">
        <v>3240.4911194961337</v>
      </c>
      <c r="AB30" s="184">
        <f t="shared" si="6"/>
        <v>1080.1637064987112</v>
      </c>
      <c r="AC30" s="181">
        <f t="shared" si="7"/>
        <v>8</v>
      </c>
      <c r="AD30" s="643"/>
      <c r="AE30" s="187">
        <v>3</v>
      </c>
      <c r="AF30" s="187">
        <v>3241.211119496134</v>
      </c>
      <c r="AG30" s="184">
        <f t="shared" si="8"/>
        <v>1080.4037064987112</v>
      </c>
      <c r="AH30" s="181">
        <f t="shared" si="9"/>
        <v>8</v>
      </c>
      <c r="AI30" s="643"/>
      <c r="AJ30" s="187">
        <v>3</v>
      </c>
      <c r="AK30" s="187">
        <v>3242.2911194961339</v>
      </c>
      <c r="AL30" s="184">
        <f t="shared" si="10"/>
        <v>1080.7637064987114</v>
      </c>
      <c r="AM30" s="181">
        <f t="shared" si="11"/>
        <v>8</v>
      </c>
      <c r="AN30" s="643"/>
      <c r="AO30" s="187">
        <v>3</v>
      </c>
      <c r="AP30" s="187">
        <v>3243.0111194961346</v>
      </c>
      <c r="AQ30" s="184">
        <f t="shared" si="12"/>
        <v>1081.0037064987116</v>
      </c>
      <c r="AR30" s="181">
        <f t="shared" si="13"/>
        <v>8</v>
      </c>
      <c r="AS30" s="643"/>
      <c r="AT30" s="187">
        <v>3</v>
      </c>
      <c r="AU30" s="187">
        <v>3244.0911194961345</v>
      </c>
      <c r="AV30" s="184">
        <f t="shared" si="14"/>
        <v>1081.3637064987115</v>
      </c>
      <c r="AW30" s="181">
        <f t="shared" si="15"/>
        <v>7</v>
      </c>
      <c r="AX30" s="643"/>
    </row>
    <row r="31" spans="2:50" ht="14.25" customHeight="1">
      <c r="B31" s="633"/>
      <c r="C31" s="179">
        <v>25</v>
      </c>
      <c r="D31" s="182" t="s">
        <v>199</v>
      </c>
      <c r="E31" s="183">
        <v>5</v>
      </c>
      <c r="F31" s="179">
        <v>3600</v>
      </c>
      <c r="G31" s="184">
        <f t="shared" si="1"/>
        <v>720</v>
      </c>
      <c r="H31" s="644"/>
      <c r="I31" s="185">
        <f t="shared" si="2"/>
        <v>5</v>
      </c>
      <c r="J31" s="185">
        <f t="shared" si="2"/>
        <v>3241.9969880319309</v>
      </c>
      <c r="K31" s="186">
        <f t="shared" si="2"/>
        <v>648.39939760638606</v>
      </c>
      <c r="L31" s="645"/>
      <c r="M31" s="185">
        <f>RANK(K31, K$7:$K$43)</f>
        <v>31</v>
      </c>
      <c r="N31" s="656"/>
      <c r="O31" s="646"/>
      <c r="P31" s="187">
        <v>5</v>
      </c>
      <c r="Q31" s="187">
        <v>3239.0287436999583</v>
      </c>
      <c r="R31" s="184">
        <f t="shared" si="3"/>
        <v>647.80574873999171</v>
      </c>
      <c r="S31" s="181">
        <f t="shared" si="4"/>
        <v>31</v>
      </c>
      <c r="T31" s="643"/>
      <c r="U31" s="187">
        <v>5</v>
      </c>
      <c r="V31" s="187">
        <v>3239.7487436999586</v>
      </c>
      <c r="W31" s="184">
        <f t="shared" si="0"/>
        <v>647.94974873999172</v>
      </c>
      <c r="X31" s="181">
        <f t="shared" si="5"/>
        <v>30</v>
      </c>
      <c r="Y31" s="643"/>
      <c r="Z31" s="187">
        <v>5</v>
      </c>
      <c r="AA31" s="187">
        <v>3240.1087436999583</v>
      </c>
      <c r="AB31" s="184">
        <f t="shared" si="6"/>
        <v>648.02174873999161</v>
      </c>
      <c r="AC31" s="181">
        <f t="shared" si="7"/>
        <v>30</v>
      </c>
      <c r="AD31" s="643"/>
      <c r="AE31" s="187">
        <v>5</v>
      </c>
      <c r="AF31" s="187">
        <v>3241.6369880319307</v>
      </c>
      <c r="AG31" s="184">
        <f t="shared" si="8"/>
        <v>648.32739760638617</v>
      </c>
      <c r="AH31" s="181">
        <f t="shared" si="9"/>
        <v>30</v>
      </c>
      <c r="AI31" s="643"/>
      <c r="AJ31" s="187">
        <v>5</v>
      </c>
      <c r="AK31" s="187">
        <v>3243.885232363903</v>
      </c>
      <c r="AL31" s="184">
        <f t="shared" si="10"/>
        <v>648.77704647278063</v>
      </c>
      <c r="AM31" s="181">
        <f t="shared" si="11"/>
        <v>30</v>
      </c>
      <c r="AN31" s="643"/>
      <c r="AO31" s="187">
        <v>5</v>
      </c>
      <c r="AP31" s="187">
        <v>3244.2452323639031</v>
      </c>
      <c r="AQ31" s="184">
        <f t="shared" si="12"/>
        <v>648.84904647278063</v>
      </c>
      <c r="AR31" s="181">
        <f t="shared" si="13"/>
        <v>30</v>
      </c>
      <c r="AS31" s="643"/>
      <c r="AT31" s="187">
        <v>5</v>
      </c>
      <c r="AU31" s="187">
        <v>3245.3252323639031</v>
      </c>
      <c r="AV31" s="184">
        <f t="shared" si="14"/>
        <v>649.06504647278064</v>
      </c>
      <c r="AW31" s="181">
        <f t="shared" si="15"/>
        <v>30</v>
      </c>
      <c r="AX31" s="643"/>
    </row>
    <row r="32" spans="2:50" ht="14.25" customHeight="1">
      <c r="B32" s="633"/>
      <c r="C32" s="179">
        <v>26</v>
      </c>
      <c r="D32" s="182" t="s">
        <v>200</v>
      </c>
      <c r="E32" s="183">
        <v>5</v>
      </c>
      <c r="F32" s="179">
        <v>3600</v>
      </c>
      <c r="G32" s="184">
        <f t="shared" si="1"/>
        <v>720</v>
      </c>
      <c r="H32" s="644"/>
      <c r="I32" s="185">
        <f t="shared" si="2"/>
        <v>5</v>
      </c>
      <c r="J32" s="185">
        <f t="shared" si="2"/>
        <v>3245.3653858404618</v>
      </c>
      <c r="K32" s="186">
        <f t="shared" si="2"/>
        <v>649.07307716809248</v>
      </c>
      <c r="L32" s="645"/>
      <c r="M32" s="185">
        <f>RANK(K32, K$7:$K$43)</f>
        <v>28</v>
      </c>
      <c r="N32" s="656"/>
      <c r="O32" s="646"/>
      <c r="P32" s="187">
        <v>5</v>
      </c>
      <c r="Q32" s="187">
        <v>3243.6558705559032</v>
      </c>
      <c r="R32" s="184">
        <f t="shared" si="3"/>
        <v>648.73117411118062</v>
      </c>
      <c r="S32" s="181">
        <f t="shared" si="4"/>
        <v>28</v>
      </c>
      <c r="T32" s="643"/>
      <c r="U32" s="187">
        <v>5</v>
      </c>
      <c r="V32" s="187">
        <v>3243.6558705559032</v>
      </c>
      <c r="W32" s="184">
        <f t="shared" si="0"/>
        <v>648.73117411118062</v>
      </c>
      <c r="X32" s="181">
        <f t="shared" si="5"/>
        <v>28</v>
      </c>
      <c r="Y32" s="643"/>
      <c r="Z32" s="187">
        <v>5</v>
      </c>
      <c r="AA32" s="187">
        <v>3244.375870555903</v>
      </c>
      <c r="AB32" s="184">
        <f t="shared" si="6"/>
        <v>648.87517411118063</v>
      </c>
      <c r="AC32" s="181">
        <f t="shared" si="7"/>
        <v>28</v>
      </c>
      <c r="AD32" s="643"/>
      <c r="AE32" s="187">
        <v>5</v>
      </c>
      <c r="AF32" s="187">
        <v>3245.4558705559039</v>
      </c>
      <c r="AG32" s="184">
        <f t="shared" si="8"/>
        <v>649.09117411118075</v>
      </c>
      <c r="AH32" s="181">
        <f t="shared" si="9"/>
        <v>29</v>
      </c>
      <c r="AI32" s="643"/>
      <c r="AJ32" s="187">
        <v>5</v>
      </c>
      <c r="AK32" s="187">
        <v>3246.1758705559032</v>
      </c>
      <c r="AL32" s="184">
        <f t="shared" si="10"/>
        <v>649.23517411118064</v>
      </c>
      <c r="AM32" s="181">
        <f t="shared" si="11"/>
        <v>28</v>
      </c>
      <c r="AN32" s="643"/>
      <c r="AO32" s="187">
        <v>5</v>
      </c>
      <c r="AP32" s="187">
        <v>3246.1758705559032</v>
      </c>
      <c r="AQ32" s="184">
        <f t="shared" si="12"/>
        <v>649.23517411118064</v>
      </c>
      <c r="AR32" s="181">
        <f t="shared" si="13"/>
        <v>29</v>
      </c>
      <c r="AS32" s="643"/>
      <c r="AT32" s="187">
        <v>5</v>
      </c>
      <c r="AU32" s="187">
        <v>3248.062477547815</v>
      </c>
      <c r="AV32" s="184">
        <f t="shared" si="14"/>
        <v>649.61249550956302</v>
      </c>
      <c r="AW32" s="181">
        <f t="shared" si="15"/>
        <v>28</v>
      </c>
      <c r="AX32" s="643"/>
    </row>
    <row r="33" spans="2:50" ht="14.25" customHeight="1">
      <c r="B33" s="633"/>
      <c r="C33" s="179">
        <v>27</v>
      </c>
      <c r="D33" s="182" t="s">
        <v>201</v>
      </c>
      <c r="E33" s="183">
        <v>3</v>
      </c>
      <c r="F33" s="179">
        <v>3000</v>
      </c>
      <c r="G33" s="184">
        <f t="shared" si="1"/>
        <v>1000</v>
      </c>
      <c r="H33" s="644"/>
      <c r="I33" s="185">
        <f t="shared" si="2"/>
        <v>3</v>
      </c>
      <c r="J33" s="185">
        <f t="shared" si="2"/>
        <v>2764.9485597935827</v>
      </c>
      <c r="K33" s="186">
        <f t="shared" si="2"/>
        <v>921.6495199311945</v>
      </c>
      <c r="L33" s="645"/>
      <c r="M33" s="185">
        <f>RANK(K33, K$7:$K$43)</f>
        <v>11</v>
      </c>
      <c r="N33" s="656"/>
      <c r="O33" s="646"/>
      <c r="P33" s="187">
        <v>3</v>
      </c>
      <c r="Q33" s="187">
        <v>2762.6514132305515</v>
      </c>
      <c r="R33" s="184">
        <f t="shared" si="3"/>
        <v>920.88380441018387</v>
      </c>
      <c r="S33" s="181">
        <f t="shared" si="4"/>
        <v>12</v>
      </c>
      <c r="T33" s="643"/>
      <c r="U33" s="187">
        <v>3</v>
      </c>
      <c r="V33" s="187">
        <v>2762.651413230552</v>
      </c>
      <c r="W33" s="184">
        <f t="shared" si="0"/>
        <v>920.88380441018398</v>
      </c>
      <c r="X33" s="181">
        <f t="shared" si="5"/>
        <v>12</v>
      </c>
      <c r="Y33" s="643"/>
      <c r="Z33" s="187">
        <v>3</v>
      </c>
      <c r="AA33" s="187">
        <v>2763.551413230552</v>
      </c>
      <c r="AB33" s="184">
        <f t="shared" si="6"/>
        <v>921.18380441018405</v>
      </c>
      <c r="AC33" s="181">
        <f t="shared" si="7"/>
        <v>12</v>
      </c>
      <c r="AD33" s="643"/>
      <c r="AE33" s="187">
        <v>3</v>
      </c>
      <c r="AF33" s="187">
        <v>2765.9964197158561</v>
      </c>
      <c r="AG33" s="184">
        <f t="shared" si="8"/>
        <v>921.99880657195206</v>
      </c>
      <c r="AH33" s="181">
        <f t="shared" si="9"/>
        <v>11</v>
      </c>
      <c r="AI33" s="643"/>
      <c r="AJ33" s="187">
        <v>3</v>
      </c>
      <c r="AK33" s="187">
        <v>2765.9964197158561</v>
      </c>
      <c r="AL33" s="184">
        <f t="shared" si="10"/>
        <v>921.99880657195206</v>
      </c>
      <c r="AM33" s="181">
        <f t="shared" si="11"/>
        <v>11</v>
      </c>
      <c r="AN33" s="643"/>
      <c r="AO33" s="187">
        <v>3</v>
      </c>
      <c r="AP33" s="187">
        <v>2766.5964197158564</v>
      </c>
      <c r="AQ33" s="184">
        <f t="shared" si="12"/>
        <v>922.1988065719521</v>
      </c>
      <c r="AR33" s="181">
        <f t="shared" si="13"/>
        <v>11</v>
      </c>
      <c r="AS33" s="643"/>
      <c r="AT33" s="187">
        <v>3</v>
      </c>
      <c r="AU33" s="187">
        <v>2767.1964197158559</v>
      </c>
      <c r="AV33" s="184">
        <f t="shared" si="14"/>
        <v>922.39880657195192</v>
      </c>
      <c r="AW33" s="181">
        <f t="shared" si="15"/>
        <v>12</v>
      </c>
      <c r="AX33" s="643"/>
    </row>
    <row r="34" spans="2:50" ht="14.25" customHeight="1">
      <c r="B34" s="633"/>
      <c r="C34" s="179">
        <v>28</v>
      </c>
      <c r="D34" s="182" t="s">
        <v>202</v>
      </c>
      <c r="E34" s="183">
        <v>3</v>
      </c>
      <c r="F34" s="179">
        <v>3600</v>
      </c>
      <c r="G34" s="184">
        <f t="shared" si="1"/>
        <v>1200</v>
      </c>
      <c r="H34" s="644"/>
      <c r="I34" s="185">
        <f t="shared" si="2"/>
        <v>3</v>
      </c>
      <c r="J34" s="185">
        <f t="shared" si="2"/>
        <v>3242.0699732512257</v>
      </c>
      <c r="K34" s="186">
        <f t="shared" si="2"/>
        <v>1080.6899910837419</v>
      </c>
      <c r="L34" s="645"/>
      <c r="M34" s="185">
        <f>RANK(K34, K$7:$K$43)</f>
        <v>7</v>
      </c>
      <c r="N34" s="656"/>
      <c r="O34" s="646"/>
      <c r="P34" s="187">
        <v>3</v>
      </c>
      <c r="Q34" s="187">
        <v>3239.7556875369401</v>
      </c>
      <c r="R34" s="184">
        <f t="shared" si="3"/>
        <v>1079.9185625123134</v>
      </c>
      <c r="S34" s="181">
        <f t="shared" si="4"/>
        <v>7</v>
      </c>
      <c r="T34" s="643"/>
      <c r="U34" s="187">
        <v>3</v>
      </c>
      <c r="V34" s="187">
        <v>3240.83568753694</v>
      </c>
      <c r="W34" s="184">
        <f t="shared" si="0"/>
        <v>1080.2785625123133</v>
      </c>
      <c r="X34" s="181">
        <f t="shared" si="5"/>
        <v>5</v>
      </c>
      <c r="Y34" s="643"/>
      <c r="Z34" s="187">
        <v>3</v>
      </c>
      <c r="AA34" s="187">
        <v>3241.5556875369402</v>
      </c>
      <c r="AB34" s="184">
        <f t="shared" si="6"/>
        <v>1080.5185625123133</v>
      </c>
      <c r="AC34" s="181">
        <f t="shared" si="7"/>
        <v>6</v>
      </c>
      <c r="AD34" s="643"/>
      <c r="AE34" s="187">
        <v>3</v>
      </c>
      <c r="AF34" s="187">
        <v>3241.9156875369399</v>
      </c>
      <c r="AG34" s="184">
        <f t="shared" si="8"/>
        <v>1080.6385625123132</v>
      </c>
      <c r="AH34" s="181">
        <f t="shared" si="9"/>
        <v>7</v>
      </c>
      <c r="AI34" s="643"/>
      <c r="AJ34" s="187">
        <v>3</v>
      </c>
      <c r="AK34" s="187">
        <v>3242.9956875369394</v>
      </c>
      <c r="AL34" s="184">
        <f t="shared" si="10"/>
        <v>1080.9985625123131</v>
      </c>
      <c r="AM34" s="181">
        <f t="shared" si="11"/>
        <v>6</v>
      </c>
      <c r="AN34" s="643"/>
      <c r="AO34" s="187">
        <v>3</v>
      </c>
      <c r="AP34" s="187">
        <v>3243.35568753694</v>
      </c>
      <c r="AQ34" s="184">
        <f t="shared" si="12"/>
        <v>1081.1185625123132</v>
      </c>
      <c r="AR34" s="181">
        <f t="shared" si="13"/>
        <v>7</v>
      </c>
      <c r="AS34" s="643"/>
      <c r="AT34" s="187">
        <v>3</v>
      </c>
      <c r="AU34" s="187">
        <v>3244.0756875369398</v>
      </c>
      <c r="AV34" s="184">
        <f t="shared" si="14"/>
        <v>1081.3585625123133</v>
      </c>
      <c r="AW34" s="181">
        <f t="shared" si="15"/>
        <v>8</v>
      </c>
      <c r="AX34" s="643"/>
    </row>
    <row r="35" spans="2:50" ht="14.25" customHeight="1">
      <c r="B35" s="633"/>
      <c r="C35" s="179">
        <v>29</v>
      </c>
      <c r="D35" s="182" t="s">
        <v>203</v>
      </c>
      <c r="E35" s="183">
        <v>4</v>
      </c>
      <c r="F35" s="179">
        <v>3000</v>
      </c>
      <c r="G35" s="184">
        <f t="shared" si="1"/>
        <v>750</v>
      </c>
      <c r="H35" s="644"/>
      <c r="I35" s="185">
        <f t="shared" si="2"/>
        <v>4</v>
      </c>
      <c r="J35" s="185">
        <f t="shared" si="2"/>
        <v>2766.4654277648833</v>
      </c>
      <c r="K35" s="186">
        <f t="shared" si="2"/>
        <v>691.61635694122083</v>
      </c>
      <c r="L35" s="645"/>
      <c r="M35" s="185">
        <f>RANK(K35, K$7:$K$43)</f>
        <v>24</v>
      </c>
      <c r="N35" s="656"/>
      <c r="O35" s="646"/>
      <c r="P35" s="187">
        <v>4</v>
      </c>
      <c r="Q35" s="187">
        <v>2764.9225706220263</v>
      </c>
      <c r="R35" s="184">
        <f t="shared" si="3"/>
        <v>691.23064265550659</v>
      </c>
      <c r="S35" s="181">
        <f t="shared" si="4"/>
        <v>24</v>
      </c>
      <c r="T35" s="643"/>
      <c r="U35" s="187">
        <v>4</v>
      </c>
      <c r="V35" s="187">
        <v>2765.2225706220261</v>
      </c>
      <c r="W35" s="184">
        <f t="shared" si="0"/>
        <v>691.30564265550652</v>
      </c>
      <c r="X35" s="181">
        <f t="shared" si="5"/>
        <v>24</v>
      </c>
      <c r="Y35" s="643"/>
      <c r="Z35" s="187">
        <v>4</v>
      </c>
      <c r="AA35" s="187">
        <v>2766.1225706220257</v>
      </c>
      <c r="AB35" s="184">
        <f t="shared" si="6"/>
        <v>691.53064265550643</v>
      </c>
      <c r="AC35" s="181">
        <f t="shared" si="7"/>
        <v>24</v>
      </c>
      <c r="AD35" s="643"/>
      <c r="AE35" s="187">
        <v>4</v>
      </c>
      <c r="AF35" s="187">
        <v>2766.4225706220263</v>
      </c>
      <c r="AG35" s="184">
        <f t="shared" si="8"/>
        <v>691.60564265550659</v>
      </c>
      <c r="AH35" s="181">
        <f t="shared" si="9"/>
        <v>24</v>
      </c>
      <c r="AI35" s="643"/>
      <c r="AJ35" s="187">
        <v>4</v>
      </c>
      <c r="AK35" s="187">
        <v>2767.322570622026</v>
      </c>
      <c r="AL35" s="184">
        <f t="shared" si="10"/>
        <v>691.83064265550649</v>
      </c>
      <c r="AM35" s="181">
        <f t="shared" si="11"/>
        <v>24</v>
      </c>
      <c r="AN35" s="643"/>
      <c r="AO35" s="187">
        <v>4</v>
      </c>
      <c r="AP35" s="187">
        <v>2767.6225706220262</v>
      </c>
      <c r="AQ35" s="184">
        <f t="shared" si="12"/>
        <v>691.90564265550654</v>
      </c>
      <c r="AR35" s="181">
        <f t="shared" si="13"/>
        <v>24</v>
      </c>
      <c r="AS35" s="643"/>
      <c r="AT35" s="187">
        <v>4</v>
      </c>
      <c r="AU35" s="187">
        <v>2767.6225706220257</v>
      </c>
      <c r="AV35" s="184">
        <f t="shared" si="14"/>
        <v>691.90564265550643</v>
      </c>
      <c r="AW35" s="181">
        <f t="shared" si="15"/>
        <v>24</v>
      </c>
      <c r="AX35" s="643"/>
    </row>
    <row r="36" spans="2:50" ht="14.25" customHeight="1">
      <c r="B36" s="633"/>
      <c r="C36" s="179">
        <v>30</v>
      </c>
      <c r="D36" s="182" t="s">
        <v>204</v>
      </c>
      <c r="E36" s="183">
        <v>4</v>
      </c>
      <c r="F36" s="179">
        <v>3000</v>
      </c>
      <c r="G36" s="184">
        <f t="shared" si="1"/>
        <v>750</v>
      </c>
      <c r="H36" s="644"/>
      <c r="I36" s="185">
        <f t="shared" si="2"/>
        <v>4</v>
      </c>
      <c r="J36" s="185">
        <f t="shared" si="2"/>
        <v>2766.8502098690265</v>
      </c>
      <c r="K36" s="186">
        <f t="shared" si="2"/>
        <v>691.71255246725661</v>
      </c>
      <c r="L36" s="645"/>
      <c r="M36" s="185">
        <f>RANK(K36, K$7:$K$43)</f>
        <v>23</v>
      </c>
      <c r="N36" s="656"/>
      <c r="O36" s="646"/>
      <c r="P36" s="187">
        <v>4</v>
      </c>
      <c r="Q36" s="187">
        <v>2765.3073527261699</v>
      </c>
      <c r="R36" s="184">
        <f t="shared" si="3"/>
        <v>691.32683818154248</v>
      </c>
      <c r="S36" s="181">
        <f t="shared" si="4"/>
        <v>23</v>
      </c>
      <c r="T36" s="643"/>
      <c r="U36" s="187">
        <v>4</v>
      </c>
      <c r="V36" s="187">
        <v>2765.6073527261697</v>
      </c>
      <c r="W36" s="184">
        <f t="shared" si="0"/>
        <v>691.40183818154242</v>
      </c>
      <c r="X36" s="181">
        <f t="shared" si="5"/>
        <v>23</v>
      </c>
      <c r="Y36" s="643"/>
      <c r="Z36" s="187">
        <v>4</v>
      </c>
      <c r="AA36" s="187">
        <v>2766.2073527261696</v>
      </c>
      <c r="AB36" s="184">
        <f t="shared" si="6"/>
        <v>691.55183818154239</v>
      </c>
      <c r="AC36" s="181">
        <f t="shared" si="7"/>
        <v>23</v>
      </c>
      <c r="AD36" s="643"/>
      <c r="AE36" s="187">
        <v>4</v>
      </c>
      <c r="AF36" s="187">
        <v>2766.8073527261695</v>
      </c>
      <c r="AG36" s="184">
        <f t="shared" si="8"/>
        <v>691.70183818154237</v>
      </c>
      <c r="AH36" s="181">
        <f t="shared" si="9"/>
        <v>23</v>
      </c>
      <c r="AI36" s="643"/>
      <c r="AJ36" s="187">
        <v>4</v>
      </c>
      <c r="AK36" s="187">
        <v>2767.7073527261691</v>
      </c>
      <c r="AL36" s="184">
        <f t="shared" si="10"/>
        <v>691.92683818154228</v>
      </c>
      <c r="AM36" s="181">
        <f t="shared" si="11"/>
        <v>23</v>
      </c>
      <c r="AN36" s="643"/>
      <c r="AO36" s="187">
        <v>4</v>
      </c>
      <c r="AP36" s="187">
        <v>2768.0073527261693</v>
      </c>
      <c r="AQ36" s="184">
        <f t="shared" si="12"/>
        <v>692.00183818154233</v>
      </c>
      <c r="AR36" s="181">
        <f t="shared" si="13"/>
        <v>23</v>
      </c>
      <c r="AS36" s="643"/>
      <c r="AT36" s="187">
        <v>4</v>
      </c>
      <c r="AU36" s="187">
        <v>2768.3073527261695</v>
      </c>
      <c r="AV36" s="184">
        <f t="shared" si="14"/>
        <v>692.07683818154237</v>
      </c>
      <c r="AW36" s="181">
        <f t="shared" si="15"/>
        <v>23</v>
      </c>
      <c r="AX36" s="643"/>
    </row>
    <row r="37" spans="2:50" ht="14.25" customHeight="1">
      <c r="B37" s="633"/>
      <c r="C37" s="179">
        <v>31</v>
      </c>
      <c r="D37" s="182" t="s">
        <v>205</v>
      </c>
      <c r="E37" s="179">
        <v>5</v>
      </c>
      <c r="F37" s="179">
        <v>3600</v>
      </c>
      <c r="G37" s="184">
        <f t="shared" si="1"/>
        <v>720</v>
      </c>
      <c r="H37" s="644"/>
      <c r="I37" s="185">
        <f t="shared" si="2"/>
        <v>5</v>
      </c>
      <c r="J37" s="185">
        <f t="shared" si="2"/>
        <v>3258.3684127400938</v>
      </c>
      <c r="K37" s="186">
        <f t="shared" si="2"/>
        <v>651.67368254801875</v>
      </c>
      <c r="L37" s="645"/>
      <c r="M37" s="185">
        <f>RANK(K37, K$7:$K$43)</f>
        <v>25</v>
      </c>
      <c r="N37" s="656"/>
      <c r="O37" s="646"/>
      <c r="P37" s="187">
        <v>5</v>
      </c>
      <c r="Q37" s="187">
        <v>3258.3684127400938</v>
      </c>
      <c r="R37" s="184">
        <f t="shared" si="3"/>
        <v>651.67368254801875</v>
      </c>
      <c r="S37" s="181">
        <f t="shared" si="4"/>
        <v>25</v>
      </c>
      <c r="T37" s="643"/>
      <c r="U37" s="187"/>
      <c r="V37" s="187"/>
      <c r="W37" s="184"/>
      <c r="X37" s="181"/>
      <c r="Y37" s="643"/>
      <c r="Z37" s="187"/>
      <c r="AA37" s="187"/>
      <c r="AB37" s="184"/>
      <c r="AC37" s="181"/>
      <c r="AD37" s="643"/>
      <c r="AE37" s="187"/>
      <c r="AF37" s="187"/>
      <c r="AG37" s="184"/>
      <c r="AH37" s="181"/>
      <c r="AI37" s="643"/>
      <c r="AJ37" s="187"/>
      <c r="AK37" s="187"/>
      <c r="AL37" s="184"/>
      <c r="AM37" s="181"/>
      <c r="AN37" s="643"/>
      <c r="AO37" s="187"/>
      <c r="AP37" s="187"/>
      <c r="AQ37" s="184"/>
      <c r="AR37" s="181"/>
      <c r="AS37" s="643"/>
      <c r="AT37" s="187"/>
      <c r="AU37" s="187"/>
      <c r="AV37" s="184"/>
      <c r="AW37" s="181"/>
      <c r="AX37" s="643"/>
    </row>
    <row r="38" spans="2:50" ht="14.25" customHeight="1">
      <c r="B38" s="633"/>
      <c r="C38" s="179">
        <v>32</v>
      </c>
      <c r="D38" s="182" t="s">
        <v>206</v>
      </c>
      <c r="E38" s="179">
        <v>3</v>
      </c>
      <c r="F38" s="179">
        <v>3000</v>
      </c>
      <c r="G38" s="184">
        <f t="shared" si="1"/>
        <v>1000</v>
      </c>
      <c r="H38" s="644"/>
      <c r="I38" s="185">
        <f t="shared" ref="I38:K42" si="16">AVERAGE(P38,U38,Z38,AE38,AJ38,AO38,AT38)</f>
        <v>3</v>
      </c>
      <c r="J38" s="185">
        <f t="shared" si="16"/>
        <v>2762.9721040571667</v>
      </c>
      <c r="K38" s="186">
        <f t="shared" si="16"/>
        <v>920.99070135238878</v>
      </c>
      <c r="L38" s="645"/>
      <c r="M38" s="185">
        <f>RANK(K38, K$7:$K$43)</f>
        <v>13</v>
      </c>
      <c r="N38" s="656"/>
      <c r="O38" s="646"/>
      <c r="P38" s="187">
        <v>3</v>
      </c>
      <c r="Q38" s="187">
        <v>2761.0774452002834</v>
      </c>
      <c r="R38" s="184">
        <f t="shared" si="3"/>
        <v>920.35914840009445</v>
      </c>
      <c r="S38" s="181">
        <f t="shared" si="4"/>
        <v>13</v>
      </c>
      <c r="T38" s="643"/>
      <c r="U38" s="187">
        <v>3</v>
      </c>
      <c r="V38" s="187">
        <v>2761.6774452002837</v>
      </c>
      <c r="W38" s="184">
        <f t="shared" ref="W38:W42" si="17">IFERROR(V38/U38,"")</f>
        <v>920.55914840009461</v>
      </c>
      <c r="X38" s="181">
        <f t="shared" ref="X38:X42" si="18">RANK(W38, W$7:W$43)</f>
        <v>13</v>
      </c>
      <c r="Y38" s="643"/>
      <c r="Z38" s="187">
        <v>3</v>
      </c>
      <c r="AA38" s="187">
        <v>2761.9774452002835</v>
      </c>
      <c r="AB38" s="184">
        <f t="shared" ref="AB38:AB42" si="19">IFERROR(AA38/Z38,"")</f>
        <v>920.65914840009452</v>
      </c>
      <c r="AC38" s="181">
        <f t="shared" ref="AC38:AC42" si="20">RANK(AB38, AB$7:AB$43)</f>
        <v>13</v>
      </c>
      <c r="AD38" s="643"/>
      <c r="AE38" s="187">
        <v>3</v>
      </c>
      <c r="AF38" s="187">
        <v>2762.8774452002835</v>
      </c>
      <c r="AG38" s="184">
        <f t="shared" ref="AG38:AG42" si="21">IFERROR(AF38/AE38,"")</f>
        <v>920.95914840009448</v>
      </c>
      <c r="AH38" s="181">
        <f t="shared" ref="AH38:AH42" si="22">RANK(AG38, AG$7:AG$43)</f>
        <v>13</v>
      </c>
      <c r="AI38" s="643"/>
      <c r="AJ38" s="187">
        <v>3</v>
      </c>
      <c r="AK38" s="187">
        <v>2762.8774452002831</v>
      </c>
      <c r="AL38" s="184">
        <f t="shared" ref="AL38:AL42" si="23">IFERROR(AK38/AJ38,"")</f>
        <v>920.95914840009436</v>
      </c>
      <c r="AM38" s="181">
        <f t="shared" ref="AM38:AM42" si="24">RANK(AL38, AL$7:AL$43)</f>
        <v>13</v>
      </c>
      <c r="AN38" s="643"/>
      <c r="AO38" s="187">
        <v>3</v>
      </c>
      <c r="AP38" s="187">
        <v>2763.477445200283</v>
      </c>
      <c r="AQ38" s="184">
        <f t="shared" ref="AQ38:AQ42" si="25">IFERROR(AP38/AO38,"")</f>
        <v>921.1591484000943</v>
      </c>
      <c r="AR38" s="181">
        <f t="shared" ref="AR38:AR42" si="26">RANK(AQ38, AQ$7:AQ$43)</f>
        <v>13</v>
      </c>
      <c r="AS38" s="643"/>
      <c r="AT38" s="187">
        <v>3</v>
      </c>
      <c r="AU38" s="187">
        <v>2766.8400571984635</v>
      </c>
      <c r="AV38" s="184">
        <f t="shared" ref="AV38:AV42" si="27">IFERROR(AU38/AT38,"")</f>
        <v>922.28001906615452</v>
      </c>
      <c r="AW38" s="181">
        <f t="shared" ref="AW38:AW42" si="28">RANK(AV38, AV$7:AV$43)</f>
        <v>13</v>
      </c>
      <c r="AX38" s="643"/>
    </row>
    <row r="39" spans="2:50" ht="14.25" customHeight="1">
      <c r="B39" s="633"/>
      <c r="C39" s="179">
        <v>33</v>
      </c>
      <c r="D39" s="182" t="s">
        <v>207</v>
      </c>
      <c r="E39" s="179">
        <v>12</v>
      </c>
      <c r="F39" s="179">
        <v>3600</v>
      </c>
      <c r="G39" s="184">
        <f t="shared" si="1"/>
        <v>300</v>
      </c>
      <c r="H39" s="644"/>
      <c r="I39" s="185">
        <f t="shared" si="16"/>
        <v>12</v>
      </c>
      <c r="J39" s="185">
        <f t="shared" si="16"/>
        <v>3120.5551933373158</v>
      </c>
      <c r="K39" s="186">
        <f t="shared" si="16"/>
        <v>260.046266111443</v>
      </c>
      <c r="L39" s="645"/>
      <c r="M39" s="185">
        <f>RANK(K39, K$7:$K$43)</f>
        <v>36</v>
      </c>
      <c r="N39" s="656"/>
      <c r="O39" s="646"/>
      <c r="P39" s="187">
        <v>12</v>
      </c>
      <c r="Q39" s="187">
        <v>3120.327932008679</v>
      </c>
      <c r="R39" s="184">
        <f t="shared" si="3"/>
        <v>260.0273276673899</v>
      </c>
      <c r="S39" s="181">
        <f t="shared" si="4"/>
        <v>36</v>
      </c>
      <c r="T39" s="643"/>
      <c r="U39" s="187">
        <v>12</v>
      </c>
      <c r="V39" s="187">
        <v>3120.7916241780304</v>
      </c>
      <c r="W39" s="184">
        <f t="shared" si="17"/>
        <v>260.06596868150251</v>
      </c>
      <c r="X39" s="181">
        <f t="shared" si="18"/>
        <v>35</v>
      </c>
      <c r="Y39" s="643"/>
      <c r="Z39" s="187">
        <v>12</v>
      </c>
      <c r="AA39" s="187">
        <v>3119.7116241780304</v>
      </c>
      <c r="AB39" s="184">
        <f t="shared" si="19"/>
        <v>259.97596868150254</v>
      </c>
      <c r="AC39" s="181">
        <f t="shared" si="20"/>
        <v>35</v>
      </c>
      <c r="AD39" s="643"/>
      <c r="AE39" s="187">
        <v>12</v>
      </c>
      <c r="AF39" s="187">
        <v>3119.7116241780309</v>
      </c>
      <c r="AG39" s="184">
        <f t="shared" si="21"/>
        <v>259.97596868150259</v>
      </c>
      <c r="AH39" s="181">
        <f t="shared" si="22"/>
        <v>35</v>
      </c>
      <c r="AI39" s="643"/>
      <c r="AJ39" s="187">
        <v>12</v>
      </c>
      <c r="AK39" s="187">
        <v>3121.1516241780314</v>
      </c>
      <c r="AL39" s="184">
        <f t="shared" si="23"/>
        <v>260.0959686815026</v>
      </c>
      <c r="AM39" s="181">
        <f t="shared" si="24"/>
        <v>35</v>
      </c>
      <c r="AN39" s="643"/>
      <c r="AO39" s="187">
        <v>12</v>
      </c>
      <c r="AP39" s="187">
        <v>3121.8716241780307</v>
      </c>
      <c r="AQ39" s="184">
        <f t="shared" si="25"/>
        <v>260.15596868150254</v>
      </c>
      <c r="AR39" s="181">
        <f t="shared" si="26"/>
        <v>35</v>
      </c>
      <c r="AS39" s="643"/>
      <c r="AT39" s="187">
        <v>12</v>
      </c>
      <c r="AU39" s="187">
        <v>3120.320300462377</v>
      </c>
      <c r="AV39" s="184">
        <f t="shared" si="27"/>
        <v>260.02669170519806</v>
      </c>
      <c r="AW39" s="181">
        <f t="shared" si="28"/>
        <v>35</v>
      </c>
      <c r="AX39" s="643"/>
    </row>
    <row r="40" spans="2:50" ht="14.25" customHeight="1">
      <c r="B40" s="633"/>
      <c r="C40" s="179">
        <v>34</v>
      </c>
      <c r="D40" s="182" t="s">
        <v>208</v>
      </c>
      <c r="E40" s="179">
        <v>5</v>
      </c>
      <c r="F40" s="179">
        <v>3300</v>
      </c>
      <c r="G40" s="184">
        <f t="shared" si="1"/>
        <v>660</v>
      </c>
      <c r="H40" s="644"/>
      <c r="I40" s="185">
        <f t="shared" si="16"/>
        <v>5</v>
      </c>
      <c r="J40" s="185">
        <f t="shared" si="16"/>
        <v>3041.2060036351468</v>
      </c>
      <c r="K40" s="186">
        <f t="shared" si="16"/>
        <v>608.24120072702942</v>
      </c>
      <c r="L40" s="645"/>
      <c r="M40" s="185">
        <f>RANK(K40, K$7:$K$43)</f>
        <v>33</v>
      </c>
      <c r="N40" s="656"/>
      <c r="O40" s="646"/>
      <c r="P40" s="187">
        <v>5</v>
      </c>
      <c r="Q40" s="187">
        <v>3039.3632460988511</v>
      </c>
      <c r="R40" s="184">
        <f t="shared" si="3"/>
        <v>607.87264921977021</v>
      </c>
      <c r="S40" s="181">
        <f t="shared" si="4"/>
        <v>33</v>
      </c>
      <c r="T40" s="643"/>
      <c r="U40" s="187">
        <v>5</v>
      </c>
      <c r="V40" s="187">
        <v>3040.0232460988509</v>
      </c>
      <c r="W40" s="184">
        <f t="shared" si="17"/>
        <v>608.00464921977016</v>
      </c>
      <c r="X40" s="181">
        <f t="shared" si="18"/>
        <v>32</v>
      </c>
      <c r="Y40" s="643"/>
      <c r="Z40" s="187">
        <v>5</v>
      </c>
      <c r="AA40" s="187">
        <v>3040.6832460988503</v>
      </c>
      <c r="AB40" s="184">
        <f t="shared" si="19"/>
        <v>608.13664921977011</v>
      </c>
      <c r="AC40" s="181">
        <f t="shared" si="20"/>
        <v>32</v>
      </c>
      <c r="AD40" s="643"/>
      <c r="AE40" s="187">
        <v>5</v>
      </c>
      <c r="AF40" s="187">
        <v>3041.6732460988501</v>
      </c>
      <c r="AG40" s="184">
        <f t="shared" si="21"/>
        <v>608.33464921976997</v>
      </c>
      <c r="AH40" s="181">
        <f t="shared" si="22"/>
        <v>32</v>
      </c>
      <c r="AI40" s="643"/>
      <c r="AJ40" s="187">
        <v>5</v>
      </c>
      <c r="AK40" s="187">
        <v>3041.6732460988496</v>
      </c>
      <c r="AL40" s="184">
        <f t="shared" si="23"/>
        <v>608.33464921976997</v>
      </c>
      <c r="AM40" s="181">
        <f t="shared" si="24"/>
        <v>33</v>
      </c>
      <c r="AN40" s="643"/>
      <c r="AO40" s="187">
        <v>5</v>
      </c>
      <c r="AP40" s="187">
        <v>3042.3332460988499</v>
      </c>
      <c r="AQ40" s="184">
        <f t="shared" si="25"/>
        <v>608.46664921977003</v>
      </c>
      <c r="AR40" s="181">
        <f t="shared" si="26"/>
        <v>33</v>
      </c>
      <c r="AS40" s="643"/>
      <c r="AT40" s="187">
        <v>5</v>
      </c>
      <c r="AU40" s="187">
        <v>3042.6925488529259</v>
      </c>
      <c r="AV40" s="184">
        <f t="shared" si="27"/>
        <v>608.53850977058516</v>
      </c>
      <c r="AW40" s="181">
        <f t="shared" si="28"/>
        <v>33</v>
      </c>
      <c r="AX40" s="643"/>
    </row>
    <row r="41" spans="2:50" ht="14.25" customHeight="1">
      <c r="B41" s="633"/>
      <c r="C41" s="179">
        <v>35</v>
      </c>
      <c r="D41" s="182" t="s">
        <v>209</v>
      </c>
      <c r="E41" s="179">
        <v>4</v>
      </c>
      <c r="F41" s="179">
        <v>3600</v>
      </c>
      <c r="G41" s="184">
        <f t="shared" si="1"/>
        <v>900</v>
      </c>
      <c r="H41" s="644"/>
      <c r="I41" s="185">
        <f t="shared" si="16"/>
        <v>4</v>
      </c>
      <c r="J41" s="185">
        <f t="shared" si="16"/>
        <v>3173.1162294017618</v>
      </c>
      <c r="K41" s="186">
        <f t="shared" si="16"/>
        <v>793.27905735044044</v>
      </c>
      <c r="L41" s="645"/>
      <c r="M41" s="185">
        <f>RANK(K41, K$7:$K$43)</f>
        <v>17</v>
      </c>
      <c r="N41" s="656"/>
      <c r="O41" s="646"/>
      <c r="P41" s="187">
        <v>4</v>
      </c>
      <c r="Q41" s="187">
        <v>3022.9814637790123</v>
      </c>
      <c r="R41" s="184">
        <f t="shared" si="3"/>
        <v>755.74536594475308</v>
      </c>
      <c r="S41" s="181">
        <f t="shared" si="4"/>
        <v>20</v>
      </c>
      <c r="T41" s="643"/>
      <c r="U41" s="187">
        <v>4</v>
      </c>
      <c r="V41" s="187">
        <v>3084.8920825433888</v>
      </c>
      <c r="W41" s="184">
        <f t="shared" si="17"/>
        <v>771.22302063584721</v>
      </c>
      <c r="X41" s="181">
        <f t="shared" si="18"/>
        <v>17</v>
      </c>
      <c r="Y41" s="643"/>
      <c r="Z41" s="187">
        <v>4</v>
      </c>
      <c r="AA41" s="187">
        <v>3146.9295765196593</v>
      </c>
      <c r="AB41" s="184">
        <f t="shared" si="19"/>
        <v>786.73239412991484</v>
      </c>
      <c r="AC41" s="181">
        <f t="shared" si="20"/>
        <v>17</v>
      </c>
      <c r="AD41" s="643"/>
      <c r="AE41" s="187">
        <v>4</v>
      </c>
      <c r="AF41" s="187">
        <v>3215.996232537198</v>
      </c>
      <c r="AG41" s="184">
        <f t="shared" si="21"/>
        <v>803.9990581342995</v>
      </c>
      <c r="AH41" s="181">
        <f t="shared" si="22"/>
        <v>17</v>
      </c>
      <c r="AI41" s="643"/>
      <c r="AJ41" s="187">
        <v>4</v>
      </c>
      <c r="AK41" s="187">
        <v>3246.5247501443573</v>
      </c>
      <c r="AL41" s="184">
        <f t="shared" si="23"/>
        <v>811.63118753608933</v>
      </c>
      <c r="AM41" s="181">
        <f t="shared" si="24"/>
        <v>17</v>
      </c>
      <c r="AN41" s="643"/>
      <c r="AO41" s="187">
        <v>4</v>
      </c>
      <c r="AP41" s="187">
        <v>3247.244750144358</v>
      </c>
      <c r="AQ41" s="184">
        <f t="shared" si="25"/>
        <v>811.81118753608951</v>
      </c>
      <c r="AR41" s="181">
        <f t="shared" si="26"/>
        <v>16</v>
      </c>
      <c r="AS41" s="643"/>
      <c r="AT41" s="187">
        <v>4</v>
      </c>
      <c r="AU41" s="187">
        <v>3247.244750144358</v>
      </c>
      <c r="AV41" s="184">
        <f t="shared" si="27"/>
        <v>811.81118753608951</v>
      </c>
      <c r="AW41" s="181">
        <f t="shared" si="28"/>
        <v>17</v>
      </c>
      <c r="AX41" s="643"/>
    </row>
    <row r="42" spans="2:50" ht="14.25" customHeight="1">
      <c r="B42" s="633"/>
      <c r="C42" s="179">
        <v>36</v>
      </c>
      <c r="D42" s="182" t="s">
        <v>210</v>
      </c>
      <c r="E42" s="179">
        <v>4</v>
      </c>
      <c r="F42" s="179">
        <v>3600</v>
      </c>
      <c r="G42" s="184">
        <f t="shared" si="1"/>
        <v>900</v>
      </c>
      <c r="H42" s="644"/>
      <c r="I42" s="185">
        <f t="shared" si="16"/>
        <v>4</v>
      </c>
      <c r="J42" s="185">
        <f t="shared" si="16"/>
        <v>3176.0524154863278</v>
      </c>
      <c r="K42" s="186">
        <f t="shared" si="16"/>
        <v>794.01310387158196</v>
      </c>
      <c r="L42" s="645"/>
      <c r="M42" s="185">
        <f>RANK(K42, K$7:$K$43)</f>
        <v>16</v>
      </c>
      <c r="N42" s="656"/>
      <c r="O42" s="646"/>
      <c r="P42" s="187">
        <v>4</v>
      </c>
      <c r="Q42" s="187">
        <v>3027.6504664586682</v>
      </c>
      <c r="R42" s="184">
        <f t="shared" si="3"/>
        <v>756.91261661466706</v>
      </c>
      <c r="S42" s="181">
        <f t="shared" si="4"/>
        <v>19</v>
      </c>
      <c r="T42" s="643"/>
      <c r="U42" s="187">
        <v>4</v>
      </c>
      <c r="V42" s="187">
        <v>3087.5948370007673</v>
      </c>
      <c r="W42" s="184">
        <f t="shared" si="17"/>
        <v>771.89870925019181</v>
      </c>
      <c r="X42" s="181">
        <f t="shared" si="18"/>
        <v>16</v>
      </c>
      <c r="Y42" s="643"/>
      <c r="Z42" s="187">
        <v>4</v>
      </c>
      <c r="AA42" s="187">
        <v>3149.3725576490469</v>
      </c>
      <c r="AB42" s="184">
        <f t="shared" si="19"/>
        <v>787.34313941226173</v>
      </c>
      <c r="AC42" s="181">
        <f t="shared" si="20"/>
        <v>16</v>
      </c>
      <c r="AD42" s="643"/>
      <c r="AE42" s="187">
        <v>4</v>
      </c>
      <c r="AF42" s="187">
        <v>3217.7073701376075</v>
      </c>
      <c r="AG42" s="184">
        <f t="shared" si="21"/>
        <v>804.42684253440189</v>
      </c>
      <c r="AH42" s="181">
        <f t="shared" si="22"/>
        <v>16</v>
      </c>
      <c r="AI42" s="643"/>
      <c r="AJ42" s="187">
        <v>4</v>
      </c>
      <c r="AK42" s="187">
        <v>3249.6538923860689</v>
      </c>
      <c r="AL42" s="184">
        <f t="shared" si="23"/>
        <v>812.41347309651724</v>
      </c>
      <c r="AM42" s="181">
        <f t="shared" si="24"/>
        <v>15</v>
      </c>
      <c r="AN42" s="643"/>
      <c r="AO42" s="187">
        <v>4</v>
      </c>
      <c r="AP42" s="187">
        <v>3250.0138923860686</v>
      </c>
      <c r="AQ42" s="184">
        <f t="shared" si="25"/>
        <v>812.50347309651715</v>
      </c>
      <c r="AR42" s="181">
        <f t="shared" si="26"/>
        <v>15</v>
      </c>
      <c r="AS42" s="643"/>
      <c r="AT42" s="187">
        <v>4</v>
      </c>
      <c r="AU42" s="187">
        <v>3250.3738923860683</v>
      </c>
      <c r="AV42" s="184">
        <f t="shared" si="27"/>
        <v>812.59347309651707</v>
      </c>
      <c r="AW42" s="181">
        <f t="shared" si="28"/>
        <v>15</v>
      </c>
      <c r="AX42" s="643"/>
    </row>
    <row r="43" spans="2:50" ht="14.25" customHeight="1">
      <c r="B43" s="633"/>
      <c r="C43" s="179">
        <v>37</v>
      </c>
      <c r="D43" s="182"/>
      <c r="E43" s="179"/>
      <c r="F43" s="179"/>
      <c r="G43" s="184"/>
      <c r="H43" s="644"/>
      <c r="I43" s="185"/>
      <c r="J43" s="185"/>
      <c r="K43" s="186"/>
      <c r="L43" s="645"/>
      <c r="M43" s="185"/>
      <c r="N43" s="656"/>
      <c r="O43" s="646"/>
      <c r="P43" s="187"/>
      <c r="Q43" s="187"/>
      <c r="R43" s="184"/>
      <c r="S43" s="181"/>
      <c r="T43" s="643"/>
      <c r="U43" s="187"/>
      <c r="V43" s="187"/>
      <c r="W43" s="184"/>
      <c r="X43" s="181"/>
      <c r="Y43" s="643"/>
      <c r="Z43" s="187"/>
      <c r="AA43" s="187"/>
      <c r="AB43" s="184"/>
      <c r="AC43" s="181"/>
      <c r="AD43" s="643"/>
      <c r="AE43" s="187"/>
      <c r="AF43" s="187"/>
      <c r="AG43" s="184"/>
      <c r="AH43" s="181"/>
      <c r="AI43" s="643"/>
      <c r="AJ43" s="187"/>
      <c r="AK43" s="187"/>
      <c r="AL43" s="184"/>
      <c r="AM43" s="181"/>
      <c r="AN43" s="643"/>
      <c r="AO43" s="187"/>
      <c r="AP43" s="187"/>
      <c r="AQ43" s="184"/>
      <c r="AR43" s="181"/>
      <c r="AS43" s="643"/>
      <c r="AT43" s="187"/>
      <c r="AU43" s="187"/>
      <c r="AV43" s="184"/>
      <c r="AW43" s="181"/>
      <c r="AX43" s="643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43"/>
    <mergeCell ref="O4:O43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21"/>
  <sheetViews>
    <sheetView zoomScale="85" zoomScaleNormal="85" workbookViewId="0">
      <pane xSplit="13" ySplit="1" topLeftCell="N2" activePane="bottomRight" state="frozen"/>
      <selection pane="bottomRight" activeCell="L7" sqref="L7:L21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295.69211221705984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213</v>
      </c>
      <c r="C7" s="179">
        <v>1</v>
      </c>
      <c r="D7" s="182" t="s">
        <v>214</v>
      </c>
      <c r="E7" s="183">
        <v>10</v>
      </c>
      <c r="F7" s="179">
        <v>3600</v>
      </c>
      <c r="G7" s="184">
        <f t="shared" ref="G7:G10" si="0">IFERROR(F7/E7,"")</f>
        <v>360</v>
      </c>
      <c r="H7" s="644">
        <f>AVERAGE(G7:G21)</f>
        <v>335.45454545454544</v>
      </c>
      <c r="I7" s="185">
        <f>AVERAGE(P7,U7,Z7,AE7,AJ7,AO7,AT7)</f>
        <v>10</v>
      </c>
      <c r="J7" s="185">
        <f>AVERAGE(Q7,V7,AA7,AF7,AK7,AP7,AU7)</f>
        <v>3217.8152654388955</v>
      </c>
      <c r="K7" s="186">
        <f>AVERAGE(R7,W7,AB7,AG7,AL7,AQ7,AV7)</f>
        <v>321.78152654388953</v>
      </c>
      <c r="L7" s="645">
        <f>IFERROR(AVERAGE(K7:K21),"-")</f>
        <v>295.69211221705984</v>
      </c>
      <c r="M7" s="185">
        <f>RANK(K7, K$7:$K$21)</f>
        <v>1</v>
      </c>
      <c r="N7" s="633"/>
      <c r="O7" s="633"/>
      <c r="P7" s="187">
        <v>10</v>
      </c>
      <c r="Q7" s="187">
        <v>3217.6095511531821</v>
      </c>
      <c r="R7" s="184">
        <f>IFERROR(Q7/P7,"")</f>
        <v>321.76095511531821</v>
      </c>
      <c r="S7" s="181">
        <f>RANK(R7, R$7:R$21)</f>
        <v>1</v>
      </c>
      <c r="T7" s="644">
        <f>AVERAGE(R7:R21)</f>
        <v>295.64554062194804</v>
      </c>
      <c r="U7" s="187">
        <v>10</v>
      </c>
      <c r="V7" s="187">
        <v>3218.3295511531815</v>
      </c>
      <c r="W7" s="184">
        <f t="shared" ref="W7:W10" si="1">IFERROR(V7/U7,"")</f>
        <v>321.83295511531816</v>
      </c>
      <c r="X7" s="181">
        <f>RANK(W7, W$7:W$21)</f>
        <v>1</v>
      </c>
      <c r="Y7" s="644">
        <f>AVERAGE(W7:W21)</f>
        <v>295.68808607649351</v>
      </c>
      <c r="Z7" s="187">
        <v>10</v>
      </c>
      <c r="AA7" s="187">
        <v>3217.249551153182</v>
      </c>
      <c r="AB7" s="184">
        <f>IFERROR(AA7/Z7,"")</f>
        <v>321.72495511531821</v>
      </c>
      <c r="AC7" s="181">
        <f>RANK(AB7, AB$7:AB$21)</f>
        <v>1</v>
      </c>
      <c r="AD7" s="644">
        <f>AVERAGE(AB7:AB21)</f>
        <v>295.68563153103895</v>
      </c>
      <c r="AE7" s="187">
        <v>10</v>
      </c>
      <c r="AF7" s="187">
        <v>3217.9695511531818</v>
      </c>
      <c r="AG7" s="184">
        <f>IFERROR(AF7/AE7,"")</f>
        <v>321.79695511531816</v>
      </c>
      <c r="AH7" s="181">
        <f>RANK(AG7, AG$7:AG$21)</f>
        <v>1</v>
      </c>
      <c r="AI7" s="644">
        <f>AVERAGE(AG7:AG21)</f>
        <v>295.67090425831168</v>
      </c>
      <c r="AJ7" s="187">
        <v>10</v>
      </c>
      <c r="AK7" s="187">
        <v>3218.3295511531815</v>
      </c>
      <c r="AL7" s="184">
        <f>IFERROR(AK7/AJ7,"")</f>
        <v>321.83295511531816</v>
      </c>
      <c r="AM7" s="181">
        <f>RANK(AL7, AL$7:AL$21)</f>
        <v>1</v>
      </c>
      <c r="AN7" s="644">
        <f>AVERAGE(AL7:AL21)</f>
        <v>295.67026178564674</v>
      </c>
      <c r="AO7" s="187">
        <v>10</v>
      </c>
      <c r="AP7" s="187">
        <v>3218.329551153181</v>
      </c>
      <c r="AQ7" s="184">
        <f>IFERROR(AP7/AO7,"")</f>
        <v>321.8329551153181</v>
      </c>
      <c r="AR7" s="181">
        <f>RANK(AQ7, AQ$7:AQ$21)</f>
        <v>1</v>
      </c>
      <c r="AS7" s="644">
        <f>AVERAGE(AQ7:AQ21)</f>
        <v>295.72336244117184</v>
      </c>
      <c r="AT7" s="187">
        <v>10</v>
      </c>
      <c r="AU7" s="187">
        <v>3216.8895511531814</v>
      </c>
      <c r="AV7" s="184">
        <f>IFERROR(AU7/AT7,"")</f>
        <v>321.68895511531815</v>
      </c>
      <c r="AW7" s="181">
        <f>RANK(AV7, AV$7:AV$21)</f>
        <v>1</v>
      </c>
      <c r="AX7" s="644">
        <f>AVERAGE(AV7:AV21)</f>
        <v>295.76099880480831</v>
      </c>
    </row>
    <row r="8" spans="1:50" ht="14.25" customHeight="1">
      <c r="B8" s="633"/>
      <c r="C8" s="179">
        <v>2</v>
      </c>
      <c r="D8" s="182" t="s">
        <v>215</v>
      </c>
      <c r="E8" s="179">
        <v>11</v>
      </c>
      <c r="F8" s="179">
        <v>3600</v>
      </c>
      <c r="G8" s="184">
        <f t="shared" si="0"/>
        <v>327.27272727272725</v>
      </c>
      <c r="H8" s="644"/>
      <c r="I8" s="185">
        <f t="shared" ref="I8:K10" si="2">AVERAGE(P8,U8,Z8,AE8,AJ8,AO8,AT8)</f>
        <v>11</v>
      </c>
      <c r="J8" s="185">
        <f t="shared" si="2"/>
        <v>3157.4405411683401</v>
      </c>
      <c r="K8" s="186">
        <f t="shared" si="2"/>
        <v>287.04004919712179</v>
      </c>
      <c r="L8" s="645"/>
      <c r="M8" s="185">
        <f>RANK(K8, K$7:$K$21)</f>
        <v>3</v>
      </c>
      <c r="N8" s="633"/>
      <c r="O8" s="633"/>
      <c r="P8" s="187">
        <v>11</v>
      </c>
      <c r="Q8" s="187">
        <v>3156.4909420814506</v>
      </c>
      <c r="R8" s="184">
        <f t="shared" ref="R8:R10" si="3">IFERROR(Q8/P8,"")</f>
        <v>286.95372200740462</v>
      </c>
      <c r="S8" s="181">
        <f t="shared" ref="S8:S10" si="4">RANK(R8, R$7:R$21)</f>
        <v>3</v>
      </c>
      <c r="T8" s="644"/>
      <c r="U8" s="187">
        <v>11</v>
      </c>
      <c r="V8" s="187">
        <v>3156.8509420814503</v>
      </c>
      <c r="W8" s="184">
        <f t="shared" si="1"/>
        <v>286.98644928013186</v>
      </c>
      <c r="X8" s="181">
        <f t="shared" ref="X8:X10" si="5">RANK(W8, W$7:W$21)</f>
        <v>2</v>
      </c>
      <c r="Y8" s="644"/>
      <c r="Z8" s="187">
        <v>11</v>
      </c>
      <c r="AA8" s="187">
        <v>3157.2109420814504</v>
      </c>
      <c r="AB8" s="184">
        <f t="shared" ref="AB8:AB10" si="6">IFERROR(AA8/Z8,"")</f>
        <v>287.01917655285911</v>
      </c>
      <c r="AC8" s="181">
        <f t="shared" ref="AC8:AC10" si="7">RANK(AB8, AB$7:AB$21)</f>
        <v>3</v>
      </c>
      <c r="AD8" s="644"/>
      <c r="AE8" s="187">
        <v>11</v>
      </c>
      <c r="AF8" s="187">
        <v>3158.65094208145</v>
      </c>
      <c r="AG8" s="184">
        <f t="shared" ref="AG8:AG10" si="8">IFERROR(AF8/AE8,"")</f>
        <v>287.15008564376819</v>
      </c>
      <c r="AH8" s="181">
        <f t="shared" ref="AH8:AH10" si="9">RANK(AG8, AG$7:AG$21)</f>
        <v>2</v>
      </c>
      <c r="AI8" s="644"/>
      <c r="AJ8" s="187">
        <v>11</v>
      </c>
      <c r="AK8" s="187">
        <v>3157.8666732841921</v>
      </c>
      <c r="AL8" s="184">
        <f t="shared" ref="AL8:AL10" si="10">IFERROR(AK8/AJ8,"")</f>
        <v>287.07878848038109</v>
      </c>
      <c r="AM8" s="181">
        <f t="shared" ref="AM8:AM10" si="11">RANK(AL8, AL$7:AL$21)</f>
        <v>3</v>
      </c>
      <c r="AN8" s="644"/>
      <c r="AO8" s="187">
        <v>11</v>
      </c>
      <c r="AP8" s="187">
        <v>3156.7866732841931</v>
      </c>
      <c r="AQ8" s="184">
        <f t="shared" ref="AQ8:AQ10" si="12">IFERROR(AP8/AO8,"")</f>
        <v>286.98060666219936</v>
      </c>
      <c r="AR8" s="181">
        <f t="shared" ref="AR8:AR10" si="13">RANK(AQ8, AQ$7:AQ$21)</f>
        <v>3</v>
      </c>
      <c r="AS8" s="644"/>
      <c r="AT8" s="187">
        <v>11</v>
      </c>
      <c r="AU8" s="187">
        <v>3158.2266732841936</v>
      </c>
      <c r="AV8" s="184">
        <f t="shared" ref="AV8:AV10" si="14">IFERROR(AU8/AT8,"")</f>
        <v>287.11151575310851</v>
      </c>
      <c r="AW8" s="181">
        <f t="shared" ref="AW8:AW10" si="15">RANK(AV8, AV$7:AV$21)</f>
        <v>3</v>
      </c>
      <c r="AX8" s="644"/>
    </row>
    <row r="9" spans="1:50" ht="14.25" customHeight="1">
      <c r="B9" s="633"/>
      <c r="C9" s="179">
        <v>3</v>
      </c>
      <c r="D9" s="182" t="s">
        <v>216</v>
      </c>
      <c r="E9" s="179">
        <v>11</v>
      </c>
      <c r="F9" s="179">
        <v>3600</v>
      </c>
      <c r="G9" s="184">
        <f t="shared" si="0"/>
        <v>327.27272727272725</v>
      </c>
      <c r="H9" s="644"/>
      <c r="I9" s="185">
        <f t="shared" si="2"/>
        <v>11</v>
      </c>
      <c r="J9" s="185">
        <f t="shared" si="2"/>
        <v>3157.707841796208</v>
      </c>
      <c r="K9" s="186">
        <f t="shared" si="2"/>
        <v>287.06434925420069</v>
      </c>
      <c r="L9" s="645"/>
      <c r="M9" s="185">
        <f>RANK(K9, K$7:$K$21)</f>
        <v>2</v>
      </c>
      <c r="N9" s="633"/>
      <c r="O9" s="633"/>
      <c r="P9" s="187">
        <v>11</v>
      </c>
      <c r="Q9" s="187">
        <v>3156.5061756885839</v>
      </c>
      <c r="R9" s="184">
        <f t="shared" si="3"/>
        <v>286.95510688078036</v>
      </c>
      <c r="S9" s="181">
        <f t="shared" si="4"/>
        <v>2</v>
      </c>
      <c r="T9" s="644"/>
      <c r="U9" s="187">
        <v>11</v>
      </c>
      <c r="V9" s="187">
        <v>3156.5061756885843</v>
      </c>
      <c r="W9" s="184">
        <f t="shared" si="1"/>
        <v>286.95510688078042</v>
      </c>
      <c r="X9" s="181">
        <f t="shared" si="5"/>
        <v>4</v>
      </c>
      <c r="Y9" s="644"/>
      <c r="Z9" s="187">
        <v>11</v>
      </c>
      <c r="AA9" s="187">
        <v>3158.3061756885845</v>
      </c>
      <c r="AB9" s="184">
        <f t="shared" si="6"/>
        <v>287.11874324441675</v>
      </c>
      <c r="AC9" s="181">
        <f t="shared" si="7"/>
        <v>2</v>
      </c>
      <c r="AD9" s="644"/>
      <c r="AE9" s="187">
        <v>11</v>
      </c>
      <c r="AF9" s="187">
        <v>3157.2261756885846</v>
      </c>
      <c r="AG9" s="184">
        <f t="shared" si="8"/>
        <v>287.02056142623496</v>
      </c>
      <c r="AH9" s="181">
        <f t="shared" si="9"/>
        <v>3</v>
      </c>
      <c r="AI9" s="644"/>
      <c r="AJ9" s="187">
        <v>11</v>
      </c>
      <c r="AK9" s="187">
        <v>3157.9461756885839</v>
      </c>
      <c r="AL9" s="184">
        <f t="shared" si="10"/>
        <v>287.08601597168945</v>
      </c>
      <c r="AM9" s="181">
        <f t="shared" si="11"/>
        <v>2</v>
      </c>
      <c r="AN9" s="644"/>
      <c r="AO9" s="187">
        <v>11</v>
      </c>
      <c r="AP9" s="187">
        <v>3158.3720070652662</v>
      </c>
      <c r="AQ9" s="184">
        <f t="shared" si="12"/>
        <v>287.12472791502421</v>
      </c>
      <c r="AR9" s="181">
        <f t="shared" si="13"/>
        <v>2</v>
      </c>
      <c r="AS9" s="644"/>
      <c r="AT9" s="187">
        <v>11</v>
      </c>
      <c r="AU9" s="187">
        <v>3159.0920070652669</v>
      </c>
      <c r="AV9" s="184">
        <f t="shared" si="14"/>
        <v>287.19018246047881</v>
      </c>
      <c r="AW9" s="181">
        <f t="shared" si="15"/>
        <v>2</v>
      </c>
      <c r="AX9" s="644"/>
    </row>
    <row r="10" spans="1:50" ht="14.25" customHeight="1">
      <c r="B10" s="633"/>
      <c r="C10" s="179">
        <v>4</v>
      </c>
      <c r="D10" s="182" t="s">
        <v>217</v>
      </c>
      <c r="E10" s="179">
        <v>11</v>
      </c>
      <c r="F10" s="179">
        <v>3600</v>
      </c>
      <c r="G10" s="184">
        <f t="shared" si="0"/>
        <v>327.27272727272725</v>
      </c>
      <c r="H10" s="644"/>
      <c r="I10" s="185">
        <f t="shared" si="2"/>
        <v>11</v>
      </c>
      <c r="J10" s="185">
        <f t="shared" si="2"/>
        <v>3155.7077626033015</v>
      </c>
      <c r="K10" s="186">
        <f t="shared" si="2"/>
        <v>286.88252387302742</v>
      </c>
      <c r="L10" s="645"/>
      <c r="M10" s="185">
        <f>RANK(K10, K$7:$K$21)</f>
        <v>4</v>
      </c>
      <c r="N10" s="633"/>
      <c r="O10" s="633"/>
      <c r="P10" s="187">
        <v>11</v>
      </c>
      <c r="Q10" s="187">
        <v>3156.0361633271796</v>
      </c>
      <c r="R10" s="184">
        <f t="shared" si="3"/>
        <v>286.91237848428904</v>
      </c>
      <c r="S10" s="181">
        <f t="shared" si="4"/>
        <v>4</v>
      </c>
      <c r="T10" s="644"/>
      <c r="U10" s="187">
        <v>11</v>
      </c>
      <c r="V10" s="187">
        <v>3156.7561633271798</v>
      </c>
      <c r="W10" s="184">
        <f t="shared" si="1"/>
        <v>286.97783302974364</v>
      </c>
      <c r="X10" s="181">
        <f t="shared" si="5"/>
        <v>3</v>
      </c>
      <c r="Y10" s="644"/>
      <c r="Z10" s="187">
        <v>11</v>
      </c>
      <c r="AA10" s="187">
        <v>3155.6761633271803</v>
      </c>
      <c r="AB10" s="184">
        <f t="shared" si="6"/>
        <v>286.87965121156185</v>
      </c>
      <c r="AC10" s="181">
        <f t="shared" si="7"/>
        <v>4</v>
      </c>
      <c r="AD10" s="644"/>
      <c r="AE10" s="187">
        <v>11</v>
      </c>
      <c r="AF10" s="187">
        <v>3153.8761633271806</v>
      </c>
      <c r="AG10" s="184">
        <f t="shared" si="8"/>
        <v>286.71601484792552</v>
      </c>
      <c r="AH10" s="181">
        <f t="shared" si="9"/>
        <v>4</v>
      </c>
      <c r="AI10" s="644"/>
      <c r="AJ10" s="187">
        <v>11</v>
      </c>
      <c r="AK10" s="187">
        <v>3153.5161633271805</v>
      </c>
      <c r="AL10" s="184">
        <f t="shared" si="10"/>
        <v>286.68328757519822</v>
      </c>
      <c r="AM10" s="181">
        <f t="shared" si="11"/>
        <v>4</v>
      </c>
      <c r="AN10" s="644"/>
      <c r="AO10" s="187">
        <v>11</v>
      </c>
      <c r="AP10" s="187">
        <v>3156.5067607936044</v>
      </c>
      <c r="AQ10" s="184">
        <f t="shared" si="12"/>
        <v>286.95516007214587</v>
      </c>
      <c r="AR10" s="181">
        <f t="shared" si="13"/>
        <v>4</v>
      </c>
      <c r="AS10" s="644"/>
      <c r="AT10" s="187">
        <v>11</v>
      </c>
      <c r="AU10" s="187">
        <v>3157.5867607936048</v>
      </c>
      <c r="AV10" s="184">
        <f t="shared" si="14"/>
        <v>287.05334189032772</v>
      </c>
      <c r="AW10" s="181">
        <f t="shared" si="15"/>
        <v>4</v>
      </c>
      <c r="AX10" s="644"/>
    </row>
    <row r="11" spans="1:50" ht="14.25" customHeight="1">
      <c r="B11" s="633"/>
      <c r="C11" s="179">
        <v>5</v>
      </c>
      <c r="D11" s="182"/>
      <c r="E11" s="179"/>
      <c r="F11" s="179"/>
      <c r="G11" s="184"/>
      <c r="H11" s="644"/>
      <c r="I11" s="185"/>
      <c r="J11" s="185"/>
      <c r="K11" s="186"/>
      <c r="L11" s="645"/>
      <c r="M11" s="185"/>
      <c r="N11" s="633"/>
      <c r="O11" s="633"/>
      <c r="P11" s="187"/>
      <c r="Q11" s="187"/>
      <c r="R11" s="184"/>
      <c r="S11" s="181"/>
      <c r="T11" s="644"/>
      <c r="U11" s="187"/>
      <c r="V11" s="187"/>
      <c r="W11" s="184"/>
      <c r="X11" s="181"/>
      <c r="Y11" s="644"/>
      <c r="Z11" s="187"/>
      <c r="AA11" s="187"/>
      <c r="AB11" s="184"/>
      <c r="AC11" s="181"/>
      <c r="AD11" s="644"/>
      <c r="AE11" s="187"/>
      <c r="AF11" s="187"/>
      <c r="AG11" s="184"/>
      <c r="AH11" s="181"/>
      <c r="AI11" s="644"/>
      <c r="AJ11" s="187"/>
      <c r="AK11" s="187"/>
      <c r="AL11" s="184"/>
      <c r="AM11" s="181"/>
      <c r="AN11" s="644"/>
      <c r="AO11" s="187"/>
      <c r="AP11" s="187"/>
      <c r="AQ11" s="184"/>
      <c r="AR11" s="181"/>
      <c r="AS11" s="644"/>
      <c r="AT11" s="187"/>
      <c r="AU11" s="187"/>
      <c r="AV11" s="184"/>
      <c r="AW11" s="181"/>
      <c r="AX11" s="644"/>
    </row>
    <row r="12" spans="1:50" ht="14.25" customHeight="1">
      <c r="B12" s="633"/>
      <c r="C12" s="179">
        <v>6</v>
      </c>
      <c r="D12" s="182"/>
      <c r="E12" s="179"/>
      <c r="F12" s="179"/>
      <c r="G12" s="184"/>
      <c r="H12" s="644"/>
      <c r="I12" s="185"/>
      <c r="J12" s="185"/>
      <c r="K12" s="186"/>
      <c r="L12" s="645"/>
      <c r="M12" s="185"/>
      <c r="N12" s="633"/>
      <c r="O12" s="633"/>
      <c r="P12" s="187"/>
      <c r="Q12" s="187"/>
      <c r="R12" s="184"/>
      <c r="S12" s="181"/>
      <c r="T12" s="644"/>
      <c r="U12" s="187"/>
      <c r="V12" s="187"/>
      <c r="W12" s="184"/>
      <c r="X12" s="181"/>
      <c r="Y12" s="644"/>
      <c r="Z12" s="187"/>
      <c r="AA12" s="187"/>
      <c r="AB12" s="184"/>
      <c r="AC12" s="181"/>
      <c r="AD12" s="644"/>
      <c r="AE12" s="187"/>
      <c r="AF12" s="187"/>
      <c r="AG12" s="184"/>
      <c r="AH12" s="181"/>
      <c r="AI12" s="644"/>
      <c r="AJ12" s="187"/>
      <c r="AK12" s="187"/>
      <c r="AL12" s="184"/>
      <c r="AM12" s="181"/>
      <c r="AN12" s="644"/>
      <c r="AO12" s="187"/>
      <c r="AP12" s="187"/>
      <c r="AQ12" s="184"/>
      <c r="AR12" s="181"/>
      <c r="AS12" s="644"/>
      <c r="AT12" s="187"/>
      <c r="AU12" s="187"/>
      <c r="AV12" s="184"/>
      <c r="AW12" s="181"/>
      <c r="AX12" s="644"/>
    </row>
    <row r="13" spans="1:50" ht="14.25" customHeight="1">
      <c r="B13" s="633"/>
      <c r="C13" s="179">
        <v>7</v>
      </c>
      <c r="D13" s="182"/>
      <c r="E13" s="179"/>
      <c r="F13" s="179"/>
      <c r="G13" s="184"/>
      <c r="H13" s="644"/>
      <c r="I13" s="185"/>
      <c r="J13" s="185"/>
      <c r="K13" s="186"/>
      <c r="L13" s="645"/>
      <c r="M13" s="185"/>
      <c r="N13" s="633"/>
      <c r="O13" s="633"/>
      <c r="P13" s="187"/>
      <c r="Q13" s="187"/>
      <c r="R13" s="184"/>
      <c r="S13" s="181"/>
      <c r="T13" s="644"/>
      <c r="U13" s="187"/>
      <c r="V13" s="187"/>
      <c r="W13" s="184"/>
      <c r="X13" s="181"/>
      <c r="Y13" s="644"/>
      <c r="Z13" s="187"/>
      <c r="AA13" s="187"/>
      <c r="AB13" s="184"/>
      <c r="AC13" s="181"/>
      <c r="AD13" s="644"/>
      <c r="AE13" s="187"/>
      <c r="AF13" s="187"/>
      <c r="AG13" s="184"/>
      <c r="AH13" s="181"/>
      <c r="AI13" s="644"/>
      <c r="AJ13" s="187"/>
      <c r="AK13" s="187"/>
      <c r="AL13" s="184"/>
      <c r="AM13" s="181"/>
      <c r="AN13" s="644"/>
      <c r="AO13" s="187"/>
      <c r="AP13" s="187"/>
      <c r="AQ13" s="184"/>
      <c r="AR13" s="181"/>
      <c r="AS13" s="644"/>
      <c r="AT13" s="187"/>
      <c r="AU13" s="187"/>
      <c r="AV13" s="184"/>
      <c r="AW13" s="181"/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L22" sqref="L22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119.39248251748248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75" t="s">
        <v>218</v>
      </c>
      <c r="C7" s="179">
        <v>1</v>
      </c>
      <c r="D7" s="182" t="s">
        <v>219</v>
      </c>
      <c r="E7" s="183">
        <v>21</v>
      </c>
      <c r="F7" s="179">
        <v>2790</v>
      </c>
      <c r="G7" s="184">
        <f t="shared" ref="G7" si="0">IFERROR(F7/E7,"")</f>
        <v>132.85714285714286</v>
      </c>
      <c r="H7" s="644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645">
        <f>IFERROR(AVERAGE(K7:K21),"-")</f>
        <v>119.39248251748248</v>
      </c>
      <c r="M7" s="185">
        <f>RANK(K7, K$7:$K$21)</f>
        <v>1</v>
      </c>
      <c r="N7" s="633"/>
      <c r="O7" s="633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644">
        <f>AVERAGE(R7:R21)</f>
        <v>119.39248251748251</v>
      </c>
      <c r="U7" s="187">
        <v>22</v>
      </c>
      <c r="V7" s="187">
        <v>2626.6346153846152</v>
      </c>
      <c r="W7" s="184">
        <f t="shared" ref="W7" si="1">IFERROR(V7/U7,"")</f>
        <v>119.39248251748251</v>
      </c>
      <c r="X7" s="181">
        <f>RANK(W7, W$7:W$21)</f>
        <v>1</v>
      </c>
      <c r="Y7" s="644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644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644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644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644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644">
        <f>AVERAGE(AV7:AV21)</f>
        <v>119.39248251748251</v>
      </c>
    </row>
    <row r="8" spans="1:50" ht="14.25" customHeight="1">
      <c r="B8" s="633"/>
      <c r="C8" s="179">
        <v>2</v>
      </c>
      <c r="D8" s="182"/>
      <c r="E8" s="179"/>
      <c r="F8" s="179"/>
      <c r="G8" s="184"/>
      <c r="H8" s="644"/>
      <c r="I8" s="185"/>
      <c r="J8" s="185"/>
      <c r="K8" s="186"/>
      <c r="L8" s="645"/>
      <c r="M8" s="185"/>
      <c r="N8" s="633"/>
      <c r="O8" s="633"/>
      <c r="P8" s="187"/>
      <c r="Q8" s="187"/>
      <c r="R8" s="184"/>
      <c r="S8" s="181"/>
      <c r="T8" s="644"/>
      <c r="U8" s="187"/>
      <c r="V8" s="187"/>
      <c r="W8" s="184"/>
      <c r="X8" s="181"/>
      <c r="Y8" s="644"/>
      <c r="Z8" s="187"/>
      <c r="AA8" s="187"/>
      <c r="AB8" s="184"/>
      <c r="AC8" s="181"/>
      <c r="AD8" s="644"/>
      <c r="AE8" s="187"/>
      <c r="AF8" s="187"/>
      <c r="AG8" s="184"/>
      <c r="AH8" s="181"/>
      <c r="AI8" s="644"/>
      <c r="AJ8" s="187"/>
      <c r="AK8" s="187"/>
      <c r="AL8" s="184"/>
      <c r="AM8" s="181"/>
      <c r="AN8" s="644"/>
      <c r="AO8" s="187"/>
      <c r="AP8" s="187"/>
      <c r="AQ8" s="184"/>
      <c r="AR8" s="181"/>
      <c r="AS8" s="644"/>
      <c r="AT8" s="187"/>
      <c r="AU8" s="187"/>
      <c r="AV8" s="184"/>
      <c r="AW8" s="181"/>
      <c r="AX8" s="644"/>
    </row>
    <row r="9" spans="1:50" ht="14.25" customHeight="1">
      <c r="B9" s="633"/>
      <c r="C9" s="179">
        <v>3</v>
      </c>
      <c r="D9" s="182"/>
      <c r="E9" s="179"/>
      <c r="F9" s="179"/>
      <c r="G9" s="184"/>
      <c r="H9" s="644"/>
      <c r="I9" s="185"/>
      <c r="J9" s="185"/>
      <c r="K9" s="186"/>
      <c r="L9" s="645"/>
      <c r="M9" s="185"/>
      <c r="N9" s="633"/>
      <c r="O9" s="633"/>
      <c r="P9" s="187"/>
      <c r="Q9" s="187"/>
      <c r="R9" s="184"/>
      <c r="S9" s="181"/>
      <c r="T9" s="644"/>
      <c r="U9" s="187"/>
      <c r="V9" s="187"/>
      <c r="W9" s="184"/>
      <c r="X9" s="181"/>
      <c r="Y9" s="644"/>
      <c r="Z9" s="187"/>
      <c r="AA9" s="187"/>
      <c r="AB9" s="184"/>
      <c r="AC9" s="181"/>
      <c r="AD9" s="644"/>
      <c r="AE9" s="187"/>
      <c r="AF9" s="187"/>
      <c r="AG9" s="184"/>
      <c r="AH9" s="181"/>
      <c r="AI9" s="644"/>
      <c r="AJ9" s="187"/>
      <c r="AK9" s="187"/>
      <c r="AL9" s="184"/>
      <c r="AM9" s="181"/>
      <c r="AN9" s="644"/>
      <c r="AO9" s="187"/>
      <c r="AP9" s="187"/>
      <c r="AQ9" s="184"/>
      <c r="AR9" s="181"/>
      <c r="AS9" s="644"/>
      <c r="AT9" s="187"/>
      <c r="AU9" s="187"/>
      <c r="AV9" s="184"/>
      <c r="AW9" s="181"/>
      <c r="AX9" s="644"/>
    </row>
    <row r="10" spans="1:50" ht="14.25" customHeight="1">
      <c r="B10" s="633"/>
      <c r="C10" s="179">
        <v>4</v>
      </c>
      <c r="D10" s="182"/>
      <c r="E10" s="179"/>
      <c r="F10" s="179"/>
      <c r="G10" s="184"/>
      <c r="H10" s="644"/>
      <c r="I10" s="185"/>
      <c r="J10" s="185"/>
      <c r="K10" s="186"/>
      <c r="L10" s="645"/>
      <c r="M10" s="185"/>
      <c r="N10" s="633"/>
      <c r="O10" s="633"/>
      <c r="P10" s="187"/>
      <c r="Q10" s="187"/>
      <c r="R10" s="184"/>
      <c r="S10" s="181"/>
      <c r="T10" s="644"/>
      <c r="U10" s="187"/>
      <c r="V10" s="187"/>
      <c r="W10" s="184"/>
      <c r="X10" s="181"/>
      <c r="Y10" s="644"/>
      <c r="Z10" s="187"/>
      <c r="AA10" s="187"/>
      <c r="AB10" s="184"/>
      <c r="AC10" s="181"/>
      <c r="AD10" s="644"/>
      <c r="AE10" s="187"/>
      <c r="AF10" s="187"/>
      <c r="AG10" s="184"/>
      <c r="AH10" s="181"/>
      <c r="AI10" s="644"/>
      <c r="AJ10" s="187"/>
      <c r="AK10" s="187"/>
      <c r="AL10" s="184"/>
      <c r="AM10" s="181"/>
      <c r="AN10" s="644"/>
      <c r="AO10" s="187"/>
      <c r="AP10" s="187"/>
      <c r="AQ10" s="184"/>
      <c r="AR10" s="181"/>
      <c r="AS10" s="644"/>
      <c r="AT10" s="187"/>
      <c r="AU10" s="187"/>
      <c r="AV10" s="184"/>
      <c r="AW10" s="181"/>
      <c r="AX10" s="644"/>
    </row>
    <row r="11" spans="1:50" ht="14.25" customHeight="1">
      <c r="B11" s="633"/>
      <c r="C11" s="179">
        <v>5</v>
      </c>
      <c r="D11" s="182"/>
      <c r="E11" s="179"/>
      <c r="F11" s="179"/>
      <c r="G11" s="184"/>
      <c r="H11" s="644"/>
      <c r="I11" s="185"/>
      <c r="J11" s="185"/>
      <c r="K11" s="186"/>
      <c r="L11" s="645"/>
      <c r="M11" s="185"/>
      <c r="N11" s="633"/>
      <c r="O11" s="633"/>
      <c r="P11" s="187"/>
      <c r="Q11" s="187"/>
      <c r="R11" s="184"/>
      <c r="S11" s="181"/>
      <c r="T11" s="644"/>
      <c r="U11" s="187"/>
      <c r="V11" s="187"/>
      <c r="W11" s="184"/>
      <c r="X11" s="181"/>
      <c r="Y11" s="644"/>
      <c r="Z11" s="187"/>
      <c r="AA11" s="187"/>
      <c r="AB11" s="184"/>
      <c r="AC11" s="181"/>
      <c r="AD11" s="644"/>
      <c r="AE11" s="187"/>
      <c r="AF11" s="187"/>
      <c r="AG11" s="184"/>
      <c r="AH11" s="181"/>
      <c r="AI11" s="644"/>
      <c r="AJ11" s="187"/>
      <c r="AK11" s="187"/>
      <c r="AL11" s="184"/>
      <c r="AM11" s="181"/>
      <c r="AN11" s="644"/>
      <c r="AO11" s="187"/>
      <c r="AP11" s="187"/>
      <c r="AQ11" s="184"/>
      <c r="AR11" s="181"/>
      <c r="AS11" s="644"/>
      <c r="AT11" s="187"/>
      <c r="AU11" s="187"/>
      <c r="AV11" s="184"/>
      <c r="AW11" s="181"/>
      <c r="AX11" s="644"/>
    </row>
    <row r="12" spans="1:50" ht="14.25" customHeight="1">
      <c r="B12" s="633"/>
      <c r="C12" s="179">
        <v>6</v>
      </c>
      <c r="D12" s="182"/>
      <c r="E12" s="179"/>
      <c r="F12" s="179"/>
      <c r="G12" s="184"/>
      <c r="H12" s="644"/>
      <c r="I12" s="185"/>
      <c r="J12" s="185"/>
      <c r="K12" s="186"/>
      <c r="L12" s="645"/>
      <c r="M12" s="185"/>
      <c r="N12" s="633"/>
      <c r="O12" s="633"/>
      <c r="P12" s="187"/>
      <c r="Q12" s="187"/>
      <c r="R12" s="184"/>
      <c r="S12" s="181"/>
      <c r="T12" s="644"/>
      <c r="U12" s="187"/>
      <c r="V12" s="187"/>
      <c r="W12" s="184"/>
      <c r="X12" s="181"/>
      <c r="Y12" s="644"/>
      <c r="Z12" s="187"/>
      <c r="AA12" s="187"/>
      <c r="AB12" s="184"/>
      <c r="AC12" s="181"/>
      <c r="AD12" s="644"/>
      <c r="AE12" s="187"/>
      <c r="AF12" s="187"/>
      <c r="AG12" s="184"/>
      <c r="AH12" s="181"/>
      <c r="AI12" s="644"/>
      <c r="AJ12" s="187"/>
      <c r="AK12" s="187"/>
      <c r="AL12" s="184"/>
      <c r="AM12" s="181"/>
      <c r="AN12" s="644"/>
      <c r="AO12" s="187"/>
      <c r="AP12" s="187"/>
      <c r="AQ12" s="184"/>
      <c r="AR12" s="181"/>
      <c r="AS12" s="644"/>
      <c r="AT12" s="187"/>
      <c r="AU12" s="187"/>
      <c r="AV12" s="184"/>
      <c r="AW12" s="181"/>
      <c r="AX12" s="644"/>
    </row>
    <row r="13" spans="1:50" ht="14.25" customHeight="1">
      <c r="B13" s="633"/>
      <c r="C13" s="179">
        <v>7</v>
      </c>
      <c r="D13" s="182"/>
      <c r="E13" s="179"/>
      <c r="F13" s="179"/>
      <c r="G13" s="184"/>
      <c r="H13" s="644"/>
      <c r="I13" s="185"/>
      <c r="J13" s="185"/>
      <c r="K13" s="186"/>
      <c r="L13" s="645"/>
      <c r="M13" s="185"/>
      <c r="N13" s="633"/>
      <c r="O13" s="633"/>
      <c r="P13" s="187"/>
      <c r="Q13" s="187"/>
      <c r="R13" s="184"/>
      <c r="S13" s="181"/>
      <c r="T13" s="644"/>
      <c r="U13" s="187"/>
      <c r="V13" s="187"/>
      <c r="W13" s="184"/>
      <c r="X13" s="181"/>
      <c r="Y13" s="644"/>
      <c r="Z13" s="187"/>
      <c r="AA13" s="187"/>
      <c r="AB13" s="184"/>
      <c r="AC13" s="181"/>
      <c r="AD13" s="644"/>
      <c r="AE13" s="187"/>
      <c r="AF13" s="187"/>
      <c r="AG13" s="184"/>
      <c r="AH13" s="181"/>
      <c r="AI13" s="644"/>
      <c r="AJ13" s="187"/>
      <c r="AK13" s="187"/>
      <c r="AL13" s="184"/>
      <c r="AM13" s="181"/>
      <c r="AN13" s="644"/>
      <c r="AO13" s="187"/>
      <c r="AP13" s="187"/>
      <c r="AQ13" s="184"/>
      <c r="AR13" s="181"/>
      <c r="AS13" s="644"/>
      <c r="AT13" s="187"/>
      <c r="AU13" s="187"/>
      <c r="AV13" s="184"/>
      <c r="AW13" s="181"/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J28" sqref="J28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471.17142282877063</v>
      </c>
    </row>
    <row r="2" spans="1:50" ht="14.25" customHeight="1" collapsed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220</v>
      </c>
      <c r="C7" s="179">
        <v>1</v>
      </c>
      <c r="D7" s="182" t="s">
        <v>221</v>
      </c>
      <c r="E7" s="183">
        <v>6</v>
      </c>
      <c r="F7" s="179">
        <v>4200</v>
      </c>
      <c r="G7" s="184">
        <f t="shared" ref="G7:G13" si="0">IFERROR(F7/E7,"")</f>
        <v>700</v>
      </c>
      <c r="H7" s="644">
        <f>AVERAGE(G7:G21)</f>
        <v>521.07619047619039</v>
      </c>
      <c r="I7" s="185">
        <f>AVERAGE(P7,U7,Z7,AE7,AJ7,AO7,AT7)</f>
        <v>6</v>
      </c>
      <c r="J7" s="185">
        <f>AVERAGE(Q7,V7,AA7,AF7,AK7,AP7,AU7)</f>
        <v>3793.5354110402554</v>
      </c>
      <c r="K7" s="186">
        <f>AVERAGE(R7,W7,AB7,AG7,AL7,AQ7,AV7)</f>
        <v>632.25590184004261</v>
      </c>
      <c r="L7" s="645">
        <f>IFERROR(AVERAGE(K7:K21),"-")</f>
        <v>471.17142282877063</v>
      </c>
      <c r="M7" s="185">
        <f>RANK(K7, K$7:$K$21)</f>
        <v>1</v>
      </c>
      <c r="N7" s="633"/>
      <c r="O7" s="633"/>
      <c r="P7" s="187">
        <v>6</v>
      </c>
      <c r="Q7" s="187">
        <v>3793.0633729415749</v>
      </c>
      <c r="R7" s="184">
        <f>IFERROR(Q7/P7,"")</f>
        <v>632.17722882359578</v>
      </c>
      <c r="S7" s="181">
        <f>RANK(R7, R$7:R$21)</f>
        <v>1</v>
      </c>
      <c r="T7" s="644">
        <f>AVERAGE(R7:R21)</f>
        <v>471.15393743186331</v>
      </c>
      <c r="U7" s="187">
        <v>6</v>
      </c>
      <c r="V7" s="187">
        <v>3793.0633729415749</v>
      </c>
      <c r="W7" s="184">
        <f t="shared" ref="W7:W13" si="1">IFERROR(V7/U7,"")</f>
        <v>632.17722882359578</v>
      </c>
      <c r="X7" s="181">
        <f>RANK(W7, W$7:W$21)</f>
        <v>1</v>
      </c>
      <c r="Y7" s="644">
        <f>AVERAGE(W7:W21)</f>
        <v>450.88033874289903</v>
      </c>
      <c r="Z7" s="187">
        <v>6</v>
      </c>
      <c r="AA7" s="187">
        <v>3793.9033729415746</v>
      </c>
      <c r="AB7" s="184">
        <f>IFERROR(AA7/Z7,"")</f>
        <v>632.31722882359577</v>
      </c>
      <c r="AC7" s="181">
        <f>RANK(AB7, AB$7:AB$21)</f>
        <v>1</v>
      </c>
      <c r="AD7" s="644">
        <f>AVERAGE(AB7:AB21)</f>
        <v>450.9312565206767</v>
      </c>
      <c r="AE7" s="187">
        <v>6</v>
      </c>
      <c r="AF7" s="187">
        <v>3794.7433729415743</v>
      </c>
      <c r="AG7" s="184">
        <f>IFERROR(AF7/AE7,"")</f>
        <v>632.45722882359576</v>
      </c>
      <c r="AH7" s="181">
        <f>RANK(AG7, AG$7:AG$21)</f>
        <v>1</v>
      </c>
      <c r="AI7" s="644">
        <f>AVERAGE(AG7:AG21)</f>
        <v>450.95329874289899</v>
      </c>
      <c r="AJ7" s="187">
        <v>6</v>
      </c>
      <c r="AK7" s="187">
        <v>3794.3233729415747</v>
      </c>
      <c r="AL7" s="184">
        <f>IFERROR(AK7/AJ7,"")</f>
        <v>632.38722882359582</v>
      </c>
      <c r="AM7" s="181">
        <f>RANK(AL7, AL$7:AL$21)</f>
        <v>1</v>
      </c>
      <c r="AN7" s="644">
        <f>AVERAGE(AL7:AL21)</f>
        <v>450.89822874289894</v>
      </c>
      <c r="AO7" s="187">
        <v>6</v>
      </c>
      <c r="AP7" s="187">
        <v>3793.6655062869572</v>
      </c>
      <c r="AQ7" s="184">
        <f>IFERROR(AP7/AO7,"")</f>
        <v>632.2775843811595</v>
      </c>
      <c r="AR7" s="181">
        <f>RANK(AQ7, AQ$7:AQ$21)</f>
        <v>1</v>
      </c>
      <c r="AS7" s="644">
        <f>AVERAGE(AQ7:AQ21)</f>
        <v>450.88037133582628</v>
      </c>
      <c r="AT7" s="187">
        <v>6</v>
      </c>
      <c r="AU7" s="187">
        <v>3791.9855062869574</v>
      </c>
      <c r="AV7" s="184">
        <f>IFERROR(AU7/AT7,"")</f>
        <v>631.99758438115953</v>
      </c>
      <c r="AW7" s="181">
        <f>RANK(AV7, AV$7:AV$21)</f>
        <v>2</v>
      </c>
      <c r="AX7" s="644">
        <f>AVERAGE(AV7:AV21)</f>
        <v>450.82600244693725</v>
      </c>
    </row>
    <row r="8" spans="1:50" ht="14.25" customHeight="1">
      <c r="B8" s="633"/>
      <c r="C8" s="179">
        <v>2</v>
      </c>
      <c r="D8" s="182" t="s">
        <v>222</v>
      </c>
      <c r="E8" s="179">
        <v>6</v>
      </c>
      <c r="F8" s="179">
        <v>4200</v>
      </c>
      <c r="G8" s="184">
        <f t="shared" si="0"/>
        <v>700</v>
      </c>
      <c r="H8" s="644"/>
      <c r="I8" s="185">
        <f t="shared" ref="I8:K13" si="2">AVERAGE(P8,U8,Z8,AE8,AJ8,AO8,AT8)</f>
        <v>6</v>
      </c>
      <c r="J8" s="185">
        <f t="shared" si="2"/>
        <v>3792.2417064881588</v>
      </c>
      <c r="K8" s="186">
        <f t="shared" si="2"/>
        <v>632.04028441469313</v>
      </c>
      <c r="L8" s="645"/>
      <c r="M8" s="185">
        <f>RANK(K8, K$7:$K$21)</f>
        <v>2</v>
      </c>
      <c r="N8" s="633"/>
      <c r="O8" s="633"/>
      <c r="P8" s="187">
        <v>6</v>
      </c>
      <c r="Q8" s="187">
        <v>3792.4217064881586</v>
      </c>
      <c r="R8" s="184">
        <f t="shared" ref="R8:R13" si="3">IFERROR(Q8/P8,"")</f>
        <v>632.07028441469311</v>
      </c>
      <c r="S8" s="181">
        <f t="shared" ref="S8:S13" si="4">RANK(R8, R$7:R$21)</f>
        <v>2</v>
      </c>
      <c r="T8" s="644"/>
      <c r="U8" s="187">
        <v>6</v>
      </c>
      <c r="V8" s="187">
        <v>3792.001706488159</v>
      </c>
      <c r="W8" s="184">
        <f t="shared" si="1"/>
        <v>632.00028441469317</v>
      </c>
      <c r="X8" s="181">
        <f t="shared" ref="X8:X13" si="5">RANK(W8, W$7:W$21)</f>
        <v>2</v>
      </c>
      <c r="Y8" s="644"/>
      <c r="Z8" s="187">
        <v>6</v>
      </c>
      <c r="AA8" s="187">
        <v>3792.4217064881586</v>
      </c>
      <c r="AB8" s="184">
        <f t="shared" ref="AB8:AB13" si="6">IFERROR(AA8/Z8,"")</f>
        <v>632.07028441469311</v>
      </c>
      <c r="AC8" s="181">
        <f t="shared" ref="AC8:AC13" si="7">RANK(AB8, AB$7:AB$21)</f>
        <v>2</v>
      </c>
      <c r="AD8" s="644"/>
      <c r="AE8" s="187">
        <v>6</v>
      </c>
      <c r="AF8" s="187">
        <v>3792.8417064881587</v>
      </c>
      <c r="AG8" s="184">
        <f t="shared" ref="AG8:AG13" si="8">IFERROR(AF8/AE8,"")</f>
        <v>632.14028441469316</v>
      </c>
      <c r="AH8" s="181">
        <f t="shared" ref="AH8:AH13" si="9">RANK(AG8, AG$7:AG$21)</f>
        <v>2</v>
      </c>
      <c r="AI8" s="644"/>
      <c r="AJ8" s="187">
        <v>6</v>
      </c>
      <c r="AK8" s="187">
        <v>3792.0017064881595</v>
      </c>
      <c r="AL8" s="184">
        <f t="shared" ref="AL8:AL13" si="10">IFERROR(AK8/AJ8,"")</f>
        <v>632.00028441469328</v>
      </c>
      <c r="AM8" s="181">
        <f t="shared" ref="AM8:AM13" si="11">RANK(AL8, AL$7:AL$21)</f>
        <v>2</v>
      </c>
      <c r="AN8" s="644"/>
      <c r="AO8" s="187">
        <v>6</v>
      </c>
      <c r="AP8" s="187">
        <v>3791.5817064881594</v>
      </c>
      <c r="AQ8" s="184">
        <f t="shared" ref="AQ8:AQ13" si="12">IFERROR(AP8/AO8,"")</f>
        <v>631.93028441469323</v>
      </c>
      <c r="AR8" s="181">
        <f t="shared" ref="AR8:AR13" si="13">RANK(AQ8, AQ$7:AQ$21)</f>
        <v>2</v>
      </c>
      <c r="AS8" s="644"/>
      <c r="AT8" s="187">
        <v>6</v>
      </c>
      <c r="AU8" s="187">
        <v>3792.4217064881586</v>
      </c>
      <c r="AV8" s="184">
        <f t="shared" ref="AV8:AV13" si="14">IFERROR(AU8/AT8,"")</f>
        <v>632.07028441469311</v>
      </c>
      <c r="AW8" s="181">
        <f t="shared" ref="AW8:AW13" si="15">RANK(AV8, AV$7:AV$21)</f>
        <v>1</v>
      </c>
      <c r="AX8" s="644"/>
    </row>
    <row r="9" spans="1:50" ht="14.25" customHeight="1">
      <c r="B9" s="633"/>
      <c r="C9" s="179">
        <v>3</v>
      </c>
      <c r="D9" s="182" t="s">
        <v>223</v>
      </c>
      <c r="E9" s="179">
        <v>20</v>
      </c>
      <c r="F9" s="179">
        <v>2100</v>
      </c>
      <c r="G9" s="184">
        <f t="shared" si="0"/>
        <v>105</v>
      </c>
      <c r="H9" s="644"/>
      <c r="I9" s="185">
        <f t="shared" si="2"/>
        <v>20</v>
      </c>
      <c r="J9" s="185">
        <f t="shared" si="2"/>
        <v>1896.5483422374982</v>
      </c>
      <c r="K9" s="186">
        <f t="shared" si="2"/>
        <v>94.827417111874894</v>
      </c>
      <c r="L9" s="645"/>
      <c r="M9" s="185">
        <f>RANK(K9, K$7:$K$21)</f>
        <v>7</v>
      </c>
      <c r="N9" s="633"/>
      <c r="O9" s="633"/>
      <c r="P9" s="187">
        <v>20</v>
      </c>
      <c r="Q9" s="187">
        <v>1896.0083422374978</v>
      </c>
      <c r="R9" s="184">
        <f t="shared" si="3"/>
        <v>94.800417111874893</v>
      </c>
      <c r="S9" s="181">
        <f t="shared" si="4"/>
        <v>7</v>
      </c>
      <c r="T9" s="644"/>
      <c r="U9" s="187">
        <v>20</v>
      </c>
      <c r="V9" s="187">
        <v>1896.8483422374979</v>
      </c>
      <c r="W9" s="184">
        <f t="shared" si="1"/>
        <v>94.842417111874894</v>
      </c>
      <c r="X9" s="181">
        <f t="shared" si="5"/>
        <v>6</v>
      </c>
      <c r="Y9" s="644"/>
      <c r="Z9" s="187">
        <v>20</v>
      </c>
      <c r="AA9" s="187">
        <v>1897.6883422374979</v>
      </c>
      <c r="AB9" s="184">
        <f t="shared" si="6"/>
        <v>94.884417111874896</v>
      </c>
      <c r="AC9" s="181">
        <f t="shared" si="7"/>
        <v>6</v>
      </c>
      <c r="AD9" s="644"/>
      <c r="AE9" s="187">
        <v>20</v>
      </c>
      <c r="AF9" s="187">
        <v>1896.8483422374982</v>
      </c>
      <c r="AG9" s="184">
        <f t="shared" si="8"/>
        <v>94.842417111874909</v>
      </c>
      <c r="AH9" s="181">
        <f t="shared" si="9"/>
        <v>6</v>
      </c>
      <c r="AI9" s="644"/>
      <c r="AJ9" s="187">
        <v>20</v>
      </c>
      <c r="AK9" s="187">
        <v>1897.0583422374984</v>
      </c>
      <c r="AL9" s="184">
        <f t="shared" si="10"/>
        <v>94.852917111874916</v>
      </c>
      <c r="AM9" s="181">
        <f t="shared" si="11"/>
        <v>6</v>
      </c>
      <c r="AN9" s="644"/>
      <c r="AO9" s="187">
        <v>20</v>
      </c>
      <c r="AP9" s="187">
        <v>1896.0083422374985</v>
      </c>
      <c r="AQ9" s="184">
        <f t="shared" si="12"/>
        <v>94.800417111874921</v>
      </c>
      <c r="AR9" s="181">
        <f t="shared" si="13"/>
        <v>6</v>
      </c>
      <c r="AS9" s="644"/>
      <c r="AT9" s="187">
        <v>20</v>
      </c>
      <c r="AU9" s="187">
        <v>1895.3783422374986</v>
      </c>
      <c r="AV9" s="184">
        <f t="shared" si="14"/>
        <v>94.768917111874927</v>
      </c>
      <c r="AW9" s="181">
        <f t="shared" si="15"/>
        <v>6</v>
      </c>
      <c r="AX9" s="644"/>
    </row>
    <row r="10" spans="1:50" ht="14.25" customHeight="1">
      <c r="B10" s="633"/>
      <c r="C10" s="179">
        <v>4</v>
      </c>
      <c r="D10" s="182" t="s">
        <v>224</v>
      </c>
      <c r="E10" s="179">
        <v>5</v>
      </c>
      <c r="F10" s="179">
        <v>3273</v>
      </c>
      <c r="G10" s="184">
        <f t="shared" si="0"/>
        <v>654.6</v>
      </c>
      <c r="H10" s="644"/>
      <c r="I10" s="185">
        <f t="shared" si="2"/>
        <v>5</v>
      </c>
      <c r="J10" s="185">
        <f t="shared" si="2"/>
        <v>2964.2543144949136</v>
      </c>
      <c r="K10" s="186">
        <f t="shared" si="2"/>
        <v>592.85086289898277</v>
      </c>
      <c r="L10" s="645"/>
      <c r="M10" s="185">
        <f>RANK(K10, K$7:$K$21)</f>
        <v>4</v>
      </c>
      <c r="N10" s="633"/>
      <c r="O10" s="633"/>
      <c r="P10" s="187">
        <v>5</v>
      </c>
      <c r="Q10" s="187">
        <v>2964.2543144949136</v>
      </c>
      <c r="R10" s="184">
        <f t="shared" si="3"/>
        <v>592.85086289898277</v>
      </c>
      <c r="S10" s="181">
        <f t="shared" si="4"/>
        <v>3</v>
      </c>
      <c r="T10" s="644"/>
      <c r="U10" s="187"/>
      <c r="V10" s="187"/>
      <c r="W10" s="184"/>
      <c r="X10" s="181"/>
      <c r="Y10" s="644"/>
      <c r="Z10" s="187"/>
      <c r="AA10" s="187"/>
      <c r="AB10" s="184"/>
      <c r="AC10" s="181"/>
      <c r="AD10" s="644"/>
      <c r="AE10" s="187"/>
      <c r="AF10" s="187"/>
      <c r="AG10" s="184"/>
      <c r="AH10" s="181"/>
      <c r="AI10" s="644"/>
      <c r="AJ10" s="187"/>
      <c r="AK10" s="187"/>
      <c r="AL10" s="184"/>
      <c r="AM10" s="181"/>
      <c r="AN10" s="644"/>
      <c r="AO10" s="187"/>
      <c r="AP10" s="187"/>
      <c r="AQ10" s="184"/>
      <c r="AR10" s="181"/>
      <c r="AS10" s="644"/>
      <c r="AT10" s="187"/>
      <c r="AU10" s="187"/>
      <c r="AV10" s="184"/>
      <c r="AW10" s="181"/>
      <c r="AX10" s="644"/>
    </row>
    <row r="11" spans="1:50" ht="14.25" customHeight="1">
      <c r="B11" s="633"/>
      <c r="C11" s="179">
        <v>5</v>
      </c>
      <c r="D11" s="182" t="s">
        <v>225</v>
      </c>
      <c r="E11" s="179">
        <v>6</v>
      </c>
      <c r="F11" s="179">
        <v>2500</v>
      </c>
      <c r="G11" s="184">
        <f t="shared" si="0"/>
        <v>416.66666666666669</v>
      </c>
      <c r="H11" s="644"/>
      <c r="I11" s="185">
        <f t="shared" si="2"/>
        <v>6</v>
      </c>
      <c r="J11" s="185">
        <f t="shared" si="2"/>
        <v>2259.7799416224111</v>
      </c>
      <c r="K11" s="186">
        <f t="shared" si="2"/>
        <v>376.62999027040189</v>
      </c>
      <c r="L11" s="645"/>
      <c r="M11" s="185">
        <f>RANK(K11, K$7:$K$21)</f>
        <v>6</v>
      </c>
      <c r="N11" s="633"/>
      <c r="O11" s="633"/>
      <c r="P11" s="187">
        <v>6</v>
      </c>
      <c r="Q11" s="187">
        <v>2260.10137019384</v>
      </c>
      <c r="R11" s="184">
        <f t="shared" si="3"/>
        <v>376.68356169897334</v>
      </c>
      <c r="S11" s="181">
        <f t="shared" si="4"/>
        <v>6</v>
      </c>
      <c r="T11" s="644"/>
      <c r="U11" s="187">
        <v>6</v>
      </c>
      <c r="V11" s="187">
        <v>2260.60137019384</v>
      </c>
      <c r="W11" s="184">
        <f t="shared" si="1"/>
        <v>376.76689503230665</v>
      </c>
      <c r="X11" s="181">
        <f t="shared" si="5"/>
        <v>4</v>
      </c>
      <c r="Y11" s="644"/>
      <c r="Z11" s="187">
        <v>6</v>
      </c>
      <c r="AA11" s="187">
        <v>2259.85137019384</v>
      </c>
      <c r="AB11" s="184">
        <f t="shared" si="6"/>
        <v>376.64189503230665</v>
      </c>
      <c r="AC11" s="181">
        <f t="shared" si="7"/>
        <v>5</v>
      </c>
      <c r="AD11" s="644"/>
      <c r="AE11" s="187">
        <v>6</v>
      </c>
      <c r="AF11" s="187">
        <v>2258.8513701938405</v>
      </c>
      <c r="AG11" s="184">
        <f t="shared" si="8"/>
        <v>376.47522836564008</v>
      </c>
      <c r="AH11" s="181">
        <f t="shared" si="9"/>
        <v>5</v>
      </c>
      <c r="AI11" s="644"/>
      <c r="AJ11" s="187">
        <v>6</v>
      </c>
      <c r="AK11" s="187">
        <v>2259.60137019384</v>
      </c>
      <c r="AL11" s="184">
        <f t="shared" si="10"/>
        <v>376.60022836564002</v>
      </c>
      <c r="AM11" s="181">
        <f t="shared" si="11"/>
        <v>4</v>
      </c>
      <c r="AN11" s="644"/>
      <c r="AO11" s="187">
        <v>6</v>
      </c>
      <c r="AP11" s="187">
        <v>2260.1013701938396</v>
      </c>
      <c r="AQ11" s="184">
        <f t="shared" si="12"/>
        <v>376.68356169897328</v>
      </c>
      <c r="AR11" s="181">
        <f t="shared" si="13"/>
        <v>4</v>
      </c>
      <c r="AS11" s="644"/>
      <c r="AT11" s="187">
        <v>6</v>
      </c>
      <c r="AU11" s="187">
        <v>2259.3513701938396</v>
      </c>
      <c r="AV11" s="184">
        <f t="shared" si="14"/>
        <v>376.55856169897328</v>
      </c>
      <c r="AW11" s="181">
        <f t="shared" si="15"/>
        <v>5</v>
      </c>
      <c r="AX11" s="644"/>
    </row>
    <row r="12" spans="1:50" ht="14.25" customHeight="1">
      <c r="B12" s="633"/>
      <c r="C12" s="179">
        <v>6</v>
      </c>
      <c r="D12" s="182" t="s">
        <v>226</v>
      </c>
      <c r="E12" s="179">
        <v>6</v>
      </c>
      <c r="F12" s="179">
        <v>2500</v>
      </c>
      <c r="G12" s="184">
        <f t="shared" si="0"/>
        <v>416.66666666666669</v>
      </c>
      <c r="H12" s="644"/>
      <c r="I12" s="185">
        <f t="shared" si="2"/>
        <v>6</v>
      </c>
      <c r="J12" s="185">
        <f t="shared" si="2"/>
        <v>2259.9071897104959</v>
      </c>
      <c r="K12" s="186">
        <f t="shared" si="2"/>
        <v>376.65119828508261</v>
      </c>
      <c r="L12" s="645"/>
      <c r="M12" s="185">
        <f>RANK(K12, K$7:$K$21)</f>
        <v>5</v>
      </c>
      <c r="N12" s="633"/>
      <c r="O12" s="633"/>
      <c r="P12" s="187">
        <v>6</v>
      </c>
      <c r="Q12" s="187">
        <v>2260.3714754247821</v>
      </c>
      <c r="R12" s="184">
        <f t="shared" si="3"/>
        <v>376.72857923746369</v>
      </c>
      <c r="S12" s="181">
        <f t="shared" si="4"/>
        <v>5</v>
      </c>
      <c r="T12" s="644"/>
      <c r="U12" s="187">
        <v>6</v>
      </c>
      <c r="V12" s="187">
        <v>2260.3714754247821</v>
      </c>
      <c r="W12" s="184">
        <f t="shared" si="1"/>
        <v>376.72857923746369</v>
      </c>
      <c r="X12" s="181">
        <f t="shared" si="5"/>
        <v>5</v>
      </c>
      <c r="Y12" s="644"/>
      <c r="Z12" s="187">
        <v>6</v>
      </c>
      <c r="AA12" s="187">
        <v>2259.8714754247821</v>
      </c>
      <c r="AB12" s="184">
        <f t="shared" si="6"/>
        <v>376.64524590413038</v>
      </c>
      <c r="AC12" s="181">
        <f t="shared" si="7"/>
        <v>4</v>
      </c>
      <c r="AD12" s="644"/>
      <c r="AE12" s="187">
        <v>6</v>
      </c>
      <c r="AF12" s="187">
        <v>2259.8714754247817</v>
      </c>
      <c r="AG12" s="184">
        <f t="shared" si="8"/>
        <v>376.64524590413026</v>
      </c>
      <c r="AH12" s="181">
        <f t="shared" si="9"/>
        <v>4</v>
      </c>
      <c r="AI12" s="644"/>
      <c r="AJ12" s="187">
        <v>6</v>
      </c>
      <c r="AK12" s="187">
        <v>2259.1214754247817</v>
      </c>
      <c r="AL12" s="184">
        <f t="shared" si="10"/>
        <v>376.52024590413026</v>
      </c>
      <c r="AM12" s="181">
        <f t="shared" si="11"/>
        <v>5</v>
      </c>
      <c r="AN12" s="644"/>
      <c r="AO12" s="187">
        <v>6</v>
      </c>
      <c r="AP12" s="187">
        <v>2259.3714754247817</v>
      </c>
      <c r="AQ12" s="184">
        <f t="shared" si="12"/>
        <v>376.56191257079695</v>
      </c>
      <c r="AR12" s="181">
        <f t="shared" si="13"/>
        <v>5</v>
      </c>
      <c r="AS12" s="644"/>
      <c r="AT12" s="187">
        <v>6</v>
      </c>
      <c r="AU12" s="187">
        <v>2260.3714754247808</v>
      </c>
      <c r="AV12" s="184">
        <f t="shared" si="14"/>
        <v>376.72857923746346</v>
      </c>
      <c r="AW12" s="181">
        <f t="shared" si="15"/>
        <v>4</v>
      </c>
      <c r="AX12" s="644"/>
    </row>
    <row r="13" spans="1:50" ht="14.25" customHeight="1">
      <c r="B13" s="633"/>
      <c r="C13" s="179">
        <v>7</v>
      </c>
      <c r="D13" s="182" t="s">
        <v>227</v>
      </c>
      <c r="E13" s="179">
        <v>5</v>
      </c>
      <c r="F13" s="179">
        <v>3273</v>
      </c>
      <c r="G13" s="184">
        <f t="shared" si="0"/>
        <v>654.6</v>
      </c>
      <c r="H13" s="644"/>
      <c r="I13" s="185">
        <f t="shared" si="2"/>
        <v>5</v>
      </c>
      <c r="J13" s="185">
        <f t="shared" si="2"/>
        <v>2964.7215249015835</v>
      </c>
      <c r="K13" s="186">
        <f t="shared" si="2"/>
        <v>592.9443049803167</v>
      </c>
      <c r="L13" s="645"/>
      <c r="M13" s="185">
        <f>RANK(K13, K$7:$K$21)</f>
        <v>3</v>
      </c>
      <c r="N13" s="633"/>
      <c r="O13" s="633"/>
      <c r="P13" s="187">
        <v>5</v>
      </c>
      <c r="Q13" s="187">
        <v>2963.8331391872989</v>
      </c>
      <c r="R13" s="184">
        <f t="shared" si="3"/>
        <v>592.76662783745974</v>
      </c>
      <c r="S13" s="181">
        <f t="shared" si="4"/>
        <v>4</v>
      </c>
      <c r="T13" s="644"/>
      <c r="U13" s="187">
        <v>5</v>
      </c>
      <c r="V13" s="187">
        <v>2963.8331391872985</v>
      </c>
      <c r="W13" s="184">
        <f t="shared" si="1"/>
        <v>592.76662783745974</v>
      </c>
      <c r="X13" s="181">
        <f t="shared" si="5"/>
        <v>3</v>
      </c>
      <c r="Y13" s="644"/>
      <c r="Z13" s="187">
        <v>5</v>
      </c>
      <c r="AA13" s="187">
        <v>2965.1423391872977</v>
      </c>
      <c r="AB13" s="184">
        <f t="shared" si="6"/>
        <v>593.02846783745952</v>
      </c>
      <c r="AC13" s="181">
        <f t="shared" si="7"/>
        <v>3</v>
      </c>
      <c r="AD13" s="644"/>
      <c r="AE13" s="187">
        <v>5</v>
      </c>
      <c r="AF13" s="187">
        <v>2965.7969391872975</v>
      </c>
      <c r="AG13" s="184">
        <f t="shared" si="8"/>
        <v>593.15938783745946</v>
      </c>
      <c r="AH13" s="181">
        <f t="shared" si="9"/>
        <v>3</v>
      </c>
      <c r="AI13" s="644"/>
      <c r="AJ13" s="187">
        <v>5</v>
      </c>
      <c r="AK13" s="187">
        <v>2965.1423391872972</v>
      </c>
      <c r="AL13" s="184">
        <f t="shared" si="10"/>
        <v>593.0284678374594</v>
      </c>
      <c r="AM13" s="181">
        <f t="shared" si="11"/>
        <v>3</v>
      </c>
      <c r="AN13" s="644"/>
      <c r="AO13" s="187">
        <v>5</v>
      </c>
      <c r="AP13" s="187">
        <v>2965.1423391872968</v>
      </c>
      <c r="AQ13" s="184">
        <f t="shared" si="12"/>
        <v>593.0284678374594</v>
      </c>
      <c r="AR13" s="181">
        <f t="shared" si="13"/>
        <v>3</v>
      </c>
      <c r="AS13" s="644"/>
      <c r="AT13" s="187">
        <v>5</v>
      </c>
      <c r="AU13" s="187">
        <v>2964.160439187297</v>
      </c>
      <c r="AV13" s="184">
        <f t="shared" si="14"/>
        <v>592.83208783745943</v>
      </c>
      <c r="AW13" s="181">
        <f t="shared" si="15"/>
        <v>3</v>
      </c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L22" sqref="L22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84.966441948873936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228</v>
      </c>
      <c r="C7" s="179">
        <v>1</v>
      </c>
      <c r="D7" s="182" t="s">
        <v>229</v>
      </c>
      <c r="E7" s="183">
        <v>24</v>
      </c>
      <c r="F7" s="179">
        <v>2000</v>
      </c>
      <c r="G7" s="184">
        <f t="shared" ref="G7:G14" si="0">IFERROR(F7/E7,"")</f>
        <v>83.333333333333329</v>
      </c>
      <c r="H7" s="644">
        <f>AVERAGE(G7:G21)</f>
        <v>92.03329882677707</v>
      </c>
      <c r="I7" s="185">
        <f>AVERAGE(P7,U7,Z7,AE7,AJ7,AO7,AT7)</f>
        <v>24</v>
      </c>
      <c r="J7" s="185">
        <f>AVERAGE(Q7,V7,AA7,AF7,AK7,AP7,AU7)</f>
        <v>1806.3548219448387</v>
      </c>
      <c r="K7" s="186">
        <f>AVERAGE(R7,W7,AB7,AG7,AL7,AQ7,AV7)</f>
        <v>75.264784247701613</v>
      </c>
      <c r="L7" s="645">
        <f>IFERROR(AVERAGE(K7:K21),"-")</f>
        <v>84.966441948873936</v>
      </c>
      <c r="M7" s="185">
        <f>RANK(K7, K$7:$K$21)</f>
        <v>8</v>
      </c>
      <c r="N7" s="633"/>
      <c r="O7" s="633"/>
      <c r="P7" s="187">
        <v>24</v>
      </c>
      <c r="Q7" s="187">
        <v>1806.7548219448383</v>
      </c>
      <c r="R7" s="184">
        <f>IFERROR(Q7/P7,"")</f>
        <v>75.281450914368264</v>
      </c>
      <c r="S7" s="181">
        <f>RANK(R7, R$7:R$21)</f>
        <v>8</v>
      </c>
      <c r="T7" s="644">
        <f>AVERAGE(R7:R21)</f>
        <v>84.958088686516362</v>
      </c>
      <c r="U7" s="187">
        <v>24</v>
      </c>
      <c r="V7" s="187">
        <v>1806.5548219448385</v>
      </c>
      <c r="W7" s="184">
        <f t="shared" ref="W7:W14" si="1">IFERROR(V7/U7,"")</f>
        <v>75.273117581034938</v>
      </c>
      <c r="X7" s="181">
        <f>RANK(W7, W$7:W$21)</f>
        <v>8</v>
      </c>
      <c r="Y7" s="644">
        <f>AVERAGE(W7:W21)</f>
        <v>84.971688098249004</v>
      </c>
      <c r="Z7" s="187">
        <v>24</v>
      </c>
      <c r="AA7" s="187">
        <v>1806.1548219448387</v>
      </c>
      <c r="AB7" s="184">
        <f>IFERROR(AA7/Z7,"")</f>
        <v>75.256450914368273</v>
      </c>
      <c r="AC7" s="181">
        <f>RANK(AB7, AB$7:AB$21)</f>
        <v>8</v>
      </c>
      <c r="AD7" s="644">
        <f>AVERAGE(AB7:AB21)</f>
        <v>84.976361730859935</v>
      </c>
      <c r="AE7" s="187">
        <v>24</v>
      </c>
      <c r="AF7" s="187">
        <v>1805.9548219448384</v>
      </c>
      <c r="AG7" s="184">
        <f>IFERROR(AF7/AE7,"")</f>
        <v>75.248117581034933</v>
      </c>
      <c r="AH7" s="181">
        <f>RANK(AG7, AG$7:AG$21)</f>
        <v>8</v>
      </c>
      <c r="AI7" s="644">
        <f>AVERAGE(AG7:AG21)</f>
        <v>84.968739963045266</v>
      </c>
      <c r="AJ7" s="187">
        <v>24</v>
      </c>
      <c r="AK7" s="187">
        <v>1806.7548219448386</v>
      </c>
      <c r="AL7" s="184">
        <f>IFERROR(AK7/AJ7,"")</f>
        <v>75.281450914368278</v>
      </c>
      <c r="AM7" s="181">
        <f>RANK(AL7, AL$7:AL$21)</f>
        <v>8</v>
      </c>
      <c r="AN7" s="644">
        <f>AVERAGE(AL7:AL21)</f>
        <v>84.969835989556572</v>
      </c>
      <c r="AO7" s="187">
        <v>24</v>
      </c>
      <c r="AP7" s="187">
        <v>1806.5548219448387</v>
      </c>
      <c r="AQ7" s="184">
        <f>IFERROR(AP7/AO7,"")</f>
        <v>75.273117581034953</v>
      </c>
      <c r="AR7" s="181">
        <f>RANK(AQ7, AQ$7:AQ$21)</f>
        <v>8</v>
      </c>
      <c r="AS7" s="644">
        <f>AVERAGE(AQ7:AQ21)</f>
        <v>84.96209055099213</v>
      </c>
      <c r="AT7" s="187">
        <v>24</v>
      </c>
      <c r="AU7" s="187">
        <v>1805.7548219448395</v>
      </c>
      <c r="AV7" s="184">
        <f>IFERROR(AU7/AT7,"")</f>
        <v>75.23978424770165</v>
      </c>
      <c r="AW7" s="181">
        <f>RANK(AV7, AV$7:AV$21)</f>
        <v>8</v>
      </c>
      <c r="AX7" s="644">
        <f>AVERAGE(AV7:AV21)</f>
        <v>84.958288622898223</v>
      </c>
    </row>
    <row r="8" spans="1:50" ht="14.25" customHeight="1">
      <c r="B8" s="633"/>
      <c r="C8" s="179">
        <v>2</v>
      </c>
      <c r="D8" s="182" t="s">
        <v>230</v>
      </c>
      <c r="E8" s="179">
        <v>21</v>
      </c>
      <c r="F8" s="179">
        <v>1800</v>
      </c>
      <c r="G8" s="184">
        <f t="shared" si="0"/>
        <v>85.714285714285708</v>
      </c>
      <c r="H8" s="644"/>
      <c r="I8" s="185">
        <f t="shared" ref="I8:K14" si="2">AVERAGE(P8,U8,Z8,AE8,AJ8,AO8,AT8)</f>
        <v>21</v>
      </c>
      <c r="J8" s="185">
        <f t="shared" si="2"/>
        <v>1627.176353186979</v>
      </c>
      <c r="K8" s="186">
        <f t="shared" si="2"/>
        <v>77.48458824699901</v>
      </c>
      <c r="L8" s="645"/>
      <c r="M8" s="185">
        <f>RANK(K8, K$7:$K$21)</f>
        <v>7</v>
      </c>
      <c r="N8" s="633"/>
      <c r="O8" s="633"/>
      <c r="P8" s="187">
        <v>21</v>
      </c>
      <c r="Q8" s="187">
        <v>1626.4049246155505</v>
      </c>
      <c r="R8" s="184">
        <f t="shared" ref="R8:R14" si="3">IFERROR(Q8/P8,"")</f>
        <v>77.447853553121448</v>
      </c>
      <c r="S8" s="181">
        <f t="shared" ref="S8:S14" si="4">RANK(R8, R$7:R$21)</f>
        <v>7</v>
      </c>
      <c r="T8" s="644"/>
      <c r="U8" s="187">
        <v>21</v>
      </c>
      <c r="V8" s="187">
        <v>1627.1249246155503</v>
      </c>
      <c r="W8" s="184">
        <f t="shared" si="1"/>
        <v>77.482139267407163</v>
      </c>
      <c r="X8" s="181">
        <f t="shared" ref="X8:X14" si="5">RANK(W8, W$7:W$21)</f>
        <v>7</v>
      </c>
      <c r="Y8" s="644"/>
      <c r="Z8" s="187">
        <v>21</v>
      </c>
      <c r="AA8" s="187">
        <v>1627.1249246155505</v>
      </c>
      <c r="AB8" s="184">
        <f t="shared" ref="AB8:AB14" si="6">IFERROR(AA8/Z8,"")</f>
        <v>77.482139267407163</v>
      </c>
      <c r="AC8" s="181">
        <f t="shared" ref="AC8:AC14" si="7">RANK(AB8, AB$7:AB$21)</f>
        <v>7</v>
      </c>
      <c r="AD8" s="644"/>
      <c r="AE8" s="187">
        <v>21</v>
      </c>
      <c r="AF8" s="187">
        <v>1626.4049246155505</v>
      </c>
      <c r="AG8" s="184">
        <f t="shared" ref="AG8:AG14" si="8">IFERROR(AF8/AE8,"")</f>
        <v>77.447853553121448</v>
      </c>
      <c r="AH8" s="181">
        <f t="shared" ref="AH8:AH14" si="9">RANK(AG8, AG$7:AG$21)</f>
        <v>7</v>
      </c>
      <c r="AI8" s="644"/>
      <c r="AJ8" s="187">
        <v>21</v>
      </c>
      <c r="AK8" s="187">
        <v>1627.3049246155506</v>
      </c>
      <c r="AL8" s="184">
        <f t="shared" ref="AL8:AL14" si="10">IFERROR(AK8/AJ8,"")</f>
        <v>77.490710695978606</v>
      </c>
      <c r="AM8" s="181">
        <f t="shared" ref="AM8:AM14" si="11">RANK(AL8, AL$7:AL$21)</f>
        <v>7</v>
      </c>
      <c r="AN8" s="644"/>
      <c r="AO8" s="187">
        <v>21</v>
      </c>
      <c r="AP8" s="187">
        <v>1627.8449246155506</v>
      </c>
      <c r="AQ8" s="184">
        <f t="shared" ref="AQ8:AQ14" si="12">IFERROR(AP8/AO8,"")</f>
        <v>77.516424981692879</v>
      </c>
      <c r="AR8" s="181">
        <f t="shared" ref="AR8:AR14" si="13">RANK(AQ8, AQ$7:AQ$21)</f>
        <v>7</v>
      </c>
      <c r="AS8" s="644"/>
      <c r="AT8" s="187">
        <v>21</v>
      </c>
      <c r="AU8" s="187">
        <v>1628.0249246155508</v>
      </c>
      <c r="AV8" s="184">
        <f t="shared" ref="AV8:AV14" si="14">IFERROR(AU8/AT8,"")</f>
        <v>77.524996410264322</v>
      </c>
      <c r="AW8" s="181">
        <f t="shared" ref="AW8:AW14" si="15">RANK(AV8, AV$7:AV$21)</f>
        <v>7</v>
      </c>
      <c r="AX8" s="644"/>
    </row>
    <row r="9" spans="1:50" ht="14.25" customHeight="1">
      <c r="B9" s="633"/>
      <c r="C9" s="179">
        <v>3</v>
      </c>
      <c r="D9" s="182" t="s">
        <v>231</v>
      </c>
      <c r="E9" s="179">
        <v>23</v>
      </c>
      <c r="F9" s="179">
        <v>2000</v>
      </c>
      <c r="G9" s="184">
        <f t="shared" si="0"/>
        <v>86.956521739130437</v>
      </c>
      <c r="H9" s="644"/>
      <c r="I9" s="185">
        <f t="shared" si="2"/>
        <v>23</v>
      </c>
      <c r="J9" s="185">
        <f t="shared" si="2"/>
        <v>1804.7381485629787</v>
      </c>
      <c r="K9" s="186">
        <f t="shared" si="2"/>
        <v>78.46687602447733</v>
      </c>
      <c r="L9" s="645"/>
      <c r="M9" s="185">
        <f>RANK(K9, K$7:$K$21)</f>
        <v>5</v>
      </c>
      <c r="N9" s="633"/>
      <c r="O9" s="633"/>
      <c r="P9" s="187">
        <v>23</v>
      </c>
      <c r="Q9" s="187">
        <v>1803.96671999155</v>
      </c>
      <c r="R9" s="184">
        <f t="shared" si="3"/>
        <v>78.433335651806516</v>
      </c>
      <c r="S9" s="181">
        <f t="shared" si="4"/>
        <v>6</v>
      </c>
      <c r="T9" s="644"/>
      <c r="U9" s="187">
        <v>23</v>
      </c>
      <c r="V9" s="187">
        <v>1804.9667199915498</v>
      </c>
      <c r="W9" s="184">
        <f t="shared" si="1"/>
        <v>78.476813912676079</v>
      </c>
      <c r="X9" s="181">
        <f t="shared" si="5"/>
        <v>5</v>
      </c>
      <c r="Y9" s="644"/>
      <c r="Z9" s="187">
        <v>23</v>
      </c>
      <c r="AA9" s="187">
        <v>1805.1667199915498</v>
      </c>
      <c r="AB9" s="184">
        <f t="shared" si="6"/>
        <v>78.485509564849991</v>
      </c>
      <c r="AC9" s="181">
        <f t="shared" si="7"/>
        <v>5</v>
      </c>
      <c r="AD9" s="644"/>
      <c r="AE9" s="187">
        <v>23</v>
      </c>
      <c r="AF9" s="187">
        <v>1804.76671999155</v>
      </c>
      <c r="AG9" s="184">
        <f t="shared" si="8"/>
        <v>78.468118260502166</v>
      </c>
      <c r="AH9" s="181">
        <f t="shared" si="9"/>
        <v>5</v>
      </c>
      <c r="AI9" s="644"/>
      <c r="AJ9" s="187">
        <v>23</v>
      </c>
      <c r="AK9" s="187">
        <v>1805.1667199915501</v>
      </c>
      <c r="AL9" s="184">
        <f t="shared" si="10"/>
        <v>78.485509564850005</v>
      </c>
      <c r="AM9" s="181">
        <f t="shared" si="11"/>
        <v>5</v>
      </c>
      <c r="AN9" s="644"/>
      <c r="AO9" s="187">
        <v>23</v>
      </c>
      <c r="AP9" s="187">
        <v>1804.7667199915502</v>
      </c>
      <c r="AQ9" s="184">
        <f t="shared" si="12"/>
        <v>78.46811826050218</v>
      </c>
      <c r="AR9" s="181">
        <f t="shared" si="13"/>
        <v>4</v>
      </c>
      <c r="AS9" s="644"/>
      <c r="AT9" s="187">
        <v>23</v>
      </c>
      <c r="AU9" s="187">
        <v>1804.3667199915499</v>
      </c>
      <c r="AV9" s="184">
        <f t="shared" si="14"/>
        <v>78.450726956154341</v>
      </c>
      <c r="AW9" s="181">
        <f t="shared" si="15"/>
        <v>4</v>
      </c>
      <c r="AX9" s="644"/>
    </row>
    <row r="10" spans="1:50" ht="14.25" customHeight="1">
      <c r="B10" s="633"/>
      <c r="C10" s="179">
        <v>4</v>
      </c>
      <c r="D10" s="182" t="s">
        <v>232</v>
      </c>
      <c r="E10" s="179">
        <v>23</v>
      </c>
      <c r="F10" s="179">
        <v>2000</v>
      </c>
      <c r="G10" s="184">
        <f t="shared" si="0"/>
        <v>86.956521739130437</v>
      </c>
      <c r="H10" s="644"/>
      <c r="I10" s="185">
        <f t="shared" si="2"/>
        <v>23</v>
      </c>
      <c r="J10" s="185">
        <f t="shared" si="2"/>
        <v>1804.189992844206</v>
      </c>
      <c r="K10" s="186">
        <f t="shared" si="2"/>
        <v>78.443043167139393</v>
      </c>
      <c r="L10" s="645"/>
      <c r="M10" s="185">
        <f>RANK(K10, K$7:$K$21)</f>
        <v>6</v>
      </c>
      <c r="N10" s="633"/>
      <c r="O10" s="633"/>
      <c r="P10" s="187">
        <v>23</v>
      </c>
      <c r="Q10" s="187">
        <v>1804.4185642727775</v>
      </c>
      <c r="R10" s="184">
        <f t="shared" si="3"/>
        <v>78.452981055338157</v>
      </c>
      <c r="S10" s="181">
        <f t="shared" si="4"/>
        <v>5</v>
      </c>
      <c r="T10" s="644"/>
      <c r="U10" s="187">
        <v>23</v>
      </c>
      <c r="V10" s="187">
        <v>1805.2185642727773</v>
      </c>
      <c r="W10" s="184">
        <f t="shared" si="1"/>
        <v>78.487763664033793</v>
      </c>
      <c r="X10" s="181">
        <f t="shared" si="5"/>
        <v>4</v>
      </c>
      <c r="Y10" s="644"/>
      <c r="Z10" s="187">
        <v>23</v>
      </c>
      <c r="AA10" s="187">
        <v>1804.4185642727773</v>
      </c>
      <c r="AB10" s="184">
        <f t="shared" si="6"/>
        <v>78.452981055338142</v>
      </c>
      <c r="AC10" s="181">
        <f t="shared" si="7"/>
        <v>6</v>
      </c>
      <c r="AD10" s="644"/>
      <c r="AE10" s="187">
        <v>23</v>
      </c>
      <c r="AF10" s="187">
        <v>1804.2185642727773</v>
      </c>
      <c r="AG10" s="184">
        <f t="shared" si="8"/>
        <v>78.44428540316423</v>
      </c>
      <c r="AH10" s="181">
        <f t="shared" si="9"/>
        <v>6</v>
      </c>
      <c r="AI10" s="644"/>
      <c r="AJ10" s="187">
        <v>23</v>
      </c>
      <c r="AK10" s="187">
        <v>1804.0185642727774</v>
      </c>
      <c r="AL10" s="184">
        <f t="shared" si="10"/>
        <v>78.435589750990317</v>
      </c>
      <c r="AM10" s="181">
        <f t="shared" si="11"/>
        <v>6</v>
      </c>
      <c r="AN10" s="644"/>
      <c r="AO10" s="187">
        <v>23</v>
      </c>
      <c r="AP10" s="187">
        <v>1803.4185642727773</v>
      </c>
      <c r="AQ10" s="184">
        <f t="shared" si="12"/>
        <v>78.40950279446858</v>
      </c>
      <c r="AR10" s="181">
        <f t="shared" si="13"/>
        <v>6</v>
      </c>
      <c r="AS10" s="644"/>
      <c r="AT10" s="187">
        <v>23</v>
      </c>
      <c r="AU10" s="187">
        <v>1803.6185642727776</v>
      </c>
      <c r="AV10" s="184">
        <f t="shared" si="14"/>
        <v>78.418198446642506</v>
      </c>
      <c r="AW10" s="181">
        <f t="shared" si="15"/>
        <v>6</v>
      </c>
      <c r="AX10" s="644"/>
    </row>
    <row r="11" spans="1:50" ht="14.25" customHeight="1">
      <c r="B11" s="633"/>
      <c r="C11" s="179">
        <v>5</v>
      </c>
      <c r="D11" s="182" t="s">
        <v>233</v>
      </c>
      <c r="E11" s="179">
        <v>23</v>
      </c>
      <c r="F11" s="179">
        <v>2000</v>
      </c>
      <c r="G11" s="184">
        <f t="shared" si="0"/>
        <v>86.956521739130437</v>
      </c>
      <c r="H11" s="644"/>
      <c r="I11" s="185">
        <f t="shared" si="2"/>
        <v>23</v>
      </c>
      <c r="J11" s="185">
        <f t="shared" si="2"/>
        <v>1805.0158247566415</v>
      </c>
      <c r="K11" s="186">
        <f t="shared" si="2"/>
        <v>78.478948902462676</v>
      </c>
      <c r="L11" s="645"/>
      <c r="M11" s="185">
        <f>RANK(K11, K$7:$K$21)</f>
        <v>4</v>
      </c>
      <c r="N11" s="633"/>
      <c r="O11" s="633"/>
      <c r="P11" s="187">
        <v>23</v>
      </c>
      <c r="Q11" s="187">
        <v>1804.9015390423558</v>
      </c>
      <c r="R11" s="184">
        <f t="shared" si="3"/>
        <v>78.473979958363302</v>
      </c>
      <c r="S11" s="181">
        <f t="shared" si="4"/>
        <v>4</v>
      </c>
      <c r="T11" s="644"/>
      <c r="U11" s="187">
        <v>23</v>
      </c>
      <c r="V11" s="187">
        <v>1804.9015390423558</v>
      </c>
      <c r="W11" s="184">
        <f t="shared" si="1"/>
        <v>78.473979958363302</v>
      </c>
      <c r="X11" s="181">
        <f t="shared" si="5"/>
        <v>6</v>
      </c>
      <c r="Y11" s="644"/>
      <c r="Z11" s="187">
        <v>23</v>
      </c>
      <c r="AA11" s="187">
        <v>1805.5015390423559</v>
      </c>
      <c r="AB11" s="184">
        <f t="shared" si="6"/>
        <v>78.500066914885039</v>
      </c>
      <c r="AC11" s="181">
        <f t="shared" si="7"/>
        <v>4</v>
      </c>
      <c r="AD11" s="644"/>
      <c r="AE11" s="187">
        <v>23</v>
      </c>
      <c r="AF11" s="187">
        <v>1805.901539042356</v>
      </c>
      <c r="AG11" s="184">
        <f t="shared" si="8"/>
        <v>78.517458219232864</v>
      </c>
      <c r="AH11" s="181">
        <f t="shared" si="9"/>
        <v>4</v>
      </c>
      <c r="AI11" s="644"/>
      <c r="AJ11" s="187">
        <v>23</v>
      </c>
      <c r="AK11" s="187">
        <v>1805.3015390423559</v>
      </c>
      <c r="AL11" s="184">
        <f t="shared" si="10"/>
        <v>78.491371262711127</v>
      </c>
      <c r="AM11" s="181">
        <f t="shared" si="11"/>
        <v>4</v>
      </c>
      <c r="AN11" s="644"/>
      <c r="AO11" s="187">
        <v>23</v>
      </c>
      <c r="AP11" s="187">
        <v>1804.5015390423562</v>
      </c>
      <c r="AQ11" s="184">
        <f t="shared" si="12"/>
        <v>78.456588654015491</v>
      </c>
      <c r="AR11" s="181">
        <f t="shared" si="13"/>
        <v>5</v>
      </c>
      <c r="AS11" s="644"/>
      <c r="AT11" s="187">
        <v>23</v>
      </c>
      <c r="AU11" s="187">
        <v>1804.1015390423561</v>
      </c>
      <c r="AV11" s="184">
        <f t="shared" si="14"/>
        <v>78.439197349667651</v>
      </c>
      <c r="AW11" s="181">
        <f t="shared" si="15"/>
        <v>5</v>
      </c>
      <c r="AX11" s="644"/>
    </row>
    <row r="12" spans="1:50" ht="14.25" customHeight="1">
      <c r="B12" s="633"/>
      <c r="C12" s="179">
        <v>6</v>
      </c>
      <c r="D12" s="182" t="s">
        <v>234</v>
      </c>
      <c r="E12" s="179">
        <v>20</v>
      </c>
      <c r="F12" s="179">
        <v>2000</v>
      </c>
      <c r="G12" s="184">
        <f t="shared" si="0"/>
        <v>100</v>
      </c>
      <c r="H12" s="644"/>
      <c r="I12" s="185">
        <f t="shared" si="2"/>
        <v>19</v>
      </c>
      <c r="J12" s="185">
        <f t="shared" si="2"/>
        <v>1806.0285714285712</v>
      </c>
      <c r="K12" s="186">
        <f t="shared" si="2"/>
        <v>95.054135338345873</v>
      </c>
      <c r="L12" s="645"/>
      <c r="M12" s="185">
        <f>RANK(K12, K$7:$K$21)</f>
        <v>2</v>
      </c>
      <c r="N12" s="633"/>
      <c r="O12" s="633"/>
      <c r="P12" s="187">
        <v>19</v>
      </c>
      <c r="Q12" s="187">
        <v>1805.6000000000001</v>
      </c>
      <c r="R12" s="184">
        <f t="shared" si="3"/>
        <v>95.03157894736843</v>
      </c>
      <c r="S12" s="181">
        <f t="shared" si="4"/>
        <v>2</v>
      </c>
      <c r="T12" s="644"/>
      <c r="U12" s="187">
        <v>19</v>
      </c>
      <c r="V12" s="187">
        <v>1806</v>
      </c>
      <c r="W12" s="184">
        <f t="shared" si="1"/>
        <v>95.05263157894737</v>
      </c>
      <c r="X12" s="181">
        <f t="shared" si="5"/>
        <v>2</v>
      </c>
      <c r="Y12" s="644"/>
      <c r="Z12" s="187">
        <v>19</v>
      </c>
      <c r="AA12" s="187">
        <v>1806.2</v>
      </c>
      <c r="AB12" s="184">
        <f t="shared" si="6"/>
        <v>95.063157894736847</v>
      </c>
      <c r="AC12" s="181">
        <f t="shared" si="7"/>
        <v>2</v>
      </c>
      <c r="AD12" s="644"/>
      <c r="AE12" s="187">
        <v>19</v>
      </c>
      <c r="AF12" s="187">
        <v>1807</v>
      </c>
      <c r="AG12" s="184">
        <f t="shared" si="8"/>
        <v>95.10526315789474</v>
      </c>
      <c r="AH12" s="181">
        <f t="shared" si="9"/>
        <v>2</v>
      </c>
      <c r="AI12" s="644"/>
      <c r="AJ12" s="187">
        <v>19</v>
      </c>
      <c r="AK12" s="187">
        <v>1805.2</v>
      </c>
      <c r="AL12" s="184">
        <f t="shared" si="10"/>
        <v>95.010526315789477</v>
      </c>
      <c r="AM12" s="181">
        <f t="shared" si="11"/>
        <v>2</v>
      </c>
      <c r="AN12" s="644"/>
      <c r="AO12" s="187">
        <v>19</v>
      </c>
      <c r="AP12" s="187">
        <v>1806.8</v>
      </c>
      <c r="AQ12" s="184">
        <f t="shared" si="12"/>
        <v>95.094736842105263</v>
      </c>
      <c r="AR12" s="181">
        <f t="shared" si="13"/>
        <v>2</v>
      </c>
      <c r="AS12" s="644"/>
      <c r="AT12" s="187">
        <v>19</v>
      </c>
      <c r="AU12" s="187">
        <v>1805.4</v>
      </c>
      <c r="AV12" s="184">
        <f t="shared" si="14"/>
        <v>95.021052631578954</v>
      </c>
      <c r="AW12" s="181">
        <f t="shared" si="15"/>
        <v>2</v>
      </c>
      <c r="AX12" s="644"/>
    </row>
    <row r="13" spans="1:50" ht="14.25" customHeight="1">
      <c r="B13" s="633"/>
      <c r="C13" s="179">
        <v>7</v>
      </c>
      <c r="D13" s="182" t="s">
        <v>235</v>
      </c>
      <c r="E13" s="179">
        <v>18</v>
      </c>
      <c r="F13" s="179">
        <v>2000</v>
      </c>
      <c r="G13" s="184">
        <f t="shared" si="0"/>
        <v>111.11111111111111</v>
      </c>
      <c r="H13" s="644"/>
      <c r="I13" s="185">
        <f t="shared" si="2"/>
        <v>17</v>
      </c>
      <c r="J13" s="185">
        <f t="shared" si="2"/>
        <v>1806.1142857142856</v>
      </c>
      <c r="K13" s="186">
        <f t="shared" si="2"/>
        <v>106.2420168067227</v>
      </c>
      <c r="L13" s="645"/>
      <c r="M13" s="185">
        <f>RANK(K13, K$7:$K$21)</f>
        <v>1</v>
      </c>
      <c r="N13" s="633"/>
      <c r="O13" s="633"/>
      <c r="P13" s="187">
        <v>17</v>
      </c>
      <c r="Q13" s="187">
        <v>1805.8</v>
      </c>
      <c r="R13" s="184">
        <f t="shared" si="3"/>
        <v>106.2235294117647</v>
      </c>
      <c r="S13" s="181">
        <f t="shared" si="4"/>
        <v>1</v>
      </c>
      <c r="T13" s="644"/>
      <c r="U13" s="187">
        <v>17</v>
      </c>
      <c r="V13" s="187">
        <v>1806.2</v>
      </c>
      <c r="W13" s="184">
        <f t="shared" si="1"/>
        <v>106.24705882352941</v>
      </c>
      <c r="X13" s="181">
        <f t="shared" si="5"/>
        <v>1</v>
      </c>
      <c r="Y13" s="644"/>
      <c r="Z13" s="187">
        <v>17</v>
      </c>
      <c r="AA13" s="187">
        <v>1806.5999999999997</v>
      </c>
      <c r="AB13" s="184">
        <f t="shared" si="6"/>
        <v>106.2705882352941</v>
      </c>
      <c r="AC13" s="181">
        <f t="shared" si="7"/>
        <v>1</v>
      </c>
      <c r="AD13" s="644"/>
      <c r="AE13" s="187">
        <v>17</v>
      </c>
      <c r="AF13" s="187">
        <v>1806.4</v>
      </c>
      <c r="AG13" s="184">
        <f t="shared" si="8"/>
        <v>106.25882352941177</v>
      </c>
      <c r="AH13" s="181">
        <f t="shared" si="9"/>
        <v>1</v>
      </c>
      <c r="AI13" s="644"/>
      <c r="AJ13" s="187">
        <v>17</v>
      </c>
      <c r="AK13" s="187">
        <v>1805.8</v>
      </c>
      <c r="AL13" s="184">
        <f t="shared" si="10"/>
        <v>106.2235294117647</v>
      </c>
      <c r="AM13" s="181">
        <f t="shared" si="11"/>
        <v>1</v>
      </c>
      <c r="AN13" s="644"/>
      <c r="AO13" s="187">
        <v>17</v>
      </c>
      <c r="AP13" s="187">
        <v>1805.2000000000003</v>
      </c>
      <c r="AQ13" s="184">
        <f t="shared" si="12"/>
        <v>106.18823529411766</v>
      </c>
      <c r="AR13" s="181">
        <f t="shared" si="13"/>
        <v>1</v>
      </c>
      <c r="AS13" s="644"/>
      <c r="AT13" s="187">
        <v>17</v>
      </c>
      <c r="AU13" s="187">
        <v>1806.8</v>
      </c>
      <c r="AV13" s="184">
        <f t="shared" si="14"/>
        <v>106.28235294117647</v>
      </c>
      <c r="AW13" s="181">
        <f t="shared" si="15"/>
        <v>1</v>
      </c>
      <c r="AX13" s="644"/>
    </row>
    <row r="14" spans="1:50" ht="14.25" customHeight="1">
      <c r="B14" s="633"/>
      <c r="C14" s="179">
        <v>8</v>
      </c>
      <c r="D14" s="182" t="s">
        <v>236</v>
      </c>
      <c r="E14" s="179">
        <v>21</v>
      </c>
      <c r="F14" s="179">
        <v>2000</v>
      </c>
      <c r="G14" s="184">
        <f t="shared" si="0"/>
        <v>95.238095238095241</v>
      </c>
      <c r="H14" s="644"/>
      <c r="I14" s="185">
        <f t="shared" si="2"/>
        <v>20</v>
      </c>
      <c r="J14" s="185">
        <f t="shared" si="2"/>
        <v>1805.9428571428568</v>
      </c>
      <c r="K14" s="186">
        <f t="shared" si="2"/>
        <v>90.297142857142845</v>
      </c>
      <c r="L14" s="645"/>
      <c r="M14" s="185">
        <f>RANK(K14, K$7:$K$21)</f>
        <v>3</v>
      </c>
      <c r="N14" s="633"/>
      <c r="O14" s="633"/>
      <c r="P14" s="187">
        <v>20</v>
      </c>
      <c r="Q14" s="187">
        <v>1806.4</v>
      </c>
      <c r="R14" s="184">
        <f t="shared" si="3"/>
        <v>90.320000000000007</v>
      </c>
      <c r="S14" s="181">
        <f t="shared" si="4"/>
        <v>3</v>
      </c>
      <c r="T14" s="644"/>
      <c r="U14" s="187">
        <v>20</v>
      </c>
      <c r="V14" s="187">
        <v>1805.6000000000001</v>
      </c>
      <c r="W14" s="184">
        <f t="shared" si="1"/>
        <v>90.28</v>
      </c>
      <c r="X14" s="181">
        <f t="shared" si="5"/>
        <v>3</v>
      </c>
      <c r="Y14" s="644"/>
      <c r="Z14" s="187">
        <v>20</v>
      </c>
      <c r="AA14" s="187">
        <v>1805.9999999999998</v>
      </c>
      <c r="AB14" s="184">
        <f t="shared" si="6"/>
        <v>90.299999999999983</v>
      </c>
      <c r="AC14" s="181">
        <f t="shared" si="7"/>
        <v>3</v>
      </c>
      <c r="AD14" s="644"/>
      <c r="AE14" s="187">
        <v>20</v>
      </c>
      <c r="AF14" s="187">
        <v>1805.2</v>
      </c>
      <c r="AG14" s="184">
        <f t="shared" si="8"/>
        <v>90.26</v>
      </c>
      <c r="AH14" s="181">
        <f t="shared" si="9"/>
        <v>3</v>
      </c>
      <c r="AI14" s="644"/>
      <c r="AJ14" s="187">
        <v>20</v>
      </c>
      <c r="AK14" s="187">
        <v>1806.7999999999997</v>
      </c>
      <c r="AL14" s="184">
        <f t="shared" si="10"/>
        <v>90.339999999999989</v>
      </c>
      <c r="AM14" s="181">
        <f t="shared" si="11"/>
        <v>3</v>
      </c>
      <c r="AN14" s="644"/>
      <c r="AO14" s="187">
        <v>20</v>
      </c>
      <c r="AP14" s="187">
        <v>1805.8000000000002</v>
      </c>
      <c r="AQ14" s="184">
        <f t="shared" si="12"/>
        <v>90.29</v>
      </c>
      <c r="AR14" s="181">
        <f t="shared" si="13"/>
        <v>3</v>
      </c>
      <c r="AS14" s="644"/>
      <c r="AT14" s="187">
        <v>20</v>
      </c>
      <c r="AU14" s="187">
        <v>1805.8000000000002</v>
      </c>
      <c r="AV14" s="184">
        <f t="shared" si="14"/>
        <v>90.29</v>
      </c>
      <c r="AW14" s="181">
        <f t="shared" si="15"/>
        <v>3</v>
      </c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L7" sqref="L7:L21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80.05227699550008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145</v>
      </c>
      <c r="C7" s="179">
        <v>1</v>
      </c>
      <c r="D7" s="182" t="s">
        <v>237</v>
      </c>
      <c r="E7" s="183">
        <v>24</v>
      </c>
      <c r="F7" s="179">
        <v>2000</v>
      </c>
      <c r="G7" s="184">
        <f t="shared" ref="G7:G15" si="0">IFERROR(F7/E7,"")</f>
        <v>83.333333333333329</v>
      </c>
      <c r="H7" s="644">
        <f>AVERAGE(G7:G21)</f>
        <v>88.683940857853912</v>
      </c>
      <c r="I7" s="185">
        <f>AVERAGE(P7,U7,Z7,AE7,AJ7,AO7,AT7)</f>
        <v>24</v>
      </c>
      <c r="J7" s="185">
        <f>AVERAGE(Q7,V7,AA7,AF7,AK7,AP7,AU7)</f>
        <v>1803.0703442133283</v>
      </c>
      <c r="K7" s="186">
        <f>AVERAGE(R7,W7,AB7,AG7,AL7,AQ7,AV7)</f>
        <v>75.127931008888666</v>
      </c>
      <c r="L7" s="645">
        <f>IFERROR(AVERAGE(K7:K21),"-")</f>
        <v>80.05227699550008</v>
      </c>
      <c r="M7" s="185">
        <f>RANK(K7, K$7:$K$21)</f>
        <v>8</v>
      </c>
      <c r="N7" s="633"/>
      <c r="O7" s="633"/>
      <c r="P7" s="187">
        <v>24</v>
      </c>
      <c r="Q7" s="187">
        <v>1804.1103701457887</v>
      </c>
      <c r="R7" s="184">
        <f>IFERROR(Q7/P7,"")</f>
        <v>75.1712654227412</v>
      </c>
      <c r="S7" s="181">
        <f>RANK(R7, R$7:R$21)</f>
        <v>8</v>
      </c>
      <c r="T7" s="644">
        <f>AVERAGE(R7:R21)</f>
        <v>80.056110305473979</v>
      </c>
      <c r="U7" s="187">
        <v>24</v>
      </c>
      <c r="V7" s="187">
        <v>1803.9103701457891</v>
      </c>
      <c r="W7" s="184">
        <f t="shared" ref="W7:W15" si="1">IFERROR(V7/U7,"")</f>
        <v>75.162932089407875</v>
      </c>
      <c r="X7" s="181">
        <f>RANK(W7, W$7:W$21)</f>
        <v>8</v>
      </c>
      <c r="Y7" s="644">
        <f>AVERAGE(W7:W21)</f>
        <v>80.057823817404881</v>
      </c>
      <c r="Z7" s="187">
        <v>24</v>
      </c>
      <c r="AA7" s="187">
        <v>1803.1103701457891</v>
      </c>
      <c r="AB7" s="184">
        <f>IFERROR(AA7/Z7,"")</f>
        <v>75.129598756074543</v>
      </c>
      <c r="AC7" s="181">
        <f>RANK(AB7, AB$7:AB$21)</f>
        <v>8</v>
      </c>
      <c r="AD7" s="644">
        <f>AVERAGE(AB7:AB21)</f>
        <v>80.062399282197731</v>
      </c>
      <c r="AE7" s="187">
        <v>24</v>
      </c>
      <c r="AF7" s="187">
        <v>1802.3103701457892</v>
      </c>
      <c r="AG7" s="184">
        <f>IFERROR(AF7/AE7,"")</f>
        <v>75.096265422741212</v>
      </c>
      <c r="AH7" s="181">
        <f>RANK(AG7, AG$7:AG$21)</f>
        <v>8</v>
      </c>
      <c r="AI7" s="644">
        <f>AVERAGE(AG7:AG21)</f>
        <v>80.046877396675853</v>
      </c>
      <c r="AJ7" s="187">
        <v>24</v>
      </c>
      <c r="AK7" s="187">
        <v>1802.5103701457892</v>
      </c>
      <c r="AL7" s="184">
        <f>IFERROR(AK7/AJ7,"")</f>
        <v>75.104598756074552</v>
      </c>
      <c r="AM7" s="181">
        <f>RANK(AL7, AL$7:AL$21)</f>
        <v>8</v>
      </c>
      <c r="AN7" s="644">
        <f>AVERAGE(AL7:AL21)</f>
        <v>80.049964792371938</v>
      </c>
      <c r="AO7" s="187">
        <v>24</v>
      </c>
      <c r="AP7" s="187">
        <v>1802.5103701457895</v>
      </c>
      <c r="AQ7" s="184">
        <f>IFERROR(AP7/AO7,"")</f>
        <v>75.104598756074566</v>
      </c>
      <c r="AR7" s="181">
        <f>RANK(AQ7, AQ$7:AQ$21)</f>
        <v>9</v>
      </c>
      <c r="AS7" s="644">
        <f>AVERAGE(AQ7:AQ21)</f>
        <v>80.054546844780091</v>
      </c>
      <c r="AT7" s="187">
        <v>24</v>
      </c>
      <c r="AU7" s="187">
        <v>1803.0301886185605</v>
      </c>
      <c r="AV7" s="184">
        <f>IFERROR(AU7/AT7,"")</f>
        <v>75.126257859106687</v>
      </c>
      <c r="AW7" s="181">
        <f>RANK(AV7, AV$7:AV$21)</f>
        <v>8</v>
      </c>
      <c r="AX7" s="644">
        <f>AVERAGE(AV7:AV21)</f>
        <v>80.03821652959607</v>
      </c>
    </row>
    <row r="8" spans="1:50" ht="14.25" customHeight="1">
      <c r="B8" s="633"/>
      <c r="C8" s="179">
        <v>2</v>
      </c>
      <c r="D8" s="182" t="s">
        <v>238</v>
      </c>
      <c r="E8" s="179">
        <v>23</v>
      </c>
      <c r="F8" s="179">
        <v>2000</v>
      </c>
      <c r="G8" s="184">
        <f t="shared" si="0"/>
        <v>86.956521739130437</v>
      </c>
      <c r="H8" s="644"/>
      <c r="I8" s="185">
        <f t="shared" ref="I8:K15" si="2">AVERAGE(P8,U8,Z8,AE8,AJ8,AO8,AT8)</f>
        <v>23</v>
      </c>
      <c r="J8" s="185">
        <f t="shared" si="2"/>
        <v>1805.2922385298912</v>
      </c>
      <c r="K8" s="186">
        <f t="shared" si="2"/>
        <v>78.490966892603964</v>
      </c>
      <c r="L8" s="645"/>
      <c r="M8" s="185">
        <f>RANK(K8, K$7:$K$21)</f>
        <v>5</v>
      </c>
      <c r="N8" s="633"/>
      <c r="O8" s="633"/>
      <c r="P8" s="187">
        <v>23</v>
      </c>
      <c r="Q8" s="187">
        <v>1804.9493813870345</v>
      </c>
      <c r="R8" s="184">
        <f t="shared" ref="R8:R15" si="3">IFERROR(Q8/P8,"")</f>
        <v>78.476060060305841</v>
      </c>
      <c r="S8" s="181">
        <f t="shared" ref="S8:S15" si="4">RANK(R8, R$7:R$21)</f>
        <v>5</v>
      </c>
      <c r="T8" s="644"/>
      <c r="U8" s="187">
        <v>23</v>
      </c>
      <c r="V8" s="187">
        <v>1805.5493813870341</v>
      </c>
      <c r="W8" s="184">
        <f t="shared" si="1"/>
        <v>78.502147016827578</v>
      </c>
      <c r="X8" s="181">
        <f t="shared" ref="X8:X15" si="5">RANK(W8, W$7:W$21)</f>
        <v>5</v>
      </c>
      <c r="Y8" s="644"/>
      <c r="Z8" s="187">
        <v>23</v>
      </c>
      <c r="AA8" s="187">
        <v>1805.3493813870341</v>
      </c>
      <c r="AB8" s="184">
        <f t="shared" ref="AB8:AB15" si="6">IFERROR(AA8/Z8,"")</f>
        <v>78.493451364653652</v>
      </c>
      <c r="AC8" s="181">
        <f t="shared" ref="AC8:AC15" si="7">RANK(AB8, AB$7:AB$21)</f>
        <v>5</v>
      </c>
      <c r="AD8" s="644"/>
      <c r="AE8" s="187">
        <v>23</v>
      </c>
      <c r="AF8" s="187">
        <v>1805.9493813870338</v>
      </c>
      <c r="AG8" s="184">
        <f t="shared" ref="AG8:AG15" si="8">IFERROR(AF8/AE8,"")</f>
        <v>78.519538321175375</v>
      </c>
      <c r="AH8" s="181">
        <f t="shared" ref="AH8:AH15" si="9">RANK(AG8, AG$7:AG$21)</f>
        <v>5</v>
      </c>
      <c r="AI8" s="644"/>
      <c r="AJ8" s="187">
        <v>23</v>
      </c>
      <c r="AK8" s="187">
        <v>1805.1493813870336</v>
      </c>
      <c r="AL8" s="184">
        <f t="shared" ref="AL8:AL15" si="10">IFERROR(AK8/AJ8,"")</f>
        <v>78.484755712479725</v>
      </c>
      <c r="AM8" s="181">
        <f t="shared" ref="AM8:AM15" si="11">RANK(AL8, AL$7:AL$21)</f>
        <v>5</v>
      </c>
      <c r="AN8" s="644"/>
      <c r="AO8" s="187">
        <v>23</v>
      </c>
      <c r="AP8" s="187">
        <v>1804.9493813870336</v>
      </c>
      <c r="AQ8" s="184">
        <f t="shared" ref="AQ8:AQ15" si="12">IFERROR(AP8/AO8,"")</f>
        <v>78.476060060305812</v>
      </c>
      <c r="AR8" s="181">
        <f t="shared" ref="AR8:AR15" si="13">RANK(AQ8, AQ$7:AQ$21)</f>
        <v>5</v>
      </c>
      <c r="AS8" s="644"/>
      <c r="AT8" s="187">
        <v>23</v>
      </c>
      <c r="AU8" s="187">
        <v>1805.1493813870338</v>
      </c>
      <c r="AV8" s="184">
        <f t="shared" ref="AV8:AV15" si="14">IFERROR(AU8/AT8,"")</f>
        <v>78.484755712479725</v>
      </c>
      <c r="AW8" s="181">
        <f t="shared" ref="AW8:AW15" si="15">RANK(AV8, AV$7:AV$21)</f>
        <v>5</v>
      </c>
      <c r="AX8" s="644"/>
    </row>
    <row r="9" spans="1:50" ht="14.25" customHeight="1">
      <c r="B9" s="633"/>
      <c r="C9" s="179">
        <v>3</v>
      </c>
      <c r="D9" s="182" t="s">
        <v>239</v>
      </c>
      <c r="E9" s="179">
        <v>23</v>
      </c>
      <c r="F9" s="179">
        <v>2000</v>
      </c>
      <c r="G9" s="184">
        <f t="shared" si="0"/>
        <v>86.956521739130437</v>
      </c>
      <c r="H9" s="644"/>
      <c r="I9" s="185">
        <f t="shared" si="2"/>
        <v>23</v>
      </c>
      <c r="J9" s="185">
        <f t="shared" si="2"/>
        <v>1808.187730811261</v>
      </c>
      <c r="K9" s="186">
        <f t="shared" si="2"/>
        <v>78.616857861359179</v>
      </c>
      <c r="L9" s="645"/>
      <c r="M9" s="185">
        <f>RANK(K9, K$7:$K$21)</f>
        <v>4</v>
      </c>
      <c r="N9" s="633"/>
      <c r="O9" s="633"/>
      <c r="P9" s="187">
        <v>23</v>
      </c>
      <c r="Q9" s="187">
        <v>1808.0144544876116</v>
      </c>
      <c r="R9" s="184">
        <f t="shared" si="3"/>
        <v>78.609324108157026</v>
      </c>
      <c r="S9" s="181">
        <f t="shared" si="4"/>
        <v>4</v>
      </c>
      <c r="T9" s="644"/>
      <c r="U9" s="187">
        <v>23</v>
      </c>
      <c r="V9" s="187">
        <v>1807.8144544876118</v>
      </c>
      <c r="W9" s="184">
        <f t="shared" si="1"/>
        <v>78.600628455983127</v>
      </c>
      <c r="X9" s="181">
        <f t="shared" si="5"/>
        <v>4</v>
      </c>
      <c r="Y9" s="644"/>
      <c r="Z9" s="187">
        <v>23</v>
      </c>
      <c r="AA9" s="187">
        <v>1808.4144544876117</v>
      </c>
      <c r="AB9" s="184">
        <f t="shared" si="6"/>
        <v>78.626715412504851</v>
      </c>
      <c r="AC9" s="181">
        <f t="shared" si="7"/>
        <v>4</v>
      </c>
      <c r="AD9" s="644"/>
      <c r="AE9" s="187">
        <v>23</v>
      </c>
      <c r="AF9" s="187">
        <v>1807.8144544876116</v>
      </c>
      <c r="AG9" s="184">
        <f t="shared" si="8"/>
        <v>78.600628455983113</v>
      </c>
      <c r="AH9" s="181">
        <f t="shared" si="9"/>
        <v>4</v>
      </c>
      <c r="AI9" s="644"/>
      <c r="AJ9" s="187">
        <v>23</v>
      </c>
      <c r="AK9" s="187">
        <v>1808.8144544876113</v>
      </c>
      <c r="AL9" s="184">
        <f t="shared" si="10"/>
        <v>78.644106716852662</v>
      </c>
      <c r="AM9" s="181">
        <f t="shared" si="11"/>
        <v>4</v>
      </c>
      <c r="AN9" s="644"/>
      <c r="AO9" s="187">
        <v>23</v>
      </c>
      <c r="AP9" s="187">
        <v>1809.6144544876111</v>
      </c>
      <c r="AQ9" s="184">
        <f t="shared" si="12"/>
        <v>78.678889325548312</v>
      </c>
      <c r="AR9" s="181">
        <f t="shared" si="13"/>
        <v>4</v>
      </c>
      <c r="AS9" s="644"/>
      <c r="AT9" s="187">
        <v>23</v>
      </c>
      <c r="AU9" s="187">
        <v>1806.8273887531584</v>
      </c>
      <c r="AV9" s="184">
        <f t="shared" si="14"/>
        <v>78.55771255448515</v>
      </c>
      <c r="AW9" s="181">
        <f t="shared" si="15"/>
        <v>4</v>
      </c>
      <c r="AX9" s="644"/>
    </row>
    <row r="10" spans="1:50" ht="14.25" customHeight="1">
      <c r="B10" s="633"/>
      <c r="C10" s="179">
        <v>4</v>
      </c>
      <c r="D10" s="182" t="s">
        <v>240</v>
      </c>
      <c r="E10" s="179">
        <v>22</v>
      </c>
      <c r="F10" s="179">
        <v>2000</v>
      </c>
      <c r="G10" s="184">
        <f t="shared" si="0"/>
        <v>90.909090909090907</v>
      </c>
      <c r="H10" s="644"/>
      <c r="I10" s="185">
        <f t="shared" si="2"/>
        <v>22</v>
      </c>
      <c r="J10" s="185">
        <f t="shared" si="2"/>
        <v>1805.3900212428273</v>
      </c>
      <c r="K10" s="186">
        <f t="shared" si="2"/>
        <v>82.063182783764887</v>
      </c>
      <c r="L10" s="645"/>
      <c r="M10" s="185">
        <f>RANK(K10, K$7:$K$21)</f>
        <v>3</v>
      </c>
      <c r="N10" s="633"/>
      <c r="O10" s="633"/>
      <c r="P10" s="187">
        <v>22</v>
      </c>
      <c r="Q10" s="187">
        <v>1804.418592671399</v>
      </c>
      <c r="R10" s="184">
        <f t="shared" si="3"/>
        <v>82.019026939609049</v>
      </c>
      <c r="S10" s="181">
        <f t="shared" si="4"/>
        <v>3</v>
      </c>
      <c r="T10" s="644"/>
      <c r="U10" s="187">
        <v>22</v>
      </c>
      <c r="V10" s="187">
        <v>1805.2185926713989</v>
      </c>
      <c r="W10" s="184">
        <f t="shared" si="1"/>
        <v>82.05539057597268</v>
      </c>
      <c r="X10" s="181">
        <f t="shared" si="5"/>
        <v>3</v>
      </c>
      <c r="Y10" s="644"/>
      <c r="Z10" s="187">
        <v>22</v>
      </c>
      <c r="AA10" s="187">
        <v>1806.2185926713987</v>
      </c>
      <c r="AB10" s="184">
        <f t="shared" si="6"/>
        <v>82.100845121427213</v>
      </c>
      <c r="AC10" s="181">
        <f t="shared" si="7"/>
        <v>3</v>
      </c>
      <c r="AD10" s="644"/>
      <c r="AE10" s="187">
        <v>22</v>
      </c>
      <c r="AF10" s="187">
        <v>1805.4185926713988</v>
      </c>
      <c r="AG10" s="184">
        <f t="shared" si="8"/>
        <v>82.064481485063581</v>
      </c>
      <c r="AH10" s="181">
        <f t="shared" si="9"/>
        <v>3</v>
      </c>
      <c r="AI10" s="644"/>
      <c r="AJ10" s="187">
        <v>22</v>
      </c>
      <c r="AK10" s="187">
        <v>1805.6185926713988</v>
      </c>
      <c r="AL10" s="184">
        <f t="shared" si="10"/>
        <v>82.073572394154496</v>
      </c>
      <c r="AM10" s="181">
        <f t="shared" si="11"/>
        <v>3</v>
      </c>
      <c r="AN10" s="644"/>
      <c r="AO10" s="187">
        <v>22</v>
      </c>
      <c r="AP10" s="187">
        <v>1805.2185926713989</v>
      </c>
      <c r="AQ10" s="184">
        <f t="shared" si="12"/>
        <v>82.05539057597268</v>
      </c>
      <c r="AR10" s="181">
        <f t="shared" si="13"/>
        <v>3</v>
      </c>
      <c r="AS10" s="644"/>
      <c r="AT10" s="187">
        <v>22</v>
      </c>
      <c r="AU10" s="187">
        <v>1805.618592671399</v>
      </c>
      <c r="AV10" s="184">
        <f t="shared" si="14"/>
        <v>82.073572394154496</v>
      </c>
      <c r="AW10" s="181">
        <f t="shared" si="15"/>
        <v>3</v>
      </c>
      <c r="AX10" s="644"/>
    </row>
    <row r="11" spans="1:50" ht="14.25" customHeight="1">
      <c r="B11" s="633"/>
      <c r="C11" s="179">
        <v>5</v>
      </c>
      <c r="D11" s="182" t="s">
        <v>241</v>
      </c>
      <c r="E11" s="179">
        <v>20</v>
      </c>
      <c r="F11" s="179">
        <v>2000</v>
      </c>
      <c r="G11" s="184">
        <f t="shared" si="0"/>
        <v>100</v>
      </c>
      <c r="H11" s="644"/>
      <c r="I11" s="185">
        <f t="shared" si="2"/>
        <v>20</v>
      </c>
      <c r="J11" s="185">
        <f t="shared" si="2"/>
        <v>1805.101531641963</v>
      </c>
      <c r="K11" s="186">
        <f t="shared" si="2"/>
        <v>90.255076582098127</v>
      </c>
      <c r="L11" s="645"/>
      <c r="M11" s="185">
        <f>RANK(K11, K$7:$K$21)</f>
        <v>1</v>
      </c>
      <c r="N11" s="633"/>
      <c r="O11" s="633"/>
      <c r="P11" s="187">
        <v>20</v>
      </c>
      <c r="Q11" s="187">
        <v>1805.64438878482</v>
      </c>
      <c r="R11" s="184">
        <f t="shared" si="3"/>
        <v>90.282219439241004</v>
      </c>
      <c r="S11" s="181">
        <f t="shared" si="4"/>
        <v>1</v>
      </c>
      <c r="T11" s="644"/>
      <c r="U11" s="187">
        <v>20</v>
      </c>
      <c r="V11" s="187">
        <v>1805.4443887848201</v>
      </c>
      <c r="W11" s="184">
        <f t="shared" si="1"/>
        <v>90.272219439241013</v>
      </c>
      <c r="X11" s="181">
        <f t="shared" si="5"/>
        <v>1</v>
      </c>
      <c r="Y11" s="644"/>
      <c r="Z11" s="187">
        <v>20</v>
      </c>
      <c r="AA11" s="187">
        <v>1805.4443887848199</v>
      </c>
      <c r="AB11" s="184">
        <f t="shared" si="6"/>
        <v>90.272219439240999</v>
      </c>
      <c r="AC11" s="181">
        <f t="shared" si="7"/>
        <v>1</v>
      </c>
      <c r="AD11" s="644"/>
      <c r="AE11" s="187">
        <v>20</v>
      </c>
      <c r="AF11" s="187">
        <v>1804.8443887848198</v>
      </c>
      <c r="AG11" s="184">
        <f t="shared" si="8"/>
        <v>90.242219439240984</v>
      </c>
      <c r="AH11" s="181">
        <f t="shared" si="9"/>
        <v>1</v>
      </c>
      <c r="AI11" s="644"/>
      <c r="AJ11" s="187">
        <v>20</v>
      </c>
      <c r="AK11" s="187">
        <v>1804.4443887848197</v>
      </c>
      <c r="AL11" s="184">
        <f t="shared" si="10"/>
        <v>90.222219439240988</v>
      </c>
      <c r="AM11" s="181">
        <f t="shared" si="11"/>
        <v>1</v>
      </c>
      <c r="AN11" s="644"/>
      <c r="AO11" s="187">
        <v>20</v>
      </c>
      <c r="AP11" s="187">
        <v>1805.2443887848196</v>
      </c>
      <c r="AQ11" s="184">
        <f t="shared" si="12"/>
        <v>90.26221943924098</v>
      </c>
      <c r="AR11" s="181">
        <f t="shared" si="13"/>
        <v>1</v>
      </c>
      <c r="AS11" s="644"/>
      <c r="AT11" s="187">
        <v>20</v>
      </c>
      <c r="AU11" s="187">
        <v>1804.6443887848195</v>
      </c>
      <c r="AV11" s="184">
        <f t="shared" si="14"/>
        <v>90.232219439240978</v>
      </c>
      <c r="AW11" s="181">
        <f t="shared" si="15"/>
        <v>1</v>
      </c>
      <c r="AX11" s="644"/>
    </row>
    <row r="12" spans="1:50" ht="14.25" customHeight="1">
      <c r="B12" s="633"/>
      <c r="C12" s="179">
        <v>6</v>
      </c>
      <c r="D12" s="182" t="s">
        <v>242</v>
      </c>
      <c r="E12" s="179">
        <v>20</v>
      </c>
      <c r="F12" s="179">
        <v>2000</v>
      </c>
      <c r="G12" s="184">
        <f t="shared" si="0"/>
        <v>100</v>
      </c>
      <c r="H12" s="644"/>
      <c r="I12" s="185">
        <f t="shared" si="2"/>
        <v>20</v>
      </c>
      <c r="J12" s="185">
        <f t="shared" si="2"/>
        <v>1804.2494011608144</v>
      </c>
      <c r="K12" s="186">
        <f t="shared" si="2"/>
        <v>90.212470058040708</v>
      </c>
      <c r="L12" s="645"/>
      <c r="M12" s="185">
        <f>RANK(K12, K$7:$K$21)</f>
        <v>2</v>
      </c>
      <c r="N12" s="633"/>
      <c r="O12" s="633"/>
      <c r="P12" s="187">
        <v>20</v>
      </c>
      <c r="Q12" s="187">
        <v>1805.0208297322429</v>
      </c>
      <c r="R12" s="184">
        <f t="shared" si="3"/>
        <v>90.251041486612138</v>
      </c>
      <c r="S12" s="181">
        <f t="shared" si="4"/>
        <v>2</v>
      </c>
      <c r="T12" s="644"/>
      <c r="U12" s="187">
        <v>20</v>
      </c>
      <c r="V12" s="187">
        <v>1804.620829732243</v>
      </c>
      <c r="W12" s="184">
        <f t="shared" si="1"/>
        <v>90.231041486612156</v>
      </c>
      <c r="X12" s="181">
        <f t="shared" si="5"/>
        <v>2</v>
      </c>
      <c r="Y12" s="644"/>
      <c r="Z12" s="187">
        <v>20</v>
      </c>
      <c r="AA12" s="187">
        <v>1805.0208297322429</v>
      </c>
      <c r="AB12" s="184">
        <f t="shared" si="6"/>
        <v>90.251041486612138</v>
      </c>
      <c r="AC12" s="181">
        <f t="shared" si="7"/>
        <v>2</v>
      </c>
      <c r="AD12" s="644"/>
      <c r="AE12" s="187">
        <v>20</v>
      </c>
      <c r="AF12" s="187">
        <v>1804.2208297322429</v>
      </c>
      <c r="AG12" s="184">
        <f t="shared" si="8"/>
        <v>90.211041486612146</v>
      </c>
      <c r="AH12" s="181">
        <f t="shared" si="9"/>
        <v>2</v>
      </c>
      <c r="AI12" s="644"/>
      <c r="AJ12" s="187">
        <v>20</v>
      </c>
      <c r="AK12" s="187">
        <v>1803.8208297322431</v>
      </c>
      <c r="AL12" s="184">
        <f t="shared" si="10"/>
        <v>90.19104148661215</v>
      </c>
      <c r="AM12" s="181">
        <f t="shared" si="11"/>
        <v>2</v>
      </c>
      <c r="AN12" s="644"/>
      <c r="AO12" s="187">
        <v>20</v>
      </c>
      <c r="AP12" s="187">
        <v>1803.0208297322431</v>
      </c>
      <c r="AQ12" s="184">
        <f t="shared" si="12"/>
        <v>90.151041486612158</v>
      </c>
      <c r="AR12" s="181">
        <f t="shared" si="13"/>
        <v>2</v>
      </c>
      <c r="AS12" s="644"/>
      <c r="AT12" s="187">
        <v>20</v>
      </c>
      <c r="AU12" s="187">
        <v>1804.0208297322431</v>
      </c>
      <c r="AV12" s="184">
        <f t="shared" si="14"/>
        <v>90.201041486612155</v>
      </c>
      <c r="AW12" s="181">
        <f t="shared" si="15"/>
        <v>2</v>
      </c>
      <c r="AX12" s="644"/>
    </row>
    <row r="13" spans="1:50" ht="14.25" customHeight="1">
      <c r="B13" s="633"/>
      <c r="C13" s="179">
        <v>7</v>
      </c>
      <c r="D13" s="182" t="s">
        <v>243</v>
      </c>
      <c r="E13" s="179">
        <v>24</v>
      </c>
      <c r="F13" s="179">
        <v>2000</v>
      </c>
      <c r="G13" s="184">
        <f t="shared" si="0"/>
        <v>83.333333333333329</v>
      </c>
      <c r="H13" s="644"/>
      <c r="I13" s="185">
        <f t="shared" si="2"/>
        <v>24</v>
      </c>
      <c r="J13" s="185">
        <f t="shared" si="2"/>
        <v>1808.7002908543411</v>
      </c>
      <c r="K13" s="186">
        <f t="shared" si="2"/>
        <v>75.36251211893088</v>
      </c>
      <c r="L13" s="645"/>
      <c r="M13" s="185">
        <f>RANK(K13, K$7:$K$21)</f>
        <v>6</v>
      </c>
      <c r="N13" s="633"/>
      <c r="O13" s="633"/>
      <c r="P13" s="187">
        <v>24</v>
      </c>
      <c r="Q13" s="187">
        <v>1809.1665741879897</v>
      </c>
      <c r="R13" s="184">
        <f t="shared" si="3"/>
        <v>75.381940591166241</v>
      </c>
      <c r="S13" s="181">
        <f t="shared" si="4"/>
        <v>6</v>
      </c>
      <c r="T13" s="644"/>
      <c r="U13" s="187">
        <v>24</v>
      </c>
      <c r="V13" s="187">
        <v>1808.36657418799</v>
      </c>
      <c r="W13" s="184">
        <f t="shared" si="1"/>
        <v>75.34860725783291</v>
      </c>
      <c r="X13" s="181">
        <f t="shared" si="5"/>
        <v>6</v>
      </c>
      <c r="Y13" s="644"/>
      <c r="Z13" s="187">
        <v>24</v>
      </c>
      <c r="AA13" s="187">
        <v>1808.7665741879898</v>
      </c>
      <c r="AB13" s="184">
        <f t="shared" si="6"/>
        <v>75.365273924499576</v>
      </c>
      <c r="AC13" s="181">
        <f t="shared" si="7"/>
        <v>6</v>
      </c>
      <c r="AD13" s="644"/>
      <c r="AE13" s="187">
        <v>24</v>
      </c>
      <c r="AF13" s="187">
        <v>1808.7665741879898</v>
      </c>
      <c r="AG13" s="184">
        <f t="shared" si="8"/>
        <v>75.365273924499576</v>
      </c>
      <c r="AH13" s="181">
        <f t="shared" si="9"/>
        <v>6</v>
      </c>
      <c r="AI13" s="644"/>
      <c r="AJ13" s="187">
        <v>24</v>
      </c>
      <c r="AK13" s="187">
        <v>1809.1665741879899</v>
      </c>
      <c r="AL13" s="184">
        <f t="shared" si="10"/>
        <v>75.381940591166241</v>
      </c>
      <c r="AM13" s="181">
        <f t="shared" si="11"/>
        <v>6</v>
      </c>
      <c r="AN13" s="644"/>
      <c r="AO13" s="187">
        <v>24</v>
      </c>
      <c r="AP13" s="187">
        <v>1809.56657418799</v>
      </c>
      <c r="AQ13" s="184">
        <f t="shared" si="12"/>
        <v>75.398607257832921</v>
      </c>
      <c r="AR13" s="181">
        <f t="shared" si="13"/>
        <v>6</v>
      </c>
      <c r="AS13" s="644"/>
      <c r="AT13" s="187">
        <v>24</v>
      </c>
      <c r="AU13" s="187">
        <v>1807.102590852448</v>
      </c>
      <c r="AV13" s="184">
        <f t="shared" si="14"/>
        <v>75.295941285518666</v>
      </c>
      <c r="AW13" s="181">
        <f t="shared" si="15"/>
        <v>6</v>
      </c>
      <c r="AX13" s="644"/>
    </row>
    <row r="14" spans="1:50" ht="14.25" customHeight="1">
      <c r="B14" s="633"/>
      <c r="C14" s="179">
        <v>8</v>
      </c>
      <c r="D14" s="182" t="s">
        <v>244</v>
      </c>
      <c r="E14" s="179">
        <v>24</v>
      </c>
      <c r="F14" s="179">
        <v>2000</v>
      </c>
      <c r="G14" s="184">
        <f t="shared" si="0"/>
        <v>83.333333333333329</v>
      </c>
      <c r="H14" s="644"/>
      <c r="I14" s="185">
        <f t="shared" si="2"/>
        <v>24</v>
      </c>
      <c r="J14" s="185">
        <f t="shared" si="2"/>
        <v>1802.1597834001579</v>
      </c>
      <c r="K14" s="186">
        <f t="shared" si="2"/>
        <v>75.089990975006586</v>
      </c>
      <c r="L14" s="645"/>
      <c r="M14" s="185">
        <f>RANK(K14, K$7:$K$21)</f>
        <v>9</v>
      </c>
      <c r="N14" s="633"/>
      <c r="O14" s="633"/>
      <c r="P14" s="187">
        <v>24</v>
      </c>
      <c r="Q14" s="187">
        <v>1801.1883548287292</v>
      </c>
      <c r="R14" s="184">
        <f t="shared" si="3"/>
        <v>75.049514784530388</v>
      </c>
      <c r="S14" s="181">
        <f t="shared" si="4"/>
        <v>9</v>
      </c>
      <c r="T14" s="644"/>
      <c r="U14" s="187">
        <v>24</v>
      </c>
      <c r="V14" s="187">
        <v>1801.9883548287294</v>
      </c>
      <c r="W14" s="184">
        <f t="shared" si="1"/>
        <v>75.082848117863719</v>
      </c>
      <c r="X14" s="181">
        <f t="shared" si="5"/>
        <v>9</v>
      </c>
      <c r="Y14" s="644"/>
      <c r="Z14" s="187">
        <v>24</v>
      </c>
      <c r="AA14" s="187">
        <v>1801.7883548287296</v>
      </c>
      <c r="AB14" s="184">
        <f t="shared" si="6"/>
        <v>75.074514784530393</v>
      </c>
      <c r="AC14" s="181">
        <f t="shared" si="7"/>
        <v>9</v>
      </c>
      <c r="AD14" s="644"/>
      <c r="AE14" s="187">
        <v>24</v>
      </c>
      <c r="AF14" s="187">
        <v>1801.7883548287293</v>
      </c>
      <c r="AG14" s="184">
        <f t="shared" si="8"/>
        <v>75.074514784530393</v>
      </c>
      <c r="AH14" s="181">
        <f t="shared" si="9"/>
        <v>9</v>
      </c>
      <c r="AI14" s="644"/>
      <c r="AJ14" s="187">
        <v>24</v>
      </c>
      <c r="AK14" s="187">
        <v>1802.3883548287295</v>
      </c>
      <c r="AL14" s="184">
        <f t="shared" si="10"/>
        <v>75.099514784530399</v>
      </c>
      <c r="AM14" s="181">
        <f t="shared" si="11"/>
        <v>9</v>
      </c>
      <c r="AN14" s="644"/>
      <c r="AO14" s="187">
        <v>24</v>
      </c>
      <c r="AP14" s="187">
        <v>1802.9883548287296</v>
      </c>
      <c r="AQ14" s="184">
        <f t="shared" si="12"/>
        <v>75.124514784530405</v>
      </c>
      <c r="AR14" s="181">
        <f t="shared" si="13"/>
        <v>8</v>
      </c>
      <c r="AS14" s="644"/>
      <c r="AT14" s="187">
        <v>24</v>
      </c>
      <c r="AU14" s="187">
        <v>1802.9883548287296</v>
      </c>
      <c r="AV14" s="184">
        <f t="shared" si="14"/>
        <v>75.124514784530405</v>
      </c>
      <c r="AW14" s="181">
        <f t="shared" si="15"/>
        <v>9</v>
      </c>
      <c r="AX14" s="644"/>
    </row>
    <row r="15" spans="1:50" ht="14.25" customHeight="1">
      <c r="B15" s="633"/>
      <c r="C15" s="179">
        <v>9</v>
      </c>
      <c r="D15" s="182" t="s">
        <v>245</v>
      </c>
      <c r="E15" s="179">
        <v>24</v>
      </c>
      <c r="F15" s="179">
        <v>2000</v>
      </c>
      <c r="G15" s="184">
        <f t="shared" si="0"/>
        <v>83.333333333333329</v>
      </c>
      <c r="H15" s="644"/>
      <c r="I15" s="185">
        <f t="shared" si="2"/>
        <v>24</v>
      </c>
      <c r="J15" s="185">
        <f t="shared" si="2"/>
        <v>1806.0361122913853</v>
      </c>
      <c r="K15" s="186">
        <f t="shared" si="2"/>
        <v>75.25150467880772</v>
      </c>
      <c r="L15" s="645"/>
      <c r="M15" s="185">
        <f>RANK(K15, K$7:$K$21)</f>
        <v>7</v>
      </c>
      <c r="N15" s="633"/>
      <c r="O15" s="633"/>
      <c r="P15" s="187">
        <v>24</v>
      </c>
      <c r="Q15" s="187">
        <v>1806.3503980056707</v>
      </c>
      <c r="R15" s="184">
        <f t="shared" si="3"/>
        <v>75.264599916902952</v>
      </c>
      <c r="S15" s="181">
        <f t="shared" si="4"/>
        <v>7</v>
      </c>
      <c r="T15" s="644"/>
      <c r="U15" s="187">
        <v>24</v>
      </c>
      <c r="V15" s="187">
        <v>1806.3503980056707</v>
      </c>
      <c r="W15" s="184">
        <f t="shared" si="1"/>
        <v>75.264599916902952</v>
      </c>
      <c r="X15" s="181">
        <f t="shared" si="5"/>
        <v>7</v>
      </c>
      <c r="Y15" s="644"/>
      <c r="Z15" s="187">
        <v>24</v>
      </c>
      <c r="AA15" s="187">
        <v>1805.9503980056711</v>
      </c>
      <c r="AB15" s="184">
        <f t="shared" si="6"/>
        <v>75.247933250236301</v>
      </c>
      <c r="AC15" s="181">
        <f t="shared" si="7"/>
        <v>7</v>
      </c>
      <c r="AD15" s="644"/>
      <c r="AE15" s="187">
        <v>24</v>
      </c>
      <c r="AF15" s="187">
        <v>1805.9503980056711</v>
      </c>
      <c r="AG15" s="184">
        <f t="shared" si="8"/>
        <v>75.247933250236301</v>
      </c>
      <c r="AH15" s="181">
        <f t="shared" si="9"/>
        <v>7</v>
      </c>
      <c r="AI15" s="644"/>
      <c r="AJ15" s="187">
        <v>24</v>
      </c>
      <c r="AK15" s="187">
        <v>1805.9503980056713</v>
      </c>
      <c r="AL15" s="184">
        <f t="shared" si="10"/>
        <v>75.247933250236301</v>
      </c>
      <c r="AM15" s="181">
        <f t="shared" si="11"/>
        <v>7</v>
      </c>
      <c r="AN15" s="644"/>
      <c r="AO15" s="187">
        <v>24</v>
      </c>
      <c r="AP15" s="187">
        <v>1805.7503980056713</v>
      </c>
      <c r="AQ15" s="184">
        <f t="shared" si="12"/>
        <v>75.239599916902975</v>
      </c>
      <c r="AR15" s="181">
        <f t="shared" si="13"/>
        <v>7</v>
      </c>
      <c r="AS15" s="644"/>
      <c r="AT15" s="187">
        <v>24</v>
      </c>
      <c r="AU15" s="187">
        <v>1805.9503980056713</v>
      </c>
      <c r="AV15" s="184">
        <f t="shared" si="14"/>
        <v>75.247933250236301</v>
      </c>
      <c r="AW15" s="181">
        <f t="shared" si="15"/>
        <v>7</v>
      </c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A22" sqref="A22:XFD101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/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f>'[1]（２）ＫＰＩ達成進度'!D5</f>
        <v>46266</v>
      </c>
      <c r="Q2" s="667"/>
      <c r="R2" s="667"/>
      <c r="S2" s="667"/>
      <c r="T2" s="667"/>
      <c r="U2" s="653">
        <f>P2+1</f>
        <v>46267</v>
      </c>
      <c r="V2" s="654"/>
      <c r="W2" s="654"/>
      <c r="X2" s="654"/>
      <c r="Y2" s="654"/>
      <c r="Z2" s="666">
        <f t="shared" ref="Z2" si="0">U2+1</f>
        <v>46268</v>
      </c>
      <c r="AA2" s="667"/>
      <c r="AB2" s="667"/>
      <c r="AC2" s="667"/>
      <c r="AD2" s="667"/>
      <c r="AE2" s="653">
        <f t="shared" ref="AE2" si="1">Z2+1</f>
        <v>46269</v>
      </c>
      <c r="AF2" s="654"/>
      <c r="AG2" s="654"/>
      <c r="AH2" s="654"/>
      <c r="AI2" s="654"/>
      <c r="AJ2" s="650">
        <f t="shared" ref="AJ2" si="2">AE2+1</f>
        <v>46270</v>
      </c>
      <c r="AK2" s="651"/>
      <c r="AL2" s="651"/>
      <c r="AM2" s="651"/>
      <c r="AN2" s="652"/>
      <c r="AO2" s="653">
        <f t="shared" ref="AO2" si="3">AJ2+1</f>
        <v>46271</v>
      </c>
      <c r="AP2" s="654"/>
      <c r="AQ2" s="654"/>
      <c r="AR2" s="654"/>
      <c r="AS2" s="654"/>
      <c r="AT2" s="650">
        <f t="shared" ref="AT2" si="4">AO2+1</f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246</v>
      </c>
      <c r="C7" s="179">
        <v>1</v>
      </c>
      <c r="D7" s="182"/>
      <c r="E7" s="183"/>
      <c r="F7" s="179"/>
      <c r="G7" s="184"/>
      <c r="H7" s="644"/>
      <c r="I7" s="185"/>
      <c r="J7" s="185"/>
      <c r="K7" s="186"/>
      <c r="L7" s="645"/>
      <c r="M7" s="185"/>
      <c r="N7" s="633"/>
      <c r="O7" s="633"/>
      <c r="P7" s="187"/>
      <c r="Q7" s="187"/>
      <c r="R7" s="184"/>
      <c r="S7" s="181"/>
      <c r="T7" s="644"/>
      <c r="U7" s="187"/>
      <c r="V7" s="187"/>
      <c r="W7" s="184"/>
      <c r="X7" s="181"/>
      <c r="Y7" s="644"/>
      <c r="Z7" s="187"/>
      <c r="AA7" s="187"/>
      <c r="AB7" s="184"/>
      <c r="AC7" s="181"/>
      <c r="AD7" s="644"/>
      <c r="AE7" s="187"/>
      <c r="AF7" s="187"/>
      <c r="AG7" s="184"/>
      <c r="AH7" s="181"/>
      <c r="AI7" s="644"/>
      <c r="AJ7" s="187"/>
      <c r="AK7" s="187"/>
      <c r="AL7" s="184"/>
      <c r="AM7" s="181"/>
      <c r="AN7" s="644"/>
      <c r="AO7" s="187"/>
      <c r="AP7" s="187"/>
      <c r="AQ7" s="184"/>
      <c r="AR7" s="181"/>
      <c r="AS7" s="644"/>
      <c r="AT7" s="187"/>
      <c r="AU7" s="187"/>
      <c r="AV7" s="184"/>
      <c r="AW7" s="181"/>
      <c r="AX7" s="644"/>
    </row>
    <row r="8" spans="1:50" ht="14.25" customHeight="1">
      <c r="B8" s="633"/>
      <c r="C8" s="179">
        <v>2</v>
      </c>
      <c r="D8" s="182"/>
      <c r="E8" s="179"/>
      <c r="F8" s="179"/>
      <c r="G8" s="184"/>
      <c r="H8" s="644"/>
      <c r="I8" s="185"/>
      <c r="J8" s="185"/>
      <c r="K8" s="186"/>
      <c r="L8" s="645"/>
      <c r="M8" s="185"/>
      <c r="N8" s="633"/>
      <c r="O8" s="633"/>
      <c r="P8" s="187"/>
      <c r="Q8" s="187"/>
      <c r="R8" s="184"/>
      <c r="S8" s="181"/>
      <c r="T8" s="644"/>
      <c r="U8" s="187"/>
      <c r="V8" s="187"/>
      <c r="W8" s="184"/>
      <c r="X8" s="181"/>
      <c r="Y8" s="644"/>
      <c r="Z8" s="187"/>
      <c r="AA8" s="187"/>
      <c r="AB8" s="184"/>
      <c r="AC8" s="181"/>
      <c r="AD8" s="644"/>
      <c r="AE8" s="187"/>
      <c r="AF8" s="187"/>
      <c r="AG8" s="184"/>
      <c r="AH8" s="181"/>
      <c r="AI8" s="644"/>
      <c r="AJ8" s="187"/>
      <c r="AK8" s="187"/>
      <c r="AL8" s="184"/>
      <c r="AM8" s="181"/>
      <c r="AN8" s="644"/>
      <c r="AO8" s="187"/>
      <c r="AP8" s="187"/>
      <c r="AQ8" s="184"/>
      <c r="AR8" s="181"/>
      <c r="AS8" s="644"/>
      <c r="AT8" s="187"/>
      <c r="AU8" s="187"/>
      <c r="AV8" s="184"/>
      <c r="AW8" s="181"/>
      <c r="AX8" s="644"/>
    </row>
    <row r="9" spans="1:50" ht="14.25" customHeight="1">
      <c r="B9" s="633"/>
      <c r="C9" s="179">
        <v>3</v>
      </c>
      <c r="D9" s="182"/>
      <c r="E9" s="179"/>
      <c r="F9" s="179"/>
      <c r="G9" s="184"/>
      <c r="H9" s="644"/>
      <c r="I9" s="185"/>
      <c r="J9" s="185"/>
      <c r="K9" s="186"/>
      <c r="L9" s="645"/>
      <c r="M9" s="185"/>
      <c r="N9" s="633"/>
      <c r="O9" s="633"/>
      <c r="P9" s="187"/>
      <c r="Q9" s="187"/>
      <c r="R9" s="184"/>
      <c r="S9" s="181"/>
      <c r="T9" s="644"/>
      <c r="U9" s="187"/>
      <c r="V9" s="187"/>
      <c r="W9" s="184"/>
      <c r="X9" s="181"/>
      <c r="Y9" s="644"/>
      <c r="Z9" s="187"/>
      <c r="AA9" s="187"/>
      <c r="AB9" s="184"/>
      <c r="AC9" s="181"/>
      <c r="AD9" s="644"/>
      <c r="AE9" s="187"/>
      <c r="AF9" s="187"/>
      <c r="AG9" s="184"/>
      <c r="AH9" s="181"/>
      <c r="AI9" s="644"/>
      <c r="AJ9" s="187"/>
      <c r="AK9" s="187"/>
      <c r="AL9" s="184"/>
      <c r="AM9" s="181"/>
      <c r="AN9" s="644"/>
      <c r="AO9" s="187"/>
      <c r="AP9" s="187"/>
      <c r="AQ9" s="184"/>
      <c r="AR9" s="181"/>
      <c r="AS9" s="644"/>
      <c r="AT9" s="187"/>
      <c r="AU9" s="187"/>
      <c r="AV9" s="184"/>
      <c r="AW9" s="181"/>
      <c r="AX9" s="644"/>
    </row>
    <row r="10" spans="1:50" ht="14.25" customHeight="1">
      <c r="B10" s="633"/>
      <c r="C10" s="179">
        <v>4</v>
      </c>
      <c r="D10" s="182"/>
      <c r="E10" s="179"/>
      <c r="F10" s="179"/>
      <c r="G10" s="184"/>
      <c r="H10" s="644"/>
      <c r="I10" s="185"/>
      <c r="J10" s="185"/>
      <c r="K10" s="186"/>
      <c r="L10" s="645"/>
      <c r="M10" s="185"/>
      <c r="N10" s="633"/>
      <c r="O10" s="633"/>
      <c r="P10" s="187"/>
      <c r="Q10" s="187"/>
      <c r="R10" s="184"/>
      <c r="S10" s="181"/>
      <c r="T10" s="644"/>
      <c r="U10" s="187"/>
      <c r="V10" s="187"/>
      <c r="W10" s="184"/>
      <c r="X10" s="181"/>
      <c r="Y10" s="644"/>
      <c r="Z10" s="187"/>
      <c r="AA10" s="187"/>
      <c r="AB10" s="184"/>
      <c r="AC10" s="181"/>
      <c r="AD10" s="644"/>
      <c r="AE10" s="187"/>
      <c r="AF10" s="187"/>
      <c r="AG10" s="184"/>
      <c r="AH10" s="181"/>
      <c r="AI10" s="644"/>
      <c r="AJ10" s="187"/>
      <c r="AK10" s="187"/>
      <c r="AL10" s="184"/>
      <c r="AM10" s="181"/>
      <c r="AN10" s="644"/>
      <c r="AO10" s="187"/>
      <c r="AP10" s="187"/>
      <c r="AQ10" s="184"/>
      <c r="AR10" s="181"/>
      <c r="AS10" s="644"/>
      <c r="AT10" s="187"/>
      <c r="AU10" s="187"/>
      <c r="AV10" s="184"/>
      <c r="AW10" s="181"/>
      <c r="AX10" s="644"/>
    </row>
    <row r="11" spans="1:50" ht="14.25" customHeight="1">
      <c r="B11" s="633"/>
      <c r="C11" s="179">
        <v>5</v>
      </c>
      <c r="D11" s="182"/>
      <c r="E11" s="179"/>
      <c r="F11" s="179"/>
      <c r="G11" s="184"/>
      <c r="H11" s="644"/>
      <c r="I11" s="185"/>
      <c r="J11" s="185"/>
      <c r="K11" s="186"/>
      <c r="L11" s="645"/>
      <c r="M11" s="185"/>
      <c r="N11" s="633"/>
      <c r="O11" s="633"/>
      <c r="P11" s="187"/>
      <c r="Q11" s="187"/>
      <c r="R11" s="184"/>
      <c r="S11" s="181"/>
      <c r="T11" s="644"/>
      <c r="U11" s="187"/>
      <c r="V11" s="187"/>
      <c r="W11" s="184"/>
      <c r="X11" s="181"/>
      <c r="Y11" s="644"/>
      <c r="Z11" s="187"/>
      <c r="AA11" s="187"/>
      <c r="AB11" s="184"/>
      <c r="AC11" s="181"/>
      <c r="AD11" s="644"/>
      <c r="AE11" s="187"/>
      <c r="AF11" s="187"/>
      <c r="AG11" s="184"/>
      <c r="AH11" s="181"/>
      <c r="AI11" s="644"/>
      <c r="AJ11" s="187"/>
      <c r="AK11" s="187"/>
      <c r="AL11" s="184"/>
      <c r="AM11" s="181"/>
      <c r="AN11" s="644"/>
      <c r="AO11" s="187"/>
      <c r="AP11" s="187"/>
      <c r="AQ11" s="184"/>
      <c r="AR11" s="181"/>
      <c r="AS11" s="644"/>
      <c r="AT11" s="187"/>
      <c r="AU11" s="187"/>
      <c r="AV11" s="184"/>
      <c r="AW11" s="181"/>
      <c r="AX11" s="644"/>
    </row>
    <row r="12" spans="1:50" ht="14.25" customHeight="1">
      <c r="B12" s="633"/>
      <c r="C12" s="179">
        <v>6</v>
      </c>
      <c r="D12" s="182"/>
      <c r="E12" s="179"/>
      <c r="F12" s="179"/>
      <c r="G12" s="184"/>
      <c r="H12" s="644"/>
      <c r="I12" s="185"/>
      <c r="J12" s="185"/>
      <c r="K12" s="186"/>
      <c r="L12" s="645"/>
      <c r="M12" s="185"/>
      <c r="N12" s="633"/>
      <c r="O12" s="633"/>
      <c r="P12" s="187"/>
      <c r="Q12" s="187"/>
      <c r="R12" s="184"/>
      <c r="S12" s="181"/>
      <c r="T12" s="644"/>
      <c r="U12" s="187"/>
      <c r="V12" s="187"/>
      <c r="W12" s="184"/>
      <c r="X12" s="181"/>
      <c r="Y12" s="644"/>
      <c r="Z12" s="187"/>
      <c r="AA12" s="187"/>
      <c r="AB12" s="184"/>
      <c r="AC12" s="181"/>
      <c r="AD12" s="644"/>
      <c r="AE12" s="187"/>
      <c r="AF12" s="187"/>
      <c r="AG12" s="184"/>
      <c r="AH12" s="181"/>
      <c r="AI12" s="644"/>
      <c r="AJ12" s="187"/>
      <c r="AK12" s="187"/>
      <c r="AL12" s="184"/>
      <c r="AM12" s="181"/>
      <c r="AN12" s="644"/>
      <c r="AO12" s="187"/>
      <c r="AP12" s="187"/>
      <c r="AQ12" s="184"/>
      <c r="AR12" s="181"/>
      <c r="AS12" s="644"/>
      <c r="AT12" s="187"/>
      <c r="AU12" s="187"/>
      <c r="AV12" s="184"/>
      <c r="AW12" s="181"/>
      <c r="AX12" s="644"/>
    </row>
    <row r="13" spans="1:50" ht="14.25" customHeight="1">
      <c r="B13" s="633"/>
      <c r="C13" s="179">
        <v>7</v>
      </c>
      <c r="D13" s="182"/>
      <c r="E13" s="179"/>
      <c r="F13" s="179"/>
      <c r="G13" s="184"/>
      <c r="H13" s="644"/>
      <c r="I13" s="185"/>
      <c r="J13" s="185"/>
      <c r="K13" s="186"/>
      <c r="L13" s="645"/>
      <c r="M13" s="185"/>
      <c r="N13" s="633"/>
      <c r="O13" s="633"/>
      <c r="P13" s="187"/>
      <c r="Q13" s="187"/>
      <c r="R13" s="184"/>
      <c r="S13" s="181"/>
      <c r="T13" s="644"/>
      <c r="U13" s="187"/>
      <c r="V13" s="187"/>
      <c r="W13" s="184"/>
      <c r="X13" s="181"/>
      <c r="Y13" s="644"/>
      <c r="Z13" s="187"/>
      <c r="AA13" s="187"/>
      <c r="AB13" s="184"/>
      <c r="AC13" s="181"/>
      <c r="AD13" s="644"/>
      <c r="AE13" s="187"/>
      <c r="AF13" s="187"/>
      <c r="AG13" s="184"/>
      <c r="AH13" s="181"/>
      <c r="AI13" s="644"/>
      <c r="AJ13" s="187"/>
      <c r="AK13" s="187"/>
      <c r="AL13" s="184"/>
      <c r="AM13" s="181"/>
      <c r="AN13" s="644"/>
      <c r="AO13" s="187"/>
      <c r="AP13" s="187"/>
      <c r="AQ13" s="184"/>
      <c r="AR13" s="181"/>
      <c r="AS13" s="644"/>
      <c r="AT13" s="187"/>
      <c r="AU13" s="187"/>
      <c r="AV13" s="184"/>
      <c r="AW13" s="181"/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L22" sqref="L22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513" t="s">
        <v>211</v>
      </c>
      <c r="C1" s="174">
        <f>AVERAGE(L7)</f>
        <v>160.0901569355139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247</v>
      </c>
      <c r="C7" s="179">
        <v>1</v>
      </c>
      <c r="D7" s="182" t="s">
        <v>248</v>
      </c>
      <c r="E7" s="183">
        <v>19</v>
      </c>
      <c r="F7" s="179">
        <v>3600</v>
      </c>
      <c r="G7" s="184">
        <f t="shared" ref="G7:G13" si="0">IFERROR(F7/E7,"")</f>
        <v>189.47368421052633</v>
      </c>
      <c r="H7" s="644">
        <f>AVERAGE(G7:G21)</f>
        <v>177.63134544435621</v>
      </c>
      <c r="I7" s="185">
        <f>AVERAGE(P7,U7,Z7,AE7,AJ7,AO7,AT7)</f>
        <v>19</v>
      </c>
      <c r="J7" s="185">
        <f>AVERAGE(Q7,V7,AA7,AF7,AK7,AP7,AU7)</f>
        <v>3264.6342857142818</v>
      </c>
      <c r="K7" s="186">
        <f>AVERAGE(R7,W7,AB7,AG7,AL7,AQ7,AV7)</f>
        <v>171.82285714285692</v>
      </c>
      <c r="L7" s="645">
        <f>IFERROR(AVERAGE(K7:K21),"-")</f>
        <v>160.0901569355139</v>
      </c>
      <c r="M7" s="185">
        <f>RANK(K7, K$7:$K$21)</f>
        <v>2</v>
      </c>
      <c r="N7" s="633"/>
      <c r="O7" s="633"/>
      <c r="P7" s="187">
        <v>19</v>
      </c>
      <c r="Q7" s="187">
        <v>3266.279999999997</v>
      </c>
      <c r="R7" s="184">
        <f>IFERROR(Q7/P7,"")</f>
        <v>171.90947368421038</v>
      </c>
      <c r="S7" s="181">
        <f>RANK(R7, R$7:R$21)</f>
        <v>2</v>
      </c>
      <c r="T7" s="644">
        <f>AVERAGE(R7:R21)</f>
        <v>160.11617704563901</v>
      </c>
      <c r="U7" s="187">
        <v>19</v>
      </c>
      <c r="V7" s="187">
        <v>3265.1999999999966</v>
      </c>
      <c r="W7" s="184">
        <f t="shared" ref="W7:W13" si="1">IFERROR(V7/U7,"")</f>
        <v>171.85263157894718</v>
      </c>
      <c r="X7" s="181">
        <f>RANK(W7, W$7:W$21)</f>
        <v>2</v>
      </c>
      <c r="Y7" s="644">
        <f>AVERAGE(W7:W21)</f>
        <v>160.08655928664697</v>
      </c>
      <c r="Z7" s="187">
        <v>19</v>
      </c>
      <c r="AA7" s="187">
        <v>3264.1199999999963</v>
      </c>
      <c r="AB7" s="184">
        <f>IFERROR(AA7/Z7,"")</f>
        <v>171.79578947368401</v>
      </c>
      <c r="AC7" s="181">
        <f>RANK(AB7, AB$7:AB$21)</f>
        <v>3</v>
      </c>
      <c r="AD7" s="644">
        <f>AVERAGE(AB7:AB21)</f>
        <v>160.07982242696312</v>
      </c>
      <c r="AE7" s="187">
        <v>19</v>
      </c>
      <c r="AF7" s="187">
        <v>3263.7599999999957</v>
      </c>
      <c r="AG7" s="184">
        <f>IFERROR(AF7/AE7,"")</f>
        <v>171.77684210526294</v>
      </c>
      <c r="AH7" s="181">
        <f>RANK(AG7, AG$7:AG$21)</f>
        <v>2</v>
      </c>
      <c r="AI7" s="644">
        <f>AVERAGE(AG7:AG21)</f>
        <v>160.0861434893348</v>
      </c>
      <c r="AJ7" s="187">
        <v>19</v>
      </c>
      <c r="AK7" s="187">
        <v>3263.399999999996</v>
      </c>
      <c r="AL7" s="184">
        <f>IFERROR(AK7/AJ7,"")</f>
        <v>171.75789473684191</v>
      </c>
      <c r="AM7" s="181">
        <f>RANK(AL7, AL$7:AL$21)</f>
        <v>2</v>
      </c>
      <c r="AN7" s="644">
        <f>AVERAGE(AL7:AL21)</f>
        <v>160.07353339266453</v>
      </c>
      <c r="AO7" s="187">
        <v>19</v>
      </c>
      <c r="AP7" s="187">
        <v>3265.1999999999953</v>
      </c>
      <c r="AQ7" s="184">
        <f>IFERROR(AP7/AO7,"")</f>
        <v>171.85263157894713</v>
      </c>
      <c r="AR7" s="181">
        <f>RANK(AQ7, AQ$7:AQ$21)</f>
        <v>2</v>
      </c>
      <c r="AS7" s="644">
        <f>AVERAGE(AQ7:AQ21)</f>
        <v>160.11505053089448</v>
      </c>
      <c r="AT7" s="187">
        <v>19</v>
      </c>
      <c r="AU7" s="187">
        <v>3264.479999999995</v>
      </c>
      <c r="AV7" s="184">
        <f>IFERROR(AU7/AT7,"")</f>
        <v>171.81473684210499</v>
      </c>
      <c r="AW7" s="181">
        <f>RANK(AV7, AV$7:AV$21)</f>
        <v>2</v>
      </c>
      <c r="AX7" s="644">
        <f>AVERAGE(AV7:AV21)</f>
        <v>160.0738123764543</v>
      </c>
    </row>
    <row r="8" spans="1:50" ht="14.25" customHeight="1">
      <c r="B8" s="633"/>
      <c r="C8" s="179">
        <v>2</v>
      </c>
      <c r="D8" s="182" t="s">
        <v>249</v>
      </c>
      <c r="E8" s="179">
        <v>20</v>
      </c>
      <c r="F8" s="179">
        <v>3600</v>
      </c>
      <c r="G8" s="184">
        <f t="shared" si="0"/>
        <v>180</v>
      </c>
      <c r="H8" s="644"/>
      <c r="I8" s="185">
        <f t="shared" ref="I8:K13" si="2">AVERAGE(P8,U8,Z8,AE8,AJ8,AO8,AT8)</f>
        <v>20</v>
      </c>
      <c r="J8" s="185">
        <f t="shared" si="2"/>
        <v>3271.0412741143446</v>
      </c>
      <c r="K8" s="186">
        <f t="shared" si="2"/>
        <v>163.55206370571722</v>
      </c>
      <c r="L8" s="645"/>
      <c r="M8" s="185">
        <f>RANK(K8, K$7:$K$21)</f>
        <v>4</v>
      </c>
      <c r="N8" s="633"/>
      <c r="O8" s="633"/>
      <c r="P8" s="187">
        <v>20</v>
      </c>
      <c r="Q8" s="187">
        <v>3270.9599999999996</v>
      </c>
      <c r="R8" s="184">
        <f t="shared" ref="R8:R13" si="3">IFERROR(Q8/P8,"")</f>
        <v>163.54799999999997</v>
      </c>
      <c r="S8" s="181">
        <f t="shared" ref="S8:S13" si="4">RANK(R8, R$7:R$21)</f>
        <v>4</v>
      </c>
      <c r="T8" s="644"/>
      <c r="U8" s="187">
        <v>20</v>
      </c>
      <c r="V8" s="187">
        <v>3270.9599999999996</v>
      </c>
      <c r="W8" s="184">
        <f t="shared" si="1"/>
        <v>163.54799999999997</v>
      </c>
      <c r="X8" s="181">
        <f t="shared" ref="X8:X13" si="5">RANK(W8, W$7:W$21)</f>
        <v>4</v>
      </c>
      <c r="Y8" s="644"/>
      <c r="Z8" s="187">
        <v>20</v>
      </c>
      <c r="AA8" s="187">
        <v>3270.5999999999995</v>
      </c>
      <c r="AB8" s="184">
        <f t="shared" ref="AB8:AB13" si="6">IFERROR(AA8/Z8,"")</f>
        <v>163.52999999999997</v>
      </c>
      <c r="AC8" s="181">
        <f t="shared" ref="AC8:AC13" si="7">RANK(AB8, AB$7:AB$21)</f>
        <v>4</v>
      </c>
      <c r="AD8" s="644"/>
      <c r="AE8" s="187">
        <v>20</v>
      </c>
      <c r="AF8" s="187">
        <v>3271.3199999999993</v>
      </c>
      <c r="AG8" s="184">
        <f t="shared" ref="AG8:AG13" si="8">IFERROR(AF8/AE8,"")</f>
        <v>163.56599999999997</v>
      </c>
      <c r="AH8" s="181">
        <f t="shared" ref="AH8:AH13" si="9">RANK(AG8, AG$7:AG$21)</f>
        <v>4</v>
      </c>
      <c r="AI8" s="644"/>
      <c r="AJ8" s="187">
        <v>20</v>
      </c>
      <c r="AK8" s="187">
        <v>3271.3199999999997</v>
      </c>
      <c r="AL8" s="184">
        <f t="shared" ref="AL8:AL13" si="10">IFERROR(AK8/AJ8,"")</f>
        <v>163.56599999999997</v>
      </c>
      <c r="AM8" s="181">
        <f t="shared" ref="AM8:AM13" si="11">RANK(AL8, AL$7:AL$21)</f>
        <v>4</v>
      </c>
      <c r="AN8" s="644"/>
      <c r="AO8" s="187">
        <v>20</v>
      </c>
      <c r="AP8" s="187">
        <v>3272.7599999999993</v>
      </c>
      <c r="AQ8" s="184">
        <f t="shared" ref="AQ8:AQ13" si="12">IFERROR(AP8/AO8,"")</f>
        <v>163.63799999999998</v>
      </c>
      <c r="AR8" s="181">
        <f t="shared" ref="AR8:AR13" si="13">RANK(AQ8, AQ$7:AQ$21)</f>
        <v>4</v>
      </c>
      <c r="AS8" s="644"/>
      <c r="AT8" s="187">
        <v>20</v>
      </c>
      <c r="AU8" s="187">
        <v>3269.3689188004141</v>
      </c>
      <c r="AV8" s="184">
        <f t="shared" ref="AV8:AV13" si="14">IFERROR(AU8/AT8,"")</f>
        <v>163.4684459400207</v>
      </c>
      <c r="AW8" s="181">
        <f t="shared" ref="AW8:AW13" si="15">RANK(AV8, AV$7:AV$21)</f>
        <v>4</v>
      </c>
      <c r="AX8" s="644"/>
    </row>
    <row r="9" spans="1:50" ht="14.25" customHeight="1">
      <c r="B9" s="633"/>
      <c r="C9" s="179">
        <v>3</v>
      </c>
      <c r="D9" s="182" t="s">
        <v>250</v>
      </c>
      <c r="E9" s="179">
        <v>23</v>
      </c>
      <c r="F9" s="179">
        <v>3600</v>
      </c>
      <c r="G9" s="184">
        <f t="shared" si="0"/>
        <v>156.52173913043478</v>
      </c>
      <c r="H9" s="644"/>
      <c r="I9" s="185">
        <f t="shared" si="2"/>
        <v>23</v>
      </c>
      <c r="J9" s="185">
        <f t="shared" si="2"/>
        <v>3261.8267825961448</v>
      </c>
      <c r="K9" s="186">
        <f t="shared" si="2"/>
        <v>141.81855576504981</v>
      </c>
      <c r="L9" s="645"/>
      <c r="M9" s="185">
        <f>RANK(K9, K$7:$K$21)</f>
        <v>7</v>
      </c>
      <c r="N9" s="633"/>
      <c r="O9" s="633"/>
      <c r="P9" s="187">
        <v>23</v>
      </c>
      <c r="Q9" s="187">
        <v>3261.8508059526971</v>
      </c>
      <c r="R9" s="184">
        <f t="shared" si="3"/>
        <v>141.81960025881293</v>
      </c>
      <c r="S9" s="181">
        <f t="shared" si="4"/>
        <v>7</v>
      </c>
      <c r="T9" s="644"/>
      <c r="U9" s="187">
        <v>23</v>
      </c>
      <c r="V9" s="187">
        <v>3262.2108059526972</v>
      </c>
      <c r="W9" s="184">
        <f t="shared" si="1"/>
        <v>141.83525243272598</v>
      </c>
      <c r="X9" s="181">
        <f t="shared" si="5"/>
        <v>7</v>
      </c>
      <c r="Y9" s="644"/>
      <c r="Z9" s="187">
        <v>23</v>
      </c>
      <c r="AA9" s="187">
        <v>3261.850805952698</v>
      </c>
      <c r="AB9" s="184">
        <f t="shared" si="6"/>
        <v>141.81960025881295</v>
      </c>
      <c r="AC9" s="181">
        <f t="shared" si="7"/>
        <v>7</v>
      </c>
      <c r="AD9" s="644"/>
      <c r="AE9" s="187">
        <v>23</v>
      </c>
      <c r="AF9" s="187">
        <v>3262.9308059526979</v>
      </c>
      <c r="AG9" s="184">
        <f t="shared" si="8"/>
        <v>141.86655678055209</v>
      </c>
      <c r="AH9" s="181">
        <f t="shared" si="9"/>
        <v>7</v>
      </c>
      <c r="AI9" s="644"/>
      <c r="AJ9" s="187">
        <v>23</v>
      </c>
      <c r="AK9" s="187">
        <v>3261.850805952698</v>
      </c>
      <c r="AL9" s="184">
        <f t="shared" si="10"/>
        <v>141.81960025881295</v>
      </c>
      <c r="AM9" s="181">
        <f t="shared" si="11"/>
        <v>7</v>
      </c>
      <c r="AN9" s="644"/>
      <c r="AO9" s="187">
        <v>23</v>
      </c>
      <c r="AP9" s="187">
        <v>3260.410805952698</v>
      </c>
      <c r="AQ9" s="184">
        <f t="shared" si="12"/>
        <v>141.75699156316077</v>
      </c>
      <c r="AR9" s="181">
        <f t="shared" si="13"/>
        <v>7</v>
      </c>
      <c r="AS9" s="644"/>
      <c r="AT9" s="187">
        <v>23</v>
      </c>
      <c r="AU9" s="187">
        <v>3261.6826424568299</v>
      </c>
      <c r="AV9" s="184">
        <f t="shared" si="14"/>
        <v>141.81228880247087</v>
      </c>
      <c r="AW9" s="181">
        <f t="shared" si="15"/>
        <v>7</v>
      </c>
      <c r="AX9" s="644"/>
    </row>
    <row r="10" spans="1:50" ht="14.25" customHeight="1">
      <c r="B10" s="633"/>
      <c r="C10" s="179">
        <v>4</v>
      </c>
      <c r="D10" s="182" t="s">
        <v>251</v>
      </c>
      <c r="E10" s="179">
        <v>18</v>
      </c>
      <c r="F10" s="179">
        <v>3600</v>
      </c>
      <c r="G10" s="184">
        <f t="shared" si="0"/>
        <v>200</v>
      </c>
      <c r="H10" s="644"/>
      <c r="I10" s="185">
        <f t="shared" si="2"/>
        <v>18</v>
      </c>
      <c r="J10" s="185">
        <f t="shared" si="2"/>
        <v>3193.0265302637372</v>
      </c>
      <c r="K10" s="186">
        <f t="shared" si="2"/>
        <v>177.39036279242981</v>
      </c>
      <c r="L10" s="645"/>
      <c r="M10" s="185">
        <f>RANK(K10, K$7:$K$21)</f>
        <v>1</v>
      </c>
      <c r="N10" s="633"/>
      <c r="O10" s="633"/>
      <c r="P10" s="187">
        <v>18</v>
      </c>
      <c r="Q10" s="187">
        <v>3192.8429075900904</v>
      </c>
      <c r="R10" s="184">
        <f t="shared" si="3"/>
        <v>177.38016153278281</v>
      </c>
      <c r="S10" s="181">
        <f t="shared" si="4"/>
        <v>1</v>
      </c>
      <c r="T10" s="644"/>
      <c r="U10" s="187">
        <v>18</v>
      </c>
      <c r="V10" s="187">
        <v>3191.7629075900904</v>
      </c>
      <c r="W10" s="184">
        <f t="shared" si="1"/>
        <v>177.32016153278281</v>
      </c>
      <c r="X10" s="181">
        <f t="shared" si="5"/>
        <v>1</v>
      </c>
      <c r="Y10" s="644"/>
      <c r="Z10" s="187">
        <v>18</v>
      </c>
      <c r="AA10" s="187">
        <v>3191.4029075900903</v>
      </c>
      <c r="AB10" s="184">
        <f t="shared" si="6"/>
        <v>177.30016153278279</v>
      </c>
      <c r="AC10" s="181">
        <f t="shared" si="7"/>
        <v>1</v>
      </c>
      <c r="AD10" s="644"/>
      <c r="AE10" s="187">
        <v>18</v>
      </c>
      <c r="AF10" s="187">
        <v>3193.2173712932758</v>
      </c>
      <c r="AG10" s="184">
        <f t="shared" si="8"/>
        <v>177.40096507184865</v>
      </c>
      <c r="AH10" s="181">
        <f t="shared" si="9"/>
        <v>1</v>
      </c>
      <c r="AI10" s="644"/>
      <c r="AJ10" s="187">
        <v>18</v>
      </c>
      <c r="AK10" s="187">
        <v>3193.5773712932755</v>
      </c>
      <c r="AL10" s="184">
        <f t="shared" si="10"/>
        <v>177.42096507184863</v>
      </c>
      <c r="AM10" s="181">
        <f t="shared" si="11"/>
        <v>1</v>
      </c>
      <c r="AN10" s="644"/>
      <c r="AO10" s="187">
        <v>18</v>
      </c>
      <c r="AP10" s="187">
        <v>3194.6573712932754</v>
      </c>
      <c r="AQ10" s="184">
        <f t="shared" si="12"/>
        <v>177.48096507184863</v>
      </c>
      <c r="AR10" s="181">
        <f t="shared" si="13"/>
        <v>1</v>
      </c>
      <c r="AS10" s="644"/>
      <c r="AT10" s="187">
        <v>18</v>
      </c>
      <c r="AU10" s="187">
        <v>3193.7248751960601</v>
      </c>
      <c r="AV10" s="184">
        <f t="shared" si="14"/>
        <v>177.42915973311446</v>
      </c>
      <c r="AW10" s="181">
        <f t="shared" si="15"/>
        <v>1</v>
      </c>
      <c r="AX10" s="644"/>
    </row>
    <row r="11" spans="1:50" ht="14.25" customHeight="1">
      <c r="B11" s="633"/>
      <c r="C11" s="179">
        <v>5</v>
      </c>
      <c r="D11" s="182" t="s">
        <v>252</v>
      </c>
      <c r="E11" s="179">
        <v>23</v>
      </c>
      <c r="F11" s="179">
        <v>3600</v>
      </c>
      <c r="G11" s="184">
        <f t="shared" si="0"/>
        <v>156.52173913043478</v>
      </c>
      <c r="H11" s="644"/>
      <c r="I11" s="185">
        <f t="shared" si="2"/>
        <v>23</v>
      </c>
      <c r="J11" s="185">
        <f t="shared" si="2"/>
        <v>3271.5047500711112</v>
      </c>
      <c r="K11" s="186">
        <f t="shared" si="2"/>
        <v>142.2393369596135</v>
      </c>
      <c r="L11" s="645"/>
      <c r="M11" s="185">
        <f>RANK(K11, K$7:$K$21)</f>
        <v>6</v>
      </c>
      <c r="N11" s="633"/>
      <c r="O11" s="633"/>
      <c r="P11" s="187">
        <v>23</v>
      </c>
      <c r="Q11" s="187">
        <v>3272.0370040511466</v>
      </c>
      <c r="R11" s="184">
        <f t="shared" si="3"/>
        <v>142.26247843700637</v>
      </c>
      <c r="S11" s="181">
        <f t="shared" si="4"/>
        <v>6</v>
      </c>
      <c r="T11" s="644"/>
      <c r="U11" s="187">
        <v>23</v>
      </c>
      <c r="V11" s="187">
        <v>3272.3970040511458</v>
      </c>
      <c r="W11" s="184">
        <f t="shared" si="1"/>
        <v>142.27813061091939</v>
      </c>
      <c r="X11" s="181">
        <f t="shared" si="5"/>
        <v>6</v>
      </c>
      <c r="Y11" s="644"/>
      <c r="Z11" s="187">
        <v>23</v>
      </c>
      <c r="AA11" s="187">
        <v>3273.1170040511456</v>
      </c>
      <c r="AB11" s="184">
        <f t="shared" si="6"/>
        <v>142.30943495874547</v>
      </c>
      <c r="AC11" s="181">
        <f t="shared" si="7"/>
        <v>6</v>
      </c>
      <c r="AD11" s="644"/>
      <c r="AE11" s="187">
        <v>23</v>
      </c>
      <c r="AF11" s="187">
        <v>3271.3170040511459</v>
      </c>
      <c r="AG11" s="184">
        <f t="shared" si="8"/>
        <v>142.23117408918026</v>
      </c>
      <c r="AH11" s="181">
        <f t="shared" si="9"/>
        <v>6</v>
      </c>
      <c r="AI11" s="644"/>
      <c r="AJ11" s="187">
        <v>23</v>
      </c>
      <c r="AK11" s="187">
        <v>3272.3970040511458</v>
      </c>
      <c r="AL11" s="184">
        <f t="shared" si="10"/>
        <v>142.27813061091939</v>
      </c>
      <c r="AM11" s="181">
        <f t="shared" si="11"/>
        <v>6</v>
      </c>
      <c r="AN11" s="644"/>
      <c r="AO11" s="187">
        <v>23</v>
      </c>
      <c r="AP11" s="187">
        <v>3271.677004051146</v>
      </c>
      <c r="AQ11" s="184">
        <f t="shared" si="12"/>
        <v>142.24682626309331</v>
      </c>
      <c r="AR11" s="181">
        <f t="shared" si="13"/>
        <v>6</v>
      </c>
      <c r="AS11" s="644"/>
      <c r="AT11" s="187">
        <v>23</v>
      </c>
      <c r="AU11" s="187">
        <v>3267.5912261909002</v>
      </c>
      <c r="AV11" s="184">
        <f t="shared" si="14"/>
        <v>142.06918374743046</v>
      </c>
      <c r="AW11" s="181">
        <f t="shared" si="15"/>
        <v>6</v>
      </c>
      <c r="AX11" s="644"/>
    </row>
    <row r="12" spans="1:50" ht="14.25" customHeight="1">
      <c r="B12" s="633"/>
      <c r="C12" s="179">
        <v>6</v>
      </c>
      <c r="D12" s="182" t="s">
        <v>253</v>
      </c>
      <c r="E12" s="179">
        <v>19</v>
      </c>
      <c r="F12" s="179">
        <v>3600</v>
      </c>
      <c r="G12" s="184">
        <f t="shared" si="0"/>
        <v>189.47368421052633</v>
      </c>
      <c r="H12" s="644"/>
      <c r="I12" s="185">
        <f t="shared" si="2"/>
        <v>19</v>
      </c>
      <c r="J12" s="185">
        <f t="shared" si="2"/>
        <v>3263.7953346453587</v>
      </c>
      <c r="K12" s="186">
        <f t="shared" si="2"/>
        <v>171.77870182343992</v>
      </c>
      <c r="L12" s="645"/>
      <c r="M12" s="185">
        <f>RANK(K12, K$7:$K$21)</f>
        <v>3</v>
      </c>
      <c r="N12" s="633"/>
      <c r="O12" s="633"/>
      <c r="P12" s="187">
        <v>19</v>
      </c>
      <c r="Q12" s="187">
        <v>3265.3381917882175</v>
      </c>
      <c r="R12" s="184">
        <f t="shared" si="3"/>
        <v>171.85990483095881</v>
      </c>
      <c r="S12" s="181">
        <f t="shared" si="4"/>
        <v>3</v>
      </c>
      <c r="T12" s="644"/>
      <c r="U12" s="187">
        <v>19</v>
      </c>
      <c r="V12" s="187">
        <v>3263.5381917882173</v>
      </c>
      <c r="W12" s="184">
        <f t="shared" si="1"/>
        <v>171.76516798885353</v>
      </c>
      <c r="X12" s="181">
        <f t="shared" si="5"/>
        <v>3</v>
      </c>
      <c r="Y12" s="644"/>
      <c r="Z12" s="187">
        <v>19</v>
      </c>
      <c r="AA12" s="187">
        <v>3264.2581917882162</v>
      </c>
      <c r="AB12" s="184">
        <f t="shared" si="6"/>
        <v>171.80306272569558</v>
      </c>
      <c r="AC12" s="181">
        <f t="shared" si="7"/>
        <v>2</v>
      </c>
      <c r="AD12" s="644"/>
      <c r="AE12" s="187">
        <v>19</v>
      </c>
      <c r="AF12" s="187">
        <v>3263.5381917882155</v>
      </c>
      <c r="AG12" s="184">
        <f t="shared" si="8"/>
        <v>171.76516798885345</v>
      </c>
      <c r="AH12" s="181">
        <f t="shared" si="9"/>
        <v>3</v>
      </c>
      <c r="AI12" s="644"/>
      <c r="AJ12" s="187">
        <v>19</v>
      </c>
      <c r="AK12" s="187">
        <v>3262.8181917882152</v>
      </c>
      <c r="AL12" s="184">
        <f t="shared" si="10"/>
        <v>171.72727325201132</v>
      </c>
      <c r="AM12" s="181">
        <f t="shared" si="11"/>
        <v>3</v>
      </c>
      <c r="AN12" s="644"/>
      <c r="AO12" s="187">
        <v>19</v>
      </c>
      <c r="AP12" s="187">
        <v>3262.8181917882152</v>
      </c>
      <c r="AQ12" s="184">
        <f t="shared" si="12"/>
        <v>171.72727325201132</v>
      </c>
      <c r="AR12" s="181">
        <f t="shared" si="13"/>
        <v>3</v>
      </c>
      <c r="AS12" s="644"/>
      <c r="AT12" s="187">
        <v>19</v>
      </c>
      <c r="AU12" s="187">
        <v>3264.2581917882144</v>
      </c>
      <c r="AV12" s="184">
        <f t="shared" si="14"/>
        <v>171.8030627256955</v>
      </c>
      <c r="AW12" s="181">
        <f t="shared" si="15"/>
        <v>3</v>
      </c>
      <c r="AX12" s="644"/>
    </row>
    <row r="13" spans="1:50" ht="14.25" customHeight="1">
      <c r="B13" s="633"/>
      <c r="C13" s="179">
        <v>7</v>
      </c>
      <c r="D13" s="182" t="s">
        <v>254</v>
      </c>
      <c r="E13" s="179">
        <v>21</v>
      </c>
      <c r="F13" s="179">
        <v>3600</v>
      </c>
      <c r="G13" s="184">
        <f t="shared" si="0"/>
        <v>171.42857142857142</v>
      </c>
      <c r="H13" s="644"/>
      <c r="I13" s="185">
        <f t="shared" si="2"/>
        <v>21</v>
      </c>
      <c r="J13" s="185">
        <f t="shared" si="2"/>
        <v>3192.6136275492904</v>
      </c>
      <c r="K13" s="186">
        <f t="shared" si="2"/>
        <v>152.02922035949004</v>
      </c>
      <c r="L13" s="645"/>
      <c r="M13" s="185">
        <f>RANK(K13, K$7:$K$21)</f>
        <v>5</v>
      </c>
      <c r="N13" s="633"/>
      <c r="O13" s="633"/>
      <c r="P13" s="187">
        <v>21</v>
      </c>
      <c r="Q13" s="187">
        <v>3192.706032089734</v>
      </c>
      <c r="R13" s="184">
        <f t="shared" si="3"/>
        <v>152.0336205757016</v>
      </c>
      <c r="S13" s="181">
        <f t="shared" si="4"/>
        <v>5</v>
      </c>
      <c r="T13" s="644"/>
      <c r="U13" s="187">
        <v>21</v>
      </c>
      <c r="V13" s="187">
        <v>3192.1379881083044</v>
      </c>
      <c r="W13" s="184">
        <f t="shared" si="1"/>
        <v>152.00657086230021</v>
      </c>
      <c r="X13" s="181">
        <f t="shared" si="5"/>
        <v>5</v>
      </c>
      <c r="Y13" s="644"/>
      <c r="Z13" s="187">
        <v>21</v>
      </c>
      <c r="AA13" s="187">
        <v>3192.0148688194431</v>
      </c>
      <c r="AB13" s="184">
        <f t="shared" si="6"/>
        <v>152.00070803902111</v>
      </c>
      <c r="AC13" s="181">
        <f t="shared" si="7"/>
        <v>5</v>
      </c>
      <c r="AD13" s="644"/>
      <c r="AE13" s="187">
        <v>21</v>
      </c>
      <c r="AF13" s="187">
        <v>3191.922266182572</v>
      </c>
      <c r="AG13" s="184">
        <f t="shared" si="8"/>
        <v>151.99629838964628</v>
      </c>
      <c r="AH13" s="181">
        <f t="shared" si="9"/>
        <v>5</v>
      </c>
      <c r="AI13" s="644"/>
      <c r="AJ13" s="187">
        <v>21</v>
      </c>
      <c r="AK13" s="187">
        <v>3190.8422661825716</v>
      </c>
      <c r="AL13" s="184">
        <f t="shared" si="10"/>
        <v>151.94486981821768</v>
      </c>
      <c r="AM13" s="181">
        <f t="shared" si="11"/>
        <v>5</v>
      </c>
      <c r="AN13" s="644"/>
      <c r="AO13" s="187">
        <v>21</v>
      </c>
      <c r="AP13" s="187">
        <v>3194.1559857312041</v>
      </c>
      <c r="AQ13" s="184">
        <f t="shared" si="12"/>
        <v>152.1026659872002</v>
      </c>
      <c r="AR13" s="181">
        <f t="shared" si="13"/>
        <v>5</v>
      </c>
      <c r="AS13" s="644"/>
      <c r="AT13" s="187">
        <v>21</v>
      </c>
      <c r="AU13" s="187">
        <v>3194.5159857312051</v>
      </c>
      <c r="AV13" s="184">
        <f t="shared" si="14"/>
        <v>152.11980884434311</v>
      </c>
      <c r="AW13" s="181">
        <f t="shared" si="15"/>
        <v>5</v>
      </c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21"/>
  <sheetViews>
    <sheetView zoomScaleNormal="100" workbookViewId="0">
      <pane xSplit="13" ySplit="1" topLeftCell="N2" activePane="bottomRight" state="frozen"/>
      <selection pane="bottomRight" activeCell="N27" sqref="N27"/>
      <selection pane="bottomLeft" activeCell="B2" sqref="B2:M3"/>
      <selection pane="topRight" activeCell="B2" sqref="B2:M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513" t="s">
        <v>211</v>
      </c>
      <c r="C1" s="174">
        <f>AVERAGE(L7)</f>
        <v>89.112331588411166</v>
      </c>
    </row>
    <row r="2" spans="1:50" ht="14.25" customHeight="1">
      <c r="B2" s="668" t="s">
        <v>212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70"/>
      <c r="N2" s="673" t="s">
        <v>160</v>
      </c>
      <c r="O2" s="673" t="s">
        <v>109</v>
      </c>
      <c r="P2" s="666">
        <v>46266</v>
      </c>
      <c r="Q2" s="667"/>
      <c r="R2" s="667"/>
      <c r="S2" s="667"/>
      <c r="T2" s="667"/>
      <c r="U2" s="653">
        <v>46267</v>
      </c>
      <c r="V2" s="654"/>
      <c r="W2" s="654"/>
      <c r="X2" s="654"/>
      <c r="Y2" s="654"/>
      <c r="Z2" s="666">
        <v>46268</v>
      </c>
      <c r="AA2" s="667"/>
      <c r="AB2" s="667"/>
      <c r="AC2" s="667"/>
      <c r="AD2" s="667"/>
      <c r="AE2" s="653">
        <v>46269</v>
      </c>
      <c r="AF2" s="654"/>
      <c r="AG2" s="654"/>
      <c r="AH2" s="654"/>
      <c r="AI2" s="654"/>
      <c r="AJ2" s="650">
        <v>46270</v>
      </c>
      <c r="AK2" s="651"/>
      <c r="AL2" s="651"/>
      <c r="AM2" s="651"/>
      <c r="AN2" s="652"/>
      <c r="AO2" s="653">
        <v>46271</v>
      </c>
      <c r="AP2" s="654"/>
      <c r="AQ2" s="654"/>
      <c r="AR2" s="654"/>
      <c r="AS2" s="654"/>
      <c r="AT2" s="650">
        <v>46272</v>
      </c>
      <c r="AU2" s="651"/>
      <c r="AV2" s="651"/>
      <c r="AW2" s="651"/>
      <c r="AX2" s="652"/>
    </row>
    <row r="3" spans="1:50" ht="14.25" customHeight="1"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2"/>
      <c r="N3" s="674"/>
      <c r="O3" s="674"/>
      <c r="P3" s="658">
        <v>46196</v>
      </c>
      <c r="Q3" s="658"/>
      <c r="R3" s="658"/>
      <c r="S3" s="658"/>
      <c r="T3" s="658"/>
      <c r="U3" s="657">
        <v>46197</v>
      </c>
      <c r="V3" s="657"/>
      <c r="W3" s="657"/>
      <c r="X3" s="657"/>
      <c r="Y3" s="657"/>
      <c r="Z3" s="658">
        <v>46198</v>
      </c>
      <c r="AA3" s="658"/>
      <c r="AB3" s="658"/>
      <c r="AC3" s="658"/>
      <c r="AD3" s="658"/>
      <c r="AE3" s="657">
        <v>46199</v>
      </c>
      <c r="AF3" s="657"/>
      <c r="AG3" s="657"/>
      <c r="AH3" s="657"/>
      <c r="AI3" s="657"/>
      <c r="AJ3" s="647">
        <v>46200</v>
      </c>
      <c r="AK3" s="648"/>
      <c r="AL3" s="648"/>
      <c r="AM3" s="648"/>
      <c r="AN3" s="649"/>
      <c r="AO3" s="657">
        <v>46201</v>
      </c>
      <c r="AP3" s="657"/>
      <c r="AQ3" s="657"/>
      <c r="AR3" s="657"/>
      <c r="AS3" s="657"/>
      <c r="AT3" s="647">
        <v>46202</v>
      </c>
      <c r="AU3" s="648"/>
      <c r="AV3" s="648"/>
      <c r="AW3" s="648"/>
      <c r="AX3" s="649"/>
    </row>
    <row r="4" spans="1:50" ht="14.25" customHeight="1">
      <c r="B4" s="633" t="s">
        <v>161</v>
      </c>
      <c r="C4" s="633" t="s">
        <v>162</v>
      </c>
      <c r="D4" s="633"/>
      <c r="E4" s="633" t="s">
        <v>163</v>
      </c>
      <c r="F4" s="633"/>
      <c r="G4" s="633"/>
      <c r="H4" s="633" t="s">
        <v>164</v>
      </c>
      <c r="I4" s="655" t="s">
        <v>165</v>
      </c>
      <c r="J4" s="655"/>
      <c r="K4" s="655"/>
      <c r="L4" s="655" t="s">
        <v>164</v>
      </c>
      <c r="M4" s="655" t="s">
        <v>166</v>
      </c>
      <c r="N4" s="633"/>
      <c r="O4" s="633" t="s">
        <v>167</v>
      </c>
      <c r="P4" s="633" t="s">
        <v>168</v>
      </c>
      <c r="Q4" s="633"/>
      <c r="R4" s="633"/>
      <c r="S4" s="633"/>
      <c r="T4" s="633" t="s">
        <v>164</v>
      </c>
      <c r="U4" s="633" t="s">
        <v>168</v>
      </c>
      <c r="V4" s="633"/>
      <c r="W4" s="633"/>
      <c r="X4" s="633"/>
      <c r="Y4" s="633" t="s">
        <v>164</v>
      </c>
      <c r="Z4" s="633" t="s">
        <v>168</v>
      </c>
      <c r="AA4" s="633"/>
      <c r="AB4" s="633"/>
      <c r="AC4" s="633"/>
      <c r="AD4" s="633" t="s">
        <v>164</v>
      </c>
      <c r="AE4" s="633" t="s">
        <v>168</v>
      </c>
      <c r="AF4" s="633"/>
      <c r="AG4" s="633"/>
      <c r="AH4" s="633"/>
      <c r="AI4" s="633" t="s">
        <v>164</v>
      </c>
      <c r="AJ4" s="633" t="s">
        <v>168</v>
      </c>
      <c r="AK4" s="633"/>
      <c r="AL4" s="633"/>
      <c r="AM4" s="633"/>
      <c r="AN4" s="633" t="s">
        <v>164</v>
      </c>
      <c r="AO4" s="633" t="s">
        <v>168</v>
      </c>
      <c r="AP4" s="633"/>
      <c r="AQ4" s="633"/>
      <c r="AR4" s="633"/>
      <c r="AS4" s="633" t="s">
        <v>164</v>
      </c>
      <c r="AT4" s="633" t="s">
        <v>168</v>
      </c>
      <c r="AU4" s="633"/>
      <c r="AV4" s="633"/>
      <c r="AW4" s="633"/>
      <c r="AX4" s="633" t="s">
        <v>164</v>
      </c>
    </row>
    <row r="5" spans="1:50" ht="14.25" customHeight="1">
      <c r="B5" s="633"/>
      <c r="C5" s="633"/>
      <c r="D5" s="633"/>
      <c r="E5" s="633" t="s">
        <v>169</v>
      </c>
      <c r="F5" s="633"/>
      <c r="G5" s="633"/>
      <c r="H5" s="633"/>
      <c r="I5" s="655" t="s">
        <v>169</v>
      </c>
      <c r="J5" s="655"/>
      <c r="K5" s="655"/>
      <c r="L5" s="655"/>
      <c r="M5" s="655"/>
      <c r="N5" s="633"/>
      <c r="O5" s="633"/>
      <c r="P5" s="633" t="s">
        <v>170</v>
      </c>
      <c r="Q5" s="633"/>
      <c r="R5" s="633"/>
      <c r="S5" s="633"/>
      <c r="T5" s="633"/>
      <c r="U5" s="633" t="s">
        <v>170</v>
      </c>
      <c r="V5" s="633"/>
      <c r="W5" s="633"/>
      <c r="X5" s="633"/>
      <c r="Y5" s="633"/>
      <c r="Z5" s="633" t="s">
        <v>170</v>
      </c>
      <c r="AA5" s="633"/>
      <c r="AB5" s="633"/>
      <c r="AC5" s="633"/>
      <c r="AD5" s="633"/>
      <c r="AE5" s="633" t="s">
        <v>170</v>
      </c>
      <c r="AF5" s="633"/>
      <c r="AG5" s="633"/>
      <c r="AH5" s="633"/>
      <c r="AI5" s="633"/>
      <c r="AJ5" s="633" t="s">
        <v>170</v>
      </c>
      <c r="AK5" s="633"/>
      <c r="AL5" s="633"/>
      <c r="AM5" s="633"/>
      <c r="AN5" s="633"/>
      <c r="AO5" s="633" t="s">
        <v>170</v>
      </c>
      <c r="AP5" s="633"/>
      <c r="AQ5" s="633"/>
      <c r="AR5" s="633"/>
      <c r="AS5" s="633"/>
      <c r="AT5" s="633" t="s">
        <v>170</v>
      </c>
      <c r="AU5" s="633"/>
      <c r="AV5" s="633"/>
      <c r="AW5" s="633"/>
      <c r="AX5" s="633"/>
    </row>
    <row r="6" spans="1:50" ht="14.25" customHeight="1">
      <c r="B6" s="633"/>
      <c r="C6" s="633"/>
      <c r="D6" s="633"/>
      <c r="E6" s="179" t="s">
        <v>171</v>
      </c>
      <c r="F6" s="179" t="s">
        <v>172</v>
      </c>
      <c r="G6" s="179" t="s">
        <v>173</v>
      </c>
      <c r="H6" s="633"/>
      <c r="I6" s="180" t="s">
        <v>171</v>
      </c>
      <c r="J6" s="180" t="s">
        <v>172</v>
      </c>
      <c r="K6" s="180" t="s">
        <v>173</v>
      </c>
      <c r="L6" s="655"/>
      <c r="M6" s="655"/>
      <c r="N6" s="633"/>
      <c r="O6" s="633"/>
      <c r="P6" s="179" t="s">
        <v>171</v>
      </c>
      <c r="Q6" s="179" t="s">
        <v>172</v>
      </c>
      <c r="R6" s="179" t="s">
        <v>173</v>
      </c>
      <c r="S6" s="181" t="s">
        <v>166</v>
      </c>
      <c r="T6" s="633"/>
      <c r="U6" s="179" t="s">
        <v>171</v>
      </c>
      <c r="V6" s="179" t="s">
        <v>172</v>
      </c>
      <c r="W6" s="179" t="s">
        <v>173</v>
      </c>
      <c r="X6" s="181" t="s">
        <v>166</v>
      </c>
      <c r="Y6" s="633"/>
      <c r="Z6" s="179" t="s">
        <v>171</v>
      </c>
      <c r="AA6" s="179" t="s">
        <v>172</v>
      </c>
      <c r="AB6" s="179" t="s">
        <v>173</v>
      </c>
      <c r="AC6" s="181" t="s">
        <v>166</v>
      </c>
      <c r="AD6" s="633"/>
      <c r="AE6" s="179" t="s">
        <v>171</v>
      </c>
      <c r="AF6" s="179" t="s">
        <v>172</v>
      </c>
      <c r="AG6" s="179" t="s">
        <v>173</v>
      </c>
      <c r="AH6" s="181" t="s">
        <v>166</v>
      </c>
      <c r="AI6" s="633"/>
      <c r="AJ6" s="179" t="s">
        <v>171</v>
      </c>
      <c r="AK6" s="179" t="s">
        <v>172</v>
      </c>
      <c r="AL6" s="179" t="s">
        <v>173</v>
      </c>
      <c r="AM6" s="181" t="s">
        <v>166</v>
      </c>
      <c r="AN6" s="633"/>
      <c r="AO6" s="179" t="s">
        <v>171</v>
      </c>
      <c r="AP6" s="179" t="s">
        <v>172</v>
      </c>
      <c r="AQ6" s="179" t="s">
        <v>173</v>
      </c>
      <c r="AR6" s="181" t="s">
        <v>166</v>
      </c>
      <c r="AS6" s="633"/>
      <c r="AT6" s="179" t="s">
        <v>171</v>
      </c>
      <c r="AU6" s="179" t="s">
        <v>172</v>
      </c>
      <c r="AV6" s="179" t="s">
        <v>173</v>
      </c>
      <c r="AW6" s="181" t="s">
        <v>166</v>
      </c>
      <c r="AX6" s="633"/>
    </row>
    <row r="7" spans="1:50" ht="14.25" customHeight="1">
      <c r="B7" s="633" t="s">
        <v>148</v>
      </c>
      <c r="C7" s="179">
        <v>1</v>
      </c>
      <c r="D7" s="182" t="s">
        <v>255</v>
      </c>
      <c r="E7" s="183">
        <v>19</v>
      </c>
      <c r="F7" s="179">
        <v>2000</v>
      </c>
      <c r="G7" s="184">
        <f t="shared" ref="G7:G8" si="0">IFERROR(F7/E7,"")</f>
        <v>105.26315789473684</v>
      </c>
      <c r="H7" s="644">
        <f>AVERAGE(G7:G21)</f>
        <v>98.785425101214571</v>
      </c>
      <c r="I7" s="185">
        <f>AVERAGE(P7,U7,Z7,AE7,AJ7,AO7,AT7)</f>
        <v>19</v>
      </c>
      <c r="J7" s="185">
        <f>AVERAGE(Q7,V7,AA7,AF7,AK7,AP7,AU7)</f>
        <v>1802.1423440132405</v>
      </c>
      <c r="K7" s="186">
        <f>AVERAGE(R7,W7,AB7,AG7,AL7,AQ7,AV7)</f>
        <v>94.849597053328452</v>
      </c>
      <c r="L7" s="645">
        <f>IFERROR(AVERAGE(K7:K21),"-")</f>
        <v>89.112331588411166</v>
      </c>
      <c r="M7" s="185">
        <f>RANK(K7, K$7:$K$21)</f>
        <v>1</v>
      </c>
      <c r="N7" s="633"/>
      <c r="O7" s="633"/>
      <c r="P7" s="187">
        <v>19</v>
      </c>
      <c r="Q7" s="187">
        <v>1802.370915441812</v>
      </c>
      <c r="R7" s="184">
        <f>IFERROR(Q7/P7,"")</f>
        <v>94.861627128516417</v>
      </c>
      <c r="S7" s="181">
        <f>RANK(R7, R$7:R$21)</f>
        <v>1</v>
      </c>
      <c r="T7" s="644">
        <f>AVERAGE(R7:R21)</f>
        <v>89.120324647983182</v>
      </c>
      <c r="U7" s="187">
        <v>19</v>
      </c>
      <c r="V7" s="187">
        <v>1802.370915441812</v>
      </c>
      <c r="W7" s="184">
        <f t="shared" ref="W7:W8" si="1">IFERROR(V7/U7,"")</f>
        <v>94.861627128516417</v>
      </c>
      <c r="X7" s="181">
        <f>RANK(W7, W$7:W$21)</f>
        <v>1</v>
      </c>
      <c r="Y7" s="644">
        <f>AVERAGE(W7:W21)</f>
        <v>89.124940032598559</v>
      </c>
      <c r="Z7" s="187">
        <v>19</v>
      </c>
      <c r="AA7" s="187">
        <v>1801.9709154418117</v>
      </c>
      <c r="AB7" s="184">
        <f>IFERROR(AA7/Z7,"")</f>
        <v>94.840574496937464</v>
      </c>
      <c r="AC7" s="181">
        <f>RANK(AB7, AB$7:AB$21)</f>
        <v>1</v>
      </c>
      <c r="AD7" s="644">
        <f>AVERAGE(AB7:AB21)</f>
        <v>89.105182947578299</v>
      </c>
      <c r="AE7" s="187">
        <v>19</v>
      </c>
      <c r="AF7" s="187">
        <v>1802.370915441812</v>
      </c>
      <c r="AG7" s="184">
        <f>IFERROR(AF7/AE7,"")</f>
        <v>94.861627128516417</v>
      </c>
      <c r="AH7" s="181">
        <f>RANK(AG7, AG$7:AG$21)</f>
        <v>1</v>
      </c>
      <c r="AI7" s="644">
        <f>AVERAGE(AG7:AG21)</f>
        <v>89.101863109521631</v>
      </c>
      <c r="AJ7" s="187">
        <v>19</v>
      </c>
      <c r="AK7" s="187">
        <v>1801.9709154418119</v>
      </c>
      <c r="AL7" s="184">
        <f>IFERROR(AK7/AJ7,"")</f>
        <v>94.840574496937464</v>
      </c>
      <c r="AM7" s="181">
        <f>RANK(AL7, AL$7:AL$21)</f>
        <v>1</v>
      </c>
      <c r="AN7" s="644">
        <f>AVERAGE(AL7:AL21)</f>
        <v>89.105182947578299</v>
      </c>
      <c r="AO7" s="187">
        <v>19</v>
      </c>
      <c r="AP7" s="187">
        <v>1801.7709154418119</v>
      </c>
      <c r="AQ7" s="184">
        <f>IFERROR(AP7/AO7,"")</f>
        <v>94.830048181148001</v>
      </c>
      <c r="AR7" s="181">
        <f>RANK(AQ7, AQ$7:AQ$21)</f>
        <v>1</v>
      </c>
      <c r="AS7" s="644">
        <f>AVERAGE(AQ7:AQ21)</f>
        <v>89.099919789683568</v>
      </c>
      <c r="AT7" s="187">
        <v>19</v>
      </c>
      <c r="AU7" s="187">
        <v>1802.1709154418124</v>
      </c>
      <c r="AV7" s="184">
        <f>IFERROR(AU7/AT7,"")</f>
        <v>94.851100812726969</v>
      </c>
      <c r="AW7" s="181">
        <f>RANK(AV7, AV$7:AV$21)</f>
        <v>1</v>
      </c>
      <c r="AX7" s="644">
        <f>AVERAGE(AV7:AV21)</f>
        <v>89.128907643934582</v>
      </c>
    </row>
    <row r="8" spans="1:50" ht="14.25" customHeight="1">
      <c r="B8" s="633"/>
      <c r="C8" s="179">
        <v>2</v>
      </c>
      <c r="D8" s="182" t="s">
        <v>256</v>
      </c>
      <c r="E8" s="179">
        <v>13</v>
      </c>
      <c r="F8" s="179">
        <v>1200</v>
      </c>
      <c r="G8" s="184">
        <f t="shared" si="0"/>
        <v>92.307692307692307</v>
      </c>
      <c r="H8" s="644"/>
      <c r="I8" s="185">
        <f t="shared" ref="I8:K8" si="2">AVERAGE(P8,U8,Z8,AE8,AJ8,AO8,AT8)</f>
        <v>13</v>
      </c>
      <c r="J8" s="185">
        <f t="shared" si="2"/>
        <v>1083.8758596054204</v>
      </c>
      <c r="K8" s="186">
        <f t="shared" si="2"/>
        <v>83.37506612349388</v>
      </c>
      <c r="L8" s="645"/>
      <c r="M8" s="185">
        <f>RANK(K8, K$7:$K$21)</f>
        <v>2</v>
      </c>
      <c r="N8" s="633"/>
      <c r="O8" s="633"/>
      <c r="P8" s="187">
        <v>13</v>
      </c>
      <c r="Q8" s="187">
        <v>1083.9272881768491</v>
      </c>
      <c r="R8" s="184">
        <f t="shared" ref="R8" si="3">IFERROR(Q8/P8,"")</f>
        <v>83.379022167449932</v>
      </c>
      <c r="S8" s="181">
        <f t="shared" ref="S8" si="4">RANK(R8, R$7:R$21)</f>
        <v>2</v>
      </c>
      <c r="T8" s="644"/>
      <c r="U8" s="187">
        <v>13</v>
      </c>
      <c r="V8" s="187">
        <v>1084.0472881768492</v>
      </c>
      <c r="W8" s="184">
        <f t="shared" si="1"/>
        <v>83.388252936680701</v>
      </c>
      <c r="X8" s="181">
        <f t="shared" ref="X8" si="5">RANK(W8, W$7:W$21)</f>
        <v>2</v>
      </c>
      <c r="Y8" s="644"/>
      <c r="Z8" s="187">
        <v>13</v>
      </c>
      <c r="AA8" s="187">
        <v>1083.8072881768489</v>
      </c>
      <c r="AB8" s="184">
        <f t="shared" ref="AB8" si="6">IFERROR(AA8/Z8,"")</f>
        <v>83.369791398219149</v>
      </c>
      <c r="AC8" s="181">
        <f t="shared" ref="AC8" si="7">RANK(AB8, AB$7:AB$21)</f>
        <v>2</v>
      </c>
      <c r="AD8" s="644"/>
      <c r="AE8" s="187">
        <v>13</v>
      </c>
      <c r="AF8" s="187">
        <v>1083.447288176849</v>
      </c>
      <c r="AG8" s="184">
        <f t="shared" ref="AG8" si="8">IFERROR(AF8/AE8,"")</f>
        <v>83.342099090526844</v>
      </c>
      <c r="AH8" s="181">
        <f t="shared" ref="AH8" si="9">RANK(AG8, AG$7:AG$21)</f>
        <v>2</v>
      </c>
      <c r="AI8" s="644"/>
      <c r="AJ8" s="187">
        <v>13</v>
      </c>
      <c r="AK8" s="187">
        <v>1083.8072881768487</v>
      </c>
      <c r="AL8" s="184">
        <f t="shared" ref="AL8" si="10">IFERROR(AK8/AJ8,"")</f>
        <v>83.369791398219135</v>
      </c>
      <c r="AM8" s="181">
        <f t="shared" ref="AM8" si="11">RANK(AL8, AL$7:AL$21)</f>
        <v>2</v>
      </c>
      <c r="AN8" s="644"/>
      <c r="AO8" s="187">
        <v>13</v>
      </c>
      <c r="AP8" s="187">
        <v>1083.8072881768487</v>
      </c>
      <c r="AQ8" s="184">
        <f t="shared" ref="AQ8" si="12">IFERROR(AP8/AO8,"")</f>
        <v>83.369791398219135</v>
      </c>
      <c r="AR8" s="181">
        <f t="shared" ref="AR8" si="13">RANK(AQ8, AQ$7:AQ$21)</f>
        <v>2</v>
      </c>
      <c r="AS8" s="644"/>
      <c r="AT8" s="187">
        <v>13</v>
      </c>
      <c r="AU8" s="187">
        <v>1084.2872881768487</v>
      </c>
      <c r="AV8" s="184">
        <f t="shared" ref="AV8" si="14">IFERROR(AU8/AT8,"")</f>
        <v>83.406714475142209</v>
      </c>
      <c r="AW8" s="181">
        <f t="shared" ref="AW8" si="15">RANK(AV8, AV$7:AV$21)</f>
        <v>2</v>
      </c>
      <c r="AX8" s="644"/>
    </row>
    <row r="9" spans="1:50" ht="14.25" customHeight="1">
      <c r="B9" s="633"/>
      <c r="C9" s="179">
        <v>3</v>
      </c>
      <c r="D9" s="182"/>
      <c r="E9" s="179"/>
      <c r="F9" s="179"/>
      <c r="G9" s="184"/>
      <c r="H9" s="644"/>
      <c r="I9" s="185"/>
      <c r="J9" s="185"/>
      <c r="K9" s="186"/>
      <c r="L9" s="645"/>
      <c r="M9" s="185"/>
      <c r="N9" s="633"/>
      <c r="O9" s="633"/>
      <c r="P9" s="187"/>
      <c r="Q9" s="187"/>
      <c r="R9" s="184"/>
      <c r="S9" s="181"/>
      <c r="T9" s="644"/>
      <c r="U9" s="187"/>
      <c r="V9" s="187"/>
      <c r="W9" s="184"/>
      <c r="X9" s="181"/>
      <c r="Y9" s="644"/>
      <c r="Z9" s="187"/>
      <c r="AA9" s="187"/>
      <c r="AB9" s="184"/>
      <c r="AC9" s="181"/>
      <c r="AD9" s="644"/>
      <c r="AE9" s="187"/>
      <c r="AF9" s="187"/>
      <c r="AG9" s="184"/>
      <c r="AH9" s="181"/>
      <c r="AI9" s="644"/>
      <c r="AJ9" s="187"/>
      <c r="AK9" s="187"/>
      <c r="AL9" s="184"/>
      <c r="AM9" s="181"/>
      <c r="AN9" s="644"/>
      <c r="AO9" s="187"/>
      <c r="AP9" s="187"/>
      <c r="AQ9" s="184"/>
      <c r="AR9" s="181"/>
      <c r="AS9" s="644"/>
      <c r="AT9" s="187"/>
      <c r="AU9" s="187"/>
      <c r="AV9" s="184"/>
      <c r="AW9" s="181"/>
      <c r="AX9" s="644"/>
    </row>
    <row r="10" spans="1:50" ht="14.25" customHeight="1">
      <c r="B10" s="633"/>
      <c r="C10" s="179">
        <v>4</v>
      </c>
      <c r="D10" s="182"/>
      <c r="E10" s="179"/>
      <c r="F10" s="179"/>
      <c r="G10" s="184"/>
      <c r="H10" s="644"/>
      <c r="I10" s="185"/>
      <c r="J10" s="185"/>
      <c r="K10" s="186"/>
      <c r="L10" s="645"/>
      <c r="M10" s="185"/>
      <c r="N10" s="633"/>
      <c r="O10" s="633"/>
      <c r="P10" s="187"/>
      <c r="Q10" s="187"/>
      <c r="R10" s="184"/>
      <c r="S10" s="181"/>
      <c r="T10" s="644"/>
      <c r="U10" s="187"/>
      <c r="V10" s="187"/>
      <c r="W10" s="184"/>
      <c r="X10" s="181"/>
      <c r="Y10" s="644"/>
      <c r="Z10" s="187"/>
      <c r="AA10" s="187"/>
      <c r="AB10" s="184"/>
      <c r="AC10" s="181"/>
      <c r="AD10" s="644"/>
      <c r="AE10" s="187"/>
      <c r="AF10" s="187"/>
      <c r="AG10" s="184"/>
      <c r="AH10" s="181"/>
      <c r="AI10" s="644"/>
      <c r="AJ10" s="187"/>
      <c r="AK10" s="187"/>
      <c r="AL10" s="184"/>
      <c r="AM10" s="181"/>
      <c r="AN10" s="644"/>
      <c r="AO10" s="187"/>
      <c r="AP10" s="187"/>
      <c r="AQ10" s="184"/>
      <c r="AR10" s="181"/>
      <c r="AS10" s="644"/>
      <c r="AT10" s="187"/>
      <c r="AU10" s="187"/>
      <c r="AV10" s="184"/>
      <c r="AW10" s="181"/>
      <c r="AX10" s="644"/>
    </row>
    <row r="11" spans="1:50" ht="14.25" customHeight="1">
      <c r="B11" s="633"/>
      <c r="C11" s="179">
        <v>5</v>
      </c>
      <c r="D11" s="182"/>
      <c r="E11" s="179"/>
      <c r="F11" s="179"/>
      <c r="G11" s="184"/>
      <c r="H11" s="644"/>
      <c r="I11" s="185"/>
      <c r="J11" s="185"/>
      <c r="K11" s="186"/>
      <c r="L11" s="645"/>
      <c r="M11" s="185"/>
      <c r="N11" s="633"/>
      <c r="O11" s="633"/>
      <c r="P11" s="187"/>
      <c r="Q11" s="187"/>
      <c r="R11" s="184"/>
      <c r="S11" s="181"/>
      <c r="T11" s="644"/>
      <c r="U11" s="187"/>
      <c r="V11" s="187"/>
      <c r="W11" s="184"/>
      <c r="X11" s="181"/>
      <c r="Y11" s="644"/>
      <c r="Z11" s="187"/>
      <c r="AA11" s="187"/>
      <c r="AB11" s="184"/>
      <c r="AC11" s="181"/>
      <c r="AD11" s="644"/>
      <c r="AE11" s="187"/>
      <c r="AF11" s="187"/>
      <c r="AG11" s="184"/>
      <c r="AH11" s="181"/>
      <c r="AI11" s="644"/>
      <c r="AJ11" s="187"/>
      <c r="AK11" s="187"/>
      <c r="AL11" s="184"/>
      <c r="AM11" s="181"/>
      <c r="AN11" s="644"/>
      <c r="AO11" s="187"/>
      <c r="AP11" s="187"/>
      <c r="AQ11" s="184"/>
      <c r="AR11" s="181"/>
      <c r="AS11" s="644"/>
      <c r="AT11" s="187"/>
      <c r="AU11" s="187"/>
      <c r="AV11" s="184"/>
      <c r="AW11" s="181"/>
      <c r="AX11" s="644"/>
    </row>
    <row r="12" spans="1:50" ht="14.25" customHeight="1">
      <c r="B12" s="633"/>
      <c r="C12" s="179">
        <v>6</v>
      </c>
      <c r="D12" s="182"/>
      <c r="E12" s="179"/>
      <c r="F12" s="179"/>
      <c r="G12" s="184"/>
      <c r="H12" s="644"/>
      <c r="I12" s="185"/>
      <c r="J12" s="185"/>
      <c r="K12" s="186"/>
      <c r="L12" s="645"/>
      <c r="M12" s="185"/>
      <c r="N12" s="633"/>
      <c r="O12" s="633"/>
      <c r="P12" s="187"/>
      <c r="Q12" s="187"/>
      <c r="R12" s="184"/>
      <c r="S12" s="181"/>
      <c r="T12" s="644"/>
      <c r="U12" s="187"/>
      <c r="V12" s="187"/>
      <c r="W12" s="184"/>
      <c r="X12" s="181"/>
      <c r="Y12" s="644"/>
      <c r="Z12" s="187"/>
      <c r="AA12" s="187"/>
      <c r="AB12" s="184"/>
      <c r="AC12" s="181"/>
      <c r="AD12" s="644"/>
      <c r="AE12" s="187"/>
      <c r="AF12" s="187"/>
      <c r="AG12" s="184"/>
      <c r="AH12" s="181"/>
      <c r="AI12" s="644"/>
      <c r="AJ12" s="187"/>
      <c r="AK12" s="187"/>
      <c r="AL12" s="184"/>
      <c r="AM12" s="181"/>
      <c r="AN12" s="644"/>
      <c r="AO12" s="187"/>
      <c r="AP12" s="187"/>
      <c r="AQ12" s="184"/>
      <c r="AR12" s="181"/>
      <c r="AS12" s="644"/>
      <c r="AT12" s="187"/>
      <c r="AU12" s="187"/>
      <c r="AV12" s="184"/>
      <c r="AW12" s="181"/>
      <c r="AX12" s="644"/>
    </row>
    <row r="13" spans="1:50" ht="14.25" customHeight="1">
      <c r="B13" s="633"/>
      <c r="C13" s="179">
        <v>7</v>
      </c>
      <c r="D13" s="182"/>
      <c r="E13" s="179"/>
      <c r="F13" s="179"/>
      <c r="G13" s="184"/>
      <c r="H13" s="644"/>
      <c r="I13" s="185"/>
      <c r="J13" s="185"/>
      <c r="K13" s="186"/>
      <c r="L13" s="645"/>
      <c r="M13" s="185"/>
      <c r="N13" s="633"/>
      <c r="O13" s="633"/>
      <c r="P13" s="187"/>
      <c r="Q13" s="187"/>
      <c r="R13" s="184"/>
      <c r="S13" s="181"/>
      <c r="T13" s="644"/>
      <c r="U13" s="187"/>
      <c r="V13" s="187"/>
      <c r="W13" s="184"/>
      <c r="X13" s="181"/>
      <c r="Y13" s="644"/>
      <c r="Z13" s="187"/>
      <c r="AA13" s="187"/>
      <c r="AB13" s="184"/>
      <c r="AC13" s="181"/>
      <c r="AD13" s="644"/>
      <c r="AE13" s="187"/>
      <c r="AF13" s="187"/>
      <c r="AG13" s="184"/>
      <c r="AH13" s="181"/>
      <c r="AI13" s="644"/>
      <c r="AJ13" s="187"/>
      <c r="AK13" s="187"/>
      <c r="AL13" s="184"/>
      <c r="AM13" s="181"/>
      <c r="AN13" s="644"/>
      <c r="AO13" s="187"/>
      <c r="AP13" s="187"/>
      <c r="AQ13" s="184"/>
      <c r="AR13" s="181"/>
      <c r="AS13" s="644"/>
      <c r="AT13" s="187"/>
      <c r="AU13" s="187"/>
      <c r="AV13" s="184"/>
      <c r="AW13" s="181"/>
      <c r="AX13" s="644"/>
    </row>
    <row r="14" spans="1:50" ht="14.25" customHeight="1">
      <c r="B14" s="633"/>
      <c r="C14" s="179">
        <v>8</v>
      </c>
      <c r="D14" s="182"/>
      <c r="E14" s="179"/>
      <c r="F14" s="179"/>
      <c r="G14" s="184"/>
      <c r="H14" s="644"/>
      <c r="I14" s="185"/>
      <c r="J14" s="185"/>
      <c r="K14" s="186"/>
      <c r="L14" s="645"/>
      <c r="M14" s="185"/>
      <c r="N14" s="633"/>
      <c r="O14" s="633"/>
      <c r="P14" s="187"/>
      <c r="Q14" s="187"/>
      <c r="R14" s="184"/>
      <c r="S14" s="181"/>
      <c r="T14" s="644"/>
      <c r="U14" s="187"/>
      <c r="V14" s="187"/>
      <c r="W14" s="184"/>
      <c r="X14" s="181"/>
      <c r="Y14" s="644"/>
      <c r="Z14" s="187"/>
      <c r="AA14" s="187"/>
      <c r="AB14" s="184"/>
      <c r="AC14" s="181"/>
      <c r="AD14" s="644"/>
      <c r="AE14" s="187"/>
      <c r="AF14" s="187"/>
      <c r="AG14" s="184"/>
      <c r="AH14" s="181"/>
      <c r="AI14" s="644"/>
      <c r="AJ14" s="187"/>
      <c r="AK14" s="187"/>
      <c r="AL14" s="184"/>
      <c r="AM14" s="181"/>
      <c r="AN14" s="644"/>
      <c r="AO14" s="187"/>
      <c r="AP14" s="187"/>
      <c r="AQ14" s="184"/>
      <c r="AR14" s="181"/>
      <c r="AS14" s="644"/>
      <c r="AT14" s="187"/>
      <c r="AU14" s="187"/>
      <c r="AV14" s="184"/>
      <c r="AW14" s="181"/>
      <c r="AX14" s="644"/>
    </row>
    <row r="15" spans="1:50" ht="14.25" customHeight="1">
      <c r="B15" s="633"/>
      <c r="C15" s="179">
        <v>9</v>
      </c>
      <c r="D15" s="182"/>
      <c r="E15" s="179"/>
      <c r="F15" s="179"/>
      <c r="G15" s="184"/>
      <c r="H15" s="644"/>
      <c r="I15" s="185"/>
      <c r="J15" s="185"/>
      <c r="K15" s="186"/>
      <c r="L15" s="645"/>
      <c r="M15" s="185"/>
      <c r="N15" s="633"/>
      <c r="O15" s="633"/>
      <c r="P15" s="187"/>
      <c r="Q15" s="187"/>
      <c r="R15" s="184"/>
      <c r="S15" s="181"/>
      <c r="T15" s="644"/>
      <c r="U15" s="187"/>
      <c r="V15" s="187"/>
      <c r="W15" s="184"/>
      <c r="X15" s="181"/>
      <c r="Y15" s="644"/>
      <c r="Z15" s="187"/>
      <c r="AA15" s="187"/>
      <c r="AB15" s="184"/>
      <c r="AC15" s="181"/>
      <c r="AD15" s="644"/>
      <c r="AE15" s="187"/>
      <c r="AF15" s="187"/>
      <c r="AG15" s="184"/>
      <c r="AH15" s="181"/>
      <c r="AI15" s="644"/>
      <c r="AJ15" s="187"/>
      <c r="AK15" s="187"/>
      <c r="AL15" s="184"/>
      <c r="AM15" s="181"/>
      <c r="AN15" s="644"/>
      <c r="AO15" s="187"/>
      <c r="AP15" s="187"/>
      <c r="AQ15" s="184"/>
      <c r="AR15" s="181"/>
      <c r="AS15" s="644"/>
      <c r="AT15" s="187"/>
      <c r="AU15" s="187"/>
      <c r="AV15" s="184"/>
      <c r="AW15" s="181"/>
      <c r="AX15" s="644"/>
    </row>
    <row r="16" spans="1:50" ht="14.25" customHeight="1">
      <c r="B16" s="633"/>
      <c r="C16" s="179">
        <v>10</v>
      </c>
      <c r="D16" s="182"/>
      <c r="E16" s="179"/>
      <c r="F16" s="179"/>
      <c r="G16" s="184"/>
      <c r="H16" s="644"/>
      <c r="I16" s="185"/>
      <c r="J16" s="185"/>
      <c r="K16" s="186"/>
      <c r="L16" s="645"/>
      <c r="M16" s="185"/>
      <c r="N16" s="633"/>
      <c r="O16" s="633"/>
      <c r="P16" s="187"/>
      <c r="Q16" s="187"/>
      <c r="R16" s="184"/>
      <c r="S16" s="181"/>
      <c r="T16" s="644"/>
      <c r="U16" s="187"/>
      <c r="V16" s="187"/>
      <c r="W16" s="184"/>
      <c r="X16" s="181"/>
      <c r="Y16" s="644"/>
      <c r="Z16" s="187"/>
      <c r="AA16" s="187"/>
      <c r="AB16" s="184"/>
      <c r="AC16" s="181"/>
      <c r="AD16" s="644"/>
      <c r="AE16" s="187"/>
      <c r="AF16" s="187"/>
      <c r="AG16" s="184"/>
      <c r="AH16" s="181"/>
      <c r="AI16" s="644"/>
      <c r="AJ16" s="187"/>
      <c r="AK16" s="187"/>
      <c r="AL16" s="184"/>
      <c r="AM16" s="181"/>
      <c r="AN16" s="644"/>
      <c r="AO16" s="187"/>
      <c r="AP16" s="187"/>
      <c r="AQ16" s="184"/>
      <c r="AR16" s="181"/>
      <c r="AS16" s="644"/>
      <c r="AT16" s="187"/>
      <c r="AU16" s="187"/>
      <c r="AV16" s="184"/>
      <c r="AW16" s="181"/>
      <c r="AX16" s="644"/>
    </row>
    <row r="17" spans="2:50" ht="14.25" customHeight="1">
      <c r="B17" s="633"/>
      <c r="C17" s="179">
        <v>11</v>
      </c>
      <c r="D17" s="182"/>
      <c r="E17" s="179"/>
      <c r="F17" s="179"/>
      <c r="G17" s="184"/>
      <c r="H17" s="644"/>
      <c r="I17" s="185"/>
      <c r="J17" s="185"/>
      <c r="K17" s="186"/>
      <c r="L17" s="645"/>
      <c r="M17" s="185"/>
      <c r="N17" s="633"/>
      <c r="O17" s="633"/>
      <c r="P17" s="187"/>
      <c r="Q17" s="187"/>
      <c r="R17" s="184"/>
      <c r="S17" s="181"/>
      <c r="T17" s="644"/>
      <c r="U17" s="187"/>
      <c r="V17" s="187"/>
      <c r="W17" s="184"/>
      <c r="X17" s="181"/>
      <c r="Y17" s="644"/>
      <c r="Z17" s="187"/>
      <c r="AA17" s="187"/>
      <c r="AB17" s="184"/>
      <c r="AC17" s="181"/>
      <c r="AD17" s="644"/>
      <c r="AE17" s="187"/>
      <c r="AF17" s="187"/>
      <c r="AG17" s="184"/>
      <c r="AH17" s="181"/>
      <c r="AI17" s="644"/>
      <c r="AJ17" s="187"/>
      <c r="AK17" s="187"/>
      <c r="AL17" s="184"/>
      <c r="AM17" s="181"/>
      <c r="AN17" s="644"/>
      <c r="AO17" s="187"/>
      <c r="AP17" s="187"/>
      <c r="AQ17" s="184"/>
      <c r="AR17" s="181"/>
      <c r="AS17" s="644"/>
      <c r="AT17" s="187"/>
      <c r="AU17" s="187"/>
      <c r="AV17" s="184"/>
      <c r="AW17" s="181"/>
      <c r="AX17" s="644"/>
    </row>
    <row r="18" spans="2:50" ht="14.25" customHeight="1">
      <c r="B18" s="633"/>
      <c r="C18" s="179">
        <v>12</v>
      </c>
      <c r="D18" s="182"/>
      <c r="E18" s="179"/>
      <c r="F18" s="179"/>
      <c r="G18" s="184"/>
      <c r="H18" s="644"/>
      <c r="I18" s="185"/>
      <c r="J18" s="185"/>
      <c r="K18" s="186"/>
      <c r="L18" s="645"/>
      <c r="M18" s="185"/>
      <c r="N18" s="633"/>
      <c r="O18" s="633"/>
      <c r="P18" s="187"/>
      <c r="Q18" s="187"/>
      <c r="R18" s="184"/>
      <c r="S18" s="181"/>
      <c r="T18" s="644"/>
      <c r="U18" s="187"/>
      <c r="V18" s="187"/>
      <c r="W18" s="184"/>
      <c r="X18" s="181"/>
      <c r="Y18" s="644"/>
      <c r="Z18" s="187"/>
      <c r="AA18" s="187"/>
      <c r="AB18" s="184"/>
      <c r="AC18" s="181"/>
      <c r="AD18" s="644"/>
      <c r="AE18" s="187"/>
      <c r="AF18" s="187"/>
      <c r="AG18" s="184"/>
      <c r="AH18" s="181"/>
      <c r="AI18" s="644"/>
      <c r="AJ18" s="187"/>
      <c r="AK18" s="187"/>
      <c r="AL18" s="184"/>
      <c r="AM18" s="181"/>
      <c r="AN18" s="644"/>
      <c r="AO18" s="187"/>
      <c r="AP18" s="187"/>
      <c r="AQ18" s="184"/>
      <c r="AR18" s="181"/>
      <c r="AS18" s="644"/>
      <c r="AT18" s="187"/>
      <c r="AU18" s="187"/>
      <c r="AV18" s="184"/>
      <c r="AW18" s="181"/>
      <c r="AX18" s="644"/>
    </row>
    <row r="19" spans="2:50" ht="14.25" customHeight="1">
      <c r="B19" s="633"/>
      <c r="C19" s="179">
        <v>13</v>
      </c>
      <c r="D19" s="182"/>
      <c r="E19" s="179"/>
      <c r="F19" s="179"/>
      <c r="G19" s="184"/>
      <c r="H19" s="644"/>
      <c r="I19" s="185"/>
      <c r="J19" s="185"/>
      <c r="K19" s="186"/>
      <c r="L19" s="645"/>
      <c r="M19" s="185"/>
      <c r="N19" s="633"/>
      <c r="O19" s="633"/>
      <c r="P19" s="187"/>
      <c r="Q19" s="187"/>
      <c r="R19" s="184"/>
      <c r="S19" s="181"/>
      <c r="T19" s="644"/>
      <c r="U19" s="187"/>
      <c r="V19" s="187"/>
      <c r="W19" s="184"/>
      <c r="X19" s="181"/>
      <c r="Y19" s="644"/>
      <c r="Z19" s="187"/>
      <c r="AA19" s="187"/>
      <c r="AB19" s="184"/>
      <c r="AC19" s="181"/>
      <c r="AD19" s="644"/>
      <c r="AE19" s="187"/>
      <c r="AF19" s="187"/>
      <c r="AG19" s="184"/>
      <c r="AH19" s="181"/>
      <c r="AI19" s="644"/>
      <c r="AJ19" s="187"/>
      <c r="AK19" s="187"/>
      <c r="AL19" s="184"/>
      <c r="AM19" s="181"/>
      <c r="AN19" s="644"/>
      <c r="AO19" s="187"/>
      <c r="AP19" s="187"/>
      <c r="AQ19" s="184"/>
      <c r="AR19" s="181"/>
      <c r="AS19" s="644"/>
      <c r="AT19" s="187"/>
      <c r="AU19" s="187"/>
      <c r="AV19" s="184"/>
      <c r="AW19" s="181"/>
      <c r="AX19" s="644"/>
    </row>
    <row r="20" spans="2:50" ht="14.25" customHeight="1">
      <c r="B20" s="633"/>
      <c r="C20" s="179">
        <v>14</v>
      </c>
      <c r="D20" s="182"/>
      <c r="E20" s="179"/>
      <c r="F20" s="179"/>
      <c r="G20" s="184"/>
      <c r="H20" s="644"/>
      <c r="I20" s="185"/>
      <c r="J20" s="185"/>
      <c r="K20" s="186"/>
      <c r="L20" s="645"/>
      <c r="M20" s="185"/>
      <c r="N20" s="633"/>
      <c r="O20" s="633"/>
      <c r="P20" s="187"/>
      <c r="Q20" s="187"/>
      <c r="R20" s="184"/>
      <c r="S20" s="181"/>
      <c r="T20" s="644"/>
      <c r="U20" s="187"/>
      <c r="V20" s="187"/>
      <c r="W20" s="184"/>
      <c r="X20" s="181"/>
      <c r="Y20" s="644"/>
      <c r="Z20" s="187"/>
      <c r="AA20" s="187"/>
      <c r="AB20" s="184"/>
      <c r="AC20" s="181"/>
      <c r="AD20" s="644"/>
      <c r="AE20" s="187"/>
      <c r="AF20" s="187"/>
      <c r="AG20" s="184"/>
      <c r="AH20" s="181"/>
      <c r="AI20" s="644"/>
      <c r="AJ20" s="187"/>
      <c r="AK20" s="187"/>
      <c r="AL20" s="184"/>
      <c r="AM20" s="181"/>
      <c r="AN20" s="644"/>
      <c r="AO20" s="187"/>
      <c r="AP20" s="187"/>
      <c r="AQ20" s="184"/>
      <c r="AR20" s="181"/>
      <c r="AS20" s="644"/>
      <c r="AT20" s="187"/>
      <c r="AU20" s="187"/>
      <c r="AV20" s="184"/>
      <c r="AW20" s="181"/>
      <c r="AX20" s="644"/>
    </row>
    <row r="21" spans="2:50" ht="14.25" customHeight="1">
      <c r="B21" s="633"/>
      <c r="C21" s="179">
        <v>15</v>
      </c>
      <c r="D21" s="182"/>
      <c r="E21" s="179"/>
      <c r="F21" s="179"/>
      <c r="G21" s="184"/>
      <c r="H21" s="644"/>
      <c r="I21" s="185"/>
      <c r="J21" s="185"/>
      <c r="K21" s="186"/>
      <c r="L21" s="645"/>
      <c r="M21" s="185"/>
      <c r="N21" s="633"/>
      <c r="O21" s="633"/>
      <c r="P21" s="187"/>
      <c r="Q21" s="187"/>
      <c r="R21" s="184"/>
      <c r="S21" s="181"/>
      <c r="T21" s="644"/>
      <c r="U21" s="187"/>
      <c r="V21" s="187"/>
      <c r="W21" s="184"/>
      <c r="X21" s="181"/>
      <c r="Y21" s="644"/>
      <c r="Z21" s="187"/>
      <c r="AA21" s="187"/>
      <c r="AB21" s="184"/>
      <c r="AC21" s="181"/>
      <c r="AD21" s="644"/>
      <c r="AE21" s="187"/>
      <c r="AF21" s="187"/>
      <c r="AG21" s="184"/>
      <c r="AH21" s="181"/>
      <c r="AI21" s="644"/>
      <c r="AJ21" s="187"/>
      <c r="AK21" s="187"/>
      <c r="AL21" s="184"/>
      <c r="AM21" s="181"/>
      <c r="AN21" s="644"/>
      <c r="AO21" s="187"/>
      <c r="AP21" s="187"/>
      <c r="AQ21" s="184"/>
      <c r="AR21" s="181"/>
      <c r="AS21" s="644"/>
      <c r="AT21" s="187"/>
      <c r="AU21" s="187"/>
      <c r="AV21" s="184"/>
      <c r="AW21" s="181"/>
      <c r="AX21" s="644"/>
    </row>
  </sheetData>
  <mergeCells count="59">
    <mergeCell ref="AX4:AX6"/>
    <mergeCell ref="AE4:AH4"/>
    <mergeCell ref="B2:M3"/>
    <mergeCell ref="N2:N3"/>
    <mergeCell ref="O2:O3"/>
    <mergeCell ref="P2:T2"/>
    <mergeCell ref="U2:Y2"/>
    <mergeCell ref="Z2:AD2"/>
    <mergeCell ref="B4:B6"/>
    <mergeCell ref="C4:D6"/>
    <mergeCell ref="E4:G4"/>
    <mergeCell ref="H4:H6"/>
    <mergeCell ref="AE5:AH5"/>
    <mergeCell ref="I4:K4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E5:G5"/>
    <mergeCell ref="I5:K5"/>
    <mergeCell ref="P5:S5"/>
    <mergeCell ref="U5:X5"/>
    <mergeCell ref="Z5:AC5"/>
    <mergeCell ref="L4:L6"/>
    <mergeCell ref="M4:M6"/>
    <mergeCell ref="N4:N21"/>
    <mergeCell ref="O4:O21"/>
    <mergeCell ref="AS4:AS6"/>
    <mergeCell ref="AT4:AW4"/>
    <mergeCell ref="T4:T6"/>
    <mergeCell ref="AO5:AR5"/>
    <mergeCell ref="AT5:AW5"/>
    <mergeCell ref="P4:S4"/>
    <mergeCell ref="AI4:AI6"/>
    <mergeCell ref="AJ4:AM4"/>
    <mergeCell ref="AN4:AN6"/>
    <mergeCell ref="AO4:AR4"/>
    <mergeCell ref="U4:X4"/>
    <mergeCell ref="Y4:Y6"/>
    <mergeCell ref="Z4:AC4"/>
    <mergeCell ref="AD4:AD6"/>
    <mergeCell ref="AJ5:AM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877"/>
  <sheetViews>
    <sheetView view="pageBreakPreview" topLeftCell="A25" zoomScaleNormal="60" zoomScaleSheetLayoutView="100" workbookViewId="0">
      <selection activeCell="O47" sqref="O47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80" t="s">
        <v>257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88"/>
    </row>
    <row r="2" spans="1:18" s="18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8" ht="15.75" customHeight="1">
      <c r="A3" s="682" t="s">
        <v>258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188"/>
    </row>
    <row r="4" spans="1:18" s="189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</row>
    <row r="5" spans="1:18" s="177" customFormat="1" ht="15.75" customHeight="1">
      <c r="A5" s="680" t="s">
        <v>161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80"/>
      <c r="B6" s="193" t="s">
        <v>259</v>
      </c>
      <c r="C6" s="193" t="s">
        <v>260</v>
      </c>
      <c r="D6" s="194" t="s">
        <v>261</v>
      </c>
      <c r="E6" s="194" t="s">
        <v>262</v>
      </c>
      <c r="F6" s="194" t="s">
        <v>228</v>
      </c>
      <c r="G6" s="195" t="s">
        <v>263</v>
      </c>
      <c r="H6" s="196" t="s">
        <v>264</v>
      </c>
      <c r="I6" s="195" t="s">
        <v>265</v>
      </c>
      <c r="J6" s="195" t="s">
        <v>266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81" t="s">
        <v>89</v>
      </c>
      <c r="B7" s="681"/>
      <c r="C7" s="159" t="s">
        <v>267</v>
      </c>
      <c r="D7" s="681" t="s">
        <v>268</v>
      </c>
      <c r="E7" s="683"/>
      <c r="F7" s="683"/>
      <c r="G7" s="159" t="s">
        <v>269</v>
      </c>
      <c r="H7" s="159" t="s">
        <v>270</v>
      </c>
      <c r="I7" s="159" t="s">
        <v>271</v>
      </c>
      <c r="J7" s="159" t="s">
        <v>272</v>
      </c>
      <c r="K7" s="681" t="s">
        <v>273</v>
      </c>
      <c r="L7" s="683"/>
      <c r="M7" s="192"/>
      <c r="N7" s="188"/>
      <c r="P7" s="379"/>
      <c r="Q7" s="379"/>
    </row>
    <row r="8" spans="1:18" ht="15.75" customHeight="1">
      <c r="A8" s="680">
        <v>1</v>
      </c>
      <c r="B8" s="681" t="s">
        <v>274</v>
      </c>
      <c r="C8" s="199">
        <v>1</v>
      </c>
      <c r="D8" s="676" t="s">
        <v>196</v>
      </c>
      <c r="E8" s="677"/>
      <c r="F8" s="677"/>
      <c r="G8" s="199">
        <v>3</v>
      </c>
      <c r="H8" s="201">
        <v>3240.3576971533703</v>
      </c>
      <c r="I8" s="202">
        <v>1080.1192323844568</v>
      </c>
      <c r="J8" s="220">
        <v>2.4171428571426077</v>
      </c>
      <c r="K8" s="676" t="s">
        <v>275</v>
      </c>
      <c r="L8" s="677"/>
      <c r="N8" s="177"/>
      <c r="O8" s="177"/>
      <c r="P8" s="379"/>
      <c r="Q8" s="379"/>
      <c r="R8" s="177"/>
    </row>
    <row r="9" spans="1:18" ht="15.75" customHeight="1">
      <c r="A9" s="680"/>
      <c r="B9" s="681"/>
      <c r="C9" s="199">
        <v>2</v>
      </c>
      <c r="D9" s="676" t="s">
        <v>180</v>
      </c>
      <c r="E9" s="677"/>
      <c r="F9" s="677"/>
      <c r="G9" s="199">
        <v>3</v>
      </c>
      <c r="H9" s="201">
        <v>3238.9114017172592</v>
      </c>
      <c r="I9" s="202">
        <v>1079.6371339057532</v>
      </c>
      <c r="J9" s="220"/>
      <c r="K9" s="676" t="s">
        <v>275</v>
      </c>
      <c r="L9" s="677"/>
      <c r="N9" s="177"/>
      <c r="O9" s="177"/>
      <c r="P9" s="379"/>
      <c r="Q9" s="379"/>
      <c r="R9" s="177"/>
    </row>
    <row r="10" spans="1:18" ht="15.75" customHeight="1">
      <c r="A10" s="680"/>
      <c r="B10" s="681"/>
      <c r="C10" s="199">
        <v>3</v>
      </c>
      <c r="D10" s="676" t="s">
        <v>178</v>
      </c>
      <c r="E10" s="677"/>
      <c r="F10" s="677"/>
      <c r="G10" s="199">
        <v>3</v>
      </c>
      <c r="H10" s="201">
        <v>3238.7213453576337</v>
      </c>
      <c r="I10" s="202">
        <v>1079.5737817858778</v>
      </c>
      <c r="J10" s="220"/>
      <c r="K10" s="676" t="s">
        <v>275</v>
      </c>
      <c r="L10" s="677"/>
      <c r="N10" s="177"/>
      <c r="O10" s="177"/>
      <c r="P10" s="379"/>
      <c r="Q10" s="379"/>
      <c r="R10" s="177"/>
    </row>
    <row r="11" spans="1:18" ht="15.75" customHeight="1">
      <c r="A11" s="680"/>
      <c r="B11" s="681"/>
      <c r="C11" s="199">
        <v>4</v>
      </c>
      <c r="D11" s="676" t="s">
        <v>176</v>
      </c>
      <c r="E11" s="677"/>
      <c r="F11" s="677"/>
      <c r="G11" s="199">
        <v>3</v>
      </c>
      <c r="H11" s="201">
        <v>3238.5680940334023</v>
      </c>
      <c r="I11" s="202">
        <v>1079.5226980111343</v>
      </c>
      <c r="J11" s="220">
        <v>0.70285714285682843</v>
      </c>
      <c r="K11" s="676" t="s">
        <v>275</v>
      </c>
      <c r="L11" s="677"/>
      <c r="N11" s="177"/>
      <c r="O11" s="177"/>
      <c r="P11" s="379"/>
      <c r="Q11" s="379"/>
      <c r="R11" s="177"/>
    </row>
    <row r="12" spans="1:18" ht="15.75" customHeight="1">
      <c r="A12" s="680"/>
      <c r="B12" s="681"/>
      <c r="C12" s="199">
        <v>5</v>
      </c>
      <c r="D12" s="676" t="s">
        <v>194</v>
      </c>
      <c r="E12" s="677"/>
      <c r="F12" s="677"/>
      <c r="G12" s="199">
        <v>3</v>
      </c>
      <c r="H12" s="201">
        <v>3237.9647202012648</v>
      </c>
      <c r="I12" s="202">
        <v>1079.3215734004218</v>
      </c>
      <c r="J12" s="220">
        <v>1.3690821714787944</v>
      </c>
      <c r="K12" s="676" t="s">
        <v>275</v>
      </c>
      <c r="L12" s="677"/>
      <c r="O12" s="177"/>
      <c r="P12" s="379"/>
      <c r="Q12" s="379"/>
      <c r="R12" s="177"/>
    </row>
    <row r="13" spans="1:18" ht="15.75" customHeight="1">
      <c r="A13" s="680"/>
      <c r="B13" s="681"/>
      <c r="C13" s="203" t="s">
        <v>276</v>
      </c>
      <c r="D13" s="677" t="s">
        <v>184</v>
      </c>
      <c r="E13" s="677"/>
      <c r="F13" s="677"/>
      <c r="G13" s="200">
        <v>12</v>
      </c>
      <c r="H13" s="204">
        <v>3120.0818231356911</v>
      </c>
      <c r="I13" s="205">
        <v>260.006818594641</v>
      </c>
      <c r="J13" s="220">
        <v>-8.8724767380711E-2</v>
      </c>
      <c r="K13" s="676" t="s">
        <v>275</v>
      </c>
      <c r="L13" s="677"/>
      <c r="N13" s="177"/>
      <c r="O13" s="177"/>
      <c r="P13" s="379"/>
      <c r="Q13" s="379"/>
      <c r="R13" s="177"/>
    </row>
    <row r="14" spans="1:18" ht="15.75" customHeight="1">
      <c r="A14" s="680"/>
      <c r="B14" s="681"/>
      <c r="C14" s="203" t="s">
        <v>277</v>
      </c>
      <c r="D14" s="677" t="s">
        <v>207</v>
      </c>
      <c r="E14" s="677"/>
      <c r="F14" s="677"/>
      <c r="G14" s="200">
        <v>12</v>
      </c>
      <c r="H14" s="204">
        <v>3121.4275861178721</v>
      </c>
      <c r="I14" s="205">
        <v>260.11896550982266</v>
      </c>
      <c r="J14" s="220">
        <v>2.4120740147907327E-2</v>
      </c>
      <c r="K14" s="676" t="s">
        <v>275</v>
      </c>
      <c r="L14" s="677"/>
      <c r="N14" s="177"/>
      <c r="O14" s="177"/>
      <c r="P14" s="379"/>
      <c r="Q14" s="379"/>
      <c r="R14" s="177"/>
    </row>
    <row r="15" spans="1:18" ht="15.75" customHeight="1">
      <c r="A15" s="680"/>
      <c r="B15" s="681"/>
      <c r="C15" s="203" t="s">
        <v>278</v>
      </c>
      <c r="D15" s="677" t="s">
        <v>279</v>
      </c>
      <c r="E15" s="677"/>
      <c r="F15" s="677"/>
      <c r="G15" s="200">
        <v>5</v>
      </c>
      <c r="H15" s="204">
        <v>2759.636828541365</v>
      </c>
      <c r="I15" s="205">
        <v>551.92736570827287</v>
      </c>
      <c r="J15" s="220">
        <v>1.1052402793511646</v>
      </c>
      <c r="K15" s="676" t="s">
        <v>275</v>
      </c>
      <c r="L15" s="677"/>
      <c r="N15" s="177"/>
      <c r="O15" s="177"/>
      <c r="P15" s="379"/>
      <c r="Q15" s="379"/>
      <c r="R15" s="177"/>
    </row>
    <row r="16" spans="1:18" ht="15.75" customHeight="1">
      <c r="A16" s="680"/>
      <c r="B16" s="681"/>
      <c r="C16" s="203" t="s">
        <v>280</v>
      </c>
      <c r="D16" s="677" t="s">
        <v>190</v>
      </c>
      <c r="E16" s="677"/>
      <c r="F16" s="677"/>
      <c r="G16" s="200">
        <v>5</v>
      </c>
      <c r="H16" s="204">
        <v>2918.0113150274597</v>
      </c>
      <c r="I16" s="205">
        <v>583.60226300549198</v>
      </c>
      <c r="J16" s="220"/>
      <c r="K16" s="676" t="s">
        <v>275</v>
      </c>
      <c r="L16" s="677"/>
      <c r="M16" s="188"/>
      <c r="N16" s="177"/>
      <c r="O16" s="177"/>
      <c r="P16" s="379"/>
      <c r="Q16" s="379"/>
      <c r="R16" s="177"/>
    </row>
    <row r="17" spans="1:18" ht="15.75" customHeight="1">
      <c r="A17" s="680"/>
      <c r="B17" s="681"/>
      <c r="C17" s="203" t="s">
        <v>281</v>
      </c>
      <c r="D17" s="677" t="s">
        <v>208</v>
      </c>
      <c r="E17" s="677"/>
      <c r="F17" s="677"/>
      <c r="G17" s="200">
        <v>5</v>
      </c>
      <c r="H17" s="204">
        <v>2944.0648497933521</v>
      </c>
      <c r="I17" s="205">
        <v>588.81296995867058</v>
      </c>
      <c r="J17" s="220">
        <v>43.254346883905441</v>
      </c>
      <c r="K17" s="684" t="s">
        <v>282</v>
      </c>
      <c r="L17" s="677"/>
      <c r="M17" s="188"/>
      <c r="N17" s="177"/>
      <c r="O17" s="177"/>
      <c r="P17" s="379"/>
      <c r="Q17" s="379"/>
      <c r="R17" s="177"/>
    </row>
    <row r="18" spans="1:18" s="198" customFormat="1" ht="15.75" customHeight="1">
      <c r="A18" s="678" t="s">
        <v>89</v>
      </c>
      <c r="B18" s="678"/>
      <c r="C18" s="206" t="s">
        <v>267</v>
      </c>
      <c r="D18" s="678" t="s">
        <v>268</v>
      </c>
      <c r="E18" s="679"/>
      <c r="F18" s="679"/>
      <c r="G18" s="206" t="s">
        <v>269</v>
      </c>
      <c r="H18" s="206" t="s">
        <v>270</v>
      </c>
      <c r="I18" s="206" t="s">
        <v>271</v>
      </c>
      <c r="J18" s="159" t="s">
        <v>272</v>
      </c>
      <c r="K18" s="678" t="s">
        <v>283</v>
      </c>
      <c r="L18" s="679"/>
      <c r="M18" s="207"/>
      <c r="N18" s="177"/>
      <c r="O18" s="177"/>
      <c r="P18" s="379"/>
      <c r="Q18" s="379"/>
      <c r="R18" s="177"/>
    </row>
    <row r="19" spans="1:18" ht="15.75" customHeight="1">
      <c r="A19" s="680">
        <v>2</v>
      </c>
      <c r="B19" s="681" t="s">
        <v>260</v>
      </c>
      <c r="C19" s="199">
        <v>1</v>
      </c>
      <c r="D19" s="676" t="s">
        <v>214</v>
      </c>
      <c r="E19" s="677"/>
      <c r="F19" s="677"/>
      <c r="G19" s="199">
        <v>10</v>
      </c>
      <c r="H19" s="201">
        <v>3216.7866940103254</v>
      </c>
      <c r="I19" s="202">
        <v>321.67866940103249</v>
      </c>
      <c r="J19" s="220">
        <v>-0.21085714285720769</v>
      </c>
      <c r="K19" s="676" t="s">
        <v>275</v>
      </c>
      <c r="L19" s="677"/>
      <c r="M19" s="188"/>
      <c r="N19" s="177"/>
      <c r="O19" s="177"/>
      <c r="P19" s="379"/>
      <c r="Q19" s="379"/>
      <c r="R19" s="177"/>
    </row>
    <row r="20" spans="1:18" ht="15.75" customHeight="1">
      <c r="A20" s="680"/>
      <c r="B20" s="681"/>
      <c r="C20" s="199">
        <v>2</v>
      </c>
      <c r="D20" s="676" t="s">
        <v>215</v>
      </c>
      <c r="E20" s="677"/>
      <c r="F20" s="677"/>
      <c r="G20" s="199">
        <v>11</v>
      </c>
      <c r="H20" s="201">
        <v>3158.5392519653301</v>
      </c>
      <c r="I20" s="202">
        <v>287.13993199684825</v>
      </c>
      <c r="J20" s="220">
        <v>2.2040490422966741E-2</v>
      </c>
      <c r="K20" s="676" t="s">
        <v>275</v>
      </c>
      <c r="L20" s="677"/>
      <c r="M20" s="188"/>
      <c r="N20" s="177"/>
      <c r="O20" s="177"/>
      <c r="P20" s="379"/>
      <c r="Q20" s="379"/>
      <c r="R20" s="177"/>
    </row>
    <row r="21" spans="1:18" ht="15.75" customHeight="1">
      <c r="A21" s="680"/>
      <c r="B21" s="681"/>
      <c r="C21" s="199">
        <v>3</v>
      </c>
      <c r="D21" s="676" t="s">
        <v>217</v>
      </c>
      <c r="E21" s="677"/>
      <c r="F21" s="677"/>
      <c r="G21" s="199">
        <v>11</v>
      </c>
      <c r="H21" s="201">
        <v>3157.8383536890128</v>
      </c>
      <c r="I21" s="202">
        <v>287.07621397172841</v>
      </c>
      <c r="J21" s="220">
        <v>0.11773141549502952</v>
      </c>
      <c r="K21" s="676" t="s">
        <v>275</v>
      </c>
      <c r="L21" s="677"/>
      <c r="M21" s="188"/>
      <c r="N21" s="177"/>
      <c r="O21" s="177"/>
      <c r="P21" s="379"/>
      <c r="Q21" s="379"/>
      <c r="R21" s="177"/>
    </row>
    <row r="22" spans="1:18" ht="15.75" customHeight="1">
      <c r="A22" s="680"/>
      <c r="B22" s="681"/>
      <c r="C22" s="199">
        <v>4</v>
      </c>
      <c r="D22" s="676" t="s">
        <v>216</v>
      </c>
      <c r="E22" s="677"/>
      <c r="F22" s="677"/>
      <c r="G22" s="199">
        <v>11</v>
      </c>
      <c r="H22" s="201">
        <v>3157.7808459124449</v>
      </c>
      <c r="I22" s="202">
        <v>287.07098599204045</v>
      </c>
      <c r="J22" s="220">
        <v>7.6897199103996172E-2</v>
      </c>
      <c r="K22" s="676" t="s">
        <v>275</v>
      </c>
      <c r="L22" s="677"/>
      <c r="M22" s="188"/>
      <c r="N22" s="177"/>
      <c r="O22" s="177"/>
      <c r="P22" s="379"/>
      <c r="Q22" s="379"/>
      <c r="R22" s="177"/>
    </row>
    <row r="23" spans="1:18" ht="15.75" customHeight="1">
      <c r="A23" s="680"/>
      <c r="B23" s="681"/>
      <c r="C23" s="199">
        <v>5</v>
      </c>
      <c r="D23" s="676"/>
      <c r="E23" s="677"/>
      <c r="F23" s="677"/>
      <c r="G23" s="199"/>
      <c r="H23" s="201"/>
      <c r="I23" s="202"/>
      <c r="J23" s="220"/>
      <c r="K23" s="676"/>
      <c r="L23" s="677"/>
      <c r="M23" s="188"/>
      <c r="N23" s="177"/>
      <c r="O23" s="177"/>
      <c r="P23" s="379"/>
      <c r="Q23" s="379"/>
      <c r="R23" s="177"/>
    </row>
    <row r="24" spans="1:18" ht="15.75" customHeight="1">
      <c r="A24" s="680"/>
      <c r="B24" s="681"/>
      <c r="C24" s="203" t="s">
        <v>276</v>
      </c>
      <c r="D24" s="676"/>
      <c r="E24" s="677"/>
      <c r="F24" s="677"/>
      <c r="G24" s="199"/>
      <c r="H24" s="201"/>
      <c r="I24" s="202"/>
      <c r="J24" s="199"/>
      <c r="K24" s="676"/>
      <c r="L24" s="677"/>
      <c r="M24" s="188"/>
      <c r="N24" s="177"/>
      <c r="O24" s="177"/>
      <c r="P24" s="379"/>
      <c r="Q24" s="379"/>
      <c r="R24" s="177"/>
    </row>
    <row r="25" spans="1:18" ht="15.75" customHeight="1">
      <c r="A25" s="680"/>
      <c r="B25" s="681"/>
      <c r="C25" s="203" t="s">
        <v>277</v>
      </c>
      <c r="D25" s="676"/>
      <c r="E25" s="677"/>
      <c r="F25" s="677"/>
      <c r="G25" s="199"/>
      <c r="H25" s="201"/>
      <c r="I25" s="202"/>
      <c r="J25" s="199"/>
      <c r="K25" s="676"/>
      <c r="L25" s="677"/>
      <c r="M25" s="188"/>
      <c r="N25" s="177"/>
      <c r="O25" s="177"/>
      <c r="P25" s="379"/>
      <c r="Q25" s="379"/>
      <c r="R25" s="177"/>
    </row>
    <row r="26" spans="1:18" ht="15.75" customHeight="1">
      <c r="A26" s="680"/>
      <c r="B26" s="681"/>
      <c r="C26" s="203" t="s">
        <v>278</v>
      </c>
      <c r="D26" s="676"/>
      <c r="E26" s="677"/>
      <c r="F26" s="677"/>
      <c r="G26" s="199"/>
      <c r="H26" s="201"/>
      <c r="I26" s="202"/>
      <c r="J26" s="199"/>
      <c r="K26" s="676"/>
      <c r="L26" s="677"/>
      <c r="M26" s="188"/>
      <c r="N26" s="177"/>
      <c r="O26" s="177"/>
      <c r="P26" s="379"/>
      <c r="Q26" s="379"/>
      <c r="R26" s="177"/>
    </row>
    <row r="27" spans="1:18" ht="15.75" customHeight="1">
      <c r="A27" s="680"/>
      <c r="B27" s="681"/>
      <c r="C27" s="203" t="s">
        <v>280</v>
      </c>
      <c r="D27" s="676"/>
      <c r="E27" s="677"/>
      <c r="F27" s="677"/>
      <c r="G27" s="199"/>
      <c r="H27" s="201"/>
      <c r="I27" s="202"/>
      <c r="J27" s="199"/>
      <c r="K27" s="676"/>
      <c r="L27" s="677"/>
      <c r="M27" s="188"/>
      <c r="N27" s="177"/>
      <c r="O27" s="177"/>
      <c r="P27" s="379"/>
      <c r="Q27" s="379"/>
      <c r="R27" s="177"/>
    </row>
    <row r="28" spans="1:18" ht="15.75" customHeight="1">
      <c r="A28" s="680"/>
      <c r="B28" s="681"/>
      <c r="C28" s="203" t="s">
        <v>281</v>
      </c>
      <c r="D28" s="676"/>
      <c r="E28" s="677"/>
      <c r="F28" s="677"/>
      <c r="G28" s="199"/>
      <c r="H28" s="201"/>
      <c r="I28" s="202"/>
      <c r="J28" s="199"/>
      <c r="K28" s="676"/>
      <c r="L28" s="677"/>
      <c r="M28" s="188"/>
      <c r="N28" s="177"/>
      <c r="O28" s="177"/>
      <c r="P28" s="379"/>
      <c r="Q28" s="379"/>
      <c r="R28" s="177"/>
    </row>
    <row r="29" spans="1:18" ht="15.75" customHeight="1">
      <c r="A29" s="682" t="s">
        <v>284</v>
      </c>
      <c r="B29" s="682"/>
      <c r="C29" s="682"/>
      <c r="D29" s="682"/>
      <c r="E29" s="682"/>
      <c r="F29" s="682"/>
      <c r="G29" s="682"/>
      <c r="H29" s="682"/>
      <c r="I29" s="682"/>
      <c r="J29" s="682"/>
      <c r="K29" s="682"/>
      <c r="L29" s="682"/>
      <c r="M29" s="188"/>
    </row>
    <row r="30" spans="1:18" s="189" customFormat="1" ht="15.75" customHeight="1">
      <c r="A30" s="682"/>
      <c r="B30" s="682"/>
      <c r="C30" s="682"/>
      <c r="D30" s="682"/>
      <c r="E30" s="682"/>
      <c r="F30" s="682"/>
      <c r="G30" s="682"/>
      <c r="H30" s="682"/>
      <c r="I30" s="682"/>
      <c r="J30" s="682"/>
      <c r="K30" s="682"/>
      <c r="L30" s="682"/>
    </row>
    <row r="31" spans="1:18" s="177" customFormat="1" ht="15.75" customHeight="1">
      <c r="A31" s="680" t="s">
        <v>161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80"/>
      <c r="B32" s="193" t="s">
        <v>259</v>
      </c>
      <c r="C32" s="193" t="s">
        <v>260</v>
      </c>
      <c r="D32" s="194" t="s">
        <v>261</v>
      </c>
      <c r="E32" s="194" t="s">
        <v>262</v>
      </c>
      <c r="F32" s="194" t="s">
        <v>228</v>
      </c>
      <c r="G32" s="195" t="s">
        <v>263</v>
      </c>
      <c r="H32" s="196" t="s">
        <v>264</v>
      </c>
      <c r="I32" s="195" t="s">
        <v>265</v>
      </c>
      <c r="J32" s="195" t="s">
        <v>266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81" t="s">
        <v>89</v>
      </c>
      <c r="B33" s="681"/>
      <c r="C33" s="159" t="s">
        <v>267</v>
      </c>
      <c r="D33" s="681" t="s">
        <v>268</v>
      </c>
      <c r="E33" s="683"/>
      <c r="F33" s="683"/>
      <c r="G33" s="159" t="s">
        <v>269</v>
      </c>
      <c r="H33" s="159" t="s">
        <v>270</v>
      </c>
      <c r="I33" s="159" t="s">
        <v>271</v>
      </c>
      <c r="J33" s="159" t="s">
        <v>272</v>
      </c>
      <c r="K33" s="681" t="s">
        <v>273</v>
      </c>
      <c r="L33" s="683"/>
      <c r="M33" s="192"/>
      <c r="N33" s="188"/>
      <c r="P33" s="379"/>
      <c r="Q33" s="379"/>
    </row>
    <row r="34" spans="1:18" ht="15.75" customHeight="1">
      <c r="A34" s="680">
        <v>1</v>
      </c>
      <c r="B34" s="681" t="s">
        <v>274</v>
      </c>
      <c r="C34" s="199">
        <v>1</v>
      </c>
      <c r="D34" s="676" t="s">
        <v>196</v>
      </c>
      <c r="E34" s="677"/>
      <c r="F34" s="677"/>
      <c r="G34" s="199">
        <v>3</v>
      </c>
      <c r="H34" s="201">
        <v>3245.9634114390851</v>
      </c>
      <c r="I34" s="202">
        <v>1081.987803813028</v>
      </c>
      <c r="J34" s="220">
        <f>I34-I8</f>
        <v>1.8685714285711583</v>
      </c>
      <c r="K34" s="676"/>
      <c r="L34" s="677"/>
      <c r="N34" s="177"/>
      <c r="O34" s="177"/>
      <c r="P34" s="379"/>
      <c r="Q34" s="379"/>
      <c r="R34" s="177"/>
    </row>
    <row r="35" spans="1:18" ht="15.75" customHeight="1">
      <c r="A35" s="680"/>
      <c r="B35" s="681"/>
      <c r="C35" s="199">
        <v>2</v>
      </c>
      <c r="D35" s="676" t="s">
        <v>186</v>
      </c>
      <c r="E35" s="677"/>
      <c r="F35" s="677"/>
      <c r="G35" s="199">
        <v>3</v>
      </c>
      <c r="H35" s="201">
        <v>3244.3447142446357</v>
      </c>
      <c r="I35" s="202">
        <v>1081.4482380815452</v>
      </c>
      <c r="J35" s="220"/>
      <c r="K35" s="676"/>
      <c r="L35" s="677"/>
      <c r="N35" s="177"/>
      <c r="O35" s="177"/>
      <c r="P35" s="379"/>
      <c r="Q35" s="379"/>
      <c r="R35" s="177"/>
    </row>
    <row r="36" spans="1:18" ht="15.75" customHeight="1">
      <c r="A36" s="680"/>
      <c r="B36" s="681"/>
      <c r="C36" s="199">
        <v>3</v>
      </c>
      <c r="D36" s="676" t="s">
        <v>176</v>
      </c>
      <c r="E36" s="677"/>
      <c r="F36" s="677"/>
      <c r="G36" s="199">
        <v>3</v>
      </c>
      <c r="H36" s="201">
        <v>3243.8620405715628</v>
      </c>
      <c r="I36" s="202">
        <v>1081.2873468571877</v>
      </c>
      <c r="J36" s="220">
        <f>I36-I11</f>
        <v>1.7646488460534329</v>
      </c>
      <c r="K36" s="676"/>
      <c r="L36" s="677"/>
      <c r="N36" s="177"/>
      <c r="O36" s="177"/>
      <c r="P36" s="379"/>
      <c r="Q36" s="379"/>
      <c r="R36" s="177"/>
    </row>
    <row r="37" spans="1:18" ht="15.75" customHeight="1">
      <c r="A37" s="680"/>
      <c r="B37" s="681"/>
      <c r="C37" s="199">
        <v>4</v>
      </c>
      <c r="D37" s="676" t="s">
        <v>194</v>
      </c>
      <c r="E37" s="677"/>
      <c r="F37" s="677"/>
      <c r="G37" s="199">
        <v>3</v>
      </c>
      <c r="H37" s="201">
        <v>3243.8402617645584</v>
      </c>
      <c r="I37" s="202">
        <v>1081.2800872548528</v>
      </c>
      <c r="J37" s="220">
        <f>I37-I12</f>
        <v>1.9585138544309757</v>
      </c>
      <c r="K37" s="676"/>
      <c r="L37" s="677"/>
      <c r="N37" s="177"/>
      <c r="O37" s="177"/>
      <c r="P37" s="379"/>
      <c r="Q37" s="379"/>
      <c r="R37" s="177"/>
    </row>
    <row r="38" spans="1:18" ht="15.75" customHeight="1">
      <c r="A38" s="680"/>
      <c r="B38" s="681"/>
      <c r="C38" s="199">
        <v>5</v>
      </c>
      <c r="D38" s="676" t="s">
        <v>178</v>
      </c>
      <c r="E38" s="677"/>
      <c r="F38" s="677"/>
      <c r="G38" s="199">
        <v>3</v>
      </c>
      <c r="H38" s="201">
        <v>3243.1956310719179</v>
      </c>
      <c r="I38" s="202">
        <v>1081.0652103573061</v>
      </c>
      <c r="J38" s="220">
        <f>I38-I10</f>
        <v>1.4914285714282869</v>
      </c>
      <c r="K38" s="676"/>
      <c r="L38" s="677"/>
      <c r="O38" s="177"/>
      <c r="P38" s="379"/>
      <c r="Q38" s="379"/>
      <c r="R38" s="177"/>
    </row>
    <row r="39" spans="1:18" ht="15.75" customHeight="1">
      <c r="A39" s="680"/>
      <c r="B39" s="681"/>
      <c r="C39" s="203" t="s">
        <v>276</v>
      </c>
      <c r="D39" s="677" t="s">
        <v>207</v>
      </c>
      <c r="E39" s="677"/>
      <c r="F39" s="677"/>
      <c r="G39" s="200">
        <v>12</v>
      </c>
      <c r="H39" s="204">
        <v>3120.5551933373158</v>
      </c>
      <c r="I39" s="205">
        <v>260.046266111443</v>
      </c>
      <c r="J39" s="220">
        <f>I39-I14</f>
        <v>-7.2699398379654667E-2</v>
      </c>
      <c r="K39" s="676"/>
      <c r="L39" s="677"/>
      <c r="N39" s="177"/>
      <c r="O39" s="177"/>
      <c r="P39" s="379"/>
      <c r="Q39" s="379"/>
      <c r="R39" s="177"/>
    </row>
    <row r="40" spans="1:18" ht="15.75" customHeight="1">
      <c r="A40" s="680"/>
      <c r="B40" s="681"/>
      <c r="C40" s="203" t="s">
        <v>277</v>
      </c>
      <c r="D40" s="677" t="s">
        <v>184</v>
      </c>
      <c r="E40" s="677"/>
      <c r="F40" s="677"/>
      <c r="G40" s="200">
        <v>12</v>
      </c>
      <c r="H40" s="204">
        <v>3121.9814749665193</v>
      </c>
      <c r="I40" s="205">
        <v>260.16512291387659</v>
      </c>
      <c r="J40" s="220">
        <f>I40-I13</f>
        <v>0.15830431923558308</v>
      </c>
      <c r="K40" s="676"/>
      <c r="L40" s="677"/>
      <c r="N40" s="177"/>
      <c r="O40" s="177"/>
      <c r="P40" s="379"/>
      <c r="Q40" s="379"/>
      <c r="R40" s="177"/>
    </row>
    <row r="41" spans="1:18" ht="15.75" customHeight="1">
      <c r="A41" s="680"/>
      <c r="B41" s="681"/>
      <c r="C41" s="203" t="s">
        <v>278</v>
      </c>
      <c r="D41" s="677" t="s">
        <v>190</v>
      </c>
      <c r="E41" s="677"/>
      <c r="F41" s="677"/>
      <c r="G41" s="200">
        <v>5</v>
      </c>
      <c r="H41" s="204">
        <v>3041.1423682271347</v>
      </c>
      <c r="I41" s="205">
        <v>608.22847364542702</v>
      </c>
      <c r="J41" s="220">
        <f>I41-I16</f>
        <v>24.626210639935039</v>
      </c>
      <c r="K41" s="676"/>
      <c r="L41" s="677"/>
      <c r="N41" s="177"/>
      <c r="O41" s="177"/>
      <c r="P41" s="379"/>
      <c r="Q41" s="379"/>
      <c r="R41" s="177"/>
    </row>
    <row r="42" spans="1:18" ht="15.75" customHeight="1">
      <c r="A42" s="680"/>
      <c r="B42" s="681"/>
      <c r="C42" s="203" t="s">
        <v>280</v>
      </c>
      <c r="D42" s="677" t="s">
        <v>208</v>
      </c>
      <c r="E42" s="677"/>
      <c r="F42" s="677"/>
      <c r="G42" s="200">
        <v>5</v>
      </c>
      <c r="H42" s="204">
        <v>3041.2060036351468</v>
      </c>
      <c r="I42" s="205">
        <v>608.24120072702942</v>
      </c>
      <c r="J42" s="220">
        <f>I42-I17</f>
        <v>19.428230768358844</v>
      </c>
      <c r="K42" s="676"/>
      <c r="L42" s="677"/>
      <c r="M42" s="188"/>
      <c r="N42" s="177"/>
      <c r="O42" s="177"/>
      <c r="P42" s="379"/>
      <c r="Q42" s="379"/>
      <c r="R42" s="177"/>
    </row>
    <row r="43" spans="1:18" ht="15.75" customHeight="1">
      <c r="A43" s="680"/>
      <c r="B43" s="681"/>
      <c r="C43" s="203" t="s">
        <v>281</v>
      </c>
      <c r="D43" s="677" t="s">
        <v>189</v>
      </c>
      <c r="E43" s="677"/>
      <c r="F43" s="677"/>
      <c r="G43" s="200">
        <v>5</v>
      </c>
      <c r="H43" s="204">
        <v>3241.1007949899272</v>
      </c>
      <c r="I43" s="205">
        <v>648.22015899798555</v>
      </c>
      <c r="J43" s="220"/>
      <c r="K43" s="676"/>
      <c r="L43" s="677"/>
      <c r="M43" s="188"/>
      <c r="N43" s="177"/>
      <c r="O43" s="177"/>
      <c r="P43" s="379"/>
      <c r="Q43" s="379"/>
      <c r="R43" s="177"/>
    </row>
    <row r="44" spans="1:18" s="198" customFormat="1" ht="15.75" customHeight="1">
      <c r="A44" s="678" t="s">
        <v>89</v>
      </c>
      <c r="B44" s="678"/>
      <c r="C44" s="206" t="s">
        <v>267</v>
      </c>
      <c r="D44" s="678" t="s">
        <v>268</v>
      </c>
      <c r="E44" s="679"/>
      <c r="F44" s="679"/>
      <c r="G44" s="206" t="s">
        <v>269</v>
      </c>
      <c r="H44" s="206" t="s">
        <v>270</v>
      </c>
      <c r="I44" s="206" t="s">
        <v>271</v>
      </c>
      <c r="J44" s="159" t="s">
        <v>272</v>
      </c>
      <c r="K44" s="678" t="s">
        <v>283</v>
      </c>
      <c r="L44" s="679"/>
      <c r="M44" s="207"/>
      <c r="N44" s="177"/>
      <c r="O44" s="177"/>
      <c r="P44" s="379"/>
      <c r="Q44" s="379"/>
      <c r="R44" s="177"/>
    </row>
    <row r="45" spans="1:18" ht="15.75" customHeight="1">
      <c r="A45" s="680">
        <v>2</v>
      </c>
      <c r="B45" s="681" t="s">
        <v>260</v>
      </c>
      <c r="C45" s="199">
        <v>1</v>
      </c>
      <c r="D45" s="676" t="s">
        <v>214</v>
      </c>
      <c r="E45" s="677"/>
      <c r="F45" s="677"/>
      <c r="G45" s="199">
        <v>10</v>
      </c>
      <c r="H45" s="201">
        <v>3217.8152654388955</v>
      </c>
      <c r="I45" s="202">
        <v>321.78152654388953</v>
      </c>
      <c r="J45" s="220">
        <f>I45-I19</f>
        <v>0.10285714285703307</v>
      </c>
      <c r="K45" s="676"/>
      <c r="L45" s="677"/>
      <c r="M45" s="188"/>
      <c r="N45" s="177"/>
      <c r="O45" s="177"/>
      <c r="P45" s="379"/>
      <c r="Q45" s="379"/>
      <c r="R45" s="177"/>
    </row>
    <row r="46" spans="1:18" ht="15.75" customHeight="1">
      <c r="A46" s="680"/>
      <c r="B46" s="681"/>
      <c r="C46" s="199">
        <v>2</v>
      </c>
      <c r="D46" s="676" t="s">
        <v>216</v>
      </c>
      <c r="E46" s="677"/>
      <c r="F46" s="677"/>
      <c r="G46" s="199">
        <v>11</v>
      </c>
      <c r="H46" s="201">
        <v>3157.707841796208</v>
      </c>
      <c r="I46" s="202">
        <v>287.06434925420069</v>
      </c>
      <c r="J46" s="220">
        <f>I46-I22</f>
        <v>-6.6367378397558241E-3</v>
      </c>
      <c r="K46" s="676"/>
      <c r="L46" s="677"/>
      <c r="M46" s="188"/>
      <c r="N46" s="177"/>
      <c r="O46" s="177"/>
      <c r="P46" s="379"/>
      <c r="Q46" s="379"/>
      <c r="R46" s="177"/>
    </row>
    <row r="47" spans="1:18" ht="15.75" customHeight="1">
      <c r="A47" s="680"/>
      <c r="B47" s="681"/>
      <c r="C47" s="199">
        <v>3</v>
      </c>
      <c r="D47" s="676" t="s">
        <v>215</v>
      </c>
      <c r="E47" s="677"/>
      <c r="F47" s="677"/>
      <c r="G47" s="199">
        <v>11</v>
      </c>
      <c r="H47" s="201">
        <v>3157.4405411683401</v>
      </c>
      <c r="I47" s="202">
        <v>287.04004919712179</v>
      </c>
      <c r="J47" s="220">
        <f>I47-I20</f>
        <v>-9.9882799726458416E-2</v>
      </c>
      <c r="K47" s="676"/>
      <c r="L47" s="677"/>
      <c r="M47" s="188"/>
      <c r="N47" s="177"/>
      <c r="O47" s="177"/>
      <c r="P47" s="379"/>
      <c r="Q47" s="379"/>
      <c r="R47" s="177"/>
    </row>
    <row r="48" spans="1:18" ht="15.75" customHeight="1">
      <c r="A48" s="680"/>
      <c r="B48" s="681"/>
      <c r="C48" s="199">
        <v>4</v>
      </c>
      <c r="D48" s="676" t="s">
        <v>217</v>
      </c>
      <c r="E48" s="677"/>
      <c r="F48" s="677"/>
      <c r="G48" s="199">
        <v>11</v>
      </c>
      <c r="H48" s="201">
        <v>3155.7077626033015</v>
      </c>
      <c r="I48" s="202">
        <v>286.88252387302742</v>
      </c>
      <c r="J48" s="220">
        <f>I48-I21</f>
        <v>-0.19369009870098353</v>
      </c>
      <c r="K48" s="676"/>
      <c r="L48" s="677"/>
      <c r="M48" s="188"/>
      <c r="N48" s="177"/>
      <c r="O48" s="177"/>
      <c r="P48" s="379"/>
      <c r="Q48" s="379"/>
      <c r="R48" s="177"/>
    </row>
    <row r="49" spans="1:18" ht="15.75" customHeight="1">
      <c r="A49" s="680"/>
      <c r="B49" s="681"/>
      <c r="C49" s="199">
        <v>5</v>
      </c>
      <c r="D49" s="676"/>
      <c r="E49" s="677"/>
      <c r="F49" s="677"/>
      <c r="G49" s="199"/>
      <c r="H49" s="201"/>
      <c r="I49" s="202"/>
      <c r="J49" s="220"/>
      <c r="K49" s="676"/>
      <c r="L49" s="677"/>
      <c r="M49" s="188"/>
      <c r="N49" s="177"/>
      <c r="O49" s="177"/>
      <c r="P49" s="379"/>
      <c r="Q49" s="379"/>
      <c r="R49" s="177"/>
    </row>
    <row r="50" spans="1:18" ht="15.75" customHeight="1">
      <c r="A50" s="680"/>
      <c r="B50" s="681"/>
      <c r="C50" s="203" t="s">
        <v>276</v>
      </c>
      <c r="D50" s="676"/>
      <c r="E50" s="677"/>
      <c r="F50" s="677"/>
      <c r="G50" s="199"/>
      <c r="H50" s="201"/>
      <c r="I50" s="202"/>
      <c r="J50" s="199"/>
      <c r="K50" s="676"/>
      <c r="L50" s="677"/>
      <c r="M50" s="188"/>
      <c r="N50" s="177"/>
      <c r="O50" s="177"/>
      <c r="P50" s="379"/>
      <c r="Q50" s="379"/>
      <c r="R50" s="177"/>
    </row>
    <row r="51" spans="1:18" ht="15.75" customHeight="1">
      <c r="A51" s="680"/>
      <c r="B51" s="681"/>
      <c r="C51" s="203" t="s">
        <v>277</v>
      </c>
      <c r="D51" s="676"/>
      <c r="E51" s="677"/>
      <c r="F51" s="677"/>
      <c r="G51" s="199"/>
      <c r="H51" s="201"/>
      <c r="I51" s="202"/>
      <c r="J51" s="199"/>
      <c r="K51" s="676"/>
      <c r="L51" s="677"/>
      <c r="M51" s="188"/>
      <c r="N51" s="177"/>
      <c r="O51" s="177"/>
      <c r="P51" s="379"/>
      <c r="Q51" s="379"/>
      <c r="R51" s="177"/>
    </row>
    <row r="52" spans="1:18" ht="15.75" customHeight="1">
      <c r="A52" s="680"/>
      <c r="B52" s="681"/>
      <c r="C52" s="203" t="s">
        <v>278</v>
      </c>
      <c r="D52" s="676"/>
      <c r="E52" s="677"/>
      <c r="F52" s="677"/>
      <c r="G52" s="199"/>
      <c r="H52" s="201"/>
      <c r="I52" s="202"/>
      <c r="J52" s="199"/>
      <c r="K52" s="676"/>
      <c r="L52" s="677"/>
      <c r="M52" s="188"/>
      <c r="N52" s="177"/>
      <c r="O52" s="177"/>
      <c r="P52" s="379"/>
      <c r="Q52" s="379"/>
      <c r="R52" s="177"/>
    </row>
    <row r="53" spans="1:18" ht="15.75" customHeight="1">
      <c r="A53" s="680"/>
      <c r="B53" s="681"/>
      <c r="C53" s="203" t="s">
        <v>280</v>
      </c>
      <c r="D53" s="676"/>
      <c r="E53" s="677"/>
      <c r="F53" s="677"/>
      <c r="G53" s="199"/>
      <c r="H53" s="201"/>
      <c r="I53" s="202"/>
      <c r="J53" s="199"/>
      <c r="K53" s="676"/>
      <c r="L53" s="677"/>
      <c r="M53" s="188"/>
      <c r="N53" s="177"/>
      <c r="O53" s="177"/>
      <c r="P53" s="379"/>
      <c r="Q53" s="379"/>
      <c r="R53" s="177"/>
    </row>
    <row r="54" spans="1:18" ht="15.75" customHeight="1">
      <c r="A54" s="680"/>
      <c r="B54" s="681"/>
      <c r="C54" s="203" t="s">
        <v>281</v>
      </c>
      <c r="D54" s="676"/>
      <c r="E54" s="677"/>
      <c r="F54" s="677"/>
      <c r="G54" s="199"/>
      <c r="H54" s="201"/>
      <c r="I54" s="202"/>
      <c r="J54" s="199"/>
      <c r="K54" s="676"/>
      <c r="L54" s="677"/>
      <c r="M54" s="188"/>
      <c r="N54" s="177"/>
      <c r="O54" s="177"/>
      <c r="P54" s="379"/>
      <c r="Q54" s="379"/>
      <c r="R54" s="177"/>
    </row>
    <row r="55" spans="1:18" ht="15.75" customHeight="1">
      <c r="A55" s="682" t="s">
        <v>285</v>
      </c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  <c r="M55" s="188"/>
    </row>
    <row r="56" spans="1:18" s="189" customFormat="1" ht="15.75" customHeight="1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</row>
    <row r="57" spans="1:18" s="177" customFormat="1" ht="15.75" customHeight="1">
      <c r="A57" s="680" t="s">
        <v>161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80"/>
      <c r="B58" s="193" t="s">
        <v>259</v>
      </c>
      <c r="C58" s="193" t="s">
        <v>260</v>
      </c>
      <c r="D58" s="194" t="s">
        <v>261</v>
      </c>
      <c r="E58" s="194" t="s">
        <v>262</v>
      </c>
      <c r="F58" s="194" t="s">
        <v>228</v>
      </c>
      <c r="G58" s="195" t="s">
        <v>263</v>
      </c>
      <c r="H58" s="196" t="s">
        <v>264</v>
      </c>
      <c r="I58" s="195" t="s">
        <v>265</v>
      </c>
      <c r="J58" s="195" t="s">
        <v>266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81" t="s">
        <v>89</v>
      </c>
      <c r="B59" s="681"/>
      <c r="C59" s="159" t="s">
        <v>267</v>
      </c>
      <c r="D59" s="681" t="s">
        <v>268</v>
      </c>
      <c r="E59" s="683"/>
      <c r="F59" s="683"/>
      <c r="G59" s="159" t="s">
        <v>269</v>
      </c>
      <c r="H59" s="159" t="s">
        <v>270</v>
      </c>
      <c r="I59" s="159" t="s">
        <v>271</v>
      </c>
      <c r="J59" s="159" t="s">
        <v>272</v>
      </c>
      <c r="K59" s="681" t="s">
        <v>273</v>
      </c>
      <c r="L59" s="683"/>
      <c r="M59" s="192"/>
      <c r="N59" s="188"/>
      <c r="P59" s="379"/>
      <c r="Q59" s="379"/>
    </row>
    <row r="60" spans="1:18" ht="15.75" customHeight="1">
      <c r="A60" s="680">
        <v>1</v>
      </c>
      <c r="B60" s="681" t="s">
        <v>274</v>
      </c>
      <c r="C60" s="199">
        <v>1</v>
      </c>
      <c r="D60" s="676"/>
      <c r="E60" s="677"/>
      <c r="F60" s="677"/>
      <c r="G60" s="199"/>
      <c r="H60" s="201"/>
      <c r="I60" s="202"/>
      <c r="J60" s="220">
        <f>I60-I34</f>
        <v>-1081.987803813028</v>
      </c>
      <c r="K60" s="676"/>
      <c r="L60" s="677"/>
      <c r="N60" s="177"/>
      <c r="O60" s="177"/>
      <c r="P60" s="379"/>
      <c r="Q60" s="379"/>
      <c r="R60" s="177"/>
    </row>
    <row r="61" spans="1:18" ht="15.75" customHeight="1">
      <c r="A61" s="680"/>
      <c r="B61" s="681"/>
      <c r="C61" s="199">
        <v>2</v>
      </c>
      <c r="D61" s="676"/>
      <c r="E61" s="677"/>
      <c r="F61" s="677"/>
      <c r="G61" s="199"/>
      <c r="H61" s="201"/>
      <c r="I61" s="202"/>
      <c r="J61" s="220">
        <f>I61-I35</f>
        <v>-1081.4482380815452</v>
      </c>
      <c r="K61" s="676"/>
      <c r="L61" s="677"/>
      <c r="N61" s="177"/>
      <c r="O61" s="177"/>
      <c r="P61" s="379"/>
      <c r="Q61" s="379"/>
      <c r="R61" s="177"/>
    </row>
    <row r="62" spans="1:18" ht="15.75" customHeight="1">
      <c r="A62" s="680"/>
      <c r="B62" s="681"/>
      <c r="C62" s="199">
        <v>3</v>
      </c>
      <c r="D62" s="676"/>
      <c r="E62" s="677"/>
      <c r="F62" s="677"/>
      <c r="G62" s="199"/>
      <c r="H62" s="201"/>
      <c r="I62" s="202"/>
      <c r="J62" s="220">
        <f>I62-I36</f>
        <v>-1081.2873468571877</v>
      </c>
      <c r="K62" s="676"/>
      <c r="L62" s="677"/>
      <c r="N62" s="177"/>
      <c r="O62" s="177"/>
      <c r="P62" s="379"/>
      <c r="Q62" s="379"/>
      <c r="R62" s="177"/>
    </row>
    <row r="63" spans="1:18" ht="15.75" customHeight="1">
      <c r="A63" s="680"/>
      <c r="B63" s="681"/>
      <c r="C63" s="199">
        <v>4</v>
      </c>
      <c r="D63" s="676"/>
      <c r="E63" s="677"/>
      <c r="F63" s="677"/>
      <c r="G63" s="199"/>
      <c r="H63" s="201"/>
      <c r="I63" s="202"/>
      <c r="J63" s="220">
        <f>I63-I37</f>
        <v>-1081.2800872548528</v>
      </c>
      <c r="K63" s="676"/>
      <c r="L63" s="677"/>
      <c r="N63" s="177"/>
      <c r="O63" s="177"/>
      <c r="P63" s="379"/>
      <c r="Q63" s="379"/>
      <c r="R63" s="177"/>
    </row>
    <row r="64" spans="1:18" ht="15.75" customHeight="1">
      <c r="A64" s="680"/>
      <c r="B64" s="681"/>
      <c r="C64" s="199">
        <v>5</v>
      </c>
      <c r="D64" s="676"/>
      <c r="E64" s="677"/>
      <c r="F64" s="677"/>
      <c r="G64" s="199"/>
      <c r="H64" s="201"/>
      <c r="I64" s="202"/>
      <c r="J64" s="220"/>
      <c r="K64" s="676"/>
      <c r="L64" s="677"/>
      <c r="O64" s="177"/>
      <c r="P64" s="379"/>
      <c r="Q64" s="379"/>
      <c r="R64" s="177"/>
    </row>
    <row r="65" spans="1:18" ht="15.75" customHeight="1">
      <c r="A65" s="680"/>
      <c r="B65" s="681"/>
      <c r="C65" s="203" t="s">
        <v>276</v>
      </c>
      <c r="D65" s="677"/>
      <c r="E65" s="677"/>
      <c r="F65" s="677"/>
      <c r="G65" s="200"/>
      <c r="H65" s="204"/>
      <c r="I65" s="205"/>
      <c r="J65" s="220">
        <f>I65-I39</f>
        <v>-260.046266111443</v>
      </c>
      <c r="K65" s="676"/>
      <c r="L65" s="677"/>
      <c r="N65" s="177"/>
      <c r="O65" s="177"/>
      <c r="P65" s="379"/>
      <c r="Q65" s="379"/>
      <c r="R65" s="177"/>
    </row>
    <row r="66" spans="1:18" ht="15.75" customHeight="1">
      <c r="A66" s="680"/>
      <c r="B66" s="681"/>
      <c r="C66" s="203" t="s">
        <v>277</v>
      </c>
      <c r="D66" s="677"/>
      <c r="E66" s="677"/>
      <c r="F66" s="677"/>
      <c r="G66" s="200"/>
      <c r="H66" s="204"/>
      <c r="I66" s="205"/>
      <c r="J66" s="220">
        <f>I66-I41</f>
        <v>-608.22847364542702</v>
      </c>
      <c r="K66" s="676"/>
      <c r="L66" s="677"/>
      <c r="N66" s="177"/>
      <c r="O66" s="177"/>
      <c r="P66" s="379"/>
      <c r="Q66" s="379"/>
      <c r="R66" s="177"/>
    </row>
    <row r="67" spans="1:18" ht="15.75" customHeight="1">
      <c r="A67" s="680"/>
      <c r="B67" s="681"/>
      <c r="C67" s="203" t="s">
        <v>278</v>
      </c>
      <c r="D67" s="677"/>
      <c r="E67" s="677"/>
      <c r="F67" s="677"/>
      <c r="G67" s="200"/>
      <c r="H67" s="204"/>
      <c r="I67" s="205"/>
      <c r="J67" s="220">
        <f>I67-I40</f>
        <v>-260.16512291387659</v>
      </c>
      <c r="K67" s="676"/>
      <c r="L67" s="677"/>
      <c r="N67" s="177"/>
      <c r="O67" s="177"/>
      <c r="P67" s="379"/>
      <c r="Q67" s="379"/>
      <c r="R67" s="177"/>
    </row>
    <row r="68" spans="1:18" ht="15.75" customHeight="1">
      <c r="A68" s="680"/>
      <c r="B68" s="681"/>
      <c r="C68" s="203" t="s">
        <v>280</v>
      </c>
      <c r="D68" s="677"/>
      <c r="E68" s="677"/>
      <c r="F68" s="677"/>
      <c r="G68" s="200"/>
      <c r="H68" s="204"/>
      <c r="I68" s="205"/>
      <c r="J68" s="220">
        <f>I68-I42</f>
        <v>-608.24120072702942</v>
      </c>
      <c r="K68" s="676"/>
      <c r="L68" s="677"/>
      <c r="M68" s="188"/>
      <c r="N68" s="177"/>
      <c r="O68" s="177"/>
      <c r="P68" s="379"/>
      <c r="Q68" s="379"/>
      <c r="R68" s="177"/>
    </row>
    <row r="69" spans="1:18" ht="15.75" customHeight="1">
      <c r="A69" s="680"/>
      <c r="B69" s="681"/>
      <c r="C69" s="203" t="s">
        <v>281</v>
      </c>
      <c r="D69" s="677"/>
      <c r="E69" s="677"/>
      <c r="F69" s="677"/>
      <c r="G69" s="200"/>
      <c r="H69" s="204"/>
      <c r="I69" s="205"/>
      <c r="J69" s="220"/>
      <c r="K69" s="676"/>
      <c r="L69" s="677"/>
      <c r="M69" s="188"/>
      <c r="N69" s="177"/>
      <c r="O69" s="177"/>
      <c r="P69" s="379"/>
      <c r="Q69" s="379"/>
      <c r="R69" s="177"/>
    </row>
    <row r="70" spans="1:18" s="198" customFormat="1" ht="15.75" customHeight="1">
      <c r="A70" s="678" t="s">
        <v>89</v>
      </c>
      <c r="B70" s="678"/>
      <c r="C70" s="206" t="s">
        <v>267</v>
      </c>
      <c r="D70" s="678" t="s">
        <v>268</v>
      </c>
      <c r="E70" s="679"/>
      <c r="F70" s="679"/>
      <c r="G70" s="206" t="s">
        <v>269</v>
      </c>
      <c r="H70" s="206" t="s">
        <v>270</v>
      </c>
      <c r="I70" s="206" t="s">
        <v>271</v>
      </c>
      <c r="J70" s="159" t="s">
        <v>272</v>
      </c>
      <c r="K70" s="678" t="s">
        <v>283</v>
      </c>
      <c r="L70" s="679"/>
      <c r="M70" s="207"/>
      <c r="N70" s="177"/>
      <c r="O70" s="177"/>
      <c r="P70" s="379"/>
      <c r="Q70" s="379"/>
      <c r="R70" s="177"/>
    </row>
    <row r="71" spans="1:18" ht="15.75" customHeight="1">
      <c r="A71" s="680">
        <v>2</v>
      </c>
      <c r="B71" s="681" t="s">
        <v>260</v>
      </c>
      <c r="C71" s="199">
        <v>1</v>
      </c>
      <c r="D71" s="676"/>
      <c r="E71" s="677"/>
      <c r="F71" s="677"/>
      <c r="G71" s="199"/>
      <c r="H71" s="201"/>
      <c r="I71" s="202"/>
      <c r="J71" s="220">
        <f>I71-I45</f>
        <v>-321.78152654388953</v>
      </c>
      <c r="K71" s="676"/>
      <c r="L71" s="677"/>
      <c r="M71" s="188"/>
      <c r="N71" s="177"/>
      <c r="O71" s="177"/>
      <c r="P71" s="379"/>
      <c r="Q71" s="379"/>
      <c r="R71" s="177"/>
    </row>
    <row r="72" spans="1:18" ht="15.75" customHeight="1">
      <c r="A72" s="680"/>
      <c r="B72" s="681"/>
      <c r="C72" s="199">
        <v>2</v>
      </c>
      <c r="D72" s="676"/>
      <c r="E72" s="677"/>
      <c r="F72" s="677"/>
      <c r="G72" s="199"/>
      <c r="H72" s="201"/>
      <c r="I72" s="202"/>
      <c r="J72" s="220">
        <f>I72-I46</f>
        <v>-287.06434925420069</v>
      </c>
      <c r="K72" s="676"/>
      <c r="L72" s="677"/>
      <c r="M72" s="188"/>
      <c r="N72" s="177"/>
      <c r="O72" s="177"/>
      <c r="P72" s="379"/>
      <c r="Q72" s="379"/>
      <c r="R72" s="177"/>
    </row>
    <row r="73" spans="1:18" ht="15.75" customHeight="1">
      <c r="A73" s="680"/>
      <c r="B73" s="681"/>
      <c r="C73" s="199">
        <v>3</v>
      </c>
      <c r="D73" s="676"/>
      <c r="E73" s="677"/>
      <c r="F73" s="677"/>
      <c r="G73" s="199"/>
      <c r="H73" s="201"/>
      <c r="I73" s="202"/>
      <c r="J73" s="220">
        <f>I73-I47</f>
        <v>-287.04004919712179</v>
      </c>
      <c r="K73" s="676"/>
      <c r="L73" s="677"/>
      <c r="M73" s="188"/>
      <c r="N73" s="177"/>
      <c r="O73" s="177"/>
      <c r="P73" s="379"/>
      <c r="Q73" s="379"/>
      <c r="R73" s="177"/>
    </row>
    <row r="74" spans="1:18" ht="15.75" customHeight="1">
      <c r="A74" s="680"/>
      <c r="B74" s="681"/>
      <c r="C74" s="199">
        <v>4</v>
      </c>
      <c r="D74" s="676"/>
      <c r="E74" s="677"/>
      <c r="F74" s="677"/>
      <c r="G74" s="199"/>
      <c r="H74" s="201"/>
      <c r="I74" s="202"/>
      <c r="J74" s="220"/>
      <c r="K74" s="676"/>
      <c r="L74" s="677"/>
      <c r="M74" s="188"/>
      <c r="N74" s="177"/>
      <c r="O74" s="177"/>
      <c r="P74" s="379"/>
      <c r="Q74" s="379"/>
      <c r="R74" s="177"/>
    </row>
    <row r="75" spans="1:18" ht="15.75" customHeight="1">
      <c r="A75" s="680"/>
      <c r="B75" s="681"/>
      <c r="C75" s="199">
        <v>5</v>
      </c>
      <c r="D75" s="676"/>
      <c r="E75" s="677"/>
      <c r="F75" s="677"/>
      <c r="G75" s="199"/>
      <c r="H75" s="201"/>
      <c r="I75" s="202"/>
      <c r="J75" s="220"/>
      <c r="K75" s="676"/>
      <c r="L75" s="677"/>
      <c r="M75" s="188"/>
      <c r="N75" s="177"/>
      <c r="O75" s="177"/>
      <c r="P75" s="379"/>
      <c r="Q75" s="379"/>
      <c r="R75" s="177"/>
    </row>
    <row r="76" spans="1:18" ht="15.75" customHeight="1">
      <c r="A76" s="680"/>
      <c r="B76" s="681"/>
      <c r="C76" s="203" t="s">
        <v>276</v>
      </c>
      <c r="D76" s="676"/>
      <c r="E76" s="677"/>
      <c r="F76" s="677"/>
      <c r="G76" s="199"/>
      <c r="H76" s="201"/>
      <c r="I76" s="202"/>
      <c r="J76" s="199"/>
      <c r="K76" s="676"/>
      <c r="L76" s="677"/>
      <c r="M76" s="188"/>
      <c r="N76" s="177"/>
      <c r="O76" s="177"/>
      <c r="P76" s="379"/>
      <c r="Q76" s="379"/>
      <c r="R76" s="177"/>
    </row>
    <row r="77" spans="1:18" ht="15.75" customHeight="1">
      <c r="A77" s="680"/>
      <c r="B77" s="681"/>
      <c r="C77" s="203" t="s">
        <v>277</v>
      </c>
      <c r="D77" s="676"/>
      <c r="E77" s="677"/>
      <c r="F77" s="677"/>
      <c r="G77" s="199"/>
      <c r="H77" s="201"/>
      <c r="I77" s="202"/>
      <c r="J77" s="199"/>
      <c r="K77" s="676"/>
      <c r="L77" s="677"/>
      <c r="M77" s="188"/>
      <c r="N77" s="177"/>
      <c r="O77" s="177"/>
      <c r="P77" s="379"/>
      <c r="Q77" s="379"/>
      <c r="R77" s="177"/>
    </row>
    <row r="78" spans="1:18" ht="15.75" customHeight="1">
      <c r="A78" s="680"/>
      <c r="B78" s="681"/>
      <c r="C78" s="203" t="s">
        <v>278</v>
      </c>
      <c r="D78" s="676"/>
      <c r="E78" s="677"/>
      <c r="F78" s="677"/>
      <c r="G78" s="199"/>
      <c r="H78" s="201"/>
      <c r="I78" s="202"/>
      <c r="J78" s="199"/>
      <c r="K78" s="676"/>
      <c r="L78" s="677"/>
      <c r="M78" s="188"/>
      <c r="N78" s="177"/>
      <c r="O78" s="177"/>
      <c r="P78" s="379"/>
      <c r="Q78" s="379"/>
      <c r="R78" s="177"/>
    </row>
    <row r="79" spans="1:18" ht="15.75" customHeight="1">
      <c r="A79" s="680"/>
      <c r="B79" s="681"/>
      <c r="C79" s="203" t="s">
        <v>280</v>
      </c>
      <c r="D79" s="676"/>
      <c r="E79" s="677"/>
      <c r="F79" s="677"/>
      <c r="G79" s="199"/>
      <c r="H79" s="201"/>
      <c r="I79" s="202"/>
      <c r="J79" s="199"/>
      <c r="K79" s="676"/>
      <c r="L79" s="677"/>
      <c r="M79" s="188"/>
      <c r="N79" s="177"/>
      <c r="O79" s="177"/>
      <c r="P79" s="379"/>
      <c r="Q79" s="379"/>
      <c r="R79" s="177"/>
    </row>
    <row r="80" spans="1:18" ht="15.75" customHeight="1">
      <c r="A80" s="680"/>
      <c r="B80" s="681"/>
      <c r="C80" s="203" t="s">
        <v>281</v>
      </c>
      <c r="D80" s="676"/>
      <c r="E80" s="677"/>
      <c r="F80" s="677"/>
      <c r="G80" s="199"/>
      <c r="H80" s="201"/>
      <c r="I80" s="202"/>
      <c r="J80" s="199"/>
      <c r="K80" s="676"/>
      <c r="L80" s="677"/>
      <c r="M80" s="188"/>
      <c r="N80" s="177"/>
      <c r="O80" s="177"/>
      <c r="P80" s="379"/>
      <c r="Q80" s="379"/>
      <c r="R80" s="177"/>
    </row>
    <row r="141" spans="10:10" ht="15.75" customHeight="1">
      <c r="J141" s="516" t="s">
        <v>286</v>
      </c>
    </row>
    <row r="877" spans="10:10" ht="15.75" customHeight="1">
      <c r="J877" s="516" t="s">
        <v>287</v>
      </c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25:F25"/>
    <mergeCell ref="A1:L2"/>
    <mergeCell ref="K14:L14"/>
    <mergeCell ref="D15:F15"/>
    <mergeCell ref="K15:L15"/>
    <mergeCell ref="D16:F16"/>
    <mergeCell ref="K24:L24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80"/>
  <sheetViews>
    <sheetView view="pageBreakPreview" topLeftCell="A25" zoomScaleNormal="60" zoomScaleSheetLayoutView="100" workbookViewId="0">
      <selection activeCell="J47" sqref="J47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80" t="s">
        <v>257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98"/>
    </row>
    <row r="2" spans="1:18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N2" s="189"/>
      <c r="O2" s="189"/>
      <c r="P2" s="189"/>
      <c r="Q2" s="189"/>
      <c r="R2" s="189"/>
    </row>
    <row r="3" spans="1:18" s="188" customFormat="1" ht="15.75" customHeight="1">
      <c r="A3" s="682" t="s">
        <v>258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</row>
    <row r="4" spans="1:18" s="189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</row>
    <row r="5" spans="1:18" s="177" customFormat="1" ht="16.350000000000001" customHeight="1">
      <c r="A5" s="680" t="s">
        <v>161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80"/>
      <c r="B6" s="194" t="s">
        <v>259</v>
      </c>
      <c r="C6" s="194" t="s">
        <v>260</v>
      </c>
      <c r="D6" s="193" t="s">
        <v>261</v>
      </c>
      <c r="E6" s="193" t="s">
        <v>262</v>
      </c>
      <c r="F6" s="194" t="s">
        <v>228</v>
      </c>
      <c r="G6" s="195" t="s">
        <v>263</v>
      </c>
      <c r="H6" s="196" t="s">
        <v>264</v>
      </c>
      <c r="I6" s="195" t="s">
        <v>265</v>
      </c>
      <c r="J6" s="195" t="s">
        <v>266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81" t="s">
        <v>89</v>
      </c>
      <c r="B7" s="681"/>
      <c r="C7" s="159" t="s">
        <v>267</v>
      </c>
      <c r="D7" s="681" t="s">
        <v>268</v>
      </c>
      <c r="E7" s="683"/>
      <c r="F7" s="683"/>
      <c r="G7" s="159" t="s">
        <v>269</v>
      </c>
      <c r="H7" s="159" t="s">
        <v>270</v>
      </c>
      <c r="I7" s="159" t="s">
        <v>271</v>
      </c>
      <c r="J7" s="159" t="s">
        <v>272</v>
      </c>
      <c r="K7" s="681" t="s">
        <v>273</v>
      </c>
      <c r="L7" s="683"/>
      <c r="M7" s="192"/>
      <c r="N7" s="188"/>
      <c r="O7" s="198"/>
      <c r="P7" s="380"/>
      <c r="Q7" s="380"/>
      <c r="R7" s="198"/>
    </row>
    <row r="8" spans="1:18" s="188" customFormat="1" ht="13.5">
      <c r="A8" s="680">
        <v>3</v>
      </c>
      <c r="B8" s="681" t="s">
        <v>288</v>
      </c>
      <c r="C8" s="199">
        <v>1</v>
      </c>
      <c r="D8" s="676" t="s">
        <v>219</v>
      </c>
      <c r="E8" s="677"/>
      <c r="F8" s="677"/>
      <c r="G8" s="199">
        <v>22</v>
      </c>
      <c r="H8" s="201">
        <v>2626.6346153846148</v>
      </c>
      <c r="I8" s="202">
        <v>119.39248251748248</v>
      </c>
      <c r="J8" s="220">
        <v>0</v>
      </c>
      <c r="K8" s="676" t="s">
        <v>275</v>
      </c>
      <c r="L8" s="677"/>
      <c r="M8" s="189"/>
      <c r="O8" s="198"/>
      <c r="P8" s="380"/>
      <c r="Q8" s="380"/>
      <c r="R8" s="198"/>
    </row>
    <row r="9" spans="1:18" s="188" customFormat="1" ht="13.5">
      <c r="A9" s="680"/>
      <c r="B9" s="681"/>
      <c r="C9" s="199">
        <v>2</v>
      </c>
      <c r="D9" s="676"/>
      <c r="E9" s="677"/>
      <c r="F9" s="677"/>
      <c r="G9" s="199"/>
      <c r="H9" s="201"/>
      <c r="I9" s="202"/>
      <c r="J9" s="220"/>
      <c r="K9" s="676"/>
      <c r="L9" s="677"/>
      <c r="M9" s="189"/>
      <c r="O9" s="198"/>
      <c r="P9" s="380"/>
      <c r="Q9" s="380"/>
      <c r="R9" s="198"/>
    </row>
    <row r="10" spans="1:18" s="188" customFormat="1" ht="13.5">
      <c r="A10" s="680"/>
      <c r="B10" s="681"/>
      <c r="C10" s="199">
        <v>3</v>
      </c>
      <c r="D10" s="676"/>
      <c r="E10" s="677"/>
      <c r="F10" s="677"/>
      <c r="G10" s="199"/>
      <c r="H10" s="201"/>
      <c r="I10" s="202"/>
      <c r="J10" s="199"/>
      <c r="K10" s="676"/>
      <c r="L10" s="677"/>
      <c r="M10" s="189"/>
      <c r="O10" s="198"/>
      <c r="P10" s="380"/>
      <c r="Q10" s="380"/>
      <c r="R10" s="198"/>
    </row>
    <row r="11" spans="1:18" s="188" customFormat="1" ht="13.5">
      <c r="A11" s="680"/>
      <c r="B11" s="681"/>
      <c r="C11" s="199">
        <v>4</v>
      </c>
      <c r="D11" s="676"/>
      <c r="E11" s="677"/>
      <c r="F11" s="677"/>
      <c r="G11" s="199"/>
      <c r="H11" s="201"/>
      <c r="I11" s="202"/>
      <c r="J11" s="199"/>
      <c r="K11" s="676"/>
      <c r="L11" s="677"/>
      <c r="M11" s="189"/>
      <c r="O11" s="198"/>
      <c r="P11" s="380"/>
      <c r="Q11" s="380"/>
      <c r="R11" s="198"/>
    </row>
    <row r="12" spans="1:18" s="188" customFormat="1" ht="13.5">
      <c r="A12" s="680"/>
      <c r="B12" s="681"/>
      <c r="C12" s="199">
        <v>5</v>
      </c>
      <c r="D12" s="676"/>
      <c r="E12" s="677"/>
      <c r="F12" s="677"/>
      <c r="G12" s="199"/>
      <c r="H12" s="201"/>
      <c r="I12" s="202"/>
      <c r="J12" s="199"/>
      <c r="K12" s="676"/>
      <c r="L12" s="677"/>
      <c r="M12" s="189"/>
      <c r="O12" s="198"/>
      <c r="P12" s="380"/>
      <c r="Q12" s="380"/>
      <c r="R12" s="198"/>
    </row>
    <row r="13" spans="1:18" s="188" customFormat="1" ht="13.5">
      <c r="A13" s="680"/>
      <c r="B13" s="681"/>
      <c r="C13" s="203" t="s">
        <v>276</v>
      </c>
      <c r="D13" s="676"/>
      <c r="E13" s="677"/>
      <c r="F13" s="677"/>
      <c r="G13" s="199"/>
      <c r="H13" s="201"/>
      <c r="I13" s="202"/>
      <c r="J13" s="199"/>
      <c r="K13" s="676"/>
      <c r="L13" s="677"/>
      <c r="M13" s="189"/>
      <c r="O13" s="198"/>
      <c r="P13" s="380"/>
      <c r="Q13" s="380"/>
      <c r="R13" s="198"/>
    </row>
    <row r="14" spans="1:18" s="188" customFormat="1" ht="13.5">
      <c r="A14" s="680"/>
      <c r="B14" s="681"/>
      <c r="C14" s="203" t="s">
        <v>277</v>
      </c>
      <c r="D14" s="676"/>
      <c r="E14" s="677"/>
      <c r="F14" s="677"/>
      <c r="G14" s="199"/>
      <c r="H14" s="201"/>
      <c r="I14" s="202"/>
      <c r="J14" s="199"/>
      <c r="K14" s="676"/>
      <c r="L14" s="677"/>
      <c r="M14" s="189"/>
      <c r="N14" s="177"/>
      <c r="O14" s="177"/>
      <c r="P14" s="379"/>
      <c r="Q14" s="379"/>
      <c r="R14" s="177"/>
    </row>
    <row r="15" spans="1:18" s="188" customFormat="1" ht="13.5">
      <c r="A15" s="680"/>
      <c r="B15" s="681"/>
      <c r="C15" s="203" t="s">
        <v>278</v>
      </c>
      <c r="D15" s="676"/>
      <c r="E15" s="677"/>
      <c r="F15" s="677"/>
      <c r="G15" s="201"/>
      <c r="H15" s="201"/>
      <c r="I15" s="202"/>
      <c r="J15" s="199"/>
      <c r="K15" s="676"/>
      <c r="L15" s="677"/>
      <c r="M15" s="189"/>
      <c r="O15" s="198"/>
      <c r="P15" s="380"/>
      <c r="Q15" s="380"/>
      <c r="R15" s="198"/>
    </row>
    <row r="16" spans="1:18" s="188" customFormat="1" ht="13.5">
      <c r="A16" s="680"/>
      <c r="B16" s="681"/>
      <c r="C16" s="203" t="s">
        <v>280</v>
      </c>
      <c r="D16" s="676"/>
      <c r="E16" s="677"/>
      <c r="F16" s="677"/>
      <c r="G16" s="199"/>
      <c r="H16" s="201"/>
      <c r="I16" s="202"/>
      <c r="J16" s="199"/>
      <c r="K16" s="676"/>
      <c r="L16" s="677"/>
      <c r="O16" s="198"/>
      <c r="P16" s="380"/>
      <c r="Q16" s="380"/>
      <c r="R16" s="198"/>
    </row>
    <row r="17" spans="1:18" s="188" customFormat="1" ht="13.5">
      <c r="A17" s="680"/>
      <c r="B17" s="681"/>
      <c r="C17" s="203" t="s">
        <v>281</v>
      </c>
      <c r="D17" s="676"/>
      <c r="E17" s="677"/>
      <c r="F17" s="677"/>
      <c r="G17" s="199"/>
      <c r="H17" s="201"/>
      <c r="I17" s="202"/>
      <c r="J17" s="199"/>
      <c r="K17" s="676"/>
      <c r="L17" s="677"/>
      <c r="O17" s="198"/>
      <c r="P17" s="380"/>
      <c r="Q17" s="380"/>
      <c r="R17" s="198"/>
    </row>
    <row r="18" spans="1:18" s="198" customFormat="1" ht="14.25">
      <c r="A18" s="678" t="s">
        <v>89</v>
      </c>
      <c r="B18" s="678"/>
      <c r="C18" s="206" t="s">
        <v>267</v>
      </c>
      <c r="D18" s="678" t="s">
        <v>268</v>
      </c>
      <c r="E18" s="679"/>
      <c r="F18" s="679"/>
      <c r="G18" s="206" t="s">
        <v>269</v>
      </c>
      <c r="H18" s="206" t="s">
        <v>270</v>
      </c>
      <c r="I18" s="206" t="s">
        <v>271</v>
      </c>
      <c r="J18" s="159" t="s">
        <v>272</v>
      </c>
      <c r="K18" s="678" t="s">
        <v>283</v>
      </c>
      <c r="L18" s="679"/>
      <c r="M18" s="207"/>
      <c r="N18" s="188"/>
      <c r="P18" s="380"/>
      <c r="Q18" s="380"/>
    </row>
    <row r="19" spans="1:18" s="188" customFormat="1" ht="13.5">
      <c r="A19" s="680">
        <v>4</v>
      </c>
      <c r="B19" s="681" t="s">
        <v>262</v>
      </c>
      <c r="C19" s="199">
        <v>1</v>
      </c>
      <c r="D19" s="676" t="s">
        <v>221</v>
      </c>
      <c r="E19" s="677"/>
      <c r="F19" s="677"/>
      <c r="G19" s="199">
        <v>6</v>
      </c>
      <c r="H19" s="201">
        <v>3792.9309806725532</v>
      </c>
      <c r="I19" s="202">
        <v>632.1551634454255</v>
      </c>
      <c r="J19" s="220">
        <v>12.565892633554881</v>
      </c>
      <c r="K19" s="676" t="s">
        <v>275</v>
      </c>
      <c r="L19" s="677"/>
      <c r="N19" s="198"/>
      <c r="O19" s="198"/>
      <c r="P19" s="380"/>
      <c r="Q19" s="380"/>
      <c r="R19" s="198"/>
    </row>
    <row r="20" spans="1:18" s="188" customFormat="1" ht="13.5">
      <c r="A20" s="680"/>
      <c r="B20" s="681"/>
      <c r="C20" s="199">
        <v>2</v>
      </c>
      <c r="D20" s="676" t="s">
        <v>222</v>
      </c>
      <c r="E20" s="677"/>
      <c r="F20" s="677"/>
      <c r="G20" s="199">
        <v>6</v>
      </c>
      <c r="H20" s="201">
        <v>3791.6417064881593</v>
      </c>
      <c r="I20" s="202">
        <v>631.94028441469322</v>
      </c>
      <c r="J20" s="220">
        <v>12.497957867911282</v>
      </c>
      <c r="K20" s="676" t="s">
        <v>275</v>
      </c>
      <c r="L20" s="677"/>
      <c r="O20" s="198"/>
      <c r="P20" s="380"/>
      <c r="Q20" s="380"/>
      <c r="R20" s="198"/>
    </row>
    <row r="21" spans="1:18" s="188" customFormat="1" ht="13.5">
      <c r="A21" s="680"/>
      <c r="B21" s="681"/>
      <c r="C21" s="199">
        <v>3</v>
      </c>
      <c r="D21" s="676" t="s">
        <v>224</v>
      </c>
      <c r="E21" s="677"/>
      <c r="F21" s="677"/>
      <c r="G21" s="199">
        <v>5</v>
      </c>
      <c r="H21" s="201">
        <v>2965.4232430663428</v>
      </c>
      <c r="I21" s="202">
        <v>593.08464861326843</v>
      </c>
      <c r="J21" s="220">
        <v>-0.47692285714310856</v>
      </c>
      <c r="K21" s="676" t="s">
        <v>275</v>
      </c>
      <c r="L21" s="677"/>
      <c r="O21" s="198"/>
      <c r="P21" s="380"/>
      <c r="Q21" s="380"/>
      <c r="R21" s="198"/>
    </row>
    <row r="22" spans="1:18" s="188" customFormat="1">
      <c r="A22" s="680"/>
      <c r="B22" s="681"/>
      <c r="C22" s="199">
        <v>4</v>
      </c>
      <c r="D22" s="676" t="s">
        <v>227</v>
      </c>
      <c r="E22" s="677"/>
      <c r="F22" s="677"/>
      <c r="G22" s="199">
        <v>6</v>
      </c>
      <c r="H22" s="201">
        <v>2860.4651873624271</v>
      </c>
      <c r="I22" s="202">
        <v>476.74419789373775</v>
      </c>
      <c r="J22" s="220"/>
      <c r="K22" s="691" t="s">
        <v>289</v>
      </c>
      <c r="L22" s="677"/>
      <c r="O22" s="198"/>
      <c r="P22" s="380"/>
      <c r="Q22" s="380"/>
      <c r="R22" s="198"/>
    </row>
    <row r="23" spans="1:18" s="188" customFormat="1" ht="13.5">
      <c r="A23" s="680"/>
      <c r="B23" s="681"/>
      <c r="C23" s="199">
        <v>5</v>
      </c>
      <c r="D23" s="676" t="s">
        <v>225</v>
      </c>
      <c r="E23" s="677"/>
      <c r="F23" s="677"/>
      <c r="G23" s="199">
        <v>6</v>
      </c>
      <c r="H23" s="201">
        <v>2259.1487358490094</v>
      </c>
      <c r="I23" s="202">
        <v>376.52478930816824</v>
      </c>
      <c r="J23" s="220">
        <v>0.30035445983395448</v>
      </c>
      <c r="K23" s="676" t="s">
        <v>275</v>
      </c>
      <c r="L23" s="677"/>
      <c r="O23" s="198"/>
      <c r="P23" s="380"/>
      <c r="Q23" s="380"/>
      <c r="R23" s="198"/>
    </row>
    <row r="24" spans="1:18" s="188" customFormat="1" ht="13.5">
      <c r="A24" s="680"/>
      <c r="B24" s="681"/>
      <c r="C24" s="203" t="s">
        <v>276</v>
      </c>
      <c r="D24" s="676" t="s">
        <v>223</v>
      </c>
      <c r="E24" s="677"/>
      <c r="F24" s="677"/>
      <c r="G24" s="199">
        <v>20</v>
      </c>
      <c r="H24" s="201">
        <v>1896.5783422374973</v>
      </c>
      <c r="I24" s="202">
        <v>94.828917111874858</v>
      </c>
      <c r="J24" s="220">
        <v>3.0000000000001137E-2</v>
      </c>
      <c r="K24" s="676" t="s">
        <v>275</v>
      </c>
      <c r="L24" s="677"/>
      <c r="O24" s="198"/>
      <c r="P24" s="380"/>
      <c r="Q24" s="380"/>
      <c r="R24" s="198"/>
    </row>
    <row r="25" spans="1:18" s="188" customFormat="1" ht="15.75" customHeight="1">
      <c r="A25" s="680"/>
      <c r="B25" s="681"/>
      <c r="C25" s="203" t="s">
        <v>277</v>
      </c>
      <c r="D25" s="676" t="s">
        <v>226</v>
      </c>
      <c r="E25" s="677"/>
      <c r="F25" s="677"/>
      <c r="G25" s="199">
        <v>6</v>
      </c>
      <c r="H25" s="201">
        <v>2177.0538169513738</v>
      </c>
      <c r="I25" s="202">
        <v>362.84230282522901</v>
      </c>
      <c r="J25" s="199"/>
      <c r="K25" s="691" t="s">
        <v>289</v>
      </c>
      <c r="L25" s="677"/>
      <c r="O25" s="198"/>
      <c r="P25" s="380"/>
      <c r="Q25" s="380"/>
      <c r="R25" s="198"/>
    </row>
    <row r="26" spans="1:18" s="188" customFormat="1" ht="15.75" customHeight="1">
      <c r="A26" s="680"/>
      <c r="B26" s="681"/>
      <c r="C26" s="203" t="s">
        <v>278</v>
      </c>
      <c r="D26" s="676"/>
      <c r="E26" s="677"/>
      <c r="F26" s="677"/>
      <c r="G26" s="199"/>
      <c r="H26" s="201"/>
      <c r="I26" s="202"/>
      <c r="J26" s="199"/>
      <c r="K26" s="676"/>
      <c r="L26" s="677"/>
      <c r="O26" s="198"/>
      <c r="P26" s="380"/>
      <c r="Q26" s="380"/>
      <c r="R26" s="198"/>
    </row>
    <row r="27" spans="1:18" s="188" customFormat="1" ht="15.75" customHeight="1">
      <c r="A27" s="680"/>
      <c r="B27" s="681"/>
      <c r="C27" s="203" t="s">
        <v>280</v>
      </c>
      <c r="D27" s="676"/>
      <c r="E27" s="677"/>
      <c r="F27" s="677"/>
      <c r="G27" s="199"/>
      <c r="H27" s="201"/>
      <c r="I27" s="202"/>
      <c r="J27" s="199"/>
      <c r="K27" s="676"/>
      <c r="L27" s="677"/>
      <c r="O27" s="198"/>
      <c r="P27" s="380"/>
      <c r="Q27" s="380"/>
      <c r="R27" s="198"/>
    </row>
    <row r="28" spans="1:18" s="188" customFormat="1" ht="15.75" customHeight="1">
      <c r="A28" s="680"/>
      <c r="B28" s="681"/>
      <c r="C28" s="203" t="s">
        <v>281</v>
      </c>
      <c r="D28" s="676"/>
      <c r="E28" s="677"/>
      <c r="F28" s="677"/>
      <c r="G28" s="199"/>
      <c r="H28" s="201"/>
      <c r="I28" s="202"/>
      <c r="J28" s="199"/>
      <c r="K28" s="676"/>
      <c r="L28" s="677"/>
      <c r="O28" s="198"/>
      <c r="P28" s="380"/>
      <c r="Q28" s="380"/>
      <c r="R28" s="198"/>
    </row>
    <row r="29" spans="1:18" s="188" customFormat="1" ht="15.75" customHeight="1">
      <c r="A29" s="682" t="s">
        <v>284</v>
      </c>
      <c r="B29" s="682"/>
      <c r="C29" s="682"/>
      <c r="D29" s="682"/>
      <c r="E29" s="682"/>
      <c r="F29" s="682"/>
      <c r="G29" s="682"/>
      <c r="H29" s="682"/>
      <c r="I29" s="682"/>
      <c r="J29" s="682"/>
      <c r="K29" s="682"/>
      <c r="L29" s="682"/>
    </row>
    <row r="30" spans="1:18" s="189" customFormat="1" ht="15.75" customHeight="1">
      <c r="A30" s="682"/>
      <c r="B30" s="682"/>
      <c r="C30" s="682"/>
      <c r="D30" s="682"/>
      <c r="E30" s="682"/>
      <c r="F30" s="682"/>
      <c r="G30" s="682"/>
      <c r="H30" s="682"/>
      <c r="I30" s="682"/>
      <c r="J30" s="682"/>
      <c r="K30" s="682"/>
      <c r="L30" s="682"/>
    </row>
    <row r="31" spans="1:18" s="177" customFormat="1" ht="16.350000000000001" customHeight="1">
      <c r="A31" s="680" t="s">
        <v>161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80"/>
      <c r="B32" s="194" t="s">
        <v>259</v>
      </c>
      <c r="C32" s="194" t="s">
        <v>260</v>
      </c>
      <c r="D32" s="193" t="s">
        <v>261</v>
      </c>
      <c r="E32" s="193" t="s">
        <v>262</v>
      </c>
      <c r="F32" s="194" t="s">
        <v>228</v>
      </c>
      <c r="G32" s="195" t="s">
        <v>263</v>
      </c>
      <c r="H32" s="196" t="s">
        <v>264</v>
      </c>
      <c r="I32" s="195" t="s">
        <v>265</v>
      </c>
      <c r="J32" s="195" t="s">
        <v>266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81" t="s">
        <v>89</v>
      </c>
      <c r="B33" s="681"/>
      <c r="C33" s="159" t="s">
        <v>267</v>
      </c>
      <c r="D33" s="681" t="s">
        <v>268</v>
      </c>
      <c r="E33" s="683"/>
      <c r="F33" s="683"/>
      <c r="G33" s="159" t="s">
        <v>269</v>
      </c>
      <c r="H33" s="159" t="s">
        <v>270</v>
      </c>
      <c r="I33" s="159" t="s">
        <v>271</v>
      </c>
      <c r="J33" s="159" t="s">
        <v>272</v>
      </c>
      <c r="K33" s="681" t="s">
        <v>273</v>
      </c>
      <c r="L33" s="683"/>
      <c r="M33" s="192"/>
      <c r="N33" s="188"/>
      <c r="O33" s="198"/>
      <c r="P33" s="380"/>
      <c r="Q33" s="380"/>
      <c r="R33" s="198"/>
    </row>
    <row r="34" spans="1:18" s="188" customFormat="1" ht="13.5">
      <c r="A34" s="680">
        <v>3</v>
      </c>
      <c r="B34" s="681" t="s">
        <v>288</v>
      </c>
      <c r="C34" s="199">
        <v>1</v>
      </c>
      <c r="D34" s="676" t="s">
        <v>219</v>
      </c>
      <c r="E34" s="677"/>
      <c r="F34" s="677"/>
      <c r="G34" s="199">
        <v>22</v>
      </c>
      <c r="H34" s="201">
        <v>2626.6346153846148</v>
      </c>
      <c r="I34" s="202">
        <v>119.39248251748248</v>
      </c>
      <c r="J34" s="220">
        <f>I34-I8</f>
        <v>0</v>
      </c>
      <c r="K34" s="676"/>
      <c r="L34" s="677"/>
      <c r="M34" s="189"/>
      <c r="O34" s="198"/>
      <c r="P34" s="380"/>
      <c r="Q34" s="380"/>
      <c r="R34" s="198"/>
    </row>
    <row r="35" spans="1:18" s="188" customFormat="1" ht="13.5">
      <c r="A35" s="680"/>
      <c r="B35" s="681"/>
      <c r="C35" s="199">
        <v>2</v>
      </c>
      <c r="D35" s="676"/>
      <c r="E35" s="677"/>
      <c r="F35" s="677"/>
      <c r="G35" s="199"/>
      <c r="H35" s="201"/>
      <c r="I35" s="202"/>
      <c r="J35" s="220"/>
      <c r="K35" s="676"/>
      <c r="L35" s="677"/>
      <c r="M35" s="189"/>
      <c r="O35" s="198"/>
      <c r="P35" s="380"/>
      <c r="Q35" s="380"/>
      <c r="R35" s="198"/>
    </row>
    <row r="36" spans="1:18" s="188" customFormat="1" ht="13.5">
      <c r="A36" s="680"/>
      <c r="B36" s="681"/>
      <c r="C36" s="199">
        <v>3</v>
      </c>
      <c r="D36" s="676"/>
      <c r="E36" s="677"/>
      <c r="F36" s="677"/>
      <c r="G36" s="199"/>
      <c r="H36" s="201"/>
      <c r="I36" s="202"/>
      <c r="J36" s="199"/>
      <c r="K36" s="676"/>
      <c r="L36" s="677"/>
      <c r="M36" s="189"/>
      <c r="O36" s="198"/>
      <c r="P36" s="380"/>
      <c r="Q36" s="380"/>
      <c r="R36" s="198"/>
    </row>
    <row r="37" spans="1:18" s="188" customFormat="1" ht="13.5">
      <c r="A37" s="680"/>
      <c r="B37" s="681"/>
      <c r="C37" s="199">
        <v>4</v>
      </c>
      <c r="D37" s="676"/>
      <c r="E37" s="677"/>
      <c r="F37" s="677"/>
      <c r="G37" s="199"/>
      <c r="H37" s="201"/>
      <c r="I37" s="202"/>
      <c r="J37" s="199"/>
      <c r="K37" s="676"/>
      <c r="L37" s="677"/>
      <c r="M37" s="189"/>
      <c r="O37" s="198"/>
      <c r="P37" s="380"/>
      <c r="Q37" s="380"/>
      <c r="R37" s="198"/>
    </row>
    <row r="38" spans="1:18" s="188" customFormat="1" ht="13.5">
      <c r="A38" s="680"/>
      <c r="B38" s="681"/>
      <c r="C38" s="199">
        <v>5</v>
      </c>
      <c r="D38" s="676"/>
      <c r="E38" s="677"/>
      <c r="F38" s="677"/>
      <c r="G38" s="199"/>
      <c r="H38" s="201"/>
      <c r="I38" s="202"/>
      <c r="J38" s="199"/>
      <c r="K38" s="676"/>
      <c r="L38" s="677"/>
      <c r="M38" s="189"/>
      <c r="O38" s="198"/>
      <c r="P38" s="380"/>
      <c r="Q38" s="380"/>
      <c r="R38" s="198"/>
    </row>
    <row r="39" spans="1:18" s="188" customFormat="1" ht="13.5">
      <c r="A39" s="680"/>
      <c r="B39" s="681"/>
      <c r="C39" s="203" t="s">
        <v>276</v>
      </c>
      <c r="D39" s="676"/>
      <c r="E39" s="677"/>
      <c r="F39" s="677"/>
      <c r="G39" s="199"/>
      <c r="H39" s="201"/>
      <c r="I39" s="202"/>
      <c r="J39" s="199"/>
      <c r="K39" s="676"/>
      <c r="L39" s="677"/>
      <c r="M39" s="189"/>
      <c r="O39" s="198"/>
      <c r="P39" s="380"/>
      <c r="Q39" s="380"/>
      <c r="R39" s="198"/>
    </row>
    <row r="40" spans="1:18" s="188" customFormat="1" ht="13.5">
      <c r="A40" s="680"/>
      <c r="B40" s="681"/>
      <c r="C40" s="203" t="s">
        <v>277</v>
      </c>
      <c r="D40" s="676"/>
      <c r="E40" s="677"/>
      <c r="F40" s="677"/>
      <c r="G40" s="199"/>
      <c r="H40" s="201"/>
      <c r="I40" s="202"/>
      <c r="J40" s="199"/>
      <c r="K40" s="676"/>
      <c r="L40" s="677"/>
      <c r="M40" s="189"/>
      <c r="N40" s="177"/>
      <c r="O40" s="177"/>
      <c r="P40" s="379"/>
      <c r="Q40" s="379"/>
      <c r="R40" s="177"/>
    </row>
    <row r="41" spans="1:18" s="188" customFormat="1" ht="13.5">
      <c r="A41" s="680"/>
      <c r="B41" s="681"/>
      <c r="C41" s="203" t="s">
        <v>278</v>
      </c>
      <c r="D41" s="676"/>
      <c r="E41" s="677"/>
      <c r="F41" s="677"/>
      <c r="G41" s="201"/>
      <c r="H41" s="201"/>
      <c r="I41" s="202"/>
      <c r="J41" s="199"/>
      <c r="K41" s="676"/>
      <c r="L41" s="677"/>
      <c r="M41" s="189"/>
      <c r="O41" s="198"/>
      <c r="P41" s="380"/>
      <c r="Q41" s="380"/>
      <c r="R41" s="198"/>
    </row>
    <row r="42" spans="1:18" s="188" customFormat="1" ht="13.5">
      <c r="A42" s="680"/>
      <c r="B42" s="681"/>
      <c r="C42" s="203" t="s">
        <v>280</v>
      </c>
      <c r="D42" s="676"/>
      <c r="E42" s="677"/>
      <c r="F42" s="677"/>
      <c r="G42" s="199"/>
      <c r="H42" s="201"/>
      <c r="I42" s="202"/>
      <c r="J42" s="199"/>
      <c r="K42" s="676"/>
      <c r="L42" s="677"/>
      <c r="O42" s="198"/>
      <c r="P42" s="380"/>
      <c r="Q42" s="380"/>
      <c r="R42" s="198"/>
    </row>
    <row r="43" spans="1:18" s="188" customFormat="1" ht="13.5">
      <c r="A43" s="680"/>
      <c r="B43" s="681"/>
      <c r="C43" s="203" t="s">
        <v>281</v>
      </c>
      <c r="D43" s="676"/>
      <c r="E43" s="677"/>
      <c r="F43" s="677"/>
      <c r="G43" s="199"/>
      <c r="H43" s="201"/>
      <c r="I43" s="202"/>
      <c r="J43" s="199"/>
      <c r="K43" s="676"/>
      <c r="L43" s="677"/>
      <c r="O43" s="198"/>
      <c r="P43" s="380"/>
      <c r="Q43" s="380"/>
      <c r="R43" s="198"/>
    </row>
    <row r="44" spans="1:18" s="198" customFormat="1" ht="14.25">
      <c r="A44" s="678" t="s">
        <v>89</v>
      </c>
      <c r="B44" s="678"/>
      <c r="C44" s="206" t="s">
        <v>267</v>
      </c>
      <c r="D44" s="678" t="s">
        <v>268</v>
      </c>
      <c r="E44" s="679"/>
      <c r="F44" s="679"/>
      <c r="G44" s="206" t="s">
        <v>269</v>
      </c>
      <c r="H44" s="206" t="s">
        <v>270</v>
      </c>
      <c r="I44" s="206" t="s">
        <v>271</v>
      </c>
      <c r="J44" s="159" t="s">
        <v>272</v>
      </c>
      <c r="K44" s="678" t="s">
        <v>283</v>
      </c>
      <c r="L44" s="679"/>
      <c r="M44" s="207"/>
      <c r="N44" s="188"/>
      <c r="P44" s="380"/>
      <c r="Q44" s="380"/>
    </row>
    <row r="45" spans="1:18" s="188" customFormat="1" ht="13.5">
      <c r="A45" s="680">
        <v>4</v>
      </c>
      <c r="B45" s="681" t="s">
        <v>262</v>
      </c>
      <c r="C45" s="199">
        <v>1</v>
      </c>
      <c r="D45" s="676" t="s">
        <v>221</v>
      </c>
      <c r="E45" s="677"/>
      <c r="F45" s="677"/>
      <c r="G45" s="199">
        <v>6</v>
      </c>
      <c r="H45" s="201">
        <v>3793.5354110402554</v>
      </c>
      <c r="I45" s="202">
        <v>632.25590184004261</v>
      </c>
      <c r="J45" s="220">
        <f>I45-I19</f>
        <v>0.10073839461711032</v>
      </c>
      <c r="K45" s="676"/>
      <c r="L45" s="677"/>
      <c r="N45" s="198"/>
      <c r="O45" s="198"/>
      <c r="P45" s="380"/>
      <c r="Q45" s="380"/>
      <c r="R45" s="198"/>
    </row>
    <row r="46" spans="1:18" s="188" customFormat="1" ht="13.5">
      <c r="A46" s="680"/>
      <c r="B46" s="681"/>
      <c r="C46" s="199">
        <v>2</v>
      </c>
      <c r="D46" s="676" t="s">
        <v>222</v>
      </c>
      <c r="E46" s="677"/>
      <c r="F46" s="677"/>
      <c r="G46" s="199">
        <v>6</v>
      </c>
      <c r="H46" s="201">
        <v>3792.2417064881588</v>
      </c>
      <c r="I46" s="202">
        <v>632.04028441469313</v>
      </c>
      <c r="J46" s="220">
        <f>I46-I20</f>
        <v>9.9999999999909051E-2</v>
      </c>
      <c r="K46" s="676"/>
      <c r="L46" s="677"/>
      <c r="O46" s="198"/>
      <c r="P46" s="380"/>
      <c r="Q46" s="380"/>
      <c r="R46" s="198"/>
    </row>
    <row r="47" spans="1:18" s="188" customFormat="1" ht="13.5">
      <c r="A47" s="680"/>
      <c r="B47" s="681"/>
      <c r="C47" s="199">
        <v>3</v>
      </c>
      <c r="D47" s="676" t="s">
        <v>227</v>
      </c>
      <c r="E47" s="677"/>
      <c r="F47" s="677"/>
      <c r="G47" s="199">
        <v>5</v>
      </c>
      <c r="H47" s="201">
        <v>2964.7215249015835</v>
      </c>
      <c r="I47" s="202">
        <v>592.9443049803167</v>
      </c>
      <c r="J47" s="220">
        <f>I47-I22</f>
        <v>116.20010708657895</v>
      </c>
      <c r="K47" s="676"/>
      <c r="L47" s="677"/>
      <c r="O47" s="198"/>
      <c r="P47" s="380"/>
      <c r="Q47" s="380"/>
      <c r="R47" s="198"/>
    </row>
    <row r="48" spans="1:18" s="188" customFormat="1" ht="13.5">
      <c r="A48" s="680"/>
      <c r="B48" s="681"/>
      <c r="C48" s="199">
        <v>4</v>
      </c>
      <c r="D48" s="676" t="s">
        <v>224</v>
      </c>
      <c r="E48" s="677"/>
      <c r="F48" s="677"/>
      <c r="G48" s="199">
        <v>5</v>
      </c>
      <c r="H48" s="201">
        <v>2964.2543144949136</v>
      </c>
      <c r="I48" s="202">
        <v>592.85086289898277</v>
      </c>
      <c r="J48" s="220">
        <f>I48-I21</f>
        <v>-0.2337857142856592</v>
      </c>
      <c r="K48" s="676"/>
      <c r="L48" s="677"/>
      <c r="O48" s="198"/>
      <c r="P48" s="380"/>
      <c r="Q48" s="380"/>
      <c r="R48" s="198"/>
    </row>
    <row r="49" spans="1:18" s="188" customFormat="1" ht="13.5">
      <c r="A49" s="680"/>
      <c r="B49" s="681"/>
      <c r="C49" s="199">
        <v>5</v>
      </c>
      <c r="D49" s="676" t="s">
        <v>226</v>
      </c>
      <c r="E49" s="677"/>
      <c r="F49" s="677"/>
      <c r="G49" s="199">
        <v>6</v>
      </c>
      <c r="H49" s="201">
        <v>2259.9071897104959</v>
      </c>
      <c r="I49" s="202">
        <v>376.65119828508261</v>
      </c>
      <c r="J49" s="220">
        <f>I49-I25</f>
        <v>13.808895459853602</v>
      </c>
      <c r="K49" s="676"/>
      <c r="L49" s="677"/>
      <c r="O49" s="198"/>
      <c r="P49" s="380"/>
      <c r="Q49" s="380"/>
      <c r="R49" s="198"/>
    </row>
    <row r="50" spans="1:18" s="188" customFormat="1" ht="13.5">
      <c r="A50" s="680"/>
      <c r="B50" s="681"/>
      <c r="C50" s="203" t="s">
        <v>276</v>
      </c>
      <c r="D50" s="676" t="s">
        <v>223</v>
      </c>
      <c r="E50" s="677"/>
      <c r="F50" s="677"/>
      <c r="G50" s="199">
        <v>20</v>
      </c>
      <c r="H50" s="201">
        <v>1896.5483422374982</v>
      </c>
      <c r="I50" s="202">
        <v>94.827417111874894</v>
      </c>
      <c r="J50" s="220">
        <f>I50-I24</f>
        <v>-1.4999999999645297E-3</v>
      </c>
      <c r="K50" s="676"/>
      <c r="L50" s="677"/>
      <c r="O50" s="198"/>
      <c r="P50" s="380"/>
      <c r="Q50" s="380"/>
      <c r="R50" s="198"/>
    </row>
    <row r="51" spans="1:18" s="188" customFormat="1" ht="15.75" customHeight="1">
      <c r="A51" s="680"/>
      <c r="B51" s="681"/>
      <c r="C51" s="203" t="s">
        <v>277</v>
      </c>
      <c r="D51" s="676" t="s">
        <v>225</v>
      </c>
      <c r="E51" s="677"/>
      <c r="F51" s="677"/>
      <c r="G51" s="199">
        <v>6</v>
      </c>
      <c r="H51" s="201">
        <v>2259.7799416224111</v>
      </c>
      <c r="I51" s="202">
        <v>376.62999027040189</v>
      </c>
      <c r="J51" s="220">
        <f>I51-I25</f>
        <v>13.787687445172878</v>
      </c>
      <c r="K51" s="676"/>
      <c r="L51" s="677"/>
      <c r="O51" s="198"/>
      <c r="P51" s="380"/>
      <c r="Q51" s="380"/>
      <c r="R51" s="198"/>
    </row>
    <row r="52" spans="1:18" s="188" customFormat="1" ht="15.75" customHeight="1">
      <c r="A52" s="680"/>
      <c r="B52" s="681"/>
      <c r="C52" s="203" t="s">
        <v>278</v>
      </c>
      <c r="D52" s="676"/>
      <c r="E52" s="677"/>
      <c r="F52" s="677"/>
      <c r="G52" s="199"/>
      <c r="H52" s="201"/>
      <c r="I52" s="202"/>
      <c r="J52" s="199"/>
      <c r="K52" s="676"/>
      <c r="L52" s="677"/>
      <c r="O52" s="198"/>
      <c r="P52" s="380"/>
      <c r="Q52" s="380"/>
      <c r="R52" s="198"/>
    </row>
    <row r="53" spans="1:18" s="188" customFormat="1" ht="15.75" customHeight="1">
      <c r="A53" s="680"/>
      <c r="B53" s="681"/>
      <c r="C53" s="203" t="s">
        <v>280</v>
      </c>
      <c r="D53" s="676"/>
      <c r="E53" s="677"/>
      <c r="F53" s="677"/>
      <c r="G53" s="199"/>
      <c r="H53" s="201"/>
      <c r="I53" s="202"/>
      <c r="J53" s="199"/>
      <c r="K53" s="676"/>
      <c r="L53" s="677"/>
      <c r="O53" s="198"/>
      <c r="P53" s="380"/>
      <c r="Q53" s="380"/>
      <c r="R53" s="198"/>
    </row>
    <row r="54" spans="1:18" s="188" customFormat="1" ht="15.75" customHeight="1">
      <c r="A54" s="680"/>
      <c r="B54" s="681"/>
      <c r="C54" s="203" t="s">
        <v>281</v>
      </c>
      <c r="D54" s="676"/>
      <c r="E54" s="677"/>
      <c r="F54" s="677"/>
      <c r="G54" s="199"/>
      <c r="H54" s="201"/>
      <c r="I54" s="202"/>
      <c r="J54" s="199"/>
      <c r="K54" s="676"/>
      <c r="L54" s="677"/>
      <c r="O54" s="198"/>
      <c r="P54" s="380"/>
      <c r="Q54" s="380"/>
      <c r="R54" s="198"/>
    </row>
    <row r="55" spans="1:18" s="188" customFormat="1" ht="15.75" customHeight="1">
      <c r="A55" s="682" t="s">
        <v>285</v>
      </c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</row>
    <row r="56" spans="1:18" s="189" customFormat="1" ht="15.75" customHeight="1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</row>
    <row r="57" spans="1:18" s="177" customFormat="1" ht="16.350000000000001" customHeight="1">
      <c r="A57" s="680" t="s">
        <v>161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80"/>
      <c r="B58" s="194" t="s">
        <v>259</v>
      </c>
      <c r="C58" s="194" t="s">
        <v>260</v>
      </c>
      <c r="D58" s="193" t="s">
        <v>261</v>
      </c>
      <c r="E58" s="193" t="s">
        <v>262</v>
      </c>
      <c r="F58" s="194" t="s">
        <v>228</v>
      </c>
      <c r="G58" s="195" t="s">
        <v>263</v>
      </c>
      <c r="H58" s="196" t="s">
        <v>264</v>
      </c>
      <c r="I58" s="195" t="s">
        <v>265</v>
      </c>
      <c r="J58" s="195" t="s">
        <v>266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81" t="s">
        <v>89</v>
      </c>
      <c r="B59" s="681"/>
      <c r="C59" s="159" t="s">
        <v>267</v>
      </c>
      <c r="D59" s="681" t="s">
        <v>268</v>
      </c>
      <c r="E59" s="683"/>
      <c r="F59" s="683"/>
      <c r="G59" s="159" t="s">
        <v>269</v>
      </c>
      <c r="H59" s="159" t="s">
        <v>270</v>
      </c>
      <c r="I59" s="159" t="s">
        <v>271</v>
      </c>
      <c r="J59" s="159" t="s">
        <v>272</v>
      </c>
      <c r="K59" s="681" t="s">
        <v>273</v>
      </c>
      <c r="L59" s="683"/>
      <c r="M59" s="192"/>
      <c r="N59" s="188"/>
      <c r="O59" s="198"/>
      <c r="P59" s="380"/>
      <c r="Q59" s="380"/>
      <c r="R59" s="198"/>
    </row>
    <row r="60" spans="1:18" s="188" customFormat="1" ht="13.5">
      <c r="A60" s="680">
        <v>3</v>
      </c>
      <c r="B60" s="681" t="s">
        <v>288</v>
      </c>
      <c r="C60" s="199">
        <v>1</v>
      </c>
      <c r="D60" s="685"/>
      <c r="E60" s="686"/>
      <c r="F60" s="687"/>
      <c r="G60" s="199"/>
      <c r="H60" s="201"/>
      <c r="I60" s="202"/>
      <c r="J60" s="220">
        <f>I60-I34</f>
        <v>-119.39248251748248</v>
      </c>
      <c r="K60" s="676"/>
      <c r="L60" s="677"/>
      <c r="M60" s="189"/>
      <c r="O60" s="198"/>
      <c r="P60" s="380"/>
      <c r="Q60" s="380"/>
      <c r="R60" s="198"/>
    </row>
    <row r="61" spans="1:18" s="188" customFormat="1" ht="13.5">
      <c r="A61" s="680"/>
      <c r="B61" s="681"/>
      <c r="C61" s="199">
        <v>2</v>
      </c>
      <c r="D61" s="685"/>
      <c r="E61" s="686"/>
      <c r="F61" s="687"/>
      <c r="G61" s="199"/>
      <c r="H61" s="201"/>
      <c r="I61" s="202"/>
      <c r="J61" s="220"/>
      <c r="K61" s="676"/>
      <c r="L61" s="677"/>
      <c r="M61" s="189"/>
      <c r="O61" s="198"/>
      <c r="P61" s="380"/>
      <c r="Q61" s="380"/>
      <c r="R61" s="198"/>
    </row>
    <row r="62" spans="1:18" s="188" customFormat="1" ht="13.5">
      <c r="A62" s="680"/>
      <c r="B62" s="681"/>
      <c r="C62" s="199">
        <v>3</v>
      </c>
      <c r="D62" s="685"/>
      <c r="E62" s="686"/>
      <c r="F62" s="687"/>
      <c r="G62" s="199"/>
      <c r="H62" s="201"/>
      <c r="I62" s="202"/>
      <c r="J62" s="199"/>
      <c r="K62" s="676"/>
      <c r="L62" s="677"/>
      <c r="M62" s="189"/>
      <c r="O62" s="198"/>
      <c r="P62" s="380"/>
      <c r="Q62" s="380"/>
      <c r="R62" s="198"/>
    </row>
    <row r="63" spans="1:18" s="188" customFormat="1" ht="13.5">
      <c r="A63" s="680"/>
      <c r="B63" s="681"/>
      <c r="C63" s="199">
        <v>4</v>
      </c>
      <c r="D63" s="685"/>
      <c r="E63" s="686"/>
      <c r="F63" s="687"/>
      <c r="G63" s="199"/>
      <c r="H63" s="201"/>
      <c r="I63" s="202"/>
      <c r="J63" s="199"/>
      <c r="K63" s="676"/>
      <c r="L63" s="677"/>
      <c r="M63" s="189"/>
      <c r="O63" s="198"/>
      <c r="P63" s="380"/>
      <c r="Q63" s="380"/>
      <c r="R63" s="198"/>
    </row>
    <row r="64" spans="1:18" s="188" customFormat="1" ht="13.5">
      <c r="A64" s="680"/>
      <c r="B64" s="681"/>
      <c r="C64" s="199">
        <v>5</v>
      </c>
      <c r="D64" s="685"/>
      <c r="E64" s="686"/>
      <c r="F64" s="687"/>
      <c r="G64" s="199"/>
      <c r="H64" s="201"/>
      <c r="I64" s="202"/>
      <c r="J64" s="199"/>
      <c r="K64" s="676"/>
      <c r="L64" s="677"/>
      <c r="M64" s="189"/>
      <c r="O64" s="198"/>
      <c r="P64" s="380"/>
      <c r="Q64" s="380"/>
      <c r="R64" s="198"/>
    </row>
    <row r="65" spans="1:18" s="188" customFormat="1" ht="13.5">
      <c r="A65" s="680"/>
      <c r="B65" s="681"/>
      <c r="C65" s="203" t="s">
        <v>276</v>
      </c>
      <c r="D65" s="685"/>
      <c r="E65" s="686"/>
      <c r="F65" s="687"/>
      <c r="G65" s="199"/>
      <c r="H65" s="201"/>
      <c r="I65" s="202"/>
      <c r="J65" s="199"/>
      <c r="K65" s="676"/>
      <c r="L65" s="677"/>
      <c r="M65" s="189"/>
      <c r="O65" s="198"/>
      <c r="P65" s="380"/>
      <c r="Q65" s="380"/>
      <c r="R65" s="198"/>
    </row>
    <row r="66" spans="1:18" s="188" customFormat="1" ht="13.5">
      <c r="A66" s="680"/>
      <c r="B66" s="681"/>
      <c r="C66" s="203" t="s">
        <v>277</v>
      </c>
      <c r="D66" s="685"/>
      <c r="E66" s="686"/>
      <c r="F66" s="687"/>
      <c r="G66" s="199"/>
      <c r="H66" s="201"/>
      <c r="I66" s="202"/>
      <c r="J66" s="199"/>
      <c r="K66" s="676"/>
      <c r="L66" s="677"/>
      <c r="M66" s="189"/>
      <c r="N66" s="177"/>
      <c r="O66" s="177"/>
      <c r="P66" s="379"/>
      <c r="Q66" s="379"/>
      <c r="R66" s="177"/>
    </row>
    <row r="67" spans="1:18" s="188" customFormat="1" ht="13.5">
      <c r="A67" s="680"/>
      <c r="B67" s="681"/>
      <c r="C67" s="203" t="s">
        <v>278</v>
      </c>
      <c r="D67" s="685"/>
      <c r="E67" s="686"/>
      <c r="F67" s="687"/>
      <c r="G67" s="201"/>
      <c r="H67" s="201"/>
      <c r="I67" s="202"/>
      <c r="J67" s="199"/>
      <c r="K67" s="676"/>
      <c r="L67" s="677"/>
      <c r="M67" s="189"/>
      <c r="O67" s="198"/>
      <c r="P67" s="380"/>
      <c r="Q67" s="380"/>
      <c r="R67" s="198"/>
    </row>
    <row r="68" spans="1:18" s="188" customFormat="1" ht="13.5">
      <c r="A68" s="680"/>
      <c r="B68" s="681"/>
      <c r="C68" s="203" t="s">
        <v>280</v>
      </c>
      <c r="D68" s="685"/>
      <c r="E68" s="686"/>
      <c r="F68" s="687"/>
      <c r="G68" s="199"/>
      <c r="H68" s="201"/>
      <c r="I68" s="202"/>
      <c r="J68" s="199"/>
      <c r="K68" s="676"/>
      <c r="L68" s="677"/>
      <c r="O68" s="198"/>
      <c r="P68" s="380"/>
      <c r="Q68" s="380"/>
      <c r="R68" s="198"/>
    </row>
    <row r="69" spans="1:18" s="188" customFormat="1" ht="13.5">
      <c r="A69" s="680"/>
      <c r="B69" s="681"/>
      <c r="C69" s="203" t="s">
        <v>281</v>
      </c>
      <c r="D69" s="685"/>
      <c r="E69" s="686"/>
      <c r="F69" s="687"/>
      <c r="G69" s="199"/>
      <c r="H69" s="201"/>
      <c r="I69" s="202"/>
      <c r="J69" s="199"/>
      <c r="K69" s="676"/>
      <c r="L69" s="677"/>
      <c r="O69" s="198"/>
      <c r="P69" s="380"/>
      <c r="Q69" s="380"/>
      <c r="R69" s="198"/>
    </row>
    <row r="70" spans="1:18" s="198" customFormat="1" ht="14.25">
      <c r="A70" s="678" t="s">
        <v>89</v>
      </c>
      <c r="B70" s="678"/>
      <c r="C70" s="206" t="s">
        <v>267</v>
      </c>
      <c r="D70" s="688" t="s">
        <v>268</v>
      </c>
      <c r="E70" s="689"/>
      <c r="F70" s="690"/>
      <c r="G70" s="206" t="s">
        <v>269</v>
      </c>
      <c r="H70" s="206" t="s">
        <v>270</v>
      </c>
      <c r="I70" s="206" t="s">
        <v>271</v>
      </c>
      <c r="J70" s="159" t="s">
        <v>272</v>
      </c>
      <c r="K70" s="678" t="s">
        <v>283</v>
      </c>
      <c r="L70" s="679"/>
      <c r="M70" s="207"/>
      <c r="N70" s="188"/>
      <c r="P70" s="380"/>
      <c r="Q70" s="380"/>
    </row>
    <row r="71" spans="1:18" s="188" customFormat="1" ht="13.5">
      <c r="A71" s="680">
        <v>4</v>
      </c>
      <c r="B71" s="681" t="s">
        <v>262</v>
      </c>
      <c r="C71" s="199">
        <v>1</v>
      </c>
      <c r="D71" s="685"/>
      <c r="E71" s="686"/>
      <c r="F71" s="687"/>
      <c r="G71" s="199"/>
      <c r="H71" s="201"/>
      <c r="I71" s="202"/>
      <c r="J71" s="220">
        <f>I71-I45</f>
        <v>-632.25590184004261</v>
      </c>
      <c r="K71" s="676"/>
      <c r="L71" s="677"/>
      <c r="N71" s="198"/>
      <c r="O71" s="198"/>
      <c r="P71" s="380"/>
      <c r="Q71" s="380"/>
      <c r="R71" s="198"/>
    </row>
    <row r="72" spans="1:18" s="188" customFormat="1" ht="13.5">
      <c r="A72" s="680"/>
      <c r="B72" s="681"/>
      <c r="C72" s="199">
        <v>2</v>
      </c>
      <c r="D72" s="685"/>
      <c r="E72" s="686"/>
      <c r="F72" s="687"/>
      <c r="G72" s="199"/>
      <c r="H72" s="201"/>
      <c r="I72" s="202"/>
      <c r="J72" s="220">
        <f>I72-I46</f>
        <v>-632.04028441469313</v>
      </c>
      <c r="K72" s="676"/>
      <c r="L72" s="677"/>
      <c r="O72" s="198"/>
      <c r="P72" s="380"/>
      <c r="Q72" s="380"/>
      <c r="R72" s="198"/>
    </row>
    <row r="73" spans="1:18" s="188" customFormat="1" ht="13.5">
      <c r="A73" s="680"/>
      <c r="B73" s="681"/>
      <c r="C73" s="199">
        <v>3</v>
      </c>
      <c r="D73" s="685"/>
      <c r="E73" s="686"/>
      <c r="F73" s="687"/>
      <c r="G73" s="199"/>
      <c r="H73" s="201"/>
      <c r="I73" s="202"/>
      <c r="J73" s="220">
        <f>I73-I47</f>
        <v>-592.9443049803167</v>
      </c>
      <c r="K73" s="676"/>
      <c r="L73" s="677"/>
      <c r="O73" s="198"/>
      <c r="P73" s="380"/>
      <c r="Q73" s="380"/>
      <c r="R73" s="198"/>
    </row>
    <row r="74" spans="1:18" s="188" customFormat="1" ht="13.5">
      <c r="A74" s="680"/>
      <c r="B74" s="681"/>
      <c r="C74" s="199">
        <v>4</v>
      </c>
      <c r="D74" s="685"/>
      <c r="E74" s="686"/>
      <c r="F74" s="687"/>
      <c r="G74" s="199"/>
      <c r="H74" s="201"/>
      <c r="I74" s="202"/>
      <c r="J74" s="220">
        <f>I74-I48</f>
        <v>-592.85086289898277</v>
      </c>
      <c r="K74" s="676"/>
      <c r="L74" s="677"/>
      <c r="O74" s="198"/>
      <c r="P74" s="380"/>
      <c r="Q74" s="380"/>
      <c r="R74" s="198"/>
    </row>
    <row r="75" spans="1:18" s="188" customFormat="1" ht="13.5">
      <c r="A75" s="680"/>
      <c r="B75" s="681"/>
      <c r="C75" s="199">
        <v>5</v>
      </c>
      <c r="D75" s="685"/>
      <c r="E75" s="686"/>
      <c r="F75" s="687"/>
      <c r="G75" s="199"/>
      <c r="H75" s="201"/>
      <c r="I75" s="202"/>
      <c r="J75" s="220">
        <f>I75-I49</f>
        <v>-376.65119828508261</v>
      </c>
      <c r="K75" s="676"/>
      <c r="L75" s="677"/>
      <c r="O75" s="198"/>
      <c r="P75" s="380"/>
      <c r="Q75" s="380"/>
      <c r="R75" s="198"/>
    </row>
    <row r="76" spans="1:18" s="188" customFormat="1" ht="13.5">
      <c r="A76" s="680"/>
      <c r="B76" s="681"/>
      <c r="C76" s="203" t="s">
        <v>276</v>
      </c>
      <c r="D76" s="685"/>
      <c r="E76" s="686"/>
      <c r="F76" s="687"/>
      <c r="G76" s="199"/>
      <c r="H76" s="201"/>
      <c r="I76" s="202"/>
      <c r="J76" s="199"/>
      <c r="K76" s="676"/>
      <c r="L76" s="677"/>
      <c r="O76" s="198"/>
      <c r="P76" s="380"/>
      <c r="Q76" s="380"/>
      <c r="R76" s="198"/>
    </row>
    <row r="77" spans="1:18" s="188" customFormat="1" ht="15.75" customHeight="1">
      <c r="A77" s="680"/>
      <c r="B77" s="681"/>
      <c r="C77" s="203" t="s">
        <v>277</v>
      </c>
      <c r="D77" s="676"/>
      <c r="E77" s="677"/>
      <c r="F77" s="677"/>
      <c r="G77" s="199"/>
      <c r="H77" s="201"/>
      <c r="I77" s="202"/>
      <c r="J77" s="199"/>
      <c r="K77" s="676"/>
      <c r="L77" s="677"/>
      <c r="O77" s="198"/>
      <c r="P77" s="380"/>
      <c r="Q77" s="380"/>
      <c r="R77" s="198"/>
    </row>
    <row r="78" spans="1:18" s="188" customFormat="1" ht="15.75" customHeight="1">
      <c r="A78" s="680"/>
      <c r="B78" s="681"/>
      <c r="C78" s="203" t="s">
        <v>278</v>
      </c>
      <c r="D78" s="676"/>
      <c r="E78" s="677"/>
      <c r="F78" s="677"/>
      <c r="G78" s="199"/>
      <c r="H78" s="201"/>
      <c r="I78" s="202"/>
      <c r="J78" s="199"/>
      <c r="K78" s="676"/>
      <c r="L78" s="677"/>
      <c r="O78" s="198"/>
      <c r="P78" s="380"/>
      <c r="Q78" s="380"/>
      <c r="R78" s="198"/>
    </row>
    <row r="79" spans="1:18" s="188" customFormat="1" ht="15.75" customHeight="1">
      <c r="A79" s="680"/>
      <c r="B79" s="681"/>
      <c r="C79" s="203" t="s">
        <v>280</v>
      </c>
      <c r="D79" s="676"/>
      <c r="E79" s="677"/>
      <c r="F79" s="677"/>
      <c r="G79" s="199"/>
      <c r="H79" s="201"/>
      <c r="I79" s="202"/>
      <c r="J79" s="199"/>
      <c r="K79" s="676"/>
      <c r="L79" s="677"/>
      <c r="O79" s="198"/>
      <c r="P79" s="380"/>
      <c r="Q79" s="380"/>
      <c r="R79" s="198"/>
    </row>
    <row r="80" spans="1:18" s="188" customFormat="1" ht="15.75" customHeight="1">
      <c r="A80" s="680"/>
      <c r="B80" s="681"/>
      <c r="C80" s="203" t="s">
        <v>281</v>
      </c>
      <c r="D80" s="676"/>
      <c r="E80" s="677"/>
      <c r="F80" s="677"/>
      <c r="G80" s="199"/>
      <c r="H80" s="201"/>
      <c r="I80" s="202"/>
      <c r="J80" s="199"/>
      <c r="K80" s="676"/>
      <c r="L80" s="677"/>
      <c r="O80" s="198"/>
      <c r="P80" s="380"/>
      <c r="Q80" s="380"/>
      <c r="R80" s="198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S80"/>
  <sheetViews>
    <sheetView view="pageBreakPreview" topLeftCell="A22" zoomScaleNormal="60" zoomScaleSheetLayoutView="100" workbookViewId="0">
      <selection activeCell="N54" sqref="N54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80" t="s">
        <v>257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98"/>
    </row>
    <row r="2" spans="1:19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N2" s="189"/>
      <c r="O2" s="189"/>
      <c r="P2" s="189"/>
      <c r="Q2" s="189"/>
      <c r="R2" s="189"/>
    </row>
    <row r="3" spans="1:19" s="188" customFormat="1" ht="15.75" customHeight="1">
      <c r="A3" s="682" t="s">
        <v>258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</row>
    <row r="4" spans="1:19" s="189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</row>
    <row r="5" spans="1:19" s="105" customFormat="1" ht="15.75" customHeight="1">
      <c r="A5" s="692" t="s">
        <v>161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5.75" customHeight="1">
      <c r="A6" s="694"/>
      <c r="B6" s="194" t="s">
        <v>259</v>
      </c>
      <c r="C6" s="194" t="s">
        <v>260</v>
      </c>
      <c r="D6" s="194" t="s">
        <v>261</v>
      </c>
      <c r="E6" s="194" t="s">
        <v>262</v>
      </c>
      <c r="F6" s="193" t="s">
        <v>228</v>
      </c>
      <c r="G6" s="208" t="s">
        <v>263</v>
      </c>
      <c r="H6" s="196" t="s">
        <v>264</v>
      </c>
      <c r="I6" s="195" t="s">
        <v>265</v>
      </c>
      <c r="J6" s="195" t="s">
        <v>266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4.25">
      <c r="A7" s="698" t="s">
        <v>89</v>
      </c>
      <c r="B7" s="699"/>
      <c r="C7" s="159" t="s">
        <v>267</v>
      </c>
      <c r="D7" s="698" t="s">
        <v>268</v>
      </c>
      <c r="E7" s="700"/>
      <c r="F7" s="699"/>
      <c r="G7" s="159" t="s">
        <v>269</v>
      </c>
      <c r="H7" s="159" t="s">
        <v>270</v>
      </c>
      <c r="I7" s="159" t="s">
        <v>271</v>
      </c>
      <c r="J7" s="159" t="s">
        <v>272</v>
      </c>
      <c r="K7" s="698" t="s">
        <v>273</v>
      </c>
      <c r="L7" s="699"/>
      <c r="M7" s="192"/>
      <c r="N7" s="178"/>
      <c r="O7" s="493"/>
      <c r="P7" s="493"/>
      <c r="Q7" s="493"/>
      <c r="R7" s="178"/>
      <c r="S7" s="177"/>
    </row>
    <row r="8" spans="1:19" ht="13.5">
      <c r="A8" s="692">
        <v>5</v>
      </c>
      <c r="B8" s="695" t="s">
        <v>228</v>
      </c>
      <c r="C8" s="199">
        <v>1</v>
      </c>
      <c r="D8" s="676" t="s">
        <v>235</v>
      </c>
      <c r="E8" s="677"/>
      <c r="F8" s="677"/>
      <c r="G8" s="201">
        <v>17</v>
      </c>
      <c r="H8" s="201">
        <v>1805.9142857142858</v>
      </c>
      <c r="I8" s="202">
        <v>106.23025210084033</v>
      </c>
      <c r="J8" s="350">
        <v>0.18069598044833413</v>
      </c>
      <c r="K8" s="676" t="s">
        <v>275</v>
      </c>
      <c r="L8" s="677"/>
      <c r="N8" s="178"/>
      <c r="O8" s="178"/>
      <c r="P8" s="494"/>
      <c r="Q8" s="494"/>
      <c r="R8" s="178"/>
      <c r="S8" s="188"/>
    </row>
    <row r="9" spans="1:19" ht="13.5">
      <c r="A9" s="693"/>
      <c r="B9" s="696"/>
      <c r="C9" s="199">
        <v>2</v>
      </c>
      <c r="D9" s="676" t="s">
        <v>234</v>
      </c>
      <c r="E9" s="677"/>
      <c r="F9" s="677"/>
      <c r="G9" s="201">
        <v>19</v>
      </c>
      <c r="H9" s="201">
        <v>1805.742857142857</v>
      </c>
      <c r="I9" s="202">
        <v>95.039097744360916</v>
      </c>
      <c r="J9" s="350">
        <v>0.1554557662960292</v>
      </c>
      <c r="K9" s="676" t="s">
        <v>275</v>
      </c>
      <c r="L9" s="677"/>
      <c r="N9" s="178"/>
      <c r="O9" s="178"/>
      <c r="P9" s="494"/>
      <c r="Q9" s="494"/>
      <c r="R9" s="178"/>
      <c r="S9" s="188"/>
    </row>
    <row r="10" spans="1:19" ht="13.5">
      <c r="A10" s="693"/>
      <c r="B10" s="696"/>
      <c r="C10" s="199">
        <v>3</v>
      </c>
      <c r="D10" s="676" t="s">
        <v>236</v>
      </c>
      <c r="E10" s="677"/>
      <c r="F10" s="677"/>
      <c r="G10" s="201">
        <v>20</v>
      </c>
      <c r="H10" s="201">
        <v>1805.5714285714289</v>
      </c>
      <c r="I10" s="202">
        <v>90.278571428571425</v>
      </c>
      <c r="J10" s="350">
        <v>0.11422123615336943</v>
      </c>
      <c r="K10" s="676" t="s">
        <v>275</v>
      </c>
      <c r="L10" s="677"/>
      <c r="N10" s="178"/>
      <c r="O10" s="178"/>
      <c r="P10" s="494"/>
      <c r="Q10" s="494"/>
      <c r="R10" s="178"/>
      <c r="S10" s="188"/>
    </row>
    <row r="11" spans="1:19" ht="13.5">
      <c r="A11" s="693"/>
      <c r="B11" s="696"/>
      <c r="C11" s="199">
        <v>4</v>
      </c>
      <c r="D11" s="676" t="s">
        <v>233</v>
      </c>
      <c r="E11" s="677"/>
      <c r="F11" s="677"/>
      <c r="G11" s="201">
        <v>23</v>
      </c>
      <c r="H11" s="201">
        <v>1805.2729676137842</v>
      </c>
      <c r="I11" s="202">
        <v>78.490129026686276</v>
      </c>
      <c r="J11" s="350">
        <v>-0.12422180740169608</v>
      </c>
      <c r="K11" s="676" t="s">
        <v>275</v>
      </c>
      <c r="L11" s="677"/>
      <c r="N11" s="178"/>
      <c r="O11" s="178"/>
      <c r="P11" s="494"/>
      <c r="Q11" s="494"/>
      <c r="R11" s="178"/>
      <c r="S11" s="188"/>
    </row>
    <row r="12" spans="1:19" ht="13.5">
      <c r="A12" s="693"/>
      <c r="B12" s="696"/>
      <c r="C12" s="199">
        <v>5</v>
      </c>
      <c r="D12" s="676" t="s">
        <v>232</v>
      </c>
      <c r="E12" s="677"/>
      <c r="F12" s="677"/>
      <c r="G12" s="201">
        <v>23</v>
      </c>
      <c r="H12" s="201">
        <v>1805.1614214156341</v>
      </c>
      <c r="I12" s="202">
        <v>78.485279191984091</v>
      </c>
      <c r="J12" s="350">
        <v>-7.6038389451156263E-2</v>
      </c>
      <c r="K12" s="676" t="s">
        <v>275</v>
      </c>
      <c r="L12" s="677"/>
      <c r="N12" s="178"/>
      <c r="O12" s="178"/>
      <c r="P12" s="494"/>
      <c r="Q12" s="494"/>
      <c r="R12" s="178"/>
      <c r="S12" s="188"/>
    </row>
    <row r="13" spans="1:19" ht="13.5">
      <c r="A13" s="693"/>
      <c r="B13" s="696"/>
      <c r="C13" s="203" t="s">
        <v>276</v>
      </c>
      <c r="D13" s="676" t="s">
        <v>229</v>
      </c>
      <c r="E13" s="677"/>
      <c r="F13" s="677"/>
      <c r="G13" s="201">
        <v>24</v>
      </c>
      <c r="H13" s="201">
        <v>1805.9262505162662</v>
      </c>
      <c r="I13" s="202">
        <v>75.246927104844431</v>
      </c>
      <c r="J13" s="350">
        <v>2.380952380974577E-3</v>
      </c>
      <c r="K13" s="676" t="s">
        <v>275</v>
      </c>
      <c r="L13" s="677"/>
      <c r="N13" s="178"/>
      <c r="O13" s="178"/>
      <c r="P13" s="494"/>
      <c r="Q13" s="494"/>
      <c r="R13" s="178"/>
      <c r="S13" s="188"/>
    </row>
    <row r="14" spans="1:19" ht="13.5">
      <c r="A14" s="693"/>
      <c r="B14" s="696"/>
      <c r="C14" s="203" t="s">
        <v>277</v>
      </c>
      <c r="D14" s="676" t="s">
        <v>230</v>
      </c>
      <c r="E14" s="677"/>
      <c r="F14" s="677"/>
      <c r="G14" s="201">
        <v>21</v>
      </c>
      <c r="H14" s="201">
        <v>1626.1477817584075</v>
      </c>
      <c r="I14" s="202">
        <v>77.43560865516227</v>
      </c>
      <c r="J14" s="350">
        <v>3.0612244897994856E-2</v>
      </c>
      <c r="K14" s="676" t="s">
        <v>275</v>
      </c>
      <c r="L14" s="677"/>
      <c r="N14" s="178"/>
      <c r="O14" s="178"/>
      <c r="P14" s="494"/>
      <c r="Q14" s="494"/>
      <c r="R14" s="178"/>
      <c r="S14" s="188"/>
    </row>
    <row r="15" spans="1:19" ht="13.5">
      <c r="A15" s="693"/>
      <c r="B15" s="696"/>
      <c r="C15" s="203" t="s">
        <v>278</v>
      </c>
      <c r="D15" s="676" t="s">
        <v>231</v>
      </c>
      <c r="E15" s="677"/>
      <c r="F15" s="677"/>
      <c r="G15" s="201">
        <v>23</v>
      </c>
      <c r="H15" s="201">
        <v>1803.709577134407</v>
      </c>
      <c r="I15" s="202">
        <v>78.422155527582945</v>
      </c>
      <c r="J15" s="350">
        <v>7.1710849995824333E-2</v>
      </c>
      <c r="K15" s="676" t="s">
        <v>275</v>
      </c>
      <c r="L15" s="677"/>
      <c r="N15" s="178"/>
      <c r="O15" s="178"/>
      <c r="P15" s="494"/>
      <c r="Q15" s="494"/>
      <c r="R15" s="178"/>
      <c r="S15" s="188"/>
    </row>
    <row r="16" spans="1:19" ht="13.5">
      <c r="A16" s="693"/>
      <c r="B16" s="696"/>
      <c r="C16" s="203" t="s">
        <v>280</v>
      </c>
      <c r="D16" s="676"/>
      <c r="E16" s="677"/>
      <c r="F16" s="677"/>
      <c r="G16" s="201"/>
      <c r="H16" s="201"/>
      <c r="I16" s="202"/>
      <c r="J16" s="350"/>
      <c r="K16" s="685"/>
      <c r="L16" s="687"/>
      <c r="M16" s="98"/>
      <c r="N16" s="178"/>
      <c r="O16" s="178"/>
      <c r="P16" s="494"/>
      <c r="Q16" s="494"/>
      <c r="R16" s="178"/>
      <c r="S16" s="188"/>
    </row>
    <row r="17" spans="1:19" ht="13.5">
      <c r="A17" s="694"/>
      <c r="B17" s="697"/>
      <c r="C17" s="203" t="s">
        <v>281</v>
      </c>
      <c r="D17" s="676"/>
      <c r="E17" s="677"/>
      <c r="F17" s="677"/>
      <c r="G17" s="201"/>
      <c r="H17" s="201"/>
      <c r="I17" s="202"/>
      <c r="J17" s="199"/>
      <c r="K17" s="685"/>
      <c r="L17" s="687"/>
      <c r="M17" s="98"/>
      <c r="N17" s="178"/>
      <c r="O17" s="178"/>
      <c r="P17" s="494"/>
      <c r="Q17" s="494"/>
      <c r="R17" s="178"/>
      <c r="S17" s="188"/>
    </row>
    <row r="18" spans="1:19" s="103" customFormat="1" ht="14.25">
      <c r="A18" s="688" t="s">
        <v>89</v>
      </c>
      <c r="B18" s="690"/>
      <c r="C18" s="206" t="s">
        <v>267</v>
      </c>
      <c r="D18" s="678" t="s">
        <v>268</v>
      </c>
      <c r="E18" s="679"/>
      <c r="F18" s="679"/>
      <c r="G18" s="206" t="s">
        <v>269</v>
      </c>
      <c r="H18" s="206" t="s">
        <v>270</v>
      </c>
      <c r="I18" s="206" t="s">
        <v>271</v>
      </c>
      <c r="J18" s="159" t="s">
        <v>272</v>
      </c>
      <c r="K18" s="688" t="s">
        <v>273</v>
      </c>
      <c r="L18" s="690"/>
      <c r="M18" s="127"/>
      <c r="N18" s="178"/>
      <c r="O18" s="178"/>
      <c r="P18" s="494"/>
      <c r="Q18" s="494"/>
      <c r="R18" s="178"/>
      <c r="S18" s="198"/>
    </row>
    <row r="19" spans="1:19" ht="13.5">
      <c r="A19" s="692">
        <v>6</v>
      </c>
      <c r="B19" s="695" t="s">
        <v>263</v>
      </c>
      <c r="C19" s="199">
        <v>1</v>
      </c>
      <c r="D19" s="676" t="s">
        <v>241</v>
      </c>
      <c r="E19" s="677"/>
      <c r="F19" s="677"/>
      <c r="G19" s="199">
        <v>20</v>
      </c>
      <c r="H19" s="201">
        <v>1805.7586744991058</v>
      </c>
      <c r="I19" s="202">
        <v>90.287933724955295</v>
      </c>
      <c r="J19" s="350">
        <v>9.98907109598548E-2</v>
      </c>
      <c r="K19" s="676" t="s">
        <v>275</v>
      </c>
      <c r="L19" s="677"/>
      <c r="M19" s="98"/>
      <c r="N19" s="178"/>
      <c r="O19" s="178"/>
      <c r="P19" s="494"/>
      <c r="Q19" s="494"/>
      <c r="R19" s="178"/>
      <c r="S19" s="188"/>
    </row>
    <row r="20" spans="1:19" ht="13.5">
      <c r="A20" s="693"/>
      <c r="B20" s="696"/>
      <c r="C20" s="199">
        <v>2</v>
      </c>
      <c r="D20" s="676" t="s">
        <v>242</v>
      </c>
      <c r="E20" s="677"/>
      <c r="F20" s="677"/>
      <c r="G20" s="201">
        <v>20</v>
      </c>
      <c r="H20" s="201">
        <v>1805.5351154465286</v>
      </c>
      <c r="I20" s="202">
        <v>90.276755772326425</v>
      </c>
      <c r="J20" s="350">
        <v>0.15546104161910534</v>
      </c>
      <c r="K20" s="676" t="s">
        <v>275</v>
      </c>
      <c r="L20" s="677"/>
      <c r="M20" s="98"/>
      <c r="N20" s="178"/>
      <c r="O20" s="178"/>
      <c r="P20" s="494"/>
      <c r="Q20" s="494"/>
      <c r="R20" s="178"/>
      <c r="S20" s="188"/>
    </row>
    <row r="21" spans="1:19" ht="13.5">
      <c r="A21" s="693"/>
      <c r="B21" s="696"/>
      <c r="C21" s="199">
        <v>3</v>
      </c>
      <c r="D21" s="676" t="s">
        <v>240</v>
      </c>
      <c r="E21" s="677"/>
      <c r="F21" s="677"/>
      <c r="G21" s="201">
        <v>22</v>
      </c>
      <c r="H21" s="201">
        <v>1804.6757355285415</v>
      </c>
      <c r="I21" s="202">
        <v>82.030715251297337</v>
      </c>
      <c r="J21" s="350">
        <v>0.10012431031304914</v>
      </c>
      <c r="K21" s="676" t="s">
        <v>275</v>
      </c>
      <c r="L21" s="677"/>
      <c r="M21" s="98"/>
      <c r="N21" s="178"/>
      <c r="O21" s="178"/>
      <c r="P21" s="494"/>
      <c r="Q21" s="494"/>
      <c r="R21" s="178"/>
      <c r="S21" s="188"/>
    </row>
    <row r="22" spans="1:19" ht="13.5">
      <c r="A22" s="693"/>
      <c r="B22" s="696"/>
      <c r="C22" s="199">
        <v>4</v>
      </c>
      <c r="D22" s="676" t="s">
        <v>239</v>
      </c>
      <c r="E22" s="677"/>
      <c r="F22" s="677"/>
      <c r="G22" s="199">
        <v>23</v>
      </c>
      <c r="H22" s="201">
        <v>1807.0715973447548</v>
      </c>
      <c r="I22" s="202">
        <v>78.568330319337164</v>
      </c>
      <c r="J22" s="350">
        <v>0.14869012544399141</v>
      </c>
      <c r="K22" s="676" t="s">
        <v>275</v>
      </c>
      <c r="L22" s="677"/>
      <c r="M22" s="98"/>
      <c r="N22" s="178"/>
      <c r="O22" s="178"/>
      <c r="P22" s="494"/>
      <c r="Q22" s="494"/>
      <c r="R22" s="178"/>
      <c r="S22" s="188"/>
    </row>
    <row r="23" spans="1:19" ht="13.5">
      <c r="A23" s="693"/>
      <c r="B23" s="696"/>
      <c r="C23" s="199">
        <v>5</v>
      </c>
      <c r="D23" s="676" t="s">
        <v>238</v>
      </c>
      <c r="E23" s="677"/>
      <c r="F23" s="677"/>
      <c r="G23" s="201">
        <v>23</v>
      </c>
      <c r="H23" s="201">
        <v>1803.4065242441777</v>
      </c>
      <c r="I23" s="202">
        <v>78.40897931496427</v>
      </c>
      <c r="J23" s="350">
        <v>7.9200024326596008E-2</v>
      </c>
      <c r="K23" s="676" t="s">
        <v>275</v>
      </c>
      <c r="L23" s="677"/>
      <c r="M23" s="98"/>
      <c r="N23" s="178"/>
      <c r="O23" s="178"/>
      <c r="P23" s="494"/>
      <c r="Q23" s="494"/>
      <c r="R23" s="178"/>
      <c r="S23" s="188"/>
    </row>
    <row r="24" spans="1:19" ht="13.5">
      <c r="A24" s="693"/>
      <c r="B24" s="696"/>
      <c r="C24" s="203" t="s">
        <v>276</v>
      </c>
      <c r="D24" s="676" t="s">
        <v>244</v>
      </c>
      <c r="E24" s="677"/>
      <c r="F24" s="677"/>
      <c r="G24" s="199">
        <v>24</v>
      </c>
      <c r="H24" s="201">
        <v>1803.3312119715854</v>
      </c>
      <c r="I24" s="202">
        <v>75.138800498816067</v>
      </c>
      <c r="J24" s="350">
        <v>2.6461601427804737</v>
      </c>
      <c r="K24" s="676" t="s">
        <v>275</v>
      </c>
      <c r="L24" s="677"/>
      <c r="M24" s="98"/>
      <c r="N24" s="178"/>
      <c r="O24" s="178"/>
      <c r="P24" s="494"/>
      <c r="Q24" s="494"/>
      <c r="R24" s="178"/>
      <c r="S24" s="188"/>
    </row>
    <row r="25" spans="1:19" ht="13.5">
      <c r="A25" s="693"/>
      <c r="B25" s="696"/>
      <c r="C25" s="203" t="s">
        <v>277</v>
      </c>
      <c r="D25" s="676" t="s">
        <v>237</v>
      </c>
      <c r="E25" s="677"/>
      <c r="F25" s="677"/>
      <c r="G25" s="199">
        <v>24</v>
      </c>
      <c r="H25" s="201">
        <v>1804.2246558600734</v>
      </c>
      <c r="I25" s="202">
        <v>75.176027327503078</v>
      </c>
      <c r="J25" s="350">
        <v>-8.3333333332546999E-3</v>
      </c>
      <c r="K25" s="676" t="s">
        <v>275</v>
      </c>
      <c r="L25" s="677"/>
      <c r="M25" s="98"/>
      <c r="N25" s="178"/>
      <c r="O25" s="178"/>
      <c r="P25" s="494"/>
      <c r="Q25" s="494"/>
      <c r="R25" s="178"/>
      <c r="S25" s="188"/>
    </row>
    <row r="26" spans="1:19" ht="13.5">
      <c r="A26" s="693"/>
      <c r="B26" s="696"/>
      <c r="C26" s="203" t="s">
        <v>278</v>
      </c>
      <c r="D26" s="676" t="s">
        <v>245</v>
      </c>
      <c r="E26" s="677"/>
      <c r="F26" s="677"/>
      <c r="G26" s="199">
        <v>24</v>
      </c>
      <c r="H26" s="201">
        <v>1807.0361122913848</v>
      </c>
      <c r="I26" s="202">
        <v>75.293171345474363</v>
      </c>
      <c r="J26" s="350">
        <v>2.7392505574703279</v>
      </c>
      <c r="K26" s="676" t="s">
        <v>275</v>
      </c>
      <c r="L26" s="677"/>
      <c r="M26" s="98"/>
      <c r="N26" s="178"/>
      <c r="O26" s="178"/>
      <c r="P26" s="494"/>
      <c r="Q26" s="494"/>
      <c r="R26" s="178"/>
      <c r="S26" s="188"/>
    </row>
    <row r="27" spans="1:19" ht="13.5">
      <c r="A27" s="693"/>
      <c r="B27" s="696"/>
      <c r="C27" s="203" t="s">
        <v>280</v>
      </c>
      <c r="D27" s="676" t="s">
        <v>243</v>
      </c>
      <c r="E27" s="677"/>
      <c r="F27" s="677"/>
      <c r="G27" s="199">
        <v>24</v>
      </c>
      <c r="H27" s="201">
        <v>1808.2237170451324</v>
      </c>
      <c r="I27" s="202">
        <v>75.342654876880516</v>
      </c>
      <c r="J27" s="350">
        <v>8.6904761904776251E-2</v>
      </c>
      <c r="K27" s="676" t="s">
        <v>275</v>
      </c>
      <c r="L27" s="677"/>
      <c r="M27" s="98"/>
      <c r="N27" s="178"/>
      <c r="O27" s="178"/>
      <c r="P27" s="494"/>
      <c r="Q27" s="494"/>
      <c r="R27" s="178"/>
      <c r="S27" s="188"/>
    </row>
    <row r="28" spans="1:19" ht="13.5">
      <c r="A28" s="694"/>
      <c r="B28" s="697"/>
      <c r="C28" s="203" t="s">
        <v>281</v>
      </c>
      <c r="D28" s="685"/>
      <c r="E28" s="686"/>
      <c r="F28" s="687"/>
      <c r="G28" s="199"/>
      <c r="H28" s="201"/>
      <c r="I28" s="202"/>
      <c r="J28" s="350"/>
      <c r="K28" s="685"/>
      <c r="L28" s="687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82" t="s">
        <v>284</v>
      </c>
      <c r="B29" s="682"/>
      <c r="C29" s="682"/>
      <c r="D29" s="682"/>
      <c r="E29" s="682"/>
      <c r="F29" s="682"/>
      <c r="G29" s="682"/>
      <c r="H29" s="682"/>
      <c r="I29" s="682"/>
      <c r="J29" s="682"/>
      <c r="K29" s="682"/>
      <c r="L29" s="682"/>
    </row>
    <row r="30" spans="1:19" s="189" customFormat="1" ht="15.75" customHeight="1">
      <c r="A30" s="682"/>
      <c r="B30" s="682"/>
      <c r="C30" s="682"/>
      <c r="D30" s="682"/>
      <c r="E30" s="682"/>
      <c r="F30" s="682"/>
      <c r="G30" s="682"/>
      <c r="H30" s="682"/>
      <c r="I30" s="682"/>
      <c r="J30" s="682"/>
      <c r="K30" s="682"/>
      <c r="L30" s="682"/>
    </row>
    <row r="31" spans="1:19" s="105" customFormat="1" ht="15.75" customHeight="1">
      <c r="A31" s="692" t="s">
        <v>161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5.75" customHeight="1">
      <c r="A32" s="694"/>
      <c r="B32" s="194" t="s">
        <v>259</v>
      </c>
      <c r="C32" s="194" t="s">
        <v>260</v>
      </c>
      <c r="D32" s="194" t="s">
        <v>261</v>
      </c>
      <c r="E32" s="194" t="s">
        <v>262</v>
      </c>
      <c r="F32" s="193" t="s">
        <v>228</v>
      </c>
      <c r="G32" s="208" t="s">
        <v>263</v>
      </c>
      <c r="H32" s="196" t="s">
        <v>264</v>
      </c>
      <c r="I32" s="195" t="s">
        <v>265</v>
      </c>
      <c r="J32" s="195" t="s">
        <v>266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4.25">
      <c r="A33" s="698" t="s">
        <v>89</v>
      </c>
      <c r="B33" s="699"/>
      <c r="C33" s="159" t="s">
        <v>267</v>
      </c>
      <c r="D33" s="698" t="s">
        <v>268</v>
      </c>
      <c r="E33" s="700"/>
      <c r="F33" s="699"/>
      <c r="G33" s="159" t="s">
        <v>269</v>
      </c>
      <c r="H33" s="159" t="s">
        <v>270</v>
      </c>
      <c r="I33" s="159" t="s">
        <v>271</v>
      </c>
      <c r="J33" s="159" t="s">
        <v>272</v>
      </c>
      <c r="K33" s="698" t="s">
        <v>273</v>
      </c>
      <c r="L33" s="699"/>
      <c r="M33" s="192"/>
      <c r="N33" s="178"/>
      <c r="O33" s="493"/>
      <c r="P33" s="493"/>
      <c r="Q33" s="493"/>
      <c r="R33" s="178"/>
      <c r="S33" s="177"/>
    </row>
    <row r="34" spans="1:19" ht="13.5">
      <c r="A34" s="692">
        <v>5</v>
      </c>
      <c r="B34" s="695" t="s">
        <v>228</v>
      </c>
      <c r="C34" s="199">
        <v>1</v>
      </c>
      <c r="D34" s="676" t="s">
        <v>235</v>
      </c>
      <c r="E34" s="677"/>
      <c r="F34" s="677"/>
      <c r="G34" s="201">
        <v>17</v>
      </c>
      <c r="H34" s="201">
        <v>1806.1142857142856</v>
      </c>
      <c r="I34" s="202">
        <v>106.2420168067227</v>
      </c>
      <c r="J34" s="350">
        <f>I34-I8</f>
        <v>1.1764705882370663E-2</v>
      </c>
      <c r="K34" s="685"/>
      <c r="L34" s="687"/>
      <c r="N34" s="178"/>
      <c r="O34" s="178"/>
      <c r="P34" s="494"/>
      <c r="Q34" s="494"/>
      <c r="R34" s="178"/>
      <c r="S34" s="188"/>
    </row>
    <row r="35" spans="1:19" ht="13.5">
      <c r="A35" s="693"/>
      <c r="B35" s="696"/>
      <c r="C35" s="199">
        <v>2</v>
      </c>
      <c r="D35" s="676" t="s">
        <v>234</v>
      </c>
      <c r="E35" s="677"/>
      <c r="F35" s="677"/>
      <c r="G35" s="201">
        <v>19</v>
      </c>
      <c r="H35" s="201">
        <v>1806.0285714285712</v>
      </c>
      <c r="I35" s="202">
        <v>95.054135338345873</v>
      </c>
      <c r="J35" s="350">
        <f>I35-I9</f>
        <v>1.5037593984956743E-2</v>
      </c>
      <c r="K35" s="685"/>
      <c r="L35" s="687"/>
      <c r="N35" s="178"/>
      <c r="O35" s="178"/>
      <c r="P35" s="494"/>
      <c r="Q35" s="494"/>
      <c r="R35" s="178"/>
      <c r="S35" s="188"/>
    </row>
    <row r="36" spans="1:19" ht="13.5">
      <c r="A36" s="693"/>
      <c r="B36" s="696"/>
      <c r="C36" s="199">
        <v>3</v>
      </c>
      <c r="D36" s="676" t="s">
        <v>236</v>
      </c>
      <c r="E36" s="677"/>
      <c r="F36" s="677"/>
      <c r="G36" s="201">
        <v>20</v>
      </c>
      <c r="H36" s="201">
        <v>1805.9428571428568</v>
      </c>
      <c r="I36" s="202">
        <v>90.297142857142845</v>
      </c>
      <c r="J36" s="350">
        <f>I36-I10</f>
        <v>1.8571428571419801E-2</v>
      </c>
      <c r="K36" s="685"/>
      <c r="L36" s="687"/>
      <c r="N36" s="178"/>
      <c r="O36" s="178"/>
      <c r="P36" s="494"/>
      <c r="Q36" s="494"/>
      <c r="R36" s="178"/>
      <c r="S36" s="188"/>
    </row>
    <row r="37" spans="1:19" ht="13.5">
      <c r="A37" s="693"/>
      <c r="B37" s="696"/>
      <c r="C37" s="199">
        <v>4</v>
      </c>
      <c r="D37" s="676" t="s">
        <v>233</v>
      </c>
      <c r="E37" s="677"/>
      <c r="F37" s="677"/>
      <c r="G37" s="201">
        <v>23</v>
      </c>
      <c r="H37" s="201">
        <v>1805.0158247566415</v>
      </c>
      <c r="I37" s="202">
        <v>78.478948902462676</v>
      </c>
      <c r="J37" s="350">
        <f>I37-I11</f>
        <v>-1.1180124223599819E-2</v>
      </c>
      <c r="K37" s="685"/>
      <c r="L37" s="687"/>
      <c r="N37" s="178"/>
      <c r="O37" s="178"/>
      <c r="P37" s="494"/>
      <c r="Q37" s="494"/>
      <c r="R37" s="178"/>
      <c r="S37" s="188"/>
    </row>
    <row r="38" spans="1:19" ht="13.5">
      <c r="A38" s="693"/>
      <c r="B38" s="696"/>
      <c r="C38" s="199">
        <v>5</v>
      </c>
      <c r="D38" s="676" t="s">
        <v>231</v>
      </c>
      <c r="E38" s="677"/>
      <c r="F38" s="677"/>
      <c r="G38" s="201">
        <v>23</v>
      </c>
      <c r="H38" s="201">
        <v>1804.7381485629787</v>
      </c>
      <c r="I38" s="202">
        <v>78.46687602447733</v>
      </c>
      <c r="J38" s="350">
        <f>I38-I15</f>
        <v>4.4720496894385064E-2</v>
      </c>
      <c r="K38" s="685"/>
      <c r="L38" s="687"/>
      <c r="N38" s="178"/>
      <c r="O38" s="178"/>
      <c r="P38" s="494"/>
      <c r="Q38" s="494"/>
      <c r="R38" s="178"/>
      <c r="S38" s="188"/>
    </row>
    <row r="39" spans="1:19" ht="13.5">
      <c r="A39" s="693"/>
      <c r="B39" s="696"/>
      <c r="C39" s="203" t="s">
        <v>276</v>
      </c>
      <c r="D39" s="676" t="s">
        <v>229</v>
      </c>
      <c r="E39" s="677"/>
      <c r="F39" s="677"/>
      <c r="G39" s="201">
        <v>24</v>
      </c>
      <c r="H39" s="201">
        <v>1806.3548219448387</v>
      </c>
      <c r="I39" s="202">
        <v>75.264784247701613</v>
      </c>
      <c r="J39" s="350">
        <f>I39-I13</f>
        <v>1.7857142857181429E-2</v>
      </c>
      <c r="K39" s="685"/>
      <c r="L39" s="687"/>
      <c r="N39" s="178"/>
      <c r="O39" s="178"/>
      <c r="P39" s="494"/>
      <c r="Q39" s="494"/>
      <c r="R39" s="178"/>
      <c r="S39" s="188"/>
    </row>
    <row r="40" spans="1:19" ht="13.5">
      <c r="A40" s="693"/>
      <c r="B40" s="696"/>
      <c r="C40" s="203" t="s">
        <v>277</v>
      </c>
      <c r="D40" s="676" t="s">
        <v>230</v>
      </c>
      <c r="E40" s="677"/>
      <c r="F40" s="677"/>
      <c r="G40" s="201">
        <v>21</v>
      </c>
      <c r="H40" s="201">
        <v>1627.176353186979</v>
      </c>
      <c r="I40" s="202">
        <v>77.48458824699901</v>
      </c>
      <c r="J40" s="350">
        <f>I40-I14</f>
        <v>4.897959183674061E-2</v>
      </c>
      <c r="K40" s="685"/>
      <c r="L40" s="687"/>
      <c r="N40" s="178"/>
      <c r="O40" s="178"/>
      <c r="P40" s="494"/>
      <c r="Q40" s="494"/>
      <c r="R40" s="178"/>
      <c r="S40" s="188"/>
    </row>
    <row r="41" spans="1:19" ht="13.5">
      <c r="A41" s="693"/>
      <c r="B41" s="696"/>
      <c r="C41" s="203" t="s">
        <v>278</v>
      </c>
      <c r="D41" s="676" t="s">
        <v>232</v>
      </c>
      <c r="E41" s="677"/>
      <c r="F41" s="677"/>
      <c r="G41" s="201">
        <v>23</v>
      </c>
      <c r="H41" s="201">
        <v>1804.189992844206</v>
      </c>
      <c r="I41" s="202">
        <v>78.443043167139393</v>
      </c>
      <c r="J41" s="350">
        <f>I41-I12</f>
        <v>-4.2236024844697795E-2</v>
      </c>
      <c r="K41" s="685"/>
      <c r="L41" s="687"/>
      <c r="N41" s="178"/>
      <c r="O41" s="178"/>
      <c r="P41" s="494"/>
      <c r="Q41" s="494"/>
      <c r="R41" s="178"/>
      <c r="S41" s="188"/>
    </row>
    <row r="42" spans="1:19" ht="13.5">
      <c r="A42" s="693"/>
      <c r="B42" s="696"/>
      <c r="C42" s="203" t="s">
        <v>280</v>
      </c>
      <c r="D42" s="676"/>
      <c r="E42" s="677"/>
      <c r="F42" s="677"/>
      <c r="G42" s="201"/>
      <c r="H42" s="201"/>
      <c r="I42" s="202"/>
      <c r="J42" s="350"/>
      <c r="K42" s="685"/>
      <c r="L42" s="687"/>
      <c r="M42" s="98"/>
      <c r="N42" s="178"/>
      <c r="O42" s="178"/>
      <c r="P42" s="494"/>
      <c r="Q42" s="494"/>
      <c r="R42" s="178"/>
      <c r="S42" s="188"/>
    </row>
    <row r="43" spans="1:19" ht="13.5">
      <c r="A43" s="694"/>
      <c r="B43" s="697"/>
      <c r="C43" s="203" t="s">
        <v>281</v>
      </c>
      <c r="D43" s="676"/>
      <c r="E43" s="677"/>
      <c r="F43" s="677"/>
      <c r="G43" s="201"/>
      <c r="H43" s="201"/>
      <c r="I43" s="202"/>
      <c r="J43" s="199"/>
      <c r="K43" s="685"/>
      <c r="L43" s="687"/>
      <c r="M43" s="98"/>
      <c r="N43" s="178"/>
      <c r="O43" s="178"/>
      <c r="P43" s="494"/>
      <c r="Q43" s="494"/>
      <c r="R43" s="178"/>
      <c r="S43" s="188"/>
    </row>
    <row r="44" spans="1:19" s="103" customFormat="1" ht="14.25">
      <c r="A44" s="688" t="s">
        <v>89</v>
      </c>
      <c r="B44" s="690"/>
      <c r="C44" s="206" t="s">
        <v>267</v>
      </c>
      <c r="D44" s="678" t="s">
        <v>268</v>
      </c>
      <c r="E44" s="679"/>
      <c r="F44" s="679"/>
      <c r="G44" s="206" t="s">
        <v>269</v>
      </c>
      <c r="H44" s="206" t="s">
        <v>270</v>
      </c>
      <c r="I44" s="206" t="s">
        <v>271</v>
      </c>
      <c r="J44" s="159" t="s">
        <v>272</v>
      </c>
      <c r="K44" s="688" t="s">
        <v>273</v>
      </c>
      <c r="L44" s="690"/>
      <c r="M44" s="127"/>
      <c r="N44" s="178"/>
      <c r="O44" s="178"/>
      <c r="P44" s="494"/>
      <c r="Q44" s="494"/>
      <c r="R44" s="178"/>
      <c r="S44" s="198"/>
    </row>
    <row r="45" spans="1:19" ht="13.5">
      <c r="A45" s="692">
        <v>6</v>
      </c>
      <c r="B45" s="695" t="s">
        <v>263</v>
      </c>
      <c r="C45" s="199">
        <v>1</v>
      </c>
      <c r="D45" s="676" t="s">
        <v>241</v>
      </c>
      <c r="E45" s="677"/>
      <c r="F45" s="677"/>
      <c r="G45" s="199">
        <v>20</v>
      </c>
      <c r="H45" s="201">
        <v>1805.101531641963</v>
      </c>
      <c r="I45" s="202">
        <v>90.255076582098127</v>
      </c>
      <c r="J45" s="350">
        <f t="shared" ref="J45:J53" si="0">I45-I19</f>
        <v>-3.2857142857167787E-2</v>
      </c>
      <c r="K45" s="685"/>
      <c r="L45" s="687"/>
      <c r="M45" s="98"/>
      <c r="N45" s="178"/>
      <c r="O45" s="178"/>
      <c r="P45" s="494"/>
      <c r="Q45" s="494"/>
      <c r="R45" s="178"/>
      <c r="S45" s="188"/>
    </row>
    <row r="46" spans="1:19" ht="13.5">
      <c r="A46" s="693"/>
      <c r="B46" s="696"/>
      <c r="C46" s="199">
        <v>2</v>
      </c>
      <c r="D46" s="676" t="s">
        <v>242</v>
      </c>
      <c r="E46" s="677"/>
      <c r="F46" s="677"/>
      <c r="G46" s="201">
        <v>20</v>
      </c>
      <c r="H46" s="201">
        <v>1804.2494011608144</v>
      </c>
      <c r="I46" s="202">
        <v>90.212470058040708</v>
      </c>
      <c r="J46" s="350">
        <f t="shared" si="0"/>
        <v>-6.4285714285716722E-2</v>
      </c>
      <c r="K46" s="685"/>
      <c r="L46" s="687"/>
      <c r="M46" s="98"/>
      <c r="N46" s="178"/>
      <c r="O46" s="178"/>
      <c r="P46" s="494"/>
      <c r="Q46" s="494"/>
      <c r="R46" s="178"/>
      <c r="S46" s="188"/>
    </row>
    <row r="47" spans="1:19" ht="13.5">
      <c r="A47" s="693"/>
      <c r="B47" s="696"/>
      <c r="C47" s="199">
        <v>3</v>
      </c>
      <c r="D47" s="676" t="s">
        <v>240</v>
      </c>
      <c r="E47" s="677"/>
      <c r="F47" s="677"/>
      <c r="G47" s="201">
        <v>22</v>
      </c>
      <c r="H47" s="201">
        <v>1805.3900212428273</v>
      </c>
      <c r="I47" s="202">
        <v>82.063182783764887</v>
      </c>
      <c r="J47" s="350">
        <f t="shared" si="0"/>
        <v>3.2467532467549631E-2</v>
      </c>
      <c r="K47" s="685"/>
      <c r="L47" s="687"/>
      <c r="M47" s="98"/>
      <c r="N47" s="178"/>
      <c r="O47" s="178"/>
      <c r="P47" s="494"/>
      <c r="Q47" s="494"/>
      <c r="R47" s="178"/>
      <c r="S47" s="188"/>
    </row>
    <row r="48" spans="1:19" ht="13.5">
      <c r="A48" s="693"/>
      <c r="B48" s="696"/>
      <c r="C48" s="199">
        <v>4</v>
      </c>
      <c r="D48" s="676" t="s">
        <v>239</v>
      </c>
      <c r="E48" s="677"/>
      <c r="F48" s="677"/>
      <c r="G48" s="199">
        <v>23</v>
      </c>
      <c r="H48" s="201">
        <v>1808.187730811261</v>
      </c>
      <c r="I48" s="202">
        <v>78.616857861359179</v>
      </c>
      <c r="J48" s="350">
        <f t="shared" si="0"/>
        <v>4.8527542022014813E-2</v>
      </c>
      <c r="K48" s="685"/>
      <c r="L48" s="687"/>
      <c r="M48" s="98"/>
      <c r="N48" s="178"/>
      <c r="O48" s="178"/>
      <c r="P48" s="494"/>
      <c r="Q48" s="494"/>
      <c r="R48" s="178"/>
      <c r="S48" s="188"/>
    </row>
    <row r="49" spans="1:19" ht="13.5">
      <c r="A49" s="693"/>
      <c r="B49" s="696"/>
      <c r="C49" s="199">
        <v>5</v>
      </c>
      <c r="D49" s="676" t="s">
        <v>238</v>
      </c>
      <c r="E49" s="677"/>
      <c r="F49" s="677"/>
      <c r="G49" s="201">
        <v>23</v>
      </c>
      <c r="H49" s="201">
        <v>1805.2922385298912</v>
      </c>
      <c r="I49" s="202">
        <v>78.490966892603964</v>
      </c>
      <c r="J49" s="350">
        <f t="shared" si="0"/>
        <v>8.1987577639694109E-2</v>
      </c>
      <c r="K49" s="685"/>
      <c r="L49" s="687"/>
      <c r="M49" s="98"/>
      <c r="N49" s="178"/>
      <c r="O49" s="178"/>
      <c r="P49" s="494"/>
      <c r="Q49" s="494"/>
      <c r="R49" s="178"/>
      <c r="S49" s="188"/>
    </row>
    <row r="50" spans="1:19" ht="13.5">
      <c r="A50" s="693"/>
      <c r="B50" s="696"/>
      <c r="C50" s="203" t="s">
        <v>276</v>
      </c>
      <c r="D50" s="676" t="s">
        <v>244</v>
      </c>
      <c r="E50" s="677"/>
      <c r="F50" s="677"/>
      <c r="G50" s="199">
        <v>24</v>
      </c>
      <c r="H50" s="201">
        <v>1802.1597834001579</v>
      </c>
      <c r="I50" s="202">
        <v>75.089990975006586</v>
      </c>
      <c r="J50" s="350">
        <f t="shared" si="0"/>
        <v>-4.8809523809481448E-2</v>
      </c>
      <c r="K50" s="685"/>
      <c r="L50" s="687"/>
      <c r="M50" s="98"/>
      <c r="N50" s="178"/>
      <c r="O50" s="178"/>
      <c r="P50" s="494"/>
      <c r="Q50" s="494"/>
      <c r="R50" s="178"/>
      <c r="S50" s="188"/>
    </row>
    <row r="51" spans="1:19" ht="13.5">
      <c r="A51" s="693"/>
      <c r="B51" s="696"/>
      <c r="C51" s="203" t="s">
        <v>277</v>
      </c>
      <c r="D51" s="676" t="s">
        <v>237</v>
      </c>
      <c r="E51" s="677"/>
      <c r="F51" s="677"/>
      <c r="G51" s="199">
        <v>24</v>
      </c>
      <c r="H51" s="201">
        <v>1803.0703442133283</v>
      </c>
      <c r="I51" s="202">
        <v>75.127931008888666</v>
      </c>
      <c r="J51" s="350">
        <f t="shared" si="0"/>
        <v>-4.8096318614412326E-2</v>
      </c>
      <c r="K51" s="685"/>
      <c r="L51" s="687"/>
      <c r="M51" s="98"/>
      <c r="N51" s="178"/>
      <c r="O51" s="178"/>
      <c r="P51" s="494"/>
      <c r="Q51" s="494"/>
      <c r="R51" s="178"/>
      <c r="S51" s="188"/>
    </row>
    <row r="52" spans="1:19" ht="13.5">
      <c r="A52" s="693"/>
      <c r="B52" s="696"/>
      <c r="C52" s="203" t="s">
        <v>278</v>
      </c>
      <c r="D52" s="676" t="s">
        <v>245</v>
      </c>
      <c r="E52" s="677"/>
      <c r="F52" s="677"/>
      <c r="G52" s="199">
        <v>24</v>
      </c>
      <c r="H52" s="201">
        <v>1806.0361122913853</v>
      </c>
      <c r="I52" s="202">
        <v>75.25150467880772</v>
      </c>
      <c r="J52" s="350">
        <f t="shared" si="0"/>
        <v>-4.1666666666642982E-2</v>
      </c>
      <c r="K52" s="685"/>
      <c r="L52" s="687"/>
      <c r="M52" s="98"/>
      <c r="N52" s="178"/>
      <c r="O52" s="178"/>
      <c r="P52" s="494"/>
      <c r="Q52" s="494"/>
      <c r="R52" s="178"/>
      <c r="S52" s="188"/>
    </row>
    <row r="53" spans="1:19" ht="13.5">
      <c r="A53" s="693"/>
      <c r="B53" s="696"/>
      <c r="C53" s="203" t="s">
        <v>280</v>
      </c>
      <c r="D53" s="676" t="s">
        <v>243</v>
      </c>
      <c r="E53" s="677"/>
      <c r="F53" s="677"/>
      <c r="G53" s="199">
        <v>24</v>
      </c>
      <c r="H53" s="201">
        <v>1808.7002908543411</v>
      </c>
      <c r="I53" s="202">
        <v>75.36251211893088</v>
      </c>
      <c r="J53" s="350">
        <f t="shared" si="0"/>
        <v>1.9857242050363766E-2</v>
      </c>
      <c r="K53" s="685"/>
      <c r="L53" s="687"/>
      <c r="M53" s="98"/>
      <c r="N53" s="178"/>
      <c r="O53" s="178"/>
      <c r="P53" s="494"/>
      <c r="Q53" s="494"/>
      <c r="R53" s="178"/>
      <c r="S53" s="188"/>
    </row>
    <row r="54" spans="1:19" ht="13.5">
      <c r="A54" s="694"/>
      <c r="B54" s="697"/>
      <c r="C54" s="203" t="s">
        <v>281</v>
      </c>
      <c r="D54" s="685"/>
      <c r="E54" s="686"/>
      <c r="F54" s="687"/>
      <c r="G54" s="199"/>
      <c r="H54" s="201"/>
      <c r="I54" s="202"/>
      <c r="J54" s="350"/>
      <c r="K54" s="685"/>
      <c r="L54" s="687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82" t="s">
        <v>285</v>
      </c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</row>
    <row r="56" spans="1:19" s="189" customFormat="1" ht="15.75" customHeight="1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</row>
    <row r="57" spans="1:19" s="105" customFormat="1" ht="15.75" customHeight="1">
      <c r="A57" s="692" t="s">
        <v>161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5.75" customHeight="1">
      <c r="A58" s="694"/>
      <c r="B58" s="194" t="s">
        <v>259</v>
      </c>
      <c r="C58" s="194" t="s">
        <v>260</v>
      </c>
      <c r="D58" s="194" t="s">
        <v>261</v>
      </c>
      <c r="E58" s="194" t="s">
        <v>262</v>
      </c>
      <c r="F58" s="193" t="s">
        <v>228</v>
      </c>
      <c r="G58" s="208" t="s">
        <v>263</v>
      </c>
      <c r="H58" s="196" t="s">
        <v>264</v>
      </c>
      <c r="I58" s="195" t="s">
        <v>265</v>
      </c>
      <c r="J58" s="195" t="s">
        <v>266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4.25">
      <c r="A59" s="698" t="s">
        <v>89</v>
      </c>
      <c r="B59" s="699"/>
      <c r="C59" s="159" t="s">
        <v>267</v>
      </c>
      <c r="D59" s="698" t="s">
        <v>268</v>
      </c>
      <c r="E59" s="700"/>
      <c r="F59" s="699"/>
      <c r="G59" s="159" t="s">
        <v>269</v>
      </c>
      <c r="H59" s="159" t="s">
        <v>270</v>
      </c>
      <c r="I59" s="159" t="s">
        <v>271</v>
      </c>
      <c r="J59" s="159" t="s">
        <v>272</v>
      </c>
      <c r="K59" s="698" t="s">
        <v>273</v>
      </c>
      <c r="L59" s="699"/>
      <c r="M59" s="192"/>
      <c r="N59" s="178"/>
      <c r="O59" s="493"/>
      <c r="P59" s="493"/>
      <c r="Q59" s="493"/>
      <c r="R59" s="178"/>
      <c r="S59" s="177"/>
    </row>
    <row r="60" spans="1:19" ht="13.5">
      <c r="A60" s="692">
        <v>5</v>
      </c>
      <c r="B60" s="695" t="s">
        <v>228</v>
      </c>
      <c r="C60" s="199">
        <v>1</v>
      </c>
      <c r="D60" s="685"/>
      <c r="E60" s="686"/>
      <c r="F60" s="687"/>
      <c r="G60" s="201"/>
      <c r="H60" s="201"/>
      <c r="I60" s="202"/>
      <c r="J60" s="350">
        <f>I60-I35</f>
        <v>-95.054135338345873</v>
      </c>
      <c r="K60" s="685"/>
      <c r="L60" s="687"/>
      <c r="N60" s="178"/>
      <c r="O60" s="178"/>
      <c r="P60" s="494"/>
      <c r="Q60" s="494"/>
      <c r="R60" s="178"/>
      <c r="S60" s="188"/>
    </row>
    <row r="61" spans="1:19" ht="13.5">
      <c r="A61" s="693"/>
      <c r="B61" s="696"/>
      <c r="C61" s="199">
        <v>2</v>
      </c>
      <c r="D61" s="685"/>
      <c r="E61" s="686"/>
      <c r="F61" s="687"/>
      <c r="G61" s="201"/>
      <c r="H61" s="201"/>
      <c r="I61" s="202"/>
      <c r="J61" s="350"/>
      <c r="K61" s="685"/>
      <c r="L61" s="687"/>
      <c r="N61" s="178"/>
      <c r="O61" s="178"/>
      <c r="P61" s="494"/>
      <c r="Q61" s="494"/>
      <c r="R61" s="178"/>
      <c r="S61" s="188"/>
    </row>
    <row r="62" spans="1:19" ht="13.5">
      <c r="A62" s="693"/>
      <c r="B62" s="696"/>
      <c r="C62" s="199">
        <v>3</v>
      </c>
      <c r="D62" s="685"/>
      <c r="E62" s="686"/>
      <c r="F62" s="687"/>
      <c r="G62" s="201"/>
      <c r="H62" s="201"/>
      <c r="I62" s="202"/>
      <c r="J62" s="350">
        <f t="shared" ref="J62:J68" si="1">I62-I36</f>
        <v>-90.297142857142845</v>
      </c>
      <c r="K62" s="685"/>
      <c r="L62" s="687"/>
      <c r="N62" s="178"/>
      <c r="O62" s="178"/>
      <c r="P62" s="494"/>
      <c r="Q62" s="494"/>
      <c r="R62" s="178"/>
      <c r="S62" s="188"/>
    </row>
    <row r="63" spans="1:19" ht="13.5">
      <c r="A63" s="693"/>
      <c r="B63" s="696"/>
      <c r="C63" s="199">
        <v>4</v>
      </c>
      <c r="D63" s="685"/>
      <c r="E63" s="686"/>
      <c r="F63" s="687"/>
      <c r="G63" s="201"/>
      <c r="H63" s="201"/>
      <c r="I63" s="202"/>
      <c r="J63" s="350">
        <f t="shared" si="1"/>
        <v>-78.478948902462676</v>
      </c>
      <c r="K63" s="685"/>
      <c r="L63" s="687"/>
      <c r="N63" s="178"/>
      <c r="O63" s="178"/>
      <c r="P63" s="494"/>
      <c r="Q63" s="494"/>
      <c r="R63" s="178"/>
      <c r="S63" s="188"/>
    </row>
    <row r="64" spans="1:19" ht="13.5">
      <c r="A64" s="693"/>
      <c r="B64" s="696"/>
      <c r="C64" s="199">
        <v>5</v>
      </c>
      <c r="D64" s="685"/>
      <c r="E64" s="686"/>
      <c r="F64" s="687"/>
      <c r="G64" s="201"/>
      <c r="H64" s="201"/>
      <c r="I64" s="202"/>
      <c r="J64" s="350">
        <f t="shared" si="1"/>
        <v>-78.46687602447733</v>
      </c>
      <c r="K64" s="685"/>
      <c r="L64" s="687"/>
      <c r="N64" s="178"/>
      <c r="O64" s="178"/>
      <c r="P64" s="494"/>
      <c r="Q64" s="494"/>
      <c r="R64" s="178"/>
      <c r="S64" s="188"/>
    </row>
    <row r="65" spans="1:19" ht="13.5">
      <c r="A65" s="693"/>
      <c r="B65" s="696"/>
      <c r="C65" s="203" t="s">
        <v>276</v>
      </c>
      <c r="D65" s="685"/>
      <c r="E65" s="686"/>
      <c r="F65" s="687"/>
      <c r="G65" s="201"/>
      <c r="H65" s="201"/>
      <c r="I65" s="202"/>
      <c r="J65" s="350">
        <f t="shared" si="1"/>
        <v>-75.264784247701613</v>
      </c>
      <c r="K65" s="685"/>
      <c r="L65" s="687"/>
      <c r="N65" s="178"/>
      <c r="O65" s="178"/>
      <c r="P65" s="494"/>
      <c r="Q65" s="494"/>
      <c r="R65" s="178"/>
      <c r="S65" s="188"/>
    </row>
    <row r="66" spans="1:19" ht="13.5">
      <c r="A66" s="693"/>
      <c r="B66" s="696"/>
      <c r="C66" s="203" t="s">
        <v>277</v>
      </c>
      <c r="D66" s="685"/>
      <c r="E66" s="686"/>
      <c r="F66" s="687"/>
      <c r="G66" s="201"/>
      <c r="H66" s="201"/>
      <c r="I66" s="202"/>
      <c r="J66" s="350">
        <f t="shared" si="1"/>
        <v>-77.48458824699901</v>
      </c>
      <c r="K66" s="685"/>
      <c r="L66" s="687"/>
      <c r="N66" s="178"/>
      <c r="O66" s="178"/>
      <c r="P66" s="494"/>
      <c r="Q66" s="494"/>
      <c r="R66" s="178"/>
      <c r="S66" s="188"/>
    </row>
    <row r="67" spans="1:19" ht="13.5">
      <c r="A67" s="693"/>
      <c r="B67" s="696"/>
      <c r="C67" s="203" t="s">
        <v>278</v>
      </c>
      <c r="D67" s="685"/>
      <c r="E67" s="686"/>
      <c r="F67" s="687"/>
      <c r="G67" s="201"/>
      <c r="H67" s="201"/>
      <c r="I67" s="202"/>
      <c r="J67" s="350">
        <f t="shared" si="1"/>
        <v>-78.443043167139393</v>
      </c>
      <c r="K67" s="685"/>
      <c r="L67" s="687"/>
      <c r="N67" s="178"/>
      <c r="O67" s="178"/>
      <c r="P67" s="494"/>
      <c r="Q67" s="494"/>
      <c r="R67" s="178"/>
      <c r="S67" s="188"/>
    </row>
    <row r="68" spans="1:19" ht="13.5">
      <c r="A68" s="693"/>
      <c r="B68" s="696"/>
      <c r="C68" s="203" t="s">
        <v>280</v>
      </c>
      <c r="D68" s="685"/>
      <c r="E68" s="686"/>
      <c r="F68" s="687"/>
      <c r="G68" s="201"/>
      <c r="H68" s="201"/>
      <c r="I68" s="202"/>
      <c r="J68" s="350">
        <f t="shared" si="1"/>
        <v>0</v>
      </c>
      <c r="K68" s="685"/>
      <c r="L68" s="687"/>
      <c r="M68" s="98"/>
      <c r="N68" s="178"/>
      <c r="O68" s="178"/>
      <c r="P68" s="494"/>
      <c r="Q68" s="494"/>
      <c r="R68" s="178"/>
      <c r="S68" s="188"/>
    </row>
    <row r="69" spans="1:19" ht="13.5">
      <c r="A69" s="694"/>
      <c r="B69" s="697"/>
      <c r="C69" s="203" t="s">
        <v>281</v>
      </c>
      <c r="D69" s="685"/>
      <c r="E69" s="686"/>
      <c r="F69" s="687"/>
      <c r="G69" s="201"/>
      <c r="H69" s="201"/>
      <c r="I69" s="202"/>
      <c r="J69" s="199"/>
      <c r="K69" s="685"/>
      <c r="L69" s="687"/>
      <c r="M69" s="98"/>
      <c r="N69" s="178"/>
      <c r="O69" s="178"/>
      <c r="P69" s="494"/>
      <c r="Q69" s="494"/>
      <c r="R69" s="178"/>
      <c r="S69" s="188"/>
    </row>
    <row r="70" spans="1:19" s="103" customFormat="1" ht="14.25">
      <c r="A70" s="688" t="s">
        <v>89</v>
      </c>
      <c r="B70" s="690"/>
      <c r="C70" s="206" t="s">
        <v>267</v>
      </c>
      <c r="D70" s="688" t="s">
        <v>268</v>
      </c>
      <c r="E70" s="689"/>
      <c r="F70" s="690"/>
      <c r="G70" s="206" t="s">
        <v>269</v>
      </c>
      <c r="H70" s="206" t="s">
        <v>270</v>
      </c>
      <c r="I70" s="206" t="s">
        <v>271</v>
      </c>
      <c r="J70" s="159" t="s">
        <v>272</v>
      </c>
      <c r="K70" s="688" t="s">
        <v>273</v>
      </c>
      <c r="L70" s="690"/>
      <c r="M70" s="127"/>
      <c r="N70" s="178"/>
      <c r="O70" s="178"/>
      <c r="P70" s="494"/>
      <c r="Q70" s="494"/>
      <c r="R70" s="178"/>
      <c r="S70" s="198"/>
    </row>
    <row r="71" spans="1:19" ht="13.5">
      <c r="A71" s="692">
        <v>6</v>
      </c>
      <c r="B71" s="695" t="s">
        <v>263</v>
      </c>
      <c r="C71" s="199">
        <v>1</v>
      </c>
      <c r="D71" s="685"/>
      <c r="E71" s="686"/>
      <c r="F71" s="687"/>
      <c r="G71" s="199"/>
      <c r="H71" s="201"/>
      <c r="I71" s="202"/>
      <c r="J71" s="350">
        <f t="shared" ref="J71:J76" si="2">I71-I45</f>
        <v>-90.255076582098127</v>
      </c>
      <c r="K71" s="685"/>
      <c r="L71" s="687"/>
      <c r="M71" s="98"/>
      <c r="N71" s="178"/>
      <c r="O71" s="178"/>
      <c r="P71" s="494"/>
      <c r="Q71" s="494"/>
      <c r="R71" s="178"/>
      <c r="S71" s="188"/>
    </row>
    <row r="72" spans="1:19" ht="13.5">
      <c r="A72" s="693"/>
      <c r="B72" s="696"/>
      <c r="C72" s="199">
        <v>2</v>
      </c>
      <c r="D72" s="685"/>
      <c r="E72" s="686"/>
      <c r="F72" s="687"/>
      <c r="G72" s="201"/>
      <c r="H72" s="201"/>
      <c r="I72" s="202"/>
      <c r="J72" s="350">
        <f t="shared" si="2"/>
        <v>-90.212470058040708</v>
      </c>
      <c r="K72" s="685"/>
      <c r="L72" s="687"/>
      <c r="M72" s="98"/>
      <c r="N72" s="178"/>
      <c r="O72" s="178"/>
      <c r="P72" s="494"/>
      <c r="Q72" s="494"/>
      <c r="R72" s="178"/>
      <c r="S72" s="188"/>
    </row>
    <row r="73" spans="1:19" ht="13.5">
      <c r="A73" s="693"/>
      <c r="B73" s="696"/>
      <c r="C73" s="199">
        <v>3</v>
      </c>
      <c r="D73" s="685"/>
      <c r="E73" s="686"/>
      <c r="F73" s="687"/>
      <c r="G73" s="201"/>
      <c r="H73" s="201"/>
      <c r="I73" s="202"/>
      <c r="J73" s="350">
        <f t="shared" si="2"/>
        <v>-82.063182783764887</v>
      </c>
      <c r="K73" s="685"/>
      <c r="L73" s="687"/>
      <c r="M73" s="98"/>
      <c r="N73" s="178"/>
      <c r="O73" s="178"/>
      <c r="P73" s="494"/>
      <c r="Q73" s="494"/>
      <c r="R73" s="178"/>
      <c r="S73" s="188"/>
    </row>
    <row r="74" spans="1:19" ht="13.5">
      <c r="A74" s="693"/>
      <c r="B74" s="696"/>
      <c r="C74" s="199">
        <v>4</v>
      </c>
      <c r="D74" s="685"/>
      <c r="E74" s="686"/>
      <c r="F74" s="687"/>
      <c r="G74" s="199"/>
      <c r="H74" s="201"/>
      <c r="I74" s="202"/>
      <c r="J74" s="350">
        <f t="shared" si="2"/>
        <v>-78.616857861359179</v>
      </c>
      <c r="K74" s="685"/>
      <c r="L74" s="687"/>
      <c r="M74" s="98"/>
      <c r="N74" s="178"/>
      <c r="O74" s="178"/>
      <c r="P74" s="494"/>
      <c r="Q74" s="494"/>
      <c r="R74" s="178"/>
      <c r="S74" s="188"/>
    </row>
    <row r="75" spans="1:19" ht="13.5">
      <c r="A75" s="693"/>
      <c r="B75" s="696"/>
      <c r="C75" s="199">
        <v>5</v>
      </c>
      <c r="D75" s="685"/>
      <c r="E75" s="686"/>
      <c r="F75" s="687"/>
      <c r="G75" s="201"/>
      <c r="H75" s="201"/>
      <c r="I75" s="202"/>
      <c r="J75" s="350">
        <f t="shared" si="2"/>
        <v>-78.490966892603964</v>
      </c>
      <c r="K75" s="685"/>
      <c r="L75" s="687"/>
      <c r="M75" s="98"/>
      <c r="N75" s="178"/>
      <c r="O75" s="178"/>
      <c r="P75" s="494"/>
      <c r="Q75" s="494"/>
      <c r="R75" s="178"/>
      <c r="S75" s="188"/>
    </row>
    <row r="76" spans="1:19" ht="13.5">
      <c r="A76" s="693"/>
      <c r="B76" s="696"/>
      <c r="C76" s="203" t="s">
        <v>276</v>
      </c>
      <c r="D76" s="685"/>
      <c r="E76" s="686"/>
      <c r="F76" s="687"/>
      <c r="G76" s="199"/>
      <c r="H76" s="201"/>
      <c r="I76" s="202"/>
      <c r="J76" s="350">
        <f t="shared" si="2"/>
        <v>-75.089990975006586</v>
      </c>
      <c r="K76" s="685"/>
      <c r="L76" s="687"/>
      <c r="M76" s="98"/>
      <c r="N76" s="178"/>
      <c r="O76" s="178"/>
      <c r="P76" s="494"/>
      <c r="Q76" s="494"/>
      <c r="R76" s="178"/>
      <c r="S76" s="188"/>
    </row>
    <row r="77" spans="1:19" ht="13.5">
      <c r="A77" s="693"/>
      <c r="B77" s="696"/>
      <c r="C77" s="203" t="s">
        <v>277</v>
      </c>
      <c r="D77" s="685"/>
      <c r="E77" s="686"/>
      <c r="F77" s="687"/>
      <c r="G77" s="199"/>
      <c r="H77" s="201"/>
      <c r="I77" s="202"/>
      <c r="J77" s="350"/>
      <c r="K77" s="685"/>
      <c r="L77" s="687"/>
      <c r="M77" s="98"/>
      <c r="N77" s="178"/>
      <c r="O77" s="178"/>
      <c r="P77" s="494"/>
      <c r="Q77" s="494"/>
      <c r="R77" s="178"/>
      <c r="S77" s="188"/>
    </row>
    <row r="78" spans="1:19" ht="13.5">
      <c r="A78" s="693"/>
      <c r="B78" s="696"/>
      <c r="C78" s="203" t="s">
        <v>278</v>
      </c>
      <c r="D78" s="685"/>
      <c r="E78" s="686"/>
      <c r="F78" s="687"/>
      <c r="G78" s="199"/>
      <c r="H78" s="201"/>
      <c r="I78" s="202"/>
      <c r="J78" s="350">
        <f>I78-I51</f>
        <v>-75.127931008888666</v>
      </c>
      <c r="K78" s="685"/>
      <c r="L78" s="687"/>
      <c r="M78" s="98"/>
      <c r="N78" s="178"/>
      <c r="O78" s="178"/>
      <c r="P78" s="494"/>
      <c r="Q78" s="494"/>
      <c r="R78" s="178"/>
      <c r="S78" s="188"/>
    </row>
    <row r="79" spans="1:19" ht="13.5">
      <c r="A79" s="693"/>
      <c r="B79" s="696"/>
      <c r="C79" s="203" t="s">
        <v>280</v>
      </c>
      <c r="D79" s="685"/>
      <c r="E79" s="686"/>
      <c r="F79" s="687"/>
      <c r="G79" s="199"/>
      <c r="H79" s="201"/>
      <c r="I79" s="202"/>
      <c r="J79" s="350">
        <f>I79-I52</f>
        <v>-75.25150467880772</v>
      </c>
      <c r="K79" s="685"/>
      <c r="L79" s="687"/>
      <c r="M79" s="98"/>
      <c r="N79" s="178"/>
      <c r="O79" s="178"/>
      <c r="P79" s="494"/>
      <c r="Q79" s="494"/>
      <c r="R79" s="178"/>
      <c r="S79" s="188"/>
    </row>
    <row r="80" spans="1:19" ht="13.5">
      <c r="A80" s="694"/>
      <c r="B80" s="697"/>
      <c r="C80" s="203" t="s">
        <v>281</v>
      </c>
      <c r="D80" s="685"/>
      <c r="E80" s="686"/>
      <c r="F80" s="687"/>
      <c r="G80" s="199"/>
      <c r="H80" s="201"/>
      <c r="I80" s="202"/>
      <c r="J80" s="350">
        <f>I80-I53</f>
        <v>-75.36251211893088</v>
      </c>
      <c r="K80" s="685"/>
      <c r="L80" s="687"/>
      <c r="M80" s="98"/>
      <c r="N80" s="178"/>
      <c r="O80" s="178"/>
      <c r="P80" s="494"/>
      <c r="Q80" s="494"/>
      <c r="R80" s="178"/>
      <c r="S80" s="188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80"/>
  <sheetViews>
    <sheetView view="pageBreakPreview" topLeftCell="A23" zoomScale="110" zoomScaleNormal="60" zoomScaleSheetLayoutView="110" workbookViewId="0">
      <selection activeCell="M31" sqref="M31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80" t="s">
        <v>257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98"/>
    </row>
    <row r="2" spans="1:18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N2" s="189"/>
      <c r="O2" s="189"/>
      <c r="P2" s="189"/>
      <c r="Q2" s="189"/>
      <c r="R2" s="189"/>
    </row>
    <row r="3" spans="1:18" s="188" customFormat="1" ht="15.75" customHeight="1">
      <c r="A3" s="682" t="s">
        <v>258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</row>
    <row r="4" spans="1:18" s="189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</row>
    <row r="5" spans="1:18" s="105" customFormat="1" ht="16.350000000000001" customHeight="1">
      <c r="A5" s="692" t="s">
        <v>161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94"/>
      <c r="B6" s="194" t="s">
        <v>259</v>
      </c>
      <c r="C6" s="194" t="s">
        <v>260</v>
      </c>
      <c r="D6" s="194" t="s">
        <v>261</v>
      </c>
      <c r="E6" s="194" t="s">
        <v>262</v>
      </c>
      <c r="F6" s="194" t="s">
        <v>290</v>
      </c>
      <c r="G6" s="195" t="s">
        <v>263</v>
      </c>
      <c r="H6" s="193" t="s">
        <v>264</v>
      </c>
      <c r="I6" s="208" t="s">
        <v>265</v>
      </c>
      <c r="J6" s="195" t="s">
        <v>266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98" t="s">
        <v>89</v>
      </c>
      <c r="B7" s="699"/>
      <c r="C7" s="159" t="s">
        <v>267</v>
      </c>
      <c r="D7" s="698" t="s">
        <v>268</v>
      </c>
      <c r="E7" s="700"/>
      <c r="F7" s="699"/>
      <c r="G7" s="159" t="s">
        <v>269</v>
      </c>
      <c r="H7" s="159" t="s">
        <v>270</v>
      </c>
      <c r="I7" s="159" t="s">
        <v>271</v>
      </c>
      <c r="J7" s="159" t="s">
        <v>272</v>
      </c>
      <c r="K7" s="698" t="s">
        <v>273</v>
      </c>
      <c r="L7" s="699"/>
      <c r="M7" s="126"/>
      <c r="N7" s="188"/>
      <c r="O7" s="198"/>
      <c r="P7" s="380"/>
      <c r="Q7" s="380"/>
      <c r="R7" s="198"/>
    </row>
    <row r="8" spans="1:18" ht="15">
      <c r="A8" s="692">
        <v>7</v>
      </c>
      <c r="B8" s="695" t="s">
        <v>291</v>
      </c>
      <c r="C8" s="199">
        <v>1</v>
      </c>
      <c r="D8" s="701"/>
      <c r="E8" s="677"/>
      <c r="F8" s="677"/>
      <c r="G8" s="199"/>
      <c r="H8" s="201"/>
      <c r="I8" s="202"/>
      <c r="J8" s="199"/>
      <c r="K8" s="685"/>
      <c r="L8" s="687"/>
      <c r="N8" s="381"/>
      <c r="O8" s="198"/>
      <c r="P8" s="380"/>
      <c r="Q8" s="380"/>
      <c r="R8" s="198"/>
    </row>
    <row r="9" spans="1:18" ht="15">
      <c r="A9" s="693"/>
      <c r="B9" s="696"/>
      <c r="C9" s="199">
        <v>2</v>
      </c>
      <c r="D9" s="701"/>
      <c r="E9" s="677"/>
      <c r="F9" s="677"/>
      <c r="G9" s="199"/>
      <c r="H9" s="201"/>
      <c r="I9" s="202"/>
      <c r="J9" s="199"/>
      <c r="K9" s="685"/>
      <c r="L9" s="687"/>
      <c r="O9" s="198"/>
      <c r="P9" s="380"/>
      <c r="Q9" s="380"/>
      <c r="R9" s="198"/>
    </row>
    <row r="10" spans="1:18" ht="13.5">
      <c r="A10" s="693"/>
      <c r="B10" s="696"/>
      <c r="C10" s="199">
        <v>3</v>
      </c>
      <c r="D10" s="685"/>
      <c r="E10" s="686"/>
      <c r="F10" s="687"/>
      <c r="G10" s="199"/>
      <c r="H10" s="201"/>
      <c r="I10" s="202"/>
      <c r="J10" s="199"/>
      <c r="K10" s="685"/>
      <c r="L10" s="687"/>
      <c r="O10" s="198"/>
      <c r="P10" s="380"/>
      <c r="Q10" s="380"/>
      <c r="R10" s="198"/>
    </row>
    <row r="11" spans="1:18" ht="13.5">
      <c r="A11" s="693"/>
      <c r="B11" s="696"/>
      <c r="C11" s="199">
        <v>4</v>
      </c>
      <c r="D11" s="685"/>
      <c r="E11" s="686"/>
      <c r="F11" s="687"/>
      <c r="G11" s="199"/>
      <c r="H11" s="201"/>
      <c r="I11" s="202"/>
      <c r="J11" s="199"/>
      <c r="K11" s="685"/>
      <c r="L11" s="687"/>
      <c r="O11" s="198"/>
      <c r="P11" s="380"/>
      <c r="Q11" s="380"/>
      <c r="R11" s="198"/>
    </row>
    <row r="12" spans="1:18" ht="13.5">
      <c r="A12" s="693"/>
      <c r="B12" s="696"/>
      <c r="C12" s="199">
        <v>5</v>
      </c>
      <c r="D12" s="685"/>
      <c r="E12" s="686"/>
      <c r="F12" s="687"/>
      <c r="G12" s="199"/>
      <c r="H12" s="201"/>
      <c r="I12" s="202"/>
      <c r="J12" s="199"/>
      <c r="K12" s="685"/>
      <c r="L12" s="687"/>
      <c r="N12" s="177"/>
      <c r="O12" s="198"/>
      <c r="P12" s="380"/>
      <c r="Q12" s="380"/>
      <c r="R12" s="198"/>
    </row>
    <row r="13" spans="1:18" ht="13.5">
      <c r="A13" s="693"/>
      <c r="B13" s="696"/>
      <c r="C13" s="203" t="s">
        <v>276</v>
      </c>
      <c r="D13" s="685"/>
      <c r="E13" s="686"/>
      <c r="F13" s="687"/>
      <c r="G13" s="199"/>
      <c r="H13" s="201"/>
      <c r="I13" s="202"/>
      <c r="J13" s="199"/>
      <c r="K13" s="685"/>
      <c r="L13" s="687"/>
      <c r="N13" s="381"/>
      <c r="O13" s="198"/>
      <c r="P13" s="380"/>
      <c r="Q13" s="380"/>
      <c r="R13" s="198"/>
    </row>
    <row r="14" spans="1:18" ht="13.5">
      <c r="A14" s="693"/>
      <c r="B14" s="696"/>
      <c r="C14" s="203" t="s">
        <v>277</v>
      </c>
      <c r="D14" s="685"/>
      <c r="E14" s="686"/>
      <c r="F14" s="687"/>
      <c r="G14" s="199"/>
      <c r="H14" s="201"/>
      <c r="I14" s="202"/>
      <c r="J14" s="199"/>
      <c r="K14" s="685"/>
      <c r="L14" s="687"/>
      <c r="O14" s="198"/>
      <c r="P14" s="380"/>
      <c r="Q14" s="380"/>
      <c r="R14" s="198"/>
    </row>
    <row r="15" spans="1:18" ht="13.5">
      <c r="A15" s="693"/>
      <c r="B15" s="696"/>
      <c r="C15" s="203" t="s">
        <v>278</v>
      </c>
      <c r="D15" s="685"/>
      <c r="E15" s="686"/>
      <c r="F15" s="687"/>
      <c r="G15" s="199"/>
      <c r="H15" s="201"/>
      <c r="I15" s="202"/>
      <c r="J15" s="199"/>
      <c r="K15" s="685"/>
      <c r="L15" s="687"/>
      <c r="O15" s="198"/>
      <c r="P15" s="380"/>
      <c r="Q15" s="380"/>
      <c r="R15" s="198"/>
    </row>
    <row r="16" spans="1:18" ht="13.5">
      <c r="A16" s="693"/>
      <c r="B16" s="696"/>
      <c r="C16" s="203" t="s">
        <v>280</v>
      </c>
      <c r="D16" s="685"/>
      <c r="E16" s="686"/>
      <c r="F16" s="687"/>
      <c r="G16" s="199"/>
      <c r="H16" s="201"/>
      <c r="I16" s="202"/>
      <c r="J16" s="199"/>
      <c r="K16" s="685"/>
      <c r="L16" s="687"/>
      <c r="M16" s="98"/>
      <c r="O16" s="198"/>
      <c r="P16" s="380"/>
      <c r="Q16" s="380"/>
      <c r="R16" s="198"/>
    </row>
    <row r="17" spans="1:18" ht="13.5">
      <c r="A17" s="694"/>
      <c r="B17" s="697"/>
      <c r="C17" s="203" t="s">
        <v>281</v>
      </c>
      <c r="D17" s="685"/>
      <c r="E17" s="686"/>
      <c r="F17" s="687"/>
      <c r="G17" s="199"/>
      <c r="H17" s="201"/>
      <c r="I17" s="202"/>
      <c r="J17" s="199"/>
      <c r="K17" s="685"/>
      <c r="L17" s="687"/>
      <c r="M17" s="98"/>
      <c r="N17" s="198"/>
      <c r="O17" s="198"/>
      <c r="P17" s="380"/>
      <c r="Q17" s="380"/>
      <c r="R17" s="198"/>
    </row>
    <row r="18" spans="1:18" s="103" customFormat="1" ht="14.25">
      <c r="A18" s="688" t="s">
        <v>89</v>
      </c>
      <c r="B18" s="690"/>
      <c r="C18" s="206" t="s">
        <v>267</v>
      </c>
      <c r="D18" s="688" t="s">
        <v>268</v>
      </c>
      <c r="E18" s="689"/>
      <c r="F18" s="690"/>
      <c r="G18" s="206" t="s">
        <v>269</v>
      </c>
      <c r="H18" s="206" t="s">
        <v>270</v>
      </c>
      <c r="I18" s="206" t="s">
        <v>271</v>
      </c>
      <c r="J18" s="159" t="s">
        <v>272</v>
      </c>
      <c r="K18" s="688" t="s">
        <v>273</v>
      </c>
      <c r="L18" s="690"/>
      <c r="M18" s="127"/>
      <c r="N18" s="188"/>
      <c r="O18" s="198"/>
      <c r="P18" s="380"/>
      <c r="Q18" s="380"/>
      <c r="R18" s="198"/>
    </row>
    <row r="19" spans="1:18" ht="13.5">
      <c r="A19" s="692">
        <v>8</v>
      </c>
      <c r="B19" s="695" t="s">
        <v>292</v>
      </c>
      <c r="C19" s="199">
        <v>1</v>
      </c>
      <c r="D19" s="685" t="s">
        <v>251</v>
      </c>
      <c r="E19" s="686"/>
      <c r="F19" s="687"/>
      <c r="G19" s="199">
        <v>18</v>
      </c>
      <c r="H19" s="201">
        <v>3194.2829075900913</v>
      </c>
      <c r="I19" s="202">
        <v>177.46016153278285</v>
      </c>
      <c r="J19" s="350">
        <v>0.10092429050192209</v>
      </c>
      <c r="K19" s="676" t="s">
        <v>275</v>
      </c>
      <c r="L19" s="677"/>
      <c r="M19" s="98"/>
      <c r="O19" s="198"/>
      <c r="P19" s="380"/>
      <c r="Q19" s="380"/>
      <c r="R19" s="198"/>
    </row>
    <row r="20" spans="1:18" ht="13.5">
      <c r="A20" s="693"/>
      <c r="B20" s="696"/>
      <c r="C20" s="199">
        <v>2</v>
      </c>
      <c r="D20" s="685" t="s">
        <v>293</v>
      </c>
      <c r="E20" s="686"/>
      <c r="F20" s="687"/>
      <c r="G20" s="199">
        <v>18</v>
      </c>
      <c r="H20" s="201">
        <v>3193.1890176192533</v>
      </c>
      <c r="I20" s="202">
        <v>177.39938986773629</v>
      </c>
      <c r="J20" s="350">
        <v>3.5891823011127144E-2</v>
      </c>
      <c r="K20" s="676" t="s">
        <v>275</v>
      </c>
      <c r="L20" s="677"/>
      <c r="M20" s="98"/>
      <c r="O20" s="177"/>
      <c r="P20" s="379"/>
      <c r="Q20" s="379"/>
      <c r="R20" s="177"/>
    </row>
    <row r="21" spans="1:18">
      <c r="A21" s="693"/>
      <c r="B21" s="696"/>
      <c r="C21" s="199">
        <v>3</v>
      </c>
      <c r="D21" s="685" t="s">
        <v>248</v>
      </c>
      <c r="E21" s="686"/>
      <c r="F21" s="687"/>
      <c r="G21" s="199">
        <v>19</v>
      </c>
      <c r="H21" s="201">
        <v>3267.6685714285704</v>
      </c>
      <c r="I21" s="202">
        <v>171.98255639097738</v>
      </c>
      <c r="J21" s="350">
        <v>6.0823873006191604</v>
      </c>
      <c r="K21" s="691" t="s">
        <v>294</v>
      </c>
      <c r="L21" s="677"/>
      <c r="M21" s="98"/>
      <c r="O21" s="198"/>
      <c r="P21" s="380"/>
      <c r="Q21" s="380"/>
      <c r="R21" s="198"/>
    </row>
    <row r="22" spans="1:18" ht="13.5">
      <c r="A22" s="693"/>
      <c r="B22" s="696"/>
      <c r="C22" s="199">
        <v>4</v>
      </c>
      <c r="D22" s="685" t="s">
        <v>253</v>
      </c>
      <c r="E22" s="686"/>
      <c r="F22" s="687"/>
      <c r="G22" s="199">
        <v>19</v>
      </c>
      <c r="H22" s="201">
        <v>3265.3896203596464</v>
      </c>
      <c r="I22" s="202">
        <v>171.86261159787614</v>
      </c>
      <c r="J22" s="350">
        <v>-3.5733783720473866E-2</v>
      </c>
      <c r="K22" s="676" t="s">
        <v>275</v>
      </c>
      <c r="L22" s="677"/>
      <c r="M22" s="98"/>
      <c r="O22" s="198"/>
      <c r="P22" s="380"/>
      <c r="Q22" s="380"/>
      <c r="R22" s="198"/>
    </row>
    <row r="23" spans="1:18">
      <c r="A23" s="693"/>
      <c r="B23" s="696"/>
      <c r="C23" s="199">
        <v>5</v>
      </c>
      <c r="D23" s="685" t="s">
        <v>249</v>
      </c>
      <c r="E23" s="686"/>
      <c r="F23" s="687"/>
      <c r="G23" s="199">
        <v>20</v>
      </c>
      <c r="H23" s="201">
        <v>3270.2400000000007</v>
      </c>
      <c r="I23" s="202">
        <v>163.512</v>
      </c>
      <c r="J23" s="350">
        <v>5.6111584340045511</v>
      </c>
      <c r="K23" s="691" t="s">
        <v>294</v>
      </c>
      <c r="L23" s="677"/>
      <c r="M23" s="98"/>
      <c r="O23" s="198"/>
      <c r="P23" s="380"/>
      <c r="Q23" s="380"/>
      <c r="R23" s="198"/>
    </row>
    <row r="24" spans="1:18" ht="13.5">
      <c r="A24" s="693"/>
      <c r="B24" s="696"/>
      <c r="C24" s="203" t="s">
        <v>276</v>
      </c>
      <c r="D24" s="685" t="s">
        <v>250</v>
      </c>
      <c r="E24" s="686"/>
      <c r="F24" s="687"/>
      <c r="G24" s="199">
        <v>23</v>
      </c>
      <c r="H24" s="201">
        <v>3263.4450916669825</v>
      </c>
      <c r="I24" s="202">
        <v>141.88891702899926</v>
      </c>
      <c r="J24" s="350">
        <v>-4.4142616890098907E-2</v>
      </c>
      <c r="K24" s="676" t="s">
        <v>275</v>
      </c>
      <c r="L24" s="677"/>
      <c r="M24" s="98"/>
      <c r="O24" s="198"/>
      <c r="P24" s="380"/>
      <c r="Q24" s="380"/>
      <c r="R24" s="198"/>
    </row>
    <row r="25" spans="1:18" ht="13.5">
      <c r="A25" s="693"/>
      <c r="B25" s="696"/>
      <c r="C25" s="203" t="s">
        <v>277</v>
      </c>
      <c r="D25" s="685" t="s">
        <v>252</v>
      </c>
      <c r="E25" s="686"/>
      <c r="F25" s="687"/>
      <c r="G25" s="199">
        <v>23</v>
      </c>
      <c r="H25" s="201">
        <v>3270.082718336861</v>
      </c>
      <c r="I25" s="202">
        <v>142.17750949290698</v>
      </c>
      <c r="J25" s="350">
        <v>0.12298136645955537</v>
      </c>
      <c r="K25" s="676" t="s">
        <v>275</v>
      </c>
      <c r="L25" s="677"/>
      <c r="M25" s="98"/>
      <c r="O25" s="198"/>
      <c r="P25" s="380"/>
      <c r="Q25" s="380"/>
      <c r="R25" s="198"/>
    </row>
    <row r="26" spans="1:18" ht="13.5">
      <c r="A26" s="693"/>
      <c r="B26" s="696"/>
      <c r="C26" s="203" t="s">
        <v>278</v>
      </c>
      <c r="D26" s="685" t="s">
        <v>254</v>
      </c>
      <c r="E26" s="686"/>
      <c r="F26" s="687"/>
      <c r="G26" s="199">
        <v>21</v>
      </c>
      <c r="H26" s="201">
        <v>3193.4587010693799</v>
      </c>
      <c r="I26" s="202">
        <v>152.06946195568474</v>
      </c>
      <c r="J26" s="350">
        <v>4.3636878012137004E-2</v>
      </c>
      <c r="K26" s="676" t="s">
        <v>275</v>
      </c>
      <c r="L26" s="677"/>
      <c r="M26" s="98"/>
      <c r="O26" s="198"/>
      <c r="P26" s="380"/>
      <c r="Q26" s="380"/>
      <c r="R26" s="198"/>
    </row>
    <row r="27" spans="1:18" ht="13.5">
      <c r="A27" s="693"/>
      <c r="B27" s="696"/>
      <c r="C27" s="203" t="s">
        <v>280</v>
      </c>
      <c r="D27" s="685"/>
      <c r="E27" s="686"/>
      <c r="F27" s="687"/>
      <c r="G27" s="199"/>
      <c r="H27" s="201"/>
      <c r="I27" s="202"/>
      <c r="J27" s="199"/>
      <c r="K27" s="685"/>
      <c r="L27" s="687"/>
      <c r="M27" s="98"/>
      <c r="O27" s="198"/>
      <c r="P27" s="380"/>
      <c r="Q27" s="380"/>
      <c r="R27" s="198"/>
    </row>
    <row r="28" spans="1:18" ht="13.5">
      <c r="A28" s="694"/>
      <c r="B28" s="697"/>
      <c r="C28" s="203" t="s">
        <v>281</v>
      </c>
      <c r="D28" s="685"/>
      <c r="E28" s="686"/>
      <c r="F28" s="687"/>
      <c r="G28" s="199"/>
      <c r="H28" s="201"/>
      <c r="I28" s="202"/>
      <c r="J28" s="199"/>
      <c r="K28" s="685"/>
      <c r="L28" s="687"/>
      <c r="M28" s="98"/>
      <c r="O28" s="198"/>
      <c r="P28" s="380"/>
      <c r="Q28" s="380"/>
      <c r="R28" s="198"/>
    </row>
    <row r="29" spans="1:18" s="188" customFormat="1" ht="15.75" customHeight="1">
      <c r="A29" s="682" t="s">
        <v>284</v>
      </c>
      <c r="B29" s="682"/>
      <c r="C29" s="682"/>
      <c r="D29" s="682"/>
      <c r="E29" s="682"/>
      <c r="F29" s="682"/>
      <c r="G29" s="682"/>
      <c r="H29" s="682"/>
      <c r="I29" s="682"/>
      <c r="J29" s="682"/>
      <c r="K29" s="682"/>
      <c r="L29" s="682"/>
    </row>
    <row r="30" spans="1:18" s="189" customFormat="1" ht="15.75" customHeight="1">
      <c r="A30" s="682"/>
      <c r="B30" s="682"/>
      <c r="C30" s="682"/>
      <c r="D30" s="682"/>
      <c r="E30" s="682"/>
      <c r="F30" s="682"/>
      <c r="G30" s="682"/>
      <c r="H30" s="682"/>
      <c r="I30" s="682"/>
      <c r="J30" s="682"/>
      <c r="K30" s="682"/>
      <c r="L30" s="682"/>
    </row>
    <row r="31" spans="1:18" s="105" customFormat="1" ht="16.350000000000001" customHeight="1">
      <c r="A31" s="692" t="s">
        <v>161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94"/>
      <c r="B32" s="194" t="s">
        <v>259</v>
      </c>
      <c r="C32" s="194" t="s">
        <v>260</v>
      </c>
      <c r="D32" s="194" t="s">
        <v>261</v>
      </c>
      <c r="E32" s="194" t="s">
        <v>262</v>
      </c>
      <c r="F32" s="194" t="s">
        <v>290</v>
      </c>
      <c r="G32" s="195" t="s">
        <v>263</v>
      </c>
      <c r="H32" s="193" t="s">
        <v>264</v>
      </c>
      <c r="I32" s="208" t="s">
        <v>265</v>
      </c>
      <c r="J32" s="195" t="s">
        <v>266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98" t="s">
        <v>89</v>
      </c>
      <c r="B33" s="699"/>
      <c r="C33" s="159" t="s">
        <v>267</v>
      </c>
      <c r="D33" s="698" t="s">
        <v>268</v>
      </c>
      <c r="E33" s="700"/>
      <c r="F33" s="699"/>
      <c r="G33" s="159" t="s">
        <v>269</v>
      </c>
      <c r="H33" s="159" t="s">
        <v>270</v>
      </c>
      <c r="I33" s="159" t="s">
        <v>271</v>
      </c>
      <c r="J33" s="159" t="s">
        <v>272</v>
      </c>
      <c r="K33" s="698" t="s">
        <v>273</v>
      </c>
      <c r="L33" s="699"/>
      <c r="M33" s="126"/>
      <c r="N33" s="188"/>
      <c r="O33" s="198"/>
      <c r="P33" s="380"/>
      <c r="Q33" s="380"/>
      <c r="R33" s="198"/>
    </row>
    <row r="34" spans="1:18" ht="15">
      <c r="A34" s="692">
        <v>7</v>
      </c>
      <c r="B34" s="695" t="s">
        <v>291</v>
      </c>
      <c r="C34" s="199">
        <v>1</v>
      </c>
      <c r="D34" s="701"/>
      <c r="E34" s="677"/>
      <c r="F34" s="677"/>
      <c r="G34" s="199"/>
      <c r="H34" s="201"/>
      <c r="I34" s="202"/>
      <c r="J34" s="199"/>
      <c r="K34" s="685"/>
      <c r="L34" s="687"/>
      <c r="N34" s="381"/>
      <c r="O34" s="198"/>
      <c r="P34" s="380"/>
      <c r="Q34" s="380"/>
      <c r="R34" s="198"/>
    </row>
    <row r="35" spans="1:18" ht="15">
      <c r="A35" s="693"/>
      <c r="B35" s="696"/>
      <c r="C35" s="199">
        <v>2</v>
      </c>
      <c r="D35" s="701"/>
      <c r="E35" s="677"/>
      <c r="F35" s="677"/>
      <c r="G35" s="199"/>
      <c r="H35" s="201"/>
      <c r="I35" s="202"/>
      <c r="J35" s="199"/>
      <c r="K35" s="685"/>
      <c r="L35" s="687"/>
      <c r="O35" s="198"/>
      <c r="P35" s="380"/>
      <c r="Q35" s="380"/>
      <c r="R35" s="198"/>
    </row>
    <row r="36" spans="1:18" ht="13.5">
      <c r="A36" s="693"/>
      <c r="B36" s="696"/>
      <c r="C36" s="199">
        <v>3</v>
      </c>
      <c r="D36" s="685"/>
      <c r="E36" s="686"/>
      <c r="F36" s="687"/>
      <c r="G36" s="199"/>
      <c r="H36" s="201"/>
      <c r="I36" s="202"/>
      <c r="J36" s="199"/>
      <c r="K36" s="685"/>
      <c r="L36" s="687"/>
      <c r="O36" s="198"/>
      <c r="P36" s="380"/>
      <c r="Q36" s="380"/>
      <c r="R36" s="198"/>
    </row>
    <row r="37" spans="1:18" ht="13.5">
      <c r="A37" s="693"/>
      <c r="B37" s="696"/>
      <c r="C37" s="199">
        <v>4</v>
      </c>
      <c r="D37" s="685"/>
      <c r="E37" s="686"/>
      <c r="F37" s="687"/>
      <c r="G37" s="199"/>
      <c r="H37" s="201"/>
      <c r="I37" s="202"/>
      <c r="J37" s="199"/>
      <c r="K37" s="685"/>
      <c r="L37" s="687"/>
      <c r="O37" s="198"/>
      <c r="P37" s="380"/>
      <c r="Q37" s="380"/>
      <c r="R37" s="198"/>
    </row>
    <row r="38" spans="1:18" ht="13.5">
      <c r="A38" s="693"/>
      <c r="B38" s="696"/>
      <c r="C38" s="199">
        <v>5</v>
      </c>
      <c r="D38" s="685"/>
      <c r="E38" s="686"/>
      <c r="F38" s="687"/>
      <c r="G38" s="199"/>
      <c r="H38" s="201"/>
      <c r="I38" s="202"/>
      <c r="J38" s="199"/>
      <c r="K38" s="685"/>
      <c r="L38" s="687"/>
      <c r="N38" s="177"/>
      <c r="O38" s="198"/>
      <c r="P38" s="380"/>
      <c r="Q38" s="380"/>
      <c r="R38" s="198"/>
    </row>
    <row r="39" spans="1:18" ht="13.5">
      <c r="A39" s="693"/>
      <c r="B39" s="696"/>
      <c r="C39" s="203" t="s">
        <v>276</v>
      </c>
      <c r="D39" s="685"/>
      <c r="E39" s="686"/>
      <c r="F39" s="687"/>
      <c r="G39" s="199"/>
      <c r="H39" s="201"/>
      <c r="I39" s="202"/>
      <c r="J39" s="199"/>
      <c r="K39" s="685"/>
      <c r="L39" s="687"/>
      <c r="N39" s="381"/>
      <c r="O39" s="198"/>
      <c r="P39" s="380"/>
      <c r="Q39" s="380"/>
      <c r="R39" s="198"/>
    </row>
    <row r="40" spans="1:18" ht="13.5">
      <c r="A40" s="693"/>
      <c r="B40" s="696"/>
      <c r="C40" s="203" t="s">
        <v>277</v>
      </c>
      <c r="D40" s="685"/>
      <c r="E40" s="686"/>
      <c r="F40" s="687"/>
      <c r="G40" s="199"/>
      <c r="H40" s="201"/>
      <c r="I40" s="202"/>
      <c r="J40" s="199"/>
      <c r="K40" s="685"/>
      <c r="L40" s="687"/>
      <c r="O40" s="198"/>
      <c r="P40" s="380"/>
      <c r="Q40" s="380"/>
      <c r="R40" s="198"/>
    </row>
    <row r="41" spans="1:18" ht="13.5">
      <c r="A41" s="693"/>
      <c r="B41" s="696"/>
      <c r="C41" s="203" t="s">
        <v>278</v>
      </c>
      <c r="D41" s="685"/>
      <c r="E41" s="686"/>
      <c r="F41" s="687"/>
      <c r="G41" s="199"/>
      <c r="H41" s="201"/>
      <c r="I41" s="202"/>
      <c r="J41" s="199"/>
      <c r="K41" s="685"/>
      <c r="L41" s="687"/>
      <c r="O41" s="198"/>
      <c r="P41" s="380"/>
      <c r="Q41" s="380"/>
      <c r="R41" s="198"/>
    </row>
    <row r="42" spans="1:18" ht="13.5">
      <c r="A42" s="693"/>
      <c r="B42" s="696"/>
      <c r="C42" s="203" t="s">
        <v>280</v>
      </c>
      <c r="D42" s="685"/>
      <c r="E42" s="686"/>
      <c r="F42" s="687"/>
      <c r="G42" s="199"/>
      <c r="H42" s="201"/>
      <c r="I42" s="202"/>
      <c r="J42" s="199"/>
      <c r="K42" s="685"/>
      <c r="L42" s="687"/>
      <c r="M42" s="98"/>
      <c r="O42" s="198"/>
      <c r="P42" s="380"/>
      <c r="Q42" s="380"/>
      <c r="R42" s="198"/>
    </row>
    <row r="43" spans="1:18" ht="13.5">
      <c r="A43" s="694"/>
      <c r="B43" s="697"/>
      <c r="C43" s="203" t="s">
        <v>281</v>
      </c>
      <c r="D43" s="685"/>
      <c r="E43" s="686"/>
      <c r="F43" s="687"/>
      <c r="G43" s="199"/>
      <c r="H43" s="201"/>
      <c r="I43" s="202"/>
      <c r="J43" s="199"/>
      <c r="K43" s="685"/>
      <c r="L43" s="687"/>
      <c r="M43" s="98"/>
      <c r="N43" s="198"/>
      <c r="O43" s="198"/>
      <c r="P43" s="380"/>
      <c r="Q43" s="380"/>
      <c r="R43" s="198"/>
    </row>
    <row r="44" spans="1:18" s="103" customFormat="1" ht="14.25">
      <c r="A44" s="688" t="s">
        <v>89</v>
      </c>
      <c r="B44" s="690"/>
      <c r="C44" s="206" t="s">
        <v>267</v>
      </c>
      <c r="D44" s="688" t="s">
        <v>268</v>
      </c>
      <c r="E44" s="689"/>
      <c r="F44" s="690"/>
      <c r="G44" s="206" t="s">
        <v>269</v>
      </c>
      <c r="H44" s="206" t="s">
        <v>270</v>
      </c>
      <c r="I44" s="206" t="s">
        <v>271</v>
      </c>
      <c r="J44" s="159" t="s">
        <v>272</v>
      </c>
      <c r="K44" s="688" t="s">
        <v>273</v>
      </c>
      <c r="L44" s="690"/>
      <c r="M44" s="127"/>
      <c r="N44" s="188"/>
      <c r="O44" s="198"/>
      <c r="P44" s="380"/>
      <c r="Q44" s="380"/>
      <c r="R44" s="198"/>
    </row>
    <row r="45" spans="1:18" ht="13.5">
      <c r="A45" s="692">
        <v>8</v>
      </c>
      <c r="B45" s="695" t="s">
        <v>292</v>
      </c>
      <c r="C45" s="199">
        <v>1</v>
      </c>
      <c r="D45" s="685" t="s">
        <v>251</v>
      </c>
      <c r="E45" s="686"/>
      <c r="F45" s="687"/>
      <c r="G45" s="199">
        <v>18</v>
      </c>
      <c r="H45" s="201">
        <v>3193.0265302637372</v>
      </c>
      <c r="I45" s="202">
        <v>177.39036279242981</v>
      </c>
      <c r="J45" s="350">
        <f>I45-I19</f>
        <v>-6.9798740353036237E-2</v>
      </c>
      <c r="K45" s="676"/>
      <c r="L45" s="677"/>
      <c r="M45" s="98"/>
      <c r="O45" s="198"/>
      <c r="P45" s="380"/>
      <c r="Q45" s="380"/>
      <c r="R45" s="198"/>
    </row>
    <row r="46" spans="1:18" ht="13.5">
      <c r="A46" s="693"/>
      <c r="B46" s="696"/>
      <c r="C46" s="199">
        <v>2</v>
      </c>
      <c r="D46" s="685" t="s">
        <v>248</v>
      </c>
      <c r="E46" s="686"/>
      <c r="F46" s="687"/>
      <c r="G46" s="199">
        <v>19</v>
      </c>
      <c r="H46" s="201">
        <v>3264.6342857142818</v>
      </c>
      <c r="I46" s="202">
        <v>171.82285714285692</v>
      </c>
      <c r="J46" s="350">
        <f>I46-I21</f>
        <v>-0.15969924812046088</v>
      </c>
      <c r="K46" s="676"/>
      <c r="L46" s="677"/>
      <c r="M46" s="98"/>
      <c r="O46" s="177"/>
      <c r="P46" s="379"/>
      <c r="Q46" s="379"/>
      <c r="R46" s="177"/>
    </row>
    <row r="47" spans="1:18" ht="13.5">
      <c r="A47" s="693"/>
      <c r="B47" s="696"/>
      <c r="C47" s="199">
        <v>3</v>
      </c>
      <c r="D47" s="685" t="s">
        <v>253</v>
      </c>
      <c r="E47" s="686"/>
      <c r="F47" s="687"/>
      <c r="G47" s="199">
        <v>19</v>
      </c>
      <c r="H47" s="201">
        <v>3263.7953346453587</v>
      </c>
      <c r="I47" s="202">
        <v>171.77870182343992</v>
      </c>
      <c r="J47" s="350">
        <f>I47-I22</f>
        <v>-8.3909774436222051E-2</v>
      </c>
      <c r="K47" s="676"/>
      <c r="L47" s="677"/>
      <c r="M47" s="98"/>
      <c r="O47" s="198"/>
      <c r="P47" s="380"/>
      <c r="Q47" s="380"/>
      <c r="R47" s="198"/>
    </row>
    <row r="48" spans="1:18" ht="13.5">
      <c r="A48" s="693"/>
      <c r="B48" s="696"/>
      <c r="C48" s="199">
        <v>4</v>
      </c>
      <c r="D48" s="685" t="s">
        <v>249</v>
      </c>
      <c r="E48" s="686"/>
      <c r="F48" s="687"/>
      <c r="G48" s="199">
        <v>20</v>
      </c>
      <c r="H48" s="201">
        <v>3271.0412741143446</v>
      </c>
      <c r="I48" s="202">
        <v>163.55206370571722</v>
      </c>
      <c r="J48" s="350">
        <f>I48-I23</f>
        <v>4.006370571721618E-2</v>
      </c>
      <c r="K48" s="676"/>
      <c r="L48" s="677"/>
      <c r="M48" s="98"/>
      <c r="O48" s="198"/>
      <c r="P48" s="380"/>
      <c r="Q48" s="380"/>
      <c r="R48" s="198"/>
    </row>
    <row r="49" spans="1:18" ht="13.5">
      <c r="A49" s="693"/>
      <c r="B49" s="696"/>
      <c r="C49" s="199">
        <v>5</v>
      </c>
      <c r="D49" s="685" t="s">
        <v>254</v>
      </c>
      <c r="E49" s="686"/>
      <c r="F49" s="687"/>
      <c r="G49" s="199">
        <v>21</v>
      </c>
      <c r="H49" s="201">
        <v>3192.6136275492904</v>
      </c>
      <c r="I49" s="202">
        <v>152.02922035949004</v>
      </c>
      <c r="J49" s="350">
        <f>I49-I26</f>
        <v>-4.0241596194704243E-2</v>
      </c>
      <c r="K49" s="676"/>
      <c r="L49" s="677"/>
      <c r="M49" s="98"/>
      <c r="O49" s="198"/>
      <c r="P49" s="380"/>
      <c r="Q49" s="380"/>
      <c r="R49" s="198"/>
    </row>
    <row r="50" spans="1:18" ht="13.5">
      <c r="A50" s="693"/>
      <c r="B50" s="696"/>
      <c r="C50" s="203" t="s">
        <v>276</v>
      </c>
      <c r="D50" s="685" t="s">
        <v>250</v>
      </c>
      <c r="E50" s="686"/>
      <c r="F50" s="687"/>
      <c r="G50" s="199">
        <v>23</v>
      </c>
      <c r="H50" s="201">
        <v>3261.8267825961448</v>
      </c>
      <c r="I50" s="202">
        <v>141.81855576504981</v>
      </c>
      <c r="J50" s="350">
        <f>I50-I24</f>
        <v>-7.0361263949450858E-2</v>
      </c>
      <c r="K50" s="676"/>
      <c r="L50" s="677"/>
      <c r="M50" s="98"/>
      <c r="O50" s="198"/>
      <c r="P50" s="380"/>
      <c r="Q50" s="380"/>
      <c r="R50" s="198"/>
    </row>
    <row r="51" spans="1:18" ht="13.5">
      <c r="A51" s="693"/>
      <c r="B51" s="696"/>
      <c r="C51" s="203" t="s">
        <v>277</v>
      </c>
      <c r="D51" s="685" t="s">
        <v>252</v>
      </c>
      <c r="E51" s="686"/>
      <c r="F51" s="687"/>
      <c r="G51" s="199">
        <v>23</v>
      </c>
      <c r="H51" s="201">
        <v>3271.5047500711112</v>
      </c>
      <c r="I51" s="202">
        <v>142.2393369596135</v>
      </c>
      <c r="J51" s="350">
        <f>I51-I25</f>
        <v>6.1827466706517953E-2</v>
      </c>
      <c r="K51" s="676"/>
      <c r="L51" s="677"/>
      <c r="M51" s="98"/>
      <c r="O51" s="198"/>
      <c r="P51" s="380"/>
      <c r="Q51" s="380"/>
      <c r="R51" s="198"/>
    </row>
    <row r="52" spans="1:18" ht="13.5">
      <c r="A52" s="693"/>
      <c r="B52" s="696"/>
      <c r="C52" s="203" t="s">
        <v>278</v>
      </c>
      <c r="D52" s="685"/>
      <c r="E52" s="686"/>
      <c r="F52" s="687"/>
      <c r="G52" s="199"/>
      <c r="H52" s="201"/>
      <c r="I52" s="202"/>
      <c r="J52" s="350"/>
      <c r="K52" s="676"/>
      <c r="L52" s="677"/>
      <c r="M52" s="98"/>
      <c r="O52" s="198"/>
      <c r="P52" s="380"/>
      <c r="Q52" s="380"/>
      <c r="R52" s="198"/>
    </row>
    <row r="53" spans="1:18" ht="13.5">
      <c r="A53" s="693"/>
      <c r="B53" s="696"/>
      <c r="C53" s="203" t="s">
        <v>280</v>
      </c>
      <c r="D53" s="685"/>
      <c r="E53" s="686"/>
      <c r="F53" s="687"/>
      <c r="G53" s="199"/>
      <c r="H53" s="201"/>
      <c r="I53" s="202"/>
      <c r="J53" s="199"/>
      <c r="K53" s="685"/>
      <c r="L53" s="687"/>
      <c r="M53" s="98"/>
      <c r="O53" s="198"/>
      <c r="P53" s="380"/>
      <c r="Q53" s="380"/>
      <c r="R53" s="198"/>
    </row>
    <row r="54" spans="1:18" ht="13.5">
      <c r="A54" s="694"/>
      <c r="B54" s="697"/>
      <c r="C54" s="203" t="s">
        <v>281</v>
      </c>
      <c r="D54" s="685"/>
      <c r="E54" s="686"/>
      <c r="F54" s="687"/>
      <c r="G54" s="199"/>
      <c r="H54" s="201"/>
      <c r="I54" s="202"/>
      <c r="J54" s="199"/>
      <c r="K54" s="685"/>
      <c r="L54" s="687"/>
      <c r="M54" s="98"/>
      <c r="O54" s="198"/>
      <c r="P54" s="380"/>
      <c r="Q54" s="380"/>
      <c r="R54" s="198"/>
    </row>
    <row r="55" spans="1:18" s="188" customFormat="1" ht="15.75" customHeight="1">
      <c r="A55" s="682" t="s">
        <v>285</v>
      </c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</row>
    <row r="56" spans="1:18" s="189" customFormat="1" ht="15.75" customHeight="1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</row>
    <row r="57" spans="1:18" s="105" customFormat="1" ht="16.350000000000001" customHeight="1">
      <c r="A57" s="692" t="s">
        <v>161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94"/>
      <c r="B58" s="194" t="s">
        <v>259</v>
      </c>
      <c r="C58" s="194" t="s">
        <v>260</v>
      </c>
      <c r="D58" s="194" t="s">
        <v>261</v>
      </c>
      <c r="E58" s="194" t="s">
        <v>262</v>
      </c>
      <c r="F58" s="194" t="s">
        <v>290</v>
      </c>
      <c r="G58" s="195" t="s">
        <v>263</v>
      </c>
      <c r="H58" s="193" t="s">
        <v>264</v>
      </c>
      <c r="I58" s="208" t="s">
        <v>265</v>
      </c>
      <c r="J58" s="195" t="s">
        <v>266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98" t="s">
        <v>89</v>
      </c>
      <c r="B59" s="699"/>
      <c r="C59" s="159" t="s">
        <v>267</v>
      </c>
      <c r="D59" s="698" t="s">
        <v>268</v>
      </c>
      <c r="E59" s="700"/>
      <c r="F59" s="699"/>
      <c r="G59" s="159" t="s">
        <v>269</v>
      </c>
      <c r="H59" s="159" t="s">
        <v>270</v>
      </c>
      <c r="I59" s="159" t="s">
        <v>271</v>
      </c>
      <c r="J59" s="159" t="s">
        <v>272</v>
      </c>
      <c r="K59" s="698" t="s">
        <v>273</v>
      </c>
      <c r="L59" s="699"/>
      <c r="M59" s="126"/>
      <c r="N59" s="188"/>
      <c r="O59" s="198"/>
      <c r="P59" s="380"/>
      <c r="Q59" s="380"/>
      <c r="R59" s="198"/>
    </row>
    <row r="60" spans="1:18" ht="15">
      <c r="A60" s="692">
        <v>7</v>
      </c>
      <c r="B60" s="695" t="s">
        <v>291</v>
      </c>
      <c r="C60" s="199">
        <v>1</v>
      </c>
      <c r="D60" s="701"/>
      <c r="E60" s="677"/>
      <c r="F60" s="677"/>
      <c r="G60" s="199"/>
      <c r="H60" s="201"/>
      <c r="I60" s="202"/>
      <c r="J60" s="199"/>
      <c r="K60" s="685"/>
      <c r="L60" s="687"/>
      <c r="N60" s="381"/>
      <c r="O60" s="198"/>
      <c r="P60" s="380"/>
      <c r="Q60" s="380"/>
      <c r="R60" s="198"/>
    </row>
    <row r="61" spans="1:18" ht="15">
      <c r="A61" s="693"/>
      <c r="B61" s="696"/>
      <c r="C61" s="199">
        <v>2</v>
      </c>
      <c r="D61" s="701"/>
      <c r="E61" s="677"/>
      <c r="F61" s="677"/>
      <c r="G61" s="199"/>
      <c r="H61" s="201"/>
      <c r="I61" s="202"/>
      <c r="J61" s="199"/>
      <c r="K61" s="685"/>
      <c r="L61" s="687"/>
      <c r="O61" s="198"/>
      <c r="P61" s="380"/>
      <c r="Q61" s="380"/>
      <c r="R61" s="198"/>
    </row>
    <row r="62" spans="1:18" ht="13.5">
      <c r="A62" s="693"/>
      <c r="B62" s="696"/>
      <c r="C62" s="199">
        <v>3</v>
      </c>
      <c r="D62" s="685"/>
      <c r="E62" s="686"/>
      <c r="F62" s="687"/>
      <c r="G62" s="199"/>
      <c r="H62" s="201"/>
      <c r="I62" s="202"/>
      <c r="J62" s="199"/>
      <c r="K62" s="685"/>
      <c r="L62" s="687"/>
      <c r="O62" s="198"/>
      <c r="P62" s="380"/>
      <c r="Q62" s="380"/>
      <c r="R62" s="198"/>
    </row>
    <row r="63" spans="1:18" ht="13.5">
      <c r="A63" s="693"/>
      <c r="B63" s="696"/>
      <c r="C63" s="199">
        <v>4</v>
      </c>
      <c r="D63" s="685"/>
      <c r="E63" s="686"/>
      <c r="F63" s="687"/>
      <c r="G63" s="199"/>
      <c r="H63" s="201"/>
      <c r="I63" s="202"/>
      <c r="J63" s="199"/>
      <c r="K63" s="685"/>
      <c r="L63" s="687"/>
      <c r="O63" s="198"/>
      <c r="P63" s="380"/>
      <c r="Q63" s="380"/>
      <c r="R63" s="198"/>
    </row>
    <row r="64" spans="1:18" ht="13.5">
      <c r="A64" s="693"/>
      <c r="B64" s="696"/>
      <c r="C64" s="199">
        <v>5</v>
      </c>
      <c r="D64" s="685"/>
      <c r="E64" s="686"/>
      <c r="F64" s="687"/>
      <c r="G64" s="199"/>
      <c r="H64" s="201"/>
      <c r="I64" s="202"/>
      <c r="J64" s="199"/>
      <c r="K64" s="685"/>
      <c r="L64" s="687"/>
      <c r="N64" s="177"/>
      <c r="O64" s="198"/>
      <c r="P64" s="380"/>
      <c r="Q64" s="380"/>
      <c r="R64" s="198"/>
    </row>
    <row r="65" spans="1:18" ht="13.5">
      <c r="A65" s="693"/>
      <c r="B65" s="696"/>
      <c r="C65" s="203" t="s">
        <v>276</v>
      </c>
      <c r="D65" s="685"/>
      <c r="E65" s="686"/>
      <c r="F65" s="687"/>
      <c r="G65" s="199"/>
      <c r="H65" s="201"/>
      <c r="I65" s="202"/>
      <c r="J65" s="199"/>
      <c r="K65" s="685"/>
      <c r="L65" s="687"/>
      <c r="N65" s="381"/>
      <c r="O65" s="198"/>
      <c r="P65" s="380"/>
      <c r="Q65" s="380"/>
      <c r="R65" s="198"/>
    </row>
    <row r="66" spans="1:18" ht="13.5">
      <c r="A66" s="693"/>
      <c r="B66" s="696"/>
      <c r="C66" s="203" t="s">
        <v>277</v>
      </c>
      <c r="D66" s="685"/>
      <c r="E66" s="686"/>
      <c r="F66" s="687"/>
      <c r="G66" s="199"/>
      <c r="H66" s="201"/>
      <c r="I66" s="202"/>
      <c r="J66" s="199"/>
      <c r="K66" s="685"/>
      <c r="L66" s="687"/>
      <c r="O66" s="198"/>
      <c r="P66" s="380"/>
      <c r="Q66" s="380"/>
      <c r="R66" s="198"/>
    </row>
    <row r="67" spans="1:18" ht="13.5">
      <c r="A67" s="693"/>
      <c r="B67" s="696"/>
      <c r="C67" s="203" t="s">
        <v>278</v>
      </c>
      <c r="D67" s="685"/>
      <c r="E67" s="686"/>
      <c r="F67" s="687"/>
      <c r="G67" s="199"/>
      <c r="H67" s="201"/>
      <c r="I67" s="202"/>
      <c r="J67" s="199"/>
      <c r="K67" s="685"/>
      <c r="L67" s="687"/>
      <c r="O67" s="198"/>
      <c r="P67" s="380"/>
      <c r="Q67" s="380"/>
      <c r="R67" s="198"/>
    </row>
    <row r="68" spans="1:18" ht="13.5">
      <c r="A68" s="693"/>
      <c r="B68" s="696"/>
      <c r="C68" s="203" t="s">
        <v>280</v>
      </c>
      <c r="D68" s="685"/>
      <c r="E68" s="686"/>
      <c r="F68" s="687"/>
      <c r="G68" s="199"/>
      <c r="H68" s="201"/>
      <c r="I68" s="202"/>
      <c r="J68" s="199"/>
      <c r="K68" s="685"/>
      <c r="L68" s="687"/>
      <c r="M68" s="98"/>
      <c r="O68" s="198"/>
      <c r="P68" s="380"/>
      <c r="Q68" s="380"/>
      <c r="R68" s="198"/>
    </row>
    <row r="69" spans="1:18" ht="13.5">
      <c r="A69" s="694"/>
      <c r="B69" s="697"/>
      <c r="C69" s="203" t="s">
        <v>281</v>
      </c>
      <c r="D69" s="685"/>
      <c r="E69" s="686"/>
      <c r="F69" s="687"/>
      <c r="G69" s="199"/>
      <c r="H69" s="201"/>
      <c r="I69" s="202"/>
      <c r="J69" s="199"/>
      <c r="K69" s="685"/>
      <c r="L69" s="687"/>
      <c r="M69" s="98"/>
      <c r="N69" s="198"/>
      <c r="O69" s="198"/>
      <c r="P69" s="380"/>
      <c r="Q69" s="380"/>
      <c r="R69" s="198"/>
    </row>
    <row r="70" spans="1:18" s="103" customFormat="1" ht="14.25">
      <c r="A70" s="688" t="s">
        <v>89</v>
      </c>
      <c r="B70" s="690"/>
      <c r="C70" s="206" t="s">
        <v>267</v>
      </c>
      <c r="D70" s="688" t="s">
        <v>268</v>
      </c>
      <c r="E70" s="689"/>
      <c r="F70" s="690"/>
      <c r="G70" s="206" t="s">
        <v>269</v>
      </c>
      <c r="H70" s="206" t="s">
        <v>270</v>
      </c>
      <c r="I70" s="206" t="s">
        <v>271</v>
      </c>
      <c r="J70" s="159" t="s">
        <v>272</v>
      </c>
      <c r="K70" s="688" t="s">
        <v>273</v>
      </c>
      <c r="L70" s="690"/>
      <c r="M70" s="127"/>
      <c r="N70" s="188"/>
      <c r="O70" s="198"/>
      <c r="P70" s="380"/>
      <c r="Q70" s="380"/>
      <c r="R70" s="198"/>
    </row>
    <row r="71" spans="1:18" ht="13.5">
      <c r="A71" s="692">
        <v>8</v>
      </c>
      <c r="B71" s="695" t="s">
        <v>292</v>
      </c>
      <c r="C71" s="199">
        <v>1</v>
      </c>
      <c r="D71" s="685"/>
      <c r="E71" s="686"/>
      <c r="F71" s="687"/>
      <c r="G71" s="199"/>
      <c r="H71" s="201"/>
      <c r="I71" s="202"/>
      <c r="J71" s="350">
        <f>I71-I45</f>
        <v>-177.39036279242981</v>
      </c>
      <c r="K71" s="676"/>
      <c r="L71" s="677"/>
      <c r="M71" s="98"/>
      <c r="O71" s="198"/>
      <c r="P71" s="380"/>
      <c r="Q71" s="380"/>
      <c r="R71" s="198"/>
    </row>
    <row r="72" spans="1:18" ht="13.5">
      <c r="A72" s="693"/>
      <c r="B72" s="696"/>
      <c r="C72" s="199">
        <v>2</v>
      </c>
      <c r="D72" s="685"/>
      <c r="E72" s="686"/>
      <c r="F72" s="687"/>
      <c r="G72" s="199"/>
      <c r="H72" s="201"/>
      <c r="I72" s="202"/>
      <c r="J72" s="350">
        <f>I72-I48</f>
        <v>-163.55206370571722</v>
      </c>
      <c r="K72" s="676"/>
      <c r="L72" s="677"/>
      <c r="M72" s="98"/>
      <c r="O72" s="177"/>
      <c r="P72" s="379"/>
      <c r="Q72" s="379"/>
      <c r="R72" s="177"/>
    </row>
    <row r="73" spans="1:18" ht="13.5">
      <c r="A73" s="693"/>
      <c r="B73" s="696"/>
      <c r="C73" s="199">
        <v>3</v>
      </c>
      <c r="D73" s="685"/>
      <c r="E73" s="686"/>
      <c r="F73" s="687"/>
      <c r="G73" s="199"/>
      <c r="H73" s="201"/>
      <c r="I73" s="202"/>
      <c r="J73" s="350">
        <f>I73-I46</f>
        <v>-171.82285714285692</v>
      </c>
      <c r="K73" s="676"/>
      <c r="L73" s="677"/>
      <c r="M73" s="98"/>
      <c r="O73" s="198"/>
      <c r="P73" s="380"/>
      <c r="Q73" s="380"/>
      <c r="R73" s="198"/>
    </row>
    <row r="74" spans="1:18" ht="13.5">
      <c r="A74" s="693"/>
      <c r="B74" s="696"/>
      <c r="C74" s="199">
        <v>4</v>
      </c>
      <c r="D74" s="685"/>
      <c r="E74" s="686"/>
      <c r="F74" s="687"/>
      <c r="G74" s="199"/>
      <c r="H74" s="201"/>
      <c r="I74" s="202"/>
      <c r="J74" s="350">
        <f>I74-I47</f>
        <v>-171.77870182343992</v>
      </c>
      <c r="K74" s="676"/>
      <c r="L74" s="677"/>
      <c r="M74" s="98"/>
      <c r="O74" s="198"/>
      <c r="P74" s="380"/>
      <c r="Q74" s="380"/>
      <c r="R74" s="198"/>
    </row>
    <row r="75" spans="1:18" ht="13.5">
      <c r="A75" s="693"/>
      <c r="B75" s="696"/>
      <c r="C75" s="199">
        <v>5</v>
      </c>
      <c r="D75" s="685"/>
      <c r="E75" s="686"/>
      <c r="F75" s="687"/>
      <c r="G75" s="199"/>
      <c r="H75" s="201"/>
      <c r="I75" s="202"/>
      <c r="J75" s="350">
        <f>I75-I49</f>
        <v>-152.02922035949004</v>
      </c>
      <c r="K75" s="676"/>
      <c r="L75" s="677"/>
      <c r="M75" s="98"/>
      <c r="O75" s="198"/>
      <c r="P75" s="380"/>
      <c r="Q75" s="380"/>
      <c r="R75" s="198"/>
    </row>
    <row r="76" spans="1:18" ht="13.5">
      <c r="A76" s="693"/>
      <c r="B76" s="696"/>
      <c r="C76" s="203" t="s">
        <v>276</v>
      </c>
      <c r="D76" s="685"/>
      <c r="E76" s="686"/>
      <c r="F76" s="687"/>
      <c r="G76" s="199"/>
      <c r="H76" s="201"/>
      <c r="I76" s="202"/>
      <c r="J76" s="350">
        <f>I76-I51</f>
        <v>-142.2393369596135</v>
      </c>
      <c r="K76" s="676"/>
      <c r="L76" s="677"/>
      <c r="M76" s="98"/>
      <c r="O76" s="198"/>
      <c r="P76" s="380"/>
      <c r="Q76" s="380"/>
      <c r="R76" s="198"/>
    </row>
    <row r="77" spans="1:18" ht="13.5">
      <c r="A77" s="693"/>
      <c r="B77" s="696"/>
      <c r="C77" s="203" t="s">
        <v>277</v>
      </c>
      <c r="D77" s="685"/>
      <c r="E77" s="686"/>
      <c r="F77" s="687"/>
      <c r="G77" s="199"/>
      <c r="H77" s="201"/>
      <c r="I77" s="202"/>
      <c r="J77" s="350">
        <f>I77-I50</f>
        <v>-141.81855576504981</v>
      </c>
      <c r="K77" s="676"/>
      <c r="L77" s="677"/>
      <c r="M77" s="98"/>
      <c r="O77" s="198"/>
      <c r="P77" s="380"/>
      <c r="Q77" s="380"/>
      <c r="R77" s="198"/>
    </row>
    <row r="78" spans="1:18" ht="13.5">
      <c r="A78" s="693"/>
      <c r="B78" s="696"/>
      <c r="C78" s="203" t="s">
        <v>278</v>
      </c>
      <c r="D78" s="685"/>
      <c r="E78" s="686"/>
      <c r="F78" s="687"/>
      <c r="G78" s="199"/>
      <c r="H78" s="201"/>
      <c r="I78" s="202"/>
      <c r="J78" s="350">
        <f>I78-I52</f>
        <v>0</v>
      </c>
      <c r="K78" s="676"/>
      <c r="L78" s="677"/>
      <c r="M78" s="98"/>
      <c r="O78" s="198"/>
      <c r="P78" s="380"/>
      <c r="Q78" s="380"/>
      <c r="R78" s="198"/>
    </row>
    <row r="79" spans="1:18" ht="13.5">
      <c r="A79" s="693"/>
      <c r="B79" s="696"/>
      <c r="C79" s="203" t="s">
        <v>280</v>
      </c>
      <c r="D79" s="685"/>
      <c r="E79" s="686"/>
      <c r="F79" s="687"/>
      <c r="G79" s="199"/>
      <c r="H79" s="201"/>
      <c r="I79" s="202"/>
      <c r="J79" s="199"/>
      <c r="K79" s="685"/>
      <c r="L79" s="687"/>
      <c r="M79" s="98"/>
      <c r="O79" s="198"/>
      <c r="P79" s="380"/>
      <c r="Q79" s="380"/>
      <c r="R79" s="198"/>
    </row>
    <row r="80" spans="1:18" ht="13.5">
      <c r="A80" s="694"/>
      <c r="B80" s="697"/>
      <c r="C80" s="203" t="s">
        <v>281</v>
      </c>
      <c r="D80" s="685"/>
      <c r="E80" s="686"/>
      <c r="F80" s="687"/>
      <c r="G80" s="199"/>
      <c r="H80" s="201"/>
      <c r="I80" s="202"/>
      <c r="J80" s="199"/>
      <c r="K80" s="685"/>
      <c r="L80" s="687"/>
      <c r="M80" s="98"/>
      <c r="O80" s="198"/>
      <c r="P80" s="380"/>
      <c r="Q80" s="380"/>
      <c r="R80" s="198"/>
    </row>
  </sheetData>
  <mergeCells count="157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1:L2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S80"/>
  <sheetViews>
    <sheetView view="pageBreakPreview" topLeftCell="A25" zoomScale="110" zoomScaleNormal="60" zoomScaleSheetLayoutView="110" workbookViewId="0">
      <selection activeCell="J24" sqref="J24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9" ht="15.75" customHeight="1">
      <c r="A1" s="580" t="s">
        <v>257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98"/>
    </row>
    <row r="2" spans="1:19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N2" s="189"/>
      <c r="O2" s="189"/>
      <c r="P2" s="189"/>
      <c r="Q2" s="189"/>
      <c r="R2" s="189"/>
    </row>
    <row r="3" spans="1:19" s="188" customFormat="1" ht="15.75" customHeight="1">
      <c r="A3" s="682" t="s">
        <v>258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</row>
    <row r="4" spans="1:19" s="189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</row>
    <row r="5" spans="1:19" s="105" customFormat="1" ht="16.350000000000001" customHeight="1">
      <c r="A5" s="501" t="s">
        <v>161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92"/>
      <c r="N5" s="178"/>
      <c r="O5" s="178"/>
      <c r="P5" s="178"/>
      <c r="Q5" s="178"/>
      <c r="R5" s="178"/>
      <c r="S5" s="177"/>
    </row>
    <row r="6" spans="1:19" ht="16.350000000000001" customHeight="1">
      <c r="A6" s="503"/>
      <c r="B6" s="194" t="s">
        <v>259</v>
      </c>
      <c r="C6" s="194" t="s">
        <v>260</v>
      </c>
      <c r="D6" s="194" t="s">
        <v>261</v>
      </c>
      <c r="E6" s="194" t="s">
        <v>262</v>
      </c>
      <c r="F6" s="194" t="s">
        <v>290</v>
      </c>
      <c r="G6" s="195" t="s">
        <v>263</v>
      </c>
      <c r="H6" s="196" t="s">
        <v>264</v>
      </c>
      <c r="I6" s="195" t="s">
        <v>265</v>
      </c>
      <c r="J6" s="208" t="s">
        <v>266</v>
      </c>
      <c r="K6" s="197"/>
      <c r="L6" s="197"/>
      <c r="M6" s="189"/>
      <c r="N6" s="178"/>
      <c r="O6" s="178"/>
      <c r="P6" s="178"/>
      <c r="Q6" s="178"/>
      <c r="R6" s="178"/>
      <c r="S6" s="188"/>
    </row>
    <row r="7" spans="1:19" s="105" customFormat="1" ht="15.75" customHeight="1">
      <c r="A7" s="507" t="s">
        <v>89</v>
      </c>
      <c r="B7" s="508"/>
      <c r="C7" s="159" t="s">
        <v>267</v>
      </c>
      <c r="D7" s="507" t="s">
        <v>268</v>
      </c>
      <c r="E7" s="509"/>
      <c r="F7" s="508"/>
      <c r="G7" s="159" t="s">
        <v>269</v>
      </c>
      <c r="H7" s="159" t="s">
        <v>270</v>
      </c>
      <c r="I7" s="159" t="s">
        <v>271</v>
      </c>
      <c r="J7" s="159" t="s">
        <v>272</v>
      </c>
      <c r="K7" s="507" t="s">
        <v>273</v>
      </c>
      <c r="L7" s="508"/>
      <c r="M7" s="192"/>
      <c r="N7" s="178"/>
      <c r="O7" s="493"/>
      <c r="P7" s="493"/>
      <c r="Q7" s="493"/>
      <c r="R7" s="178"/>
      <c r="S7" s="177"/>
    </row>
    <row r="8" spans="1:19" ht="15.75" customHeight="1">
      <c r="A8" s="501">
        <f>J5</f>
        <v>9</v>
      </c>
      <c r="B8" s="504" t="str">
        <f>J6</f>
        <v>微波小吃</v>
      </c>
      <c r="C8" s="199">
        <v>1</v>
      </c>
      <c r="D8" s="685" t="s">
        <v>255</v>
      </c>
      <c r="E8" s="686"/>
      <c r="F8" s="687"/>
      <c r="G8" s="199">
        <v>19</v>
      </c>
      <c r="H8" s="201">
        <v>1803.5423440132395</v>
      </c>
      <c r="I8" s="202">
        <v>94.923281263854719</v>
      </c>
      <c r="J8" s="350">
        <v>-4.5112781954813386E-2</v>
      </c>
      <c r="K8" s="676" t="s">
        <v>275</v>
      </c>
      <c r="L8" s="677"/>
      <c r="N8" s="178"/>
      <c r="O8" s="178"/>
      <c r="P8" s="494"/>
      <c r="Q8" s="494"/>
      <c r="R8" s="178"/>
      <c r="S8" s="188"/>
    </row>
    <row r="9" spans="1:19" ht="15.75" customHeight="1">
      <c r="A9" s="502"/>
      <c r="B9" s="505"/>
      <c r="C9" s="199">
        <v>2</v>
      </c>
      <c r="D9" s="685" t="s">
        <v>256</v>
      </c>
      <c r="E9" s="686"/>
      <c r="F9" s="687"/>
      <c r="G9" s="199">
        <v>13</v>
      </c>
      <c r="H9" s="201">
        <v>1084.3558596054202</v>
      </c>
      <c r="I9" s="202">
        <v>83.411989200416926</v>
      </c>
      <c r="J9" s="350">
        <v>3.1648351648371431E-2</v>
      </c>
      <c r="K9" s="676" t="s">
        <v>275</v>
      </c>
      <c r="L9" s="677"/>
      <c r="N9" s="178"/>
      <c r="O9" s="178"/>
      <c r="P9" s="494"/>
      <c r="Q9" s="494"/>
      <c r="R9" s="178"/>
      <c r="S9" s="188"/>
    </row>
    <row r="10" spans="1:19" ht="15.75" customHeight="1">
      <c r="A10" s="502"/>
      <c r="B10" s="505"/>
      <c r="C10" s="199">
        <v>3</v>
      </c>
      <c r="D10" s="685"/>
      <c r="E10" s="686"/>
      <c r="F10" s="687"/>
      <c r="G10" s="199"/>
      <c r="H10" s="201"/>
      <c r="I10" s="202"/>
      <c r="J10" s="350"/>
      <c r="K10" s="495"/>
      <c r="L10" s="497"/>
      <c r="N10" s="178"/>
      <c r="O10" s="178"/>
      <c r="P10" s="494"/>
      <c r="Q10" s="494"/>
      <c r="R10" s="178"/>
      <c r="S10" s="188"/>
    </row>
    <row r="11" spans="1:19" ht="15.75" customHeight="1">
      <c r="A11" s="502"/>
      <c r="B11" s="505"/>
      <c r="C11" s="199">
        <v>4</v>
      </c>
      <c r="D11" s="685"/>
      <c r="E11" s="686"/>
      <c r="F11" s="687"/>
      <c r="G11" s="201"/>
      <c r="H11" s="201"/>
      <c r="I11" s="202"/>
      <c r="J11" s="350"/>
      <c r="K11" s="495"/>
      <c r="L11" s="497"/>
      <c r="N11" s="178"/>
      <c r="O11" s="178"/>
      <c r="P11" s="494"/>
      <c r="Q11" s="494"/>
      <c r="R11" s="178"/>
      <c r="S11" s="188"/>
    </row>
    <row r="12" spans="1:19" ht="15.75" customHeight="1">
      <c r="A12" s="502"/>
      <c r="B12" s="505"/>
      <c r="C12" s="199">
        <v>5</v>
      </c>
      <c r="D12" s="685"/>
      <c r="E12" s="686"/>
      <c r="F12" s="687"/>
      <c r="G12" s="199"/>
      <c r="H12" s="201"/>
      <c r="I12" s="202"/>
      <c r="J12" s="350"/>
      <c r="K12" s="495"/>
      <c r="L12" s="497"/>
      <c r="N12" s="178"/>
      <c r="O12" s="178"/>
      <c r="P12" s="494"/>
      <c r="Q12" s="494"/>
      <c r="R12" s="178"/>
      <c r="S12" s="188"/>
    </row>
    <row r="13" spans="1:19" ht="15.75" customHeight="1">
      <c r="A13" s="502"/>
      <c r="B13" s="505"/>
      <c r="C13" s="203" t="s">
        <v>276</v>
      </c>
      <c r="D13" s="685"/>
      <c r="E13" s="686"/>
      <c r="F13" s="687"/>
      <c r="G13" s="199"/>
      <c r="H13" s="201"/>
      <c r="I13" s="202"/>
      <c r="J13" s="199"/>
      <c r="K13" s="495"/>
      <c r="L13" s="497"/>
      <c r="N13" s="178"/>
      <c r="O13" s="178"/>
      <c r="P13" s="494"/>
      <c r="Q13" s="494"/>
      <c r="R13" s="178"/>
      <c r="S13" s="188"/>
    </row>
    <row r="14" spans="1:19" ht="15.75" customHeight="1">
      <c r="A14" s="502"/>
      <c r="B14" s="505"/>
      <c r="C14" s="203" t="s">
        <v>277</v>
      </c>
      <c r="D14" s="495"/>
      <c r="E14" s="496"/>
      <c r="F14" s="497"/>
      <c r="G14" s="199"/>
      <c r="H14" s="201"/>
      <c r="I14" s="202"/>
      <c r="J14" s="199"/>
      <c r="K14" s="495"/>
      <c r="L14" s="497"/>
      <c r="N14" s="178"/>
      <c r="O14" s="178"/>
      <c r="P14" s="494"/>
      <c r="Q14" s="494"/>
      <c r="R14" s="178"/>
      <c r="S14" s="188"/>
    </row>
    <row r="15" spans="1:19" ht="15.75" customHeight="1">
      <c r="A15" s="502"/>
      <c r="B15" s="505"/>
      <c r="C15" s="203" t="s">
        <v>278</v>
      </c>
      <c r="D15" s="495"/>
      <c r="E15" s="496"/>
      <c r="F15" s="497"/>
      <c r="G15" s="199"/>
      <c r="H15" s="201"/>
      <c r="I15" s="202"/>
      <c r="J15" s="199"/>
      <c r="K15" s="495"/>
      <c r="L15" s="497"/>
      <c r="N15" s="178"/>
      <c r="O15" s="178"/>
      <c r="P15" s="494"/>
      <c r="Q15" s="494"/>
      <c r="R15" s="178"/>
      <c r="S15" s="188"/>
    </row>
    <row r="16" spans="1:19" ht="15.75" customHeight="1">
      <c r="A16" s="502"/>
      <c r="B16" s="505"/>
      <c r="C16" s="203" t="s">
        <v>280</v>
      </c>
      <c r="D16" s="495"/>
      <c r="E16" s="496"/>
      <c r="F16" s="497"/>
      <c r="G16" s="199"/>
      <c r="H16" s="201"/>
      <c r="I16" s="202"/>
      <c r="J16" s="199"/>
      <c r="K16" s="495"/>
      <c r="L16" s="497"/>
      <c r="M16" s="98"/>
      <c r="N16" s="178"/>
      <c r="O16" s="178"/>
      <c r="P16" s="494"/>
      <c r="Q16" s="494"/>
      <c r="R16" s="178"/>
      <c r="S16" s="188"/>
    </row>
    <row r="17" spans="1:19" ht="15.75" customHeight="1">
      <c r="A17" s="503"/>
      <c r="B17" s="506"/>
      <c r="C17" s="203" t="s">
        <v>281</v>
      </c>
      <c r="D17" s="495"/>
      <c r="E17" s="496"/>
      <c r="F17" s="497"/>
      <c r="G17" s="199"/>
      <c r="H17" s="201"/>
      <c r="I17" s="202"/>
      <c r="J17" s="199"/>
      <c r="K17" s="495"/>
      <c r="L17" s="497"/>
      <c r="M17" s="98"/>
      <c r="N17" s="178"/>
      <c r="O17" s="178"/>
      <c r="P17" s="494"/>
      <c r="Q17" s="494"/>
      <c r="R17" s="178"/>
      <c r="S17" s="188"/>
    </row>
    <row r="18" spans="1:19" s="103" customFormat="1" ht="15.75" customHeight="1">
      <c r="A18" s="498" t="s">
        <v>89</v>
      </c>
      <c r="B18" s="499"/>
      <c r="C18" s="206" t="s">
        <v>267</v>
      </c>
      <c r="D18" s="498" t="s">
        <v>268</v>
      </c>
      <c r="E18" s="500"/>
      <c r="F18" s="499"/>
      <c r="G18" s="206" t="s">
        <v>269</v>
      </c>
      <c r="H18" s="206" t="s">
        <v>270</v>
      </c>
      <c r="I18" s="206" t="s">
        <v>271</v>
      </c>
      <c r="J18" s="159" t="s">
        <v>272</v>
      </c>
      <c r="K18" s="498" t="s">
        <v>273</v>
      </c>
      <c r="L18" s="499"/>
      <c r="M18" s="127"/>
      <c r="N18" s="178"/>
      <c r="O18" s="178"/>
      <c r="P18" s="494"/>
      <c r="Q18" s="494"/>
      <c r="R18" s="178"/>
      <c r="S18" s="198"/>
    </row>
    <row r="19" spans="1:19" ht="15.75" customHeight="1">
      <c r="A19" s="501"/>
      <c r="B19" s="504"/>
      <c r="C19" s="199">
        <v>1</v>
      </c>
      <c r="D19" s="495"/>
      <c r="E19" s="496"/>
      <c r="F19" s="497"/>
      <c r="G19" s="199"/>
      <c r="H19" s="201"/>
      <c r="I19" s="202"/>
      <c r="J19" s="199"/>
      <c r="K19" s="495"/>
      <c r="L19" s="497"/>
      <c r="M19" s="98"/>
      <c r="N19" s="178"/>
      <c r="O19" s="178"/>
      <c r="P19" s="494"/>
      <c r="Q19" s="494"/>
      <c r="R19" s="178"/>
      <c r="S19" s="188"/>
    </row>
    <row r="20" spans="1:19" ht="15.75" customHeight="1">
      <c r="A20" s="502"/>
      <c r="B20" s="505"/>
      <c r="C20" s="199">
        <v>2</v>
      </c>
      <c r="D20" s="495"/>
      <c r="E20" s="496"/>
      <c r="F20" s="497"/>
      <c r="G20" s="199"/>
      <c r="H20" s="201"/>
      <c r="I20" s="202"/>
      <c r="J20" s="199"/>
      <c r="K20" s="495"/>
      <c r="L20" s="497"/>
      <c r="M20" s="98"/>
      <c r="N20" s="178"/>
      <c r="O20" s="178"/>
      <c r="P20" s="494"/>
      <c r="Q20" s="494"/>
      <c r="R20" s="178"/>
      <c r="S20" s="188"/>
    </row>
    <row r="21" spans="1:19" ht="15.75" customHeight="1">
      <c r="A21" s="502"/>
      <c r="B21" s="505"/>
      <c r="C21" s="199">
        <v>3</v>
      </c>
      <c r="D21" s="495"/>
      <c r="E21" s="496"/>
      <c r="F21" s="497"/>
      <c r="G21" s="199"/>
      <c r="H21" s="201"/>
      <c r="I21" s="202"/>
      <c r="J21" s="199"/>
      <c r="K21" s="495"/>
      <c r="L21" s="497"/>
      <c r="M21" s="98"/>
      <c r="N21" s="178"/>
      <c r="O21" s="178"/>
      <c r="P21" s="494"/>
      <c r="Q21" s="494"/>
      <c r="R21" s="178"/>
      <c r="S21" s="188"/>
    </row>
    <row r="22" spans="1:19" ht="15.75" customHeight="1">
      <c r="A22" s="502"/>
      <c r="B22" s="505"/>
      <c r="C22" s="199">
        <v>4</v>
      </c>
      <c r="D22" s="495"/>
      <c r="E22" s="496"/>
      <c r="F22" s="497"/>
      <c r="G22" s="199"/>
      <c r="H22" s="201"/>
      <c r="I22" s="202"/>
      <c r="J22" s="199"/>
      <c r="K22" s="495"/>
      <c r="L22" s="497"/>
      <c r="M22" s="98"/>
      <c r="N22" s="178"/>
      <c r="O22" s="178"/>
      <c r="P22" s="494"/>
      <c r="Q22" s="494"/>
      <c r="R22" s="178"/>
      <c r="S22" s="188"/>
    </row>
    <row r="23" spans="1:19" ht="15.75" customHeight="1">
      <c r="A23" s="502"/>
      <c r="B23" s="505"/>
      <c r="C23" s="199">
        <v>5</v>
      </c>
      <c r="D23" s="495"/>
      <c r="E23" s="496"/>
      <c r="F23" s="497"/>
      <c r="G23" s="199"/>
      <c r="H23" s="201"/>
      <c r="I23" s="202"/>
      <c r="J23" s="199"/>
      <c r="K23" s="495"/>
      <c r="L23" s="497"/>
      <c r="M23" s="98"/>
      <c r="N23" s="178"/>
      <c r="O23" s="178"/>
      <c r="P23" s="494"/>
      <c r="Q23" s="494"/>
      <c r="R23" s="178"/>
      <c r="S23" s="188"/>
    </row>
    <row r="24" spans="1:19" ht="15.75" customHeight="1">
      <c r="A24" s="502"/>
      <c r="B24" s="505"/>
      <c r="C24" s="203" t="s">
        <v>276</v>
      </c>
      <c r="D24" s="495"/>
      <c r="E24" s="496"/>
      <c r="F24" s="497"/>
      <c r="G24" s="199"/>
      <c r="H24" s="201"/>
      <c r="I24" s="202"/>
      <c r="J24" s="199"/>
      <c r="K24" s="495"/>
      <c r="L24" s="497"/>
      <c r="M24" s="98"/>
      <c r="N24" s="178"/>
      <c r="O24" s="178"/>
      <c r="P24" s="494"/>
      <c r="Q24" s="494"/>
      <c r="R24" s="178"/>
      <c r="S24" s="188"/>
    </row>
    <row r="25" spans="1:19" ht="15.75" customHeight="1">
      <c r="A25" s="502"/>
      <c r="B25" s="505"/>
      <c r="C25" s="203" t="s">
        <v>277</v>
      </c>
      <c r="D25" s="495"/>
      <c r="E25" s="496"/>
      <c r="F25" s="497"/>
      <c r="G25" s="199"/>
      <c r="H25" s="201"/>
      <c r="I25" s="202"/>
      <c r="J25" s="199"/>
      <c r="K25" s="495"/>
      <c r="L25" s="497"/>
      <c r="M25" s="98"/>
      <c r="N25" s="178"/>
      <c r="O25" s="178"/>
      <c r="P25" s="494"/>
      <c r="Q25" s="494"/>
      <c r="R25" s="178"/>
      <c r="S25" s="188"/>
    </row>
    <row r="26" spans="1:19" ht="15.75" customHeight="1">
      <c r="A26" s="502"/>
      <c r="B26" s="505"/>
      <c r="C26" s="203" t="s">
        <v>278</v>
      </c>
      <c r="D26" s="495"/>
      <c r="E26" s="496"/>
      <c r="F26" s="497"/>
      <c r="G26" s="199"/>
      <c r="H26" s="201"/>
      <c r="I26" s="202"/>
      <c r="J26" s="199"/>
      <c r="K26" s="495"/>
      <c r="L26" s="497"/>
      <c r="M26" s="98"/>
      <c r="N26" s="178"/>
      <c r="O26" s="178"/>
      <c r="P26" s="494"/>
      <c r="Q26" s="494"/>
      <c r="R26" s="178"/>
      <c r="S26" s="188"/>
    </row>
    <row r="27" spans="1:19" ht="15.75" customHeight="1">
      <c r="A27" s="502"/>
      <c r="B27" s="505"/>
      <c r="C27" s="203" t="s">
        <v>280</v>
      </c>
      <c r="D27" s="495"/>
      <c r="E27" s="496"/>
      <c r="F27" s="497"/>
      <c r="G27" s="199"/>
      <c r="H27" s="201"/>
      <c r="I27" s="202"/>
      <c r="J27" s="199"/>
      <c r="K27" s="495"/>
      <c r="L27" s="497"/>
      <c r="M27" s="98"/>
      <c r="N27" s="178"/>
      <c r="O27" s="178"/>
      <c r="P27" s="494"/>
      <c r="Q27" s="494"/>
      <c r="R27" s="178"/>
      <c r="S27" s="188"/>
    </row>
    <row r="28" spans="1:19" ht="15.75" customHeight="1">
      <c r="A28" s="503"/>
      <c r="B28" s="506"/>
      <c r="C28" s="203" t="s">
        <v>281</v>
      </c>
      <c r="D28" s="495"/>
      <c r="E28" s="496"/>
      <c r="F28" s="497"/>
      <c r="G28" s="199"/>
      <c r="H28" s="201"/>
      <c r="I28" s="202"/>
      <c r="J28" s="199"/>
      <c r="K28" s="495"/>
      <c r="L28" s="497"/>
      <c r="M28" s="98"/>
      <c r="N28" s="178"/>
      <c r="O28" s="178"/>
      <c r="P28" s="494"/>
      <c r="Q28" s="494"/>
      <c r="R28" s="178"/>
      <c r="S28" s="188"/>
    </row>
    <row r="29" spans="1:19" s="188" customFormat="1" ht="15.75" customHeight="1">
      <c r="A29" s="682" t="s">
        <v>284</v>
      </c>
      <c r="B29" s="682"/>
      <c r="C29" s="682"/>
      <c r="D29" s="682"/>
      <c r="E29" s="682"/>
      <c r="F29" s="682"/>
      <c r="G29" s="682"/>
      <c r="H29" s="682"/>
      <c r="I29" s="682"/>
      <c r="J29" s="682"/>
      <c r="K29" s="682"/>
      <c r="L29" s="682"/>
    </row>
    <row r="30" spans="1:19" s="189" customFormat="1" ht="15.75" customHeight="1">
      <c r="A30" s="682"/>
      <c r="B30" s="682"/>
      <c r="C30" s="682"/>
      <c r="D30" s="682"/>
      <c r="E30" s="682"/>
      <c r="F30" s="682"/>
      <c r="G30" s="682"/>
      <c r="H30" s="682"/>
      <c r="I30" s="682"/>
      <c r="J30" s="682"/>
      <c r="K30" s="682"/>
      <c r="L30" s="682"/>
    </row>
    <row r="31" spans="1:19" s="105" customFormat="1" ht="16.350000000000001" customHeight="1">
      <c r="A31" s="501" t="s">
        <v>161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92"/>
      <c r="N31" s="178"/>
      <c r="O31" s="178"/>
      <c r="P31" s="178"/>
      <c r="Q31" s="178"/>
      <c r="R31" s="178"/>
      <c r="S31" s="177"/>
    </row>
    <row r="32" spans="1:19" ht="16.350000000000001" customHeight="1">
      <c r="A32" s="503"/>
      <c r="B32" s="194" t="s">
        <v>259</v>
      </c>
      <c r="C32" s="194" t="s">
        <v>260</v>
      </c>
      <c r="D32" s="194" t="s">
        <v>261</v>
      </c>
      <c r="E32" s="194" t="s">
        <v>262</v>
      </c>
      <c r="F32" s="194" t="s">
        <v>290</v>
      </c>
      <c r="G32" s="195" t="s">
        <v>263</v>
      </c>
      <c r="H32" s="196" t="s">
        <v>264</v>
      </c>
      <c r="I32" s="195" t="s">
        <v>265</v>
      </c>
      <c r="J32" s="208" t="s">
        <v>266</v>
      </c>
      <c r="K32" s="197"/>
      <c r="L32" s="197"/>
      <c r="M32" s="189"/>
      <c r="N32" s="178"/>
      <c r="O32" s="178"/>
      <c r="P32" s="178"/>
      <c r="Q32" s="178"/>
      <c r="R32" s="178"/>
      <c r="S32" s="188"/>
    </row>
    <row r="33" spans="1:19" s="105" customFormat="1" ht="15.75" customHeight="1">
      <c r="A33" s="507" t="s">
        <v>89</v>
      </c>
      <c r="B33" s="508"/>
      <c r="C33" s="159" t="s">
        <v>267</v>
      </c>
      <c r="D33" s="507" t="s">
        <v>268</v>
      </c>
      <c r="E33" s="509"/>
      <c r="F33" s="508"/>
      <c r="G33" s="159" t="s">
        <v>269</v>
      </c>
      <c r="H33" s="159" t="s">
        <v>270</v>
      </c>
      <c r="I33" s="159" t="s">
        <v>271</v>
      </c>
      <c r="J33" s="159" t="s">
        <v>272</v>
      </c>
      <c r="K33" s="507" t="s">
        <v>273</v>
      </c>
      <c r="L33" s="508"/>
      <c r="M33" s="192"/>
      <c r="N33" s="178"/>
      <c r="O33" s="493"/>
      <c r="P33" s="493"/>
      <c r="Q33" s="493"/>
      <c r="R33" s="178"/>
      <c r="S33" s="177"/>
    </row>
    <row r="34" spans="1:19" ht="15.75" customHeight="1">
      <c r="A34" s="501">
        <f>J31</f>
        <v>9</v>
      </c>
      <c r="B34" s="504" t="str">
        <f>J32</f>
        <v>微波小吃</v>
      </c>
      <c r="C34" s="199">
        <v>1</v>
      </c>
      <c r="D34" s="685" t="s">
        <v>255</v>
      </c>
      <c r="E34" s="686"/>
      <c r="F34" s="687"/>
      <c r="G34" s="199">
        <v>19</v>
      </c>
      <c r="H34" s="201">
        <v>1802.1423440132405</v>
      </c>
      <c r="I34" s="202">
        <v>94.849597053328452</v>
      </c>
      <c r="J34" s="350">
        <f>I34-I8</f>
        <v>-7.3684210526266725E-2</v>
      </c>
      <c r="K34" s="495"/>
      <c r="L34" s="497"/>
      <c r="N34" s="178"/>
      <c r="O34" s="178"/>
      <c r="P34" s="494"/>
      <c r="Q34" s="494"/>
      <c r="R34" s="178"/>
      <c r="S34" s="188"/>
    </row>
    <row r="35" spans="1:19" ht="13.5">
      <c r="A35" s="502"/>
      <c r="B35" s="505"/>
      <c r="C35" s="199">
        <v>2</v>
      </c>
      <c r="D35" s="685" t="s">
        <v>256</v>
      </c>
      <c r="E35" s="686"/>
      <c r="F35" s="687"/>
      <c r="G35" s="199">
        <v>13</v>
      </c>
      <c r="H35" s="201">
        <v>1083.8758596054204</v>
      </c>
      <c r="I35" s="202">
        <v>83.37506612349388</v>
      </c>
      <c r="J35" s="350">
        <f>I35-I9</f>
        <v>-3.6923076923045528E-2</v>
      </c>
      <c r="K35" s="495"/>
      <c r="L35" s="497"/>
      <c r="N35" s="178"/>
      <c r="O35" s="178"/>
      <c r="P35" s="494"/>
      <c r="Q35" s="494"/>
      <c r="R35" s="178"/>
      <c r="S35" s="188"/>
    </row>
    <row r="36" spans="1:19" ht="13.5">
      <c r="A36" s="502"/>
      <c r="B36" s="505"/>
      <c r="C36" s="199">
        <v>3</v>
      </c>
      <c r="D36" s="685"/>
      <c r="E36" s="686"/>
      <c r="F36" s="687"/>
      <c r="G36" s="199"/>
      <c r="H36" s="201"/>
      <c r="I36" s="202"/>
      <c r="J36" s="350"/>
      <c r="K36" s="495"/>
      <c r="L36" s="497"/>
      <c r="N36" s="178"/>
      <c r="O36" s="178"/>
      <c r="P36" s="494"/>
      <c r="Q36" s="494"/>
      <c r="R36" s="178"/>
      <c r="S36" s="188"/>
    </row>
    <row r="37" spans="1:19" ht="13.5">
      <c r="A37" s="502"/>
      <c r="B37" s="505"/>
      <c r="C37" s="199">
        <v>4</v>
      </c>
      <c r="D37" s="685"/>
      <c r="E37" s="686"/>
      <c r="F37" s="687"/>
      <c r="G37" s="201"/>
      <c r="H37" s="201"/>
      <c r="I37" s="202"/>
      <c r="J37" s="350"/>
      <c r="K37" s="495"/>
      <c r="L37" s="497"/>
      <c r="N37" s="178"/>
      <c r="O37" s="178"/>
      <c r="P37" s="494"/>
      <c r="Q37" s="494"/>
      <c r="R37" s="178"/>
      <c r="S37" s="188"/>
    </row>
    <row r="38" spans="1:19" ht="13.5">
      <c r="A38" s="502"/>
      <c r="B38" s="505"/>
      <c r="C38" s="199">
        <v>5</v>
      </c>
      <c r="D38" s="685"/>
      <c r="E38" s="686"/>
      <c r="F38" s="687"/>
      <c r="G38" s="199"/>
      <c r="H38" s="201"/>
      <c r="I38" s="202"/>
      <c r="J38" s="350"/>
      <c r="K38" s="495"/>
      <c r="L38" s="497"/>
      <c r="N38" s="178"/>
      <c r="O38" s="178"/>
      <c r="P38" s="494"/>
      <c r="Q38" s="494"/>
      <c r="R38" s="178"/>
      <c r="S38" s="188"/>
    </row>
    <row r="39" spans="1:19" ht="15.75" customHeight="1">
      <c r="A39" s="502"/>
      <c r="B39" s="505"/>
      <c r="C39" s="203" t="s">
        <v>276</v>
      </c>
      <c r="D39" s="685"/>
      <c r="E39" s="686"/>
      <c r="F39" s="687"/>
      <c r="G39" s="199"/>
      <c r="H39" s="201"/>
      <c r="I39" s="202"/>
      <c r="J39" s="199"/>
      <c r="K39" s="495"/>
      <c r="L39" s="497"/>
      <c r="N39" s="178"/>
      <c r="O39" s="178"/>
      <c r="P39" s="494"/>
      <c r="Q39" s="494"/>
      <c r="R39" s="178"/>
      <c r="S39" s="188"/>
    </row>
    <row r="40" spans="1:19" ht="15.75" customHeight="1">
      <c r="A40" s="502"/>
      <c r="B40" s="505"/>
      <c r="C40" s="203" t="s">
        <v>277</v>
      </c>
      <c r="D40" s="495"/>
      <c r="E40" s="496"/>
      <c r="F40" s="497"/>
      <c r="G40" s="199"/>
      <c r="H40" s="201"/>
      <c r="I40" s="202"/>
      <c r="J40" s="199"/>
      <c r="K40" s="495"/>
      <c r="L40" s="497"/>
      <c r="N40" s="178"/>
      <c r="O40" s="178"/>
      <c r="P40" s="494"/>
      <c r="Q40" s="494"/>
      <c r="R40" s="178"/>
      <c r="S40" s="188"/>
    </row>
    <row r="41" spans="1:19" ht="15.75" customHeight="1">
      <c r="A41" s="502"/>
      <c r="B41" s="505"/>
      <c r="C41" s="203" t="s">
        <v>278</v>
      </c>
      <c r="D41" s="495"/>
      <c r="E41" s="496"/>
      <c r="F41" s="497"/>
      <c r="G41" s="199"/>
      <c r="H41" s="201"/>
      <c r="I41" s="202"/>
      <c r="J41" s="199"/>
      <c r="K41" s="495"/>
      <c r="L41" s="497"/>
      <c r="N41" s="178"/>
      <c r="O41" s="178"/>
      <c r="P41" s="494"/>
      <c r="Q41" s="494"/>
      <c r="R41" s="178"/>
      <c r="S41" s="188"/>
    </row>
    <row r="42" spans="1:19" ht="15.75" customHeight="1">
      <c r="A42" s="502"/>
      <c r="B42" s="505"/>
      <c r="C42" s="203" t="s">
        <v>280</v>
      </c>
      <c r="D42" s="495"/>
      <c r="E42" s="496"/>
      <c r="F42" s="497"/>
      <c r="G42" s="199"/>
      <c r="H42" s="201"/>
      <c r="I42" s="202"/>
      <c r="J42" s="199"/>
      <c r="K42" s="495"/>
      <c r="L42" s="497"/>
      <c r="M42" s="98"/>
      <c r="N42" s="178"/>
      <c r="O42" s="178"/>
      <c r="P42" s="494"/>
      <c r="Q42" s="494"/>
      <c r="R42" s="178"/>
      <c r="S42" s="188"/>
    </row>
    <row r="43" spans="1:19" ht="15.75" customHeight="1">
      <c r="A43" s="503"/>
      <c r="B43" s="506"/>
      <c r="C43" s="203" t="s">
        <v>281</v>
      </c>
      <c r="D43" s="495"/>
      <c r="E43" s="496"/>
      <c r="F43" s="497"/>
      <c r="G43" s="199"/>
      <c r="H43" s="201"/>
      <c r="I43" s="202"/>
      <c r="J43" s="199"/>
      <c r="K43" s="495"/>
      <c r="L43" s="497"/>
      <c r="M43" s="98"/>
      <c r="N43" s="178"/>
      <c r="O43" s="178"/>
      <c r="P43" s="494"/>
      <c r="Q43" s="494"/>
      <c r="R43" s="178"/>
      <c r="S43" s="188"/>
    </row>
    <row r="44" spans="1:19" s="103" customFormat="1" ht="15.75" customHeight="1">
      <c r="A44" s="498" t="s">
        <v>89</v>
      </c>
      <c r="B44" s="499"/>
      <c r="C44" s="206" t="s">
        <v>267</v>
      </c>
      <c r="D44" s="498" t="s">
        <v>268</v>
      </c>
      <c r="E44" s="500"/>
      <c r="F44" s="499"/>
      <c r="G44" s="206" t="s">
        <v>269</v>
      </c>
      <c r="H44" s="206" t="s">
        <v>270</v>
      </c>
      <c r="I44" s="206" t="s">
        <v>271</v>
      </c>
      <c r="J44" s="159" t="s">
        <v>272</v>
      </c>
      <c r="K44" s="498" t="s">
        <v>273</v>
      </c>
      <c r="L44" s="499"/>
      <c r="M44" s="127"/>
      <c r="N44" s="178"/>
      <c r="O44" s="178"/>
      <c r="P44" s="494"/>
      <c r="Q44" s="494"/>
      <c r="R44" s="178"/>
      <c r="S44" s="198"/>
    </row>
    <row r="45" spans="1:19" ht="15.75" customHeight="1">
      <c r="A45" s="501"/>
      <c r="B45" s="504"/>
      <c r="C45" s="199">
        <v>1</v>
      </c>
      <c r="D45" s="495"/>
      <c r="E45" s="496"/>
      <c r="F45" s="497"/>
      <c r="G45" s="199"/>
      <c r="H45" s="201"/>
      <c r="I45" s="202"/>
      <c r="J45" s="199"/>
      <c r="K45" s="495"/>
      <c r="L45" s="497"/>
      <c r="M45" s="98"/>
      <c r="N45" s="178"/>
      <c r="O45" s="178"/>
      <c r="P45" s="494"/>
      <c r="Q45" s="494"/>
      <c r="R45" s="178"/>
      <c r="S45" s="188"/>
    </row>
    <row r="46" spans="1:19" ht="15.75" customHeight="1">
      <c r="A46" s="502"/>
      <c r="B46" s="505"/>
      <c r="C46" s="199">
        <v>2</v>
      </c>
      <c r="D46" s="495"/>
      <c r="E46" s="496"/>
      <c r="F46" s="497"/>
      <c r="G46" s="199"/>
      <c r="H46" s="201"/>
      <c r="I46" s="202"/>
      <c r="J46" s="199"/>
      <c r="K46" s="495"/>
      <c r="L46" s="497"/>
      <c r="M46" s="98"/>
      <c r="N46" s="178"/>
      <c r="O46" s="178"/>
      <c r="P46" s="494"/>
      <c r="Q46" s="494"/>
      <c r="R46" s="178"/>
      <c r="S46" s="188"/>
    </row>
    <row r="47" spans="1:19" ht="15.75" customHeight="1">
      <c r="A47" s="502"/>
      <c r="B47" s="505"/>
      <c r="C47" s="199">
        <v>3</v>
      </c>
      <c r="D47" s="495"/>
      <c r="E47" s="496"/>
      <c r="F47" s="497"/>
      <c r="G47" s="199"/>
      <c r="H47" s="201"/>
      <c r="I47" s="202"/>
      <c r="J47" s="199"/>
      <c r="K47" s="495"/>
      <c r="L47" s="497"/>
      <c r="M47" s="98"/>
      <c r="N47" s="178"/>
      <c r="O47" s="178"/>
      <c r="P47" s="494"/>
      <c r="Q47" s="494"/>
      <c r="R47" s="178"/>
      <c r="S47" s="188"/>
    </row>
    <row r="48" spans="1:19" ht="15.75" customHeight="1">
      <c r="A48" s="502"/>
      <c r="B48" s="505"/>
      <c r="C48" s="199">
        <v>4</v>
      </c>
      <c r="D48" s="495"/>
      <c r="E48" s="496"/>
      <c r="F48" s="497"/>
      <c r="G48" s="199"/>
      <c r="H48" s="201"/>
      <c r="I48" s="202"/>
      <c r="J48" s="199"/>
      <c r="K48" s="495"/>
      <c r="L48" s="497"/>
      <c r="M48" s="98"/>
      <c r="N48" s="178"/>
      <c r="O48" s="178"/>
      <c r="P48" s="494"/>
      <c r="Q48" s="494"/>
      <c r="R48" s="178"/>
      <c r="S48" s="188"/>
    </row>
    <row r="49" spans="1:19" ht="15.75" customHeight="1">
      <c r="A49" s="502"/>
      <c r="B49" s="505"/>
      <c r="C49" s="199">
        <v>5</v>
      </c>
      <c r="D49" s="495"/>
      <c r="E49" s="496"/>
      <c r="F49" s="497"/>
      <c r="G49" s="199"/>
      <c r="H49" s="201"/>
      <c r="I49" s="202"/>
      <c r="J49" s="199"/>
      <c r="K49" s="495"/>
      <c r="L49" s="497"/>
      <c r="M49" s="98"/>
      <c r="N49" s="178"/>
      <c r="O49" s="178"/>
      <c r="P49" s="494"/>
      <c r="Q49" s="494"/>
      <c r="R49" s="178"/>
      <c r="S49" s="188"/>
    </row>
    <row r="50" spans="1:19" ht="15.75" customHeight="1">
      <c r="A50" s="502"/>
      <c r="B50" s="505"/>
      <c r="C50" s="203" t="s">
        <v>276</v>
      </c>
      <c r="D50" s="495"/>
      <c r="E50" s="496"/>
      <c r="F50" s="497"/>
      <c r="G50" s="199"/>
      <c r="H50" s="201"/>
      <c r="I50" s="202"/>
      <c r="J50" s="199"/>
      <c r="K50" s="495"/>
      <c r="L50" s="497"/>
      <c r="M50" s="98"/>
      <c r="N50" s="178"/>
      <c r="O50" s="178"/>
      <c r="P50" s="494"/>
      <c r="Q50" s="494"/>
      <c r="R50" s="178"/>
      <c r="S50" s="188"/>
    </row>
    <row r="51" spans="1:19" ht="15.75" customHeight="1">
      <c r="A51" s="502"/>
      <c r="B51" s="505"/>
      <c r="C51" s="203" t="s">
        <v>277</v>
      </c>
      <c r="D51" s="495"/>
      <c r="E51" s="496"/>
      <c r="F51" s="497"/>
      <c r="G51" s="199"/>
      <c r="H51" s="201"/>
      <c r="I51" s="202"/>
      <c r="J51" s="199"/>
      <c r="K51" s="495"/>
      <c r="L51" s="497"/>
      <c r="M51" s="98"/>
      <c r="N51" s="178"/>
      <c r="O51" s="178"/>
      <c r="P51" s="494"/>
      <c r="Q51" s="494"/>
      <c r="R51" s="178"/>
      <c r="S51" s="188"/>
    </row>
    <row r="52" spans="1:19" ht="15.75" customHeight="1">
      <c r="A52" s="502"/>
      <c r="B52" s="505"/>
      <c r="C52" s="203" t="s">
        <v>278</v>
      </c>
      <c r="D52" s="495"/>
      <c r="E52" s="496"/>
      <c r="F52" s="497"/>
      <c r="G52" s="199"/>
      <c r="H52" s="201"/>
      <c r="I52" s="202"/>
      <c r="J52" s="199"/>
      <c r="K52" s="495"/>
      <c r="L52" s="497"/>
      <c r="M52" s="98"/>
      <c r="N52" s="178"/>
      <c r="O52" s="178"/>
      <c r="P52" s="494"/>
      <c r="Q52" s="494"/>
      <c r="R52" s="178"/>
      <c r="S52" s="188"/>
    </row>
    <row r="53" spans="1:19" ht="15.75" customHeight="1">
      <c r="A53" s="502"/>
      <c r="B53" s="505"/>
      <c r="C53" s="203" t="s">
        <v>280</v>
      </c>
      <c r="D53" s="495"/>
      <c r="E53" s="496"/>
      <c r="F53" s="497"/>
      <c r="G53" s="199"/>
      <c r="H53" s="201"/>
      <c r="I53" s="202"/>
      <c r="J53" s="199"/>
      <c r="K53" s="495"/>
      <c r="L53" s="497"/>
      <c r="M53" s="98"/>
      <c r="N53" s="178"/>
      <c r="O53" s="178"/>
      <c r="P53" s="494"/>
      <c r="Q53" s="494"/>
      <c r="R53" s="178"/>
      <c r="S53" s="188"/>
    </row>
    <row r="54" spans="1:19" ht="15.75" customHeight="1">
      <c r="A54" s="503"/>
      <c r="B54" s="506"/>
      <c r="C54" s="203" t="s">
        <v>281</v>
      </c>
      <c r="D54" s="495"/>
      <c r="E54" s="496"/>
      <c r="F54" s="497"/>
      <c r="G54" s="199"/>
      <c r="H54" s="201"/>
      <c r="I54" s="202"/>
      <c r="J54" s="199"/>
      <c r="K54" s="495"/>
      <c r="L54" s="497"/>
      <c r="M54" s="98"/>
      <c r="N54" s="178"/>
      <c r="O54" s="178"/>
      <c r="P54" s="494"/>
      <c r="Q54" s="494"/>
      <c r="R54" s="178"/>
      <c r="S54" s="188"/>
    </row>
    <row r="55" spans="1:19" s="188" customFormat="1" ht="15.75" customHeight="1">
      <c r="A55" s="682" t="s">
        <v>285</v>
      </c>
      <c r="B55" s="682"/>
      <c r="C55" s="682"/>
      <c r="D55" s="682"/>
      <c r="E55" s="682"/>
      <c r="F55" s="682"/>
      <c r="G55" s="682"/>
      <c r="H55" s="682"/>
      <c r="I55" s="682"/>
      <c r="J55" s="682"/>
      <c r="K55" s="682"/>
      <c r="L55" s="682"/>
    </row>
    <row r="56" spans="1:19" s="189" customFormat="1" ht="15.75" customHeight="1">
      <c r="A56" s="682"/>
      <c r="B56" s="682"/>
      <c r="C56" s="682"/>
      <c r="D56" s="682"/>
      <c r="E56" s="682"/>
      <c r="F56" s="682"/>
      <c r="G56" s="682"/>
      <c r="H56" s="682"/>
      <c r="I56" s="682"/>
      <c r="J56" s="682"/>
      <c r="K56" s="682"/>
      <c r="L56" s="682"/>
    </row>
    <row r="57" spans="1:19" s="105" customFormat="1" ht="16.350000000000001" customHeight="1">
      <c r="A57" s="501" t="s">
        <v>161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92"/>
      <c r="N57" s="178"/>
      <c r="O57" s="178"/>
      <c r="P57" s="178"/>
      <c r="Q57" s="178"/>
      <c r="R57" s="178"/>
      <c r="S57" s="177"/>
    </row>
    <row r="58" spans="1:19" ht="16.350000000000001" customHeight="1">
      <c r="A58" s="503"/>
      <c r="B58" s="194" t="s">
        <v>259</v>
      </c>
      <c r="C58" s="194" t="s">
        <v>260</v>
      </c>
      <c r="D58" s="194" t="s">
        <v>261</v>
      </c>
      <c r="E58" s="194" t="s">
        <v>262</v>
      </c>
      <c r="F58" s="194" t="s">
        <v>290</v>
      </c>
      <c r="G58" s="195" t="s">
        <v>263</v>
      </c>
      <c r="H58" s="196" t="s">
        <v>264</v>
      </c>
      <c r="I58" s="195" t="s">
        <v>265</v>
      </c>
      <c r="J58" s="208" t="s">
        <v>266</v>
      </c>
      <c r="K58" s="197"/>
      <c r="L58" s="197"/>
      <c r="M58" s="189"/>
      <c r="N58" s="178"/>
      <c r="O58" s="178"/>
      <c r="P58" s="178"/>
      <c r="Q58" s="178"/>
      <c r="R58" s="178"/>
      <c r="S58" s="188"/>
    </row>
    <row r="59" spans="1:19" s="105" customFormat="1" ht="15.75" customHeight="1">
      <c r="A59" s="507" t="s">
        <v>89</v>
      </c>
      <c r="B59" s="508"/>
      <c r="C59" s="159" t="s">
        <v>267</v>
      </c>
      <c r="D59" s="507" t="s">
        <v>268</v>
      </c>
      <c r="E59" s="509"/>
      <c r="F59" s="508"/>
      <c r="G59" s="159" t="s">
        <v>269</v>
      </c>
      <c r="H59" s="159" t="s">
        <v>270</v>
      </c>
      <c r="I59" s="159" t="s">
        <v>271</v>
      </c>
      <c r="J59" s="159" t="s">
        <v>272</v>
      </c>
      <c r="K59" s="507" t="s">
        <v>273</v>
      </c>
      <c r="L59" s="508"/>
      <c r="M59" s="192"/>
      <c r="N59" s="178"/>
      <c r="O59" s="493"/>
      <c r="P59" s="493"/>
      <c r="Q59" s="493"/>
      <c r="R59" s="178"/>
      <c r="S59" s="177"/>
    </row>
    <row r="60" spans="1:19" ht="15.75" customHeight="1">
      <c r="A60" s="501">
        <f>J57</f>
        <v>9</v>
      </c>
      <c r="B60" s="504" t="str">
        <f>J58</f>
        <v>微波小吃</v>
      </c>
      <c r="C60" s="199">
        <v>1</v>
      </c>
      <c r="D60" s="685"/>
      <c r="E60" s="686"/>
      <c r="F60" s="687"/>
      <c r="G60" s="199"/>
      <c r="H60" s="201"/>
      <c r="I60" s="202"/>
      <c r="J60" s="350">
        <f>I60-I34</f>
        <v>-94.849597053328452</v>
      </c>
      <c r="K60" s="495"/>
      <c r="L60" s="497"/>
      <c r="N60" s="178"/>
      <c r="O60" s="178"/>
      <c r="P60" s="494"/>
      <c r="Q60" s="494"/>
      <c r="R60" s="178"/>
      <c r="S60" s="188"/>
    </row>
    <row r="61" spans="1:19" ht="15.75" customHeight="1">
      <c r="A61" s="502"/>
      <c r="B61" s="505"/>
      <c r="C61" s="199">
        <v>2</v>
      </c>
      <c r="D61" s="685"/>
      <c r="E61" s="686"/>
      <c r="F61" s="687"/>
      <c r="G61" s="199"/>
      <c r="H61" s="201"/>
      <c r="I61" s="202"/>
      <c r="J61" s="350">
        <f>I61-I35</f>
        <v>-83.37506612349388</v>
      </c>
      <c r="K61" s="495"/>
      <c r="L61" s="497"/>
      <c r="N61" s="178"/>
      <c r="O61" s="178"/>
      <c r="P61" s="494"/>
      <c r="Q61" s="494"/>
      <c r="R61" s="178"/>
      <c r="S61" s="188"/>
    </row>
    <row r="62" spans="1:19" ht="15.75" customHeight="1">
      <c r="A62" s="502"/>
      <c r="B62" s="505"/>
      <c r="C62" s="199">
        <v>3</v>
      </c>
      <c r="D62" s="685"/>
      <c r="E62" s="686"/>
      <c r="F62" s="687"/>
      <c r="G62" s="199"/>
      <c r="H62" s="201"/>
      <c r="I62" s="202"/>
      <c r="J62" s="350"/>
      <c r="K62" s="495"/>
      <c r="L62" s="497"/>
      <c r="N62" s="178"/>
      <c r="O62" s="178"/>
      <c r="P62" s="494"/>
      <c r="Q62" s="494"/>
      <c r="R62" s="178"/>
      <c r="S62" s="188"/>
    </row>
    <row r="63" spans="1:19" ht="15.75" customHeight="1">
      <c r="A63" s="502"/>
      <c r="B63" s="505"/>
      <c r="C63" s="199">
        <v>4</v>
      </c>
      <c r="D63" s="685"/>
      <c r="E63" s="686"/>
      <c r="F63" s="687"/>
      <c r="G63" s="201"/>
      <c r="H63" s="201"/>
      <c r="I63" s="202"/>
      <c r="J63" s="350"/>
      <c r="K63" s="495"/>
      <c r="L63" s="497"/>
      <c r="N63" s="178"/>
      <c r="O63" s="178"/>
      <c r="P63" s="494"/>
      <c r="Q63" s="494"/>
      <c r="R63" s="178"/>
      <c r="S63" s="188"/>
    </row>
    <row r="64" spans="1:19" ht="15.75" customHeight="1">
      <c r="A64" s="502"/>
      <c r="B64" s="505"/>
      <c r="C64" s="199">
        <v>5</v>
      </c>
      <c r="D64" s="685"/>
      <c r="E64" s="686"/>
      <c r="F64" s="687"/>
      <c r="G64" s="199"/>
      <c r="H64" s="201"/>
      <c r="I64" s="202"/>
      <c r="J64" s="350"/>
      <c r="K64" s="495"/>
      <c r="L64" s="497"/>
      <c r="N64" s="178"/>
      <c r="O64" s="178"/>
      <c r="P64" s="494"/>
      <c r="Q64" s="494"/>
      <c r="R64" s="178"/>
      <c r="S64" s="188"/>
    </row>
    <row r="65" spans="1:19" ht="15.75" customHeight="1">
      <c r="A65" s="502"/>
      <c r="B65" s="505"/>
      <c r="C65" s="203" t="s">
        <v>276</v>
      </c>
      <c r="D65" s="685"/>
      <c r="E65" s="686"/>
      <c r="F65" s="687"/>
      <c r="G65" s="199"/>
      <c r="H65" s="201"/>
      <c r="I65" s="202"/>
      <c r="J65" s="199"/>
      <c r="K65" s="495"/>
      <c r="L65" s="497"/>
      <c r="N65" s="178"/>
      <c r="O65" s="178"/>
      <c r="P65" s="494"/>
      <c r="Q65" s="494"/>
      <c r="R65" s="178"/>
      <c r="S65" s="188"/>
    </row>
    <row r="66" spans="1:19" ht="15.75" customHeight="1">
      <c r="A66" s="502"/>
      <c r="B66" s="505"/>
      <c r="C66" s="203" t="s">
        <v>277</v>
      </c>
      <c r="D66" s="495"/>
      <c r="E66" s="496"/>
      <c r="F66" s="497"/>
      <c r="G66" s="199"/>
      <c r="H66" s="201"/>
      <c r="I66" s="202"/>
      <c r="J66" s="199"/>
      <c r="K66" s="495"/>
      <c r="L66" s="497"/>
      <c r="N66" s="178"/>
      <c r="O66" s="178"/>
      <c r="P66" s="494"/>
      <c r="Q66" s="494"/>
      <c r="R66" s="178"/>
      <c r="S66" s="188"/>
    </row>
    <row r="67" spans="1:19" ht="15.75" customHeight="1">
      <c r="A67" s="502"/>
      <c r="B67" s="505"/>
      <c r="C67" s="203" t="s">
        <v>278</v>
      </c>
      <c r="D67" s="495"/>
      <c r="E67" s="496"/>
      <c r="F67" s="497"/>
      <c r="G67" s="199"/>
      <c r="H67" s="201"/>
      <c r="I67" s="202"/>
      <c r="J67" s="199"/>
      <c r="K67" s="495"/>
      <c r="L67" s="497"/>
      <c r="N67" s="178"/>
      <c r="O67" s="178"/>
      <c r="P67" s="494"/>
      <c r="Q67" s="494"/>
      <c r="R67" s="178"/>
      <c r="S67" s="188"/>
    </row>
    <row r="68" spans="1:19" ht="15.75" customHeight="1">
      <c r="A68" s="502"/>
      <c r="B68" s="505"/>
      <c r="C68" s="203" t="s">
        <v>280</v>
      </c>
      <c r="D68" s="495"/>
      <c r="E68" s="496"/>
      <c r="F68" s="497"/>
      <c r="G68" s="199"/>
      <c r="H68" s="201"/>
      <c r="I68" s="202"/>
      <c r="J68" s="199"/>
      <c r="K68" s="495"/>
      <c r="L68" s="497"/>
      <c r="M68" s="98"/>
      <c r="N68" s="178"/>
      <c r="O68" s="178"/>
      <c r="P68" s="494"/>
      <c r="Q68" s="494"/>
      <c r="R68" s="178"/>
      <c r="S68" s="188"/>
    </row>
    <row r="69" spans="1:19" ht="15.75" customHeight="1">
      <c r="A69" s="503"/>
      <c r="B69" s="506"/>
      <c r="C69" s="203" t="s">
        <v>281</v>
      </c>
      <c r="D69" s="495"/>
      <c r="E69" s="496"/>
      <c r="F69" s="497"/>
      <c r="G69" s="199"/>
      <c r="H69" s="201"/>
      <c r="I69" s="202"/>
      <c r="J69" s="199"/>
      <c r="K69" s="495"/>
      <c r="L69" s="497"/>
      <c r="M69" s="98"/>
      <c r="N69" s="178"/>
      <c r="O69" s="178"/>
      <c r="P69" s="494"/>
      <c r="Q69" s="494"/>
      <c r="R69" s="178"/>
      <c r="S69" s="188"/>
    </row>
    <row r="70" spans="1:19" s="103" customFormat="1" ht="15.75" customHeight="1">
      <c r="A70" s="498" t="s">
        <v>89</v>
      </c>
      <c r="B70" s="499"/>
      <c r="C70" s="206" t="s">
        <v>267</v>
      </c>
      <c r="D70" s="498" t="s">
        <v>268</v>
      </c>
      <c r="E70" s="500"/>
      <c r="F70" s="499"/>
      <c r="G70" s="206" t="s">
        <v>269</v>
      </c>
      <c r="H70" s="206" t="s">
        <v>270</v>
      </c>
      <c r="I70" s="206" t="s">
        <v>271</v>
      </c>
      <c r="J70" s="159" t="s">
        <v>272</v>
      </c>
      <c r="K70" s="498" t="s">
        <v>273</v>
      </c>
      <c r="L70" s="499"/>
      <c r="M70" s="127"/>
      <c r="N70" s="178"/>
      <c r="O70" s="178"/>
      <c r="P70" s="494"/>
      <c r="Q70" s="494"/>
      <c r="R70" s="178"/>
      <c r="S70" s="198"/>
    </row>
    <row r="71" spans="1:19" ht="15.75" customHeight="1">
      <c r="A71" s="501"/>
      <c r="B71" s="504"/>
      <c r="C71" s="199">
        <v>1</v>
      </c>
      <c r="D71" s="495"/>
      <c r="E71" s="496"/>
      <c r="F71" s="497"/>
      <c r="G71" s="199"/>
      <c r="H71" s="201"/>
      <c r="I71" s="202"/>
      <c r="J71" s="199"/>
      <c r="K71" s="495"/>
      <c r="L71" s="497"/>
      <c r="M71" s="98"/>
      <c r="N71" s="178"/>
      <c r="O71" s="178"/>
      <c r="P71" s="494"/>
      <c r="Q71" s="494"/>
      <c r="R71" s="178"/>
      <c r="S71" s="188"/>
    </row>
    <row r="72" spans="1:19" ht="15.75" customHeight="1">
      <c r="A72" s="502"/>
      <c r="B72" s="505"/>
      <c r="C72" s="199">
        <v>2</v>
      </c>
      <c r="D72" s="495"/>
      <c r="E72" s="496"/>
      <c r="F72" s="497"/>
      <c r="G72" s="199"/>
      <c r="H72" s="201"/>
      <c r="I72" s="202"/>
      <c r="J72" s="199"/>
      <c r="K72" s="495"/>
      <c r="L72" s="497"/>
      <c r="M72" s="98"/>
      <c r="N72" s="178"/>
      <c r="O72" s="178"/>
      <c r="P72" s="494"/>
      <c r="Q72" s="494"/>
      <c r="R72" s="178"/>
      <c r="S72" s="188"/>
    </row>
    <row r="73" spans="1:19" ht="15.75" customHeight="1">
      <c r="A73" s="502"/>
      <c r="B73" s="505"/>
      <c r="C73" s="199">
        <v>3</v>
      </c>
      <c r="D73" s="495"/>
      <c r="E73" s="496"/>
      <c r="F73" s="497"/>
      <c r="G73" s="199"/>
      <c r="H73" s="201"/>
      <c r="I73" s="202"/>
      <c r="J73" s="199"/>
      <c r="K73" s="495"/>
      <c r="L73" s="497"/>
      <c r="M73" s="98"/>
      <c r="N73" s="178"/>
      <c r="O73" s="178"/>
      <c r="P73" s="494"/>
      <c r="Q73" s="494"/>
      <c r="R73" s="178"/>
      <c r="S73" s="188"/>
    </row>
    <row r="74" spans="1:19" ht="15.75" customHeight="1">
      <c r="A74" s="502"/>
      <c r="B74" s="505"/>
      <c r="C74" s="199">
        <v>4</v>
      </c>
      <c r="D74" s="495"/>
      <c r="E74" s="496"/>
      <c r="F74" s="497"/>
      <c r="G74" s="199"/>
      <c r="H74" s="201"/>
      <c r="I74" s="202"/>
      <c r="J74" s="199"/>
      <c r="K74" s="495"/>
      <c r="L74" s="497"/>
      <c r="M74" s="98"/>
      <c r="N74" s="178"/>
      <c r="O74" s="178"/>
      <c r="P74" s="494"/>
      <c r="Q74" s="494"/>
      <c r="R74" s="178"/>
      <c r="S74" s="188"/>
    </row>
    <row r="75" spans="1:19" ht="15.75" customHeight="1">
      <c r="A75" s="502"/>
      <c r="B75" s="505"/>
      <c r="C75" s="199">
        <v>5</v>
      </c>
      <c r="D75" s="495"/>
      <c r="E75" s="496"/>
      <c r="F75" s="497"/>
      <c r="G75" s="199"/>
      <c r="H75" s="201"/>
      <c r="I75" s="202"/>
      <c r="J75" s="199"/>
      <c r="K75" s="495"/>
      <c r="L75" s="497"/>
      <c r="M75" s="98"/>
      <c r="N75" s="178"/>
      <c r="O75" s="178"/>
      <c r="P75" s="494"/>
      <c r="Q75" s="494"/>
      <c r="R75" s="178"/>
      <c r="S75" s="188"/>
    </row>
    <row r="76" spans="1:19" ht="15.75" customHeight="1">
      <c r="A76" s="502"/>
      <c r="B76" s="505"/>
      <c r="C76" s="203" t="s">
        <v>276</v>
      </c>
      <c r="D76" s="495"/>
      <c r="E76" s="496"/>
      <c r="F76" s="497"/>
      <c r="G76" s="199"/>
      <c r="H76" s="201"/>
      <c r="I76" s="202"/>
      <c r="J76" s="199"/>
      <c r="K76" s="495"/>
      <c r="L76" s="497"/>
      <c r="M76" s="98"/>
      <c r="N76" s="178"/>
      <c r="O76" s="178"/>
      <c r="P76" s="494"/>
      <c r="Q76" s="494"/>
      <c r="R76" s="178"/>
      <c r="S76" s="188"/>
    </row>
    <row r="77" spans="1:19" ht="15.75" customHeight="1">
      <c r="A77" s="502"/>
      <c r="B77" s="505"/>
      <c r="C77" s="203" t="s">
        <v>277</v>
      </c>
      <c r="D77" s="495"/>
      <c r="E77" s="496"/>
      <c r="F77" s="497"/>
      <c r="G77" s="199"/>
      <c r="H77" s="201"/>
      <c r="I77" s="202"/>
      <c r="J77" s="199"/>
      <c r="K77" s="495"/>
      <c r="L77" s="497"/>
      <c r="M77" s="98"/>
      <c r="N77" s="178"/>
      <c r="O77" s="178"/>
      <c r="P77" s="494"/>
      <c r="Q77" s="494"/>
      <c r="R77" s="178"/>
      <c r="S77" s="188"/>
    </row>
    <row r="78" spans="1:19" ht="15.75" customHeight="1">
      <c r="A78" s="502"/>
      <c r="B78" s="505"/>
      <c r="C78" s="203" t="s">
        <v>278</v>
      </c>
      <c r="D78" s="495"/>
      <c r="E78" s="496"/>
      <c r="F78" s="497"/>
      <c r="G78" s="199"/>
      <c r="H78" s="201"/>
      <c r="I78" s="202"/>
      <c r="J78" s="199"/>
      <c r="K78" s="495"/>
      <c r="L78" s="497"/>
      <c r="M78" s="98"/>
      <c r="N78" s="178"/>
      <c r="O78" s="178"/>
      <c r="P78" s="494"/>
      <c r="Q78" s="494"/>
      <c r="R78" s="178"/>
      <c r="S78" s="188"/>
    </row>
    <row r="79" spans="1:19" ht="15.75" customHeight="1">
      <c r="A79" s="502"/>
      <c r="B79" s="505"/>
      <c r="C79" s="203" t="s">
        <v>280</v>
      </c>
      <c r="D79" s="495"/>
      <c r="E79" s="496"/>
      <c r="F79" s="497"/>
      <c r="G79" s="199"/>
      <c r="H79" s="201"/>
      <c r="I79" s="202"/>
      <c r="J79" s="199"/>
      <c r="K79" s="495"/>
      <c r="L79" s="497"/>
      <c r="M79" s="98"/>
      <c r="N79" s="178"/>
      <c r="O79" s="178"/>
      <c r="P79" s="494"/>
      <c r="Q79" s="494"/>
      <c r="R79" s="178"/>
      <c r="S79" s="188"/>
    </row>
    <row r="80" spans="1:19" ht="15.75" customHeight="1">
      <c r="A80" s="503"/>
      <c r="B80" s="506"/>
      <c r="C80" s="203" t="s">
        <v>281</v>
      </c>
      <c r="D80" s="495"/>
      <c r="E80" s="496"/>
      <c r="F80" s="497"/>
      <c r="G80" s="199"/>
      <c r="H80" s="201"/>
      <c r="I80" s="202"/>
      <c r="J80" s="199"/>
      <c r="K80" s="495"/>
      <c r="L80" s="497"/>
      <c r="M80" s="98"/>
      <c r="N80" s="178"/>
      <c r="O80" s="178"/>
      <c r="P80" s="494"/>
      <c r="Q80" s="494"/>
      <c r="R80" s="178"/>
      <c r="S80" s="188"/>
    </row>
  </sheetData>
  <mergeCells count="24">
    <mergeCell ref="A1:L2"/>
    <mergeCell ref="D12:F12"/>
    <mergeCell ref="D13:F13"/>
    <mergeCell ref="A3:L4"/>
    <mergeCell ref="D8:F8"/>
    <mergeCell ref="D9:F9"/>
    <mergeCell ref="D10:F10"/>
    <mergeCell ref="D11:F11"/>
    <mergeCell ref="K8:L8"/>
    <mergeCell ref="K9:L9"/>
    <mergeCell ref="D38:F38"/>
    <mergeCell ref="D39:F39"/>
    <mergeCell ref="A29:L30"/>
    <mergeCell ref="D34:F34"/>
    <mergeCell ref="D35:F35"/>
    <mergeCell ref="D36:F36"/>
    <mergeCell ref="D37:F37"/>
    <mergeCell ref="D64:F64"/>
    <mergeCell ref="D65:F65"/>
    <mergeCell ref="A55:L56"/>
    <mergeCell ref="D60:F60"/>
    <mergeCell ref="D61:F61"/>
    <mergeCell ref="D62:F62"/>
    <mergeCell ref="D63:F6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J20" sqref="J20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</row>
    <row r="2" spans="1:13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</row>
    <row r="3" spans="1:13" ht="15.75" customHeight="1">
      <c r="A3" s="705" t="s">
        <v>296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</row>
    <row r="4" spans="1:13" s="136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13" ht="15.75" customHeight="1">
      <c r="A5" s="225" t="s">
        <v>297</v>
      </c>
      <c r="B5" s="137">
        <f>'生產管理報表(月)'!B6</f>
        <v>175321.62117</v>
      </c>
    </row>
    <row r="6" spans="1:13" ht="15.75" customHeight="1">
      <c r="A6" s="706" t="s">
        <v>0</v>
      </c>
      <c r="B6" s="707" t="s">
        <v>298</v>
      </c>
      <c r="C6" s="707"/>
      <c r="D6" s="708"/>
      <c r="E6" s="706" t="s">
        <v>0</v>
      </c>
      <c r="F6" s="710">
        <v>1</v>
      </c>
      <c r="G6" s="710"/>
      <c r="H6" s="710">
        <v>2</v>
      </c>
      <c r="I6" s="710"/>
      <c r="J6" s="710">
        <v>3</v>
      </c>
      <c r="K6" s="710"/>
      <c r="L6" s="710">
        <v>4</v>
      </c>
      <c r="M6" s="710"/>
    </row>
    <row r="7" spans="1:13" ht="31.35" customHeight="1">
      <c r="A7" s="706"/>
      <c r="B7" s="707"/>
      <c r="C7" s="707"/>
      <c r="D7" s="709"/>
      <c r="E7" s="706"/>
      <c r="F7" s="702" t="s">
        <v>299</v>
      </c>
      <c r="G7" s="702"/>
      <c r="H7" s="702" t="s">
        <v>300</v>
      </c>
      <c r="I7" s="702"/>
      <c r="J7" s="702" t="s">
        <v>301</v>
      </c>
      <c r="K7" s="702"/>
      <c r="L7" s="702" t="s">
        <v>302</v>
      </c>
      <c r="M7" s="702"/>
    </row>
    <row r="8" spans="1:13" ht="15.75" customHeight="1">
      <c r="A8" s="706"/>
      <c r="B8" s="154" t="s">
        <v>303</v>
      </c>
      <c r="C8" s="154" t="s">
        <v>76</v>
      </c>
      <c r="D8" s="709"/>
      <c r="E8" s="706"/>
      <c r="F8" s="154" t="s">
        <v>303</v>
      </c>
      <c r="G8" s="154" t="s">
        <v>76</v>
      </c>
      <c r="H8" s="154" t="s">
        <v>303</v>
      </c>
      <c r="I8" s="154" t="s">
        <v>76</v>
      </c>
      <c r="J8" s="154" t="s">
        <v>303</v>
      </c>
      <c r="K8" s="154" t="s">
        <v>76</v>
      </c>
      <c r="L8" s="154" t="s">
        <v>303</v>
      </c>
      <c r="M8" s="154" t="s">
        <v>76</v>
      </c>
    </row>
    <row r="9" spans="1:13" ht="19.350000000000001" customHeight="1">
      <c r="A9" s="138" t="s">
        <v>304</v>
      </c>
      <c r="B9" s="139">
        <f>日別報廢率總表!B2</f>
        <v>73068.210100000011</v>
      </c>
      <c r="C9" s="140">
        <f>B9/($B$5*1000)</f>
        <v>4.1676668064316883E-4</v>
      </c>
      <c r="D9" s="709"/>
      <c r="E9" s="138" t="s">
        <v>304</v>
      </c>
      <c r="F9" s="141">
        <f>'報廢20大－原因別分析'!AG111</f>
        <v>0</v>
      </c>
      <c r="G9" s="355">
        <f>'報廢20大－原因別分析'!AG112</f>
        <v>0.52500000000000002</v>
      </c>
      <c r="H9" s="141">
        <f>'報廢20大－原因別分析'!AH111</f>
        <v>0</v>
      </c>
      <c r="I9" s="355">
        <f>'報廢20大－原因別分析'!AH112</f>
        <v>0</v>
      </c>
      <c r="J9" s="141">
        <f>'報廢20大－原因別分析'!AI111</f>
        <v>0</v>
      </c>
      <c r="K9" s="355">
        <f>'報廢20大－原因別分析'!AI112</f>
        <v>0.23749999999999999</v>
      </c>
      <c r="L9" s="141">
        <f>'報廢20大－原因別分析'!AJ111</f>
        <v>0</v>
      </c>
      <c r="M9" s="355">
        <f>'報廢20大－原因別分析'!AJ112</f>
        <v>0</v>
      </c>
    </row>
    <row r="10" spans="1:13" ht="19.350000000000001" customHeight="1">
      <c r="A10" s="143" t="s">
        <v>305</v>
      </c>
      <c r="B10" s="144">
        <f>日別報廢率總表!E3</f>
        <v>218955.89419999998</v>
      </c>
      <c r="C10" s="140">
        <f>B10/($B$5*1000)</f>
        <v>1.2488813002002198E-3</v>
      </c>
      <c r="D10" s="709"/>
      <c r="E10" s="143" t="s">
        <v>305</v>
      </c>
      <c r="F10" s="141">
        <f>'超用20大－原因別分析'!AG111</f>
        <v>0</v>
      </c>
      <c r="G10" s="355">
        <f>'超用20大－原因別分析'!AG112</f>
        <v>0</v>
      </c>
      <c r="H10" s="141">
        <f>'超用20大－原因別分析'!AH111</f>
        <v>0</v>
      </c>
      <c r="I10" s="355">
        <f>'超用20大－原因別分析'!AH112</f>
        <v>0</v>
      </c>
      <c r="J10" s="141">
        <f>'報廢20大－原因別分析'!AI111</f>
        <v>0</v>
      </c>
      <c r="K10" s="355">
        <f>'超用20大－原因別分析'!AI112</f>
        <v>0</v>
      </c>
      <c r="L10" s="141">
        <f>'超用20大－原因別分析'!AJ111</f>
        <v>0</v>
      </c>
      <c r="M10" s="355">
        <f>'超用20大－原因別分析'!AJ112</f>
        <v>0.9</v>
      </c>
    </row>
    <row r="11" spans="1:13" ht="15.75" customHeight="1">
      <c r="D11" s="709"/>
      <c r="E11" s="706" t="s">
        <v>0</v>
      </c>
      <c r="F11" s="710">
        <v>5</v>
      </c>
      <c r="G11" s="710"/>
      <c r="H11" s="710">
        <v>6</v>
      </c>
      <c r="I11" s="710"/>
      <c r="J11" s="710">
        <v>7</v>
      </c>
      <c r="K11" s="710"/>
      <c r="L11" s="711">
        <v>8</v>
      </c>
      <c r="M11" s="711"/>
    </row>
    <row r="12" spans="1:13" ht="31.35" customHeight="1">
      <c r="D12" s="709"/>
      <c r="E12" s="706"/>
      <c r="F12" s="702" t="s">
        <v>306</v>
      </c>
      <c r="G12" s="702"/>
      <c r="H12" s="702" t="s">
        <v>307</v>
      </c>
      <c r="I12" s="702"/>
      <c r="J12" s="702" t="s">
        <v>308</v>
      </c>
      <c r="K12" s="702"/>
      <c r="L12" s="703"/>
      <c r="M12" s="703"/>
    </row>
    <row r="13" spans="1:13" ht="15.75" customHeight="1">
      <c r="D13" s="709"/>
      <c r="E13" s="706"/>
      <c r="F13" s="154" t="s">
        <v>303</v>
      </c>
      <c r="G13" s="154" t="s">
        <v>76</v>
      </c>
      <c r="H13" s="154" t="s">
        <v>303</v>
      </c>
      <c r="I13" s="154" t="s">
        <v>76</v>
      </c>
      <c r="J13" s="154" t="s">
        <v>303</v>
      </c>
      <c r="K13" s="154" t="s">
        <v>76</v>
      </c>
      <c r="L13" s="154"/>
      <c r="M13" s="154"/>
    </row>
    <row r="14" spans="1:13" ht="19.350000000000001" customHeight="1">
      <c r="D14" s="709"/>
      <c r="E14" s="138" t="s">
        <v>304</v>
      </c>
      <c r="F14" s="141">
        <f>'報廢20大－原因別分析'!AK111</f>
        <v>0</v>
      </c>
      <c r="G14" s="355">
        <f>'報廢20大－原因別分析'!AK112</f>
        <v>7.4999999999999997E-2</v>
      </c>
      <c r="H14" s="141">
        <f>'報廢20大－原因別分析'!AL111</f>
        <v>0</v>
      </c>
      <c r="I14" s="355">
        <f>'報廢20大－原因別分析'!AL112</f>
        <v>0.16250000000000001</v>
      </c>
      <c r="J14" s="141">
        <f>'報廢20大－原因別分析'!AM111</f>
        <v>0</v>
      </c>
      <c r="K14" s="355">
        <f>'報廢20大－原因別分析'!AM112</f>
        <v>0</v>
      </c>
      <c r="L14" s="141"/>
      <c r="M14" s="142"/>
    </row>
    <row r="15" spans="1:13" ht="19.350000000000001" customHeight="1">
      <c r="D15" s="709"/>
      <c r="E15" s="143" t="s">
        <v>305</v>
      </c>
      <c r="F15" s="141">
        <f>'超用20大－原因別分析'!AK111</f>
        <v>0</v>
      </c>
      <c r="G15" s="355">
        <f>'超用20大－原因別分析'!AK112</f>
        <v>0.05</v>
      </c>
      <c r="H15" s="141">
        <f>'超用20大－原因別分析'!AL111</f>
        <v>0</v>
      </c>
      <c r="I15" s="355">
        <f>'超用20大－原因別分析'!AL112</f>
        <v>0.05</v>
      </c>
      <c r="J15" s="141">
        <f>'超用20大－原因別分析'!AM111</f>
        <v>0</v>
      </c>
      <c r="K15" s="355">
        <f>'超用20大－原因別分析'!AM112</f>
        <v>0</v>
      </c>
      <c r="L15" s="141"/>
      <c r="M15" s="142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J20" sqref="J2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</row>
    <row r="2" spans="1:74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</row>
    <row r="3" spans="1:74" ht="15.75" customHeight="1">
      <c r="A3" s="705" t="s">
        <v>309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</row>
    <row r="4" spans="1:74" s="136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</row>
    <row r="5" spans="1:74" ht="15.75" customHeight="1">
      <c r="A5" s="707" t="s">
        <v>310</v>
      </c>
      <c r="B5" s="717">
        <v>1</v>
      </c>
      <c r="C5" s="717"/>
      <c r="D5" s="717">
        <v>2</v>
      </c>
      <c r="E5" s="717"/>
      <c r="F5" s="717">
        <v>3</v>
      </c>
      <c r="G5" s="717"/>
      <c r="H5" s="710">
        <v>4</v>
      </c>
      <c r="I5" s="710"/>
      <c r="J5" s="710">
        <v>5</v>
      </c>
      <c r="K5" s="710"/>
      <c r="L5" s="710">
        <v>6</v>
      </c>
      <c r="M5" s="710"/>
      <c r="N5" s="710">
        <v>7</v>
      </c>
      <c r="O5" s="710"/>
      <c r="P5" s="351">
        <v>8</v>
      </c>
    </row>
    <row r="6" spans="1:74" ht="15.75" customHeight="1">
      <c r="A6" s="707"/>
      <c r="B6" s="718" t="s">
        <v>299</v>
      </c>
      <c r="C6" s="718"/>
      <c r="D6" s="718" t="s">
        <v>311</v>
      </c>
      <c r="E6" s="718"/>
      <c r="F6" s="718" t="s">
        <v>301</v>
      </c>
      <c r="G6" s="718"/>
      <c r="H6" s="707" t="s">
        <v>312</v>
      </c>
      <c r="I6" s="707"/>
      <c r="J6" s="707" t="s">
        <v>306</v>
      </c>
      <c r="K6" s="707"/>
      <c r="L6" s="707" t="s">
        <v>307</v>
      </c>
      <c r="M6" s="707"/>
      <c r="N6" s="707" t="s">
        <v>308</v>
      </c>
      <c r="O6" s="707"/>
      <c r="P6" s="352" t="s">
        <v>313</v>
      </c>
    </row>
    <row r="8" spans="1:74" s="235" customFormat="1" ht="15.75" customHeight="1">
      <c r="A8" s="710" t="s">
        <v>310</v>
      </c>
      <c r="B8" s="710"/>
      <c r="C8" s="234" t="s">
        <v>267</v>
      </c>
      <c r="D8" s="719" t="s">
        <v>268</v>
      </c>
      <c r="E8" s="719"/>
      <c r="F8" s="719"/>
      <c r="G8" s="720" t="s">
        <v>314</v>
      </c>
      <c r="H8" s="721"/>
      <c r="I8" s="722"/>
      <c r="J8" s="234" t="s">
        <v>315</v>
      </c>
      <c r="K8" s="234" t="s">
        <v>63</v>
      </c>
      <c r="L8" s="234" t="s">
        <v>316</v>
      </c>
      <c r="M8" s="234" t="s">
        <v>303</v>
      </c>
      <c r="N8" s="234" t="s">
        <v>317</v>
      </c>
      <c r="O8" s="715" t="s">
        <v>273</v>
      </c>
      <c r="P8" s="715"/>
    </row>
    <row r="9" spans="1:74" ht="69.95" customHeight="1">
      <c r="A9" s="710">
        <v>1</v>
      </c>
      <c r="B9" s="727" t="s">
        <v>318</v>
      </c>
      <c r="C9" s="236">
        <v>1</v>
      </c>
      <c r="D9" s="237" t="s">
        <v>319</v>
      </c>
      <c r="E9" s="238"/>
      <c r="F9" s="239"/>
      <c r="G9" s="305" t="s">
        <v>320</v>
      </c>
      <c r="H9" s="304"/>
      <c r="I9" s="305"/>
      <c r="J9" s="236">
        <v>127.84000000000002</v>
      </c>
      <c r="K9" s="241">
        <v>2.7251098129008086E-3</v>
      </c>
      <c r="L9" s="236">
        <v>41.019999999999996</v>
      </c>
      <c r="M9" s="321">
        <f>L9*J9</f>
        <v>5243.9967999999999</v>
      </c>
      <c r="N9" s="242"/>
      <c r="O9" s="723" t="s">
        <v>321</v>
      </c>
      <c r="P9" s="723"/>
    </row>
    <row r="10" spans="1:74" ht="84.75" customHeight="1">
      <c r="A10" s="710"/>
      <c r="B10" s="727"/>
      <c r="C10" s="236">
        <v>2</v>
      </c>
      <c r="D10" s="237" t="s">
        <v>319</v>
      </c>
      <c r="E10" s="238"/>
      <c r="F10" s="239"/>
      <c r="G10" s="305" t="s">
        <v>322</v>
      </c>
      <c r="H10" s="304"/>
      <c r="I10" s="305"/>
      <c r="J10" s="236">
        <v>144.79999999999998</v>
      </c>
      <c r="K10" s="241">
        <v>3.7403937074699696E-3</v>
      </c>
      <c r="L10" s="236">
        <v>17.87</v>
      </c>
      <c r="M10" s="321">
        <f t="shared" ref="M10:M13" si="0">L10*J10</f>
        <v>2587.576</v>
      </c>
      <c r="N10" s="242"/>
      <c r="O10" s="724" t="s">
        <v>323</v>
      </c>
      <c r="P10" s="724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69.95" customHeight="1">
      <c r="A11" s="710"/>
      <c r="B11" s="727"/>
      <c r="C11" s="236">
        <v>3</v>
      </c>
      <c r="D11" s="237" t="s">
        <v>239</v>
      </c>
      <c r="E11" s="238"/>
      <c r="F11" s="239"/>
      <c r="G11" s="305" t="s">
        <v>324</v>
      </c>
      <c r="H11" s="304"/>
      <c r="I11" s="305"/>
      <c r="J11" s="236">
        <v>160.49</v>
      </c>
      <c r="K11" s="241">
        <v>8.2686517121012514E-3</v>
      </c>
      <c r="L11" s="236">
        <v>15.569999999999999</v>
      </c>
      <c r="M11" s="321">
        <f t="shared" si="0"/>
        <v>2498.8292999999999</v>
      </c>
      <c r="N11" s="242"/>
      <c r="O11" s="725" t="s">
        <v>325</v>
      </c>
      <c r="P11" s="725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9.95" customHeight="1">
      <c r="A12" s="710"/>
      <c r="B12" s="727"/>
      <c r="C12" s="236">
        <v>4</v>
      </c>
      <c r="D12" s="237" t="s">
        <v>245</v>
      </c>
      <c r="E12" s="238"/>
      <c r="F12" s="239"/>
      <c r="G12" s="305" t="s">
        <v>326</v>
      </c>
      <c r="H12" s="304"/>
      <c r="I12" s="305"/>
      <c r="J12" s="236">
        <v>440.17999999999995</v>
      </c>
      <c r="K12" s="241">
        <v>2.2159242976075057E-3</v>
      </c>
      <c r="L12" s="236">
        <v>4.82</v>
      </c>
      <c r="M12" s="321">
        <f t="shared" si="0"/>
        <v>2121.6675999999998</v>
      </c>
      <c r="N12" s="242"/>
      <c r="O12" s="725" t="s">
        <v>327</v>
      </c>
      <c r="P12" s="725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69.95" customHeight="1" thickBot="1">
      <c r="A13" s="710"/>
      <c r="B13" s="727"/>
      <c r="C13" s="236">
        <v>5</v>
      </c>
      <c r="D13" s="243" t="s">
        <v>328</v>
      </c>
      <c r="E13" s="244"/>
      <c r="F13" s="245"/>
      <c r="G13" s="359" t="s">
        <v>329</v>
      </c>
      <c r="H13" s="358"/>
      <c r="I13" s="359"/>
      <c r="J13" s="246">
        <v>426.69</v>
      </c>
      <c r="K13" s="247">
        <v>2.1573912888688323E-3</v>
      </c>
      <c r="L13" s="246">
        <v>4.7699999999999996</v>
      </c>
      <c r="M13" s="322">
        <f t="shared" si="0"/>
        <v>2035.3112999999998</v>
      </c>
      <c r="N13" s="242"/>
      <c r="O13" s="726" t="s">
        <v>330</v>
      </c>
      <c r="P13" s="726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710"/>
      <c r="B14" s="727"/>
      <c r="C14" s="728"/>
      <c r="D14" s="729"/>
      <c r="E14" s="729"/>
      <c r="F14" s="729"/>
      <c r="G14" s="729"/>
      <c r="H14" s="729"/>
      <c r="I14" s="730"/>
      <c r="J14" s="248" t="s">
        <v>331</v>
      </c>
      <c r="K14" s="337">
        <f>M14/'生產管理報表 7-1(月)'!$B$9</f>
        <v>0.198272011592631</v>
      </c>
      <c r="L14" s="248" t="s">
        <v>332</v>
      </c>
      <c r="M14" s="353">
        <f>SUM(M9:M13)</f>
        <v>14487.380999999999</v>
      </c>
      <c r="N14" s="713"/>
      <c r="O14" s="713"/>
      <c r="P14" s="713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710" t="s">
        <v>310</v>
      </c>
      <c r="B16" s="710"/>
      <c r="C16" s="251" t="s">
        <v>267</v>
      </c>
      <c r="D16" s="732" t="s">
        <v>268</v>
      </c>
      <c r="E16" s="733"/>
      <c r="F16" s="734"/>
      <c r="G16" s="720" t="s">
        <v>314</v>
      </c>
      <c r="H16" s="721"/>
      <c r="I16" s="722"/>
      <c r="J16" s="253" t="s">
        <v>315</v>
      </c>
      <c r="K16" s="253" t="s">
        <v>63</v>
      </c>
      <c r="L16" s="253" t="s">
        <v>316</v>
      </c>
      <c r="M16" s="253" t="s">
        <v>303</v>
      </c>
      <c r="N16" s="234" t="s">
        <v>317</v>
      </c>
      <c r="O16" s="715" t="s">
        <v>273</v>
      </c>
      <c r="P16" s="715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710">
        <v>2</v>
      </c>
      <c r="B17" s="727" t="s">
        <v>333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42"/>
      <c r="O17" s="731"/>
      <c r="P17" s="7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710"/>
      <c r="B18" s="727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42"/>
      <c r="O18" s="731"/>
      <c r="P18" s="7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710"/>
      <c r="B19" s="727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42"/>
      <c r="O19" s="714"/>
      <c r="P19" s="714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710"/>
      <c r="B20" s="727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42"/>
      <c r="O20" s="714"/>
      <c r="P20" s="714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710"/>
      <c r="B21" s="727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42"/>
      <c r="O21" s="714"/>
      <c r="P21" s="714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710"/>
      <c r="B22" s="727"/>
      <c r="C22" s="728"/>
      <c r="D22" s="729"/>
      <c r="E22" s="729"/>
      <c r="F22" s="729"/>
      <c r="G22" s="729"/>
      <c r="H22" s="729"/>
      <c r="I22" s="730"/>
      <c r="J22" s="248" t="s">
        <v>331</v>
      </c>
      <c r="K22" s="337">
        <f>M22/'生產管理報表 7-1(月)'!$B$9</f>
        <v>0</v>
      </c>
      <c r="L22" s="248" t="s">
        <v>332</v>
      </c>
      <c r="M22" s="249">
        <f>SUM(M17:M21)</f>
        <v>0</v>
      </c>
      <c r="N22" s="713"/>
      <c r="O22" s="713"/>
      <c r="P22" s="713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710" t="s">
        <v>310</v>
      </c>
      <c r="B24" s="710"/>
      <c r="C24" s="251" t="s">
        <v>267</v>
      </c>
      <c r="D24" s="732" t="s">
        <v>268</v>
      </c>
      <c r="E24" s="733"/>
      <c r="F24" s="734"/>
      <c r="G24" s="720" t="s">
        <v>314</v>
      </c>
      <c r="H24" s="721"/>
      <c r="I24" s="722"/>
      <c r="J24" s="252" t="s">
        <v>315</v>
      </c>
      <c r="K24" s="253" t="s">
        <v>63</v>
      </c>
      <c r="L24" s="253" t="s">
        <v>316</v>
      </c>
      <c r="M24" s="253" t="s">
        <v>303</v>
      </c>
      <c r="N24" s="234" t="s">
        <v>317</v>
      </c>
      <c r="O24" s="715" t="s">
        <v>273</v>
      </c>
      <c r="P24" s="715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710">
        <v>3</v>
      </c>
      <c r="B25" s="727" t="s">
        <v>334</v>
      </c>
      <c r="C25" s="255">
        <v>1</v>
      </c>
      <c r="D25" s="237" t="s">
        <v>319</v>
      </c>
      <c r="E25" s="238"/>
      <c r="F25" s="239"/>
      <c r="G25" s="517" t="s">
        <v>335</v>
      </c>
      <c r="H25" s="304"/>
      <c r="I25" s="517"/>
      <c r="J25" s="256">
        <v>2.4499999999999997</v>
      </c>
      <c r="K25" s="257">
        <v>6.9317566142790606E-3</v>
      </c>
      <c r="L25" s="256">
        <v>2616</v>
      </c>
      <c r="M25" s="324">
        <f t="shared" ref="M25:M29" si="2">L25*J25</f>
        <v>6409.1999999999989</v>
      </c>
      <c r="N25" s="242"/>
      <c r="O25" s="731" t="s">
        <v>336</v>
      </c>
      <c r="P25" s="7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710"/>
      <c r="B26" s="727"/>
      <c r="C26" s="255">
        <v>2</v>
      </c>
      <c r="D26" s="237" t="s">
        <v>319</v>
      </c>
      <c r="E26" s="238"/>
      <c r="F26" s="239"/>
      <c r="G26" s="517" t="s">
        <v>337</v>
      </c>
      <c r="H26" s="304"/>
      <c r="I26" s="517"/>
      <c r="J26" s="256">
        <v>1.17</v>
      </c>
      <c r="K26" s="257">
        <v>6.3939866368787398E-3</v>
      </c>
      <c r="L26" s="256">
        <v>5292</v>
      </c>
      <c r="M26" s="324">
        <f t="shared" si="2"/>
        <v>6191.6399999999994</v>
      </c>
      <c r="N26" s="242"/>
      <c r="O26" s="731" t="s">
        <v>338</v>
      </c>
      <c r="P26" s="7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710"/>
      <c r="B27" s="727"/>
      <c r="C27" s="255">
        <v>3</v>
      </c>
      <c r="D27" s="237" t="s">
        <v>339</v>
      </c>
      <c r="E27" s="238"/>
      <c r="F27" s="239"/>
      <c r="G27" s="517" t="s">
        <v>340</v>
      </c>
      <c r="H27" s="304"/>
      <c r="I27" s="517"/>
      <c r="J27" s="256">
        <v>625.93999999999994</v>
      </c>
      <c r="K27" s="257">
        <v>1.7209144800719293E-3</v>
      </c>
      <c r="L27" s="256">
        <v>8.49</v>
      </c>
      <c r="M27" s="324">
        <f t="shared" si="2"/>
        <v>5314.2305999999999</v>
      </c>
      <c r="N27" s="242"/>
      <c r="O27" s="712" t="s">
        <v>341</v>
      </c>
      <c r="P27" s="712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710"/>
      <c r="B28" s="727"/>
      <c r="C28" s="255">
        <v>4</v>
      </c>
      <c r="D28" s="237" t="s">
        <v>342</v>
      </c>
      <c r="E28" s="238"/>
      <c r="F28" s="239"/>
      <c r="G28" s="517" t="s">
        <v>343</v>
      </c>
      <c r="H28" s="304"/>
      <c r="I28" s="517"/>
      <c r="J28" s="256">
        <v>407.74000000000007</v>
      </c>
      <c r="K28" s="257">
        <v>2.4648011180869512E-3</v>
      </c>
      <c r="L28" s="256">
        <v>10.49</v>
      </c>
      <c r="M28" s="324">
        <f t="shared" si="2"/>
        <v>4277.1926000000012</v>
      </c>
      <c r="N28" s="242"/>
      <c r="O28" s="712" t="s">
        <v>344</v>
      </c>
      <c r="P28" s="712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710"/>
      <c r="B29" s="727"/>
      <c r="C29" s="261">
        <v>5</v>
      </c>
      <c r="D29" s="243" t="s">
        <v>245</v>
      </c>
      <c r="E29" s="244"/>
      <c r="F29" s="245"/>
      <c r="G29" s="374" t="s">
        <v>345</v>
      </c>
      <c r="H29" s="358"/>
      <c r="I29" s="374"/>
      <c r="J29" s="262">
        <v>1.2300000000000002</v>
      </c>
      <c r="K29" s="263">
        <v>1.0183669758137844E-2</v>
      </c>
      <c r="L29" s="262">
        <v>672</v>
      </c>
      <c r="M29" s="324">
        <f t="shared" si="2"/>
        <v>826.56000000000017</v>
      </c>
      <c r="N29" s="242"/>
      <c r="O29" s="712" t="s">
        <v>346</v>
      </c>
      <c r="P29" s="712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710"/>
      <c r="B30" s="727"/>
      <c r="C30" s="728"/>
      <c r="D30" s="729"/>
      <c r="E30" s="729"/>
      <c r="F30" s="729"/>
      <c r="G30" s="729"/>
      <c r="H30" s="729"/>
      <c r="I30" s="730"/>
      <c r="J30" s="273" t="s">
        <v>331</v>
      </c>
      <c r="K30" s="337">
        <f>M30/'生產管理報表 7-1(月)'!$B$9</f>
        <v>0.31503198406662486</v>
      </c>
      <c r="L30" s="273" t="s">
        <v>332</v>
      </c>
      <c r="M30" s="325">
        <f>SUM(M25:M29)</f>
        <v>23018.823200000003</v>
      </c>
      <c r="N30" s="713"/>
      <c r="O30" s="713"/>
      <c r="P30" s="713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4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J20" sqref="J20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8" style="288" customWidth="1"/>
    <col min="17" max="16384" width="12.5703125" style="288"/>
  </cols>
  <sheetData>
    <row r="1" spans="1:20" s="135" customFormat="1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</row>
    <row r="2" spans="1:20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</row>
    <row r="3" spans="1:20" s="135" customFormat="1" ht="15.75" customHeight="1">
      <c r="A3" s="705" t="s">
        <v>309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</row>
    <row r="4" spans="1:20" s="136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35" customFormat="1" ht="15.75" customHeight="1">
      <c r="A5" s="742" t="s">
        <v>310</v>
      </c>
      <c r="B5" s="744">
        <v>1</v>
      </c>
      <c r="C5" s="745"/>
      <c r="D5" s="744">
        <v>2</v>
      </c>
      <c r="E5" s="745"/>
      <c r="F5" s="744">
        <v>3</v>
      </c>
      <c r="G5" s="745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26">
        <v>8</v>
      </c>
    </row>
    <row r="6" spans="1:20" s="135" customFormat="1" ht="15.75" customHeight="1">
      <c r="A6" s="743"/>
      <c r="B6" s="739" t="s">
        <v>299</v>
      </c>
      <c r="C6" s="740"/>
      <c r="D6" s="739" t="s">
        <v>311</v>
      </c>
      <c r="E6" s="740"/>
      <c r="F6" s="739" t="s">
        <v>301</v>
      </c>
      <c r="G6" s="740"/>
      <c r="H6" s="737" t="s">
        <v>312</v>
      </c>
      <c r="I6" s="738"/>
      <c r="J6" s="737" t="s">
        <v>306</v>
      </c>
      <c r="K6" s="738"/>
      <c r="L6" s="737" t="s">
        <v>307</v>
      </c>
      <c r="M6" s="738"/>
      <c r="N6" s="737" t="s">
        <v>308</v>
      </c>
      <c r="O6" s="738"/>
      <c r="P6" s="327" t="s">
        <v>313</v>
      </c>
    </row>
    <row r="7" spans="1:20" s="135" customFormat="1" ht="15.75" customHeight="1">
      <c r="B7" s="232"/>
      <c r="C7" s="233"/>
    </row>
    <row r="8" spans="1:20" s="277" customFormat="1" ht="15.75" customHeight="1">
      <c r="A8" s="746" t="s">
        <v>310</v>
      </c>
      <c r="B8" s="747"/>
      <c r="C8" s="274" t="s">
        <v>267</v>
      </c>
      <c r="D8" s="748" t="s">
        <v>268</v>
      </c>
      <c r="E8" s="749"/>
      <c r="F8" s="750"/>
      <c r="G8" s="751" t="s">
        <v>314</v>
      </c>
      <c r="H8" s="752"/>
      <c r="I8" s="753"/>
      <c r="J8" s="275" t="s">
        <v>315</v>
      </c>
      <c r="K8" s="275" t="s">
        <v>63</v>
      </c>
      <c r="L8" s="275" t="s">
        <v>316</v>
      </c>
      <c r="M8" s="276" t="s">
        <v>303</v>
      </c>
      <c r="N8" s="276" t="s">
        <v>317</v>
      </c>
      <c r="O8" s="754" t="s">
        <v>273</v>
      </c>
      <c r="P8" s="755"/>
      <c r="R8" s="338"/>
      <c r="S8" s="339"/>
    </row>
    <row r="9" spans="1:20" s="297" customFormat="1" ht="20.100000000000001" customHeight="1">
      <c r="A9" s="756">
        <v>4</v>
      </c>
      <c r="B9" s="759" t="s">
        <v>312</v>
      </c>
      <c r="C9" s="278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 t="shared" ref="M9:M13" si="0">L9*J9</f>
        <v>0</v>
      </c>
      <c r="N9" s="313"/>
      <c r="O9" s="762"/>
      <c r="P9" s="763"/>
      <c r="R9" s="340"/>
      <c r="S9" s="340"/>
    </row>
    <row r="10" spans="1:20" s="297" customFormat="1" ht="20.100000000000001" customHeight="1">
      <c r="A10" s="757"/>
      <c r="B10" s="760"/>
      <c r="C10" s="278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si="0"/>
        <v>0</v>
      </c>
      <c r="N10" s="313"/>
      <c r="O10" s="764"/>
      <c r="P10" s="765"/>
      <c r="R10" s="340"/>
      <c r="S10" s="340"/>
    </row>
    <row r="11" spans="1:20" s="297" customFormat="1" ht="20.100000000000001" customHeight="1">
      <c r="A11" s="757"/>
      <c r="B11" s="760"/>
      <c r="C11" s="278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313"/>
      <c r="O11" s="766"/>
      <c r="P11" s="767"/>
      <c r="R11" s="340"/>
      <c r="S11" s="338"/>
    </row>
    <row r="12" spans="1:20" s="297" customFormat="1" ht="20.100000000000001" customHeight="1">
      <c r="A12" s="757"/>
      <c r="B12" s="760"/>
      <c r="C12" s="278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313"/>
      <c r="O12" s="764"/>
      <c r="P12" s="765"/>
      <c r="R12" s="340"/>
      <c r="S12" s="338"/>
    </row>
    <row r="13" spans="1:20" s="297" customFormat="1" ht="20.100000000000001" customHeight="1" thickBot="1">
      <c r="A13" s="757"/>
      <c r="B13" s="760"/>
      <c r="C13" s="278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1">
        <f t="shared" si="0"/>
        <v>0</v>
      </c>
      <c r="N13" s="313"/>
      <c r="O13" s="768"/>
      <c r="P13" s="769"/>
      <c r="R13" s="341"/>
      <c r="S13" s="338"/>
      <c r="T13" s="288"/>
    </row>
    <row r="14" spans="1:20" ht="15.75" customHeight="1" thickTop="1" thickBot="1">
      <c r="A14" s="758"/>
      <c r="B14" s="761"/>
      <c r="C14" s="770"/>
      <c r="D14" s="771"/>
      <c r="E14" s="771"/>
      <c r="F14" s="771"/>
      <c r="G14" s="771"/>
      <c r="H14" s="771"/>
      <c r="I14" s="772"/>
      <c r="J14" s="294" t="s">
        <v>331</v>
      </c>
      <c r="K14" s="432">
        <f>M14/'生產管理報表 7-1(月)'!$B$9</f>
        <v>0</v>
      </c>
      <c r="L14" s="295" t="s">
        <v>332</v>
      </c>
      <c r="M14" s="333">
        <f>SUM(M9:M13)</f>
        <v>0</v>
      </c>
      <c r="N14" s="773"/>
      <c r="O14" s="774"/>
      <c r="P14" s="775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746" t="s">
        <v>310</v>
      </c>
      <c r="B16" s="747"/>
      <c r="C16" s="274" t="s">
        <v>267</v>
      </c>
      <c r="D16" s="748" t="s">
        <v>268</v>
      </c>
      <c r="E16" s="749"/>
      <c r="F16" s="750"/>
      <c r="G16" s="751" t="s">
        <v>314</v>
      </c>
      <c r="H16" s="752"/>
      <c r="I16" s="753"/>
      <c r="J16" s="275" t="s">
        <v>315</v>
      </c>
      <c r="K16" s="275" t="s">
        <v>63</v>
      </c>
      <c r="L16" s="275" t="s">
        <v>316</v>
      </c>
      <c r="M16" s="329" t="s">
        <v>303</v>
      </c>
      <c r="N16" s="276" t="s">
        <v>317</v>
      </c>
      <c r="O16" s="754" t="s">
        <v>273</v>
      </c>
      <c r="P16" s="755"/>
      <c r="S16" s="339"/>
      <c r="T16" s="297"/>
    </row>
    <row r="17" spans="1:20" s="297" customFormat="1" ht="66.75" customHeight="1">
      <c r="A17" s="756">
        <v>5</v>
      </c>
      <c r="B17" s="776" t="s">
        <v>347</v>
      </c>
      <c r="C17" s="278">
        <v>1</v>
      </c>
      <c r="D17" s="237" t="s">
        <v>319</v>
      </c>
      <c r="E17" s="238"/>
      <c r="F17" s="239"/>
      <c r="G17" s="305" t="s">
        <v>348</v>
      </c>
      <c r="H17" s="304"/>
      <c r="I17" s="305"/>
      <c r="J17" s="311">
        <v>147.43000000000004</v>
      </c>
      <c r="K17" s="312">
        <v>2.3914413528661441E-3</v>
      </c>
      <c r="L17" s="313">
        <v>35.480000000000004</v>
      </c>
      <c r="M17" s="321">
        <f t="shared" ref="M17:M21" si="1">L17*J17</f>
        <v>5230.8164000000015</v>
      </c>
      <c r="N17" s="313"/>
      <c r="O17" s="779" t="s">
        <v>349</v>
      </c>
      <c r="P17" s="780"/>
      <c r="S17" s="338"/>
    </row>
    <row r="18" spans="1:20" s="297" customFormat="1" ht="66.75" customHeight="1">
      <c r="A18" s="757"/>
      <c r="B18" s="777"/>
      <c r="C18" s="278">
        <v>2</v>
      </c>
      <c r="D18" s="237" t="s">
        <v>243</v>
      </c>
      <c r="E18" s="238"/>
      <c r="F18" s="239"/>
      <c r="G18" s="305" t="s">
        <v>350</v>
      </c>
      <c r="H18" s="304"/>
      <c r="I18" s="305"/>
      <c r="J18" s="311">
        <v>122.85000000000001</v>
      </c>
      <c r="K18" s="312">
        <v>9.1178231669945368E-3</v>
      </c>
      <c r="L18" s="313">
        <v>12.92</v>
      </c>
      <c r="M18" s="321">
        <f t="shared" si="1"/>
        <v>1587.2220000000002</v>
      </c>
      <c r="N18" s="313"/>
      <c r="O18" s="781" t="s">
        <v>351</v>
      </c>
      <c r="P18" s="782"/>
      <c r="S18" s="288"/>
      <c r="T18" s="288"/>
    </row>
    <row r="19" spans="1:20" ht="20.100000000000001" customHeight="1">
      <c r="A19" s="757"/>
      <c r="B19" s="777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83"/>
      <c r="P19" s="784"/>
    </row>
    <row r="20" spans="1:20" ht="20.100000000000001" customHeight="1">
      <c r="A20" s="757"/>
      <c r="B20" s="777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64"/>
      <c r="P20" s="765"/>
    </row>
    <row r="21" spans="1:20" ht="20.100000000000001" customHeight="1" thickBot="1">
      <c r="A21" s="757"/>
      <c r="B21" s="777"/>
      <c r="C21" s="278">
        <v>5</v>
      </c>
      <c r="D21" s="243"/>
      <c r="E21" s="290"/>
      <c r="F21" s="291"/>
      <c r="G21" s="349"/>
      <c r="H21" s="304"/>
      <c r="I21" s="305"/>
      <c r="J21" s="315"/>
      <c r="K21" s="263"/>
      <c r="L21" s="316"/>
      <c r="M21" s="321">
        <f t="shared" si="1"/>
        <v>0</v>
      </c>
      <c r="N21" s="287"/>
      <c r="O21" s="788"/>
      <c r="P21" s="789"/>
      <c r="R21" s="342"/>
    </row>
    <row r="22" spans="1:20" ht="15.75" customHeight="1" thickTop="1" thickBot="1">
      <c r="A22" s="758"/>
      <c r="B22" s="778"/>
      <c r="C22" s="785"/>
      <c r="D22" s="786"/>
      <c r="E22" s="786"/>
      <c r="F22" s="786"/>
      <c r="G22" s="786"/>
      <c r="H22" s="786"/>
      <c r="I22" s="787"/>
      <c r="J22" s="294" t="s">
        <v>331</v>
      </c>
      <c r="K22" s="337">
        <f>M22/'生產管理報表 7-1(月)'!$B$9</f>
        <v>9.3310598284383053E-2</v>
      </c>
      <c r="L22" s="295" t="s">
        <v>332</v>
      </c>
      <c r="M22" s="333">
        <f>SUM(M17:M21)</f>
        <v>6818.0384000000013</v>
      </c>
      <c r="N22" s="773"/>
      <c r="O22" s="774"/>
      <c r="P22" s="775"/>
      <c r="R22" s="338"/>
    </row>
    <row r="23" spans="1:20" ht="15.75" customHeight="1" thickTop="1">
      <c r="M23" s="328"/>
      <c r="R23" s="338"/>
    </row>
    <row r="24" spans="1:20" ht="15.75" customHeight="1">
      <c r="A24" s="746" t="s">
        <v>310</v>
      </c>
      <c r="B24" s="747"/>
      <c r="C24" s="302" t="s">
        <v>267</v>
      </c>
      <c r="D24" s="790" t="s">
        <v>268</v>
      </c>
      <c r="E24" s="791"/>
      <c r="F24" s="792"/>
      <c r="G24" s="793" t="s">
        <v>314</v>
      </c>
      <c r="H24" s="794"/>
      <c r="I24" s="795"/>
      <c r="J24" s="303" t="s">
        <v>315</v>
      </c>
      <c r="K24" s="275" t="s">
        <v>63</v>
      </c>
      <c r="L24" s="275" t="s">
        <v>316</v>
      </c>
      <c r="M24" s="329" t="s">
        <v>303</v>
      </c>
      <c r="N24" s="276" t="s">
        <v>317</v>
      </c>
      <c r="O24" s="754" t="s">
        <v>273</v>
      </c>
      <c r="P24" s="755"/>
      <c r="R24" s="338"/>
    </row>
    <row r="25" spans="1:20" s="297" customFormat="1" ht="81" customHeight="1">
      <c r="A25" s="756">
        <v>6</v>
      </c>
      <c r="B25" s="776" t="s">
        <v>352</v>
      </c>
      <c r="C25" s="278">
        <v>1</v>
      </c>
      <c r="D25" s="237" t="s">
        <v>353</v>
      </c>
      <c r="E25" s="238"/>
      <c r="F25" s="239"/>
      <c r="G25" s="305" t="s">
        <v>354</v>
      </c>
      <c r="H25" s="304"/>
      <c r="I25" s="305"/>
      <c r="J25" s="311">
        <v>15.450000000000001</v>
      </c>
      <c r="K25" s="312">
        <v>2.1188178305298175E-3</v>
      </c>
      <c r="L25" s="313">
        <v>437</v>
      </c>
      <c r="M25" s="321">
        <f t="shared" ref="M25:M29" si="2">L25*J25</f>
        <v>6751.6500000000005</v>
      </c>
      <c r="N25" s="313"/>
      <c r="O25" s="796" t="s">
        <v>355</v>
      </c>
      <c r="P25" s="797"/>
    </row>
    <row r="26" spans="1:20" ht="81" customHeight="1">
      <c r="A26" s="757"/>
      <c r="B26" s="777"/>
      <c r="C26" s="278">
        <v>2</v>
      </c>
      <c r="D26" s="237" t="s">
        <v>319</v>
      </c>
      <c r="E26" s="280"/>
      <c r="F26" s="281"/>
      <c r="G26" s="305" t="s">
        <v>356</v>
      </c>
      <c r="H26" s="304"/>
      <c r="I26" s="305"/>
      <c r="J26" s="311">
        <v>39.389999999999993</v>
      </c>
      <c r="K26" s="312">
        <v>1.2199681695418086E-3</v>
      </c>
      <c r="L26" s="313">
        <v>112.64999999999999</v>
      </c>
      <c r="M26" s="321">
        <f t="shared" si="2"/>
        <v>4437.2834999999986</v>
      </c>
      <c r="N26" s="287"/>
      <c r="O26" s="781" t="s">
        <v>357</v>
      </c>
      <c r="P26" s="782"/>
    </row>
    <row r="27" spans="1:20" ht="81" customHeight="1">
      <c r="A27" s="757"/>
      <c r="B27" s="777"/>
      <c r="C27" s="278">
        <v>3</v>
      </c>
      <c r="D27" s="237" t="s">
        <v>254</v>
      </c>
      <c r="E27" s="280"/>
      <c r="F27" s="281"/>
      <c r="G27" s="305" t="s">
        <v>358</v>
      </c>
      <c r="H27" s="304"/>
      <c r="I27" s="305"/>
      <c r="J27" s="311">
        <v>48.920000000000009</v>
      </c>
      <c r="K27" s="312">
        <v>5.0881984462485203E-3</v>
      </c>
      <c r="L27" s="313">
        <v>39.019999999999996</v>
      </c>
      <c r="M27" s="321">
        <f t="shared" si="2"/>
        <v>1908.8584000000001</v>
      </c>
      <c r="N27" s="287"/>
      <c r="O27" s="781" t="s">
        <v>359</v>
      </c>
      <c r="P27" s="782"/>
    </row>
    <row r="28" spans="1:20" ht="81" customHeight="1">
      <c r="A28" s="757"/>
      <c r="B28" s="777"/>
      <c r="C28" s="278">
        <v>4</v>
      </c>
      <c r="D28" s="237" t="s">
        <v>253</v>
      </c>
      <c r="E28" s="280"/>
      <c r="F28" s="281"/>
      <c r="G28" s="305" t="s">
        <v>360</v>
      </c>
      <c r="H28" s="304"/>
      <c r="I28" s="305"/>
      <c r="J28" s="311">
        <v>52.26</v>
      </c>
      <c r="K28" s="312">
        <v>3.3229729585529388E-3</v>
      </c>
      <c r="L28" s="313">
        <v>33.58</v>
      </c>
      <c r="M28" s="321">
        <f t="shared" si="2"/>
        <v>1754.8907999999999</v>
      </c>
      <c r="N28" s="287"/>
      <c r="O28" s="781" t="s">
        <v>361</v>
      </c>
      <c r="P28" s="782"/>
    </row>
    <row r="29" spans="1:20" ht="81" customHeight="1" thickBot="1">
      <c r="A29" s="757"/>
      <c r="B29" s="777"/>
      <c r="C29" s="278">
        <v>5</v>
      </c>
      <c r="D29" s="243" t="s">
        <v>255</v>
      </c>
      <c r="E29" s="290"/>
      <c r="F29" s="291"/>
      <c r="G29" s="305" t="s">
        <v>362</v>
      </c>
      <c r="H29" s="304"/>
      <c r="I29" s="305"/>
      <c r="J29" s="315">
        <v>40.420000000000009</v>
      </c>
      <c r="K29" s="378">
        <v>1.4756321288984605E-2</v>
      </c>
      <c r="L29" s="316">
        <v>18.5</v>
      </c>
      <c r="M29" s="321">
        <f t="shared" si="2"/>
        <v>747.77000000000021</v>
      </c>
      <c r="N29" s="287"/>
      <c r="O29" s="781" t="s">
        <v>363</v>
      </c>
      <c r="P29" s="782"/>
    </row>
    <row r="30" spans="1:20" ht="15.75" customHeight="1" thickTop="1" thickBot="1">
      <c r="A30" s="758"/>
      <c r="B30" s="778"/>
      <c r="C30" s="785"/>
      <c r="D30" s="786"/>
      <c r="E30" s="786"/>
      <c r="F30" s="786"/>
      <c r="G30" s="786"/>
      <c r="H30" s="786"/>
      <c r="I30" s="787"/>
      <c r="J30" s="294" t="s">
        <v>331</v>
      </c>
      <c r="K30" s="432">
        <f>M30/'生產管理報表 7-1(月)'!$B$9</f>
        <v>0.21350533533871247</v>
      </c>
      <c r="L30" s="295" t="s">
        <v>332</v>
      </c>
      <c r="M30" s="333">
        <f>SUM(M25:M29)</f>
        <v>15600.4527</v>
      </c>
      <c r="N30" s="773"/>
      <c r="O30" s="774"/>
      <c r="P30" s="775"/>
    </row>
    <row r="31" spans="1:20" ht="15.75" customHeight="1" thickTop="1">
      <c r="M31" s="328"/>
    </row>
    <row r="32" spans="1:20" ht="15.75" customHeight="1">
      <c r="A32" s="746" t="s">
        <v>310</v>
      </c>
      <c r="B32" s="747"/>
      <c r="C32" s="302" t="s">
        <v>267</v>
      </c>
      <c r="D32" s="790" t="s">
        <v>268</v>
      </c>
      <c r="E32" s="791"/>
      <c r="F32" s="792"/>
      <c r="G32" s="793" t="s">
        <v>314</v>
      </c>
      <c r="H32" s="794"/>
      <c r="I32" s="795"/>
      <c r="J32" s="303" t="s">
        <v>315</v>
      </c>
      <c r="K32" s="275" t="s">
        <v>63</v>
      </c>
      <c r="L32" s="275" t="s">
        <v>316</v>
      </c>
      <c r="M32" s="329" t="s">
        <v>303</v>
      </c>
      <c r="N32" s="276" t="s">
        <v>317</v>
      </c>
      <c r="O32" s="754" t="s">
        <v>273</v>
      </c>
      <c r="P32" s="755"/>
    </row>
    <row r="33" spans="1:16" ht="20.100000000000001" customHeight="1">
      <c r="A33" s="756">
        <v>7</v>
      </c>
      <c r="B33" s="798" t="s">
        <v>364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801"/>
      <c r="P33" s="802"/>
    </row>
    <row r="34" spans="1:16" ht="20.100000000000001" customHeight="1">
      <c r="A34" s="757"/>
      <c r="B34" s="799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803"/>
      <c r="P34" s="804"/>
    </row>
    <row r="35" spans="1:16" ht="20.100000000000001" customHeight="1">
      <c r="A35" s="757"/>
      <c r="B35" s="799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803"/>
      <c r="P35" s="804"/>
    </row>
    <row r="36" spans="1:16" ht="20.100000000000001" customHeight="1">
      <c r="A36" s="757"/>
      <c r="B36" s="799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20.100000000000001" customHeight="1" thickBot="1">
      <c r="A37" s="757"/>
      <c r="B37" s="799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758"/>
      <c r="B38" s="800"/>
      <c r="C38" s="785"/>
      <c r="D38" s="786"/>
      <c r="E38" s="786"/>
      <c r="F38" s="786"/>
      <c r="G38" s="786"/>
      <c r="H38" s="786"/>
      <c r="I38" s="787"/>
      <c r="J38" s="294" t="s">
        <v>331</v>
      </c>
      <c r="K38" s="432">
        <f>M38/'生產管理報表 7-1(月)'!$B$9</f>
        <v>0</v>
      </c>
      <c r="L38" s="295" t="s">
        <v>332</v>
      </c>
      <c r="M38" s="333">
        <f>SUM(M33:M37)</f>
        <v>0</v>
      </c>
      <c r="N38" s="773"/>
      <c r="O38" s="774"/>
      <c r="P38" s="775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7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1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J20" sqref="J2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</row>
    <row r="2" spans="1:75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</row>
    <row r="3" spans="1:75" ht="15.75" customHeight="1">
      <c r="A3" s="705" t="s">
        <v>365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</row>
    <row r="4" spans="1:75" s="136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</row>
    <row r="5" spans="1:75" ht="15.75" customHeight="1">
      <c r="A5" s="707" t="s">
        <v>310</v>
      </c>
      <c r="B5" s="717">
        <v>1</v>
      </c>
      <c r="C5" s="717"/>
      <c r="D5" s="717">
        <v>2</v>
      </c>
      <c r="E5" s="717"/>
      <c r="F5" s="717">
        <v>3</v>
      </c>
      <c r="G5" s="717"/>
      <c r="H5" s="710">
        <v>4</v>
      </c>
      <c r="I5" s="710"/>
      <c r="J5" s="710">
        <v>5</v>
      </c>
      <c r="K5" s="710"/>
      <c r="L5" s="710">
        <v>6</v>
      </c>
      <c r="M5" s="710"/>
      <c r="N5" s="710">
        <v>7</v>
      </c>
      <c r="O5" s="710"/>
      <c r="P5" s="710">
        <v>8</v>
      </c>
      <c r="Q5" s="710"/>
    </row>
    <row r="6" spans="1:75" ht="15.75" customHeight="1">
      <c r="A6" s="707"/>
      <c r="B6" s="718" t="s">
        <v>299</v>
      </c>
      <c r="C6" s="718"/>
      <c r="D6" s="718" t="s">
        <v>311</v>
      </c>
      <c r="E6" s="718"/>
      <c r="F6" s="718" t="s">
        <v>301</v>
      </c>
      <c r="G6" s="718"/>
      <c r="H6" s="707" t="s">
        <v>312</v>
      </c>
      <c r="I6" s="707"/>
      <c r="J6" s="707" t="s">
        <v>306</v>
      </c>
      <c r="K6" s="707"/>
      <c r="L6" s="707" t="s">
        <v>307</v>
      </c>
      <c r="M6" s="707"/>
      <c r="N6" s="707" t="s">
        <v>308</v>
      </c>
      <c r="O6" s="707"/>
      <c r="P6" s="805" t="s">
        <v>313</v>
      </c>
      <c r="Q6" s="707"/>
    </row>
    <row r="8" spans="1:75" s="235" customFormat="1" ht="15.75" customHeight="1">
      <c r="A8" s="710" t="s">
        <v>310</v>
      </c>
      <c r="B8" s="710"/>
      <c r="C8" s="234" t="s">
        <v>267</v>
      </c>
      <c r="D8" s="719" t="s">
        <v>268</v>
      </c>
      <c r="E8" s="719"/>
      <c r="F8" s="719"/>
      <c r="G8" s="720" t="s">
        <v>314</v>
      </c>
      <c r="H8" s="721"/>
      <c r="I8" s="722"/>
      <c r="J8" s="234" t="s">
        <v>315</v>
      </c>
      <c r="K8" s="234" t="s">
        <v>63</v>
      </c>
      <c r="L8" s="234" t="s">
        <v>316</v>
      </c>
      <c r="M8" s="234" t="s">
        <v>303</v>
      </c>
      <c r="N8" s="234" t="s">
        <v>317</v>
      </c>
      <c r="O8" s="715" t="s">
        <v>273</v>
      </c>
      <c r="P8" s="715"/>
    </row>
    <row r="9" spans="1:75" ht="24.95" customHeight="1">
      <c r="A9" s="710">
        <v>1</v>
      </c>
      <c r="B9" s="727" t="s">
        <v>318</v>
      </c>
      <c r="C9" s="236">
        <v>1</v>
      </c>
      <c r="D9" s="237"/>
      <c r="E9" s="238"/>
      <c r="F9" s="239"/>
      <c r="G9" s="267"/>
      <c r="H9" s="238"/>
      <c r="I9" s="267"/>
      <c r="J9" s="236"/>
      <c r="K9" s="241"/>
      <c r="L9" s="236"/>
      <c r="M9" s="321">
        <f>L9*J9</f>
        <v>0</v>
      </c>
      <c r="N9" s="242"/>
      <c r="O9" s="762"/>
      <c r="P9" s="763"/>
    </row>
    <row r="10" spans="1:75" ht="24.95" customHeight="1">
      <c r="A10" s="710"/>
      <c r="B10" s="727"/>
      <c r="C10" s="236">
        <v>2</v>
      </c>
      <c r="D10" s="237"/>
      <c r="E10" s="238"/>
      <c r="F10" s="239"/>
      <c r="G10" s="237"/>
      <c r="H10" s="238"/>
      <c r="I10" s="267"/>
      <c r="J10" s="236"/>
      <c r="K10" s="241"/>
      <c r="L10" s="236"/>
      <c r="M10" s="321">
        <f t="shared" ref="M10:M13" si="0">L10*J10</f>
        <v>0</v>
      </c>
      <c r="N10" s="242"/>
      <c r="O10" s="806"/>
      <c r="P10" s="807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710"/>
      <c r="B11" s="727"/>
      <c r="C11" s="236">
        <v>3</v>
      </c>
      <c r="D11" s="237"/>
      <c r="E11" s="238"/>
      <c r="F11" s="239"/>
      <c r="G11" s="267"/>
      <c r="H11" s="238"/>
      <c r="I11" s="267"/>
      <c r="J11" s="236"/>
      <c r="K11" s="241"/>
      <c r="L11" s="236"/>
      <c r="M11" s="321">
        <f t="shared" si="0"/>
        <v>0</v>
      </c>
      <c r="N11" s="242"/>
      <c r="O11" s="806"/>
      <c r="P11" s="807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710"/>
      <c r="B12" s="727"/>
      <c r="C12" s="236">
        <v>4</v>
      </c>
      <c r="D12" s="237"/>
      <c r="E12" s="238"/>
      <c r="F12" s="239"/>
      <c r="G12" s="243"/>
      <c r="H12" s="244"/>
      <c r="I12" s="270"/>
      <c r="J12" s="236"/>
      <c r="K12" s="241"/>
      <c r="L12" s="236"/>
      <c r="M12" s="321">
        <f t="shared" si="0"/>
        <v>0</v>
      </c>
      <c r="N12" s="242"/>
      <c r="O12" s="806"/>
      <c r="P12" s="807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710"/>
      <c r="B13" s="727"/>
      <c r="C13" s="236">
        <v>5</v>
      </c>
      <c r="D13" s="243"/>
      <c r="E13" s="244"/>
      <c r="F13" s="245"/>
      <c r="G13" s="359"/>
      <c r="H13" s="358"/>
      <c r="I13" s="359"/>
      <c r="J13" s="246"/>
      <c r="K13" s="247"/>
      <c r="L13" s="246"/>
      <c r="M13" s="322">
        <f t="shared" si="0"/>
        <v>0</v>
      </c>
      <c r="N13" s="242"/>
      <c r="O13" s="806"/>
      <c r="P13" s="807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710"/>
      <c r="B14" s="727"/>
      <c r="C14" s="728"/>
      <c r="D14" s="729"/>
      <c r="E14" s="729"/>
      <c r="F14" s="729"/>
      <c r="G14" s="729"/>
      <c r="H14" s="729"/>
      <c r="I14" s="730"/>
      <c r="J14" s="248" t="s">
        <v>331</v>
      </c>
      <c r="K14" s="337">
        <f>M14/'生產管理報表 7-1(月)'!$B$10</f>
        <v>0</v>
      </c>
      <c r="L14" s="248" t="s">
        <v>332</v>
      </c>
      <c r="M14" s="323">
        <f>SUM(M9:M13)</f>
        <v>0</v>
      </c>
      <c r="N14" s="808"/>
      <c r="O14" s="809"/>
      <c r="P14" s="810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10" t="s">
        <v>310</v>
      </c>
      <c r="B16" s="710"/>
      <c r="C16" s="251" t="s">
        <v>267</v>
      </c>
      <c r="D16" s="732" t="s">
        <v>268</v>
      </c>
      <c r="E16" s="733"/>
      <c r="F16" s="734"/>
      <c r="G16" s="720" t="s">
        <v>314</v>
      </c>
      <c r="H16" s="721"/>
      <c r="I16" s="722"/>
      <c r="J16" s="253" t="s">
        <v>315</v>
      </c>
      <c r="K16" s="253" t="s">
        <v>63</v>
      </c>
      <c r="L16" s="253" t="s">
        <v>316</v>
      </c>
      <c r="M16" s="253" t="s">
        <v>303</v>
      </c>
      <c r="N16" s="254" t="s">
        <v>317</v>
      </c>
      <c r="O16" s="811" t="s">
        <v>273</v>
      </c>
      <c r="P16" s="812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710">
        <v>2</v>
      </c>
      <c r="B17" s="727" t="s">
        <v>333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813"/>
      <c r="P17" s="814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710"/>
      <c r="B18" s="727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813"/>
      <c r="P18" s="814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710"/>
      <c r="B19" s="727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813"/>
      <c r="P19" s="814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710"/>
      <c r="B20" s="727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813"/>
      <c r="P20" s="814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710"/>
      <c r="B21" s="727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813"/>
      <c r="P21" s="814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710"/>
      <c r="B22" s="727"/>
      <c r="C22" s="728"/>
      <c r="D22" s="729"/>
      <c r="E22" s="729"/>
      <c r="F22" s="729"/>
      <c r="G22" s="729"/>
      <c r="H22" s="729"/>
      <c r="I22" s="730"/>
      <c r="J22" s="248" t="s">
        <v>331</v>
      </c>
      <c r="K22" s="337">
        <f>M22/'生產管理報表 7-1(月)'!$B$10</f>
        <v>0</v>
      </c>
      <c r="L22" s="248" t="s">
        <v>332</v>
      </c>
      <c r="M22" s="249">
        <f>SUM(M17:M21)</f>
        <v>0</v>
      </c>
      <c r="N22" s="815"/>
      <c r="O22" s="816"/>
      <c r="P22" s="817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10" t="s">
        <v>310</v>
      </c>
      <c r="B24" s="710"/>
      <c r="C24" s="251" t="s">
        <v>267</v>
      </c>
      <c r="D24" s="732" t="s">
        <v>268</v>
      </c>
      <c r="E24" s="733"/>
      <c r="F24" s="734"/>
      <c r="G24" s="720" t="s">
        <v>314</v>
      </c>
      <c r="H24" s="721"/>
      <c r="I24" s="722"/>
      <c r="J24" s="252" t="s">
        <v>315</v>
      </c>
      <c r="K24" s="253" t="s">
        <v>63</v>
      </c>
      <c r="L24" s="253" t="s">
        <v>316</v>
      </c>
      <c r="M24" s="253" t="s">
        <v>303</v>
      </c>
      <c r="N24" s="254" t="s">
        <v>317</v>
      </c>
      <c r="O24" s="823" t="s">
        <v>273</v>
      </c>
      <c r="P24" s="824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710">
        <v>3</v>
      </c>
      <c r="B25" s="727" t="s">
        <v>334</v>
      </c>
      <c r="C25" s="255">
        <v>1</v>
      </c>
      <c r="D25" s="237"/>
      <c r="E25" s="238"/>
      <c r="F25" s="239"/>
      <c r="G25" s="357"/>
      <c r="H25" s="358"/>
      <c r="I25" s="359"/>
      <c r="J25" s="268"/>
      <c r="K25" s="257"/>
      <c r="L25" s="256"/>
      <c r="M25" s="324">
        <f t="shared" ref="M25:M29" si="2">L25*J25</f>
        <v>0</v>
      </c>
      <c r="N25" s="269"/>
      <c r="O25" s="818"/>
      <c r="P25" s="819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710"/>
      <c r="B26" s="727"/>
      <c r="C26" s="255">
        <v>2</v>
      </c>
      <c r="D26" s="237"/>
      <c r="E26" s="238"/>
      <c r="F26" s="239"/>
      <c r="G26" s="357"/>
      <c r="H26" s="358"/>
      <c r="I26" s="359"/>
      <c r="J26" s="268"/>
      <c r="K26" s="257"/>
      <c r="L26" s="256"/>
      <c r="M26" s="324">
        <f t="shared" si="2"/>
        <v>0</v>
      </c>
      <c r="N26" s="269"/>
      <c r="O26" s="818"/>
      <c r="P26" s="819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710"/>
      <c r="B27" s="727"/>
      <c r="C27" s="255">
        <v>3</v>
      </c>
      <c r="D27" s="237"/>
      <c r="E27" s="238"/>
      <c r="F27" s="239"/>
      <c r="G27" s="357"/>
      <c r="H27" s="358"/>
      <c r="I27" s="359"/>
      <c r="J27" s="268"/>
      <c r="K27" s="257"/>
      <c r="L27" s="256"/>
      <c r="M27" s="324">
        <f t="shared" si="2"/>
        <v>0</v>
      </c>
      <c r="N27" s="269"/>
      <c r="O27" s="818"/>
      <c r="P27" s="819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710"/>
      <c r="B28" s="727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818"/>
      <c r="P28" s="819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710"/>
      <c r="B29" s="727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818"/>
      <c r="P29" s="819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710"/>
      <c r="B30" s="727"/>
      <c r="C30" s="728"/>
      <c r="D30" s="729"/>
      <c r="E30" s="729"/>
      <c r="F30" s="729"/>
      <c r="G30" s="729"/>
      <c r="H30" s="729"/>
      <c r="I30" s="730"/>
      <c r="J30" s="273" t="s">
        <v>331</v>
      </c>
      <c r="K30" s="337">
        <f>M30/'生產管理報表 7-1(月)'!$B$10</f>
        <v>0</v>
      </c>
      <c r="L30" s="273" t="s">
        <v>332</v>
      </c>
      <c r="M30" s="325">
        <f>SUM(M25:M29)</f>
        <v>0</v>
      </c>
      <c r="N30" s="820"/>
      <c r="O30" s="821"/>
      <c r="P30" s="822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6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J20" sqref="J20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52" style="288" customWidth="1"/>
    <col min="17" max="16384" width="12.5703125" style="288"/>
  </cols>
  <sheetData>
    <row r="1" spans="1:20" s="135" customFormat="1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</row>
    <row r="2" spans="1:20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</row>
    <row r="3" spans="1:20" s="135" customFormat="1" ht="15.75" customHeight="1">
      <c r="A3" s="705" t="s">
        <v>365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</row>
    <row r="4" spans="1:20" s="136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35" customFormat="1" ht="15.75" customHeight="1">
      <c r="A5" s="742" t="s">
        <v>310</v>
      </c>
      <c r="B5" s="744">
        <v>1</v>
      </c>
      <c r="C5" s="745"/>
      <c r="D5" s="744">
        <v>2</v>
      </c>
      <c r="E5" s="745"/>
      <c r="F5" s="744">
        <v>3</v>
      </c>
      <c r="G5" s="745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26">
        <v>8</v>
      </c>
    </row>
    <row r="6" spans="1:20" s="135" customFormat="1" ht="15.75" customHeight="1">
      <c r="A6" s="743"/>
      <c r="B6" s="739" t="s">
        <v>299</v>
      </c>
      <c r="C6" s="740"/>
      <c r="D6" s="739" t="s">
        <v>311</v>
      </c>
      <c r="E6" s="740"/>
      <c r="F6" s="739" t="s">
        <v>301</v>
      </c>
      <c r="G6" s="740"/>
      <c r="H6" s="737" t="s">
        <v>312</v>
      </c>
      <c r="I6" s="738"/>
      <c r="J6" s="737" t="s">
        <v>306</v>
      </c>
      <c r="K6" s="738"/>
      <c r="L6" s="737" t="s">
        <v>307</v>
      </c>
      <c r="M6" s="738"/>
      <c r="N6" s="737" t="s">
        <v>308</v>
      </c>
      <c r="O6" s="738"/>
      <c r="P6" s="327" t="s">
        <v>313</v>
      </c>
    </row>
    <row r="7" spans="1:20" s="135" customFormat="1" ht="15.75" customHeight="1">
      <c r="B7" s="232"/>
      <c r="C7" s="233"/>
    </row>
    <row r="8" spans="1:20" s="277" customFormat="1" ht="15.75" customHeight="1">
      <c r="A8" s="746" t="s">
        <v>310</v>
      </c>
      <c r="B8" s="747"/>
      <c r="C8" s="274" t="s">
        <v>267</v>
      </c>
      <c r="D8" s="825" t="s">
        <v>268</v>
      </c>
      <c r="E8" s="826"/>
      <c r="F8" s="827"/>
      <c r="G8" s="828" t="s">
        <v>314</v>
      </c>
      <c r="H8" s="829"/>
      <c r="I8" s="830"/>
      <c r="J8" s="275" t="s">
        <v>315</v>
      </c>
      <c r="K8" s="275" t="s">
        <v>63</v>
      </c>
      <c r="L8" s="275" t="s">
        <v>316</v>
      </c>
      <c r="M8" s="276" t="s">
        <v>303</v>
      </c>
      <c r="N8" s="276" t="s">
        <v>317</v>
      </c>
      <c r="O8" s="754" t="s">
        <v>273</v>
      </c>
      <c r="P8" s="755"/>
      <c r="R8" s="338"/>
      <c r="S8" s="339"/>
    </row>
    <row r="9" spans="1:20" s="297" customFormat="1" ht="60" customHeight="1">
      <c r="A9" s="756">
        <v>4</v>
      </c>
      <c r="B9" s="759" t="s">
        <v>312</v>
      </c>
      <c r="C9" s="278">
        <v>1</v>
      </c>
      <c r="D9" s="372" t="s">
        <v>339</v>
      </c>
      <c r="E9" s="358"/>
      <c r="F9" s="358"/>
      <c r="G9" s="356" t="s">
        <v>340</v>
      </c>
      <c r="H9" s="304"/>
      <c r="I9" s="305"/>
      <c r="J9" s="311">
        <v>625.93999999999994</v>
      </c>
      <c r="K9" s="312">
        <v>1.7209144800719293E-3</v>
      </c>
      <c r="L9" s="313">
        <v>44.490000000000009</v>
      </c>
      <c r="M9" s="321">
        <f t="shared" ref="M9:M13" si="0">L9*J9</f>
        <v>27848.070600000003</v>
      </c>
      <c r="N9" s="313"/>
      <c r="O9" s="764" t="s">
        <v>366</v>
      </c>
      <c r="P9" s="765"/>
      <c r="R9" s="340"/>
      <c r="S9" s="340"/>
    </row>
    <row r="10" spans="1:20" s="297" customFormat="1" ht="60" customHeight="1">
      <c r="A10" s="757"/>
      <c r="B10" s="760"/>
      <c r="C10" s="278">
        <v>2</v>
      </c>
      <c r="D10" s="354" t="s">
        <v>319</v>
      </c>
      <c r="E10" s="238"/>
      <c r="F10" s="238"/>
      <c r="G10" s="356" t="s">
        <v>320</v>
      </c>
      <c r="H10" s="304"/>
      <c r="I10" s="305"/>
      <c r="J10" s="311">
        <v>127.84000000000002</v>
      </c>
      <c r="K10" s="312">
        <v>2.7251098129008086E-3</v>
      </c>
      <c r="L10" s="313">
        <v>186.05999999999995</v>
      </c>
      <c r="M10" s="321">
        <f t="shared" si="0"/>
        <v>23785.910399999997</v>
      </c>
      <c r="N10" s="313"/>
      <c r="O10" s="764" t="s">
        <v>367</v>
      </c>
      <c r="P10" s="765"/>
      <c r="R10" s="340"/>
      <c r="S10" s="340"/>
    </row>
    <row r="11" spans="1:20" s="297" customFormat="1" ht="60" customHeight="1">
      <c r="A11" s="757"/>
      <c r="B11" s="760"/>
      <c r="C11" s="278">
        <v>3</v>
      </c>
      <c r="D11" s="354" t="s">
        <v>328</v>
      </c>
      <c r="E11" s="238"/>
      <c r="F11" s="238"/>
      <c r="G11" s="356" t="s">
        <v>329</v>
      </c>
      <c r="H11" s="304"/>
      <c r="I11" s="305"/>
      <c r="J11" s="311">
        <v>426.69</v>
      </c>
      <c r="K11" s="312">
        <v>1.9609254409188835E-3</v>
      </c>
      <c r="L11" s="313">
        <v>41.279999999999859</v>
      </c>
      <c r="M11" s="321">
        <f t="shared" si="0"/>
        <v>17613.763199999939</v>
      </c>
      <c r="N11" s="313"/>
      <c r="O11" s="764" t="s">
        <v>368</v>
      </c>
      <c r="P11" s="765"/>
      <c r="R11" s="340"/>
      <c r="S11" s="338"/>
    </row>
    <row r="12" spans="1:20" s="297" customFormat="1" ht="60" customHeight="1">
      <c r="A12" s="757"/>
      <c r="B12" s="760"/>
      <c r="C12" s="278">
        <v>4</v>
      </c>
      <c r="D12" s="375" t="s">
        <v>319</v>
      </c>
      <c r="E12" s="238"/>
      <c r="F12" s="238"/>
      <c r="G12" s="356" t="s">
        <v>356</v>
      </c>
      <c r="H12" s="304"/>
      <c r="I12" s="305"/>
      <c r="J12" s="311">
        <v>39.389999999999993</v>
      </c>
      <c r="K12" s="312">
        <v>1.2199681695418086E-3</v>
      </c>
      <c r="L12" s="313">
        <v>434.27000000000044</v>
      </c>
      <c r="M12" s="321">
        <f t="shared" si="0"/>
        <v>17105.895300000015</v>
      </c>
      <c r="N12" s="313"/>
      <c r="O12" s="764" t="s">
        <v>369</v>
      </c>
      <c r="P12" s="765"/>
      <c r="R12" s="340"/>
      <c r="S12" s="338"/>
    </row>
    <row r="13" spans="1:20" s="297" customFormat="1" ht="60" customHeight="1" thickBot="1">
      <c r="A13" s="757"/>
      <c r="B13" s="760"/>
      <c r="C13" s="278">
        <v>5</v>
      </c>
      <c r="D13" s="375" t="s">
        <v>245</v>
      </c>
      <c r="E13" s="244"/>
      <c r="F13" s="244"/>
      <c r="G13" s="356" t="s">
        <v>326</v>
      </c>
      <c r="H13" s="304"/>
      <c r="I13" s="305"/>
      <c r="J13" s="315">
        <v>440.17999999999995</v>
      </c>
      <c r="K13" s="263">
        <v>2.2159242976075057E-3</v>
      </c>
      <c r="L13" s="316">
        <v>37.610000000000014</v>
      </c>
      <c r="M13" s="321">
        <f t="shared" si="0"/>
        <v>16555.169800000003</v>
      </c>
      <c r="N13" s="313"/>
      <c r="O13" s="764" t="s">
        <v>370</v>
      </c>
      <c r="P13" s="765"/>
      <c r="R13" s="341"/>
      <c r="S13" s="338"/>
      <c r="T13" s="288"/>
    </row>
    <row r="14" spans="1:20" ht="15.75" customHeight="1" thickTop="1" thickBot="1">
      <c r="A14" s="758"/>
      <c r="B14" s="761"/>
      <c r="C14" s="770"/>
      <c r="D14" s="771"/>
      <c r="E14" s="771"/>
      <c r="F14" s="771"/>
      <c r="G14" s="771"/>
      <c r="H14" s="771"/>
      <c r="I14" s="772"/>
      <c r="J14" s="294" t="s">
        <v>331</v>
      </c>
      <c r="K14" s="432">
        <f>M14/'生產管理報表 7-1(月)'!$B$10</f>
        <v>0.46999789467188491</v>
      </c>
      <c r="L14" s="295" t="s">
        <v>332</v>
      </c>
      <c r="M14" s="333">
        <f>SUM(M9:M13)</f>
        <v>102908.80929999996</v>
      </c>
      <c r="N14" s="773"/>
      <c r="O14" s="774"/>
      <c r="P14" s="775"/>
      <c r="R14" s="338"/>
      <c r="S14" s="338"/>
    </row>
    <row r="15" spans="1:20" ht="15.75" customHeight="1" thickTop="1">
      <c r="M15" s="328"/>
      <c r="S15" s="338"/>
    </row>
    <row r="16" spans="1:20" ht="15.75" customHeight="1">
      <c r="A16" s="746" t="s">
        <v>310</v>
      </c>
      <c r="B16" s="747"/>
      <c r="C16" s="274" t="s">
        <v>267</v>
      </c>
      <c r="D16" s="748" t="s">
        <v>268</v>
      </c>
      <c r="E16" s="749"/>
      <c r="F16" s="750"/>
      <c r="G16" s="751" t="s">
        <v>314</v>
      </c>
      <c r="H16" s="752"/>
      <c r="I16" s="753"/>
      <c r="J16" s="275" t="s">
        <v>315</v>
      </c>
      <c r="K16" s="275" t="s">
        <v>63</v>
      </c>
      <c r="L16" s="275" t="s">
        <v>316</v>
      </c>
      <c r="M16" s="329" t="s">
        <v>303</v>
      </c>
      <c r="N16" s="276" t="s">
        <v>317</v>
      </c>
      <c r="O16" s="754" t="s">
        <v>273</v>
      </c>
      <c r="P16" s="755"/>
      <c r="S16" s="339"/>
      <c r="T16" s="297"/>
    </row>
    <row r="17" spans="1:20" s="297" customFormat="1" ht="50.1" customHeight="1">
      <c r="A17" s="756">
        <v>5</v>
      </c>
      <c r="B17" s="776" t="s">
        <v>347</v>
      </c>
      <c r="C17" s="278">
        <v>1</v>
      </c>
      <c r="D17" s="237" t="s">
        <v>319</v>
      </c>
      <c r="E17" s="238"/>
      <c r="F17" s="239"/>
      <c r="G17" s="305" t="s">
        <v>348</v>
      </c>
      <c r="H17" s="304"/>
      <c r="I17" s="305"/>
      <c r="J17" s="311">
        <v>147.43000000000004</v>
      </c>
      <c r="K17" s="312">
        <v>2.3914413528661441E-3</v>
      </c>
      <c r="L17" s="313">
        <v>235.88999999999942</v>
      </c>
      <c r="M17" s="321">
        <f t="shared" ref="M17:M19" si="1">L17*J17</f>
        <v>34777.262699999919</v>
      </c>
      <c r="N17" s="313"/>
      <c r="O17" s="831" t="s">
        <v>371</v>
      </c>
      <c r="P17" s="832"/>
      <c r="S17" s="338"/>
    </row>
    <row r="18" spans="1:20" s="297" customFormat="1" ht="20.100000000000001" customHeight="1">
      <c r="A18" s="757"/>
      <c r="B18" s="777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si="1"/>
        <v>0</v>
      </c>
      <c r="N18" s="313"/>
      <c r="O18" s="781"/>
      <c r="P18" s="782"/>
      <c r="S18" s="288"/>
      <c r="T18" s="288"/>
    </row>
    <row r="19" spans="1:20" ht="20.100000000000001" customHeight="1">
      <c r="A19" s="757"/>
      <c r="B19" s="777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831"/>
      <c r="P19" s="832"/>
    </row>
    <row r="20" spans="1:20" ht="20.100000000000001" customHeight="1">
      <c r="A20" s="757"/>
      <c r="B20" s="777"/>
      <c r="C20" s="278">
        <v>4</v>
      </c>
      <c r="D20" s="279"/>
      <c r="E20" s="280"/>
      <c r="F20" s="281"/>
      <c r="G20" s="282"/>
      <c r="H20" s="283"/>
      <c r="I20" s="284"/>
      <c r="J20" s="285"/>
      <c r="K20" s="286"/>
      <c r="L20" s="287"/>
      <c r="M20" s="331">
        <v>0</v>
      </c>
      <c r="N20" s="287"/>
      <c r="O20" s="298"/>
      <c r="P20" s="299"/>
    </row>
    <row r="21" spans="1:20" ht="20.100000000000001" customHeight="1" thickBot="1">
      <c r="A21" s="757"/>
      <c r="B21" s="777"/>
      <c r="C21" s="278">
        <v>5</v>
      </c>
      <c r="D21" s="289"/>
      <c r="E21" s="290"/>
      <c r="F21" s="291"/>
      <c r="G21" s="282"/>
      <c r="H21" s="283"/>
      <c r="I21" s="284"/>
      <c r="J21" s="292"/>
      <c r="K21" s="263"/>
      <c r="L21" s="293"/>
      <c r="M21" s="332">
        <v>0</v>
      </c>
      <c r="N21" s="287"/>
      <c r="O21" s="300"/>
      <c r="P21" s="301"/>
      <c r="R21" s="342"/>
    </row>
    <row r="22" spans="1:20" ht="15.75" customHeight="1" thickTop="1" thickBot="1">
      <c r="A22" s="758"/>
      <c r="B22" s="778"/>
      <c r="C22" s="785"/>
      <c r="D22" s="786"/>
      <c r="E22" s="786"/>
      <c r="F22" s="786"/>
      <c r="G22" s="786"/>
      <c r="H22" s="786"/>
      <c r="I22" s="787"/>
      <c r="J22" s="294" t="s">
        <v>331</v>
      </c>
      <c r="K22" s="432">
        <f>M22/'生產管理報表 7-1(月)'!$B$10</f>
        <v>0.1588322745412529</v>
      </c>
      <c r="L22" s="295" t="s">
        <v>332</v>
      </c>
      <c r="M22" s="333">
        <f>SUM(M17:M21)</f>
        <v>34777.262699999919</v>
      </c>
      <c r="N22" s="773"/>
      <c r="O22" s="774"/>
      <c r="P22" s="775"/>
      <c r="R22" s="338"/>
    </row>
    <row r="23" spans="1:20" ht="15.75" customHeight="1" thickTop="1">
      <c r="M23" s="328"/>
      <c r="R23" s="338"/>
    </row>
    <row r="24" spans="1:20" ht="15.75" customHeight="1">
      <c r="A24" s="746" t="s">
        <v>310</v>
      </c>
      <c r="B24" s="747"/>
      <c r="C24" s="302" t="s">
        <v>267</v>
      </c>
      <c r="D24" s="790" t="s">
        <v>268</v>
      </c>
      <c r="E24" s="791"/>
      <c r="F24" s="792"/>
      <c r="G24" s="793" t="s">
        <v>314</v>
      </c>
      <c r="H24" s="794"/>
      <c r="I24" s="795"/>
      <c r="J24" s="303" t="s">
        <v>315</v>
      </c>
      <c r="K24" s="275" t="s">
        <v>63</v>
      </c>
      <c r="L24" s="275" t="s">
        <v>316</v>
      </c>
      <c r="M24" s="329" t="s">
        <v>303</v>
      </c>
      <c r="N24" s="276" t="s">
        <v>317</v>
      </c>
      <c r="O24" s="754" t="s">
        <v>273</v>
      </c>
      <c r="P24" s="755"/>
      <c r="R24" s="338"/>
    </row>
    <row r="25" spans="1:20" ht="60" customHeight="1">
      <c r="A25" s="756">
        <v>6</v>
      </c>
      <c r="B25" s="776" t="s">
        <v>352</v>
      </c>
      <c r="C25" s="278">
        <v>1</v>
      </c>
      <c r="D25" s="237" t="s">
        <v>342</v>
      </c>
      <c r="E25" s="280"/>
      <c r="F25" s="280"/>
      <c r="G25" s="356" t="s">
        <v>343</v>
      </c>
      <c r="H25" s="304"/>
      <c r="I25" s="305"/>
      <c r="J25" s="311">
        <v>407.74000000000007</v>
      </c>
      <c r="K25" s="312">
        <v>2.4648011180869512E-3</v>
      </c>
      <c r="L25" s="313">
        <v>40.430000000000064</v>
      </c>
      <c r="M25" s="321">
        <f t="shared" ref="M25:M28" si="2">L25*J25</f>
        <v>16484.928200000028</v>
      </c>
      <c r="N25" s="287"/>
      <c r="O25" s="833" t="s">
        <v>372</v>
      </c>
      <c r="P25" s="834"/>
    </row>
    <row r="26" spans="1:20" ht="20.100000000000001" customHeight="1">
      <c r="A26" s="757"/>
      <c r="B26" s="777"/>
      <c r="C26" s="278">
        <v>2</v>
      </c>
      <c r="D26" s="237"/>
      <c r="E26" s="280"/>
      <c r="F26" s="280"/>
      <c r="G26" s="512"/>
      <c r="H26" s="304"/>
      <c r="I26" s="305"/>
      <c r="J26" s="311"/>
      <c r="K26" s="312"/>
      <c r="L26" s="313"/>
      <c r="M26" s="321">
        <f t="shared" si="2"/>
        <v>0</v>
      </c>
      <c r="N26" s="287"/>
      <c r="O26" s="835"/>
      <c r="P26" s="836"/>
    </row>
    <row r="27" spans="1:20" ht="20.100000000000001" customHeight="1">
      <c r="A27" s="757"/>
      <c r="B27" s="777"/>
      <c r="C27" s="278">
        <v>3</v>
      </c>
      <c r="D27" s="237"/>
      <c r="E27" s="280"/>
      <c r="F27" s="280"/>
      <c r="G27" s="512"/>
      <c r="H27" s="304"/>
      <c r="I27" s="305"/>
      <c r="J27" s="311"/>
      <c r="K27" s="312"/>
      <c r="L27" s="313"/>
      <c r="M27" s="321">
        <f t="shared" si="2"/>
        <v>0</v>
      </c>
      <c r="N27" s="287"/>
      <c r="O27" s="837"/>
      <c r="P27" s="838"/>
    </row>
    <row r="28" spans="1:20" ht="20.100000000000001" customHeight="1">
      <c r="A28" s="757"/>
      <c r="B28" s="777"/>
      <c r="C28" s="278">
        <v>4</v>
      </c>
      <c r="D28" s="237"/>
      <c r="E28" s="280"/>
      <c r="F28" s="280"/>
      <c r="G28" s="512"/>
      <c r="H28" s="304"/>
      <c r="I28" s="305"/>
      <c r="J28" s="311"/>
      <c r="K28" s="312"/>
      <c r="L28" s="313"/>
      <c r="M28" s="321">
        <f t="shared" si="2"/>
        <v>0</v>
      </c>
      <c r="N28" s="287"/>
      <c r="O28" s="837"/>
      <c r="P28" s="838"/>
    </row>
    <row r="29" spans="1:20" ht="20.100000000000001" customHeight="1" thickBot="1">
      <c r="A29" s="757"/>
      <c r="B29" s="777"/>
      <c r="C29" s="278">
        <v>5</v>
      </c>
      <c r="D29" s="243"/>
      <c r="E29" s="290"/>
      <c r="F29" s="290"/>
      <c r="G29" s="512"/>
      <c r="H29" s="304"/>
      <c r="I29" s="305"/>
      <c r="J29" s="315"/>
      <c r="K29" s="263"/>
      <c r="L29" s="316"/>
      <c r="M29" s="321">
        <f>L29*J29</f>
        <v>0</v>
      </c>
      <c r="N29" s="287"/>
      <c r="O29" s="835"/>
      <c r="P29" s="836"/>
    </row>
    <row r="30" spans="1:20" ht="15.75" customHeight="1" thickTop="1" thickBot="1">
      <c r="A30" s="758"/>
      <c r="B30" s="778"/>
      <c r="C30" s="785"/>
      <c r="D30" s="786"/>
      <c r="E30" s="786"/>
      <c r="F30" s="786"/>
      <c r="G30" s="786"/>
      <c r="H30" s="786"/>
      <c r="I30" s="787"/>
      <c r="J30" s="294" t="s">
        <v>331</v>
      </c>
      <c r="K30" s="432">
        <f>M30/'生產管理報表 7-1(月)'!$B$10</f>
        <v>7.5288807639689606E-2</v>
      </c>
      <c r="L30" s="295" t="s">
        <v>332</v>
      </c>
      <c r="M30" s="333">
        <f>SUM(M25:M29)</f>
        <v>16484.928200000028</v>
      </c>
      <c r="N30" s="773"/>
      <c r="O30" s="774"/>
      <c r="P30" s="775"/>
    </row>
    <row r="31" spans="1:20" ht="15.75" customHeight="1" thickTop="1">
      <c r="M31" s="328"/>
    </row>
    <row r="32" spans="1:20" ht="15.75" customHeight="1">
      <c r="A32" s="746" t="s">
        <v>310</v>
      </c>
      <c r="B32" s="747"/>
      <c r="C32" s="302" t="s">
        <v>267</v>
      </c>
      <c r="D32" s="790" t="s">
        <v>268</v>
      </c>
      <c r="E32" s="791"/>
      <c r="F32" s="792"/>
      <c r="G32" s="793" t="s">
        <v>314</v>
      </c>
      <c r="H32" s="794"/>
      <c r="I32" s="795"/>
      <c r="J32" s="303" t="s">
        <v>315</v>
      </c>
      <c r="K32" s="275" t="s">
        <v>63</v>
      </c>
      <c r="L32" s="275" t="s">
        <v>316</v>
      </c>
      <c r="M32" s="329" t="s">
        <v>303</v>
      </c>
      <c r="N32" s="276" t="s">
        <v>317</v>
      </c>
      <c r="O32" s="754" t="s">
        <v>273</v>
      </c>
      <c r="P32" s="755"/>
    </row>
    <row r="33" spans="1:16" ht="15.75" customHeight="1">
      <c r="A33" s="756">
        <v>7</v>
      </c>
      <c r="B33" s="798" t="s">
        <v>364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801"/>
      <c r="P33" s="802"/>
    </row>
    <row r="34" spans="1:16" ht="15.75" customHeight="1">
      <c r="A34" s="757"/>
      <c r="B34" s="799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803"/>
      <c r="P34" s="804"/>
    </row>
    <row r="35" spans="1:16" ht="15.75" customHeight="1">
      <c r="A35" s="757"/>
      <c r="B35" s="799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803"/>
      <c r="P35" s="804"/>
    </row>
    <row r="36" spans="1:16" ht="15.75" customHeight="1">
      <c r="A36" s="757"/>
      <c r="B36" s="799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</row>
    <row r="37" spans="1:16" ht="15.75" customHeight="1" thickBot="1">
      <c r="A37" s="757"/>
      <c r="B37" s="799"/>
      <c r="C37" s="278">
        <v>5</v>
      </c>
      <c r="D37" s="289"/>
      <c r="E37" s="290"/>
      <c r="F37" s="291"/>
      <c r="G37" s="282"/>
      <c r="H37" s="283"/>
      <c r="I37" s="284"/>
      <c r="J37" s="292"/>
      <c r="K37" s="263"/>
      <c r="L37" s="293"/>
      <c r="M37" s="332">
        <v>0</v>
      </c>
      <c r="N37" s="287"/>
      <c r="O37" s="300"/>
      <c r="P37" s="301"/>
    </row>
    <row r="38" spans="1:16" ht="15.75" customHeight="1" thickTop="1" thickBot="1">
      <c r="A38" s="758"/>
      <c r="B38" s="800"/>
      <c r="C38" s="785"/>
      <c r="D38" s="786"/>
      <c r="E38" s="786"/>
      <c r="F38" s="786"/>
      <c r="G38" s="786"/>
      <c r="H38" s="786"/>
      <c r="I38" s="787"/>
      <c r="J38" s="294" t="s">
        <v>331</v>
      </c>
      <c r="K38" s="432">
        <f>M38/'生產管理報表 7-1(月)'!$B$10</f>
        <v>0</v>
      </c>
      <c r="L38" s="295" t="s">
        <v>332</v>
      </c>
      <c r="M38" s="333">
        <f>SUM(M33:M37)</f>
        <v>0</v>
      </c>
      <c r="N38" s="773"/>
      <c r="O38" s="774"/>
      <c r="P38" s="775"/>
    </row>
    <row r="39" spans="1:16" ht="15.75" customHeight="1" thickTop="1"/>
    <row r="44" spans="1:16" ht="15.75" customHeight="1">
      <c r="O44" s="288" ph="1"/>
      <c r="P44" s="288" ph="1"/>
    </row>
    <row r="46" spans="1:16" ht="15.75" customHeight="1">
      <c r="O46" s="288" ph="1"/>
      <c r="P46" s="288" ph="1"/>
    </row>
    <row r="47" spans="1:16" ht="15.75" customHeight="1">
      <c r="O47" s="288" ph="1"/>
      <c r="P47" s="288" ph="1"/>
    </row>
    <row r="117" spans="15:16" ht="15.75" customHeight="1">
      <c r="O117" s="288" ph="1"/>
      <c r="P117" s="288" ph="1"/>
    </row>
    <row r="119" spans="15:16" ht="15.75" customHeight="1">
      <c r="O119" s="288" ph="1"/>
      <c r="P119" s="288" ph="1"/>
    </row>
    <row r="120" spans="15:16" ht="15.75" customHeight="1">
      <c r="O120" s="288" ph="1"/>
      <c r="P120" s="288" ph="1"/>
    </row>
    <row r="153" spans="15:16" ht="15.75" customHeight="1">
      <c r="O153" s="288" ph="1"/>
      <c r="P153" s="288" ph="1"/>
    </row>
    <row r="155" spans="15:16" ht="15.75" customHeight="1">
      <c r="O155" s="288" ph="1"/>
      <c r="P155" s="288" ph="1"/>
    </row>
    <row r="156" spans="15:16" ht="15.75" customHeight="1">
      <c r="O156" s="288" ph="1"/>
      <c r="P156" s="288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7">
    <tabColor rgb="FF92D050"/>
    <outlinePr summaryBelow="0" summaryRight="0"/>
  </sheetPr>
  <dimension ref="A1:N70"/>
  <sheetViews>
    <sheetView view="pageBreakPreview" topLeftCell="A3" zoomScale="130" zoomScaleNormal="60" zoomScaleSheetLayoutView="130" workbookViewId="0">
      <selection activeCell="H15" sqref="H15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</row>
    <row r="2" spans="1:14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</row>
    <row r="3" spans="1:14" ht="15.75" customHeight="1">
      <c r="A3" s="705" t="s">
        <v>373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</row>
    <row r="4" spans="1:14" s="136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14" ht="15.75" customHeight="1">
      <c r="A5" s="225" t="s">
        <v>297</v>
      </c>
      <c r="B5" s="226">
        <f>'生產管理報表(週) '!B6</f>
        <v>36405.586840000004</v>
      </c>
      <c r="E5" s="845" t="s">
        <v>374</v>
      </c>
      <c r="F5" s="846"/>
      <c r="G5" s="846"/>
      <c r="H5" s="846"/>
      <c r="I5" s="846"/>
      <c r="J5" s="846"/>
      <c r="K5" s="846"/>
      <c r="L5" s="846"/>
      <c r="M5" s="846"/>
      <c r="N5" s="442"/>
    </row>
    <row r="6" spans="1:14" ht="15.75" customHeight="1">
      <c r="A6" s="847" t="s">
        <v>0</v>
      </c>
      <c r="B6" s="707" t="s">
        <v>298</v>
      </c>
      <c r="C6" s="707"/>
      <c r="D6" s="708"/>
      <c r="E6" s="706" t="s">
        <v>0</v>
      </c>
      <c r="F6" s="710">
        <v>1</v>
      </c>
      <c r="G6" s="710"/>
      <c r="H6" s="710">
        <v>2</v>
      </c>
      <c r="I6" s="710"/>
      <c r="J6" s="710">
        <v>3</v>
      </c>
      <c r="K6" s="710"/>
      <c r="L6" s="710">
        <v>4</v>
      </c>
      <c r="M6" s="710"/>
    </row>
    <row r="7" spans="1:14" ht="31.35" customHeight="1">
      <c r="A7" s="847"/>
      <c r="B7" s="707"/>
      <c r="C7" s="707"/>
      <c r="D7" s="709"/>
      <c r="E7" s="706"/>
      <c r="F7" s="702" t="s">
        <v>299</v>
      </c>
      <c r="G7" s="702"/>
      <c r="H7" s="702" t="s">
        <v>300</v>
      </c>
      <c r="I7" s="702"/>
      <c r="J7" s="702" t="s">
        <v>301</v>
      </c>
      <c r="K7" s="702"/>
      <c r="L7" s="702" t="s">
        <v>312</v>
      </c>
      <c r="M7" s="702"/>
    </row>
    <row r="8" spans="1:14" ht="15.75" customHeight="1">
      <c r="A8" s="847"/>
      <c r="B8" s="154" t="s">
        <v>303</v>
      </c>
      <c r="C8" s="154" t="s">
        <v>76</v>
      </c>
      <c r="D8" s="709"/>
      <c r="E8" s="706"/>
      <c r="F8" s="154" t="s">
        <v>303</v>
      </c>
      <c r="G8" s="154" t="s">
        <v>76</v>
      </c>
      <c r="H8" s="154" t="s">
        <v>303</v>
      </c>
      <c r="I8" s="154" t="s">
        <v>76</v>
      </c>
      <c r="J8" s="154" t="s">
        <v>303</v>
      </c>
      <c r="K8" s="154" t="s">
        <v>76</v>
      </c>
      <c r="L8" s="154" t="s">
        <v>303</v>
      </c>
      <c r="M8" s="154" t="s">
        <v>76</v>
      </c>
    </row>
    <row r="9" spans="1:14" ht="19.350000000000001" customHeight="1">
      <c r="A9" s="227" t="s">
        <v>304</v>
      </c>
      <c r="B9" s="139">
        <f>日別報廢率總表!I5</f>
        <v>73068.210100000011</v>
      </c>
      <c r="C9" s="229">
        <f>B9/($B$5*1000)</f>
        <v>2.0070603564537955E-3</v>
      </c>
      <c r="D9" s="709"/>
      <c r="E9" s="138" t="s">
        <v>304</v>
      </c>
      <c r="F9" s="141">
        <f>'報廢20大－原因別分析'!AG8</f>
        <v>10267.933800000003</v>
      </c>
      <c r="G9" s="142">
        <f>'報廢20大－原因別分析'!AG9</f>
        <v>0.6</v>
      </c>
      <c r="H9" s="141">
        <f>'報廢20大－原因別分析'!AH8</f>
        <v>0</v>
      </c>
      <c r="I9" s="142">
        <f>'報廢20大－原因別分析'!AH9</f>
        <v>0</v>
      </c>
      <c r="J9" s="141">
        <f>'報廢20大－原因別分析'!AI8</f>
        <v>5315.7222000000002</v>
      </c>
      <c r="K9" s="142">
        <f>'報廢20大－原因別分析'!AI9</f>
        <v>0.2</v>
      </c>
      <c r="L9" s="141">
        <f>'報廢20大－原因別分析'!AJ8</f>
        <v>0</v>
      </c>
      <c r="M9" s="142">
        <f>'報廢20大－原因別分析'!AJ9</f>
        <v>0</v>
      </c>
    </row>
    <row r="10" spans="1:14" ht="19.350000000000001" customHeight="1">
      <c r="A10" s="228" t="s">
        <v>305</v>
      </c>
      <c r="B10" s="144">
        <f>日別報廢率總表!J5</f>
        <v>218955.89419999998</v>
      </c>
      <c r="C10" s="140">
        <f>B10/($B$5*1000)</f>
        <v>6.0143487086829761E-3</v>
      </c>
      <c r="D10" s="709"/>
      <c r="E10" s="143" t="s">
        <v>305</v>
      </c>
      <c r="F10" s="141">
        <f>'超用20大－原因別分析'!AG8</f>
        <v>0</v>
      </c>
      <c r="G10" s="142">
        <f>'超用20大－原因別分析'!AG9</f>
        <v>0</v>
      </c>
      <c r="H10" s="141">
        <f>'超用20大－原因別分析'!AH8</f>
        <v>0</v>
      </c>
      <c r="I10" s="142">
        <f>'超用20大－原因別分析'!AH9</f>
        <v>0</v>
      </c>
      <c r="J10" s="141">
        <f>'超用20大－原因別分析'!AI8</f>
        <v>0</v>
      </c>
      <c r="K10" s="142">
        <f>'超用20大－原因別分析'!AI9</f>
        <v>0</v>
      </c>
      <c r="L10" s="141">
        <f>'超用20大－原因別分析'!AJ8</f>
        <v>66092.737300000008</v>
      </c>
      <c r="M10" s="142">
        <f>'超用20大－原因別分析'!AJ9</f>
        <v>0.9</v>
      </c>
    </row>
    <row r="11" spans="1:14" ht="15.75" customHeight="1">
      <c r="A11" s="224" t="s">
        <v>375</v>
      </c>
      <c r="B11" s="377" t="s">
        <v>376</v>
      </c>
      <c r="C11" s="223"/>
      <c r="D11" s="709"/>
      <c r="E11" s="706" t="s">
        <v>0</v>
      </c>
      <c r="F11" s="744">
        <v>5</v>
      </c>
      <c r="G11" s="745"/>
      <c r="H11" s="744">
        <v>6</v>
      </c>
      <c r="I11" s="745"/>
      <c r="J11" s="744">
        <v>7</v>
      </c>
      <c r="K11" s="745"/>
      <c r="L11" s="839"/>
      <c r="M11" s="840"/>
    </row>
    <row r="12" spans="1:14" ht="31.35" customHeight="1">
      <c r="A12" s="135" t="s">
        <v>377</v>
      </c>
      <c r="B12" s="377" t="s">
        <v>376</v>
      </c>
      <c r="C12" s="223"/>
      <c r="D12" s="709"/>
      <c r="E12" s="706"/>
      <c r="F12" s="841" t="s">
        <v>306</v>
      </c>
      <c r="G12" s="842"/>
      <c r="H12" s="841" t="s">
        <v>307</v>
      </c>
      <c r="I12" s="842"/>
      <c r="J12" s="841" t="s">
        <v>308</v>
      </c>
      <c r="K12" s="842"/>
      <c r="L12" s="843"/>
      <c r="M12" s="844"/>
    </row>
    <row r="13" spans="1:14" ht="15.75" customHeight="1">
      <c r="D13" s="709"/>
      <c r="E13" s="706"/>
      <c r="F13" s="154" t="s">
        <v>303</v>
      </c>
      <c r="G13" s="154" t="s">
        <v>76</v>
      </c>
      <c r="H13" s="154" t="s">
        <v>303</v>
      </c>
      <c r="I13" s="154" t="s">
        <v>76</v>
      </c>
      <c r="J13" s="154" t="s">
        <v>303</v>
      </c>
      <c r="K13" s="154" t="s">
        <v>76</v>
      </c>
      <c r="L13" s="154"/>
      <c r="M13" s="154"/>
    </row>
    <row r="14" spans="1:14" ht="19.350000000000001" customHeight="1">
      <c r="D14" s="709"/>
      <c r="E14" s="138" t="s">
        <v>304</v>
      </c>
      <c r="F14" s="141">
        <f>'報廢20大－原因別分析'!AK8</f>
        <v>2247.5151000000001</v>
      </c>
      <c r="G14" s="142">
        <f>'報廢20大－原因別分析'!AK9</f>
        <v>0.1</v>
      </c>
      <c r="H14" s="141">
        <f>'報廢20大－原因別分析'!AL8</f>
        <v>2527.6469999999999</v>
      </c>
      <c r="I14" s="142">
        <f>'報廢20大－原因別分析'!AL9</f>
        <v>0.1</v>
      </c>
      <c r="J14" s="141">
        <f>'報廢20大－原因別分析'!AM8</f>
        <v>0</v>
      </c>
      <c r="K14" s="142">
        <f>'報廢20大－原因別分析'!AM9</f>
        <v>0</v>
      </c>
      <c r="L14" s="141"/>
      <c r="M14" s="142"/>
    </row>
    <row r="15" spans="1:14" ht="19.350000000000001" customHeight="1">
      <c r="D15" s="709"/>
      <c r="E15" s="143" t="s">
        <v>305</v>
      </c>
      <c r="F15" s="141">
        <f>'超用20大－原因別分析'!AK8</f>
        <v>7280.0934000000179</v>
      </c>
      <c r="G15" s="142">
        <f>'超用20大－原因別分析'!AK9</f>
        <v>0.05</v>
      </c>
      <c r="H15" s="141">
        <f>'超用20大－原因別分析'!AL8</f>
        <v>4489.2173999999968</v>
      </c>
      <c r="I15" s="142">
        <f>'超用20大－原因別分析'!AL9</f>
        <v>0.05</v>
      </c>
      <c r="J15" s="141">
        <f>'超用20大－原因別分析'!AM8</f>
        <v>0</v>
      </c>
      <c r="K15" s="142">
        <f>'超用20大－原因別分析'!AM9</f>
        <v>0</v>
      </c>
      <c r="L15" s="141"/>
      <c r="M15" s="142"/>
    </row>
    <row r="16" spans="1:14" ht="15.75" customHeight="1">
      <c r="A16" s="225" t="s">
        <v>297</v>
      </c>
      <c r="B16" s="226">
        <v>41863.93067999999</v>
      </c>
      <c r="E16" s="845" t="s">
        <v>374</v>
      </c>
      <c r="F16" s="846"/>
      <c r="G16" s="846"/>
      <c r="H16" s="846"/>
      <c r="I16" s="846"/>
      <c r="J16" s="846"/>
      <c r="K16" s="846"/>
      <c r="L16" s="846"/>
      <c r="M16" s="846"/>
      <c r="N16" s="442"/>
    </row>
    <row r="17" spans="1:14" ht="15.75" customHeight="1">
      <c r="A17" s="847" t="s">
        <v>0</v>
      </c>
      <c r="B17" s="707" t="s">
        <v>298</v>
      </c>
      <c r="C17" s="707"/>
      <c r="D17" s="708"/>
      <c r="E17" s="706" t="s">
        <v>0</v>
      </c>
      <c r="F17" s="710">
        <v>1</v>
      </c>
      <c r="G17" s="710"/>
      <c r="H17" s="710">
        <v>2</v>
      </c>
      <c r="I17" s="710"/>
      <c r="J17" s="710">
        <v>3</v>
      </c>
      <c r="K17" s="710"/>
      <c r="L17" s="710">
        <v>4</v>
      </c>
      <c r="M17" s="710"/>
    </row>
    <row r="18" spans="1:14" ht="31.35" customHeight="1">
      <c r="A18" s="847"/>
      <c r="B18" s="707"/>
      <c r="C18" s="707"/>
      <c r="D18" s="709"/>
      <c r="E18" s="706"/>
      <c r="F18" s="702" t="s">
        <v>299</v>
      </c>
      <c r="G18" s="702"/>
      <c r="H18" s="702" t="s">
        <v>300</v>
      </c>
      <c r="I18" s="702"/>
      <c r="J18" s="702" t="s">
        <v>301</v>
      </c>
      <c r="K18" s="702"/>
      <c r="L18" s="702" t="s">
        <v>312</v>
      </c>
      <c r="M18" s="702"/>
    </row>
    <row r="19" spans="1:14" ht="15.75" customHeight="1">
      <c r="A19" s="847"/>
      <c r="B19" s="154" t="s">
        <v>303</v>
      </c>
      <c r="C19" s="154" t="s">
        <v>76</v>
      </c>
      <c r="D19" s="709"/>
      <c r="E19" s="706"/>
      <c r="F19" s="154" t="s">
        <v>303</v>
      </c>
      <c r="G19" s="154" t="s">
        <v>76</v>
      </c>
      <c r="H19" s="154" t="s">
        <v>303</v>
      </c>
      <c r="I19" s="154" t="s">
        <v>76</v>
      </c>
      <c r="J19" s="154" t="s">
        <v>303</v>
      </c>
      <c r="K19" s="154" t="s">
        <v>76</v>
      </c>
      <c r="L19" s="154" t="s">
        <v>303</v>
      </c>
      <c r="M19" s="154" t="s">
        <v>76</v>
      </c>
    </row>
    <row r="20" spans="1:14" ht="19.350000000000001" customHeight="1">
      <c r="A20" s="227" t="s">
        <v>304</v>
      </c>
      <c r="B20" s="139">
        <f>日別報廢率總表!I12</f>
        <v>0</v>
      </c>
      <c r="C20" s="229">
        <f>B20/($B$16*1000)</f>
        <v>0</v>
      </c>
      <c r="D20" s="709"/>
      <c r="E20" s="138" t="s">
        <v>304</v>
      </c>
      <c r="F20" s="141">
        <f>'報廢20大－原因別分析'!AG30</f>
        <v>0</v>
      </c>
      <c r="G20" s="142">
        <f>'報廢20大－原因別分析'!AG31</f>
        <v>0.55000000000000004</v>
      </c>
      <c r="H20" s="141">
        <f>'報廢20大－原因別分析'!AH30</f>
        <v>0</v>
      </c>
      <c r="I20" s="142">
        <f>'報廢20大－原因別分析'!AH31</f>
        <v>0</v>
      </c>
      <c r="J20" s="141">
        <f>'報廢20大－原因別分析'!AI30</f>
        <v>0</v>
      </c>
      <c r="K20" s="142">
        <f>'報廢20大－原因別分析'!AI31</f>
        <v>0.2</v>
      </c>
      <c r="L20" s="141">
        <f>'報廢20大－原因別分析'!AJ30</f>
        <v>0</v>
      </c>
      <c r="M20" s="142">
        <f>'報廢20大－原因別分析'!AJ31</f>
        <v>0</v>
      </c>
    </row>
    <row r="21" spans="1:14" ht="19.350000000000001" customHeight="1">
      <c r="A21" s="228" t="s">
        <v>305</v>
      </c>
      <c r="B21" s="144">
        <f>日別報廢率總表!J12</f>
        <v>0</v>
      </c>
      <c r="C21" s="140">
        <f>B21/($B$16*1000)</f>
        <v>0</v>
      </c>
      <c r="D21" s="709"/>
      <c r="E21" s="143" t="s">
        <v>305</v>
      </c>
      <c r="F21" s="141">
        <f>'超用20大－原因別分析'!AG30</f>
        <v>0</v>
      </c>
      <c r="G21" s="142">
        <f>'超用20大－原因別分析'!AG31</f>
        <v>0</v>
      </c>
      <c r="H21" s="141">
        <f>'超用20大－原因別分析'!AH30</f>
        <v>0</v>
      </c>
      <c r="I21" s="142">
        <f>'超用20大－原因別分析'!AH31</f>
        <v>0</v>
      </c>
      <c r="J21" s="141">
        <f>'超用20大－原因別分析'!AI30</f>
        <v>0</v>
      </c>
      <c r="K21" s="142">
        <f>'超用20大－原因別分析'!AI31</f>
        <v>0</v>
      </c>
      <c r="L21" s="141">
        <f>'超用20大－原因別分析'!AJ30</f>
        <v>0</v>
      </c>
      <c r="M21" s="142">
        <f>'超用20大－原因別分析'!AJ31</f>
        <v>0.9</v>
      </c>
    </row>
    <row r="22" spans="1:14" ht="15.75" customHeight="1">
      <c r="A22" s="224" t="s">
        <v>375</v>
      </c>
      <c r="B22" s="377" t="s">
        <v>378</v>
      </c>
      <c r="C22" s="223"/>
      <c r="D22" s="709"/>
      <c r="E22" s="706" t="s">
        <v>0</v>
      </c>
      <c r="F22" s="744">
        <v>5</v>
      </c>
      <c r="G22" s="745"/>
      <c r="H22" s="744">
        <v>6</v>
      </c>
      <c r="I22" s="745"/>
      <c r="J22" s="744">
        <v>7</v>
      </c>
      <c r="K22" s="745"/>
      <c r="L22" s="839"/>
      <c r="M22" s="840"/>
    </row>
    <row r="23" spans="1:14" ht="31.35" customHeight="1">
      <c r="A23" s="135" t="s">
        <v>377</v>
      </c>
      <c r="B23" s="377" t="s">
        <v>378</v>
      </c>
      <c r="C23" s="223"/>
      <c r="D23" s="709"/>
      <c r="E23" s="706"/>
      <c r="F23" s="841" t="s">
        <v>306</v>
      </c>
      <c r="G23" s="842"/>
      <c r="H23" s="841" t="s">
        <v>307</v>
      </c>
      <c r="I23" s="842"/>
      <c r="J23" s="841" t="s">
        <v>308</v>
      </c>
      <c r="K23" s="842"/>
      <c r="L23" s="843"/>
      <c r="M23" s="844"/>
    </row>
    <row r="24" spans="1:14" ht="15.75" customHeight="1">
      <c r="D24" s="709"/>
      <c r="E24" s="706"/>
      <c r="F24" s="154" t="s">
        <v>303</v>
      </c>
      <c r="G24" s="154" t="s">
        <v>76</v>
      </c>
      <c r="H24" s="154" t="s">
        <v>303</v>
      </c>
      <c r="I24" s="154" t="s">
        <v>76</v>
      </c>
      <c r="J24" s="154" t="s">
        <v>303</v>
      </c>
      <c r="K24" s="154" t="s">
        <v>76</v>
      </c>
      <c r="L24" s="154"/>
      <c r="M24" s="154"/>
    </row>
    <row r="25" spans="1:14" ht="19.350000000000001" customHeight="1">
      <c r="D25" s="709"/>
      <c r="E25" s="138" t="s">
        <v>304</v>
      </c>
      <c r="F25" s="141">
        <f>'報廢20大－原因別分析'!AK30</f>
        <v>0</v>
      </c>
      <c r="G25" s="142">
        <f>'報廢20大－原因別分析'!AK31</f>
        <v>0.05</v>
      </c>
      <c r="H25" s="141">
        <f>'報廢20大－原因別分析'!AL30</f>
        <v>0</v>
      </c>
      <c r="I25" s="142">
        <f>'報廢20大－原因別分析'!AL31</f>
        <v>0.2</v>
      </c>
      <c r="J25" s="141">
        <f>'報廢20大－原因別分析'!AM30</f>
        <v>0</v>
      </c>
      <c r="K25" s="142">
        <f>'報廢20大－原因別分析'!AM31</f>
        <v>0</v>
      </c>
      <c r="L25" s="141"/>
      <c r="M25" s="142"/>
    </row>
    <row r="26" spans="1:14" ht="19.350000000000001" customHeight="1">
      <c r="D26" s="709"/>
      <c r="E26" s="143" t="s">
        <v>305</v>
      </c>
      <c r="F26" s="141">
        <f>'超用20大－原因別分析'!AK30</f>
        <v>0</v>
      </c>
      <c r="G26" s="142">
        <f>'超用20大－原因別分析'!AK31</f>
        <v>0.05</v>
      </c>
      <c r="H26" s="141">
        <f>'超用20大－原因別分析'!AL30</f>
        <v>0</v>
      </c>
      <c r="I26" s="142">
        <f>'超用20大－原因別分析'!AL31</f>
        <v>0.05</v>
      </c>
      <c r="J26" s="141">
        <f>'超用20大－原因別分析'!AM30</f>
        <v>0</v>
      </c>
      <c r="K26" s="142">
        <f>'超用20大－原因別分析'!AM31</f>
        <v>0</v>
      </c>
      <c r="L26" s="141"/>
      <c r="M26" s="142"/>
    </row>
    <row r="27" spans="1:14" ht="15.75" customHeight="1">
      <c r="A27" s="225" t="s">
        <v>297</v>
      </c>
      <c r="B27" s="226">
        <v>38288.004869999997</v>
      </c>
      <c r="E27" s="845" t="s">
        <v>374</v>
      </c>
      <c r="F27" s="846"/>
      <c r="G27" s="846"/>
      <c r="H27" s="846"/>
      <c r="I27" s="846"/>
      <c r="J27" s="846"/>
      <c r="K27" s="846"/>
      <c r="L27" s="846"/>
      <c r="M27" s="846"/>
      <c r="N27" s="442"/>
    </row>
    <row r="28" spans="1:14" ht="15.75" customHeight="1">
      <c r="A28" s="847" t="s">
        <v>0</v>
      </c>
      <c r="B28" s="707" t="s">
        <v>298</v>
      </c>
      <c r="C28" s="707"/>
      <c r="D28" s="708"/>
      <c r="E28" s="706" t="s">
        <v>0</v>
      </c>
      <c r="F28" s="710">
        <v>1</v>
      </c>
      <c r="G28" s="710"/>
      <c r="H28" s="710">
        <v>2</v>
      </c>
      <c r="I28" s="710"/>
      <c r="J28" s="710">
        <v>3</v>
      </c>
      <c r="K28" s="710"/>
      <c r="L28" s="710">
        <v>4</v>
      </c>
      <c r="M28" s="710"/>
    </row>
    <row r="29" spans="1:14" ht="31.35" customHeight="1">
      <c r="A29" s="847"/>
      <c r="B29" s="707"/>
      <c r="C29" s="707"/>
      <c r="D29" s="709"/>
      <c r="E29" s="706"/>
      <c r="F29" s="702" t="s">
        <v>299</v>
      </c>
      <c r="G29" s="702"/>
      <c r="H29" s="702" t="s">
        <v>300</v>
      </c>
      <c r="I29" s="702"/>
      <c r="J29" s="702" t="s">
        <v>301</v>
      </c>
      <c r="K29" s="702"/>
      <c r="L29" s="702" t="s">
        <v>312</v>
      </c>
      <c r="M29" s="702"/>
    </row>
    <row r="30" spans="1:14" ht="15.75" customHeight="1">
      <c r="A30" s="847"/>
      <c r="B30" s="154" t="s">
        <v>303</v>
      </c>
      <c r="C30" s="154" t="s">
        <v>76</v>
      </c>
      <c r="D30" s="709"/>
      <c r="E30" s="706"/>
      <c r="F30" s="154" t="s">
        <v>303</v>
      </c>
      <c r="G30" s="154" t="s">
        <v>76</v>
      </c>
      <c r="H30" s="154" t="s">
        <v>303</v>
      </c>
      <c r="I30" s="154" t="s">
        <v>76</v>
      </c>
      <c r="J30" s="154" t="s">
        <v>303</v>
      </c>
      <c r="K30" s="154" t="s">
        <v>76</v>
      </c>
      <c r="L30" s="154" t="s">
        <v>303</v>
      </c>
      <c r="M30" s="154" t="s">
        <v>76</v>
      </c>
    </row>
    <row r="31" spans="1:14" ht="19.350000000000001" customHeight="1">
      <c r="A31" s="227" t="s">
        <v>304</v>
      </c>
      <c r="B31" s="139">
        <f>日別報廢率總表!I19</f>
        <v>0</v>
      </c>
      <c r="C31" s="229">
        <f>B31/($B$27*1000)</f>
        <v>0</v>
      </c>
      <c r="D31" s="709"/>
      <c r="E31" s="138" t="s">
        <v>304</v>
      </c>
      <c r="F31" s="141">
        <f>'報廢20大－原因別分析'!AG52</f>
        <v>0</v>
      </c>
      <c r="G31" s="142">
        <f>'報廢20大－原因別分析'!AG53</f>
        <v>0.4</v>
      </c>
      <c r="H31" s="141">
        <f>'報廢20大－原因別分析'!AH52</f>
        <v>0</v>
      </c>
      <c r="I31" s="142">
        <f>'報廢20大－原因別分析'!AH53</f>
        <v>0</v>
      </c>
      <c r="J31" s="141">
        <f>'報廢20大－原因別分析'!AI52</f>
        <v>0</v>
      </c>
      <c r="K31" s="142">
        <f>'報廢20大－原因別分析'!AI53</f>
        <v>0.3</v>
      </c>
      <c r="L31" s="141">
        <f>'報廢20大－原因別分析'!AJ52</f>
        <v>0</v>
      </c>
      <c r="M31" s="142">
        <f>'報廢20大－原因別分析'!AJ53</f>
        <v>0</v>
      </c>
    </row>
    <row r="32" spans="1:14" ht="19.350000000000001" customHeight="1">
      <c r="A32" s="228" t="s">
        <v>305</v>
      </c>
      <c r="B32" s="144">
        <f>日別報廢率總表!J19</f>
        <v>0</v>
      </c>
      <c r="C32" s="140">
        <f>B32/($B$27*1000)</f>
        <v>0</v>
      </c>
      <c r="D32" s="709"/>
      <c r="E32" s="143" t="s">
        <v>305</v>
      </c>
      <c r="F32" s="141">
        <f>'超用20大－原因別分析'!AG52</f>
        <v>0</v>
      </c>
      <c r="G32" s="142">
        <f>'超用20大－原因別分析'!AG53</f>
        <v>0</v>
      </c>
      <c r="H32" s="141">
        <f>'超用20大－原因別分析'!AH52</f>
        <v>0</v>
      </c>
      <c r="I32" s="142">
        <f>'超用20大－原因別分析'!AH53</f>
        <v>0</v>
      </c>
      <c r="J32" s="141">
        <f>'超用20大－原因別分析'!AI52</f>
        <v>0</v>
      </c>
      <c r="K32" s="142">
        <f>'超用20大－原因別分析'!AI53</f>
        <v>0</v>
      </c>
      <c r="L32" s="141">
        <f>'超用20大－原因別分析'!AJ52</f>
        <v>0</v>
      </c>
      <c r="M32" s="142">
        <f>'超用20大－原因別分析'!AJ53</f>
        <v>0.9</v>
      </c>
    </row>
    <row r="33" spans="1:14" ht="15.75" customHeight="1">
      <c r="A33" s="224" t="s">
        <v>375</v>
      </c>
      <c r="B33" s="377" t="s">
        <v>379</v>
      </c>
      <c r="C33" s="223"/>
      <c r="D33" s="709"/>
      <c r="E33" s="706" t="s">
        <v>0</v>
      </c>
      <c r="F33" s="744">
        <v>5</v>
      </c>
      <c r="G33" s="745"/>
      <c r="H33" s="744">
        <v>6</v>
      </c>
      <c r="I33" s="745"/>
      <c r="J33" s="744">
        <v>7</v>
      </c>
      <c r="K33" s="745"/>
      <c r="L33" s="839"/>
      <c r="M33" s="840"/>
    </row>
    <row r="34" spans="1:14" ht="31.35" customHeight="1">
      <c r="A34" s="135" t="s">
        <v>377</v>
      </c>
      <c r="B34" s="377" t="s">
        <v>379</v>
      </c>
      <c r="C34" s="223"/>
      <c r="D34" s="709"/>
      <c r="E34" s="706"/>
      <c r="F34" s="841" t="s">
        <v>306</v>
      </c>
      <c r="G34" s="842"/>
      <c r="H34" s="841" t="s">
        <v>307</v>
      </c>
      <c r="I34" s="842"/>
      <c r="J34" s="841" t="s">
        <v>308</v>
      </c>
      <c r="K34" s="842"/>
      <c r="L34" s="843"/>
      <c r="M34" s="844"/>
    </row>
    <row r="35" spans="1:14" ht="15.75" customHeight="1">
      <c r="D35" s="709"/>
      <c r="E35" s="706"/>
      <c r="F35" s="154" t="s">
        <v>303</v>
      </c>
      <c r="G35" s="154" t="s">
        <v>76</v>
      </c>
      <c r="H35" s="154" t="s">
        <v>303</v>
      </c>
      <c r="I35" s="154" t="s">
        <v>76</v>
      </c>
      <c r="J35" s="154" t="s">
        <v>303</v>
      </c>
      <c r="K35" s="154" t="s">
        <v>76</v>
      </c>
      <c r="L35" s="154"/>
      <c r="M35" s="154"/>
    </row>
    <row r="36" spans="1:14" ht="19.350000000000001" customHeight="1">
      <c r="D36" s="709"/>
      <c r="E36" s="138" t="s">
        <v>304</v>
      </c>
      <c r="F36" s="141">
        <f>'報廢20大－原因別分析'!AK52</f>
        <v>0</v>
      </c>
      <c r="G36" s="142">
        <f>'報廢20大－原因別分析'!AK53</f>
        <v>0.05</v>
      </c>
      <c r="H36" s="141">
        <f>'報廢20大－原因別分析'!AL52</f>
        <v>0</v>
      </c>
      <c r="I36" s="142">
        <f>'報廢20大－原因別分析'!AL53</f>
        <v>0.25</v>
      </c>
      <c r="J36" s="141">
        <f>'報廢20大－原因別分析'!AM52</f>
        <v>0</v>
      </c>
      <c r="K36" s="142">
        <f>'報廢20大－原因別分析'!AM53</f>
        <v>0</v>
      </c>
      <c r="L36" s="141"/>
      <c r="M36" s="142"/>
    </row>
    <row r="37" spans="1:14" ht="19.350000000000001" customHeight="1">
      <c r="D37" s="709"/>
      <c r="E37" s="143" t="s">
        <v>305</v>
      </c>
      <c r="F37" s="141">
        <f>'超用20大－原因別分析'!AK52</f>
        <v>0</v>
      </c>
      <c r="G37" s="142">
        <f>'超用20大－原因別分析'!AK53</f>
        <v>0.05</v>
      </c>
      <c r="H37" s="141">
        <f>'超用20大－原因別分析'!AL52</f>
        <v>0</v>
      </c>
      <c r="I37" s="142">
        <f>'超用20大－原因別分析'!AL53</f>
        <v>0.05</v>
      </c>
      <c r="J37" s="141">
        <f>'超用20大－原因別分析'!AM52</f>
        <v>0</v>
      </c>
      <c r="K37" s="142">
        <f>'超用20大－原因別分析'!AM53</f>
        <v>0</v>
      </c>
      <c r="L37" s="141"/>
      <c r="M37" s="142"/>
    </row>
    <row r="38" spans="1:14" ht="15.75" customHeight="1">
      <c r="A38" s="225" t="s">
        <v>297</v>
      </c>
      <c r="B38" s="226">
        <v>39537.269799999995</v>
      </c>
      <c r="E38" s="845" t="s">
        <v>374</v>
      </c>
      <c r="F38" s="846"/>
      <c r="G38" s="846"/>
      <c r="H38" s="846"/>
      <c r="I38" s="846"/>
      <c r="J38" s="846"/>
      <c r="K38" s="846"/>
      <c r="L38" s="846"/>
      <c r="M38" s="846"/>
      <c r="N38" s="442"/>
    </row>
    <row r="39" spans="1:14" ht="15.75" customHeight="1">
      <c r="A39" s="847" t="s">
        <v>0</v>
      </c>
      <c r="B39" s="707" t="s">
        <v>298</v>
      </c>
      <c r="C39" s="707"/>
      <c r="D39" s="708"/>
      <c r="E39" s="706" t="s">
        <v>0</v>
      </c>
      <c r="F39" s="710">
        <v>1</v>
      </c>
      <c r="G39" s="710"/>
      <c r="H39" s="710">
        <v>2</v>
      </c>
      <c r="I39" s="710"/>
      <c r="J39" s="710">
        <v>3</v>
      </c>
      <c r="K39" s="710"/>
      <c r="L39" s="710">
        <v>4</v>
      </c>
      <c r="M39" s="710"/>
    </row>
    <row r="40" spans="1:14" ht="31.35" customHeight="1">
      <c r="A40" s="847"/>
      <c r="B40" s="707"/>
      <c r="C40" s="707"/>
      <c r="D40" s="709"/>
      <c r="E40" s="706"/>
      <c r="F40" s="702" t="s">
        <v>299</v>
      </c>
      <c r="G40" s="702"/>
      <c r="H40" s="702" t="s">
        <v>300</v>
      </c>
      <c r="I40" s="702"/>
      <c r="J40" s="702" t="s">
        <v>301</v>
      </c>
      <c r="K40" s="702"/>
      <c r="L40" s="702" t="s">
        <v>312</v>
      </c>
      <c r="M40" s="702"/>
    </row>
    <row r="41" spans="1:14" ht="15.75" customHeight="1">
      <c r="A41" s="847"/>
      <c r="B41" s="154" t="s">
        <v>303</v>
      </c>
      <c r="C41" s="154" t="s">
        <v>76</v>
      </c>
      <c r="D41" s="709"/>
      <c r="E41" s="706"/>
      <c r="F41" s="154" t="s">
        <v>303</v>
      </c>
      <c r="G41" s="154" t="s">
        <v>76</v>
      </c>
      <c r="H41" s="154" t="s">
        <v>303</v>
      </c>
      <c r="I41" s="154" t="s">
        <v>76</v>
      </c>
      <c r="J41" s="154" t="s">
        <v>303</v>
      </c>
      <c r="K41" s="154" t="s">
        <v>76</v>
      </c>
      <c r="L41" s="154" t="s">
        <v>303</v>
      </c>
      <c r="M41" s="154" t="s">
        <v>76</v>
      </c>
    </row>
    <row r="42" spans="1:14" ht="19.350000000000001" customHeight="1">
      <c r="A42" s="227" t="s">
        <v>304</v>
      </c>
      <c r="B42" s="139">
        <f>日別報廢率總表!I26</f>
        <v>0</v>
      </c>
      <c r="C42" s="229">
        <f>B42/($B$38*1000)</f>
        <v>0</v>
      </c>
      <c r="D42" s="709"/>
      <c r="E42" s="138" t="s">
        <v>304</v>
      </c>
      <c r="F42" s="141">
        <f>'報廢20大－原因別分析'!AG74</f>
        <v>0</v>
      </c>
      <c r="G42" s="142">
        <f>'報廢20大－原因別分析'!AG75</f>
        <v>0.55000000000000004</v>
      </c>
      <c r="H42" s="141">
        <f>'報廢20大－原因別分析'!AH74</f>
        <v>0</v>
      </c>
      <c r="I42" s="142">
        <f>'報廢20大－原因別分析'!AH75</f>
        <v>0</v>
      </c>
      <c r="J42" s="141">
        <f>'報廢20大－原因別分析'!AI74</f>
        <v>0</v>
      </c>
      <c r="K42" s="142">
        <f>'報廢20大－原因別分析'!AI75</f>
        <v>0.25</v>
      </c>
      <c r="L42" s="141">
        <f>'報廢20大－原因別分析'!AJ74</f>
        <v>0</v>
      </c>
      <c r="M42" s="142">
        <f>'報廢20大－原因別分析'!AJ75</f>
        <v>0</v>
      </c>
    </row>
    <row r="43" spans="1:14" ht="19.350000000000001" customHeight="1">
      <c r="A43" s="228" t="s">
        <v>305</v>
      </c>
      <c r="B43" s="144">
        <f>日別報廢率總表!J26</f>
        <v>0</v>
      </c>
      <c r="C43" s="140">
        <f>B43/($B$38*1000)</f>
        <v>0</v>
      </c>
      <c r="D43" s="709"/>
      <c r="E43" s="143" t="s">
        <v>305</v>
      </c>
      <c r="F43" s="141">
        <f>'超用20大－原因別分析'!AG74</f>
        <v>0</v>
      </c>
      <c r="G43" s="142">
        <f>'超用20大－原因別分析'!AG75</f>
        <v>0</v>
      </c>
      <c r="H43" s="141">
        <f>'超用20大－原因別分析'!AH74</f>
        <v>0</v>
      </c>
      <c r="I43" s="142">
        <f>'超用20大－原因別分析'!AH75</f>
        <v>0</v>
      </c>
      <c r="J43" s="141">
        <f>'超用20大－原因別分析'!AI74</f>
        <v>0</v>
      </c>
      <c r="K43" s="142">
        <f>'超用20大－原因別分析'!AI75</f>
        <v>0</v>
      </c>
      <c r="L43" s="141">
        <f>'超用20大－原因別分析'!AJ74</f>
        <v>0</v>
      </c>
      <c r="M43" s="142">
        <f>'超用20大－原因別分析'!AJ75</f>
        <v>0.9</v>
      </c>
    </row>
    <row r="44" spans="1:14" ht="15.75" customHeight="1">
      <c r="A44" s="224" t="s">
        <v>375</v>
      </c>
      <c r="B44" s="377" t="s">
        <v>380</v>
      </c>
      <c r="C44" s="223"/>
      <c r="D44" s="709"/>
      <c r="E44" s="706" t="s">
        <v>0</v>
      </c>
      <c r="F44" s="744">
        <v>5</v>
      </c>
      <c r="G44" s="745"/>
      <c r="H44" s="744">
        <v>6</v>
      </c>
      <c r="I44" s="745"/>
      <c r="J44" s="744">
        <v>7</v>
      </c>
      <c r="K44" s="745"/>
      <c r="L44" s="839"/>
      <c r="M44" s="840"/>
    </row>
    <row r="45" spans="1:14" ht="31.35" customHeight="1">
      <c r="A45" s="135" t="s">
        <v>377</v>
      </c>
      <c r="B45" s="377" t="s">
        <v>380</v>
      </c>
      <c r="C45" s="223"/>
      <c r="D45" s="709"/>
      <c r="E45" s="706"/>
      <c r="F45" s="841" t="s">
        <v>306</v>
      </c>
      <c r="G45" s="842"/>
      <c r="H45" s="841" t="s">
        <v>307</v>
      </c>
      <c r="I45" s="842"/>
      <c r="J45" s="841" t="s">
        <v>308</v>
      </c>
      <c r="K45" s="842"/>
      <c r="L45" s="843"/>
      <c r="M45" s="844"/>
    </row>
    <row r="46" spans="1:14" ht="15.75" customHeight="1">
      <c r="D46" s="709"/>
      <c r="E46" s="706"/>
      <c r="F46" s="154" t="s">
        <v>303</v>
      </c>
      <c r="G46" s="154" t="s">
        <v>76</v>
      </c>
      <c r="H46" s="154" t="s">
        <v>303</v>
      </c>
      <c r="I46" s="154" t="s">
        <v>76</v>
      </c>
      <c r="J46" s="154" t="s">
        <v>303</v>
      </c>
      <c r="K46" s="154" t="s">
        <v>76</v>
      </c>
      <c r="L46" s="154"/>
      <c r="M46" s="154"/>
    </row>
    <row r="47" spans="1:14" ht="19.350000000000001" customHeight="1">
      <c r="D47" s="709"/>
      <c r="E47" s="138" t="s">
        <v>304</v>
      </c>
      <c r="F47" s="141">
        <f>'報廢20大－原因別分析'!AK74</f>
        <v>0</v>
      </c>
      <c r="G47" s="142">
        <f>'報廢20大－原因別分析'!AK75</f>
        <v>0.1</v>
      </c>
      <c r="H47" s="141">
        <f>'報廢20大－原因別分析'!AL74</f>
        <v>0</v>
      </c>
      <c r="I47" s="142">
        <f>'報廢20大－原因別分析'!AL75</f>
        <v>0.1</v>
      </c>
      <c r="J47" s="141">
        <f>'報廢20大－原因別分析'!AM74</f>
        <v>0</v>
      </c>
      <c r="K47" s="142">
        <f>'報廢20大－原因別分析'!AM75</f>
        <v>0</v>
      </c>
      <c r="L47" s="141"/>
      <c r="M47" s="142"/>
    </row>
    <row r="48" spans="1:14" ht="19.350000000000001" customHeight="1">
      <c r="D48" s="709"/>
      <c r="E48" s="143" t="s">
        <v>305</v>
      </c>
      <c r="F48" s="141">
        <f>'超用20大－原因別分析'!AK74</f>
        <v>0</v>
      </c>
      <c r="G48" s="142">
        <f>'超用20大－原因別分析'!AK75</f>
        <v>0.05</v>
      </c>
      <c r="H48" s="141">
        <f>'超用20大－原因別分析'!AL74</f>
        <v>0</v>
      </c>
      <c r="I48" s="142">
        <f>'超用20大－原因別分析'!AL75</f>
        <v>0.05</v>
      </c>
      <c r="J48" s="141">
        <f>'超用20大－原因別分析'!AM74</f>
        <v>0</v>
      </c>
      <c r="K48" s="142">
        <f>'超用20大－原因別分析'!AM75</f>
        <v>0</v>
      </c>
      <c r="L48" s="141"/>
      <c r="M48" s="142"/>
    </row>
    <row r="49" spans="1:14" ht="15.75" customHeight="1">
      <c r="A49" s="225" t="s">
        <v>297</v>
      </c>
      <c r="B49" s="226">
        <f>'生產管理報表(週) '!B6</f>
        <v>36405.586840000004</v>
      </c>
      <c r="E49" s="845" t="s">
        <v>374</v>
      </c>
      <c r="F49" s="846"/>
      <c r="G49" s="846"/>
      <c r="H49" s="846"/>
      <c r="I49" s="846"/>
      <c r="J49" s="846"/>
      <c r="K49" s="846"/>
      <c r="L49" s="846"/>
      <c r="M49" s="846"/>
      <c r="N49" s="442"/>
    </row>
    <row r="50" spans="1:14" ht="15.75" customHeight="1">
      <c r="A50" s="847" t="s">
        <v>0</v>
      </c>
      <c r="B50" s="707" t="s">
        <v>298</v>
      </c>
      <c r="C50" s="707"/>
      <c r="D50" s="708"/>
      <c r="E50" s="706" t="s">
        <v>0</v>
      </c>
      <c r="F50" s="710">
        <v>1</v>
      </c>
      <c r="G50" s="710"/>
      <c r="H50" s="710">
        <v>2</v>
      </c>
      <c r="I50" s="710"/>
      <c r="J50" s="710">
        <v>3</v>
      </c>
      <c r="K50" s="710"/>
      <c r="L50" s="710">
        <v>4</v>
      </c>
      <c r="M50" s="710"/>
    </row>
    <row r="51" spans="1:14" ht="31.35" customHeight="1">
      <c r="A51" s="847"/>
      <c r="B51" s="707"/>
      <c r="C51" s="707"/>
      <c r="D51" s="709"/>
      <c r="E51" s="706"/>
      <c r="F51" s="702" t="s">
        <v>299</v>
      </c>
      <c r="G51" s="702"/>
      <c r="H51" s="702" t="s">
        <v>300</v>
      </c>
      <c r="I51" s="702"/>
      <c r="J51" s="702" t="s">
        <v>301</v>
      </c>
      <c r="K51" s="702"/>
      <c r="L51" s="702" t="s">
        <v>312</v>
      </c>
      <c r="M51" s="702"/>
    </row>
    <row r="52" spans="1:14" ht="15.75" customHeight="1">
      <c r="A52" s="847"/>
      <c r="B52" s="154" t="s">
        <v>303</v>
      </c>
      <c r="C52" s="154" t="s">
        <v>76</v>
      </c>
      <c r="D52" s="709"/>
      <c r="E52" s="706"/>
      <c r="F52" s="154" t="s">
        <v>303</v>
      </c>
      <c r="G52" s="154" t="s">
        <v>76</v>
      </c>
      <c r="H52" s="154" t="s">
        <v>303</v>
      </c>
      <c r="I52" s="154" t="s">
        <v>76</v>
      </c>
      <c r="J52" s="154" t="s">
        <v>303</v>
      </c>
      <c r="K52" s="154" t="s">
        <v>76</v>
      </c>
      <c r="L52" s="154" t="s">
        <v>303</v>
      </c>
      <c r="M52" s="154" t="s">
        <v>76</v>
      </c>
    </row>
    <row r="53" spans="1:14" ht="19.350000000000001" customHeight="1">
      <c r="A53" s="227" t="s">
        <v>304</v>
      </c>
      <c r="B53" s="139">
        <f>日別報廢率總表!I33</f>
        <v>0</v>
      </c>
      <c r="C53" s="229">
        <f>B53/($B$49*1000)</f>
        <v>0</v>
      </c>
      <c r="D53" s="709"/>
      <c r="E53" s="138" t="s">
        <v>304</v>
      </c>
      <c r="F53" s="141">
        <f>'報廢20大－原因別分析'!AG96</f>
        <v>0</v>
      </c>
      <c r="G53" s="142">
        <f>'報廢20大－原因別分析'!AG97</f>
        <v>0.6</v>
      </c>
      <c r="H53" s="141">
        <f>'報廢20大－原因別分析'!AH96</f>
        <v>0</v>
      </c>
      <c r="I53" s="142">
        <f>'報廢20大－原因別分析'!AH97</f>
        <v>0</v>
      </c>
      <c r="J53" s="141">
        <f>'報廢20大－原因別分析'!AI96</f>
        <v>0</v>
      </c>
      <c r="K53" s="142">
        <f>'報廢20大－原因別分析'!AI97</f>
        <v>0.2</v>
      </c>
      <c r="L53" s="141">
        <f>'報廢20大－原因別分析'!AJ96</f>
        <v>0</v>
      </c>
      <c r="M53" s="142">
        <f>'報廢20大－原因別分析'!AJ97</f>
        <v>0</v>
      </c>
    </row>
    <row r="54" spans="1:14" ht="19.350000000000001" customHeight="1">
      <c r="A54" s="228" t="s">
        <v>305</v>
      </c>
      <c r="B54" s="144">
        <f>日別報廢率總表!J33</f>
        <v>0</v>
      </c>
      <c r="C54" s="140">
        <f>B54/($B$49*1000)</f>
        <v>0</v>
      </c>
      <c r="D54" s="709"/>
      <c r="E54" s="143" t="s">
        <v>305</v>
      </c>
      <c r="F54" s="141">
        <f>'超用20大－原因別分析'!AG96</f>
        <v>0</v>
      </c>
      <c r="G54" s="142">
        <f>'超用20大－原因別分析'!AG97</f>
        <v>0</v>
      </c>
      <c r="H54" s="141">
        <f>'超用20大－原因別分析'!AH96</f>
        <v>0</v>
      </c>
      <c r="I54" s="142">
        <f>'超用20大－原因別分析'!AH97</f>
        <v>0</v>
      </c>
      <c r="J54" s="141">
        <f>'超用20大－原因別分析'!AI96</f>
        <v>0</v>
      </c>
      <c r="K54" s="142">
        <f>'超用20大－原因別分析'!AI86</f>
        <v>0</v>
      </c>
      <c r="L54" s="141">
        <f>'超用20大－原因別分析'!AJ96</f>
        <v>0</v>
      </c>
      <c r="M54" s="142">
        <f>'超用20大－原因別分析'!AJ97</f>
        <v>0.9</v>
      </c>
    </row>
    <row r="55" spans="1:14" ht="15.75" customHeight="1">
      <c r="A55" s="224" t="s">
        <v>375</v>
      </c>
      <c r="B55" s="377" t="s">
        <v>381</v>
      </c>
      <c r="C55" s="223"/>
      <c r="D55" s="709"/>
      <c r="E55" s="706" t="s">
        <v>0</v>
      </c>
      <c r="F55" s="744">
        <v>5</v>
      </c>
      <c r="G55" s="745"/>
      <c r="H55" s="744">
        <v>6</v>
      </c>
      <c r="I55" s="745"/>
      <c r="J55" s="744">
        <v>7</v>
      </c>
      <c r="K55" s="745"/>
      <c r="L55" s="839"/>
      <c r="M55" s="840"/>
    </row>
    <row r="56" spans="1:14" ht="31.35" customHeight="1">
      <c r="A56" s="135" t="s">
        <v>377</v>
      </c>
      <c r="B56" s="377" t="s">
        <v>381</v>
      </c>
      <c r="C56" s="223"/>
      <c r="D56" s="709"/>
      <c r="E56" s="706"/>
      <c r="F56" s="841" t="s">
        <v>306</v>
      </c>
      <c r="G56" s="842"/>
      <c r="H56" s="841" t="s">
        <v>307</v>
      </c>
      <c r="I56" s="842"/>
      <c r="J56" s="841" t="s">
        <v>308</v>
      </c>
      <c r="K56" s="842"/>
      <c r="L56" s="843"/>
      <c r="M56" s="844"/>
    </row>
    <row r="57" spans="1:14" ht="15.75" customHeight="1">
      <c r="D57" s="709"/>
      <c r="E57" s="706"/>
      <c r="F57" s="154" t="s">
        <v>303</v>
      </c>
      <c r="G57" s="154" t="s">
        <v>76</v>
      </c>
      <c r="H57" s="154" t="s">
        <v>303</v>
      </c>
      <c r="I57" s="154" t="s">
        <v>76</v>
      </c>
      <c r="J57" s="154" t="s">
        <v>303</v>
      </c>
      <c r="K57" s="154" t="s">
        <v>76</v>
      </c>
      <c r="L57" s="154"/>
      <c r="M57" s="154"/>
    </row>
    <row r="58" spans="1:14" ht="19.350000000000001" customHeight="1">
      <c r="D58" s="709"/>
      <c r="E58" s="138" t="s">
        <v>304</v>
      </c>
      <c r="F58" s="141">
        <f>'報廢20大－原因別分析'!AK96</f>
        <v>0</v>
      </c>
      <c r="G58" s="142">
        <f>'報廢20大－原因別分析'!AK97</f>
        <v>0.1</v>
      </c>
      <c r="H58" s="141">
        <f>'報廢20大－原因別分析'!AL96</f>
        <v>0</v>
      </c>
      <c r="I58" s="142">
        <f>'報廢20大－原因別分析'!AL97</f>
        <v>0.1</v>
      </c>
      <c r="J58" s="141">
        <f>'報廢20大－原因別分析'!AM96</f>
        <v>0</v>
      </c>
      <c r="K58" s="142">
        <f>'報廢20大－原因別分析'!AM97</f>
        <v>0</v>
      </c>
      <c r="L58" s="141"/>
      <c r="M58" s="142"/>
    </row>
    <row r="59" spans="1:14" ht="19.350000000000001" customHeight="1">
      <c r="D59" s="709"/>
      <c r="E59" s="143" t="s">
        <v>305</v>
      </c>
      <c r="F59" s="141">
        <f>'超用20大－原因別分析'!AK96</f>
        <v>0</v>
      </c>
      <c r="G59" s="142">
        <f>'超用20大－原因別分析'!AK97</f>
        <v>0.05</v>
      </c>
      <c r="H59" s="141">
        <f>'超用20大－原因別分析'!AL96</f>
        <v>0</v>
      </c>
      <c r="I59" s="142">
        <f>'超用20大－原因別分析'!AL97</f>
        <v>0.05</v>
      </c>
      <c r="J59" s="141">
        <f>'超用20大－原因別分析'!AM96</f>
        <v>0</v>
      </c>
      <c r="K59" s="142">
        <f>'超用20大－原因別分析'!AM97</f>
        <v>0</v>
      </c>
      <c r="L59" s="141"/>
      <c r="M59" s="142"/>
    </row>
    <row r="60" spans="1:14" ht="15.75" customHeight="1">
      <c r="A60" s="225" t="s">
        <v>297</v>
      </c>
      <c r="B60" s="226"/>
      <c r="E60" s="845" t="s">
        <v>374</v>
      </c>
      <c r="F60" s="846"/>
      <c r="G60" s="846"/>
      <c r="H60" s="846"/>
      <c r="I60" s="846"/>
      <c r="J60" s="846"/>
      <c r="K60" s="846"/>
      <c r="L60" s="846"/>
      <c r="M60" s="846"/>
      <c r="N60" s="442"/>
    </row>
    <row r="61" spans="1:14" ht="15.75" customHeight="1">
      <c r="A61" s="847" t="s">
        <v>0</v>
      </c>
      <c r="B61" s="707" t="s">
        <v>298</v>
      </c>
      <c r="C61" s="707"/>
      <c r="D61" s="708"/>
      <c r="E61" s="706" t="s">
        <v>0</v>
      </c>
      <c r="F61" s="710">
        <v>1</v>
      </c>
      <c r="G61" s="710"/>
      <c r="H61" s="710">
        <v>2</v>
      </c>
      <c r="I61" s="710"/>
      <c r="J61" s="710">
        <v>3</v>
      </c>
      <c r="K61" s="710"/>
      <c r="L61" s="710">
        <v>4</v>
      </c>
      <c r="M61" s="710"/>
    </row>
    <row r="62" spans="1:14" ht="31.35" customHeight="1">
      <c r="A62" s="847"/>
      <c r="B62" s="707"/>
      <c r="C62" s="707"/>
      <c r="D62" s="709"/>
      <c r="E62" s="706"/>
      <c r="F62" s="702" t="s">
        <v>299</v>
      </c>
      <c r="G62" s="702"/>
      <c r="H62" s="702" t="s">
        <v>300</v>
      </c>
      <c r="I62" s="702"/>
      <c r="J62" s="702" t="s">
        <v>301</v>
      </c>
      <c r="K62" s="702"/>
      <c r="L62" s="702" t="s">
        <v>312</v>
      </c>
      <c r="M62" s="702"/>
    </row>
    <row r="63" spans="1:14" ht="15.75" customHeight="1">
      <c r="A63" s="847"/>
      <c r="B63" s="154" t="s">
        <v>303</v>
      </c>
      <c r="C63" s="154" t="s">
        <v>76</v>
      </c>
      <c r="D63" s="709"/>
      <c r="E63" s="706"/>
      <c r="F63" s="154" t="s">
        <v>303</v>
      </c>
      <c r="G63" s="154" t="s">
        <v>76</v>
      </c>
      <c r="H63" s="154" t="s">
        <v>303</v>
      </c>
      <c r="I63" s="154" t="s">
        <v>76</v>
      </c>
      <c r="J63" s="154" t="s">
        <v>303</v>
      </c>
      <c r="K63" s="154" t="s">
        <v>76</v>
      </c>
      <c r="L63" s="154" t="s">
        <v>303</v>
      </c>
      <c r="M63" s="154" t="s">
        <v>76</v>
      </c>
    </row>
    <row r="64" spans="1:14" ht="19.350000000000001" customHeight="1">
      <c r="A64" s="227" t="s">
        <v>304</v>
      </c>
      <c r="B64" s="139">
        <f>日別報廢率總表!I40</f>
        <v>0</v>
      </c>
      <c r="C64" s="229" t="e">
        <f>B64/($B$60*1000)</f>
        <v>#DIV/0!</v>
      </c>
      <c r="D64" s="709"/>
      <c r="E64" s="138" t="s">
        <v>304</v>
      </c>
      <c r="F64" s="141">
        <f>'報廢20大－原因別分析'!AG107</f>
        <v>0</v>
      </c>
      <c r="G64" s="142">
        <f>'報廢20大－原因別分析'!AG108</f>
        <v>0</v>
      </c>
      <c r="H64" s="141">
        <f>'報廢20大－原因別分析'!AH107</f>
        <v>0</v>
      </c>
      <c r="I64" s="142">
        <f>'報廢20大－原因別分析'!AH108</f>
        <v>0</v>
      </c>
      <c r="J64" s="141">
        <f>'報廢20大－原因別分析'!AI107</f>
        <v>0</v>
      </c>
      <c r="K64" s="142">
        <f>'報廢20大－原因別分析'!AI108</f>
        <v>0</v>
      </c>
      <c r="L64" s="141">
        <f>'報廢20大－原因別分析'!AJ107</f>
        <v>0</v>
      </c>
      <c r="M64" s="142">
        <f>'報廢20大－原因別分析'!AJ108</f>
        <v>0</v>
      </c>
    </row>
    <row r="65" spans="1:13" ht="19.350000000000001" customHeight="1">
      <c r="A65" s="228" t="s">
        <v>305</v>
      </c>
      <c r="B65" s="144">
        <f>日別報廢率總表!J40</f>
        <v>0</v>
      </c>
      <c r="C65" s="140" t="e">
        <f>B65/($B$60*1000)</f>
        <v>#DIV/0!</v>
      </c>
      <c r="D65" s="709"/>
      <c r="E65" s="143" t="s">
        <v>305</v>
      </c>
      <c r="F65" s="141">
        <f>'超用20大－原因別分析'!AG107</f>
        <v>0</v>
      </c>
      <c r="G65" s="142">
        <f>'超用20大－原因別分析'!AG108</f>
        <v>0</v>
      </c>
      <c r="H65" s="141">
        <f>'超用20大－原因別分析'!AH107</f>
        <v>0</v>
      </c>
      <c r="I65" s="142">
        <f>'超用20大－原因別分析'!AH108</f>
        <v>0</v>
      </c>
      <c r="J65" s="141">
        <f>'超用20大－原因別分析'!AI107</f>
        <v>0</v>
      </c>
      <c r="K65" s="142">
        <f>'超用20大－原因別分析'!AI97</f>
        <v>0</v>
      </c>
      <c r="L65" s="141">
        <f>'超用20大－原因別分析'!AJ107</f>
        <v>0</v>
      </c>
      <c r="M65" s="142">
        <f>'超用20大－原因別分析'!AJ108</f>
        <v>0</v>
      </c>
    </row>
    <row r="66" spans="1:13" ht="15.75" customHeight="1">
      <c r="A66" s="224" t="s">
        <v>375</v>
      </c>
      <c r="B66" s="377"/>
      <c r="C66" s="223"/>
      <c r="D66" s="709"/>
      <c r="E66" s="706" t="s">
        <v>0</v>
      </c>
      <c r="F66" s="744">
        <v>5</v>
      </c>
      <c r="G66" s="745"/>
      <c r="H66" s="744">
        <v>6</v>
      </c>
      <c r="I66" s="745"/>
      <c r="J66" s="744">
        <v>7</v>
      </c>
      <c r="K66" s="745"/>
      <c r="L66" s="839"/>
      <c r="M66" s="840"/>
    </row>
    <row r="67" spans="1:13" ht="31.35" customHeight="1">
      <c r="A67" s="135" t="s">
        <v>377</v>
      </c>
      <c r="B67" s="377"/>
      <c r="C67" s="223"/>
      <c r="D67" s="709"/>
      <c r="E67" s="706"/>
      <c r="F67" s="841" t="s">
        <v>306</v>
      </c>
      <c r="G67" s="842"/>
      <c r="H67" s="841" t="s">
        <v>307</v>
      </c>
      <c r="I67" s="842"/>
      <c r="J67" s="841" t="s">
        <v>308</v>
      </c>
      <c r="K67" s="842"/>
      <c r="L67" s="843"/>
      <c r="M67" s="844"/>
    </row>
    <row r="68" spans="1:13" ht="15.75" customHeight="1">
      <c r="D68" s="709"/>
      <c r="E68" s="706"/>
      <c r="F68" s="154" t="s">
        <v>303</v>
      </c>
      <c r="G68" s="154" t="s">
        <v>76</v>
      </c>
      <c r="H68" s="154" t="s">
        <v>303</v>
      </c>
      <c r="I68" s="154" t="s">
        <v>76</v>
      </c>
      <c r="J68" s="154" t="s">
        <v>303</v>
      </c>
      <c r="K68" s="154" t="s">
        <v>76</v>
      </c>
      <c r="L68" s="154"/>
      <c r="M68" s="154"/>
    </row>
    <row r="69" spans="1:13" ht="19.350000000000001" customHeight="1">
      <c r="D69" s="709"/>
      <c r="E69" s="138" t="s">
        <v>304</v>
      </c>
      <c r="F69" s="141">
        <f>'報廢20大－原因別分析'!AK107</f>
        <v>0</v>
      </c>
      <c r="G69" s="142">
        <f>'報廢20大－原因別分析'!AK108</f>
        <v>0</v>
      </c>
      <c r="H69" s="141">
        <f>'報廢20大－原因別分析'!AL107</f>
        <v>0</v>
      </c>
      <c r="I69" s="142" t="e">
        <f>'報廢20大－原因別分析'!#REF!</f>
        <v>#REF!</v>
      </c>
      <c r="J69" s="141">
        <f>'報廢20大－原因別分析'!AM107</f>
        <v>0</v>
      </c>
      <c r="K69" s="142">
        <f>'報廢20大－原因別分析'!AM108</f>
        <v>0</v>
      </c>
      <c r="L69" s="141"/>
      <c r="M69" s="142"/>
    </row>
    <row r="70" spans="1:13" ht="19.350000000000001" customHeight="1">
      <c r="D70" s="709"/>
      <c r="E70" s="143" t="s">
        <v>305</v>
      </c>
      <c r="F70" s="141">
        <f>'超用20大－原因別分析'!AK107</f>
        <v>0</v>
      </c>
      <c r="G70" s="142">
        <f>'超用20大－原因別分析'!AK108</f>
        <v>0</v>
      </c>
      <c r="H70" s="141">
        <f>'超用20大－原因別分析'!AL107</f>
        <v>0</v>
      </c>
      <c r="I70" s="142">
        <f>'超用20大－原因別分析'!AL108</f>
        <v>0</v>
      </c>
      <c r="J70" s="141">
        <f>'超用20大－原因別分析'!AM107</f>
        <v>0</v>
      </c>
      <c r="K70" s="142">
        <f>'超用20大－原因別分析'!AM108</f>
        <v>0</v>
      </c>
      <c r="L70" s="141"/>
      <c r="M70" s="142"/>
    </row>
  </sheetData>
  <mergeCells count="134"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28">
    <tabColor rgb="FF92D050"/>
    <outlinePr summaryBelow="0" summaryRight="0"/>
  </sheetPr>
  <dimension ref="A1:BV170"/>
  <sheetViews>
    <sheetView view="pageBreakPreview" zoomScaleNormal="60" zoomScaleSheetLayoutView="100" workbookViewId="0">
      <selection activeCell="N31" sqref="A31:XFD32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80" t="s">
        <v>295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</row>
    <row r="2" spans="1:74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</row>
    <row r="3" spans="1:74" s="135" customFormat="1" ht="15.75" customHeight="1">
      <c r="A3" s="868" t="s">
        <v>382</v>
      </c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520"/>
      <c r="O3" s="520"/>
      <c r="P3" s="521"/>
      <c r="Q3" s="231"/>
      <c r="R3" s="231"/>
      <c r="S3" s="231"/>
      <c r="T3" s="231"/>
    </row>
    <row r="4" spans="1:74" s="136" customFormat="1" ht="15.75" customHeight="1">
      <c r="A4" s="869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  <c r="P4" s="522"/>
    </row>
    <row r="5" spans="1:74" s="135" customFormat="1" ht="15.75" customHeight="1">
      <c r="A5" s="742" t="s">
        <v>310</v>
      </c>
      <c r="B5" s="735">
        <v>1</v>
      </c>
      <c r="C5" s="736"/>
      <c r="D5" s="735">
        <v>2</v>
      </c>
      <c r="E5" s="736"/>
      <c r="F5" s="735">
        <v>3</v>
      </c>
      <c r="G5" s="736"/>
      <c r="H5" s="744">
        <v>4</v>
      </c>
      <c r="I5" s="745"/>
      <c r="J5" s="744">
        <v>5</v>
      </c>
      <c r="K5" s="745"/>
      <c r="L5" s="744">
        <v>6</v>
      </c>
      <c r="M5" s="745"/>
      <c r="N5" s="744">
        <v>7</v>
      </c>
      <c r="O5" s="745"/>
      <c r="P5" s="351">
        <v>8</v>
      </c>
      <c r="Q5" s="231"/>
      <c r="R5" s="231"/>
      <c r="S5" s="231"/>
      <c r="T5" s="231"/>
    </row>
    <row r="6" spans="1:74" s="135" customFormat="1" ht="15.75" customHeight="1">
      <c r="A6" s="743"/>
      <c r="B6" s="737" t="s">
        <v>299</v>
      </c>
      <c r="C6" s="738"/>
      <c r="D6" s="737" t="s">
        <v>311</v>
      </c>
      <c r="E6" s="738"/>
      <c r="F6" s="737" t="s">
        <v>301</v>
      </c>
      <c r="G6" s="738"/>
      <c r="H6" s="739" t="s">
        <v>312</v>
      </c>
      <c r="I6" s="740"/>
      <c r="J6" s="739" t="s">
        <v>306</v>
      </c>
      <c r="K6" s="740"/>
      <c r="L6" s="739" t="s">
        <v>307</v>
      </c>
      <c r="M6" s="740"/>
      <c r="N6" s="739" t="s">
        <v>308</v>
      </c>
      <c r="O6" s="740"/>
      <c r="P6" s="352" t="s">
        <v>313</v>
      </c>
      <c r="Q6" s="231"/>
      <c r="R6" s="231"/>
      <c r="S6" s="231"/>
      <c r="T6" s="231"/>
    </row>
    <row r="7" spans="1:74" s="135" customFormat="1" ht="15.75" customHeight="1">
      <c r="A7" s="523"/>
      <c r="B7" s="232"/>
      <c r="C7" s="233"/>
      <c r="P7" s="524"/>
      <c r="Q7" s="231"/>
      <c r="R7" s="231"/>
      <c r="S7" s="231"/>
      <c r="T7" s="231"/>
    </row>
    <row r="8" spans="1:74" s="235" customFormat="1" ht="15.75" customHeight="1">
      <c r="A8" s="744" t="s">
        <v>310</v>
      </c>
      <c r="B8" s="745"/>
      <c r="C8" s="234" t="s">
        <v>267</v>
      </c>
      <c r="D8" s="858" t="s">
        <v>268</v>
      </c>
      <c r="E8" s="733"/>
      <c r="F8" s="848"/>
      <c r="G8" s="859" t="s">
        <v>314</v>
      </c>
      <c r="H8" s="860"/>
      <c r="I8" s="861"/>
      <c r="J8" s="234" t="s">
        <v>315</v>
      </c>
      <c r="K8" s="234" t="s">
        <v>63</v>
      </c>
      <c r="L8" s="234" t="s">
        <v>316</v>
      </c>
      <c r="M8" s="234" t="s">
        <v>303</v>
      </c>
      <c r="N8" s="234" t="s">
        <v>317</v>
      </c>
      <c r="O8" s="862" t="s">
        <v>273</v>
      </c>
      <c r="P8" s="863"/>
    </row>
    <row r="9" spans="1:74" s="135" customFormat="1" ht="66" customHeight="1">
      <c r="A9" s="849">
        <v>1</v>
      </c>
      <c r="B9" s="852" t="s">
        <v>318</v>
      </c>
      <c r="C9" s="236">
        <v>1</v>
      </c>
      <c r="D9" s="237"/>
      <c r="E9" s="238"/>
      <c r="F9" s="238"/>
      <c r="G9" s="356"/>
      <c r="H9" s="304"/>
      <c r="I9" s="305"/>
      <c r="J9" s="236"/>
      <c r="K9" s="241"/>
      <c r="L9" s="236"/>
      <c r="M9" s="321">
        <f>L9*J9</f>
        <v>0</v>
      </c>
      <c r="N9" s="242"/>
      <c r="O9" s="762"/>
      <c r="P9" s="763"/>
      <c r="Q9" s="231"/>
      <c r="R9" s="384"/>
      <c r="S9" s="260"/>
      <c r="T9" s="231"/>
    </row>
    <row r="10" spans="1:74" s="135" customFormat="1" ht="50.1" customHeight="1">
      <c r="A10" s="850"/>
      <c r="B10" s="853"/>
      <c r="C10" s="236">
        <v>2</v>
      </c>
      <c r="D10" s="237"/>
      <c r="E10" s="238"/>
      <c r="F10" s="238"/>
      <c r="G10" s="356"/>
      <c r="H10" s="304"/>
      <c r="I10" s="305"/>
      <c r="J10" s="236"/>
      <c r="K10" s="241"/>
      <c r="L10" s="236"/>
      <c r="M10" s="321">
        <f t="shared" ref="M10:M13" si="0">L10*J10</f>
        <v>0</v>
      </c>
      <c r="N10" s="242"/>
      <c r="O10" s="864"/>
      <c r="P10" s="856"/>
      <c r="Q10" s="231"/>
      <c r="R10" s="385"/>
      <c r="S10" s="385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850"/>
      <c r="B11" s="853"/>
      <c r="C11" s="236">
        <v>3</v>
      </c>
      <c r="D11" s="237"/>
      <c r="E11" s="238"/>
      <c r="F11" s="238"/>
      <c r="G11" s="356"/>
      <c r="H11" s="304"/>
      <c r="I11" s="305"/>
      <c r="J11" s="236"/>
      <c r="K11" s="241"/>
      <c r="L11" s="236"/>
      <c r="M11" s="321">
        <f t="shared" si="0"/>
        <v>0</v>
      </c>
      <c r="N11" s="242"/>
      <c r="O11" s="865"/>
      <c r="P11" s="819"/>
      <c r="Q11" s="231"/>
      <c r="R11" s="384"/>
      <c r="S11" s="384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850"/>
      <c r="B12" s="853"/>
      <c r="C12" s="236">
        <v>4</v>
      </c>
      <c r="D12" s="237"/>
      <c r="E12" s="238"/>
      <c r="F12" s="238"/>
      <c r="G12" s="356"/>
      <c r="H12" s="304"/>
      <c r="I12" s="305"/>
      <c r="J12" s="236"/>
      <c r="K12" s="241"/>
      <c r="L12" s="236"/>
      <c r="M12" s="321">
        <f t="shared" si="0"/>
        <v>0</v>
      </c>
      <c r="N12" s="242"/>
      <c r="O12" s="865"/>
      <c r="P12" s="819"/>
      <c r="Q12" s="231"/>
      <c r="R12" s="385"/>
      <c r="S12" s="385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850"/>
      <c r="B13" s="853"/>
      <c r="C13" s="236">
        <v>5</v>
      </c>
      <c r="D13" s="243"/>
      <c r="E13" s="244"/>
      <c r="F13" s="244"/>
      <c r="G13" s="512"/>
      <c r="H13" s="304"/>
      <c r="I13" s="305"/>
      <c r="J13" s="246"/>
      <c r="K13" s="247"/>
      <c r="L13" s="246"/>
      <c r="M13" s="322">
        <f t="shared" si="0"/>
        <v>0</v>
      </c>
      <c r="N13" s="242"/>
      <c r="O13" s="865"/>
      <c r="P13" s="819"/>
      <c r="Q13" s="231"/>
      <c r="R13" s="384"/>
      <c r="S13" s="384"/>
      <c r="T13" s="231"/>
      <c r="U13" s="386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851"/>
      <c r="B14" s="854"/>
      <c r="C14" s="720"/>
      <c r="D14" s="721"/>
      <c r="E14" s="721"/>
      <c r="F14" s="721"/>
      <c r="G14" s="721"/>
      <c r="H14" s="721"/>
      <c r="I14" s="857"/>
      <c r="J14" s="248" t="s">
        <v>331</v>
      </c>
      <c r="K14" s="212">
        <f>M14/'生產管理報表 7-1 (週)'!$B$9</f>
        <v>0</v>
      </c>
      <c r="L14" s="248" t="s">
        <v>332</v>
      </c>
      <c r="M14" s="323">
        <f>SUM(M9:M13)</f>
        <v>0</v>
      </c>
      <c r="N14" s="808"/>
      <c r="O14" s="809"/>
      <c r="P14" s="866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Q15" s="231"/>
      <c r="R15" s="260"/>
      <c r="S15" s="260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44" t="s">
        <v>310</v>
      </c>
      <c r="B16" s="745"/>
      <c r="C16" s="251" t="s">
        <v>267</v>
      </c>
      <c r="D16" s="732" t="s">
        <v>268</v>
      </c>
      <c r="E16" s="733"/>
      <c r="F16" s="734"/>
      <c r="G16" s="732" t="s">
        <v>314</v>
      </c>
      <c r="H16" s="733"/>
      <c r="I16" s="734"/>
      <c r="J16" s="253" t="s">
        <v>315</v>
      </c>
      <c r="K16" s="253" t="s">
        <v>63</v>
      </c>
      <c r="L16" s="253" t="s">
        <v>316</v>
      </c>
      <c r="M16" s="253" t="s">
        <v>303</v>
      </c>
      <c r="N16" s="254" t="s">
        <v>317</v>
      </c>
      <c r="O16" s="811" t="s">
        <v>273</v>
      </c>
      <c r="P16" s="812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849">
        <v>2</v>
      </c>
      <c r="B17" s="852" t="s">
        <v>333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813"/>
      <c r="P17" s="814"/>
      <c r="Q17" s="231"/>
      <c r="R17" s="260"/>
      <c r="S17" s="260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850"/>
      <c r="B18" s="853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813"/>
      <c r="P18" s="814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850"/>
      <c r="B19" s="853"/>
      <c r="C19" s="255">
        <v>3</v>
      </c>
      <c r="D19" s="237"/>
      <c r="E19" s="238"/>
      <c r="F19" s="239"/>
      <c r="G19" s="237"/>
      <c r="H19" s="238"/>
      <c r="I19" s="267"/>
      <c r="J19" s="256"/>
      <c r="K19" s="257"/>
      <c r="L19" s="256"/>
      <c r="M19" s="258">
        <f t="shared" si="1"/>
        <v>0</v>
      </c>
      <c r="N19" s="259"/>
      <c r="O19" s="813"/>
      <c r="P19" s="814"/>
      <c r="Q19" s="231"/>
      <c r="R19" s="260"/>
      <c r="S19" s="260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850"/>
      <c r="B20" s="853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813"/>
      <c r="P20" s="814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850"/>
      <c r="B21" s="853"/>
      <c r="C21" s="261">
        <v>5</v>
      </c>
      <c r="D21" s="243"/>
      <c r="E21" s="244"/>
      <c r="F21" s="245"/>
      <c r="G21" s="237"/>
      <c r="H21" s="238"/>
      <c r="I21" s="239"/>
      <c r="J21" s="262"/>
      <c r="K21" s="263"/>
      <c r="L21" s="262"/>
      <c r="M21" s="264">
        <f t="shared" si="1"/>
        <v>0</v>
      </c>
      <c r="N21" s="265"/>
      <c r="O21" s="813"/>
      <c r="P21" s="814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851"/>
      <c r="B22" s="854"/>
      <c r="C22" s="720"/>
      <c r="D22" s="721"/>
      <c r="E22" s="721"/>
      <c r="F22" s="721"/>
      <c r="G22" s="721"/>
      <c r="H22" s="721"/>
      <c r="I22" s="857"/>
      <c r="J22" s="248" t="s">
        <v>331</v>
      </c>
      <c r="K22" s="212">
        <f>M22/'生產管理報表 7-1 (週)'!$B$9</f>
        <v>0</v>
      </c>
      <c r="L22" s="248" t="s">
        <v>332</v>
      </c>
      <c r="M22" s="249">
        <f>SUM(M17:M21)</f>
        <v>0</v>
      </c>
      <c r="N22" s="815"/>
      <c r="O22" s="816"/>
      <c r="P22" s="817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44" t="s">
        <v>310</v>
      </c>
      <c r="B24" s="745"/>
      <c r="C24" s="251" t="s">
        <v>267</v>
      </c>
      <c r="D24" s="732" t="s">
        <v>268</v>
      </c>
      <c r="E24" s="733"/>
      <c r="F24" s="734"/>
      <c r="G24" s="732" t="s">
        <v>314</v>
      </c>
      <c r="H24" s="733"/>
      <c r="I24" s="848"/>
      <c r="J24" s="252" t="s">
        <v>315</v>
      </c>
      <c r="K24" s="253" t="s">
        <v>63</v>
      </c>
      <c r="L24" s="253" t="s">
        <v>316</v>
      </c>
      <c r="M24" s="253" t="s">
        <v>303</v>
      </c>
      <c r="N24" s="254" t="s">
        <v>317</v>
      </c>
      <c r="O24" s="823" t="s">
        <v>273</v>
      </c>
      <c r="P24" s="824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849">
        <v>3</v>
      </c>
      <c r="B25" s="852" t="s">
        <v>334</v>
      </c>
      <c r="C25" s="255">
        <v>1</v>
      </c>
      <c r="D25" s="237"/>
      <c r="E25" s="238"/>
      <c r="F25" s="239"/>
      <c r="G25" s="245"/>
      <c r="H25" s="244"/>
      <c r="I25" s="245"/>
      <c r="J25" s="256"/>
      <c r="K25" s="257"/>
      <c r="L25" s="256"/>
      <c r="M25" s="324">
        <f t="shared" ref="M25:M29" si="2">L25*J25</f>
        <v>0</v>
      </c>
      <c r="N25" s="269"/>
      <c r="O25" s="855"/>
      <c r="P25" s="856"/>
      <c r="Q25" s="231"/>
      <c r="R25" s="386"/>
      <c r="S25" s="386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850"/>
      <c r="B26" s="853"/>
      <c r="C26" s="255">
        <v>2</v>
      </c>
      <c r="D26" s="237"/>
      <c r="E26" s="238"/>
      <c r="F26" s="239"/>
      <c r="G26" s="245"/>
      <c r="H26" s="244"/>
      <c r="I26" s="245"/>
      <c r="J26" s="256"/>
      <c r="K26" s="257"/>
      <c r="L26" s="256"/>
      <c r="M26" s="324">
        <f t="shared" si="2"/>
        <v>0</v>
      </c>
      <c r="N26" s="269"/>
      <c r="O26" s="818"/>
      <c r="P26" s="819"/>
      <c r="Q26" s="231"/>
      <c r="R26" s="386"/>
      <c r="S26" s="392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850"/>
      <c r="B27" s="853"/>
      <c r="C27" s="255">
        <v>3</v>
      </c>
      <c r="D27" s="237"/>
      <c r="E27" s="238"/>
      <c r="F27" s="239"/>
      <c r="G27" s="245"/>
      <c r="H27" s="244"/>
      <c r="I27" s="245"/>
      <c r="J27" s="256"/>
      <c r="K27" s="257"/>
      <c r="L27" s="256"/>
      <c r="M27" s="324">
        <f t="shared" si="2"/>
        <v>0</v>
      </c>
      <c r="N27" s="269"/>
      <c r="O27" s="818"/>
      <c r="P27" s="819"/>
      <c r="Q27" s="386"/>
      <c r="R27" s="386"/>
      <c r="S27" s="392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850"/>
      <c r="B28" s="853"/>
      <c r="C28" s="255">
        <v>4</v>
      </c>
      <c r="D28" s="237"/>
      <c r="E28" s="238"/>
      <c r="F28" s="239"/>
      <c r="G28" s="374"/>
      <c r="H28" s="358"/>
      <c r="I28" s="374"/>
      <c r="J28" s="268"/>
      <c r="K28" s="257"/>
      <c r="L28" s="256"/>
      <c r="M28" s="324">
        <f t="shared" si="2"/>
        <v>0</v>
      </c>
      <c r="N28" s="269"/>
      <c r="O28" s="818"/>
      <c r="P28" s="819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850"/>
      <c r="B29" s="853"/>
      <c r="C29" s="261">
        <v>5</v>
      </c>
      <c r="D29" s="243"/>
      <c r="E29" s="244"/>
      <c r="F29" s="245"/>
      <c r="G29" s="270"/>
      <c r="H29" s="244"/>
      <c r="I29" s="270"/>
      <c r="J29" s="271"/>
      <c r="K29" s="263"/>
      <c r="L29" s="272"/>
      <c r="M29" s="324">
        <f t="shared" si="2"/>
        <v>0</v>
      </c>
      <c r="N29" s="269"/>
      <c r="O29" s="818"/>
      <c r="P29" s="819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851"/>
      <c r="B30" s="854"/>
      <c r="C30" s="720"/>
      <c r="D30" s="721"/>
      <c r="E30" s="721"/>
      <c r="F30" s="721"/>
      <c r="G30" s="721"/>
      <c r="H30" s="721"/>
      <c r="I30" s="857"/>
      <c r="J30" s="273" t="s">
        <v>331</v>
      </c>
      <c r="K30" s="212">
        <f>M30/'生產管理報表 7-1 (週)'!$B$9</f>
        <v>0</v>
      </c>
      <c r="L30" s="273" t="s">
        <v>332</v>
      </c>
      <c r="M30" s="325">
        <f>SUM(M25:M29)</f>
        <v>0</v>
      </c>
      <c r="N30" s="820"/>
      <c r="O30" s="821"/>
      <c r="P30" s="822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67" t="s">
        <v>383</v>
      </c>
      <c r="B31" s="867"/>
      <c r="C31" s="867"/>
      <c r="D31" s="867"/>
      <c r="E31" s="867"/>
      <c r="F31" s="867"/>
      <c r="G31" s="867"/>
      <c r="H31" s="867"/>
      <c r="I31" s="867"/>
      <c r="J31" s="867"/>
      <c r="K31" s="867"/>
      <c r="L31" s="867"/>
      <c r="M31" s="867"/>
      <c r="Q31" s="231"/>
      <c r="R31" s="231"/>
      <c r="S31" s="231"/>
      <c r="T31" s="231"/>
    </row>
    <row r="32" spans="1:35" s="136" customFormat="1" ht="15.75" customHeight="1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</row>
    <row r="33" spans="1:74" s="135" customFormat="1" ht="15.75" customHeight="1">
      <c r="A33" s="742" t="s">
        <v>310</v>
      </c>
      <c r="B33" s="735">
        <v>1</v>
      </c>
      <c r="C33" s="736"/>
      <c r="D33" s="735">
        <v>2</v>
      </c>
      <c r="E33" s="736"/>
      <c r="F33" s="735">
        <v>3</v>
      </c>
      <c r="G33" s="736"/>
      <c r="H33" s="744">
        <v>4</v>
      </c>
      <c r="I33" s="745"/>
      <c r="J33" s="744">
        <v>5</v>
      </c>
      <c r="K33" s="745"/>
      <c r="L33" s="744">
        <v>6</v>
      </c>
      <c r="M33" s="745"/>
      <c r="N33" s="744">
        <v>7</v>
      </c>
      <c r="O33" s="745"/>
      <c r="P33" s="351">
        <v>8</v>
      </c>
      <c r="Q33" s="231"/>
      <c r="R33" s="231"/>
      <c r="S33" s="231"/>
      <c r="T33" s="231"/>
    </row>
    <row r="34" spans="1:74" s="135" customFormat="1" ht="15.75" customHeight="1">
      <c r="A34" s="743"/>
      <c r="B34" s="737" t="s">
        <v>299</v>
      </c>
      <c r="C34" s="738"/>
      <c r="D34" s="737" t="s">
        <v>311</v>
      </c>
      <c r="E34" s="738"/>
      <c r="F34" s="737" t="s">
        <v>301</v>
      </c>
      <c r="G34" s="738"/>
      <c r="H34" s="739" t="s">
        <v>312</v>
      </c>
      <c r="I34" s="740"/>
      <c r="J34" s="739" t="s">
        <v>306</v>
      </c>
      <c r="K34" s="740"/>
      <c r="L34" s="739" t="s">
        <v>307</v>
      </c>
      <c r="M34" s="740"/>
      <c r="N34" s="739" t="s">
        <v>308</v>
      </c>
      <c r="O34" s="740"/>
      <c r="P34" s="352" t="s">
        <v>313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44" t="s">
        <v>310</v>
      </c>
      <c r="B36" s="745"/>
      <c r="C36" s="234" t="s">
        <v>267</v>
      </c>
      <c r="D36" s="858" t="s">
        <v>268</v>
      </c>
      <c r="E36" s="733"/>
      <c r="F36" s="848"/>
      <c r="G36" s="859" t="s">
        <v>314</v>
      </c>
      <c r="H36" s="860"/>
      <c r="I36" s="861"/>
      <c r="J36" s="234" t="s">
        <v>315</v>
      </c>
      <c r="K36" s="234" t="s">
        <v>63</v>
      </c>
      <c r="L36" s="234" t="s">
        <v>316</v>
      </c>
      <c r="M36" s="234" t="s">
        <v>303</v>
      </c>
      <c r="N36" s="234" t="s">
        <v>317</v>
      </c>
      <c r="O36" s="862" t="s">
        <v>273</v>
      </c>
      <c r="P36" s="863"/>
    </row>
    <row r="37" spans="1:74" s="135" customFormat="1" ht="71.25" customHeight="1">
      <c r="A37" s="849">
        <v>1</v>
      </c>
      <c r="B37" s="852" t="s">
        <v>318</v>
      </c>
      <c r="C37" s="236">
        <v>1</v>
      </c>
      <c r="D37" s="237"/>
      <c r="E37" s="238"/>
      <c r="F37" s="238"/>
      <c r="G37" s="356"/>
      <c r="H37" s="304"/>
      <c r="I37" s="305"/>
      <c r="J37" s="236"/>
      <c r="K37" s="241"/>
      <c r="L37" s="236"/>
      <c r="M37" s="321">
        <f>L37*J37</f>
        <v>0</v>
      </c>
      <c r="N37" s="242"/>
      <c r="O37" s="762"/>
      <c r="P37" s="763"/>
      <c r="Q37" s="231"/>
      <c r="R37" s="384"/>
      <c r="S37" s="260"/>
      <c r="T37" s="231"/>
    </row>
    <row r="38" spans="1:74" s="135" customFormat="1" ht="50.1" customHeight="1">
      <c r="A38" s="850"/>
      <c r="B38" s="853"/>
      <c r="C38" s="236">
        <v>2</v>
      </c>
      <c r="D38" s="237"/>
      <c r="E38" s="238"/>
      <c r="F38" s="238"/>
      <c r="G38" s="356"/>
      <c r="H38" s="304"/>
      <c r="I38" s="305"/>
      <c r="J38" s="236"/>
      <c r="K38" s="241"/>
      <c r="L38" s="236"/>
      <c r="M38" s="321">
        <f t="shared" ref="M38:M41" si="3">L38*J38</f>
        <v>0</v>
      </c>
      <c r="N38" s="242"/>
      <c r="O38" s="864"/>
      <c r="P38" s="856"/>
      <c r="Q38" s="231"/>
      <c r="R38" s="385"/>
      <c r="S38" s="385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850"/>
      <c r="B39" s="853"/>
      <c r="C39" s="236">
        <v>3</v>
      </c>
      <c r="D39" s="237"/>
      <c r="E39" s="238"/>
      <c r="F39" s="238"/>
      <c r="G39" s="356"/>
      <c r="H39" s="304"/>
      <c r="I39" s="305"/>
      <c r="J39" s="236"/>
      <c r="K39" s="241"/>
      <c r="L39" s="236"/>
      <c r="M39" s="321">
        <f t="shared" si="3"/>
        <v>0</v>
      </c>
      <c r="N39" s="242"/>
      <c r="O39" s="865"/>
      <c r="P39" s="819"/>
      <c r="Q39" s="231"/>
      <c r="R39" s="384"/>
      <c r="S39" s="384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850"/>
      <c r="B40" s="853"/>
      <c r="C40" s="236">
        <v>4</v>
      </c>
      <c r="D40" s="237"/>
      <c r="E40" s="238"/>
      <c r="F40" s="238"/>
      <c r="G40" s="356"/>
      <c r="H40" s="304"/>
      <c r="I40" s="305"/>
      <c r="J40" s="236"/>
      <c r="K40" s="241"/>
      <c r="L40" s="236"/>
      <c r="M40" s="321">
        <f t="shared" si="3"/>
        <v>0</v>
      </c>
      <c r="N40" s="242"/>
      <c r="O40" s="865"/>
      <c r="P40" s="819"/>
      <c r="Q40" s="231"/>
      <c r="R40" s="385"/>
      <c r="S40" s="385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850"/>
      <c r="B41" s="853"/>
      <c r="C41" s="236">
        <v>5</v>
      </c>
      <c r="D41" s="243"/>
      <c r="E41" s="244"/>
      <c r="F41" s="244"/>
      <c r="G41" s="356"/>
      <c r="H41" s="304"/>
      <c r="I41" s="305"/>
      <c r="J41" s="246"/>
      <c r="K41" s="247"/>
      <c r="L41" s="246"/>
      <c r="M41" s="322">
        <f t="shared" si="3"/>
        <v>0</v>
      </c>
      <c r="N41" s="242"/>
      <c r="O41" s="865"/>
      <c r="P41" s="819"/>
      <c r="Q41" s="231"/>
      <c r="R41" s="384"/>
      <c r="S41" s="384"/>
      <c r="T41" s="231"/>
      <c r="U41" s="386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851"/>
      <c r="B42" s="854"/>
      <c r="C42" s="720"/>
      <c r="D42" s="721"/>
      <c r="E42" s="721"/>
      <c r="F42" s="721"/>
      <c r="G42" s="721"/>
      <c r="H42" s="721"/>
      <c r="I42" s="857"/>
      <c r="J42" s="248" t="s">
        <v>331</v>
      </c>
      <c r="K42" s="212" t="e">
        <f>M42/'生產管理報表 7-1 (週)'!$B$20</f>
        <v>#DIV/0!</v>
      </c>
      <c r="L42" s="248" t="s">
        <v>332</v>
      </c>
      <c r="M42" s="323">
        <f>SUM(M37:M41)</f>
        <v>0</v>
      </c>
      <c r="N42" s="808"/>
      <c r="O42" s="809"/>
      <c r="P42" s="810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0"/>
      <c r="O43" s="250"/>
      <c r="P43" s="250"/>
      <c r="Q43" s="231"/>
      <c r="R43" s="260"/>
      <c r="S43" s="260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44" t="s">
        <v>310</v>
      </c>
      <c r="B44" s="745"/>
      <c r="C44" s="251" t="s">
        <v>267</v>
      </c>
      <c r="D44" s="732" t="s">
        <v>268</v>
      </c>
      <c r="E44" s="733"/>
      <c r="F44" s="734"/>
      <c r="G44" s="732" t="s">
        <v>314</v>
      </c>
      <c r="H44" s="733"/>
      <c r="I44" s="734"/>
      <c r="J44" s="253" t="s">
        <v>315</v>
      </c>
      <c r="K44" s="253" t="s">
        <v>63</v>
      </c>
      <c r="L44" s="253" t="s">
        <v>316</v>
      </c>
      <c r="M44" s="253" t="s">
        <v>303</v>
      </c>
      <c r="N44" s="254" t="s">
        <v>317</v>
      </c>
      <c r="O44" s="811" t="s">
        <v>273</v>
      </c>
      <c r="P44" s="812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849">
        <v>2</v>
      </c>
      <c r="B45" s="852" t="s">
        <v>333</v>
      </c>
      <c r="C45" s="255">
        <v>1</v>
      </c>
      <c r="D45" s="237"/>
      <c r="E45" s="238"/>
      <c r="F45" s="239"/>
      <c r="G45" s="237"/>
      <c r="H45" s="238"/>
      <c r="I45" s="239"/>
      <c r="J45" s="256"/>
      <c r="K45" s="257"/>
      <c r="L45" s="256"/>
      <c r="M45" s="258">
        <f t="shared" ref="M45:M49" si="4">L45*J45</f>
        <v>0</v>
      </c>
      <c r="N45" s="259"/>
      <c r="O45" s="813"/>
      <c r="P45" s="814"/>
      <c r="Q45" s="231"/>
      <c r="R45" s="260"/>
      <c r="S45" s="260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850"/>
      <c r="B46" s="853"/>
      <c r="C46" s="255">
        <v>2</v>
      </c>
      <c r="D46" s="237"/>
      <c r="E46" s="238"/>
      <c r="F46" s="239"/>
      <c r="G46" s="237"/>
      <c r="H46" s="238"/>
      <c r="I46" s="239"/>
      <c r="J46" s="256"/>
      <c r="K46" s="257"/>
      <c r="L46" s="256"/>
      <c r="M46" s="258">
        <f t="shared" si="4"/>
        <v>0</v>
      </c>
      <c r="N46" s="259"/>
      <c r="O46" s="813"/>
      <c r="P46" s="814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850"/>
      <c r="B47" s="853"/>
      <c r="C47" s="255">
        <v>3</v>
      </c>
      <c r="D47" s="237"/>
      <c r="E47" s="238"/>
      <c r="F47" s="239"/>
      <c r="G47" s="237"/>
      <c r="H47" s="238"/>
      <c r="I47" s="267"/>
      <c r="J47" s="256"/>
      <c r="K47" s="257"/>
      <c r="L47" s="256"/>
      <c r="M47" s="258">
        <f t="shared" si="4"/>
        <v>0</v>
      </c>
      <c r="N47" s="259"/>
      <c r="O47" s="813"/>
      <c r="P47" s="814"/>
      <c r="Q47" s="231"/>
      <c r="R47" s="260"/>
      <c r="S47" s="260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850"/>
      <c r="B48" s="853"/>
      <c r="C48" s="255">
        <v>4</v>
      </c>
      <c r="D48" s="237"/>
      <c r="E48" s="238"/>
      <c r="F48" s="239"/>
      <c r="G48" s="237"/>
      <c r="H48" s="238"/>
      <c r="I48" s="239"/>
      <c r="J48" s="256"/>
      <c r="K48" s="257"/>
      <c r="L48" s="256"/>
      <c r="M48" s="258">
        <f t="shared" si="4"/>
        <v>0</v>
      </c>
      <c r="N48" s="259"/>
      <c r="O48" s="813"/>
      <c r="P48" s="814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850"/>
      <c r="B49" s="853"/>
      <c r="C49" s="261">
        <v>5</v>
      </c>
      <c r="D49" s="243"/>
      <c r="E49" s="244"/>
      <c r="F49" s="245"/>
      <c r="G49" s="237"/>
      <c r="H49" s="238"/>
      <c r="I49" s="239"/>
      <c r="J49" s="262"/>
      <c r="K49" s="263"/>
      <c r="L49" s="262"/>
      <c r="M49" s="264">
        <f t="shared" si="4"/>
        <v>0</v>
      </c>
      <c r="N49" s="265"/>
      <c r="O49" s="813"/>
      <c r="P49" s="814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851"/>
      <c r="B50" s="854"/>
      <c r="C50" s="720"/>
      <c r="D50" s="721"/>
      <c r="E50" s="721"/>
      <c r="F50" s="721"/>
      <c r="G50" s="721"/>
      <c r="H50" s="721"/>
      <c r="I50" s="857"/>
      <c r="J50" s="248" t="s">
        <v>331</v>
      </c>
      <c r="K50" s="212" t="e">
        <f>M50/'生產管理報表 7-1 (週)'!$B$20</f>
        <v>#DIV/0!</v>
      </c>
      <c r="L50" s="248" t="s">
        <v>332</v>
      </c>
      <c r="M50" s="249">
        <f>SUM(M45:M49)</f>
        <v>0</v>
      </c>
      <c r="N50" s="815"/>
      <c r="O50" s="816"/>
      <c r="P50" s="817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6"/>
      <c r="O51" s="266"/>
      <c r="P51" s="266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44" t="s">
        <v>310</v>
      </c>
      <c r="B52" s="745"/>
      <c r="C52" s="251" t="s">
        <v>267</v>
      </c>
      <c r="D52" s="732" t="s">
        <v>268</v>
      </c>
      <c r="E52" s="733"/>
      <c r="F52" s="734"/>
      <c r="G52" s="732" t="s">
        <v>314</v>
      </c>
      <c r="H52" s="733"/>
      <c r="I52" s="848"/>
      <c r="J52" s="252" t="s">
        <v>315</v>
      </c>
      <c r="K52" s="253" t="s">
        <v>63</v>
      </c>
      <c r="L52" s="253" t="s">
        <v>316</v>
      </c>
      <c r="M52" s="253" t="s">
        <v>303</v>
      </c>
      <c r="N52" s="254" t="s">
        <v>317</v>
      </c>
      <c r="O52" s="823" t="s">
        <v>273</v>
      </c>
      <c r="P52" s="824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849">
        <v>3</v>
      </c>
      <c r="B53" s="852" t="s">
        <v>334</v>
      </c>
      <c r="C53" s="255">
        <v>1</v>
      </c>
      <c r="D53" s="237"/>
      <c r="E53" s="238"/>
      <c r="F53" s="239"/>
      <c r="G53" s="245"/>
      <c r="H53" s="244"/>
      <c r="I53" s="245"/>
      <c r="J53" s="256"/>
      <c r="K53" s="257"/>
      <c r="L53" s="256"/>
      <c r="M53" s="324">
        <f t="shared" ref="M53:M57" si="5">L53*J53</f>
        <v>0</v>
      </c>
      <c r="N53" s="269"/>
      <c r="O53" s="855"/>
      <c r="P53" s="856"/>
      <c r="Q53" s="231"/>
      <c r="R53" s="386"/>
      <c r="S53" s="386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850"/>
      <c r="B54" s="853"/>
      <c r="C54" s="255">
        <v>2</v>
      </c>
      <c r="D54" s="237"/>
      <c r="E54" s="238"/>
      <c r="F54" s="239"/>
      <c r="G54" s="245"/>
      <c r="H54" s="244"/>
      <c r="I54" s="245"/>
      <c r="J54" s="256"/>
      <c r="K54" s="257"/>
      <c r="L54" s="256"/>
      <c r="M54" s="324">
        <f t="shared" si="5"/>
        <v>0</v>
      </c>
      <c r="N54" s="269"/>
      <c r="O54" s="818"/>
      <c r="P54" s="819"/>
      <c r="Q54" s="231"/>
      <c r="R54" s="386"/>
      <c r="S54" s="392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850"/>
      <c r="B55" s="853"/>
      <c r="C55" s="255">
        <v>3</v>
      </c>
      <c r="D55" s="237"/>
      <c r="E55" s="238"/>
      <c r="F55" s="239"/>
      <c r="G55" s="245"/>
      <c r="H55" s="244"/>
      <c r="I55" s="245"/>
      <c r="J55" s="256"/>
      <c r="K55" s="257"/>
      <c r="L55" s="256"/>
      <c r="M55" s="324">
        <f t="shared" si="5"/>
        <v>0</v>
      </c>
      <c r="N55" s="269"/>
      <c r="O55" s="818"/>
      <c r="P55" s="819"/>
      <c r="Q55" s="386"/>
      <c r="R55" s="386"/>
      <c r="S55" s="392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850"/>
      <c r="B56" s="853"/>
      <c r="C56" s="255">
        <v>4</v>
      </c>
      <c r="D56" s="237"/>
      <c r="E56" s="238"/>
      <c r="F56" s="239"/>
      <c r="G56" s="374"/>
      <c r="H56" s="358"/>
      <c r="I56" s="374"/>
      <c r="J56" s="268"/>
      <c r="K56" s="257"/>
      <c r="L56" s="256"/>
      <c r="M56" s="324">
        <f t="shared" si="5"/>
        <v>0</v>
      </c>
      <c r="N56" s="269"/>
      <c r="O56" s="818"/>
      <c r="P56" s="819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850"/>
      <c r="B57" s="853"/>
      <c r="C57" s="261">
        <v>5</v>
      </c>
      <c r="D57" s="243"/>
      <c r="E57" s="244"/>
      <c r="F57" s="245"/>
      <c r="G57" s="270"/>
      <c r="H57" s="244"/>
      <c r="I57" s="270"/>
      <c r="J57" s="271"/>
      <c r="K57" s="263"/>
      <c r="L57" s="272"/>
      <c r="M57" s="324">
        <f t="shared" si="5"/>
        <v>0</v>
      </c>
      <c r="N57" s="269"/>
      <c r="O57" s="818"/>
      <c r="P57" s="819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851"/>
      <c r="B58" s="854"/>
      <c r="C58" s="720"/>
      <c r="D58" s="721"/>
      <c r="E58" s="721"/>
      <c r="F58" s="721"/>
      <c r="G58" s="721"/>
      <c r="H58" s="721"/>
      <c r="I58" s="857"/>
      <c r="J58" s="273" t="s">
        <v>331</v>
      </c>
      <c r="K58" s="212" t="e">
        <f>M58/'生產管理報表 7-1 (週)'!$B$20</f>
        <v>#DIV/0!</v>
      </c>
      <c r="L58" s="273" t="s">
        <v>332</v>
      </c>
      <c r="M58" s="325">
        <f>SUM(M53:M57)</f>
        <v>0</v>
      </c>
      <c r="N58" s="820"/>
      <c r="O58" s="821"/>
      <c r="P58" s="822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67" t="s">
        <v>384</v>
      </c>
      <c r="B59" s="867"/>
      <c r="C59" s="867"/>
      <c r="D59" s="867"/>
      <c r="E59" s="867"/>
      <c r="F59" s="867"/>
      <c r="G59" s="867"/>
      <c r="H59" s="867"/>
      <c r="I59" s="867"/>
      <c r="J59" s="867"/>
      <c r="K59" s="867"/>
      <c r="L59" s="867"/>
      <c r="M59" s="867"/>
      <c r="Q59" s="231"/>
      <c r="R59" s="231"/>
      <c r="S59" s="231"/>
      <c r="T59" s="231"/>
    </row>
    <row r="60" spans="1:35" s="136" customFormat="1" ht="15.75" customHeight="1">
      <c r="A60" s="741"/>
      <c r="B60" s="741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</row>
    <row r="61" spans="1:35" s="135" customFormat="1" ht="15.75" customHeight="1">
      <c r="A61" s="742" t="s">
        <v>310</v>
      </c>
      <c r="B61" s="735">
        <v>1</v>
      </c>
      <c r="C61" s="736"/>
      <c r="D61" s="735">
        <v>2</v>
      </c>
      <c r="E61" s="736"/>
      <c r="F61" s="735">
        <v>3</v>
      </c>
      <c r="G61" s="736"/>
      <c r="H61" s="744">
        <v>4</v>
      </c>
      <c r="I61" s="745"/>
      <c r="J61" s="744">
        <v>5</v>
      </c>
      <c r="K61" s="745"/>
      <c r="L61" s="744">
        <v>6</v>
      </c>
      <c r="M61" s="745"/>
      <c r="N61" s="744">
        <v>7</v>
      </c>
      <c r="O61" s="745"/>
      <c r="P61" s="351">
        <v>8</v>
      </c>
      <c r="Q61" s="231"/>
      <c r="R61" s="231"/>
      <c r="S61" s="231"/>
      <c r="T61" s="231"/>
    </row>
    <row r="62" spans="1:35" s="135" customFormat="1" ht="15.75" customHeight="1">
      <c r="A62" s="743"/>
      <c r="B62" s="737" t="s">
        <v>299</v>
      </c>
      <c r="C62" s="738"/>
      <c r="D62" s="737" t="s">
        <v>311</v>
      </c>
      <c r="E62" s="738"/>
      <c r="F62" s="737" t="s">
        <v>301</v>
      </c>
      <c r="G62" s="738"/>
      <c r="H62" s="739" t="s">
        <v>312</v>
      </c>
      <c r="I62" s="740"/>
      <c r="J62" s="739" t="s">
        <v>306</v>
      </c>
      <c r="K62" s="740"/>
      <c r="L62" s="739" t="s">
        <v>307</v>
      </c>
      <c r="M62" s="740"/>
      <c r="N62" s="739" t="s">
        <v>308</v>
      </c>
      <c r="O62" s="740"/>
      <c r="P62" s="352" t="s">
        <v>313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44" t="s">
        <v>310</v>
      </c>
      <c r="B64" s="745"/>
      <c r="C64" s="234" t="s">
        <v>267</v>
      </c>
      <c r="D64" s="858" t="s">
        <v>268</v>
      </c>
      <c r="E64" s="733"/>
      <c r="F64" s="848"/>
      <c r="G64" s="859" t="s">
        <v>314</v>
      </c>
      <c r="H64" s="860"/>
      <c r="I64" s="861"/>
      <c r="J64" s="234" t="s">
        <v>315</v>
      </c>
      <c r="K64" s="234" t="s">
        <v>63</v>
      </c>
      <c r="L64" s="234" t="s">
        <v>316</v>
      </c>
      <c r="M64" s="234" t="s">
        <v>303</v>
      </c>
      <c r="N64" s="234" t="s">
        <v>317</v>
      </c>
      <c r="O64" s="862" t="s">
        <v>273</v>
      </c>
      <c r="P64" s="863"/>
    </row>
    <row r="65" spans="1:74" s="135" customFormat="1" ht="65.099999999999994" customHeight="1">
      <c r="A65" s="849">
        <v>1</v>
      </c>
      <c r="B65" s="852" t="s">
        <v>318</v>
      </c>
      <c r="C65" s="236">
        <v>1</v>
      </c>
      <c r="D65" s="237"/>
      <c r="E65" s="238"/>
      <c r="F65" s="238"/>
      <c r="G65" s="356"/>
      <c r="H65" s="304"/>
      <c r="I65" s="305"/>
      <c r="J65" s="236"/>
      <c r="K65" s="241"/>
      <c r="L65" s="236"/>
      <c r="M65" s="321">
        <f>L65*J65</f>
        <v>0</v>
      </c>
      <c r="N65" s="242"/>
      <c r="O65" s="762"/>
      <c r="P65" s="763"/>
      <c r="Q65" s="231"/>
      <c r="R65" s="384"/>
      <c r="S65" s="260"/>
      <c r="T65" s="231"/>
    </row>
    <row r="66" spans="1:74" s="135" customFormat="1" ht="65.099999999999994" customHeight="1">
      <c r="A66" s="850"/>
      <c r="B66" s="853"/>
      <c r="C66" s="236">
        <v>2</v>
      </c>
      <c r="D66" s="237"/>
      <c r="E66" s="238"/>
      <c r="F66" s="238"/>
      <c r="G66" s="356"/>
      <c r="H66" s="304"/>
      <c r="I66" s="305"/>
      <c r="J66" s="236"/>
      <c r="K66" s="241"/>
      <c r="L66" s="236"/>
      <c r="M66" s="321">
        <f t="shared" ref="M66:M69" si="6">L66*J66</f>
        <v>0</v>
      </c>
      <c r="N66" s="242"/>
      <c r="O66" s="864"/>
      <c r="P66" s="856"/>
      <c r="Q66" s="231"/>
      <c r="R66" s="385"/>
      <c r="S66" s="385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65.099999999999994" customHeight="1">
      <c r="A67" s="850"/>
      <c r="B67" s="853"/>
      <c r="C67" s="236">
        <v>3</v>
      </c>
      <c r="D67" s="237"/>
      <c r="E67" s="238"/>
      <c r="F67" s="238"/>
      <c r="G67" s="356"/>
      <c r="H67" s="304"/>
      <c r="I67" s="305"/>
      <c r="J67" s="236"/>
      <c r="K67" s="241"/>
      <c r="L67" s="236"/>
      <c r="M67" s="321">
        <f t="shared" si="6"/>
        <v>0</v>
      </c>
      <c r="N67" s="242"/>
      <c r="O67" s="865"/>
      <c r="P67" s="819"/>
      <c r="Q67" s="231"/>
      <c r="R67" s="384"/>
      <c r="S67" s="384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65.099999999999994" customHeight="1">
      <c r="A68" s="850"/>
      <c r="B68" s="853"/>
      <c r="C68" s="236">
        <v>4</v>
      </c>
      <c r="D68" s="237"/>
      <c r="E68" s="238"/>
      <c r="F68" s="238"/>
      <c r="G68" s="356"/>
      <c r="H68" s="304"/>
      <c r="I68" s="305"/>
      <c r="J68" s="236"/>
      <c r="K68" s="241"/>
      <c r="L68" s="236"/>
      <c r="M68" s="321">
        <f t="shared" si="6"/>
        <v>0</v>
      </c>
      <c r="N68" s="242"/>
      <c r="O68" s="865"/>
      <c r="P68" s="819"/>
      <c r="Q68" s="231"/>
      <c r="R68" s="385"/>
      <c r="S68" s="385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65.099999999999994" customHeight="1" thickBot="1">
      <c r="A69" s="850"/>
      <c r="B69" s="853"/>
      <c r="C69" s="236">
        <v>5</v>
      </c>
      <c r="D69" s="243"/>
      <c r="E69" s="244"/>
      <c r="F69" s="244"/>
      <c r="G69" s="356"/>
      <c r="H69" s="304"/>
      <c r="I69" s="305"/>
      <c r="J69" s="246"/>
      <c r="K69" s="247"/>
      <c r="L69" s="246"/>
      <c r="M69" s="322">
        <f t="shared" si="6"/>
        <v>0</v>
      </c>
      <c r="N69" s="242"/>
      <c r="O69" s="865"/>
      <c r="P69" s="819"/>
      <c r="Q69" s="231"/>
      <c r="R69" s="384"/>
      <c r="S69" s="384"/>
      <c r="T69" s="231"/>
      <c r="U69" s="386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851"/>
      <c r="B70" s="854"/>
      <c r="C70" s="720"/>
      <c r="D70" s="721"/>
      <c r="E70" s="721"/>
      <c r="F70" s="721"/>
      <c r="G70" s="721"/>
      <c r="H70" s="721"/>
      <c r="I70" s="857"/>
      <c r="J70" s="248" t="s">
        <v>331</v>
      </c>
      <c r="K70" s="212" t="e">
        <f>M70/'生產管理報表 7-1 (週)'!$B$31</f>
        <v>#DIV/0!</v>
      </c>
      <c r="L70" s="248" t="s">
        <v>332</v>
      </c>
      <c r="M70" s="323">
        <f>SUM(M65:M69)</f>
        <v>0</v>
      </c>
      <c r="N70" s="808"/>
      <c r="O70" s="809"/>
      <c r="P70" s="810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0"/>
      <c r="O71" s="250"/>
      <c r="P71" s="250"/>
      <c r="Q71" s="231"/>
      <c r="R71" s="260"/>
      <c r="S71" s="260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44" t="s">
        <v>310</v>
      </c>
      <c r="B72" s="745"/>
      <c r="C72" s="251" t="s">
        <v>267</v>
      </c>
      <c r="D72" s="732" t="s">
        <v>268</v>
      </c>
      <c r="E72" s="733"/>
      <c r="F72" s="734"/>
      <c r="G72" s="732" t="s">
        <v>314</v>
      </c>
      <c r="H72" s="733"/>
      <c r="I72" s="734"/>
      <c r="J72" s="253" t="s">
        <v>315</v>
      </c>
      <c r="K72" s="253" t="s">
        <v>63</v>
      </c>
      <c r="L72" s="253" t="s">
        <v>316</v>
      </c>
      <c r="M72" s="253" t="s">
        <v>303</v>
      </c>
      <c r="N72" s="254" t="s">
        <v>317</v>
      </c>
      <c r="O72" s="811" t="s">
        <v>273</v>
      </c>
      <c r="P72" s="812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849">
        <v>2</v>
      </c>
      <c r="B73" s="852" t="s">
        <v>333</v>
      </c>
      <c r="C73" s="255">
        <v>1</v>
      </c>
      <c r="D73" s="237"/>
      <c r="E73" s="238"/>
      <c r="F73" s="239"/>
      <c r="G73" s="237"/>
      <c r="H73" s="238"/>
      <c r="I73" s="239"/>
      <c r="J73" s="256"/>
      <c r="K73" s="257"/>
      <c r="L73" s="256"/>
      <c r="M73" s="258">
        <f t="shared" ref="M73:M77" si="7">L73*J73</f>
        <v>0</v>
      </c>
      <c r="N73" s="259"/>
      <c r="O73" s="813"/>
      <c r="P73" s="814"/>
      <c r="Q73" s="231"/>
      <c r="R73" s="260"/>
      <c r="S73" s="260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850"/>
      <c r="B74" s="853"/>
      <c r="C74" s="255">
        <v>2</v>
      </c>
      <c r="D74" s="237"/>
      <c r="E74" s="238"/>
      <c r="F74" s="239"/>
      <c r="G74" s="237"/>
      <c r="H74" s="238"/>
      <c r="I74" s="239"/>
      <c r="J74" s="256"/>
      <c r="K74" s="257"/>
      <c r="L74" s="256"/>
      <c r="M74" s="258">
        <f t="shared" si="7"/>
        <v>0</v>
      </c>
      <c r="N74" s="259"/>
      <c r="O74" s="813"/>
      <c r="P74" s="814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850"/>
      <c r="B75" s="853"/>
      <c r="C75" s="255">
        <v>3</v>
      </c>
      <c r="D75" s="237"/>
      <c r="E75" s="238"/>
      <c r="F75" s="239"/>
      <c r="G75" s="237"/>
      <c r="H75" s="238"/>
      <c r="I75" s="267"/>
      <c r="J75" s="256"/>
      <c r="K75" s="257"/>
      <c r="L75" s="256"/>
      <c r="M75" s="258">
        <f t="shared" si="7"/>
        <v>0</v>
      </c>
      <c r="N75" s="259"/>
      <c r="O75" s="813"/>
      <c r="P75" s="814"/>
      <c r="Q75" s="231"/>
      <c r="R75" s="260"/>
      <c r="S75" s="260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850"/>
      <c r="B76" s="853"/>
      <c r="C76" s="255">
        <v>4</v>
      </c>
      <c r="D76" s="237"/>
      <c r="E76" s="238"/>
      <c r="F76" s="239"/>
      <c r="G76" s="237"/>
      <c r="H76" s="238"/>
      <c r="I76" s="239"/>
      <c r="J76" s="256"/>
      <c r="K76" s="257"/>
      <c r="L76" s="256"/>
      <c r="M76" s="258">
        <f t="shared" si="7"/>
        <v>0</v>
      </c>
      <c r="N76" s="259"/>
      <c r="O76" s="813"/>
      <c r="P76" s="814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850"/>
      <c r="B77" s="853"/>
      <c r="C77" s="261">
        <v>5</v>
      </c>
      <c r="D77" s="243"/>
      <c r="E77" s="244"/>
      <c r="F77" s="245"/>
      <c r="G77" s="237"/>
      <c r="H77" s="238"/>
      <c r="I77" s="239"/>
      <c r="J77" s="262"/>
      <c r="K77" s="263"/>
      <c r="L77" s="262"/>
      <c r="M77" s="264">
        <f t="shared" si="7"/>
        <v>0</v>
      </c>
      <c r="N77" s="265"/>
      <c r="O77" s="813"/>
      <c r="P77" s="814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851"/>
      <c r="B78" s="854"/>
      <c r="C78" s="720"/>
      <c r="D78" s="721"/>
      <c r="E78" s="721"/>
      <c r="F78" s="721"/>
      <c r="G78" s="721"/>
      <c r="H78" s="721"/>
      <c r="I78" s="857"/>
      <c r="J78" s="248" t="s">
        <v>331</v>
      </c>
      <c r="K78" s="212" t="e">
        <f>M78/'生產管理報表 7-1 (週)'!$B$31</f>
        <v>#DIV/0!</v>
      </c>
      <c r="L78" s="248" t="s">
        <v>332</v>
      </c>
      <c r="M78" s="249">
        <f>SUM(M73:M77)</f>
        <v>0</v>
      </c>
      <c r="N78" s="815"/>
      <c r="O78" s="816"/>
      <c r="P78" s="817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6"/>
      <c r="O79" s="266"/>
      <c r="P79" s="266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44" t="s">
        <v>310</v>
      </c>
      <c r="B80" s="745"/>
      <c r="C80" s="251" t="s">
        <v>267</v>
      </c>
      <c r="D80" s="732" t="s">
        <v>268</v>
      </c>
      <c r="E80" s="733"/>
      <c r="F80" s="734"/>
      <c r="G80" s="732" t="s">
        <v>314</v>
      </c>
      <c r="H80" s="733"/>
      <c r="I80" s="848"/>
      <c r="J80" s="252" t="s">
        <v>315</v>
      </c>
      <c r="K80" s="253" t="s">
        <v>63</v>
      </c>
      <c r="L80" s="253" t="s">
        <v>316</v>
      </c>
      <c r="M80" s="253" t="s">
        <v>303</v>
      </c>
      <c r="N80" s="254" t="s">
        <v>317</v>
      </c>
      <c r="O80" s="823" t="s">
        <v>273</v>
      </c>
      <c r="P80" s="824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849">
        <v>3</v>
      </c>
      <c r="B81" s="852" t="s">
        <v>334</v>
      </c>
      <c r="C81" s="255">
        <v>1</v>
      </c>
      <c r="D81" s="237"/>
      <c r="E81" s="238"/>
      <c r="F81" s="239"/>
      <c r="G81" s="245"/>
      <c r="H81" s="244"/>
      <c r="I81" s="245"/>
      <c r="J81" s="256"/>
      <c r="K81" s="257"/>
      <c r="L81" s="256"/>
      <c r="M81" s="324">
        <f t="shared" ref="M81:M85" si="8">L81*J81</f>
        <v>0</v>
      </c>
      <c r="N81" s="269"/>
      <c r="O81" s="855"/>
      <c r="P81" s="856"/>
      <c r="Q81" s="231"/>
      <c r="R81" s="386"/>
      <c r="S81" s="386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850"/>
      <c r="B82" s="853"/>
      <c r="C82" s="255">
        <v>2</v>
      </c>
      <c r="D82" s="237"/>
      <c r="E82" s="238"/>
      <c r="F82" s="239"/>
      <c r="G82" s="245"/>
      <c r="H82" s="244"/>
      <c r="I82" s="245"/>
      <c r="J82" s="256"/>
      <c r="K82" s="257"/>
      <c r="L82" s="256"/>
      <c r="M82" s="324">
        <f t="shared" si="8"/>
        <v>0</v>
      </c>
      <c r="N82" s="269"/>
      <c r="O82" s="818"/>
      <c r="P82" s="819"/>
      <c r="Q82" s="231"/>
      <c r="R82" s="386"/>
      <c r="S82" s="392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850"/>
      <c r="B83" s="853"/>
      <c r="C83" s="255">
        <v>3</v>
      </c>
      <c r="D83" s="237"/>
      <c r="E83" s="238"/>
      <c r="F83" s="239"/>
      <c r="G83" s="245"/>
      <c r="H83" s="244"/>
      <c r="I83" s="245"/>
      <c r="J83" s="256"/>
      <c r="K83" s="257"/>
      <c r="L83" s="256"/>
      <c r="M83" s="324">
        <f t="shared" si="8"/>
        <v>0</v>
      </c>
      <c r="N83" s="269"/>
      <c r="O83" s="818"/>
      <c r="P83" s="819"/>
      <c r="Q83" s="386"/>
      <c r="R83" s="386"/>
      <c r="S83" s="392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850"/>
      <c r="B84" s="853"/>
      <c r="C84" s="255">
        <v>4</v>
      </c>
      <c r="D84" s="237"/>
      <c r="E84" s="238"/>
      <c r="F84" s="239"/>
      <c r="G84" s="374"/>
      <c r="H84" s="358"/>
      <c r="I84" s="374"/>
      <c r="J84" s="268"/>
      <c r="K84" s="257"/>
      <c r="L84" s="256"/>
      <c r="M84" s="324">
        <f t="shared" si="8"/>
        <v>0</v>
      </c>
      <c r="N84" s="269"/>
      <c r="O84" s="818"/>
      <c r="P84" s="819"/>
      <c r="Q84" s="231"/>
      <c r="R84" s="386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850"/>
      <c r="B85" s="853"/>
      <c r="C85" s="261">
        <v>5</v>
      </c>
      <c r="D85" s="243"/>
      <c r="E85" s="244"/>
      <c r="F85" s="245"/>
      <c r="G85" s="270"/>
      <c r="H85" s="244"/>
      <c r="I85" s="270"/>
      <c r="J85" s="271"/>
      <c r="K85" s="263"/>
      <c r="L85" s="272"/>
      <c r="M85" s="324">
        <f t="shared" si="8"/>
        <v>0</v>
      </c>
      <c r="N85" s="269"/>
      <c r="O85" s="818"/>
      <c r="P85" s="819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851"/>
      <c r="B86" s="854"/>
      <c r="C86" s="720"/>
      <c r="D86" s="721"/>
      <c r="E86" s="721"/>
      <c r="F86" s="721"/>
      <c r="G86" s="721"/>
      <c r="H86" s="721"/>
      <c r="I86" s="857"/>
      <c r="J86" s="273" t="s">
        <v>331</v>
      </c>
      <c r="K86" s="212" t="e">
        <f>M86/'生產管理報表 7-1 (週)'!$B$31</f>
        <v>#DIV/0!</v>
      </c>
      <c r="L86" s="273" t="s">
        <v>332</v>
      </c>
      <c r="M86" s="325">
        <f>SUM(M81:M85)</f>
        <v>0</v>
      </c>
      <c r="N86" s="820"/>
      <c r="O86" s="821"/>
      <c r="P86" s="822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67" t="s">
        <v>385</v>
      </c>
      <c r="B87" s="867"/>
      <c r="C87" s="867"/>
      <c r="D87" s="867"/>
      <c r="E87" s="867"/>
      <c r="F87" s="867"/>
      <c r="G87" s="867"/>
      <c r="H87" s="867"/>
      <c r="I87" s="867"/>
      <c r="J87" s="867"/>
      <c r="K87" s="867"/>
      <c r="L87" s="867"/>
      <c r="M87" s="867"/>
      <c r="Q87" s="231"/>
      <c r="R87" s="231"/>
      <c r="S87" s="231"/>
      <c r="T87" s="231"/>
    </row>
    <row r="88" spans="1:74" s="136" customFormat="1" ht="15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</row>
    <row r="89" spans="1:74" s="135" customFormat="1" ht="15.75" customHeight="1">
      <c r="A89" s="742" t="s">
        <v>310</v>
      </c>
      <c r="B89" s="735">
        <v>1</v>
      </c>
      <c r="C89" s="736"/>
      <c r="D89" s="735">
        <v>2</v>
      </c>
      <c r="E89" s="736"/>
      <c r="F89" s="735">
        <v>3</v>
      </c>
      <c r="G89" s="736"/>
      <c r="H89" s="744">
        <v>4</v>
      </c>
      <c r="I89" s="745"/>
      <c r="J89" s="744">
        <v>5</v>
      </c>
      <c r="K89" s="745"/>
      <c r="L89" s="744">
        <v>6</v>
      </c>
      <c r="M89" s="745"/>
      <c r="N89" s="744">
        <v>7</v>
      </c>
      <c r="O89" s="745"/>
      <c r="P89" s="351">
        <v>8</v>
      </c>
      <c r="Q89" s="231"/>
      <c r="R89" s="231"/>
      <c r="S89" s="231"/>
      <c r="T89" s="231"/>
    </row>
    <row r="90" spans="1:74" s="135" customFormat="1" ht="15.75" customHeight="1">
      <c r="A90" s="743"/>
      <c r="B90" s="737" t="s">
        <v>299</v>
      </c>
      <c r="C90" s="738"/>
      <c r="D90" s="737" t="s">
        <v>311</v>
      </c>
      <c r="E90" s="738"/>
      <c r="F90" s="737" t="s">
        <v>301</v>
      </c>
      <c r="G90" s="738"/>
      <c r="H90" s="739" t="s">
        <v>312</v>
      </c>
      <c r="I90" s="740"/>
      <c r="J90" s="739" t="s">
        <v>306</v>
      </c>
      <c r="K90" s="740"/>
      <c r="L90" s="739" t="s">
        <v>307</v>
      </c>
      <c r="M90" s="740"/>
      <c r="N90" s="739" t="s">
        <v>308</v>
      </c>
      <c r="O90" s="740"/>
      <c r="P90" s="352" t="s">
        <v>313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44" t="s">
        <v>310</v>
      </c>
      <c r="B92" s="745"/>
      <c r="C92" s="234" t="s">
        <v>267</v>
      </c>
      <c r="D92" s="858" t="s">
        <v>268</v>
      </c>
      <c r="E92" s="733"/>
      <c r="F92" s="848"/>
      <c r="G92" s="859" t="s">
        <v>314</v>
      </c>
      <c r="H92" s="860"/>
      <c r="I92" s="861"/>
      <c r="J92" s="234" t="s">
        <v>315</v>
      </c>
      <c r="K92" s="234" t="s">
        <v>63</v>
      </c>
      <c r="L92" s="234" t="s">
        <v>316</v>
      </c>
      <c r="M92" s="234" t="s">
        <v>303</v>
      </c>
      <c r="N92" s="234" t="s">
        <v>317</v>
      </c>
      <c r="O92" s="862" t="s">
        <v>273</v>
      </c>
      <c r="P92" s="863"/>
    </row>
    <row r="93" spans="1:74" s="135" customFormat="1" ht="69.95" customHeight="1">
      <c r="A93" s="849">
        <v>1</v>
      </c>
      <c r="B93" s="852" t="s">
        <v>318</v>
      </c>
      <c r="C93" s="236">
        <v>1</v>
      </c>
      <c r="D93" s="237"/>
      <c r="E93" s="238"/>
      <c r="F93" s="238"/>
      <c r="G93" s="356"/>
      <c r="H93" s="304"/>
      <c r="I93" s="305"/>
      <c r="J93" s="236"/>
      <c r="K93" s="241"/>
      <c r="L93" s="236"/>
      <c r="M93" s="321">
        <f>L93*J93</f>
        <v>0</v>
      </c>
      <c r="N93" s="242"/>
      <c r="O93" s="762"/>
      <c r="P93" s="763"/>
      <c r="Q93" s="231"/>
      <c r="R93" s="384"/>
      <c r="S93" s="260"/>
      <c r="T93" s="231"/>
    </row>
    <row r="94" spans="1:74" s="135" customFormat="1" ht="69.95" customHeight="1">
      <c r="A94" s="850"/>
      <c r="B94" s="853"/>
      <c r="C94" s="236">
        <v>2</v>
      </c>
      <c r="D94" s="237"/>
      <c r="E94" s="238"/>
      <c r="F94" s="238"/>
      <c r="G94" s="356"/>
      <c r="H94" s="304"/>
      <c r="I94" s="305"/>
      <c r="J94" s="236"/>
      <c r="K94" s="241"/>
      <c r="L94" s="236"/>
      <c r="M94" s="321">
        <f t="shared" ref="M94:M97" si="9">L94*J94</f>
        <v>0</v>
      </c>
      <c r="N94" s="242"/>
      <c r="O94" s="864"/>
      <c r="P94" s="856"/>
      <c r="Q94" s="231"/>
      <c r="R94" s="385"/>
      <c r="S94" s="385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69.95" customHeight="1">
      <c r="A95" s="850"/>
      <c r="B95" s="853"/>
      <c r="C95" s="236">
        <v>3</v>
      </c>
      <c r="D95" s="237"/>
      <c r="E95" s="238"/>
      <c r="F95" s="238"/>
      <c r="G95" s="356"/>
      <c r="H95" s="304"/>
      <c r="I95" s="305"/>
      <c r="J95" s="236"/>
      <c r="K95" s="241"/>
      <c r="L95" s="236"/>
      <c r="M95" s="321">
        <f t="shared" si="9"/>
        <v>0</v>
      </c>
      <c r="N95" s="242"/>
      <c r="O95" s="865"/>
      <c r="P95" s="819"/>
      <c r="Q95" s="231"/>
      <c r="R95" s="384"/>
      <c r="S95" s="384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69.95" customHeight="1">
      <c r="A96" s="850"/>
      <c r="B96" s="853"/>
      <c r="C96" s="236">
        <v>4</v>
      </c>
      <c r="D96" s="237"/>
      <c r="E96" s="238"/>
      <c r="F96" s="238"/>
      <c r="G96" s="356"/>
      <c r="H96" s="304"/>
      <c r="I96" s="305"/>
      <c r="J96" s="236"/>
      <c r="K96" s="241"/>
      <c r="L96" s="236"/>
      <c r="M96" s="321">
        <f t="shared" si="9"/>
        <v>0</v>
      </c>
      <c r="N96" s="242"/>
      <c r="O96" s="865"/>
      <c r="P96" s="819"/>
      <c r="Q96" s="231"/>
      <c r="R96" s="385"/>
      <c r="S96" s="385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69.95" customHeight="1" thickBot="1">
      <c r="A97" s="850"/>
      <c r="B97" s="853"/>
      <c r="C97" s="236">
        <v>5</v>
      </c>
      <c r="D97" s="243"/>
      <c r="E97" s="244"/>
      <c r="F97" s="244"/>
      <c r="G97" s="356"/>
      <c r="H97" s="304"/>
      <c r="I97" s="305"/>
      <c r="J97" s="246"/>
      <c r="K97" s="247"/>
      <c r="L97" s="246"/>
      <c r="M97" s="322">
        <f t="shared" si="9"/>
        <v>0</v>
      </c>
      <c r="N97" s="242"/>
      <c r="O97" s="865"/>
      <c r="P97" s="819"/>
      <c r="Q97" s="231"/>
      <c r="R97" s="384"/>
      <c r="S97" s="384"/>
      <c r="T97" s="231"/>
      <c r="U97" s="386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851"/>
      <c r="B98" s="854"/>
      <c r="C98" s="720"/>
      <c r="D98" s="721"/>
      <c r="E98" s="721"/>
      <c r="F98" s="721"/>
      <c r="G98" s="721"/>
      <c r="H98" s="721"/>
      <c r="I98" s="857"/>
      <c r="J98" s="248" t="s">
        <v>331</v>
      </c>
      <c r="K98" s="212" t="e">
        <f>M98/'生產管理報表 7-1 (週)'!$B$42</f>
        <v>#DIV/0!</v>
      </c>
      <c r="L98" s="248" t="s">
        <v>332</v>
      </c>
      <c r="M98" s="323">
        <f>SUM(M93:M97)</f>
        <v>0</v>
      </c>
      <c r="N98" s="808"/>
      <c r="O98" s="809"/>
      <c r="P98" s="810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0"/>
      <c r="O99" s="250"/>
      <c r="P99" s="250"/>
      <c r="Q99" s="231"/>
      <c r="R99" s="260"/>
      <c r="S99" s="260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44" t="s">
        <v>310</v>
      </c>
      <c r="B100" s="745"/>
      <c r="C100" s="251" t="s">
        <v>267</v>
      </c>
      <c r="D100" s="732" t="s">
        <v>268</v>
      </c>
      <c r="E100" s="733"/>
      <c r="F100" s="734"/>
      <c r="G100" s="732" t="s">
        <v>314</v>
      </c>
      <c r="H100" s="733"/>
      <c r="I100" s="734"/>
      <c r="J100" s="253" t="s">
        <v>315</v>
      </c>
      <c r="K100" s="253" t="s">
        <v>63</v>
      </c>
      <c r="L100" s="253" t="s">
        <v>316</v>
      </c>
      <c r="M100" s="253" t="s">
        <v>303</v>
      </c>
      <c r="N100" s="254" t="s">
        <v>317</v>
      </c>
      <c r="O100" s="811" t="s">
        <v>273</v>
      </c>
      <c r="P100" s="812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849">
        <v>2</v>
      </c>
      <c r="B101" s="852" t="s">
        <v>333</v>
      </c>
      <c r="C101" s="255">
        <v>1</v>
      </c>
      <c r="D101" s="237"/>
      <c r="E101" s="238"/>
      <c r="F101" s="239"/>
      <c r="G101" s="237"/>
      <c r="H101" s="238"/>
      <c r="I101" s="239"/>
      <c r="J101" s="256"/>
      <c r="K101" s="257"/>
      <c r="L101" s="256"/>
      <c r="M101" s="258">
        <f t="shared" ref="M101:M105" si="10">L101*J101</f>
        <v>0</v>
      </c>
      <c r="N101" s="259"/>
      <c r="O101" s="813"/>
      <c r="P101" s="814"/>
      <c r="Q101" s="231"/>
      <c r="R101" s="260"/>
      <c r="S101" s="260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850"/>
      <c r="B102" s="853"/>
      <c r="C102" s="255">
        <v>2</v>
      </c>
      <c r="D102" s="237"/>
      <c r="E102" s="238"/>
      <c r="F102" s="239"/>
      <c r="G102" s="237"/>
      <c r="H102" s="238"/>
      <c r="I102" s="239"/>
      <c r="J102" s="256"/>
      <c r="K102" s="257"/>
      <c r="L102" s="256"/>
      <c r="M102" s="258">
        <f t="shared" si="10"/>
        <v>0</v>
      </c>
      <c r="N102" s="259"/>
      <c r="O102" s="813"/>
      <c r="P102" s="814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850"/>
      <c r="B103" s="853"/>
      <c r="C103" s="255">
        <v>3</v>
      </c>
      <c r="D103" s="237"/>
      <c r="E103" s="238"/>
      <c r="F103" s="239"/>
      <c r="G103" s="237"/>
      <c r="H103" s="238"/>
      <c r="I103" s="267"/>
      <c r="J103" s="256"/>
      <c r="K103" s="257"/>
      <c r="L103" s="256"/>
      <c r="M103" s="258">
        <f t="shared" si="10"/>
        <v>0</v>
      </c>
      <c r="N103" s="259"/>
      <c r="O103" s="813"/>
      <c r="P103" s="814"/>
      <c r="Q103" s="231"/>
      <c r="R103" s="260"/>
      <c r="S103" s="260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850"/>
      <c r="B104" s="853"/>
      <c r="C104" s="255">
        <v>4</v>
      </c>
      <c r="D104" s="237"/>
      <c r="E104" s="238"/>
      <c r="F104" s="239"/>
      <c r="G104" s="237"/>
      <c r="H104" s="238"/>
      <c r="I104" s="239"/>
      <c r="J104" s="256"/>
      <c r="K104" s="257"/>
      <c r="L104" s="256"/>
      <c r="M104" s="258">
        <f t="shared" si="10"/>
        <v>0</v>
      </c>
      <c r="N104" s="259"/>
      <c r="O104" s="813"/>
      <c r="P104" s="814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850"/>
      <c r="B105" s="853"/>
      <c r="C105" s="261">
        <v>5</v>
      </c>
      <c r="D105" s="243"/>
      <c r="E105" s="244"/>
      <c r="F105" s="245"/>
      <c r="G105" s="237"/>
      <c r="H105" s="238"/>
      <c r="I105" s="239"/>
      <c r="J105" s="262"/>
      <c r="K105" s="263"/>
      <c r="L105" s="262"/>
      <c r="M105" s="264">
        <f t="shared" si="10"/>
        <v>0</v>
      </c>
      <c r="N105" s="265"/>
      <c r="O105" s="813"/>
      <c r="P105" s="814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851"/>
      <c r="B106" s="854"/>
      <c r="C106" s="720"/>
      <c r="D106" s="721"/>
      <c r="E106" s="721"/>
      <c r="F106" s="721"/>
      <c r="G106" s="721"/>
      <c r="H106" s="721"/>
      <c r="I106" s="857"/>
      <c r="J106" s="248" t="s">
        <v>331</v>
      </c>
      <c r="K106" s="212" t="e">
        <f>M106/'生產管理報表 7-1 (週)'!$B$42</f>
        <v>#DIV/0!</v>
      </c>
      <c r="L106" s="248" t="s">
        <v>332</v>
      </c>
      <c r="M106" s="249">
        <f>SUM(M101:M105)</f>
        <v>0</v>
      </c>
      <c r="N106" s="815"/>
      <c r="O106" s="816"/>
      <c r="P106" s="817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6"/>
      <c r="O107" s="266"/>
      <c r="P107" s="266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44" t="s">
        <v>310</v>
      </c>
      <c r="B108" s="745"/>
      <c r="C108" s="251" t="s">
        <v>267</v>
      </c>
      <c r="D108" s="732" t="s">
        <v>268</v>
      </c>
      <c r="E108" s="733"/>
      <c r="F108" s="734"/>
      <c r="G108" s="732" t="s">
        <v>314</v>
      </c>
      <c r="H108" s="733"/>
      <c r="I108" s="848"/>
      <c r="J108" s="252" t="s">
        <v>315</v>
      </c>
      <c r="K108" s="253" t="s">
        <v>63</v>
      </c>
      <c r="L108" s="253" t="s">
        <v>316</v>
      </c>
      <c r="M108" s="253" t="s">
        <v>303</v>
      </c>
      <c r="N108" s="254" t="s">
        <v>317</v>
      </c>
      <c r="O108" s="823" t="s">
        <v>273</v>
      </c>
      <c r="P108" s="824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849">
        <v>3</v>
      </c>
      <c r="B109" s="852" t="s">
        <v>334</v>
      </c>
      <c r="C109" s="255">
        <v>1</v>
      </c>
      <c r="D109" s="237"/>
      <c r="E109" s="238"/>
      <c r="F109" s="239"/>
      <c r="G109" s="245"/>
      <c r="H109" s="244"/>
      <c r="I109" s="245"/>
      <c r="J109" s="256"/>
      <c r="K109" s="257"/>
      <c r="L109" s="256"/>
      <c r="M109" s="324">
        <f t="shared" ref="M109:M113" si="11">L109*J109</f>
        <v>0</v>
      </c>
      <c r="N109" s="269"/>
      <c r="O109" s="855"/>
      <c r="P109" s="856"/>
      <c r="Q109" s="231"/>
      <c r="R109" s="386"/>
      <c r="S109" s="386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850"/>
      <c r="B110" s="853"/>
      <c r="C110" s="255">
        <v>2</v>
      </c>
      <c r="D110" s="237"/>
      <c r="E110" s="238"/>
      <c r="F110" s="239"/>
      <c r="G110" s="245"/>
      <c r="H110" s="244"/>
      <c r="I110" s="245"/>
      <c r="J110" s="256"/>
      <c r="K110" s="257"/>
      <c r="L110" s="256"/>
      <c r="M110" s="324">
        <f t="shared" si="11"/>
        <v>0</v>
      </c>
      <c r="N110" s="269"/>
      <c r="O110" s="818"/>
      <c r="P110" s="819"/>
      <c r="Q110" s="231"/>
      <c r="R110" s="386"/>
      <c r="S110" s="392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850"/>
      <c r="B111" s="853"/>
      <c r="C111" s="255">
        <v>3</v>
      </c>
      <c r="D111" s="237"/>
      <c r="E111" s="238"/>
      <c r="F111" s="239"/>
      <c r="G111" s="245"/>
      <c r="H111" s="244"/>
      <c r="I111" s="245"/>
      <c r="J111" s="256"/>
      <c r="K111" s="257"/>
      <c r="L111" s="256"/>
      <c r="M111" s="324">
        <f t="shared" si="11"/>
        <v>0</v>
      </c>
      <c r="N111" s="269"/>
      <c r="O111" s="818"/>
      <c r="P111" s="819"/>
      <c r="Q111" s="386"/>
      <c r="R111" s="386"/>
      <c r="S111" s="392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850"/>
      <c r="B112" s="853"/>
      <c r="C112" s="255">
        <v>4</v>
      </c>
      <c r="D112" s="237"/>
      <c r="E112" s="238"/>
      <c r="F112" s="239"/>
      <c r="G112" s="374"/>
      <c r="H112" s="358"/>
      <c r="I112" s="374"/>
      <c r="J112" s="268"/>
      <c r="K112" s="257"/>
      <c r="L112" s="256"/>
      <c r="M112" s="324">
        <f t="shared" si="11"/>
        <v>0</v>
      </c>
      <c r="N112" s="269"/>
      <c r="O112" s="818"/>
      <c r="P112" s="819"/>
      <c r="Q112" s="231"/>
      <c r="R112" s="231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74" s="135" customFormat="1" ht="50.1" customHeight="1" thickBot="1">
      <c r="A113" s="850"/>
      <c r="B113" s="853"/>
      <c r="C113" s="261">
        <v>5</v>
      </c>
      <c r="D113" s="243"/>
      <c r="E113" s="244"/>
      <c r="F113" s="245"/>
      <c r="G113" s="270"/>
      <c r="H113" s="244"/>
      <c r="I113" s="270"/>
      <c r="J113" s="271"/>
      <c r="K113" s="263"/>
      <c r="L113" s="272"/>
      <c r="M113" s="324">
        <f t="shared" si="11"/>
        <v>0</v>
      </c>
      <c r="N113" s="269"/>
      <c r="O113" s="818"/>
      <c r="P113" s="819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74" s="135" customFormat="1" ht="15.75" customHeight="1" thickTop="1">
      <c r="A114" s="851"/>
      <c r="B114" s="854"/>
      <c r="C114" s="720"/>
      <c r="D114" s="721"/>
      <c r="E114" s="721"/>
      <c r="F114" s="721"/>
      <c r="G114" s="721"/>
      <c r="H114" s="721"/>
      <c r="I114" s="857"/>
      <c r="J114" s="273" t="s">
        <v>331</v>
      </c>
      <c r="K114" s="212" t="e">
        <f>M114/'生產管理報表 7-1 (週)'!$B$42</f>
        <v>#DIV/0!</v>
      </c>
      <c r="L114" s="273" t="s">
        <v>332</v>
      </c>
      <c r="M114" s="325">
        <f>SUM(M109:M113)</f>
        <v>0</v>
      </c>
      <c r="N114" s="820"/>
      <c r="O114" s="821"/>
      <c r="P114" s="822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  <row r="115" spans="1:74" s="135" customFormat="1" ht="15.75" customHeight="1">
      <c r="A115" s="867" t="s">
        <v>386</v>
      </c>
      <c r="B115" s="867"/>
      <c r="C115" s="867"/>
      <c r="D115" s="867"/>
      <c r="E115" s="867"/>
      <c r="F115" s="867"/>
      <c r="G115" s="867"/>
      <c r="H115" s="867"/>
      <c r="I115" s="867"/>
      <c r="J115" s="867"/>
      <c r="K115" s="867"/>
      <c r="L115" s="867"/>
      <c r="M115" s="867"/>
      <c r="Q115" s="231"/>
      <c r="R115" s="231"/>
      <c r="S115" s="231"/>
      <c r="T115" s="231"/>
    </row>
    <row r="116" spans="1:74" s="136" customFormat="1" ht="15.75" customHeight="1">
      <c r="A116" s="741"/>
      <c r="B116" s="741"/>
      <c r="C116" s="741"/>
      <c r="D116" s="741"/>
      <c r="E116" s="741"/>
      <c r="F116" s="741"/>
      <c r="G116" s="741"/>
      <c r="H116" s="741"/>
      <c r="I116" s="741"/>
      <c r="J116" s="741"/>
      <c r="K116" s="741"/>
      <c r="L116" s="741"/>
      <c r="M116" s="741"/>
    </row>
    <row r="117" spans="1:74" s="135" customFormat="1" ht="15.75" customHeight="1">
      <c r="A117" s="742" t="s">
        <v>310</v>
      </c>
      <c r="B117" s="735">
        <v>1</v>
      </c>
      <c r="C117" s="736"/>
      <c r="D117" s="735">
        <v>2</v>
      </c>
      <c r="E117" s="736"/>
      <c r="F117" s="735">
        <v>3</v>
      </c>
      <c r="G117" s="736"/>
      <c r="H117" s="744">
        <v>4</v>
      </c>
      <c r="I117" s="745"/>
      <c r="J117" s="744">
        <v>5</v>
      </c>
      <c r="K117" s="745"/>
      <c r="L117" s="744">
        <v>6</v>
      </c>
      <c r="M117" s="745"/>
      <c r="N117" s="744">
        <v>7</v>
      </c>
      <c r="O117" s="745"/>
      <c r="P117" s="351">
        <v>8</v>
      </c>
      <c r="Q117" s="231"/>
      <c r="R117" s="231"/>
      <c r="S117" s="231"/>
      <c r="T117" s="231"/>
    </row>
    <row r="118" spans="1:74" s="135" customFormat="1" ht="15.75" customHeight="1">
      <c r="A118" s="743"/>
      <c r="B118" s="737" t="s">
        <v>299</v>
      </c>
      <c r="C118" s="738"/>
      <c r="D118" s="737" t="s">
        <v>311</v>
      </c>
      <c r="E118" s="738"/>
      <c r="F118" s="737" t="s">
        <v>301</v>
      </c>
      <c r="G118" s="738"/>
      <c r="H118" s="739" t="s">
        <v>312</v>
      </c>
      <c r="I118" s="740"/>
      <c r="J118" s="739" t="s">
        <v>306</v>
      </c>
      <c r="K118" s="740"/>
      <c r="L118" s="739" t="s">
        <v>307</v>
      </c>
      <c r="M118" s="740"/>
      <c r="N118" s="739" t="s">
        <v>308</v>
      </c>
      <c r="O118" s="740"/>
      <c r="P118" s="352" t="s">
        <v>313</v>
      </c>
      <c r="Q118" s="231"/>
      <c r="R118" s="231"/>
      <c r="S118" s="231"/>
      <c r="T118" s="231"/>
    </row>
    <row r="119" spans="1:74" s="135" customFormat="1" ht="15.75" customHeight="1">
      <c r="B119" s="232"/>
      <c r="C119" s="233"/>
      <c r="Q119" s="231"/>
      <c r="R119" s="231"/>
      <c r="S119" s="231"/>
      <c r="T119" s="231"/>
    </row>
    <row r="120" spans="1:74" s="235" customFormat="1" ht="15.75" customHeight="1">
      <c r="A120" s="744" t="s">
        <v>310</v>
      </c>
      <c r="B120" s="745"/>
      <c r="C120" s="234" t="s">
        <v>267</v>
      </c>
      <c r="D120" s="858" t="s">
        <v>268</v>
      </c>
      <c r="E120" s="733"/>
      <c r="F120" s="848"/>
      <c r="G120" s="859" t="s">
        <v>314</v>
      </c>
      <c r="H120" s="860"/>
      <c r="I120" s="861"/>
      <c r="J120" s="234" t="s">
        <v>315</v>
      </c>
      <c r="K120" s="234" t="s">
        <v>63</v>
      </c>
      <c r="L120" s="234" t="s">
        <v>316</v>
      </c>
      <c r="M120" s="234" t="s">
        <v>303</v>
      </c>
      <c r="N120" s="234" t="s">
        <v>317</v>
      </c>
      <c r="O120" s="862" t="s">
        <v>273</v>
      </c>
      <c r="P120" s="863"/>
    </row>
    <row r="121" spans="1:74" s="135" customFormat="1" ht="69.95" customHeight="1">
      <c r="A121" s="849">
        <v>1</v>
      </c>
      <c r="B121" s="852" t="s">
        <v>318</v>
      </c>
      <c r="C121" s="236">
        <v>1</v>
      </c>
      <c r="D121" s="237"/>
      <c r="E121" s="238"/>
      <c r="F121" s="238"/>
      <c r="G121" s="356"/>
      <c r="H121" s="304"/>
      <c r="I121" s="305"/>
      <c r="J121" s="236"/>
      <c r="K121" s="241"/>
      <c r="L121" s="236"/>
      <c r="M121" s="321">
        <f>L121*J121</f>
        <v>0</v>
      </c>
      <c r="N121" s="242"/>
      <c r="O121" s="762"/>
      <c r="P121" s="763"/>
      <c r="Q121" s="231"/>
      <c r="R121" s="384"/>
      <c r="S121" s="260"/>
      <c r="T121" s="231"/>
    </row>
    <row r="122" spans="1:74" s="135" customFormat="1" ht="69.95" customHeight="1">
      <c r="A122" s="850"/>
      <c r="B122" s="853"/>
      <c r="C122" s="236">
        <v>2</v>
      </c>
      <c r="D122" s="237"/>
      <c r="E122" s="238"/>
      <c r="F122" s="238"/>
      <c r="G122" s="356"/>
      <c r="H122" s="304"/>
      <c r="I122" s="305"/>
      <c r="J122" s="236"/>
      <c r="K122" s="241"/>
      <c r="L122" s="236"/>
      <c r="M122" s="321">
        <f t="shared" ref="M122:M125" si="12">L122*J122</f>
        <v>0</v>
      </c>
      <c r="N122" s="242"/>
      <c r="O122" s="864"/>
      <c r="P122" s="856"/>
      <c r="Q122" s="231"/>
      <c r="R122" s="385"/>
      <c r="S122" s="385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31"/>
      <c r="AT122" s="231"/>
      <c r="AU122" s="231"/>
      <c r="AV122" s="231"/>
      <c r="AW122" s="231"/>
      <c r="AX122" s="231"/>
      <c r="AY122" s="231"/>
      <c r="AZ122" s="231"/>
      <c r="BA122" s="231"/>
      <c r="BB122" s="231"/>
      <c r="BC122" s="231"/>
      <c r="BD122" s="231"/>
      <c r="BE122" s="231"/>
      <c r="BF122" s="231"/>
      <c r="BG122" s="231"/>
      <c r="BH122" s="231"/>
      <c r="BI122" s="231"/>
      <c r="BJ122" s="231"/>
      <c r="BK122" s="231"/>
      <c r="BL122" s="231"/>
      <c r="BM122" s="231"/>
      <c r="BN122" s="231"/>
      <c r="BO122" s="231"/>
      <c r="BP122" s="231"/>
      <c r="BQ122" s="231"/>
      <c r="BR122" s="231"/>
      <c r="BS122" s="231"/>
      <c r="BT122" s="231"/>
      <c r="BU122" s="231"/>
      <c r="BV122" s="231"/>
    </row>
    <row r="123" spans="1:74" s="135" customFormat="1" ht="69.95" customHeight="1">
      <c r="A123" s="850"/>
      <c r="B123" s="853"/>
      <c r="C123" s="236">
        <v>3</v>
      </c>
      <c r="D123" s="237"/>
      <c r="E123" s="238"/>
      <c r="F123" s="238"/>
      <c r="G123" s="356"/>
      <c r="H123" s="304"/>
      <c r="I123" s="305"/>
      <c r="J123" s="236"/>
      <c r="K123" s="241"/>
      <c r="L123" s="236"/>
      <c r="M123" s="321">
        <f t="shared" si="12"/>
        <v>0</v>
      </c>
      <c r="N123" s="242"/>
      <c r="O123" s="865"/>
      <c r="P123" s="819"/>
      <c r="Q123" s="231"/>
      <c r="R123" s="384"/>
      <c r="S123" s="384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1"/>
      <c r="BB123" s="231"/>
      <c r="BC123" s="231"/>
      <c r="BD123" s="231"/>
      <c r="BE123" s="231"/>
      <c r="BF123" s="231"/>
      <c r="BG123" s="231"/>
      <c r="BH123" s="231"/>
      <c r="BI123" s="231"/>
      <c r="BJ123" s="231"/>
      <c r="BK123" s="231"/>
      <c r="BL123" s="231"/>
      <c r="BM123" s="231"/>
      <c r="BN123" s="231"/>
      <c r="BO123" s="231"/>
      <c r="BP123" s="231"/>
      <c r="BQ123" s="231"/>
      <c r="BR123" s="231"/>
      <c r="BS123" s="231"/>
      <c r="BT123" s="231"/>
      <c r="BU123" s="231"/>
      <c r="BV123" s="231"/>
    </row>
    <row r="124" spans="1:74" s="135" customFormat="1" ht="69.95" customHeight="1">
      <c r="A124" s="850"/>
      <c r="B124" s="853"/>
      <c r="C124" s="236">
        <v>4</v>
      </c>
      <c r="D124" s="237"/>
      <c r="E124" s="238"/>
      <c r="F124" s="238"/>
      <c r="G124" s="356"/>
      <c r="H124" s="304"/>
      <c r="I124" s="305"/>
      <c r="J124" s="236"/>
      <c r="K124" s="241"/>
      <c r="L124" s="236"/>
      <c r="M124" s="321">
        <f t="shared" si="12"/>
        <v>0</v>
      </c>
      <c r="N124" s="242"/>
      <c r="O124" s="865"/>
      <c r="P124" s="819"/>
      <c r="Q124" s="231"/>
      <c r="R124" s="385"/>
      <c r="S124" s="385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31"/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</row>
    <row r="125" spans="1:74" s="135" customFormat="1" ht="69.95" customHeight="1" thickBot="1">
      <c r="A125" s="850"/>
      <c r="B125" s="853"/>
      <c r="C125" s="236">
        <v>5</v>
      </c>
      <c r="D125" s="243"/>
      <c r="E125" s="244"/>
      <c r="F125" s="244"/>
      <c r="G125" s="356"/>
      <c r="H125" s="304"/>
      <c r="I125" s="305"/>
      <c r="J125" s="246"/>
      <c r="K125" s="247"/>
      <c r="L125" s="246"/>
      <c r="M125" s="322">
        <f t="shared" si="12"/>
        <v>0</v>
      </c>
      <c r="N125" s="242"/>
      <c r="O125" s="865"/>
      <c r="P125" s="819"/>
      <c r="Q125" s="231"/>
      <c r="R125" s="384"/>
      <c r="S125" s="384"/>
      <c r="T125" s="231"/>
      <c r="U125" s="386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31"/>
      <c r="AW125" s="231"/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31"/>
      <c r="BI125" s="231"/>
      <c r="BJ125" s="231"/>
      <c r="BK125" s="231"/>
      <c r="BL125" s="231"/>
      <c r="BM125" s="231"/>
      <c r="BN125" s="231"/>
      <c r="BO125" s="231"/>
      <c r="BP125" s="231"/>
      <c r="BQ125" s="231"/>
      <c r="BR125" s="231"/>
      <c r="BS125" s="231"/>
      <c r="BT125" s="231"/>
      <c r="BU125" s="231"/>
      <c r="BV125" s="231"/>
    </row>
    <row r="126" spans="1:74" s="135" customFormat="1" ht="15.75" customHeight="1" thickTop="1">
      <c r="A126" s="851"/>
      <c r="B126" s="854"/>
      <c r="C126" s="720"/>
      <c r="D126" s="721"/>
      <c r="E126" s="721"/>
      <c r="F126" s="721"/>
      <c r="G126" s="721"/>
      <c r="H126" s="721"/>
      <c r="I126" s="857"/>
      <c r="J126" s="248" t="s">
        <v>331</v>
      </c>
      <c r="K126" s="212" t="e">
        <f>M126/'生產管理報表 7-1 (週)'!$B$53</f>
        <v>#DIV/0!</v>
      </c>
      <c r="L126" s="248" t="s">
        <v>332</v>
      </c>
      <c r="M126" s="323">
        <f>SUM(M121:M125)</f>
        <v>0</v>
      </c>
      <c r="N126" s="808"/>
      <c r="O126" s="809"/>
      <c r="P126" s="810"/>
      <c r="Q126" s="231"/>
      <c r="R126" s="210"/>
      <c r="S126" s="210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31"/>
      <c r="AT126" s="231"/>
      <c r="AU126" s="231"/>
      <c r="AV126" s="231"/>
      <c r="AW126" s="231"/>
      <c r="AX126" s="231"/>
      <c r="AY126" s="231"/>
      <c r="AZ126" s="231"/>
      <c r="BA126" s="231"/>
      <c r="BB126" s="231"/>
      <c r="BC126" s="231"/>
      <c r="BD126" s="231"/>
      <c r="BE126" s="231"/>
      <c r="BF126" s="231"/>
      <c r="BG126" s="231"/>
      <c r="BH126" s="231"/>
      <c r="BI126" s="231"/>
      <c r="BJ126" s="231"/>
      <c r="BK126" s="231"/>
      <c r="BL126" s="231"/>
      <c r="BM126" s="231"/>
      <c r="BN126" s="231"/>
      <c r="BO126" s="231"/>
      <c r="BP126" s="231"/>
      <c r="BQ126" s="231"/>
      <c r="BR126" s="231"/>
      <c r="BS126" s="231"/>
      <c r="BT126" s="231"/>
      <c r="BU126" s="231"/>
      <c r="BV126" s="231"/>
    </row>
    <row r="127" spans="1:74" s="135" customFormat="1" ht="15.75" customHeight="1">
      <c r="B127" s="232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50"/>
      <c r="O127" s="250"/>
      <c r="P127" s="250"/>
      <c r="Q127" s="231"/>
      <c r="R127" s="260"/>
      <c r="S127" s="260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31"/>
      <c r="AT127" s="231"/>
      <c r="AU127" s="231"/>
      <c r="AV127" s="231"/>
      <c r="AW127" s="231"/>
      <c r="AX127" s="231"/>
      <c r="AY127" s="231"/>
      <c r="AZ127" s="231"/>
      <c r="BA127" s="231"/>
      <c r="BB127" s="231"/>
      <c r="BC127" s="231"/>
      <c r="BD127" s="231"/>
      <c r="BE127" s="231"/>
      <c r="BF127" s="231"/>
      <c r="BG127" s="231"/>
      <c r="BH127" s="231"/>
      <c r="BI127" s="231"/>
      <c r="BJ127" s="231"/>
      <c r="BK127" s="231"/>
      <c r="BL127" s="231"/>
      <c r="BM127" s="231"/>
      <c r="BN127" s="231"/>
      <c r="BO127" s="231"/>
      <c r="BP127" s="231"/>
      <c r="BQ127" s="231"/>
      <c r="BR127" s="231"/>
      <c r="BS127" s="231"/>
      <c r="BT127" s="231"/>
      <c r="BU127" s="231"/>
      <c r="BV127" s="231"/>
    </row>
    <row r="128" spans="1:74" s="135" customFormat="1" ht="15.75" customHeight="1">
      <c r="A128" s="744" t="s">
        <v>310</v>
      </c>
      <c r="B128" s="745"/>
      <c r="C128" s="251" t="s">
        <v>267</v>
      </c>
      <c r="D128" s="732" t="s">
        <v>268</v>
      </c>
      <c r="E128" s="733"/>
      <c r="F128" s="734"/>
      <c r="G128" s="732" t="s">
        <v>314</v>
      </c>
      <c r="H128" s="733"/>
      <c r="I128" s="734"/>
      <c r="J128" s="253" t="s">
        <v>315</v>
      </c>
      <c r="K128" s="253" t="s">
        <v>63</v>
      </c>
      <c r="L128" s="253" t="s">
        <v>316</v>
      </c>
      <c r="M128" s="253" t="s">
        <v>303</v>
      </c>
      <c r="N128" s="254" t="s">
        <v>317</v>
      </c>
      <c r="O128" s="811" t="s">
        <v>273</v>
      </c>
      <c r="P128" s="812"/>
      <c r="Q128" s="231"/>
      <c r="R128" s="210"/>
      <c r="S128" s="210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</row>
    <row r="129" spans="1:35" s="135" customFormat="1" ht="20.100000000000001" customHeight="1">
      <c r="A129" s="849">
        <v>2</v>
      </c>
      <c r="B129" s="852" t="s">
        <v>333</v>
      </c>
      <c r="C129" s="255">
        <v>1</v>
      </c>
      <c r="D129" s="237"/>
      <c r="E129" s="238"/>
      <c r="F129" s="239"/>
      <c r="G129" s="237"/>
      <c r="H129" s="238"/>
      <c r="I129" s="239"/>
      <c r="J129" s="256"/>
      <c r="K129" s="257"/>
      <c r="L129" s="256"/>
      <c r="M129" s="258">
        <f t="shared" ref="M129:M133" si="13">L129*J129</f>
        <v>0</v>
      </c>
      <c r="N129" s="259"/>
      <c r="O129" s="813"/>
      <c r="P129" s="814"/>
      <c r="Q129" s="231"/>
      <c r="R129" s="260"/>
      <c r="S129" s="260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</row>
    <row r="130" spans="1:35" s="135" customFormat="1" ht="20.100000000000001" customHeight="1">
      <c r="A130" s="850"/>
      <c r="B130" s="853"/>
      <c r="C130" s="255">
        <v>2</v>
      </c>
      <c r="D130" s="237"/>
      <c r="E130" s="238"/>
      <c r="F130" s="239"/>
      <c r="G130" s="237"/>
      <c r="H130" s="238"/>
      <c r="I130" s="239"/>
      <c r="J130" s="256"/>
      <c r="K130" s="257"/>
      <c r="L130" s="256"/>
      <c r="M130" s="258">
        <f t="shared" si="13"/>
        <v>0</v>
      </c>
      <c r="N130" s="259"/>
      <c r="O130" s="813"/>
      <c r="P130" s="814"/>
      <c r="Q130" s="231"/>
      <c r="R130" s="210"/>
      <c r="S130" s="210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</row>
    <row r="131" spans="1:35" s="135" customFormat="1" ht="20.100000000000001" customHeight="1">
      <c r="A131" s="850"/>
      <c r="B131" s="853"/>
      <c r="C131" s="255">
        <v>3</v>
      </c>
      <c r="D131" s="237"/>
      <c r="E131" s="238"/>
      <c r="F131" s="239"/>
      <c r="G131" s="237"/>
      <c r="H131" s="238"/>
      <c r="I131" s="267"/>
      <c r="J131" s="256"/>
      <c r="K131" s="257"/>
      <c r="L131" s="256"/>
      <c r="M131" s="258">
        <f t="shared" si="13"/>
        <v>0</v>
      </c>
      <c r="N131" s="259"/>
      <c r="O131" s="813"/>
      <c r="P131" s="814"/>
      <c r="Q131" s="231"/>
      <c r="R131" s="260"/>
      <c r="S131" s="260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</row>
    <row r="132" spans="1:35" s="135" customFormat="1" ht="20.100000000000001" customHeight="1">
      <c r="A132" s="850"/>
      <c r="B132" s="853"/>
      <c r="C132" s="255">
        <v>4</v>
      </c>
      <c r="D132" s="237"/>
      <c r="E132" s="238"/>
      <c r="F132" s="239"/>
      <c r="G132" s="237"/>
      <c r="H132" s="238"/>
      <c r="I132" s="239"/>
      <c r="J132" s="256"/>
      <c r="K132" s="257"/>
      <c r="L132" s="256"/>
      <c r="M132" s="258">
        <f t="shared" si="13"/>
        <v>0</v>
      </c>
      <c r="N132" s="259"/>
      <c r="O132" s="813"/>
      <c r="P132" s="814"/>
      <c r="Q132" s="231"/>
      <c r="R132" s="210"/>
      <c r="S132" s="210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</row>
    <row r="133" spans="1:35" s="135" customFormat="1" ht="20.100000000000001" customHeight="1" thickBot="1">
      <c r="A133" s="850"/>
      <c r="B133" s="853"/>
      <c r="C133" s="261">
        <v>5</v>
      </c>
      <c r="D133" s="243"/>
      <c r="E133" s="244"/>
      <c r="F133" s="245"/>
      <c r="G133" s="237"/>
      <c r="H133" s="238"/>
      <c r="I133" s="239"/>
      <c r="J133" s="262"/>
      <c r="K133" s="263"/>
      <c r="L133" s="262"/>
      <c r="M133" s="264">
        <f t="shared" si="13"/>
        <v>0</v>
      </c>
      <c r="N133" s="265"/>
      <c r="O133" s="813"/>
      <c r="P133" s="814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</row>
    <row r="134" spans="1:35" s="135" customFormat="1" ht="15.75" customHeight="1" thickTop="1">
      <c r="A134" s="851"/>
      <c r="B134" s="854"/>
      <c r="C134" s="720"/>
      <c r="D134" s="721"/>
      <c r="E134" s="721"/>
      <c r="F134" s="721"/>
      <c r="G134" s="721"/>
      <c r="H134" s="721"/>
      <c r="I134" s="857"/>
      <c r="J134" s="248" t="s">
        <v>331</v>
      </c>
      <c r="K134" s="212" t="e">
        <v>#DIV/0!</v>
      </c>
      <c r="L134" s="248" t="s">
        <v>332</v>
      </c>
      <c r="M134" s="249">
        <f>SUM(M129:M133)</f>
        <v>0</v>
      </c>
      <c r="N134" s="815"/>
      <c r="O134" s="816"/>
      <c r="P134" s="817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</row>
    <row r="135" spans="1:35" s="135" customFormat="1" ht="15.75" customHeight="1">
      <c r="B135" s="232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66"/>
      <c r="O135" s="266"/>
      <c r="P135" s="266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</row>
    <row r="136" spans="1:35" s="135" customFormat="1" ht="15.75" customHeight="1">
      <c r="A136" s="744" t="s">
        <v>310</v>
      </c>
      <c r="B136" s="745"/>
      <c r="C136" s="251" t="s">
        <v>267</v>
      </c>
      <c r="D136" s="732" t="s">
        <v>268</v>
      </c>
      <c r="E136" s="733"/>
      <c r="F136" s="734"/>
      <c r="G136" s="732" t="s">
        <v>314</v>
      </c>
      <c r="H136" s="733"/>
      <c r="I136" s="848"/>
      <c r="J136" s="252" t="s">
        <v>315</v>
      </c>
      <c r="K136" s="253" t="s">
        <v>63</v>
      </c>
      <c r="L136" s="253" t="s">
        <v>316</v>
      </c>
      <c r="M136" s="253" t="s">
        <v>303</v>
      </c>
      <c r="N136" s="254" t="s">
        <v>317</v>
      </c>
      <c r="O136" s="823" t="s">
        <v>273</v>
      </c>
      <c r="P136" s="824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</row>
    <row r="137" spans="1:35" s="135" customFormat="1" ht="50.1" customHeight="1">
      <c r="A137" s="849">
        <v>3</v>
      </c>
      <c r="B137" s="852" t="s">
        <v>334</v>
      </c>
      <c r="C137" s="255">
        <v>1</v>
      </c>
      <c r="D137" s="237"/>
      <c r="E137" s="238"/>
      <c r="F137" s="239"/>
      <c r="G137" s="245"/>
      <c r="H137" s="244"/>
      <c r="I137" s="245"/>
      <c r="J137" s="256"/>
      <c r="K137" s="257"/>
      <c r="L137" s="256"/>
      <c r="M137" s="324">
        <f t="shared" ref="M137:M141" si="14">L137*J137</f>
        <v>0</v>
      </c>
      <c r="N137" s="269"/>
      <c r="O137" s="855"/>
      <c r="P137" s="856"/>
      <c r="Q137" s="231"/>
      <c r="R137" s="386"/>
      <c r="S137" s="386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</row>
    <row r="138" spans="1:35" s="135" customFormat="1" ht="50.1" customHeight="1">
      <c r="A138" s="850"/>
      <c r="B138" s="853"/>
      <c r="C138" s="255">
        <v>2</v>
      </c>
      <c r="D138" s="237"/>
      <c r="E138" s="238"/>
      <c r="F138" s="239"/>
      <c r="G138" s="245"/>
      <c r="H138" s="244"/>
      <c r="I138" s="245"/>
      <c r="J138" s="256"/>
      <c r="K138" s="257"/>
      <c r="L138" s="256"/>
      <c r="M138" s="324">
        <f t="shared" si="14"/>
        <v>0</v>
      </c>
      <c r="N138" s="269"/>
      <c r="O138" s="818"/>
      <c r="P138" s="819"/>
      <c r="Q138" s="231"/>
      <c r="R138" s="386"/>
      <c r="S138" s="392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</row>
    <row r="139" spans="1:35" s="135" customFormat="1" ht="50.1" customHeight="1">
      <c r="A139" s="850"/>
      <c r="B139" s="853"/>
      <c r="C139" s="255">
        <v>3</v>
      </c>
      <c r="D139" s="237"/>
      <c r="E139" s="238"/>
      <c r="F139" s="239"/>
      <c r="G139" s="245"/>
      <c r="H139" s="244"/>
      <c r="I139" s="245"/>
      <c r="J139" s="256"/>
      <c r="K139" s="257"/>
      <c r="L139" s="256"/>
      <c r="M139" s="324">
        <f t="shared" si="14"/>
        <v>0</v>
      </c>
      <c r="N139" s="269"/>
      <c r="O139" s="818"/>
      <c r="P139" s="819"/>
      <c r="Q139" s="386"/>
      <c r="R139" s="386"/>
      <c r="S139" s="392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</row>
    <row r="140" spans="1:35" s="135" customFormat="1" ht="50.1" customHeight="1">
      <c r="A140" s="850"/>
      <c r="B140" s="853"/>
      <c r="C140" s="255">
        <v>4</v>
      </c>
      <c r="D140" s="237"/>
      <c r="E140" s="238"/>
      <c r="F140" s="239"/>
      <c r="G140" s="374"/>
      <c r="H140" s="358"/>
      <c r="I140" s="374"/>
      <c r="J140" s="268"/>
      <c r="K140" s="257"/>
      <c r="L140" s="256"/>
      <c r="M140" s="324">
        <f t="shared" si="14"/>
        <v>0</v>
      </c>
      <c r="N140" s="269"/>
      <c r="O140" s="818"/>
      <c r="P140" s="819"/>
      <c r="Q140" s="231"/>
      <c r="R140" s="231"/>
      <c r="S140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</row>
    <row r="141" spans="1:35" s="135" customFormat="1" ht="50.1" customHeight="1" thickBot="1">
      <c r="A141" s="850"/>
      <c r="B141" s="853"/>
      <c r="C141" s="261">
        <v>5</v>
      </c>
      <c r="D141" s="243"/>
      <c r="E141" s="244"/>
      <c r="F141" s="245"/>
      <c r="G141" s="243"/>
      <c r="H141" s="244"/>
      <c r="I141" s="270"/>
      <c r="J141" s="271"/>
      <c r="K141" s="263"/>
      <c r="L141" s="272"/>
      <c r="M141" s="324">
        <f t="shared" si="14"/>
        <v>0</v>
      </c>
      <c r="N141" s="269"/>
      <c r="O141" s="818"/>
      <c r="P141" s="819"/>
      <c r="Q141" s="231"/>
      <c r="R141" s="231"/>
      <c r="S14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</row>
    <row r="142" spans="1:35" s="135" customFormat="1" ht="15.75" customHeight="1" thickTop="1">
      <c r="A142" s="851"/>
      <c r="B142" s="854"/>
      <c r="C142" s="720"/>
      <c r="D142" s="721"/>
      <c r="E142" s="721"/>
      <c r="F142" s="721"/>
      <c r="G142" s="721"/>
      <c r="H142" s="721"/>
      <c r="I142" s="857"/>
      <c r="J142" s="273" t="s">
        <v>331</v>
      </c>
      <c r="K142" s="212" t="e">
        <v>#DIV/0!</v>
      </c>
      <c r="L142" s="273" t="s">
        <v>332</v>
      </c>
      <c r="M142" s="325">
        <f>SUM(M137:M141)</f>
        <v>0</v>
      </c>
      <c r="N142" s="820"/>
      <c r="O142" s="821"/>
      <c r="P142" s="822"/>
      <c r="Q142" s="231"/>
      <c r="R142" s="231"/>
      <c r="S142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</row>
    <row r="143" spans="1:35" s="135" customFormat="1" ht="15.75" customHeight="1">
      <c r="A143" s="867"/>
      <c r="B143" s="867"/>
      <c r="C143" s="867"/>
      <c r="D143" s="867"/>
      <c r="E143" s="867"/>
      <c r="F143" s="867"/>
      <c r="G143" s="867"/>
      <c r="H143" s="867"/>
      <c r="I143" s="867"/>
      <c r="J143" s="867"/>
      <c r="K143" s="867"/>
      <c r="L143" s="867"/>
      <c r="M143" s="867"/>
      <c r="Q143" s="231"/>
      <c r="R143" s="231"/>
      <c r="S143" s="231"/>
      <c r="T143" s="231"/>
    </row>
    <row r="144" spans="1:35" s="136" customFormat="1" ht="15.75" customHeight="1">
      <c r="A144" s="741"/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</row>
    <row r="145" spans="1:74" s="135" customFormat="1" ht="15.75" customHeight="1">
      <c r="A145" s="742" t="s">
        <v>310</v>
      </c>
      <c r="B145" s="735">
        <v>1</v>
      </c>
      <c r="C145" s="736"/>
      <c r="D145" s="735">
        <v>2</v>
      </c>
      <c r="E145" s="736"/>
      <c r="F145" s="735">
        <v>3</v>
      </c>
      <c r="G145" s="736"/>
      <c r="H145" s="744">
        <v>4</v>
      </c>
      <c r="I145" s="745"/>
      <c r="J145" s="744">
        <v>5</v>
      </c>
      <c r="K145" s="745"/>
      <c r="L145" s="744">
        <v>6</v>
      </c>
      <c r="M145" s="745"/>
      <c r="N145" s="744">
        <v>7</v>
      </c>
      <c r="O145" s="745"/>
      <c r="P145" s="351">
        <v>8</v>
      </c>
      <c r="Q145" s="231"/>
      <c r="R145" s="231"/>
      <c r="S145" s="231"/>
      <c r="T145" s="231"/>
    </row>
    <row r="146" spans="1:74" s="135" customFormat="1" ht="15.75" customHeight="1">
      <c r="A146" s="743"/>
      <c r="B146" s="737" t="s">
        <v>299</v>
      </c>
      <c r="C146" s="738"/>
      <c r="D146" s="737" t="s">
        <v>311</v>
      </c>
      <c r="E146" s="738"/>
      <c r="F146" s="737" t="s">
        <v>301</v>
      </c>
      <c r="G146" s="738"/>
      <c r="H146" s="739" t="s">
        <v>312</v>
      </c>
      <c r="I146" s="740"/>
      <c r="J146" s="739" t="s">
        <v>306</v>
      </c>
      <c r="K146" s="740"/>
      <c r="L146" s="739" t="s">
        <v>307</v>
      </c>
      <c r="M146" s="740"/>
      <c r="N146" s="739" t="s">
        <v>308</v>
      </c>
      <c r="O146" s="740"/>
      <c r="P146" s="352" t="s">
        <v>313</v>
      </c>
      <c r="Q146" s="231"/>
      <c r="R146" s="231"/>
      <c r="S146" s="231"/>
      <c r="T146" s="231"/>
    </row>
    <row r="147" spans="1:74" s="135" customFormat="1" ht="15.75" customHeight="1">
      <c r="B147" s="232"/>
      <c r="C147" s="233"/>
      <c r="Q147" s="231"/>
      <c r="R147" s="231"/>
      <c r="S147" s="231"/>
      <c r="T147" s="231"/>
    </row>
    <row r="148" spans="1:74" s="235" customFormat="1" ht="15.75" customHeight="1">
      <c r="A148" s="744" t="s">
        <v>310</v>
      </c>
      <c r="B148" s="745"/>
      <c r="C148" s="234" t="s">
        <v>267</v>
      </c>
      <c r="D148" s="858" t="s">
        <v>268</v>
      </c>
      <c r="E148" s="733"/>
      <c r="F148" s="848"/>
      <c r="G148" s="859" t="s">
        <v>314</v>
      </c>
      <c r="H148" s="860"/>
      <c r="I148" s="861"/>
      <c r="J148" s="234" t="s">
        <v>315</v>
      </c>
      <c r="K148" s="234" t="s">
        <v>63</v>
      </c>
      <c r="L148" s="234" t="s">
        <v>316</v>
      </c>
      <c r="M148" s="234" t="s">
        <v>303</v>
      </c>
      <c r="N148" s="234" t="s">
        <v>317</v>
      </c>
      <c r="O148" s="862" t="s">
        <v>273</v>
      </c>
      <c r="P148" s="863"/>
    </row>
    <row r="149" spans="1:74" s="135" customFormat="1" ht="50.1" customHeight="1">
      <c r="A149" s="849">
        <v>1</v>
      </c>
      <c r="B149" s="852" t="s">
        <v>318</v>
      </c>
      <c r="C149" s="236">
        <v>1</v>
      </c>
      <c r="D149" s="237"/>
      <c r="E149" s="238"/>
      <c r="F149" s="238"/>
      <c r="G149" s="356"/>
      <c r="H149" s="304"/>
      <c r="I149" s="305"/>
      <c r="J149" s="236"/>
      <c r="K149" s="241"/>
      <c r="L149" s="236"/>
      <c r="M149" s="321">
        <f>L149*J149</f>
        <v>0</v>
      </c>
      <c r="N149" s="242"/>
      <c r="O149" s="762"/>
      <c r="P149" s="763"/>
      <c r="Q149" s="231"/>
      <c r="R149" s="384"/>
      <c r="S149" s="260"/>
      <c r="T149" s="231"/>
    </row>
    <row r="150" spans="1:74" s="135" customFormat="1" ht="50.1" customHeight="1">
      <c r="A150" s="850"/>
      <c r="B150" s="853"/>
      <c r="C150" s="236">
        <v>2</v>
      </c>
      <c r="D150" s="237"/>
      <c r="E150" s="238"/>
      <c r="F150" s="238"/>
      <c r="G150" s="356"/>
      <c r="H150" s="304"/>
      <c r="I150" s="305"/>
      <c r="J150" s="236"/>
      <c r="K150" s="241"/>
      <c r="L150" s="236"/>
      <c r="M150" s="321">
        <f t="shared" ref="M150:M153" si="15">L150*J150</f>
        <v>0</v>
      </c>
      <c r="N150" s="242"/>
      <c r="O150" s="864"/>
      <c r="P150" s="856"/>
      <c r="Q150" s="231"/>
      <c r="R150" s="385"/>
      <c r="S150" s="385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31"/>
      <c r="AT150" s="231"/>
      <c r="AU150" s="231"/>
      <c r="AV150" s="231"/>
      <c r="AW150" s="231"/>
      <c r="AX150" s="231"/>
      <c r="AY150" s="231"/>
      <c r="AZ150" s="231"/>
      <c r="BA150" s="231"/>
      <c r="BB150" s="231"/>
      <c r="BC150" s="231"/>
      <c r="BD150" s="231"/>
      <c r="BE150" s="231"/>
      <c r="BF150" s="231"/>
      <c r="BG150" s="231"/>
      <c r="BH150" s="231"/>
      <c r="BI150" s="231"/>
      <c r="BJ150" s="231"/>
      <c r="BK150" s="231"/>
      <c r="BL150" s="231"/>
      <c r="BM150" s="231"/>
      <c r="BN150" s="231"/>
      <c r="BO150" s="231"/>
      <c r="BP150" s="231"/>
      <c r="BQ150" s="231"/>
      <c r="BR150" s="231"/>
      <c r="BS150" s="231"/>
      <c r="BT150" s="231"/>
      <c r="BU150" s="231"/>
      <c r="BV150" s="231"/>
    </row>
    <row r="151" spans="1:74" s="135" customFormat="1" ht="50.1" customHeight="1">
      <c r="A151" s="850"/>
      <c r="B151" s="853"/>
      <c r="C151" s="236">
        <v>3</v>
      </c>
      <c r="D151" s="237"/>
      <c r="E151" s="238"/>
      <c r="F151" s="238"/>
      <c r="G151" s="356"/>
      <c r="H151" s="304"/>
      <c r="I151" s="305"/>
      <c r="J151" s="236"/>
      <c r="K151" s="241"/>
      <c r="L151" s="236"/>
      <c r="M151" s="321">
        <f t="shared" si="15"/>
        <v>0</v>
      </c>
      <c r="N151" s="242"/>
      <c r="O151" s="865"/>
      <c r="P151" s="819"/>
      <c r="Q151" s="231"/>
      <c r="R151" s="384"/>
      <c r="S151" s="384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1"/>
      <c r="AW151" s="231"/>
      <c r="AX151" s="231"/>
      <c r="AY151" s="231"/>
      <c r="AZ151" s="231"/>
      <c r="BA151" s="231"/>
      <c r="BB151" s="231"/>
      <c r="BC151" s="231"/>
      <c r="BD151" s="231"/>
      <c r="BE151" s="231"/>
      <c r="BF151" s="231"/>
      <c r="BG151" s="231"/>
      <c r="BH151" s="231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1"/>
      <c r="BS151" s="231"/>
      <c r="BT151" s="231"/>
      <c r="BU151" s="231"/>
      <c r="BV151" s="231"/>
    </row>
    <row r="152" spans="1:74" s="135" customFormat="1" ht="50.1" customHeight="1">
      <c r="A152" s="850"/>
      <c r="B152" s="853"/>
      <c r="C152" s="236">
        <v>4</v>
      </c>
      <c r="D152" s="237"/>
      <c r="E152" s="238"/>
      <c r="F152" s="238"/>
      <c r="G152" s="356"/>
      <c r="H152" s="304"/>
      <c r="I152" s="305"/>
      <c r="J152" s="236"/>
      <c r="K152" s="241"/>
      <c r="L152" s="236"/>
      <c r="M152" s="321">
        <f t="shared" si="15"/>
        <v>0</v>
      </c>
      <c r="N152" s="242"/>
      <c r="O152" s="865"/>
      <c r="P152" s="819"/>
      <c r="Q152" s="231"/>
      <c r="R152" s="385"/>
      <c r="S152" s="385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31"/>
      <c r="AT152" s="231"/>
      <c r="AU152" s="231"/>
      <c r="AV152" s="231"/>
      <c r="AW152" s="231"/>
      <c r="AX152" s="231"/>
      <c r="AY152" s="231"/>
      <c r="AZ152" s="231"/>
      <c r="BA152" s="231"/>
      <c r="BB152" s="231"/>
      <c r="BC152" s="231"/>
      <c r="BD152" s="231"/>
      <c r="BE152" s="231"/>
      <c r="BF152" s="231"/>
      <c r="BG152" s="231"/>
      <c r="BH152" s="231"/>
      <c r="BI152" s="231"/>
      <c r="BJ152" s="231"/>
      <c r="BK152" s="231"/>
      <c r="BL152" s="231"/>
      <c r="BM152" s="231"/>
      <c r="BN152" s="231"/>
      <c r="BO152" s="231"/>
      <c r="BP152" s="231"/>
      <c r="BQ152" s="231"/>
      <c r="BR152" s="231"/>
      <c r="BS152" s="231"/>
      <c r="BT152" s="231"/>
      <c r="BU152" s="231"/>
      <c r="BV152" s="231"/>
    </row>
    <row r="153" spans="1:74" s="135" customFormat="1" ht="50.1" customHeight="1" thickBot="1">
      <c r="A153" s="850"/>
      <c r="B153" s="853"/>
      <c r="C153" s="236">
        <v>5</v>
      </c>
      <c r="D153" s="243"/>
      <c r="E153" s="244"/>
      <c r="F153" s="244"/>
      <c r="G153" s="356"/>
      <c r="H153" s="304"/>
      <c r="I153" s="305"/>
      <c r="J153" s="246"/>
      <c r="K153" s="247"/>
      <c r="L153" s="246"/>
      <c r="M153" s="322">
        <f t="shared" si="15"/>
        <v>0</v>
      </c>
      <c r="N153" s="242"/>
      <c r="O153" s="865"/>
      <c r="P153" s="819"/>
      <c r="Q153" s="231"/>
      <c r="R153" s="384"/>
      <c r="S153" s="384"/>
      <c r="T153" s="231"/>
      <c r="U153" s="386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31"/>
      <c r="AT153" s="231"/>
      <c r="AU153" s="231"/>
      <c r="AV153" s="231"/>
      <c r="AW153" s="231"/>
      <c r="AX153" s="231"/>
      <c r="AY153" s="231"/>
      <c r="AZ153" s="231"/>
      <c r="BA153" s="231"/>
      <c r="BB153" s="231"/>
      <c r="BC153" s="231"/>
      <c r="BD153" s="231"/>
      <c r="BE153" s="231"/>
      <c r="BF153" s="231"/>
      <c r="BG153" s="231"/>
      <c r="BH153" s="231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1"/>
      <c r="BS153" s="231"/>
      <c r="BT153" s="231"/>
      <c r="BU153" s="231"/>
      <c r="BV153" s="231"/>
    </row>
    <row r="154" spans="1:74" s="135" customFormat="1" ht="15.75" customHeight="1" thickTop="1">
      <c r="A154" s="851"/>
      <c r="B154" s="854"/>
      <c r="C154" s="720"/>
      <c r="D154" s="721"/>
      <c r="E154" s="721"/>
      <c r="F154" s="721"/>
      <c r="G154" s="721"/>
      <c r="H154" s="721"/>
      <c r="I154" s="857"/>
      <c r="J154" s="248" t="s">
        <v>331</v>
      </c>
      <c r="K154" s="212" t="e">
        <f>M154/'生產管理報表 7-1 (週)'!$B$42</f>
        <v>#DIV/0!</v>
      </c>
      <c r="L154" s="248" t="s">
        <v>332</v>
      </c>
      <c r="M154" s="323">
        <f>SUM(M149:M153)</f>
        <v>0</v>
      </c>
      <c r="N154" s="808"/>
      <c r="O154" s="809"/>
      <c r="P154" s="810"/>
      <c r="Q154" s="231"/>
      <c r="R154" s="210"/>
      <c r="S154" s="210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31"/>
      <c r="AT154" s="231"/>
      <c r="AU154" s="231"/>
      <c r="AV154" s="231"/>
      <c r="AW154" s="231"/>
      <c r="AX154" s="231"/>
      <c r="AY154" s="231"/>
      <c r="AZ154" s="231"/>
      <c r="BA154" s="231"/>
      <c r="BB154" s="231"/>
      <c r="BC154" s="231"/>
      <c r="BD154" s="231"/>
      <c r="BE154" s="231"/>
      <c r="BF154" s="231"/>
      <c r="BG154" s="231"/>
      <c r="BH154" s="231"/>
      <c r="BI154" s="231"/>
      <c r="BJ154" s="231"/>
      <c r="BK154" s="231"/>
      <c r="BL154" s="231"/>
      <c r="BM154" s="231"/>
      <c r="BN154" s="231"/>
      <c r="BO154" s="231"/>
      <c r="BP154" s="231"/>
      <c r="BQ154" s="231"/>
      <c r="BR154" s="231"/>
      <c r="BS154" s="231"/>
      <c r="BT154" s="231"/>
      <c r="BU154" s="231"/>
      <c r="BV154" s="231"/>
    </row>
    <row r="155" spans="1:74" s="135" customFormat="1" ht="15.75" customHeight="1">
      <c r="B155" s="232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50"/>
      <c r="O155" s="250"/>
      <c r="P155" s="250"/>
      <c r="Q155" s="231"/>
      <c r="R155" s="260"/>
      <c r="S155" s="260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31"/>
      <c r="AT155" s="231"/>
      <c r="AU155" s="231"/>
      <c r="AV155" s="231"/>
      <c r="AW155" s="231"/>
      <c r="AX155" s="231"/>
      <c r="AY155" s="231"/>
      <c r="AZ155" s="231"/>
      <c r="BA155" s="231"/>
      <c r="BB155" s="231"/>
      <c r="BC155" s="231"/>
      <c r="BD155" s="231"/>
      <c r="BE155" s="231"/>
      <c r="BF155" s="231"/>
      <c r="BG155" s="231"/>
      <c r="BH155" s="231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1"/>
      <c r="BS155" s="231"/>
      <c r="BT155" s="231"/>
      <c r="BU155" s="231"/>
      <c r="BV155" s="231"/>
    </row>
    <row r="156" spans="1:74" s="135" customFormat="1" ht="15.75" customHeight="1">
      <c r="A156" s="744" t="s">
        <v>310</v>
      </c>
      <c r="B156" s="745"/>
      <c r="C156" s="251" t="s">
        <v>267</v>
      </c>
      <c r="D156" s="732" t="s">
        <v>268</v>
      </c>
      <c r="E156" s="733"/>
      <c r="F156" s="734"/>
      <c r="G156" s="732" t="s">
        <v>314</v>
      </c>
      <c r="H156" s="733"/>
      <c r="I156" s="734"/>
      <c r="J156" s="253" t="s">
        <v>315</v>
      </c>
      <c r="K156" s="253" t="s">
        <v>63</v>
      </c>
      <c r="L156" s="253" t="s">
        <v>316</v>
      </c>
      <c r="M156" s="253" t="s">
        <v>303</v>
      </c>
      <c r="N156" s="254" t="s">
        <v>317</v>
      </c>
      <c r="O156" s="811" t="s">
        <v>273</v>
      </c>
      <c r="P156" s="812"/>
      <c r="Q156" s="231"/>
      <c r="R156" s="210"/>
      <c r="S156" s="210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</row>
    <row r="157" spans="1:74" s="135" customFormat="1" ht="20.100000000000001" customHeight="1">
      <c r="A157" s="849">
        <v>2</v>
      </c>
      <c r="B157" s="852" t="s">
        <v>333</v>
      </c>
      <c r="C157" s="255">
        <v>1</v>
      </c>
      <c r="D157" s="237"/>
      <c r="E157" s="238"/>
      <c r="F157" s="239"/>
      <c r="G157" s="237"/>
      <c r="H157" s="238"/>
      <c r="I157" s="239"/>
      <c r="J157" s="256"/>
      <c r="K157" s="257"/>
      <c r="L157" s="256"/>
      <c r="M157" s="258">
        <f t="shared" ref="M157:M161" si="16">L157*J157</f>
        <v>0</v>
      </c>
      <c r="N157" s="259"/>
      <c r="O157" s="813"/>
      <c r="P157" s="814"/>
      <c r="Q157" s="231"/>
      <c r="R157" s="260"/>
      <c r="S157" s="260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</row>
    <row r="158" spans="1:74" s="135" customFormat="1" ht="20.100000000000001" customHeight="1">
      <c r="A158" s="850"/>
      <c r="B158" s="853"/>
      <c r="C158" s="255">
        <v>2</v>
      </c>
      <c r="D158" s="237"/>
      <c r="E158" s="238"/>
      <c r="F158" s="239"/>
      <c r="G158" s="237"/>
      <c r="H158" s="238"/>
      <c r="I158" s="239"/>
      <c r="J158" s="256"/>
      <c r="K158" s="257"/>
      <c r="L158" s="256"/>
      <c r="M158" s="258">
        <f t="shared" si="16"/>
        <v>0</v>
      </c>
      <c r="N158" s="259"/>
      <c r="O158" s="813"/>
      <c r="P158" s="814"/>
      <c r="Q158" s="231"/>
      <c r="R158" s="210"/>
      <c r="S158" s="210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</row>
    <row r="159" spans="1:74" s="135" customFormat="1" ht="20.100000000000001" customHeight="1">
      <c r="A159" s="850"/>
      <c r="B159" s="853"/>
      <c r="C159" s="255">
        <v>3</v>
      </c>
      <c r="D159" s="237"/>
      <c r="E159" s="238"/>
      <c r="F159" s="239"/>
      <c r="G159" s="237"/>
      <c r="H159" s="238"/>
      <c r="I159" s="267"/>
      <c r="J159" s="256"/>
      <c r="K159" s="257"/>
      <c r="L159" s="256"/>
      <c r="M159" s="258">
        <f t="shared" si="16"/>
        <v>0</v>
      </c>
      <c r="N159" s="259"/>
      <c r="O159" s="813"/>
      <c r="P159" s="814"/>
      <c r="Q159" s="231"/>
      <c r="R159" s="260"/>
      <c r="S159" s="260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</row>
    <row r="160" spans="1:74" s="135" customFormat="1" ht="20.100000000000001" customHeight="1">
      <c r="A160" s="850"/>
      <c r="B160" s="853"/>
      <c r="C160" s="255">
        <v>4</v>
      </c>
      <c r="D160" s="237"/>
      <c r="E160" s="238"/>
      <c r="F160" s="239"/>
      <c r="G160" s="237"/>
      <c r="H160" s="238"/>
      <c r="I160" s="239"/>
      <c r="J160" s="256"/>
      <c r="K160" s="257"/>
      <c r="L160" s="256"/>
      <c r="M160" s="258">
        <f t="shared" si="16"/>
        <v>0</v>
      </c>
      <c r="N160" s="259"/>
      <c r="O160" s="813"/>
      <c r="P160" s="814"/>
      <c r="Q160" s="231"/>
      <c r="R160" s="210"/>
      <c r="S160" s="210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</row>
    <row r="161" spans="1:35" s="135" customFormat="1" ht="20.100000000000001" customHeight="1" thickBot="1">
      <c r="A161" s="850"/>
      <c r="B161" s="853"/>
      <c r="C161" s="261">
        <v>5</v>
      </c>
      <c r="D161" s="243"/>
      <c r="E161" s="244"/>
      <c r="F161" s="245"/>
      <c r="G161" s="237"/>
      <c r="H161" s="238"/>
      <c r="I161" s="239"/>
      <c r="J161" s="262"/>
      <c r="K161" s="263"/>
      <c r="L161" s="262"/>
      <c r="M161" s="264">
        <f t="shared" si="16"/>
        <v>0</v>
      </c>
      <c r="N161" s="265"/>
      <c r="O161" s="813"/>
      <c r="P161" s="814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</row>
    <row r="162" spans="1:35" s="135" customFormat="1" ht="15.75" customHeight="1" thickTop="1">
      <c r="A162" s="851"/>
      <c r="B162" s="854"/>
      <c r="C162" s="720"/>
      <c r="D162" s="721"/>
      <c r="E162" s="721"/>
      <c r="F162" s="721"/>
      <c r="G162" s="721"/>
      <c r="H162" s="721"/>
      <c r="I162" s="857"/>
      <c r="J162" s="248" t="s">
        <v>331</v>
      </c>
      <c r="K162" s="212" t="e">
        <f>M162/'生產管理報表 7-1 (週)'!$B$42</f>
        <v>#DIV/0!</v>
      </c>
      <c r="L162" s="248" t="s">
        <v>332</v>
      </c>
      <c r="M162" s="249">
        <f>SUM(M157:M161)</f>
        <v>0</v>
      </c>
      <c r="N162" s="815"/>
      <c r="O162" s="816"/>
      <c r="P162" s="817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</row>
    <row r="163" spans="1:35" s="135" customFormat="1" ht="15.75" customHeight="1">
      <c r="B163" s="232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66"/>
      <c r="O163" s="266"/>
      <c r="P163" s="266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</row>
    <row r="164" spans="1:35" s="135" customFormat="1" ht="15.75" customHeight="1">
      <c r="A164" s="744" t="s">
        <v>310</v>
      </c>
      <c r="B164" s="745"/>
      <c r="C164" s="251" t="s">
        <v>267</v>
      </c>
      <c r="D164" s="732" t="s">
        <v>268</v>
      </c>
      <c r="E164" s="733"/>
      <c r="F164" s="734"/>
      <c r="G164" s="732" t="s">
        <v>314</v>
      </c>
      <c r="H164" s="733"/>
      <c r="I164" s="848"/>
      <c r="J164" s="252" t="s">
        <v>315</v>
      </c>
      <c r="K164" s="253" t="s">
        <v>63</v>
      </c>
      <c r="L164" s="253" t="s">
        <v>316</v>
      </c>
      <c r="M164" s="253" t="s">
        <v>303</v>
      </c>
      <c r="N164" s="254" t="s">
        <v>317</v>
      </c>
      <c r="O164" s="823" t="s">
        <v>273</v>
      </c>
      <c r="P164" s="824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</row>
    <row r="165" spans="1:35" s="135" customFormat="1" ht="50.1" customHeight="1">
      <c r="A165" s="849">
        <v>3</v>
      </c>
      <c r="B165" s="852" t="s">
        <v>334</v>
      </c>
      <c r="C165" s="255">
        <v>1</v>
      </c>
      <c r="D165" s="237"/>
      <c r="E165" s="238"/>
      <c r="F165" s="239"/>
      <c r="G165" s="245"/>
      <c r="H165" s="244"/>
      <c r="I165" s="245"/>
      <c r="J165" s="256"/>
      <c r="K165" s="257"/>
      <c r="L165" s="256"/>
      <c r="M165" s="324">
        <f t="shared" ref="M165:M169" si="17">L165*J165</f>
        <v>0</v>
      </c>
      <c r="N165" s="269"/>
      <c r="O165" s="855"/>
      <c r="P165" s="856"/>
      <c r="Q165" s="231"/>
      <c r="R165" s="386"/>
      <c r="S165" s="386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</row>
    <row r="166" spans="1:35" s="135" customFormat="1" ht="50.1" customHeight="1">
      <c r="A166" s="850"/>
      <c r="B166" s="853"/>
      <c r="C166" s="255">
        <v>2</v>
      </c>
      <c r="D166" s="237"/>
      <c r="E166" s="238"/>
      <c r="F166" s="239"/>
      <c r="G166" s="245"/>
      <c r="H166" s="244"/>
      <c r="I166" s="245"/>
      <c r="J166" s="256"/>
      <c r="K166" s="257"/>
      <c r="L166" s="256"/>
      <c r="M166" s="324">
        <f t="shared" si="17"/>
        <v>0</v>
      </c>
      <c r="N166" s="269"/>
      <c r="O166" s="818"/>
      <c r="P166" s="819"/>
      <c r="Q166" s="231"/>
      <c r="R166" s="386"/>
      <c r="S166" s="392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</row>
    <row r="167" spans="1:35" s="135" customFormat="1" ht="50.1" customHeight="1">
      <c r="A167" s="850"/>
      <c r="B167" s="853"/>
      <c r="C167" s="255">
        <v>3</v>
      </c>
      <c r="D167" s="237"/>
      <c r="E167" s="238"/>
      <c r="F167" s="239"/>
      <c r="G167" s="245"/>
      <c r="H167" s="244"/>
      <c r="I167" s="245"/>
      <c r="J167" s="256"/>
      <c r="K167" s="257"/>
      <c r="L167" s="256"/>
      <c r="M167" s="324">
        <f t="shared" si="17"/>
        <v>0</v>
      </c>
      <c r="N167" s="269"/>
      <c r="O167" s="818"/>
      <c r="P167" s="819"/>
      <c r="Q167" s="386"/>
      <c r="R167" s="386"/>
      <c r="S167" s="392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</row>
    <row r="168" spans="1:35" s="135" customFormat="1" ht="50.1" customHeight="1">
      <c r="A168" s="850"/>
      <c r="B168" s="853"/>
      <c r="C168" s="255">
        <v>4</v>
      </c>
      <c r="D168" s="237"/>
      <c r="E168" s="238"/>
      <c r="F168" s="239"/>
      <c r="G168" s="357"/>
      <c r="H168" s="358"/>
      <c r="I168" s="374"/>
      <c r="J168" s="268"/>
      <c r="K168" s="257"/>
      <c r="L168" s="256"/>
      <c r="M168" s="324">
        <f t="shared" si="17"/>
        <v>0</v>
      </c>
      <c r="N168" s="269"/>
      <c r="O168" s="818"/>
      <c r="P168" s="819"/>
      <c r="Q168" s="231"/>
      <c r="R168" s="231"/>
      <c r="S168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</row>
    <row r="169" spans="1:35" s="135" customFormat="1" ht="50.1" customHeight="1" thickBot="1">
      <c r="A169" s="850"/>
      <c r="B169" s="853"/>
      <c r="C169" s="261">
        <v>5</v>
      </c>
      <c r="D169" s="243"/>
      <c r="E169" s="244"/>
      <c r="F169" s="245"/>
      <c r="G169" s="243"/>
      <c r="H169" s="244"/>
      <c r="I169" s="270"/>
      <c r="J169" s="271"/>
      <c r="K169" s="263"/>
      <c r="L169" s="272"/>
      <c r="M169" s="324">
        <f t="shared" si="17"/>
        <v>0</v>
      </c>
      <c r="N169" s="269"/>
      <c r="O169" s="818"/>
      <c r="P169" s="819"/>
      <c r="Q169" s="231"/>
      <c r="R169" s="231"/>
      <c r="S169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</row>
    <row r="170" spans="1:35" s="135" customFormat="1" ht="15.75" customHeight="1" thickTop="1">
      <c r="A170" s="851"/>
      <c r="B170" s="854"/>
      <c r="C170" s="720"/>
      <c r="D170" s="721"/>
      <c r="E170" s="721"/>
      <c r="F170" s="721"/>
      <c r="G170" s="721"/>
      <c r="H170" s="721"/>
      <c r="I170" s="857"/>
      <c r="J170" s="273" t="s">
        <v>331</v>
      </c>
      <c r="K170" s="212" t="e">
        <f>M170/'生產管理報表 7-1 (週)'!$B$42</f>
        <v>#DIV/0!</v>
      </c>
      <c r="L170" s="273" t="s">
        <v>332</v>
      </c>
      <c r="M170" s="325">
        <f>SUM(M165:M169)</f>
        <v>0</v>
      </c>
      <c r="N170" s="820"/>
      <c r="O170" s="821"/>
      <c r="P170" s="822"/>
      <c r="Q170" s="231"/>
      <c r="R170" s="231"/>
      <c r="S170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</row>
  </sheetData>
  <mergeCells count="331"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O160:P160"/>
    <mergeCell ref="O161:P161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1:P2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3:M4"/>
    <mergeCell ref="A5:A6"/>
    <mergeCell ref="B5:C5"/>
    <mergeCell ref="D5:E5"/>
    <mergeCell ref="F5:G5"/>
    <mergeCell ref="H5:I5"/>
    <mergeCell ref="J5:K5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5" manualBreakCount="5">
    <brk id="30" max="15" man="1"/>
    <brk id="58" max="15" man="1"/>
    <brk id="86" max="15" man="1"/>
    <brk id="114" max="15" man="1"/>
    <brk id="142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9">
    <tabColor rgb="FF92D050"/>
    <outlinePr summaryBelow="0" summaryRight="0"/>
  </sheetPr>
  <dimension ref="A1:T219"/>
  <sheetViews>
    <sheetView view="pageBreakPreview" zoomScale="91" zoomScaleNormal="60" zoomScaleSheetLayoutView="91" workbookViewId="0">
      <selection activeCell="A183" sqref="A183:M184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98" customFormat="1" ht="15.75" customHeight="1">
      <c r="A1" s="580" t="s">
        <v>295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</row>
    <row r="2" spans="1:20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</row>
    <row r="3" spans="1:20" s="135" customFormat="1" ht="15.75" customHeight="1">
      <c r="A3" s="868" t="s">
        <v>382</v>
      </c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520"/>
      <c r="O3" s="520"/>
      <c r="P3" s="521"/>
      <c r="Q3" s="231"/>
      <c r="R3" s="231"/>
      <c r="S3" s="231"/>
      <c r="T3" s="231"/>
    </row>
    <row r="4" spans="1:20" s="136" customFormat="1" ht="15.75" customHeight="1">
      <c r="A4" s="869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  <c r="P4" s="522"/>
    </row>
    <row r="5" spans="1:20" s="135" customFormat="1" ht="12">
      <c r="A5" s="742" t="s">
        <v>310</v>
      </c>
      <c r="B5" s="744">
        <v>1</v>
      </c>
      <c r="C5" s="745"/>
      <c r="D5" s="744">
        <v>2</v>
      </c>
      <c r="E5" s="745"/>
      <c r="F5" s="744">
        <v>3</v>
      </c>
      <c r="G5" s="745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51">
        <v>8</v>
      </c>
    </row>
    <row r="6" spans="1:20" s="135" customFormat="1">
      <c r="A6" s="743"/>
      <c r="B6" s="739" t="s">
        <v>299</v>
      </c>
      <c r="C6" s="740"/>
      <c r="D6" s="739" t="s">
        <v>311</v>
      </c>
      <c r="E6" s="740"/>
      <c r="F6" s="739" t="s">
        <v>301</v>
      </c>
      <c r="G6" s="740"/>
      <c r="H6" s="737" t="s">
        <v>312</v>
      </c>
      <c r="I6" s="738"/>
      <c r="J6" s="737" t="s">
        <v>306</v>
      </c>
      <c r="K6" s="738"/>
      <c r="L6" s="737" t="s">
        <v>307</v>
      </c>
      <c r="M6" s="738"/>
      <c r="N6" s="737" t="s">
        <v>308</v>
      </c>
      <c r="O6" s="738"/>
      <c r="P6" s="352" t="s">
        <v>313</v>
      </c>
    </row>
    <row r="7" spans="1:20" s="135" customFormat="1" ht="15.75" customHeight="1">
      <c r="B7" s="232"/>
      <c r="C7" s="233"/>
    </row>
    <row r="8" spans="1:20" s="277" customFormat="1">
      <c r="A8" s="746" t="s">
        <v>310</v>
      </c>
      <c r="B8" s="747"/>
      <c r="C8" s="274" t="s">
        <v>267</v>
      </c>
      <c r="D8" s="748" t="s">
        <v>268</v>
      </c>
      <c r="E8" s="749"/>
      <c r="F8" s="750"/>
      <c r="G8" s="751" t="s">
        <v>314</v>
      </c>
      <c r="H8" s="752"/>
      <c r="I8" s="753"/>
      <c r="J8" s="275" t="s">
        <v>315</v>
      </c>
      <c r="K8" s="275" t="s">
        <v>63</v>
      </c>
      <c r="L8" s="275" t="s">
        <v>316</v>
      </c>
      <c r="M8" s="276" t="s">
        <v>303</v>
      </c>
      <c r="N8" s="276" t="s">
        <v>317</v>
      </c>
      <c r="O8" s="754" t="s">
        <v>273</v>
      </c>
      <c r="P8" s="755"/>
      <c r="R8" s="210"/>
      <c r="S8" s="260"/>
    </row>
    <row r="9" spans="1:20" s="297" customFormat="1" ht="20.100000000000001" customHeight="1">
      <c r="A9" s="756">
        <v>4</v>
      </c>
      <c r="B9" s="759" t="s">
        <v>312</v>
      </c>
      <c r="C9" s="278">
        <v>1</v>
      </c>
      <c r="D9" s="237"/>
      <c r="E9" s="238"/>
      <c r="F9" s="239"/>
      <c r="G9" s="349"/>
      <c r="H9" s="304"/>
      <c r="I9" s="305"/>
      <c r="J9" s="311"/>
      <c r="K9" s="312"/>
      <c r="L9" s="313"/>
      <c r="M9" s="321">
        <f t="shared" ref="M9:M13" si="0">L9*J9</f>
        <v>0</v>
      </c>
      <c r="N9" s="313"/>
      <c r="O9" s="855"/>
      <c r="P9" s="856"/>
      <c r="R9" s="314"/>
      <c r="S9" s="260"/>
    </row>
    <row r="10" spans="1:20" s="297" customFormat="1" ht="20.100000000000001" customHeight="1">
      <c r="A10" s="757"/>
      <c r="B10" s="760"/>
      <c r="C10" s="278">
        <v>2</v>
      </c>
      <c r="D10" s="237"/>
      <c r="E10" s="238"/>
      <c r="F10" s="239"/>
      <c r="G10" s="349"/>
      <c r="H10" s="304"/>
      <c r="I10" s="305"/>
      <c r="J10" s="311"/>
      <c r="K10" s="312"/>
      <c r="L10" s="313"/>
      <c r="M10" s="321">
        <f t="shared" si="0"/>
        <v>0</v>
      </c>
      <c r="N10" s="313"/>
      <c r="O10" s="764"/>
      <c r="P10" s="765"/>
      <c r="R10" s="314"/>
      <c r="S10" s="210"/>
      <c r="T10" s="334"/>
    </row>
    <row r="11" spans="1:20" s="297" customFormat="1" ht="20.100000000000001" customHeight="1">
      <c r="A11" s="757"/>
      <c r="B11" s="760"/>
      <c r="C11" s="278">
        <v>3</v>
      </c>
      <c r="D11" s="237"/>
      <c r="E11" s="238"/>
      <c r="F11" s="239"/>
      <c r="G11" s="349"/>
      <c r="H11" s="304"/>
      <c r="I11" s="305"/>
      <c r="J11" s="311"/>
      <c r="K11" s="312"/>
      <c r="L11" s="313"/>
      <c r="M11" s="321">
        <f t="shared" si="0"/>
        <v>0</v>
      </c>
      <c r="N11" s="313"/>
      <c r="O11" s="855"/>
      <c r="P11" s="856"/>
      <c r="R11" s="314"/>
      <c r="S11" s="260"/>
    </row>
    <row r="12" spans="1:20" s="297" customFormat="1" ht="20.100000000000001" customHeight="1">
      <c r="A12" s="757"/>
      <c r="B12" s="760"/>
      <c r="C12" s="278">
        <v>4</v>
      </c>
      <c r="D12" s="237"/>
      <c r="E12" s="238"/>
      <c r="F12" s="239"/>
      <c r="G12" s="349"/>
      <c r="H12" s="304"/>
      <c r="I12" s="305"/>
      <c r="J12" s="311"/>
      <c r="K12" s="312"/>
      <c r="L12" s="313"/>
      <c r="M12" s="321">
        <f t="shared" si="0"/>
        <v>0</v>
      </c>
      <c r="N12" s="313"/>
      <c r="O12" s="855"/>
      <c r="P12" s="856"/>
      <c r="R12" s="314"/>
      <c r="S12" s="210"/>
      <c r="T12" s="334"/>
    </row>
    <row r="13" spans="1:20" s="297" customFormat="1" ht="20.100000000000001" customHeight="1" thickBot="1">
      <c r="A13" s="757"/>
      <c r="B13" s="760"/>
      <c r="C13" s="278">
        <v>5</v>
      </c>
      <c r="D13" s="237"/>
      <c r="E13" s="244"/>
      <c r="F13" s="245"/>
      <c r="G13" s="349"/>
      <c r="H13" s="304"/>
      <c r="I13" s="305"/>
      <c r="J13" s="382"/>
      <c r="K13" s="378"/>
      <c r="L13" s="316"/>
      <c r="M13" s="321">
        <f t="shared" si="0"/>
        <v>0</v>
      </c>
      <c r="N13" s="313"/>
      <c r="O13" s="855"/>
      <c r="P13" s="856"/>
      <c r="R13" s="317"/>
      <c r="S13" s="260"/>
      <c r="T13" s="288"/>
    </row>
    <row r="14" spans="1:20" s="288" customFormat="1" thickTop="1" thickBot="1">
      <c r="A14" s="758"/>
      <c r="B14" s="761"/>
      <c r="C14" s="770"/>
      <c r="D14" s="771"/>
      <c r="E14" s="771"/>
      <c r="F14" s="771"/>
      <c r="G14" s="771"/>
      <c r="H14" s="771"/>
      <c r="I14" s="772"/>
      <c r="J14" s="346" t="s">
        <v>331</v>
      </c>
      <c r="K14" s="212">
        <f>M14/'生產管理報表 7-1 (週)'!$B$9</f>
        <v>0</v>
      </c>
      <c r="L14" s="347" t="s">
        <v>332</v>
      </c>
      <c r="M14" s="383">
        <f>SUM(M9:M13)</f>
        <v>0</v>
      </c>
      <c r="N14" s="773"/>
      <c r="O14" s="774"/>
      <c r="P14" s="775"/>
      <c r="R14" s="210"/>
      <c r="S14" s="210"/>
    </row>
    <row r="15" spans="1:20" s="288" customFormat="1" ht="15.75" customHeight="1" thickTop="1">
      <c r="B15" s="296"/>
      <c r="C15" s="297"/>
      <c r="M15" s="328"/>
      <c r="S15" s="260"/>
    </row>
    <row r="16" spans="1:20" s="288" customFormat="1" ht="14.25">
      <c r="A16" s="746" t="s">
        <v>310</v>
      </c>
      <c r="B16" s="747"/>
      <c r="C16" s="274" t="s">
        <v>267</v>
      </c>
      <c r="D16" s="748" t="s">
        <v>268</v>
      </c>
      <c r="E16" s="749"/>
      <c r="F16" s="750"/>
      <c r="G16" s="751" t="s">
        <v>314</v>
      </c>
      <c r="H16" s="752"/>
      <c r="I16" s="753"/>
      <c r="J16" s="275" t="s">
        <v>315</v>
      </c>
      <c r="K16" s="275" t="s">
        <v>63</v>
      </c>
      <c r="L16" s="275" t="s">
        <v>316</v>
      </c>
      <c r="M16" s="329" t="s">
        <v>303</v>
      </c>
      <c r="N16" s="276" t="s">
        <v>317</v>
      </c>
      <c r="O16" s="754" t="s">
        <v>273</v>
      </c>
      <c r="P16" s="755"/>
      <c r="S16" s="210"/>
      <c r="T16" s="334"/>
    </row>
    <row r="17" spans="1:20" s="297" customFormat="1" ht="59.25" customHeight="1">
      <c r="A17" s="756">
        <v>5</v>
      </c>
      <c r="B17" s="776" t="s">
        <v>347</v>
      </c>
      <c r="C17" s="278">
        <v>1</v>
      </c>
      <c r="D17" s="237"/>
      <c r="E17" s="238"/>
      <c r="F17" s="239"/>
      <c r="G17" s="305"/>
      <c r="H17" s="304"/>
      <c r="I17" s="305"/>
      <c r="J17" s="311"/>
      <c r="K17" s="312"/>
      <c r="L17" s="313"/>
      <c r="M17" s="321">
        <f>L17*J17</f>
        <v>0</v>
      </c>
      <c r="N17" s="313"/>
      <c r="O17" s="764"/>
      <c r="P17" s="765"/>
      <c r="R17" s="334"/>
      <c r="S17" s="384"/>
    </row>
    <row r="18" spans="1:20" s="297" customFormat="1" ht="20.100000000000001" customHeight="1">
      <c r="A18" s="757"/>
      <c r="B18" s="777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ref="M18:M21" si="1">L18*J18</f>
        <v>0</v>
      </c>
      <c r="N18" s="313"/>
      <c r="O18" s="764"/>
      <c r="P18" s="765"/>
      <c r="S18" s="210"/>
      <c r="T18" s="335"/>
    </row>
    <row r="19" spans="1:20" s="288" customFormat="1" ht="20.100000000000001" customHeight="1">
      <c r="A19" s="757"/>
      <c r="B19" s="777"/>
      <c r="C19" s="278">
        <v>3</v>
      </c>
      <c r="D19" s="237"/>
      <c r="E19" s="280"/>
      <c r="F19" s="281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781"/>
      <c r="P19" s="782"/>
    </row>
    <row r="20" spans="1:20" s="288" customFormat="1" ht="20.100000000000001" customHeight="1">
      <c r="A20" s="757"/>
      <c r="B20" s="777"/>
      <c r="C20" s="278">
        <v>4</v>
      </c>
      <c r="D20" s="237"/>
      <c r="E20" s="280"/>
      <c r="F20" s="281"/>
      <c r="G20" s="349"/>
      <c r="H20" s="304"/>
      <c r="I20" s="305"/>
      <c r="J20" s="311"/>
      <c r="K20" s="312"/>
      <c r="L20" s="313"/>
      <c r="M20" s="321">
        <f t="shared" si="1"/>
        <v>0</v>
      </c>
      <c r="N20" s="287"/>
      <c r="O20" s="764"/>
      <c r="P20" s="765"/>
    </row>
    <row r="21" spans="1:20" s="288" customFormat="1" ht="20.100000000000001" customHeight="1" thickBot="1">
      <c r="A21" s="757"/>
      <c r="B21" s="777"/>
      <c r="C21" s="278">
        <v>5</v>
      </c>
      <c r="D21" s="243"/>
      <c r="E21" s="290"/>
      <c r="F21" s="291"/>
      <c r="G21" s="349"/>
      <c r="H21" s="304"/>
      <c r="I21" s="305"/>
      <c r="J21" s="382"/>
      <c r="K21" s="378"/>
      <c r="L21" s="316"/>
      <c r="M21" s="321">
        <f t="shared" si="1"/>
        <v>0</v>
      </c>
      <c r="N21" s="287"/>
      <c r="O21" s="872"/>
      <c r="P21" s="873"/>
      <c r="R21" s="211"/>
    </row>
    <row r="22" spans="1:20" s="288" customFormat="1" thickTop="1" thickBot="1">
      <c r="A22" s="758"/>
      <c r="B22" s="778"/>
      <c r="C22" s="785"/>
      <c r="D22" s="786"/>
      <c r="E22" s="786"/>
      <c r="F22" s="786"/>
      <c r="G22" s="786"/>
      <c r="H22" s="786"/>
      <c r="I22" s="787"/>
      <c r="J22" s="346"/>
      <c r="K22" s="212">
        <f>M22/'生產管理報表 7-1 (週)'!$B$9</f>
        <v>0</v>
      </c>
      <c r="L22" s="347" t="s">
        <v>332</v>
      </c>
      <c r="M22" s="383">
        <f>SUM(M17:M21)</f>
        <v>0</v>
      </c>
      <c r="N22" s="773"/>
      <c r="O22" s="774"/>
      <c r="P22" s="775"/>
      <c r="R22" s="210"/>
    </row>
    <row r="23" spans="1:20" s="288" customFormat="1" ht="15.75" customHeight="1" thickTop="1">
      <c r="B23" s="296"/>
      <c r="C23" s="297"/>
      <c r="M23" s="328"/>
      <c r="R23" s="210"/>
    </row>
    <row r="24" spans="1:20" s="288" customFormat="1" ht="14.25">
      <c r="A24" s="746" t="s">
        <v>310</v>
      </c>
      <c r="B24" s="747"/>
      <c r="C24" s="302" t="s">
        <v>267</v>
      </c>
      <c r="D24" s="790" t="s">
        <v>268</v>
      </c>
      <c r="E24" s="791"/>
      <c r="F24" s="792"/>
      <c r="G24" s="793" t="s">
        <v>314</v>
      </c>
      <c r="H24" s="794"/>
      <c r="I24" s="795"/>
      <c r="J24" s="303" t="s">
        <v>315</v>
      </c>
      <c r="K24" s="275" t="s">
        <v>63</v>
      </c>
      <c r="L24" s="275" t="s">
        <v>316</v>
      </c>
      <c r="M24" s="329" t="s">
        <v>303</v>
      </c>
      <c r="N24" s="276" t="s">
        <v>317</v>
      </c>
      <c r="O24" s="754" t="s">
        <v>273</v>
      </c>
      <c r="P24" s="755"/>
      <c r="R24" s="210"/>
      <c r="S24" s="2"/>
    </row>
    <row r="25" spans="1:20" s="288" customFormat="1" ht="39.950000000000003" customHeight="1">
      <c r="A25" s="756">
        <v>6</v>
      </c>
      <c r="B25" s="776" t="s">
        <v>352</v>
      </c>
      <c r="C25" s="278">
        <v>1</v>
      </c>
      <c r="D25" s="336"/>
      <c r="E25" s="280"/>
      <c r="F25" s="281"/>
      <c r="G25" s="240"/>
      <c r="H25" s="304"/>
      <c r="I25" s="240"/>
      <c r="J25" s="311"/>
      <c r="K25" s="312"/>
      <c r="L25" s="313"/>
      <c r="M25" s="321">
        <f t="shared" ref="M25:M29" si="2">L25*J25</f>
        <v>0</v>
      </c>
      <c r="N25" s="287"/>
      <c r="O25" s="781"/>
      <c r="P25" s="782"/>
      <c r="R25" s="335"/>
      <c r="S25" s="391"/>
    </row>
    <row r="26" spans="1:20" s="297" customFormat="1" ht="39.950000000000003" customHeight="1">
      <c r="A26" s="757"/>
      <c r="B26" s="777"/>
      <c r="C26" s="278">
        <v>2</v>
      </c>
      <c r="D26" s="237"/>
      <c r="E26" s="238"/>
      <c r="F26" s="239"/>
      <c r="G26" s="240"/>
      <c r="H26" s="304"/>
      <c r="I26" s="240"/>
      <c r="J26" s="311"/>
      <c r="K26" s="312"/>
      <c r="L26" s="313"/>
      <c r="M26" s="321">
        <f t="shared" si="2"/>
        <v>0</v>
      </c>
      <c r="N26" s="313"/>
      <c r="O26" s="870"/>
      <c r="P26" s="871"/>
      <c r="S26" s="96"/>
    </row>
    <row r="27" spans="1:20" s="288" customFormat="1" ht="39.950000000000003" customHeight="1">
      <c r="A27" s="757"/>
      <c r="B27" s="777"/>
      <c r="C27" s="278">
        <v>3</v>
      </c>
      <c r="D27" s="237"/>
      <c r="E27" s="280"/>
      <c r="F27" s="281"/>
      <c r="G27" s="240"/>
      <c r="H27" s="304"/>
      <c r="I27" s="284"/>
      <c r="J27" s="311"/>
      <c r="K27" s="312"/>
      <c r="L27" s="313"/>
      <c r="M27" s="321">
        <f t="shared" si="2"/>
        <v>0</v>
      </c>
      <c r="N27" s="287"/>
      <c r="O27" s="870"/>
      <c r="P27" s="871"/>
      <c r="S27" s="2"/>
    </row>
    <row r="28" spans="1:20" s="288" customFormat="1" ht="39.950000000000003" customHeight="1">
      <c r="A28" s="757"/>
      <c r="B28" s="777"/>
      <c r="C28" s="278">
        <v>4</v>
      </c>
      <c r="D28" s="237"/>
      <c r="E28" s="280"/>
      <c r="F28" s="281"/>
      <c r="G28" s="240"/>
      <c r="H28" s="304"/>
      <c r="I28" s="284"/>
      <c r="J28" s="311"/>
      <c r="K28" s="312"/>
      <c r="L28" s="313"/>
      <c r="M28" s="321">
        <f t="shared" si="2"/>
        <v>0</v>
      </c>
      <c r="N28" s="287"/>
      <c r="O28" s="870"/>
      <c r="P28" s="871"/>
      <c r="R28" s="2"/>
      <c r="S28" s="2"/>
    </row>
    <row r="29" spans="1:20" s="288" customFormat="1" ht="39.950000000000003" customHeight="1" thickBot="1">
      <c r="A29" s="757"/>
      <c r="B29" s="777"/>
      <c r="C29" s="278">
        <v>5</v>
      </c>
      <c r="D29" s="243"/>
      <c r="E29" s="290"/>
      <c r="F29" s="291"/>
      <c r="G29" s="240"/>
      <c r="H29" s="304"/>
      <c r="I29" s="284"/>
      <c r="J29" s="382"/>
      <c r="K29" s="378"/>
      <c r="L29" s="316"/>
      <c r="M29" s="321">
        <f t="shared" si="2"/>
        <v>0</v>
      </c>
      <c r="N29" s="287"/>
      <c r="O29" s="870"/>
      <c r="P29" s="871"/>
      <c r="R29" s="2"/>
      <c r="S29" s="2"/>
    </row>
    <row r="30" spans="1:20" s="288" customFormat="1" thickTop="1" thickBot="1">
      <c r="A30" s="758"/>
      <c r="B30" s="778"/>
      <c r="C30" s="785"/>
      <c r="D30" s="786"/>
      <c r="E30" s="786"/>
      <c r="F30" s="786"/>
      <c r="G30" s="786"/>
      <c r="H30" s="786"/>
      <c r="I30" s="787"/>
      <c r="J30" s="346" t="s">
        <v>331</v>
      </c>
      <c r="K30" s="212">
        <f>M30/'生產管理報表 7-1 (週)'!$B$9</f>
        <v>0</v>
      </c>
      <c r="L30" s="347" t="s">
        <v>332</v>
      </c>
      <c r="M30" s="383">
        <f>SUM(M25:M29)</f>
        <v>0</v>
      </c>
      <c r="N30" s="773"/>
      <c r="O30" s="774"/>
      <c r="P30" s="775"/>
      <c r="R30" s="2"/>
      <c r="S30" s="2"/>
    </row>
    <row r="31" spans="1:20" s="288" customFormat="1" ht="15.75" customHeight="1" thickTop="1">
      <c r="B31" s="296"/>
      <c r="C31" s="297"/>
      <c r="M31" s="328"/>
      <c r="R31" s="2"/>
      <c r="S31" s="2"/>
    </row>
    <row r="32" spans="1:20" s="288" customFormat="1" ht="14.25">
      <c r="A32" s="746" t="s">
        <v>310</v>
      </c>
      <c r="B32" s="747"/>
      <c r="C32" s="302" t="s">
        <v>267</v>
      </c>
      <c r="D32" s="790" t="s">
        <v>268</v>
      </c>
      <c r="E32" s="791"/>
      <c r="F32" s="792"/>
      <c r="G32" s="793" t="s">
        <v>314</v>
      </c>
      <c r="H32" s="794"/>
      <c r="I32" s="795"/>
      <c r="J32" s="303" t="s">
        <v>315</v>
      </c>
      <c r="K32" s="275" t="s">
        <v>63</v>
      </c>
      <c r="L32" s="275" t="s">
        <v>316</v>
      </c>
      <c r="M32" s="329" t="s">
        <v>303</v>
      </c>
      <c r="N32" s="276" t="s">
        <v>317</v>
      </c>
      <c r="O32" s="754" t="s">
        <v>273</v>
      </c>
      <c r="P32" s="755"/>
      <c r="R32" s="2"/>
      <c r="S32" s="2"/>
    </row>
    <row r="33" spans="1:20" s="288" customFormat="1" ht="20.100000000000001" customHeight="1">
      <c r="A33" s="756">
        <v>7</v>
      </c>
      <c r="B33" s="798" t="s">
        <v>364</v>
      </c>
      <c r="C33" s="278">
        <v>1</v>
      </c>
      <c r="D33" s="279"/>
      <c r="E33" s="280"/>
      <c r="F33" s="281"/>
      <c r="G33" s="282"/>
      <c r="H33" s="283"/>
      <c r="I33" s="284"/>
      <c r="J33" s="285"/>
      <c r="K33" s="286"/>
      <c r="L33" s="287"/>
      <c r="M33" s="330">
        <f t="shared" ref="M33:M35" si="3">L33*J33</f>
        <v>0</v>
      </c>
      <c r="N33" s="287"/>
      <c r="O33" s="801"/>
      <c r="P33" s="802"/>
      <c r="R33" s="2"/>
      <c r="S33" s="2"/>
    </row>
    <row r="34" spans="1:20" s="288" customFormat="1" ht="20.100000000000001" customHeight="1">
      <c r="A34" s="757"/>
      <c r="B34" s="799"/>
      <c r="C34" s="278">
        <v>2</v>
      </c>
      <c r="D34" s="279"/>
      <c r="E34" s="280"/>
      <c r="F34" s="281"/>
      <c r="G34" s="282"/>
      <c r="H34" s="283"/>
      <c r="I34" s="284"/>
      <c r="J34" s="285"/>
      <c r="K34" s="286"/>
      <c r="L34" s="287"/>
      <c r="M34" s="330">
        <f t="shared" si="3"/>
        <v>0</v>
      </c>
      <c r="N34" s="287"/>
      <c r="O34" s="803"/>
      <c r="P34" s="804"/>
      <c r="R34" s="2"/>
      <c r="S34" s="2"/>
    </row>
    <row r="35" spans="1:20" s="288" customFormat="1" ht="20.100000000000001" customHeight="1">
      <c r="A35" s="757"/>
      <c r="B35" s="799"/>
      <c r="C35" s="278">
        <v>3</v>
      </c>
      <c r="D35" s="279"/>
      <c r="E35" s="280"/>
      <c r="F35" s="281"/>
      <c r="G35" s="282"/>
      <c r="H35" s="283"/>
      <c r="I35" s="284"/>
      <c r="J35" s="285"/>
      <c r="K35" s="286"/>
      <c r="L35" s="287"/>
      <c r="M35" s="330">
        <f t="shared" si="3"/>
        <v>0</v>
      </c>
      <c r="N35" s="287"/>
      <c r="O35" s="803"/>
      <c r="P35" s="804"/>
      <c r="R35" s="2"/>
      <c r="S35" s="2"/>
    </row>
    <row r="36" spans="1:20" s="288" customFormat="1" ht="20.100000000000001" customHeight="1">
      <c r="A36" s="757"/>
      <c r="B36" s="799"/>
      <c r="C36" s="278">
        <v>4</v>
      </c>
      <c r="D36" s="279"/>
      <c r="E36" s="280"/>
      <c r="F36" s="281"/>
      <c r="G36" s="282"/>
      <c r="H36" s="283"/>
      <c r="I36" s="284"/>
      <c r="J36" s="285"/>
      <c r="K36" s="286"/>
      <c r="L36" s="287"/>
      <c r="M36" s="331">
        <v>0</v>
      </c>
      <c r="N36" s="287"/>
      <c r="O36" s="298"/>
      <c r="P36" s="299"/>
      <c r="R36" s="2"/>
      <c r="S36" s="2"/>
    </row>
    <row r="37" spans="1:20" s="288" customFormat="1" ht="20.100000000000001" customHeight="1" thickBot="1">
      <c r="A37" s="757"/>
      <c r="B37" s="799"/>
      <c r="C37" s="278">
        <v>5</v>
      </c>
      <c r="D37" s="289"/>
      <c r="E37" s="290"/>
      <c r="F37" s="291"/>
      <c r="G37" s="282"/>
      <c r="H37" s="283"/>
      <c r="I37" s="284"/>
      <c r="J37" s="382"/>
      <c r="K37" s="378"/>
      <c r="L37" s="316"/>
      <c r="M37" s="332">
        <v>0</v>
      </c>
      <c r="N37" s="287"/>
      <c r="O37" s="300"/>
      <c r="P37" s="301"/>
      <c r="R37" s="2"/>
      <c r="S37" s="2"/>
    </row>
    <row r="38" spans="1:20" s="288" customFormat="1" thickTop="1" thickBot="1">
      <c r="A38" s="758"/>
      <c r="B38" s="800"/>
      <c r="C38" s="785"/>
      <c r="D38" s="786"/>
      <c r="E38" s="786"/>
      <c r="F38" s="786"/>
      <c r="G38" s="786"/>
      <c r="H38" s="786"/>
      <c r="I38" s="787"/>
      <c r="J38" s="346" t="s">
        <v>331</v>
      </c>
      <c r="K38" s="212">
        <f>M38/'生產管理報表 7-1 (週)'!$B$9</f>
        <v>0</v>
      </c>
      <c r="L38" s="347" t="s">
        <v>332</v>
      </c>
      <c r="M38" s="383">
        <f>SUM(M33:M37)</f>
        <v>0</v>
      </c>
      <c r="N38" s="773"/>
      <c r="O38" s="774"/>
      <c r="P38" s="775"/>
      <c r="R38" s="2"/>
      <c r="S38" s="2"/>
      <c r="T38" s="2"/>
    </row>
    <row r="39" spans="1:20" s="135" customFormat="1" ht="15.75" customHeight="1" thickTop="1">
      <c r="A39" s="867" t="s">
        <v>383</v>
      </c>
      <c r="B39" s="867"/>
      <c r="C39" s="867"/>
      <c r="D39" s="867"/>
      <c r="E39" s="867"/>
      <c r="F39" s="867"/>
      <c r="G39" s="867"/>
      <c r="H39" s="867"/>
      <c r="I39" s="867"/>
      <c r="J39" s="867"/>
      <c r="K39" s="867"/>
      <c r="L39" s="867"/>
      <c r="M39" s="867"/>
      <c r="Q39" s="231"/>
      <c r="R39" s="231"/>
      <c r="S39" s="231"/>
      <c r="T39" s="231"/>
    </row>
    <row r="40" spans="1:20" s="136" customFormat="1" ht="15.75" customHeight="1">
      <c r="A40" s="741"/>
      <c r="B40" s="741"/>
      <c r="C40" s="741"/>
      <c r="D40" s="741"/>
      <c r="E40" s="741"/>
      <c r="F40" s="741"/>
      <c r="G40" s="741"/>
      <c r="H40" s="741"/>
      <c r="I40" s="741"/>
      <c r="J40" s="741"/>
      <c r="K40" s="741"/>
      <c r="L40" s="741"/>
      <c r="M40" s="741"/>
    </row>
    <row r="41" spans="1:20" s="135" customFormat="1" ht="12">
      <c r="A41" s="742" t="s">
        <v>310</v>
      </c>
      <c r="B41" s="744">
        <v>1</v>
      </c>
      <c r="C41" s="745"/>
      <c r="D41" s="744">
        <v>2</v>
      </c>
      <c r="E41" s="745"/>
      <c r="F41" s="744">
        <v>3</v>
      </c>
      <c r="G41" s="745"/>
      <c r="H41" s="735">
        <v>4</v>
      </c>
      <c r="I41" s="736"/>
      <c r="J41" s="735">
        <v>5</v>
      </c>
      <c r="K41" s="736"/>
      <c r="L41" s="735">
        <v>6</v>
      </c>
      <c r="M41" s="736"/>
      <c r="N41" s="735">
        <v>7</v>
      </c>
      <c r="O41" s="736"/>
      <c r="P41" s="351">
        <v>8</v>
      </c>
    </row>
    <row r="42" spans="1:20" s="135" customFormat="1">
      <c r="A42" s="743"/>
      <c r="B42" s="739" t="s">
        <v>299</v>
      </c>
      <c r="C42" s="740"/>
      <c r="D42" s="739" t="s">
        <v>311</v>
      </c>
      <c r="E42" s="740"/>
      <c r="F42" s="739" t="s">
        <v>301</v>
      </c>
      <c r="G42" s="740"/>
      <c r="H42" s="737" t="s">
        <v>312</v>
      </c>
      <c r="I42" s="738"/>
      <c r="J42" s="737" t="s">
        <v>306</v>
      </c>
      <c r="K42" s="738"/>
      <c r="L42" s="737" t="s">
        <v>307</v>
      </c>
      <c r="M42" s="738"/>
      <c r="N42" s="737" t="s">
        <v>308</v>
      </c>
      <c r="O42" s="738"/>
      <c r="P42" s="352" t="s">
        <v>313</v>
      </c>
    </row>
    <row r="43" spans="1:20" s="135" customFormat="1" ht="15.75" customHeight="1">
      <c r="B43" s="232"/>
      <c r="C43" s="233"/>
    </row>
    <row r="44" spans="1:20" s="277" customFormat="1">
      <c r="A44" s="746" t="s">
        <v>310</v>
      </c>
      <c r="B44" s="747"/>
      <c r="C44" s="274" t="s">
        <v>267</v>
      </c>
      <c r="D44" s="748" t="s">
        <v>268</v>
      </c>
      <c r="E44" s="749"/>
      <c r="F44" s="750"/>
      <c r="G44" s="751" t="s">
        <v>314</v>
      </c>
      <c r="H44" s="752"/>
      <c r="I44" s="753"/>
      <c r="J44" s="275" t="s">
        <v>315</v>
      </c>
      <c r="K44" s="275" t="s">
        <v>63</v>
      </c>
      <c r="L44" s="275" t="s">
        <v>316</v>
      </c>
      <c r="M44" s="276" t="s">
        <v>303</v>
      </c>
      <c r="N44" s="276" t="s">
        <v>317</v>
      </c>
      <c r="O44" s="754" t="s">
        <v>273</v>
      </c>
      <c r="P44" s="755"/>
      <c r="R44" s="210"/>
      <c r="S44" s="260"/>
    </row>
    <row r="45" spans="1:20" s="297" customFormat="1" ht="20.100000000000001" customHeight="1">
      <c r="A45" s="756">
        <v>4</v>
      </c>
      <c r="B45" s="759" t="s">
        <v>312</v>
      </c>
      <c r="C45" s="278">
        <v>1</v>
      </c>
      <c r="D45" s="237"/>
      <c r="E45" s="238"/>
      <c r="F45" s="239"/>
      <c r="G45" s="349"/>
      <c r="H45" s="304"/>
      <c r="I45" s="305"/>
      <c r="J45" s="311"/>
      <c r="K45" s="312"/>
      <c r="L45" s="313"/>
      <c r="M45" s="321">
        <f t="shared" ref="M45:M49" si="4">L45*J45</f>
        <v>0</v>
      </c>
      <c r="N45" s="313"/>
      <c r="O45" s="855"/>
      <c r="P45" s="856"/>
      <c r="R45" s="314"/>
      <c r="S45" s="260"/>
    </row>
    <row r="46" spans="1:20" s="297" customFormat="1" ht="20.100000000000001" customHeight="1">
      <c r="A46" s="757"/>
      <c r="B46" s="760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si="4"/>
        <v>0</v>
      </c>
      <c r="N46" s="313"/>
      <c r="O46" s="764"/>
      <c r="P46" s="765"/>
      <c r="R46" s="314"/>
      <c r="S46" s="210"/>
      <c r="T46" s="334"/>
    </row>
    <row r="47" spans="1:20" s="297" customFormat="1" ht="20.100000000000001" customHeight="1">
      <c r="A47" s="757"/>
      <c r="B47" s="760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4"/>
        <v>0</v>
      </c>
      <c r="N47" s="313"/>
      <c r="O47" s="855"/>
      <c r="P47" s="856"/>
      <c r="R47" s="314"/>
      <c r="S47" s="260"/>
    </row>
    <row r="48" spans="1:20" s="297" customFormat="1" ht="20.100000000000001" customHeight="1">
      <c r="A48" s="757"/>
      <c r="B48" s="760"/>
      <c r="C48" s="278">
        <v>4</v>
      </c>
      <c r="D48" s="237"/>
      <c r="E48" s="238"/>
      <c r="F48" s="239"/>
      <c r="G48" s="349"/>
      <c r="H48" s="304"/>
      <c r="I48" s="305"/>
      <c r="J48" s="311"/>
      <c r="K48" s="312"/>
      <c r="L48" s="313"/>
      <c r="M48" s="321">
        <f t="shared" si="4"/>
        <v>0</v>
      </c>
      <c r="N48" s="313"/>
      <c r="O48" s="855"/>
      <c r="P48" s="856"/>
      <c r="R48" s="314"/>
      <c r="S48" s="210"/>
      <c r="T48" s="334"/>
    </row>
    <row r="49" spans="1:20" s="297" customFormat="1" ht="20.100000000000001" customHeight="1" thickBot="1">
      <c r="A49" s="757"/>
      <c r="B49" s="760"/>
      <c r="C49" s="278">
        <v>5</v>
      </c>
      <c r="D49" s="237"/>
      <c r="E49" s="244"/>
      <c r="F49" s="245"/>
      <c r="G49" s="349"/>
      <c r="H49" s="304"/>
      <c r="I49" s="305"/>
      <c r="J49" s="382"/>
      <c r="K49" s="378"/>
      <c r="L49" s="316"/>
      <c r="M49" s="321">
        <f t="shared" si="4"/>
        <v>0</v>
      </c>
      <c r="N49" s="313"/>
      <c r="O49" s="855"/>
      <c r="P49" s="856"/>
      <c r="R49" s="317"/>
      <c r="S49" s="260"/>
      <c r="T49" s="288"/>
    </row>
    <row r="50" spans="1:20" s="288" customFormat="1" thickTop="1" thickBot="1">
      <c r="A50" s="758"/>
      <c r="B50" s="761"/>
      <c r="C50" s="770"/>
      <c r="D50" s="771"/>
      <c r="E50" s="771"/>
      <c r="F50" s="771"/>
      <c r="G50" s="771"/>
      <c r="H50" s="771"/>
      <c r="I50" s="772"/>
      <c r="J50" s="346" t="s">
        <v>331</v>
      </c>
      <c r="K50" s="212" t="e">
        <f>M50/'生產管理報表 7-1 (週)'!$B$20</f>
        <v>#DIV/0!</v>
      </c>
      <c r="L50" s="347" t="s">
        <v>332</v>
      </c>
      <c r="M50" s="383">
        <f>SUM(M45:M49)</f>
        <v>0</v>
      </c>
      <c r="N50" s="773"/>
      <c r="O50" s="774"/>
      <c r="P50" s="775"/>
      <c r="R50" s="210"/>
      <c r="S50" s="210"/>
    </row>
    <row r="51" spans="1:20" s="288" customFormat="1" ht="15.75" customHeight="1" thickTop="1">
      <c r="B51" s="296"/>
      <c r="C51" s="297"/>
      <c r="M51" s="328"/>
      <c r="S51" s="260"/>
    </row>
    <row r="52" spans="1:20" s="288" customFormat="1" ht="14.25">
      <c r="A52" s="746" t="s">
        <v>310</v>
      </c>
      <c r="B52" s="747"/>
      <c r="C52" s="274" t="s">
        <v>267</v>
      </c>
      <c r="D52" s="748" t="s">
        <v>268</v>
      </c>
      <c r="E52" s="749"/>
      <c r="F52" s="750"/>
      <c r="G52" s="751" t="s">
        <v>314</v>
      </c>
      <c r="H52" s="752"/>
      <c r="I52" s="753"/>
      <c r="J52" s="275" t="s">
        <v>315</v>
      </c>
      <c r="K52" s="275" t="s">
        <v>63</v>
      </c>
      <c r="L52" s="275" t="s">
        <v>316</v>
      </c>
      <c r="M52" s="329" t="s">
        <v>303</v>
      </c>
      <c r="N52" s="276" t="s">
        <v>317</v>
      </c>
      <c r="O52" s="754" t="s">
        <v>273</v>
      </c>
      <c r="P52" s="755"/>
      <c r="S52" s="210"/>
      <c r="T52" s="334"/>
    </row>
    <row r="53" spans="1:20" s="297" customFormat="1" ht="50.1" customHeight="1">
      <c r="A53" s="756">
        <v>5</v>
      </c>
      <c r="B53" s="776" t="s">
        <v>347</v>
      </c>
      <c r="C53" s="278">
        <v>1</v>
      </c>
      <c r="D53" s="237"/>
      <c r="E53" s="238"/>
      <c r="F53" s="239"/>
      <c r="G53" s="305"/>
      <c r="H53" s="304"/>
      <c r="I53" s="305"/>
      <c r="J53" s="311"/>
      <c r="K53" s="312"/>
      <c r="L53" s="313"/>
      <c r="M53" s="321">
        <f>L53*J53</f>
        <v>0</v>
      </c>
      <c r="N53" s="313"/>
      <c r="O53" s="764"/>
      <c r="P53" s="765"/>
      <c r="R53" s="334"/>
      <c r="S53" s="384"/>
    </row>
    <row r="54" spans="1:20" s="297" customFormat="1" ht="20.100000000000001" customHeight="1">
      <c r="A54" s="757"/>
      <c r="B54" s="777"/>
      <c r="C54" s="278">
        <v>2</v>
      </c>
      <c r="D54" s="237"/>
      <c r="E54" s="238"/>
      <c r="F54" s="239"/>
      <c r="G54" s="349"/>
      <c r="H54" s="304"/>
      <c r="I54" s="305"/>
      <c r="J54" s="311"/>
      <c r="K54" s="312"/>
      <c r="L54" s="313"/>
      <c r="M54" s="321">
        <f t="shared" ref="M54:M57" si="5">L54*J54</f>
        <v>0</v>
      </c>
      <c r="N54" s="313"/>
      <c r="O54" s="764"/>
      <c r="P54" s="765"/>
      <c r="S54" s="210"/>
      <c r="T54" s="335"/>
    </row>
    <row r="55" spans="1:20" s="288" customFormat="1" ht="20.100000000000001" customHeight="1">
      <c r="A55" s="757"/>
      <c r="B55" s="777"/>
      <c r="C55" s="278">
        <v>3</v>
      </c>
      <c r="D55" s="237"/>
      <c r="E55" s="280"/>
      <c r="F55" s="281"/>
      <c r="G55" s="349"/>
      <c r="H55" s="304"/>
      <c r="I55" s="305"/>
      <c r="J55" s="311"/>
      <c r="K55" s="312"/>
      <c r="L55" s="313"/>
      <c r="M55" s="321">
        <f t="shared" si="5"/>
        <v>0</v>
      </c>
      <c r="N55" s="287"/>
      <c r="O55" s="781"/>
      <c r="P55" s="782"/>
    </row>
    <row r="56" spans="1:20" s="288" customFormat="1" ht="20.100000000000001" customHeight="1">
      <c r="A56" s="757"/>
      <c r="B56" s="777"/>
      <c r="C56" s="278">
        <v>4</v>
      </c>
      <c r="D56" s="237"/>
      <c r="E56" s="280"/>
      <c r="F56" s="281"/>
      <c r="G56" s="349"/>
      <c r="H56" s="304"/>
      <c r="I56" s="305"/>
      <c r="J56" s="311"/>
      <c r="K56" s="312"/>
      <c r="L56" s="313"/>
      <c r="M56" s="321">
        <f t="shared" si="5"/>
        <v>0</v>
      </c>
      <c r="N56" s="287"/>
      <c r="O56" s="764"/>
      <c r="P56" s="765"/>
    </row>
    <row r="57" spans="1:20" s="288" customFormat="1" ht="20.100000000000001" customHeight="1" thickBot="1">
      <c r="A57" s="757"/>
      <c r="B57" s="777"/>
      <c r="C57" s="278">
        <v>5</v>
      </c>
      <c r="D57" s="243"/>
      <c r="E57" s="290"/>
      <c r="F57" s="291"/>
      <c r="G57" s="349"/>
      <c r="H57" s="304"/>
      <c r="I57" s="305"/>
      <c r="J57" s="382"/>
      <c r="K57" s="378"/>
      <c r="L57" s="316"/>
      <c r="M57" s="321">
        <f t="shared" si="5"/>
        <v>0</v>
      </c>
      <c r="N57" s="287"/>
      <c r="O57" s="872"/>
      <c r="P57" s="873"/>
      <c r="R57" s="211"/>
    </row>
    <row r="58" spans="1:20" s="288" customFormat="1" thickTop="1" thickBot="1">
      <c r="A58" s="758"/>
      <c r="B58" s="778"/>
      <c r="C58" s="785"/>
      <c r="D58" s="786"/>
      <c r="E58" s="786"/>
      <c r="F58" s="786"/>
      <c r="G58" s="786"/>
      <c r="H58" s="786"/>
      <c r="I58" s="787"/>
      <c r="J58" s="346" t="s">
        <v>331</v>
      </c>
      <c r="K58" s="212" t="e">
        <f>M58/'生產管理報表 7-1 (週)'!$B$20</f>
        <v>#DIV/0!</v>
      </c>
      <c r="L58" s="347" t="s">
        <v>332</v>
      </c>
      <c r="M58" s="383">
        <f>SUM(M53:M57)</f>
        <v>0</v>
      </c>
      <c r="N58" s="773"/>
      <c r="O58" s="774"/>
      <c r="P58" s="775"/>
      <c r="R58" s="210"/>
    </row>
    <row r="59" spans="1:20" s="288" customFormat="1" ht="15.75" customHeight="1" thickTop="1">
      <c r="B59" s="296"/>
      <c r="C59" s="297"/>
      <c r="M59" s="328"/>
      <c r="R59" s="210"/>
    </row>
    <row r="60" spans="1:20" s="288" customFormat="1" ht="14.25">
      <c r="A60" s="746" t="s">
        <v>310</v>
      </c>
      <c r="B60" s="747"/>
      <c r="C60" s="302" t="s">
        <v>267</v>
      </c>
      <c r="D60" s="790" t="s">
        <v>268</v>
      </c>
      <c r="E60" s="791"/>
      <c r="F60" s="792"/>
      <c r="G60" s="793" t="s">
        <v>314</v>
      </c>
      <c r="H60" s="794"/>
      <c r="I60" s="795"/>
      <c r="J60" s="303" t="s">
        <v>315</v>
      </c>
      <c r="K60" s="275" t="s">
        <v>63</v>
      </c>
      <c r="L60" s="275" t="s">
        <v>316</v>
      </c>
      <c r="M60" s="329" t="s">
        <v>303</v>
      </c>
      <c r="N60" s="276" t="s">
        <v>317</v>
      </c>
      <c r="O60" s="754" t="s">
        <v>273</v>
      </c>
      <c r="P60" s="755"/>
      <c r="R60" s="210"/>
      <c r="S60" s="2"/>
    </row>
    <row r="61" spans="1:20" s="288" customFormat="1" ht="39.950000000000003" customHeight="1">
      <c r="A61" s="756">
        <v>6</v>
      </c>
      <c r="B61" s="776" t="s">
        <v>352</v>
      </c>
      <c r="C61" s="278">
        <v>1</v>
      </c>
      <c r="D61" s="336"/>
      <c r="E61" s="280"/>
      <c r="F61" s="281"/>
      <c r="G61" s="240"/>
      <c r="H61" s="304"/>
      <c r="I61" s="240"/>
      <c r="J61" s="311"/>
      <c r="K61" s="312"/>
      <c r="L61" s="313"/>
      <c r="M61" s="321">
        <f t="shared" ref="M61:M65" si="6">L61*J61</f>
        <v>0</v>
      </c>
      <c r="N61" s="287"/>
      <c r="O61" s="781"/>
      <c r="P61" s="782"/>
      <c r="R61" s="335"/>
      <c r="S61" s="391"/>
    </row>
    <row r="62" spans="1:20" s="297" customFormat="1" ht="39.950000000000003" customHeight="1">
      <c r="A62" s="757"/>
      <c r="B62" s="777"/>
      <c r="C62" s="278">
        <v>2</v>
      </c>
      <c r="D62" s="237"/>
      <c r="E62" s="238"/>
      <c r="F62" s="239"/>
      <c r="G62" s="240"/>
      <c r="H62" s="304"/>
      <c r="I62" s="240"/>
      <c r="J62" s="311"/>
      <c r="K62" s="312"/>
      <c r="L62" s="313"/>
      <c r="M62" s="321">
        <f t="shared" si="6"/>
        <v>0</v>
      </c>
      <c r="N62" s="313"/>
      <c r="O62" s="870"/>
      <c r="P62" s="871"/>
      <c r="S62" s="96"/>
    </row>
    <row r="63" spans="1:20" s="288" customFormat="1" ht="39.950000000000003" customHeight="1">
      <c r="A63" s="757"/>
      <c r="B63" s="777"/>
      <c r="C63" s="278">
        <v>3</v>
      </c>
      <c r="D63" s="237"/>
      <c r="E63" s="280"/>
      <c r="F63" s="281"/>
      <c r="G63" s="240"/>
      <c r="H63" s="304"/>
      <c r="I63" s="284"/>
      <c r="J63" s="311"/>
      <c r="K63" s="312"/>
      <c r="L63" s="313"/>
      <c r="M63" s="321">
        <f t="shared" si="6"/>
        <v>0</v>
      </c>
      <c r="N63" s="287"/>
      <c r="O63" s="870"/>
      <c r="P63" s="871"/>
      <c r="S63" s="2"/>
    </row>
    <row r="64" spans="1:20" s="288" customFormat="1" ht="39.950000000000003" customHeight="1">
      <c r="A64" s="757"/>
      <c r="B64" s="777"/>
      <c r="C64" s="278">
        <v>4</v>
      </c>
      <c r="D64" s="237"/>
      <c r="E64" s="280"/>
      <c r="F64" s="281"/>
      <c r="G64" s="349"/>
      <c r="H64" s="304"/>
      <c r="I64" s="305"/>
      <c r="J64" s="311"/>
      <c r="K64" s="312"/>
      <c r="L64" s="313"/>
      <c r="M64" s="321">
        <f t="shared" si="6"/>
        <v>0</v>
      </c>
      <c r="N64" s="287"/>
      <c r="O64" s="870"/>
      <c r="P64" s="871"/>
      <c r="R64" s="2"/>
      <c r="S64" s="2"/>
    </row>
    <row r="65" spans="1:20" s="288" customFormat="1" ht="39.950000000000003" customHeight="1" thickBot="1">
      <c r="A65" s="757"/>
      <c r="B65" s="777"/>
      <c r="C65" s="278">
        <v>5</v>
      </c>
      <c r="D65" s="243"/>
      <c r="E65" s="290"/>
      <c r="F65" s="291"/>
      <c r="G65" s="349"/>
      <c r="H65" s="304"/>
      <c r="I65" s="305"/>
      <c r="J65" s="382"/>
      <c r="K65" s="378"/>
      <c r="L65" s="316"/>
      <c r="M65" s="321">
        <f t="shared" si="6"/>
        <v>0</v>
      </c>
      <c r="N65" s="287"/>
      <c r="O65" s="870"/>
      <c r="P65" s="871"/>
      <c r="R65" s="2"/>
      <c r="S65" s="2"/>
    </row>
    <row r="66" spans="1:20" s="288" customFormat="1" thickTop="1" thickBot="1">
      <c r="A66" s="758"/>
      <c r="B66" s="778"/>
      <c r="C66" s="785"/>
      <c r="D66" s="786"/>
      <c r="E66" s="786"/>
      <c r="F66" s="786"/>
      <c r="G66" s="786"/>
      <c r="H66" s="786"/>
      <c r="I66" s="787"/>
      <c r="J66" s="346" t="s">
        <v>331</v>
      </c>
      <c r="K66" s="212" t="e">
        <f>M66/'生產管理報表 7-1 (週)'!$B$20</f>
        <v>#DIV/0!</v>
      </c>
      <c r="L66" s="347" t="s">
        <v>332</v>
      </c>
      <c r="M66" s="383">
        <f>SUM(M61:M65)</f>
        <v>0</v>
      </c>
      <c r="N66" s="773"/>
      <c r="O66" s="774"/>
      <c r="P66" s="775"/>
      <c r="R66" s="2"/>
      <c r="S66" s="2"/>
    </row>
    <row r="67" spans="1:20" s="288" customFormat="1" ht="15.75" customHeight="1" thickTop="1">
      <c r="B67" s="296"/>
      <c r="C67" s="297"/>
      <c r="M67" s="328"/>
      <c r="R67" s="2"/>
      <c r="S67" s="2"/>
    </row>
    <row r="68" spans="1:20" s="288" customFormat="1" ht="14.25">
      <c r="A68" s="746" t="s">
        <v>310</v>
      </c>
      <c r="B68" s="747"/>
      <c r="C68" s="302" t="s">
        <v>267</v>
      </c>
      <c r="D68" s="790" t="s">
        <v>268</v>
      </c>
      <c r="E68" s="791"/>
      <c r="F68" s="792"/>
      <c r="G68" s="793" t="s">
        <v>314</v>
      </c>
      <c r="H68" s="794"/>
      <c r="I68" s="795"/>
      <c r="J68" s="303" t="s">
        <v>315</v>
      </c>
      <c r="K68" s="275" t="s">
        <v>63</v>
      </c>
      <c r="L68" s="275" t="s">
        <v>316</v>
      </c>
      <c r="M68" s="329" t="s">
        <v>303</v>
      </c>
      <c r="N68" s="276" t="s">
        <v>317</v>
      </c>
      <c r="O68" s="754" t="s">
        <v>273</v>
      </c>
      <c r="P68" s="755"/>
      <c r="R68" s="2"/>
      <c r="S68" s="2"/>
    </row>
    <row r="69" spans="1:20" s="288" customFormat="1" ht="20.100000000000001" customHeight="1">
      <c r="A69" s="756">
        <v>7</v>
      </c>
      <c r="B69" s="798" t="s">
        <v>364</v>
      </c>
      <c r="C69" s="278">
        <v>1</v>
      </c>
      <c r="D69" s="279"/>
      <c r="E69" s="280"/>
      <c r="F69" s="281"/>
      <c r="G69" s="282"/>
      <c r="H69" s="283"/>
      <c r="I69" s="284"/>
      <c r="J69" s="285"/>
      <c r="K69" s="286"/>
      <c r="L69" s="287"/>
      <c r="M69" s="330">
        <f t="shared" ref="M69:M71" si="7">L69*J69</f>
        <v>0</v>
      </c>
      <c r="N69" s="287"/>
      <c r="O69" s="801"/>
      <c r="P69" s="802"/>
      <c r="R69" s="2"/>
      <c r="S69" s="2"/>
    </row>
    <row r="70" spans="1:20" s="288" customFormat="1" ht="20.100000000000001" customHeight="1">
      <c r="A70" s="757"/>
      <c r="B70" s="799"/>
      <c r="C70" s="278">
        <v>2</v>
      </c>
      <c r="D70" s="279"/>
      <c r="E70" s="280"/>
      <c r="F70" s="281"/>
      <c r="G70" s="282"/>
      <c r="H70" s="283"/>
      <c r="I70" s="284"/>
      <c r="J70" s="285"/>
      <c r="K70" s="286"/>
      <c r="L70" s="287"/>
      <c r="M70" s="330">
        <f t="shared" si="7"/>
        <v>0</v>
      </c>
      <c r="N70" s="287"/>
      <c r="O70" s="803"/>
      <c r="P70" s="804"/>
      <c r="R70" s="2"/>
      <c r="S70" s="2"/>
    </row>
    <row r="71" spans="1:20" s="288" customFormat="1" ht="20.100000000000001" customHeight="1">
      <c r="A71" s="757"/>
      <c r="B71" s="799"/>
      <c r="C71" s="278">
        <v>3</v>
      </c>
      <c r="D71" s="279"/>
      <c r="E71" s="280"/>
      <c r="F71" s="281"/>
      <c r="G71" s="282"/>
      <c r="H71" s="283"/>
      <c r="I71" s="284"/>
      <c r="J71" s="285"/>
      <c r="K71" s="286"/>
      <c r="L71" s="287"/>
      <c r="M71" s="330">
        <f t="shared" si="7"/>
        <v>0</v>
      </c>
      <c r="N71" s="287"/>
      <c r="O71" s="803"/>
      <c r="P71" s="804"/>
      <c r="R71" s="2"/>
      <c r="S71" s="2"/>
    </row>
    <row r="72" spans="1:20" s="288" customFormat="1" ht="20.100000000000001" customHeight="1">
      <c r="A72" s="757"/>
      <c r="B72" s="799"/>
      <c r="C72" s="278">
        <v>4</v>
      </c>
      <c r="D72" s="279"/>
      <c r="E72" s="280"/>
      <c r="F72" s="281"/>
      <c r="G72" s="282"/>
      <c r="H72" s="283"/>
      <c r="I72" s="284"/>
      <c r="J72" s="285"/>
      <c r="K72" s="286"/>
      <c r="L72" s="287"/>
      <c r="M72" s="331">
        <v>0</v>
      </c>
      <c r="N72" s="287"/>
      <c r="O72" s="298"/>
      <c r="P72" s="299"/>
      <c r="R72" s="2"/>
      <c r="S72" s="2"/>
    </row>
    <row r="73" spans="1:20" s="288" customFormat="1" ht="20.100000000000001" customHeight="1" thickBot="1">
      <c r="A73" s="757"/>
      <c r="B73" s="799"/>
      <c r="C73" s="278">
        <v>5</v>
      </c>
      <c r="D73" s="289"/>
      <c r="E73" s="290"/>
      <c r="F73" s="291"/>
      <c r="G73" s="282"/>
      <c r="H73" s="283"/>
      <c r="I73" s="284"/>
      <c r="J73" s="382"/>
      <c r="K73" s="378"/>
      <c r="L73" s="316"/>
      <c r="M73" s="332">
        <v>0</v>
      </c>
      <c r="N73" s="287"/>
      <c r="O73" s="300"/>
      <c r="P73" s="301"/>
      <c r="R73" s="2"/>
      <c r="S73" s="2"/>
    </row>
    <row r="74" spans="1:20" s="288" customFormat="1" thickTop="1" thickBot="1">
      <c r="A74" s="758"/>
      <c r="B74" s="800"/>
      <c r="C74" s="785"/>
      <c r="D74" s="786"/>
      <c r="E74" s="786"/>
      <c r="F74" s="786"/>
      <c r="G74" s="786"/>
      <c r="H74" s="786"/>
      <c r="I74" s="787"/>
      <c r="J74" s="346" t="s">
        <v>331</v>
      </c>
      <c r="K74" s="212" t="e">
        <f>M74/'生產管理報表 7-1 (週)'!$B$20</f>
        <v>#DIV/0!</v>
      </c>
      <c r="L74" s="347" t="s">
        <v>332</v>
      </c>
      <c r="M74" s="383">
        <f>SUM(M69:M73)</f>
        <v>0</v>
      </c>
      <c r="N74" s="773"/>
      <c r="O74" s="774"/>
      <c r="P74" s="775"/>
      <c r="R74" s="2"/>
      <c r="S74" s="2"/>
      <c r="T74" s="2"/>
    </row>
    <row r="75" spans="1:20" s="135" customFormat="1" ht="15.75" customHeight="1" thickTop="1">
      <c r="A75" s="867" t="s">
        <v>384</v>
      </c>
      <c r="B75" s="867"/>
      <c r="C75" s="867"/>
      <c r="D75" s="867"/>
      <c r="E75" s="867"/>
      <c r="F75" s="867"/>
      <c r="G75" s="867"/>
      <c r="H75" s="867"/>
      <c r="I75" s="867"/>
      <c r="J75" s="867"/>
      <c r="K75" s="867"/>
      <c r="L75" s="867"/>
      <c r="M75" s="867"/>
      <c r="Q75" s="231"/>
      <c r="R75" s="231"/>
      <c r="S75" s="231"/>
      <c r="T75" s="231"/>
    </row>
    <row r="76" spans="1:20" s="136" customFormat="1" ht="15.75" customHeight="1">
      <c r="A76" s="741"/>
      <c r="B76" s="741"/>
      <c r="C76" s="741"/>
      <c r="D76" s="741"/>
      <c r="E76" s="741"/>
      <c r="F76" s="741"/>
      <c r="G76" s="741"/>
      <c r="H76" s="741"/>
      <c r="I76" s="741"/>
      <c r="J76" s="741"/>
      <c r="K76" s="741"/>
      <c r="L76" s="741"/>
      <c r="M76" s="741"/>
    </row>
    <row r="77" spans="1:20" s="135" customFormat="1" ht="12">
      <c r="A77" s="742" t="s">
        <v>310</v>
      </c>
      <c r="B77" s="744">
        <v>1</v>
      </c>
      <c r="C77" s="745"/>
      <c r="D77" s="744">
        <v>2</v>
      </c>
      <c r="E77" s="745"/>
      <c r="F77" s="744">
        <v>3</v>
      </c>
      <c r="G77" s="745"/>
      <c r="H77" s="735">
        <v>4</v>
      </c>
      <c r="I77" s="736"/>
      <c r="J77" s="735">
        <v>5</v>
      </c>
      <c r="K77" s="736"/>
      <c r="L77" s="735">
        <v>6</v>
      </c>
      <c r="M77" s="736"/>
      <c r="N77" s="735">
        <v>7</v>
      </c>
      <c r="O77" s="736"/>
      <c r="P77" s="351">
        <v>8</v>
      </c>
    </row>
    <row r="78" spans="1:20" s="135" customFormat="1">
      <c r="A78" s="743"/>
      <c r="B78" s="739" t="s">
        <v>299</v>
      </c>
      <c r="C78" s="740"/>
      <c r="D78" s="739" t="s">
        <v>311</v>
      </c>
      <c r="E78" s="740"/>
      <c r="F78" s="739" t="s">
        <v>301</v>
      </c>
      <c r="G78" s="740"/>
      <c r="H78" s="737" t="s">
        <v>312</v>
      </c>
      <c r="I78" s="738"/>
      <c r="J78" s="737" t="s">
        <v>306</v>
      </c>
      <c r="K78" s="738"/>
      <c r="L78" s="737" t="s">
        <v>307</v>
      </c>
      <c r="M78" s="738"/>
      <c r="N78" s="737" t="s">
        <v>308</v>
      </c>
      <c r="O78" s="738"/>
      <c r="P78" s="352" t="s">
        <v>313</v>
      </c>
    </row>
    <row r="79" spans="1:20" s="135" customFormat="1" ht="15.75" customHeight="1">
      <c r="B79" s="232"/>
      <c r="C79" s="233"/>
    </row>
    <row r="80" spans="1:20" s="277" customFormat="1">
      <c r="A80" s="746" t="s">
        <v>310</v>
      </c>
      <c r="B80" s="747"/>
      <c r="C80" s="274" t="s">
        <v>267</v>
      </c>
      <c r="D80" s="748" t="s">
        <v>268</v>
      </c>
      <c r="E80" s="749"/>
      <c r="F80" s="750"/>
      <c r="G80" s="751" t="s">
        <v>314</v>
      </c>
      <c r="H80" s="752"/>
      <c r="I80" s="753"/>
      <c r="J80" s="275" t="s">
        <v>315</v>
      </c>
      <c r="K80" s="275" t="s">
        <v>63</v>
      </c>
      <c r="L80" s="275" t="s">
        <v>316</v>
      </c>
      <c r="M80" s="276" t="s">
        <v>303</v>
      </c>
      <c r="N80" s="276" t="s">
        <v>317</v>
      </c>
      <c r="O80" s="754" t="s">
        <v>273</v>
      </c>
      <c r="P80" s="755"/>
      <c r="R80" s="210"/>
      <c r="S80" s="260"/>
    </row>
    <row r="81" spans="1:20" s="297" customFormat="1" ht="20.100000000000001" customHeight="1">
      <c r="A81" s="756">
        <v>4</v>
      </c>
      <c r="B81" s="759" t="s">
        <v>312</v>
      </c>
      <c r="C81" s="278">
        <v>1</v>
      </c>
      <c r="D81" s="237"/>
      <c r="E81" s="238"/>
      <c r="F81" s="239"/>
      <c r="G81" s="349"/>
      <c r="H81" s="304"/>
      <c r="I81" s="305"/>
      <c r="J81" s="311"/>
      <c r="K81" s="312"/>
      <c r="L81" s="313"/>
      <c r="M81" s="321">
        <f t="shared" ref="M81:M85" si="8">L81*J81</f>
        <v>0</v>
      </c>
      <c r="N81" s="313"/>
      <c r="O81" s="855"/>
      <c r="P81" s="856"/>
      <c r="R81" s="314"/>
      <c r="S81" s="260"/>
    </row>
    <row r="82" spans="1:20" s="297" customFormat="1" ht="20.100000000000001" customHeight="1">
      <c r="A82" s="757"/>
      <c r="B82" s="760"/>
      <c r="C82" s="278">
        <v>2</v>
      </c>
      <c r="D82" s="237"/>
      <c r="E82" s="238"/>
      <c r="F82" s="239"/>
      <c r="G82" s="349"/>
      <c r="H82" s="304"/>
      <c r="I82" s="305"/>
      <c r="J82" s="311"/>
      <c r="K82" s="312"/>
      <c r="L82" s="313"/>
      <c r="M82" s="321">
        <f t="shared" si="8"/>
        <v>0</v>
      </c>
      <c r="N82" s="313"/>
      <c r="O82" s="764"/>
      <c r="P82" s="765"/>
      <c r="R82" s="314"/>
      <c r="S82" s="210"/>
      <c r="T82" s="334"/>
    </row>
    <row r="83" spans="1:20" s="297" customFormat="1" ht="20.100000000000001" customHeight="1">
      <c r="A83" s="757"/>
      <c r="B83" s="760"/>
      <c r="C83" s="278">
        <v>3</v>
      </c>
      <c r="D83" s="237"/>
      <c r="E83" s="238"/>
      <c r="F83" s="239"/>
      <c r="G83" s="349"/>
      <c r="H83" s="304"/>
      <c r="I83" s="305"/>
      <c r="J83" s="311"/>
      <c r="K83" s="312"/>
      <c r="L83" s="313"/>
      <c r="M83" s="321">
        <f t="shared" si="8"/>
        <v>0</v>
      </c>
      <c r="N83" s="313"/>
      <c r="O83" s="855"/>
      <c r="P83" s="856"/>
      <c r="R83" s="314"/>
      <c r="S83" s="260"/>
    </row>
    <row r="84" spans="1:20" s="297" customFormat="1" ht="20.100000000000001" customHeight="1">
      <c r="A84" s="757"/>
      <c r="B84" s="760"/>
      <c r="C84" s="278">
        <v>4</v>
      </c>
      <c r="D84" s="237"/>
      <c r="E84" s="238"/>
      <c r="F84" s="239"/>
      <c r="G84" s="349"/>
      <c r="H84" s="304"/>
      <c r="I84" s="305"/>
      <c r="J84" s="311"/>
      <c r="K84" s="312"/>
      <c r="L84" s="313"/>
      <c r="M84" s="321">
        <f t="shared" si="8"/>
        <v>0</v>
      </c>
      <c r="N84" s="313"/>
      <c r="O84" s="855"/>
      <c r="P84" s="856"/>
      <c r="R84" s="314"/>
      <c r="S84" s="210"/>
      <c r="T84" s="334"/>
    </row>
    <row r="85" spans="1:20" s="297" customFormat="1" ht="20.100000000000001" customHeight="1" thickBot="1">
      <c r="A85" s="757"/>
      <c r="B85" s="760"/>
      <c r="C85" s="278">
        <v>5</v>
      </c>
      <c r="D85" s="237"/>
      <c r="E85" s="244"/>
      <c r="F85" s="245"/>
      <c r="G85" s="349"/>
      <c r="H85" s="304"/>
      <c r="I85" s="305"/>
      <c r="J85" s="382"/>
      <c r="K85" s="378"/>
      <c r="L85" s="316"/>
      <c r="M85" s="321">
        <f t="shared" si="8"/>
        <v>0</v>
      </c>
      <c r="N85" s="313"/>
      <c r="O85" s="855"/>
      <c r="P85" s="856"/>
      <c r="R85" s="317"/>
      <c r="S85" s="260"/>
      <c r="T85" s="288"/>
    </row>
    <row r="86" spans="1:20" s="288" customFormat="1" thickTop="1" thickBot="1">
      <c r="A86" s="758"/>
      <c r="B86" s="761"/>
      <c r="C86" s="770"/>
      <c r="D86" s="771"/>
      <c r="E86" s="771"/>
      <c r="F86" s="771"/>
      <c r="G86" s="771"/>
      <c r="H86" s="771"/>
      <c r="I86" s="772"/>
      <c r="J86" s="346" t="s">
        <v>331</v>
      </c>
      <c r="K86" s="212" t="e">
        <f>M86/'生產管理報表 7-1 (週)'!$B$31</f>
        <v>#DIV/0!</v>
      </c>
      <c r="L86" s="347" t="s">
        <v>332</v>
      </c>
      <c r="M86" s="383">
        <f>SUM(M81:M85)</f>
        <v>0</v>
      </c>
      <c r="N86" s="773"/>
      <c r="O86" s="774"/>
      <c r="P86" s="775"/>
      <c r="R86" s="210"/>
      <c r="S86" s="210"/>
    </row>
    <row r="87" spans="1:20" s="288" customFormat="1" ht="15.75" customHeight="1" thickTop="1">
      <c r="B87" s="296"/>
      <c r="C87" s="297"/>
      <c r="M87" s="328"/>
      <c r="S87" s="260"/>
    </row>
    <row r="88" spans="1:20" s="288" customFormat="1" ht="14.25">
      <c r="A88" s="746" t="s">
        <v>310</v>
      </c>
      <c r="B88" s="747"/>
      <c r="C88" s="274" t="s">
        <v>267</v>
      </c>
      <c r="D88" s="748" t="s">
        <v>268</v>
      </c>
      <c r="E88" s="749"/>
      <c r="F88" s="750"/>
      <c r="G88" s="751" t="s">
        <v>314</v>
      </c>
      <c r="H88" s="752"/>
      <c r="I88" s="753"/>
      <c r="J88" s="275" t="s">
        <v>315</v>
      </c>
      <c r="K88" s="275" t="s">
        <v>63</v>
      </c>
      <c r="L88" s="275" t="s">
        <v>316</v>
      </c>
      <c r="M88" s="329" t="s">
        <v>303</v>
      </c>
      <c r="N88" s="276" t="s">
        <v>317</v>
      </c>
      <c r="O88" s="754" t="s">
        <v>273</v>
      </c>
      <c r="P88" s="755"/>
      <c r="S88" s="210"/>
      <c r="T88" s="334"/>
    </row>
    <row r="89" spans="1:20" s="297" customFormat="1" ht="50.1" customHeight="1">
      <c r="A89" s="756">
        <v>5</v>
      </c>
      <c r="B89" s="776" t="s">
        <v>347</v>
      </c>
      <c r="C89" s="278">
        <v>1</v>
      </c>
      <c r="D89" s="237"/>
      <c r="E89" s="238"/>
      <c r="F89" s="239"/>
      <c r="G89" s="305"/>
      <c r="H89" s="304"/>
      <c r="I89" s="305"/>
      <c r="J89" s="311"/>
      <c r="K89" s="312"/>
      <c r="L89" s="313"/>
      <c r="M89" s="321">
        <f>L89*J89</f>
        <v>0</v>
      </c>
      <c r="N89" s="313"/>
      <c r="O89" s="764"/>
      <c r="P89" s="765"/>
      <c r="R89" s="334"/>
      <c r="S89" s="384"/>
    </row>
    <row r="90" spans="1:20" s="297" customFormat="1" ht="20.100000000000001" customHeight="1">
      <c r="A90" s="757"/>
      <c r="B90" s="777"/>
      <c r="C90" s="278">
        <v>2</v>
      </c>
      <c r="D90" s="237"/>
      <c r="E90" s="238"/>
      <c r="F90" s="239"/>
      <c r="G90" s="349"/>
      <c r="H90" s="304"/>
      <c r="I90" s="305"/>
      <c r="J90" s="311"/>
      <c r="K90" s="312"/>
      <c r="L90" s="313"/>
      <c r="M90" s="321">
        <f t="shared" ref="M90:M93" si="9">L90*J90</f>
        <v>0</v>
      </c>
      <c r="N90" s="313"/>
      <c r="O90" s="764"/>
      <c r="P90" s="765"/>
      <c r="S90" s="210"/>
      <c r="T90" s="335"/>
    </row>
    <row r="91" spans="1:20" s="288" customFormat="1" ht="20.100000000000001" customHeight="1">
      <c r="A91" s="757"/>
      <c r="B91" s="777"/>
      <c r="C91" s="278">
        <v>3</v>
      </c>
      <c r="D91" s="237"/>
      <c r="E91" s="280"/>
      <c r="F91" s="281"/>
      <c r="G91" s="349"/>
      <c r="H91" s="304"/>
      <c r="I91" s="305"/>
      <c r="J91" s="311"/>
      <c r="K91" s="312"/>
      <c r="L91" s="313"/>
      <c r="M91" s="321">
        <f t="shared" si="9"/>
        <v>0</v>
      </c>
      <c r="N91" s="287"/>
      <c r="O91" s="781"/>
      <c r="P91" s="782"/>
    </row>
    <row r="92" spans="1:20" s="288" customFormat="1" ht="20.100000000000001" customHeight="1">
      <c r="A92" s="757"/>
      <c r="B92" s="777"/>
      <c r="C92" s="278">
        <v>4</v>
      </c>
      <c r="D92" s="237"/>
      <c r="E92" s="280"/>
      <c r="F92" s="281"/>
      <c r="G92" s="349"/>
      <c r="H92" s="304"/>
      <c r="I92" s="305"/>
      <c r="J92" s="311"/>
      <c r="K92" s="312"/>
      <c r="L92" s="313"/>
      <c r="M92" s="321">
        <f t="shared" si="9"/>
        <v>0</v>
      </c>
      <c r="N92" s="287"/>
      <c r="O92" s="764"/>
      <c r="P92" s="765"/>
    </row>
    <row r="93" spans="1:20" s="288" customFormat="1" ht="20.100000000000001" customHeight="1" thickBot="1">
      <c r="A93" s="757"/>
      <c r="B93" s="777"/>
      <c r="C93" s="278">
        <v>5</v>
      </c>
      <c r="D93" s="243"/>
      <c r="E93" s="290"/>
      <c r="F93" s="291"/>
      <c r="G93" s="349"/>
      <c r="H93" s="304"/>
      <c r="I93" s="305"/>
      <c r="J93" s="382"/>
      <c r="K93" s="378"/>
      <c r="L93" s="316"/>
      <c r="M93" s="321">
        <f t="shared" si="9"/>
        <v>0</v>
      </c>
      <c r="N93" s="287"/>
      <c r="O93" s="872"/>
      <c r="P93" s="873"/>
      <c r="R93" s="211"/>
    </row>
    <row r="94" spans="1:20" s="288" customFormat="1" thickTop="1" thickBot="1">
      <c r="A94" s="758"/>
      <c r="B94" s="778"/>
      <c r="C94" s="785"/>
      <c r="D94" s="786"/>
      <c r="E94" s="786"/>
      <c r="F94" s="786"/>
      <c r="G94" s="786"/>
      <c r="H94" s="786"/>
      <c r="I94" s="787"/>
      <c r="J94" s="346" t="s">
        <v>331</v>
      </c>
      <c r="K94" s="212" t="e">
        <f>M94/'生產管理報表 7-1 (週)'!$B$31</f>
        <v>#DIV/0!</v>
      </c>
      <c r="L94" s="347" t="s">
        <v>332</v>
      </c>
      <c r="M94" s="383">
        <f>SUM(M89:M93)</f>
        <v>0</v>
      </c>
      <c r="N94" s="773"/>
      <c r="O94" s="774"/>
      <c r="P94" s="775"/>
      <c r="R94" s="210"/>
    </row>
    <row r="95" spans="1:20" s="288" customFormat="1" ht="15.75" customHeight="1" thickTop="1">
      <c r="B95" s="296"/>
      <c r="C95" s="297"/>
      <c r="M95" s="328"/>
      <c r="R95" s="210"/>
    </row>
    <row r="96" spans="1:20" s="288" customFormat="1" ht="14.25">
      <c r="A96" s="746" t="s">
        <v>310</v>
      </c>
      <c r="B96" s="747"/>
      <c r="C96" s="302" t="s">
        <v>267</v>
      </c>
      <c r="D96" s="790" t="s">
        <v>268</v>
      </c>
      <c r="E96" s="791"/>
      <c r="F96" s="792"/>
      <c r="G96" s="793" t="s">
        <v>314</v>
      </c>
      <c r="H96" s="794"/>
      <c r="I96" s="795"/>
      <c r="J96" s="303" t="s">
        <v>315</v>
      </c>
      <c r="K96" s="275" t="s">
        <v>63</v>
      </c>
      <c r="L96" s="275" t="s">
        <v>316</v>
      </c>
      <c r="M96" s="329" t="s">
        <v>303</v>
      </c>
      <c r="N96" s="276" t="s">
        <v>317</v>
      </c>
      <c r="O96" s="754" t="s">
        <v>273</v>
      </c>
      <c r="P96" s="755"/>
      <c r="R96" s="210"/>
      <c r="S96" s="2"/>
    </row>
    <row r="97" spans="1:20" s="288" customFormat="1" ht="39.950000000000003" customHeight="1">
      <c r="A97" s="756">
        <v>6</v>
      </c>
      <c r="B97" s="776" t="s">
        <v>352</v>
      </c>
      <c r="C97" s="278">
        <v>1</v>
      </c>
      <c r="D97" s="336"/>
      <c r="E97" s="280"/>
      <c r="F97" s="281"/>
      <c r="G97" s="240"/>
      <c r="H97" s="304"/>
      <c r="I97" s="240"/>
      <c r="J97" s="311"/>
      <c r="K97" s="312"/>
      <c r="L97" s="313"/>
      <c r="M97" s="321">
        <f t="shared" ref="M97:M101" si="10">L97*J97</f>
        <v>0</v>
      </c>
      <c r="N97" s="287"/>
      <c r="O97" s="781"/>
      <c r="P97" s="782"/>
      <c r="R97" s="335"/>
      <c r="S97" s="391"/>
    </row>
    <row r="98" spans="1:20" s="297" customFormat="1" ht="39.950000000000003" customHeight="1">
      <c r="A98" s="757"/>
      <c r="B98" s="777"/>
      <c r="C98" s="278">
        <v>2</v>
      </c>
      <c r="D98" s="237"/>
      <c r="E98" s="238"/>
      <c r="F98" s="239"/>
      <c r="G98" s="240"/>
      <c r="H98" s="304"/>
      <c r="I98" s="240"/>
      <c r="J98" s="311"/>
      <c r="K98" s="312"/>
      <c r="L98" s="313"/>
      <c r="M98" s="321">
        <f t="shared" si="10"/>
        <v>0</v>
      </c>
      <c r="N98" s="313"/>
      <c r="O98" s="870"/>
      <c r="P98" s="871"/>
      <c r="S98" s="96"/>
    </row>
    <row r="99" spans="1:20" s="288" customFormat="1" ht="39.950000000000003" customHeight="1">
      <c r="A99" s="757"/>
      <c r="B99" s="777"/>
      <c r="C99" s="278">
        <v>3</v>
      </c>
      <c r="D99" s="237"/>
      <c r="E99" s="280"/>
      <c r="F99" s="281"/>
      <c r="G99" s="240"/>
      <c r="H99" s="304"/>
      <c r="I99" s="284"/>
      <c r="J99" s="311"/>
      <c r="K99" s="312"/>
      <c r="L99" s="313"/>
      <c r="M99" s="321">
        <f t="shared" si="10"/>
        <v>0</v>
      </c>
      <c r="N99" s="287"/>
      <c r="O99" s="870"/>
      <c r="P99" s="871"/>
      <c r="S99" s="2"/>
    </row>
    <row r="100" spans="1:20" s="288" customFormat="1" ht="39.950000000000003" customHeight="1">
      <c r="A100" s="757"/>
      <c r="B100" s="777"/>
      <c r="C100" s="278">
        <v>4</v>
      </c>
      <c r="D100" s="237"/>
      <c r="E100" s="280"/>
      <c r="F100" s="281"/>
      <c r="G100" s="240"/>
      <c r="H100" s="304"/>
      <c r="I100" s="284"/>
      <c r="J100" s="311"/>
      <c r="K100" s="312"/>
      <c r="L100" s="313"/>
      <c r="M100" s="321">
        <f t="shared" si="10"/>
        <v>0</v>
      </c>
      <c r="N100" s="287"/>
      <c r="O100" s="870"/>
      <c r="P100" s="871"/>
      <c r="R100" s="2"/>
      <c r="S100" s="2"/>
    </row>
    <row r="101" spans="1:20" s="288" customFormat="1" ht="39.950000000000003" customHeight="1" thickBot="1">
      <c r="A101" s="757"/>
      <c r="B101" s="777"/>
      <c r="C101" s="278">
        <v>5</v>
      </c>
      <c r="D101" s="243"/>
      <c r="E101" s="290"/>
      <c r="F101" s="291"/>
      <c r="G101" s="240"/>
      <c r="H101" s="304"/>
      <c r="I101" s="284"/>
      <c r="J101" s="382"/>
      <c r="K101" s="378"/>
      <c r="L101" s="316"/>
      <c r="M101" s="321">
        <f t="shared" si="10"/>
        <v>0</v>
      </c>
      <c r="N101" s="287"/>
      <c r="O101" s="870"/>
      <c r="P101" s="871"/>
      <c r="R101" s="2"/>
      <c r="S101" s="2"/>
    </row>
    <row r="102" spans="1:20" s="288" customFormat="1" thickTop="1" thickBot="1">
      <c r="A102" s="758"/>
      <c r="B102" s="778"/>
      <c r="C102" s="785"/>
      <c r="D102" s="786"/>
      <c r="E102" s="786"/>
      <c r="F102" s="786"/>
      <c r="G102" s="786"/>
      <c r="H102" s="786"/>
      <c r="I102" s="787"/>
      <c r="J102" s="346" t="s">
        <v>331</v>
      </c>
      <c r="K102" s="212" t="e">
        <f>M102/'生產管理報表 7-1 (週)'!$B$31</f>
        <v>#DIV/0!</v>
      </c>
      <c r="L102" s="347" t="s">
        <v>332</v>
      </c>
      <c r="M102" s="383">
        <f>SUM(M97:M101)</f>
        <v>0</v>
      </c>
      <c r="N102" s="773"/>
      <c r="O102" s="774"/>
      <c r="P102" s="775"/>
      <c r="R102" s="2"/>
      <c r="S102" s="2"/>
    </row>
    <row r="103" spans="1:20" s="288" customFormat="1" ht="15.75" customHeight="1" thickTop="1">
      <c r="B103" s="296"/>
      <c r="C103" s="297"/>
      <c r="M103" s="328"/>
      <c r="R103" s="2"/>
      <c r="S103" s="2"/>
    </row>
    <row r="104" spans="1:20" s="288" customFormat="1" ht="14.25">
      <c r="A104" s="746" t="s">
        <v>310</v>
      </c>
      <c r="B104" s="747"/>
      <c r="C104" s="302" t="s">
        <v>267</v>
      </c>
      <c r="D104" s="790" t="s">
        <v>268</v>
      </c>
      <c r="E104" s="791"/>
      <c r="F104" s="792"/>
      <c r="G104" s="793" t="s">
        <v>314</v>
      </c>
      <c r="H104" s="794"/>
      <c r="I104" s="795"/>
      <c r="J104" s="303" t="s">
        <v>315</v>
      </c>
      <c r="K104" s="275" t="s">
        <v>63</v>
      </c>
      <c r="L104" s="275" t="s">
        <v>316</v>
      </c>
      <c r="M104" s="329" t="s">
        <v>303</v>
      </c>
      <c r="N104" s="276" t="s">
        <v>317</v>
      </c>
      <c r="O104" s="754" t="s">
        <v>273</v>
      </c>
      <c r="P104" s="755"/>
      <c r="R104" s="2"/>
      <c r="S104" s="2"/>
    </row>
    <row r="105" spans="1:20" s="288" customFormat="1" ht="20.100000000000001" customHeight="1">
      <c r="A105" s="756">
        <v>7</v>
      </c>
      <c r="B105" s="798" t="s">
        <v>364</v>
      </c>
      <c r="C105" s="278">
        <v>1</v>
      </c>
      <c r="D105" s="279"/>
      <c r="E105" s="280"/>
      <c r="F105" s="281"/>
      <c r="G105" s="282"/>
      <c r="H105" s="283"/>
      <c r="I105" s="284"/>
      <c r="J105" s="285"/>
      <c r="K105" s="286"/>
      <c r="L105" s="287"/>
      <c r="M105" s="330">
        <f t="shared" ref="M105:M107" si="11">L105*J105</f>
        <v>0</v>
      </c>
      <c r="N105" s="287"/>
      <c r="O105" s="801"/>
      <c r="P105" s="802"/>
      <c r="R105" s="2"/>
      <c r="S105" s="2"/>
    </row>
    <row r="106" spans="1:20" s="288" customFormat="1" ht="20.100000000000001" customHeight="1">
      <c r="A106" s="757"/>
      <c r="B106" s="799"/>
      <c r="C106" s="278">
        <v>2</v>
      </c>
      <c r="D106" s="279"/>
      <c r="E106" s="280"/>
      <c r="F106" s="281"/>
      <c r="G106" s="282"/>
      <c r="H106" s="283"/>
      <c r="I106" s="284"/>
      <c r="J106" s="285"/>
      <c r="K106" s="286"/>
      <c r="L106" s="287"/>
      <c r="M106" s="330">
        <f t="shared" si="11"/>
        <v>0</v>
      </c>
      <c r="N106" s="287"/>
      <c r="O106" s="803"/>
      <c r="P106" s="804"/>
      <c r="R106" s="2"/>
      <c r="S106" s="2"/>
    </row>
    <row r="107" spans="1:20" s="288" customFormat="1" ht="20.100000000000001" customHeight="1">
      <c r="A107" s="757"/>
      <c r="B107" s="799"/>
      <c r="C107" s="278">
        <v>3</v>
      </c>
      <c r="D107" s="279"/>
      <c r="E107" s="280"/>
      <c r="F107" s="281"/>
      <c r="G107" s="282"/>
      <c r="H107" s="283"/>
      <c r="I107" s="284"/>
      <c r="J107" s="285"/>
      <c r="K107" s="286"/>
      <c r="L107" s="287"/>
      <c r="M107" s="330">
        <f t="shared" si="11"/>
        <v>0</v>
      </c>
      <c r="N107" s="287"/>
      <c r="O107" s="803"/>
      <c r="P107" s="804"/>
      <c r="R107" s="2"/>
      <c r="S107" s="2"/>
    </row>
    <row r="108" spans="1:20" s="288" customFormat="1" ht="20.100000000000001" customHeight="1">
      <c r="A108" s="757"/>
      <c r="B108" s="799"/>
      <c r="C108" s="278">
        <v>4</v>
      </c>
      <c r="D108" s="279"/>
      <c r="E108" s="280"/>
      <c r="F108" s="281"/>
      <c r="G108" s="282"/>
      <c r="H108" s="283"/>
      <c r="I108" s="284"/>
      <c r="J108" s="285"/>
      <c r="K108" s="286"/>
      <c r="L108" s="287"/>
      <c r="M108" s="331">
        <v>0</v>
      </c>
      <c r="N108" s="287"/>
      <c r="O108" s="298"/>
      <c r="P108" s="299"/>
      <c r="R108" s="2"/>
      <c r="S108" s="2"/>
    </row>
    <row r="109" spans="1:20" s="288" customFormat="1" ht="20.100000000000001" customHeight="1" thickBot="1">
      <c r="A109" s="757"/>
      <c r="B109" s="799"/>
      <c r="C109" s="278">
        <v>5</v>
      </c>
      <c r="D109" s="289"/>
      <c r="E109" s="290"/>
      <c r="F109" s="291"/>
      <c r="G109" s="282"/>
      <c r="H109" s="283"/>
      <c r="I109" s="284"/>
      <c r="J109" s="382"/>
      <c r="K109" s="378"/>
      <c r="L109" s="316"/>
      <c r="M109" s="332">
        <v>0</v>
      </c>
      <c r="N109" s="287"/>
      <c r="O109" s="300"/>
      <c r="P109" s="301"/>
      <c r="R109" s="2"/>
      <c r="S109" s="2"/>
    </row>
    <row r="110" spans="1:20" s="288" customFormat="1" thickTop="1" thickBot="1">
      <c r="A110" s="758"/>
      <c r="B110" s="800"/>
      <c r="C110" s="785"/>
      <c r="D110" s="786"/>
      <c r="E110" s="786"/>
      <c r="F110" s="786"/>
      <c r="G110" s="786"/>
      <c r="H110" s="786"/>
      <c r="I110" s="787"/>
      <c r="J110" s="346" t="s">
        <v>331</v>
      </c>
      <c r="K110" s="212" t="e">
        <f>M110/'生產管理報表 7-1 (週)'!$B$31</f>
        <v>#DIV/0!</v>
      </c>
      <c r="L110" s="347" t="s">
        <v>332</v>
      </c>
      <c r="M110" s="383">
        <f>SUM(M105:M109)</f>
        <v>0</v>
      </c>
      <c r="N110" s="773"/>
      <c r="O110" s="774"/>
      <c r="P110" s="775"/>
      <c r="R110" s="2"/>
      <c r="S110" s="2"/>
      <c r="T110" s="2"/>
    </row>
    <row r="111" spans="1:20" s="135" customFormat="1" ht="15.75" customHeight="1" thickTop="1">
      <c r="A111" s="867" t="s">
        <v>385</v>
      </c>
      <c r="B111" s="867"/>
      <c r="C111" s="867"/>
      <c r="D111" s="867"/>
      <c r="E111" s="867"/>
      <c r="F111" s="867"/>
      <c r="G111" s="867"/>
      <c r="H111" s="867"/>
      <c r="I111" s="867"/>
      <c r="J111" s="867"/>
      <c r="K111" s="867"/>
      <c r="L111" s="867"/>
      <c r="M111" s="867"/>
      <c r="Q111" s="231"/>
      <c r="R111" s="231"/>
      <c r="S111" s="231"/>
      <c r="T111" s="231"/>
    </row>
    <row r="112" spans="1:20" s="136" customFormat="1" ht="15.75" customHeight="1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</row>
    <row r="113" spans="1:20" s="135" customFormat="1" ht="12">
      <c r="A113" s="742" t="s">
        <v>310</v>
      </c>
      <c r="B113" s="744">
        <v>1</v>
      </c>
      <c r="C113" s="745"/>
      <c r="D113" s="744">
        <v>2</v>
      </c>
      <c r="E113" s="745"/>
      <c r="F113" s="744">
        <v>3</v>
      </c>
      <c r="G113" s="745"/>
      <c r="H113" s="735">
        <v>4</v>
      </c>
      <c r="I113" s="736"/>
      <c r="J113" s="735">
        <v>5</v>
      </c>
      <c r="K113" s="736"/>
      <c r="L113" s="735">
        <v>6</v>
      </c>
      <c r="M113" s="736"/>
      <c r="N113" s="735">
        <v>7</v>
      </c>
      <c r="O113" s="736"/>
      <c r="P113" s="351">
        <v>8</v>
      </c>
    </row>
    <row r="114" spans="1:20" s="135" customFormat="1">
      <c r="A114" s="743"/>
      <c r="B114" s="739" t="s">
        <v>299</v>
      </c>
      <c r="C114" s="740"/>
      <c r="D114" s="739" t="s">
        <v>311</v>
      </c>
      <c r="E114" s="740"/>
      <c r="F114" s="739" t="s">
        <v>301</v>
      </c>
      <c r="G114" s="740"/>
      <c r="H114" s="737" t="s">
        <v>312</v>
      </c>
      <c r="I114" s="738"/>
      <c r="J114" s="737" t="s">
        <v>306</v>
      </c>
      <c r="K114" s="738"/>
      <c r="L114" s="737" t="s">
        <v>307</v>
      </c>
      <c r="M114" s="738"/>
      <c r="N114" s="737" t="s">
        <v>308</v>
      </c>
      <c r="O114" s="738"/>
      <c r="P114" s="352" t="s">
        <v>313</v>
      </c>
    </row>
    <row r="115" spans="1:20" s="135" customFormat="1" ht="15.75" customHeight="1">
      <c r="B115" s="232"/>
      <c r="C115" s="233"/>
    </row>
    <row r="116" spans="1:20" s="277" customFormat="1">
      <c r="A116" s="746" t="s">
        <v>310</v>
      </c>
      <c r="B116" s="747"/>
      <c r="C116" s="274" t="s">
        <v>267</v>
      </c>
      <c r="D116" s="748" t="s">
        <v>268</v>
      </c>
      <c r="E116" s="749"/>
      <c r="F116" s="750"/>
      <c r="G116" s="751" t="s">
        <v>314</v>
      </c>
      <c r="H116" s="752"/>
      <c r="I116" s="753"/>
      <c r="J116" s="275" t="s">
        <v>315</v>
      </c>
      <c r="K116" s="275" t="s">
        <v>63</v>
      </c>
      <c r="L116" s="275" t="s">
        <v>316</v>
      </c>
      <c r="M116" s="276" t="s">
        <v>303</v>
      </c>
      <c r="N116" s="276" t="s">
        <v>317</v>
      </c>
      <c r="O116" s="754" t="s">
        <v>273</v>
      </c>
      <c r="P116" s="755"/>
      <c r="R116" s="210"/>
      <c r="S116" s="260"/>
    </row>
    <row r="117" spans="1:20" s="297" customFormat="1" ht="20.100000000000001" customHeight="1">
      <c r="A117" s="756">
        <v>4</v>
      </c>
      <c r="B117" s="759" t="s">
        <v>312</v>
      </c>
      <c r="C117" s="278">
        <v>1</v>
      </c>
      <c r="D117" s="237"/>
      <c r="E117" s="238"/>
      <c r="F117" s="239"/>
      <c r="G117" s="349"/>
      <c r="H117" s="304"/>
      <c r="I117" s="305"/>
      <c r="J117" s="311"/>
      <c r="K117" s="312"/>
      <c r="L117" s="313"/>
      <c r="M117" s="321">
        <f t="shared" ref="M117:M121" si="12">L117*J117</f>
        <v>0</v>
      </c>
      <c r="N117" s="313"/>
      <c r="O117" s="855"/>
      <c r="P117" s="856"/>
      <c r="R117" s="314"/>
      <c r="S117" s="260"/>
    </row>
    <row r="118" spans="1:20" s="297" customFormat="1" ht="20.100000000000001" customHeight="1">
      <c r="A118" s="757"/>
      <c r="B118" s="760"/>
      <c r="C118" s="278">
        <v>2</v>
      </c>
      <c r="D118" s="237"/>
      <c r="E118" s="238"/>
      <c r="F118" s="239"/>
      <c r="G118" s="349"/>
      <c r="H118" s="304"/>
      <c r="I118" s="305"/>
      <c r="J118" s="311"/>
      <c r="K118" s="312"/>
      <c r="L118" s="313"/>
      <c r="M118" s="321">
        <f t="shared" si="12"/>
        <v>0</v>
      </c>
      <c r="N118" s="313"/>
      <c r="O118" s="764"/>
      <c r="P118" s="765"/>
      <c r="R118" s="314"/>
      <c r="S118" s="210"/>
      <c r="T118" s="334"/>
    </row>
    <row r="119" spans="1:20" s="297" customFormat="1" ht="20.100000000000001" customHeight="1">
      <c r="A119" s="757"/>
      <c r="B119" s="760"/>
      <c r="C119" s="278">
        <v>3</v>
      </c>
      <c r="D119" s="237"/>
      <c r="E119" s="238"/>
      <c r="F119" s="239"/>
      <c r="G119" s="349"/>
      <c r="H119" s="304"/>
      <c r="I119" s="305"/>
      <c r="J119" s="311"/>
      <c r="K119" s="312"/>
      <c r="L119" s="313"/>
      <c r="M119" s="321">
        <f t="shared" si="12"/>
        <v>0</v>
      </c>
      <c r="N119" s="313"/>
      <c r="O119" s="855"/>
      <c r="P119" s="856"/>
      <c r="R119" s="314"/>
      <c r="S119" s="260"/>
    </row>
    <row r="120" spans="1:20" s="297" customFormat="1" ht="20.100000000000001" customHeight="1">
      <c r="A120" s="757"/>
      <c r="B120" s="760"/>
      <c r="C120" s="278">
        <v>4</v>
      </c>
      <c r="D120" s="237"/>
      <c r="E120" s="238"/>
      <c r="F120" s="239"/>
      <c r="G120" s="349"/>
      <c r="H120" s="304"/>
      <c r="I120" s="305"/>
      <c r="J120" s="311"/>
      <c r="K120" s="312"/>
      <c r="L120" s="313"/>
      <c r="M120" s="321">
        <f t="shared" si="12"/>
        <v>0</v>
      </c>
      <c r="N120" s="313"/>
      <c r="O120" s="855"/>
      <c r="P120" s="856"/>
      <c r="R120" s="314"/>
      <c r="S120" s="210"/>
      <c r="T120" s="334"/>
    </row>
    <row r="121" spans="1:20" s="297" customFormat="1" ht="20.100000000000001" customHeight="1" thickBot="1">
      <c r="A121" s="757"/>
      <c r="B121" s="760"/>
      <c r="C121" s="278">
        <v>5</v>
      </c>
      <c r="D121" s="237"/>
      <c r="E121" s="244"/>
      <c r="F121" s="245"/>
      <c r="G121" s="349"/>
      <c r="H121" s="304"/>
      <c r="I121" s="305"/>
      <c r="J121" s="382"/>
      <c r="K121" s="378"/>
      <c r="L121" s="316"/>
      <c r="M121" s="321">
        <f t="shared" si="12"/>
        <v>0</v>
      </c>
      <c r="N121" s="313"/>
      <c r="O121" s="855"/>
      <c r="P121" s="856"/>
      <c r="R121" s="317"/>
      <c r="S121" s="260"/>
      <c r="T121" s="288"/>
    </row>
    <row r="122" spans="1:20" s="288" customFormat="1" thickTop="1" thickBot="1">
      <c r="A122" s="758"/>
      <c r="B122" s="761"/>
      <c r="C122" s="770"/>
      <c r="D122" s="771"/>
      <c r="E122" s="771"/>
      <c r="F122" s="771"/>
      <c r="G122" s="771"/>
      <c r="H122" s="771"/>
      <c r="I122" s="772"/>
      <c r="J122" s="346" t="s">
        <v>331</v>
      </c>
      <c r="K122" s="212" t="e">
        <f>M122/'生產管理報表 7-1 (週)'!$B$42</f>
        <v>#DIV/0!</v>
      </c>
      <c r="L122" s="347" t="s">
        <v>332</v>
      </c>
      <c r="M122" s="383">
        <f>SUM(M117:M121)</f>
        <v>0</v>
      </c>
      <c r="N122" s="773"/>
      <c r="O122" s="774"/>
      <c r="P122" s="775"/>
      <c r="R122" s="210"/>
      <c r="S122" s="210"/>
    </row>
    <row r="123" spans="1:20" s="288" customFormat="1" ht="15.75" customHeight="1" thickTop="1">
      <c r="B123" s="296"/>
      <c r="C123" s="297"/>
      <c r="M123" s="328"/>
      <c r="S123" s="260"/>
    </row>
    <row r="124" spans="1:20" s="288" customFormat="1" ht="14.25">
      <c r="A124" s="746" t="s">
        <v>310</v>
      </c>
      <c r="B124" s="747"/>
      <c r="C124" s="274" t="s">
        <v>267</v>
      </c>
      <c r="D124" s="748" t="s">
        <v>268</v>
      </c>
      <c r="E124" s="749"/>
      <c r="F124" s="750"/>
      <c r="G124" s="751" t="s">
        <v>314</v>
      </c>
      <c r="H124" s="752"/>
      <c r="I124" s="753"/>
      <c r="J124" s="275" t="s">
        <v>315</v>
      </c>
      <c r="K124" s="275" t="s">
        <v>63</v>
      </c>
      <c r="L124" s="275" t="s">
        <v>316</v>
      </c>
      <c r="M124" s="329" t="s">
        <v>303</v>
      </c>
      <c r="N124" s="276" t="s">
        <v>317</v>
      </c>
      <c r="O124" s="754" t="s">
        <v>273</v>
      </c>
      <c r="P124" s="755"/>
      <c r="S124" s="210"/>
      <c r="T124" s="334"/>
    </row>
    <row r="125" spans="1:20" s="297" customFormat="1" ht="50.1" customHeight="1">
      <c r="A125" s="756">
        <v>5</v>
      </c>
      <c r="B125" s="776" t="s">
        <v>347</v>
      </c>
      <c r="C125" s="278">
        <v>1</v>
      </c>
      <c r="D125" s="237"/>
      <c r="E125" s="238"/>
      <c r="F125" s="239"/>
      <c r="G125" s="305"/>
      <c r="H125" s="304"/>
      <c r="I125" s="305"/>
      <c r="J125" s="311"/>
      <c r="K125" s="312"/>
      <c r="L125" s="313"/>
      <c r="M125" s="321">
        <f>L125*J125</f>
        <v>0</v>
      </c>
      <c r="N125" s="313"/>
      <c r="O125" s="764"/>
      <c r="P125" s="765"/>
      <c r="R125" s="334"/>
      <c r="S125" s="384"/>
    </row>
    <row r="126" spans="1:20" s="297" customFormat="1" ht="50.1" customHeight="1">
      <c r="A126" s="757"/>
      <c r="B126" s="777"/>
      <c r="C126" s="278">
        <v>2</v>
      </c>
      <c r="D126" s="237"/>
      <c r="E126" s="238"/>
      <c r="F126" s="239"/>
      <c r="G126" s="305"/>
      <c r="H126" s="304"/>
      <c r="I126" s="305"/>
      <c r="J126" s="311"/>
      <c r="K126" s="312"/>
      <c r="L126" s="313"/>
      <c r="M126" s="321">
        <f t="shared" ref="M126:M129" si="13">L126*J126</f>
        <v>0</v>
      </c>
      <c r="N126" s="313"/>
      <c r="O126" s="764"/>
      <c r="P126" s="765"/>
      <c r="S126" s="210"/>
      <c r="T126" s="335"/>
    </row>
    <row r="127" spans="1:20" s="288" customFormat="1" ht="20.100000000000001" customHeight="1">
      <c r="A127" s="757"/>
      <c r="B127" s="777"/>
      <c r="C127" s="278">
        <v>3</v>
      </c>
      <c r="D127" s="237"/>
      <c r="E127" s="280"/>
      <c r="F127" s="281"/>
      <c r="G127" s="349"/>
      <c r="H127" s="304"/>
      <c r="I127" s="305"/>
      <c r="J127" s="311"/>
      <c r="K127" s="312"/>
      <c r="L127" s="313"/>
      <c r="M127" s="321">
        <f t="shared" si="13"/>
        <v>0</v>
      </c>
      <c r="N127" s="287"/>
      <c r="O127" s="781"/>
      <c r="P127" s="782"/>
    </row>
    <row r="128" spans="1:20" s="288" customFormat="1" ht="20.100000000000001" customHeight="1">
      <c r="A128" s="757"/>
      <c r="B128" s="777"/>
      <c r="C128" s="278">
        <v>4</v>
      </c>
      <c r="D128" s="237"/>
      <c r="E128" s="280"/>
      <c r="F128" s="281"/>
      <c r="G128" s="349"/>
      <c r="H128" s="304"/>
      <c r="I128" s="305"/>
      <c r="J128" s="311"/>
      <c r="K128" s="312"/>
      <c r="L128" s="313"/>
      <c r="M128" s="321">
        <f t="shared" si="13"/>
        <v>0</v>
      </c>
      <c r="N128" s="287"/>
      <c r="O128" s="764"/>
      <c r="P128" s="765"/>
    </row>
    <row r="129" spans="1:19" s="288" customFormat="1" ht="20.100000000000001" customHeight="1" thickBot="1">
      <c r="A129" s="757"/>
      <c r="B129" s="777"/>
      <c r="C129" s="278">
        <v>5</v>
      </c>
      <c r="D129" s="243"/>
      <c r="E129" s="290"/>
      <c r="F129" s="291"/>
      <c r="G129" s="349"/>
      <c r="H129" s="304"/>
      <c r="I129" s="305"/>
      <c r="J129" s="382"/>
      <c r="K129" s="378"/>
      <c r="L129" s="316"/>
      <c r="M129" s="321">
        <f t="shared" si="13"/>
        <v>0</v>
      </c>
      <c r="N129" s="287"/>
      <c r="O129" s="872"/>
      <c r="P129" s="873"/>
      <c r="R129" s="211"/>
    </row>
    <row r="130" spans="1:19" s="288" customFormat="1" thickTop="1" thickBot="1">
      <c r="A130" s="758"/>
      <c r="B130" s="778"/>
      <c r="C130" s="785"/>
      <c r="D130" s="786"/>
      <c r="E130" s="786"/>
      <c r="F130" s="786"/>
      <c r="G130" s="786"/>
      <c r="H130" s="786"/>
      <c r="I130" s="787"/>
      <c r="J130" s="346" t="s">
        <v>331</v>
      </c>
      <c r="K130" s="212" t="e">
        <f>M130/'生產管理報表 7-1 (週)'!$B$42</f>
        <v>#DIV/0!</v>
      </c>
      <c r="L130" s="347" t="s">
        <v>332</v>
      </c>
      <c r="M130" s="383">
        <f>SUM(M125:M129)</f>
        <v>0</v>
      </c>
      <c r="N130" s="773"/>
      <c r="O130" s="774"/>
      <c r="P130" s="775"/>
      <c r="R130" s="210"/>
    </row>
    <row r="131" spans="1:19" s="288" customFormat="1" ht="15.75" customHeight="1" thickTop="1">
      <c r="B131" s="296"/>
      <c r="C131" s="297"/>
      <c r="M131" s="328"/>
      <c r="R131" s="210"/>
    </row>
    <row r="132" spans="1:19" s="288" customFormat="1" ht="14.25">
      <c r="A132" s="746" t="s">
        <v>310</v>
      </c>
      <c r="B132" s="747"/>
      <c r="C132" s="302" t="s">
        <v>267</v>
      </c>
      <c r="D132" s="790" t="s">
        <v>268</v>
      </c>
      <c r="E132" s="791"/>
      <c r="F132" s="792"/>
      <c r="G132" s="793" t="s">
        <v>314</v>
      </c>
      <c r="H132" s="794"/>
      <c r="I132" s="795"/>
      <c r="J132" s="303" t="s">
        <v>315</v>
      </c>
      <c r="K132" s="275" t="s">
        <v>63</v>
      </c>
      <c r="L132" s="275" t="s">
        <v>316</v>
      </c>
      <c r="M132" s="329" t="s">
        <v>303</v>
      </c>
      <c r="N132" s="276" t="s">
        <v>317</v>
      </c>
      <c r="O132" s="754" t="s">
        <v>273</v>
      </c>
      <c r="P132" s="755"/>
      <c r="R132" s="210"/>
      <c r="S132" s="2"/>
    </row>
    <row r="133" spans="1:19" s="288" customFormat="1" ht="39.950000000000003" customHeight="1">
      <c r="A133" s="756">
        <v>6</v>
      </c>
      <c r="B133" s="776" t="s">
        <v>352</v>
      </c>
      <c r="C133" s="278">
        <v>1</v>
      </c>
      <c r="D133" s="336"/>
      <c r="E133" s="280"/>
      <c r="F133" s="281"/>
      <c r="G133" s="240"/>
      <c r="H133" s="304"/>
      <c r="I133" s="240"/>
      <c r="J133" s="311"/>
      <c r="K133" s="312"/>
      <c r="L133" s="313"/>
      <c r="M133" s="321">
        <f t="shared" ref="M133:M137" si="14">L133*J133</f>
        <v>0</v>
      </c>
      <c r="N133" s="287"/>
      <c r="O133" s="781"/>
      <c r="P133" s="782"/>
      <c r="R133" s="335"/>
      <c r="S133" s="391"/>
    </row>
    <row r="134" spans="1:19" s="297" customFormat="1" ht="39.950000000000003" customHeight="1">
      <c r="A134" s="757"/>
      <c r="B134" s="777"/>
      <c r="C134" s="278">
        <v>2</v>
      </c>
      <c r="D134" s="237"/>
      <c r="E134" s="238"/>
      <c r="F134" s="239"/>
      <c r="G134" s="240"/>
      <c r="H134" s="304"/>
      <c r="I134" s="240"/>
      <c r="J134" s="311"/>
      <c r="K134" s="312"/>
      <c r="L134" s="313"/>
      <c r="M134" s="321">
        <f t="shared" si="14"/>
        <v>0</v>
      </c>
      <c r="N134" s="313"/>
      <c r="O134" s="870"/>
      <c r="P134" s="871"/>
      <c r="S134" s="96"/>
    </row>
    <row r="135" spans="1:19" s="288" customFormat="1" ht="39.950000000000003" customHeight="1">
      <c r="A135" s="757"/>
      <c r="B135" s="777"/>
      <c r="C135" s="278">
        <v>3</v>
      </c>
      <c r="D135" s="237"/>
      <c r="E135" s="280"/>
      <c r="F135" s="281"/>
      <c r="G135" s="349"/>
      <c r="H135" s="304"/>
      <c r="I135" s="305"/>
      <c r="J135" s="311"/>
      <c r="K135" s="312"/>
      <c r="L135" s="313"/>
      <c r="M135" s="321">
        <f t="shared" si="14"/>
        <v>0</v>
      </c>
      <c r="N135" s="287"/>
      <c r="O135" s="870"/>
      <c r="P135" s="871"/>
      <c r="S135" s="2"/>
    </row>
    <row r="136" spans="1:19" s="288" customFormat="1" ht="39.950000000000003" customHeight="1">
      <c r="A136" s="757"/>
      <c r="B136" s="777"/>
      <c r="C136" s="278">
        <v>4</v>
      </c>
      <c r="D136" s="237"/>
      <c r="E136" s="280"/>
      <c r="F136" s="281"/>
      <c r="G136" s="349"/>
      <c r="H136" s="304"/>
      <c r="I136" s="305"/>
      <c r="J136" s="311"/>
      <c r="K136" s="312"/>
      <c r="L136" s="313"/>
      <c r="M136" s="321">
        <f t="shared" si="14"/>
        <v>0</v>
      </c>
      <c r="N136" s="287"/>
      <c r="O136" s="870"/>
      <c r="P136" s="871"/>
      <c r="R136" s="2"/>
      <c r="S136" s="2"/>
    </row>
    <row r="137" spans="1:19" s="288" customFormat="1" ht="39.950000000000003" customHeight="1" thickBot="1">
      <c r="A137" s="757"/>
      <c r="B137" s="777"/>
      <c r="C137" s="278">
        <v>5</v>
      </c>
      <c r="D137" s="243"/>
      <c r="E137" s="290"/>
      <c r="F137" s="291"/>
      <c r="G137" s="349"/>
      <c r="H137" s="304"/>
      <c r="I137" s="305"/>
      <c r="J137" s="382"/>
      <c r="K137" s="378"/>
      <c r="L137" s="316"/>
      <c r="M137" s="321">
        <f t="shared" si="14"/>
        <v>0</v>
      </c>
      <c r="N137" s="287"/>
      <c r="O137" s="870"/>
      <c r="P137" s="871"/>
      <c r="R137" s="2"/>
      <c r="S137" s="2"/>
    </row>
    <row r="138" spans="1:19" s="288" customFormat="1" thickTop="1" thickBot="1">
      <c r="A138" s="758"/>
      <c r="B138" s="778"/>
      <c r="C138" s="785"/>
      <c r="D138" s="786"/>
      <c r="E138" s="786"/>
      <c r="F138" s="786"/>
      <c r="G138" s="786"/>
      <c r="H138" s="786"/>
      <c r="I138" s="787"/>
      <c r="J138" s="346" t="s">
        <v>331</v>
      </c>
      <c r="K138" s="212" t="e">
        <f>M138/'生產管理報表 7-1 (週)'!$B$42</f>
        <v>#DIV/0!</v>
      </c>
      <c r="L138" s="347" t="s">
        <v>332</v>
      </c>
      <c r="M138" s="383">
        <f>SUM(M133:M137)</f>
        <v>0</v>
      </c>
      <c r="N138" s="773"/>
      <c r="O138" s="774"/>
      <c r="P138" s="775"/>
      <c r="R138" s="2"/>
      <c r="S138" s="2"/>
    </row>
    <row r="139" spans="1:19" s="288" customFormat="1" ht="15.75" customHeight="1" thickTop="1">
      <c r="B139" s="296"/>
      <c r="C139" s="297"/>
      <c r="M139" s="328"/>
      <c r="R139" s="2"/>
      <c r="S139" s="2"/>
    </row>
    <row r="140" spans="1:19" s="288" customFormat="1" ht="14.25">
      <c r="A140" s="746" t="s">
        <v>310</v>
      </c>
      <c r="B140" s="747"/>
      <c r="C140" s="302" t="s">
        <v>267</v>
      </c>
      <c r="D140" s="790" t="s">
        <v>268</v>
      </c>
      <c r="E140" s="791"/>
      <c r="F140" s="792"/>
      <c r="G140" s="793" t="s">
        <v>314</v>
      </c>
      <c r="H140" s="794"/>
      <c r="I140" s="795"/>
      <c r="J140" s="303" t="s">
        <v>315</v>
      </c>
      <c r="K140" s="275" t="s">
        <v>63</v>
      </c>
      <c r="L140" s="275" t="s">
        <v>316</v>
      </c>
      <c r="M140" s="329" t="s">
        <v>303</v>
      </c>
      <c r="N140" s="276" t="s">
        <v>317</v>
      </c>
      <c r="O140" s="754" t="s">
        <v>273</v>
      </c>
      <c r="P140" s="755"/>
      <c r="R140" s="2"/>
      <c r="S140" s="2"/>
    </row>
    <row r="141" spans="1:19" s="288" customFormat="1" ht="20.100000000000001" customHeight="1">
      <c r="A141" s="756">
        <v>7</v>
      </c>
      <c r="B141" s="798" t="s">
        <v>364</v>
      </c>
      <c r="C141" s="278">
        <v>1</v>
      </c>
      <c r="D141" s="279"/>
      <c r="E141" s="280"/>
      <c r="F141" s="281"/>
      <c r="G141" s="282"/>
      <c r="H141" s="283"/>
      <c r="I141" s="284"/>
      <c r="J141" s="285"/>
      <c r="K141" s="286"/>
      <c r="L141" s="287"/>
      <c r="M141" s="330">
        <f t="shared" ref="M141:M143" si="15">L141*J141</f>
        <v>0</v>
      </c>
      <c r="N141" s="287"/>
      <c r="O141" s="801"/>
      <c r="P141" s="802"/>
      <c r="R141" s="2"/>
      <c r="S141" s="2"/>
    </row>
    <row r="142" spans="1:19" s="288" customFormat="1" ht="20.100000000000001" customHeight="1">
      <c r="A142" s="757"/>
      <c r="B142" s="799"/>
      <c r="C142" s="278">
        <v>2</v>
      </c>
      <c r="D142" s="279"/>
      <c r="E142" s="280"/>
      <c r="F142" s="281"/>
      <c r="G142" s="282"/>
      <c r="H142" s="283"/>
      <c r="I142" s="284"/>
      <c r="J142" s="285"/>
      <c r="K142" s="286"/>
      <c r="L142" s="287"/>
      <c r="M142" s="330">
        <f t="shared" si="15"/>
        <v>0</v>
      </c>
      <c r="N142" s="287"/>
      <c r="O142" s="803"/>
      <c r="P142" s="804"/>
      <c r="R142" s="2"/>
      <c r="S142" s="2"/>
    </row>
    <row r="143" spans="1:19" s="288" customFormat="1" ht="20.100000000000001" customHeight="1">
      <c r="A143" s="757"/>
      <c r="B143" s="799"/>
      <c r="C143" s="278">
        <v>3</v>
      </c>
      <c r="D143" s="279"/>
      <c r="E143" s="280"/>
      <c r="F143" s="281"/>
      <c r="G143" s="282"/>
      <c r="H143" s="283"/>
      <c r="I143" s="284"/>
      <c r="J143" s="285"/>
      <c r="K143" s="286"/>
      <c r="L143" s="287"/>
      <c r="M143" s="330">
        <f t="shared" si="15"/>
        <v>0</v>
      </c>
      <c r="N143" s="287"/>
      <c r="O143" s="803"/>
      <c r="P143" s="804"/>
      <c r="R143" s="2"/>
      <c r="S143" s="2"/>
    </row>
    <row r="144" spans="1:19" s="288" customFormat="1" ht="20.100000000000001" customHeight="1">
      <c r="A144" s="757"/>
      <c r="B144" s="799"/>
      <c r="C144" s="278">
        <v>4</v>
      </c>
      <c r="D144" s="279"/>
      <c r="E144" s="280"/>
      <c r="F144" s="281"/>
      <c r="G144" s="282"/>
      <c r="H144" s="283"/>
      <c r="I144" s="284"/>
      <c r="J144" s="285"/>
      <c r="K144" s="286"/>
      <c r="L144" s="287"/>
      <c r="M144" s="331">
        <v>0</v>
      </c>
      <c r="N144" s="287"/>
      <c r="O144" s="298"/>
      <c r="P144" s="299"/>
      <c r="R144" s="2"/>
      <c r="S144" s="2"/>
    </row>
    <row r="145" spans="1:20" s="288" customFormat="1" ht="20.100000000000001" customHeight="1" thickBot="1">
      <c r="A145" s="757"/>
      <c r="B145" s="799"/>
      <c r="C145" s="278">
        <v>5</v>
      </c>
      <c r="D145" s="289"/>
      <c r="E145" s="290"/>
      <c r="F145" s="291"/>
      <c r="G145" s="282"/>
      <c r="H145" s="283"/>
      <c r="I145" s="284"/>
      <c r="J145" s="382"/>
      <c r="K145" s="378"/>
      <c r="L145" s="316"/>
      <c r="M145" s="332">
        <v>0</v>
      </c>
      <c r="N145" s="287"/>
      <c r="O145" s="300"/>
      <c r="P145" s="301"/>
      <c r="R145" s="2"/>
      <c r="S145" s="2"/>
    </row>
    <row r="146" spans="1:20" s="288" customFormat="1" thickTop="1" thickBot="1">
      <c r="A146" s="758"/>
      <c r="B146" s="800"/>
      <c r="C146" s="785"/>
      <c r="D146" s="786"/>
      <c r="E146" s="786"/>
      <c r="F146" s="786"/>
      <c r="G146" s="786"/>
      <c r="H146" s="786"/>
      <c r="I146" s="787"/>
      <c r="J146" s="346" t="s">
        <v>331</v>
      </c>
      <c r="K146" s="212" t="e">
        <f>M146/'生產管理報表 7-1 (週)'!$B$42</f>
        <v>#DIV/0!</v>
      </c>
      <c r="L146" s="347" t="s">
        <v>332</v>
      </c>
      <c r="M146" s="383">
        <f>SUM(M141:M145)</f>
        <v>0</v>
      </c>
      <c r="N146" s="773"/>
      <c r="O146" s="774"/>
      <c r="P146" s="775"/>
      <c r="R146" s="2"/>
      <c r="S146" s="2"/>
      <c r="T146" s="2"/>
    </row>
    <row r="147" spans="1:20" s="135" customFormat="1" ht="15.75" customHeight="1" thickTop="1">
      <c r="A147" s="867" t="s">
        <v>386</v>
      </c>
      <c r="B147" s="867"/>
      <c r="C147" s="867"/>
      <c r="D147" s="867"/>
      <c r="E147" s="867"/>
      <c r="F147" s="867"/>
      <c r="G147" s="867"/>
      <c r="H147" s="867"/>
      <c r="I147" s="867"/>
      <c r="J147" s="867"/>
      <c r="K147" s="867"/>
      <c r="L147" s="867"/>
      <c r="M147" s="867"/>
      <c r="Q147" s="231"/>
      <c r="R147" s="231"/>
      <c r="S147" s="231"/>
      <c r="T147" s="231"/>
    </row>
    <row r="148" spans="1:20" s="136" customFormat="1" ht="15.75" customHeight="1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</row>
    <row r="149" spans="1:20" s="135" customFormat="1" ht="12">
      <c r="A149" s="742" t="s">
        <v>310</v>
      </c>
      <c r="B149" s="744">
        <v>1</v>
      </c>
      <c r="C149" s="745"/>
      <c r="D149" s="744">
        <v>2</v>
      </c>
      <c r="E149" s="745"/>
      <c r="F149" s="744">
        <v>3</v>
      </c>
      <c r="G149" s="745"/>
      <c r="H149" s="735">
        <v>4</v>
      </c>
      <c r="I149" s="736"/>
      <c r="J149" s="735">
        <v>5</v>
      </c>
      <c r="K149" s="736"/>
      <c r="L149" s="735">
        <v>6</v>
      </c>
      <c r="M149" s="736"/>
      <c r="N149" s="735">
        <v>7</v>
      </c>
      <c r="O149" s="736"/>
      <c r="P149" s="351">
        <v>8</v>
      </c>
    </row>
    <row r="150" spans="1:20" s="135" customFormat="1">
      <c r="A150" s="743"/>
      <c r="B150" s="739" t="s">
        <v>299</v>
      </c>
      <c r="C150" s="740"/>
      <c r="D150" s="739" t="s">
        <v>311</v>
      </c>
      <c r="E150" s="740"/>
      <c r="F150" s="739" t="s">
        <v>301</v>
      </c>
      <c r="G150" s="740"/>
      <c r="H150" s="737" t="s">
        <v>312</v>
      </c>
      <c r="I150" s="738"/>
      <c r="J150" s="737" t="s">
        <v>306</v>
      </c>
      <c r="K150" s="738"/>
      <c r="L150" s="737" t="s">
        <v>307</v>
      </c>
      <c r="M150" s="738"/>
      <c r="N150" s="737" t="s">
        <v>308</v>
      </c>
      <c r="O150" s="738"/>
      <c r="P150" s="352" t="s">
        <v>313</v>
      </c>
    </row>
    <row r="151" spans="1:20" s="135" customFormat="1" ht="15.75" customHeight="1">
      <c r="B151" s="232"/>
      <c r="C151" s="233"/>
    </row>
    <row r="152" spans="1:20" s="277" customFormat="1">
      <c r="A152" s="746" t="s">
        <v>310</v>
      </c>
      <c r="B152" s="747"/>
      <c r="C152" s="274" t="s">
        <v>267</v>
      </c>
      <c r="D152" s="748" t="s">
        <v>268</v>
      </c>
      <c r="E152" s="749"/>
      <c r="F152" s="750"/>
      <c r="G152" s="751" t="s">
        <v>314</v>
      </c>
      <c r="H152" s="752"/>
      <c r="I152" s="753"/>
      <c r="J152" s="275" t="s">
        <v>315</v>
      </c>
      <c r="K152" s="275" t="s">
        <v>63</v>
      </c>
      <c r="L152" s="275" t="s">
        <v>316</v>
      </c>
      <c r="M152" s="276" t="s">
        <v>303</v>
      </c>
      <c r="N152" s="276" t="s">
        <v>317</v>
      </c>
      <c r="O152" s="754" t="s">
        <v>273</v>
      </c>
      <c r="P152" s="755"/>
      <c r="R152" s="210"/>
      <c r="S152" s="260"/>
    </row>
    <row r="153" spans="1:20" s="297" customFormat="1" ht="20.100000000000001" customHeight="1">
      <c r="A153" s="756">
        <v>4</v>
      </c>
      <c r="B153" s="759" t="s">
        <v>312</v>
      </c>
      <c r="C153" s="278">
        <v>1</v>
      </c>
      <c r="D153" s="237"/>
      <c r="E153" s="238"/>
      <c r="F153" s="239"/>
      <c r="G153" s="349"/>
      <c r="H153" s="304"/>
      <c r="I153" s="305"/>
      <c r="J153" s="311"/>
      <c r="K153" s="312"/>
      <c r="L153" s="313"/>
      <c r="M153" s="321">
        <f t="shared" ref="M153:M157" si="16">L153*J153</f>
        <v>0</v>
      </c>
      <c r="N153" s="313"/>
      <c r="O153" s="855"/>
      <c r="P153" s="856"/>
      <c r="R153" s="314"/>
      <c r="S153" s="260"/>
    </row>
    <row r="154" spans="1:20" s="297" customFormat="1" ht="20.100000000000001" customHeight="1">
      <c r="A154" s="757"/>
      <c r="B154" s="760"/>
      <c r="C154" s="278">
        <v>2</v>
      </c>
      <c r="D154" s="237"/>
      <c r="E154" s="238"/>
      <c r="F154" s="239"/>
      <c r="G154" s="349"/>
      <c r="H154" s="304"/>
      <c r="I154" s="305"/>
      <c r="J154" s="311"/>
      <c r="K154" s="312"/>
      <c r="L154" s="313"/>
      <c r="M154" s="321">
        <f t="shared" si="16"/>
        <v>0</v>
      </c>
      <c r="N154" s="313"/>
      <c r="O154" s="764"/>
      <c r="P154" s="765"/>
      <c r="R154" s="314"/>
      <c r="S154" s="210"/>
      <c r="T154" s="334"/>
    </row>
    <row r="155" spans="1:20" s="297" customFormat="1" ht="20.100000000000001" customHeight="1">
      <c r="A155" s="757"/>
      <c r="B155" s="760"/>
      <c r="C155" s="278">
        <v>3</v>
      </c>
      <c r="D155" s="237"/>
      <c r="E155" s="238"/>
      <c r="F155" s="239"/>
      <c r="G155" s="349"/>
      <c r="H155" s="304"/>
      <c r="I155" s="305"/>
      <c r="J155" s="311"/>
      <c r="K155" s="312"/>
      <c r="L155" s="313"/>
      <c r="M155" s="321">
        <f t="shared" si="16"/>
        <v>0</v>
      </c>
      <c r="N155" s="313"/>
      <c r="O155" s="855"/>
      <c r="P155" s="856"/>
      <c r="R155" s="314"/>
      <c r="S155" s="260"/>
    </row>
    <row r="156" spans="1:20" s="297" customFormat="1" ht="20.100000000000001" customHeight="1">
      <c r="A156" s="757"/>
      <c r="B156" s="760"/>
      <c r="C156" s="278">
        <v>4</v>
      </c>
      <c r="D156" s="237"/>
      <c r="E156" s="238"/>
      <c r="F156" s="239"/>
      <c r="G156" s="349"/>
      <c r="H156" s="304"/>
      <c r="I156" s="305"/>
      <c r="J156" s="311"/>
      <c r="K156" s="312"/>
      <c r="L156" s="313"/>
      <c r="M156" s="321">
        <f t="shared" si="16"/>
        <v>0</v>
      </c>
      <c r="N156" s="313"/>
      <c r="O156" s="855"/>
      <c r="P156" s="856"/>
      <c r="R156" s="314"/>
      <c r="S156" s="210"/>
      <c r="T156" s="334"/>
    </row>
    <row r="157" spans="1:20" s="297" customFormat="1" ht="20.100000000000001" customHeight="1" thickBot="1">
      <c r="A157" s="757"/>
      <c r="B157" s="760"/>
      <c r="C157" s="278">
        <v>5</v>
      </c>
      <c r="D157" s="237"/>
      <c r="E157" s="244"/>
      <c r="F157" s="245"/>
      <c r="G157" s="349"/>
      <c r="H157" s="304"/>
      <c r="I157" s="305"/>
      <c r="J157" s="382"/>
      <c r="K157" s="378"/>
      <c r="L157" s="316"/>
      <c r="M157" s="321">
        <f t="shared" si="16"/>
        <v>0</v>
      </c>
      <c r="N157" s="313"/>
      <c r="O157" s="855"/>
      <c r="P157" s="856"/>
      <c r="R157" s="317"/>
      <c r="S157" s="260"/>
      <c r="T157" s="288"/>
    </row>
    <row r="158" spans="1:20" s="288" customFormat="1" thickTop="1" thickBot="1">
      <c r="A158" s="758"/>
      <c r="B158" s="761"/>
      <c r="C158" s="770"/>
      <c r="D158" s="771"/>
      <c r="E158" s="771"/>
      <c r="F158" s="771"/>
      <c r="G158" s="771"/>
      <c r="H158" s="771"/>
      <c r="I158" s="772"/>
      <c r="J158" s="346" t="s">
        <v>331</v>
      </c>
      <c r="K158" s="212" t="e">
        <f>M158/'生產管理報表 7-1 (週)'!$B$53</f>
        <v>#DIV/0!</v>
      </c>
      <c r="L158" s="347" t="s">
        <v>332</v>
      </c>
      <c r="M158" s="383">
        <f>SUM(M153:M157)</f>
        <v>0</v>
      </c>
      <c r="N158" s="773"/>
      <c r="O158" s="774"/>
      <c r="P158" s="775"/>
      <c r="R158" s="210"/>
      <c r="S158" s="210"/>
    </row>
    <row r="159" spans="1:20" s="288" customFormat="1" ht="15.75" customHeight="1" thickTop="1">
      <c r="B159" s="296"/>
      <c r="C159" s="297"/>
      <c r="M159" s="328"/>
      <c r="S159" s="260"/>
    </row>
    <row r="160" spans="1:20" s="288" customFormat="1" ht="14.25">
      <c r="A160" s="746" t="s">
        <v>310</v>
      </c>
      <c r="B160" s="747"/>
      <c r="C160" s="274" t="s">
        <v>267</v>
      </c>
      <c r="D160" s="748" t="s">
        <v>268</v>
      </c>
      <c r="E160" s="749"/>
      <c r="F160" s="750"/>
      <c r="G160" s="751" t="s">
        <v>314</v>
      </c>
      <c r="H160" s="752"/>
      <c r="I160" s="753"/>
      <c r="J160" s="275" t="s">
        <v>315</v>
      </c>
      <c r="K160" s="275" t="s">
        <v>63</v>
      </c>
      <c r="L160" s="275" t="s">
        <v>316</v>
      </c>
      <c r="M160" s="329" t="s">
        <v>303</v>
      </c>
      <c r="N160" s="276" t="s">
        <v>317</v>
      </c>
      <c r="O160" s="754" t="s">
        <v>273</v>
      </c>
      <c r="P160" s="755"/>
      <c r="S160" s="210"/>
      <c r="T160" s="334"/>
    </row>
    <row r="161" spans="1:20" s="297" customFormat="1" ht="50.1" customHeight="1">
      <c r="A161" s="756">
        <v>5</v>
      </c>
      <c r="B161" s="776" t="s">
        <v>347</v>
      </c>
      <c r="C161" s="278">
        <v>1</v>
      </c>
      <c r="D161" s="237"/>
      <c r="E161" s="238"/>
      <c r="F161" s="239"/>
      <c r="G161" s="305"/>
      <c r="H161" s="304"/>
      <c r="I161" s="305"/>
      <c r="J161" s="311"/>
      <c r="K161" s="312"/>
      <c r="L161" s="313"/>
      <c r="M161" s="321">
        <f>L161*J161</f>
        <v>0</v>
      </c>
      <c r="N161" s="313"/>
      <c r="O161" s="764"/>
      <c r="P161" s="765"/>
      <c r="R161" s="334"/>
      <c r="S161" s="384"/>
    </row>
    <row r="162" spans="1:20" s="297" customFormat="1" ht="50.1" customHeight="1">
      <c r="A162" s="757"/>
      <c r="B162" s="777"/>
      <c r="C162" s="278">
        <v>2</v>
      </c>
      <c r="D162" s="237"/>
      <c r="E162" s="238"/>
      <c r="F162" s="239"/>
      <c r="G162" s="305"/>
      <c r="H162" s="304"/>
      <c r="I162" s="305"/>
      <c r="J162" s="311"/>
      <c r="K162" s="312"/>
      <c r="L162" s="313"/>
      <c r="M162" s="321">
        <f t="shared" ref="M162:M165" si="17">L162*J162</f>
        <v>0</v>
      </c>
      <c r="N162" s="313"/>
      <c r="O162" s="764"/>
      <c r="P162" s="765"/>
      <c r="S162" s="210"/>
      <c r="T162" s="335"/>
    </row>
    <row r="163" spans="1:20" s="288" customFormat="1" ht="20.100000000000001" customHeight="1">
      <c r="A163" s="757"/>
      <c r="B163" s="777"/>
      <c r="C163" s="278">
        <v>3</v>
      </c>
      <c r="D163" s="237"/>
      <c r="E163" s="280"/>
      <c r="F163" s="281"/>
      <c r="G163" s="349"/>
      <c r="H163" s="304"/>
      <c r="I163" s="305"/>
      <c r="J163" s="311"/>
      <c r="K163" s="312"/>
      <c r="L163" s="313"/>
      <c r="M163" s="321">
        <f t="shared" si="17"/>
        <v>0</v>
      </c>
      <c r="N163" s="287"/>
      <c r="O163" s="781"/>
      <c r="P163" s="782"/>
    </row>
    <row r="164" spans="1:20" s="288" customFormat="1" ht="20.100000000000001" customHeight="1">
      <c r="A164" s="757"/>
      <c r="B164" s="777"/>
      <c r="C164" s="278">
        <v>4</v>
      </c>
      <c r="D164" s="237"/>
      <c r="E164" s="280"/>
      <c r="F164" s="281"/>
      <c r="G164" s="349"/>
      <c r="H164" s="304"/>
      <c r="I164" s="305"/>
      <c r="J164" s="311"/>
      <c r="K164" s="312"/>
      <c r="L164" s="313"/>
      <c r="M164" s="321">
        <f t="shared" si="17"/>
        <v>0</v>
      </c>
      <c r="N164" s="287"/>
      <c r="O164" s="764"/>
      <c r="P164" s="765"/>
    </row>
    <row r="165" spans="1:20" s="288" customFormat="1" ht="20.100000000000001" customHeight="1" thickBot="1">
      <c r="A165" s="757"/>
      <c r="B165" s="777"/>
      <c r="C165" s="278">
        <v>5</v>
      </c>
      <c r="D165" s="243"/>
      <c r="E165" s="290"/>
      <c r="F165" s="291"/>
      <c r="G165" s="349"/>
      <c r="H165" s="304"/>
      <c r="I165" s="305"/>
      <c r="J165" s="382"/>
      <c r="K165" s="378"/>
      <c r="L165" s="316"/>
      <c r="M165" s="321">
        <f t="shared" si="17"/>
        <v>0</v>
      </c>
      <c r="N165" s="287"/>
      <c r="O165" s="872"/>
      <c r="P165" s="873"/>
      <c r="R165" s="211"/>
    </row>
    <row r="166" spans="1:20" s="288" customFormat="1" thickTop="1" thickBot="1">
      <c r="A166" s="758"/>
      <c r="B166" s="778"/>
      <c r="C166" s="785"/>
      <c r="D166" s="786"/>
      <c r="E166" s="786"/>
      <c r="F166" s="786"/>
      <c r="G166" s="786"/>
      <c r="H166" s="786"/>
      <c r="I166" s="787"/>
      <c r="J166" s="346" t="s">
        <v>331</v>
      </c>
      <c r="K166" s="212" t="e">
        <f>M166/'生產管理報表 7-1 (週)'!$B$53</f>
        <v>#DIV/0!</v>
      </c>
      <c r="L166" s="347" t="s">
        <v>332</v>
      </c>
      <c r="M166" s="383">
        <f>SUM(M161:M165)</f>
        <v>0</v>
      </c>
      <c r="N166" s="773"/>
      <c r="O166" s="774"/>
      <c r="P166" s="775"/>
      <c r="R166" s="210"/>
    </row>
    <row r="167" spans="1:20" s="288" customFormat="1" ht="15.75" customHeight="1" thickTop="1">
      <c r="B167" s="296"/>
      <c r="C167" s="297"/>
      <c r="M167" s="328"/>
      <c r="R167" s="210"/>
    </row>
    <row r="168" spans="1:20" s="288" customFormat="1" ht="14.25">
      <c r="A168" s="746" t="s">
        <v>310</v>
      </c>
      <c r="B168" s="747"/>
      <c r="C168" s="302" t="s">
        <v>267</v>
      </c>
      <c r="D168" s="790" t="s">
        <v>268</v>
      </c>
      <c r="E168" s="791"/>
      <c r="F168" s="792"/>
      <c r="G168" s="793" t="s">
        <v>314</v>
      </c>
      <c r="H168" s="794"/>
      <c r="I168" s="795"/>
      <c r="J168" s="303" t="s">
        <v>315</v>
      </c>
      <c r="K168" s="275" t="s">
        <v>63</v>
      </c>
      <c r="L168" s="275" t="s">
        <v>316</v>
      </c>
      <c r="M168" s="329" t="s">
        <v>303</v>
      </c>
      <c r="N168" s="276" t="s">
        <v>317</v>
      </c>
      <c r="O168" s="754" t="s">
        <v>273</v>
      </c>
      <c r="P168" s="755"/>
      <c r="R168" s="210"/>
      <c r="S168" s="2"/>
    </row>
    <row r="169" spans="1:20" s="288" customFormat="1" ht="39.950000000000003" customHeight="1">
      <c r="A169" s="756">
        <v>6</v>
      </c>
      <c r="B169" s="776" t="s">
        <v>352</v>
      </c>
      <c r="C169" s="278">
        <v>1</v>
      </c>
      <c r="D169" s="336"/>
      <c r="E169" s="280"/>
      <c r="F169" s="281"/>
      <c r="G169" s="305"/>
      <c r="H169" s="304"/>
      <c r="I169" s="240"/>
      <c r="J169" s="311"/>
      <c r="K169" s="312"/>
      <c r="L169" s="313"/>
      <c r="M169" s="321">
        <f t="shared" ref="M169:M173" si="18">L169*J169</f>
        <v>0</v>
      </c>
      <c r="N169" s="287"/>
      <c r="O169" s="781"/>
      <c r="P169" s="782"/>
      <c r="R169" s="335"/>
      <c r="S169" s="391"/>
    </row>
    <row r="170" spans="1:20" s="297" customFormat="1" ht="39.950000000000003" customHeight="1">
      <c r="A170" s="757"/>
      <c r="B170" s="777"/>
      <c r="C170" s="278">
        <v>2</v>
      </c>
      <c r="D170" s="237"/>
      <c r="E170" s="238"/>
      <c r="F170" s="239"/>
      <c r="G170" s="305"/>
      <c r="H170" s="304"/>
      <c r="I170" s="240"/>
      <c r="J170" s="311"/>
      <c r="K170" s="312"/>
      <c r="L170" s="313"/>
      <c r="M170" s="321">
        <f t="shared" si="18"/>
        <v>0</v>
      </c>
      <c r="N170" s="313"/>
      <c r="O170" s="870"/>
      <c r="P170" s="871"/>
      <c r="S170" s="96"/>
    </row>
    <row r="171" spans="1:20" s="288" customFormat="1" ht="39.950000000000003" customHeight="1">
      <c r="A171" s="757"/>
      <c r="B171" s="777"/>
      <c r="C171" s="278">
        <v>3</v>
      </c>
      <c r="D171" s="237"/>
      <c r="E171" s="280"/>
      <c r="F171" s="281"/>
      <c r="G171" s="305"/>
      <c r="H171" s="304"/>
      <c r="I171" s="284"/>
      <c r="J171" s="311"/>
      <c r="K171" s="312"/>
      <c r="L171" s="313"/>
      <c r="M171" s="321">
        <f t="shared" si="18"/>
        <v>0</v>
      </c>
      <c r="N171" s="287"/>
      <c r="O171" s="870"/>
      <c r="P171" s="871"/>
      <c r="S171" s="2"/>
    </row>
    <row r="172" spans="1:20" s="288" customFormat="1" ht="39.950000000000003" customHeight="1">
      <c r="A172" s="757"/>
      <c r="B172" s="777"/>
      <c r="C172" s="278">
        <v>4</v>
      </c>
      <c r="D172" s="237"/>
      <c r="E172" s="280"/>
      <c r="F172" s="281"/>
      <c r="G172" s="305"/>
      <c r="H172" s="304"/>
      <c r="I172" s="284"/>
      <c r="J172" s="311"/>
      <c r="K172" s="312"/>
      <c r="L172" s="313"/>
      <c r="M172" s="321">
        <f t="shared" si="18"/>
        <v>0</v>
      </c>
      <c r="N172" s="287"/>
      <c r="O172" s="870"/>
      <c r="P172" s="871"/>
      <c r="R172" s="2"/>
      <c r="S172" s="2"/>
    </row>
    <row r="173" spans="1:20" s="288" customFormat="1" ht="39.950000000000003" customHeight="1" thickBot="1">
      <c r="A173" s="757"/>
      <c r="B173" s="777"/>
      <c r="C173" s="278">
        <v>5</v>
      </c>
      <c r="D173" s="243"/>
      <c r="E173" s="290"/>
      <c r="F173" s="291"/>
      <c r="G173" s="305"/>
      <c r="H173" s="304"/>
      <c r="I173" s="284"/>
      <c r="J173" s="382"/>
      <c r="K173" s="378"/>
      <c r="L173" s="316"/>
      <c r="M173" s="321">
        <f t="shared" si="18"/>
        <v>0</v>
      </c>
      <c r="N173" s="287"/>
      <c r="O173" s="870"/>
      <c r="P173" s="871"/>
      <c r="R173" s="2"/>
      <c r="S173" s="2"/>
    </row>
    <row r="174" spans="1:20" s="288" customFormat="1" thickTop="1" thickBot="1">
      <c r="A174" s="758"/>
      <c r="B174" s="778"/>
      <c r="C174" s="785"/>
      <c r="D174" s="786"/>
      <c r="E174" s="786"/>
      <c r="F174" s="786"/>
      <c r="G174" s="786"/>
      <c r="H174" s="786"/>
      <c r="I174" s="787"/>
      <c r="J174" s="346" t="s">
        <v>331</v>
      </c>
      <c r="K174" s="212" t="e">
        <f>M174/'生產管理報表 7-1 (週)'!$B$53</f>
        <v>#DIV/0!</v>
      </c>
      <c r="L174" s="347" t="s">
        <v>332</v>
      </c>
      <c r="M174" s="383">
        <f>SUM(M169:M173)</f>
        <v>0</v>
      </c>
      <c r="N174" s="773"/>
      <c r="O174" s="774"/>
      <c r="P174" s="775"/>
      <c r="R174" s="2"/>
      <c r="S174" s="2"/>
    </row>
    <row r="175" spans="1:20" s="288" customFormat="1" ht="15.75" customHeight="1" thickTop="1">
      <c r="B175" s="296"/>
      <c r="C175" s="297"/>
      <c r="M175" s="328"/>
      <c r="R175" s="2"/>
      <c r="S175" s="2"/>
    </row>
    <row r="176" spans="1:20" s="288" customFormat="1" ht="14.25">
      <c r="A176" s="746" t="s">
        <v>310</v>
      </c>
      <c r="B176" s="747"/>
      <c r="C176" s="302" t="s">
        <v>267</v>
      </c>
      <c r="D176" s="790" t="s">
        <v>268</v>
      </c>
      <c r="E176" s="791"/>
      <c r="F176" s="792"/>
      <c r="G176" s="793" t="s">
        <v>314</v>
      </c>
      <c r="H176" s="794"/>
      <c r="I176" s="795"/>
      <c r="J176" s="303" t="s">
        <v>315</v>
      </c>
      <c r="K176" s="275" t="s">
        <v>63</v>
      </c>
      <c r="L176" s="275" t="s">
        <v>316</v>
      </c>
      <c r="M176" s="329" t="s">
        <v>303</v>
      </c>
      <c r="N176" s="276" t="s">
        <v>317</v>
      </c>
      <c r="O176" s="754" t="s">
        <v>273</v>
      </c>
      <c r="P176" s="755"/>
      <c r="R176" s="2"/>
      <c r="S176" s="2"/>
    </row>
    <row r="177" spans="1:20" s="288" customFormat="1" ht="20.100000000000001" customHeight="1">
      <c r="A177" s="756">
        <v>7</v>
      </c>
      <c r="B177" s="798" t="s">
        <v>364</v>
      </c>
      <c r="C177" s="278">
        <v>1</v>
      </c>
      <c r="D177" s="279"/>
      <c r="E177" s="280"/>
      <c r="F177" s="281"/>
      <c r="G177" s="282"/>
      <c r="H177" s="283"/>
      <c r="I177" s="284"/>
      <c r="J177" s="285"/>
      <c r="K177" s="286"/>
      <c r="L177" s="287"/>
      <c r="M177" s="330">
        <f t="shared" ref="M177:M179" si="19">L177*J177</f>
        <v>0</v>
      </c>
      <c r="N177" s="287"/>
      <c r="O177" s="801"/>
      <c r="P177" s="802"/>
      <c r="R177" s="2"/>
      <c r="S177" s="2"/>
    </row>
    <row r="178" spans="1:20" s="288" customFormat="1" ht="20.100000000000001" customHeight="1">
      <c r="A178" s="757"/>
      <c r="B178" s="799"/>
      <c r="C178" s="278">
        <v>2</v>
      </c>
      <c r="D178" s="279"/>
      <c r="E178" s="280"/>
      <c r="F178" s="281"/>
      <c r="G178" s="282"/>
      <c r="H178" s="283"/>
      <c r="I178" s="284"/>
      <c r="J178" s="285"/>
      <c r="K178" s="286"/>
      <c r="L178" s="287"/>
      <c r="M178" s="330">
        <f t="shared" si="19"/>
        <v>0</v>
      </c>
      <c r="N178" s="287"/>
      <c r="O178" s="803"/>
      <c r="P178" s="804"/>
      <c r="R178" s="2"/>
      <c r="S178" s="2"/>
    </row>
    <row r="179" spans="1:20" s="288" customFormat="1" ht="20.100000000000001" customHeight="1">
      <c r="A179" s="757"/>
      <c r="B179" s="799"/>
      <c r="C179" s="278">
        <v>3</v>
      </c>
      <c r="D179" s="279"/>
      <c r="E179" s="280"/>
      <c r="F179" s="281"/>
      <c r="G179" s="282"/>
      <c r="H179" s="283"/>
      <c r="I179" s="284"/>
      <c r="J179" s="285"/>
      <c r="K179" s="286"/>
      <c r="L179" s="287"/>
      <c r="M179" s="330">
        <f t="shared" si="19"/>
        <v>0</v>
      </c>
      <c r="N179" s="287"/>
      <c r="O179" s="803"/>
      <c r="P179" s="804"/>
      <c r="R179" s="2"/>
      <c r="S179" s="2"/>
    </row>
    <row r="180" spans="1:20" s="288" customFormat="1" ht="20.100000000000001" customHeight="1">
      <c r="A180" s="757"/>
      <c r="B180" s="799"/>
      <c r="C180" s="278">
        <v>4</v>
      </c>
      <c r="D180" s="279"/>
      <c r="E180" s="280"/>
      <c r="F180" s="281"/>
      <c r="G180" s="282"/>
      <c r="H180" s="283"/>
      <c r="I180" s="284"/>
      <c r="J180" s="285"/>
      <c r="K180" s="286"/>
      <c r="L180" s="287"/>
      <c r="M180" s="331">
        <v>0</v>
      </c>
      <c r="N180" s="287"/>
      <c r="O180" s="298"/>
      <c r="P180" s="299"/>
      <c r="R180" s="2"/>
      <c r="S180" s="2"/>
    </row>
    <row r="181" spans="1:20" s="288" customFormat="1" ht="20.100000000000001" customHeight="1" thickBot="1">
      <c r="A181" s="757"/>
      <c r="B181" s="799"/>
      <c r="C181" s="278">
        <v>5</v>
      </c>
      <c r="D181" s="289"/>
      <c r="E181" s="290"/>
      <c r="F181" s="291"/>
      <c r="G181" s="282"/>
      <c r="H181" s="283"/>
      <c r="I181" s="284"/>
      <c r="J181" s="382"/>
      <c r="K181" s="378"/>
      <c r="L181" s="316"/>
      <c r="M181" s="332">
        <v>0</v>
      </c>
      <c r="N181" s="287"/>
      <c r="O181" s="300"/>
      <c r="P181" s="301"/>
      <c r="R181" s="2"/>
      <c r="S181" s="2"/>
    </row>
    <row r="182" spans="1:20" s="288" customFormat="1" thickTop="1" thickBot="1">
      <c r="A182" s="758"/>
      <c r="B182" s="800"/>
      <c r="C182" s="785"/>
      <c r="D182" s="786"/>
      <c r="E182" s="786"/>
      <c r="F182" s="786"/>
      <c r="G182" s="786"/>
      <c r="H182" s="786"/>
      <c r="I182" s="787"/>
      <c r="J182" s="346" t="s">
        <v>331</v>
      </c>
      <c r="K182" s="212" t="e">
        <f>M182/'生產管理報表 7-1 (週)'!$B$53</f>
        <v>#DIV/0!</v>
      </c>
      <c r="L182" s="347" t="s">
        <v>332</v>
      </c>
      <c r="M182" s="383">
        <f>SUM(M177:M181)</f>
        <v>0</v>
      </c>
      <c r="N182" s="773"/>
      <c r="O182" s="774"/>
      <c r="P182" s="775"/>
      <c r="R182" s="2"/>
      <c r="S182" s="2"/>
      <c r="T182" s="2"/>
    </row>
    <row r="183" spans="1:20" s="135" customFormat="1" ht="15.75" customHeight="1" thickTop="1">
      <c r="A183" s="867"/>
      <c r="B183" s="867"/>
      <c r="C183" s="867"/>
      <c r="D183" s="867"/>
      <c r="E183" s="867"/>
      <c r="F183" s="867"/>
      <c r="G183" s="867"/>
      <c r="H183" s="867"/>
      <c r="I183" s="867"/>
      <c r="J183" s="867"/>
      <c r="K183" s="867"/>
      <c r="L183" s="867"/>
      <c r="M183" s="867"/>
      <c r="Q183" s="231"/>
      <c r="R183" s="231"/>
      <c r="S183" s="231"/>
      <c r="T183" s="231"/>
    </row>
    <row r="184" spans="1:20" s="136" customFormat="1" ht="15.75" customHeight="1">
      <c r="A184" s="741"/>
      <c r="B184" s="741"/>
      <c r="C184" s="741"/>
      <c r="D184" s="741"/>
      <c r="E184" s="741"/>
      <c r="F184" s="741"/>
      <c r="G184" s="741"/>
      <c r="H184" s="741"/>
      <c r="I184" s="741"/>
      <c r="J184" s="741"/>
      <c r="K184" s="741"/>
      <c r="L184" s="741"/>
      <c r="M184" s="741"/>
    </row>
    <row r="185" spans="1:20" s="135" customFormat="1" ht="12">
      <c r="A185" s="742" t="s">
        <v>310</v>
      </c>
      <c r="B185" s="744">
        <v>1</v>
      </c>
      <c r="C185" s="745"/>
      <c r="D185" s="744">
        <v>2</v>
      </c>
      <c r="E185" s="745"/>
      <c r="F185" s="744">
        <v>3</v>
      </c>
      <c r="G185" s="745"/>
      <c r="H185" s="735">
        <v>4</v>
      </c>
      <c r="I185" s="736"/>
      <c r="J185" s="735">
        <v>5</v>
      </c>
      <c r="K185" s="736"/>
      <c r="L185" s="735">
        <v>6</v>
      </c>
      <c r="M185" s="736"/>
      <c r="N185" s="735">
        <v>7</v>
      </c>
      <c r="O185" s="736"/>
      <c r="P185" s="351">
        <v>8</v>
      </c>
    </row>
    <row r="186" spans="1:20" s="135" customFormat="1">
      <c r="A186" s="743"/>
      <c r="B186" s="739" t="s">
        <v>299</v>
      </c>
      <c r="C186" s="740"/>
      <c r="D186" s="739" t="s">
        <v>311</v>
      </c>
      <c r="E186" s="740"/>
      <c r="F186" s="739" t="s">
        <v>301</v>
      </c>
      <c r="G186" s="740"/>
      <c r="H186" s="737" t="s">
        <v>312</v>
      </c>
      <c r="I186" s="738"/>
      <c r="J186" s="737" t="s">
        <v>306</v>
      </c>
      <c r="K186" s="738"/>
      <c r="L186" s="737" t="s">
        <v>307</v>
      </c>
      <c r="M186" s="738"/>
      <c r="N186" s="737" t="s">
        <v>308</v>
      </c>
      <c r="O186" s="738"/>
      <c r="P186" s="352" t="s">
        <v>313</v>
      </c>
    </row>
    <row r="187" spans="1:20" s="135" customFormat="1" ht="15.75" customHeight="1">
      <c r="B187" s="232"/>
      <c r="C187" s="233"/>
    </row>
    <row r="188" spans="1:20" s="277" customFormat="1">
      <c r="A188" s="746" t="s">
        <v>310</v>
      </c>
      <c r="B188" s="747"/>
      <c r="C188" s="274" t="s">
        <v>267</v>
      </c>
      <c r="D188" s="748" t="s">
        <v>268</v>
      </c>
      <c r="E188" s="749"/>
      <c r="F188" s="750"/>
      <c r="G188" s="751" t="s">
        <v>314</v>
      </c>
      <c r="H188" s="752"/>
      <c r="I188" s="753"/>
      <c r="J188" s="275" t="s">
        <v>315</v>
      </c>
      <c r="K188" s="275" t="s">
        <v>63</v>
      </c>
      <c r="L188" s="275" t="s">
        <v>316</v>
      </c>
      <c r="M188" s="276" t="s">
        <v>303</v>
      </c>
      <c r="N188" s="276" t="s">
        <v>317</v>
      </c>
      <c r="O188" s="754" t="s">
        <v>273</v>
      </c>
      <c r="P188" s="755"/>
      <c r="R188" s="210"/>
      <c r="S188" s="260"/>
    </row>
    <row r="189" spans="1:20" s="297" customFormat="1" ht="20.100000000000001" customHeight="1">
      <c r="A189" s="756">
        <v>4</v>
      </c>
      <c r="B189" s="759" t="s">
        <v>312</v>
      </c>
      <c r="C189" s="278">
        <v>1</v>
      </c>
      <c r="D189" s="237"/>
      <c r="E189" s="238"/>
      <c r="F189" s="239"/>
      <c r="G189" s="349"/>
      <c r="H189" s="304"/>
      <c r="I189" s="305"/>
      <c r="J189" s="311"/>
      <c r="K189" s="312"/>
      <c r="L189" s="313"/>
      <c r="M189" s="321">
        <f t="shared" ref="M189:M193" si="20">L189*J189</f>
        <v>0</v>
      </c>
      <c r="N189" s="313"/>
      <c r="O189" s="855"/>
      <c r="P189" s="856"/>
      <c r="R189" s="314"/>
      <c r="S189" s="260"/>
    </row>
    <row r="190" spans="1:20" s="297" customFormat="1" ht="20.100000000000001" customHeight="1">
      <c r="A190" s="757"/>
      <c r="B190" s="760"/>
      <c r="C190" s="278">
        <v>2</v>
      </c>
      <c r="D190" s="237"/>
      <c r="E190" s="238"/>
      <c r="F190" s="239"/>
      <c r="G190" s="349"/>
      <c r="H190" s="304"/>
      <c r="I190" s="305"/>
      <c r="J190" s="311"/>
      <c r="K190" s="312"/>
      <c r="L190" s="313"/>
      <c r="M190" s="321">
        <f t="shared" si="20"/>
        <v>0</v>
      </c>
      <c r="N190" s="313"/>
      <c r="O190" s="764"/>
      <c r="P190" s="765"/>
      <c r="R190" s="314"/>
      <c r="S190" s="210"/>
      <c r="T190" s="334"/>
    </row>
    <row r="191" spans="1:20" s="297" customFormat="1" ht="20.100000000000001" customHeight="1">
      <c r="A191" s="757"/>
      <c r="B191" s="760"/>
      <c r="C191" s="278">
        <v>3</v>
      </c>
      <c r="D191" s="237"/>
      <c r="E191" s="238"/>
      <c r="F191" s="239"/>
      <c r="G191" s="349"/>
      <c r="H191" s="304"/>
      <c r="I191" s="305"/>
      <c r="J191" s="311"/>
      <c r="K191" s="312"/>
      <c r="L191" s="313"/>
      <c r="M191" s="321">
        <f t="shared" si="20"/>
        <v>0</v>
      </c>
      <c r="N191" s="313"/>
      <c r="O191" s="855"/>
      <c r="P191" s="856"/>
      <c r="R191" s="314"/>
      <c r="S191" s="260"/>
    </row>
    <row r="192" spans="1:20" s="297" customFormat="1" ht="20.100000000000001" customHeight="1">
      <c r="A192" s="757"/>
      <c r="B192" s="760"/>
      <c r="C192" s="278">
        <v>4</v>
      </c>
      <c r="D192" s="237"/>
      <c r="E192" s="238"/>
      <c r="F192" s="239"/>
      <c r="G192" s="349"/>
      <c r="H192" s="304"/>
      <c r="I192" s="305"/>
      <c r="J192" s="311"/>
      <c r="K192" s="312"/>
      <c r="L192" s="313"/>
      <c r="M192" s="321">
        <f t="shared" si="20"/>
        <v>0</v>
      </c>
      <c r="N192" s="313"/>
      <c r="O192" s="855"/>
      <c r="P192" s="856"/>
      <c r="R192" s="314"/>
      <c r="S192" s="210"/>
      <c r="T192" s="334"/>
    </row>
    <row r="193" spans="1:20" s="297" customFormat="1" ht="20.100000000000001" customHeight="1" thickBot="1">
      <c r="A193" s="757"/>
      <c r="B193" s="760"/>
      <c r="C193" s="278">
        <v>5</v>
      </c>
      <c r="D193" s="237"/>
      <c r="E193" s="244"/>
      <c r="F193" s="245"/>
      <c r="G193" s="349"/>
      <c r="H193" s="304"/>
      <c r="I193" s="305"/>
      <c r="J193" s="382"/>
      <c r="K193" s="378"/>
      <c r="L193" s="316"/>
      <c r="M193" s="321">
        <f t="shared" si="20"/>
        <v>0</v>
      </c>
      <c r="N193" s="313"/>
      <c r="O193" s="855"/>
      <c r="P193" s="856"/>
      <c r="R193" s="317"/>
      <c r="S193" s="260"/>
      <c r="T193" s="288"/>
    </row>
    <row r="194" spans="1:20" s="288" customFormat="1" thickTop="1" thickBot="1">
      <c r="A194" s="758"/>
      <c r="B194" s="761"/>
      <c r="C194" s="770"/>
      <c r="D194" s="771"/>
      <c r="E194" s="771"/>
      <c r="F194" s="771"/>
      <c r="G194" s="771"/>
      <c r="H194" s="771"/>
      <c r="I194" s="772"/>
      <c r="J194" s="346" t="s">
        <v>331</v>
      </c>
      <c r="K194" s="212" t="e">
        <f>M194/'生產管理報表 7-1 (週)'!$B$42</f>
        <v>#DIV/0!</v>
      </c>
      <c r="L194" s="347" t="s">
        <v>332</v>
      </c>
      <c r="M194" s="383">
        <f>SUM(M189:M193)</f>
        <v>0</v>
      </c>
      <c r="N194" s="773"/>
      <c r="O194" s="774"/>
      <c r="P194" s="775"/>
      <c r="R194" s="210"/>
      <c r="S194" s="210"/>
    </row>
    <row r="195" spans="1:20" s="288" customFormat="1" ht="15.75" customHeight="1" thickTop="1">
      <c r="B195" s="296"/>
      <c r="C195" s="297"/>
      <c r="M195" s="328"/>
      <c r="S195" s="260"/>
    </row>
    <row r="196" spans="1:20" s="288" customFormat="1" ht="14.25">
      <c r="A196" s="746" t="s">
        <v>310</v>
      </c>
      <c r="B196" s="747"/>
      <c r="C196" s="274" t="s">
        <v>267</v>
      </c>
      <c r="D196" s="748" t="s">
        <v>268</v>
      </c>
      <c r="E196" s="749"/>
      <c r="F196" s="750"/>
      <c r="G196" s="751" t="s">
        <v>314</v>
      </c>
      <c r="H196" s="752"/>
      <c r="I196" s="753"/>
      <c r="J196" s="275" t="s">
        <v>315</v>
      </c>
      <c r="K196" s="275" t="s">
        <v>63</v>
      </c>
      <c r="L196" s="275" t="s">
        <v>316</v>
      </c>
      <c r="M196" s="329" t="s">
        <v>303</v>
      </c>
      <c r="N196" s="276" t="s">
        <v>317</v>
      </c>
      <c r="O196" s="754" t="s">
        <v>273</v>
      </c>
      <c r="P196" s="755"/>
      <c r="S196" s="210"/>
      <c r="T196" s="334"/>
    </row>
    <row r="197" spans="1:20" s="297" customFormat="1" ht="20.100000000000001" customHeight="1">
      <c r="A197" s="756">
        <v>5</v>
      </c>
      <c r="B197" s="776" t="s">
        <v>347</v>
      </c>
      <c r="C197" s="278">
        <v>1</v>
      </c>
      <c r="D197" s="237"/>
      <c r="E197" s="238"/>
      <c r="F197" s="239"/>
      <c r="G197" s="349"/>
      <c r="H197" s="304"/>
      <c r="I197" s="305"/>
      <c r="J197" s="311"/>
      <c r="K197" s="312"/>
      <c r="L197" s="313"/>
      <c r="M197" s="321">
        <f>L197*J197</f>
        <v>0</v>
      </c>
      <c r="N197" s="313"/>
      <c r="O197" s="764"/>
      <c r="P197" s="765"/>
      <c r="R197" s="334"/>
      <c r="S197" s="384"/>
    </row>
    <row r="198" spans="1:20" s="297" customFormat="1" ht="20.100000000000001" customHeight="1">
      <c r="A198" s="757"/>
      <c r="B198" s="777"/>
      <c r="C198" s="278">
        <v>2</v>
      </c>
      <c r="D198" s="237"/>
      <c r="E198" s="238"/>
      <c r="F198" s="239"/>
      <c r="G198" s="349"/>
      <c r="H198" s="304"/>
      <c r="I198" s="305"/>
      <c r="J198" s="311"/>
      <c r="K198" s="312"/>
      <c r="L198" s="313"/>
      <c r="M198" s="321">
        <f t="shared" ref="M198:M201" si="21">L198*J198</f>
        <v>0</v>
      </c>
      <c r="N198" s="313"/>
      <c r="O198" s="764"/>
      <c r="P198" s="765"/>
      <c r="S198" s="210"/>
      <c r="T198" s="335"/>
    </row>
    <row r="199" spans="1:20" s="288" customFormat="1" ht="20.100000000000001" customHeight="1">
      <c r="A199" s="757"/>
      <c r="B199" s="777"/>
      <c r="C199" s="278">
        <v>3</v>
      </c>
      <c r="D199" s="237"/>
      <c r="E199" s="280"/>
      <c r="F199" s="281"/>
      <c r="G199" s="349"/>
      <c r="H199" s="304"/>
      <c r="I199" s="305"/>
      <c r="J199" s="311"/>
      <c r="K199" s="312"/>
      <c r="L199" s="313"/>
      <c r="M199" s="321">
        <f t="shared" si="21"/>
        <v>0</v>
      </c>
      <c r="N199" s="287"/>
      <c r="O199" s="781"/>
      <c r="P199" s="782"/>
    </row>
    <row r="200" spans="1:20" s="288" customFormat="1" ht="20.100000000000001" customHeight="1">
      <c r="A200" s="757"/>
      <c r="B200" s="777"/>
      <c r="C200" s="278">
        <v>4</v>
      </c>
      <c r="D200" s="237"/>
      <c r="E200" s="280"/>
      <c r="F200" s="281"/>
      <c r="G200" s="349"/>
      <c r="H200" s="304"/>
      <c r="I200" s="305"/>
      <c r="J200" s="311"/>
      <c r="K200" s="312"/>
      <c r="L200" s="313"/>
      <c r="M200" s="321">
        <f t="shared" si="21"/>
        <v>0</v>
      </c>
      <c r="N200" s="287"/>
      <c r="O200" s="764"/>
      <c r="P200" s="765"/>
    </row>
    <row r="201" spans="1:20" s="288" customFormat="1" ht="20.100000000000001" customHeight="1" thickBot="1">
      <c r="A201" s="757"/>
      <c r="B201" s="777"/>
      <c r="C201" s="278">
        <v>5</v>
      </c>
      <c r="D201" s="243"/>
      <c r="E201" s="290"/>
      <c r="F201" s="291"/>
      <c r="G201" s="349"/>
      <c r="H201" s="304"/>
      <c r="I201" s="305"/>
      <c r="J201" s="382"/>
      <c r="K201" s="378"/>
      <c r="L201" s="316"/>
      <c r="M201" s="321">
        <f t="shared" si="21"/>
        <v>0</v>
      </c>
      <c r="N201" s="287"/>
      <c r="O201" s="872"/>
      <c r="P201" s="873"/>
      <c r="R201" s="211"/>
    </row>
    <row r="202" spans="1:20" s="288" customFormat="1" thickTop="1" thickBot="1">
      <c r="A202" s="758"/>
      <c r="B202" s="778"/>
      <c r="C202" s="785"/>
      <c r="D202" s="786"/>
      <c r="E202" s="786"/>
      <c r="F202" s="786"/>
      <c r="G202" s="786"/>
      <c r="H202" s="786"/>
      <c r="I202" s="787"/>
      <c r="J202" s="346" t="s">
        <v>331</v>
      </c>
      <c r="K202" s="212" t="e">
        <f>M202/'生產管理報表 7-1 (週)'!$B$42</f>
        <v>#DIV/0!</v>
      </c>
      <c r="L202" s="347" t="s">
        <v>332</v>
      </c>
      <c r="M202" s="383">
        <f>SUM(M197:M201)</f>
        <v>0</v>
      </c>
      <c r="N202" s="773"/>
      <c r="O202" s="774"/>
      <c r="P202" s="775"/>
      <c r="R202" s="210"/>
    </row>
    <row r="203" spans="1:20" s="288" customFormat="1" ht="15.75" customHeight="1" thickTop="1">
      <c r="B203" s="296"/>
      <c r="C203" s="297"/>
      <c r="M203" s="328"/>
      <c r="R203" s="210"/>
    </row>
    <row r="204" spans="1:20" s="288" customFormat="1" ht="14.25">
      <c r="A204" s="746" t="s">
        <v>310</v>
      </c>
      <c r="B204" s="747"/>
      <c r="C204" s="302" t="s">
        <v>267</v>
      </c>
      <c r="D204" s="790" t="s">
        <v>268</v>
      </c>
      <c r="E204" s="791"/>
      <c r="F204" s="792"/>
      <c r="G204" s="793" t="s">
        <v>314</v>
      </c>
      <c r="H204" s="794"/>
      <c r="I204" s="795"/>
      <c r="J204" s="303" t="s">
        <v>315</v>
      </c>
      <c r="K204" s="275" t="s">
        <v>63</v>
      </c>
      <c r="L204" s="275" t="s">
        <v>316</v>
      </c>
      <c r="M204" s="329" t="s">
        <v>303</v>
      </c>
      <c r="N204" s="276" t="s">
        <v>317</v>
      </c>
      <c r="O204" s="754" t="s">
        <v>273</v>
      </c>
      <c r="P204" s="755"/>
      <c r="R204" s="210"/>
      <c r="S204" s="2"/>
    </row>
    <row r="205" spans="1:20" s="288" customFormat="1" ht="39.950000000000003" customHeight="1">
      <c r="A205" s="756">
        <v>6</v>
      </c>
      <c r="B205" s="776" t="s">
        <v>352</v>
      </c>
      <c r="C205" s="278">
        <v>1</v>
      </c>
      <c r="D205" s="336"/>
      <c r="E205" s="280"/>
      <c r="F205" s="281"/>
      <c r="G205" s="305"/>
      <c r="H205" s="304"/>
      <c r="I205" s="240"/>
      <c r="J205" s="311"/>
      <c r="K205" s="312"/>
      <c r="L205" s="313"/>
      <c r="M205" s="321">
        <f t="shared" ref="M205:M209" si="22">L205*J205</f>
        <v>0</v>
      </c>
      <c r="N205" s="287"/>
      <c r="O205" s="781"/>
      <c r="P205" s="782"/>
      <c r="R205" s="335"/>
      <c r="S205" s="391"/>
    </row>
    <row r="206" spans="1:20" s="297" customFormat="1" ht="39.950000000000003" customHeight="1">
      <c r="A206" s="757"/>
      <c r="B206" s="777"/>
      <c r="C206" s="278">
        <v>2</v>
      </c>
      <c r="D206" s="237"/>
      <c r="E206" s="238"/>
      <c r="F206" s="239"/>
      <c r="G206" s="305"/>
      <c r="H206" s="304"/>
      <c r="I206" s="240"/>
      <c r="J206" s="311"/>
      <c r="K206" s="312"/>
      <c r="L206" s="313"/>
      <c r="M206" s="321">
        <f t="shared" si="22"/>
        <v>0</v>
      </c>
      <c r="N206" s="313"/>
      <c r="O206" s="870"/>
      <c r="P206" s="871"/>
      <c r="S206" s="96"/>
    </row>
    <row r="207" spans="1:20" s="288" customFormat="1" ht="39.950000000000003" customHeight="1">
      <c r="A207" s="757"/>
      <c r="B207" s="777"/>
      <c r="C207" s="278">
        <v>3</v>
      </c>
      <c r="D207" s="237"/>
      <c r="E207" s="280"/>
      <c r="F207" s="281"/>
      <c r="G207" s="305"/>
      <c r="H207" s="304"/>
      <c r="I207" s="284"/>
      <c r="J207" s="311"/>
      <c r="K207" s="312"/>
      <c r="L207" s="313"/>
      <c r="M207" s="321">
        <f t="shared" si="22"/>
        <v>0</v>
      </c>
      <c r="N207" s="287"/>
      <c r="O207" s="870"/>
      <c r="P207" s="871"/>
      <c r="S207" s="2"/>
    </row>
    <row r="208" spans="1:20" s="288" customFormat="1" ht="39.950000000000003" customHeight="1">
      <c r="A208" s="757"/>
      <c r="B208" s="777"/>
      <c r="C208" s="278">
        <v>4</v>
      </c>
      <c r="D208" s="237"/>
      <c r="E208" s="280"/>
      <c r="F208" s="281"/>
      <c r="G208" s="305"/>
      <c r="H208" s="304"/>
      <c r="I208" s="284"/>
      <c r="J208" s="311"/>
      <c r="K208" s="312"/>
      <c r="L208" s="313"/>
      <c r="M208" s="321">
        <f t="shared" si="22"/>
        <v>0</v>
      </c>
      <c r="N208" s="287"/>
      <c r="O208" s="870"/>
      <c r="P208" s="871"/>
      <c r="R208" s="2"/>
      <c r="S208" s="2"/>
    </row>
    <row r="209" spans="1:20" s="288" customFormat="1" ht="39.950000000000003" customHeight="1" thickBot="1">
      <c r="A209" s="757"/>
      <c r="B209" s="777"/>
      <c r="C209" s="278">
        <v>5</v>
      </c>
      <c r="D209" s="243"/>
      <c r="E209" s="290"/>
      <c r="F209" s="291"/>
      <c r="G209" s="305"/>
      <c r="H209" s="304"/>
      <c r="I209" s="284"/>
      <c r="J209" s="382"/>
      <c r="K209" s="378"/>
      <c r="L209" s="316"/>
      <c r="M209" s="321">
        <f t="shared" si="22"/>
        <v>0</v>
      </c>
      <c r="N209" s="287"/>
      <c r="O209" s="870"/>
      <c r="P209" s="871"/>
      <c r="R209" s="2"/>
      <c r="S209" s="2"/>
    </row>
    <row r="210" spans="1:20" s="288" customFormat="1" thickTop="1" thickBot="1">
      <c r="A210" s="758"/>
      <c r="B210" s="778"/>
      <c r="C210" s="785"/>
      <c r="D210" s="786"/>
      <c r="E210" s="786"/>
      <c r="F210" s="786"/>
      <c r="G210" s="786"/>
      <c r="H210" s="786"/>
      <c r="I210" s="787"/>
      <c r="J210" s="346" t="s">
        <v>331</v>
      </c>
      <c r="K210" s="212" t="e">
        <f>M210/'生產管理報表 7-1 (週)'!$B$42</f>
        <v>#DIV/0!</v>
      </c>
      <c r="L210" s="347" t="s">
        <v>332</v>
      </c>
      <c r="M210" s="383">
        <f>SUM(M205:M209)</f>
        <v>0</v>
      </c>
      <c r="N210" s="773"/>
      <c r="O210" s="774"/>
      <c r="P210" s="775"/>
      <c r="R210" s="2"/>
      <c r="S210" s="2"/>
    </row>
    <row r="211" spans="1:20" s="288" customFormat="1" ht="15.75" customHeight="1" thickTop="1">
      <c r="B211" s="296"/>
      <c r="C211" s="297"/>
      <c r="M211" s="328"/>
      <c r="R211" s="2"/>
      <c r="S211" s="2"/>
    </row>
    <row r="212" spans="1:20" s="288" customFormat="1" ht="14.25">
      <c r="A212" s="746" t="s">
        <v>310</v>
      </c>
      <c r="B212" s="747"/>
      <c r="C212" s="302" t="s">
        <v>267</v>
      </c>
      <c r="D212" s="790" t="s">
        <v>268</v>
      </c>
      <c r="E212" s="791"/>
      <c r="F212" s="792"/>
      <c r="G212" s="793" t="s">
        <v>314</v>
      </c>
      <c r="H212" s="794"/>
      <c r="I212" s="795"/>
      <c r="J212" s="303" t="s">
        <v>315</v>
      </c>
      <c r="K212" s="275" t="s">
        <v>63</v>
      </c>
      <c r="L212" s="275" t="s">
        <v>316</v>
      </c>
      <c r="M212" s="329" t="s">
        <v>303</v>
      </c>
      <c r="N212" s="276" t="s">
        <v>317</v>
      </c>
      <c r="O212" s="754" t="s">
        <v>273</v>
      </c>
      <c r="P212" s="755"/>
      <c r="R212" s="2"/>
      <c r="S212" s="2"/>
    </row>
    <row r="213" spans="1:20" s="288" customFormat="1" ht="20.100000000000001" customHeight="1">
      <c r="A213" s="756">
        <v>7</v>
      </c>
      <c r="B213" s="798" t="s">
        <v>364</v>
      </c>
      <c r="C213" s="278">
        <v>1</v>
      </c>
      <c r="D213" s="279"/>
      <c r="E213" s="280"/>
      <c r="F213" s="281"/>
      <c r="G213" s="282"/>
      <c r="H213" s="283"/>
      <c r="I213" s="284"/>
      <c r="J213" s="285"/>
      <c r="K213" s="286"/>
      <c r="L213" s="287"/>
      <c r="M213" s="330">
        <f t="shared" ref="M213:M215" si="23">L213*J213</f>
        <v>0</v>
      </c>
      <c r="N213" s="287"/>
      <c r="O213" s="801"/>
      <c r="P213" s="802"/>
      <c r="R213" s="2"/>
      <c r="S213" s="2"/>
    </row>
    <row r="214" spans="1:20" s="288" customFormat="1" ht="20.100000000000001" customHeight="1">
      <c r="A214" s="757"/>
      <c r="B214" s="799"/>
      <c r="C214" s="278">
        <v>2</v>
      </c>
      <c r="D214" s="279"/>
      <c r="E214" s="280"/>
      <c r="F214" s="281"/>
      <c r="G214" s="282"/>
      <c r="H214" s="283"/>
      <c r="I214" s="284"/>
      <c r="J214" s="285"/>
      <c r="K214" s="286"/>
      <c r="L214" s="287"/>
      <c r="M214" s="330">
        <f t="shared" si="23"/>
        <v>0</v>
      </c>
      <c r="N214" s="287"/>
      <c r="O214" s="803"/>
      <c r="P214" s="804"/>
      <c r="R214" s="2"/>
      <c r="S214" s="2"/>
    </row>
    <row r="215" spans="1:20" s="288" customFormat="1" ht="20.100000000000001" customHeight="1">
      <c r="A215" s="757"/>
      <c r="B215" s="799"/>
      <c r="C215" s="278">
        <v>3</v>
      </c>
      <c r="D215" s="279"/>
      <c r="E215" s="280"/>
      <c r="F215" s="281"/>
      <c r="G215" s="282"/>
      <c r="H215" s="283"/>
      <c r="I215" s="284"/>
      <c r="J215" s="285"/>
      <c r="K215" s="286"/>
      <c r="L215" s="287"/>
      <c r="M215" s="330">
        <f t="shared" si="23"/>
        <v>0</v>
      </c>
      <c r="N215" s="287"/>
      <c r="O215" s="803"/>
      <c r="P215" s="804"/>
      <c r="R215" s="2"/>
      <c r="S215" s="2"/>
    </row>
    <row r="216" spans="1:20" s="288" customFormat="1" ht="20.100000000000001" customHeight="1">
      <c r="A216" s="757"/>
      <c r="B216" s="799"/>
      <c r="C216" s="278">
        <v>4</v>
      </c>
      <c r="D216" s="279"/>
      <c r="E216" s="280"/>
      <c r="F216" s="281"/>
      <c r="G216" s="282"/>
      <c r="H216" s="283"/>
      <c r="I216" s="284"/>
      <c r="J216" s="285"/>
      <c r="K216" s="286"/>
      <c r="L216" s="287"/>
      <c r="M216" s="331">
        <v>0</v>
      </c>
      <c r="N216" s="287"/>
      <c r="O216" s="298"/>
      <c r="P216" s="299"/>
      <c r="R216" s="2"/>
      <c r="S216" s="2"/>
    </row>
    <row r="217" spans="1:20" s="288" customFormat="1" ht="20.100000000000001" customHeight="1" thickBot="1">
      <c r="A217" s="757"/>
      <c r="B217" s="799"/>
      <c r="C217" s="278">
        <v>5</v>
      </c>
      <c r="D217" s="289"/>
      <c r="E217" s="290"/>
      <c r="F217" s="291"/>
      <c r="G217" s="282"/>
      <c r="H217" s="283"/>
      <c r="I217" s="284"/>
      <c r="J217" s="382"/>
      <c r="K217" s="378"/>
      <c r="L217" s="316"/>
      <c r="M217" s="332">
        <v>0</v>
      </c>
      <c r="N217" s="287"/>
      <c r="O217" s="300"/>
      <c r="P217" s="301"/>
      <c r="R217" s="2"/>
      <c r="S217" s="2"/>
    </row>
    <row r="218" spans="1:20" s="288" customFormat="1" thickTop="1" thickBot="1">
      <c r="A218" s="758"/>
      <c r="B218" s="800"/>
      <c r="C218" s="785"/>
      <c r="D218" s="786"/>
      <c r="E218" s="786"/>
      <c r="F218" s="786"/>
      <c r="G218" s="786"/>
      <c r="H218" s="786"/>
      <c r="I218" s="787"/>
      <c r="J218" s="346" t="s">
        <v>331</v>
      </c>
      <c r="K218" s="212" t="e">
        <f>M218/'生產管理報表 7-1 (週)'!$B$42</f>
        <v>#DIV/0!</v>
      </c>
      <c r="L218" s="347" t="s">
        <v>332</v>
      </c>
      <c r="M218" s="383">
        <f>SUM(M213:M217)</f>
        <v>0</v>
      </c>
      <c r="N218" s="773"/>
      <c r="O218" s="774"/>
      <c r="P218" s="775"/>
      <c r="R218" s="2"/>
      <c r="S218" s="2"/>
      <c r="T218" s="2"/>
    </row>
    <row r="219" spans="1:20" ht="15.75" customHeight="1" thickTop="1"/>
  </sheetData>
  <mergeCells count="397">
    <mergeCell ref="A212:B212"/>
    <mergeCell ref="D212:F212"/>
    <mergeCell ref="G212:I212"/>
    <mergeCell ref="O212:P212"/>
    <mergeCell ref="A213:A218"/>
    <mergeCell ref="B213:B218"/>
    <mergeCell ref="O213:P213"/>
    <mergeCell ref="O214:P214"/>
    <mergeCell ref="O215:P215"/>
    <mergeCell ref="C218:I218"/>
    <mergeCell ref="N218:P218"/>
    <mergeCell ref="A204:B204"/>
    <mergeCell ref="D204:F204"/>
    <mergeCell ref="G204:I204"/>
    <mergeCell ref="O204:P204"/>
    <mergeCell ref="A205:A210"/>
    <mergeCell ref="B205:B210"/>
    <mergeCell ref="O205:P205"/>
    <mergeCell ref="O206:P206"/>
    <mergeCell ref="O207:P207"/>
    <mergeCell ref="O208:P208"/>
    <mergeCell ref="O209:P209"/>
    <mergeCell ref="C210:I210"/>
    <mergeCell ref="N210:P210"/>
    <mergeCell ref="A196:B196"/>
    <mergeCell ref="D196:F196"/>
    <mergeCell ref="G196:I196"/>
    <mergeCell ref="O196:P196"/>
    <mergeCell ref="A197:A202"/>
    <mergeCell ref="B197:B202"/>
    <mergeCell ref="O197:P197"/>
    <mergeCell ref="O198:P198"/>
    <mergeCell ref="O199:P199"/>
    <mergeCell ref="O200:P200"/>
    <mergeCell ref="O201:P201"/>
    <mergeCell ref="C202:I202"/>
    <mergeCell ref="N202:P202"/>
    <mergeCell ref="A188:B188"/>
    <mergeCell ref="D188:F188"/>
    <mergeCell ref="G188:I188"/>
    <mergeCell ref="O188:P188"/>
    <mergeCell ref="A189:A194"/>
    <mergeCell ref="B189:B194"/>
    <mergeCell ref="O189:P189"/>
    <mergeCell ref="O190:P190"/>
    <mergeCell ref="O191:P191"/>
    <mergeCell ref="O192:P192"/>
    <mergeCell ref="O193:P193"/>
    <mergeCell ref="C194:I194"/>
    <mergeCell ref="N194:P194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B186:C186"/>
    <mergeCell ref="D186:E186"/>
    <mergeCell ref="F186:G186"/>
    <mergeCell ref="H186:I186"/>
    <mergeCell ref="J186:K186"/>
    <mergeCell ref="L186:M186"/>
    <mergeCell ref="N186:O186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O173:P173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O65:P65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8" max="15" man="1"/>
    <brk id="74" max="15" man="1"/>
    <brk id="110" max="15" man="1"/>
    <brk id="146" max="15" man="1"/>
    <brk id="182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704" t="s">
        <v>295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</row>
    <row r="2" spans="1:75" s="136" customFormat="1" ht="15.75" customHeight="1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</row>
    <row r="3" spans="1:75" ht="15.75" customHeight="1">
      <c r="A3" s="705" t="s">
        <v>365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</row>
    <row r="4" spans="1:75" s="136" customFormat="1" ht="15.7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</row>
    <row r="5" spans="1:75" ht="15.75" customHeight="1">
      <c r="A5" s="707" t="s">
        <v>310</v>
      </c>
      <c r="B5" s="717">
        <v>1</v>
      </c>
      <c r="C5" s="717"/>
      <c r="D5" s="717">
        <v>2</v>
      </c>
      <c r="E5" s="717"/>
      <c r="F5" s="717">
        <v>3</v>
      </c>
      <c r="G5" s="717"/>
      <c r="H5" s="710">
        <v>4</v>
      </c>
      <c r="I5" s="710"/>
      <c r="J5" s="710">
        <v>5</v>
      </c>
      <c r="K5" s="710"/>
      <c r="L5" s="710">
        <v>6</v>
      </c>
      <c r="M5" s="710"/>
      <c r="N5" s="710">
        <v>7</v>
      </c>
      <c r="O5" s="710"/>
      <c r="P5" s="710">
        <v>8</v>
      </c>
      <c r="Q5" s="710"/>
    </row>
    <row r="6" spans="1:75" ht="15.75" customHeight="1">
      <c r="A6" s="707"/>
      <c r="B6" s="718" t="s">
        <v>299</v>
      </c>
      <c r="C6" s="718"/>
      <c r="D6" s="718" t="s">
        <v>311</v>
      </c>
      <c r="E6" s="718"/>
      <c r="F6" s="718" t="s">
        <v>301</v>
      </c>
      <c r="G6" s="718"/>
      <c r="H6" s="707" t="s">
        <v>312</v>
      </c>
      <c r="I6" s="707"/>
      <c r="J6" s="707" t="s">
        <v>306</v>
      </c>
      <c r="K6" s="707"/>
      <c r="L6" s="707" t="s">
        <v>307</v>
      </c>
      <c r="M6" s="707"/>
      <c r="N6" s="707" t="s">
        <v>308</v>
      </c>
      <c r="O6" s="707"/>
      <c r="P6" s="805" t="s">
        <v>313</v>
      </c>
      <c r="Q6" s="805"/>
    </row>
    <row r="8" spans="1:75" s="235" customFormat="1" ht="15.75" customHeight="1">
      <c r="A8" s="744" t="s">
        <v>310</v>
      </c>
      <c r="B8" s="745"/>
      <c r="C8" s="234" t="s">
        <v>267</v>
      </c>
      <c r="D8" s="858" t="s">
        <v>268</v>
      </c>
      <c r="E8" s="733"/>
      <c r="F8" s="848"/>
      <c r="G8" s="859" t="s">
        <v>314</v>
      </c>
      <c r="H8" s="860"/>
      <c r="I8" s="861"/>
      <c r="J8" s="234" t="s">
        <v>315</v>
      </c>
      <c r="K8" s="234" t="s">
        <v>63</v>
      </c>
      <c r="L8" s="234" t="s">
        <v>316</v>
      </c>
      <c r="M8" s="234" t="s">
        <v>303</v>
      </c>
      <c r="N8" s="234" t="s">
        <v>317</v>
      </c>
      <c r="O8" s="862" t="s">
        <v>273</v>
      </c>
      <c r="P8" s="863"/>
    </row>
    <row r="9" spans="1:75" ht="20.100000000000001" customHeight="1">
      <c r="A9" s="849">
        <v>1</v>
      </c>
      <c r="B9" s="852" t="s">
        <v>318</v>
      </c>
      <c r="C9" s="236">
        <v>1</v>
      </c>
      <c r="D9" s="237"/>
      <c r="E9" s="238"/>
      <c r="F9" s="238"/>
      <c r="G9" s="237"/>
      <c r="H9" s="238"/>
      <c r="I9" s="239"/>
      <c r="J9" s="236"/>
      <c r="K9" s="241"/>
      <c r="L9" s="236"/>
      <c r="M9" s="321">
        <f>L9*J9</f>
        <v>0</v>
      </c>
      <c r="N9" s="242"/>
      <c r="O9" s="762"/>
      <c r="P9" s="763"/>
      <c r="S9" s="339"/>
      <c r="T9" s="338"/>
    </row>
    <row r="10" spans="1:75" ht="20.100000000000001" customHeight="1">
      <c r="A10" s="850"/>
      <c r="B10" s="853"/>
      <c r="C10" s="236">
        <v>2</v>
      </c>
      <c r="D10" s="237"/>
      <c r="E10" s="238"/>
      <c r="F10" s="239"/>
      <c r="G10" s="237"/>
      <c r="H10" s="238"/>
      <c r="I10" s="239"/>
      <c r="J10" s="236"/>
      <c r="K10" s="241"/>
      <c r="L10" s="236"/>
      <c r="M10" s="321">
        <f t="shared" ref="M10:M13" si="0">L10*J10</f>
        <v>0</v>
      </c>
      <c r="N10" s="242"/>
      <c r="O10" s="865"/>
      <c r="P10" s="819"/>
      <c r="S10" s="338"/>
      <c r="T10" s="338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850"/>
      <c r="B11" s="853"/>
      <c r="C11" s="236">
        <v>3</v>
      </c>
      <c r="D11" s="237"/>
      <c r="E11" s="238"/>
      <c r="F11" s="239"/>
      <c r="G11" s="237"/>
      <c r="H11" s="238"/>
      <c r="I11" s="239"/>
      <c r="J11" s="236"/>
      <c r="K11" s="241"/>
      <c r="L11" s="236"/>
      <c r="M11" s="321">
        <f t="shared" si="0"/>
        <v>0</v>
      </c>
      <c r="N11" s="242"/>
      <c r="O11" s="865"/>
      <c r="P11" s="819"/>
      <c r="S11" s="339"/>
      <c r="T11" s="338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850"/>
      <c r="B12" s="853"/>
      <c r="C12" s="236">
        <v>4</v>
      </c>
      <c r="D12" s="237"/>
      <c r="E12" s="238"/>
      <c r="F12" s="239"/>
      <c r="G12" s="237"/>
      <c r="H12" s="238"/>
      <c r="I12" s="239"/>
      <c r="J12" s="236"/>
      <c r="K12" s="241"/>
      <c r="L12" s="236"/>
      <c r="M12" s="321">
        <f t="shared" si="0"/>
        <v>0</v>
      </c>
      <c r="N12" s="242"/>
      <c r="O12" s="865"/>
      <c r="P12" s="819"/>
      <c r="S12" s="338"/>
      <c r="T12" s="338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850"/>
      <c r="B13" s="853"/>
      <c r="C13" s="236">
        <v>5</v>
      </c>
      <c r="D13" s="243"/>
      <c r="E13" s="244"/>
      <c r="F13" s="245"/>
      <c r="G13" s="237"/>
      <c r="H13" s="238"/>
      <c r="I13" s="267"/>
      <c r="J13" s="246"/>
      <c r="K13" s="247"/>
      <c r="L13" s="246"/>
      <c r="M13" s="322">
        <f t="shared" si="0"/>
        <v>0</v>
      </c>
      <c r="N13" s="242"/>
      <c r="O13" s="865"/>
      <c r="P13" s="819"/>
      <c r="S13" s="339"/>
      <c r="T13" s="338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851"/>
      <c r="B14" s="854"/>
      <c r="C14" s="720"/>
      <c r="D14" s="721"/>
      <c r="E14" s="721"/>
      <c r="F14" s="721"/>
      <c r="G14" s="721"/>
      <c r="H14" s="721"/>
      <c r="I14" s="857"/>
      <c r="J14" s="343" t="s">
        <v>331</v>
      </c>
      <c r="K14" s="344">
        <v>0</v>
      </c>
      <c r="L14" s="343" t="s">
        <v>332</v>
      </c>
      <c r="M14" s="323">
        <f>SUM(M9:M13)</f>
        <v>0</v>
      </c>
      <c r="N14" s="808"/>
      <c r="O14" s="809"/>
      <c r="P14" s="810"/>
      <c r="S14" s="338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0"/>
      <c r="O15" s="250"/>
      <c r="P15" s="250"/>
      <c r="S15" s="339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44" t="s">
        <v>310</v>
      </c>
      <c r="B16" s="745"/>
      <c r="C16" s="251" t="s">
        <v>267</v>
      </c>
      <c r="D16" s="732" t="s">
        <v>268</v>
      </c>
      <c r="E16" s="733"/>
      <c r="F16" s="734"/>
      <c r="G16" s="732" t="s">
        <v>314</v>
      </c>
      <c r="H16" s="733"/>
      <c r="I16" s="734"/>
      <c r="J16" s="253" t="s">
        <v>315</v>
      </c>
      <c r="K16" s="253" t="s">
        <v>63</v>
      </c>
      <c r="L16" s="253" t="s">
        <v>316</v>
      </c>
      <c r="M16" s="253" t="s">
        <v>303</v>
      </c>
      <c r="N16" s="254" t="s">
        <v>317</v>
      </c>
      <c r="O16" s="811" t="s">
        <v>273</v>
      </c>
      <c r="P16" s="812"/>
      <c r="S16" s="33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849">
        <v>2</v>
      </c>
      <c r="B17" s="852" t="s">
        <v>333</v>
      </c>
      <c r="C17" s="255">
        <v>1</v>
      </c>
      <c r="D17" s="237"/>
      <c r="E17" s="238"/>
      <c r="F17" s="239"/>
      <c r="G17" s="237"/>
      <c r="H17" s="238"/>
      <c r="I17" s="239"/>
      <c r="J17" s="256"/>
      <c r="K17" s="257"/>
      <c r="L17" s="256"/>
      <c r="M17" s="258">
        <f t="shared" ref="M17:M21" si="1">L17*J17</f>
        <v>0</v>
      </c>
      <c r="N17" s="259"/>
      <c r="O17" s="813"/>
      <c r="P17" s="814"/>
      <c r="S17" s="339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850"/>
      <c r="B18" s="853"/>
      <c r="C18" s="255">
        <v>2</v>
      </c>
      <c r="D18" s="237"/>
      <c r="E18" s="238"/>
      <c r="F18" s="239"/>
      <c r="G18" s="237"/>
      <c r="H18" s="238"/>
      <c r="I18" s="239"/>
      <c r="J18" s="256"/>
      <c r="K18" s="257"/>
      <c r="L18" s="256"/>
      <c r="M18" s="258">
        <f t="shared" si="1"/>
        <v>0</v>
      </c>
      <c r="N18" s="259"/>
      <c r="O18" s="813"/>
      <c r="P18" s="814"/>
      <c r="S18" s="338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850"/>
      <c r="B19" s="853"/>
      <c r="C19" s="255">
        <v>3</v>
      </c>
      <c r="D19" s="237"/>
      <c r="E19" s="238"/>
      <c r="F19" s="239"/>
      <c r="G19" s="237"/>
      <c r="H19" s="238"/>
      <c r="I19" s="239"/>
      <c r="J19" s="256"/>
      <c r="K19" s="257"/>
      <c r="L19" s="256"/>
      <c r="M19" s="258">
        <f t="shared" si="1"/>
        <v>0</v>
      </c>
      <c r="N19" s="259"/>
      <c r="O19" s="813"/>
      <c r="P19" s="814"/>
      <c r="S19" s="339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850"/>
      <c r="B20" s="853"/>
      <c r="C20" s="255">
        <v>4</v>
      </c>
      <c r="D20" s="237"/>
      <c r="E20" s="238"/>
      <c r="F20" s="239"/>
      <c r="G20" s="237"/>
      <c r="H20" s="238"/>
      <c r="I20" s="239"/>
      <c r="J20" s="256"/>
      <c r="K20" s="257"/>
      <c r="L20" s="256"/>
      <c r="M20" s="258">
        <f t="shared" si="1"/>
        <v>0</v>
      </c>
      <c r="N20" s="259"/>
      <c r="O20" s="813"/>
      <c r="P20" s="814"/>
      <c r="S20" s="338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850"/>
      <c r="B21" s="853"/>
      <c r="C21" s="261">
        <v>5</v>
      </c>
      <c r="D21" s="243"/>
      <c r="E21" s="244"/>
      <c r="F21" s="245"/>
      <c r="G21" s="243"/>
      <c r="H21" s="244"/>
      <c r="I21" s="245"/>
      <c r="J21" s="262"/>
      <c r="K21" s="263"/>
      <c r="L21" s="262"/>
      <c r="M21" s="264">
        <f t="shared" si="1"/>
        <v>0</v>
      </c>
      <c r="N21" s="265"/>
      <c r="O21" s="813"/>
      <c r="P21" s="814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851"/>
      <c r="B22" s="854"/>
      <c r="C22" s="720"/>
      <c r="D22" s="721"/>
      <c r="E22" s="721"/>
      <c r="F22" s="721"/>
      <c r="G22" s="721"/>
      <c r="H22" s="721"/>
      <c r="I22" s="857"/>
      <c r="J22" s="343" t="s">
        <v>331</v>
      </c>
      <c r="K22" s="344">
        <v>0</v>
      </c>
      <c r="L22" s="343" t="s">
        <v>332</v>
      </c>
      <c r="M22" s="249">
        <f>SUM(M17:M21)</f>
        <v>0</v>
      </c>
      <c r="N22" s="815"/>
      <c r="O22" s="816"/>
      <c r="P22" s="817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6"/>
      <c r="O23" s="266"/>
      <c r="P23" s="266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44" t="s">
        <v>310</v>
      </c>
      <c r="B24" s="745"/>
      <c r="C24" s="251" t="s">
        <v>267</v>
      </c>
      <c r="D24" s="732" t="s">
        <v>268</v>
      </c>
      <c r="E24" s="733"/>
      <c r="F24" s="734"/>
      <c r="G24" s="732" t="s">
        <v>314</v>
      </c>
      <c r="H24" s="733"/>
      <c r="I24" s="848"/>
      <c r="J24" s="252" t="s">
        <v>315</v>
      </c>
      <c r="K24" s="253" t="s">
        <v>63</v>
      </c>
      <c r="L24" s="253" t="s">
        <v>316</v>
      </c>
      <c r="M24" s="253" t="s">
        <v>303</v>
      </c>
      <c r="N24" s="254" t="s">
        <v>317</v>
      </c>
      <c r="O24" s="823" t="s">
        <v>273</v>
      </c>
      <c r="P24" s="824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849">
        <v>3</v>
      </c>
      <c r="B25" s="852" t="s">
        <v>334</v>
      </c>
      <c r="C25" s="255">
        <v>1</v>
      </c>
      <c r="D25" s="237"/>
      <c r="E25" s="238"/>
      <c r="F25" s="239"/>
      <c r="G25" s="237"/>
      <c r="H25" s="238"/>
      <c r="I25" s="239"/>
      <c r="J25" s="256"/>
      <c r="K25" s="257"/>
      <c r="L25" s="256"/>
      <c r="M25" s="324">
        <f t="shared" ref="M25:M29" si="2">L25*J25</f>
        <v>0</v>
      </c>
      <c r="N25" s="269"/>
      <c r="O25" s="818"/>
      <c r="P25" s="819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850"/>
      <c r="B26" s="853"/>
      <c r="C26" s="255">
        <v>2</v>
      </c>
      <c r="D26" s="237"/>
      <c r="E26" s="238"/>
      <c r="F26" s="239"/>
      <c r="G26" s="237"/>
      <c r="H26" s="238"/>
      <c r="I26" s="239"/>
      <c r="J26" s="256"/>
      <c r="K26" s="257"/>
      <c r="L26" s="256"/>
      <c r="M26" s="324">
        <f t="shared" si="2"/>
        <v>0</v>
      </c>
      <c r="N26" s="269"/>
      <c r="O26" s="818"/>
      <c r="P26" s="819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850"/>
      <c r="B27" s="853"/>
      <c r="C27" s="255">
        <v>3</v>
      </c>
      <c r="D27" s="237"/>
      <c r="E27" s="238"/>
      <c r="F27" s="239"/>
      <c r="G27" s="237"/>
      <c r="H27" s="238"/>
      <c r="I27" s="239"/>
      <c r="J27" s="256"/>
      <c r="K27" s="257"/>
      <c r="L27" s="256"/>
      <c r="M27" s="324">
        <f t="shared" si="2"/>
        <v>0</v>
      </c>
      <c r="N27" s="269"/>
      <c r="O27" s="818"/>
      <c r="P27" s="819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850"/>
      <c r="B28" s="853"/>
      <c r="C28" s="255">
        <v>4</v>
      </c>
      <c r="D28" s="237"/>
      <c r="E28" s="238"/>
      <c r="F28" s="239"/>
      <c r="G28" s="237"/>
      <c r="H28" s="238"/>
      <c r="I28" s="267"/>
      <c r="J28" s="268"/>
      <c r="K28" s="257"/>
      <c r="L28" s="256"/>
      <c r="M28" s="324">
        <f t="shared" si="2"/>
        <v>0</v>
      </c>
      <c r="N28" s="269"/>
      <c r="O28" s="818"/>
      <c r="P28" s="819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850"/>
      <c r="B29" s="853"/>
      <c r="C29" s="261">
        <v>5</v>
      </c>
      <c r="D29" s="243"/>
      <c r="E29" s="244"/>
      <c r="F29" s="245"/>
      <c r="G29" s="243"/>
      <c r="H29" s="244"/>
      <c r="I29" s="270"/>
      <c r="J29" s="271"/>
      <c r="K29" s="263"/>
      <c r="L29" s="272"/>
      <c r="M29" s="324">
        <f t="shared" si="2"/>
        <v>0</v>
      </c>
      <c r="N29" s="269"/>
      <c r="O29" s="818"/>
      <c r="P29" s="819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851"/>
      <c r="B30" s="854"/>
      <c r="C30" s="720"/>
      <c r="D30" s="721"/>
      <c r="E30" s="721"/>
      <c r="F30" s="721"/>
      <c r="G30" s="721"/>
      <c r="H30" s="721"/>
      <c r="I30" s="857"/>
      <c r="J30" s="345" t="s">
        <v>331</v>
      </c>
      <c r="K30" s="344">
        <v>0</v>
      </c>
      <c r="L30" s="345" t="s">
        <v>332</v>
      </c>
      <c r="M30" s="325">
        <f>SUM(M25:M29)</f>
        <v>0</v>
      </c>
      <c r="N30" s="820"/>
      <c r="O30" s="821"/>
      <c r="P30" s="822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1">
    <tabColor rgb="FF92D050"/>
    <outlinePr summaryBelow="0" summaryRight="0"/>
  </sheetPr>
  <dimension ref="A1:T171"/>
  <sheetViews>
    <sheetView view="pageBreakPreview" zoomScaleNormal="60" zoomScaleSheetLayoutView="100" workbookViewId="0">
      <selection activeCell="A143" sqref="A143:M144"/>
    </sheetView>
  </sheetViews>
  <sheetFormatPr defaultColWidth="12.5703125" defaultRowHeight="15.75" customHeight="1"/>
  <cols>
    <col min="1" max="1" width="5.42578125" style="288" customWidth="1"/>
    <col min="2" max="2" width="11.42578125" style="296" customWidth="1"/>
    <col min="3" max="3" width="4" style="297" customWidth="1"/>
    <col min="4" max="4" width="9.5703125" style="288" customWidth="1"/>
    <col min="5" max="5" width="10.28515625" style="288" customWidth="1"/>
    <col min="6" max="15" width="9.5703125" style="288" customWidth="1"/>
    <col min="16" max="16" width="35.42578125" style="288" customWidth="1"/>
    <col min="17" max="17" width="12.5703125" style="288"/>
    <col min="18" max="18" width="27.42578125" style="288" bestFit="1" customWidth="1"/>
    <col min="19" max="16384" width="12.5703125" style="288"/>
  </cols>
  <sheetData>
    <row r="1" spans="1:20" s="135" customFormat="1" ht="15.75" customHeight="1">
      <c r="A1" s="895" t="s">
        <v>295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6"/>
      <c r="P1" s="897"/>
    </row>
    <row r="2" spans="1:20" s="136" customFormat="1" ht="15.75" customHeight="1">
      <c r="A2" s="898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899"/>
    </row>
    <row r="3" spans="1:20" s="135" customFormat="1" ht="15.75" customHeight="1">
      <c r="A3" s="867" t="s">
        <v>382</v>
      </c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Q3" s="231"/>
      <c r="R3" s="231"/>
      <c r="S3" s="231"/>
      <c r="T3" s="231"/>
    </row>
    <row r="4" spans="1:20" s="136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741"/>
    </row>
    <row r="5" spans="1:20" s="135" customFormat="1" ht="15.75" customHeight="1">
      <c r="A5" s="742" t="s">
        <v>310</v>
      </c>
      <c r="B5" s="744">
        <v>1</v>
      </c>
      <c r="C5" s="745"/>
      <c r="D5" s="744">
        <v>2</v>
      </c>
      <c r="E5" s="745"/>
      <c r="F5" s="744">
        <v>3</v>
      </c>
      <c r="G5" s="745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351">
        <v>8</v>
      </c>
    </row>
    <row r="6" spans="1:20" s="135" customFormat="1" ht="15.75" customHeight="1">
      <c r="A6" s="743"/>
      <c r="B6" s="739" t="s">
        <v>299</v>
      </c>
      <c r="C6" s="740"/>
      <c r="D6" s="739" t="s">
        <v>311</v>
      </c>
      <c r="E6" s="740"/>
      <c r="F6" s="739" t="s">
        <v>301</v>
      </c>
      <c r="G6" s="740"/>
      <c r="H6" s="737" t="s">
        <v>312</v>
      </c>
      <c r="I6" s="738"/>
      <c r="J6" s="737" t="s">
        <v>306</v>
      </c>
      <c r="K6" s="738"/>
      <c r="L6" s="737" t="s">
        <v>307</v>
      </c>
      <c r="M6" s="738"/>
      <c r="N6" s="737" t="s">
        <v>308</v>
      </c>
      <c r="O6" s="738"/>
      <c r="P6" s="352" t="s">
        <v>313</v>
      </c>
    </row>
    <row r="7" spans="1:20" s="135" customFormat="1" ht="15.75" customHeight="1">
      <c r="A7" s="480"/>
      <c r="B7" s="481"/>
      <c r="C7" s="482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4"/>
    </row>
    <row r="8" spans="1:20" s="277" customFormat="1" ht="15.75" customHeight="1">
      <c r="A8" s="883" t="s">
        <v>310</v>
      </c>
      <c r="B8" s="884"/>
      <c r="C8" s="477" t="s">
        <v>267</v>
      </c>
      <c r="D8" s="885" t="s">
        <v>268</v>
      </c>
      <c r="E8" s="886"/>
      <c r="F8" s="887"/>
      <c r="G8" s="888" t="s">
        <v>314</v>
      </c>
      <c r="H8" s="889"/>
      <c r="I8" s="890"/>
      <c r="J8" s="478" t="s">
        <v>315</v>
      </c>
      <c r="K8" s="478" t="s">
        <v>63</v>
      </c>
      <c r="L8" s="478" t="s">
        <v>316</v>
      </c>
      <c r="M8" s="479" t="s">
        <v>303</v>
      </c>
      <c r="N8" s="479" t="s">
        <v>317</v>
      </c>
      <c r="O8" s="891" t="s">
        <v>273</v>
      </c>
      <c r="P8" s="892"/>
      <c r="R8" s="338"/>
      <c r="S8" s="339"/>
    </row>
    <row r="9" spans="1:20" s="297" customFormat="1" ht="60" customHeight="1">
      <c r="A9" s="756">
        <v>4</v>
      </c>
      <c r="B9" s="759" t="s">
        <v>312</v>
      </c>
      <c r="C9" s="278">
        <v>1</v>
      </c>
      <c r="D9" s="237"/>
      <c r="E9" s="238"/>
      <c r="F9" s="239"/>
      <c r="G9" s="305"/>
      <c r="H9" s="304"/>
      <c r="I9" s="305"/>
      <c r="J9" s="311"/>
      <c r="K9" s="312"/>
      <c r="L9" s="313"/>
      <c r="M9" s="321">
        <f t="shared" ref="M9:M13" si="0">L9*J9</f>
        <v>0</v>
      </c>
      <c r="N9" s="313"/>
      <c r="O9" s="764"/>
      <c r="P9" s="893"/>
      <c r="R9" s="387"/>
      <c r="S9" s="389"/>
    </row>
    <row r="10" spans="1:20" s="297" customFormat="1" ht="60" customHeight="1">
      <c r="A10" s="757"/>
      <c r="B10" s="760"/>
      <c r="C10" s="278">
        <v>2</v>
      </c>
      <c r="D10" s="237"/>
      <c r="E10" s="238"/>
      <c r="F10" s="239"/>
      <c r="G10" s="305"/>
      <c r="H10" s="304"/>
      <c r="I10" s="305"/>
      <c r="J10" s="311"/>
      <c r="K10" s="312"/>
      <c r="L10" s="313"/>
      <c r="M10" s="321">
        <f t="shared" si="0"/>
        <v>0</v>
      </c>
      <c r="N10" s="313"/>
      <c r="O10" s="764"/>
      <c r="P10" s="893"/>
      <c r="R10" s="387"/>
      <c r="S10" s="388"/>
      <c r="T10" s="334"/>
    </row>
    <row r="11" spans="1:20" s="297" customFormat="1" ht="60" customHeight="1">
      <c r="A11" s="757"/>
      <c r="B11" s="760"/>
      <c r="C11" s="278">
        <v>3</v>
      </c>
      <c r="D11" s="237"/>
      <c r="E11" s="238"/>
      <c r="F11" s="239"/>
      <c r="G11" s="305"/>
      <c r="H11" s="304"/>
      <c r="I11" s="305"/>
      <c r="J11" s="311"/>
      <c r="K11" s="312"/>
      <c r="L11" s="313"/>
      <c r="M11" s="321">
        <f t="shared" si="0"/>
        <v>0</v>
      </c>
      <c r="N11" s="313"/>
      <c r="O11" s="766"/>
      <c r="P11" s="894"/>
      <c r="R11" s="387"/>
      <c r="S11" s="389"/>
    </row>
    <row r="12" spans="1:20" s="297" customFormat="1" ht="60" customHeight="1">
      <c r="A12" s="757"/>
      <c r="B12" s="760"/>
      <c r="C12" s="278">
        <v>4</v>
      </c>
      <c r="D12" s="237"/>
      <c r="E12" s="238"/>
      <c r="F12" s="239"/>
      <c r="G12" s="305"/>
      <c r="H12" s="304"/>
      <c r="I12" s="305"/>
      <c r="J12" s="311"/>
      <c r="K12" s="312"/>
      <c r="L12" s="313"/>
      <c r="M12" s="321">
        <f t="shared" si="0"/>
        <v>0</v>
      </c>
      <c r="N12" s="313"/>
      <c r="O12" s="766"/>
      <c r="P12" s="894"/>
      <c r="R12" s="387"/>
      <c r="S12" s="388"/>
      <c r="T12" s="334"/>
    </row>
    <row r="13" spans="1:20" s="297" customFormat="1" ht="60" customHeight="1" thickBot="1">
      <c r="A13" s="757"/>
      <c r="B13" s="760"/>
      <c r="C13" s="278">
        <v>5</v>
      </c>
      <c r="D13" s="237"/>
      <c r="E13" s="244"/>
      <c r="F13" s="245"/>
      <c r="G13" s="305"/>
      <c r="H13" s="304"/>
      <c r="I13" s="305"/>
      <c r="J13" s="315"/>
      <c r="K13" s="247"/>
      <c r="L13" s="316"/>
      <c r="M13" s="321">
        <f t="shared" si="0"/>
        <v>0</v>
      </c>
      <c r="N13" s="313"/>
      <c r="O13" s="766"/>
      <c r="P13" s="894"/>
      <c r="R13" s="390"/>
      <c r="S13" s="389"/>
      <c r="T13" s="288"/>
    </row>
    <row r="14" spans="1:20" ht="15.75" customHeight="1" thickTop="1" thickBot="1">
      <c r="A14" s="758"/>
      <c r="B14" s="761"/>
      <c r="C14" s="770"/>
      <c r="D14" s="771"/>
      <c r="E14" s="771"/>
      <c r="F14" s="771"/>
      <c r="G14" s="771"/>
      <c r="H14" s="771"/>
      <c r="I14" s="772"/>
      <c r="J14" s="346" t="s">
        <v>331</v>
      </c>
      <c r="K14" s="344">
        <f>M14/'生產管理報表 7-1 (週)'!$B$10</f>
        <v>0</v>
      </c>
      <c r="L14" s="347" t="s">
        <v>332</v>
      </c>
      <c r="M14" s="348">
        <f>SUM(M9:M13)</f>
        <v>0</v>
      </c>
      <c r="N14" s="773"/>
      <c r="O14" s="774"/>
      <c r="P14" s="882"/>
      <c r="R14" s="338"/>
      <c r="S14" s="338"/>
    </row>
    <row r="15" spans="1:20" ht="15.75" customHeight="1" thickTop="1">
      <c r="A15" s="485"/>
      <c r="M15" s="328"/>
      <c r="P15" s="486"/>
      <c r="S15" s="339"/>
    </row>
    <row r="16" spans="1:20" ht="15.75" customHeight="1">
      <c r="A16" s="746" t="s">
        <v>310</v>
      </c>
      <c r="B16" s="747"/>
      <c r="C16" s="274" t="s">
        <v>267</v>
      </c>
      <c r="D16" s="748" t="s">
        <v>268</v>
      </c>
      <c r="E16" s="749"/>
      <c r="F16" s="750"/>
      <c r="G16" s="751" t="s">
        <v>314</v>
      </c>
      <c r="H16" s="752"/>
      <c r="I16" s="753"/>
      <c r="J16" s="373" t="s">
        <v>315</v>
      </c>
      <c r="K16" s="275" t="s">
        <v>63</v>
      </c>
      <c r="L16" s="275" t="s">
        <v>316</v>
      </c>
      <c r="M16" s="329" t="s">
        <v>303</v>
      </c>
      <c r="N16" s="276" t="s">
        <v>317</v>
      </c>
      <c r="O16" s="754" t="s">
        <v>273</v>
      </c>
      <c r="P16" s="874"/>
      <c r="S16" s="338"/>
      <c r="T16" s="334"/>
    </row>
    <row r="17" spans="1:20" s="297" customFormat="1" ht="60" customHeight="1">
      <c r="A17" s="756">
        <v>5</v>
      </c>
      <c r="B17" s="776" t="s">
        <v>347</v>
      </c>
      <c r="C17" s="278">
        <v>1</v>
      </c>
      <c r="D17" s="237"/>
      <c r="E17" s="238"/>
      <c r="F17" s="239"/>
      <c r="G17" s="305"/>
      <c r="H17" s="304"/>
      <c r="I17" s="305"/>
      <c r="J17" s="311"/>
      <c r="K17" s="312"/>
      <c r="L17" s="313"/>
      <c r="M17" s="321">
        <f>L17*J17</f>
        <v>0</v>
      </c>
      <c r="N17" s="313"/>
      <c r="O17" s="831"/>
      <c r="P17" s="879"/>
      <c r="S17" s="389"/>
      <c r="T17" s="334"/>
    </row>
    <row r="18" spans="1:20" s="297" customFormat="1" ht="24.95" customHeight="1">
      <c r="A18" s="757"/>
      <c r="B18" s="777"/>
      <c r="C18" s="278">
        <v>2</v>
      </c>
      <c r="D18" s="237"/>
      <c r="E18" s="238"/>
      <c r="F18" s="239"/>
      <c r="G18" s="349"/>
      <c r="H18" s="304"/>
      <c r="I18" s="305"/>
      <c r="J18" s="311"/>
      <c r="K18" s="312"/>
      <c r="L18" s="313"/>
      <c r="M18" s="321">
        <f t="shared" ref="M18:M21" si="1">L18*J18</f>
        <v>0</v>
      </c>
      <c r="N18" s="313"/>
      <c r="O18" s="781"/>
      <c r="P18" s="880"/>
      <c r="S18" s="338"/>
      <c r="T18" s="335"/>
    </row>
    <row r="19" spans="1:20" ht="24.95" customHeight="1">
      <c r="A19" s="757"/>
      <c r="B19" s="777"/>
      <c r="C19" s="278">
        <v>3</v>
      </c>
      <c r="D19" s="237"/>
      <c r="E19" s="238"/>
      <c r="F19" s="239"/>
      <c r="G19" s="349"/>
      <c r="H19" s="304"/>
      <c r="I19" s="305"/>
      <c r="J19" s="311"/>
      <c r="K19" s="312"/>
      <c r="L19" s="313"/>
      <c r="M19" s="321">
        <f t="shared" si="1"/>
        <v>0</v>
      </c>
      <c r="N19" s="287"/>
      <c r="O19" s="803"/>
      <c r="P19" s="881"/>
    </row>
    <row r="20" spans="1:20" ht="24.95" customHeight="1">
      <c r="A20" s="757"/>
      <c r="B20" s="777"/>
      <c r="C20" s="278">
        <v>4</v>
      </c>
      <c r="D20" s="279"/>
      <c r="E20" s="280"/>
      <c r="F20" s="281"/>
      <c r="G20" s="349"/>
      <c r="H20" s="304"/>
      <c r="I20" s="305"/>
      <c r="J20" s="285"/>
      <c r="K20" s="286"/>
      <c r="L20" s="287"/>
      <c r="M20" s="321">
        <f t="shared" si="1"/>
        <v>0</v>
      </c>
      <c r="N20" s="287"/>
      <c r="O20" s="298"/>
      <c r="P20" s="487"/>
    </row>
    <row r="21" spans="1:20" ht="24.95" customHeight="1" thickBot="1">
      <c r="A21" s="757"/>
      <c r="B21" s="777"/>
      <c r="C21" s="278">
        <v>5</v>
      </c>
      <c r="D21" s="289"/>
      <c r="E21" s="290"/>
      <c r="F21" s="291"/>
      <c r="G21" s="349"/>
      <c r="H21" s="304"/>
      <c r="I21" s="305"/>
      <c r="J21" s="292"/>
      <c r="K21" s="247"/>
      <c r="L21" s="293"/>
      <c r="M21" s="321">
        <f t="shared" si="1"/>
        <v>0</v>
      </c>
      <c r="N21" s="287"/>
      <c r="O21" s="300"/>
      <c r="P21" s="488"/>
      <c r="R21" s="342"/>
    </row>
    <row r="22" spans="1:20" ht="15.75" customHeight="1" thickTop="1" thickBot="1">
      <c r="A22" s="758"/>
      <c r="B22" s="778"/>
      <c r="C22" s="785"/>
      <c r="D22" s="786"/>
      <c r="E22" s="786"/>
      <c r="F22" s="786"/>
      <c r="G22" s="786"/>
      <c r="H22" s="786"/>
      <c r="I22" s="787"/>
      <c r="J22" s="346" t="s">
        <v>331</v>
      </c>
      <c r="K22" s="344">
        <f>M22/'生產管理報表 7-1 (週)'!$B$10</f>
        <v>0</v>
      </c>
      <c r="L22" s="347" t="s">
        <v>332</v>
      </c>
      <c r="M22" s="348">
        <f>SUM(M17:M21)</f>
        <v>0</v>
      </c>
      <c r="N22" s="773"/>
      <c r="O22" s="774"/>
      <c r="P22" s="882"/>
      <c r="R22" s="338"/>
    </row>
    <row r="23" spans="1:20" ht="15.75" customHeight="1" thickTop="1">
      <c r="A23" s="485"/>
      <c r="K23" s="288" t="s">
        <v>387</v>
      </c>
      <c r="M23" s="328"/>
      <c r="P23" s="486"/>
      <c r="R23" s="338"/>
    </row>
    <row r="24" spans="1:20" ht="24.95" customHeight="1">
      <c r="A24" s="746" t="s">
        <v>310</v>
      </c>
      <c r="B24" s="747"/>
      <c r="C24" s="302" t="s">
        <v>267</v>
      </c>
      <c r="D24" s="790" t="s">
        <v>268</v>
      </c>
      <c r="E24" s="791"/>
      <c r="F24" s="792"/>
      <c r="G24" s="793" t="s">
        <v>314</v>
      </c>
      <c r="H24" s="794"/>
      <c r="I24" s="795"/>
      <c r="J24" s="303" t="s">
        <v>315</v>
      </c>
      <c r="K24" s="275" t="s">
        <v>63</v>
      </c>
      <c r="L24" s="275" t="s">
        <v>316</v>
      </c>
      <c r="M24" s="329" t="s">
        <v>303</v>
      </c>
      <c r="N24" s="276" t="s">
        <v>317</v>
      </c>
      <c r="O24" s="754" t="s">
        <v>273</v>
      </c>
      <c r="P24" s="874"/>
      <c r="R24" s="338"/>
    </row>
    <row r="25" spans="1:20" ht="60" customHeight="1">
      <c r="A25" s="756">
        <v>6</v>
      </c>
      <c r="B25" s="776" t="s">
        <v>352</v>
      </c>
      <c r="C25" s="278">
        <v>1</v>
      </c>
      <c r="D25" s="489"/>
      <c r="E25" s="280"/>
      <c r="F25" s="281"/>
      <c r="G25" s="305"/>
      <c r="H25" s="304"/>
      <c r="I25" s="305"/>
      <c r="J25" s="311"/>
      <c r="K25" s="312"/>
      <c r="L25" s="313"/>
      <c r="M25" s="321">
        <f t="shared" ref="M25:M29" si="2">L25*J25</f>
        <v>0</v>
      </c>
      <c r="N25" s="287"/>
      <c r="O25" s="768"/>
      <c r="P25" s="875"/>
      <c r="R25" s="335"/>
      <c r="S25" s="335"/>
    </row>
    <row r="26" spans="1:20" ht="60" customHeight="1">
      <c r="A26" s="757"/>
      <c r="B26" s="777"/>
      <c r="C26" s="278">
        <v>2</v>
      </c>
      <c r="D26" s="237"/>
      <c r="E26" s="280"/>
      <c r="F26" s="281"/>
      <c r="G26" s="305"/>
      <c r="H26" s="304"/>
      <c r="I26" s="305"/>
      <c r="J26" s="311"/>
      <c r="K26" s="312"/>
      <c r="L26" s="313"/>
      <c r="M26" s="321">
        <f t="shared" si="2"/>
        <v>0</v>
      </c>
      <c r="N26" s="287"/>
      <c r="O26" s="768"/>
      <c r="P26" s="875"/>
      <c r="R26" s="335"/>
      <c r="S26" s="335"/>
    </row>
    <row r="27" spans="1:20" ht="60" customHeight="1">
      <c r="A27" s="757"/>
      <c r="B27" s="777"/>
      <c r="C27" s="278">
        <v>3</v>
      </c>
      <c r="D27" s="237"/>
      <c r="E27" s="280"/>
      <c r="F27" s="281"/>
      <c r="G27" s="305"/>
      <c r="H27" s="304"/>
      <c r="I27" s="305"/>
      <c r="J27" s="311"/>
      <c r="K27" s="312"/>
      <c r="L27" s="313"/>
      <c r="M27" s="321">
        <f t="shared" si="2"/>
        <v>0</v>
      </c>
      <c r="N27" s="287"/>
      <c r="O27" s="768"/>
      <c r="P27" s="875"/>
      <c r="R27" s="335"/>
    </row>
    <row r="28" spans="1:20" ht="60" customHeight="1">
      <c r="A28" s="757"/>
      <c r="B28" s="777"/>
      <c r="C28" s="278">
        <v>4</v>
      </c>
      <c r="D28" s="237"/>
      <c r="E28" s="280"/>
      <c r="F28" s="281"/>
      <c r="G28" s="305"/>
      <c r="H28" s="304"/>
      <c r="I28" s="305"/>
      <c r="J28" s="311"/>
      <c r="K28" s="312"/>
      <c r="L28" s="313"/>
      <c r="M28" s="321">
        <f t="shared" si="2"/>
        <v>0</v>
      </c>
      <c r="N28" s="287"/>
      <c r="O28" s="768"/>
      <c r="P28" s="875"/>
      <c r="R28" s="335"/>
      <c r="S28" s="335"/>
    </row>
    <row r="29" spans="1:20" ht="60" customHeight="1" thickBot="1">
      <c r="A29" s="757"/>
      <c r="B29" s="777"/>
      <c r="C29" s="278">
        <v>5</v>
      </c>
      <c r="D29" s="243"/>
      <c r="E29" s="290"/>
      <c r="F29" s="291"/>
      <c r="G29" s="305"/>
      <c r="H29" s="304"/>
      <c r="I29" s="305"/>
      <c r="J29" s="315"/>
      <c r="K29" s="247"/>
      <c r="L29" s="316"/>
      <c r="M29" s="321">
        <f t="shared" si="2"/>
        <v>0</v>
      </c>
      <c r="N29" s="287"/>
      <c r="O29" s="768"/>
      <c r="P29" s="875"/>
    </row>
    <row r="30" spans="1:20" ht="15.75" customHeight="1" thickTop="1" thickBot="1">
      <c r="A30" s="758"/>
      <c r="B30" s="778"/>
      <c r="C30" s="785"/>
      <c r="D30" s="786"/>
      <c r="E30" s="786"/>
      <c r="F30" s="786"/>
      <c r="G30" s="786"/>
      <c r="H30" s="786"/>
      <c r="I30" s="787"/>
      <c r="J30" s="490" t="s">
        <v>331</v>
      </c>
      <c r="K30" s="344">
        <f>M30/'生產管理報表 7-1 (週)'!$B$10</f>
        <v>0</v>
      </c>
      <c r="L30" s="491" t="s">
        <v>332</v>
      </c>
      <c r="M30" s="492">
        <f>SUM(M25:M29)</f>
        <v>0</v>
      </c>
      <c r="N30" s="876"/>
      <c r="O30" s="877"/>
      <c r="P30" s="878"/>
    </row>
    <row r="31" spans="1:20" s="135" customFormat="1" ht="15.75" customHeight="1" thickTop="1">
      <c r="A31" s="867" t="s">
        <v>383</v>
      </c>
      <c r="B31" s="867"/>
      <c r="C31" s="867"/>
      <c r="D31" s="867"/>
      <c r="E31" s="867"/>
      <c r="F31" s="867"/>
      <c r="G31" s="867"/>
      <c r="H31" s="867"/>
      <c r="I31" s="867"/>
      <c r="J31" s="867"/>
      <c r="K31" s="867"/>
      <c r="L31" s="867"/>
      <c r="M31" s="867"/>
      <c r="Q31" s="231"/>
      <c r="R31" s="231"/>
      <c r="S31" s="231"/>
      <c r="T31" s="231"/>
    </row>
    <row r="32" spans="1:20" s="136" customFormat="1" ht="15.75" customHeight="1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</row>
    <row r="33" spans="1:20" s="135" customFormat="1" ht="15.75" customHeight="1">
      <c r="A33" s="742" t="s">
        <v>310</v>
      </c>
      <c r="B33" s="744">
        <v>1</v>
      </c>
      <c r="C33" s="745"/>
      <c r="D33" s="744">
        <v>2</v>
      </c>
      <c r="E33" s="745"/>
      <c r="F33" s="744">
        <v>3</v>
      </c>
      <c r="G33" s="745"/>
      <c r="H33" s="735">
        <v>4</v>
      </c>
      <c r="I33" s="736"/>
      <c r="J33" s="735">
        <v>5</v>
      </c>
      <c r="K33" s="736"/>
      <c r="L33" s="735">
        <v>6</v>
      </c>
      <c r="M33" s="736"/>
      <c r="N33" s="735">
        <v>7</v>
      </c>
      <c r="O33" s="736"/>
      <c r="P33" s="351">
        <v>8</v>
      </c>
    </row>
    <row r="34" spans="1:20" s="135" customFormat="1" ht="15.75" customHeight="1">
      <c r="A34" s="743"/>
      <c r="B34" s="739" t="s">
        <v>299</v>
      </c>
      <c r="C34" s="740"/>
      <c r="D34" s="739" t="s">
        <v>311</v>
      </c>
      <c r="E34" s="740"/>
      <c r="F34" s="739" t="s">
        <v>301</v>
      </c>
      <c r="G34" s="740"/>
      <c r="H34" s="737" t="s">
        <v>312</v>
      </c>
      <c r="I34" s="738"/>
      <c r="J34" s="737" t="s">
        <v>306</v>
      </c>
      <c r="K34" s="738"/>
      <c r="L34" s="737" t="s">
        <v>307</v>
      </c>
      <c r="M34" s="738"/>
      <c r="N34" s="737" t="s">
        <v>308</v>
      </c>
      <c r="O34" s="738"/>
      <c r="P34" s="352" t="s">
        <v>313</v>
      </c>
    </row>
    <row r="35" spans="1:20" s="135" customFormat="1" ht="15.75" customHeight="1">
      <c r="A35" s="480"/>
      <c r="B35" s="481"/>
      <c r="C35" s="482"/>
      <c r="D35" s="483"/>
      <c r="E35" s="483"/>
      <c r="F35" s="483"/>
      <c r="G35" s="483"/>
      <c r="H35" s="483"/>
      <c r="I35" s="483"/>
      <c r="J35" s="483"/>
      <c r="K35" s="483"/>
      <c r="L35" s="483"/>
      <c r="M35" s="483"/>
      <c r="N35" s="483"/>
      <c r="O35" s="483"/>
      <c r="P35" s="484"/>
    </row>
    <row r="36" spans="1:20" s="277" customFormat="1" ht="15.75" customHeight="1">
      <c r="A36" s="883" t="s">
        <v>310</v>
      </c>
      <c r="B36" s="884"/>
      <c r="C36" s="477" t="s">
        <v>267</v>
      </c>
      <c r="D36" s="885" t="s">
        <v>268</v>
      </c>
      <c r="E36" s="886"/>
      <c r="F36" s="887"/>
      <c r="G36" s="888" t="s">
        <v>314</v>
      </c>
      <c r="H36" s="889"/>
      <c r="I36" s="890"/>
      <c r="J36" s="478" t="s">
        <v>315</v>
      </c>
      <c r="K36" s="478" t="s">
        <v>63</v>
      </c>
      <c r="L36" s="478" t="s">
        <v>316</v>
      </c>
      <c r="M36" s="479" t="s">
        <v>303</v>
      </c>
      <c r="N36" s="479" t="s">
        <v>317</v>
      </c>
      <c r="O36" s="891" t="s">
        <v>273</v>
      </c>
      <c r="P36" s="892"/>
      <c r="R36" s="338"/>
      <c r="S36" s="339"/>
    </row>
    <row r="37" spans="1:20" s="297" customFormat="1" ht="81.75" customHeight="1">
      <c r="A37" s="756">
        <v>4</v>
      </c>
      <c r="B37" s="759" t="s">
        <v>312</v>
      </c>
      <c r="C37" s="278">
        <v>1</v>
      </c>
      <c r="D37" s="489"/>
      <c r="E37" s="280"/>
      <c r="F37" s="281"/>
      <c r="G37" s="305"/>
      <c r="H37" s="304"/>
      <c r="I37" s="305"/>
      <c r="J37" s="311"/>
      <c r="K37" s="312"/>
      <c r="L37" s="313"/>
      <c r="M37" s="321">
        <f t="shared" ref="M37" si="3">L37*J37</f>
        <v>0</v>
      </c>
      <c r="N37" s="287"/>
      <c r="O37" s="768"/>
      <c r="P37" s="875"/>
      <c r="R37" s="387"/>
      <c r="S37" s="389"/>
    </row>
    <row r="38" spans="1:20" s="297" customFormat="1" ht="60" customHeight="1">
      <c r="A38" s="757"/>
      <c r="B38" s="760"/>
      <c r="C38" s="278">
        <v>2</v>
      </c>
      <c r="D38" s="237"/>
      <c r="E38" s="238"/>
      <c r="F38" s="239"/>
      <c r="G38" s="305"/>
      <c r="H38" s="304"/>
      <c r="I38" s="305"/>
      <c r="J38" s="311"/>
      <c r="K38" s="312"/>
      <c r="L38" s="313"/>
      <c r="M38" s="321">
        <f t="shared" ref="M38:M41" si="4">L38*J38</f>
        <v>0</v>
      </c>
      <c r="N38" s="313"/>
      <c r="O38" s="768"/>
      <c r="P38" s="875"/>
      <c r="R38" s="387"/>
      <c r="S38" s="388"/>
      <c r="T38" s="334"/>
    </row>
    <row r="39" spans="1:20" s="297" customFormat="1" ht="60" customHeight="1">
      <c r="A39" s="757"/>
      <c r="B39" s="760"/>
      <c r="C39" s="278">
        <v>3</v>
      </c>
      <c r="D39" s="237"/>
      <c r="E39" s="238"/>
      <c r="F39" s="239"/>
      <c r="G39" s="305"/>
      <c r="H39" s="304"/>
      <c r="I39" s="305"/>
      <c r="J39" s="311"/>
      <c r="K39" s="312"/>
      <c r="L39" s="313"/>
      <c r="M39" s="321">
        <f t="shared" si="4"/>
        <v>0</v>
      </c>
      <c r="N39" s="313"/>
      <c r="O39" s="768"/>
      <c r="P39" s="875"/>
      <c r="R39" s="387"/>
      <c r="S39" s="389"/>
    </row>
    <row r="40" spans="1:20" s="297" customFormat="1" ht="60" customHeight="1">
      <c r="A40" s="757"/>
      <c r="B40" s="760"/>
      <c r="C40" s="278">
        <v>4</v>
      </c>
      <c r="D40" s="237"/>
      <c r="E40" s="238"/>
      <c r="F40" s="239"/>
      <c r="G40" s="305"/>
      <c r="H40" s="304"/>
      <c r="I40" s="305"/>
      <c r="J40" s="311"/>
      <c r="K40" s="312"/>
      <c r="L40" s="313"/>
      <c r="M40" s="321">
        <f t="shared" si="4"/>
        <v>0</v>
      </c>
      <c r="N40" s="313"/>
      <c r="O40" s="768"/>
      <c r="P40" s="875"/>
      <c r="R40" s="387"/>
      <c r="S40" s="388"/>
      <c r="T40" s="334"/>
    </row>
    <row r="41" spans="1:20" s="297" customFormat="1" ht="60" customHeight="1" thickBot="1">
      <c r="A41" s="757"/>
      <c r="B41" s="760"/>
      <c r="C41" s="278">
        <v>5</v>
      </c>
      <c r="D41" s="237"/>
      <c r="E41" s="238"/>
      <c r="F41" s="239"/>
      <c r="G41" s="305"/>
      <c r="H41" s="304"/>
      <c r="I41" s="305"/>
      <c r="J41" s="311"/>
      <c r="K41" s="312"/>
      <c r="L41" s="313"/>
      <c r="M41" s="321">
        <f t="shared" si="4"/>
        <v>0</v>
      </c>
      <c r="N41" s="313"/>
      <c r="O41" s="768"/>
      <c r="P41" s="875"/>
      <c r="R41" s="390"/>
      <c r="S41" s="389"/>
      <c r="T41" s="288"/>
    </row>
    <row r="42" spans="1:20" ht="15.75" customHeight="1" thickTop="1" thickBot="1">
      <c r="A42" s="758"/>
      <c r="B42" s="761"/>
      <c r="C42" s="770"/>
      <c r="D42" s="771"/>
      <c r="E42" s="771"/>
      <c r="F42" s="771"/>
      <c r="G42" s="771"/>
      <c r="H42" s="771"/>
      <c r="I42" s="772"/>
      <c r="J42" s="346" t="s">
        <v>331</v>
      </c>
      <c r="K42" s="344" t="e">
        <f>M42/'生產管理報表 7-1 (週)'!$B$21</f>
        <v>#DIV/0!</v>
      </c>
      <c r="L42" s="347" t="s">
        <v>332</v>
      </c>
      <c r="M42" s="348">
        <f>SUM(M37:M41)</f>
        <v>0</v>
      </c>
      <c r="N42" s="773"/>
      <c r="O42" s="774"/>
      <c r="P42" s="882"/>
      <c r="R42" s="338"/>
      <c r="S42" s="338"/>
    </row>
    <row r="43" spans="1:20" ht="15.75" customHeight="1" thickTop="1">
      <c r="A43" s="485"/>
      <c r="M43" s="328"/>
      <c r="P43" s="486"/>
      <c r="S43" s="339"/>
    </row>
    <row r="44" spans="1:20" ht="15.75" customHeight="1">
      <c r="A44" s="746" t="s">
        <v>310</v>
      </c>
      <c r="B44" s="747"/>
      <c r="C44" s="274" t="s">
        <v>267</v>
      </c>
      <c r="D44" s="748" t="s">
        <v>268</v>
      </c>
      <c r="E44" s="749"/>
      <c r="F44" s="750"/>
      <c r="G44" s="751" t="s">
        <v>314</v>
      </c>
      <c r="H44" s="752"/>
      <c r="I44" s="753"/>
      <c r="J44" s="373" t="s">
        <v>315</v>
      </c>
      <c r="K44" s="275" t="s">
        <v>63</v>
      </c>
      <c r="L44" s="275" t="s">
        <v>316</v>
      </c>
      <c r="M44" s="329" t="s">
        <v>303</v>
      </c>
      <c r="N44" s="276" t="s">
        <v>317</v>
      </c>
      <c r="O44" s="754" t="s">
        <v>273</v>
      </c>
      <c r="P44" s="874"/>
      <c r="S44" s="338"/>
      <c r="T44" s="334"/>
    </row>
    <row r="45" spans="1:20" s="297" customFormat="1" ht="60" customHeight="1">
      <c r="A45" s="756">
        <v>5</v>
      </c>
      <c r="B45" s="776" t="s">
        <v>347</v>
      </c>
      <c r="C45" s="278">
        <v>1</v>
      </c>
      <c r="D45" s="237"/>
      <c r="E45" s="238"/>
      <c r="F45" s="239"/>
      <c r="G45" s="305"/>
      <c r="H45" s="304"/>
      <c r="I45" s="305"/>
      <c r="J45" s="311"/>
      <c r="K45" s="312"/>
      <c r="L45" s="313"/>
      <c r="M45" s="321">
        <f>L45*J45</f>
        <v>0</v>
      </c>
      <c r="N45" s="313"/>
      <c r="O45" s="831"/>
      <c r="P45" s="879"/>
      <c r="S45" s="389"/>
      <c r="T45" s="334"/>
    </row>
    <row r="46" spans="1:20" s="297" customFormat="1" ht="24.95" customHeight="1">
      <c r="A46" s="757"/>
      <c r="B46" s="777"/>
      <c r="C46" s="278">
        <v>2</v>
      </c>
      <c r="D46" s="237"/>
      <c r="E46" s="238"/>
      <c r="F46" s="239"/>
      <c r="G46" s="349"/>
      <c r="H46" s="304"/>
      <c r="I46" s="305"/>
      <c r="J46" s="311"/>
      <c r="K46" s="312"/>
      <c r="L46" s="313"/>
      <c r="M46" s="321">
        <f t="shared" ref="M46:M49" si="5">L46*J46</f>
        <v>0</v>
      </c>
      <c r="N46" s="313"/>
      <c r="O46" s="781"/>
      <c r="P46" s="880"/>
      <c r="S46" s="338"/>
      <c r="T46" s="335"/>
    </row>
    <row r="47" spans="1:20" ht="24.95" customHeight="1">
      <c r="A47" s="757"/>
      <c r="B47" s="777"/>
      <c r="C47" s="278">
        <v>3</v>
      </c>
      <c r="D47" s="237"/>
      <c r="E47" s="238"/>
      <c r="F47" s="239"/>
      <c r="G47" s="349"/>
      <c r="H47" s="304"/>
      <c r="I47" s="305"/>
      <c r="J47" s="311"/>
      <c r="K47" s="312"/>
      <c r="L47" s="313"/>
      <c r="M47" s="321">
        <f t="shared" si="5"/>
        <v>0</v>
      </c>
      <c r="N47" s="287"/>
      <c r="O47" s="803"/>
      <c r="P47" s="881"/>
    </row>
    <row r="48" spans="1:20" ht="24.95" customHeight="1">
      <c r="A48" s="757"/>
      <c r="B48" s="777"/>
      <c r="C48" s="278">
        <v>4</v>
      </c>
      <c r="D48" s="279"/>
      <c r="E48" s="280"/>
      <c r="F48" s="281"/>
      <c r="G48" s="349"/>
      <c r="H48" s="304"/>
      <c r="I48" s="305"/>
      <c r="J48" s="285"/>
      <c r="K48" s="286"/>
      <c r="L48" s="287"/>
      <c r="M48" s="321">
        <f t="shared" si="5"/>
        <v>0</v>
      </c>
      <c r="N48" s="287"/>
      <c r="O48" s="298"/>
      <c r="P48" s="487"/>
    </row>
    <row r="49" spans="1:20" ht="24.95" customHeight="1" thickBot="1">
      <c r="A49" s="757"/>
      <c r="B49" s="777"/>
      <c r="C49" s="278">
        <v>5</v>
      </c>
      <c r="D49" s="289"/>
      <c r="E49" s="290"/>
      <c r="F49" s="291"/>
      <c r="G49" s="349"/>
      <c r="H49" s="304"/>
      <c r="I49" s="305"/>
      <c r="J49" s="292"/>
      <c r="K49" s="247"/>
      <c r="L49" s="293"/>
      <c r="M49" s="321">
        <f t="shared" si="5"/>
        <v>0</v>
      </c>
      <c r="N49" s="287"/>
      <c r="O49" s="300"/>
      <c r="P49" s="488"/>
      <c r="R49" s="342"/>
    </row>
    <row r="50" spans="1:20" ht="15.75" customHeight="1" thickTop="1" thickBot="1">
      <c r="A50" s="758"/>
      <c r="B50" s="778"/>
      <c r="C50" s="785"/>
      <c r="D50" s="786"/>
      <c r="E50" s="786"/>
      <c r="F50" s="786"/>
      <c r="G50" s="786"/>
      <c r="H50" s="786"/>
      <c r="I50" s="787"/>
      <c r="J50" s="346" t="s">
        <v>331</v>
      </c>
      <c r="K50" s="344" t="e">
        <f>M50/'生產管理報表 7-1 (週)'!$B$21</f>
        <v>#DIV/0!</v>
      </c>
      <c r="L50" s="347" t="s">
        <v>332</v>
      </c>
      <c r="M50" s="348">
        <f>SUM(M45:M49)</f>
        <v>0</v>
      </c>
      <c r="N50" s="773"/>
      <c r="O50" s="774"/>
      <c r="P50" s="882"/>
      <c r="R50" s="338"/>
    </row>
    <row r="51" spans="1:20" ht="15.75" customHeight="1" thickTop="1">
      <c r="A51" s="485"/>
      <c r="K51" s="288" t="s">
        <v>387</v>
      </c>
      <c r="M51" s="328"/>
      <c r="P51" s="486"/>
      <c r="R51" s="338"/>
    </row>
    <row r="52" spans="1:20" ht="24.95" customHeight="1">
      <c r="A52" s="746" t="s">
        <v>310</v>
      </c>
      <c r="B52" s="747"/>
      <c r="C52" s="302" t="s">
        <v>267</v>
      </c>
      <c r="D52" s="790" t="s">
        <v>268</v>
      </c>
      <c r="E52" s="791"/>
      <c r="F52" s="792"/>
      <c r="G52" s="793" t="s">
        <v>314</v>
      </c>
      <c r="H52" s="794"/>
      <c r="I52" s="795"/>
      <c r="J52" s="303" t="s">
        <v>315</v>
      </c>
      <c r="K52" s="275" t="s">
        <v>63</v>
      </c>
      <c r="L52" s="275" t="s">
        <v>316</v>
      </c>
      <c r="M52" s="329" t="s">
        <v>303</v>
      </c>
      <c r="N52" s="276" t="s">
        <v>317</v>
      </c>
      <c r="O52" s="754" t="s">
        <v>273</v>
      </c>
      <c r="P52" s="874"/>
      <c r="R52" s="338"/>
    </row>
    <row r="53" spans="1:20" ht="60" customHeight="1">
      <c r="A53" s="756">
        <v>6</v>
      </c>
      <c r="B53" s="776" t="s">
        <v>352</v>
      </c>
      <c r="C53" s="278">
        <v>1</v>
      </c>
      <c r="D53" s="237"/>
      <c r="E53" s="280"/>
      <c r="F53" s="281"/>
      <c r="G53" s="305"/>
      <c r="H53" s="304"/>
      <c r="I53" s="305"/>
      <c r="J53" s="311"/>
      <c r="K53" s="312"/>
      <c r="L53" s="313"/>
      <c r="M53" s="321">
        <f t="shared" ref="M53:M57" si="6">L53*J53</f>
        <v>0</v>
      </c>
      <c r="N53" s="287"/>
      <c r="O53" s="768"/>
      <c r="P53" s="875"/>
      <c r="R53" s="335"/>
      <c r="S53" s="335"/>
    </row>
    <row r="54" spans="1:20" ht="60" customHeight="1">
      <c r="A54" s="757"/>
      <c r="B54" s="777"/>
      <c r="C54" s="278">
        <v>2</v>
      </c>
      <c r="D54" s="237"/>
      <c r="E54" s="280"/>
      <c r="F54" s="281"/>
      <c r="G54" s="305"/>
      <c r="H54" s="304"/>
      <c r="I54" s="305"/>
      <c r="J54" s="311"/>
      <c r="K54" s="312"/>
      <c r="L54" s="313"/>
      <c r="M54" s="321">
        <f t="shared" si="6"/>
        <v>0</v>
      </c>
      <c r="N54" s="287"/>
      <c r="O54" s="768"/>
      <c r="P54" s="875"/>
      <c r="R54" s="335"/>
      <c r="S54" s="335"/>
    </row>
    <row r="55" spans="1:20" ht="24.95" customHeight="1">
      <c r="A55" s="757"/>
      <c r="B55" s="777"/>
      <c r="C55" s="278">
        <v>3</v>
      </c>
      <c r="D55" s="237"/>
      <c r="E55" s="280"/>
      <c r="F55" s="281"/>
      <c r="G55" s="305"/>
      <c r="H55" s="304"/>
      <c r="I55" s="305"/>
      <c r="J55" s="311"/>
      <c r="K55" s="312"/>
      <c r="L55" s="313"/>
      <c r="M55" s="321">
        <f t="shared" si="6"/>
        <v>0</v>
      </c>
      <c r="N55" s="287"/>
      <c r="O55" s="768"/>
      <c r="P55" s="875"/>
      <c r="R55" s="335"/>
    </row>
    <row r="56" spans="1:20" ht="24.95" customHeight="1">
      <c r="A56" s="757"/>
      <c r="B56" s="777"/>
      <c r="C56" s="278">
        <v>4</v>
      </c>
      <c r="D56" s="237"/>
      <c r="E56" s="280"/>
      <c r="F56" s="281"/>
      <c r="G56" s="305"/>
      <c r="H56" s="304"/>
      <c r="I56" s="305"/>
      <c r="J56" s="311"/>
      <c r="K56" s="312"/>
      <c r="L56" s="313"/>
      <c r="M56" s="321">
        <f t="shared" si="6"/>
        <v>0</v>
      </c>
      <c r="N56" s="287"/>
      <c r="O56" s="768"/>
      <c r="P56" s="875"/>
      <c r="R56" s="335"/>
      <c r="S56" s="335"/>
    </row>
    <row r="57" spans="1:20" ht="24.95" customHeight="1" thickBot="1">
      <c r="A57" s="757"/>
      <c r="B57" s="777"/>
      <c r="C57" s="278">
        <v>5</v>
      </c>
      <c r="D57" s="243"/>
      <c r="E57" s="290"/>
      <c r="F57" s="291"/>
      <c r="G57" s="305"/>
      <c r="H57" s="304"/>
      <c r="I57" s="305"/>
      <c r="J57" s="315"/>
      <c r="K57" s="247"/>
      <c r="L57" s="316"/>
      <c r="M57" s="321">
        <f t="shared" si="6"/>
        <v>0</v>
      </c>
      <c r="N57" s="287"/>
      <c r="O57" s="768"/>
      <c r="P57" s="875"/>
    </row>
    <row r="58" spans="1:20" ht="15.75" customHeight="1" thickTop="1" thickBot="1">
      <c r="A58" s="758"/>
      <c r="B58" s="778"/>
      <c r="C58" s="785"/>
      <c r="D58" s="786"/>
      <c r="E58" s="786"/>
      <c r="F58" s="786"/>
      <c r="G58" s="786"/>
      <c r="H58" s="786"/>
      <c r="I58" s="787"/>
      <c r="J58" s="490" t="s">
        <v>331</v>
      </c>
      <c r="K58" s="344" t="e">
        <f>M58/'生產管理報表 7-1 (週)'!$B$21</f>
        <v>#DIV/0!</v>
      </c>
      <c r="L58" s="491" t="s">
        <v>332</v>
      </c>
      <c r="M58" s="492">
        <f>SUM(M53:M57)</f>
        <v>0</v>
      </c>
      <c r="N58" s="876"/>
      <c r="O58" s="877"/>
      <c r="P58" s="878"/>
    </row>
    <row r="59" spans="1:20" s="135" customFormat="1" ht="15.75" customHeight="1" thickTop="1">
      <c r="A59" s="867" t="s">
        <v>384</v>
      </c>
      <c r="B59" s="867"/>
      <c r="C59" s="867"/>
      <c r="D59" s="867"/>
      <c r="E59" s="867"/>
      <c r="F59" s="867"/>
      <c r="G59" s="867"/>
      <c r="H59" s="867"/>
      <c r="I59" s="867"/>
      <c r="J59" s="867"/>
      <c r="K59" s="867"/>
      <c r="L59" s="867"/>
      <c r="M59" s="867"/>
      <c r="Q59" s="231"/>
      <c r="R59" s="231"/>
      <c r="S59" s="231"/>
      <c r="T59" s="231"/>
    </row>
    <row r="60" spans="1:20" s="136" customFormat="1" ht="15.75" customHeight="1">
      <c r="A60" s="741"/>
      <c r="B60" s="741"/>
      <c r="C60" s="741"/>
      <c r="D60" s="741"/>
      <c r="E60" s="741"/>
      <c r="F60" s="741"/>
      <c r="G60" s="741"/>
      <c r="H60" s="741"/>
      <c r="I60" s="741"/>
      <c r="J60" s="741"/>
      <c r="K60" s="741"/>
      <c r="L60" s="741"/>
      <c r="M60" s="741"/>
    </row>
    <row r="61" spans="1:20" s="135" customFormat="1" ht="15.75" customHeight="1">
      <c r="A61" s="742" t="s">
        <v>310</v>
      </c>
      <c r="B61" s="744">
        <v>1</v>
      </c>
      <c r="C61" s="745"/>
      <c r="D61" s="744">
        <v>2</v>
      </c>
      <c r="E61" s="745"/>
      <c r="F61" s="744">
        <v>3</v>
      </c>
      <c r="G61" s="745"/>
      <c r="H61" s="735">
        <v>4</v>
      </c>
      <c r="I61" s="736"/>
      <c r="J61" s="735">
        <v>5</v>
      </c>
      <c r="K61" s="736"/>
      <c r="L61" s="735">
        <v>6</v>
      </c>
      <c r="M61" s="736"/>
      <c r="N61" s="735">
        <v>7</v>
      </c>
      <c r="O61" s="736"/>
      <c r="P61" s="351">
        <v>8</v>
      </c>
    </row>
    <row r="62" spans="1:20" s="135" customFormat="1" ht="15.75" customHeight="1">
      <c r="A62" s="743"/>
      <c r="B62" s="739" t="s">
        <v>299</v>
      </c>
      <c r="C62" s="740"/>
      <c r="D62" s="739" t="s">
        <v>311</v>
      </c>
      <c r="E62" s="740"/>
      <c r="F62" s="739" t="s">
        <v>301</v>
      </c>
      <c r="G62" s="740"/>
      <c r="H62" s="737" t="s">
        <v>312</v>
      </c>
      <c r="I62" s="738"/>
      <c r="J62" s="737" t="s">
        <v>306</v>
      </c>
      <c r="K62" s="738"/>
      <c r="L62" s="737" t="s">
        <v>307</v>
      </c>
      <c r="M62" s="738"/>
      <c r="N62" s="737" t="s">
        <v>308</v>
      </c>
      <c r="O62" s="738"/>
      <c r="P62" s="352" t="s">
        <v>313</v>
      </c>
    </row>
    <row r="63" spans="1:20" s="135" customFormat="1" ht="15.75" customHeight="1">
      <c r="A63" s="480"/>
      <c r="B63" s="481"/>
      <c r="C63" s="482"/>
      <c r="D63" s="483"/>
      <c r="E63" s="483"/>
      <c r="F63" s="483"/>
      <c r="G63" s="483"/>
      <c r="H63" s="483"/>
      <c r="I63" s="483"/>
      <c r="J63" s="483"/>
      <c r="K63" s="483"/>
      <c r="L63" s="483"/>
      <c r="M63" s="483"/>
      <c r="N63" s="483"/>
      <c r="O63" s="483"/>
      <c r="P63" s="484"/>
    </row>
    <row r="64" spans="1:20" s="277" customFormat="1" ht="15.75" customHeight="1">
      <c r="A64" s="883" t="s">
        <v>310</v>
      </c>
      <c r="B64" s="884"/>
      <c r="C64" s="477" t="s">
        <v>267</v>
      </c>
      <c r="D64" s="885" t="s">
        <v>268</v>
      </c>
      <c r="E64" s="886"/>
      <c r="F64" s="887"/>
      <c r="G64" s="888" t="s">
        <v>314</v>
      </c>
      <c r="H64" s="889"/>
      <c r="I64" s="890"/>
      <c r="J64" s="478" t="s">
        <v>315</v>
      </c>
      <c r="K64" s="478" t="s">
        <v>63</v>
      </c>
      <c r="L64" s="478" t="s">
        <v>316</v>
      </c>
      <c r="M64" s="479" t="s">
        <v>303</v>
      </c>
      <c r="N64" s="479" t="s">
        <v>317</v>
      </c>
      <c r="O64" s="891" t="s">
        <v>273</v>
      </c>
      <c r="P64" s="892"/>
      <c r="R64" s="338"/>
      <c r="S64" s="339"/>
    </row>
    <row r="65" spans="1:20" s="297" customFormat="1" ht="60" customHeight="1">
      <c r="A65" s="756">
        <v>4</v>
      </c>
      <c r="B65" s="759" t="s">
        <v>312</v>
      </c>
      <c r="C65" s="278">
        <v>1</v>
      </c>
      <c r="D65" s="237"/>
      <c r="E65" s="238"/>
      <c r="F65" s="239"/>
      <c r="G65" s="305"/>
      <c r="H65" s="304"/>
      <c r="I65" s="305"/>
      <c r="J65" s="311"/>
      <c r="K65" s="312"/>
      <c r="L65" s="313"/>
      <c r="M65" s="321">
        <f t="shared" ref="M65:M69" si="7">L65*J65</f>
        <v>0</v>
      </c>
      <c r="N65" s="313"/>
      <c r="O65" s="764"/>
      <c r="P65" s="893"/>
      <c r="R65" s="387"/>
      <c r="S65" s="389"/>
    </row>
    <row r="66" spans="1:20" s="297" customFormat="1" ht="60" customHeight="1">
      <c r="A66" s="757"/>
      <c r="B66" s="760"/>
      <c r="C66" s="278">
        <v>2</v>
      </c>
      <c r="D66" s="237"/>
      <c r="E66" s="238"/>
      <c r="F66" s="239"/>
      <c r="G66" s="305"/>
      <c r="H66" s="304"/>
      <c r="I66" s="305"/>
      <c r="J66" s="311"/>
      <c r="K66" s="312"/>
      <c r="L66" s="313"/>
      <c r="M66" s="321">
        <f t="shared" si="7"/>
        <v>0</v>
      </c>
      <c r="N66" s="313"/>
      <c r="O66" s="764"/>
      <c r="P66" s="893"/>
      <c r="R66" s="387"/>
      <c r="S66" s="388"/>
      <c r="T66" s="334"/>
    </row>
    <row r="67" spans="1:20" s="297" customFormat="1" ht="60" customHeight="1">
      <c r="A67" s="757"/>
      <c r="B67" s="760"/>
      <c r="C67" s="278">
        <v>3</v>
      </c>
      <c r="D67" s="237"/>
      <c r="E67" s="238"/>
      <c r="F67" s="239"/>
      <c r="G67" s="305"/>
      <c r="H67" s="304"/>
      <c r="I67" s="305"/>
      <c r="J67" s="311"/>
      <c r="K67" s="312"/>
      <c r="L67" s="313"/>
      <c r="M67" s="321">
        <f t="shared" si="7"/>
        <v>0</v>
      </c>
      <c r="N67" s="313"/>
      <c r="O67" s="766"/>
      <c r="P67" s="894"/>
      <c r="R67" s="387"/>
      <c r="S67" s="389"/>
    </row>
    <row r="68" spans="1:20" s="297" customFormat="1" ht="60" customHeight="1">
      <c r="A68" s="757"/>
      <c r="B68" s="760"/>
      <c r="C68" s="278">
        <v>4</v>
      </c>
      <c r="D68" s="237"/>
      <c r="E68" s="238"/>
      <c r="F68" s="239"/>
      <c r="G68" s="305"/>
      <c r="H68" s="304"/>
      <c r="I68" s="305"/>
      <c r="J68" s="311"/>
      <c r="K68" s="312"/>
      <c r="L68" s="313"/>
      <c r="M68" s="321">
        <f t="shared" si="7"/>
        <v>0</v>
      </c>
      <c r="N68" s="313"/>
      <c r="O68" s="766"/>
      <c r="P68" s="894"/>
      <c r="R68" s="387"/>
      <c r="S68" s="388"/>
      <c r="T68" s="334"/>
    </row>
    <row r="69" spans="1:20" s="297" customFormat="1" ht="60" customHeight="1" thickBot="1">
      <c r="A69" s="757"/>
      <c r="B69" s="760"/>
      <c r="C69" s="278">
        <v>5</v>
      </c>
      <c r="D69" s="237"/>
      <c r="E69" s="244"/>
      <c r="F69" s="245"/>
      <c r="G69" s="305"/>
      <c r="H69" s="304"/>
      <c r="I69" s="305"/>
      <c r="J69" s="315"/>
      <c r="K69" s="247"/>
      <c r="L69" s="316"/>
      <c r="M69" s="321">
        <f t="shared" si="7"/>
        <v>0</v>
      </c>
      <c r="N69" s="313"/>
      <c r="O69" s="766"/>
      <c r="P69" s="894"/>
      <c r="R69" s="390"/>
      <c r="S69" s="389"/>
      <c r="T69" s="288"/>
    </row>
    <row r="70" spans="1:20" ht="15.75" customHeight="1" thickTop="1" thickBot="1">
      <c r="A70" s="758"/>
      <c r="B70" s="761"/>
      <c r="C70" s="770"/>
      <c r="D70" s="771"/>
      <c r="E70" s="771"/>
      <c r="F70" s="771"/>
      <c r="G70" s="771"/>
      <c r="H70" s="771"/>
      <c r="I70" s="772"/>
      <c r="J70" s="346" t="s">
        <v>331</v>
      </c>
      <c r="K70" s="344" t="e">
        <f>M70/'生產管理報表 7-1 (週)'!$B$32</f>
        <v>#DIV/0!</v>
      </c>
      <c r="L70" s="347" t="s">
        <v>332</v>
      </c>
      <c r="M70" s="348">
        <f>SUM(M65:M69)</f>
        <v>0</v>
      </c>
      <c r="N70" s="773"/>
      <c r="O70" s="774"/>
      <c r="P70" s="882"/>
      <c r="R70" s="338"/>
      <c r="S70" s="338"/>
    </row>
    <row r="71" spans="1:20" ht="15.75" customHeight="1" thickTop="1">
      <c r="A71" s="485"/>
      <c r="M71" s="328"/>
      <c r="P71" s="486"/>
      <c r="S71" s="339"/>
    </row>
    <row r="72" spans="1:20" ht="15.75" customHeight="1">
      <c r="A72" s="746" t="s">
        <v>310</v>
      </c>
      <c r="B72" s="747"/>
      <c r="C72" s="274" t="s">
        <v>267</v>
      </c>
      <c r="D72" s="748" t="s">
        <v>268</v>
      </c>
      <c r="E72" s="749"/>
      <c r="F72" s="750"/>
      <c r="G72" s="751" t="s">
        <v>314</v>
      </c>
      <c r="H72" s="752"/>
      <c r="I72" s="753"/>
      <c r="J72" s="373" t="s">
        <v>315</v>
      </c>
      <c r="K72" s="275" t="s">
        <v>63</v>
      </c>
      <c r="L72" s="275" t="s">
        <v>316</v>
      </c>
      <c r="M72" s="329" t="s">
        <v>303</v>
      </c>
      <c r="N72" s="276" t="s">
        <v>317</v>
      </c>
      <c r="O72" s="754" t="s">
        <v>273</v>
      </c>
      <c r="P72" s="874"/>
      <c r="S72" s="338"/>
      <c r="T72" s="334"/>
    </row>
    <row r="73" spans="1:20" s="297" customFormat="1" ht="60" customHeight="1">
      <c r="A73" s="756">
        <v>5</v>
      </c>
      <c r="B73" s="776" t="s">
        <v>347</v>
      </c>
      <c r="C73" s="278">
        <v>1</v>
      </c>
      <c r="D73" s="237"/>
      <c r="E73" s="238"/>
      <c r="F73" s="239"/>
      <c r="G73" s="305"/>
      <c r="H73" s="304"/>
      <c r="I73" s="305"/>
      <c r="J73" s="311"/>
      <c r="K73" s="312"/>
      <c r="L73" s="313"/>
      <c r="M73" s="321">
        <f>L73*J73</f>
        <v>0</v>
      </c>
      <c r="N73" s="313"/>
      <c r="O73" s="831"/>
      <c r="P73" s="879"/>
      <c r="S73" s="389"/>
      <c r="T73" s="334"/>
    </row>
    <row r="74" spans="1:20" s="297" customFormat="1" ht="24.95" customHeight="1">
      <c r="A74" s="757"/>
      <c r="B74" s="777"/>
      <c r="C74" s="278">
        <v>2</v>
      </c>
      <c r="D74" s="237"/>
      <c r="E74" s="238"/>
      <c r="F74" s="239"/>
      <c r="G74" s="349"/>
      <c r="H74" s="304"/>
      <c r="I74" s="305"/>
      <c r="J74" s="311"/>
      <c r="K74" s="312"/>
      <c r="L74" s="313"/>
      <c r="M74" s="321">
        <f t="shared" ref="M74:M77" si="8">L74*J74</f>
        <v>0</v>
      </c>
      <c r="N74" s="313"/>
      <c r="O74" s="781"/>
      <c r="P74" s="880"/>
      <c r="S74" s="338"/>
      <c r="T74" s="335"/>
    </row>
    <row r="75" spans="1:20" ht="24.95" customHeight="1">
      <c r="A75" s="757"/>
      <c r="B75" s="777"/>
      <c r="C75" s="278">
        <v>3</v>
      </c>
      <c r="D75" s="237"/>
      <c r="E75" s="238"/>
      <c r="F75" s="239"/>
      <c r="G75" s="349"/>
      <c r="H75" s="304"/>
      <c r="I75" s="305"/>
      <c r="J75" s="311"/>
      <c r="K75" s="312"/>
      <c r="L75" s="313"/>
      <c r="M75" s="321">
        <f t="shared" si="8"/>
        <v>0</v>
      </c>
      <c r="N75" s="287"/>
      <c r="O75" s="803"/>
      <c r="P75" s="881"/>
    </row>
    <row r="76" spans="1:20" ht="24.95" customHeight="1">
      <c r="A76" s="757"/>
      <c r="B76" s="777"/>
      <c r="C76" s="278">
        <v>4</v>
      </c>
      <c r="D76" s="279"/>
      <c r="E76" s="280"/>
      <c r="F76" s="281"/>
      <c r="G76" s="349"/>
      <c r="H76" s="304"/>
      <c r="I76" s="305"/>
      <c r="J76" s="285"/>
      <c r="K76" s="286"/>
      <c r="L76" s="287"/>
      <c r="M76" s="321">
        <f t="shared" si="8"/>
        <v>0</v>
      </c>
      <c r="N76" s="287"/>
      <c r="O76" s="298"/>
      <c r="P76" s="487"/>
    </row>
    <row r="77" spans="1:20" ht="24.95" customHeight="1" thickBot="1">
      <c r="A77" s="757"/>
      <c r="B77" s="777"/>
      <c r="C77" s="278">
        <v>5</v>
      </c>
      <c r="D77" s="289"/>
      <c r="E77" s="290"/>
      <c r="F77" s="291"/>
      <c r="G77" s="349"/>
      <c r="H77" s="304"/>
      <c r="I77" s="305"/>
      <c r="J77" s="292"/>
      <c r="K77" s="247"/>
      <c r="L77" s="293"/>
      <c r="M77" s="321">
        <f t="shared" si="8"/>
        <v>0</v>
      </c>
      <c r="N77" s="287"/>
      <c r="O77" s="300"/>
      <c r="P77" s="488"/>
      <c r="R77" s="342"/>
    </row>
    <row r="78" spans="1:20" ht="15.75" customHeight="1" thickTop="1" thickBot="1">
      <c r="A78" s="758"/>
      <c r="B78" s="778"/>
      <c r="C78" s="785"/>
      <c r="D78" s="786"/>
      <c r="E78" s="786"/>
      <c r="F78" s="786"/>
      <c r="G78" s="786"/>
      <c r="H78" s="786"/>
      <c r="I78" s="787"/>
      <c r="J78" s="346" t="s">
        <v>331</v>
      </c>
      <c r="K78" s="344" t="e">
        <f>M78/'生產管理報表 7-1 (週)'!$B$32</f>
        <v>#DIV/0!</v>
      </c>
      <c r="L78" s="347" t="s">
        <v>332</v>
      </c>
      <c r="M78" s="348">
        <f>SUM(M73:M77)</f>
        <v>0</v>
      </c>
      <c r="N78" s="773"/>
      <c r="O78" s="774"/>
      <c r="P78" s="882"/>
      <c r="R78" s="338"/>
    </row>
    <row r="79" spans="1:20" ht="15.75" customHeight="1" thickTop="1">
      <c r="A79" s="485"/>
      <c r="K79" s="288" t="s">
        <v>387</v>
      </c>
      <c r="M79" s="328"/>
      <c r="P79" s="486"/>
      <c r="R79" s="338"/>
    </row>
    <row r="80" spans="1:20" ht="24.95" customHeight="1">
      <c r="A80" s="746" t="s">
        <v>310</v>
      </c>
      <c r="B80" s="747"/>
      <c r="C80" s="302" t="s">
        <v>267</v>
      </c>
      <c r="D80" s="790" t="s">
        <v>268</v>
      </c>
      <c r="E80" s="791"/>
      <c r="F80" s="792"/>
      <c r="G80" s="793" t="s">
        <v>314</v>
      </c>
      <c r="H80" s="794"/>
      <c r="I80" s="795"/>
      <c r="J80" s="303" t="s">
        <v>315</v>
      </c>
      <c r="K80" s="275" t="s">
        <v>63</v>
      </c>
      <c r="L80" s="275" t="s">
        <v>316</v>
      </c>
      <c r="M80" s="329" t="s">
        <v>303</v>
      </c>
      <c r="N80" s="276" t="s">
        <v>317</v>
      </c>
      <c r="O80" s="754" t="s">
        <v>273</v>
      </c>
      <c r="P80" s="874"/>
      <c r="R80" s="338"/>
    </row>
    <row r="81" spans="1:20" ht="60" customHeight="1">
      <c r="A81" s="756">
        <v>6</v>
      </c>
      <c r="B81" s="776" t="s">
        <v>352</v>
      </c>
      <c r="C81" s="278">
        <v>1</v>
      </c>
      <c r="D81" s="489"/>
      <c r="E81" s="280"/>
      <c r="F81" s="281"/>
      <c r="G81" s="305"/>
      <c r="H81" s="304"/>
      <c r="I81" s="305"/>
      <c r="J81" s="311"/>
      <c r="K81" s="312"/>
      <c r="L81" s="313"/>
      <c r="M81" s="321">
        <f t="shared" ref="M81:M85" si="9">L81*J81</f>
        <v>0</v>
      </c>
      <c r="N81" s="287"/>
      <c r="O81" s="768"/>
      <c r="P81" s="875"/>
      <c r="R81" s="335"/>
      <c r="S81" s="335"/>
    </row>
    <row r="82" spans="1:20" ht="24.95" customHeight="1">
      <c r="A82" s="757"/>
      <c r="B82" s="777"/>
      <c r="C82" s="278">
        <v>2</v>
      </c>
      <c r="D82" s="237"/>
      <c r="E82" s="280"/>
      <c r="F82" s="281"/>
      <c r="G82" s="349"/>
      <c r="H82" s="304"/>
      <c r="I82" s="305"/>
      <c r="J82" s="311"/>
      <c r="K82" s="312"/>
      <c r="L82" s="313"/>
      <c r="M82" s="321">
        <f t="shared" si="9"/>
        <v>0</v>
      </c>
      <c r="N82" s="287"/>
      <c r="O82" s="768"/>
      <c r="P82" s="875"/>
      <c r="R82" s="335"/>
      <c r="S82" s="335"/>
    </row>
    <row r="83" spans="1:20" ht="24.95" customHeight="1">
      <c r="A83" s="757"/>
      <c r="B83" s="777"/>
      <c r="C83" s="278">
        <v>3</v>
      </c>
      <c r="D83" s="237"/>
      <c r="E83" s="280"/>
      <c r="F83" s="281"/>
      <c r="G83" s="349"/>
      <c r="H83" s="304"/>
      <c r="I83" s="305"/>
      <c r="J83" s="311"/>
      <c r="K83" s="312"/>
      <c r="L83" s="313"/>
      <c r="M83" s="321">
        <f t="shared" si="9"/>
        <v>0</v>
      </c>
      <c r="N83" s="287"/>
      <c r="O83" s="768"/>
      <c r="P83" s="875"/>
      <c r="R83" s="335"/>
    </row>
    <row r="84" spans="1:20" ht="24.95" customHeight="1">
      <c r="A84" s="757"/>
      <c r="B84" s="777"/>
      <c r="C84" s="278">
        <v>4</v>
      </c>
      <c r="D84" s="237"/>
      <c r="E84" s="280"/>
      <c r="F84" s="281"/>
      <c r="G84" s="349"/>
      <c r="H84" s="304"/>
      <c r="I84" s="305"/>
      <c r="J84" s="311"/>
      <c r="K84" s="312"/>
      <c r="L84" s="313"/>
      <c r="M84" s="321">
        <f t="shared" si="9"/>
        <v>0</v>
      </c>
      <c r="N84" s="287"/>
      <c r="O84" s="768"/>
      <c r="P84" s="875"/>
      <c r="R84" s="335"/>
      <c r="S84" s="335"/>
    </row>
    <row r="85" spans="1:20" ht="24.95" customHeight="1" thickBot="1">
      <c r="A85" s="757"/>
      <c r="B85" s="777"/>
      <c r="C85" s="278">
        <v>5</v>
      </c>
      <c r="D85" s="243"/>
      <c r="E85" s="290"/>
      <c r="F85" s="291"/>
      <c r="G85" s="349"/>
      <c r="H85" s="304"/>
      <c r="I85" s="305"/>
      <c r="J85" s="315"/>
      <c r="K85" s="247"/>
      <c r="L85" s="316"/>
      <c r="M85" s="321">
        <f t="shared" si="9"/>
        <v>0</v>
      </c>
      <c r="N85" s="287"/>
      <c r="O85" s="768"/>
      <c r="P85" s="875"/>
    </row>
    <row r="86" spans="1:20" ht="15.75" customHeight="1" thickTop="1" thickBot="1">
      <c r="A86" s="758"/>
      <c r="B86" s="778"/>
      <c r="C86" s="785"/>
      <c r="D86" s="786"/>
      <c r="E86" s="786"/>
      <c r="F86" s="786"/>
      <c r="G86" s="786"/>
      <c r="H86" s="786"/>
      <c r="I86" s="787"/>
      <c r="J86" s="490" t="s">
        <v>331</v>
      </c>
      <c r="K86" s="344" t="e">
        <f>M86/'生產管理報表 7-1 (週)'!$B$32</f>
        <v>#DIV/0!</v>
      </c>
      <c r="L86" s="491" t="s">
        <v>332</v>
      </c>
      <c r="M86" s="492">
        <f>SUM(M81:M85)</f>
        <v>0</v>
      </c>
      <c r="N86" s="876"/>
      <c r="O86" s="877"/>
      <c r="P86" s="878"/>
    </row>
    <row r="87" spans="1:20" s="135" customFormat="1" ht="15.75" customHeight="1" thickTop="1">
      <c r="A87" s="867" t="s">
        <v>385</v>
      </c>
      <c r="B87" s="867"/>
      <c r="C87" s="867"/>
      <c r="D87" s="867"/>
      <c r="E87" s="867"/>
      <c r="F87" s="867"/>
      <c r="G87" s="867"/>
      <c r="H87" s="867"/>
      <c r="I87" s="867"/>
      <c r="J87" s="867"/>
      <c r="K87" s="867"/>
      <c r="L87" s="867"/>
      <c r="M87" s="867"/>
      <c r="Q87" s="231"/>
      <c r="R87" s="231"/>
      <c r="S87" s="231"/>
      <c r="T87" s="231"/>
    </row>
    <row r="88" spans="1:20" s="136" customFormat="1" ht="15.75" customHeight="1">
      <c r="A88" s="741"/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</row>
    <row r="89" spans="1:20" s="135" customFormat="1" ht="15.75" customHeight="1">
      <c r="A89" s="742" t="s">
        <v>310</v>
      </c>
      <c r="B89" s="744">
        <v>1</v>
      </c>
      <c r="C89" s="745"/>
      <c r="D89" s="744">
        <v>2</v>
      </c>
      <c r="E89" s="745"/>
      <c r="F89" s="744">
        <v>3</v>
      </c>
      <c r="G89" s="745"/>
      <c r="H89" s="735">
        <v>4</v>
      </c>
      <c r="I89" s="736"/>
      <c r="J89" s="735">
        <v>5</v>
      </c>
      <c r="K89" s="736"/>
      <c r="L89" s="735">
        <v>6</v>
      </c>
      <c r="M89" s="736"/>
      <c r="N89" s="735">
        <v>7</v>
      </c>
      <c r="O89" s="736"/>
      <c r="P89" s="351">
        <v>8</v>
      </c>
    </row>
    <row r="90" spans="1:20" s="135" customFormat="1" ht="15.75" customHeight="1">
      <c r="A90" s="743"/>
      <c r="B90" s="739" t="s">
        <v>299</v>
      </c>
      <c r="C90" s="740"/>
      <c r="D90" s="739" t="s">
        <v>311</v>
      </c>
      <c r="E90" s="740"/>
      <c r="F90" s="739" t="s">
        <v>301</v>
      </c>
      <c r="G90" s="740"/>
      <c r="H90" s="737" t="s">
        <v>312</v>
      </c>
      <c r="I90" s="738"/>
      <c r="J90" s="737" t="s">
        <v>306</v>
      </c>
      <c r="K90" s="738"/>
      <c r="L90" s="737" t="s">
        <v>307</v>
      </c>
      <c r="M90" s="738"/>
      <c r="N90" s="737" t="s">
        <v>308</v>
      </c>
      <c r="O90" s="738"/>
      <c r="P90" s="352" t="s">
        <v>313</v>
      </c>
    </row>
    <row r="91" spans="1:20" s="135" customFormat="1" ht="15.75" customHeight="1">
      <c r="A91" s="480"/>
      <c r="B91" s="481"/>
      <c r="C91" s="482"/>
      <c r="D91" s="483"/>
      <c r="E91" s="483"/>
      <c r="F91" s="483"/>
      <c r="G91" s="483"/>
      <c r="H91" s="483"/>
      <c r="I91" s="483"/>
      <c r="J91" s="483"/>
      <c r="K91" s="483"/>
      <c r="L91" s="483"/>
      <c r="M91" s="483"/>
      <c r="N91" s="483"/>
      <c r="O91" s="483"/>
      <c r="P91" s="484"/>
    </row>
    <row r="92" spans="1:20" s="277" customFormat="1" ht="15.75" customHeight="1">
      <c r="A92" s="883" t="s">
        <v>310</v>
      </c>
      <c r="B92" s="884"/>
      <c r="C92" s="477" t="s">
        <v>267</v>
      </c>
      <c r="D92" s="885" t="s">
        <v>268</v>
      </c>
      <c r="E92" s="886"/>
      <c r="F92" s="887"/>
      <c r="G92" s="888" t="s">
        <v>314</v>
      </c>
      <c r="H92" s="889"/>
      <c r="I92" s="890"/>
      <c r="J92" s="478" t="s">
        <v>315</v>
      </c>
      <c r="K92" s="478" t="s">
        <v>63</v>
      </c>
      <c r="L92" s="478" t="s">
        <v>316</v>
      </c>
      <c r="M92" s="479" t="s">
        <v>303</v>
      </c>
      <c r="N92" s="479" t="s">
        <v>317</v>
      </c>
      <c r="O92" s="891" t="s">
        <v>273</v>
      </c>
      <c r="P92" s="892"/>
      <c r="R92" s="338"/>
      <c r="S92" s="339"/>
    </row>
    <row r="93" spans="1:20" s="297" customFormat="1" ht="80.099999999999994" customHeight="1">
      <c r="A93" s="756">
        <v>4</v>
      </c>
      <c r="B93" s="759" t="s">
        <v>312</v>
      </c>
      <c r="C93" s="278">
        <v>1</v>
      </c>
      <c r="D93" s="237"/>
      <c r="E93" s="238"/>
      <c r="F93" s="239"/>
      <c r="G93" s="305"/>
      <c r="H93" s="304"/>
      <c r="I93" s="305"/>
      <c r="J93" s="311"/>
      <c r="K93" s="312"/>
      <c r="L93" s="313"/>
      <c r="M93" s="321">
        <f t="shared" ref="M93:M97" si="10">L93*J93</f>
        <v>0</v>
      </c>
      <c r="N93" s="313"/>
      <c r="O93" s="764"/>
      <c r="P93" s="893"/>
      <c r="R93" s="387"/>
      <c r="S93" s="389"/>
    </row>
    <row r="94" spans="1:20" s="297" customFormat="1" ht="80.099999999999994" customHeight="1">
      <c r="A94" s="757"/>
      <c r="B94" s="760"/>
      <c r="C94" s="278">
        <v>2</v>
      </c>
      <c r="D94" s="237"/>
      <c r="E94" s="238"/>
      <c r="F94" s="239"/>
      <c r="G94" s="305"/>
      <c r="H94" s="304"/>
      <c r="I94" s="305"/>
      <c r="J94" s="311"/>
      <c r="K94" s="312"/>
      <c r="L94" s="313"/>
      <c r="M94" s="321">
        <f t="shared" si="10"/>
        <v>0</v>
      </c>
      <c r="N94" s="313"/>
      <c r="O94" s="764"/>
      <c r="P94" s="893"/>
      <c r="R94" s="387"/>
      <c r="S94" s="388"/>
      <c r="T94" s="334"/>
    </row>
    <row r="95" spans="1:20" s="297" customFormat="1" ht="80.099999999999994" customHeight="1">
      <c r="A95" s="757"/>
      <c r="B95" s="760"/>
      <c r="C95" s="278">
        <v>3</v>
      </c>
      <c r="D95" s="237"/>
      <c r="E95" s="238"/>
      <c r="F95" s="239"/>
      <c r="G95" s="305"/>
      <c r="H95" s="304"/>
      <c r="I95" s="305"/>
      <c r="J95" s="311"/>
      <c r="K95" s="312"/>
      <c r="L95" s="313"/>
      <c r="M95" s="321">
        <f t="shared" si="10"/>
        <v>0</v>
      </c>
      <c r="N95" s="313"/>
      <c r="O95" s="766"/>
      <c r="P95" s="894"/>
      <c r="R95" s="387"/>
      <c r="S95" s="389"/>
    </row>
    <row r="96" spans="1:20" s="297" customFormat="1" ht="80.099999999999994" customHeight="1">
      <c r="A96" s="757"/>
      <c r="B96" s="760"/>
      <c r="C96" s="278">
        <v>4</v>
      </c>
      <c r="D96" s="237"/>
      <c r="E96" s="238"/>
      <c r="F96" s="239"/>
      <c r="G96" s="305"/>
      <c r="H96" s="304"/>
      <c r="I96" s="305"/>
      <c r="J96" s="311"/>
      <c r="K96" s="312"/>
      <c r="L96" s="313"/>
      <c r="M96" s="321">
        <f t="shared" si="10"/>
        <v>0</v>
      </c>
      <c r="N96" s="313"/>
      <c r="O96" s="766"/>
      <c r="P96" s="894"/>
      <c r="R96" s="387"/>
      <c r="S96" s="388"/>
      <c r="T96" s="334"/>
    </row>
    <row r="97" spans="1:20" s="297" customFormat="1" ht="80.099999999999994" customHeight="1" thickBot="1">
      <c r="A97" s="757"/>
      <c r="B97" s="760"/>
      <c r="C97" s="278">
        <v>5</v>
      </c>
      <c r="D97" s="237"/>
      <c r="E97" s="244"/>
      <c r="F97" s="245"/>
      <c r="G97" s="305"/>
      <c r="H97" s="304"/>
      <c r="I97" s="305"/>
      <c r="J97" s="315"/>
      <c r="K97" s="247"/>
      <c r="L97" s="316"/>
      <c r="M97" s="321">
        <f t="shared" si="10"/>
        <v>0</v>
      </c>
      <c r="N97" s="313"/>
      <c r="O97" s="766"/>
      <c r="P97" s="894"/>
      <c r="R97" s="390"/>
      <c r="S97" s="389"/>
      <c r="T97" s="288"/>
    </row>
    <row r="98" spans="1:20" ht="15.75" customHeight="1" thickTop="1" thickBot="1">
      <c r="A98" s="758"/>
      <c r="B98" s="761"/>
      <c r="C98" s="770"/>
      <c r="D98" s="771"/>
      <c r="E98" s="771"/>
      <c r="F98" s="771"/>
      <c r="G98" s="771"/>
      <c r="H98" s="771"/>
      <c r="I98" s="772"/>
      <c r="J98" s="346" t="s">
        <v>331</v>
      </c>
      <c r="K98" s="344" t="e">
        <f>M98/'生產管理報表 7-1 (週)'!$B$43</f>
        <v>#DIV/0!</v>
      </c>
      <c r="L98" s="347" t="s">
        <v>332</v>
      </c>
      <c r="M98" s="348">
        <f>SUM(M93:M97)</f>
        <v>0</v>
      </c>
      <c r="N98" s="773"/>
      <c r="O98" s="774"/>
      <c r="P98" s="882"/>
      <c r="R98" s="338"/>
      <c r="S98" s="338"/>
    </row>
    <row r="99" spans="1:20" ht="15.75" customHeight="1" thickTop="1">
      <c r="A99" s="485"/>
      <c r="M99" s="328"/>
      <c r="P99" s="486"/>
      <c r="S99" s="339"/>
    </row>
    <row r="100" spans="1:20" ht="15.75" customHeight="1">
      <c r="A100" s="746" t="s">
        <v>310</v>
      </c>
      <c r="B100" s="747"/>
      <c r="C100" s="274" t="s">
        <v>267</v>
      </c>
      <c r="D100" s="748" t="s">
        <v>268</v>
      </c>
      <c r="E100" s="749"/>
      <c r="F100" s="750"/>
      <c r="G100" s="751" t="s">
        <v>314</v>
      </c>
      <c r="H100" s="752"/>
      <c r="I100" s="753"/>
      <c r="J100" s="373" t="s">
        <v>315</v>
      </c>
      <c r="K100" s="275" t="s">
        <v>63</v>
      </c>
      <c r="L100" s="275" t="s">
        <v>316</v>
      </c>
      <c r="M100" s="329" t="s">
        <v>303</v>
      </c>
      <c r="N100" s="276" t="s">
        <v>317</v>
      </c>
      <c r="O100" s="754" t="s">
        <v>273</v>
      </c>
      <c r="P100" s="874"/>
      <c r="S100" s="338"/>
      <c r="T100" s="334"/>
    </row>
    <row r="101" spans="1:20" s="297" customFormat="1" ht="60" customHeight="1">
      <c r="A101" s="756">
        <v>5</v>
      </c>
      <c r="B101" s="776" t="s">
        <v>347</v>
      </c>
      <c r="C101" s="278">
        <v>1</v>
      </c>
      <c r="D101" s="237"/>
      <c r="E101" s="238"/>
      <c r="F101" s="239"/>
      <c r="G101" s="305"/>
      <c r="H101" s="304"/>
      <c r="I101" s="305"/>
      <c r="J101" s="311"/>
      <c r="K101" s="312"/>
      <c r="L101" s="313"/>
      <c r="M101" s="321">
        <f>L101*J101</f>
        <v>0</v>
      </c>
      <c r="N101" s="313"/>
      <c r="O101" s="831"/>
      <c r="P101" s="879"/>
      <c r="S101" s="389"/>
      <c r="T101" s="334"/>
    </row>
    <row r="102" spans="1:20" s="297" customFormat="1" ht="24.95" customHeight="1">
      <c r="A102" s="757"/>
      <c r="B102" s="777"/>
      <c r="C102" s="278">
        <v>2</v>
      </c>
      <c r="D102" s="237"/>
      <c r="E102" s="238"/>
      <c r="F102" s="239"/>
      <c r="G102" s="349"/>
      <c r="H102" s="304"/>
      <c r="I102" s="305"/>
      <c r="J102" s="311"/>
      <c r="K102" s="312"/>
      <c r="L102" s="313"/>
      <c r="M102" s="321">
        <f t="shared" ref="M102:M105" si="11">L102*J102</f>
        <v>0</v>
      </c>
      <c r="N102" s="313"/>
      <c r="O102" s="781"/>
      <c r="P102" s="880"/>
      <c r="S102" s="338"/>
      <c r="T102" s="335"/>
    </row>
    <row r="103" spans="1:20" ht="24.95" customHeight="1">
      <c r="A103" s="757"/>
      <c r="B103" s="777"/>
      <c r="C103" s="278">
        <v>3</v>
      </c>
      <c r="D103" s="237"/>
      <c r="E103" s="238"/>
      <c r="F103" s="239"/>
      <c r="G103" s="349"/>
      <c r="H103" s="304"/>
      <c r="I103" s="305"/>
      <c r="J103" s="311"/>
      <c r="K103" s="312"/>
      <c r="L103" s="313"/>
      <c r="M103" s="321">
        <f t="shared" si="11"/>
        <v>0</v>
      </c>
      <c r="N103" s="287"/>
      <c r="O103" s="803"/>
      <c r="P103" s="881"/>
    </row>
    <row r="104" spans="1:20" ht="24.95" customHeight="1">
      <c r="A104" s="757"/>
      <c r="B104" s="777"/>
      <c r="C104" s="278">
        <v>4</v>
      </c>
      <c r="D104" s="279"/>
      <c r="E104" s="280"/>
      <c r="F104" s="281"/>
      <c r="G104" s="349"/>
      <c r="H104" s="304"/>
      <c r="I104" s="305"/>
      <c r="J104" s="285"/>
      <c r="K104" s="286"/>
      <c r="L104" s="287"/>
      <c r="M104" s="321">
        <f t="shared" si="11"/>
        <v>0</v>
      </c>
      <c r="N104" s="287"/>
      <c r="O104" s="298"/>
      <c r="P104" s="487"/>
    </row>
    <row r="105" spans="1:20" ht="24.95" customHeight="1" thickBot="1">
      <c r="A105" s="757"/>
      <c r="B105" s="777"/>
      <c r="C105" s="278">
        <v>5</v>
      </c>
      <c r="D105" s="289"/>
      <c r="E105" s="290"/>
      <c r="F105" s="291"/>
      <c r="G105" s="349"/>
      <c r="H105" s="304"/>
      <c r="I105" s="305"/>
      <c r="J105" s="292"/>
      <c r="K105" s="247"/>
      <c r="L105" s="293"/>
      <c r="M105" s="321">
        <f t="shared" si="11"/>
        <v>0</v>
      </c>
      <c r="N105" s="287"/>
      <c r="O105" s="300"/>
      <c r="P105" s="488"/>
      <c r="R105" s="342"/>
    </row>
    <row r="106" spans="1:20" ht="15.75" customHeight="1" thickTop="1" thickBot="1">
      <c r="A106" s="758"/>
      <c r="B106" s="778"/>
      <c r="C106" s="785"/>
      <c r="D106" s="786"/>
      <c r="E106" s="786"/>
      <c r="F106" s="786"/>
      <c r="G106" s="786"/>
      <c r="H106" s="786"/>
      <c r="I106" s="787"/>
      <c r="J106" s="346" t="s">
        <v>331</v>
      </c>
      <c r="K106" s="344" t="e">
        <f>M106/'生產管理報表 7-1 (週)'!$B$43</f>
        <v>#DIV/0!</v>
      </c>
      <c r="L106" s="347" t="s">
        <v>332</v>
      </c>
      <c r="M106" s="348">
        <f>SUM(M101:M105)</f>
        <v>0</v>
      </c>
      <c r="N106" s="773"/>
      <c r="O106" s="774"/>
      <c r="P106" s="882"/>
      <c r="R106" s="338"/>
    </row>
    <row r="107" spans="1:20" ht="15.75" customHeight="1" thickTop="1">
      <c r="A107" s="485"/>
      <c r="K107" s="288" t="s">
        <v>387</v>
      </c>
      <c r="M107" s="328"/>
      <c r="P107" s="486"/>
      <c r="R107" s="338"/>
    </row>
    <row r="108" spans="1:20" ht="24.95" customHeight="1">
      <c r="A108" s="746" t="s">
        <v>310</v>
      </c>
      <c r="B108" s="747"/>
      <c r="C108" s="302" t="s">
        <v>267</v>
      </c>
      <c r="D108" s="790" t="s">
        <v>268</v>
      </c>
      <c r="E108" s="791"/>
      <c r="F108" s="792"/>
      <c r="G108" s="793" t="s">
        <v>314</v>
      </c>
      <c r="H108" s="794"/>
      <c r="I108" s="795"/>
      <c r="J108" s="303" t="s">
        <v>315</v>
      </c>
      <c r="K108" s="275" t="s">
        <v>63</v>
      </c>
      <c r="L108" s="275" t="s">
        <v>316</v>
      </c>
      <c r="M108" s="329" t="s">
        <v>303</v>
      </c>
      <c r="N108" s="276" t="s">
        <v>317</v>
      </c>
      <c r="O108" s="754" t="s">
        <v>273</v>
      </c>
      <c r="P108" s="874"/>
      <c r="R108" s="338"/>
    </row>
    <row r="109" spans="1:20" ht="60" customHeight="1">
      <c r="A109" s="756">
        <v>6</v>
      </c>
      <c r="B109" s="776" t="s">
        <v>352</v>
      </c>
      <c r="C109" s="278">
        <v>1</v>
      </c>
      <c r="D109" s="489" t="s">
        <v>342</v>
      </c>
      <c r="E109" s="280"/>
      <c r="F109" s="281"/>
      <c r="G109" s="305" t="s">
        <v>343</v>
      </c>
      <c r="H109" s="304"/>
      <c r="I109" s="305"/>
      <c r="J109" s="311">
        <v>407.74000000000007</v>
      </c>
      <c r="K109" s="312">
        <v>2.5194859116387039E-3</v>
      </c>
      <c r="L109" s="313">
        <v>10.230000000000018</v>
      </c>
      <c r="M109" s="321">
        <f t="shared" ref="M109:M113" si="12">L109*J109</f>
        <v>4171.180200000008</v>
      </c>
      <c r="N109" s="287"/>
      <c r="O109" s="768" t="s">
        <v>388</v>
      </c>
      <c r="P109" s="875"/>
      <c r="R109" s="335"/>
      <c r="S109" s="335"/>
    </row>
    <row r="110" spans="1:20" ht="24.95" customHeight="1">
      <c r="A110" s="757"/>
      <c r="B110" s="777"/>
      <c r="C110" s="278">
        <v>2</v>
      </c>
      <c r="D110" s="237"/>
      <c r="E110" s="280"/>
      <c r="F110" s="281"/>
      <c r="G110" s="349"/>
      <c r="H110" s="304"/>
      <c r="I110" s="305"/>
      <c r="J110" s="311"/>
      <c r="K110" s="312"/>
      <c r="L110" s="313"/>
      <c r="M110" s="321">
        <f t="shared" si="12"/>
        <v>0</v>
      </c>
      <c r="N110" s="287"/>
      <c r="O110" s="768"/>
      <c r="P110" s="875"/>
      <c r="R110" s="335"/>
      <c r="S110" s="335"/>
    </row>
    <row r="111" spans="1:20" ht="24.95" customHeight="1">
      <c r="A111" s="757"/>
      <c r="B111" s="777"/>
      <c r="C111" s="278">
        <v>3</v>
      </c>
      <c r="D111" s="237"/>
      <c r="E111" s="280"/>
      <c r="F111" s="281"/>
      <c r="G111" s="349"/>
      <c r="H111" s="304"/>
      <c r="I111" s="305"/>
      <c r="J111" s="311"/>
      <c r="K111" s="312"/>
      <c r="L111" s="313"/>
      <c r="M111" s="321">
        <f t="shared" si="12"/>
        <v>0</v>
      </c>
      <c r="N111" s="287"/>
      <c r="O111" s="768"/>
      <c r="P111" s="875"/>
      <c r="R111" s="335"/>
    </row>
    <row r="112" spans="1:20" ht="24.95" customHeight="1">
      <c r="A112" s="757"/>
      <c r="B112" s="777"/>
      <c r="C112" s="278">
        <v>4</v>
      </c>
      <c r="D112" s="237"/>
      <c r="E112" s="280"/>
      <c r="F112" s="281"/>
      <c r="G112" s="349"/>
      <c r="H112" s="304"/>
      <c r="I112" s="305"/>
      <c r="J112" s="311"/>
      <c r="K112" s="312"/>
      <c r="L112" s="313"/>
      <c r="M112" s="321">
        <f t="shared" si="12"/>
        <v>0</v>
      </c>
      <c r="N112" s="287"/>
      <c r="O112" s="768"/>
      <c r="P112" s="875"/>
      <c r="R112" s="335"/>
      <c r="S112" s="335"/>
    </row>
    <row r="113" spans="1:20" ht="24.95" customHeight="1" thickBot="1">
      <c r="A113" s="757"/>
      <c r="B113" s="777"/>
      <c r="C113" s="278">
        <v>5</v>
      </c>
      <c r="D113" s="243"/>
      <c r="E113" s="290"/>
      <c r="F113" s="291"/>
      <c r="G113" s="349"/>
      <c r="H113" s="304"/>
      <c r="I113" s="305"/>
      <c r="J113" s="315"/>
      <c r="K113" s="247"/>
      <c r="L113" s="316"/>
      <c r="M113" s="321">
        <f t="shared" si="12"/>
        <v>0</v>
      </c>
      <c r="N113" s="287"/>
      <c r="O113" s="768"/>
      <c r="P113" s="875"/>
    </row>
    <row r="114" spans="1:20" ht="15.75" customHeight="1" thickTop="1" thickBot="1">
      <c r="A114" s="758"/>
      <c r="B114" s="778"/>
      <c r="C114" s="785"/>
      <c r="D114" s="786"/>
      <c r="E114" s="786"/>
      <c r="F114" s="786"/>
      <c r="G114" s="786"/>
      <c r="H114" s="786"/>
      <c r="I114" s="787"/>
      <c r="J114" s="490" t="s">
        <v>331</v>
      </c>
      <c r="K114" s="344" t="e">
        <f>M114/'生產管理報表 7-1 (週)'!$B$43</f>
        <v>#DIV/0!</v>
      </c>
      <c r="L114" s="491" t="s">
        <v>332</v>
      </c>
      <c r="M114" s="492">
        <f>SUM(M109:M113)</f>
        <v>4171.180200000008</v>
      </c>
      <c r="N114" s="876"/>
      <c r="O114" s="877"/>
      <c r="P114" s="878"/>
    </row>
    <row r="115" spans="1:20" s="135" customFormat="1" ht="15.75" customHeight="1" thickTop="1">
      <c r="A115" s="867" t="s">
        <v>386</v>
      </c>
      <c r="B115" s="867"/>
      <c r="C115" s="867"/>
      <c r="D115" s="867"/>
      <c r="E115" s="867"/>
      <c r="F115" s="867"/>
      <c r="G115" s="867"/>
      <c r="H115" s="867"/>
      <c r="I115" s="867"/>
      <c r="J115" s="867"/>
      <c r="K115" s="867"/>
      <c r="L115" s="867"/>
      <c r="M115" s="867"/>
      <c r="Q115" s="231"/>
      <c r="R115" s="231"/>
      <c r="S115" s="231"/>
      <c r="T115" s="231"/>
    </row>
    <row r="116" spans="1:20" s="136" customFormat="1" ht="15.75" customHeight="1">
      <c r="A116" s="741"/>
      <c r="B116" s="741"/>
      <c r="C116" s="741"/>
      <c r="D116" s="741"/>
      <c r="E116" s="741"/>
      <c r="F116" s="741"/>
      <c r="G116" s="741"/>
      <c r="H116" s="741"/>
      <c r="I116" s="741"/>
      <c r="J116" s="741"/>
      <c r="K116" s="741"/>
      <c r="L116" s="741"/>
      <c r="M116" s="741"/>
    </row>
    <row r="117" spans="1:20" s="135" customFormat="1" ht="15.75" customHeight="1">
      <c r="A117" s="742" t="s">
        <v>310</v>
      </c>
      <c r="B117" s="744">
        <v>1</v>
      </c>
      <c r="C117" s="745"/>
      <c r="D117" s="744">
        <v>2</v>
      </c>
      <c r="E117" s="745"/>
      <c r="F117" s="744">
        <v>3</v>
      </c>
      <c r="G117" s="745"/>
      <c r="H117" s="735">
        <v>4</v>
      </c>
      <c r="I117" s="736"/>
      <c r="J117" s="735">
        <v>5</v>
      </c>
      <c r="K117" s="736"/>
      <c r="L117" s="735">
        <v>6</v>
      </c>
      <c r="M117" s="736"/>
      <c r="N117" s="735">
        <v>7</v>
      </c>
      <c r="O117" s="736"/>
      <c r="P117" s="351">
        <v>8</v>
      </c>
    </row>
    <row r="118" spans="1:20" s="135" customFormat="1" ht="15.75" customHeight="1">
      <c r="A118" s="743"/>
      <c r="B118" s="739" t="s">
        <v>299</v>
      </c>
      <c r="C118" s="740"/>
      <c r="D118" s="739" t="s">
        <v>311</v>
      </c>
      <c r="E118" s="740"/>
      <c r="F118" s="739" t="s">
        <v>301</v>
      </c>
      <c r="G118" s="740"/>
      <c r="H118" s="737" t="s">
        <v>312</v>
      </c>
      <c r="I118" s="738"/>
      <c r="J118" s="737" t="s">
        <v>306</v>
      </c>
      <c r="K118" s="738"/>
      <c r="L118" s="737" t="s">
        <v>307</v>
      </c>
      <c r="M118" s="738"/>
      <c r="N118" s="737" t="s">
        <v>308</v>
      </c>
      <c r="O118" s="738"/>
      <c r="P118" s="352" t="s">
        <v>313</v>
      </c>
    </row>
    <row r="119" spans="1:20" s="135" customFormat="1" ht="15.75" customHeight="1">
      <c r="A119" s="480"/>
      <c r="B119" s="481"/>
      <c r="C119" s="482"/>
      <c r="D119" s="483"/>
      <c r="E119" s="483"/>
      <c r="F119" s="483"/>
      <c r="G119" s="483"/>
      <c r="H119" s="483"/>
      <c r="I119" s="483"/>
      <c r="J119" s="483"/>
      <c r="K119" s="483"/>
      <c r="L119" s="483"/>
      <c r="M119" s="483"/>
      <c r="N119" s="483"/>
      <c r="O119" s="483"/>
      <c r="P119" s="484"/>
    </row>
    <row r="120" spans="1:20" s="277" customFormat="1" ht="15.75" customHeight="1">
      <c r="A120" s="883" t="s">
        <v>310</v>
      </c>
      <c r="B120" s="884"/>
      <c r="C120" s="477" t="s">
        <v>267</v>
      </c>
      <c r="D120" s="885" t="s">
        <v>268</v>
      </c>
      <c r="E120" s="886"/>
      <c r="F120" s="887"/>
      <c r="G120" s="888" t="s">
        <v>314</v>
      </c>
      <c r="H120" s="889"/>
      <c r="I120" s="890"/>
      <c r="J120" s="478" t="s">
        <v>315</v>
      </c>
      <c r="K120" s="478" t="s">
        <v>63</v>
      </c>
      <c r="L120" s="478" t="s">
        <v>316</v>
      </c>
      <c r="M120" s="479" t="s">
        <v>303</v>
      </c>
      <c r="N120" s="479" t="s">
        <v>317</v>
      </c>
      <c r="O120" s="891" t="s">
        <v>273</v>
      </c>
      <c r="P120" s="892"/>
      <c r="R120" s="338"/>
      <c r="S120" s="339"/>
    </row>
    <row r="121" spans="1:20" s="297" customFormat="1" ht="80.099999999999994" customHeight="1">
      <c r="A121" s="756">
        <v>4</v>
      </c>
      <c r="B121" s="759" t="s">
        <v>312</v>
      </c>
      <c r="C121" s="278">
        <v>1</v>
      </c>
      <c r="D121" s="237"/>
      <c r="E121" s="238"/>
      <c r="F121" s="239"/>
      <c r="G121" s="305"/>
      <c r="H121" s="304"/>
      <c r="I121" s="305"/>
      <c r="J121" s="311"/>
      <c r="K121" s="312"/>
      <c r="L121" s="313"/>
      <c r="M121" s="321">
        <f t="shared" ref="M121:M125" si="13">L121*J121</f>
        <v>0</v>
      </c>
      <c r="N121" s="313"/>
      <c r="O121" s="764"/>
      <c r="P121" s="893"/>
      <c r="R121" s="387"/>
      <c r="S121" s="389"/>
    </row>
    <row r="122" spans="1:20" s="297" customFormat="1" ht="80.099999999999994" customHeight="1">
      <c r="A122" s="757"/>
      <c r="B122" s="760"/>
      <c r="C122" s="278">
        <v>2</v>
      </c>
      <c r="D122" s="237"/>
      <c r="E122" s="238"/>
      <c r="F122" s="239"/>
      <c r="G122" s="305"/>
      <c r="H122" s="304"/>
      <c r="I122" s="305"/>
      <c r="J122" s="311"/>
      <c r="K122" s="312"/>
      <c r="L122" s="313"/>
      <c r="M122" s="321">
        <f t="shared" si="13"/>
        <v>0</v>
      </c>
      <c r="N122" s="313"/>
      <c r="O122" s="764"/>
      <c r="P122" s="893"/>
      <c r="R122" s="387"/>
      <c r="S122" s="388"/>
      <c r="T122" s="334"/>
    </row>
    <row r="123" spans="1:20" s="297" customFormat="1" ht="80.099999999999994" customHeight="1">
      <c r="A123" s="757"/>
      <c r="B123" s="760"/>
      <c r="C123" s="278">
        <v>3</v>
      </c>
      <c r="D123" s="237"/>
      <c r="E123" s="238"/>
      <c r="F123" s="239"/>
      <c r="G123" s="305"/>
      <c r="H123" s="304"/>
      <c r="I123" s="305"/>
      <c r="J123" s="311"/>
      <c r="K123" s="312"/>
      <c r="L123" s="313"/>
      <c r="M123" s="321">
        <f t="shared" si="13"/>
        <v>0</v>
      </c>
      <c r="N123" s="313"/>
      <c r="O123" s="766"/>
      <c r="P123" s="894"/>
      <c r="R123" s="387"/>
      <c r="S123" s="389"/>
    </row>
    <row r="124" spans="1:20" s="297" customFormat="1" ht="80.099999999999994" customHeight="1">
      <c r="A124" s="757"/>
      <c r="B124" s="760"/>
      <c r="C124" s="278">
        <v>4</v>
      </c>
      <c r="D124" s="237"/>
      <c r="E124" s="238"/>
      <c r="F124" s="239"/>
      <c r="G124" s="305"/>
      <c r="H124" s="304"/>
      <c r="I124" s="305"/>
      <c r="J124" s="311"/>
      <c r="K124" s="312"/>
      <c r="L124" s="313"/>
      <c r="M124" s="321">
        <f t="shared" si="13"/>
        <v>0</v>
      </c>
      <c r="N124" s="313"/>
      <c r="O124" s="766"/>
      <c r="P124" s="894"/>
      <c r="R124" s="387"/>
      <c r="S124" s="388"/>
      <c r="T124" s="334"/>
    </row>
    <row r="125" spans="1:20" s="297" customFormat="1" ht="80.099999999999994" customHeight="1" thickBot="1">
      <c r="A125" s="757"/>
      <c r="B125" s="760"/>
      <c r="C125" s="278">
        <v>5</v>
      </c>
      <c r="D125" s="237"/>
      <c r="E125" s="244"/>
      <c r="F125" s="245"/>
      <c r="G125" s="305"/>
      <c r="H125" s="304"/>
      <c r="I125" s="305"/>
      <c r="J125" s="315"/>
      <c r="K125" s="247"/>
      <c r="L125" s="316"/>
      <c r="M125" s="321">
        <f t="shared" si="13"/>
        <v>0</v>
      </c>
      <c r="N125" s="313"/>
      <c r="O125" s="766"/>
      <c r="P125" s="894"/>
      <c r="R125" s="390"/>
      <c r="S125" s="389"/>
      <c r="T125" s="288"/>
    </row>
    <row r="126" spans="1:20" ht="15.75" customHeight="1" thickTop="1" thickBot="1">
      <c r="A126" s="758"/>
      <c r="B126" s="761"/>
      <c r="C126" s="770"/>
      <c r="D126" s="771"/>
      <c r="E126" s="771"/>
      <c r="F126" s="771"/>
      <c r="G126" s="771"/>
      <c r="H126" s="771"/>
      <c r="I126" s="772"/>
      <c r="J126" s="346" t="s">
        <v>331</v>
      </c>
      <c r="K126" s="344" t="e">
        <f>M126/'生產管理報表 7-1 (週)'!$B$54</f>
        <v>#DIV/0!</v>
      </c>
      <c r="L126" s="347" t="s">
        <v>332</v>
      </c>
      <c r="M126" s="348">
        <f>SUM(M121:M125)</f>
        <v>0</v>
      </c>
      <c r="N126" s="773"/>
      <c r="O126" s="774"/>
      <c r="P126" s="882"/>
      <c r="R126" s="338"/>
      <c r="S126" s="338"/>
    </row>
    <row r="127" spans="1:20" ht="15.75" customHeight="1" thickTop="1">
      <c r="A127" s="485"/>
      <c r="M127" s="328"/>
      <c r="P127" s="486"/>
      <c r="S127" s="339"/>
    </row>
    <row r="128" spans="1:20" ht="15.75" customHeight="1">
      <c r="A128" s="746" t="s">
        <v>310</v>
      </c>
      <c r="B128" s="747"/>
      <c r="C128" s="274" t="s">
        <v>267</v>
      </c>
      <c r="D128" s="748" t="s">
        <v>268</v>
      </c>
      <c r="E128" s="749"/>
      <c r="F128" s="750"/>
      <c r="G128" s="751" t="s">
        <v>314</v>
      </c>
      <c r="H128" s="752"/>
      <c r="I128" s="753"/>
      <c r="J128" s="373" t="s">
        <v>315</v>
      </c>
      <c r="K128" s="275" t="s">
        <v>63</v>
      </c>
      <c r="L128" s="275" t="s">
        <v>316</v>
      </c>
      <c r="M128" s="329" t="s">
        <v>303</v>
      </c>
      <c r="N128" s="276" t="s">
        <v>317</v>
      </c>
      <c r="O128" s="754" t="s">
        <v>273</v>
      </c>
      <c r="P128" s="874"/>
      <c r="S128" s="338"/>
      <c r="T128" s="334"/>
    </row>
    <row r="129" spans="1:20" s="297" customFormat="1" ht="60" customHeight="1">
      <c r="A129" s="756">
        <v>5</v>
      </c>
      <c r="B129" s="776" t="s">
        <v>347</v>
      </c>
      <c r="C129" s="278">
        <v>1</v>
      </c>
      <c r="D129" s="237"/>
      <c r="E129" s="238"/>
      <c r="F129" s="239"/>
      <c r="G129" s="305"/>
      <c r="H129" s="304"/>
      <c r="I129" s="305"/>
      <c r="J129" s="311"/>
      <c r="K129" s="312"/>
      <c r="L129" s="313"/>
      <c r="M129" s="321">
        <f>L129*J129</f>
        <v>0</v>
      </c>
      <c r="N129" s="313"/>
      <c r="O129" s="831"/>
      <c r="P129" s="879"/>
      <c r="S129" s="389"/>
      <c r="T129" s="334"/>
    </row>
    <row r="130" spans="1:20" s="297" customFormat="1" ht="24.95" customHeight="1">
      <c r="A130" s="757"/>
      <c r="B130" s="777"/>
      <c r="C130" s="278">
        <v>2</v>
      </c>
      <c r="D130" s="237"/>
      <c r="E130" s="238"/>
      <c r="F130" s="239"/>
      <c r="G130" s="349"/>
      <c r="H130" s="304"/>
      <c r="I130" s="305"/>
      <c r="J130" s="311"/>
      <c r="K130" s="312"/>
      <c r="L130" s="313"/>
      <c r="M130" s="321">
        <f t="shared" ref="M130:M133" si="14">L130*J130</f>
        <v>0</v>
      </c>
      <c r="N130" s="313"/>
      <c r="O130" s="781"/>
      <c r="P130" s="880"/>
      <c r="S130" s="338"/>
      <c r="T130" s="335"/>
    </row>
    <row r="131" spans="1:20" ht="24.95" customHeight="1">
      <c r="A131" s="757"/>
      <c r="B131" s="777"/>
      <c r="C131" s="278">
        <v>3</v>
      </c>
      <c r="D131" s="237"/>
      <c r="E131" s="238"/>
      <c r="F131" s="239"/>
      <c r="G131" s="349"/>
      <c r="H131" s="304"/>
      <c r="I131" s="305"/>
      <c r="J131" s="311"/>
      <c r="K131" s="312"/>
      <c r="L131" s="313"/>
      <c r="M131" s="321">
        <f t="shared" si="14"/>
        <v>0</v>
      </c>
      <c r="N131" s="287"/>
      <c r="O131" s="803"/>
      <c r="P131" s="881"/>
    </row>
    <row r="132" spans="1:20" ht="24.95" customHeight="1">
      <c r="A132" s="757"/>
      <c r="B132" s="777"/>
      <c r="C132" s="278">
        <v>4</v>
      </c>
      <c r="D132" s="279"/>
      <c r="E132" s="280"/>
      <c r="F132" s="281"/>
      <c r="G132" s="349"/>
      <c r="H132" s="304"/>
      <c r="I132" s="305"/>
      <c r="J132" s="285"/>
      <c r="K132" s="286"/>
      <c r="L132" s="287"/>
      <c r="M132" s="321">
        <f t="shared" si="14"/>
        <v>0</v>
      </c>
      <c r="N132" s="287"/>
      <c r="O132" s="298"/>
      <c r="P132" s="487"/>
    </row>
    <row r="133" spans="1:20" ht="24.95" customHeight="1" thickBot="1">
      <c r="A133" s="757"/>
      <c r="B133" s="777"/>
      <c r="C133" s="278">
        <v>5</v>
      </c>
      <c r="D133" s="289"/>
      <c r="E133" s="290"/>
      <c r="F133" s="291"/>
      <c r="G133" s="349"/>
      <c r="H133" s="304"/>
      <c r="I133" s="305"/>
      <c r="J133" s="292"/>
      <c r="K133" s="247"/>
      <c r="L133" s="293"/>
      <c r="M133" s="321">
        <f t="shared" si="14"/>
        <v>0</v>
      </c>
      <c r="N133" s="287"/>
      <c r="O133" s="300"/>
      <c r="P133" s="488"/>
      <c r="R133" s="342"/>
    </row>
    <row r="134" spans="1:20" ht="15.75" customHeight="1" thickTop="1" thickBot="1">
      <c r="A134" s="758"/>
      <c r="B134" s="778"/>
      <c r="C134" s="785"/>
      <c r="D134" s="786"/>
      <c r="E134" s="786"/>
      <c r="F134" s="786"/>
      <c r="G134" s="786"/>
      <c r="H134" s="786"/>
      <c r="I134" s="787"/>
      <c r="J134" s="346" t="s">
        <v>331</v>
      </c>
      <c r="K134" s="344" t="e">
        <f>M134/'生產管理報表 7-1 (週)'!$B$54</f>
        <v>#DIV/0!</v>
      </c>
      <c r="L134" s="347" t="s">
        <v>332</v>
      </c>
      <c r="M134" s="348">
        <f>SUM(M129:M133)</f>
        <v>0</v>
      </c>
      <c r="N134" s="773"/>
      <c r="O134" s="774"/>
      <c r="P134" s="882"/>
      <c r="R134" s="338"/>
    </row>
    <row r="135" spans="1:20" ht="15.75" customHeight="1" thickTop="1">
      <c r="A135" s="485"/>
      <c r="K135" s="288" t="s">
        <v>387</v>
      </c>
      <c r="M135" s="328"/>
      <c r="P135" s="486"/>
      <c r="R135" s="338"/>
    </row>
    <row r="136" spans="1:20" ht="24.95" customHeight="1">
      <c r="A136" s="746" t="s">
        <v>310</v>
      </c>
      <c r="B136" s="747"/>
      <c r="C136" s="302" t="s">
        <v>267</v>
      </c>
      <c r="D136" s="790" t="s">
        <v>268</v>
      </c>
      <c r="E136" s="791"/>
      <c r="F136" s="792"/>
      <c r="G136" s="793" t="s">
        <v>314</v>
      </c>
      <c r="H136" s="794"/>
      <c r="I136" s="795"/>
      <c r="J136" s="303" t="s">
        <v>315</v>
      </c>
      <c r="K136" s="275" t="s">
        <v>63</v>
      </c>
      <c r="L136" s="275" t="s">
        <v>316</v>
      </c>
      <c r="M136" s="329" t="s">
        <v>303</v>
      </c>
      <c r="N136" s="276" t="s">
        <v>317</v>
      </c>
      <c r="O136" s="754" t="s">
        <v>273</v>
      </c>
      <c r="P136" s="874"/>
      <c r="R136" s="338"/>
    </row>
    <row r="137" spans="1:20" ht="60" customHeight="1">
      <c r="A137" s="756">
        <v>6</v>
      </c>
      <c r="B137" s="776" t="s">
        <v>352</v>
      </c>
      <c r="C137" s="278">
        <v>1</v>
      </c>
      <c r="D137" s="489"/>
      <c r="E137" s="280"/>
      <c r="F137" s="281"/>
      <c r="G137" s="305"/>
      <c r="H137" s="304"/>
      <c r="I137" s="305"/>
      <c r="J137" s="311"/>
      <c r="K137" s="312"/>
      <c r="L137" s="313"/>
      <c r="M137" s="321">
        <f t="shared" ref="M137" si="15">L137*J137</f>
        <v>0</v>
      </c>
      <c r="N137" s="287"/>
      <c r="O137" s="768"/>
      <c r="P137" s="875"/>
      <c r="R137" s="335"/>
      <c r="S137" s="335"/>
    </row>
    <row r="138" spans="1:20" ht="24.95" customHeight="1">
      <c r="A138" s="757"/>
      <c r="B138" s="777"/>
      <c r="C138" s="278">
        <v>2</v>
      </c>
      <c r="D138" s="237"/>
      <c r="E138" s="280"/>
      <c r="F138" s="281"/>
      <c r="G138" s="305"/>
      <c r="H138" s="304"/>
      <c r="I138" s="305"/>
      <c r="J138" s="311"/>
      <c r="K138" s="312"/>
      <c r="L138" s="313"/>
      <c r="M138" s="321">
        <f t="shared" ref="M138:M141" si="16">L138*J138</f>
        <v>0</v>
      </c>
      <c r="N138" s="287"/>
      <c r="O138" s="768"/>
      <c r="P138" s="875"/>
      <c r="R138" s="335"/>
      <c r="S138" s="335"/>
    </row>
    <row r="139" spans="1:20" ht="24.95" customHeight="1">
      <c r="A139" s="757"/>
      <c r="B139" s="777"/>
      <c r="C139" s="278">
        <v>3</v>
      </c>
      <c r="D139" s="237"/>
      <c r="E139" s="280"/>
      <c r="F139" s="281"/>
      <c r="G139" s="305"/>
      <c r="H139" s="304"/>
      <c r="I139" s="305"/>
      <c r="J139" s="311"/>
      <c r="K139" s="312"/>
      <c r="L139" s="313"/>
      <c r="M139" s="321">
        <f t="shared" si="16"/>
        <v>0</v>
      </c>
      <c r="N139" s="287"/>
      <c r="O139" s="768"/>
      <c r="P139" s="875"/>
      <c r="R139" s="335"/>
    </row>
    <row r="140" spans="1:20" ht="24.95" customHeight="1">
      <c r="A140" s="757"/>
      <c r="B140" s="777"/>
      <c r="C140" s="278">
        <v>4</v>
      </c>
      <c r="D140" s="237"/>
      <c r="E140" s="280"/>
      <c r="F140" s="281"/>
      <c r="G140" s="305"/>
      <c r="H140" s="304"/>
      <c r="I140" s="305"/>
      <c r="J140" s="311"/>
      <c r="K140" s="312"/>
      <c r="L140" s="313"/>
      <c r="M140" s="321">
        <f t="shared" si="16"/>
        <v>0</v>
      </c>
      <c r="N140" s="287"/>
      <c r="O140" s="768"/>
      <c r="P140" s="875"/>
      <c r="R140" s="335"/>
      <c r="S140" s="335"/>
    </row>
    <row r="141" spans="1:20" ht="24.95" customHeight="1" thickBot="1">
      <c r="A141" s="757"/>
      <c r="B141" s="777"/>
      <c r="C141" s="278">
        <v>5</v>
      </c>
      <c r="D141" s="243"/>
      <c r="E141" s="290"/>
      <c r="F141" s="291"/>
      <c r="G141" s="305"/>
      <c r="H141" s="304"/>
      <c r="I141" s="305"/>
      <c r="J141" s="315"/>
      <c r="K141" s="247"/>
      <c r="L141" s="316"/>
      <c r="M141" s="321">
        <f t="shared" si="16"/>
        <v>0</v>
      </c>
      <c r="N141" s="287"/>
      <c r="O141" s="768"/>
      <c r="P141" s="875"/>
    </row>
    <row r="142" spans="1:20" ht="15.75" customHeight="1" thickTop="1" thickBot="1">
      <c r="A142" s="758"/>
      <c r="B142" s="778"/>
      <c r="C142" s="785"/>
      <c r="D142" s="786"/>
      <c r="E142" s="786"/>
      <c r="F142" s="786"/>
      <c r="G142" s="786"/>
      <c r="H142" s="786"/>
      <c r="I142" s="787"/>
      <c r="J142" s="490" t="s">
        <v>331</v>
      </c>
      <c r="K142" s="344" t="e">
        <f>M142/'生產管理報表 7-1 (週)'!$B$54</f>
        <v>#DIV/0!</v>
      </c>
      <c r="L142" s="491" t="s">
        <v>332</v>
      </c>
      <c r="M142" s="492">
        <f>SUM(M137:M141)</f>
        <v>0</v>
      </c>
      <c r="N142" s="876"/>
      <c r="O142" s="877"/>
      <c r="P142" s="878"/>
    </row>
    <row r="143" spans="1:20" s="135" customFormat="1" ht="15.75" customHeight="1" thickTop="1">
      <c r="A143" s="867"/>
      <c r="B143" s="867"/>
      <c r="C143" s="867"/>
      <c r="D143" s="867"/>
      <c r="E143" s="867"/>
      <c r="F143" s="867"/>
      <c r="G143" s="867"/>
      <c r="H143" s="867"/>
      <c r="I143" s="867"/>
      <c r="J143" s="867"/>
      <c r="K143" s="867"/>
      <c r="L143" s="867"/>
      <c r="M143" s="867"/>
      <c r="Q143" s="231"/>
      <c r="R143" s="231"/>
      <c r="S143" s="231"/>
      <c r="T143" s="231"/>
    </row>
    <row r="144" spans="1:20" s="136" customFormat="1" ht="15.75" customHeight="1">
      <c r="A144" s="741"/>
      <c r="B144" s="741"/>
      <c r="C144" s="741"/>
      <c r="D144" s="741"/>
      <c r="E144" s="741"/>
      <c r="F144" s="741"/>
      <c r="G144" s="741"/>
      <c r="H144" s="741"/>
      <c r="I144" s="741"/>
      <c r="J144" s="741"/>
      <c r="K144" s="741"/>
      <c r="L144" s="741"/>
      <c r="M144" s="741"/>
    </row>
    <row r="145" spans="1:20" s="135" customFormat="1" ht="15.75" customHeight="1">
      <c r="A145" s="742" t="s">
        <v>310</v>
      </c>
      <c r="B145" s="744">
        <v>1</v>
      </c>
      <c r="C145" s="745"/>
      <c r="D145" s="744">
        <v>2</v>
      </c>
      <c r="E145" s="745"/>
      <c r="F145" s="744">
        <v>3</v>
      </c>
      <c r="G145" s="745"/>
      <c r="H145" s="735">
        <v>4</v>
      </c>
      <c r="I145" s="736"/>
      <c r="J145" s="735">
        <v>5</v>
      </c>
      <c r="K145" s="736"/>
      <c r="L145" s="735">
        <v>6</v>
      </c>
      <c r="M145" s="736"/>
      <c r="N145" s="735">
        <v>7</v>
      </c>
      <c r="O145" s="736"/>
      <c r="P145" s="351">
        <v>8</v>
      </c>
    </row>
    <row r="146" spans="1:20" s="135" customFormat="1" ht="15.75" customHeight="1">
      <c r="A146" s="743"/>
      <c r="B146" s="739" t="s">
        <v>299</v>
      </c>
      <c r="C146" s="740"/>
      <c r="D146" s="739" t="s">
        <v>311</v>
      </c>
      <c r="E146" s="740"/>
      <c r="F146" s="739" t="s">
        <v>301</v>
      </c>
      <c r="G146" s="740"/>
      <c r="H146" s="737" t="s">
        <v>312</v>
      </c>
      <c r="I146" s="738"/>
      <c r="J146" s="737" t="s">
        <v>306</v>
      </c>
      <c r="K146" s="738"/>
      <c r="L146" s="737" t="s">
        <v>307</v>
      </c>
      <c r="M146" s="738"/>
      <c r="N146" s="737" t="s">
        <v>308</v>
      </c>
      <c r="O146" s="738"/>
      <c r="P146" s="352" t="s">
        <v>313</v>
      </c>
    </row>
    <row r="147" spans="1:20" s="135" customFormat="1" ht="15.75" customHeight="1">
      <c r="A147" s="480"/>
      <c r="B147" s="481"/>
      <c r="C147" s="482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4"/>
    </row>
    <row r="148" spans="1:20" s="277" customFormat="1" ht="15.75" customHeight="1">
      <c r="A148" s="883" t="s">
        <v>310</v>
      </c>
      <c r="B148" s="884"/>
      <c r="C148" s="477" t="s">
        <v>267</v>
      </c>
      <c r="D148" s="885" t="s">
        <v>268</v>
      </c>
      <c r="E148" s="886"/>
      <c r="F148" s="887"/>
      <c r="G148" s="888" t="s">
        <v>314</v>
      </c>
      <c r="H148" s="889"/>
      <c r="I148" s="890"/>
      <c r="J148" s="478" t="s">
        <v>315</v>
      </c>
      <c r="K148" s="478" t="s">
        <v>63</v>
      </c>
      <c r="L148" s="478" t="s">
        <v>316</v>
      </c>
      <c r="M148" s="479" t="s">
        <v>303</v>
      </c>
      <c r="N148" s="479" t="s">
        <v>317</v>
      </c>
      <c r="O148" s="891" t="s">
        <v>273</v>
      </c>
      <c r="P148" s="892"/>
      <c r="R148" s="338"/>
      <c r="S148" s="339"/>
    </row>
    <row r="149" spans="1:20" s="297" customFormat="1" ht="60" customHeight="1">
      <c r="A149" s="756">
        <v>4</v>
      </c>
      <c r="B149" s="759" t="s">
        <v>312</v>
      </c>
      <c r="C149" s="278">
        <v>1</v>
      </c>
      <c r="D149" s="237"/>
      <c r="E149" s="238"/>
      <c r="F149" s="239"/>
      <c r="G149" s="305"/>
      <c r="H149" s="304"/>
      <c r="I149" s="305"/>
      <c r="J149" s="311"/>
      <c r="K149" s="312"/>
      <c r="L149" s="313"/>
      <c r="M149" s="321">
        <f t="shared" ref="M149:M153" si="17">L149*J149</f>
        <v>0</v>
      </c>
      <c r="N149" s="313"/>
      <c r="O149" s="764"/>
      <c r="P149" s="893"/>
      <c r="R149" s="387"/>
      <c r="S149" s="389"/>
    </row>
    <row r="150" spans="1:20" s="297" customFormat="1" ht="60" customHeight="1">
      <c r="A150" s="757"/>
      <c r="B150" s="760"/>
      <c r="C150" s="278">
        <v>2</v>
      </c>
      <c r="D150" s="237"/>
      <c r="E150" s="238"/>
      <c r="F150" s="239"/>
      <c r="G150" s="305"/>
      <c r="H150" s="304"/>
      <c r="I150" s="305"/>
      <c r="J150" s="311"/>
      <c r="K150" s="312"/>
      <c r="L150" s="313"/>
      <c r="M150" s="321">
        <f t="shared" si="17"/>
        <v>0</v>
      </c>
      <c r="N150" s="313"/>
      <c r="O150" s="764"/>
      <c r="P150" s="893"/>
      <c r="R150" s="387"/>
      <c r="S150" s="388"/>
      <c r="T150" s="334"/>
    </row>
    <row r="151" spans="1:20" s="297" customFormat="1" ht="60" customHeight="1">
      <c r="A151" s="757"/>
      <c r="B151" s="760"/>
      <c r="C151" s="278">
        <v>3</v>
      </c>
      <c r="D151" s="237"/>
      <c r="E151" s="238"/>
      <c r="F151" s="239"/>
      <c r="G151" s="305"/>
      <c r="H151" s="304"/>
      <c r="I151" s="305"/>
      <c r="J151" s="311"/>
      <c r="K151" s="312"/>
      <c r="L151" s="313"/>
      <c r="M151" s="321">
        <f t="shared" si="17"/>
        <v>0</v>
      </c>
      <c r="N151" s="313"/>
      <c r="O151" s="766"/>
      <c r="P151" s="894"/>
      <c r="R151" s="387"/>
      <c r="S151" s="389"/>
    </row>
    <row r="152" spans="1:20" s="297" customFormat="1" ht="60" customHeight="1">
      <c r="A152" s="757"/>
      <c r="B152" s="760"/>
      <c r="C152" s="278">
        <v>4</v>
      </c>
      <c r="D152" s="237"/>
      <c r="E152" s="238"/>
      <c r="F152" s="239"/>
      <c r="G152" s="305"/>
      <c r="H152" s="304"/>
      <c r="I152" s="305"/>
      <c r="J152" s="311"/>
      <c r="K152" s="312"/>
      <c r="L152" s="313"/>
      <c r="M152" s="321">
        <f t="shared" si="17"/>
        <v>0</v>
      </c>
      <c r="N152" s="313"/>
      <c r="O152" s="766"/>
      <c r="P152" s="894"/>
      <c r="R152" s="387"/>
      <c r="S152" s="388"/>
      <c r="T152" s="334"/>
    </row>
    <row r="153" spans="1:20" s="297" customFormat="1" ht="60" customHeight="1" thickBot="1">
      <c r="A153" s="757"/>
      <c r="B153" s="760"/>
      <c r="C153" s="278">
        <v>5</v>
      </c>
      <c r="D153" s="237"/>
      <c r="E153" s="244"/>
      <c r="F153" s="245"/>
      <c r="G153" s="305"/>
      <c r="H153" s="304"/>
      <c r="I153" s="305"/>
      <c r="J153" s="315"/>
      <c r="K153" s="247"/>
      <c r="L153" s="316"/>
      <c r="M153" s="321">
        <f t="shared" si="17"/>
        <v>0</v>
      </c>
      <c r="N153" s="313"/>
      <c r="O153" s="766"/>
      <c r="P153" s="894"/>
      <c r="R153" s="390"/>
      <c r="S153" s="389"/>
      <c r="T153" s="288"/>
    </row>
    <row r="154" spans="1:20" ht="15.75" customHeight="1" thickTop="1" thickBot="1">
      <c r="A154" s="758"/>
      <c r="B154" s="761"/>
      <c r="C154" s="770"/>
      <c r="D154" s="771"/>
      <c r="E154" s="771"/>
      <c r="F154" s="771"/>
      <c r="G154" s="771"/>
      <c r="H154" s="771"/>
      <c r="I154" s="772"/>
      <c r="J154" s="346" t="s">
        <v>331</v>
      </c>
      <c r="K154" s="344" t="e">
        <f>M154/'生產管理報表 7-1 (週)'!$B$43</f>
        <v>#DIV/0!</v>
      </c>
      <c r="L154" s="347" t="s">
        <v>332</v>
      </c>
      <c r="M154" s="348">
        <f>SUM(M149:M153)</f>
        <v>0</v>
      </c>
      <c r="N154" s="773"/>
      <c r="O154" s="774"/>
      <c r="P154" s="882"/>
      <c r="R154" s="338"/>
      <c r="S154" s="338"/>
    </row>
    <row r="155" spans="1:20" ht="15.75" customHeight="1" thickTop="1">
      <c r="A155" s="485"/>
      <c r="M155" s="328"/>
      <c r="P155" s="486"/>
      <c r="S155" s="339"/>
    </row>
    <row r="156" spans="1:20" ht="15.75" customHeight="1">
      <c r="A156" s="746" t="s">
        <v>310</v>
      </c>
      <c r="B156" s="747"/>
      <c r="C156" s="274" t="s">
        <v>267</v>
      </c>
      <c r="D156" s="748" t="s">
        <v>268</v>
      </c>
      <c r="E156" s="749"/>
      <c r="F156" s="750"/>
      <c r="G156" s="751" t="s">
        <v>314</v>
      </c>
      <c r="H156" s="752"/>
      <c r="I156" s="753"/>
      <c r="J156" s="373" t="s">
        <v>315</v>
      </c>
      <c r="K156" s="275" t="s">
        <v>63</v>
      </c>
      <c r="L156" s="275" t="s">
        <v>316</v>
      </c>
      <c r="M156" s="329" t="s">
        <v>303</v>
      </c>
      <c r="N156" s="276" t="s">
        <v>317</v>
      </c>
      <c r="O156" s="754" t="s">
        <v>273</v>
      </c>
      <c r="P156" s="874"/>
      <c r="S156" s="338"/>
      <c r="T156" s="334"/>
    </row>
    <row r="157" spans="1:20" s="297" customFormat="1" ht="60" customHeight="1">
      <c r="A157" s="756">
        <v>5</v>
      </c>
      <c r="B157" s="776" t="s">
        <v>347</v>
      </c>
      <c r="C157" s="278">
        <v>1</v>
      </c>
      <c r="D157" s="237"/>
      <c r="E157" s="238"/>
      <c r="F157" s="239"/>
      <c r="G157" s="305"/>
      <c r="H157" s="304"/>
      <c r="I157" s="305"/>
      <c r="J157" s="311"/>
      <c r="K157" s="312"/>
      <c r="L157" s="313"/>
      <c r="M157" s="321">
        <f>L157*J157</f>
        <v>0</v>
      </c>
      <c r="N157" s="313"/>
      <c r="O157" s="831"/>
      <c r="P157" s="879"/>
      <c r="S157" s="389"/>
      <c r="T157" s="334"/>
    </row>
    <row r="158" spans="1:20" s="297" customFormat="1" ht="24.95" customHeight="1">
      <c r="A158" s="757"/>
      <c r="B158" s="777"/>
      <c r="C158" s="278">
        <v>2</v>
      </c>
      <c r="D158" s="237"/>
      <c r="E158" s="238"/>
      <c r="F158" s="239"/>
      <c r="G158" s="349"/>
      <c r="H158" s="304"/>
      <c r="I158" s="305"/>
      <c r="J158" s="311"/>
      <c r="K158" s="312"/>
      <c r="L158" s="313"/>
      <c r="M158" s="321">
        <f t="shared" ref="M158:M161" si="18">L158*J158</f>
        <v>0</v>
      </c>
      <c r="N158" s="313"/>
      <c r="O158" s="781"/>
      <c r="P158" s="880"/>
      <c r="S158" s="338"/>
      <c r="T158" s="335"/>
    </row>
    <row r="159" spans="1:20" ht="24.95" customHeight="1">
      <c r="A159" s="757"/>
      <c r="B159" s="777"/>
      <c r="C159" s="278">
        <v>3</v>
      </c>
      <c r="D159" s="237"/>
      <c r="E159" s="238"/>
      <c r="F159" s="239"/>
      <c r="G159" s="349"/>
      <c r="H159" s="304"/>
      <c r="I159" s="305"/>
      <c r="J159" s="311"/>
      <c r="K159" s="312"/>
      <c r="L159" s="313"/>
      <c r="M159" s="321">
        <f t="shared" si="18"/>
        <v>0</v>
      </c>
      <c r="N159" s="287"/>
      <c r="O159" s="803"/>
      <c r="P159" s="881"/>
    </row>
    <row r="160" spans="1:20" ht="24.95" customHeight="1">
      <c r="A160" s="757"/>
      <c r="B160" s="777"/>
      <c r="C160" s="278">
        <v>4</v>
      </c>
      <c r="D160" s="279"/>
      <c r="E160" s="280"/>
      <c r="F160" s="281"/>
      <c r="G160" s="349"/>
      <c r="H160" s="304"/>
      <c r="I160" s="305"/>
      <c r="J160" s="285"/>
      <c r="K160" s="286"/>
      <c r="L160" s="287"/>
      <c r="M160" s="321">
        <f t="shared" si="18"/>
        <v>0</v>
      </c>
      <c r="N160" s="287"/>
      <c r="O160" s="298"/>
      <c r="P160" s="487"/>
    </row>
    <row r="161" spans="1:19" ht="24.95" customHeight="1" thickBot="1">
      <c r="A161" s="757"/>
      <c r="B161" s="777"/>
      <c r="C161" s="278">
        <v>5</v>
      </c>
      <c r="D161" s="289"/>
      <c r="E161" s="290"/>
      <c r="F161" s="291"/>
      <c r="G161" s="349"/>
      <c r="H161" s="304"/>
      <c r="I161" s="305"/>
      <c r="J161" s="292"/>
      <c r="K161" s="247"/>
      <c r="L161" s="293"/>
      <c r="M161" s="321">
        <f t="shared" si="18"/>
        <v>0</v>
      </c>
      <c r="N161" s="287"/>
      <c r="O161" s="300"/>
      <c r="P161" s="488"/>
      <c r="R161" s="342"/>
    </row>
    <row r="162" spans="1:19" ht="15.75" customHeight="1" thickTop="1" thickBot="1">
      <c r="A162" s="758"/>
      <c r="B162" s="778"/>
      <c r="C162" s="785"/>
      <c r="D162" s="786"/>
      <c r="E162" s="786"/>
      <c r="F162" s="786"/>
      <c r="G162" s="786"/>
      <c r="H162" s="786"/>
      <c r="I162" s="787"/>
      <c r="J162" s="346" t="s">
        <v>331</v>
      </c>
      <c r="K162" s="344" t="e">
        <f>M162/'生產管理報表 7-1 (週)'!$B$43</f>
        <v>#DIV/0!</v>
      </c>
      <c r="L162" s="347" t="s">
        <v>332</v>
      </c>
      <c r="M162" s="348">
        <f>SUM(M157:M161)</f>
        <v>0</v>
      </c>
      <c r="N162" s="773"/>
      <c r="O162" s="774"/>
      <c r="P162" s="882"/>
      <c r="R162" s="338"/>
    </row>
    <row r="163" spans="1:19" ht="15.75" customHeight="1" thickTop="1">
      <c r="A163" s="485"/>
      <c r="K163" s="288" t="s">
        <v>387</v>
      </c>
      <c r="M163" s="328"/>
      <c r="P163" s="486"/>
      <c r="R163" s="338"/>
    </row>
    <row r="164" spans="1:19" ht="24.95" customHeight="1">
      <c r="A164" s="746" t="s">
        <v>310</v>
      </c>
      <c r="B164" s="747"/>
      <c r="C164" s="302" t="s">
        <v>267</v>
      </c>
      <c r="D164" s="790" t="s">
        <v>268</v>
      </c>
      <c r="E164" s="791"/>
      <c r="F164" s="792"/>
      <c r="G164" s="793" t="s">
        <v>314</v>
      </c>
      <c r="H164" s="794"/>
      <c r="I164" s="795"/>
      <c r="J164" s="303" t="s">
        <v>315</v>
      </c>
      <c r="K164" s="275" t="s">
        <v>63</v>
      </c>
      <c r="L164" s="275" t="s">
        <v>316</v>
      </c>
      <c r="M164" s="329" t="s">
        <v>303</v>
      </c>
      <c r="N164" s="276" t="s">
        <v>317</v>
      </c>
      <c r="O164" s="754" t="s">
        <v>273</v>
      </c>
      <c r="P164" s="874"/>
      <c r="R164" s="338"/>
    </row>
    <row r="165" spans="1:19" ht="60" customHeight="1">
      <c r="A165" s="756">
        <v>6</v>
      </c>
      <c r="B165" s="776" t="s">
        <v>352</v>
      </c>
      <c r="C165" s="278">
        <v>1</v>
      </c>
      <c r="D165" s="489"/>
      <c r="E165" s="280"/>
      <c r="F165" s="281"/>
      <c r="G165" s="305"/>
      <c r="H165" s="304"/>
      <c r="I165" s="305"/>
      <c r="J165" s="311"/>
      <c r="K165" s="312"/>
      <c r="L165" s="313"/>
      <c r="M165" s="321">
        <f t="shared" ref="M165:M169" si="19">L165*J165</f>
        <v>0</v>
      </c>
      <c r="N165" s="287"/>
      <c r="O165" s="768"/>
      <c r="P165" s="875"/>
      <c r="R165" s="335"/>
      <c r="S165" s="335"/>
    </row>
    <row r="166" spans="1:19" ht="24.95" customHeight="1">
      <c r="A166" s="757"/>
      <c r="B166" s="777"/>
      <c r="C166" s="278">
        <v>2</v>
      </c>
      <c r="D166" s="237"/>
      <c r="E166" s="280"/>
      <c r="F166" s="281"/>
      <c r="G166" s="305"/>
      <c r="H166" s="304"/>
      <c r="I166" s="305"/>
      <c r="J166" s="311"/>
      <c r="K166" s="312"/>
      <c r="L166" s="313"/>
      <c r="M166" s="321">
        <f t="shared" si="19"/>
        <v>0</v>
      </c>
      <c r="N166" s="287"/>
      <c r="O166" s="768"/>
      <c r="P166" s="875"/>
      <c r="R166" s="335"/>
      <c r="S166" s="335"/>
    </row>
    <row r="167" spans="1:19" ht="24.95" customHeight="1">
      <c r="A167" s="757"/>
      <c r="B167" s="777"/>
      <c r="C167" s="278">
        <v>3</v>
      </c>
      <c r="D167" s="237"/>
      <c r="E167" s="280"/>
      <c r="F167" s="281"/>
      <c r="G167" s="305"/>
      <c r="H167" s="304"/>
      <c r="I167" s="305"/>
      <c r="J167" s="311"/>
      <c r="K167" s="312"/>
      <c r="L167" s="313"/>
      <c r="M167" s="321">
        <f t="shared" si="19"/>
        <v>0</v>
      </c>
      <c r="N167" s="287"/>
      <c r="O167" s="768"/>
      <c r="P167" s="875"/>
      <c r="R167" s="335"/>
    </row>
    <row r="168" spans="1:19" ht="24.95" customHeight="1">
      <c r="A168" s="757"/>
      <c r="B168" s="777"/>
      <c r="C168" s="278">
        <v>4</v>
      </c>
      <c r="D168" s="237"/>
      <c r="E168" s="280"/>
      <c r="F168" s="281"/>
      <c r="G168" s="305"/>
      <c r="H168" s="304"/>
      <c r="I168" s="305"/>
      <c r="J168" s="311"/>
      <c r="K168" s="312"/>
      <c r="L168" s="313"/>
      <c r="M168" s="321">
        <f t="shared" si="19"/>
        <v>0</v>
      </c>
      <c r="N168" s="287"/>
      <c r="O168" s="768"/>
      <c r="P168" s="875"/>
      <c r="R168" s="335"/>
      <c r="S168" s="335"/>
    </row>
    <row r="169" spans="1:19" ht="24.95" customHeight="1" thickBot="1">
      <c r="A169" s="757"/>
      <c r="B169" s="777"/>
      <c r="C169" s="278">
        <v>5</v>
      </c>
      <c r="D169" s="243"/>
      <c r="E169" s="290"/>
      <c r="F169" s="291"/>
      <c r="G169" s="305"/>
      <c r="H169" s="304"/>
      <c r="I169" s="305"/>
      <c r="J169" s="315"/>
      <c r="K169" s="247"/>
      <c r="L169" s="316"/>
      <c r="M169" s="321">
        <f t="shared" si="19"/>
        <v>0</v>
      </c>
      <c r="N169" s="287"/>
      <c r="O169" s="768"/>
      <c r="P169" s="875"/>
    </row>
    <row r="170" spans="1:19" ht="15.75" customHeight="1" thickTop="1" thickBot="1">
      <c r="A170" s="758"/>
      <c r="B170" s="778"/>
      <c r="C170" s="785"/>
      <c r="D170" s="786"/>
      <c r="E170" s="786"/>
      <c r="F170" s="786"/>
      <c r="G170" s="786"/>
      <c r="H170" s="786"/>
      <c r="I170" s="787"/>
      <c r="J170" s="490" t="s">
        <v>331</v>
      </c>
      <c r="K170" s="344" t="e">
        <f>M170/'生產管理報表 7-1 (週)'!$B$43</f>
        <v>#DIV/0!</v>
      </c>
      <c r="L170" s="491" t="s">
        <v>332</v>
      </c>
      <c r="M170" s="492">
        <f>SUM(M165:M169)</f>
        <v>0</v>
      </c>
      <c r="N170" s="876"/>
      <c r="O170" s="877"/>
      <c r="P170" s="878"/>
    </row>
    <row r="171" spans="1:19" ht="15.75" customHeight="1" thickTop="1"/>
  </sheetData>
  <mergeCells count="319">
    <mergeCell ref="A164:B164"/>
    <mergeCell ref="D164:F164"/>
    <mergeCell ref="G164:I164"/>
    <mergeCell ref="O164:P164"/>
    <mergeCell ref="A165:A170"/>
    <mergeCell ref="B165:B170"/>
    <mergeCell ref="O165:P165"/>
    <mergeCell ref="O166:P166"/>
    <mergeCell ref="O167:P167"/>
    <mergeCell ref="O168:P168"/>
    <mergeCell ref="O169:P169"/>
    <mergeCell ref="C170:I170"/>
    <mergeCell ref="N170:P170"/>
    <mergeCell ref="A156:B156"/>
    <mergeCell ref="D156:F156"/>
    <mergeCell ref="G156:I156"/>
    <mergeCell ref="O156:P156"/>
    <mergeCell ref="A157:A162"/>
    <mergeCell ref="B157:B162"/>
    <mergeCell ref="O157:P157"/>
    <mergeCell ref="O158:P158"/>
    <mergeCell ref="O159:P159"/>
    <mergeCell ref="C162:I162"/>
    <mergeCell ref="N162:P162"/>
    <mergeCell ref="A148:B148"/>
    <mergeCell ref="D148:F148"/>
    <mergeCell ref="G148:I148"/>
    <mergeCell ref="O148:P148"/>
    <mergeCell ref="A149:A154"/>
    <mergeCell ref="B149:B154"/>
    <mergeCell ref="O149:P149"/>
    <mergeCell ref="O150:P150"/>
    <mergeCell ref="O151:P151"/>
    <mergeCell ref="O152:P152"/>
    <mergeCell ref="O153:P153"/>
    <mergeCell ref="C154:I154"/>
    <mergeCell ref="N154:P154"/>
    <mergeCell ref="A143:M144"/>
    <mergeCell ref="A145:A146"/>
    <mergeCell ref="B145:C145"/>
    <mergeCell ref="D145:E145"/>
    <mergeCell ref="F145:G145"/>
    <mergeCell ref="H145:I145"/>
    <mergeCell ref="J145:K145"/>
    <mergeCell ref="L145:M145"/>
    <mergeCell ref="N145:O145"/>
    <mergeCell ref="B146:C146"/>
    <mergeCell ref="D146:E146"/>
    <mergeCell ref="F146:G146"/>
    <mergeCell ref="H146:I146"/>
    <mergeCell ref="J146:K146"/>
    <mergeCell ref="L146:M146"/>
    <mergeCell ref="N146:O146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5" manualBreakCount="5">
    <brk id="30" max="15" man="1"/>
    <brk id="58" max="15" man="1"/>
    <brk id="86" max="15" man="1"/>
    <brk id="114" max="15" man="1"/>
    <brk id="142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80" t="s">
        <v>295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99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682" t="s">
        <v>389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</row>
    <row r="4" spans="1:17" s="99" customFormat="1" ht="15.75" customHeight="1">
      <c r="A4" s="907"/>
      <c r="B4" s="907"/>
      <c r="C4" s="907"/>
      <c r="D4" s="907"/>
      <c r="E4" s="907"/>
      <c r="F4" s="907"/>
      <c r="G4" s="907"/>
      <c r="H4" s="907"/>
      <c r="I4" s="907"/>
      <c r="J4" s="907"/>
      <c r="K4" s="907"/>
      <c r="L4" s="907"/>
      <c r="M4" s="907"/>
      <c r="N4" s="907"/>
      <c r="O4" s="907"/>
      <c r="P4" s="907"/>
      <c r="Q4" s="907"/>
    </row>
    <row r="5" spans="1:17" ht="15.75" customHeight="1">
      <c r="A5" s="625" t="s">
        <v>310</v>
      </c>
      <c r="B5" s="906">
        <v>1</v>
      </c>
      <c r="C5" s="906"/>
      <c r="D5" s="906">
        <v>2</v>
      </c>
      <c r="E5" s="906"/>
      <c r="F5" s="906">
        <v>3</v>
      </c>
      <c r="G5" s="906"/>
      <c r="H5" s="906">
        <v>4</v>
      </c>
      <c r="I5" s="906"/>
      <c r="J5" s="906">
        <v>5</v>
      </c>
      <c r="K5" s="906"/>
      <c r="L5" s="906">
        <v>6</v>
      </c>
      <c r="M5" s="906"/>
      <c r="N5" s="906">
        <v>7</v>
      </c>
      <c r="O5" s="906"/>
      <c r="P5" s="908">
        <v>8</v>
      </c>
      <c r="Q5" s="908"/>
    </row>
    <row r="6" spans="1:17" ht="15.75" customHeight="1">
      <c r="A6" s="625"/>
      <c r="B6" s="625" t="s">
        <v>390</v>
      </c>
      <c r="C6" s="625"/>
      <c r="D6" s="625" t="s">
        <v>391</v>
      </c>
      <c r="E6" s="625"/>
      <c r="F6" s="625" t="s">
        <v>301</v>
      </c>
      <c r="G6" s="625"/>
      <c r="H6" s="625" t="s">
        <v>312</v>
      </c>
      <c r="I6" s="625"/>
      <c r="J6" s="625" t="s">
        <v>306</v>
      </c>
      <c r="K6" s="625"/>
      <c r="L6" s="625" t="s">
        <v>307</v>
      </c>
      <c r="M6" s="625"/>
      <c r="N6" s="625" t="s">
        <v>308</v>
      </c>
      <c r="O6" s="625"/>
      <c r="P6" s="905" t="s">
        <v>313</v>
      </c>
      <c r="Q6" s="905"/>
    </row>
    <row r="8" spans="1:17" s="105" customFormat="1" ht="15.75" customHeight="1">
      <c r="A8" s="130" t="s">
        <v>310</v>
      </c>
      <c r="B8" s="130" t="s">
        <v>392</v>
      </c>
      <c r="C8" s="902" t="s">
        <v>268</v>
      </c>
      <c r="D8" s="902"/>
      <c r="E8" s="902"/>
      <c r="F8" s="902" t="s">
        <v>314</v>
      </c>
      <c r="G8" s="902"/>
      <c r="H8" s="902"/>
      <c r="I8" s="130" t="s">
        <v>315</v>
      </c>
      <c r="J8" s="133" t="s">
        <v>393</v>
      </c>
      <c r="K8" s="130" t="s">
        <v>394</v>
      </c>
      <c r="L8" s="130" t="s">
        <v>50</v>
      </c>
      <c r="M8" s="902" t="s">
        <v>283</v>
      </c>
      <c r="N8" s="902"/>
      <c r="O8" s="902"/>
      <c r="P8" s="902"/>
      <c r="Q8" s="902"/>
    </row>
    <row r="9" spans="1:17" ht="15.75" customHeight="1">
      <c r="A9" s="902" t="s">
        <v>395</v>
      </c>
      <c r="B9" s="128">
        <v>1</v>
      </c>
      <c r="C9" s="900"/>
      <c r="D9" s="901"/>
      <c r="E9" s="901"/>
      <c r="F9" s="900"/>
      <c r="G9" s="901"/>
      <c r="H9" s="901"/>
      <c r="I9" s="107"/>
      <c r="J9" s="117"/>
      <c r="K9" s="117"/>
      <c r="L9" s="134">
        <f t="shared" ref="L9:L13" si="0">K9-J9</f>
        <v>0</v>
      </c>
      <c r="M9" s="900"/>
      <c r="N9" s="900"/>
      <c r="O9" s="900"/>
      <c r="P9" s="900"/>
      <c r="Q9" s="900"/>
    </row>
    <row r="10" spans="1:17" ht="15.75" customHeight="1">
      <c r="A10" s="902"/>
      <c r="B10" s="128">
        <v>2</v>
      </c>
      <c r="C10" s="900"/>
      <c r="D10" s="901"/>
      <c r="E10" s="901"/>
      <c r="F10" s="900"/>
      <c r="G10" s="901"/>
      <c r="H10" s="901"/>
      <c r="I10" s="107"/>
      <c r="J10" s="117"/>
      <c r="K10" s="117"/>
      <c r="L10" s="134">
        <f t="shared" si="0"/>
        <v>0</v>
      </c>
      <c r="M10" s="900"/>
      <c r="N10" s="900"/>
      <c r="O10" s="900"/>
      <c r="P10" s="900"/>
      <c r="Q10" s="900"/>
    </row>
    <row r="11" spans="1:17" ht="15.75" customHeight="1">
      <c r="A11" s="902"/>
      <c r="B11" s="128">
        <v>3</v>
      </c>
      <c r="C11" s="900"/>
      <c r="D11" s="901"/>
      <c r="E11" s="901"/>
      <c r="F11" s="900"/>
      <c r="G11" s="901"/>
      <c r="H11" s="901"/>
      <c r="I11" s="107"/>
      <c r="J11" s="117"/>
      <c r="K11" s="117"/>
      <c r="L11" s="134">
        <f t="shared" si="0"/>
        <v>0</v>
      </c>
      <c r="M11" s="900"/>
      <c r="N11" s="900"/>
      <c r="O11" s="900"/>
      <c r="P11" s="900"/>
      <c r="Q11" s="900"/>
    </row>
    <row r="12" spans="1:17" ht="15.75" customHeight="1">
      <c r="A12" s="902"/>
      <c r="B12" s="128">
        <v>4</v>
      </c>
      <c r="C12" s="900"/>
      <c r="D12" s="901"/>
      <c r="E12" s="901"/>
      <c r="F12" s="900"/>
      <c r="G12" s="901"/>
      <c r="H12" s="901"/>
      <c r="I12" s="107"/>
      <c r="J12" s="117"/>
      <c r="K12" s="117"/>
      <c r="L12" s="134">
        <f t="shared" si="0"/>
        <v>0</v>
      </c>
      <c r="M12" s="900"/>
      <c r="N12" s="900"/>
      <c r="O12" s="900"/>
      <c r="P12" s="900"/>
      <c r="Q12" s="900"/>
    </row>
    <row r="13" spans="1:17" ht="15.75" customHeight="1">
      <c r="A13" s="902"/>
      <c r="B13" s="128">
        <v>5</v>
      </c>
      <c r="C13" s="900"/>
      <c r="D13" s="901"/>
      <c r="E13" s="901"/>
      <c r="F13" s="900"/>
      <c r="G13" s="901"/>
      <c r="H13" s="901"/>
      <c r="I13" s="107"/>
      <c r="J13" s="117"/>
      <c r="K13" s="117"/>
      <c r="L13" s="134">
        <f t="shared" si="0"/>
        <v>0</v>
      </c>
      <c r="M13" s="900"/>
      <c r="N13" s="900"/>
      <c r="O13" s="900"/>
      <c r="P13" s="900"/>
      <c r="Q13" s="900"/>
    </row>
    <row r="14" spans="1:17" ht="15.75" customHeight="1">
      <c r="A14" s="903"/>
      <c r="B14" s="903"/>
      <c r="C14" s="903"/>
      <c r="D14" s="903"/>
      <c r="E14" s="903"/>
      <c r="F14" s="903"/>
      <c r="G14" s="903"/>
      <c r="H14" s="903"/>
      <c r="I14" s="903"/>
      <c r="J14" s="903"/>
      <c r="K14" s="903"/>
      <c r="L14" s="903"/>
      <c r="M14" s="903"/>
      <c r="N14" s="903"/>
      <c r="O14" s="904"/>
    </row>
    <row r="15" spans="1:17" s="105" customFormat="1" ht="15.75" customHeight="1">
      <c r="A15" s="130" t="s">
        <v>310</v>
      </c>
      <c r="B15" s="130" t="s">
        <v>392</v>
      </c>
      <c r="C15" s="902" t="s">
        <v>268</v>
      </c>
      <c r="D15" s="902"/>
      <c r="E15" s="902"/>
      <c r="F15" s="902" t="s">
        <v>314</v>
      </c>
      <c r="G15" s="902"/>
      <c r="H15" s="902"/>
      <c r="I15" s="130" t="s">
        <v>315</v>
      </c>
      <c r="J15" s="133" t="s">
        <v>393</v>
      </c>
      <c r="K15" s="130" t="s">
        <v>394</v>
      </c>
      <c r="L15" s="130" t="s">
        <v>50</v>
      </c>
      <c r="M15" s="902" t="s">
        <v>283</v>
      </c>
      <c r="N15" s="902"/>
      <c r="O15" s="902"/>
      <c r="P15" s="902"/>
      <c r="Q15" s="902"/>
    </row>
    <row r="16" spans="1:17" ht="15.75" customHeight="1">
      <c r="A16" s="902" t="s">
        <v>396</v>
      </c>
      <c r="B16" s="128">
        <v>1</v>
      </c>
      <c r="C16" s="900"/>
      <c r="D16" s="901"/>
      <c r="E16" s="901"/>
      <c r="F16" s="900"/>
      <c r="G16" s="901"/>
      <c r="H16" s="901"/>
      <c r="I16" s="107"/>
      <c r="J16" s="117"/>
      <c r="K16" s="117"/>
      <c r="L16" s="134">
        <f t="shared" ref="L16:L19" si="1">K16-J16</f>
        <v>0</v>
      </c>
      <c r="M16" s="900"/>
      <c r="N16" s="900"/>
      <c r="O16" s="900"/>
      <c r="P16" s="900"/>
      <c r="Q16" s="900"/>
    </row>
    <row r="17" spans="1:17" ht="15.75" customHeight="1">
      <c r="A17" s="902"/>
      <c r="B17" s="128">
        <v>2</v>
      </c>
      <c r="C17" s="900"/>
      <c r="D17" s="901"/>
      <c r="E17" s="901"/>
      <c r="F17" s="900"/>
      <c r="G17" s="901"/>
      <c r="H17" s="901"/>
      <c r="I17" s="107"/>
      <c r="J17" s="117"/>
      <c r="K17" s="117"/>
      <c r="L17" s="134">
        <f t="shared" si="1"/>
        <v>0</v>
      </c>
      <c r="M17" s="900"/>
      <c r="N17" s="900"/>
      <c r="O17" s="900"/>
      <c r="P17" s="900"/>
      <c r="Q17" s="900"/>
    </row>
    <row r="18" spans="1:17" ht="15.75" customHeight="1">
      <c r="A18" s="902"/>
      <c r="B18" s="128">
        <v>3</v>
      </c>
      <c r="C18" s="900"/>
      <c r="D18" s="901"/>
      <c r="E18" s="901"/>
      <c r="F18" s="900"/>
      <c r="G18" s="901"/>
      <c r="H18" s="901"/>
      <c r="I18" s="107"/>
      <c r="J18" s="117"/>
      <c r="K18" s="117"/>
      <c r="L18" s="134">
        <f t="shared" si="1"/>
        <v>0</v>
      </c>
      <c r="M18" s="900"/>
      <c r="N18" s="900"/>
      <c r="O18" s="900"/>
      <c r="P18" s="900"/>
      <c r="Q18" s="900"/>
    </row>
    <row r="19" spans="1:17" ht="15.75" customHeight="1">
      <c r="A19" s="902"/>
      <c r="B19" s="128">
        <v>4</v>
      </c>
      <c r="C19" s="900"/>
      <c r="D19" s="901"/>
      <c r="E19" s="901"/>
      <c r="F19" s="900"/>
      <c r="G19" s="901"/>
      <c r="H19" s="901"/>
      <c r="I19" s="107"/>
      <c r="J19" s="117"/>
      <c r="K19" s="117"/>
      <c r="L19" s="134">
        <f t="shared" si="1"/>
        <v>0</v>
      </c>
      <c r="M19" s="900"/>
      <c r="N19" s="900"/>
      <c r="O19" s="900"/>
      <c r="P19" s="900"/>
      <c r="Q19" s="900"/>
    </row>
    <row r="20" spans="1:17" ht="15.75" customHeight="1">
      <c r="A20" s="902"/>
      <c r="B20" s="128">
        <v>5</v>
      </c>
      <c r="C20" s="900"/>
      <c r="D20" s="901"/>
      <c r="E20" s="901"/>
      <c r="F20" s="900"/>
      <c r="G20" s="901"/>
      <c r="H20" s="901"/>
      <c r="I20" s="107"/>
      <c r="J20" s="117"/>
      <c r="K20" s="117"/>
      <c r="L20" s="134">
        <f>K20-J20</f>
        <v>0</v>
      </c>
      <c r="M20" s="900"/>
      <c r="N20" s="900"/>
      <c r="O20" s="900"/>
      <c r="P20" s="900"/>
      <c r="Q20" s="90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3">
    <tabColor rgb="FFFFFFCC"/>
  </sheetPr>
  <dimension ref="A1:AG46"/>
  <sheetViews>
    <sheetView zoomScale="70" zoomScaleNormal="70" workbookViewId="0">
      <selection activeCell="E20" sqref="E20"/>
    </sheetView>
  </sheetViews>
  <sheetFormatPr defaultColWidth="10.140625" defaultRowHeight="15.75"/>
  <cols>
    <col min="1" max="4" width="25.7109375" style="454" customWidth="1"/>
    <col min="5" max="5" width="33.7109375" style="454" customWidth="1"/>
    <col min="6" max="6" width="25.7109375" style="454" customWidth="1"/>
    <col min="7" max="7" width="33.7109375" style="454" customWidth="1"/>
    <col min="8" max="11" width="25.7109375" style="454" customWidth="1"/>
    <col min="12" max="12" width="26.42578125" style="454" bestFit="1" customWidth="1"/>
    <col min="13" max="14" width="26.42578125" style="454" customWidth="1"/>
    <col min="15" max="15" width="26.140625" style="454" bestFit="1" customWidth="1"/>
    <col min="16" max="16" width="10.140625" style="454"/>
    <col min="17" max="18" width="13.7109375" style="454" bestFit="1" customWidth="1"/>
    <col min="19" max="20" width="10.140625" style="454"/>
    <col min="21" max="21" width="15.140625" style="454" bestFit="1" customWidth="1"/>
    <col min="22" max="23" width="10.140625" style="454"/>
    <col min="24" max="24" width="13.7109375" style="454" bestFit="1" customWidth="1"/>
    <col min="25" max="26" width="10.140625" style="454"/>
    <col min="27" max="27" width="15.140625" style="454" bestFit="1" customWidth="1"/>
    <col min="28" max="29" width="10.140625" style="454"/>
    <col min="30" max="30" width="13.7109375" style="454" bestFit="1" customWidth="1"/>
    <col min="31" max="32" width="10.140625" style="454"/>
    <col min="33" max="33" width="15.140625" style="454" bestFit="1" customWidth="1"/>
    <col min="34" max="16384" width="10.140625" style="454"/>
  </cols>
  <sheetData>
    <row r="1" spans="1:33" ht="27">
      <c r="A1" s="911" t="s">
        <v>397</v>
      </c>
      <c r="B1" s="911"/>
      <c r="C1" s="911"/>
      <c r="D1" s="911"/>
      <c r="E1" s="911"/>
      <c r="F1" s="911"/>
      <c r="G1" s="911"/>
      <c r="H1" s="911"/>
      <c r="I1" s="911"/>
      <c r="J1" s="911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</row>
    <row r="2" spans="1:33" ht="48">
      <c r="A2" s="912" t="s">
        <v>398</v>
      </c>
      <c r="B2" s="914">
        <f>SUM(C5:C34)</f>
        <v>73068.210100000011</v>
      </c>
      <c r="C2" s="912" t="s">
        <v>399</v>
      </c>
      <c r="D2" s="916">
        <f>B2/B41</f>
        <v>2.0070603564537959E-3</v>
      </c>
      <c r="E2" s="456" t="s">
        <v>400</v>
      </c>
      <c r="F2" s="457" t="s">
        <v>401</v>
      </c>
      <c r="G2" s="458" t="s">
        <v>402</v>
      </c>
      <c r="H2" s="459" t="s">
        <v>403</v>
      </c>
      <c r="I2" s="918" t="s">
        <v>404</v>
      </c>
      <c r="J2" s="918" t="s">
        <v>405</v>
      </c>
      <c r="K2" s="453"/>
      <c r="L2" s="443"/>
      <c r="M2" s="453"/>
      <c r="N2" s="453"/>
      <c r="O2" s="453"/>
      <c r="P2" s="453"/>
      <c r="Q2" s="453"/>
      <c r="R2" s="453"/>
      <c r="S2" s="453"/>
      <c r="T2" s="453"/>
      <c r="U2" s="453"/>
      <c r="V2" s="453"/>
    </row>
    <row r="3" spans="1:33" ht="24">
      <c r="A3" s="913"/>
      <c r="B3" s="915"/>
      <c r="C3" s="913"/>
      <c r="D3" s="917"/>
      <c r="E3" s="455">
        <f>SUM(E5:E34)</f>
        <v>218955.89419999998</v>
      </c>
      <c r="F3" s="460">
        <f>E3/B41</f>
        <v>6.0143487086829778E-3</v>
      </c>
      <c r="G3" s="461">
        <f>SUM(G5:G34)</f>
        <v>145887.68409999995</v>
      </c>
      <c r="H3" s="462">
        <f>G3/B41</f>
        <v>4.0072883522291811E-3</v>
      </c>
      <c r="I3" s="919"/>
      <c r="J3" s="919"/>
      <c r="K3" s="463"/>
      <c r="L3" s="464"/>
      <c r="M3" s="453"/>
      <c r="N3" s="453"/>
      <c r="O3" s="453"/>
      <c r="P3" s="453"/>
      <c r="Q3" s="453"/>
      <c r="R3" s="453"/>
      <c r="S3" s="453"/>
      <c r="T3" s="453"/>
      <c r="U3" s="453"/>
      <c r="V3" s="453"/>
    </row>
    <row r="4" spans="1:33" ht="40.5">
      <c r="A4" s="465" t="s">
        <v>406</v>
      </c>
      <c r="B4" s="465" t="s">
        <v>138</v>
      </c>
      <c r="C4" s="465" t="s">
        <v>407</v>
      </c>
      <c r="D4" s="465" t="s">
        <v>408</v>
      </c>
      <c r="E4" s="465" t="s">
        <v>409</v>
      </c>
      <c r="F4" s="465" t="s">
        <v>410</v>
      </c>
      <c r="G4" s="466" t="s">
        <v>411</v>
      </c>
      <c r="H4" s="466" t="s">
        <v>412</v>
      </c>
      <c r="I4" s="920"/>
      <c r="J4" s="920"/>
      <c r="K4" s="453"/>
      <c r="L4" s="443"/>
      <c r="M4" s="444"/>
      <c r="N4" s="443"/>
      <c r="O4" s="467"/>
      <c r="P4" s="443"/>
      <c r="Q4" s="444"/>
      <c r="R4" s="468"/>
      <c r="S4" s="453"/>
      <c r="T4" s="453"/>
      <c r="U4" s="468"/>
      <c r="V4" s="453"/>
      <c r="X4" s="469"/>
      <c r="AA4" s="469"/>
      <c r="AD4" s="469"/>
      <c r="AG4" s="469"/>
    </row>
    <row r="5" spans="1:33" ht="18.75">
      <c r="A5" s="470">
        <v>46266</v>
      </c>
      <c r="B5" s="510">
        <v>5905912.6800000006</v>
      </c>
      <c r="C5" s="445">
        <f>'[2]0901合計'!$P$2</f>
        <v>11917.29050000001</v>
      </c>
      <c r="D5" s="511">
        <f t="shared" ref="D5:D39" si="0">C5/B5</f>
        <v>2.0178575515274987E-3</v>
      </c>
      <c r="E5" s="445">
        <f>'[2]0901合計'!$S$2</f>
        <v>35615.114899999993</v>
      </c>
      <c r="F5" s="471">
        <f t="shared" ref="F5:F39" si="1">E5/B5</f>
        <v>6.0304167754813452E-3</v>
      </c>
      <c r="G5" s="472">
        <f t="shared" ref="G5:G39" si="2">E5-C5</f>
        <v>23697.824399999983</v>
      </c>
      <c r="H5" s="473">
        <f t="shared" ref="H5:H39" si="3">G5/B5</f>
        <v>4.0125592239538465E-3</v>
      </c>
      <c r="I5" s="909">
        <f>SUM(C5:C11)</f>
        <v>73068.210100000011</v>
      </c>
      <c r="J5" s="909">
        <f>SUM(E5:E11)</f>
        <v>218955.89419999998</v>
      </c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</row>
    <row r="6" spans="1:33" ht="18.75">
      <c r="A6" s="470">
        <f t="shared" ref="A6:A39" si="4">A5+1</f>
        <v>46267</v>
      </c>
      <c r="B6" s="510">
        <v>5349912.8599999994</v>
      </c>
      <c r="C6" s="445">
        <f>'[2]0902合計'!$P$2</f>
        <v>10755.6901</v>
      </c>
      <c r="D6" s="511">
        <f t="shared" si="0"/>
        <v>2.0104421102664465E-3</v>
      </c>
      <c r="E6" s="445">
        <f>'[2]0902合計'!$S$2</f>
        <v>32204.721800000018</v>
      </c>
      <c r="F6" s="471">
        <f t="shared" si="1"/>
        <v>6.0196722157452153E-3</v>
      </c>
      <c r="G6" s="472">
        <f t="shared" si="2"/>
        <v>21449.031700000018</v>
      </c>
      <c r="H6" s="473">
        <f t="shared" si="3"/>
        <v>4.0092301054787689E-3</v>
      </c>
      <c r="I6" s="909"/>
      <c r="J6" s="909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</row>
    <row r="7" spans="1:33" ht="18.75">
      <c r="A7" s="470">
        <f t="shared" si="4"/>
        <v>46268</v>
      </c>
      <c r="B7" s="510">
        <v>4890176.09</v>
      </c>
      <c r="C7" s="445">
        <f>'[2]0903合計'!$P$2</f>
        <v>9799.2260000000042</v>
      </c>
      <c r="D7" s="511">
        <f t="shared" si="0"/>
        <v>2.003859537908788E-3</v>
      </c>
      <c r="E7" s="445">
        <f>'[2]0903合計'!$S$2</f>
        <v>29368.674999999999</v>
      </c>
      <c r="F7" s="471">
        <f t="shared" si="1"/>
        <v>6.0056477434537537E-3</v>
      </c>
      <c r="G7" s="472">
        <f t="shared" si="2"/>
        <v>19569.448999999993</v>
      </c>
      <c r="H7" s="473">
        <f t="shared" si="3"/>
        <v>4.0017882055449648E-3</v>
      </c>
      <c r="I7" s="909"/>
      <c r="J7" s="909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</row>
    <row r="8" spans="1:33" ht="18.75">
      <c r="A8" s="470">
        <f t="shared" si="4"/>
        <v>46269</v>
      </c>
      <c r="B8" s="510">
        <v>3858381.1399999997</v>
      </c>
      <c r="C8" s="445">
        <f>'[2]0904合計'!$P$2</f>
        <v>7724.6625999999997</v>
      </c>
      <c r="D8" s="511">
        <f t="shared" si="0"/>
        <v>2.002047573765613E-3</v>
      </c>
      <c r="E8" s="445">
        <f>'[2]0904合計'!$S$2</f>
        <v>23151.212299999996</v>
      </c>
      <c r="F8" s="471">
        <f t="shared" si="1"/>
        <v>6.0002398570712474E-3</v>
      </c>
      <c r="G8" s="472">
        <f t="shared" si="2"/>
        <v>15426.549699999996</v>
      </c>
      <c r="H8" s="473">
        <f t="shared" si="3"/>
        <v>3.9981922833056344E-3</v>
      </c>
      <c r="I8" s="909"/>
      <c r="J8" s="909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</row>
    <row r="9" spans="1:33" ht="18.75">
      <c r="A9" s="470">
        <f t="shared" si="4"/>
        <v>46270</v>
      </c>
      <c r="B9" s="510">
        <v>4194791.4399999995</v>
      </c>
      <c r="C9" s="445">
        <f>'[2]0905合計'!$P$2</f>
        <v>8396.8690999999999</v>
      </c>
      <c r="D9" s="511">
        <f t="shared" si="0"/>
        <v>2.0017369683580743E-3</v>
      </c>
      <c r="E9" s="445">
        <f>'[2]0905合計'!$S$2</f>
        <v>25166.71330000001</v>
      </c>
      <c r="F9" s="471">
        <f t="shared" si="1"/>
        <v>5.9995147935173656E-3</v>
      </c>
      <c r="G9" s="472">
        <f t="shared" si="2"/>
        <v>16769.84420000001</v>
      </c>
      <c r="H9" s="473">
        <f t="shared" si="3"/>
        <v>3.9977778251592917E-3</v>
      </c>
      <c r="I9" s="909"/>
      <c r="J9" s="909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</row>
    <row r="10" spans="1:33" ht="18.75">
      <c r="A10" s="470">
        <f t="shared" si="4"/>
        <v>46271</v>
      </c>
      <c r="B10" s="510">
        <v>6259357.5599999996</v>
      </c>
      <c r="C10" s="445">
        <f>'[2]0906合計'!$P$2</f>
        <v>12557.155999999997</v>
      </c>
      <c r="D10" s="511">
        <f t="shared" si="0"/>
        <v>2.0061413459179344E-3</v>
      </c>
      <c r="E10" s="445">
        <f>'[2]0906合計'!$S$2</f>
        <v>37683.530899999983</v>
      </c>
      <c r="F10" s="471">
        <f t="shared" si="1"/>
        <v>6.0203512163634863E-3</v>
      </c>
      <c r="G10" s="472">
        <f t="shared" si="2"/>
        <v>25126.374899999988</v>
      </c>
      <c r="H10" s="473">
        <f t="shared" si="3"/>
        <v>4.0142098704455528E-3</v>
      </c>
      <c r="I10" s="909"/>
      <c r="J10" s="909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</row>
    <row r="11" spans="1:33" ht="18.75">
      <c r="A11" s="470">
        <f t="shared" si="4"/>
        <v>46272</v>
      </c>
      <c r="B11" s="510">
        <v>5947055.0699999994</v>
      </c>
      <c r="C11" s="445">
        <f>'[2]0907合計'!$P$2</f>
        <v>11917.315800000004</v>
      </c>
      <c r="D11" s="511">
        <f t="shared" si="0"/>
        <v>2.0039020422254147E-3</v>
      </c>
      <c r="E11" s="445">
        <f>'[2]0907合計'!$S$2</f>
        <v>35765.925999999978</v>
      </c>
      <c r="F11" s="471">
        <f t="shared" si="1"/>
        <v>6.014056634589056E-3</v>
      </c>
      <c r="G11" s="472">
        <f t="shared" si="2"/>
        <v>23848.610199999974</v>
      </c>
      <c r="H11" s="473">
        <f t="shared" si="3"/>
        <v>4.0101545923636409E-3</v>
      </c>
      <c r="I11" s="909"/>
      <c r="J11" s="909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</row>
    <row r="12" spans="1:33" ht="18.75">
      <c r="A12" s="474">
        <f t="shared" si="4"/>
        <v>46273</v>
      </c>
      <c r="B12" s="510"/>
      <c r="C12" s="445"/>
      <c r="D12" s="511" t="e">
        <f t="shared" si="0"/>
        <v>#DIV/0!</v>
      </c>
      <c r="E12" s="445"/>
      <c r="F12" s="471" t="e">
        <f t="shared" si="1"/>
        <v>#DIV/0!</v>
      </c>
      <c r="G12" s="472">
        <f t="shared" si="2"/>
        <v>0</v>
      </c>
      <c r="H12" s="473" t="e">
        <f t="shared" si="3"/>
        <v>#DIV/0!</v>
      </c>
      <c r="I12" s="910">
        <f>SUM(C12:C18)</f>
        <v>0</v>
      </c>
      <c r="J12" s="910">
        <f>SUM(E12:E18)</f>
        <v>0</v>
      </c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</row>
    <row r="13" spans="1:33" ht="19.5" customHeight="1">
      <c r="A13" s="474">
        <f t="shared" si="4"/>
        <v>46274</v>
      </c>
      <c r="B13" s="510"/>
      <c r="C13" s="445"/>
      <c r="D13" s="511" t="e">
        <f t="shared" si="0"/>
        <v>#DIV/0!</v>
      </c>
      <c r="E13" s="445"/>
      <c r="F13" s="471" t="e">
        <f t="shared" si="1"/>
        <v>#DIV/0!</v>
      </c>
      <c r="G13" s="472">
        <f t="shared" si="2"/>
        <v>0</v>
      </c>
      <c r="H13" s="473" t="e">
        <f t="shared" si="3"/>
        <v>#DIV/0!</v>
      </c>
      <c r="I13" s="910"/>
      <c r="J13" s="910"/>
      <c r="K13" s="453"/>
      <c r="L13" s="453"/>
      <c r="M13" s="453"/>
      <c r="N13" s="453"/>
      <c r="O13" s="453"/>
      <c r="P13" s="453"/>
      <c r="Q13" s="453"/>
      <c r="R13" s="453"/>
      <c r="S13" s="453"/>
      <c r="T13" s="453"/>
      <c r="U13" s="453"/>
      <c r="V13" s="453"/>
    </row>
    <row r="14" spans="1:33" ht="19.5" customHeight="1">
      <c r="A14" s="474">
        <f t="shared" si="4"/>
        <v>46275</v>
      </c>
      <c r="B14" s="510"/>
      <c r="C14" s="445"/>
      <c r="D14" s="511" t="e">
        <f t="shared" si="0"/>
        <v>#DIV/0!</v>
      </c>
      <c r="E14" s="445"/>
      <c r="F14" s="471" t="e">
        <f t="shared" si="1"/>
        <v>#DIV/0!</v>
      </c>
      <c r="G14" s="472">
        <f t="shared" si="2"/>
        <v>0</v>
      </c>
      <c r="H14" s="473" t="e">
        <f t="shared" si="3"/>
        <v>#DIV/0!</v>
      </c>
      <c r="I14" s="910"/>
      <c r="J14" s="910"/>
      <c r="K14" s="453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</row>
    <row r="15" spans="1:33" ht="19.5" customHeight="1">
      <c r="A15" s="474">
        <f t="shared" si="4"/>
        <v>46276</v>
      </c>
      <c r="B15" s="510"/>
      <c r="C15" s="445"/>
      <c r="D15" s="511" t="e">
        <f t="shared" si="0"/>
        <v>#DIV/0!</v>
      </c>
      <c r="E15" s="445"/>
      <c r="F15" s="471" t="e">
        <f t="shared" si="1"/>
        <v>#DIV/0!</v>
      </c>
      <c r="G15" s="472">
        <f t="shared" si="2"/>
        <v>0</v>
      </c>
      <c r="H15" s="473" t="e">
        <f t="shared" si="3"/>
        <v>#DIV/0!</v>
      </c>
      <c r="I15" s="910"/>
      <c r="J15" s="910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</row>
    <row r="16" spans="1:33" ht="19.5" customHeight="1">
      <c r="A16" s="474">
        <f t="shared" si="4"/>
        <v>46277</v>
      </c>
      <c r="B16" s="510"/>
      <c r="C16" s="445"/>
      <c r="D16" s="511" t="e">
        <f t="shared" si="0"/>
        <v>#DIV/0!</v>
      </c>
      <c r="E16" s="445"/>
      <c r="F16" s="471" t="e">
        <f t="shared" si="1"/>
        <v>#DIV/0!</v>
      </c>
      <c r="G16" s="472">
        <f t="shared" si="2"/>
        <v>0</v>
      </c>
      <c r="H16" s="473" t="e">
        <f t="shared" si="3"/>
        <v>#DIV/0!</v>
      </c>
      <c r="I16" s="910"/>
      <c r="J16" s="910"/>
      <c r="K16" s="453"/>
      <c r="L16" s="453"/>
      <c r="M16" s="453"/>
      <c r="N16" s="453"/>
      <c r="O16" s="453"/>
      <c r="P16" s="453"/>
      <c r="Q16" s="453"/>
      <c r="R16" s="453"/>
      <c r="S16" s="453"/>
      <c r="T16" s="453"/>
      <c r="U16" s="453"/>
      <c r="V16" s="453"/>
    </row>
    <row r="17" spans="1:22" ht="19.5" customHeight="1">
      <c r="A17" s="474">
        <f t="shared" si="4"/>
        <v>46278</v>
      </c>
      <c r="B17" s="510"/>
      <c r="C17" s="445"/>
      <c r="D17" s="511" t="e">
        <f t="shared" si="0"/>
        <v>#DIV/0!</v>
      </c>
      <c r="E17" s="445"/>
      <c r="F17" s="471" t="e">
        <f t="shared" si="1"/>
        <v>#DIV/0!</v>
      </c>
      <c r="G17" s="472">
        <f t="shared" si="2"/>
        <v>0</v>
      </c>
      <c r="H17" s="473" t="e">
        <f t="shared" si="3"/>
        <v>#DIV/0!</v>
      </c>
      <c r="I17" s="910"/>
      <c r="J17" s="910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</row>
    <row r="18" spans="1:22" ht="19.5" customHeight="1">
      <c r="A18" s="474">
        <f t="shared" si="4"/>
        <v>46279</v>
      </c>
      <c r="B18" s="510"/>
      <c r="C18" s="445"/>
      <c r="D18" s="511" t="e">
        <f t="shared" si="0"/>
        <v>#DIV/0!</v>
      </c>
      <c r="E18" s="445"/>
      <c r="F18" s="471" t="e">
        <f t="shared" si="1"/>
        <v>#DIV/0!</v>
      </c>
      <c r="G18" s="472">
        <f t="shared" si="2"/>
        <v>0</v>
      </c>
      <c r="H18" s="473" t="e">
        <f t="shared" si="3"/>
        <v>#DIV/0!</v>
      </c>
      <c r="I18" s="910"/>
      <c r="J18" s="910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</row>
    <row r="19" spans="1:22" ht="19.5" customHeight="1">
      <c r="A19" s="470">
        <f t="shared" si="4"/>
        <v>46280</v>
      </c>
      <c r="B19" s="510"/>
      <c r="C19" s="445"/>
      <c r="D19" s="511" t="e">
        <f t="shared" si="0"/>
        <v>#DIV/0!</v>
      </c>
      <c r="E19" s="445"/>
      <c r="F19" s="471" t="e">
        <f t="shared" si="1"/>
        <v>#DIV/0!</v>
      </c>
      <c r="G19" s="472">
        <f t="shared" si="2"/>
        <v>0</v>
      </c>
      <c r="H19" s="473" t="e">
        <f t="shared" si="3"/>
        <v>#DIV/0!</v>
      </c>
      <c r="I19" s="909">
        <f>SUM(C19:C25)</f>
        <v>0</v>
      </c>
      <c r="J19" s="909">
        <f>SUM(E19:E25)</f>
        <v>0</v>
      </c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</row>
    <row r="20" spans="1:22" ht="19.5" customHeight="1">
      <c r="A20" s="470">
        <f t="shared" si="4"/>
        <v>46281</v>
      </c>
      <c r="B20" s="510"/>
      <c r="C20" s="445"/>
      <c r="D20" s="511" t="e">
        <f t="shared" si="0"/>
        <v>#DIV/0!</v>
      </c>
      <c r="E20" s="445"/>
      <c r="F20" s="471" t="e">
        <f t="shared" si="1"/>
        <v>#DIV/0!</v>
      </c>
      <c r="G20" s="472">
        <f t="shared" si="2"/>
        <v>0</v>
      </c>
      <c r="H20" s="473" t="e">
        <f t="shared" si="3"/>
        <v>#DIV/0!</v>
      </c>
      <c r="I20" s="909"/>
      <c r="J20" s="909"/>
      <c r="K20" s="453"/>
      <c r="L20" s="453"/>
      <c r="M20" s="453"/>
      <c r="N20" s="453"/>
      <c r="O20" s="453"/>
      <c r="P20" s="453"/>
      <c r="Q20" s="453"/>
      <c r="R20" s="453"/>
      <c r="S20" s="453"/>
      <c r="T20" s="453"/>
      <c r="U20" s="453"/>
      <c r="V20" s="453"/>
    </row>
    <row r="21" spans="1:22" ht="19.5" customHeight="1">
      <c r="A21" s="470">
        <f t="shared" si="4"/>
        <v>46282</v>
      </c>
      <c r="B21" s="510"/>
      <c r="C21" s="445"/>
      <c r="D21" s="511" t="e">
        <f t="shared" si="0"/>
        <v>#DIV/0!</v>
      </c>
      <c r="E21" s="445"/>
      <c r="F21" s="471" t="e">
        <f t="shared" si="1"/>
        <v>#DIV/0!</v>
      </c>
      <c r="G21" s="472">
        <f t="shared" si="2"/>
        <v>0</v>
      </c>
      <c r="H21" s="473" t="e">
        <f t="shared" si="3"/>
        <v>#DIV/0!</v>
      </c>
      <c r="I21" s="909"/>
      <c r="J21" s="909"/>
      <c r="K21" s="453"/>
      <c r="L21" s="453"/>
      <c r="M21" s="453"/>
      <c r="N21" s="453"/>
      <c r="O21" s="453"/>
      <c r="P21" s="453"/>
      <c r="Q21" s="453"/>
      <c r="R21" s="453"/>
      <c r="S21" s="453"/>
      <c r="T21" s="453"/>
      <c r="U21" s="453"/>
      <c r="V21" s="453"/>
    </row>
    <row r="22" spans="1:22" ht="19.5" customHeight="1">
      <c r="A22" s="470">
        <f t="shared" si="4"/>
        <v>46283</v>
      </c>
      <c r="B22" s="510"/>
      <c r="C22" s="445"/>
      <c r="D22" s="511" t="e">
        <f t="shared" si="0"/>
        <v>#DIV/0!</v>
      </c>
      <c r="E22" s="445"/>
      <c r="F22" s="471" t="e">
        <f t="shared" si="1"/>
        <v>#DIV/0!</v>
      </c>
      <c r="G22" s="472">
        <f t="shared" si="2"/>
        <v>0</v>
      </c>
      <c r="H22" s="473" t="e">
        <f t="shared" si="3"/>
        <v>#DIV/0!</v>
      </c>
      <c r="I22" s="909"/>
      <c r="J22" s="909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</row>
    <row r="23" spans="1:22" ht="19.5" customHeight="1">
      <c r="A23" s="470">
        <f t="shared" si="4"/>
        <v>46284</v>
      </c>
      <c r="B23" s="510"/>
      <c r="C23" s="445"/>
      <c r="D23" s="511" t="e">
        <f t="shared" si="0"/>
        <v>#DIV/0!</v>
      </c>
      <c r="E23" s="445"/>
      <c r="F23" s="471" t="e">
        <f t="shared" si="1"/>
        <v>#DIV/0!</v>
      </c>
      <c r="G23" s="472">
        <f t="shared" si="2"/>
        <v>0</v>
      </c>
      <c r="H23" s="473" t="e">
        <f t="shared" si="3"/>
        <v>#DIV/0!</v>
      </c>
      <c r="I23" s="909"/>
      <c r="J23" s="909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</row>
    <row r="24" spans="1:22" ht="18.75">
      <c r="A24" s="470">
        <f t="shared" si="4"/>
        <v>46285</v>
      </c>
      <c r="B24" s="510"/>
      <c r="C24" s="445"/>
      <c r="D24" s="511" t="e">
        <f t="shared" si="0"/>
        <v>#DIV/0!</v>
      </c>
      <c r="E24" s="445"/>
      <c r="F24" s="471" t="e">
        <f t="shared" si="1"/>
        <v>#DIV/0!</v>
      </c>
      <c r="G24" s="472">
        <f t="shared" si="2"/>
        <v>0</v>
      </c>
      <c r="H24" s="473" t="e">
        <f t="shared" si="3"/>
        <v>#DIV/0!</v>
      </c>
      <c r="I24" s="909"/>
      <c r="J24" s="909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</row>
    <row r="25" spans="1:22" ht="18.75">
      <c r="A25" s="470">
        <f t="shared" si="4"/>
        <v>46286</v>
      </c>
      <c r="B25" s="510"/>
      <c r="C25" s="445"/>
      <c r="D25" s="511" t="e">
        <f t="shared" si="0"/>
        <v>#DIV/0!</v>
      </c>
      <c r="E25" s="445"/>
      <c r="F25" s="471" t="e">
        <f t="shared" si="1"/>
        <v>#DIV/0!</v>
      </c>
      <c r="G25" s="472">
        <f t="shared" si="2"/>
        <v>0</v>
      </c>
      <c r="H25" s="473" t="e">
        <f t="shared" si="3"/>
        <v>#DIV/0!</v>
      </c>
      <c r="I25" s="909"/>
      <c r="J25" s="909"/>
      <c r="K25" s="453"/>
      <c r="L25" s="453"/>
      <c r="M25" s="453"/>
      <c r="N25" s="453"/>
      <c r="O25" s="453"/>
      <c r="P25" s="453"/>
      <c r="Q25" s="453"/>
      <c r="R25" s="453"/>
      <c r="S25" s="453"/>
      <c r="T25" s="453"/>
      <c r="U25" s="453"/>
      <c r="V25" s="453"/>
    </row>
    <row r="26" spans="1:22" ht="19.5" customHeight="1">
      <c r="A26" s="474">
        <f t="shared" si="4"/>
        <v>46287</v>
      </c>
      <c r="B26" s="510"/>
      <c r="C26" s="445"/>
      <c r="D26" s="511" t="e">
        <f t="shared" si="0"/>
        <v>#DIV/0!</v>
      </c>
      <c r="E26" s="445"/>
      <c r="F26" s="471" t="e">
        <f t="shared" si="1"/>
        <v>#DIV/0!</v>
      </c>
      <c r="G26" s="472">
        <f t="shared" si="2"/>
        <v>0</v>
      </c>
      <c r="H26" s="473" t="e">
        <f t="shared" si="3"/>
        <v>#DIV/0!</v>
      </c>
      <c r="I26" s="910">
        <f>SUM(C26:C32)</f>
        <v>0</v>
      </c>
      <c r="J26" s="910">
        <f>SUM(E26:E32)</f>
        <v>0</v>
      </c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</row>
    <row r="27" spans="1:22" ht="19.5" customHeight="1">
      <c r="A27" s="474">
        <f t="shared" si="4"/>
        <v>46288</v>
      </c>
      <c r="B27" s="510"/>
      <c r="C27" s="445"/>
      <c r="D27" s="511" t="e">
        <f t="shared" si="0"/>
        <v>#DIV/0!</v>
      </c>
      <c r="E27" s="445"/>
      <c r="F27" s="471" t="e">
        <f t="shared" si="1"/>
        <v>#DIV/0!</v>
      </c>
      <c r="G27" s="472">
        <f t="shared" si="2"/>
        <v>0</v>
      </c>
      <c r="H27" s="473" t="e">
        <f t="shared" si="3"/>
        <v>#DIV/0!</v>
      </c>
      <c r="I27" s="910"/>
      <c r="J27" s="910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</row>
    <row r="28" spans="1:22" ht="19.5" customHeight="1">
      <c r="A28" s="474">
        <f t="shared" si="4"/>
        <v>46289</v>
      </c>
      <c r="B28" s="510"/>
      <c r="C28" s="445"/>
      <c r="D28" s="511" t="e">
        <f t="shared" si="0"/>
        <v>#DIV/0!</v>
      </c>
      <c r="E28" s="445"/>
      <c r="F28" s="471" t="e">
        <f t="shared" si="1"/>
        <v>#DIV/0!</v>
      </c>
      <c r="G28" s="472">
        <f t="shared" si="2"/>
        <v>0</v>
      </c>
      <c r="H28" s="473" t="e">
        <f t="shared" si="3"/>
        <v>#DIV/0!</v>
      </c>
      <c r="I28" s="910"/>
      <c r="J28" s="910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</row>
    <row r="29" spans="1:22" ht="19.5" customHeight="1">
      <c r="A29" s="474">
        <f t="shared" si="4"/>
        <v>46290</v>
      </c>
      <c r="B29" s="510"/>
      <c r="C29" s="445"/>
      <c r="D29" s="511" t="e">
        <f t="shared" si="0"/>
        <v>#DIV/0!</v>
      </c>
      <c r="E29" s="445"/>
      <c r="F29" s="471" t="e">
        <f t="shared" si="1"/>
        <v>#DIV/0!</v>
      </c>
      <c r="G29" s="472">
        <f t="shared" si="2"/>
        <v>0</v>
      </c>
      <c r="H29" s="473" t="e">
        <f t="shared" si="3"/>
        <v>#DIV/0!</v>
      </c>
      <c r="I29" s="910"/>
      <c r="J29" s="910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</row>
    <row r="30" spans="1:22" ht="19.5" customHeight="1">
      <c r="A30" s="474">
        <f t="shared" si="4"/>
        <v>46291</v>
      </c>
      <c r="B30" s="510"/>
      <c r="C30" s="445"/>
      <c r="D30" s="511" t="e">
        <f t="shared" si="0"/>
        <v>#DIV/0!</v>
      </c>
      <c r="E30" s="445"/>
      <c r="F30" s="471" t="e">
        <f t="shared" si="1"/>
        <v>#DIV/0!</v>
      </c>
      <c r="G30" s="472">
        <f t="shared" si="2"/>
        <v>0</v>
      </c>
      <c r="H30" s="473" t="e">
        <f t="shared" si="3"/>
        <v>#DIV/0!</v>
      </c>
      <c r="I30" s="910"/>
      <c r="J30" s="910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</row>
    <row r="31" spans="1:22" ht="19.5" customHeight="1">
      <c r="A31" s="474">
        <f t="shared" si="4"/>
        <v>46292</v>
      </c>
      <c r="B31" s="510"/>
      <c r="C31" s="445"/>
      <c r="D31" s="511" t="e">
        <f t="shared" si="0"/>
        <v>#DIV/0!</v>
      </c>
      <c r="E31" s="445"/>
      <c r="F31" s="471" t="e">
        <f t="shared" si="1"/>
        <v>#DIV/0!</v>
      </c>
      <c r="G31" s="472">
        <f t="shared" si="2"/>
        <v>0</v>
      </c>
      <c r="H31" s="473" t="e">
        <f t="shared" si="3"/>
        <v>#DIV/0!</v>
      </c>
      <c r="I31" s="910"/>
      <c r="J31" s="910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</row>
    <row r="32" spans="1:22" ht="19.5" customHeight="1">
      <c r="A32" s="474">
        <f t="shared" si="4"/>
        <v>46293</v>
      </c>
      <c r="B32" s="510"/>
      <c r="C32" s="445"/>
      <c r="D32" s="511" t="e">
        <f t="shared" si="0"/>
        <v>#DIV/0!</v>
      </c>
      <c r="E32" s="445"/>
      <c r="F32" s="471" t="e">
        <f t="shared" si="1"/>
        <v>#DIV/0!</v>
      </c>
      <c r="G32" s="472">
        <f t="shared" si="2"/>
        <v>0</v>
      </c>
      <c r="H32" s="473" t="e">
        <f t="shared" si="3"/>
        <v>#DIV/0!</v>
      </c>
      <c r="I32" s="910"/>
      <c r="J32" s="910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</row>
    <row r="33" spans="1:22" ht="19.5" customHeight="1">
      <c r="A33" s="470">
        <f t="shared" si="4"/>
        <v>46294</v>
      </c>
      <c r="B33" s="510"/>
      <c r="C33" s="445"/>
      <c r="D33" s="511" t="e">
        <f t="shared" si="0"/>
        <v>#DIV/0!</v>
      </c>
      <c r="E33" s="445"/>
      <c r="F33" s="471" t="e">
        <f t="shared" si="1"/>
        <v>#DIV/0!</v>
      </c>
      <c r="G33" s="472">
        <f t="shared" si="2"/>
        <v>0</v>
      </c>
      <c r="H33" s="473" t="e">
        <f t="shared" si="3"/>
        <v>#DIV/0!</v>
      </c>
      <c r="I33" s="909">
        <f>SUM(C33:C39)</f>
        <v>0</v>
      </c>
      <c r="J33" s="909">
        <f>SUM(E33:E39)</f>
        <v>0</v>
      </c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</row>
    <row r="34" spans="1:22" ht="19.5" customHeight="1">
      <c r="A34" s="470">
        <f t="shared" si="4"/>
        <v>46295</v>
      </c>
      <c r="B34" s="510"/>
      <c r="C34" s="445"/>
      <c r="D34" s="511" t="e">
        <f t="shared" si="0"/>
        <v>#DIV/0!</v>
      </c>
      <c r="E34" s="445"/>
      <c r="F34" s="471" t="e">
        <f t="shared" si="1"/>
        <v>#DIV/0!</v>
      </c>
      <c r="G34" s="472">
        <f t="shared" si="2"/>
        <v>0</v>
      </c>
      <c r="H34" s="473" t="e">
        <f t="shared" si="3"/>
        <v>#DIV/0!</v>
      </c>
      <c r="I34" s="909"/>
      <c r="J34" s="909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V34" s="453"/>
    </row>
    <row r="35" spans="1:22" ht="19.5" customHeight="1">
      <c r="A35" s="470">
        <f t="shared" si="4"/>
        <v>46296</v>
      </c>
      <c r="B35" s="510"/>
      <c r="C35" s="445"/>
      <c r="D35" s="511" t="e">
        <f t="shared" si="0"/>
        <v>#DIV/0!</v>
      </c>
      <c r="E35" s="445"/>
      <c r="F35" s="471" t="e">
        <f t="shared" si="1"/>
        <v>#DIV/0!</v>
      </c>
      <c r="G35" s="472">
        <f t="shared" si="2"/>
        <v>0</v>
      </c>
      <c r="H35" s="473" t="e">
        <f t="shared" si="3"/>
        <v>#DIV/0!</v>
      </c>
      <c r="I35" s="909"/>
      <c r="J35" s="909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</row>
    <row r="36" spans="1:22" ht="19.5" customHeight="1">
      <c r="A36" s="470">
        <f t="shared" si="4"/>
        <v>46297</v>
      </c>
      <c r="B36" s="510"/>
      <c r="C36" s="445"/>
      <c r="D36" s="511" t="e">
        <f t="shared" si="0"/>
        <v>#DIV/0!</v>
      </c>
      <c r="E36" s="445"/>
      <c r="F36" s="471" t="e">
        <f t="shared" si="1"/>
        <v>#DIV/0!</v>
      </c>
      <c r="G36" s="472">
        <f t="shared" si="2"/>
        <v>0</v>
      </c>
      <c r="H36" s="473" t="e">
        <f t="shared" si="3"/>
        <v>#DIV/0!</v>
      </c>
      <c r="I36" s="909"/>
      <c r="J36" s="909"/>
      <c r="K36" s="453"/>
      <c r="L36" s="453"/>
      <c r="M36" s="453"/>
      <c r="N36" s="453"/>
      <c r="O36" s="453"/>
      <c r="P36" s="453"/>
      <c r="Q36" s="453"/>
      <c r="R36" s="453"/>
      <c r="S36" s="453"/>
      <c r="T36" s="453"/>
      <c r="U36" s="453"/>
      <c r="V36" s="453"/>
    </row>
    <row r="37" spans="1:22" ht="19.5" customHeight="1">
      <c r="A37" s="470">
        <f t="shared" si="4"/>
        <v>46298</v>
      </c>
      <c r="B37" s="510"/>
      <c r="C37" s="445"/>
      <c r="D37" s="511" t="e">
        <f t="shared" si="0"/>
        <v>#DIV/0!</v>
      </c>
      <c r="E37" s="445"/>
      <c r="F37" s="471" t="e">
        <f t="shared" si="1"/>
        <v>#DIV/0!</v>
      </c>
      <c r="G37" s="472">
        <f t="shared" si="2"/>
        <v>0</v>
      </c>
      <c r="H37" s="473" t="e">
        <f t="shared" si="3"/>
        <v>#DIV/0!</v>
      </c>
      <c r="I37" s="909"/>
      <c r="J37" s="909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</row>
    <row r="38" spans="1:22" ht="18.75">
      <c r="A38" s="470">
        <f t="shared" si="4"/>
        <v>46299</v>
      </c>
      <c r="B38" s="510"/>
      <c r="C38" s="445"/>
      <c r="D38" s="511" t="e">
        <f t="shared" si="0"/>
        <v>#DIV/0!</v>
      </c>
      <c r="E38" s="445"/>
      <c r="F38" s="471" t="e">
        <f t="shared" si="1"/>
        <v>#DIV/0!</v>
      </c>
      <c r="G38" s="472">
        <f t="shared" si="2"/>
        <v>0</v>
      </c>
      <c r="H38" s="473" t="e">
        <f t="shared" si="3"/>
        <v>#DIV/0!</v>
      </c>
      <c r="I38" s="909"/>
      <c r="J38" s="909"/>
      <c r="K38" s="453"/>
      <c r="L38" s="453"/>
      <c r="M38" s="453"/>
      <c r="N38" s="453"/>
      <c r="O38" s="453"/>
      <c r="P38" s="453"/>
      <c r="Q38" s="453"/>
      <c r="R38" s="453"/>
      <c r="S38" s="453"/>
      <c r="T38" s="453"/>
      <c r="U38" s="453"/>
      <c r="V38" s="453"/>
    </row>
    <row r="39" spans="1:22" ht="18.75">
      <c r="A39" s="470">
        <f t="shared" si="4"/>
        <v>46300</v>
      </c>
      <c r="B39" s="510"/>
      <c r="C39" s="445"/>
      <c r="D39" s="511" t="e">
        <f t="shared" si="0"/>
        <v>#DIV/0!</v>
      </c>
      <c r="E39" s="445"/>
      <c r="F39" s="471" t="e">
        <f t="shared" si="1"/>
        <v>#DIV/0!</v>
      </c>
      <c r="G39" s="472">
        <f t="shared" si="2"/>
        <v>0</v>
      </c>
      <c r="H39" s="473" t="e">
        <f t="shared" si="3"/>
        <v>#DIV/0!</v>
      </c>
      <c r="I39" s="909"/>
      <c r="J39" s="909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</row>
    <row r="40" spans="1:22" ht="19.5" customHeight="1">
      <c r="A40" s="453"/>
      <c r="B40" s="453"/>
      <c r="C40" s="453"/>
      <c r="D40" s="453"/>
      <c r="E40" s="453"/>
      <c r="F40" s="453"/>
      <c r="G40" s="453"/>
      <c r="H40" s="453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</row>
    <row r="41" spans="1:22" ht="19.5" customHeight="1">
      <c r="A41" s="475" t="s">
        <v>413</v>
      </c>
      <c r="B41" s="476">
        <f>SUM(B5:B34)</f>
        <v>36405586.839999996</v>
      </c>
      <c r="C41" s="453"/>
      <c r="D41" s="453"/>
      <c r="E41" s="453"/>
      <c r="F41" s="453"/>
      <c r="G41" s="453"/>
      <c r="H41" s="453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</row>
    <row r="42" spans="1:22" ht="19.5" customHeight="1">
      <c r="A42" s="453"/>
      <c r="B42" s="453"/>
      <c r="C42" s="453"/>
      <c r="D42" s="453"/>
      <c r="E42" s="453"/>
      <c r="F42" s="453"/>
      <c r="G42" s="453"/>
      <c r="H42" s="453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</row>
    <row r="43" spans="1:22" ht="19.5" customHeight="1"/>
    <row r="44" spans="1:22" ht="19.5" customHeight="1"/>
    <row r="45" spans="1:22" ht="19.5" customHeight="1"/>
    <row r="46" spans="1:22" ht="19.5" customHeight="1"/>
  </sheetData>
  <mergeCells count="17">
    <mergeCell ref="I19:I25"/>
    <mergeCell ref="J19:J25"/>
    <mergeCell ref="I26:I32"/>
    <mergeCell ref="J26:J32"/>
    <mergeCell ref="I33:I39"/>
    <mergeCell ref="J33:J39"/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</mergeCells>
  <phoneticPr fontId="13" type="noConversion"/>
  <conditionalFormatting sqref="A5:A39">
    <cfRule type="timePeriod" dxfId="2" priority="2" timePeriod="yesterday">
      <formula>FLOOR(A5,1)=TODAY()-1</formula>
    </cfRule>
  </conditionalFormatting>
  <conditionalFormatting sqref="D5:D39">
    <cfRule type="cellIs" dxfId="1" priority="1" operator="greaterThan">
      <formula>0.0025</formula>
    </cfRule>
  </conditionalFormatting>
  <conditionalFormatting sqref="D41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34">
    <tabColor rgb="FF92D050"/>
    <pageSetUpPr fitToPage="1"/>
  </sheetPr>
  <dimension ref="B2:AM134"/>
  <sheetViews>
    <sheetView zoomScale="70" zoomScaleNormal="70" workbookViewId="0">
      <pane xSplit="3" ySplit="2" topLeftCell="D3" activePane="bottomRight" state="frozen"/>
      <selection pane="bottomRight" activeCell="E18" sqref="E18"/>
      <selection pane="bottomLeft" activeCell="A4" sqref="A4"/>
      <selection pane="topRight" activeCell="D1" sqref="D1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570" t="s">
        <v>414</v>
      </c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1"/>
      <c r="AA2" s="571"/>
      <c r="AB2" s="571"/>
      <c r="AC2" s="571"/>
      <c r="AD2" s="571"/>
      <c r="AF2" s="146"/>
      <c r="AG2" s="146"/>
    </row>
    <row r="3" spans="2:39" ht="17.100000000000001" customHeight="1">
      <c r="B3" s="552" t="s">
        <v>415</v>
      </c>
      <c r="C3" s="553"/>
      <c r="D3" s="556" t="s">
        <v>416</v>
      </c>
      <c r="E3" s="557" t="s">
        <v>417</v>
      </c>
      <c r="F3" s="559" t="s">
        <v>418</v>
      </c>
      <c r="G3" s="525" t="s">
        <v>419</v>
      </c>
      <c r="H3" s="560" t="s">
        <v>420</v>
      </c>
      <c r="I3" s="542" t="s">
        <v>421</v>
      </c>
      <c r="J3" s="543"/>
      <c r="K3" s="542" t="s">
        <v>422</v>
      </c>
      <c r="L3" s="543"/>
      <c r="M3" s="542" t="s">
        <v>423</v>
      </c>
      <c r="N3" s="543"/>
      <c r="O3" s="542" t="s">
        <v>424</v>
      </c>
      <c r="P3" s="543"/>
      <c r="Q3" s="542" t="s">
        <v>375</v>
      </c>
      <c r="R3" s="543"/>
      <c r="S3" s="545" t="s">
        <v>377</v>
      </c>
      <c r="T3" s="546"/>
      <c r="U3" s="921"/>
      <c r="V3" s="547" t="s">
        <v>425</v>
      </c>
      <c r="W3" s="548"/>
      <c r="X3" s="549"/>
      <c r="Y3" s="550" t="s">
        <v>426</v>
      </c>
      <c r="Z3" s="550" t="s">
        <v>427</v>
      </c>
      <c r="AA3" s="550" t="s">
        <v>428</v>
      </c>
      <c r="AB3" s="550" t="s">
        <v>429</v>
      </c>
      <c r="AC3" s="550" t="s">
        <v>430</v>
      </c>
      <c r="AD3" s="525" t="s">
        <v>431</v>
      </c>
      <c r="AF3" s="527" t="s">
        <v>432</v>
      </c>
      <c r="AG3" s="528"/>
      <c r="AH3" s="528"/>
      <c r="AI3" s="528"/>
      <c r="AJ3" s="528"/>
      <c r="AK3" s="528"/>
      <c r="AL3" s="528"/>
      <c r="AM3" s="529"/>
    </row>
    <row r="4" spans="2:39">
      <c r="B4" s="554"/>
      <c r="C4" s="555"/>
      <c r="D4" s="556"/>
      <c r="E4" s="556"/>
      <c r="F4" s="559"/>
      <c r="G4" s="526"/>
      <c r="H4" s="526"/>
      <c r="I4" s="433" t="s">
        <v>433</v>
      </c>
      <c r="J4" s="361" t="s">
        <v>434</v>
      </c>
      <c r="K4" s="433" t="s">
        <v>433</v>
      </c>
      <c r="L4" s="361" t="s">
        <v>434</v>
      </c>
      <c r="M4" s="433" t="s">
        <v>433</v>
      </c>
      <c r="N4" s="361" t="s">
        <v>434</v>
      </c>
      <c r="O4" s="433" t="s">
        <v>433</v>
      </c>
      <c r="P4" s="361" t="s">
        <v>434</v>
      </c>
      <c r="Q4" s="433" t="s">
        <v>433</v>
      </c>
      <c r="R4" s="361" t="s">
        <v>434</v>
      </c>
      <c r="S4" s="433" t="s">
        <v>433</v>
      </c>
      <c r="T4" s="361" t="s">
        <v>434</v>
      </c>
      <c r="U4" s="361" t="s">
        <v>435</v>
      </c>
      <c r="V4" s="433" t="s">
        <v>433</v>
      </c>
      <c r="W4" s="361" t="s">
        <v>434</v>
      </c>
      <c r="X4" s="361" t="s">
        <v>435</v>
      </c>
      <c r="Y4" s="551"/>
      <c r="Z4" s="551"/>
      <c r="AA4" s="551"/>
      <c r="AB4" s="551"/>
      <c r="AC4" s="551"/>
      <c r="AD4" s="526"/>
      <c r="AF4" s="530"/>
      <c r="AG4" s="531"/>
      <c r="AH4" s="531"/>
      <c r="AI4" s="531"/>
      <c r="AJ4" s="531"/>
      <c r="AK4" s="531"/>
      <c r="AL4" s="531"/>
      <c r="AM4" s="532"/>
    </row>
    <row r="5" spans="2:39" s="147" customFormat="1" ht="27" customHeight="1">
      <c r="B5" s="536" t="s">
        <v>436</v>
      </c>
      <c r="C5" s="537"/>
      <c r="D5" s="360">
        <v>1</v>
      </c>
      <c r="E5" s="434" t="s">
        <v>337</v>
      </c>
      <c r="F5" s="435">
        <f>IFERROR(Q5*G5,"-")</f>
        <v>1564.29</v>
      </c>
      <c r="G5" s="363">
        <v>1.17</v>
      </c>
      <c r="H5" s="436">
        <v>206815</v>
      </c>
      <c r="I5" s="436">
        <v>206815</v>
      </c>
      <c r="J5" s="438">
        <f>IFERROR(I5/H5,"-")</f>
        <v>1</v>
      </c>
      <c r="K5" s="437">
        <v>208152</v>
      </c>
      <c r="L5" s="438">
        <f>IFERROR(K5/H5,"-")</f>
        <v>1.0064647148417667</v>
      </c>
      <c r="M5" s="437">
        <v>0</v>
      </c>
      <c r="N5" s="438">
        <f>IFERROR(M5/H5,"-")</f>
        <v>0</v>
      </c>
      <c r="O5" s="439">
        <f>IFERROR(K5+M5,"-")</f>
        <v>208152</v>
      </c>
      <c r="P5" s="438">
        <f>IFERROR(O5/H5,"-")</f>
        <v>1.0064647148417667</v>
      </c>
      <c r="Q5" s="436">
        <v>1337</v>
      </c>
      <c r="R5" s="438">
        <f>IFERROR(Q5/H5,"-")</f>
        <v>6.4647148417667968E-3</v>
      </c>
      <c r="S5" s="439">
        <f>IFERROR(O5-H5,"-")</f>
        <v>1337</v>
      </c>
      <c r="T5" s="438">
        <f>IFERROR(S5/H5,"-")</f>
        <v>6.4647148417667968E-3</v>
      </c>
      <c r="U5" s="362">
        <f>IFERROR(S5*G5,"-")</f>
        <v>1564.29</v>
      </c>
      <c r="V5" s="450">
        <f>S5-Q5</f>
        <v>0</v>
      </c>
      <c r="W5" s="451">
        <f>IFERROR(V5/H5,"-")</f>
        <v>0</v>
      </c>
      <c r="X5" s="452">
        <f>IFERROR(V5*G5,"-")</f>
        <v>0</v>
      </c>
      <c r="Y5" s="364" t="s">
        <v>437</v>
      </c>
      <c r="Z5" s="364" t="s">
        <v>438</v>
      </c>
      <c r="AA5" s="365"/>
      <c r="AB5" s="365"/>
      <c r="AC5" s="365">
        <v>1</v>
      </c>
      <c r="AD5" s="440" t="s">
        <v>319</v>
      </c>
      <c r="AF5" s="533"/>
      <c r="AG5" s="534"/>
      <c r="AH5" s="534"/>
      <c r="AI5" s="534"/>
      <c r="AJ5" s="534"/>
      <c r="AK5" s="534"/>
      <c r="AL5" s="534"/>
      <c r="AM5" s="535"/>
    </row>
    <row r="6" spans="2:39" s="147" customFormat="1" ht="27" customHeight="1">
      <c r="B6" s="538"/>
      <c r="C6" s="539"/>
      <c r="D6" s="360">
        <v>2</v>
      </c>
      <c r="E6" s="434" t="s">
        <v>340</v>
      </c>
      <c r="F6" s="435">
        <f t="shared" ref="F6:F24" si="0">IFERROR(Q6*G6,"-")</f>
        <v>1470.9589999999996</v>
      </c>
      <c r="G6" s="363">
        <v>625.93999999999994</v>
      </c>
      <c r="H6" s="436">
        <v>1240.29</v>
      </c>
      <c r="I6" s="436">
        <v>1240.29</v>
      </c>
      <c r="J6" s="438">
        <f t="shared" ref="J6:J24" si="1">IFERROR(I6/H6,"-")</f>
        <v>1</v>
      </c>
      <c r="K6" s="437">
        <v>1251.6100000000001</v>
      </c>
      <c r="L6" s="438">
        <f t="shared" ref="L6:L24" si="2">IFERROR(K6/H6,"-")</f>
        <v>1.0091268977416574</v>
      </c>
      <c r="M6" s="437">
        <v>11.32</v>
      </c>
      <c r="N6" s="438">
        <f t="shared" ref="N6:N24" si="3">IFERROR(M6/H6,"-")</f>
        <v>9.1268977416571941E-3</v>
      </c>
      <c r="O6" s="439">
        <f t="shared" ref="O6:O24" si="4">IFERROR(K6+M6,"-")</f>
        <v>1262.93</v>
      </c>
      <c r="P6" s="438">
        <f t="shared" ref="P6:P24" si="5">IFERROR(O6/H6,"-")</f>
        <v>1.0182537954833144</v>
      </c>
      <c r="Q6" s="436">
        <v>2.3499999999999996</v>
      </c>
      <c r="R6" s="438">
        <f t="shared" ref="R6:R24" si="6">IFERROR(Q6/H6,"-")</f>
        <v>1.8947181707503888E-3</v>
      </c>
      <c r="S6" s="439">
        <f t="shared" ref="S6:S24" si="7">IFERROR(O6-H6,"-")</f>
        <v>22.6400000000001</v>
      </c>
      <c r="T6" s="438">
        <f t="shared" ref="T6:T24" si="8">IFERROR(S6/H6,"-")</f>
        <v>1.8253795483314468E-2</v>
      </c>
      <c r="U6" s="362">
        <f t="shared" ref="U6:U24" si="9">IFERROR(S6*G6,"-")</f>
        <v>14171.281600000062</v>
      </c>
      <c r="V6" s="450">
        <f t="shared" ref="V6:V24" si="10">S6-Q6</f>
        <v>20.290000000000099</v>
      </c>
      <c r="W6" s="451">
        <f t="shared" ref="W6:W24" si="11">IFERROR(V6/H6,"-")</f>
        <v>1.6359077312564078E-2</v>
      </c>
      <c r="X6" s="452">
        <f t="shared" ref="X6:X24" si="12">IFERROR(V6*G6,"-")</f>
        <v>12700.322600000061</v>
      </c>
      <c r="Y6" s="364" t="s">
        <v>437</v>
      </c>
      <c r="Z6" s="364" t="s">
        <v>438</v>
      </c>
      <c r="AA6" s="365"/>
      <c r="AB6" s="365"/>
      <c r="AC6" s="365">
        <v>1</v>
      </c>
      <c r="AD6" s="440" t="s">
        <v>339</v>
      </c>
      <c r="AF6" s="160" t="s">
        <v>439</v>
      </c>
      <c r="AG6" s="160" t="s">
        <v>440</v>
      </c>
      <c r="AH6" s="155" t="s">
        <v>441</v>
      </c>
      <c r="AI6" s="155" t="s">
        <v>438</v>
      </c>
      <c r="AJ6" s="155" t="s">
        <v>312</v>
      </c>
      <c r="AK6" s="155" t="s">
        <v>347</v>
      </c>
      <c r="AL6" s="155" t="s">
        <v>352</v>
      </c>
      <c r="AM6" s="155" t="s">
        <v>442</v>
      </c>
    </row>
    <row r="7" spans="2:39" s="147" customFormat="1" ht="27" customHeight="1">
      <c r="B7" s="538"/>
      <c r="C7" s="539"/>
      <c r="D7" s="360">
        <v>3</v>
      </c>
      <c r="E7" s="434" t="s">
        <v>354</v>
      </c>
      <c r="F7" s="435">
        <f t="shared" si="0"/>
        <v>1452.3000000000002</v>
      </c>
      <c r="G7" s="363">
        <v>15.450000000000001</v>
      </c>
      <c r="H7" s="436">
        <v>46180</v>
      </c>
      <c r="I7" s="436">
        <v>46180</v>
      </c>
      <c r="J7" s="438">
        <f t="shared" si="1"/>
        <v>1</v>
      </c>
      <c r="K7" s="437">
        <v>46274</v>
      </c>
      <c r="L7" s="438">
        <f t="shared" si="2"/>
        <v>1.0020355132091814</v>
      </c>
      <c r="M7" s="437">
        <v>0</v>
      </c>
      <c r="N7" s="438">
        <f t="shared" si="3"/>
        <v>0</v>
      </c>
      <c r="O7" s="439">
        <f t="shared" si="4"/>
        <v>46274</v>
      </c>
      <c r="P7" s="438">
        <f t="shared" si="5"/>
        <v>1.0020355132091814</v>
      </c>
      <c r="Q7" s="436">
        <v>94</v>
      </c>
      <c r="R7" s="438">
        <f t="shared" si="6"/>
        <v>2.0355132091814639E-3</v>
      </c>
      <c r="S7" s="439">
        <f t="shared" si="7"/>
        <v>94</v>
      </c>
      <c r="T7" s="438">
        <f t="shared" si="8"/>
        <v>2.0355132091814639E-3</v>
      </c>
      <c r="U7" s="362">
        <f t="shared" si="9"/>
        <v>1452.3000000000002</v>
      </c>
      <c r="V7" s="450">
        <f t="shared" si="10"/>
        <v>0</v>
      </c>
      <c r="W7" s="451">
        <f t="shared" si="11"/>
        <v>0</v>
      </c>
      <c r="X7" s="452">
        <f t="shared" si="12"/>
        <v>0</v>
      </c>
      <c r="Y7" s="364" t="s">
        <v>437</v>
      </c>
      <c r="Z7" s="364" t="s">
        <v>352</v>
      </c>
      <c r="AA7" s="365"/>
      <c r="AB7" s="365"/>
      <c r="AC7" s="365">
        <v>1</v>
      </c>
      <c r="AD7" s="440" t="s">
        <v>353</v>
      </c>
      <c r="AF7" s="370">
        <f>SUM(AC5:AC24)</f>
        <v>20</v>
      </c>
      <c r="AG7" s="366">
        <f t="shared" ref="AG7:AM7" si="13">SUMIF($Z$5:$Z$24,TRIM(AG6),$AC$5:$AC$24)</f>
        <v>12</v>
      </c>
      <c r="AH7" s="366">
        <f t="shared" si="13"/>
        <v>0</v>
      </c>
      <c r="AI7" s="366">
        <f t="shared" si="13"/>
        <v>4</v>
      </c>
      <c r="AJ7" s="366">
        <f t="shared" si="13"/>
        <v>0</v>
      </c>
      <c r="AK7" s="366">
        <f t="shared" si="13"/>
        <v>2</v>
      </c>
      <c r="AL7" s="366">
        <f t="shared" si="13"/>
        <v>2</v>
      </c>
      <c r="AM7" s="366">
        <f t="shared" si="13"/>
        <v>0</v>
      </c>
    </row>
    <row r="8" spans="2:39" s="147" customFormat="1" ht="27" customHeight="1">
      <c r="B8" s="538"/>
      <c r="C8" s="539"/>
      <c r="D8" s="360">
        <v>4</v>
      </c>
      <c r="E8" s="434" t="s">
        <v>348</v>
      </c>
      <c r="F8" s="435">
        <f t="shared" si="0"/>
        <v>1433.0196000000001</v>
      </c>
      <c r="G8" s="363">
        <v>147.43000000000004</v>
      </c>
      <c r="H8" s="436">
        <v>3743.0000000000005</v>
      </c>
      <c r="I8" s="436">
        <v>3743.0000000000005</v>
      </c>
      <c r="J8" s="438">
        <f t="shared" si="1"/>
        <v>1</v>
      </c>
      <c r="K8" s="437">
        <v>3792.38</v>
      </c>
      <c r="L8" s="438">
        <f t="shared" si="2"/>
        <v>1.0131926262356397</v>
      </c>
      <c r="M8" s="437">
        <v>49.38</v>
      </c>
      <c r="N8" s="438">
        <f t="shared" si="3"/>
        <v>1.3192626235639861E-2</v>
      </c>
      <c r="O8" s="439">
        <f t="shared" si="4"/>
        <v>3841.76</v>
      </c>
      <c r="P8" s="438">
        <f t="shared" si="5"/>
        <v>1.0263852524712798</v>
      </c>
      <c r="Q8" s="436">
        <v>9.7199999999999989</v>
      </c>
      <c r="R8" s="438">
        <f t="shared" si="6"/>
        <v>2.5968474485706648E-3</v>
      </c>
      <c r="S8" s="439">
        <f t="shared" si="7"/>
        <v>98.759999999999764</v>
      </c>
      <c r="T8" s="438">
        <f t="shared" si="8"/>
        <v>2.6385252471279656E-2</v>
      </c>
      <c r="U8" s="362">
        <f t="shared" si="9"/>
        <v>14560.186799999969</v>
      </c>
      <c r="V8" s="450">
        <f t="shared" si="10"/>
        <v>89.039999999999765</v>
      </c>
      <c r="W8" s="451">
        <f t="shared" si="11"/>
        <v>2.378840502270899E-2</v>
      </c>
      <c r="X8" s="452">
        <f t="shared" si="12"/>
        <v>13127.167199999969</v>
      </c>
      <c r="Y8" s="364" t="s">
        <v>437</v>
      </c>
      <c r="Z8" s="364" t="s">
        <v>347</v>
      </c>
      <c r="AA8" s="365"/>
      <c r="AB8" s="365"/>
      <c r="AC8" s="365">
        <v>1</v>
      </c>
      <c r="AD8" s="440" t="s">
        <v>319</v>
      </c>
      <c r="AF8" s="371" t="s">
        <v>303</v>
      </c>
      <c r="AG8" s="368">
        <f>SUMIF($Z$5:$Z24,TRIM(AG6),$F$5:$F$24)</f>
        <v>10267.933800000003</v>
      </c>
      <c r="AH8" s="368">
        <f>SUMIF($Z$5:$Z24,TRIM(AH6),$F$5:$F$24)</f>
        <v>0</v>
      </c>
      <c r="AI8" s="368">
        <f>SUMIF($Z$5:$Z24,TRIM(AI6),$F$5:$F$24)</f>
        <v>5315.7222000000002</v>
      </c>
      <c r="AJ8" s="368">
        <f>SUMIF($Z$5:$Z24,TRIM(AJ6),$F$5:$F$24)</f>
        <v>0</v>
      </c>
      <c r="AK8" s="368">
        <f>SUMIF($Z$5:$Z24,TRIM(AK6),$F$5:$F$24)</f>
        <v>2247.5151000000001</v>
      </c>
      <c r="AL8" s="368">
        <f>SUMIF($Z$5:$Z24,TRIM(AL6),$F$5:$F$24)</f>
        <v>2527.6469999999999</v>
      </c>
      <c r="AM8" s="368">
        <f>SUMIF($Z$5:$Z24,TRIM(AM6),$F$5:$F$24)</f>
        <v>0</v>
      </c>
    </row>
    <row r="9" spans="2:39" s="147" customFormat="1" ht="27" customHeight="1">
      <c r="B9" s="538"/>
      <c r="C9" s="539"/>
      <c r="D9" s="360">
        <v>5</v>
      </c>
      <c r="E9" s="434" t="s">
        <v>335</v>
      </c>
      <c r="F9" s="435">
        <f t="shared" si="0"/>
        <v>1391.6</v>
      </c>
      <c r="G9" s="363">
        <v>2.4499999999999997</v>
      </c>
      <c r="H9" s="436">
        <v>97112</v>
      </c>
      <c r="I9" s="436">
        <v>97112</v>
      </c>
      <c r="J9" s="438">
        <f t="shared" si="1"/>
        <v>1</v>
      </c>
      <c r="K9" s="437">
        <v>97680</v>
      </c>
      <c r="L9" s="438">
        <f t="shared" si="2"/>
        <v>1.0058489167147211</v>
      </c>
      <c r="M9" s="437">
        <v>0</v>
      </c>
      <c r="N9" s="438">
        <f t="shared" si="3"/>
        <v>0</v>
      </c>
      <c r="O9" s="439">
        <f t="shared" si="4"/>
        <v>97680</v>
      </c>
      <c r="P9" s="438">
        <f t="shared" si="5"/>
        <v>1.0058489167147211</v>
      </c>
      <c r="Q9" s="436">
        <v>568</v>
      </c>
      <c r="R9" s="438">
        <f t="shared" si="6"/>
        <v>5.8489167147211469E-3</v>
      </c>
      <c r="S9" s="439">
        <f t="shared" si="7"/>
        <v>568</v>
      </c>
      <c r="T9" s="438">
        <f t="shared" si="8"/>
        <v>5.8489167147211469E-3</v>
      </c>
      <c r="U9" s="362">
        <f t="shared" si="9"/>
        <v>1391.6</v>
      </c>
      <c r="V9" s="450">
        <f t="shared" si="10"/>
        <v>0</v>
      </c>
      <c r="W9" s="451">
        <f t="shared" si="11"/>
        <v>0</v>
      </c>
      <c r="X9" s="452">
        <f t="shared" si="12"/>
        <v>0</v>
      </c>
      <c r="Y9" s="364" t="s">
        <v>437</v>
      </c>
      <c r="Z9" s="364" t="s">
        <v>438</v>
      </c>
      <c r="AA9" s="365"/>
      <c r="AB9" s="365"/>
      <c r="AC9" s="365">
        <v>1</v>
      </c>
      <c r="AD9" s="440" t="s">
        <v>238</v>
      </c>
      <c r="AF9" s="360" t="s">
        <v>443</v>
      </c>
      <c r="AG9" s="441">
        <f>AG7/$AF7</f>
        <v>0.6</v>
      </c>
      <c r="AH9" s="441">
        <f t="shared" ref="AH9:AM9" si="14">AH7/$AF7</f>
        <v>0</v>
      </c>
      <c r="AI9" s="441">
        <f t="shared" si="14"/>
        <v>0.2</v>
      </c>
      <c r="AJ9" s="441">
        <f t="shared" si="14"/>
        <v>0</v>
      </c>
      <c r="AK9" s="441">
        <f t="shared" si="14"/>
        <v>0.1</v>
      </c>
      <c r="AL9" s="441">
        <f t="shared" si="14"/>
        <v>0.1</v>
      </c>
      <c r="AM9" s="441">
        <f t="shared" si="14"/>
        <v>0</v>
      </c>
    </row>
    <row r="10" spans="2:39" s="147" customFormat="1" ht="27" customHeight="1">
      <c r="B10" s="538"/>
      <c r="C10" s="539"/>
      <c r="D10" s="360">
        <v>6</v>
      </c>
      <c r="E10" s="434" t="s">
        <v>320</v>
      </c>
      <c r="F10" s="435">
        <f t="shared" si="0"/>
        <v>1286.0704000000003</v>
      </c>
      <c r="G10" s="363">
        <v>127.84000000000002</v>
      </c>
      <c r="H10" s="436">
        <v>3627.53</v>
      </c>
      <c r="I10" s="436">
        <v>3627.53</v>
      </c>
      <c r="J10" s="438">
        <f t="shared" si="1"/>
        <v>1</v>
      </c>
      <c r="K10" s="437">
        <v>3668.9300000000003</v>
      </c>
      <c r="L10" s="438">
        <f t="shared" si="2"/>
        <v>1.0114127243606532</v>
      </c>
      <c r="M10" s="437">
        <v>41.399999999999991</v>
      </c>
      <c r="N10" s="438">
        <f t="shared" si="3"/>
        <v>1.1412724360653114E-2</v>
      </c>
      <c r="O10" s="439">
        <f t="shared" si="4"/>
        <v>3710.3300000000004</v>
      </c>
      <c r="P10" s="438">
        <f t="shared" si="5"/>
        <v>1.0228254487213062</v>
      </c>
      <c r="Q10" s="436">
        <v>10.06</v>
      </c>
      <c r="R10" s="438">
        <f t="shared" si="6"/>
        <v>2.7732368857045979E-3</v>
      </c>
      <c r="S10" s="439">
        <f t="shared" si="7"/>
        <v>82.800000000000182</v>
      </c>
      <c r="T10" s="438">
        <f t="shared" si="8"/>
        <v>2.2825448721306284E-2</v>
      </c>
      <c r="U10" s="362">
        <f t="shared" si="9"/>
        <v>10585.152000000026</v>
      </c>
      <c r="V10" s="450">
        <f t="shared" si="10"/>
        <v>72.74000000000018</v>
      </c>
      <c r="W10" s="451">
        <f t="shared" si="11"/>
        <v>2.0052211835601685E-2</v>
      </c>
      <c r="X10" s="452">
        <f t="shared" si="12"/>
        <v>9299.081600000025</v>
      </c>
      <c r="Y10" s="364" t="s">
        <v>437</v>
      </c>
      <c r="Z10" s="364" t="s">
        <v>440</v>
      </c>
      <c r="AA10" s="365"/>
      <c r="AB10" s="365"/>
      <c r="AC10" s="365">
        <v>1</v>
      </c>
      <c r="AD10" s="440" t="s">
        <v>319</v>
      </c>
    </row>
    <row r="11" spans="2:39" s="147" customFormat="1" ht="27" customHeight="1">
      <c r="B11" s="538"/>
      <c r="C11" s="539"/>
      <c r="D11" s="360">
        <v>7</v>
      </c>
      <c r="E11" s="434" t="s">
        <v>356</v>
      </c>
      <c r="F11" s="435">
        <f t="shared" si="0"/>
        <v>1075.3469999999998</v>
      </c>
      <c r="G11" s="363">
        <v>39.389999999999993</v>
      </c>
      <c r="H11" s="436">
        <v>19266.899999999998</v>
      </c>
      <c r="I11" s="436">
        <v>19266.899999999998</v>
      </c>
      <c r="J11" s="438">
        <f t="shared" si="1"/>
        <v>1</v>
      </c>
      <c r="K11" s="437">
        <v>19361.330000000002</v>
      </c>
      <c r="L11" s="438">
        <f t="shared" si="2"/>
        <v>1.0049011517161559</v>
      </c>
      <c r="M11" s="437">
        <v>94.429999999999978</v>
      </c>
      <c r="N11" s="438">
        <f t="shared" si="3"/>
        <v>4.9011517161556863E-3</v>
      </c>
      <c r="O11" s="439">
        <f t="shared" si="4"/>
        <v>19455.760000000002</v>
      </c>
      <c r="P11" s="438">
        <f t="shared" si="5"/>
        <v>1.0098023034323116</v>
      </c>
      <c r="Q11" s="436">
        <v>27.299999999999997</v>
      </c>
      <c r="R11" s="438">
        <f t="shared" si="6"/>
        <v>1.4169378571539791E-3</v>
      </c>
      <c r="S11" s="439">
        <f t="shared" si="7"/>
        <v>188.86000000000422</v>
      </c>
      <c r="T11" s="438">
        <f t="shared" si="8"/>
        <v>9.8023034323115928E-3</v>
      </c>
      <c r="U11" s="362">
        <f t="shared" si="9"/>
        <v>7439.1954000001651</v>
      </c>
      <c r="V11" s="450">
        <f t="shared" si="10"/>
        <v>161.56000000000421</v>
      </c>
      <c r="W11" s="451">
        <f t="shared" si="11"/>
        <v>8.385365575157613E-3</v>
      </c>
      <c r="X11" s="452">
        <f t="shared" si="12"/>
        <v>6363.8484000001645</v>
      </c>
      <c r="Y11" s="364" t="s">
        <v>437</v>
      </c>
      <c r="Z11" s="364" t="s">
        <v>352</v>
      </c>
      <c r="AA11" s="365"/>
      <c r="AB11" s="365"/>
      <c r="AC11" s="365">
        <v>1</v>
      </c>
      <c r="AD11" s="440" t="s">
        <v>319</v>
      </c>
    </row>
    <row r="12" spans="2:39" s="147" customFormat="1" ht="27" customHeight="1">
      <c r="B12" s="538"/>
      <c r="C12" s="539"/>
      <c r="D12" s="360">
        <v>8</v>
      </c>
      <c r="E12" s="434" t="s">
        <v>343</v>
      </c>
      <c r="F12" s="435">
        <f t="shared" si="0"/>
        <v>888.87320000000022</v>
      </c>
      <c r="G12" s="363">
        <v>407.74000000000007</v>
      </c>
      <c r="H12" s="436">
        <v>1133.69</v>
      </c>
      <c r="I12" s="436">
        <v>1133.69</v>
      </c>
      <c r="J12" s="438">
        <f t="shared" si="1"/>
        <v>1</v>
      </c>
      <c r="K12" s="437">
        <v>1144.6999999999998</v>
      </c>
      <c r="L12" s="438">
        <f t="shared" si="2"/>
        <v>1.0097116495691061</v>
      </c>
      <c r="M12" s="437">
        <v>11.01</v>
      </c>
      <c r="N12" s="438">
        <f t="shared" si="3"/>
        <v>9.711649569106192E-3</v>
      </c>
      <c r="O12" s="439">
        <f t="shared" si="4"/>
        <v>1155.7099999999998</v>
      </c>
      <c r="P12" s="438">
        <f t="shared" si="5"/>
        <v>1.0194232991382122</v>
      </c>
      <c r="Q12" s="436">
        <v>2.1800000000000002</v>
      </c>
      <c r="R12" s="438">
        <f t="shared" si="6"/>
        <v>1.9229242561899639E-3</v>
      </c>
      <c r="S12" s="439">
        <f t="shared" si="7"/>
        <v>22.019999999999754</v>
      </c>
      <c r="T12" s="438">
        <f t="shared" si="8"/>
        <v>1.9423299138212169E-2</v>
      </c>
      <c r="U12" s="362">
        <f t="shared" si="9"/>
        <v>8978.4347999999009</v>
      </c>
      <c r="V12" s="450">
        <f t="shared" si="10"/>
        <v>19.839999999999755</v>
      </c>
      <c r="W12" s="451">
        <f t="shared" si="11"/>
        <v>1.7500374882022204E-2</v>
      </c>
      <c r="X12" s="452">
        <f t="shared" si="12"/>
        <v>8089.5615999999009</v>
      </c>
      <c r="Y12" s="364" t="s">
        <v>437</v>
      </c>
      <c r="Z12" s="364" t="s">
        <v>438</v>
      </c>
      <c r="AA12" s="365"/>
      <c r="AB12" s="365"/>
      <c r="AC12" s="365">
        <v>1</v>
      </c>
      <c r="AD12" s="440" t="s">
        <v>342</v>
      </c>
    </row>
    <row r="13" spans="2:39" s="147" customFormat="1" ht="27" customHeight="1">
      <c r="B13" s="538"/>
      <c r="C13" s="539"/>
      <c r="D13" s="360">
        <v>9</v>
      </c>
      <c r="E13" s="434" t="s">
        <v>329</v>
      </c>
      <c r="F13" s="435">
        <f t="shared" si="0"/>
        <v>832.04549999999995</v>
      </c>
      <c r="G13" s="363">
        <v>426.69</v>
      </c>
      <c r="H13" s="436">
        <v>745.88</v>
      </c>
      <c r="I13" s="436">
        <v>745.88</v>
      </c>
      <c r="J13" s="438">
        <f t="shared" si="1"/>
        <v>1</v>
      </c>
      <c r="K13" s="437">
        <v>753.42</v>
      </c>
      <c r="L13" s="438">
        <f t="shared" si="2"/>
        <v>1.010108864696734</v>
      </c>
      <c r="M13" s="437">
        <v>7.54</v>
      </c>
      <c r="N13" s="438">
        <f t="shared" si="3"/>
        <v>1.010886469673406E-2</v>
      </c>
      <c r="O13" s="439">
        <f t="shared" si="4"/>
        <v>760.95999999999992</v>
      </c>
      <c r="P13" s="438">
        <f t="shared" si="5"/>
        <v>1.020217729393468</v>
      </c>
      <c r="Q13" s="436">
        <v>1.95</v>
      </c>
      <c r="R13" s="438">
        <f t="shared" si="6"/>
        <v>2.6143615595001874E-3</v>
      </c>
      <c r="S13" s="439">
        <f t="shared" si="7"/>
        <v>15.079999999999927</v>
      </c>
      <c r="T13" s="438">
        <f t="shared" si="8"/>
        <v>2.0217729393468022E-2</v>
      </c>
      <c r="U13" s="362">
        <f t="shared" si="9"/>
        <v>6434.4851999999692</v>
      </c>
      <c r="V13" s="450">
        <f t="shared" si="10"/>
        <v>13.129999999999928</v>
      </c>
      <c r="W13" s="451">
        <f t="shared" si="11"/>
        <v>1.7603367833967834E-2</v>
      </c>
      <c r="X13" s="452">
        <f t="shared" si="12"/>
        <v>5602.439699999969</v>
      </c>
      <c r="Y13" s="364" t="s">
        <v>437</v>
      </c>
      <c r="Z13" s="364" t="s">
        <v>440</v>
      </c>
      <c r="AA13" s="365"/>
      <c r="AB13" s="376"/>
      <c r="AC13" s="365">
        <v>1</v>
      </c>
      <c r="AD13" s="440" t="s">
        <v>328</v>
      </c>
      <c r="AH13" s="367"/>
    </row>
    <row r="14" spans="2:39" s="147" customFormat="1" ht="27" customHeight="1">
      <c r="B14" s="538"/>
      <c r="C14" s="539"/>
      <c r="D14" s="360">
        <v>10</v>
      </c>
      <c r="E14" s="434" t="s">
        <v>444</v>
      </c>
      <c r="F14" s="435">
        <f t="shared" si="0"/>
        <v>822.65719999999999</v>
      </c>
      <c r="G14" s="363">
        <v>66.13</v>
      </c>
      <c r="H14" s="436">
        <v>2037</v>
      </c>
      <c r="I14" s="436">
        <v>2037</v>
      </c>
      <c r="J14" s="438">
        <f t="shared" si="1"/>
        <v>1</v>
      </c>
      <c r="K14" s="437">
        <v>2088.4899999999998</v>
      </c>
      <c r="L14" s="438">
        <f t="shared" si="2"/>
        <v>1.0252773686794305</v>
      </c>
      <c r="M14" s="437">
        <v>51.489999999999995</v>
      </c>
      <c r="N14" s="438">
        <f t="shared" si="3"/>
        <v>2.5277368679430534E-2</v>
      </c>
      <c r="O14" s="439">
        <f t="shared" si="4"/>
        <v>2139.9799999999996</v>
      </c>
      <c r="P14" s="438">
        <f t="shared" si="5"/>
        <v>1.0505547373588608</v>
      </c>
      <c r="Q14" s="436">
        <v>12.440000000000001</v>
      </c>
      <c r="R14" s="438">
        <f t="shared" si="6"/>
        <v>6.1070201276386847E-3</v>
      </c>
      <c r="S14" s="439">
        <f t="shared" si="7"/>
        <v>102.97999999999956</v>
      </c>
      <c r="T14" s="438">
        <f t="shared" si="8"/>
        <v>5.0554737358860853E-2</v>
      </c>
      <c r="U14" s="362">
        <f t="shared" si="9"/>
        <v>6810.0673999999708</v>
      </c>
      <c r="V14" s="450">
        <f t="shared" si="10"/>
        <v>90.539999999999566</v>
      </c>
      <c r="W14" s="451">
        <f t="shared" si="11"/>
        <v>4.4447717231222171E-2</v>
      </c>
      <c r="X14" s="452">
        <f t="shared" si="12"/>
        <v>5987.4101999999712</v>
      </c>
      <c r="Y14" s="364" t="s">
        <v>437</v>
      </c>
      <c r="Z14" s="364" t="s">
        <v>440</v>
      </c>
      <c r="AA14" s="365"/>
      <c r="AB14" s="365"/>
      <c r="AC14" s="365">
        <v>1</v>
      </c>
      <c r="AD14" s="440" t="s">
        <v>231</v>
      </c>
      <c r="AH14" s="367"/>
    </row>
    <row r="15" spans="2:39" s="147" customFormat="1" ht="27" customHeight="1">
      <c r="B15" s="538"/>
      <c r="C15" s="539"/>
      <c r="D15" s="360">
        <v>11</v>
      </c>
      <c r="E15" s="434" t="s">
        <v>445</v>
      </c>
      <c r="F15" s="435">
        <f t="shared" si="0"/>
        <v>815.18970000000002</v>
      </c>
      <c r="G15" s="363">
        <v>145.83000000000001</v>
      </c>
      <c r="H15" s="436">
        <v>371.5</v>
      </c>
      <c r="I15" s="436">
        <v>371.5</v>
      </c>
      <c r="J15" s="438">
        <f t="shared" si="1"/>
        <v>1</v>
      </c>
      <c r="K15" s="437">
        <v>384.40000000000003</v>
      </c>
      <c r="L15" s="438">
        <f t="shared" si="2"/>
        <v>1.0347240915208615</v>
      </c>
      <c r="M15" s="437">
        <v>12.900000000000002</v>
      </c>
      <c r="N15" s="438">
        <f t="shared" si="3"/>
        <v>3.472409152086138E-2</v>
      </c>
      <c r="O15" s="439">
        <f t="shared" si="4"/>
        <v>397.3</v>
      </c>
      <c r="P15" s="438">
        <f t="shared" si="5"/>
        <v>1.0694481830417228</v>
      </c>
      <c r="Q15" s="436">
        <v>5.59</v>
      </c>
      <c r="R15" s="438">
        <f t="shared" si="6"/>
        <v>1.5047106325706595E-2</v>
      </c>
      <c r="S15" s="439">
        <f t="shared" si="7"/>
        <v>25.800000000000011</v>
      </c>
      <c r="T15" s="438">
        <f t="shared" si="8"/>
        <v>6.9448183041722775E-2</v>
      </c>
      <c r="U15" s="362">
        <f t="shared" si="9"/>
        <v>3762.414000000002</v>
      </c>
      <c r="V15" s="450">
        <f t="shared" si="10"/>
        <v>20.210000000000012</v>
      </c>
      <c r="W15" s="451">
        <f t="shared" si="11"/>
        <v>5.4401076716016183E-2</v>
      </c>
      <c r="X15" s="452">
        <f t="shared" si="12"/>
        <v>2947.2243000000021</v>
      </c>
      <c r="Y15" s="364" t="s">
        <v>437</v>
      </c>
      <c r="Z15" s="364" t="s">
        <v>440</v>
      </c>
      <c r="AA15" s="365"/>
      <c r="AB15" s="365"/>
      <c r="AC15" s="365">
        <v>1</v>
      </c>
      <c r="AD15" s="440" t="s">
        <v>254</v>
      </c>
      <c r="AH15" s="367"/>
    </row>
    <row r="16" spans="2:39" s="147" customFormat="1" ht="26.25" customHeight="1">
      <c r="B16" s="538"/>
      <c r="C16" s="539"/>
      <c r="D16" s="360">
        <v>12</v>
      </c>
      <c r="E16" s="434" t="s">
        <v>446</v>
      </c>
      <c r="F16" s="435">
        <f t="shared" si="0"/>
        <v>814.70219999999995</v>
      </c>
      <c r="G16" s="363">
        <v>91.13</v>
      </c>
      <c r="H16" s="436">
        <v>783.99999999999989</v>
      </c>
      <c r="I16" s="436">
        <v>783.99999999999989</v>
      </c>
      <c r="J16" s="438">
        <f t="shared" si="1"/>
        <v>1</v>
      </c>
      <c r="K16" s="437">
        <v>811.19</v>
      </c>
      <c r="L16" s="438">
        <f t="shared" si="2"/>
        <v>1.0346811224489798</v>
      </c>
      <c r="M16" s="437">
        <v>27.19</v>
      </c>
      <c r="N16" s="438">
        <f t="shared" si="3"/>
        <v>3.4681122448979598E-2</v>
      </c>
      <c r="O16" s="439">
        <f t="shared" si="4"/>
        <v>838.38000000000011</v>
      </c>
      <c r="P16" s="438">
        <f t="shared" si="5"/>
        <v>1.0693622448979594</v>
      </c>
      <c r="Q16" s="436">
        <v>8.94</v>
      </c>
      <c r="R16" s="438">
        <f t="shared" si="6"/>
        <v>1.1403061224489797E-2</v>
      </c>
      <c r="S16" s="439">
        <f t="shared" si="7"/>
        <v>54.380000000000223</v>
      </c>
      <c r="T16" s="438">
        <f t="shared" si="8"/>
        <v>6.9362244897959474E-2</v>
      </c>
      <c r="U16" s="362">
        <f t="shared" si="9"/>
        <v>4955.6494000000203</v>
      </c>
      <c r="V16" s="450">
        <f t="shared" si="10"/>
        <v>45.440000000000225</v>
      </c>
      <c r="W16" s="451">
        <f t="shared" si="11"/>
        <v>5.795918367346968E-2</v>
      </c>
      <c r="X16" s="452">
        <f t="shared" si="12"/>
        <v>4140.9472000000205</v>
      </c>
      <c r="Y16" s="364" t="s">
        <v>437</v>
      </c>
      <c r="Z16" s="364" t="s">
        <v>440</v>
      </c>
      <c r="AA16" s="365"/>
      <c r="AB16" s="365"/>
      <c r="AC16" s="365">
        <v>1</v>
      </c>
      <c r="AD16" s="440" t="s">
        <v>243</v>
      </c>
      <c r="AH16" s="367"/>
    </row>
    <row r="17" spans="2:39" s="147" customFormat="1" ht="27" customHeight="1">
      <c r="B17" s="538"/>
      <c r="C17" s="539"/>
      <c r="D17" s="360">
        <v>13</v>
      </c>
      <c r="E17" s="434" t="s">
        <v>350</v>
      </c>
      <c r="F17" s="435">
        <f t="shared" si="0"/>
        <v>814.49550000000011</v>
      </c>
      <c r="G17" s="363">
        <v>122.85000000000001</v>
      </c>
      <c r="H17" s="436">
        <v>627.19000000000005</v>
      </c>
      <c r="I17" s="436">
        <v>627.19000000000005</v>
      </c>
      <c r="J17" s="438">
        <f t="shared" si="1"/>
        <v>1</v>
      </c>
      <c r="K17" s="437">
        <v>647.6</v>
      </c>
      <c r="L17" s="438">
        <f t="shared" si="2"/>
        <v>1.0325419729268641</v>
      </c>
      <c r="M17" s="437">
        <v>20.41</v>
      </c>
      <c r="N17" s="438">
        <f t="shared" si="3"/>
        <v>3.2541972926864268E-2</v>
      </c>
      <c r="O17" s="439">
        <f t="shared" si="4"/>
        <v>668.01</v>
      </c>
      <c r="P17" s="438">
        <f t="shared" si="5"/>
        <v>1.0650839458537285</v>
      </c>
      <c r="Q17" s="436">
        <v>6.6300000000000008</v>
      </c>
      <c r="R17" s="438">
        <f t="shared" si="6"/>
        <v>1.0570959358408138E-2</v>
      </c>
      <c r="S17" s="439">
        <f t="shared" si="7"/>
        <v>40.819999999999936</v>
      </c>
      <c r="T17" s="438">
        <f t="shared" si="8"/>
        <v>6.5083945853728425E-2</v>
      </c>
      <c r="U17" s="362">
        <f t="shared" si="9"/>
        <v>5014.7369999999928</v>
      </c>
      <c r="V17" s="450">
        <f t="shared" si="10"/>
        <v>34.189999999999934</v>
      </c>
      <c r="W17" s="451">
        <f t="shared" si="11"/>
        <v>5.4512986495320284E-2</v>
      </c>
      <c r="X17" s="452">
        <f t="shared" si="12"/>
        <v>4200.2414999999919</v>
      </c>
      <c r="Y17" s="364" t="s">
        <v>437</v>
      </c>
      <c r="Z17" s="364" t="s">
        <v>347</v>
      </c>
      <c r="AA17" s="365"/>
      <c r="AB17" s="365"/>
      <c r="AC17" s="365">
        <v>1</v>
      </c>
      <c r="AD17" s="440" t="s">
        <v>243</v>
      </c>
    </row>
    <row r="18" spans="2:39" s="147" customFormat="1" ht="27" customHeight="1">
      <c r="B18" s="538"/>
      <c r="C18" s="539"/>
      <c r="D18" s="360">
        <v>14</v>
      </c>
      <c r="E18" s="434" t="s">
        <v>447</v>
      </c>
      <c r="F18" s="435">
        <f t="shared" si="0"/>
        <v>814.33799999999997</v>
      </c>
      <c r="G18" s="363">
        <v>84.3</v>
      </c>
      <c r="H18" s="436">
        <v>1385.0500000000002</v>
      </c>
      <c r="I18" s="436">
        <v>1385.0500000000002</v>
      </c>
      <c r="J18" s="438">
        <f t="shared" si="1"/>
        <v>1</v>
      </c>
      <c r="K18" s="437">
        <v>1419.23</v>
      </c>
      <c r="L18" s="438">
        <f t="shared" si="2"/>
        <v>1.0246778094653621</v>
      </c>
      <c r="M18" s="437">
        <v>34.18</v>
      </c>
      <c r="N18" s="438">
        <f t="shared" si="3"/>
        <v>2.4677809465362258E-2</v>
      </c>
      <c r="O18" s="439">
        <f t="shared" si="4"/>
        <v>1453.41</v>
      </c>
      <c r="P18" s="438">
        <f t="shared" si="5"/>
        <v>1.0493556189307245</v>
      </c>
      <c r="Q18" s="436">
        <v>9.66</v>
      </c>
      <c r="R18" s="438">
        <f t="shared" si="6"/>
        <v>6.9744774556875196E-3</v>
      </c>
      <c r="S18" s="439">
        <f t="shared" si="7"/>
        <v>68.3599999999999</v>
      </c>
      <c r="T18" s="438">
        <f t="shared" si="8"/>
        <v>4.9355618930724446E-2</v>
      </c>
      <c r="U18" s="362">
        <f t="shared" si="9"/>
        <v>5762.7479999999914</v>
      </c>
      <c r="V18" s="450">
        <f t="shared" si="10"/>
        <v>58.699999999999903</v>
      </c>
      <c r="W18" s="451">
        <f t="shared" si="11"/>
        <v>4.2381141475036924E-2</v>
      </c>
      <c r="X18" s="452">
        <f t="shared" si="12"/>
        <v>4948.4099999999917</v>
      </c>
      <c r="Y18" s="364" t="s">
        <v>437</v>
      </c>
      <c r="Z18" s="364" t="s">
        <v>440</v>
      </c>
      <c r="AA18" s="364"/>
      <c r="AB18" s="365"/>
      <c r="AC18" s="365">
        <v>1</v>
      </c>
      <c r="AD18" s="440" t="s">
        <v>234</v>
      </c>
    </row>
    <row r="19" spans="2:39" s="147" customFormat="1" ht="27" customHeight="1">
      <c r="B19" s="538"/>
      <c r="C19" s="539"/>
      <c r="D19" s="360">
        <v>15</v>
      </c>
      <c r="E19" s="434" t="s">
        <v>448</v>
      </c>
      <c r="F19" s="435">
        <f t="shared" si="0"/>
        <v>813.96050000000002</v>
      </c>
      <c r="G19" s="363">
        <v>142.54999999999998</v>
      </c>
      <c r="H19" s="436">
        <v>605.73</v>
      </c>
      <c r="I19" s="436">
        <v>605.73</v>
      </c>
      <c r="J19" s="438">
        <f t="shared" si="1"/>
        <v>1</v>
      </c>
      <c r="K19" s="437">
        <v>626.85</v>
      </c>
      <c r="L19" s="438">
        <f t="shared" si="2"/>
        <v>1.0348670199593879</v>
      </c>
      <c r="M19" s="437">
        <v>21.119999999999997</v>
      </c>
      <c r="N19" s="438">
        <f t="shared" si="3"/>
        <v>3.4867019959387839E-2</v>
      </c>
      <c r="O19" s="439">
        <f t="shared" si="4"/>
        <v>647.97</v>
      </c>
      <c r="P19" s="438">
        <f t="shared" si="5"/>
        <v>1.0697340399187758</v>
      </c>
      <c r="Q19" s="436">
        <v>5.7100000000000009</v>
      </c>
      <c r="R19" s="438">
        <f t="shared" si="6"/>
        <v>9.4266422333382869E-3</v>
      </c>
      <c r="S19" s="439">
        <f t="shared" si="7"/>
        <v>42.240000000000009</v>
      </c>
      <c r="T19" s="438">
        <f t="shared" si="8"/>
        <v>6.9734039918775706E-2</v>
      </c>
      <c r="U19" s="362">
        <f t="shared" si="9"/>
        <v>6021.3120000000008</v>
      </c>
      <c r="V19" s="450">
        <f t="shared" si="10"/>
        <v>36.530000000000008</v>
      </c>
      <c r="W19" s="451">
        <f t="shared" si="11"/>
        <v>6.0307397685437421E-2</v>
      </c>
      <c r="X19" s="452">
        <f t="shared" si="12"/>
        <v>5207.3515000000007</v>
      </c>
      <c r="Y19" s="364" t="s">
        <v>437</v>
      </c>
      <c r="Z19" s="364" t="s">
        <v>440</v>
      </c>
      <c r="AA19" s="365"/>
      <c r="AB19" s="365"/>
      <c r="AC19" s="365">
        <v>1</v>
      </c>
      <c r="AD19" s="440" t="s">
        <v>339</v>
      </c>
    </row>
    <row r="20" spans="2:39" s="147" customFormat="1" ht="27" customHeight="1">
      <c r="B20" s="538"/>
      <c r="C20" s="539"/>
      <c r="D20" s="360">
        <v>16</v>
      </c>
      <c r="E20" s="434" t="s">
        <v>449</v>
      </c>
      <c r="F20" s="435">
        <f t="shared" si="0"/>
        <v>813.94880000000035</v>
      </c>
      <c r="G20" s="363">
        <v>113.68000000000004</v>
      </c>
      <c r="H20" s="436">
        <v>1003.3</v>
      </c>
      <c r="I20" s="436">
        <v>1003.3</v>
      </c>
      <c r="J20" s="438">
        <f t="shared" si="1"/>
        <v>1</v>
      </c>
      <c r="K20" s="437">
        <v>1028.3800000000001</v>
      </c>
      <c r="L20" s="438">
        <f t="shared" si="2"/>
        <v>1.0249975082228646</v>
      </c>
      <c r="M20" s="437">
        <v>25.080000000000002</v>
      </c>
      <c r="N20" s="438">
        <f t="shared" si="3"/>
        <v>2.4997508222864551E-2</v>
      </c>
      <c r="O20" s="439">
        <f t="shared" si="4"/>
        <v>1053.46</v>
      </c>
      <c r="P20" s="438">
        <f t="shared" si="5"/>
        <v>1.0499950164457292</v>
      </c>
      <c r="Q20" s="436">
        <v>7.160000000000001</v>
      </c>
      <c r="R20" s="438">
        <f t="shared" si="6"/>
        <v>7.1364497159374079E-3</v>
      </c>
      <c r="S20" s="439">
        <f t="shared" si="7"/>
        <v>50.160000000000082</v>
      </c>
      <c r="T20" s="438">
        <f t="shared" si="8"/>
        <v>4.9995016445729179E-2</v>
      </c>
      <c r="U20" s="362">
        <f t="shared" si="9"/>
        <v>5702.1888000000108</v>
      </c>
      <c r="V20" s="450">
        <f t="shared" si="10"/>
        <v>43.000000000000078</v>
      </c>
      <c r="W20" s="451">
        <f t="shared" si="11"/>
        <v>4.2858566729791769E-2</v>
      </c>
      <c r="X20" s="452">
        <f t="shared" si="12"/>
        <v>4888.2400000000107</v>
      </c>
      <c r="Y20" s="364" t="s">
        <v>437</v>
      </c>
      <c r="Z20" s="364" t="s">
        <v>440</v>
      </c>
      <c r="AA20" s="376"/>
      <c r="AB20" s="365"/>
      <c r="AC20" s="365">
        <v>1</v>
      </c>
      <c r="AD20" s="440" t="s">
        <v>235</v>
      </c>
    </row>
    <row r="21" spans="2:39" s="147" customFormat="1" ht="27" customHeight="1">
      <c r="B21" s="538"/>
      <c r="C21" s="539"/>
      <c r="D21" s="360">
        <v>17</v>
      </c>
      <c r="E21" s="434" t="s">
        <v>450</v>
      </c>
      <c r="F21" s="435">
        <f t="shared" si="0"/>
        <v>813.89800000000025</v>
      </c>
      <c r="G21" s="363">
        <v>98.060000000000016</v>
      </c>
      <c r="H21" s="436">
        <v>771.5</v>
      </c>
      <c r="I21" s="436">
        <v>771.5</v>
      </c>
      <c r="J21" s="438">
        <f t="shared" si="1"/>
        <v>1</v>
      </c>
      <c r="K21" s="437">
        <v>792.93</v>
      </c>
      <c r="L21" s="438">
        <f t="shared" si="2"/>
        <v>1.0277770576798444</v>
      </c>
      <c r="M21" s="437">
        <v>21.43</v>
      </c>
      <c r="N21" s="438">
        <f t="shared" si="3"/>
        <v>2.7777057679844459E-2</v>
      </c>
      <c r="O21" s="439">
        <f t="shared" si="4"/>
        <v>814.3599999999999</v>
      </c>
      <c r="P21" s="438">
        <f t="shared" si="5"/>
        <v>1.0555541153596888</v>
      </c>
      <c r="Q21" s="436">
        <v>8.3000000000000007</v>
      </c>
      <c r="R21" s="438">
        <f t="shared" si="6"/>
        <v>1.0758263123784835E-2</v>
      </c>
      <c r="S21" s="439">
        <f t="shared" si="7"/>
        <v>42.8599999999999</v>
      </c>
      <c r="T21" s="438">
        <f t="shared" si="8"/>
        <v>5.5554115359688787E-2</v>
      </c>
      <c r="U21" s="362">
        <f t="shared" si="9"/>
        <v>4202.8515999999909</v>
      </c>
      <c r="V21" s="450">
        <f t="shared" si="10"/>
        <v>34.559999999999903</v>
      </c>
      <c r="W21" s="451">
        <f t="shared" si="11"/>
        <v>4.479585223590396E-2</v>
      </c>
      <c r="X21" s="452">
        <f t="shared" si="12"/>
        <v>3388.9535999999912</v>
      </c>
      <c r="Y21" s="364" t="s">
        <v>437</v>
      </c>
      <c r="Z21" s="364" t="s">
        <v>440</v>
      </c>
      <c r="AA21" s="365"/>
      <c r="AB21" s="365"/>
      <c r="AC21" s="365">
        <v>1</v>
      </c>
      <c r="AD21" s="440" t="s">
        <v>236</v>
      </c>
    </row>
    <row r="22" spans="2:39" s="147" customFormat="1" ht="27" customHeight="1">
      <c r="B22" s="538"/>
      <c r="C22" s="539"/>
      <c r="D22" s="360">
        <v>18</v>
      </c>
      <c r="E22" s="434" t="s">
        <v>451</v>
      </c>
      <c r="F22" s="435">
        <f t="shared" si="0"/>
        <v>813.84980000000019</v>
      </c>
      <c r="G22" s="363">
        <v>70.220000000000013</v>
      </c>
      <c r="H22" s="436">
        <v>1926.54</v>
      </c>
      <c r="I22" s="436">
        <v>1926.54</v>
      </c>
      <c r="J22" s="438">
        <f t="shared" si="1"/>
        <v>1</v>
      </c>
      <c r="K22" s="437">
        <v>1972.9099999999999</v>
      </c>
      <c r="L22" s="438">
        <f t="shared" si="2"/>
        <v>1.0240690564431572</v>
      </c>
      <c r="M22" s="437">
        <v>46.37</v>
      </c>
      <c r="N22" s="438">
        <f t="shared" si="3"/>
        <v>2.4069056443157162E-2</v>
      </c>
      <c r="O22" s="439">
        <f t="shared" si="4"/>
        <v>2019.2799999999997</v>
      </c>
      <c r="P22" s="438">
        <f t="shared" si="5"/>
        <v>1.0481381128863143</v>
      </c>
      <c r="Q22" s="436">
        <v>11.59</v>
      </c>
      <c r="R22" s="438">
        <f t="shared" si="6"/>
        <v>6.0159664476211235E-3</v>
      </c>
      <c r="S22" s="439">
        <f t="shared" si="7"/>
        <v>92.739999999999782</v>
      </c>
      <c r="T22" s="438">
        <f t="shared" si="8"/>
        <v>4.8138112886314213E-2</v>
      </c>
      <c r="U22" s="362">
        <f t="shared" si="9"/>
        <v>6512.2027999999855</v>
      </c>
      <c r="V22" s="450">
        <f t="shared" si="10"/>
        <v>81.149999999999778</v>
      </c>
      <c r="W22" s="451">
        <f t="shared" si="11"/>
        <v>4.2122146438693088E-2</v>
      </c>
      <c r="X22" s="452">
        <f t="shared" si="12"/>
        <v>5698.3529999999855</v>
      </c>
      <c r="Y22" s="364" t="s">
        <v>437</v>
      </c>
      <c r="Z22" s="364" t="s">
        <v>440</v>
      </c>
      <c r="AA22" s="376"/>
      <c r="AB22" s="365"/>
      <c r="AC22" s="365">
        <v>1</v>
      </c>
      <c r="AD22" s="440" t="s">
        <v>233</v>
      </c>
    </row>
    <row r="23" spans="2:39" s="147" customFormat="1" ht="27" customHeight="1">
      <c r="B23" s="538"/>
      <c r="C23" s="539"/>
      <c r="D23" s="360">
        <v>19</v>
      </c>
      <c r="E23" s="434" t="s">
        <v>324</v>
      </c>
      <c r="F23" s="435">
        <f t="shared" si="0"/>
        <v>813.68429999999989</v>
      </c>
      <c r="G23" s="363">
        <v>160.49</v>
      </c>
      <c r="H23" s="436">
        <v>644.16000000000008</v>
      </c>
      <c r="I23" s="436">
        <v>644.16000000000008</v>
      </c>
      <c r="J23" s="438">
        <f t="shared" si="1"/>
        <v>1</v>
      </c>
      <c r="K23" s="437">
        <v>661.85</v>
      </c>
      <c r="L23" s="438">
        <f t="shared" si="2"/>
        <v>1.0274621212121211</v>
      </c>
      <c r="M23" s="437">
        <v>17.689999999999998</v>
      </c>
      <c r="N23" s="438">
        <f t="shared" si="3"/>
        <v>2.7462121212121205E-2</v>
      </c>
      <c r="O23" s="439">
        <f t="shared" si="4"/>
        <v>679.54</v>
      </c>
      <c r="P23" s="438">
        <f t="shared" si="5"/>
        <v>1.0549242424242422</v>
      </c>
      <c r="Q23" s="436">
        <v>5.0699999999999994</v>
      </c>
      <c r="R23" s="438">
        <f t="shared" si="6"/>
        <v>7.870715350223545E-3</v>
      </c>
      <c r="S23" s="439">
        <f t="shared" si="7"/>
        <v>35.379999999999882</v>
      </c>
      <c r="T23" s="438">
        <f t="shared" si="8"/>
        <v>5.4924242424242237E-2</v>
      </c>
      <c r="U23" s="362">
        <f t="shared" si="9"/>
        <v>5678.1361999999817</v>
      </c>
      <c r="V23" s="450">
        <f t="shared" si="10"/>
        <v>30.309999999999881</v>
      </c>
      <c r="W23" s="451">
        <f t="shared" si="11"/>
        <v>4.7053527074018685E-2</v>
      </c>
      <c r="X23" s="452">
        <f t="shared" si="12"/>
        <v>4864.4518999999809</v>
      </c>
      <c r="Y23" s="364" t="s">
        <v>437</v>
      </c>
      <c r="Z23" s="364" t="s">
        <v>440</v>
      </c>
      <c r="AA23" s="365"/>
      <c r="AB23" s="365"/>
      <c r="AC23" s="365">
        <v>1</v>
      </c>
      <c r="AD23" s="440" t="s">
        <v>239</v>
      </c>
    </row>
    <row r="24" spans="2:39" s="147" customFormat="1" ht="27" customHeight="1">
      <c r="B24" s="540"/>
      <c r="C24" s="541"/>
      <c r="D24" s="360">
        <v>20</v>
      </c>
      <c r="E24" s="434" t="s">
        <v>452</v>
      </c>
      <c r="F24" s="435">
        <f t="shared" si="0"/>
        <v>813.58939999999984</v>
      </c>
      <c r="G24" s="363">
        <v>368.13999999999993</v>
      </c>
      <c r="H24" s="436">
        <v>404.89</v>
      </c>
      <c r="I24" s="436">
        <v>404.89</v>
      </c>
      <c r="J24" s="438">
        <f t="shared" si="1"/>
        <v>1</v>
      </c>
      <c r="K24" s="437">
        <v>414.29999999999995</v>
      </c>
      <c r="L24" s="438">
        <f t="shared" si="2"/>
        <v>1.0232408802390771</v>
      </c>
      <c r="M24" s="437">
        <v>9.4099999999999984</v>
      </c>
      <c r="N24" s="438">
        <f t="shared" si="3"/>
        <v>2.3240880239077277E-2</v>
      </c>
      <c r="O24" s="439">
        <f t="shared" si="4"/>
        <v>423.71</v>
      </c>
      <c r="P24" s="438">
        <f t="shared" si="5"/>
        <v>1.0464817604781544</v>
      </c>
      <c r="Q24" s="436">
        <v>2.21</v>
      </c>
      <c r="R24" s="438">
        <f t="shared" si="6"/>
        <v>5.4582726172540692E-3</v>
      </c>
      <c r="S24" s="439">
        <f t="shared" si="7"/>
        <v>18.819999999999993</v>
      </c>
      <c r="T24" s="438">
        <f t="shared" si="8"/>
        <v>4.6481760478154548E-2</v>
      </c>
      <c r="U24" s="362">
        <f t="shared" si="9"/>
        <v>6928.3947999999964</v>
      </c>
      <c r="V24" s="450">
        <f t="shared" si="10"/>
        <v>16.609999999999992</v>
      </c>
      <c r="W24" s="451">
        <f t="shared" si="11"/>
        <v>4.1023487860900473E-2</v>
      </c>
      <c r="X24" s="452">
        <f t="shared" si="12"/>
        <v>6114.8053999999956</v>
      </c>
      <c r="Y24" s="364" t="s">
        <v>437</v>
      </c>
      <c r="Z24" s="364" t="s">
        <v>440</v>
      </c>
      <c r="AA24" s="365"/>
      <c r="AB24" s="365"/>
      <c r="AC24" s="365">
        <v>1</v>
      </c>
      <c r="AD24" s="440" t="s">
        <v>239</v>
      </c>
    </row>
    <row r="25" spans="2:39" ht="17.100000000000001" customHeight="1">
      <c r="B25" s="552" t="s">
        <v>415</v>
      </c>
      <c r="C25" s="553"/>
      <c r="D25" s="556" t="s">
        <v>416</v>
      </c>
      <c r="E25" s="557" t="s">
        <v>417</v>
      </c>
      <c r="F25" s="559" t="s">
        <v>418</v>
      </c>
      <c r="G25" s="525" t="s">
        <v>419</v>
      </c>
      <c r="H25" s="560" t="s">
        <v>420</v>
      </c>
      <c r="I25" s="542" t="s">
        <v>421</v>
      </c>
      <c r="J25" s="543"/>
      <c r="K25" s="542" t="s">
        <v>422</v>
      </c>
      <c r="L25" s="543"/>
      <c r="M25" s="542" t="s">
        <v>423</v>
      </c>
      <c r="N25" s="543"/>
      <c r="O25" s="542" t="s">
        <v>424</v>
      </c>
      <c r="P25" s="543"/>
      <c r="Q25" s="542" t="s">
        <v>375</v>
      </c>
      <c r="R25" s="543"/>
      <c r="S25" s="545" t="s">
        <v>377</v>
      </c>
      <c r="T25" s="546"/>
      <c r="U25" s="921"/>
      <c r="V25" s="547" t="s">
        <v>425</v>
      </c>
      <c r="W25" s="548"/>
      <c r="X25" s="549"/>
      <c r="Y25" s="550" t="s">
        <v>426</v>
      </c>
      <c r="Z25" s="550" t="s">
        <v>427</v>
      </c>
      <c r="AA25" s="550" t="s">
        <v>428</v>
      </c>
      <c r="AB25" s="550" t="s">
        <v>429</v>
      </c>
      <c r="AC25" s="550" t="s">
        <v>430</v>
      </c>
      <c r="AD25" s="525" t="s">
        <v>431</v>
      </c>
      <c r="AF25" s="527" t="s">
        <v>432</v>
      </c>
      <c r="AG25" s="528"/>
      <c r="AH25" s="528"/>
      <c r="AI25" s="528"/>
      <c r="AJ25" s="528"/>
      <c r="AK25" s="528"/>
      <c r="AL25" s="528"/>
      <c r="AM25" s="529"/>
    </row>
    <row r="26" spans="2:39">
      <c r="B26" s="554"/>
      <c r="C26" s="555"/>
      <c r="D26" s="556"/>
      <c r="E26" s="556"/>
      <c r="F26" s="559"/>
      <c r="G26" s="526"/>
      <c r="H26" s="526"/>
      <c r="I26" s="433" t="s">
        <v>433</v>
      </c>
      <c r="J26" s="361" t="s">
        <v>434</v>
      </c>
      <c r="K26" s="433" t="s">
        <v>433</v>
      </c>
      <c r="L26" s="361" t="s">
        <v>434</v>
      </c>
      <c r="M26" s="433" t="s">
        <v>433</v>
      </c>
      <c r="N26" s="361" t="s">
        <v>434</v>
      </c>
      <c r="O26" s="433" t="s">
        <v>433</v>
      </c>
      <c r="P26" s="361" t="s">
        <v>434</v>
      </c>
      <c r="Q26" s="433" t="s">
        <v>433</v>
      </c>
      <c r="R26" s="361" t="s">
        <v>434</v>
      </c>
      <c r="S26" s="433" t="s">
        <v>433</v>
      </c>
      <c r="T26" s="361" t="s">
        <v>434</v>
      </c>
      <c r="U26" s="361" t="s">
        <v>435</v>
      </c>
      <c r="V26" s="433" t="s">
        <v>433</v>
      </c>
      <c r="W26" s="361" t="s">
        <v>434</v>
      </c>
      <c r="X26" s="361" t="s">
        <v>435</v>
      </c>
      <c r="Y26" s="551"/>
      <c r="Z26" s="551"/>
      <c r="AA26" s="551"/>
      <c r="AB26" s="551"/>
      <c r="AC26" s="551"/>
      <c r="AD26" s="526"/>
      <c r="AF26" s="530"/>
      <c r="AG26" s="531"/>
      <c r="AH26" s="531"/>
      <c r="AI26" s="531"/>
      <c r="AJ26" s="531"/>
      <c r="AK26" s="531"/>
      <c r="AL26" s="531"/>
      <c r="AM26" s="532"/>
    </row>
    <row r="27" spans="2:39" s="147" customFormat="1" ht="27" customHeight="1">
      <c r="B27" s="536" t="s">
        <v>453</v>
      </c>
      <c r="C27" s="537"/>
      <c r="D27" s="360">
        <v>1</v>
      </c>
      <c r="E27" s="434"/>
      <c r="F27" s="435">
        <f>IFERROR(Q27*G27,"-")</f>
        <v>0</v>
      </c>
      <c r="G27" s="363"/>
      <c r="H27" s="436"/>
      <c r="I27" s="436"/>
      <c r="J27" s="438" t="str">
        <f>IFERROR(I27/H27,"-")</f>
        <v>-</v>
      </c>
      <c r="K27" s="437"/>
      <c r="L27" s="438" t="str">
        <f>IFERROR(K27/H27,"-")</f>
        <v>-</v>
      </c>
      <c r="M27" s="437"/>
      <c r="N27" s="438" t="str">
        <f>IFERROR(M27/H27,"-")</f>
        <v>-</v>
      </c>
      <c r="O27" s="439">
        <f>IFERROR(K27+M27,"-")</f>
        <v>0</v>
      </c>
      <c r="P27" s="438" t="str">
        <f>IFERROR(O27/H27,"-")</f>
        <v>-</v>
      </c>
      <c r="Q27" s="436"/>
      <c r="R27" s="438" t="str">
        <f>IFERROR(Q27/H27,"-")</f>
        <v>-</v>
      </c>
      <c r="S27" s="439">
        <f>IFERROR(O27-H27,"-")</f>
        <v>0</v>
      </c>
      <c r="T27" s="438" t="str">
        <f>IFERROR(S27/H27,"-")</f>
        <v>-</v>
      </c>
      <c r="U27" s="362">
        <f>IFERROR(S27*G27,"-")</f>
        <v>0</v>
      </c>
      <c r="V27" s="450">
        <f>S27-Q27</f>
        <v>0</v>
      </c>
      <c r="W27" s="451" t="str">
        <f>IFERROR(V27/H27,"-")</f>
        <v>-</v>
      </c>
      <c r="X27" s="452">
        <f>IFERROR(V27*G27,"-")</f>
        <v>0</v>
      </c>
      <c r="Y27" s="364" t="s">
        <v>437</v>
      </c>
      <c r="Z27" s="364" t="s">
        <v>352</v>
      </c>
      <c r="AA27" s="365"/>
      <c r="AB27" s="365"/>
      <c r="AC27" s="365">
        <v>1</v>
      </c>
      <c r="AD27" s="440"/>
      <c r="AF27" s="533"/>
      <c r="AG27" s="534"/>
      <c r="AH27" s="534"/>
      <c r="AI27" s="534"/>
      <c r="AJ27" s="534"/>
      <c r="AK27" s="534"/>
      <c r="AL27" s="534"/>
      <c r="AM27" s="535"/>
    </row>
    <row r="28" spans="2:39" s="147" customFormat="1" ht="27" customHeight="1">
      <c r="B28" s="538"/>
      <c r="C28" s="539"/>
      <c r="D28" s="360">
        <v>2</v>
      </c>
      <c r="E28" s="434"/>
      <c r="F28" s="435">
        <f t="shared" ref="F28:F46" si="15">IFERROR(Q28*G28,"-")</f>
        <v>0</v>
      </c>
      <c r="G28" s="363"/>
      <c r="H28" s="436"/>
      <c r="I28" s="436"/>
      <c r="J28" s="438" t="str">
        <f t="shared" ref="J28:J46" si="16">IFERROR(I28/H28,"-")</f>
        <v>-</v>
      </c>
      <c r="K28" s="437"/>
      <c r="L28" s="438" t="str">
        <f t="shared" ref="L28:L46" si="17">IFERROR(K28/H28,"-")</f>
        <v>-</v>
      </c>
      <c r="M28" s="437"/>
      <c r="N28" s="438" t="str">
        <f t="shared" ref="N28:N46" si="18">IFERROR(M28/H28,"-")</f>
        <v>-</v>
      </c>
      <c r="O28" s="439">
        <f t="shared" ref="O28:O46" si="19">IFERROR(K28+M28,"-")</f>
        <v>0</v>
      </c>
      <c r="P28" s="438" t="str">
        <f t="shared" ref="P28:P46" si="20">IFERROR(O28/H28,"-")</f>
        <v>-</v>
      </c>
      <c r="Q28" s="436"/>
      <c r="R28" s="438" t="str">
        <f t="shared" ref="R28:R46" si="21">IFERROR(Q28/H28,"-")</f>
        <v>-</v>
      </c>
      <c r="S28" s="439">
        <f t="shared" ref="S28:S46" si="22">IFERROR(O28-H28,"-")</f>
        <v>0</v>
      </c>
      <c r="T28" s="438" t="str">
        <f t="shared" ref="T28:T46" si="23">IFERROR(S28/H28,"-")</f>
        <v>-</v>
      </c>
      <c r="U28" s="362">
        <f t="shared" ref="U28:U46" si="24">IFERROR(S28*G28,"-")</f>
        <v>0</v>
      </c>
      <c r="V28" s="450">
        <f t="shared" ref="V28:V46" si="25">S28-Q28</f>
        <v>0</v>
      </c>
      <c r="W28" s="451" t="str">
        <f t="shared" ref="W28:W46" si="26">IFERROR(V28/H28,"-")</f>
        <v>-</v>
      </c>
      <c r="X28" s="452">
        <f t="shared" ref="X28:X46" si="27">IFERROR(V28*G28,"-")</f>
        <v>0</v>
      </c>
      <c r="Y28" s="364" t="s">
        <v>437</v>
      </c>
      <c r="Z28" s="364" t="s">
        <v>438</v>
      </c>
      <c r="AA28" s="365"/>
      <c r="AB28" s="365"/>
      <c r="AC28" s="365">
        <v>1</v>
      </c>
      <c r="AD28" s="440"/>
      <c r="AF28" s="160" t="s">
        <v>439</v>
      </c>
      <c r="AG28" s="160" t="s">
        <v>440</v>
      </c>
      <c r="AH28" s="155" t="s">
        <v>441</v>
      </c>
      <c r="AI28" s="155" t="s">
        <v>438</v>
      </c>
      <c r="AJ28" s="155" t="s">
        <v>312</v>
      </c>
      <c r="AK28" s="155" t="s">
        <v>347</v>
      </c>
      <c r="AL28" s="155" t="s">
        <v>352</v>
      </c>
      <c r="AM28" s="155" t="s">
        <v>442</v>
      </c>
    </row>
    <row r="29" spans="2:39" s="147" customFormat="1" ht="27" customHeight="1">
      <c r="B29" s="538"/>
      <c r="C29" s="539"/>
      <c r="D29" s="360">
        <v>3</v>
      </c>
      <c r="E29" s="434"/>
      <c r="F29" s="435">
        <f t="shared" si="15"/>
        <v>0</v>
      </c>
      <c r="G29" s="363"/>
      <c r="H29" s="436"/>
      <c r="I29" s="436"/>
      <c r="J29" s="438" t="str">
        <f t="shared" si="16"/>
        <v>-</v>
      </c>
      <c r="K29" s="437"/>
      <c r="L29" s="438" t="str">
        <f t="shared" si="17"/>
        <v>-</v>
      </c>
      <c r="M29" s="437"/>
      <c r="N29" s="438" t="str">
        <f t="shared" si="18"/>
        <v>-</v>
      </c>
      <c r="O29" s="439">
        <f t="shared" si="19"/>
        <v>0</v>
      </c>
      <c r="P29" s="438" t="str">
        <f t="shared" si="20"/>
        <v>-</v>
      </c>
      <c r="Q29" s="436"/>
      <c r="R29" s="438" t="str">
        <f t="shared" si="21"/>
        <v>-</v>
      </c>
      <c r="S29" s="439">
        <f t="shared" si="22"/>
        <v>0</v>
      </c>
      <c r="T29" s="438" t="str">
        <f t="shared" si="23"/>
        <v>-</v>
      </c>
      <c r="U29" s="362">
        <f t="shared" si="24"/>
        <v>0</v>
      </c>
      <c r="V29" s="450">
        <f t="shared" si="25"/>
        <v>0</v>
      </c>
      <c r="W29" s="451" t="str">
        <f t="shared" si="26"/>
        <v>-</v>
      </c>
      <c r="X29" s="452">
        <f t="shared" si="27"/>
        <v>0</v>
      </c>
      <c r="Y29" s="364" t="s">
        <v>437</v>
      </c>
      <c r="Z29" s="364" t="s">
        <v>438</v>
      </c>
      <c r="AA29" s="365"/>
      <c r="AB29" s="365"/>
      <c r="AC29" s="365">
        <v>1</v>
      </c>
      <c r="AD29" s="440"/>
      <c r="AF29" s="370">
        <f>SUM(AC27:AC46)</f>
        <v>20</v>
      </c>
      <c r="AG29" s="366">
        <f>SUMIF($Z$27:$Z$46,TRIM(AG28),$AC$27:$AC$46)</f>
        <v>11</v>
      </c>
      <c r="AH29" s="366">
        <f t="shared" ref="AH29:AM29" si="28">SUMIF($Z$27:$Z$46,TRIM(AH28),$AC$27:$AC$46)</f>
        <v>0</v>
      </c>
      <c r="AI29" s="366">
        <f t="shared" si="28"/>
        <v>4</v>
      </c>
      <c r="AJ29" s="366">
        <f t="shared" si="28"/>
        <v>0</v>
      </c>
      <c r="AK29" s="366">
        <f t="shared" si="28"/>
        <v>1</v>
      </c>
      <c r="AL29" s="366">
        <f t="shared" si="28"/>
        <v>4</v>
      </c>
      <c r="AM29" s="366">
        <f t="shared" si="28"/>
        <v>0</v>
      </c>
    </row>
    <row r="30" spans="2:39" s="147" customFormat="1" ht="27" customHeight="1">
      <c r="B30" s="538"/>
      <c r="C30" s="539"/>
      <c r="D30" s="360">
        <v>4</v>
      </c>
      <c r="E30" s="434"/>
      <c r="F30" s="435">
        <f t="shared" si="15"/>
        <v>0</v>
      </c>
      <c r="G30" s="363"/>
      <c r="H30" s="436"/>
      <c r="I30" s="436"/>
      <c r="J30" s="438" t="str">
        <f t="shared" si="16"/>
        <v>-</v>
      </c>
      <c r="K30" s="437"/>
      <c r="L30" s="438" t="str">
        <f t="shared" si="17"/>
        <v>-</v>
      </c>
      <c r="M30" s="437"/>
      <c r="N30" s="438" t="str">
        <f t="shared" si="18"/>
        <v>-</v>
      </c>
      <c r="O30" s="439">
        <f t="shared" si="19"/>
        <v>0</v>
      </c>
      <c r="P30" s="438" t="str">
        <f t="shared" si="20"/>
        <v>-</v>
      </c>
      <c r="Q30" s="436"/>
      <c r="R30" s="438" t="str">
        <f t="shared" si="21"/>
        <v>-</v>
      </c>
      <c r="S30" s="439">
        <f t="shared" si="22"/>
        <v>0</v>
      </c>
      <c r="T30" s="438" t="str">
        <f t="shared" si="23"/>
        <v>-</v>
      </c>
      <c r="U30" s="362">
        <f t="shared" si="24"/>
        <v>0</v>
      </c>
      <c r="V30" s="450">
        <f t="shared" si="25"/>
        <v>0</v>
      </c>
      <c r="W30" s="451" t="str">
        <f t="shared" si="26"/>
        <v>-</v>
      </c>
      <c r="X30" s="452">
        <f t="shared" si="27"/>
        <v>0</v>
      </c>
      <c r="Y30" s="364" t="s">
        <v>437</v>
      </c>
      <c r="Z30" s="364" t="s">
        <v>347</v>
      </c>
      <c r="AA30" s="365"/>
      <c r="AB30" s="365"/>
      <c r="AC30" s="365">
        <v>1</v>
      </c>
      <c r="AD30" s="440"/>
      <c r="AF30" s="371" t="s">
        <v>303</v>
      </c>
      <c r="AG30" s="368">
        <f>SUMIF($Z$27:$Z46,TRIM(AG28),$F$27:$F$46)</f>
        <v>0</v>
      </c>
      <c r="AH30" s="368">
        <f>SUMIF($Z$27:$Z46,TRIM(AH28),$F$27:$F$46)</f>
        <v>0</v>
      </c>
      <c r="AI30" s="368">
        <f>SUMIF($Z$27:$Z46,TRIM(AI28),$F$27:$F$46)</f>
        <v>0</v>
      </c>
      <c r="AJ30" s="368">
        <f>SUMIF($Z$27:$Z46,TRIM(AJ28),$F$27:$F$46)</f>
        <v>0</v>
      </c>
      <c r="AK30" s="368">
        <f>SUMIF($Z$27:$Z46,TRIM(AK28),$F$27:$F$46)</f>
        <v>0</v>
      </c>
      <c r="AL30" s="368">
        <f>SUMIF($Z$27:$Z46,TRIM(AL28),$F$27:$F$46)</f>
        <v>0</v>
      </c>
      <c r="AM30" s="368">
        <f>SUMIF($Z$27:$Z46,TRIM(AM28),$F$27:$F$46)</f>
        <v>0</v>
      </c>
    </row>
    <row r="31" spans="2:39" s="147" customFormat="1" ht="27" customHeight="1">
      <c r="B31" s="538"/>
      <c r="C31" s="539"/>
      <c r="D31" s="360">
        <v>5</v>
      </c>
      <c r="E31" s="434"/>
      <c r="F31" s="435">
        <f t="shared" si="15"/>
        <v>0</v>
      </c>
      <c r="G31" s="363"/>
      <c r="H31" s="436"/>
      <c r="I31" s="436"/>
      <c r="J31" s="438" t="str">
        <f t="shared" si="16"/>
        <v>-</v>
      </c>
      <c r="K31" s="437"/>
      <c r="L31" s="438" t="str">
        <f t="shared" si="17"/>
        <v>-</v>
      </c>
      <c r="M31" s="437"/>
      <c r="N31" s="438" t="str">
        <f t="shared" si="18"/>
        <v>-</v>
      </c>
      <c r="O31" s="439">
        <f t="shared" si="19"/>
        <v>0</v>
      </c>
      <c r="P31" s="438" t="str">
        <f t="shared" si="20"/>
        <v>-</v>
      </c>
      <c r="Q31" s="436"/>
      <c r="R31" s="438" t="str">
        <f t="shared" si="21"/>
        <v>-</v>
      </c>
      <c r="S31" s="439">
        <f t="shared" si="22"/>
        <v>0</v>
      </c>
      <c r="T31" s="438" t="str">
        <f t="shared" si="23"/>
        <v>-</v>
      </c>
      <c r="U31" s="362">
        <f t="shared" si="24"/>
        <v>0</v>
      </c>
      <c r="V31" s="450">
        <f t="shared" si="25"/>
        <v>0</v>
      </c>
      <c r="W31" s="451" t="str">
        <f t="shared" si="26"/>
        <v>-</v>
      </c>
      <c r="X31" s="452">
        <f t="shared" si="27"/>
        <v>0</v>
      </c>
      <c r="Y31" s="364" t="s">
        <v>437</v>
      </c>
      <c r="Z31" s="364" t="s">
        <v>438</v>
      </c>
      <c r="AA31" s="365"/>
      <c r="AB31" s="365"/>
      <c r="AC31" s="365">
        <v>1</v>
      </c>
      <c r="AD31" s="440"/>
      <c r="AF31" s="360" t="s">
        <v>443</v>
      </c>
      <c r="AG31" s="441">
        <f>AG29/$AF29</f>
        <v>0.55000000000000004</v>
      </c>
      <c r="AH31" s="441">
        <f t="shared" ref="AH31:AM31" si="29">AH29/$AF29</f>
        <v>0</v>
      </c>
      <c r="AI31" s="441">
        <f t="shared" si="29"/>
        <v>0.2</v>
      </c>
      <c r="AJ31" s="441">
        <f t="shared" si="29"/>
        <v>0</v>
      </c>
      <c r="AK31" s="441">
        <f t="shared" si="29"/>
        <v>0.05</v>
      </c>
      <c r="AL31" s="441">
        <f t="shared" si="29"/>
        <v>0.2</v>
      </c>
      <c r="AM31" s="441">
        <f t="shared" si="29"/>
        <v>0</v>
      </c>
    </row>
    <row r="32" spans="2:39" s="147" customFormat="1" ht="27" customHeight="1">
      <c r="B32" s="538"/>
      <c r="C32" s="539"/>
      <c r="D32" s="360">
        <v>6</v>
      </c>
      <c r="E32" s="434"/>
      <c r="F32" s="435">
        <f t="shared" si="15"/>
        <v>0</v>
      </c>
      <c r="G32" s="363"/>
      <c r="H32" s="436"/>
      <c r="I32" s="436"/>
      <c r="J32" s="438" t="str">
        <f t="shared" si="16"/>
        <v>-</v>
      </c>
      <c r="K32" s="437"/>
      <c r="L32" s="438" t="str">
        <f t="shared" si="17"/>
        <v>-</v>
      </c>
      <c r="M32" s="437"/>
      <c r="N32" s="438" t="str">
        <f t="shared" si="18"/>
        <v>-</v>
      </c>
      <c r="O32" s="439">
        <f t="shared" si="19"/>
        <v>0</v>
      </c>
      <c r="P32" s="438" t="str">
        <f t="shared" si="20"/>
        <v>-</v>
      </c>
      <c r="Q32" s="436"/>
      <c r="R32" s="438" t="str">
        <f t="shared" si="21"/>
        <v>-</v>
      </c>
      <c r="S32" s="439">
        <f t="shared" si="22"/>
        <v>0</v>
      </c>
      <c r="T32" s="438" t="str">
        <f t="shared" si="23"/>
        <v>-</v>
      </c>
      <c r="U32" s="362">
        <f t="shared" si="24"/>
        <v>0</v>
      </c>
      <c r="V32" s="450">
        <f t="shared" si="25"/>
        <v>0</v>
      </c>
      <c r="W32" s="451" t="str">
        <f t="shared" si="26"/>
        <v>-</v>
      </c>
      <c r="X32" s="452">
        <f t="shared" si="27"/>
        <v>0</v>
      </c>
      <c r="Y32" s="364" t="s">
        <v>437</v>
      </c>
      <c r="Z32" s="364" t="s">
        <v>352</v>
      </c>
      <c r="AA32" s="365"/>
      <c r="AB32" s="365"/>
      <c r="AC32" s="365">
        <v>1</v>
      </c>
      <c r="AD32" s="440"/>
    </row>
    <row r="33" spans="2:39" s="147" customFormat="1" ht="27" customHeight="1">
      <c r="B33" s="538"/>
      <c r="C33" s="539"/>
      <c r="D33" s="360">
        <v>7</v>
      </c>
      <c r="E33" s="434"/>
      <c r="F33" s="435">
        <f t="shared" si="15"/>
        <v>0</v>
      </c>
      <c r="G33" s="363"/>
      <c r="H33" s="436"/>
      <c r="I33" s="436"/>
      <c r="J33" s="438" t="str">
        <f t="shared" si="16"/>
        <v>-</v>
      </c>
      <c r="K33" s="437"/>
      <c r="L33" s="438" t="str">
        <f t="shared" si="17"/>
        <v>-</v>
      </c>
      <c r="M33" s="437"/>
      <c r="N33" s="438" t="str">
        <f t="shared" si="18"/>
        <v>-</v>
      </c>
      <c r="O33" s="439">
        <f t="shared" si="19"/>
        <v>0</v>
      </c>
      <c r="P33" s="438" t="str">
        <f t="shared" si="20"/>
        <v>-</v>
      </c>
      <c r="Q33" s="436"/>
      <c r="R33" s="438" t="str">
        <f t="shared" si="21"/>
        <v>-</v>
      </c>
      <c r="S33" s="439">
        <f t="shared" si="22"/>
        <v>0</v>
      </c>
      <c r="T33" s="438" t="str">
        <f t="shared" si="23"/>
        <v>-</v>
      </c>
      <c r="U33" s="362">
        <f t="shared" si="24"/>
        <v>0</v>
      </c>
      <c r="V33" s="450">
        <f t="shared" si="25"/>
        <v>0</v>
      </c>
      <c r="W33" s="451" t="str">
        <f t="shared" si="26"/>
        <v>-</v>
      </c>
      <c r="X33" s="452">
        <f t="shared" si="27"/>
        <v>0</v>
      </c>
      <c r="Y33" s="364" t="s">
        <v>437</v>
      </c>
      <c r="Z33" s="364" t="s">
        <v>438</v>
      </c>
      <c r="AA33" s="365"/>
      <c r="AB33" s="365"/>
      <c r="AC33" s="365">
        <v>1</v>
      </c>
      <c r="AD33" s="440"/>
    </row>
    <row r="34" spans="2:39" s="147" customFormat="1" ht="27" customHeight="1">
      <c r="B34" s="538"/>
      <c r="C34" s="539"/>
      <c r="D34" s="360">
        <v>8</v>
      </c>
      <c r="E34" s="434"/>
      <c r="F34" s="435">
        <f t="shared" si="15"/>
        <v>0</v>
      </c>
      <c r="G34" s="363"/>
      <c r="H34" s="436"/>
      <c r="I34" s="436"/>
      <c r="J34" s="438" t="str">
        <f t="shared" si="16"/>
        <v>-</v>
      </c>
      <c r="K34" s="437"/>
      <c r="L34" s="438" t="str">
        <f t="shared" si="17"/>
        <v>-</v>
      </c>
      <c r="M34" s="437"/>
      <c r="N34" s="438" t="str">
        <f t="shared" si="18"/>
        <v>-</v>
      </c>
      <c r="O34" s="439">
        <f t="shared" si="19"/>
        <v>0</v>
      </c>
      <c r="P34" s="438" t="str">
        <f t="shared" si="20"/>
        <v>-</v>
      </c>
      <c r="Q34" s="436"/>
      <c r="R34" s="438" t="str">
        <f t="shared" si="21"/>
        <v>-</v>
      </c>
      <c r="S34" s="439">
        <f t="shared" si="22"/>
        <v>0</v>
      </c>
      <c r="T34" s="438" t="str">
        <f t="shared" si="23"/>
        <v>-</v>
      </c>
      <c r="U34" s="362">
        <f t="shared" si="24"/>
        <v>0</v>
      </c>
      <c r="V34" s="450">
        <f t="shared" si="25"/>
        <v>0</v>
      </c>
      <c r="W34" s="451" t="str">
        <f t="shared" si="26"/>
        <v>-</v>
      </c>
      <c r="X34" s="452">
        <f t="shared" si="27"/>
        <v>0</v>
      </c>
      <c r="Y34" s="364" t="s">
        <v>437</v>
      </c>
      <c r="Z34" s="364" t="s">
        <v>440</v>
      </c>
      <c r="AA34" s="365"/>
      <c r="AB34" s="365"/>
      <c r="AC34" s="365">
        <v>1</v>
      </c>
      <c r="AD34" s="440"/>
    </row>
    <row r="35" spans="2:39" s="147" customFormat="1" ht="27" customHeight="1">
      <c r="B35" s="538"/>
      <c r="C35" s="539"/>
      <c r="D35" s="360">
        <v>9</v>
      </c>
      <c r="E35" s="434"/>
      <c r="F35" s="435">
        <f t="shared" si="15"/>
        <v>0</v>
      </c>
      <c r="G35" s="363"/>
      <c r="H35" s="436"/>
      <c r="I35" s="436"/>
      <c r="J35" s="438" t="str">
        <f t="shared" si="16"/>
        <v>-</v>
      </c>
      <c r="K35" s="437"/>
      <c r="L35" s="438" t="str">
        <f t="shared" si="17"/>
        <v>-</v>
      </c>
      <c r="M35" s="437"/>
      <c r="N35" s="438" t="str">
        <f t="shared" si="18"/>
        <v>-</v>
      </c>
      <c r="O35" s="439">
        <f t="shared" si="19"/>
        <v>0</v>
      </c>
      <c r="P35" s="438" t="str">
        <f t="shared" si="20"/>
        <v>-</v>
      </c>
      <c r="Q35" s="436"/>
      <c r="R35" s="438" t="str">
        <f t="shared" si="21"/>
        <v>-</v>
      </c>
      <c r="S35" s="439">
        <f t="shared" si="22"/>
        <v>0</v>
      </c>
      <c r="T35" s="438" t="str">
        <f t="shared" si="23"/>
        <v>-</v>
      </c>
      <c r="U35" s="362">
        <f t="shared" si="24"/>
        <v>0</v>
      </c>
      <c r="V35" s="450">
        <f t="shared" si="25"/>
        <v>0</v>
      </c>
      <c r="W35" s="451" t="str">
        <f t="shared" si="26"/>
        <v>-</v>
      </c>
      <c r="X35" s="452">
        <f t="shared" si="27"/>
        <v>0</v>
      </c>
      <c r="Y35" s="364" t="s">
        <v>437</v>
      </c>
      <c r="Z35" s="364" t="s">
        <v>352</v>
      </c>
      <c r="AA35" s="365"/>
      <c r="AB35" s="376"/>
      <c r="AC35" s="365">
        <v>1</v>
      </c>
      <c r="AD35" s="440"/>
      <c r="AH35" s="367"/>
    </row>
    <row r="36" spans="2:39" s="147" customFormat="1" ht="27" customHeight="1">
      <c r="B36" s="538"/>
      <c r="C36" s="539"/>
      <c r="D36" s="360">
        <v>10</v>
      </c>
      <c r="E36" s="434"/>
      <c r="F36" s="435">
        <f t="shared" si="15"/>
        <v>0</v>
      </c>
      <c r="G36" s="363"/>
      <c r="H36" s="436"/>
      <c r="I36" s="436"/>
      <c r="J36" s="438" t="str">
        <f t="shared" si="16"/>
        <v>-</v>
      </c>
      <c r="K36" s="437"/>
      <c r="L36" s="438" t="str">
        <f t="shared" si="17"/>
        <v>-</v>
      </c>
      <c r="M36" s="437"/>
      <c r="N36" s="438" t="str">
        <f t="shared" si="18"/>
        <v>-</v>
      </c>
      <c r="O36" s="439">
        <f t="shared" si="19"/>
        <v>0</v>
      </c>
      <c r="P36" s="438" t="str">
        <f t="shared" si="20"/>
        <v>-</v>
      </c>
      <c r="Q36" s="436"/>
      <c r="R36" s="438" t="str">
        <f t="shared" si="21"/>
        <v>-</v>
      </c>
      <c r="S36" s="439">
        <f t="shared" si="22"/>
        <v>0</v>
      </c>
      <c r="T36" s="438" t="str">
        <f t="shared" si="23"/>
        <v>-</v>
      </c>
      <c r="U36" s="362">
        <f t="shared" si="24"/>
        <v>0</v>
      </c>
      <c r="V36" s="450">
        <f t="shared" si="25"/>
        <v>0</v>
      </c>
      <c r="W36" s="451" t="str">
        <f t="shared" si="26"/>
        <v>-</v>
      </c>
      <c r="X36" s="452">
        <f t="shared" si="27"/>
        <v>0</v>
      </c>
      <c r="Y36" s="364" t="s">
        <v>437</v>
      </c>
      <c r="Z36" s="364" t="s">
        <v>352</v>
      </c>
      <c r="AA36" s="365"/>
      <c r="AB36" s="365"/>
      <c r="AC36" s="365">
        <v>1</v>
      </c>
      <c r="AD36" s="440"/>
      <c r="AH36" s="367"/>
    </row>
    <row r="37" spans="2:39" s="147" customFormat="1" ht="27" customHeight="1">
      <c r="B37" s="538"/>
      <c r="C37" s="539"/>
      <c r="D37" s="360">
        <v>11</v>
      </c>
      <c r="E37" s="434"/>
      <c r="F37" s="435">
        <f t="shared" si="15"/>
        <v>0</v>
      </c>
      <c r="G37" s="363"/>
      <c r="H37" s="436"/>
      <c r="I37" s="436"/>
      <c r="J37" s="438" t="str">
        <f t="shared" si="16"/>
        <v>-</v>
      </c>
      <c r="K37" s="437"/>
      <c r="L37" s="438" t="str">
        <f t="shared" si="17"/>
        <v>-</v>
      </c>
      <c r="M37" s="437"/>
      <c r="N37" s="438" t="str">
        <f t="shared" si="18"/>
        <v>-</v>
      </c>
      <c r="O37" s="439">
        <f t="shared" si="19"/>
        <v>0</v>
      </c>
      <c r="P37" s="438" t="str">
        <f t="shared" si="20"/>
        <v>-</v>
      </c>
      <c r="Q37" s="436"/>
      <c r="R37" s="438" t="str">
        <f t="shared" si="21"/>
        <v>-</v>
      </c>
      <c r="S37" s="439">
        <f t="shared" si="22"/>
        <v>0</v>
      </c>
      <c r="T37" s="438" t="str">
        <f t="shared" si="23"/>
        <v>-</v>
      </c>
      <c r="U37" s="362">
        <f t="shared" si="24"/>
        <v>0</v>
      </c>
      <c r="V37" s="450">
        <f t="shared" si="25"/>
        <v>0</v>
      </c>
      <c r="W37" s="451" t="str">
        <f t="shared" si="26"/>
        <v>-</v>
      </c>
      <c r="X37" s="452">
        <f t="shared" si="27"/>
        <v>0</v>
      </c>
      <c r="Y37" s="364" t="s">
        <v>437</v>
      </c>
      <c r="Z37" s="364" t="s">
        <v>440</v>
      </c>
      <c r="AA37" s="365"/>
      <c r="AB37" s="365"/>
      <c r="AC37" s="365">
        <v>1</v>
      </c>
      <c r="AD37" s="440"/>
      <c r="AH37" s="367"/>
    </row>
    <row r="38" spans="2:39" s="147" customFormat="1" ht="26.25" customHeight="1">
      <c r="B38" s="538"/>
      <c r="C38" s="539"/>
      <c r="D38" s="360">
        <v>12</v>
      </c>
      <c r="E38" s="434"/>
      <c r="F38" s="435">
        <f t="shared" si="15"/>
        <v>0</v>
      </c>
      <c r="G38" s="363"/>
      <c r="H38" s="436"/>
      <c r="I38" s="436"/>
      <c r="J38" s="438" t="str">
        <f t="shared" si="16"/>
        <v>-</v>
      </c>
      <c r="K38" s="437"/>
      <c r="L38" s="438" t="str">
        <f t="shared" si="17"/>
        <v>-</v>
      </c>
      <c r="M38" s="437"/>
      <c r="N38" s="438" t="str">
        <f t="shared" si="18"/>
        <v>-</v>
      </c>
      <c r="O38" s="439">
        <f t="shared" si="19"/>
        <v>0</v>
      </c>
      <c r="P38" s="438" t="str">
        <f t="shared" si="20"/>
        <v>-</v>
      </c>
      <c r="Q38" s="436"/>
      <c r="R38" s="438" t="str">
        <f t="shared" si="21"/>
        <v>-</v>
      </c>
      <c r="S38" s="439">
        <f t="shared" si="22"/>
        <v>0</v>
      </c>
      <c r="T38" s="438" t="str">
        <f t="shared" si="23"/>
        <v>-</v>
      </c>
      <c r="U38" s="362">
        <f t="shared" si="24"/>
        <v>0</v>
      </c>
      <c r="V38" s="450">
        <f t="shared" si="25"/>
        <v>0</v>
      </c>
      <c r="W38" s="451" t="str">
        <f t="shared" si="26"/>
        <v>-</v>
      </c>
      <c r="X38" s="452">
        <f t="shared" si="27"/>
        <v>0</v>
      </c>
      <c r="Y38" s="364" t="s">
        <v>437</v>
      </c>
      <c r="Z38" s="364" t="s">
        <v>440</v>
      </c>
      <c r="AA38" s="365"/>
      <c r="AB38" s="365"/>
      <c r="AC38" s="365">
        <v>1</v>
      </c>
      <c r="AD38" s="440"/>
      <c r="AH38" s="367"/>
    </row>
    <row r="39" spans="2:39" s="147" customFormat="1" ht="27" customHeight="1">
      <c r="B39" s="538"/>
      <c r="C39" s="539"/>
      <c r="D39" s="360">
        <v>13</v>
      </c>
      <c r="E39" s="434"/>
      <c r="F39" s="435">
        <f t="shared" si="15"/>
        <v>0</v>
      </c>
      <c r="G39" s="363"/>
      <c r="H39" s="436"/>
      <c r="I39" s="436"/>
      <c r="J39" s="438" t="str">
        <f t="shared" si="16"/>
        <v>-</v>
      </c>
      <c r="K39" s="437"/>
      <c r="L39" s="438" t="str">
        <f t="shared" si="17"/>
        <v>-</v>
      </c>
      <c r="M39" s="437"/>
      <c r="N39" s="438" t="str">
        <f t="shared" si="18"/>
        <v>-</v>
      </c>
      <c r="O39" s="439">
        <f t="shared" si="19"/>
        <v>0</v>
      </c>
      <c r="P39" s="438" t="str">
        <f t="shared" si="20"/>
        <v>-</v>
      </c>
      <c r="Q39" s="436"/>
      <c r="R39" s="438" t="str">
        <f t="shared" si="21"/>
        <v>-</v>
      </c>
      <c r="S39" s="439">
        <f t="shared" si="22"/>
        <v>0</v>
      </c>
      <c r="T39" s="438" t="str">
        <f t="shared" si="23"/>
        <v>-</v>
      </c>
      <c r="U39" s="362">
        <f t="shared" si="24"/>
        <v>0</v>
      </c>
      <c r="V39" s="450">
        <f t="shared" si="25"/>
        <v>0</v>
      </c>
      <c r="W39" s="451" t="str">
        <f t="shared" si="26"/>
        <v>-</v>
      </c>
      <c r="X39" s="452">
        <f t="shared" si="27"/>
        <v>0</v>
      </c>
      <c r="Y39" s="364" t="s">
        <v>437</v>
      </c>
      <c r="Z39" s="364" t="s">
        <v>440</v>
      </c>
      <c r="AA39" s="365"/>
      <c r="AB39" s="365"/>
      <c r="AC39" s="365">
        <v>1</v>
      </c>
      <c r="AD39" s="440"/>
    </row>
    <row r="40" spans="2:39" s="147" customFormat="1" ht="27" customHeight="1">
      <c r="B40" s="538"/>
      <c r="C40" s="539"/>
      <c r="D40" s="360">
        <v>14</v>
      </c>
      <c r="E40" s="434"/>
      <c r="F40" s="435">
        <f t="shared" si="15"/>
        <v>0</v>
      </c>
      <c r="G40" s="363"/>
      <c r="H40" s="436"/>
      <c r="I40" s="436"/>
      <c r="J40" s="438" t="str">
        <f t="shared" si="16"/>
        <v>-</v>
      </c>
      <c r="K40" s="437"/>
      <c r="L40" s="438" t="str">
        <f t="shared" si="17"/>
        <v>-</v>
      </c>
      <c r="M40" s="437"/>
      <c r="N40" s="438" t="str">
        <f t="shared" si="18"/>
        <v>-</v>
      </c>
      <c r="O40" s="439">
        <f t="shared" si="19"/>
        <v>0</v>
      </c>
      <c r="P40" s="438" t="str">
        <f t="shared" si="20"/>
        <v>-</v>
      </c>
      <c r="Q40" s="436"/>
      <c r="R40" s="438" t="str">
        <f t="shared" si="21"/>
        <v>-</v>
      </c>
      <c r="S40" s="439">
        <f t="shared" si="22"/>
        <v>0</v>
      </c>
      <c r="T40" s="438" t="str">
        <f t="shared" si="23"/>
        <v>-</v>
      </c>
      <c r="U40" s="362">
        <f t="shared" si="24"/>
        <v>0</v>
      </c>
      <c r="V40" s="450">
        <f t="shared" si="25"/>
        <v>0</v>
      </c>
      <c r="W40" s="451" t="str">
        <f t="shared" si="26"/>
        <v>-</v>
      </c>
      <c r="X40" s="452">
        <f t="shared" si="27"/>
        <v>0</v>
      </c>
      <c r="Y40" s="364" t="s">
        <v>437</v>
      </c>
      <c r="Z40" s="364" t="s">
        <v>440</v>
      </c>
      <c r="AA40" s="364"/>
      <c r="AB40" s="365"/>
      <c r="AC40" s="365">
        <v>1</v>
      </c>
      <c r="AD40" s="440"/>
    </row>
    <row r="41" spans="2:39" s="147" customFormat="1" ht="27" customHeight="1">
      <c r="B41" s="538"/>
      <c r="C41" s="539"/>
      <c r="D41" s="360">
        <v>15</v>
      </c>
      <c r="E41" s="434"/>
      <c r="F41" s="435">
        <f t="shared" si="15"/>
        <v>0</v>
      </c>
      <c r="G41" s="363"/>
      <c r="H41" s="436"/>
      <c r="I41" s="436"/>
      <c r="J41" s="438" t="str">
        <f t="shared" si="16"/>
        <v>-</v>
      </c>
      <c r="K41" s="437"/>
      <c r="L41" s="438" t="str">
        <f t="shared" si="17"/>
        <v>-</v>
      </c>
      <c r="M41" s="437"/>
      <c r="N41" s="438" t="str">
        <f t="shared" si="18"/>
        <v>-</v>
      </c>
      <c r="O41" s="439">
        <f t="shared" si="19"/>
        <v>0</v>
      </c>
      <c r="P41" s="438" t="str">
        <f t="shared" si="20"/>
        <v>-</v>
      </c>
      <c r="Q41" s="436"/>
      <c r="R41" s="438" t="str">
        <f t="shared" si="21"/>
        <v>-</v>
      </c>
      <c r="S41" s="439">
        <f t="shared" si="22"/>
        <v>0</v>
      </c>
      <c r="T41" s="438" t="str">
        <f t="shared" si="23"/>
        <v>-</v>
      </c>
      <c r="U41" s="362">
        <f t="shared" si="24"/>
        <v>0</v>
      </c>
      <c r="V41" s="450">
        <f t="shared" si="25"/>
        <v>0</v>
      </c>
      <c r="W41" s="451" t="str">
        <f t="shared" si="26"/>
        <v>-</v>
      </c>
      <c r="X41" s="452">
        <f t="shared" si="27"/>
        <v>0</v>
      </c>
      <c r="Y41" s="364" t="s">
        <v>437</v>
      </c>
      <c r="Z41" s="364" t="s">
        <v>440</v>
      </c>
      <c r="AA41" s="365"/>
      <c r="AB41" s="365"/>
      <c r="AC41" s="365">
        <v>1</v>
      </c>
      <c r="AD41" s="440"/>
    </row>
    <row r="42" spans="2:39" s="147" customFormat="1" ht="27" customHeight="1">
      <c r="B42" s="538"/>
      <c r="C42" s="539"/>
      <c r="D42" s="360">
        <v>16</v>
      </c>
      <c r="E42" s="434"/>
      <c r="F42" s="435">
        <f t="shared" si="15"/>
        <v>0</v>
      </c>
      <c r="G42" s="363"/>
      <c r="H42" s="436"/>
      <c r="I42" s="436"/>
      <c r="J42" s="438" t="str">
        <f t="shared" si="16"/>
        <v>-</v>
      </c>
      <c r="K42" s="437"/>
      <c r="L42" s="438" t="str">
        <f t="shared" si="17"/>
        <v>-</v>
      </c>
      <c r="M42" s="437"/>
      <c r="N42" s="438" t="str">
        <f t="shared" si="18"/>
        <v>-</v>
      </c>
      <c r="O42" s="439">
        <f t="shared" si="19"/>
        <v>0</v>
      </c>
      <c r="P42" s="438" t="str">
        <f t="shared" si="20"/>
        <v>-</v>
      </c>
      <c r="Q42" s="436"/>
      <c r="R42" s="438" t="str">
        <f t="shared" si="21"/>
        <v>-</v>
      </c>
      <c r="S42" s="439">
        <f t="shared" si="22"/>
        <v>0</v>
      </c>
      <c r="T42" s="438" t="str">
        <f t="shared" si="23"/>
        <v>-</v>
      </c>
      <c r="U42" s="362">
        <f t="shared" si="24"/>
        <v>0</v>
      </c>
      <c r="V42" s="450">
        <f t="shared" si="25"/>
        <v>0</v>
      </c>
      <c r="W42" s="451" t="str">
        <f t="shared" si="26"/>
        <v>-</v>
      </c>
      <c r="X42" s="452">
        <f t="shared" si="27"/>
        <v>0</v>
      </c>
      <c r="Y42" s="364" t="s">
        <v>437</v>
      </c>
      <c r="Z42" s="364" t="s">
        <v>440</v>
      </c>
      <c r="AA42" s="376"/>
      <c r="AB42" s="365"/>
      <c r="AC42" s="365">
        <v>1</v>
      </c>
      <c r="AD42" s="440"/>
    </row>
    <row r="43" spans="2:39" s="147" customFormat="1" ht="27" customHeight="1">
      <c r="B43" s="538"/>
      <c r="C43" s="539"/>
      <c r="D43" s="360">
        <v>17</v>
      </c>
      <c r="E43" s="434"/>
      <c r="F43" s="435">
        <f t="shared" si="15"/>
        <v>0</v>
      </c>
      <c r="G43" s="363"/>
      <c r="H43" s="436"/>
      <c r="I43" s="436"/>
      <c r="J43" s="438" t="str">
        <f t="shared" si="16"/>
        <v>-</v>
      </c>
      <c r="K43" s="437"/>
      <c r="L43" s="438" t="str">
        <f t="shared" si="17"/>
        <v>-</v>
      </c>
      <c r="M43" s="437"/>
      <c r="N43" s="438" t="str">
        <f t="shared" si="18"/>
        <v>-</v>
      </c>
      <c r="O43" s="439">
        <f t="shared" si="19"/>
        <v>0</v>
      </c>
      <c r="P43" s="438" t="str">
        <f t="shared" si="20"/>
        <v>-</v>
      </c>
      <c r="Q43" s="436"/>
      <c r="R43" s="438" t="str">
        <f t="shared" si="21"/>
        <v>-</v>
      </c>
      <c r="S43" s="439">
        <f t="shared" si="22"/>
        <v>0</v>
      </c>
      <c r="T43" s="438" t="str">
        <f t="shared" si="23"/>
        <v>-</v>
      </c>
      <c r="U43" s="362">
        <f t="shared" si="24"/>
        <v>0</v>
      </c>
      <c r="V43" s="450">
        <f t="shared" si="25"/>
        <v>0</v>
      </c>
      <c r="W43" s="451" t="str">
        <f t="shared" si="26"/>
        <v>-</v>
      </c>
      <c r="X43" s="452">
        <f t="shared" si="27"/>
        <v>0</v>
      </c>
      <c r="Y43" s="364" t="s">
        <v>437</v>
      </c>
      <c r="Z43" s="364" t="s">
        <v>440</v>
      </c>
      <c r="AA43" s="365"/>
      <c r="AB43" s="365"/>
      <c r="AC43" s="365">
        <v>1</v>
      </c>
      <c r="AD43" s="440"/>
    </row>
    <row r="44" spans="2:39" s="147" customFormat="1" ht="27" customHeight="1">
      <c r="B44" s="538"/>
      <c r="C44" s="539"/>
      <c r="D44" s="360">
        <v>18</v>
      </c>
      <c r="E44" s="434"/>
      <c r="F44" s="435">
        <f t="shared" si="15"/>
        <v>0</v>
      </c>
      <c r="G44" s="363"/>
      <c r="H44" s="436"/>
      <c r="I44" s="436"/>
      <c r="J44" s="438" t="str">
        <f t="shared" si="16"/>
        <v>-</v>
      </c>
      <c r="K44" s="437"/>
      <c r="L44" s="438" t="str">
        <f t="shared" si="17"/>
        <v>-</v>
      </c>
      <c r="M44" s="437"/>
      <c r="N44" s="438" t="str">
        <f t="shared" si="18"/>
        <v>-</v>
      </c>
      <c r="O44" s="439">
        <f t="shared" si="19"/>
        <v>0</v>
      </c>
      <c r="P44" s="438" t="str">
        <f t="shared" si="20"/>
        <v>-</v>
      </c>
      <c r="Q44" s="436"/>
      <c r="R44" s="438" t="str">
        <f t="shared" si="21"/>
        <v>-</v>
      </c>
      <c r="S44" s="439">
        <f t="shared" si="22"/>
        <v>0</v>
      </c>
      <c r="T44" s="438" t="str">
        <f t="shared" si="23"/>
        <v>-</v>
      </c>
      <c r="U44" s="362">
        <f t="shared" si="24"/>
        <v>0</v>
      </c>
      <c r="V44" s="450">
        <f t="shared" si="25"/>
        <v>0</v>
      </c>
      <c r="W44" s="451" t="str">
        <f t="shared" si="26"/>
        <v>-</v>
      </c>
      <c r="X44" s="452">
        <f t="shared" si="27"/>
        <v>0</v>
      </c>
      <c r="Y44" s="364" t="s">
        <v>437</v>
      </c>
      <c r="Z44" s="364" t="s">
        <v>440</v>
      </c>
      <c r="AA44" s="376"/>
      <c r="AB44" s="365"/>
      <c r="AC44" s="365">
        <v>1</v>
      </c>
      <c r="AD44" s="440"/>
    </row>
    <row r="45" spans="2:39" s="147" customFormat="1" ht="27" customHeight="1">
      <c r="B45" s="538"/>
      <c r="C45" s="539"/>
      <c r="D45" s="360">
        <v>19</v>
      </c>
      <c r="E45" s="434"/>
      <c r="F45" s="435">
        <f t="shared" si="15"/>
        <v>0</v>
      </c>
      <c r="G45" s="363"/>
      <c r="H45" s="436"/>
      <c r="I45" s="436"/>
      <c r="J45" s="438" t="str">
        <f t="shared" si="16"/>
        <v>-</v>
      </c>
      <c r="K45" s="437"/>
      <c r="L45" s="438" t="str">
        <f t="shared" si="17"/>
        <v>-</v>
      </c>
      <c r="M45" s="437"/>
      <c r="N45" s="438" t="str">
        <f t="shared" si="18"/>
        <v>-</v>
      </c>
      <c r="O45" s="439">
        <f t="shared" si="19"/>
        <v>0</v>
      </c>
      <c r="P45" s="438" t="str">
        <f t="shared" si="20"/>
        <v>-</v>
      </c>
      <c r="Q45" s="436"/>
      <c r="R45" s="438" t="str">
        <f t="shared" si="21"/>
        <v>-</v>
      </c>
      <c r="S45" s="439">
        <f t="shared" si="22"/>
        <v>0</v>
      </c>
      <c r="T45" s="438" t="str">
        <f t="shared" si="23"/>
        <v>-</v>
      </c>
      <c r="U45" s="362">
        <f t="shared" si="24"/>
        <v>0</v>
      </c>
      <c r="V45" s="450">
        <f t="shared" si="25"/>
        <v>0</v>
      </c>
      <c r="W45" s="451" t="str">
        <f t="shared" si="26"/>
        <v>-</v>
      </c>
      <c r="X45" s="452">
        <f t="shared" si="27"/>
        <v>0</v>
      </c>
      <c r="Y45" s="364" t="s">
        <v>437</v>
      </c>
      <c r="Z45" s="364" t="s">
        <v>440</v>
      </c>
      <c r="AA45" s="365"/>
      <c r="AB45" s="365"/>
      <c r="AC45" s="365">
        <v>1</v>
      </c>
      <c r="AD45" s="440"/>
    </row>
    <row r="46" spans="2:39" s="147" customFormat="1" ht="27" customHeight="1">
      <c r="B46" s="540"/>
      <c r="C46" s="541"/>
      <c r="D46" s="360">
        <v>20</v>
      </c>
      <c r="E46" s="434"/>
      <c r="F46" s="435">
        <f t="shared" si="15"/>
        <v>0</v>
      </c>
      <c r="G46" s="363"/>
      <c r="H46" s="436"/>
      <c r="I46" s="436"/>
      <c r="J46" s="438" t="str">
        <f t="shared" si="16"/>
        <v>-</v>
      </c>
      <c r="K46" s="437"/>
      <c r="L46" s="438" t="str">
        <f t="shared" si="17"/>
        <v>-</v>
      </c>
      <c r="M46" s="437"/>
      <c r="N46" s="438" t="str">
        <f t="shared" si="18"/>
        <v>-</v>
      </c>
      <c r="O46" s="439">
        <f t="shared" si="19"/>
        <v>0</v>
      </c>
      <c r="P46" s="438" t="str">
        <f t="shared" si="20"/>
        <v>-</v>
      </c>
      <c r="Q46" s="436"/>
      <c r="R46" s="438" t="str">
        <f t="shared" si="21"/>
        <v>-</v>
      </c>
      <c r="S46" s="439">
        <f t="shared" si="22"/>
        <v>0</v>
      </c>
      <c r="T46" s="438" t="str">
        <f t="shared" si="23"/>
        <v>-</v>
      </c>
      <c r="U46" s="362">
        <f t="shared" si="24"/>
        <v>0</v>
      </c>
      <c r="V46" s="450">
        <f t="shared" si="25"/>
        <v>0</v>
      </c>
      <c r="W46" s="451" t="str">
        <f t="shared" si="26"/>
        <v>-</v>
      </c>
      <c r="X46" s="452">
        <f t="shared" si="27"/>
        <v>0</v>
      </c>
      <c r="Y46" s="364" t="s">
        <v>437</v>
      </c>
      <c r="Z46" s="364" t="s">
        <v>440</v>
      </c>
      <c r="AA46" s="365"/>
      <c r="AB46" s="365"/>
      <c r="AC46" s="365">
        <v>1</v>
      </c>
      <c r="AD46" s="440"/>
    </row>
    <row r="47" spans="2:39" ht="16.5" customHeight="1">
      <c r="B47" s="552" t="s">
        <v>415</v>
      </c>
      <c r="C47" s="553"/>
      <c r="D47" s="556" t="s">
        <v>416</v>
      </c>
      <c r="E47" s="557" t="s">
        <v>417</v>
      </c>
      <c r="F47" s="559" t="s">
        <v>418</v>
      </c>
      <c r="G47" s="525" t="s">
        <v>419</v>
      </c>
      <c r="H47" s="560" t="s">
        <v>420</v>
      </c>
      <c r="I47" s="542" t="s">
        <v>421</v>
      </c>
      <c r="J47" s="543"/>
      <c r="K47" s="542" t="s">
        <v>422</v>
      </c>
      <c r="L47" s="543"/>
      <c r="M47" s="542" t="s">
        <v>423</v>
      </c>
      <c r="N47" s="543"/>
      <c r="O47" s="542" t="s">
        <v>424</v>
      </c>
      <c r="P47" s="543"/>
      <c r="Q47" s="542" t="s">
        <v>375</v>
      </c>
      <c r="R47" s="543"/>
      <c r="S47" s="545" t="s">
        <v>377</v>
      </c>
      <c r="T47" s="546"/>
      <c r="U47" s="921"/>
      <c r="V47" s="547" t="s">
        <v>425</v>
      </c>
      <c r="W47" s="548"/>
      <c r="X47" s="549"/>
      <c r="Y47" s="550" t="s">
        <v>426</v>
      </c>
      <c r="Z47" s="550" t="s">
        <v>427</v>
      </c>
      <c r="AA47" s="550" t="s">
        <v>428</v>
      </c>
      <c r="AB47" s="550" t="s">
        <v>429</v>
      </c>
      <c r="AC47" s="550" t="s">
        <v>430</v>
      </c>
      <c r="AD47" s="525" t="s">
        <v>431</v>
      </c>
      <c r="AF47" s="527" t="s">
        <v>432</v>
      </c>
      <c r="AG47" s="528"/>
      <c r="AH47" s="528"/>
      <c r="AI47" s="528"/>
      <c r="AJ47" s="528"/>
      <c r="AK47" s="528"/>
      <c r="AL47" s="528"/>
      <c r="AM47" s="529"/>
    </row>
    <row r="48" spans="2:39">
      <c r="B48" s="554"/>
      <c r="C48" s="555"/>
      <c r="D48" s="556"/>
      <c r="E48" s="556"/>
      <c r="F48" s="559"/>
      <c r="G48" s="526"/>
      <c r="H48" s="526"/>
      <c r="I48" s="433" t="s">
        <v>433</v>
      </c>
      <c r="J48" s="361" t="s">
        <v>434</v>
      </c>
      <c r="K48" s="433" t="s">
        <v>433</v>
      </c>
      <c r="L48" s="361" t="s">
        <v>434</v>
      </c>
      <c r="M48" s="433" t="s">
        <v>433</v>
      </c>
      <c r="N48" s="361" t="s">
        <v>434</v>
      </c>
      <c r="O48" s="433" t="s">
        <v>433</v>
      </c>
      <c r="P48" s="361" t="s">
        <v>434</v>
      </c>
      <c r="Q48" s="433" t="s">
        <v>433</v>
      </c>
      <c r="R48" s="361" t="s">
        <v>434</v>
      </c>
      <c r="S48" s="433" t="s">
        <v>433</v>
      </c>
      <c r="T48" s="361" t="s">
        <v>434</v>
      </c>
      <c r="U48" s="361" t="s">
        <v>435</v>
      </c>
      <c r="V48" s="433" t="s">
        <v>433</v>
      </c>
      <c r="W48" s="361" t="s">
        <v>434</v>
      </c>
      <c r="X48" s="361" t="s">
        <v>435</v>
      </c>
      <c r="Y48" s="551"/>
      <c r="Z48" s="551"/>
      <c r="AA48" s="551"/>
      <c r="AB48" s="551"/>
      <c r="AC48" s="551"/>
      <c r="AD48" s="526"/>
      <c r="AF48" s="530"/>
      <c r="AG48" s="531"/>
      <c r="AH48" s="531"/>
      <c r="AI48" s="531"/>
      <c r="AJ48" s="531"/>
      <c r="AK48" s="531"/>
      <c r="AL48" s="531"/>
      <c r="AM48" s="532"/>
    </row>
    <row r="49" spans="2:39" s="147" customFormat="1" ht="27" customHeight="1">
      <c r="B49" s="536" t="s">
        <v>454</v>
      </c>
      <c r="C49" s="537"/>
      <c r="D49" s="360">
        <v>1</v>
      </c>
      <c r="E49" s="434"/>
      <c r="F49" s="435">
        <f>IFERROR(Q49*G49,"-")</f>
        <v>0</v>
      </c>
      <c r="G49" s="363"/>
      <c r="H49" s="436"/>
      <c r="I49" s="436"/>
      <c r="J49" s="438" t="str">
        <f>IFERROR(I49/H49,"-")</f>
        <v>-</v>
      </c>
      <c r="K49" s="436"/>
      <c r="L49" s="438" t="str">
        <f>IFERROR(K49/H49,"-")</f>
        <v>-</v>
      </c>
      <c r="M49" s="437"/>
      <c r="N49" s="438" t="str">
        <f>IFERROR(M49/H49,"-")</f>
        <v>-</v>
      </c>
      <c r="O49" s="439">
        <f>IFERROR(K49+M49,"-")</f>
        <v>0</v>
      </c>
      <c r="P49" s="438" t="str">
        <f>IFERROR(O49/H49,"-")</f>
        <v>-</v>
      </c>
      <c r="Q49" s="436"/>
      <c r="R49" s="438" t="str">
        <f>IFERROR(Q49/H49,"-")</f>
        <v>-</v>
      </c>
      <c r="S49" s="439">
        <f>IFERROR(O49-H49,"-")</f>
        <v>0</v>
      </c>
      <c r="T49" s="438" t="str">
        <f>IFERROR(S49/H49,"-")</f>
        <v>-</v>
      </c>
      <c r="U49" s="362">
        <f>IFERROR(S49*G49,"-")</f>
        <v>0</v>
      </c>
      <c r="V49" s="450">
        <f>S49-Q49</f>
        <v>0</v>
      </c>
      <c r="W49" s="451" t="str">
        <f>IFERROR(V49/H49,"-")</f>
        <v>-</v>
      </c>
      <c r="X49" s="452">
        <f>IFERROR(V49*G49,"-")</f>
        <v>0</v>
      </c>
      <c r="Y49" s="364" t="s">
        <v>437</v>
      </c>
      <c r="Z49" s="364" t="s">
        <v>438</v>
      </c>
      <c r="AA49" s="365"/>
      <c r="AB49" s="365"/>
      <c r="AC49" s="365">
        <v>1</v>
      </c>
      <c r="AD49" s="440"/>
      <c r="AF49" s="533"/>
      <c r="AG49" s="534"/>
      <c r="AH49" s="534"/>
      <c r="AI49" s="534"/>
      <c r="AJ49" s="534"/>
      <c r="AK49" s="534"/>
      <c r="AL49" s="534"/>
      <c r="AM49" s="535"/>
    </row>
    <row r="50" spans="2:39" s="147" customFormat="1" ht="27" customHeight="1">
      <c r="B50" s="538"/>
      <c r="C50" s="539"/>
      <c r="D50" s="360">
        <v>2</v>
      </c>
      <c r="E50" s="434"/>
      <c r="F50" s="435">
        <f t="shared" ref="F50:F68" si="30">IFERROR(Q50*G50,"-")</f>
        <v>0</v>
      </c>
      <c r="G50" s="363"/>
      <c r="H50" s="436"/>
      <c r="I50" s="436"/>
      <c r="J50" s="438" t="str">
        <f t="shared" ref="J50:J68" si="31">IFERROR(I50/H50,"-")</f>
        <v>-</v>
      </c>
      <c r="K50" s="436"/>
      <c r="L50" s="438" t="str">
        <f t="shared" ref="L50:L68" si="32">IFERROR(K50/H50,"-")</f>
        <v>-</v>
      </c>
      <c r="M50" s="437"/>
      <c r="N50" s="438" t="str">
        <f t="shared" ref="N50:N68" si="33">IFERROR(M50/H50,"-")</f>
        <v>-</v>
      </c>
      <c r="O50" s="439">
        <f t="shared" ref="O50:O68" si="34">IFERROR(K50+M50,"-")</f>
        <v>0</v>
      </c>
      <c r="P50" s="438" t="str">
        <f t="shared" ref="P50:P68" si="35">IFERROR(O50/H50,"-")</f>
        <v>-</v>
      </c>
      <c r="Q50" s="436"/>
      <c r="R50" s="438" t="str">
        <f t="shared" ref="R50:R68" si="36">IFERROR(Q50/H50,"-")</f>
        <v>-</v>
      </c>
      <c r="S50" s="439">
        <f t="shared" ref="S50:S68" si="37">IFERROR(O50-H50,"-")</f>
        <v>0</v>
      </c>
      <c r="T50" s="438" t="str">
        <f t="shared" ref="T50:T68" si="38">IFERROR(S50/H50,"-")</f>
        <v>-</v>
      </c>
      <c r="U50" s="362">
        <f t="shared" ref="U50:U68" si="39">IFERROR(S50*G50,"-")</f>
        <v>0</v>
      </c>
      <c r="V50" s="450">
        <f t="shared" ref="V50:V68" si="40">S50-Q50</f>
        <v>0</v>
      </c>
      <c r="W50" s="451" t="str">
        <f t="shared" ref="W50:W68" si="41">IFERROR(V50/H50,"-")</f>
        <v>-</v>
      </c>
      <c r="X50" s="452">
        <f t="shared" ref="X50:X68" si="42">IFERROR(V50*G50,"-")</f>
        <v>0</v>
      </c>
      <c r="Y50" s="364" t="s">
        <v>437</v>
      </c>
      <c r="Z50" s="364" t="s">
        <v>352</v>
      </c>
      <c r="AA50" s="365"/>
      <c r="AB50" s="365"/>
      <c r="AC50" s="365">
        <v>1</v>
      </c>
      <c r="AD50" s="440"/>
      <c r="AF50" s="160" t="s">
        <v>439</v>
      </c>
      <c r="AG50" s="160" t="s">
        <v>440</v>
      </c>
      <c r="AH50" s="155" t="s">
        <v>441</v>
      </c>
      <c r="AI50" s="155" t="s">
        <v>438</v>
      </c>
      <c r="AJ50" s="155" t="s">
        <v>312</v>
      </c>
      <c r="AK50" s="155" t="s">
        <v>347</v>
      </c>
      <c r="AL50" s="155" t="s">
        <v>352</v>
      </c>
      <c r="AM50" s="155" t="s">
        <v>442</v>
      </c>
    </row>
    <row r="51" spans="2:39" s="147" customFormat="1" ht="27" customHeight="1">
      <c r="B51" s="538"/>
      <c r="C51" s="539"/>
      <c r="D51" s="360">
        <v>3</v>
      </c>
      <c r="E51" s="434"/>
      <c r="F51" s="435">
        <f t="shared" si="30"/>
        <v>0</v>
      </c>
      <c r="G51" s="363"/>
      <c r="H51" s="436"/>
      <c r="I51" s="436"/>
      <c r="J51" s="438" t="str">
        <f t="shared" si="31"/>
        <v>-</v>
      </c>
      <c r="K51" s="436"/>
      <c r="L51" s="438" t="str">
        <f t="shared" si="32"/>
        <v>-</v>
      </c>
      <c r="M51" s="437"/>
      <c r="N51" s="438" t="str">
        <f t="shared" si="33"/>
        <v>-</v>
      </c>
      <c r="O51" s="439">
        <f t="shared" si="34"/>
        <v>0</v>
      </c>
      <c r="P51" s="438" t="str">
        <f t="shared" si="35"/>
        <v>-</v>
      </c>
      <c r="Q51" s="436"/>
      <c r="R51" s="438" t="str">
        <f t="shared" si="36"/>
        <v>-</v>
      </c>
      <c r="S51" s="439">
        <f t="shared" si="37"/>
        <v>0</v>
      </c>
      <c r="T51" s="438" t="str">
        <f t="shared" si="38"/>
        <v>-</v>
      </c>
      <c r="U51" s="362">
        <f t="shared" si="39"/>
        <v>0</v>
      </c>
      <c r="V51" s="450">
        <f t="shared" si="40"/>
        <v>0</v>
      </c>
      <c r="W51" s="451" t="str">
        <f t="shared" si="41"/>
        <v>-</v>
      </c>
      <c r="X51" s="452">
        <f t="shared" si="42"/>
        <v>0</v>
      </c>
      <c r="Y51" s="364" t="s">
        <v>437</v>
      </c>
      <c r="Z51" s="364" t="s">
        <v>438</v>
      </c>
      <c r="AA51" s="365"/>
      <c r="AB51" s="365"/>
      <c r="AC51" s="365">
        <v>1</v>
      </c>
      <c r="AD51" s="440"/>
      <c r="AF51" s="370">
        <f>SUM(AC49:AC68)</f>
        <v>20</v>
      </c>
      <c r="AG51" s="366">
        <f>SUMIF($Z$49:$Z$68,TRIM(AG50),$AC$49:$AC$68)</f>
        <v>8</v>
      </c>
      <c r="AH51" s="366">
        <f t="shared" ref="AH51:AM51" si="43">SUMIF($Z$49:$Z$68,TRIM(AH50),$AC$49:$AC$68)</f>
        <v>0</v>
      </c>
      <c r="AI51" s="366">
        <f t="shared" si="43"/>
        <v>6</v>
      </c>
      <c r="AJ51" s="366">
        <f t="shared" si="43"/>
        <v>0</v>
      </c>
      <c r="AK51" s="366">
        <f t="shared" si="43"/>
        <v>1</v>
      </c>
      <c r="AL51" s="366">
        <f t="shared" si="43"/>
        <v>5</v>
      </c>
      <c r="AM51" s="366">
        <f t="shared" si="43"/>
        <v>0</v>
      </c>
    </row>
    <row r="52" spans="2:39" s="147" customFormat="1" ht="27" customHeight="1">
      <c r="B52" s="538"/>
      <c r="C52" s="539"/>
      <c r="D52" s="360">
        <v>4</v>
      </c>
      <c r="E52" s="434"/>
      <c r="F52" s="435">
        <f t="shared" si="30"/>
        <v>0</v>
      </c>
      <c r="G52" s="363"/>
      <c r="H52" s="436"/>
      <c r="I52" s="436"/>
      <c r="J52" s="438" t="str">
        <f t="shared" si="31"/>
        <v>-</v>
      </c>
      <c r="K52" s="436"/>
      <c r="L52" s="438" t="str">
        <f t="shared" si="32"/>
        <v>-</v>
      </c>
      <c r="M52" s="437"/>
      <c r="N52" s="438" t="str">
        <f t="shared" si="33"/>
        <v>-</v>
      </c>
      <c r="O52" s="439">
        <f t="shared" si="34"/>
        <v>0</v>
      </c>
      <c r="P52" s="438" t="str">
        <f t="shared" si="35"/>
        <v>-</v>
      </c>
      <c r="Q52" s="436"/>
      <c r="R52" s="438" t="str">
        <f t="shared" si="36"/>
        <v>-</v>
      </c>
      <c r="S52" s="439">
        <f t="shared" si="37"/>
        <v>0</v>
      </c>
      <c r="T52" s="438" t="str">
        <f t="shared" si="38"/>
        <v>-</v>
      </c>
      <c r="U52" s="362">
        <f t="shared" si="39"/>
        <v>0</v>
      </c>
      <c r="V52" s="450">
        <f t="shared" si="40"/>
        <v>0</v>
      </c>
      <c r="W52" s="451" t="str">
        <f t="shared" si="41"/>
        <v>-</v>
      </c>
      <c r="X52" s="452">
        <f t="shared" si="42"/>
        <v>0</v>
      </c>
      <c r="Y52" s="364" t="s">
        <v>437</v>
      </c>
      <c r="Z52" s="364" t="s">
        <v>438</v>
      </c>
      <c r="AA52" s="365"/>
      <c r="AB52" s="365"/>
      <c r="AC52" s="365">
        <v>1</v>
      </c>
      <c r="AD52" s="440"/>
      <c r="AF52" s="371" t="s">
        <v>303</v>
      </c>
      <c r="AG52" s="368">
        <f>SUMIF($Z$49:$Z68,TRIM(AG50),$F$49:$F$68)</f>
        <v>0</v>
      </c>
      <c r="AH52" s="368">
        <f>SUMIF($Z$49:$Z68,TRIM(AH50),$F$49:$F$68)</f>
        <v>0</v>
      </c>
      <c r="AI52" s="368">
        <f>SUMIF($Z$49:$Z68,TRIM(AI50),$F$49:$F$68)</f>
        <v>0</v>
      </c>
      <c r="AJ52" s="368">
        <f>SUMIF($Z$49:$Z68,TRIM(AJ50),$F$49:$F$68)</f>
        <v>0</v>
      </c>
      <c r="AK52" s="368">
        <f>SUMIF($Z$49:$Z68,TRIM(AK50),$F$49:$F$68)</f>
        <v>0</v>
      </c>
      <c r="AL52" s="368">
        <f>SUMIF($Z$49:$Z68,TRIM(AL50),$F$49:$F$68)</f>
        <v>0</v>
      </c>
      <c r="AM52" s="368">
        <f>SUMIF($Z$49:$Z68,TRIM(AM50),$F$49:$F$68)</f>
        <v>0</v>
      </c>
    </row>
    <row r="53" spans="2:39" s="147" customFormat="1" ht="27" customHeight="1">
      <c r="B53" s="538"/>
      <c r="C53" s="539"/>
      <c r="D53" s="360">
        <v>5</v>
      </c>
      <c r="E53" s="434"/>
      <c r="F53" s="435">
        <f t="shared" si="30"/>
        <v>0</v>
      </c>
      <c r="G53" s="363"/>
      <c r="H53" s="436"/>
      <c r="I53" s="436"/>
      <c r="J53" s="438" t="str">
        <f t="shared" si="31"/>
        <v>-</v>
      </c>
      <c r="K53" s="436"/>
      <c r="L53" s="438" t="str">
        <f t="shared" si="32"/>
        <v>-</v>
      </c>
      <c r="M53" s="437"/>
      <c r="N53" s="438" t="str">
        <f t="shared" si="33"/>
        <v>-</v>
      </c>
      <c r="O53" s="439">
        <f t="shared" si="34"/>
        <v>0</v>
      </c>
      <c r="P53" s="438" t="str">
        <f t="shared" si="35"/>
        <v>-</v>
      </c>
      <c r="Q53" s="436"/>
      <c r="R53" s="438" t="str">
        <f t="shared" si="36"/>
        <v>-</v>
      </c>
      <c r="S53" s="439">
        <f t="shared" si="37"/>
        <v>0</v>
      </c>
      <c r="T53" s="438" t="str">
        <f t="shared" si="38"/>
        <v>-</v>
      </c>
      <c r="U53" s="362">
        <f t="shared" si="39"/>
        <v>0</v>
      </c>
      <c r="V53" s="450">
        <f t="shared" si="40"/>
        <v>0</v>
      </c>
      <c r="W53" s="451" t="str">
        <f t="shared" si="41"/>
        <v>-</v>
      </c>
      <c r="X53" s="452">
        <f t="shared" si="42"/>
        <v>0</v>
      </c>
      <c r="Y53" s="364" t="s">
        <v>437</v>
      </c>
      <c r="Z53" s="364" t="s">
        <v>352</v>
      </c>
      <c r="AA53" s="365"/>
      <c r="AB53" s="365"/>
      <c r="AC53" s="365">
        <v>1</v>
      </c>
      <c r="AD53" s="440"/>
      <c r="AF53" s="360" t="s">
        <v>443</v>
      </c>
      <c r="AG53" s="441">
        <f>AG51/$AF51</f>
        <v>0.4</v>
      </c>
      <c r="AH53" s="441">
        <f t="shared" ref="AH53:AM53" si="44">AH51/$AF51</f>
        <v>0</v>
      </c>
      <c r="AI53" s="441">
        <f t="shared" si="44"/>
        <v>0.3</v>
      </c>
      <c r="AJ53" s="441">
        <f t="shared" si="44"/>
        <v>0</v>
      </c>
      <c r="AK53" s="441">
        <f t="shared" si="44"/>
        <v>0.05</v>
      </c>
      <c r="AL53" s="441">
        <f t="shared" si="44"/>
        <v>0.25</v>
      </c>
      <c r="AM53" s="441">
        <f t="shared" si="44"/>
        <v>0</v>
      </c>
    </row>
    <row r="54" spans="2:39" s="147" customFormat="1" ht="27" customHeight="1">
      <c r="B54" s="538"/>
      <c r="C54" s="539"/>
      <c r="D54" s="360">
        <v>6</v>
      </c>
      <c r="E54" s="434"/>
      <c r="F54" s="435">
        <f t="shared" si="30"/>
        <v>0</v>
      </c>
      <c r="G54" s="363"/>
      <c r="H54" s="436"/>
      <c r="I54" s="436"/>
      <c r="J54" s="438" t="str">
        <f t="shared" si="31"/>
        <v>-</v>
      </c>
      <c r="K54" s="436"/>
      <c r="L54" s="438" t="str">
        <f t="shared" si="32"/>
        <v>-</v>
      </c>
      <c r="M54" s="437"/>
      <c r="N54" s="438" t="str">
        <f t="shared" si="33"/>
        <v>-</v>
      </c>
      <c r="O54" s="439">
        <f t="shared" si="34"/>
        <v>0</v>
      </c>
      <c r="P54" s="438" t="str">
        <f t="shared" si="35"/>
        <v>-</v>
      </c>
      <c r="Q54" s="436"/>
      <c r="R54" s="438" t="str">
        <f t="shared" si="36"/>
        <v>-</v>
      </c>
      <c r="S54" s="439">
        <f t="shared" si="37"/>
        <v>0</v>
      </c>
      <c r="T54" s="438" t="str">
        <f t="shared" si="38"/>
        <v>-</v>
      </c>
      <c r="U54" s="362">
        <f t="shared" si="39"/>
        <v>0</v>
      </c>
      <c r="V54" s="450">
        <f t="shared" si="40"/>
        <v>0</v>
      </c>
      <c r="W54" s="451" t="str">
        <f t="shared" si="41"/>
        <v>-</v>
      </c>
      <c r="X54" s="452">
        <f t="shared" si="42"/>
        <v>0</v>
      </c>
      <c r="Y54" s="364" t="s">
        <v>437</v>
      </c>
      <c r="Z54" s="364" t="s">
        <v>438</v>
      </c>
      <c r="AA54" s="365"/>
      <c r="AB54" s="365"/>
      <c r="AC54" s="365">
        <v>1</v>
      </c>
      <c r="AD54" s="440"/>
    </row>
    <row r="55" spans="2:39" s="147" customFormat="1" ht="27" customHeight="1">
      <c r="B55" s="538"/>
      <c r="C55" s="539"/>
      <c r="D55" s="360">
        <v>7</v>
      </c>
      <c r="E55" s="434"/>
      <c r="F55" s="435">
        <f t="shared" si="30"/>
        <v>0</v>
      </c>
      <c r="G55" s="363"/>
      <c r="H55" s="436"/>
      <c r="I55" s="436"/>
      <c r="J55" s="438" t="str">
        <f t="shared" si="31"/>
        <v>-</v>
      </c>
      <c r="K55" s="436"/>
      <c r="L55" s="438" t="str">
        <f t="shared" si="32"/>
        <v>-</v>
      </c>
      <c r="M55" s="437"/>
      <c r="N55" s="438" t="str">
        <f t="shared" si="33"/>
        <v>-</v>
      </c>
      <c r="O55" s="439">
        <f t="shared" si="34"/>
        <v>0</v>
      </c>
      <c r="P55" s="438" t="str">
        <f t="shared" si="35"/>
        <v>-</v>
      </c>
      <c r="Q55" s="436"/>
      <c r="R55" s="438" t="str">
        <f t="shared" si="36"/>
        <v>-</v>
      </c>
      <c r="S55" s="439">
        <f t="shared" si="37"/>
        <v>0</v>
      </c>
      <c r="T55" s="438" t="str">
        <f t="shared" si="38"/>
        <v>-</v>
      </c>
      <c r="U55" s="362">
        <f t="shared" si="39"/>
        <v>0</v>
      </c>
      <c r="V55" s="450">
        <f t="shared" si="40"/>
        <v>0</v>
      </c>
      <c r="W55" s="451" t="str">
        <f t="shared" si="41"/>
        <v>-</v>
      </c>
      <c r="X55" s="452">
        <f t="shared" si="42"/>
        <v>0</v>
      </c>
      <c r="Y55" s="364" t="s">
        <v>437</v>
      </c>
      <c r="Z55" s="364" t="s">
        <v>347</v>
      </c>
      <c r="AA55" s="365"/>
      <c r="AB55" s="365"/>
      <c r="AC55" s="365">
        <v>1</v>
      </c>
      <c r="AD55" s="440"/>
    </row>
    <row r="56" spans="2:39" s="147" customFormat="1" ht="27" customHeight="1">
      <c r="B56" s="538"/>
      <c r="C56" s="539"/>
      <c r="D56" s="360">
        <v>8</v>
      </c>
      <c r="E56" s="434"/>
      <c r="F56" s="435">
        <f t="shared" si="30"/>
        <v>0</v>
      </c>
      <c r="G56" s="363"/>
      <c r="H56" s="436"/>
      <c r="I56" s="436"/>
      <c r="J56" s="438" t="str">
        <f t="shared" si="31"/>
        <v>-</v>
      </c>
      <c r="K56" s="436"/>
      <c r="L56" s="438" t="str">
        <f t="shared" si="32"/>
        <v>-</v>
      </c>
      <c r="M56" s="437"/>
      <c r="N56" s="438" t="str">
        <f t="shared" si="33"/>
        <v>-</v>
      </c>
      <c r="O56" s="439">
        <f t="shared" si="34"/>
        <v>0</v>
      </c>
      <c r="P56" s="438" t="str">
        <f t="shared" si="35"/>
        <v>-</v>
      </c>
      <c r="Q56" s="436"/>
      <c r="R56" s="438" t="str">
        <f t="shared" si="36"/>
        <v>-</v>
      </c>
      <c r="S56" s="439">
        <f t="shared" si="37"/>
        <v>0</v>
      </c>
      <c r="T56" s="438" t="str">
        <f t="shared" si="38"/>
        <v>-</v>
      </c>
      <c r="U56" s="362">
        <f t="shared" si="39"/>
        <v>0</v>
      </c>
      <c r="V56" s="450">
        <f t="shared" si="40"/>
        <v>0</v>
      </c>
      <c r="W56" s="451" t="str">
        <f t="shared" si="41"/>
        <v>-</v>
      </c>
      <c r="X56" s="452">
        <f t="shared" si="42"/>
        <v>0</v>
      </c>
      <c r="Y56" s="364" t="s">
        <v>437</v>
      </c>
      <c r="Z56" s="364" t="s">
        <v>440</v>
      </c>
      <c r="AA56" s="365"/>
      <c r="AB56" s="365"/>
      <c r="AC56" s="365">
        <v>1</v>
      </c>
      <c r="AD56" s="440"/>
    </row>
    <row r="57" spans="2:39" s="147" customFormat="1" ht="27" customHeight="1">
      <c r="B57" s="538"/>
      <c r="C57" s="539"/>
      <c r="D57" s="360">
        <v>9</v>
      </c>
      <c r="E57" s="434"/>
      <c r="F57" s="435">
        <f t="shared" si="30"/>
        <v>0</v>
      </c>
      <c r="G57" s="363"/>
      <c r="H57" s="436"/>
      <c r="I57" s="436"/>
      <c r="J57" s="438" t="str">
        <f t="shared" si="31"/>
        <v>-</v>
      </c>
      <c r="K57" s="436"/>
      <c r="L57" s="438" t="str">
        <f t="shared" si="32"/>
        <v>-</v>
      </c>
      <c r="M57" s="437"/>
      <c r="N57" s="438" t="str">
        <f t="shared" si="33"/>
        <v>-</v>
      </c>
      <c r="O57" s="439">
        <f t="shared" si="34"/>
        <v>0</v>
      </c>
      <c r="P57" s="438" t="str">
        <f t="shared" si="35"/>
        <v>-</v>
      </c>
      <c r="Q57" s="436"/>
      <c r="R57" s="438" t="str">
        <f t="shared" si="36"/>
        <v>-</v>
      </c>
      <c r="S57" s="439">
        <f t="shared" si="37"/>
        <v>0</v>
      </c>
      <c r="T57" s="438" t="str">
        <f t="shared" si="38"/>
        <v>-</v>
      </c>
      <c r="U57" s="362">
        <f t="shared" si="39"/>
        <v>0</v>
      </c>
      <c r="V57" s="450">
        <f t="shared" si="40"/>
        <v>0</v>
      </c>
      <c r="W57" s="451" t="str">
        <f t="shared" si="41"/>
        <v>-</v>
      </c>
      <c r="X57" s="452">
        <f t="shared" si="42"/>
        <v>0</v>
      </c>
      <c r="Y57" s="364" t="s">
        <v>437</v>
      </c>
      <c r="Z57" s="364" t="s">
        <v>440</v>
      </c>
      <c r="AA57" s="365"/>
      <c r="AB57" s="365"/>
      <c r="AC57" s="365">
        <v>1</v>
      </c>
      <c r="AD57" s="440"/>
      <c r="AH57" s="367"/>
    </row>
    <row r="58" spans="2:39" s="147" customFormat="1" ht="27" customHeight="1">
      <c r="B58" s="538"/>
      <c r="C58" s="539"/>
      <c r="D58" s="360">
        <v>10</v>
      </c>
      <c r="E58" s="434"/>
      <c r="F58" s="435">
        <f t="shared" si="30"/>
        <v>0</v>
      </c>
      <c r="G58" s="363"/>
      <c r="H58" s="436"/>
      <c r="I58" s="436"/>
      <c r="J58" s="438" t="str">
        <f t="shared" si="31"/>
        <v>-</v>
      </c>
      <c r="K58" s="436"/>
      <c r="L58" s="438" t="str">
        <f t="shared" si="32"/>
        <v>-</v>
      </c>
      <c r="M58" s="437"/>
      <c r="N58" s="438" t="str">
        <f t="shared" si="33"/>
        <v>-</v>
      </c>
      <c r="O58" s="439">
        <f t="shared" si="34"/>
        <v>0</v>
      </c>
      <c r="P58" s="438" t="str">
        <f t="shared" si="35"/>
        <v>-</v>
      </c>
      <c r="Q58" s="436"/>
      <c r="R58" s="438" t="str">
        <f t="shared" si="36"/>
        <v>-</v>
      </c>
      <c r="S58" s="439">
        <f t="shared" si="37"/>
        <v>0</v>
      </c>
      <c r="T58" s="438" t="str">
        <f t="shared" si="38"/>
        <v>-</v>
      </c>
      <c r="U58" s="362">
        <f t="shared" si="39"/>
        <v>0</v>
      </c>
      <c r="V58" s="450">
        <f t="shared" si="40"/>
        <v>0</v>
      </c>
      <c r="W58" s="451" t="str">
        <f t="shared" si="41"/>
        <v>-</v>
      </c>
      <c r="X58" s="452">
        <f t="shared" si="42"/>
        <v>0</v>
      </c>
      <c r="Y58" s="364" t="s">
        <v>437</v>
      </c>
      <c r="Z58" s="364" t="s">
        <v>352</v>
      </c>
      <c r="AA58" s="365"/>
      <c r="AB58" s="365"/>
      <c r="AC58" s="365">
        <v>1</v>
      </c>
      <c r="AD58" s="440"/>
      <c r="AH58" s="367"/>
    </row>
    <row r="59" spans="2:39" s="147" customFormat="1" ht="27" customHeight="1">
      <c r="B59" s="538"/>
      <c r="C59" s="539"/>
      <c r="D59" s="360">
        <v>11</v>
      </c>
      <c r="E59" s="434"/>
      <c r="F59" s="435">
        <f t="shared" si="30"/>
        <v>0</v>
      </c>
      <c r="G59" s="363"/>
      <c r="H59" s="436"/>
      <c r="I59" s="436"/>
      <c r="J59" s="438" t="str">
        <f t="shared" si="31"/>
        <v>-</v>
      </c>
      <c r="K59" s="436"/>
      <c r="L59" s="438" t="str">
        <f t="shared" si="32"/>
        <v>-</v>
      </c>
      <c r="M59" s="437"/>
      <c r="N59" s="438" t="str">
        <f t="shared" si="33"/>
        <v>-</v>
      </c>
      <c r="O59" s="439">
        <f t="shared" si="34"/>
        <v>0</v>
      </c>
      <c r="P59" s="438" t="str">
        <f t="shared" si="35"/>
        <v>-</v>
      </c>
      <c r="Q59" s="436"/>
      <c r="R59" s="438" t="str">
        <f t="shared" si="36"/>
        <v>-</v>
      </c>
      <c r="S59" s="439">
        <f t="shared" si="37"/>
        <v>0</v>
      </c>
      <c r="T59" s="438" t="str">
        <f t="shared" si="38"/>
        <v>-</v>
      </c>
      <c r="U59" s="362">
        <f t="shared" si="39"/>
        <v>0</v>
      </c>
      <c r="V59" s="450">
        <f t="shared" si="40"/>
        <v>0</v>
      </c>
      <c r="W59" s="451" t="str">
        <f t="shared" si="41"/>
        <v>-</v>
      </c>
      <c r="X59" s="452">
        <f t="shared" si="42"/>
        <v>0</v>
      </c>
      <c r="Y59" s="364" t="s">
        <v>437</v>
      </c>
      <c r="Z59" s="364" t="s">
        <v>440</v>
      </c>
      <c r="AA59" s="365"/>
      <c r="AB59" s="365"/>
      <c r="AC59" s="365">
        <v>1</v>
      </c>
      <c r="AD59" s="440"/>
      <c r="AH59" s="367"/>
    </row>
    <row r="60" spans="2:39" s="147" customFormat="1" ht="26.25" customHeight="1">
      <c r="B60" s="538"/>
      <c r="C60" s="539"/>
      <c r="D60" s="360">
        <v>12</v>
      </c>
      <c r="E60" s="434"/>
      <c r="F60" s="435">
        <f t="shared" si="30"/>
        <v>0</v>
      </c>
      <c r="G60" s="363"/>
      <c r="H60" s="436"/>
      <c r="I60" s="436"/>
      <c r="J60" s="438" t="str">
        <f t="shared" si="31"/>
        <v>-</v>
      </c>
      <c r="K60" s="436"/>
      <c r="L60" s="438" t="str">
        <f t="shared" si="32"/>
        <v>-</v>
      </c>
      <c r="M60" s="437"/>
      <c r="N60" s="438" t="str">
        <f t="shared" si="33"/>
        <v>-</v>
      </c>
      <c r="O60" s="439">
        <f t="shared" si="34"/>
        <v>0</v>
      </c>
      <c r="P60" s="438" t="str">
        <f t="shared" si="35"/>
        <v>-</v>
      </c>
      <c r="Q60" s="436"/>
      <c r="R60" s="438" t="str">
        <f t="shared" si="36"/>
        <v>-</v>
      </c>
      <c r="S60" s="439">
        <f t="shared" si="37"/>
        <v>0</v>
      </c>
      <c r="T60" s="438" t="str">
        <f t="shared" si="38"/>
        <v>-</v>
      </c>
      <c r="U60" s="362">
        <f t="shared" si="39"/>
        <v>0</v>
      </c>
      <c r="V60" s="450">
        <f t="shared" si="40"/>
        <v>0</v>
      </c>
      <c r="W60" s="451" t="str">
        <f t="shared" si="41"/>
        <v>-</v>
      </c>
      <c r="X60" s="452">
        <f t="shared" si="42"/>
        <v>0</v>
      </c>
      <c r="Y60" s="364" t="s">
        <v>437</v>
      </c>
      <c r="Z60" s="364" t="s">
        <v>438</v>
      </c>
      <c r="AA60" s="365"/>
      <c r="AB60" s="365"/>
      <c r="AC60" s="365">
        <v>1</v>
      </c>
      <c r="AD60" s="440"/>
      <c r="AH60" s="367"/>
    </row>
    <row r="61" spans="2:39" s="147" customFormat="1" ht="27" customHeight="1">
      <c r="B61" s="538"/>
      <c r="C61" s="539"/>
      <c r="D61" s="360">
        <v>13</v>
      </c>
      <c r="E61" s="434"/>
      <c r="F61" s="435">
        <f t="shared" ref="F61:F67" si="45">IFERROR(Q61*G61,"-")</f>
        <v>0</v>
      </c>
      <c r="G61" s="363"/>
      <c r="H61" s="436"/>
      <c r="I61" s="436"/>
      <c r="J61" s="438" t="str">
        <f t="shared" ref="J61:J67" si="46">IFERROR(I61/H61,"-")</f>
        <v>-</v>
      </c>
      <c r="K61" s="436"/>
      <c r="L61" s="438" t="str">
        <f t="shared" ref="L61:L67" si="47">IFERROR(K61/H61,"-")</f>
        <v>-</v>
      </c>
      <c r="M61" s="437"/>
      <c r="N61" s="438" t="str">
        <f t="shared" ref="N61:N67" si="48">IFERROR(M61/H61,"-")</f>
        <v>-</v>
      </c>
      <c r="O61" s="439">
        <f t="shared" ref="O61:O67" si="49">IFERROR(K61+M61,"-")</f>
        <v>0</v>
      </c>
      <c r="P61" s="438" t="str">
        <f t="shared" ref="P61:P67" si="50">IFERROR(O61/H61,"-")</f>
        <v>-</v>
      </c>
      <c r="Q61" s="436"/>
      <c r="R61" s="438" t="str">
        <f t="shared" ref="R61:R67" si="51">IFERROR(Q61/H61,"-")</f>
        <v>-</v>
      </c>
      <c r="S61" s="439">
        <f t="shared" ref="S61:S67" si="52">IFERROR(O61-H61,"-")</f>
        <v>0</v>
      </c>
      <c r="T61" s="438" t="str">
        <f t="shared" ref="T61:T67" si="53">IFERROR(S61/H61,"-")</f>
        <v>-</v>
      </c>
      <c r="U61" s="362">
        <f t="shared" ref="U61:U67" si="54">IFERROR(S61*G61,"-")</f>
        <v>0</v>
      </c>
      <c r="V61" s="450">
        <f t="shared" ref="V61:V67" si="55">S61-Q61</f>
        <v>0</v>
      </c>
      <c r="W61" s="451" t="str">
        <f t="shared" ref="W61:W67" si="56">IFERROR(V61/H61,"-")</f>
        <v>-</v>
      </c>
      <c r="X61" s="452">
        <f t="shared" ref="X61:X67" si="57">IFERROR(V61*G61,"-")</f>
        <v>0</v>
      </c>
      <c r="Y61" s="364" t="s">
        <v>437</v>
      </c>
      <c r="Z61" s="364" t="s">
        <v>440</v>
      </c>
      <c r="AA61" s="376"/>
      <c r="AB61" s="365"/>
      <c r="AC61" s="365">
        <v>1</v>
      </c>
      <c r="AD61" s="440"/>
    </row>
    <row r="62" spans="2:39" s="147" customFormat="1" ht="27" customHeight="1">
      <c r="B62" s="538"/>
      <c r="C62" s="539"/>
      <c r="D62" s="360">
        <v>14</v>
      </c>
      <c r="E62" s="434"/>
      <c r="F62" s="435">
        <f t="shared" si="45"/>
        <v>0</v>
      </c>
      <c r="G62" s="363"/>
      <c r="H62" s="436"/>
      <c r="I62" s="436"/>
      <c r="J62" s="438" t="str">
        <f t="shared" si="46"/>
        <v>-</v>
      </c>
      <c r="K62" s="436"/>
      <c r="L62" s="438" t="str">
        <f t="shared" si="47"/>
        <v>-</v>
      </c>
      <c r="M62" s="437"/>
      <c r="N62" s="438" t="str">
        <f t="shared" si="48"/>
        <v>-</v>
      </c>
      <c r="O62" s="439">
        <f t="shared" si="49"/>
        <v>0</v>
      </c>
      <c r="P62" s="438" t="str">
        <f t="shared" si="50"/>
        <v>-</v>
      </c>
      <c r="Q62" s="436"/>
      <c r="R62" s="438" t="str">
        <f t="shared" si="51"/>
        <v>-</v>
      </c>
      <c r="S62" s="439">
        <f t="shared" si="52"/>
        <v>0</v>
      </c>
      <c r="T62" s="438" t="str">
        <f t="shared" si="53"/>
        <v>-</v>
      </c>
      <c r="U62" s="362">
        <f t="shared" si="54"/>
        <v>0</v>
      </c>
      <c r="V62" s="450">
        <f t="shared" si="55"/>
        <v>0</v>
      </c>
      <c r="W62" s="451" t="str">
        <f t="shared" si="56"/>
        <v>-</v>
      </c>
      <c r="X62" s="452">
        <f>IFERROR(V62*G62,"-")</f>
        <v>0</v>
      </c>
      <c r="Y62" s="364" t="s">
        <v>437</v>
      </c>
      <c r="Z62" s="364" t="s">
        <v>352</v>
      </c>
      <c r="AA62" s="365"/>
      <c r="AB62" s="365"/>
      <c r="AC62" s="365">
        <v>1</v>
      </c>
      <c r="AD62" s="440"/>
    </row>
    <row r="63" spans="2:39" s="147" customFormat="1" ht="27" customHeight="1">
      <c r="B63" s="538"/>
      <c r="C63" s="539"/>
      <c r="D63" s="360">
        <v>15</v>
      </c>
      <c r="E63" s="434"/>
      <c r="F63" s="435">
        <f t="shared" si="45"/>
        <v>0</v>
      </c>
      <c r="G63" s="363"/>
      <c r="H63" s="436"/>
      <c r="I63" s="436"/>
      <c r="J63" s="438" t="str">
        <f t="shared" si="46"/>
        <v>-</v>
      </c>
      <c r="K63" s="436"/>
      <c r="L63" s="438" t="str">
        <f t="shared" si="47"/>
        <v>-</v>
      </c>
      <c r="M63" s="437"/>
      <c r="N63" s="438" t="str">
        <f t="shared" si="48"/>
        <v>-</v>
      </c>
      <c r="O63" s="439">
        <f t="shared" si="49"/>
        <v>0</v>
      </c>
      <c r="P63" s="438" t="str">
        <f t="shared" si="50"/>
        <v>-</v>
      </c>
      <c r="Q63" s="436"/>
      <c r="R63" s="438" t="str">
        <f t="shared" si="51"/>
        <v>-</v>
      </c>
      <c r="S63" s="439">
        <f t="shared" si="52"/>
        <v>0</v>
      </c>
      <c r="T63" s="438" t="str">
        <f t="shared" si="53"/>
        <v>-</v>
      </c>
      <c r="U63" s="362">
        <f t="shared" si="54"/>
        <v>0</v>
      </c>
      <c r="V63" s="450">
        <f t="shared" si="55"/>
        <v>0</v>
      </c>
      <c r="W63" s="451" t="str">
        <f t="shared" si="56"/>
        <v>-</v>
      </c>
      <c r="X63" s="452">
        <f t="shared" si="57"/>
        <v>0</v>
      </c>
      <c r="Y63" s="364" t="s">
        <v>437</v>
      </c>
      <c r="Z63" s="364" t="s">
        <v>440</v>
      </c>
      <c r="AA63" s="365"/>
      <c r="AB63" s="365"/>
      <c r="AC63" s="365">
        <v>1</v>
      </c>
      <c r="AD63" s="440"/>
    </row>
    <row r="64" spans="2:39" s="147" customFormat="1" ht="27" customHeight="1">
      <c r="B64" s="538"/>
      <c r="C64" s="539"/>
      <c r="D64" s="360">
        <v>16</v>
      </c>
      <c r="E64" s="434"/>
      <c r="F64" s="435">
        <f t="shared" si="45"/>
        <v>0</v>
      </c>
      <c r="G64" s="363"/>
      <c r="H64" s="436"/>
      <c r="I64" s="436"/>
      <c r="J64" s="438" t="str">
        <f t="shared" si="46"/>
        <v>-</v>
      </c>
      <c r="K64" s="436"/>
      <c r="L64" s="438" t="str">
        <f t="shared" si="47"/>
        <v>-</v>
      </c>
      <c r="M64" s="437"/>
      <c r="N64" s="438" t="str">
        <f t="shared" si="48"/>
        <v>-</v>
      </c>
      <c r="O64" s="439">
        <f t="shared" si="49"/>
        <v>0</v>
      </c>
      <c r="P64" s="438" t="str">
        <f t="shared" si="50"/>
        <v>-</v>
      </c>
      <c r="Q64" s="436"/>
      <c r="R64" s="438" t="str">
        <f t="shared" si="51"/>
        <v>-</v>
      </c>
      <c r="S64" s="439">
        <f t="shared" si="52"/>
        <v>0</v>
      </c>
      <c r="T64" s="438" t="str">
        <f t="shared" si="53"/>
        <v>-</v>
      </c>
      <c r="U64" s="362">
        <f t="shared" si="54"/>
        <v>0</v>
      </c>
      <c r="V64" s="450">
        <f t="shared" si="55"/>
        <v>0</v>
      </c>
      <c r="W64" s="451" t="str">
        <f t="shared" si="56"/>
        <v>-</v>
      </c>
      <c r="X64" s="452">
        <f t="shared" si="57"/>
        <v>0</v>
      </c>
      <c r="Y64" s="364" t="s">
        <v>437</v>
      </c>
      <c r="Z64" s="364" t="s">
        <v>438</v>
      </c>
      <c r="AA64" s="365"/>
      <c r="AB64" s="365"/>
      <c r="AC64" s="365">
        <v>1</v>
      </c>
      <c r="AD64" s="440"/>
    </row>
    <row r="65" spans="2:39" s="147" customFormat="1" ht="27" customHeight="1">
      <c r="B65" s="538"/>
      <c r="C65" s="539"/>
      <c r="D65" s="360">
        <v>17</v>
      </c>
      <c r="E65" s="434"/>
      <c r="F65" s="435">
        <f t="shared" si="45"/>
        <v>0</v>
      </c>
      <c r="G65" s="363"/>
      <c r="H65" s="436"/>
      <c r="I65" s="436"/>
      <c r="J65" s="438" t="str">
        <f t="shared" si="46"/>
        <v>-</v>
      </c>
      <c r="K65" s="436"/>
      <c r="L65" s="438" t="str">
        <f t="shared" si="47"/>
        <v>-</v>
      </c>
      <c r="M65" s="437"/>
      <c r="N65" s="438" t="str">
        <f t="shared" si="48"/>
        <v>-</v>
      </c>
      <c r="O65" s="439">
        <f t="shared" si="49"/>
        <v>0</v>
      </c>
      <c r="P65" s="438" t="str">
        <f t="shared" si="50"/>
        <v>-</v>
      </c>
      <c r="Q65" s="436"/>
      <c r="R65" s="438" t="str">
        <f t="shared" si="51"/>
        <v>-</v>
      </c>
      <c r="S65" s="439">
        <f t="shared" si="52"/>
        <v>0</v>
      </c>
      <c r="T65" s="438" t="str">
        <f t="shared" si="53"/>
        <v>-</v>
      </c>
      <c r="U65" s="362">
        <f t="shared" si="54"/>
        <v>0</v>
      </c>
      <c r="V65" s="450">
        <f t="shared" si="55"/>
        <v>0</v>
      </c>
      <c r="W65" s="451" t="str">
        <f t="shared" si="56"/>
        <v>-</v>
      </c>
      <c r="X65" s="452">
        <f t="shared" si="57"/>
        <v>0</v>
      </c>
      <c r="Y65" s="364" t="s">
        <v>437</v>
      </c>
      <c r="Z65" s="364" t="s">
        <v>440</v>
      </c>
      <c r="AA65" s="365"/>
      <c r="AB65" s="365"/>
      <c r="AC65" s="365">
        <v>1</v>
      </c>
      <c r="AD65" s="440"/>
    </row>
    <row r="66" spans="2:39" s="147" customFormat="1" ht="27" customHeight="1">
      <c r="B66" s="538"/>
      <c r="C66" s="539"/>
      <c r="D66" s="360">
        <v>18</v>
      </c>
      <c r="E66" s="434"/>
      <c r="F66" s="435">
        <f t="shared" si="45"/>
        <v>0</v>
      </c>
      <c r="G66" s="363"/>
      <c r="H66" s="436"/>
      <c r="I66" s="436"/>
      <c r="J66" s="438" t="str">
        <f t="shared" si="46"/>
        <v>-</v>
      </c>
      <c r="K66" s="436"/>
      <c r="L66" s="438" t="str">
        <f t="shared" si="47"/>
        <v>-</v>
      </c>
      <c r="M66" s="437"/>
      <c r="N66" s="438" t="str">
        <f t="shared" si="48"/>
        <v>-</v>
      </c>
      <c r="O66" s="439">
        <f t="shared" si="49"/>
        <v>0</v>
      </c>
      <c r="P66" s="438" t="str">
        <f t="shared" si="50"/>
        <v>-</v>
      </c>
      <c r="Q66" s="436"/>
      <c r="R66" s="438" t="str">
        <f t="shared" si="51"/>
        <v>-</v>
      </c>
      <c r="S66" s="439">
        <f t="shared" si="52"/>
        <v>0</v>
      </c>
      <c r="T66" s="438" t="str">
        <f t="shared" si="53"/>
        <v>-</v>
      </c>
      <c r="U66" s="362">
        <f t="shared" si="54"/>
        <v>0</v>
      </c>
      <c r="V66" s="450">
        <f t="shared" si="55"/>
        <v>0</v>
      </c>
      <c r="W66" s="451" t="str">
        <f t="shared" si="56"/>
        <v>-</v>
      </c>
      <c r="X66" s="452">
        <f t="shared" si="57"/>
        <v>0</v>
      </c>
      <c r="Y66" s="364" t="s">
        <v>437</v>
      </c>
      <c r="Z66" s="364" t="s">
        <v>440</v>
      </c>
      <c r="AA66" s="365"/>
      <c r="AB66" s="365"/>
      <c r="AC66" s="365">
        <v>1</v>
      </c>
      <c r="AD66" s="440"/>
    </row>
    <row r="67" spans="2:39" s="147" customFormat="1" ht="27" customHeight="1">
      <c r="B67" s="538"/>
      <c r="C67" s="539"/>
      <c r="D67" s="360">
        <v>19</v>
      </c>
      <c r="E67" s="434"/>
      <c r="F67" s="435">
        <f t="shared" si="45"/>
        <v>0</v>
      </c>
      <c r="G67" s="363"/>
      <c r="H67" s="436"/>
      <c r="I67" s="436"/>
      <c r="J67" s="438" t="str">
        <f t="shared" si="46"/>
        <v>-</v>
      </c>
      <c r="K67" s="436"/>
      <c r="L67" s="438" t="str">
        <f t="shared" si="47"/>
        <v>-</v>
      </c>
      <c r="M67" s="437"/>
      <c r="N67" s="438" t="str">
        <f t="shared" si="48"/>
        <v>-</v>
      </c>
      <c r="O67" s="439">
        <f t="shared" si="49"/>
        <v>0</v>
      </c>
      <c r="P67" s="438" t="str">
        <f t="shared" si="50"/>
        <v>-</v>
      </c>
      <c r="Q67" s="436"/>
      <c r="R67" s="438" t="str">
        <f t="shared" si="51"/>
        <v>-</v>
      </c>
      <c r="S67" s="439">
        <f t="shared" si="52"/>
        <v>0</v>
      </c>
      <c r="T67" s="438" t="str">
        <f t="shared" si="53"/>
        <v>-</v>
      </c>
      <c r="U67" s="362">
        <f t="shared" si="54"/>
        <v>0</v>
      </c>
      <c r="V67" s="450">
        <f t="shared" si="55"/>
        <v>0</v>
      </c>
      <c r="W67" s="451" t="str">
        <f t="shared" si="56"/>
        <v>-</v>
      </c>
      <c r="X67" s="452">
        <f t="shared" si="57"/>
        <v>0</v>
      </c>
      <c r="Y67" s="364" t="s">
        <v>437</v>
      </c>
      <c r="Z67" s="364" t="s">
        <v>352</v>
      </c>
      <c r="AA67" s="365"/>
      <c r="AB67" s="365"/>
      <c r="AC67" s="365">
        <v>1</v>
      </c>
      <c r="AD67" s="440"/>
    </row>
    <row r="68" spans="2:39" s="147" customFormat="1" ht="27" customHeight="1">
      <c r="B68" s="540"/>
      <c r="C68" s="541"/>
      <c r="D68" s="360">
        <v>20</v>
      </c>
      <c r="E68" s="434"/>
      <c r="F68" s="435">
        <f t="shared" si="30"/>
        <v>0</v>
      </c>
      <c r="G68" s="363"/>
      <c r="H68" s="436"/>
      <c r="I68" s="436"/>
      <c r="J68" s="438" t="str">
        <f t="shared" si="31"/>
        <v>-</v>
      </c>
      <c r="K68" s="436"/>
      <c r="L68" s="438" t="str">
        <f t="shared" si="32"/>
        <v>-</v>
      </c>
      <c r="M68" s="437"/>
      <c r="N68" s="438" t="str">
        <f t="shared" si="33"/>
        <v>-</v>
      </c>
      <c r="O68" s="439">
        <f t="shared" si="34"/>
        <v>0</v>
      </c>
      <c r="P68" s="438" t="str">
        <f t="shared" si="35"/>
        <v>-</v>
      </c>
      <c r="Q68" s="436"/>
      <c r="R68" s="438" t="str">
        <f t="shared" si="36"/>
        <v>-</v>
      </c>
      <c r="S68" s="439">
        <f t="shared" si="37"/>
        <v>0</v>
      </c>
      <c r="T68" s="438" t="str">
        <f t="shared" si="38"/>
        <v>-</v>
      </c>
      <c r="U68" s="362">
        <f t="shared" si="39"/>
        <v>0</v>
      </c>
      <c r="V68" s="450">
        <f t="shared" si="40"/>
        <v>0</v>
      </c>
      <c r="W68" s="451" t="str">
        <f t="shared" si="41"/>
        <v>-</v>
      </c>
      <c r="X68" s="452">
        <f t="shared" si="42"/>
        <v>0</v>
      </c>
      <c r="Y68" s="364" t="s">
        <v>437</v>
      </c>
      <c r="Z68" s="364" t="s">
        <v>440</v>
      </c>
      <c r="AA68" s="365"/>
      <c r="AB68" s="365"/>
      <c r="AC68" s="365">
        <v>1</v>
      </c>
      <c r="AD68" s="440"/>
    </row>
    <row r="69" spans="2:39" ht="16.5" customHeight="1">
      <c r="B69" s="552" t="s">
        <v>415</v>
      </c>
      <c r="C69" s="553"/>
      <c r="D69" s="556" t="s">
        <v>416</v>
      </c>
      <c r="E69" s="557" t="s">
        <v>417</v>
      </c>
      <c r="F69" s="559" t="s">
        <v>418</v>
      </c>
      <c r="G69" s="525" t="s">
        <v>419</v>
      </c>
      <c r="H69" s="560" t="s">
        <v>420</v>
      </c>
      <c r="I69" s="542" t="s">
        <v>421</v>
      </c>
      <c r="J69" s="543"/>
      <c r="K69" s="542" t="s">
        <v>422</v>
      </c>
      <c r="L69" s="543"/>
      <c r="M69" s="542" t="s">
        <v>423</v>
      </c>
      <c r="N69" s="543"/>
      <c r="O69" s="542" t="s">
        <v>424</v>
      </c>
      <c r="P69" s="543"/>
      <c r="Q69" s="542" t="s">
        <v>375</v>
      </c>
      <c r="R69" s="543"/>
      <c r="S69" s="545" t="s">
        <v>377</v>
      </c>
      <c r="T69" s="546"/>
      <c r="U69" s="921"/>
      <c r="V69" s="547" t="s">
        <v>425</v>
      </c>
      <c r="W69" s="548"/>
      <c r="X69" s="549"/>
      <c r="Y69" s="550" t="s">
        <v>426</v>
      </c>
      <c r="Z69" s="550" t="s">
        <v>427</v>
      </c>
      <c r="AA69" s="550" t="s">
        <v>428</v>
      </c>
      <c r="AB69" s="550" t="s">
        <v>429</v>
      </c>
      <c r="AC69" s="550" t="s">
        <v>430</v>
      </c>
      <c r="AD69" s="525" t="s">
        <v>431</v>
      </c>
      <c r="AF69" s="527" t="s">
        <v>432</v>
      </c>
      <c r="AG69" s="528"/>
      <c r="AH69" s="528"/>
      <c r="AI69" s="528"/>
      <c r="AJ69" s="528"/>
      <c r="AK69" s="528"/>
      <c r="AL69" s="528"/>
      <c r="AM69" s="529"/>
    </row>
    <row r="70" spans="2:39" ht="16.5" customHeight="1">
      <c r="B70" s="554"/>
      <c r="C70" s="555"/>
      <c r="D70" s="556"/>
      <c r="E70" s="556"/>
      <c r="F70" s="559"/>
      <c r="G70" s="526"/>
      <c r="H70" s="526"/>
      <c r="I70" s="433" t="s">
        <v>433</v>
      </c>
      <c r="J70" s="361" t="s">
        <v>434</v>
      </c>
      <c r="K70" s="433" t="s">
        <v>433</v>
      </c>
      <c r="L70" s="361" t="s">
        <v>434</v>
      </c>
      <c r="M70" s="433" t="s">
        <v>433</v>
      </c>
      <c r="N70" s="361" t="s">
        <v>434</v>
      </c>
      <c r="O70" s="433" t="s">
        <v>433</v>
      </c>
      <c r="P70" s="361" t="s">
        <v>434</v>
      </c>
      <c r="Q70" s="433" t="s">
        <v>433</v>
      </c>
      <c r="R70" s="361" t="s">
        <v>434</v>
      </c>
      <c r="S70" s="433" t="s">
        <v>433</v>
      </c>
      <c r="T70" s="361" t="s">
        <v>434</v>
      </c>
      <c r="U70" s="361" t="s">
        <v>435</v>
      </c>
      <c r="V70" s="433" t="s">
        <v>433</v>
      </c>
      <c r="W70" s="361" t="s">
        <v>434</v>
      </c>
      <c r="X70" s="361" t="s">
        <v>435</v>
      </c>
      <c r="Y70" s="551"/>
      <c r="Z70" s="551"/>
      <c r="AA70" s="551"/>
      <c r="AB70" s="551"/>
      <c r="AC70" s="551"/>
      <c r="AD70" s="526"/>
      <c r="AF70" s="530"/>
      <c r="AG70" s="531"/>
      <c r="AH70" s="531"/>
      <c r="AI70" s="531"/>
      <c r="AJ70" s="531"/>
      <c r="AK70" s="531"/>
      <c r="AL70" s="531"/>
      <c r="AM70" s="532"/>
    </row>
    <row r="71" spans="2:39" s="147" customFormat="1" ht="27" customHeight="1">
      <c r="B71" s="536" t="s">
        <v>455</v>
      </c>
      <c r="C71" s="537"/>
      <c r="D71" s="360">
        <v>1</v>
      </c>
      <c r="E71" s="434"/>
      <c r="F71" s="435">
        <f>IFERROR(Q71*G71,"-")</f>
        <v>0</v>
      </c>
      <c r="G71" s="363"/>
      <c r="H71" s="436"/>
      <c r="I71" s="436"/>
      <c r="J71" s="438" t="str">
        <f>IFERROR(I71/H71,"-")</f>
        <v>-</v>
      </c>
      <c r="K71" s="437"/>
      <c r="L71" s="438" t="str">
        <f>IFERROR(K71/H71,"-")</f>
        <v>-</v>
      </c>
      <c r="M71" s="437"/>
      <c r="N71" s="438" t="str">
        <f>IFERROR(M71/H71,"-")</f>
        <v>-</v>
      </c>
      <c r="O71" s="439">
        <f>IFERROR(K71+M71,"-")</f>
        <v>0</v>
      </c>
      <c r="P71" s="438" t="str">
        <f>IFERROR(O71/H71,"-")</f>
        <v>-</v>
      </c>
      <c r="Q71" s="436"/>
      <c r="R71" s="438" t="str">
        <f>IFERROR(Q71/H71,"-")</f>
        <v>-</v>
      </c>
      <c r="S71" s="439">
        <f>IFERROR(O71-H71,"-")</f>
        <v>0</v>
      </c>
      <c r="T71" s="438" t="str">
        <f>IFERROR(S71/H71,"-")</f>
        <v>-</v>
      </c>
      <c r="U71" s="362">
        <f>IFERROR(S71*G71,"-")</f>
        <v>0</v>
      </c>
      <c r="V71" s="450">
        <f>S71-Q71</f>
        <v>0</v>
      </c>
      <c r="W71" s="451" t="str">
        <f>IFERROR(V71/H71,"-")</f>
        <v>-</v>
      </c>
      <c r="X71" s="452">
        <f>IFERROR(V71*G71,"-")</f>
        <v>0</v>
      </c>
      <c r="Y71" s="364" t="s">
        <v>437</v>
      </c>
      <c r="Z71" s="364" t="s">
        <v>440</v>
      </c>
      <c r="AA71" s="365"/>
      <c r="AB71" s="365"/>
      <c r="AC71" s="365">
        <v>1</v>
      </c>
      <c r="AD71" s="440"/>
      <c r="AF71" s="533"/>
      <c r="AG71" s="534"/>
      <c r="AH71" s="534"/>
      <c r="AI71" s="534"/>
      <c r="AJ71" s="534"/>
      <c r="AK71" s="534"/>
      <c r="AL71" s="534"/>
      <c r="AM71" s="535"/>
    </row>
    <row r="72" spans="2:39" s="147" customFormat="1" ht="27" customHeight="1">
      <c r="B72" s="538"/>
      <c r="C72" s="539"/>
      <c r="D72" s="360">
        <v>2</v>
      </c>
      <c r="E72" s="434"/>
      <c r="F72" s="435">
        <f t="shared" ref="F72:F90" si="58">IFERROR(Q72*G72,"-")</f>
        <v>0</v>
      </c>
      <c r="G72" s="363"/>
      <c r="H72" s="436"/>
      <c r="I72" s="436"/>
      <c r="J72" s="438" t="str">
        <f t="shared" ref="J72:J90" si="59">IFERROR(I72/H72,"-")</f>
        <v>-</v>
      </c>
      <c r="K72" s="437"/>
      <c r="L72" s="438" t="str">
        <f t="shared" ref="L72:L90" si="60">IFERROR(K72/H72,"-")</f>
        <v>-</v>
      </c>
      <c r="M72" s="437"/>
      <c r="N72" s="438" t="str">
        <f t="shared" ref="N72:N90" si="61">IFERROR(M72/H72,"-")</f>
        <v>-</v>
      </c>
      <c r="O72" s="439">
        <f t="shared" ref="O72:O90" si="62">IFERROR(K72+M72,"-")</f>
        <v>0</v>
      </c>
      <c r="P72" s="438" t="str">
        <f t="shared" ref="P72:P90" si="63">IFERROR(O72/H72,"-")</f>
        <v>-</v>
      </c>
      <c r="Q72" s="436"/>
      <c r="R72" s="438" t="str">
        <f t="shared" ref="R72:R90" si="64">IFERROR(Q72/H72,"-")</f>
        <v>-</v>
      </c>
      <c r="S72" s="439">
        <f t="shared" ref="S72:S90" si="65">IFERROR(O72-H72,"-")</f>
        <v>0</v>
      </c>
      <c r="T72" s="438" t="str">
        <f t="shared" ref="T72:T90" si="66">IFERROR(S72/H72,"-")</f>
        <v>-</v>
      </c>
      <c r="U72" s="362">
        <f t="shared" ref="U72:U90" si="67">IFERROR(S72*G72,"-")</f>
        <v>0</v>
      </c>
      <c r="V72" s="450">
        <f t="shared" ref="V72:V90" si="68">S72-Q72</f>
        <v>0</v>
      </c>
      <c r="W72" s="451" t="str">
        <f t="shared" ref="W72:W90" si="69">IFERROR(V72/H72,"-")</f>
        <v>-</v>
      </c>
      <c r="X72" s="452">
        <f t="shared" ref="X72:X90" si="70">IFERROR(V72*G72,"-")</f>
        <v>0</v>
      </c>
      <c r="Y72" s="364" t="s">
        <v>437</v>
      </c>
      <c r="Z72" s="364" t="s">
        <v>352</v>
      </c>
      <c r="AA72" s="365"/>
      <c r="AB72" s="365"/>
      <c r="AC72" s="365">
        <v>1</v>
      </c>
      <c r="AD72" s="440"/>
      <c r="AF72" s="160" t="s">
        <v>439</v>
      </c>
      <c r="AG72" s="160" t="s">
        <v>440</v>
      </c>
      <c r="AH72" s="155" t="s">
        <v>441</v>
      </c>
      <c r="AI72" s="155" t="s">
        <v>438</v>
      </c>
      <c r="AJ72" s="155" t="s">
        <v>312</v>
      </c>
      <c r="AK72" s="155" t="s">
        <v>347</v>
      </c>
      <c r="AL72" s="155" t="s">
        <v>352</v>
      </c>
      <c r="AM72" s="155" t="s">
        <v>442</v>
      </c>
    </row>
    <row r="73" spans="2:39" s="147" customFormat="1" ht="27" customHeight="1">
      <c r="B73" s="538"/>
      <c r="C73" s="539"/>
      <c r="D73" s="360">
        <v>3</v>
      </c>
      <c r="E73" s="434"/>
      <c r="F73" s="435">
        <f t="shared" si="58"/>
        <v>0</v>
      </c>
      <c r="G73" s="363"/>
      <c r="H73" s="436"/>
      <c r="I73" s="436"/>
      <c r="J73" s="438" t="str">
        <f t="shared" si="59"/>
        <v>-</v>
      </c>
      <c r="K73" s="437"/>
      <c r="L73" s="438" t="str">
        <f t="shared" si="60"/>
        <v>-</v>
      </c>
      <c r="M73" s="437"/>
      <c r="N73" s="438" t="str">
        <f t="shared" si="61"/>
        <v>-</v>
      </c>
      <c r="O73" s="439">
        <f t="shared" si="62"/>
        <v>0</v>
      </c>
      <c r="P73" s="438" t="str">
        <f t="shared" si="63"/>
        <v>-</v>
      </c>
      <c r="Q73" s="436"/>
      <c r="R73" s="438" t="str">
        <f t="shared" si="64"/>
        <v>-</v>
      </c>
      <c r="S73" s="439">
        <f t="shared" si="65"/>
        <v>0</v>
      </c>
      <c r="T73" s="438" t="str">
        <f t="shared" si="66"/>
        <v>-</v>
      </c>
      <c r="U73" s="362">
        <f t="shared" si="67"/>
        <v>0</v>
      </c>
      <c r="V73" s="450">
        <f t="shared" si="68"/>
        <v>0</v>
      </c>
      <c r="W73" s="451" t="str">
        <f t="shared" si="69"/>
        <v>-</v>
      </c>
      <c r="X73" s="452">
        <f t="shared" si="70"/>
        <v>0</v>
      </c>
      <c r="Y73" s="364" t="s">
        <v>437</v>
      </c>
      <c r="Z73" s="364" t="s">
        <v>438</v>
      </c>
      <c r="AA73" s="365"/>
      <c r="AB73" s="365"/>
      <c r="AC73" s="365">
        <v>1</v>
      </c>
      <c r="AD73" s="440"/>
      <c r="AF73" s="370">
        <f>SUM(AC71:AC90)</f>
        <v>20</v>
      </c>
      <c r="AG73" s="366">
        <f>SUMIF($Z$71:$Z$90,TRIM(AG72),$AC$71:$AC$90)</f>
        <v>11</v>
      </c>
      <c r="AH73" s="366">
        <f t="shared" ref="AH73:AM73" si="71">SUMIF($Z$71:$Z$90,TRIM(AH72),$AC$71:$AC$90)</f>
        <v>0</v>
      </c>
      <c r="AI73" s="366">
        <f t="shared" si="71"/>
        <v>5</v>
      </c>
      <c r="AJ73" s="366">
        <f t="shared" si="71"/>
        <v>0</v>
      </c>
      <c r="AK73" s="366">
        <f t="shared" si="71"/>
        <v>2</v>
      </c>
      <c r="AL73" s="366">
        <f t="shared" si="71"/>
        <v>2</v>
      </c>
      <c r="AM73" s="366">
        <f t="shared" si="71"/>
        <v>0</v>
      </c>
    </row>
    <row r="74" spans="2:39" s="147" customFormat="1" ht="27" customHeight="1">
      <c r="B74" s="538"/>
      <c r="C74" s="539"/>
      <c r="D74" s="360">
        <v>4</v>
      </c>
      <c r="E74" s="434"/>
      <c r="F74" s="435">
        <f t="shared" si="58"/>
        <v>0</v>
      </c>
      <c r="G74" s="363"/>
      <c r="H74" s="436"/>
      <c r="I74" s="436"/>
      <c r="J74" s="438" t="str">
        <f t="shared" si="59"/>
        <v>-</v>
      </c>
      <c r="K74" s="437"/>
      <c r="L74" s="438" t="str">
        <f t="shared" si="60"/>
        <v>-</v>
      </c>
      <c r="M74" s="437"/>
      <c r="N74" s="438" t="str">
        <f t="shared" si="61"/>
        <v>-</v>
      </c>
      <c r="O74" s="439">
        <f t="shared" si="62"/>
        <v>0</v>
      </c>
      <c r="P74" s="438" t="str">
        <f t="shared" si="63"/>
        <v>-</v>
      </c>
      <c r="Q74" s="436"/>
      <c r="R74" s="438" t="str">
        <f t="shared" si="64"/>
        <v>-</v>
      </c>
      <c r="S74" s="439">
        <f t="shared" si="65"/>
        <v>0</v>
      </c>
      <c r="T74" s="438" t="str">
        <f t="shared" si="66"/>
        <v>-</v>
      </c>
      <c r="U74" s="362">
        <f t="shared" si="67"/>
        <v>0</v>
      </c>
      <c r="V74" s="450">
        <f t="shared" si="68"/>
        <v>0</v>
      </c>
      <c r="W74" s="451" t="str">
        <f t="shared" si="69"/>
        <v>-</v>
      </c>
      <c r="X74" s="452">
        <f t="shared" si="70"/>
        <v>0</v>
      </c>
      <c r="Y74" s="364" t="s">
        <v>437</v>
      </c>
      <c r="Z74" s="364" t="s">
        <v>438</v>
      </c>
      <c r="AA74" s="365"/>
      <c r="AB74" s="365"/>
      <c r="AC74" s="365">
        <v>1</v>
      </c>
      <c r="AD74" s="440"/>
      <c r="AF74" s="371" t="s">
        <v>303</v>
      </c>
      <c r="AG74" s="368">
        <f>SUMIF($Z$71:$Z90,TRIM(AG72),$F$71:$F$90)</f>
        <v>0</v>
      </c>
      <c r="AH74" s="368">
        <f>SUMIF($Z$71:$Z90,TRIM(AH72),$F$71:$F$90)</f>
        <v>0</v>
      </c>
      <c r="AI74" s="368">
        <f>SUMIF($Z$71:$Z90,TRIM(AI72),$F$71:$F$90)</f>
        <v>0</v>
      </c>
      <c r="AJ74" s="368">
        <f>SUMIF($Z$71:$Z90,TRIM(AJ72),$F$71:$F$90)</f>
        <v>0</v>
      </c>
      <c r="AK74" s="368">
        <f>SUMIF($Z$71:$Z90,TRIM(AK72),$F$71:$F$90)</f>
        <v>0</v>
      </c>
      <c r="AL74" s="368">
        <f>SUMIF($Z$71:$Z90,TRIM(AL72),$F$71:$F$90)</f>
        <v>0</v>
      </c>
      <c r="AM74" s="368">
        <f>SUMIF($Z$71:$Z90,TRIM(AM72),$F$71:$F$90)</f>
        <v>0</v>
      </c>
    </row>
    <row r="75" spans="2:39" s="147" customFormat="1" ht="27" customHeight="1">
      <c r="B75" s="538"/>
      <c r="C75" s="539"/>
      <c r="D75" s="360">
        <v>5</v>
      </c>
      <c r="E75" s="434"/>
      <c r="F75" s="435">
        <f t="shared" si="58"/>
        <v>0</v>
      </c>
      <c r="G75" s="363"/>
      <c r="H75" s="436"/>
      <c r="I75" s="436"/>
      <c r="J75" s="438" t="str">
        <f t="shared" si="59"/>
        <v>-</v>
      </c>
      <c r="K75" s="437"/>
      <c r="L75" s="438" t="str">
        <f t="shared" si="60"/>
        <v>-</v>
      </c>
      <c r="M75" s="437"/>
      <c r="N75" s="438" t="str">
        <f t="shared" si="61"/>
        <v>-</v>
      </c>
      <c r="O75" s="439">
        <f t="shared" si="62"/>
        <v>0</v>
      </c>
      <c r="P75" s="438" t="str">
        <f t="shared" si="63"/>
        <v>-</v>
      </c>
      <c r="Q75" s="436"/>
      <c r="R75" s="438" t="str">
        <f t="shared" si="64"/>
        <v>-</v>
      </c>
      <c r="S75" s="439">
        <f t="shared" si="65"/>
        <v>0</v>
      </c>
      <c r="T75" s="438" t="str">
        <f t="shared" si="66"/>
        <v>-</v>
      </c>
      <c r="U75" s="362">
        <f t="shared" si="67"/>
        <v>0</v>
      </c>
      <c r="V75" s="450">
        <f t="shared" si="68"/>
        <v>0</v>
      </c>
      <c r="W75" s="451" t="str">
        <f t="shared" si="69"/>
        <v>-</v>
      </c>
      <c r="X75" s="452">
        <f t="shared" si="70"/>
        <v>0</v>
      </c>
      <c r="Y75" s="364" t="s">
        <v>437</v>
      </c>
      <c r="Z75" s="364" t="s">
        <v>347</v>
      </c>
      <c r="AA75" s="365"/>
      <c r="AB75" s="365"/>
      <c r="AC75" s="365">
        <v>1</v>
      </c>
      <c r="AD75" s="440"/>
      <c r="AF75" s="360" t="s">
        <v>443</v>
      </c>
      <c r="AG75" s="441">
        <f>AG73/$AF73</f>
        <v>0.55000000000000004</v>
      </c>
      <c r="AH75" s="441">
        <f t="shared" ref="AH75:AM75" si="72">AH73/$AF73</f>
        <v>0</v>
      </c>
      <c r="AI75" s="441">
        <f t="shared" si="72"/>
        <v>0.25</v>
      </c>
      <c r="AJ75" s="441">
        <f t="shared" si="72"/>
        <v>0</v>
      </c>
      <c r="AK75" s="441">
        <f t="shared" si="72"/>
        <v>0.1</v>
      </c>
      <c r="AL75" s="441">
        <f t="shared" si="72"/>
        <v>0.1</v>
      </c>
      <c r="AM75" s="441">
        <f t="shared" si="72"/>
        <v>0</v>
      </c>
    </row>
    <row r="76" spans="2:39" s="147" customFormat="1" ht="27" customHeight="1">
      <c r="B76" s="538"/>
      <c r="C76" s="539"/>
      <c r="D76" s="360">
        <v>6</v>
      </c>
      <c r="E76" s="434"/>
      <c r="F76" s="435">
        <f t="shared" si="58"/>
        <v>0</v>
      </c>
      <c r="G76" s="363"/>
      <c r="H76" s="436"/>
      <c r="I76" s="436"/>
      <c r="J76" s="438" t="str">
        <f t="shared" si="59"/>
        <v>-</v>
      </c>
      <c r="K76" s="437"/>
      <c r="L76" s="438" t="str">
        <f t="shared" si="60"/>
        <v>-</v>
      </c>
      <c r="M76" s="437"/>
      <c r="N76" s="438" t="str">
        <f t="shared" si="61"/>
        <v>-</v>
      </c>
      <c r="O76" s="439">
        <f t="shared" si="62"/>
        <v>0</v>
      </c>
      <c r="P76" s="438" t="str">
        <f t="shared" si="63"/>
        <v>-</v>
      </c>
      <c r="Q76" s="436"/>
      <c r="R76" s="438" t="str">
        <f t="shared" si="64"/>
        <v>-</v>
      </c>
      <c r="S76" s="439">
        <f t="shared" si="65"/>
        <v>0</v>
      </c>
      <c r="T76" s="438" t="str">
        <f t="shared" si="66"/>
        <v>-</v>
      </c>
      <c r="U76" s="362">
        <f t="shared" si="67"/>
        <v>0</v>
      </c>
      <c r="V76" s="450">
        <f t="shared" si="68"/>
        <v>0</v>
      </c>
      <c r="W76" s="451" t="str">
        <f t="shared" si="69"/>
        <v>-</v>
      </c>
      <c r="X76" s="452">
        <f t="shared" si="70"/>
        <v>0</v>
      </c>
      <c r="Y76" s="364" t="s">
        <v>437</v>
      </c>
      <c r="Z76" s="364" t="s">
        <v>438</v>
      </c>
      <c r="AA76" s="365"/>
      <c r="AB76" s="365"/>
      <c r="AC76" s="365">
        <v>1</v>
      </c>
      <c r="AD76" s="440"/>
    </row>
    <row r="77" spans="2:39" s="147" customFormat="1" ht="27" customHeight="1">
      <c r="B77" s="538"/>
      <c r="C77" s="539"/>
      <c r="D77" s="360">
        <v>7</v>
      </c>
      <c r="E77" s="434"/>
      <c r="F77" s="435">
        <f t="shared" si="58"/>
        <v>0</v>
      </c>
      <c r="G77" s="363"/>
      <c r="H77" s="436"/>
      <c r="I77" s="436"/>
      <c r="J77" s="438" t="str">
        <f t="shared" si="59"/>
        <v>-</v>
      </c>
      <c r="K77" s="437"/>
      <c r="L77" s="438" t="str">
        <f t="shared" si="60"/>
        <v>-</v>
      </c>
      <c r="M77" s="437"/>
      <c r="N77" s="438" t="str">
        <f t="shared" si="61"/>
        <v>-</v>
      </c>
      <c r="O77" s="439">
        <f t="shared" si="62"/>
        <v>0</v>
      </c>
      <c r="P77" s="438" t="str">
        <f t="shared" si="63"/>
        <v>-</v>
      </c>
      <c r="Q77" s="436"/>
      <c r="R77" s="438" t="str">
        <f t="shared" si="64"/>
        <v>-</v>
      </c>
      <c r="S77" s="439">
        <f t="shared" si="65"/>
        <v>0</v>
      </c>
      <c r="T77" s="438" t="str">
        <f t="shared" si="66"/>
        <v>-</v>
      </c>
      <c r="U77" s="362">
        <f t="shared" si="67"/>
        <v>0</v>
      </c>
      <c r="V77" s="450">
        <f t="shared" si="68"/>
        <v>0</v>
      </c>
      <c r="W77" s="451" t="str">
        <f t="shared" si="69"/>
        <v>-</v>
      </c>
      <c r="X77" s="452">
        <f t="shared" si="70"/>
        <v>0</v>
      </c>
      <c r="Y77" s="364" t="s">
        <v>437</v>
      </c>
      <c r="Z77" s="364" t="s">
        <v>440</v>
      </c>
      <c r="AA77" s="376"/>
      <c r="AB77" s="365"/>
      <c r="AC77" s="365">
        <v>1</v>
      </c>
      <c r="AD77" s="440"/>
    </row>
    <row r="78" spans="2:39" s="147" customFormat="1" ht="27" customHeight="1">
      <c r="B78" s="538"/>
      <c r="C78" s="539"/>
      <c r="D78" s="360">
        <v>8</v>
      </c>
      <c r="E78" s="434"/>
      <c r="F78" s="435">
        <f t="shared" si="58"/>
        <v>0</v>
      </c>
      <c r="G78" s="363"/>
      <c r="H78" s="436"/>
      <c r="I78" s="436"/>
      <c r="J78" s="438" t="str">
        <f t="shared" si="59"/>
        <v>-</v>
      </c>
      <c r="K78" s="437"/>
      <c r="L78" s="438" t="str">
        <f t="shared" si="60"/>
        <v>-</v>
      </c>
      <c r="M78" s="437"/>
      <c r="N78" s="438" t="str">
        <f t="shared" si="61"/>
        <v>-</v>
      </c>
      <c r="O78" s="439">
        <f t="shared" si="62"/>
        <v>0</v>
      </c>
      <c r="P78" s="438" t="str">
        <f t="shared" si="63"/>
        <v>-</v>
      </c>
      <c r="Q78" s="436"/>
      <c r="R78" s="438" t="str">
        <f t="shared" si="64"/>
        <v>-</v>
      </c>
      <c r="S78" s="439">
        <f t="shared" si="65"/>
        <v>0</v>
      </c>
      <c r="T78" s="438" t="str">
        <f t="shared" si="66"/>
        <v>-</v>
      </c>
      <c r="U78" s="362">
        <f t="shared" si="67"/>
        <v>0</v>
      </c>
      <c r="V78" s="450">
        <f t="shared" si="68"/>
        <v>0</v>
      </c>
      <c r="W78" s="451" t="str">
        <f t="shared" si="69"/>
        <v>-</v>
      </c>
      <c r="X78" s="452">
        <f t="shared" si="70"/>
        <v>0</v>
      </c>
      <c r="Y78" s="364" t="s">
        <v>437</v>
      </c>
      <c r="Z78" s="364" t="s">
        <v>438</v>
      </c>
      <c r="AA78" s="365"/>
      <c r="AB78" s="365"/>
      <c r="AC78" s="365">
        <v>1</v>
      </c>
      <c r="AD78" s="440"/>
    </row>
    <row r="79" spans="2:39" s="147" customFormat="1" ht="27" customHeight="1">
      <c r="B79" s="538"/>
      <c r="C79" s="539"/>
      <c r="D79" s="360">
        <v>9</v>
      </c>
      <c r="E79" s="434"/>
      <c r="F79" s="435">
        <f t="shared" si="58"/>
        <v>0</v>
      </c>
      <c r="G79" s="363"/>
      <c r="H79" s="436"/>
      <c r="I79" s="436"/>
      <c r="J79" s="438" t="str">
        <f t="shared" si="59"/>
        <v>-</v>
      </c>
      <c r="K79" s="437"/>
      <c r="L79" s="438" t="str">
        <f t="shared" si="60"/>
        <v>-</v>
      </c>
      <c r="M79" s="437"/>
      <c r="N79" s="438" t="str">
        <f t="shared" si="61"/>
        <v>-</v>
      </c>
      <c r="O79" s="439">
        <f t="shared" si="62"/>
        <v>0</v>
      </c>
      <c r="P79" s="438" t="str">
        <f t="shared" si="63"/>
        <v>-</v>
      </c>
      <c r="Q79" s="436"/>
      <c r="R79" s="438" t="str">
        <f t="shared" si="64"/>
        <v>-</v>
      </c>
      <c r="S79" s="439">
        <f t="shared" si="65"/>
        <v>0</v>
      </c>
      <c r="T79" s="438" t="str">
        <f t="shared" si="66"/>
        <v>-</v>
      </c>
      <c r="U79" s="362">
        <f t="shared" si="67"/>
        <v>0</v>
      </c>
      <c r="V79" s="450">
        <f t="shared" si="68"/>
        <v>0</v>
      </c>
      <c r="W79" s="451" t="str">
        <f t="shared" si="69"/>
        <v>-</v>
      </c>
      <c r="X79" s="452">
        <f t="shared" si="70"/>
        <v>0</v>
      </c>
      <c r="Y79" s="364" t="s">
        <v>437</v>
      </c>
      <c r="Z79" s="364" t="s">
        <v>352</v>
      </c>
      <c r="AA79" s="365"/>
      <c r="AB79" s="365"/>
      <c r="AC79" s="365">
        <v>1</v>
      </c>
      <c r="AD79" s="440"/>
      <c r="AH79" s="367"/>
    </row>
    <row r="80" spans="2:39" s="147" customFormat="1" ht="27" customHeight="1">
      <c r="B80" s="538"/>
      <c r="C80" s="539"/>
      <c r="D80" s="360">
        <v>10</v>
      </c>
      <c r="E80" s="434"/>
      <c r="F80" s="435">
        <f t="shared" si="58"/>
        <v>0</v>
      </c>
      <c r="G80" s="363"/>
      <c r="H80" s="436"/>
      <c r="I80" s="436"/>
      <c r="J80" s="438" t="str">
        <f t="shared" si="59"/>
        <v>-</v>
      </c>
      <c r="K80" s="437"/>
      <c r="L80" s="438" t="str">
        <f t="shared" si="60"/>
        <v>-</v>
      </c>
      <c r="M80" s="437"/>
      <c r="N80" s="438" t="str">
        <f t="shared" si="61"/>
        <v>-</v>
      </c>
      <c r="O80" s="439">
        <f t="shared" si="62"/>
        <v>0</v>
      </c>
      <c r="P80" s="438" t="str">
        <f t="shared" si="63"/>
        <v>-</v>
      </c>
      <c r="Q80" s="436"/>
      <c r="R80" s="438" t="str">
        <f t="shared" si="64"/>
        <v>-</v>
      </c>
      <c r="S80" s="439">
        <f t="shared" si="65"/>
        <v>0</v>
      </c>
      <c r="T80" s="438" t="str">
        <f t="shared" si="66"/>
        <v>-</v>
      </c>
      <c r="U80" s="362">
        <f t="shared" si="67"/>
        <v>0</v>
      </c>
      <c r="V80" s="450">
        <f t="shared" si="68"/>
        <v>0</v>
      </c>
      <c r="W80" s="451" t="str">
        <f t="shared" si="69"/>
        <v>-</v>
      </c>
      <c r="X80" s="452">
        <f t="shared" si="70"/>
        <v>0</v>
      </c>
      <c r="Y80" s="364" t="s">
        <v>437</v>
      </c>
      <c r="Z80" s="364" t="s">
        <v>440</v>
      </c>
      <c r="AA80" s="376"/>
      <c r="AB80" s="365"/>
      <c r="AC80" s="365">
        <v>1</v>
      </c>
      <c r="AD80" s="440"/>
      <c r="AH80" s="367"/>
    </row>
    <row r="81" spans="2:39" s="147" customFormat="1" ht="27" customHeight="1">
      <c r="B81" s="538"/>
      <c r="C81" s="539"/>
      <c r="D81" s="360">
        <v>11</v>
      </c>
      <c r="E81" s="434"/>
      <c r="F81" s="435">
        <f t="shared" si="58"/>
        <v>0</v>
      </c>
      <c r="G81" s="363"/>
      <c r="H81" s="436"/>
      <c r="I81" s="436"/>
      <c r="J81" s="438" t="str">
        <f t="shared" si="59"/>
        <v>-</v>
      </c>
      <c r="K81" s="437"/>
      <c r="L81" s="438" t="str">
        <f t="shared" si="60"/>
        <v>-</v>
      </c>
      <c r="M81" s="437"/>
      <c r="N81" s="438" t="str">
        <f t="shared" si="61"/>
        <v>-</v>
      </c>
      <c r="O81" s="439">
        <f t="shared" si="62"/>
        <v>0</v>
      </c>
      <c r="P81" s="438" t="str">
        <f t="shared" si="63"/>
        <v>-</v>
      </c>
      <c r="Q81" s="436"/>
      <c r="R81" s="438" t="str">
        <f t="shared" si="64"/>
        <v>-</v>
      </c>
      <c r="S81" s="439">
        <f t="shared" si="65"/>
        <v>0</v>
      </c>
      <c r="T81" s="438" t="str">
        <f t="shared" si="66"/>
        <v>-</v>
      </c>
      <c r="U81" s="362">
        <f t="shared" si="67"/>
        <v>0</v>
      </c>
      <c r="V81" s="450">
        <f t="shared" si="68"/>
        <v>0</v>
      </c>
      <c r="W81" s="451" t="str">
        <f t="shared" si="69"/>
        <v>-</v>
      </c>
      <c r="X81" s="452">
        <f t="shared" si="70"/>
        <v>0</v>
      </c>
      <c r="Y81" s="364" t="s">
        <v>437</v>
      </c>
      <c r="Z81" s="364" t="s">
        <v>438</v>
      </c>
      <c r="AA81" s="376"/>
      <c r="AB81" s="365"/>
      <c r="AC81" s="365">
        <v>1</v>
      </c>
      <c r="AD81" s="440"/>
      <c r="AH81" s="367"/>
    </row>
    <row r="82" spans="2:39" s="147" customFormat="1" ht="26.25" customHeight="1">
      <c r="B82" s="538"/>
      <c r="C82" s="539"/>
      <c r="D82" s="360">
        <v>12</v>
      </c>
      <c r="E82" s="434"/>
      <c r="F82" s="435">
        <f t="shared" si="58"/>
        <v>0</v>
      </c>
      <c r="G82" s="363"/>
      <c r="H82" s="436"/>
      <c r="I82" s="436"/>
      <c r="J82" s="438" t="str">
        <f t="shared" si="59"/>
        <v>-</v>
      </c>
      <c r="K82" s="437"/>
      <c r="L82" s="438" t="str">
        <f t="shared" si="60"/>
        <v>-</v>
      </c>
      <c r="M82" s="437"/>
      <c r="N82" s="438" t="str">
        <f t="shared" si="61"/>
        <v>-</v>
      </c>
      <c r="O82" s="439">
        <f t="shared" si="62"/>
        <v>0</v>
      </c>
      <c r="P82" s="438" t="str">
        <f t="shared" si="63"/>
        <v>-</v>
      </c>
      <c r="Q82" s="436"/>
      <c r="R82" s="438" t="str">
        <f t="shared" si="64"/>
        <v>-</v>
      </c>
      <c r="S82" s="439">
        <f t="shared" si="65"/>
        <v>0</v>
      </c>
      <c r="T82" s="438" t="str">
        <f t="shared" si="66"/>
        <v>-</v>
      </c>
      <c r="U82" s="362">
        <f t="shared" si="67"/>
        <v>0</v>
      </c>
      <c r="V82" s="450">
        <f t="shared" si="68"/>
        <v>0</v>
      </c>
      <c r="W82" s="451" t="str">
        <f t="shared" si="69"/>
        <v>-</v>
      </c>
      <c r="X82" s="452">
        <f t="shared" si="70"/>
        <v>0</v>
      </c>
      <c r="Y82" s="364" t="s">
        <v>437</v>
      </c>
      <c r="Z82" s="364" t="s">
        <v>347</v>
      </c>
      <c r="AA82" s="365"/>
      <c r="AB82" s="365"/>
      <c r="AC82" s="365">
        <v>1</v>
      </c>
      <c r="AD82" s="440"/>
      <c r="AH82" s="367"/>
    </row>
    <row r="83" spans="2:39" s="147" customFormat="1" ht="27" customHeight="1">
      <c r="B83" s="538"/>
      <c r="C83" s="539"/>
      <c r="D83" s="360">
        <v>13</v>
      </c>
      <c r="E83" s="434"/>
      <c r="F83" s="435">
        <f t="shared" si="58"/>
        <v>0</v>
      </c>
      <c r="G83" s="363"/>
      <c r="H83" s="436"/>
      <c r="I83" s="436"/>
      <c r="J83" s="438" t="str">
        <f t="shared" si="59"/>
        <v>-</v>
      </c>
      <c r="K83" s="437"/>
      <c r="L83" s="438" t="str">
        <f t="shared" si="60"/>
        <v>-</v>
      </c>
      <c r="M83" s="437"/>
      <c r="N83" s="438" t="str">
        <f t="shared" si="61"/>
        <v>-</v>
      </c>
      <c r="O83" s="439">
        <f t="shared" si="62"/>
        <v>0</v>
      </c>
      <c r="P83" s="438" t="str">
        <f t="shared" si="63"/>
        <v>-</v>
      </c>
      <c r="Q83" s="436"/>
      <c r="R83" s="438" t="str">
        <f t="shared" si="64"/>
        <v>-</v>
      </c>
      <c r="S83" s="439">
        <f t="shared" si="65"/>
        <v>0</v>
      </c>
      <c r="T83" s="438" t="str">
        <f t="shared" si="66"/>
        <v>-</v>
      </c>
      <c r="U83" s="362">
        <f t="shared" si="67"/>
        <v>0</v>
      </c>
      <c r="V83" s="450">
        <f t="shared" si="68"/>
        <v>0</v>
      </c>
      <c r="W83" s="451" t="str">
        <f t="shared" si="69"/>
        <v>-</v>
      </c>
      <c r="X83" s="452">
        <f t="shared" si="70"/>
        <v>0</v>
      </c>
      <c r="Y83" s="364" t="s">
        <v>437</v>
      </c>
      <c r="Z83" s="364" t="s">
        <v>440</v>
      </c>
      <c r="AA83" s="365"/>
      <c r="AB83" s="365"/>
      <c r="AC83" s="365">
        <v>1</v>
      </c>
      <c r="AD83" s="440"/>
    </row>
    <row r="84" spans="2:39" s="147" customFormat="1" ht="27" customHeight="1">
      <c r="B84" s="538"/>
      <c r="C84" s="539"/>
      <c r="D84" s="360">
        <v>14</v>
      </c>
      <c r="E84" s="434"/>
      <c r="F84" s="435">
        <f t="shared" si="58"/>
        <v>0</v>
      </c>
      <c r="G84" s="363"/>
      <c r="H84" s="436"/>
      <c r="I84" s="436"/>
      <c r="J84" s="438" t="str">
        <f t="shared" si="59"/>
        <v>-</v>
      </c>
      <c r="K84" s="437"/>
      <c r="L84" s="438" t="str">
        <f t="shared" si="60"/>
        <v>-</v>
      </c>
      <c r="M84" s="437"/>
      <c r="N84" s="438" t="str">
        <f t="shared" si="61"/>
        <v>-</v>
      </c>
      <c r="O84" s="439">
        <f t="shared" si="62"/>
        <v>0</v>
      </c>
      <c r="P84" s="438" t="str">
        <f t="shared" si="63"/>
        <v>-</v>
      </c>
      <c r="Q84" s="436"/>
      <c r="R84" s="438" t="str">
        <f t="shared" si="64"/>
        <v>-</v>
      </c>
      <c r="S84" s="439">
        <f t="shared" si="65"/>
        <v>0</v>
      </c>
      <c r="T84" s="438" t="str">
        <f t="shared" si="66"/>
        <v>-</v>
      </c>
      <c r="U84" s="362">
        <f t="shared" si="67"/>
        <v>0</v>
      </c>
      <c r="V84" s="450">
        <f t="shared" si="68"/>
        <v>0</v>
      </c>
      <c r="W84" s="451" t="str">
        <f t="shared" si="69"/>
        <v>-</v>
      </c>
      <c r="X84" s="452">
        <f t="shared" si="70"/>
        <v>0</v>
      </c>
      <c r="Y84" s="364" t="s">
        <v>437</v>
      </c>
      <c r="Z84" s="364" t="s">
        <v>440</v>
      </c>
      <c r="AA84" s="365"/>
      <c r="AB84" s="365"/>
      <c r="AC84" s="365">
        <v>1</v>
      </c>
      <c r="AD84" s="440"/>
    </row>
    <row r="85" spans="2:39" s="147" customFormat="1" ht="27" customHeight="1">
      <c r="B85" s="538"/>
      <c r="C85" s="539"/>
      <c r="D85" s="360">
        <v>15</v>
      </c>
      <c r="E85" s="434"/>
      <c r="F85" s="435">
        <f t="shared" si="58"/>
        <v>0</v>
      </c>
      <c r="G85" s="363"/>
      <c r="H85" s="436"/>
      <c r="I85" s="436"/>
      <c r="J85" s="438" t="str">
        <f t="shared" si="59"/>
        <v>-</v>
      </c>
      <c r="K85" s="437"/>
      <c r="L85" s="438" t="str">
        <f t="shared" si="60"/>
        <v>-</v>
      </c>
      <c r="M85" s="437"/>
      <c r="N85" s="438" t="str">
        <f t="shared" si="61"/>
        <v>-</v>
      </c>
      <c r="O85" s="439">
        <f t="shared" si="62"/>
        <v>0</v>
      </c>
      <c r="P85" s="438" t="str">
        <f t="shared" si="63"/>
        <v>-</v>
      </c>
      <c r="Q85" s="436"/>
      <c r="R85" s="438" t="str">
        <f t="shared" si="64"/>
        <v>-</v>
      </c>
      <c r="S85" s="439">
        <f t="shared" si="65"/>
        <v>0</v>
      </c>
      <c r="T85" s="438" t="str">
        <f t="shared" si="66"/>
        <v>-</v>
      </c>
      <c r="U85" s="362">
        <f t="shared" si="67"/>
        <v>0</v>
      </c>
      <c r="V85" s="450">
        <f t="shared" si="68"/>
        <v>0</v>
      </c>
      <c r="W85" s="451" t="str">
        <f t="shared" si="69"/>
        <v>-</v>
      </c>
      <c r="X85" s="452">
        <f t="shared" si="70"/>
        <v>0</v>
      </c>
      <c r="Y85" s="364" t="s">
        <v>437</v>
      </c>
      <c r="Z85" s="364" t="s">
        <v>440</v>
      </c>
      <c r="AA85" s="365"/>
      <c r="AB85" s="365"/>
      <c r="AC85" s="365">
        <v>1</v>
      </c>
      <c r="AD85" s="440"/>
    </row>
    <row r="86" spans="2:39" s="147" customFormat="1" ht="27" customHeight="1">
      <c r="B86" s="538"/>
      <c r="C86" s="539"/>
      <c r="D86" s="360">
        <v>16</v>
      </c>
      <c r="E86" s="434"/>
      <c r="F86" s="435">
        <f t="shared" si="58"/>
        <v>0</v>
      </c>
      <c r="G86" s="363"/>
      <c r="H86" s="436"/>
      <c r="I86" s="436"/>
      <c r="J86" s="438" t="str">
        <f t="shared" si="59"/>
        <v>-</v>
      </c>
      <c r="K86" s="437"/>
      <c r="L86" s="438" t="str">
        <f t="shared" si="60"/>
        <v>-</v>
      </c>
      <c r="M86" s="437"/>
      <c r="N86" s="438" t="str">
        <f t="shared" si="61"/>
        <v>-</v>
      </c>
      <c r="O86" s="439">
        <f t="shared" si="62"/>
        <v>0</v>
      </c>
      <c r="P86" s="438" t="str">
        <f t="shared" si="63"/>
        <v>-</v>
      </c>
      <c r="Q86" s="436"/>
      <c r="R86" s="438" t="str">
        <f t="shared" si="64"/>
        <v>-</v>
      </c>
      <c r="S86" s="439">
        <f t="shared" si="65"/>
        <v>0</v>
      </c>
      <c r="T86" s="438" t="str">
        <f t="shared" si="66"/>
        <v>-</v>
      </c>
      <c r="U86" s="362">
        <f t="shared" si="67"/>
        <v>0</v>
      </c>
      <c r="V86" s="450">
        <f t="shared" si="68"/>
        <v>0</v>
      </c>
      <c r="W86" s="451" t="str">
        <f t="shared" si="69"/>
        <v>-</v>
      </c>
      <c r="X86" s="452">
        <f t="shared" si="70"/>
        <v>0</v>
      </c>
      <c r="Y86" s="364" t="s">
        <v>437</v>
      </c>
      <c r="Z86" s="364" t="s">
        <v>440</v>
      </c>
      <c r="AA86" s="365"/>
      <c r="AB86" s="365"/>
      <c r="AC86" s="365">
        <v>1</v>
      </c>
      <c r="AD86" s="440"/>
    </row>
    <row r="87" spans="2:39" s="147" customFormat="1" ht="27" customHeight="1">
      <c r="B87" s="538"/>
      <c r="C87" s="539"/>
      <c r="D87" s="360">
        <v>17</v>
      </c>
      <c r="E87" s="434"/>
      <c r="F87" s="435">
        <f t="shared" si="58"/>
        <v>0</v>
      </c>
      <c r="G87" s="363"/>
      <c r="H87" s="436"/>
      <c r="I87" s="436"/>
      <c r="J87" s="438" t="str">
        <f t="shared" si="59"/>
        <v>-</v>
      </c>
      <c r="K87" s="437"/>
      <c r="L87" s="438" t="str">
        <f t="shared" si="60"/>
        <v>-</v>
      </c>
      <c r="M87" s="437"/>
      <c r="N87" s="438" t="str">
        <f t="shared" si="61"/>
        <v>-</v>
      </c>
      <c r="O87" s="439">
        <f t="shared" si="62"/>
        <v>0</v>
      </c>
      <c r="P87" s="438" t="str">
        <f t="shared" si="63"/>
        <v>-</v>
      </c>
      <c r="Q87" s="436"/>
      <c r="R87" s="438" t="str">
        <f t="shared" si="64"/>
        <v>-</v>
      </c>
      <c r="S87" s="439">
        <f t="shared" si="65"/>
        <v>0</v>
      </c>
      <c r="T87" s="438" t="str">
        <f t="shared" si="66"/>
        <v>-</v>
      </c>
      <c r="U87" s="362">
        <f t="shared" si="67"/>
        <v>0</v>
      </c>
      <c r="V87" s="450">
        <f t="shared" si="68"/>
        <v>0</v>
      </c>
      <c r="W87" s="451" t="str">
        <f t="shared" si="69"/>
        <v>-</v>
      </c>
      <c r="X87" s="452">
        <f t="shared" si="70"/>
        <v>0</v>
      </c>
      <c r="Y87" s="364" t="s">
        <v>437</v>
      </c>
      <c r="Z87" s="364" t="s">
        <v>440</v>
      </c>
      <c r="AA87" s="365"/>
      <c r="AB87" s="365"/>
      <c r="AC87" s="365">
        <v>1</v>
      </c>
      <c r="AD87" s="440"/>
    </row>
    <row r="88" spans="2:39" s="147" customFormat="1" ht="27" customHeight="1">
      <c r="B88" s="538"/>
      <c r="C88" s="539"/>
      <c r="D88" s="360">
        <v>18</v>
      </c>
      <c r="E88" s="434"/>
      <c r="F88" s="435">
        <f t="shared" si="58"/>
        <v>0</v>
      </c>
      <c r="G88" s="363"/>
      <c r="H88" s="436"/>
      <c r="I88" s="436"/>
      <c r="J88" s="438" t="str">
        <f t="shared" si="59"/>
        <v>-</v>
      </c>
      <c r="K88" s="437"/>
      <c r="L88" s="438" t="str">
        <f t="shared" si="60"/>
        <v>-</v>
      </c>
      <c r="M88" s="437"/>
      <c r="N88" s="438" t="str">
        <f t="shared" si="61"/>
        <v>-</v>
      </c>
      <c r="O88" s="439">
        <f t="shared" si="62"/>
        <v>0</v>
      </c>
      <c r="P88" s="438" t="str">
        <f t="shared" si="63"/>
        <v>-</v>
      </c>
      <c r="Q88" s="436"/>
      <c r="R88" s="438" t="str">
        <f t="shared" si="64"/>
        <v>-</v>
      </c>
      <c r="S88" s="439">
        <f t="shared" si="65"/>
        <v>0</v>
      </c>
      <c r="T88" s="438" t="str">
        <f t="shared" si="66"/>
        <v>-</v>
      </c>
      <c r="U88" s="362">
        <f t="shared" si="67"/>
        <v>0</v>
      </c>
      <c r="V88" s="450">
        <f t="shared" si="68"/>
        <v>0</v>
      </c>
      <c r="W88" s="451" t="str">
        <f t="shared" si="69"/>
        <v>-</v>
      </c>
      <c r="X88" s="452">
        <f t="shared" si="70"/>
        <v>0</v>
      </c>
      <c r="Y88" s="364" t="s">
        <v>437</v>
      </c>
      <c r="Z88" s="364" t="s">
        <v>440</v>
      </c>
      <c r="AA88" s="365"/>
      <c r="AB88" s="365"/>
      <c r="AC88" s="365">
        <v>1</v>
      </c>
      <c r="AD88" s="440"/>
    </row>
    <row r="89" spans="2:39" s="147" customFormat="1" ht="27" customHeight="1">
      <c r="B89" s="538"/>
      <c r="C89" s="539"/>
      <c r="D89" s="360">
        <v>19</v>
      </c>
      <c r="E89" s="434"/>
      <c r="F89" s="435">
        <f t="shared" si="58"/>
        <v>0</v>
      </c>
      <c r="G89" s="363"/>
      <c r="H89" s="436"/>
      <c r="I89" s="436"/>
      <c r="J89" s="438" t="str">
        <f t="shared" si="59"/>
        <v>-</v>
      </c>
      <c r="K89" s="437"/>
      <c r="L89" s="438" t="str">
        <f t="shared" si="60"/>
        <v>-</v>
      </c>
      <c r="M89" s="437"/>
      <c r="N89" s="438" t="str">
        <f t="shared" si="61"/>
        <v>-</v>
      </c>
      <c r="O89" s="439">
        <f t="shared" si="62"/>
        <v>0</v>
      </c>
      <c r="P89" s="438" t="str">
        <f t="shared" si="63"/>
        <v>-</v>
      </c>
      <c r="Q89" s="436"/>
      <c r="R89" s="438" t="str">
        <f t="shared" si="64"/>
        <v>-</v>
      </c>
      <c r="S89" s="439">
        <f t="shared" si="65"/>
        <v>0</v>
      </c>
      <c r="T89" s="438" t="str">
        <f t="shared" si="66"/>
        <v>-</v>
      </c>
      <c r="U89" s="362">
        <f t="shared" si="67"/>
        <v>0</v>
      </c>
      <c r="V89" s="450">
        <f t="shared" si="68"/>
        <v>0</v>
      </c>
      <c r="W89" s="451" t="str">
        <f t="shared" si="69"/>
        <v>-</v>
      </c>
      <c r="X89" s="452">
        <f t="shared" si="70"/>
        <v>0</v>
      </c>
      <c r="Y89" s="364" t="s">
        <v>437</v>
      </c>
      <c r="Z89" s="364" t="s">
        <v>440</v>
      </c>
      <c r="AA89" s="365"/>
      <c r="AB89" s="365"/>
      <c r="AC89" s="365">
        <v>1</v>
      </c>
      <c r="AD89" s="440"/>
    </row>
    <row r="90" spans="2:39" s="147" customFormat="1" ht="27" customHeight="1">
      <c r="B90" s="540"/>
      <c r="C90" s="541"/>
      <c r="D90" s="360">
        <v>20</v>
      </c>
      <c r="E90" s="434"/>
      <c r="F90" s="435">
        <f t="shared" si="58"/>
        <v>0</v>
      </c>
      <c r="G90" s="363"/>
      <c r="H90" s="436"/>
      <c r="I90" s="436"/>
      <c r="J90" s="438" t="str">
        <f t="shared" si="59"/>
        <v>-</v>
      </c>
      <c r="K90" s="437"/>
      <c r="L90" s="438" t="str">
        <f t="shared" si="60"/>
        <v>-</v>
      </c>
      <c r="M90" s="437"/>
      <c r="N90" s="438" t="str">
        <f t="shared" si="61"/>
        <v>-</v>
      </c>
      <c r="O90" s="439">
        <f t="shared" si="62"/>
        <v>0</v>
      </c>
      <c r="P90" s="438" t="str">
        <f t="shared" si="63"/>
        <v>-</v>
      </c>
      <c r="Q90" s="436"/>
      <c r="R90" s="438" t="str">
        <f t="shared" si="64"/>
        <v>-</v>
      </c>
      <c r="S90" s="439">
        <f t="shared" si="65"/>
        <v>0</v>
      </c>
      <c r="T90" s="438" t="str">
        <f t="shared" si="66"/>
        <v>-</v>
      </c>
      <c r="U90" s="362">
        <f t="shared" si="67"/>
        <v>0</v>
      </c>
      <c r="V90" s="450">
        <f t="shared" si="68"/>
        <v>0</v>
      </c>
      <c r="W90" s="451" t="str">
        <f t="shared" si="69"/>
        <v>-</v>
      </c>
      <c r="X90" s="452">
        <f t="shared" si="70"/>
        <v>0</v>
      </c>
      <c r="Y90" s="364" t="s">
        <v>437</v>
      </c>
      <c r="Z90" s="364" t="s">
        <v>440</v>
      </c>
      <c r="AA90" s="365"/>
      <c r="AB90" s="365"/>
      <c r="AC90" s="365">
        <v>1</v>
      </c>
      <c r="AD90" s="440"/>
    </row>
    <row r="91" spans="2:39" ht="16.5" customHeight="1">
      <c r="B91" s="552" t="s">
        <v>415</v>
      </c>
      <c r="C91" s="553"/>
      <c r="D91" s="556" t="s">
        <v>416</v>
      </c>
      <c r="E91" s="557" t="s">
        <v>417</v>
      </c>
      <c r="F91" s="559" t="s">
        <v>418</v>
      </c>
      <c r="G91" s="525" t="s">
        <v>419</v>
      </c>
      <c r="H91" s="560" t="s">
        <v>420</v>
      </c>
      <c r="I91" s="542" t="s">
        <v>421</v>
      </c>
      <c r="J91" s="543"/>
      <c r="K91" s="542" t="s">
        <v>422</v>
      </c>
      <c r="L91" s="543"/>
      <c r="M91" s="542" t="s">
        <v>423</v>
      </c>
      <c r="N91" s="543"/>
      <c r="O91" s="542" t="s">
        <v>424</v>
      </c>
      <c r="P91" s="543"/>
      <c r="Q91" s="542" t="s">
        <v>375</v>
      </c>
      <c r="R91" s="543"/>
      <c r="S91" s="545" t="s">
        <v>377</v>
      </c>
      <c r="T91" s="546"/>
      <c r="U91" s="921"/>
      <c r="V91" s="547" t="s">
        <v>425</v>
      </c>
      <c r="W91" s="548"/>
      <c r="X91" s="549"/>
      <c r="Y91" s="550" t="s">
        <v>426</v>
      </c>
      <c r="Z91" s="550" t="s">
        <v>427</v>
      </c>
      <c r="AA91" s="550" t="s">
        <v>428</v>
      </c>
      <c r="AB91" s="550" t="s">
        <v>429</v>
      </c>
      <c r="AC91" s="550" t="s">
        <v>430</v>
      </c>
      <c r="AD91" s="525" t="s">
        <v>431</v>
      </c>
      <c r="AF91" s="527" t="s">
        <v>432</v>
      </c>
      <c r="AG91" s="528"/>
      <c r="AH91" s="528"/>
      <c r="AI91" s="528"/>
      <c r="AJ91" s="528"/>
      <c r="AK91" s="528"/>
      <c r="AL91" s="528"/>
      <c r="AM91" s="529"/>
    </row>
    <row r="92" spans="2:39" ht="16.5" customHeight="1">
      <c r="B92" s="554"/>
      <c r="C92" s="555"/>
      <c r="D92" s="556"/>
      <c r="E92" s="556"/>
      <c r="F92" s="559"/>
      <c r="G92" s="526"/>
      <c r="H92" s="526"/>
      <c r="I92" s="433" t="s">
        <v>433</v>
      </c>
      <c r="J92" s="361" t="s">
        <v>434</v>
      </c>
      <c r="K92" s="433" t="s">
        <v>433</v>
      </c>
      <c r="L92" s="361" t="s">
        <v>434</v>
      </c>
      <c r="M92" s="433" t="s">
        <v>433</v>
      </c>
      <c r="N92" s="361" t="s">
        <v>434</v>
      </c>
      <c r="O92" s="433" t="s">
        <v>433</v>
      </c>
      <c r="P92" s="361" t="s">
        <v>434</v>
      </c>
      <c r="Q92" s="433" t="s">
        <v>433</v>
      </c>
      <c r="R92" s="361" t="s">
        <v>434</v>
      </c>
      <c r="S92" s="433" t="s">
        <v>433</v>
      </c>
      <c r="T92" s="361" t="s">
        <v>434</v>
      </c>
      <c r="U92" s="361" t="s">
        <v>435</v>
      </c>
      <c r="V92" s="433" t="s">
        <v>433</v>
      </c>
      <c r="W92" s="361" t="s">
        <v>434</v>
      </c>
      <c r="X92" s="361" t="s">
        <v>435</v>
      </c>
      <c r="Y92" s="551"/>
      <c r="Z92" s="551"/>
      <c r="AA92" s="551"/>
      <c r="AB92" s="551"/>
      <c r="AC92" s="551"/>
      <c r="AD92" s="526"/>
      <c r="AF92" s="530"/>
      <c r="AG92" s="531"/>
      <c r="AH92" s="531"/>
      <c r="AI92" s="531"/>
      <c r="AJ92" s="531"/>
      <c r="AK92" s="531"/>
      <c r="AL92" s="531"/>
      <c r="AM92" s="532"/>
    </row>
    <row r="93" spans="2:39" s="147" customFormat="1" ht="27" customHeight="1">
      <c r="B93" s="536" t="s">
        <v>456</v>
      </c>
      <c r="C93" s="537"/>
      <c r="D93" s="360">
        <v>1</v>
      </c>
      <c r="E93" s="434"/>
      <c r="F93" s="435">
        <f>IFERROR(Q93*G93,"-")</f>
        <v>0</v>
      </c>
      <c r="G93" s="363"/>
      <c r="H93" s="436"/>
      <c r="I93" s="436"/>
      <c r="J93" s="438" t="str">
        <f>IFERROR(I93/H93,"-")</f>
        <v>-</v>
      </c>
      <c r="K93" s="437"/>
      <c r="L93" s="438" t="str">
        <f>IFERROR(K93/H93,"-")</f>
        <v>-</v>
      </c>
      <c r="M93" s="437"/>
      <c r="N93" s="438" t="str">
        <f>IFERROR(M93/H93,"-")</f>
        <v>-</v>
      </c>
      <c r="O93" s="439">
        <f>IFERROR(K93+M93,"-")</f>
        <v>0</v>
      </c>
      <c r="P93" s="438" t="str">
        <f>IFERROR(O93/H93,"-")</f>
        <v>-</v>
      </c>
      <c r="Q93" s="436"/>
      <c r="R93" s="438" t="str">
        <f>IFERROR(Q93/H93,"-")</f>
        <v>-</v>
      </c>
      <c r="S93" s="439">
        <f>IFERROR(O93-H93,"-")</f>
        <v>0</v>
      </c>
      <c r="T93" s="438" t="str">
        <f>IFERROR(S93/H93,"-")</f>
        <v>-</v>
      </c>
      <c r="U93" s="362">
        <f>IFERROR(S93*G93,"-")</f>
        <v>0</v>
      </c>
      <c r="V93" s="450">
        <f>S93-Q93</f>
        <v>0</v>
      </c>
      <c r="W93" s="451" t="str">
        <f>IFERROR(V93/H93,"-")</f>
        <v>-</v>
      </c>
      <c r="X93" s="452">
        <f>IFERROR(V93*G93,"-")</f>
        <v>0</v>
      </c>
      <c r="Y93" s="364" t="s">
        <v>437</v>
      </c>
      <c r="Z93" s="364" t="s">
        <v>438</v>
      </c>
      <c r="AA93" s="365"/>
      <c r="AB93" s="365"/>
      <c r="AC93" s="365">
        <v>1</v>
      </c>
      <c r="AD93" s="440"/>
      <c r="AF93" s="533"/>
      <c r="AG93" s="534"/>
      <c r="AH93" s="534"/>
      <c r="AI93" s="534"/>
      <c r="AJ93" s="534"/>
      <c r="AK93" s="534"/>
      <c r="AL93" s="534"/>
      <c r="AM93" s="535"/>
    </row>
    <row r="94" spans="2:39" s="147" customFormat="1" ht="27" customHeight="1">
      <c r="B94" s="538"/>
      <c r="C94" s="539"/>
      <c r="D94" s="360">
        <v>2</v>
      </c>
      <c r="E94" s="434"/>
      <c r="F94" s="435">
        <f t="shared" ref="F94:F112" si="73">IFERROR(Q94*G94,"-")</f>
        <v>0</v>
      </c>
      <c r="G94" s="363"/>
      <c r="H94" s="436"/>
      <c r="I94" s="436"/>
      <c r="J94" s="438" t="str">
        <f t="shared" ref="J94:J112" si="74">IFERROR(I94/H94,"-")</f>
        <v>-</v>
      </c>
      <c r="K94" s="437"/>
      <c r="L94" s="438" t="str">
        <f t="shared" ref="L94:L112" si="75">IFERROR(K94/H94,"-")</f>
        <v>-</v>
      </c>
      <c r="M94" s="437"/>
      <c r="N94" s="438" t="str">
        <f t="shared" ref="N94:N112" si="76">IFERROR(M94/H94,"-")</f>
        <v>-</v>
      </c>
      <c r="O94" s="439">
        <f t="shared" ref="O94:O112" si="77">IFERROR(K94+M94,"-")</f>
        <v>0</v>
      </c>
      <c r="P94" s="438" t="str">
        <f t="shared" ref="P94:P112" si="78">IFERROR(O94/H94,"-")</f>
        <v>-</v>
      </c>
      <c r="Q94" s="436"/>
      <c r="R94" s="438" t="str">
        <f t="shared" ref="R94:R112" si="79">IFERROR(Q94/H94,"-")</f>
        <v>-</v>
      </c>
      <c r="S94" s="439">
        <f t="shared" ref="S94:S112" si="80">IFERROR(O94-H94,"-")</f>
        <v>0</v>
      </c>
      <c r="T94" s="438" t="str">
        <f t="shared" ref="T94:T112" si="81">IFERROR(S94/H94,"-")</f>
        <v>-</v>
      </c>
      <c r="U94" s="362">
        <f t="shared" ref="U94:U112" si="82">IFERROR(S94*G94,"-")</f>
        <v>0</v>
      </c>
      <c r="V94" s="450">
        <f t="shared" ref="V94:V112" si="83">S94-Q94</f>
        <v>0</v>
      </c>
      <c r="W94" s="451" t="str">
        <f t="shared" ref="W94:W112" si="84">IFERROR(V94/H94,"-")</f>
        <v>-</v>
      </c>
      <c r="X94" s="452">
        <f t="shared" ref="X94:X112" si="85">IFERROR(V94*G94,"-")</f>
        <v>0</v>
      </c>
      <c r="Y94" s="364" t="s">
        <v>437</v>
      </c>
      <c r="Z94" s="364" t="s">
        <v>440</v>
      </c>
      <c r="AA94" s="365"/>
      <c r="AB94" s="365"/>
      <c r="AC94" s="365">
        <v>1</v>
      </c>
      <c r="AD94" s="440"/>
      <c r="AF94" s="160" t="s">
        <v>439</v>
      </c>
      <c r="AG94" s="160" t="s">
        <v>440</v>
      </c>
      <c r="AH94" s="155" t="s">
        <v>441</v>
      </c>
      <c r="AI94" s="155" t="s">
        <v>438</v>
      </c>
      <c r="AJ94" s="155" t="s">
        <v>312</v>
      </c>
      <c r="AK94" s="155" t="s">
        <v>347</v>
      </c>
      <c r="AL94" s="155" t="s">
        <v>352</v>
      </c>
      <c r="AM94" s="155" t="s">
        <v>442</v>
      </c>
    </row>
    <row r="95" spans="2:39" s="147" customFormat="1" ht="27" customHeight="1">
      <c r="B95" s="538"/>
      <c r="C95" s="539"/>
      <c r="D95" s="360">
        <v>3</v>
      </c>
      <c r="E95" s="434"/>
      <c r="F95" s="435">
        <f t="shared" si="73"/>
        <v>0</v>
      </c>
      <c r="G95" s="363"/>
      <c r="H95" s="436"/>
      <c r="I95" s="436"/>
      <c r="J95" s="438" t="str">
        <f t="shared" si="74"/>
        <v>-</v>
      </c>
      <c r="K95" s="437"/>
      <c r="L95" s="438" t="str">
        <f t="shared" si="75"/>
        <v>-</v>
      </c>
      <c r="M95" s="437"/>
      <c r="N95" s="438" t="str">
        <f t="shared" si="76"/>
        <v>-</v>
      </c>
      <c r="O95" s="439">
        <f t="shared" si="77"/>
        <v>0</v>
      </c>
      <c r="P95" s="438" t="str">
        <f t="shared" si="78"/>
        <v>-</v>
      </c>
      <c r="Q95" s="436"/>
      <c r="R95" s="438" t="str">
        <f t="shared" si="79"/>
        <v>-</v>
      </c>
      <c r="S95" s="439">
        <f t="shared" si="80"/>
        <v>0</v>
      </c>
      <c r="T95" s="438" t="str">
        <f t="shared" si="81"/>
        <v>-</v>
      </c>
      <c r="U95" s="362">
        <f t="shared" si="82"/>
        <v>0</v>
      </c>
      <c r="V95" s="450">
        <f t="shared" si="83"/>
        <v>0</v>
      </c>
      <c r="W95" s="451" t="str">
        <f t="shared" si="84"/>
        <v>-</v>
      </c>
      <c r="X95" s="452">
        <f t="shared" si="85"/>
        <v>0</v>
      </c>
      <c r="Y95" s="364" t="s">
        <v>437</v>
      </c>
      <c r="Z95" s="364" t="s">
        <v>438</v>
      </c>
      <c r="AA95" s="365"/>
      <c r="AB95" s="365"/>
      <c r="AC95" s="365">
        <v>1</v>
      </c>
      <c r="AD95" s="440"/>
      <c r="AF95" s="370">
        <f>SUM(AC93:AC112)</f>
        <v>20</v>
      </c>
      <c r="AG95" s="366">
        <f>SUMIF($Z$93:$Z$112,TRIM(AG94),$AC$93:$AC$112)</f>
        <v>12</v>
      </c>
      <c r="AH95" s="366">
        <f t="shared" ref="AH95:AM95" si="86">SUMIF($Z$93:$Z$112,TRIM(AH94),$AC$93:$AC$112)</f>
        <v>0</v>
      </c>
      <c r="AI95" s="366">
        <f t="shared" si="86"/>
        <v>4</v>
      </c>
      <c r="AJ95" s="366">
        <f t="shared" si="86"/>
        <v>0</v>
      </c>
      <c r="AK95" s="366">
        <f t="shared" si="86"/>
        <v>2</v>
      </c>
      <c r="AL95" s="366">
        <f t="shared" si="86"/>
        <v>2</v>
      </c>
      <c r="AM95" s="366">
        <f t="shared" si="86"/>
        <v>0</v>
      </c>
    </row>
    <row r="96" spans="2:39" s="147" customFormat="1" ht="27" customHeight="1">
      <c r="B96" s="538"/>
      <c r="C96" s="539"/>
      <c r="D96" s="360">
        <v>4</v>
      </c>
      <c r="E96" s="434"/>
      <c r="F96" s="435">
        <f t="shared" si="73"/>
        <v>0</v>
      </c>
      <c r="G96" s="363"/>
      <c r="H96" s="436"/>
      <c r="I96" s="436"/>
      <c r="J96" s="438" t="str">
        <f t="shared" si="74"/>
        <v>-</v>
      </c>
      <c r="K96" s="437"/>
      <c r="L96" s="438" t="str">
        <f t="shared" si="75"/>
        <v>-</v>
      </c>
      <c r="M96" s="437"/>
      <c r="N96" s="438" t="str">
        <f t="shared" si="76"/>
        <v>-</v>
      </c>
      <c r="O96" s="439">
        <f t="shared" si="77"/>
        <v>0</v>
      </c>
      <c r="P96" s="438" t="str">
        <f t="shared" si="78"/>
        <v>-</v>
      </c>
      <c r="Q96" s="436"/>
      <c r="R96" s="438" t="str">
        <f t="shared" si="79"/>
        <v>-</v>
      </c>
      <c r="S96" s="439">
        <f t="shared" si="80"/>
        <v>0</v>
      </c>
      <c r="T96" s="438" t="str">
        <f t="shared" si="81"/>
        <v>-</v>
      </c>
      <c r="U96" s="362">
        <f t="shared" si="82"/>
        <v>0</v>
      </c>
      <c r="V96" s="450">
        <f t="shared" si="83"/>
        <v>0</v>
      </c>
      <c r="W96" s="451" t="str">
        <f t="shared" si="84"/>
        <v>-</v>
      </c>
      <c r="X96" s="452">
        <f t="shared" si="85"/>
        <v>0</v>
      </c>
      <c r="Y96" s="364" t="s">
        <v>437</v>
      </c>
      <c r="Z96" s="364" t="s">
        <v>438</v>
      </c>
      <c r="AA96" s="365"/>
      <c r="AB96" s="365"/>
      <c r="AC96" s="365">
        <v>1</v>
      </c>
      <c r="AD96" s="440"/>
      <c r="AF96" s="371" t="s">
        <v>303</v>
      </c>
      <c r="AG96" s="368">
        <f>SUMIF($Z$93:$Z112,TRIM(AG94),$F$93:$F$112)</f>
        <v>0</v>
      </c>
      <c r="AH96" s="368">
        <f>SUMIF($Z$93:$Z112,TRIM(AH94),$F$93:$F$112)</f>
        <v>0</v>
      </c>
      <c r="AI96" s="368">
        <f>SUMIF($Z$93:$Z112,TRIM(AI94),$F$93:$F$112)</f>
        <v>0</v>
      </c>
      <c r="AJ96" s="368">
        <f>SUMIF($Z$93:$Z112,TRIM(AJ94),$F$93:$F$112)</f>
        <v>0</v>
      </c>
      <c r="AK96" s="368">
        <f>SUMIF($Z$93:$Z112,TRIM(AK94),$F$93:$F$112)</f>
        <v>0</v>
      </c>
      <c r="AL96" s="368">
        <f>SUMIF($Z$93:$Z112,TRIM(AL94),$F$93:$F$112)</f>
        <v>0</v>
      </c>
      <c r="AM96" s="368">
        <f>SUMIF($Z$93:$Z112,TRIM(AM94),$F$93:$F$112)</f>
        <v>0</v>
      </c>
    </row>
    <row r="97" spans="2:39" s="147" customFormat="1" ht="27" customHeight="1">
      <c r="B97" s="538"/>
      <c r="C97" s="539"/>
      <c r="D97" s="360">
        <v>5</v>
      </c>
      <c r="E97" s="434"/>
      <c r="F97" s="435">
        <f t="shared" si="73"/>
        <v>0</v>
      </c>
      <c r="G97" s="363"/>
      <c r="H97" s="436"/>
      <c r="I97" s="436"/>
      <c r="J97" s="438" t="str">
        <f t="shared" si="74"/>
        <v>-</v>
      </c>
      <c r="K97" s="437"/>
      <c r="L97" s="438" t="str">
        <f t="shared" si="75"/>
        <v>-</v>
      </c>
      <c r="M97" s="437"/>
      <c r="N97" s="438" t="str">
        <f t="shared" si="76"/>
        <v>-</v>
      </c>
      <c r="O97" s="439">
        <f t="shared" si="77"/>
        <v>0</v>
      </c>
      <c r="P97" s="438" t="str">
        <f t="shared" si="78"/>
        <v>-</v>
      </c>
      <c r="Q97" s="436"/>
      <c r="R97" s="438" t="str">
        <f t="shared" si="79"/>
        <v>-</v>
      </c>
      <c r="S97" s="439">
        <f t="shared" si="80"/>
        <v>0</v>
      </c>
      <c r="T97" s="438" t="str">
        <f t="shared" si="81"/>
        <v>-</v>
      </c>
      <c r="U97" s="362">
        <f t="shared" si="82"/>
        <v>0</v>
      </c>
      <c r="V97" s="450">
        <f t="shared" si="83"/>
        <v>0</v>
      </c>
      <c r="W97" s="451" t="str">
        <f t="shared" si="84"/>
        <v>-</v>
      </c>
      <c r="X97" s="452">
        <f t="shared" si="85"/>
        <v>0</v>
      </c>
      <c r="Y97" s="364" t="s">
        <v>437</v>
      </c>
      <c r="Z97" s="364" t="s">
        <v>352</v>
      </c>
      <c r="AA97" s="365"/>
      <c r="AB97" s="365"/>
      <c r="AC97" s="365">
        <v>1</v>
      </c>
      <c r="AD97" s="440"/>
      <c r="AF97" s="360" t="s">
        <v>443</v>
      </c>
      <c r="AG97" s="441">
        <f>AG95/$AF95</f>
        <v>0.6</v>
      </c>
      <c r="AH97" s="441">
        <f t="shared" ref="AH97:AM97" si="87">AH95/$AF95</f>
        <v>0</v>
      </c>
      <c r="AI97" s="441">
        <f t="shared" si="87"/>
        <v>0.2</v>
      </c>
      <c r="AJ97" s="441">
        <f t="shared" si="87"/>
        <v>0</v>
      </c>
      <c r="AK97" s="441">
        <f t="shared" si="87"/>
        <v>0.1</v>
      </c>
      <c r="AL97" s="441">
        <f t="shared" si="87"/>
        <v>0.1</v>
      </c>
      <c r="AM97" s="441">
        <f t="shared" si="87"/>
        <v>0</v>
      </c>
    </row>
    <row r="98" spans="2:39" s="147" customFormat="1" ht="27" customHeight="1">
      <c r="B98" s="538"/>
      <c r="C98" s="539"/>
      <c r="D98" s="360">
        <v>6</v>
      </c>
      <c r="E98" s="434"/>
      <c r="F98" s="435">
        <f t="shared" si="73"/>
        <v>0</v>
      </c>
      <c r="G98" s="363"/>
      <c r="H98" s="436"/>
      <c r="I98" s="436"/>
      <c r="J98" s="438" t="str">
        <f t="shared" si="74"/>
        <v>-</v>
      </c>
      <c r="K98" s="437"/>
      <c r="L98" s="438" t="str">
        <f t="shared" si="75"/>
        <v>-</v>
      </c>
      <c r="M98" s="437"/>
      <c r="N98" s="438" t="str">
        <f t="shared" si="76"/>
        <v>-</v>
      </c>
      <c r="O98" s="439">
        <f t="shared" si="77"/>
        <v>0</v>
      </c>
      <c r="P98" s="438" t="str">
        <f t="shared" si="78"/>
        <v>-</v>
      </c>
      <c r="Q98" s="436"/>
      <c r="R98" s="438" t="str">
        <f t="shared" si="79"/>
        <v>-</v>
      </c>
      <c r="S98" s="439">
        <f t="shared" si="80"/>
        <v>0</v>
      </c>
      <c r="T98" s="438" t="str">
        <f t="shared" si="81"/>
        <v>-</v>
      </c>
      <c r="U98" s="362">
        <f t="shared" si="82"/>
        <v>0</v>
      </c>
      <c r="V98" s="450">
        <f t="shared" si="83"/>
        <v>0</v>
      </c>
      <c r="W98" s="451" t="str">
        <f t="shared" si="84"/>
        <v>-</v>
      </c>
      <c r="X98" s="452">
        <f t="shared" si="85"/>
        <v>0</v>
      </c>
      <c r="Y98" s="364" t="s">
        <v>437</v>
      </c>
      <c r="Z98" s="364" t="s">
        <v>347</v>
      </c>
      <c r="AA98" s="365"/>
      <c r="AB98" s="365"/>
      <c r="AC98" s="365">
        <v>1</v>
      </c>
      <c r="AD98" s="440"/>
    </row>
    <row r="99" spans="2:39" s="147" customFormat="1" ht="27" customHeight="1">
      <c r="B99" s="538"/>
      <c r="C99" s="539"/>
      <c r="D99" s="360">
        <v>7</v>
      </c>
      <c r="E99" s="434"/>
      <c r="F99" s="435">
        <f t="shared" si="73"/>
        <v>0</v>
      </c>
      <c r="G99" s="363"/>
      <c r="H99" s="436"/>
      <c r="I99" s="436"/>
      <c r="J99" s="438" t="str">
        <f t="shared" si="74"/>
        <v>-</v>
      </c>
      <c r="K99" s="437"/>
      <c r="L99" s="438" t="str">
        <f t="shared" si="75"/>
        <v>-</v>
      </c>
      <c r="M99" s="437"/>
      <c r="N99" s="438" t="str">
        <f t="shared" si="76"/>
        <v>-</v>
      </c>
      <c r="O99" s="439">
        <f t="shared" si="77"/>
        <v>0</v>
      </c>
      <c r="P99" s="438" t="str">
        <f t="shared" si="78"/>
        <v>-</v>
      </c>
      <c r="Q99" s="436"/>
      <c r="R99" s="438" t="str">
        <f t="shared" si="79"/>
        <v>-</v>
      </c>
      <c r="S99" s="439">
        <f t="shared" si="80"/>
        <v>0</v>
      </c>
      <c r="T99" s="438" t="str">
        <f t="shared" si="81"/>
        <v>-</v>
      </c>
      <c r="U99" s="362">
        <f t="shared" si="82"/>
        <v>0</v>
      </c>
      <c r="V99" s="450">
        <f t="shared" si="83"/>
        <v>0</v>
      </c>
      <c r="W99" s="451" t="str">
        <f t="shared" si="84"/>
        <v>-</v>
      </c>
      <c r="X99" s="452">
        <f t="shared" si="85"/>
        <v>0</v>
      </c>
      <c r="Y99" s="364" t="s">
        <v>437</v>
      </c>
      <c r="Z99" s="364" t="s">
        <v>440</v>
      </c>
      <c r="AA99" s="365"/>
      <c r="AB99" s="365"/>
      <c r="AC99" s="365">
        <v>1</v>
      </c>
      <c r="AD99" s="440"/>
    </row>
    <row r="100" spans="2:39" s="147" customFormat="1" ht="27" customHeight="1">
      <c r="B100" s="538"/>
      <c r="C100" s="539"/>
      <c r="D100" s="360">
        <v>8</v>
      </c>
      <c r="E100" s="434"/>
      <c r="F100" s="435">
        <f t="shared" si="73"/>
        <v>0</v>
      </c>
      <c r="G100" s="363"/>
      <c r="H100" s="436"/>
      <c r="I100" s="436"/>
      <c r="J100" s="438" t="str">
        <f t="shared" si="74"/>
        <v>-</v>
      </c>
      <c r="K100" s="437"/>
      <c r="L100" s="438" t="str">
        <f t="shared" si="75"/>
        <v>-</v>
      </c>
      <c r="M100" s="437"/>
      <c r="N100" s="438" t="str">
        <f t="shared" si="76"/>
        <v>-</v>
      </c>
      <c r="O100" s="439">
        <f t="shared" si="77"/>
        <v>0</v>
      </c>
      <c r="P100" s="438" t="str">
        <f t="shared" si="78"/>
        <v>-</v>
      </c>
      <c r="Q100" s="436"/>
      <c r="R100" s="438" t="str">
        <f t="shared" si="79"/>
        <v>-</v>
      </c>
      <c r="S100" s="439">
        <f t="shared" si="80"/>
        <v>0</v>
      </c>
      <c r="T100" s="438" t="str">
        <f t="shared" si="81"/>
        <v>-</v>
      </c>
      <c r="U100" s="362">
        <f t="shared" si="82"/>
        <v>0</v>
      </c>
      <c r="V100" s="450">
        <f t="shared" si="83"/>
        <v>0</v>
      </c>
      <c r="W100" s="451" t="str">
        <f t="shared" si="84"/>
        <v>-</v>
      </c>
      <c r="X100" s="452">
        <f t="shared" si="85"/>
        <v>0</v>
      </c>
      <c r="Y100" s="364" t="s">
        <v>437</v>
      </c>
      <c r="Z100" s="364" t="s">
        <v>352</v>
      </c>
      <c r="AA100" s="365"/>
      <c r="AB100" s="365"/>
      <c r="AC100" s="365">
        <v>1</v>
      </c>
      <c r="AD100" s="440"/>
    </row>
    <row r="101" spans="2:39" s="147" customFormat="1" ht="27" customHeight="1">
      <c r="B101" s="538"/>
      <c r="C101" s="539"/>
      <c r="D101" s="360">
        <v>9</v>
      </c>
      <c r="E101" s="434"/>
      <c r="F101" s="435">
        <f t="shared" si="73"/>
        <v>0</v>
      </c>
      <c r="G101" s="363"/>
      <c r="H101" s="436"/>
      <c r="I101" s="436"/>
      <c r="J101" s="438" t="str">
        <f t="shared" si="74"/>
        <v>-</v>
      </c>
      <c r="K101" s="437"/>
      <c r="L101" s="438" t="str">
        <f t="shared" si="75"/>
        <v>-</v>
      </c>
      <c r="M101" s="437"/>
      <c r="N101" s="438" t="str">
        <f t="shared" si="76"/>
        <v>-</v>
      </c>
      <c r="O101" s="439">
        <f t="shared" si="77"/>
        <v>0</v>
      </c>
      <c r="P101" s="438" t="str">
        <f t="shared" si="78"/>
        <v>-</v>
      </c>
      <c r="Q101" s="436"/>
      <c r="R101" s="438" t="str">
        <f t="shared" si="79"/>
        <v>-</v>
      </c>
      <c r="S101" s="439">
        <f t="shared" si="80"/>
        <v>0</v>
      </c>
      <c r="T101" s="438" t="str">
        <f t="shared" si="81"/>
        <v>-</v>
      </c>
      <c r="U101" s="362">
        <f t="shared" si="82"/>
        <v>0</v>
      </c>
      <c r="V101" s="450">
        <f t="shared" si="83"/>
        <v>0</v>
      </c>
      <c r="W101" s="451" t="str">
        <f t="shared" si="84"/>
        <v>-</v>
      </c>
      <c r="X101" s="452">
        <f t="shared" si="85"/>
        <v>0</v>
      </c>
      <c r="Y101" s="364" t="s">
        <v>437</v>
      </c>
      <c r="Z101" s="364" t="s">
        <v>438</v>
      </c>
      <c r="AA101" s="365"/>
      <c r="AB101" s="365"/>
      <c r="AC101" s="365">
        <v>1</v>
      </c>
      <c r="AD101" s="440"/>
      <c r="AH101" s="367"/>
    </row>
    <row r="102" spans="2:39" s="147" customFormat="1" ht="27" customHeight="1">
      <c r="B102" s="538"/>
      <c r="C102" s="539"/>
      <c r="D102" s="360">
        <v>10</v>
      </c>
      <c r="E102" s="434"/>
      <c r="F102" s="435">
        <f t="shared" si="73"/>
        <v>0</v>
      </c>
      <c r="G102" s="363"/>
      <c r="H102" s="436"/>
      <c r="I102" s="436"/>
      <c r="J102" s="438" t="str">
        <f t="shared" si="74"/>
        <v>-</v>
      </c>
      <c r="K102" s="437"/>
      <c r="L102" s="438" t="str">
        <f t="shared" si="75"/>
        <v>-</v>
      </c>
      <c r="M102" s="437"/>
      <c r="N102" s="438" t="str">
        <f t="shared" si="76"/>
        <v>-</v>
      </c>
      <c r="O102" s="439">
        <f t="shared" si="77"/>
        <v>0</v>
      </c>
      <c r="P102" s="438" t="str">
        <f t="shared" si="78"/>
        <v>-</v>
      </c>
      <c r="Q102" s="436"/>
      <c r="R102" s="438" t="str">
        <f t="shared" si="79"/>
        <v>-</v>
      </c>
      <c r="S102" s="439">
        <f t="shared" si="80"/>
        <v>0</v>
      </c>
      <c r="T102" s="438" t="str">
        <f t="shared" si="81"/>
        <v>-</v>
      </c>
      <c r="U102" s="362">
        <f t="shared" si="82"/>
        <v>0</v>
      </c>
      <c r="V102" s="450">
        <f t="shared" si="83"/>
        <v>0</v>
      </c>
      <c r="W102" s="451" t="str">
        <f t="shared" si="84"/>
        <v>-</v>
      </c>
      <c r="X102" s="452">
        <f t="shared" si="85"/>
        <v>0</v>
      </c>
      <c r="Y102" s="364" t="s">
        <v>437</v>
      </c>
      <c r="Z102" s="364" t="s">
        <v>440</v>
      </c>
      <c r="AA102" s="376"/>
      <c r="AB102" s="365"/>
      <c r="AC102" s="365">
        <v>1</v>
      </c>
      <c r="AD102" s="440"/>
      <c r="AH102" s="367"/>
    </row>
    <row r="103" spans="2:39" s="147" customFormat="1" ht="27" customHeight="1">
      <c r="B103" s="538"/>
      <c r="C103" s="539"/>
      <c r="D103" s="360">
        <v>11</v>
      </c>
      <c r="E103" s="434"/>
      <c r="F103" s="435">
        <f t="shared" si="73"/>
        <v>0</v>
      </c>
      <c r="G103" s="363"/>
      <c r="H103" s="436"/>
      <c r="I103" s="436"/>
      <c r="J103" s="438" t="str">
        <f t="shared" si="74"/>
        <v>-</v>
      </c>
      <c r="K103" s="437"/>
      <c r="L103" s="438" t="str">
        <f t="shared" si="75"/>
        <v>-</v>
      </c>
      <c r="M103" s="437"/>
      <c r="N103" s="438" t="str">
        <f t="shared" si="76"/>
        <v>-</v>
      </c>
      <c r="O103" s="439">
        <f t="shared" si="77"/>
        <v>0</v>
      </c>
      <c r="P103" s="438" t="str">
        <f t="shared" si="78"/>
        <v>-</v>
      </c>
      <c r="Q103" s="436"/>
      <c r="R103" s="438" t="str">
        <f t="shared" si="79"/>
        <v>-</v>
      </c>
      <c r="S103" s="439">
        <f t="shared" si="80"/>
        <v>0</v>
      </c>
      <c r="T103" s="438" t="str">
        <f t="shared" si="81"/>
        <v>-</v>
      </c>
      <c r="U103" s="362">
        <f t="shared" si="82"/>
        <v>0</v>
      </c>
      <c r="V103" s="450">
        <f t="shared" si="83"/>
        <v>0</v>
      </c>
      <c r="W103" s="451" t="str">
        <f t="shared" si="84"/>
        <v>-</v>
      </c>
      <c r="X103" s="452">
        <f t="shared" si="85"/>
        <v>0</v>
      </c>
      <c r="Y103" s="364" t="s">
        <v>437</v>
      </c>
      <c r="Z103" s="364" t="s">
        <v>440</v>
      </c>
      <c r="AA103" s="365"/>
      <c r="AB103" s="365"/>
      <c r="AC103" s="365">
        <v>1</v>
      </c>
      <c r="AD103" s="440"/>
      <c r="AH103" s="367"/>
    </row>
    <row r="104" spans="2:39" s="147" customFormat="1" ht="26.25" customHeight="1">
      <c r="B104" s="538"/>
      <c r="C104" s="539"/>
      <c r="D104" s="360">
        <v>12</v>
      </c>
      <c r="E104" s="434"/>
      <c r="F104" s="435">
        <f t="shared" si="73"/>
        <v>0</v>
      </c>
      <c r="G104" s="363"/>
      <c r="H104" s="436"/>
      <c r="I104" s="436"/>
      <c r="J104" s="438" t="str">
        <f t="shared" si="74"/>
        <v>-</v>
      </c>
      <c r="K104" s="437"/>
      <c r="L104" s="438" t="str">
        <f t="shared" si="75"/>
        <v>-</v>
      </c>
      <c r="M104" s="437"/>
      <c r="N104" s="438" t="str">
        <f t="shared" si="76"/>
        <v>-</v>
      </c>
      <c r="O104" s="439">
        <f t="shared" si="77"/>
        <v>0</v>
      </c>
      <c r="P104" s="438" t="str">
        <f t="shared" si="78"/>
        <v>-</v>
      </c>
      <c r="Q104" s="436"/>
      <c r="R104" s="438" t="str">
        <f t="shared" si="79"/>
        <v>-</v>
      </c>
      <c r="S104" s="439">
        <f t="shared" si="80"/>
        <v>0</v>
      </c>
      <c r="T104" s="438" t="str">
        <f t="shared" si="81"/>
        <v>-</v>
      </c>
      <c r="U104" s="362">
        <f t="shared" si="82"/>
        <v>0</v>
      </c>
      <c r="V104" s="450">
        <f t="shared" si="83"/>
        <v>0</v>
      </c>
      <c r="W104" s="451" t="str">
        <f t="shared" si="84"/>
        <v>-</v>
      </c>
      <c r="X104" s="452">
        <f t="shared" si="85"/>
        <v>0</v>
      </c>
      <c r="Y104" s="364" t="s">
        <v>437</v>
      </c>
      <c r="Z104" s="364" t="s">
        <v>440</v>
      </c>
      <c r="AA104" s="365"/>
      <c r="AB104" s="365"/>
      <c r="AC104" s="365">
        <v>1</v>
      </c>
      <c r="AD104" s="440"/>
      <c r="AH104" s="367"/>
    </row>
    <row r="105" spans="2:39" s="147" customFormat="1" ht="27" customHeight="1">
      <c r="B105" s="538"/>
      <c r="C105" s="539"/>
      <c r="D105" s="360">
        <v>13</v>
      </c>
      <c r="E105" s="434"/>
      <c r="F105" s="435">
        <f t="shared" si="73"/>
        <v>0</v>
      </c>
      <c r="G105" s="363"/>
      <c r="H105" s="436"/>
      <c r="I105" s="436"/>
      <c r="J105" s="438" t="str">
        <f t="shared" si="74"/>
        <v>-</v>
      </c>
      <c r="K105" s="437"/>
      <c r="L105" s="438" t="str">
        <f t="shared" si="75"/>
        <v>-</v>
      </c>
      <c r="M105" s="437"/>
      <c r="N105" s="438" t="str">
        <f t="shared" si="76"/>
        <v>-</v>
      </c>
      <c r="O105" s="439">
        <f t="shared" si="77"/>
        <v>0</v>
      </c>
      <c r="P105" s="438" t="str">
        <f t="shared" si="78"/>
        <v>-</v>
      </c>
      <c r="Q105" s="436"/>
      <c r="R105" s="438" t="str">
        <f t="shared" si="79"/>
        <v>-</v>
      </c>
      <c r="S105" s="439">
        <f t="shared" si="80"/>
        <v>0</v>
      </c>
      <c r="T105" s="438" t="str">
        <f t="shared" si="81"/>
        <v>-</v>
      </c>
      <c r="U105" s="362">
        <f t="shared" si="82"/>
        <v>0</v>
      </c>
      <c r="V105" s="450">
        <f t="shared" si="83"/>
        <v>0</v>
      </c>
      <c r="W105" s="451" t="str">
        <f t="shared" si="84"/>
        <v>-</v>
      </c>
      <c r="X105" s="452">
        <f t="shared" si="85"/>
        <v>0</v>
      </c>
      <c r="Y105" s="364" t="s">
        <v>437</v>
      </c>
      <c r="Z105" s="364" t="s">
        <v>440</v>
      </c>
      <c r="AA105" s="365"/>
      <c r="AB105" s="365"/>
      <c r="AC105" s="365">
        <v>1</v>
      </c>
      <c r="AD105" s="440"/>
    </row>
    <row r="106" spans="2:39" s="147" customFormat="1" ht="27" customHeight="1">
      <c r="B106" s="538"/>
      <c r="C106" s="539"/>
      <c r="D106" s="360">
        <v>14</v>
      </c>
      <c r="E106" s="434"/>
      <c r="F106" s="435">
        <f t="shared" si="73"/>
        <v>0</v>
      </c>
      <c r="G106" s="363"/>
      <c r="H106" s="436"/>
      <c r="I106" s="436"/>
      <c r="J106" s="438" t="str">
        <f t="shared" si="74"/>
        <v>-</v>
      </c>
      <c r="K106" s="437"/>
      <c r="L106" s="438" t="str">
        <f t="shared" si="75"/>
        <v>-</v>
      </c>
      <c r="M106" s="437"/>
      <c r="N106" s="438" t="str">
        <f t="shared" si="76"/>
        <v>-</v>
      </c>
      <c r="O106" s="439">
        <f t="shared" si="77"/>
        <v>0</v>
      </c>
      <c r="P106" s="438" t="str">
        <f t="shared" si="78"/>
        <v>-</v>
      </c>
      <c r="Q106" s="436"/>
      <c r="R106" s="438" t="str">
        <f t="shared" si="79"/>
        <v>-</v>
      </c>
      <c r="S106" s="439">
        <f t="shared" si="80"/>
        <v>0</v>
      </c>
      <c r="T106" s="438" t="str">
        <f t="shared" si="81"/>
        <v>-</v>
      </c>
      <c r="U106" s="362">
        <f t="shared" si="82"/>
        <v>0</v>
      </c>
      <c r="V106" s="450">
        <f t="shared" si="83"/>
        <v>0</v>
      </c>
      <c r="W106" s="451" t="str">
        <f t="shared" si="84"/>
        <v>-</v>
      </c>
      <c r="X106" s="452">
        <f t="shared" si="85"/>
        <v>0</v>
      </c>
      <c r="Y106" s="364" t="s">
        <v>437</v>
      </c>
      <c r="Z106" s="364" t="s">
        <v>440</v>
      </c>
      <c r="AA106" s="365"/>
      <c r="AB106" s="365"/>
      <c r="AC106" s="365">
        <v>1</v>
      </c>
      <c r="AD106" s="440"/>
      <c r="AF106" s="561" t="s">
        <v>432</v>
      </c>
      <c r="AG106" s="562"/>
      <c r="AH106" s="562"/>
      <c r="AI106" s="562"/>
      <c r="AJ106" s="562"/>
      <c r="AK106" s="562"/>
      <c r="AL106" s="562"/>
      <c r="AM106" s="563"/>
    </row>
    <row r="107" spans="2:39" s="147" customFormat="1" ht="27" customHeight="1">
      <c r="B107" s="538"/>
      <c r="C107" s="539"/>
      <c r="D107" s="360">
        <v>15</v>
      </c>
      <c r="E107" s="434"/>
      <c r="F107" s="435">
        <f t="shared" si="73"/>
        <v>0</v>
      </c>
      <c r="G107" s="363"/>
      <c r="H107" s="436"/>
      <c r="I107" s="436"/>
      <c r="J107" s="438" t="str">
        <f t="shared" si="74"/>
        <v>-</v>
      </c>
      <c r="K107" s="437"/>
      <c r="L107" s="438" t="str">
        <f t="shared" si="75"/>
        <v>-</v>
      </c>
      <c r="M107" s="437"/>
      <c r="N107" s="438" t="str">
        <f t="shared" si="76"/>
        <v>-</v>
      </c>
      <c r="O107" s="439">
        <f t="shared" si="77"/>
        <v>0</v>
      </c>
      <c r="P107" s="438" t="str">
        <f t="shared" si="78"/>
        <v>-</v>
      </c>
      <c r="Q107" s="436"/>
      <c r="R107" s="438" t="str">
        <f t="shared" si="79"/>
        <v>-</v>
      </c>
      <c r="S107" s="439">
        <f t="shared" si="80"/>
        <v>0</v>
      </c>
      <c r="T107" s="438" t="str">
        <f t="shared" si="81"/>
        <v>-</v>
      </c>
      <c r="U107" s="362">
        <f t="shared" si="82"/>
        <v>0</v>
      </c>
      <c r="V107" s="450">
        <f t="shared" si="83"/>
        <v>0</v>
      </c>
      <c r="W107" s="451" t="str">
        <f t="shared" si="84"/>
        <v>-</v>
      </c>
      <c r="X107" s="452">
        <f t="shared" si="85"/>
        <v>0</v>
      </c>
      <c r="Y107" s="364" t="s">
        <v>437</v>
      </c>
      <c r="Z107" s="364" t="s">
        <v>440</v>
      </c>
      <c r="AA107" s="365"/>
      <c r="AB107" s="365"/>
      <c r="AC107" s="365">
        <v>1</v>
      </c>
      <c r="AD107" s="440"/>
      <c r="AF107" s="564"/>
      <c r="AG107" s="565"/>
      <c r="AH107" s="565"/>
      <c r="AI107" s="565"/>
      <c r="AJ107" s="565"/>
      <c r="AK107" s="565"/>
      <c r="AL107" s="565"/>
      <c r="AM107" s="566"/>
    </row>
    <row r="108" spans="2:39" s="147" customFormat="1" ht="27" customHeight="1">
      <c r="B108" s="538"/>
      <c r="C108" s="539"/>
      <c r="D108" s="360">
        <v>16</v>
      </c>
      <c r="E108" s="434"/>
      <c r="F108" s="435">
        <f t="shared" si="73"/>
        <v>0</v>
      </c>
      <c r="G108" s="363"/>
      <c r="H108" s="436"/>
      <c r="I108" s="436"/>
      <c r="J108" s="438" t="str">
        <f t="shared" si="74"/>
        <v>-</v>
      </c>
      <c r="K108" s="437"/>
      <c r="L108" s="438" t="str">
        <f t="shared" si="75"/>
        <v>-</v>
      </c>
      <c r="M108" s="437"/>
      <c r="N108" s="438" t="str">
        <f t="shared" si="76"/>
        <v>-</v>
      </c>
      <c r="O108" s="439">
        <f t="shared" si="77"/>
        <v>0</v>
      </c>
      <c r="P108" s="438" t="str">
        <f t="shared" si="78"/>
        <v>-</v>
      </c>
      <c r="Q108" s="436"/>
      <c r="R108" s="438" t="str">
        <f t="shared" si="79"/>
        <v>-</v>
      </c>
      <c r="S108" s="439">
        <f t="shared" si="80"/>
        <v>0</v>
      </c>
      <c r="T108" s="438" t="str">
        <f t="shared" si="81"/>
        <v>-</v>
      </c>
      <c r="U108" s="362">
        <f t="shared" si="82"/>
        <v>0</v>
      </c>
      <c r="V108" s="450">
        <f t="shared" si="83"/>
        <v>0</v>
      </c>
      <c r="W108" s="451" t="str">
        <f t="shared" si="84"/>
        <v>-</v>
      </c>
      <c r="X108" s="452">
        <f t="shared" si="85"/>
        <v>0</v>
      </c>
      <c r="Y108" s="364" t="s">
        <v>437</v>
      </c>
      <c r="Z108" s="364" t="s">
        <v>440</v>
      </c>
      <c r="AA108" s="376"/>
      <c r="AB108" s="365"/>
      <c r="AC108" s="365">
        <v>1</v>
      </c>
      <c r="AD108" s="440"/>
      <c r="AF108" s="567"/>
      <c r="AG108" s="568"/>
      <c r="AH108" s="568"/>
      <c r="AI108" s="568"/>
      <c r="AJ108" s="568"/>
      <c r="AK108" s="568"/>
      <c r="AL108" s="568"/>
      <c r="AM108" s="569"/>
    </row>
    <row r="109" spans="2:39" s="147" customFormat="1" ht="27" customHeight="1">
      <c r="B109" s="538"/>
      <c r="C109" s="539"/>
      <c r="D109" s="360">
        <v>17</v>
      </c>
      <c r="E109" s="434"/>
      <c r="F109" s="435">
        <f t="shared" si="73"/>
        <v>0</v>
      </c>
      <c r="G109" s="363"/>
      <c r="H109" s="436"/>
      <c r="I109" s="436"/>
      <c r="J109" s="438" t="str">
        <f t="shared" si="74"/>
        <v>-</v>
      </c>
      <c r="K109" s="437"/>
      <c r="L109" s="438" t="str">
        <f t="shared" si="75"/>
        <v>-</v>
      </c>
      <c r="M109" s="437"/>
      <c r="N109" s="438" t="str">
        <f t="shared" si="76"/>
        <v>-</v>
      </c>
      <c r="O109" s="439">
        <f t="shared" si="77"/>
        <v>0</v>
      </c>
      <c r="P109" s="438" t="str">
        <f t="shared" si="78"/>
        <v>-</v>
      </c>
      <c r="Q109" s="436"/>
      <c r="R109" s="438" t="str">
        <f t="shared" si="79"/>
        <v>-</v>
      </c>
      <c r="S109" s="439">
        <f t="shared" si="80"/>
        <v>0</v>
      </c>
      <c r="T109" s="438" t="str">
        <f t="shared" si="81"/>
        <v>-</v>
      </c>
      <c r="U109" s="362">
        <f t="shared" si="82"/>
        <v>0</v>
      </c>
      <c r="V109" s="450">
        <f t="shared" si="83"/>
        <v>0</v>
      </c>
      <c r="W109" s="451" t="str">
        <f t="shared" si="84"/>
        <v>-</v>
      </c>
      <c r="X109" s="452">
        <f t="shared" si="85"/>
        <v>0</v>
      </c>
      <c r="Y109" s="364" t="s">
        <v>437</v>
      </c>
      <c r="Z109" s="364" t="s">
        <v>440</v>
      </c>
      <c r="AA109" s="376"/>
      <c r="AB109" s="365"/>
      <c r="AC109" s="365">
        <v>1</v>
      </c>
      <c r="AD109" s="440"/>
      <c r="AF109" s="160" t="s">
        <v>439</v>
      </c>
      <c r="AG109" s="160" t="s">
        <v>440</v>
      </c>
      <c r="AH109" s="155" t="s">
        <v>457</v>
      </c>
      <c r="AI109" s="155" t="s">
        <v>438</v>
      </c>
      <c r="AJ109" s="155" t="s">
        <v>312</v>
      </c>
      <c r="AK109" s="155" t="s">
        <v>347</v>
      </c>
      <c r="AL109" s="155" t="s">
        <v>352</v>
      </c>
      <c r="AM109" s="155" t="s">
        <v>442</v>
      </c>
    </row>
    <row r="110" spans="2:39" s="147" customFormat="1" ht="27" customHeight="1">
      <c r="B110" s="538"/>
      <c r="C110" s="539"/>
      <c r="D110" s="360">
        <v>18</v>
      </c>
      <c r="E110" s="434"/>
      <c r="F110" s="435">
        <f t="shared" si="73"/>
        <v>0</v>
      </c>
      <c r="G110" s="363"/>
      <c r="H110" s="436"/>
      <c r="I110" s="436"/>
      <c r="J110" s="438" t="str">
        <f t="shared" si="74"/>
        <v>-</v>
      </c>
      <c r="K110" s="437"/>
      <c r="L110" s="438" t="str">
        <f t="shared" si="75"/>
        <v>-</v>
      </c>
      <c r="M110" s="437"/>
      <c r="N110" s="438" t="str">
        <f t="shared" si="76"/>
        <v>-</v>
      </c>
      <c r="O110" s="439">
        <f t="shared" si="77"/>
        <v>0</v>
      </c>
      <c r="P110" s="438" t="str">
        <f t="shared" si="78"/>
        <v>-</v>
      </c>
      <c r="Q110" s="436"/>
      <c r="R110" s="438" t="str">
        <f t="shared" si="79"/>
        <v>-</v>
      </c>
      <c r="S110" s="439">
        <f t="shared" si="80"/>
        <v>0</v>
      </c>
      <c r="T110" s="438" t="str">
        <f t="shared" si="81"/>
        <v>-</v>
      </c>
      <c r="U110" s="362">
        <f t="shared" si="82"/>
        <v>0</v>
      </c>
      <c r="V110" s="450">
        <f t="shared" si="83"/>
        <v>0</v>
      </c>
      <c r="W110" s="451" t="str">
        <f t="shared" si="84"/>
        <v>-</v>
      </c>
      <c r="X110" s="452">
        <f t="shared" si="85"/>
        <v>0</v>
      </c>
      <c r="Y110" s="364" t="s">
        <v>437</v>
      </c>
      <c r="Z110" s="364" t="s">
        <v>347</v>
      </c>
      <c r="AA110" s="365"/>
      <c r="AB110" s="365"/>
      <c r="AC110" s="365">
        <v>1</v>
      </c>
      <c r="AD110" s="440"/>
      <c r="AE110" s="447" t="s">
        <v>458</v>
      </c>
      <c r="AF110" s="370">
        <f t="shared" ref="AF110:AM110" si="88">AF29+AF51+AF73+AF95</f>
        <v>80</v>
      </c>
      <c r="AG110" s="370">
        <f t="shared" si="88"/>
        <v>42</v>
      </c>
      <c r="AH110" s="370">
        <f t="shared" si="88"/>
        <v>0</v>
      </c>
      <c r="AI110" s="370">
        <f t="shared" si="88"/>
        <v>19</v>
      </c>
      <c r="AJ110" s="370">
        <f t="shared" si="88"/>
        <v>0</v>
      </c>
      <c r="AK110" s="370">
        <f t="shared" si="88"/>
        <v>6</v>
      </c>
      <c r="AL110" s="370">
        <f t="shared" si="88"/>
        <v>13</v>
      </c>
      <c r="AM110" s="370">
        <f t="shared" si="88"/>
        <v>0</v>
      </c>
    </row>
    <row r="111" spans="2:39" s="147" customFormat="1" ht="27" customHeight="1">
      <c r="B111" s="538"/>
      <c r="C111" s="539"/>
      <c r="D111" s="360">
        <v>19</v>
      </c>
      <c r="E111" s="434"/>
      <c r="F111" s="435">
        <f t="shared" si="73"/>
        <v>0</v>
      </c>
      <c r="G111" s="363"/>
      <c r="H111" s="436"/>
      <c r="I111" s="436"/>
      <c r="J111" s="438" t="str">
        <f t="shared" si="74"/>
        <v>-</v>
      </c>
      <c r="K111" s="437"/>
      <c r="L111" s="438" t="str">
        <f t="shared" si="75"/>
        <v>-</v>
      </c>
      <c r="M111" s="437"/>
      <c r="N111" s="438" t="str">
        <f t="shared" si="76"/>
        <v>-</v>
      </c>
      <c r="O111" s="439">
        <f t="shared" si="77"/>
        <v>0</v>
      </c>
      <c r="P111" s="438" t="str">
        <f t="shared" si="78"/>
        <v>-</v>
      </c>
      <c r="Q111" s="436"/>
      <c r="R111" s="438" t="str">
        <f t="shared" si="79"/>
        <v>-</v>
      </c>
      <c r="S111" s="439">
        <f t="shared" si="80"/>
        <v>0</v>
      </c>
      <c r="T111" s="438" t="str">
        <f t="shared" si="81"/>
        <v>-</v>
      </c>
      <c r="U111" s="362">
        <f t="shared" si="82"/>
        <v>0</v>
      </c>
      <c r="V111" s="450">
        <f t="shared" si="83"/>
        <v>0</v>
      </c>
      <c r="W111" s="451" t="str">
        <f t="shared" si="84"/>
        <v>-</v>
      </c>
      <c r="X111" s="452">
        <f t="shared" si="85"/>
        <v>0</v>
      </c>
      <c r="Y111" s="364" t="s">
        <v>437</v>
      </c>
      <c r="Z111" s="364" t="s">
        <v>440</v>
      </c>
      <c r="AA111" s="365"/>
      <c r="AB111" s="365"/>
      <c r="AC111" s="365">
        <v>1</v>
      </c>
      <c r="AD111" s="440"/>
      <c r="AF111" s="371"/>
      <c r="AG111" s="370">
        <f>AG30+AG52+AG74+AG96</f>
        <v>0</v>
      </c>
      <c r="AH111" s="370">
        <f t="shared" ref="AH111:AM111" si="89">AH30+AH52+AH74+AH96</f>
        <v>0</v>
      </c>
      <c r="AI111" s="370">
        <f t="shared" si="89"/>
        <v>0</v>
      </c>
      <c r="AJ111" s="370">
        <f t="shared" si="89"/>
        <v>0</v>
      </c>
      <c r="AK111" s="370">
        <f t="shared" si="89"/>
        <v>0</v>
      </c>
      <c r="AL111" s="370">
        <f t="shared" si="89"/>
        <v>0</v>
      </c>
      <c r="AM111" s="370">
        <f t="shared" si="89"/>
        <v>0</v>
      </c>
    </row>
    <row r="112" spans="2:39" s="147" customFormat="1" ht="27" customHeight="1">
      <c r="B112" s="540"/>
      <c r="C112" s="541"/>
      <c r="D112" s="360">
        <v>20</v>
      </c>
      <c r="E112" s="434"/>
      <c r="F112" s="435">
        <f t="shared" si="73"/>
        <v>0</v>
      </c>
      <c r="G112" s="363"/>
      <c r="H112" s="436"/>
      <c r="I112" s="436"/>
      <c r="J112" s="438" t="str">
        <f t="shared" si="74"/>
        <v>-</v>
      </c>
      <c r="K112" s="437"/>
      <c r="L112" s="438" t="str">
        <f t="shared" si="75"/>
        <v>-</v>
      </c>
      <c r="M112" s="437"/>
      <c r="N112" s="438" t="str">
        <f t="shared" si="76"/>
        <v>-</v>
      </c>
      <c r="O112" s="439">
        <f t="shared" si="77"/>
        <v>0</v>
      </c>
      <c r="P112" s="438" t="str">
        <f t="shared" si="78"/>
        <v>-</v>
      </c>
      <c r="Q112" s="436"/>
      <c r="R112" s="438" t="str">
        <f t="shared" si="79"/>
        <v>-</v>
      </c>
      <c r="S112" s="439">
        <f t="shared" si="80"/>
        <v>0</v>
      </c>
      <c r="T112" s="438" t="str">
        <f t="shared" si="81"/>
        <v>-</v>
      </c>
      <c r="U112" s="362">
        <f t="shared" si="82"/>
        <v>0</v>
      </c>
      <c r="V112" s="450">
        <f t="shared" si="83"/>
        <v>0</v>
      </c>
      <c r="W112" s="451" t="str">
        <f t="shared" si="84"/>
        <v>-</v>
      </c>
      <c r="X112" s="452">
        <f t="shared" si="85"/>
        <v>0</v>
      </c>
      <c r="Y112" s="364" t="s">
        <v>437</v>
      </c>
      <c r="Z112" s="364" t="s">
        <v>440</v>
      </c>
      <c r="AA112" s="365"/>
      <c r="AB112" s="365"/>
      <c r="AC112" s="365">
        <v>1</v>
      </c>
      <c r="AD112" s="440"/>
      <c r="AF112" s="360"/>
      <c r="AG112" s="441">
        <f>AG110/$AF110</f>
        <v>0.52500000000000002</v>
      </c>
      <c r="AH112" s="441">
        <f t="shared" ref="AH112:AM112" si="90">AH110/$AF110</f>
        <v>0</v>
      </c>
      <c r="AI112" s="441">
        <f t="shared" si="90"/>
        <v>0.23749999999999999</v>
      </c>
      <c r="AJ112" s="441">
        <f t="shared" si="90"/>
        <v>0</v>
      </c>
      <c r="AK112" s="441">
        <f t="shared" si="90"/>
        <v>7.4999999999999997E-2</v>
      </c>
      <c r="AL112" s="441">
        <f t="shared" si="90"/>
        <v>0.16250000000000001</v>
      </c>
      <c r="AM112" s="441">
        <f t="shared" si="90"/>
        <v>0</v>
      </c>
    </row>
    <row r="113" spans="2:39" ht="16.5" customHeight="1">
      <c r="B113" s="552" t="s">
        <v>415</v>
      </c>
      <c r="C113" s="553"/>
      <c r="D113" s="556" t="s">
        <v>416</v>
      </c>
      <c r="E113" s="557" t="s">
        <v>417</v>
      </c>
      <c r="F113" s="559" t="s">
        <v>418</v>
      </c>
      <c r="G113" s="525" t="s">
        <v>419</v>
      </c>
      <c r="H113" s="560" t="s">
        <v>420</v>
      </c>
      <c r="I113" s="542" t="s">
        <v>421</v>
      </c>
      <c r="J113" s="543"/>
      <c r="K113" s="542" t="s">
        <v>422</v>
      </c>
      <c r="L113" s="543"/>
      <c r="M113" s="542" t="s">
        <v>423</v>
      </c>
      <c r="N113" s="543"/>
      <c r="O113" s="542" t="s">
        <v>424</v>
      </c>
      <c r="P113" s="543"/>
      <c r="Q113" s="542" t="s">
        <v>375</v>
      </c>
      <c r="R113" s="543"/>
      <c r="S113" s="545" t="s">
        <v>377</v>
      </c>
      <c r="T113" s="546"/>
      <c r="U113" s="921"/>
      <c r="V113" s="547" t="s">
        <v>425</v>
      </c>
      <c r="W113" s="548"/>
      <c r="X113" s="549"/>
      <c r="Y113" s="550" t="s">
        <v>426</v>
      </c>
      <c r="Z113" s="550" t="s">
        <v>427</v>
      </c>
      <c r="AA113" s="550" t="s">
        <v>428</v>
      </c>
      <c r="AB113" s="550" t="s">
        <v>429</v>
      </c>
      <c r="AC113" s="550" t="s">
        <v>430</v>
      </c>
      <c r="AD113" s="525" t="s">
        <v>431</v>
      </c>
      <c r="AF113" s="527" t="s">
        <v>432</v>
      </c>
      <c r="AG113" s="528"/>
      <c r="AH113" s="528"/>
      <c r="AI113" s="528"/>
      <c r="AJ113" s="528"/>
      <c r="AK113" s="528"/>
      <c r="AL113" s="528"/>
      <c r="AM113" s="529"/>
    </row>
    <row r="114" spans="2:39" ht="16.5" customHeight="1">
      <c r="B114" s="554"/>
      <c r="C114" s="555"/>
      <c r="D114" s="556"/>
      <c r="E114" s="556"/>
      <c r="F114" s="559"/>
      <c r="G114" s="526"/>
      <c r="H114" s="526"/>
      <c r="I114" s="433" t="s">
        <v>433</v>
      </c>
      <c r="J114" s="361" t="s">
        <v>434</v>
      </c>
      <c r="K114" s="433" t="s">
        <v>433</v>
      </c>
      <c r="L114" s="361" t="s">
        <v>434</v>
      </c>
      <c r="M114" s="433" t="s">
        <v>433</v>
      </c>
      <c r="N114" s="361" t="s">
        <v>434</v>
      </c>
      <c r="O114" s="433" t="s">
        <v>433</v>
      </c>
      <c r="P114" s="361" t="s">
        <v>434</v>
      </c>
      <c r="Q114" s="433" t="s">
        <v>433</v>
      </c>
      <c r="R114" s="361" t="s">
        <v>434</v>
      </c>
      <c r="S114" s="433" t="s">
        <v>433</v>
      </c>
      <c r="T114" s="361" t="s">
        <v>434</v>
      </c>
      <c r="U114" s="361" t="s">
        <v>435</v>
      </c>
      <c r="V114" s="433" t="s">
        <v>433</v>
      </c>
      <c r="W114" s="361" t="s">
        <v>434</v>
      </c>
      <c r="X114" s="361" t="s">
        <v>435</v>
      </c>
      <c r="Y114" s="551"/>
      <c r="Z114" s="551"/>
      <c r="AA114" s="551"/>
      <c r="AB114" s="551"/>
      <c r="AC114" s="551"/>
      <c r="AD114" s="526"/>
      <c r="AF114" s="530"/>
      <c r="AG114" s="531"/>
      <c r="AH114" s="531"/>
      <c r="AI114" s="531"/>
      <c r="AJ114" s="531"/>
      <c r="AK114" s="531"/>
      <c r="AL114" s="531"/>
      <c r="AM114" s="532"/>
    </row>
    <row r="115" spans="2:39" s="147" customFormat="1" ht="27" customHeight="1">
      <c r="B115" s="536" t="s">
        <v>459</v>
      </c>
      <c r="C115" s="537"/>
      <c r="D115" s="360">
        <v>1</v>
      </c>
      <c r="E115" s="434"/>
      <c r="F115" s="435">
        <f>IFERROR(Q115*G115,"-")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39">
        <f>IFERROR(O115-H115,"-")</f>
        <v>0</v>
      </c>
      <c r="T115" s="438" t="str">
        <f>IFERROR(S115/H115,"-")</f>
        <v>-</v>
      </c>
      <c r="U115" s="362">
        <f>IFERROR(S115*G115,"-")</f>
        <v>0</v>
      </c>
      <c r="V115" s="450">
        <f>S115-Q115</f>
        <v>0</v>
      </c>
      <c r="W115" s="451" t="str">
        <f>IFERROR(V115/H115,"-")</f>
        <v>-</v>
      </c>
      <c r="X115" s="452">
        <f>IFERROR(V115*G115,"-")</f>
        <v>0</v>
      </c>
      <c r="Y115" s="364" t="s">
        <v>437</v>
      </c>
      <c r="Z115" s="364" t="s">
        <v>352</v>
      </c>
      <c r="AA115" s="365"/>
      <c r="AB115" s="365"/>
      <c r="AC115" s="365">
        <v>1</v>
      </c>
      <c r="AD115" s="440"/>
      <c r="AF115" s="533"/>
      <c r="AG115" s="534"/>
      <c r="AH115" s="534"/>
      <c r="AI115" s="534"/>
      <c r="AJ115" s="534"/>
      <c r="AK115" s="534"/>
      <c r="AL115" s="534"/>
      <c r="AM115" s="535"/>
    </row>
    <row r="116" spans="2:39" s="147" customFormat="1" ht="27" customHeight="1">
      <c r="B116" s="538"/>
      <c r="C116" s="539"/>
      <c r="D116" s="360">
        <v>2</v>
      </c>
      <c r="E116" s="434"/>
      <c r="F116" s="435">
        <f t="shared" ref="F116:F134" si="91">IFERROR(Q116*G116,"-")</f>
        <v>0</v>
      </c>
      <c r="G116" s="363"/>
      <c r="H116" s="436"/>
      <c r="I116" s="436"/>
      <c r="J116" s="438" t="str">
        <f t="shared" ref="J116:J134" si="92">IFERROR(I116/H116,"-")</f>
        <v>-</v>
      </c>
      <c r="K116" s="437"/>
      <c r="L116" s="438" t="str">
        <f t="shared" ref="L116:L134" si="93">IFERROR(K116/H116,"-")</f>
        <v>-</v>
      </c>
      <c r="M116" s="437"/>
      <c r="N116" s="438" t="str">
        <f t="shared" ref="N116:N134" si="94">IFERROR(M116/H116,"-")</f>
        <v>-</v>
      </c>
      <c r="O116" s="439">
        <f t="shared" ref="O116:O134" si="95">IFERROR(K116+M116,"-")</f>
        <v>0</v>
      </c>
      <c r="P116" s="438" t="str">
        <f t="shared" ref="P116:P134" si="96">IFERROR(O116/H116,"-")</f>
        <v>-</v>
      </c>
      <c r="Q116" s="436"/>
      <c r="R116" s="438" t="str">
        <f t="shared" ref="R116:R134" si="97">IFERROR(Q116/H116,"-")</f>
        <v>-</v>
      </c>
      <c r="S116" s="439">
        <f t="shared" ref="S116:S134" si="98">IFERROR(O116-H116,"-")</f>
        <v>0</v>
      </c>
      <c r="T116" s="438" t="str">
        <f t="shared" ref="T116:T134" si="99">IFERROR(S116/H116,"-")</f>
        <v>-</v>
      </c>
      <c r="U116" s="362">
        <f t="shared" ref="U116:U134" si="100">IFERROR(S116*G116,"-")</f>
        <v>0</v>
      </c>
      <c r="V116" s="450">
        <f t="shared" ref="V116:V134" si="101">S116-Q116</f>
        <v>0</v>
      </c>
      <c r="W116" s="451" t="str">
        <f t="shared" ref="W116:W134" si="102">IFERROR(V116/H116,"-")</f>
        <v>-</v>
      </c>
      <c r="X116" s="452">
        <f t="shared" ref="X116:X134" si="103">IFERROR(V116*G116,"-")</f>
        <v>0</v>
      </c>
      <c r="Y116" s="364" t="s">
        <v>437</v>
      </c>
      <c r="Z116" s="364" t="s">
        <v>438</v>
      </c>
      <c r="AA116" s="365"/>
      <c r="AB116" s="365"/>
      <c r="AC116" s="365">
        <v>1</v>
      </c>
      <c r="AD116" s="440"/>
      <c r="AF116" s="160" t="s">
        <v>439</v>
      </c>
      <c r="AG116" s="160" t="s">
        <v>440</v>
      </c>
      <c r="AH116" s="155" t="s">
        <v>441</v>
      </c>
      <c r="AI116" s="155" t="s">
        <v>438</v>
      </c>
      <c r="AJ116" s="155" t="s">
        <v>312</v>
      </c>
      <c r="AK116" s="155" t="s">
        <v>347</v>
      </c>
      <c r="AL116" s="155" t="s">
        <v>352</v>
      </c>
      <c r="AM116" s="155" t="s">
        <v>442</v>
      </c>
    </row>
    <row r="117" spans="2:39" s="147" customFormat="1" ht="27" customHeight="1">
      <c r="B117" s="538"/>
      <c r="C117" s="539"/>
      <c r="D117" s="360">
        <v>3</v>
      </c>
      <c r="E117" s="434"/>
      <c r="F117" s="435">
        <f t="shared" si="91"/>
        <v>0</v>
      </c>
      <c r="G117" s="363"/>
      <c r="H117" s="436"/>
      <c r="I117" s="436"/>
      <c r="J117" s="438" t="str">
        <f t="shared" si="92"/>
        <v>-</v>
      </c>
      <c r="K117" s="437"/>
      <c r="L117" s="438" t="str">
        <f t="shared" si="93"/>
        <v>-</v>
      </c>
      <c r="M117" s="437"/>
      <c r="N117" s="438" t="str">
        <f t="shared" si="94"/>
        <v>-</v>
      </c>
      <c r="O117" s="439">
        <f t="shared" si="95"/>
        <v>0</v>
      </c>
      <c r="P117" s="438" t="str">
        <f t="shared" si="96"/>
        <v>-</v>
      </c>
      <c r="Q117" s="436"/>
      <c r="R117" s="438" t="str">
        <f t="shared" si="97"/>
        <v>-</v>
      </c>
      <c r="S117" s="439">
        <f t="shared" si="98"/>
        <v>0</v>
      </c>
      <c r="T117" s="438" t="str">
        <f t="shared" si="99"/>
        <v>-</v>
      </c>
      <c r="U117" s="362">
        <f t="shared" si="100"/>
        <v>0</v>
      </c>
      <c r="V117" s="450">
        <f t="shared" si="101"/>
        <v>0</v>
      </c>
      <c r="W117" s="451" t="str">
        <f t="shared" si="102"/>
        <v>-</v>
      </c>
      <c r="X117" s="452">
        <f t="shared" si="103"/>
        <v>0</v>
      </c>
      <c r="Y117" s="364" t="s">
        <v>437</v>
      </c>
      <c r="Z117" s="364" t="s">
        <v>438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12</v>
      </c>
      <c r="AH117" s="366">
        <f t="shared" ref="AH117:AM117" si="104">SUMIF($Z$93:$Z$112,TRIM(AH116),$AC$93:$AC$112)</f>
        <v>0</v>
      </c>
      <c r="AI117" s="366">
        <f t="shared" si="104"/>
        <v>4</v>
      </c>
      <c r="AJ117" s="366">
        <f t="shared" si="104"/>
        <v>0</v>
      </c>
      <c r="AK117" s="366">
        <f t="shared" si="104"/>
        <v>2</v>
      </c>
      <c r="AL117" s="366">
        <f t="shared" si="104"/>
        <v>2</v>
      </c>
      <c r="AM117" s="366">
        <f t="shared" si="104"/>
        <v>0</v>
      </c>
    </row>
    <row r="118" spans="2:39" s="147" customFormat="1" ht="27" customHeight="1">
      <c r="B118" s="538"/>
      <c r="C118" s="539"/>
      <c r="D118" s="360">
        <v>4</v>
      </c>
      <c r="E118" s="434"/>
      <c r="F118" s="435">
        <f t="shared" si="91"/>
        <v>0</v>
      </c>
      <c r="G118" s="363"/>
      <c r="H118" s="436"/>
      <c r="I118" s="436"/>
      <c r="J118" s="438" t="str">
        <f t="shared" si="92"/>
        <v>-</v>
      </c>
      <c r="K118" s="437"/>
      <c r="L118" s="438" t="str">
        <f t="shared" si="93"/>
        <v>-</v>
      </c>
      <c r="M118" s="437"/>
      <c r="N118" s="438" t="str">
        <f t="shared" si="94"/>
        <v>-</v>
      </c>
      <c r="O118" s="439">
        <f t="shared" si="95"/>
        <v>0</v>
      </c>
      <c r="P118" s="438" t="str">
        <f t="shared" si="96"/>
        <v>-</v>
      </c>
      <c r="Q118" s="436"/>
      <c r="R118" s="438" t="str">
        <f t="shared" si="97"/>
        <v>-</v>
      </c>
      <c r="S118" s="439">
        <f t="shared" si="98"/>
        <v>0</v>
      </c>
      <c r="T118" s="438" t="str">
        <f t="shared" si="99"/>
        <v>-</v>
      </c>
      <c r="U118" s="362">
        <f t="shared" si="100"/>
        <v>0</v>
      </c>
      <c r="V118" s="450">
        <f t="shared" si="101"/>
        <v>0</v>
      </c>
      <c r="W118" s="451" t="str">
        <f t="shared" si="102"/>
        <v>-</v>
      </c>
      <c r="X118" s="452">
        <f t="shared" si="103"/>
        <v>0</v>
      </c>
      <c r="Y118" s="364" t="s">
        <v>437</v>
      </c>
      <c r="Z118" s="364" t="s">
        <v>347</v>
      </c>
      <c r="AA118" s="365"/>
      <c r="AB118" s="365"/>
      <c r="AC118" s="365">
        <v>1</v>
      </c>
      <c r="AD118" s="440"/>
      <c r="AF118" s="371" t="s">
        <v>303</v>
      </c>
      <c r="AG118" s="368">
        <f ca="1">SUMIF($Z$93:$Z134,TRIM(AG116),$F$93:$F$112)</f>
        <v>0</v>
      </c>
      <c r="AH118" s="368">
        <f ca="1">SUMIF($Z$93:$Z134,TRIM(AH116),$F$93:$F$112)</f>
        <v>0</v>
      </c>
      <c r="AI118" s="368">
        <f ca="1">SUMIF($Z$93:$Z134,TRIM(AI116),$F$93:$F$112)</f>
        <v>0</v>
      </c>
      <c r="AJ118" s="368">
        <f ca="1">SUMIF($Z$93:$Z134,TRIM(AJ116),$F$93:$F$112)</f>
        <v>0</v>
      </c>
      <c r="AK118" s="368">
        <f ca="1">SUMIF($Z$93:$Z134,TRIM(AK116),$F$93:$F$112)</f>
        <v>0</v>
      </c>
      <c r="AL118" s="368">
        <f ca="1">SUMIF($Z$93:$Z134,TRIM(AL116),$F$93:$F$112)</f>
        <v>0</v>
      </c>
      <c r="AM118" s="368">
        <f ca="1">SUMIF($Z$93:$Z134,TRIM(AM116),$F$93:$F$112)</f>
        <v>0</v>
      </c>
    </row>
    <row r="119" spans="2:39" s="147" customFormat="1" ht="27" customHeight="1">
      <c r="B119" s="538"/>
      <c r="C119" s="539"/>
      <c r="D119" s="360">
        <v>5</v>
      </c>
      <c r="E119" s="434"/>
      <c r="F119" s="435">
        <f t="shared" si="91"/>
        <v>0</v>
      </c>
      <c r="G119" s="363"/>
      <c r="H119" s="436"/>
      <c r="I119" s="436"/>
      <c r="J119" s="438" t="str">
        <f t="shared" si="92"/>
        <v>-</v>
      </c>
      <c r="K119" s="437"/>
      <c r="L119" s="438" t="str">
        <f t="shared" si="93"/>
        <v>-</v>
      </c>
      <c r="M119" s="437"/>
      <c r="N119" s="438" t="str">
        <f t="shared" si="94"/>
        <v>-</v>
      </c>
      <c r="O119" s="439">
        <f t="shared" si="95"/>
        <v>0</v>
      </c>
      <c r="P119" s="438" t="str">
        <f t="shared" si="96"/>
        <v>-</v>
      </c>
      <c r="Q119" s="436"/>
      <c r="R119" s="438" t="str">
        <f t="shared" si="97"/>
        <v>-</v>
      </c>
      <c r="S119" s="439">
        <f t="shared" si="98"/>
        <v>0</v>
      </c>
      <c r="T119" s="438" t="str">
        <f t="shared" si="99"/>
        <v>-</v>
      </c>
      <c r="U119" s="362">
        <f t="shared" si="100"/>
        <v>0</v>
      </c>
      <c r="V119" s="450">
        <f t="shared" si="101"/>
        <v>0</v>
      </c>
      <c r="W119" s="451" t="str">
        <f t="shared" si="102"/>
        <v>-</v>
      </c>
      <c r="X119" s="452">
        <f t="shared" si="103"/>
        <v>0</v>
      </c>
      <c r="Y119" s="364" t="s">
        <v>437</v>
      </c>
      <c r="Z119" s="364" t="s">
        <v>438</v>
      </c>
      <c r="AA119" s="365"/>
      <c r="AB119" s="365"/>
      <c r="AC119" s="365">
        <v>1</v>
      </c>
      <c r="AD119" s="440"/>
      <c r="AF119" s="360" t="s">
        <v>443</v>
      </c>
      <c r="AG119" s="441">
        <f>AG117/$AF117</f>
        <v>0.6</v>
      </c>
      <c r="AH119" s="441">
        <f t="shared" ref="AH119:AM119" si="105">AH117/$AF117</f>
        <v>0</v>
      </c>
      <c r="AI119" s="441">
        <f t="shared" si="105"/>
        <v>0.2</v>
      </c>
      <c r="AJ119" s="441">
        <f t="shared" si="105"/>
        <v>0</v>
      </c>
      <c r="AK119" s="441">
        <f t="shared" si="105"/>
        <v>0.1</v>
      </c>
      <c r="AL119" s="441">
        <f t="shared" si="105"/>
        <v>0.1</v>
      </c>
      <c r="AM119" s="441">
        <f t="shared" si="105"/>
        <v>0</v>
      </c>
    </row>
    <row r="120" spans="2:39" s="147" customFormat="1" ht="27" customHeight="1">
      <c r="B120" s="538"/>
      <c r="C120" s="539"/>
      <c r="D120" s="360">
        <v>6</v>
      </c>
      <c r="E120" s="434"/>
      <c r="F120" s="435">
        <f t="shared" si="91"/>
        <v>0</v>
      </c>
      <c r="G120" s="363"/>
      <c r="H120" s="436"/>
      <c r="I120" s="436"/>
      <c r="J120" s="438" t="str">
        <f t="shared" si="92"/>
        <v>-</v>
      </c>
      <c r="K120" s="437"/>
      <c r="L120" s="438" t="str">
        <f t="shared" si="93"/>
        <v>-</v>
      </c>
      <c r="M120" s="437"/>
      <c r="N120" s="438" t="str">
        <f t="shared" si="94"/>
        <v>-</v>
      </c>
      <c r="O120" s="439">
        <f t="shared" si="95"/>
        <v>0</v>
      </c>
      <c r="P120" s="438" t="str">
        <f t="shared" si="96"/>
        <v>-</v>
      </c>
      <c r="Q120" s="436"/>
      <c r="R120" s="438" t="str">
        <f t="shared" si="97"/>
        <v>-</v>
      </c>
      <c r="S120" s="439">
        <f t="shared" si="98"/>
        <v>0</v>
      </c>
      <c r="T120" s="438" t="str">
        <f t="shared" si="99"/>
        <v>-</v>
      </c>
      <c r="U120" s="362">
        <f t="shared" si="100"/>
        <v>0</v>
      </c>
      <c r="V120" s="450">
        <f t="shared" si="101"/>
        <v>0</v>
      </c>
      <c r="W120" s="451" t="str">
        <f t="shared" si="102"/>
        <v>-</v>
      </c>
      <c r="X120" s="452">
        <f t="shared" si="103"/>
        <v>0</v>
      </c>
      <c r="Y120" s="364" t="s">
        <v>437</v>
      </c>
      <c r="Z120" s="364" t="s">
        <v>438</v>
      </c>
      <c r="AA120" s="365"/>
      <c r="AB120" s="365"/>
      <c r="AC120" s="365">
        <v>1</v>
      </c>
      <c r="AD120" s="440"/>
    </row>
    <row r="121" spans="2:39" s="147" customFormat="1" ht="27" customHeight="1">
      <c r="B121" s="538"/>
      <c r="C121" s="539"/>
      <c r="D121" s="360">
        <v>7</v>
      </c>
      <c r="E121" s="434"/>
      <c r="F121" s="435">
        <f t="shared" si="91"/>
        <v>0</v>
      </c>
      <c r="G121" s="363"/>
      <c r="H121" s="436"/>
      <c r="I121" s="436"/>
      <c r="J121" s="438" t="str">
        <f t="shared" si="92"/>
        <v>-</v>
      </c>
      <c r="K121" s="437"/>
      <c r="L121" s="438" t="str">
        <f t="shared" si="93"/>
        <v>-</v>
      </c>
      <c r="M121" s="437"/>
      <c r="N121" s="438" t="str">
        <f t="shared" si="94"/>
        <v>-</v>
      </c>
      <c r="O121" s="439">
        <f t="shared" si="95"/>
        <v>0</v>
      </c>
      <c r="P121" s="438" t="str">
        <f t="shared" si="96"/>
        <v>-</v>
      </c>
      <c r="Q121" s="436"/>
      <c r="R121" s="438" t="str">
        <f t="shared" si="97"/>
        <v>-</v>
      </c>
      <c r="S121" s="439">
        <f t="shared" si="98"/>
        <v>0</v>
      </c>
      <c r="T121" s="438" t="str">
        <f t="shared" si="99"/>
        <v>-</v>
      </c>
      <c r="U121" s="362">
        <f t="shared" si="100"/>
        <v>0</v>
      </c>
      <c r="V121" s="450">
        <f t="shared" si="101"/>
        <v>0</v>
      </c>
      <c r="W121" s="451" t="str">
        <f t="shared" si="102"/>
        <v>-</v>
      </c>
      <c r="X121" s="452">
        <f t="shared" si="103"/>
        <v>0</v>
      </c>
      <c r="Y121" s="364" t="s">
        <v>437</v>
      </c>
      <c r="Z121" s="364" t="s">
        <v>440</v>
      </c>
      <c r="AA121" s="365"/>
      <c r="AB121" s="365"/>
      <c r="AC121" s="365">
        <v>1</v>
      </c>
      <c r="AD121" s="440"/>
    </row>
    <row r="122" spans="2:39" s="147" customFormat="1" ht="27" customHeight="1">
      <c r="B122" s="538"/>
      <c r="C122" s="539"/>
      <c r="D122" s="360">
        <v>8</v>
      </c>
      <c r="E122" s="434"/>
      <c r="F122" s="435">
        <f t="shared" si="91"/>
        <v>0</v>
      </c>
      <c r="G122" s="363"/>
      <c r="H122" s="436"/>
      <c r="I122" s="436"/>
      <c r="J122" s="438" t="str">
        <f t="shared" si="92"/>
        <v>-</v>
      </c>
      <c r="K122" s="437"/>
      <c r="L122" s="438" t="str">
        <f t="shared" si="93"/>
        <v>-</v>
      </c>
      <c r="M122" s="437"/>
      <c r="N122" s="438" t="str">
        <f t="shared" si="94"/>
        <v>-</v>
      </c>
      <c r="O122" s="439">
        <f t="shared" si="95"/>
        <v>0</v>
      </c>
      <c r="P122" s="438" t="str">
        <f t="shared" si="96"/>
        <v>-</v>
      </c>
      <c r="Q122" s="436"/>
      <c r="R122" s="438" t="str">
        <f t="shared" si="97"/>
        <v>-</v>
      </c>
      <c r="S122" s="439">
        <f t="shared" si="98"/>
        <v>0</v>
      </c>
      <c r="T122" s="438" t="str">
        <f t="shared" si="99"/>
        <v>-</v>
      </c>
      <c r="U122" s="362">
        <f t="shared" si="100"/>
        <v>0</v>
      </c>
      <c r="V122" s="450">
        <f t="shared" si="101"/>
        <v>0</v>
      </c>
      <c r="W122" s="451" t="str">
        <f t="shared" si="102"/>
        <v>-</v>
      </c>
      <c r="X122" s="452">
        <f t="shared" si="103"/>
        <v>0</v>
      </c>
      <c r="Y122" s="364" t="s">
        <v>437</v>
      </c>
      <c r="Z122" s="364" t="s">
        <v>352</v>
      </c>
      <c r="AA122" s="365"/>
      <c r="AB122" s="365"/>
      <c r="AC122" s="365">
        <v>1</v>
      </c>
      <c r="AD122" s="440"/>
    </row>
    <row r="123" spans="2:39" s="147" customFormat="1" ht="27" customHeight="1">
      <c r="B123" s="538"/>
      <c r="C123" s="539"/>
      <c r="D123" s="360">
        <v>9</v>
      </c>
      <c r="E123" s="434"/>
      <c r="F123" s="435">
        <f t="shared" si="91"/>
        <v>0</v>
      </c>
      <c r="G123" s="363"/>
      <c r="H123" s="436"/>
      <c r="I123" s="436"/>
      <c r="J123" s="438" t="str">
        <f t="shared" si="92"/>
        <v>-</v>
      </c>
      <c r="K123" s="437"/>
      <c r="L123" s="438" t="str">
        <f t="shared" si="93"/>
        <v>-</v>
      </c>
      <c r="M123" s="437"/>
      <c r="N123" s="438" t="str">
        <f t="shared" si="94"/>
        <v>-</v>
      </c>
      <c r="O123" s="439">
        <f t="shared" si="95"/>
        <v>0</v>
      </c>
      <c r="P123" s="438" t="str">
        <f t="shared" si="96"/>
        <v>-</v>
      </c>
      <c r="Q123" s="436"/>
      <c r="R123" s="438" t="str">
        <f t="shared" si="97"/>
        <v>-</v>
      </c>
      <c r="S123" s="439">
        <f t="shared" si="98"/>
        <v>0</v>
      </c>
      <c r="T123" s="438" t="str">
        <f t="shared" si="99"/>
        <v>-</v>
      </c>
      <c r="U123" s="362">
        <f t="shared" si="100"/>
        <v>0</v>
      </c>
      <c r="V123" s="450">
        <f t="shared" si="101"/>
        <v>0</v>
      </c>
      <c r="W123" s="451" t="str">
        <f t="shared" si="102"/>
        <v>-</v>
      </c>
      <c r="X123" s="452">
        <f t="shared" si="103"/>
        <v>0</v>
      </c>
      <c r="Y123" s="364" t="s">
        <v>437</v>
      </c>
      <c r="Z123" s="364" t="s">
        <v>440</v>
      </c>
      <c r="AA123" s="365"/>
      <c r="AB123" s="376"/>
      <c r="AC123" s="365">
        <v>1</v>
      </c>
      <c r="AD123" s="440"/>
      <c r="AH123" s="367"/>
    </row>
    <row r="124" spans="2:39" s="147" customFormat="1" ht="27" customHeight="1">
      <c r="B124" s="538"/>
      <c r="C124" s="539"/>
      <c r="D124" s="360">
        <v>10</v>
      </c>
      <c r="E124" s="434"/>
      <c r="F124" s="435">
        <f t="shared" si="91"/>
        <v>0</v>
      </c>
      <c r="G124" s="363"/>
      <c r="H124" s="436"/>
      <c r="I124" s="436"/>
      <c r="J124" s="438" t="str">
        <f t="shared" si="92"/>
        <v>-</v>
      </c>
      <c r="K124" s="437"/>
      <c r="L124" s="438" t="str">
        <f t="shared" si="93"/>
        <v>-</v>
      </c>
      <c r="M124" s="437"/>
      <c r="N124" s="438" t="str">
        <f t="shared" si="94"/>
        <v>-</v>
      </c>
      <c r="O124" s="439">
        <f t="shared" si="95"/>
        <v>0</v>
      </c>
      <c r="P124" s="438" t="str">
        <f t="shared" si="96"/>
        <v>-</v>
      </c>
      <c r="Q124" s="436"/>
      <c r="R124" s="438" t="str">
        <f t="shared" si="97"/>
        <v>-</v>
      </c>
      <c r="S124" s="439">
        <f t="shared" si="98"/>
        <v>0</v>
      </c>
      <c r="T124" s="438" t="str">
        <f t="shared" si="99"/>
        <v>-</v>
      </c>
      <c r="U124" s="362">
        <f t="shared" si="100"/>
        <v>0</v>
      </c>
      <c r="V124" s="450">
        <f t="shared" si="101"/>
        <v>0</v>
      </c>
      <c r="W124" s="451" t="str">
        <f t="shared" si="102"/>
        <v>-</v>
      </c>
      <c r="X124" s="452">
        <f t="shared" si="103"/>
        <v>0</v>
      </c>
      <c r="Y124" s="364" t="s">
        <v>437</v>
      </c>
      <c r="Z124" s="364" t="s">
        <v>352</v>
      </c>
      <c r="AA124" s="365"/>
      <c r="AB124" s="365"/>
      <c r="AC124" s="365">
        <v>1</v>
      </c>
      <c r="AD124" s="440"/>
      <c r="AH124" s="367"/>
    </row>
    <row r="125" spans="2:39" s="147" customFormat="1" ht="27" customHeight="1">
      <c r="B125" s="538"/>
      <c r="C125" s="539"/>
      <c r="D125" s="360">
        <v>11</v>
      </c>
      <c r="E125" s="434"/>
      <c r="F125" s="435">
        <f t="shared" si="91"/>
        <v>0</v>
      </c>
      <c r="G125" s="363"/>
      <c r="H125" s="436"/>
      <c r="I125" s="436"/>
      <c r="J125" s="438" t="str">
        <f t="shared" si="92"/>
        <v>-</v>
      </c>
      <c r="K125" s="437"/>
      <c r="L125" s="438" t="str">
        <f t="shared" si="93"/>
        <v>-</v>
      </c>
      <c r="M125" s="437"/>
      <c r="N125" s="438" t="str">
        <f t="shared" si="94"/>
        <v>-</v>
      </c>
      <c r="O125" s="439">
        <f t="shared" si="95"/>
        <v>0</v>
      </c>
      <c r="P125" s="438" t="str">
        <f t="shared" si="96"/>
        <v>-</v>
      </c>
      <c r="Q125" s="436"/>
      <c r="R125" s="438" t="str">
        <f t="shared" si="97"/>
        <v>-</v>
      </c>
      <c r="S125" s="439">
        <f t="shared" si="98"/>
        <v>0</v>
      </c>
      <c r="T125" s="438" t="str">
        <f t="shared" si="99"/>
        <v>-</v>
      </c>
      <c r="U125" s="362">
        <f t="shared" si="100"/>
        <v>0</v>
      </c>
      <c r="V125" s="450">
        <f t="shared" si="101"/>
        <v>0</v>
      </c>
      <c r="W125" s="451" t="str">
        <f t="shared" si="102"/>
        <v>-</v>
      </c>
      <c r="X125" s="452">
        <f t="shared" si="103"/>
        <v>0</v>
      </c>
      <c r="Y125" s="364" t="s">
        <v>437</v>
      </c>
      <c r="Z125" s="364" t="s">
        <v>352</v>
      </c>
      <c r="AA125" s="365"/>
      <c r="AB125" s="365"/>
      <c r="AC125" s="365">
        <v>1</v>
      </c>
      <c r="AD125" s="440"/>
    </row>
    <row r="126" spans="2:39" s="147" customFormat="1" ht="26.25" customHeight="1">
      <c r="B126" s="538"/>
      <c r="C126" s="539"/>
      <c r="D126" s="360">
        <v>12</v>
      </c>
      <c r="E126" s="434"/>
      <c r="F126" s="435">
        <f t="shared" si="91"/>
        <v>0</v>
      </c>
      <c r="G126" s="363"/>
      <c r="H126" s="436"/>
      <c r="I126" s="436"/>
      <c r="J126" s="438" t="str">
        <f t="shared" si="92"/>
        <v>-</v>
      </c>
      <c r="K126" s="437"/>
      <c r="L126" s="438" t="str">
        <f t="shared" si="93"/>
        <v>-</v>
      </c>
      <c r="M126" s="437"/>
      <c r="N126" s="438" t="str">
        <f t="shared" si="94"/>
        <v>-</v>
      </c>
      <c r="O126" s="439">
        <f t="shared" si="95"/>
        <v>0</v>
      </c>
      <c r="P126" s="438" t="str">
        <f t="shared" si="96"/>
        <v>-</v>
      </c>
      <c r="Q126" s="436"/>
      <c r="R126" s="438" t="str">
        <f t="shared" si="97"/>
        <v>-</v>
      </c>
      <c r="S126" s="439">
        <f t="shared" si="98"/>
        <v>0</v>
      </c>
      <c r="T126" s="438" t="str">
        <f t="shared" si="99"/>
        <v>-</v>
      </c>
      <c r="U126" s="362">
        <f t="shared" si="100"/>
        <v>0</v>
      </c>
      <c r="V126" s="450">
        <f t="shared" si="101"/>
        <v>0</v>
      </c>
      <c r="W126" s="451" t="str">
        <f t="shared" si="102"/>
        <v>-</v>
      </c>
      <c r="X126" s="452">
        <f t="shared" si="103"/>
        <v>0</v>
      </c>
      <c r="Y126" s="364" t="s">
        <v>437</v>
      </c>
      <c r="Z126" s="364" t="s">
        <v>438</v>
      </c>
      <c r="AA126" s="365"/>
      <c r="AB126" s="365"/>
      <c r="AC126" s="365">
        <v>1</v>
      </c>
      <c r="AD126" s="440"/>
    </row>
    <row r="127" spans="2:39" s="147" customFormat="1" ht="27" customHeight="1">
      <c r="B127" s="538"/>
      <c r="C127" s="539"/>
      <c r="D127" s="360">
        <v>13</v>
      </c>
      <c r="E127" s="434"/>
      <c r="F127" s="435">
        <f t="shared" si="91"/>
        <v>0</v>
      </c>
      <c r="G127" s="363"/>
      <c r="H127" s="436"/>
      <c r="I127" s="436"/>
      <c r="J127" s="438" t="str">
        <f t="shared" si="92"/>
        <v>-</v>
      </c>
      <c r="K127" s="437"/>
      <c r="L127" s="438" t="str">
        <f t="shared" si="93"/>
        <v>-</v>
      </c>
      <c r="M127" s="437"/>
      <c r="N127" s="438" t="str">
        <f t="shared" si="94"/>
        <v>-</v>
      </c>
      <c r="O127" s="439">
        <f t="shared" si="95"/>
        <v>0</v>
      </c>
      <c r="P127" s="438" t="str">
        <f t="shared" si="96"/>
        <v>-</v>
      </c>
      <c r="Q127" s="436"/>
      <c r="R127" s="438" t="str">
        <f t="shared" si="97"/>
        <v>-</v>
      </c>
      <c r="S127" s="439">
        <f t="shared" si="98"/>
        <v>0</v>
      </c>
      <c r="T127" s="438" t="str">
        <f t="shared" si="99"/>
        <v>-</v>
      </c>
      <c r="U127" s="362">
        <f t="shared" si="100"/>
        <v>0</v>
      </c>
      <c r="V127" s="450">
        <f t="shared" si="101"/>
        <v>0</v>
      </c>
      <c r="W127" s="451" t="str">
        <f t="shared" si="102"/>
        <v>-</v>
      </c>
      <c r="X127" s="452">
        <f t="shared" si="103"/>
        <v>0</v>
      </c>
      <c r="Y127" s="364" t="s">
        <v>437</v>
      </c>
      <c r="Z127" s="364" t="s">
        <v>352</v>
      </c>
      <c r="AA127" s="365"/>
      <c r="AB127" s="365"/>
      <c r="AC127" s="365">
        <v>1</v>
      </c>
      <c r="AD127" s="440"/>
    </row>
    <row r="128" spans="2:39" s="147" customFormat="1" ht="27" customHeight="1">
      <c r="B128" s="538"/>
      <c r="C128" s="539"/>
      <c r="D128" s="360">
        <v>14</v>
      </c>
      <c r="E128" s="434"/>
      <c r="F128" s="435">
        <f t="shared" si="91"/>
        <v>0</v>
      </c>
      <c r="G128" s="363"/>
      <c r="H128" s="436"/>
      <c r="I128" s="436"/>
      <c r="J128" s="438" t="str">
        <f t="shared" si="92"/>
        <v>-</v>
      </c>
      <c r="K128" s="437"/>
      <c r="L128" s="438" t="str">
        <f t="shared" si="93"/>
        <v>-</v>
      </c>
      <c r="M128" s="437"/>
      <c r="N128" s="438" t="str">
        <f t="shared" si="94"/>
        <v>-</v>
      </c>
      <c r="O128" s="439">
        <f t="shared" si="95"/>
        <v>0</v>
      </c>
      <c r="P128" s="438" t="str">
        <f t="shared" si="96"/>
        <v>-</v>
      </c>
      <c r="Q128" s="436"/>
      <c r="R128" s="438" t="str">
        <f t="shared" si="97"/>
        <v>-</v>
      </c>
      <c r="S128" s="439">
        <f t="shared" si="98"/>
        <v>0</v>
      </c>
      <c r="T128" s="438" t="str">
        <f t="shared" si="99"/>
        <v>-</v>
      </c>
      <c r="U128" s="362">
        <f t="shared" si="100"/>
        <v>0</v>
      </c>
      <c r="V128" s="450">
        <f t="shared" si="101"/>
        <v>0</v>
      </c>
      <c r="W128" s="451" t="str">
        <f t="shared" si="102"/>
        <v>-</v>
      </c>
      <c r="X128" s="452">
        <f t="shared" si="103"/>
        <v>0</v>
      </c>
      <c r="Y128" s="364" t="s">
        <v>437</v>
      </c>
      <c r="Z128" s="364" t="s">
        <v>440</v>
      </c>
      <c r="AA128" s="364"/>
      <c r="AB128" s="365"/>
      <c r="AC128" s="365">
        <v>1</v>
      </c>
      <c r="AD128" s="440"/>
    </row>
    <row r="129" spans="2:30" s="147" customFormat="1" ht="27" customHeight="1">
      <c r="B129" s="538"/>
      <c r="C129" s="539"/>
      <c r="D129" s="360">
        <v>15</v>
      </c>
      <c r="E129" s="434"/>
      <c r="F129" s="435">
        <f t="shared" si="91"/>
        <v>0</v>
      </c>
      <c r="G129" s="363"/>
      <c r="H129" s="436"/>
      <c r="I129" s="436"/>
      <c r="J129" s="438" t="str">
        <f t="shared" si="92"/>
        <v>-</v>
      </c>
      <c r="K129" s="437"/>
      <c r="L129" s="438" t="str">
        <f t="shared" si="93"/>
        <v>-</v>
      </c>
      <c r="M129" s="437"/>
      <c r="N129" s="438" t="str">
        <f t="shared" si="94"/>
        <v>-</v>
      </c>
      <c r="O129" s="439">
        <f t="shared" si="95"/>
        <v>0</v>
      </c>
      <c r="P129" s="438" t="str">
        <f t="shared" si="96"/>
        <v>-</v>
      </c>
      <c r="Q129" s="436"/>
      <c r="R129" s="438" t="str">
        <f t="shared" si="97"/>
        <v>-</v>
      </c>
      <c r="S129" s="439">
        <f t="shared" si="98"/>
        <v>0</v>
      </c>
      <c r="T129" s="438" t="str">
        <f t="shared" si="99"/>
        <v>-</v>
      </c>
      <c r="U129" s="362">
        <f t="shared" si="100"/>
        <v>0</v>
      </c>
      <c r="V129" s="450">
        <f t="shared" si="101"/>
        <v>0</v>
      </c>
      <c r="W129" s="451" t="str">
        <f t="shared" si="102"/>
        <v>-</v>
      </c>
      <c r="X129" s="452">
        <f t="shared" si="103"/>
        <v>0</v>
      </c>
      <c r="Y129" s="364" t="s">
        <v>437</v>
      </c>
      <c r="Z129" s="364" t="s">
        <v>440</v>
      </c>
      <c r="AA129" s="365"/>
      <c r="AB129" s="365"/>
      <c r="AC129" s="365">
        <v>1</v>
      </c>
      <c r="AD129" s="440"/>
    </row>
    <row r="130" spans="2:30" s="147" customFormat="1" ht="27" customHeight="1">
      <c r="B130" s="538"/>
      <c r="C130" s="539"/>
      <c r="D130" s="360">
        <v>16</v>
      </c>
      <c r="E130" s="434"/>
      <c r="F130" s="435">
        <f t="shared" si="91"/>
        <v>0</v>
      </c>
      <c r="G130" s="363"/>
      <c r="H130" s="436"/>
      <c r="I130" s="436"/>
      <c r="J130" s="438" t="str">
        <f t="shared" si="92"/>
        <v>-</v>
      </c>
      <c r="K130" s="437"/>
      <c r="L130" s="438" t="str">
        <f t="shared" si="93"/>
        <v>-</v>
      </c>
      <c r="M130" s="437"/>
      <c r="N130" s="438" t="str">
        <f t="shared" si="94"/>
        <v>-</v>
      </c>
      <c r="O130" s="439">
        <f t="shared" si="95"/>
        <v>0</v>
      </c>
      <c r="P130" s="438" t="str">
        <f t="shared" si="96"/>
        <v>-</v>
      </c>
      <c r="Q130" s="436"/>
      <c r="R130" s="438" t="str">
        <f t="shared" si="97"/>
        <v>-</v>
      </c>
      <c r="S130" s="439">
        <f t="shared" si="98"/>
        <v>0</v>
      </c>
      <c r="T130" s="438" t="str">
        <f t="shared" si="99"/>
        <v>-</v>
      </c>
      <c r="U130" s="362">
        <f t="shared" si="100"/>
        <v>0</v>
      </c>
      <c r="V130" s="450">
        <f t="shared" si="101"/>
        <v>0</v>
      </c>
      <c r="W130" s="451" t="str">
        <f t="shared" si="102"/>
        <v>-</v>
      </c>
      <c r="X130" s="452">
        <f t="shared" si="103"/>
        <v>0</v>
      </c>
      <c r="Y130" s="364" t="s">
        <v>437</v>
      </c>
      <c r="Z130" s="364" t="s">
        <v>438</v>
      </c>
      <c r="AA130" s="376"/>
      <c r="AB130" s="365"/>
      <c r="AC130" s="365">
        <v>1</v>
      </c>
      <c r="AD130" s="440"/>
    </row>
    <row r="131" spans="2:30" s="147" customFormat="1" ht="27" customHeight="1">
      <c r="B131" s="538"/>
      <c r="C131" s="539"/>
      <c r="D131" s="360">
        <v>17</v>
      </c>
      <c r="E131" s="434"/>
      <c r="F131" s="435">
        <f t="shared" si="91"/>
        <v>0</v>
      </c>
      <c r="G131" s="363"/>
      <c r="H131" s="436"/>
      <c r="I131" s="436"/>
      <c r="J131" s="438" t="str">
        <f t="shared" si="92"/>
        <v>-</v>
      </c>
      <c r="K131" s="437"/>
      <c r="L131" s="438" t="str">
        <f t="shared" si="93"/>
        <v>-</v>
      </c>
      <c r="M131" s="437"/>
      <c r="N131" s="438" t="str">
        <f t="shared" si="94"/>
        <v>-</v>
      </c>
      <c r="O131" s="439">
        <f t="shared" si="95"/>
        <v>0</v>
      </c>
      <c r="P131" s="438" t="str">
        <f t="shared" si="96"/>
        <v>-</v>
      </c>
      <c r="Q131" s="436"/>
      <c r="R131" s="438" t="str">
        <f t="shared" si="97"/>
        <v>-</v>
      </c>
      <c r="S131" s="439">
        <f t="shared" si="98"/>
        <v>0</v>
      </c>
      <c r="T131" s="438" t="str">
        <f t="shared" si="99"/>
        <v>-</v>
      </c>
      <c r="U131" s="362">
        <f t="shared" si="100"/>
        <v>0</v>
      </c>
      <c r="V131" s="450">
        <f t="shared" si="101"/>
        <v>0</v>
      </c>
      <c r="W131" s="451" t="str">
        <f t="shared" si="102"/>
        <v>-</v>
      </c>
      <c r="X131" s="452">
        <f t="shared" si="103"/>
        <v>0</v>
      </c>
      <c r="Y131" s="364" t="s">
        <v>437</v>
      </c>
      <c r="Z131" s="364" t="s">
        <v>440</v>
      </c>
      <c r="AA131" s="365"/>
      <c r="AB131" s="365"/>
      <c r="AC131" s="365">
        <v>1</v>
      </c>
      <c r="AD131" s="440"/>
    </row>
    <row r="132" spans="2:30" s="147" customFormat="1" ht="27" customHeight="1">
      <c r="B132" s="538"/>
      <c r="C132" s="539"/>
      <c r="D132" s="360">
        <v>18</v>
      </c>
      <c r="E132" s="434"/>
      <c r="F132" s="435">
        <f t="shared" si="91"/>
        <v>0</v>
      </c>
      <c r="G132" s="363"/>
      <c r="H132" s="436"/>
      <c r="I132" s="436"/>
      <c r="J132" s="438" t="str">
        <f t="shared" si="92"/>
        <v>-</v>
      </c>
      <c r="K132" s="437"/>
      <c r="L132" s="438" t="str">
        <f t="shared" si="93"/>
        <v>-</v>
      </c>
      <c r="M132" s="437"/>
      <c r="N132" s="438" t="str">
        <f t="shared" si="94"/>
        <v>-</v>
      </c>
      <c r="O132" s="439">
        <f t="shared" si="95"/>
        <v>0</v>
      </c>
      <c r="P132" s="438" t="str">
        <f t="shared" si="96"/>
        <v>-</v>
      </c>
      <c r="Q132" s="436"/>
      <c r="R132" s="438" t="str">
        <f t="shared" si="97"/>
        <v>-</v>
      </c>
      <c r="S132" s="439">
        <f t="shared" si="98"/>
        <v>0</v>
      </c>
      <c r="T132" s="438" t="str">
        <f t="shared" si="99"/>
        <v>-</v>
      </c>
      <c r="U132" s="362">
        <f t="shared" si="100"/>
        <v>0</v>
      </c>
      <c r="V132" s="450">
        <f t="shared" si="101"/>
        <v>0</v>
      </c>
      <c r="W132" s="451" t="str">
        <f t="shared" si="102"/>
        <v>-</v>
      </c>
      <c r="X132" s="452">
        <f t="shared" si="103"/>
        <v>0</v>
      </c>
      <c r="Y132" s="364" t="s">
        <v>437</v>
      </c>
      <c r="Z132" s="364" t="s">
        <v>440</v>
      </c>
      <c r="AA132" s="376"/>
      <c r="AB132" s="365"/>
      <c r="AC132" s="365">
        <v>1</v>
      </c>
      <c r="AD132" s="440"/>
    </row>
    <row r="133" spans="2:30" s="147" customFormat="1" ht="27" customHeight="1">
      <c r="B133" s="538"/>
      <c r="C133" s="539"/>
      <c r="D133" s="360">
        <v>19</v>
      </c>
      <c r="E133" s="434"/>
      <c r="F133" s="435">
        <f t="shared" si="91"/>
        <v>0</v>
      </c>
      <c r="G133" s="363"/>
      <c r="H133" s="436"/>
      <c r="I133" s="436"/>
      <c r="J133" s="438" t="str">
        <f t="shared" si="92"/>
        <v>-</v>
      </c>
      <c r="K133" s="437"/>
      <c r="L133" s="438" t="str">
        <f t="shared" si="93"/>
        <v>-</v>
      </c>
      <c r="M133" s="437"/>
      <c r="N133" s="438" t="str">
        <f t="shared" si="94"/>
        <v>-</v>
      </c>
      <c r="O133" s="439">
        <f t="shared" si="95"/>
        <v>0</v>
      </c>
      <c r="P133" s="438" t="str">
        <f t="shared" si="96"/>
        <v>-</v>
      </c>
      <c r="Q133" s="436"/>
      <c r="R133" s="438" t="str">
        <f t="shared" si="97"/>
        <v>-</v>
      </c>
      <c r="S133" s="439">
        <f t="shared" si="98"/>
        <v>0</v>
      </c>
      <c r="T133" s="438" t="str">
        <f t="shared" si="99"/>
        <v>-</v>
      </c>
      <c r="U133" s="362">
        <f t="shared" si="100"/>
        <v>0</v>
      </c>
      <c r="V133" s="450">
        <f t="shared" si="101"/>
        <v>0</v>
      </c>
      <c r="W133" s="451" t="str">
        <f t="shared" si="102"/>
        <v>-</v>
      </c>
      <c r="X133" s="452">
        <f t="shared" si="103"/>
        <v>0</v>
      </c>
      <c r="Y133" s="364" t="s">
        <v>437</v>
      </c>
      <c r="Z133" s="364" t="s">
        <v>440</v>
      </c>
      <c r="AA133" s="365"/>
      <c r="AB133" s="365"/>
      <c r="AC133" s="365">
        <v>1</v>
      </c>
      <c r="AD133" s="440"/>
    </row>
    <row r="134" spans="2:30" s="147" customFormat="1" ht="27" customHeight="1">
      <c r="B134" s="540"/>
      <c r="C134" s="541"/>
      <c r="D134" s="360">
        <v>20</v>
      </c>
      <c r="E134" s="434"/>
      <c r="F134" s="435">
        <f t="shared" si="91"/>
        <v>0</v>
      </c>
      <c r="G134" s="363"/>
      <c r="H134" s="436"/>
      <c r="I134" s="436"/>
      <c r="J134" s="438" t="str">
        <f t="shared" si="92"/>
        <v>-</v>
      </c>
      <c r="K134" s="437"/>
      <c r="L134" s="438" t="str">
        <f t="shared" si="93"/>
        <v>-</v>
      </c>
      <c r="M134" s="437"/>
      <c r="N134" s="438" t="str">
        <f t="shared" si="94"/>
        <v>-</v>
      </c>
      <c r="O134" s="439">
        <f t="shared" si="95"/>
        <v>0</v>
      </c>
      <c r="P134" s="438" t="str">
        <f t="shared" si="96"/>
        <v>-</v>
      </c>
      <c r="Q134" s="436"/>
      <c r="R134" s="438" t="str">
        <f t="shared" si="97"/>
        <v>-</v>
      </c>
      <c r="S134" s="439">
        <f t="shared" si="98"/>
        <v>0</v>
      </c>
      <c r="T134" s="438" t="str">
        <f t="shared" si="99"/>
        <v>-</v>
      </c>
      <c r="U134" s="362">
        <f t="shared" si="100"/>
        <v>0</v>
      </c>
      <c r="V134" s="450">
        <f t="shared" si="101"/>
        <v>0</v>
      </c>
      <c r="W134" s="451" t="str">
        <f t="shared" si="102"/>
        <v>-</v>
      </c>
      <c r="X134" s="452">
        <f t="shared" si="103"/>
        <v>0</v>
      </c>
      <c r="Y134" s="364" t="s">
        <v>437</v>
      </c>
      <c r="Z134" s="364" t="s">
        <v>440</v>
      </c>
      <c r="AA134" s="365"/>
      <c r="AB134" s="365"/>
      <c r="AC134" s="365">
        <v>1</v>
      </c>
      <c r="AD134" s="440"/>
    </row>
  </sheetData>
  <mergeCells count="128">
    <mergeCell ref="AD113:AD114"/>
    <mergeCell ref="AF113:AM115"/>
    <mergeCell ref="B115:C134"/>
    <mergeCell ref="O113:P113"/>
    <mergeCell ref="Q113:R113"/>
    <mergeCell ref="S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R69"/>
    <mergeCell ref="S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O47:P47"/>
    <mergeCell ref="Q47:R47"/>
    <mergeCell ref="S47:U47"/>
    <mergeCell ref="V47:X47"/>
    <mergeCell ref="Y47:Y48"/>
    <mergeCell ref="Z47:Z48"/>
    <mergeCell ref="AA47:AA48"/>
    <mergeCell ref="AB47:AB48"/>
    <mergeCell ref="AC47:AC48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AF3:AM5"/>
    <mergeCell ref="B2:AD2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O25:P25"/>
    <mergeCell ref="Q25:R25"/>
    <mergeCell ref="S25:U25"/>
    <mergeCell ref="V25:X25"/>
    <mergeCell ref="Y25:Y26"/>
    <mergeCell ref="Z25:Z26"/>
    <mergeCell ref="AA25:AA26"/>
    <mergeCell ref="AB25:AB26"/>
    <mergeCell ref="AC25:AC26"/>
    <mergeCell ref="AD25:AD26"/>
    <mergeCell ref="AF25:AM27"/>
    <mergeCell ref="B27:C46"/>
    <mergeCell ref="K3:L3"/>
    <mergeCell ref="M3:N3"/>
    <mergeCell ref="AD3:AD4"/>
    <mergeCell ref="B5:C24"/>
    <mergeCell ref="O3:P3"/>
    <mergeCell ref="Q3:R3"/>
    <mergeCell ref="S3:U3"/>
    <mergeCell ref="Y3:Y4"/>
    <mergeCell ref="Z3:Z4"/>
    <mergeCell ref="AA3:AA4"/>
    <mergeCell ref="AB3:AB4"/>
    <mergeCell ref="AC3:AC4"/>
    <mergeCell ref="B3:C4"/>
    <mergeCell ref="D3:D4"/>
    <mergeCell ref="E3:E4"/>
    <mergeCell ref="F3:F4"/>
    <mergeCell ref="G3:G4"/>
    <mergeCell ref="H3:H4"/>
    <mergeCell ref="I3:J3"/>
    <mergeCell ref="V3:X3"/>
    <mergeCell ref="AD91:AD92"/>
    <mergeCell ref="AF91:AM93"/>
    <mergeCell ref="B93:C112"/>
    <mergeCell ref="O91:P91"/>
    <mergeCell ref="Q91:R91"/>
    <mergeCell ref="S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</mergeCells>
  <phoneticPr fontId="13" type="noConversion"/>
  <dataValidations count="1">
    <dataValidation type="list" allowBlank="1" showInputMessage="1" showErrorMessage="1" sqref="Y1:Z3 Y93:Y112 Y27:Y46 Y25:Z25 Y47:Z47 Y91:Z91 Y49:Y68 Y69:Z69 Y5:Y24 Y71:Y90 Y135:Z1048576 Y115:Y134 Y113:Z113" xr:uid="{00000000-0002-0000-21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  <pageSetUpPr fitToPage="1"/>
  </sheetPr>
  <dimension ref="B2:AN134"/>
  <sheetViews>
    <sheetView tabSelected="1" zoomScale="70" zoomScaleNormal="70" workbookViewId="0">
      <pane xSplit="3" ySplit="2" topLeftCell="E3" activePane="bottomRight" state="frozen"/>
      <selection pane="bottomRight" activeCell="K14" sqref="K14"/>
      <selection pane="bottomLeft" activeCell="A4" sqref="A4"/>
      <selection pane="topRight" activeCell="D1" sqref="D1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13.8554687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570" t="s">
        <v>460</v>
      </c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1"/>
      <c r="AA2" s="571"/>
      <c r="AB2" s="571"/>
      <c r="AD2" s="146"/>
      <c r="AE2" s="146"/>
      <c r="AF2" s="146"/>
      <c r="AG2" s="146"/>
    </row>
    <row r="3" spans="2:39" ht="17.100000000000001" customHeight="1">
      <c r="B3" s="552" t="s">
        <v>415</v>
      </c>
      <c r="C3" s="553"/>
      <c r="D3" s="556" t="s">
        <v>416</v>
      </c>
      <c r="E3" s="557" t="s">
        <v>417</v>
      </c>
      <c r="F3" s="558" t="s">
        <v>461</v>
      </c>
      <c r="G3" s="525" t="s">
        <v>419</v>
      </c>
      <c r="H3" s="560" t="s">
        <v>420</v>
      </c>
      <c r="I3" s="542" t="s">
        <v>421</v>
      </c>
      <c r="J3" s="543"/>
      <c r="K3" s="542" t="s">
        <v>422</v>
      </c>
      <c r="L3" s="543"/>
      <c r="M3" s="542" t="s">
        <v>423</v>
      </c>
      <c r="N3" s="543"/>
      <c r="O3" s="542" t="s">
        <v>424</v>
      </c>
      <c r="P3" s="543"/>
      <c r="Q3" s="542" t="s">
        <v>375</v>
      </c>
      <c r="R3" s="544"/>
      <c r="S3" s="543"/>
      <c r="T3" s="545" t="s">
        <v>462</v>
      </c>
      <c r="U3" s="546"/>
      <c r="V3" s="547" t="s">
        <v>425</v>
      </c>
      <c r="W3" s="548"/>
      <c r="X3" s="549"/>
      <c r="Y3" s="550" t="s">
        <v>426</v>
      </c>
      <c r="Z3" s="550" t="s">
        <v>427</v>
      </c>
      <c r="AA3" s="550" t="s">
        <v>428</v>
      </c>
      <c r="AB3" s="550" t="s">
        <v>429</v>
      </c>
      <c r="AC3" s="550" t="s">
        <v>430</v>
      </c>
      <c r="AD3" s="525" t="s">
        <v>431</v>
      </c>
      <c r="AF3" s="527" t="s">
        <v>432</v>
      </c>
      <c r="AG3" s="528"/>
      <c r="AH3" s="528"/>
      <c r="AI3" s="528"/>
      <c r="AJ3" s="528"/>
      <c r="AK3" s="528"/>
      <c r="AL3" s="528"/>
      <c r="AM3" s="529"/>
    </row>
    <row r="4" spans="2:39" ht="16.5" customHeight="1">
      <c r="B4" s="554"/>
      <c r="C4" s="555"/>
      <c r="D4" s="556"/>
      <c r="E4" s="556"/>
      <c r="F4" s="559"/>
      <c r="G4" s="526"/>
      <c r="H4" s="526"/>
      <c r="I4" s="433" t="s">
        <v>433</v>
      </c>
      <c r="J4" s="361" t="s">
        <v>434</v>
      </c>
      <c r="K4" s="433" t="s">
        <v>433</v>
      </c>
      <c r="L4" s="361" t="s">
        <v>434</v>
      </c>
      <c r="M4" s="433" t="s">
        <v>433</v>
      </c>
      <c r="N4" s="361" t="s">
        <v>434</v>
      </c>
      <c r="O4" s="433" t="s">
        <v>433</v>
      </c>
      <c r="P4" s="361" t="s">
        <v>434</v>
      </c>
      <c r="Q4" s="433" t="s">
        <v>433</v>
      </c>
      <c r="R4" s="361" t="s">
        <v>434</v>
      </c>
      <c r="S4" s="361" t="s">
        <v>435</v>
      </c>
      <c r="T4" s="433" t="s">
        <v>433</v>
      </c>
      <c r="U4" s="361" t="s">
        <v>434</v>
      </c>
      <c r="V4" s="433" t="s">
        <v>433</v>
      </c>
      <c r="W4" s="361" t="s">
        <v>434</v>
      </c>
      <c r="X4" s="361" t="s">
        <v>435</v>
      </c>
      <c r="Y4" s="551"/>
      <c r="Z4" s="551"/>
      <c r="AA4" s="551"/>
      <c r="AB4" s="551"/>
      <c r="AC4" s="551"/>
      <c r="AD4" s="526"/>
      <c r="AF4" s="530"/>
      <c r="AG4" s="531"/>
      <c r="AH4" s="531"/>
      <c r="AI4" s="531"/>
      <c r="AJ4" s="531"/>
      <c r="AK4" s="531"/>
      <c r="AL4" s="531"/>
      <c r="AM4" s="532"/>
    </row>
    <row r="5" spans="2:39" s="147" customFormat="1" ht="27" customHeight="1">
      <c r="B5" s="536" t="s">
        <v>436</v>
      </c>
      <c r="C5" s="537"/>
      <c r="D5" s="360">
        <v>1</v>
      </c>
      <c r="E5" s="434" t="s">
        <v>348</v>
      </c>
      <c r="F5" s="362">
        <f>IFERROR(T5*G5,"-")</f>
        <v>7280.0934000000179</v>
      </c>
      <c r="G5" s="363">
        <v>147.43000000000004</v>
      </c>
      <c r="H5" s="436">
        <v>3743.0000000000005</v>
      </c>
      <c r="I5" s="436">
        <v>3743.0000000000005</v>
      </c>
      <c r="J5" s="438">
        <f>IFERROR(I5/H5,"-")</f>
        <v>1</v>
      </c>
      <c r="K5" s="437">
        <v>3743.0000000000005</v>
      </c>
      <c r="L5" s="438">
        <f>IFERROR(K5/H5,"-")</f>
        <v>1</v>
      </c>
      <c r="M5" s="437">
        <v>49.38</v>
      </c>
      <c r="N5" s="438">
        <f>IFERROR(M5/H5,"-")</f>
        <v>1.3192626235639861E-2</v>
      </c>
      <c r="O5" s="439">
        <f>IFERROR(K5+M5,"-")</f>
        <v>3792.3800000000006</v>
      </c>
      <c r="P5" s="438">
        <f>IFERROR(O5/H5,"-")</f>
        <v>1.0131926262356399</v>
      </c>
      <c r="Q5" s="436">
        <v>9.7199999999999989</v>
      </c>
      <c r="R5" s="438">
        <f>IFERROR(Q5/H5,"-")</f>
        <v>2.5968474485706648E-3</v>
      </c>
      <c r="S5" s="446">
        <f>IFERROR(Q5*G5,"-")</f>
        <v>1433.0196000000001</v>
      </c>
      <c r="T5" s="439">
        <f>IFERROR(O5-H5,"-")</f>
        <v>49.380000000000109</v>
      </c>
      <c r="U5" s="438">
        <f>IFERROR(T5/H5,"-")</f>
        <v>1.3192626235639889E-2</v>
      </c>
      <c r="V5" s="450">
        <f>T5-Q5</f>
        <v>39.66000000000011</v>
      </c>
      <c r="W5" s="451">
        <f>IFERROR(V5/H5,"-")</f>
        <v>1.0595778787069224E-2</v>
      </c>
      <c r="X5" s="452">
        <f>IFERROR(V5*G5,"-")</f>
        <v>5847.0738000000174</v>
      </c>
      <c r="Y5" s="364" t="s">
        <v>463</v>
      </c>
      <c r="Z5" s="364" t="s">
        <v>347</v>
      </c>
      <c r="AA5" s="365"/>
      <c r="AB5" s="365"/>
      <c r="AC5" s="365">
        <v>1</v>
      </c>
      <c r="AD5" s="440" t="s">
        <v>319</v>
      </c>
      <c r="AF5" s="533"/>
      <c r="AG5" s="534"/>
      <c r="AH5" s="534"/>
      <c r="AI5" s="534"/>
      <c r="AJ5" s="534"/>
      <c r="AK5" s="534"/>
      <c r="AL5" s="534"/>
      <c r="AM5" s="535"/>
    </row>
    <row r="6" spans="2:39" s="147" customFormat="1" ht="27" customHeight="1">
      <c r="B6" s="538"/>
      <c r="C6" s="539"/>
      <c r="D6" s="360">
        <v>2</v>
      </c>
      <c r="E6" s="434" t="s">
        <v>340</v>
      </c>
      <c r="F6" s="362">
        <f t="shared" ref="F6:F24" si="0">IFERROR(T6*G6,"-")</f>
        <v>7085.6407999999592</v>
      </c>
      <c r="G6" s="363">
        <v>625.93999999999994</v>
      </c>
      <c r="H6" s="436">
        <v>1240.29</v>
      </c>
      <c r="I6" s="436">
        <v>1240.29</v>
      </c>
      <c r="J6" s="438">
        <f t="shared" ref="J6:J24" si="1">IFERROR(I6/H6,"-")</f>
        <v>1</v>
      </c>
      <c r="K6" s="437">
        <v>1240.29</v>
      </c>
      <c r="L6" s="438">
        <f t="shared" ref="L6:L24" si="2">IFERROR(K6/H6,"-")</f>
        <v>1</v>
      </c>
      <c r="M6" s="437">
        <v>11.32</v>
      </c>
      <c r="N6" s="438">
        <f t="shared" ref="N6:N24" si="3">IFERROR(M6/H6,"-")</f>
        <v>9.1268977416571941E-3</v>
      </c>
      <c r="O6" s="439">
        <f t="shared" ref="O6:O24" si="4">IFERROR(K6+M6,"-")</f>
        <v>1251.6099999999999</v>
      </c>
      <c r="P6" s="438">
        <f t="shared" ref="P6:P24" si="5">IFERROR(O6/H6,"-")</f>
        <v>1.0091268977416572</v>
      </c>
      <c r="Q6" s="436">
        <v>2.3499999999999996</v>
      </c>
      <c r="R6" s="438">
        <f t="shared" ref="R6:R24" si="6">IFERROR(Q6/H6,"-")</f>
        <v>1.8947181707503888E-3</v>
      </c>
      <c r="S6" s="446">
        <f t="shared" ref="S6:S24" si="7">IFERROR(Q6*G6,"-")</f>
        <v>1470.9589999999996</v>
      </c>
      <c r="T6" s="439">
        <f t="shared" ref="T6:T24" si="8">IFERROR(O6-H6,"-")</f>
        <v>11.319999999999936</v>
      </c>
      <c r="U6" s="438">
        <f t="shared" ref="U6:U24" si="9">IFERROR(T6/H6,"-")</f>
        <v>9.1268977416571421E-3</v>
      </c>
      <c r="V6" s="450">
        <f t="shared" ref="V6:V24" si="10">T6-Q6</f>
        <v>8.9699999999999367</v>
      </c>
      <c r="W6" s="451">
        <f t="shared" ref="W6:W24" si="11">IFERROR(V6/H6,"-")</f>
        <v>7.2321795709067533E-3</v>
      </c>
      <c r="X6" s="452">
        <f t="shared" ref="X6:X24" si="12">IFERROR(V6*G6,"-")</f>
        <v>5614.6817999999603</v>
      </c>
      <c r="Y6" s="364" t="s">
        <v>463</v>
      </c>
      <c r="Z6" s="364" t="s">
        <v>312</v>
      </c>
      <c r="AA6" s="365"/>
      <c r="AB6" s="365"/>
      <c r="AC6" s="365">
        <v>1</v>
      </c>
      <c r="AD6" s="440" t="s">
        <v>339</v>
      </c>
      <c r="AF6" s="160" t="s">
        <v>439</v>
      </c>
      <c r="AG6" s="160" t="s">
        <v>440</v>
      </c>
      <c r="AH6" s="155" t="s">
        <v>441</v>
      </c>
      <c r="AI6" s="155" t="s">
        <v>438</v>
      </c>
      <c r="AJ6" s="155" t="s">
        <v>312</v>
      </c>
      <c r="AK6" s="155" t="s">
        <v>347</v>
      </c>
      <c r="AL6" s="155" t="s">
        <v>352</v>
      </c>
      <c r="AM6" s="155" t="s">
        <v>442</v>
      </c>
    </row>
    <row r="7" spans="2:39" s="147" customFormat="1" ht="27" customHeight="1">
      <c r="B7" s="538"/>
      <c r="C7" s="539"/>
      <c r="D7" s="360">
        <v>3</v>
      </c>
      <c r="E7" s="434" t="s">
        <v>326</v>
      </c>
      <c r="F7" s="362">
        <f t="shared" si="0"/>
        <v>5651.9112000000132</v>
      </c>
      <c r="G7" s="363">
        <v>440.17999999999995</v>
      </c>
      <c r="H7" s="436">
        <v>729.06000000000006</v>
      </c>
      <c r="I7" s="436">
        <v>729.06000000000006</v>
      </c>
      <c r="J7" s="438">
        <f t="shared" si="1"/>
        <v>1</v>
      </c>
      <c r="K7" s="437">
        <v>729.06000000000006</v>
      </c>
      <c r="L7" s="438">
        <f t="shared" si="2"/>
        <v>1</v>
      </c>
      <c r="M7" s="437">
        <v>12.84</v>
      </c>
      <c r="N7" s="438">
        <f t="shared" si="3"/>
        <v>1.7611719200065837E-2</v>
      </c>
      <c r="O7" s="439">
        <f t="shared" si="4"/>
        <v>741.90000000000009</v>
      </c>
      <c r="P7" s="438">
        <f t="shared" si="5"/>
        <v>1.017611719200066</v>
      </c>
      <c r="Q7" s="436">
        <v>1.8199999999999998</v>
      </c>
      <c r="R7" s="438">
        <f t="shared" si="6"/>
        <v>2.496365182563849E-3</v>
      </c>
      <c r="S7" s="446">
        <f t="shared" si="7"/>
        <v>801.1275999999998</v>
      </c>
      <c r="T7" s="439">
        <f t="shared" si="8"/>
        <v>12.840000000000032</v>
      </c>
      <c r="U7" s="438">
        <f t="shared" si="9"/>
        <v>1.7611719200065882E-2</v>
      </c>
      <c r="V7" s="450">
        <f t="shared" si="10"/>
        <v>11.020000000000032</v>
      </c>
      <c r="W7" s="451">
        <f t="shared" si="11"/>
        <v>1.511535401750203E-2</v>
      </c>
      <c r="X7" s="452">
        <f t="shared" si="12"/>
        <v>4850.7836000000134</v>
      </c>
      <c r="Y7" s="364" t="s">
        <v>463</v>
      </c>
      <c r="Z7" s="364" t="s">
        <v>312</v>
      </c>
      <c r="AA7" s="365"/>
      <c r="AB7" s="365"/>
      <c r="AC7" s="365">
        <v>1</v>
      </c>
      <c r="AD7" s="440" t="s">
        <v>245</v>
      </c>
      <c r="AF7" s="370">
        <f>SUM(AC5:AC24)</f>
        <v>20</v>
      </c>
      <c r="AG7" s="366">
        <f>SUMIF($Z$5:$Z$24,TRIM(AG6),$AC$5:$AC$24)</f>
        <v>0</v>
      </c>
      <c r="AH7" s="366">
        <f t="shared" ref="AH7:AM7" si="13">SUMIF($Z$5:$Z$24,TRIM(AH6),$AC$5:$AC$24)</f>
        <v>0</v>
      </c>
      <c r="AI7" s="366">
        <f t="shared" si="13"/>
        <v>0</v>
      </c>
      <c r="AJ7" s="366">
        <f t="shared" si="13"/>
        <v>18</v>
      </c>
      <c r="AK7" s="366">
        <f t="shared" si="13"/>
        <v>1</v>
      </c>
      <c r="AL7" s="366">
        <f t="shared" si="13"/>
        <v>1</v>
      </c>
      <c r="AM7" s="366">
        <f t="shared" si="13"/>
        <v>0</v>
      </c>
    </row>
    <row r="8" spans="2:39" s="147" customFormat="1" ht="27" customHeight="1">
      <c r="B8" s="538"/>
      <c r="C8" s="539"/>
      <c r="D8" s="360">
        <v>4</v>
      </c>
      <c r="E8" s="434" t="s">
        <v>320</v>
      </c>
      <c r="F8" s="362">
        <f t="shared" si="0"/>
        <v>5292.5760000000128</v>
      </c>
      <c r="G8" s="363">
        <v>127.84000000000002</v>
      </c>
      <c r="H8" s="436">
        <v>3627.53</v>
      </c>
      <c r="I8" s="436">
        <v>3627.53</v>
      </c>
      <c r="J8" s="438">
        <f t="shared" si="1"/>
        <v>1</v>
      </c>
      <c r="K8" s="437">
        <v>3627.53</v>
      </c>
      <c r="L8" s="438">
        <f t="shared" si="2"/>
        <v>1</v>
      </c>
      <c r="M8" s="437">
        <v>41.399999999999991</v>
      </c>
      <c r="N8" s="438">
        <f t="shared" si="3"/>
        <v>1.1412724360653114E-2</v>
      </c>
      <c r="O8" s="439">
        <f t="shared" si="4"/>
        <v>3668.9300000000003</v>
      </c>
      <c r="P8" s="438">
        <f t="shared" si="5"/>
        <v>1.0114127243606532</v>
      </c>
      <c r="Q8" s="436">
        <v>10.06</v>
      </c>
      <c r="R8" s="438">
        <f t="shared" si="6"/>
        <v>2.7732368857045979E-3</v>
      </c>
      <c r="S8" s="446">
        <f t="shared" si="7"/>
        <v>1286.0704000000003</v>
      </c>
      <c r="T8" s="439">
        <f t="shared" si="8"/>
        <v>41.400000000000091</v>
      </c>
      <c r="U8" s="438">
        <f t="shared" si="9"/>
        <v>1.1412724360653142E-2</v>
      </c>
      <c r="V8" s="450">
        <f t="shared" si="10"/>
        <v>31.340000000000089</v>
      </c>
      <c r="W8" s="451">
        <f t="shared" si="11"/>
        <v>8.6394874749485418E-3</v>
      </c>
      <c r="X8" s="452">
        <f t="shared" si="12"/>
        <v>4006.5056000000118</v>
      </c>
      <c r="Y8" s="364" t="s">
        <v>463</v>
      </c>
      <c r="Z8" s="364" t="s">
        <v>312</v>
      </c>
      <c r="AA8" s="365"/>
      <c r="AB8" s="365"/>
      <c r="AC8" s="365">
        <v>1</v>
      </c>
      <c r="AD8" s="440" t="s">
        <v>319</v>
      </c>
      <c r="AF8" s="371" t="s">
        <v>303</v>
      </c>
      <c r="AG8" s="368">
        <f t="shared" ref="AG8:AM8" si="14">SUMIF($Z$5:$Z$24,TRIM(AG6),$F$5:$F$24)</f>
        <v>0</v>
      </c>
      <c r="AH8" s="368">
        <f t="shared" si="14"/>
        <v>0</v>
      </c>
      <c r="AI8" s="368">
        <f t="shared" si="14"/>
        <v>0</v>
      </c>
      <c r="AJ8" s="368">
        <f t="shared" si="14"/>
        <v>66092.737300000008</v>
      </c>
      <c r="AK8" s="368">
        <f t="shared" si="14"/>
        <v>7280.0934000000179</v>
      </c>
      <c r="AL8" s="368">
        <f t="shared" si="14"/>
        <v>4489.2173999999968</v>
      </c>
      <c r="AM8" s="368">
        <f t="shared" si="14"/>
        <v>0</v>
      </c>
    </row>
    <row r="9" spans="2:39" s="147" customFormat="1" ht="27" customHeight="1">
      <c r="B9" s="538"/>
      <c r="C9" s="539"/>
      <c r="D9" s="360">
        <v>5</v>
      </c>
      <c r="E9" s="434" t="s">
        <v>343</v>
      </c>
      <c r="F9" s="362">
        <f t="shared" si="0"/>
        <v>4489.2173999999968</v>
      </c>
      <c r="G9" s="363">
        <v>407.74000000000007</v>
      </c>
      <c r="H9" s="436">
        <v>1133.69</v>
      </c>
      <c r="I9" s="436">
        <v>1133.69</v>
      </c>
      <c r="J9" s="438">
        <f t="shared" si="1"/>
        <v>1</v>
      </c>
      <c r="K9" s="437">
        <v>1133.69</v>
      </c>
      <c r="L9" s="438">
        <f t="shared" si="2"/>
        <v>1</v>
      </c>
      <c r="M9" s="437">
        <v>11.01</v>
      </c>
      <c r="N9" s="438">
        <f t="shared" si="3"/>
        <v>9.711649569106192E-3</v>
      </c>
      <c r="O9" s="439">
        <f t="shared" si="4"/>
        <v>1144.7</v>
      </c>
      <c r="P9" s="438">
        <f t="shared" si="5"/>
        <v>1.0097116495691061</v>
      </c>
      <c r="Q9" s="436">
        <v>2.1800000000000002</v>
      </c>
      <c r="R9" s="438">
        <f t="shared" si="6"/>
        <v>1.9229242561899639E-3</v>
      </c>
      <c r="S9" s="446">
        <f t="shared" si="7"/>
        <v>888.87320000000022</v>
      </c>
      <c r="T9" s="439">
        <f t="shared" si="8"/>
        <v>11.009999999999991</v>
      </c>
      <c r="U9" s="438">
        <f t="shared" si="9"/>
        <v>9.7116495691061851E-3</v>
      </c>
      <c r="V9" s="450">
        <f t="shared" si="10"/>
        <v>8.8299999999999912</v>
      </c>
      <c r="W9" s="451">
        <f t="shared" si="11"/>
        <v>7.7887253129162214E-3</v>
      </c>
      <c r="X9" s="452">
        <f t="shared" si="12"/>
        <v>3600.3441999999968</v>
      </c>
      <c r="Y9" s="364" t="s">
        <v>463</v>
      </c>
      <c r="Z9" s="364" t="s">
        <v>352</v>
      </c>
      <c r="AA9" s="365"/>
      <c r="AB9" s="365"/>
      <c r="AC9" s="365">
        <v>1</v>
      </c>
      <c r="AD9" s="440" t="s">
        <v>342</v>
      </c>
      <c r="AF9" s="360" t="s">
        <v>443</v>
      </c>
      <c r="AG9" s="369">
        <f t="shared" ref="AG9:AM9" si="15">AG7/$AF7</f>
        <v>0</v>
      </c>
      <c r="AH9" s="369">
        <f t="shared" si="15"/>
        <v>0</v>
      </c>
      <c r="AI9" s="369">
        <f t="shared" si="15"/>
        <v>0</v>
      </c>
      <c r="AJ9" s="369">
        <f t="shared" si="15"/>
        <v>0.9</v>
      </c>
      <c r="AK9" s="369">
        <f t="shared" si="15"/>
        <v>0.05</v>
      </c>
      <c r="AL9" s="369">
        <f t="shared" si="15"/>
        <v>0.05</v>
      </c>
      <c r="AM9" s="369">
        <f t="shared" si="15"/>
        <v>0</v>
      </c>
    </row>
    <row r="10" spans="2:39" s="147" customFormat="1" ht="27" customHeight="1">
      <c r="B10" s="538"/>
      <c r="C10" s="539"/>
      <c r="D10" s="360">
        <v>6</v>
      </c>
      <c r="E10" s="434" t="s">
        <v>356</v>
      </c>
      <c r="F10" s="362">
        <f t="shared" si="0"/>
        <v>3719.5977000000107</v>
      </c>
      <c r="G10" s="363">
        <v>39.389999999999993</v>
      </c>
      <c r="H10" s="436">
        <v>19266.899999999998</v>
      </c>
      <c r="I10" s="436">
        <v>19266.899999999998</v>
      </c>
      <c r="J10" s="438">
        <f t="shared" si="1"/>
        <v>1</v>
      </c>
      <c r="K10" s="437">
        <v>19266.899999999998</v>
      </c>
      <c r="L10" s="438">
        <f t="shared" si="2"/>
        <v>1</v>
      </c>
      <c r="M10" s="437">
        <v>94.429999999999978</v>
      </c>
      <c r="N10" s="438">
        <f t="shared" si="3"/>
        <v>4.9011517161556863E-3</v>
      </c>
      <c r="O10" s="439">
        <f t="shared" si="4"/>
        <v>19361.329999999998</v>
      </c>
      <c r="P10" s="438">
        <f t="shared" si="5"/>
        <v>1.0049011517161557</v>
      </c>
      <c r="Q10" s="436">
        <v>27.299999999999997</v>
      </c>
      <c r="R10" s="438">
        <f t="shared" si="6"/>
        <v>1.4169378571539791E-3</v>
      </c>
      <c r="S10" s="446">
        <f t="shared" si="7"/>
        <v>1075.3469999999998</v>
      </c>
      <c r="T10" s="439">
        <f t="shared" si="8"/>
        <v>94.430000000000291</v>
      </c>
      <c r="U10" s="438">
        <f t="shared" si="9"/>
        <v>4.9011517161557027E-3</v>
      </c>
      <c r="V10" s="450">
        <f t="shared" si="10"/>
        <v>67.130000000000294</v>
      </c>
      <c r="W10" s="451">
        <f t="shared" si="11"/>
        <v>3.4842138590017234E-3</v>
      </c>
      <c r="X10" s="452">
        <f t="shared" si="12"/>
        <v>2644.250700000011</v>
      </c>
      <c r="Y10" s="364" t="s">
        <v>463</v>
      </c>
      <c r="Z10" s="364" t="s">
        <v>312</v>
      </c>
      <c r="AA10" s="365"/>
      <c r="AB10" s="365"/>
      <c r="AC10" s="365">
        <v>1</v>
      </c>
      <c r="AD10" s="440" t="s">
        <v>319</v>
      </c>
    </row>
    <row r="11" spans="2:39" s="147" customFormat="1" ht="27" customHeight="1">
      <c r="B11" s="538"/>
      <c r="C11" s="539"/>
      <c r="D11" s="360">
        <v>7</v>
      </c>
      <c r="E11" s="434" t="s">
        <v>464</v>
      </c>
      <c r="F11" s="362">
        <f t="shared" si="0"/>
        <v>3532.307400000002</v>
      </c>
      <c r="G11" s="363">
        <v>422.02</v>
      </c>
      <c r="H11" s="436">
        <v>451.23</v>
      </c>
      <c r="I11" s="436">
        <v>451.23</v>
      </c>
      <c r="J11" s="438">
        <f t="shared" si="1"/>
        <v>1</v>
      </c>
      <c r="K11" s="437">
        <v>451.23</v>
      </c>
      <c r="L11" s="438">
        <f t="shared" si="2"/>
        <v>1</v>
      </c>
      <c r="M11" s="437">
        <v>8.3699999999999992</v>
      </c>
      <c r="N11" s="438">
        <f t="shared" si="3"/>
        <v>1.8549298583870749E-2</v>
      </c>
      <c r="O11" s="439">
        <f t="shared" si="4"/>
        <v>459.6</v>
      </c>
      <c r="P11" s="438">
        <f t="shared" si="5"/>
        <v>1.0185492985838707</v>
      </c>
      <c r="Q11" s="436">
        <v>1.05</v>
      </c>
      <c r="R11" s="438">
        <f t="shared" si="6"/>
        <v>2.3269729406289476E-3</v>
      </c>
      <c r="S11" s="446">
        <f t="shared" si="7"/>
        <v>443.12099999999998</v>
      </c>
      <c r="T11" s="439">
        <f t="shared" si="8"/>
        <v>8.3700000000000045</v>
      </c>
      <c r="U11" s="438">
        <f t="shared" si="9"/>
        <v>1.8549298583870763E-2</v>
      </c>
      <c r="V11" s="450">
        <f t="shared" si="10"/>
        <v>7.3200000000000047</v>
      </c>
      <c r="W11" s="451">
        <f t="shared" si="11"/>
        <v>1.6222325643241817E-2</v>
      </c>
      <c r="X11" s="452">
        <f t="shared" si="12"/>
        <v>3089.1864000000019</v>
      </c>
      <c r="Y11" s="364" t="s">
        <v>463</v>
      </c>
      <c r="Z11" s="364" t="s">
        <v>312</v>
      </c>
      <c r="AA11" s="365"/>
      <c r="AB11" s="365"/>
      <c r="AC11" s="365">
        <v>1</v>
      </c>
      <c r="AD11" s="440" t="s">
        <v>465</v>
      </c>
    </row>
    <row r="12" spans="2:39" s="147" customFormat="1" ht="27" customHeight="1">
      <c r="B12" s="538"/>
      <c r="C12" s="539"/>
      <c r="D12" s="360">
        <v>8</v>
      </c>
      <c r="E12" s="434" t="s">
        <v>466</v>
      </c>
      <c r="F12" s="362">
        <f t="shared" si="0"/>
        <v>3510.1001999999958</v>
      </c>
      <c r="G12" s="363">
        <v>603.11</v>
      </c>
      <c r="H12" s="436">
        <v>338.56</v>
      </c>
      <c r="I12" s="436">
        <v>338.56</v>
      </c>
      <c r="J12" s="438">
        <f t="shared" si="1"/>
        <v>1</v>
      </c>
      <c r="K12" s="437">
        <v>338.56</v>
      </c>
      <c r="L12" s="438">
        <f t="shared" si="2"/>
        <v>1</v>
      </c>
      <c r="M12" s="437">
        <v>5.8200000000000012</v>
      </c>
      <c r="N12" s="438">
        <f t="shared" si="3"/>
        <v>1.7190453686200383E-2</v>
      </c>
      <c r="O12" s="439">
        <f t="shared" si="4"/>
        <v>344.38</v>
      </c>
      <c r="P12" s="438">
        <f t="shared" si="5"/>
        <v>1.0171904536862004</v>
      </c>
      <c r="Q12" s="436">
        <v>1.21</v>
      </c>
      <c r="R12" s="438">
        <f t="shared" si="6"/>
        <v>3.5739603024574668E-3</v>
      </c>
      <c r="S12" s="446">
        <f t="shared" si="7"/>
        <v>729.76310000000001</v>
      </c>
      <c r="T12" s="439">
        <f t="shared" si="8"/>
        <v>5.8199999999999932</v>
      </c>
      <c r="U12" s="438">
        <f t="shared" si="9"/>
        <v>1.7190453686200358E-2</v>
      </c>
      <c r="V12" s="450">
        <f t="shared" si="10"/>
        <v>4.6099999999999932</v>
      </c>
      <c r="W12" s="451">
        <f t="shared" si="11"/>
        <v>1.361649338374289E-2</v>
      </c>
      <c r="X12" s="452">
        <f t="shared" si="12"/>
        <v>2780.3370999999961</v>
      </c>
      <c r="Y12" s="364" t="s">
        <v>463</v>
      </c>
      <c r="Z12" s="364" t="s">
        <v>312</v>
      </c>
      <c r="AA12" s="365"/>
      <c r="AB12" s="365"/>
      <c r="AC12" s="365">
        <v>1</v>
      </c>
      <c r="AD12" s="440" t="s">
        <v>467</v>
      </c>
    </row>
    <row r="13" spans="2:39" s="147" customFormat="1" ht="27" customHeight="1">
      <c r="B13" s="538"/>
      <c r="C13" s="539"/>
      <c r="D13" s="360">
        <v>9</v>
      </c>
      <c r="E13" s="434" t="s">
        <v>452</v>
      </c>
      <c r="F13" s="362">
        <f t="shared" si="0"/>
        <v>3464.1974000000087</v>
      </c>
      <c r="G13" s="363">
        <v>368.13999999999993</v>
      </c>
      <c r="H13" s="436">
        <v>404.89</v>
      </c>
      <c r="I13" s="436">
        <v>404.89</v>
      </c>
      <c r="J13" s="438">
        <f t="shared" si="1"/>
        <v>1</v>
      </c>
      <c r="K13" s="437">
        <v>404.89</v>
      </c>
      <c r="L13" s="438">
        <f t="shared" si="2"/>
        <v>1</v>
      </c>
      <c r="M13" s="437">
        <v>9.4099999999999984</v>
      </c>
      <c r="N13" s="438">
        <f t="shared" si="3"/>
        <v>2.3240880239077277E-2</v>
      </c>
      <c r="O13" s="439">
        <f t="shared" si="4"/>
        <v>414.3</v>
      </c>
      <c r="P13" s="438">
        <f t="shared" si="5"/>
        <v>1.0232408802390773</v>
      </c>
      <c r="Q13" s="436">
        <v>2.21</v>
      </c>
      <c r="R13" s="438">
        <f t="shared" si="6"/>
        <v>5.4582726172540692E-3</v>
      </c>
      <c r="S13" s="446">
        <f t="shared" si="7"/>
        <v>813.58939999999984</v>
      </c>
      <c r="T13" s="439">
        <f t="shared" si="8"/>
        <v>9.410000000000025</v>
      </c>
      <c r="U13" s="438">
        <f t="shared" si="9"/>
        <v>2.3240880239077343E-2</v>
      </c>
      <c r="V13" s="450">
        <f t="shared" si="10"/>
        <v>7.200000000000025</v>
      </c>
      <c r="W13" s="451">
        <f t="shared" si="11"/>
        <v>1.7782607621823272E-2</v>
      </c>
      <c r="X13" s="452">
        <f t="shared" si="12"/>
        <v>2650.6080000000088</v>
      </c>
      <c r="Y13" s="364" t="s">
        <v>463</v>
      </c>
      <c r="Z13" s="364" t="s">
        <v>312</v>
      </c>
      <c r="AA13" s="365"/>
      <c r="AB13" s="365"/>
      <c r="AC13" s="365">
        <v>1</v>
      </c>
      <c r="AD13" s="440" t="s">
        <v>239</v>
      </c>
      <c r="AH13" s="367"/>
    </row>
    <row r="14" spans="2:39" s="147" customFormat="1" ht="27" customHeight="1">
      <c r="B14" s="538"/>
      <c r="C14" s="539"/>
      <c r="D14" s="360">
        <v>10</v>
      </c>
      <c r="E14" s="434" t="s">
        <v>444</v>
      </c>
      <c r="F14" s="362">
        <f t="shared" si="0"/>
        <v>3405.0336999999854</v>
      </c>
      <c r="G14" s="363">
        <v>66.13</v>
      </c>
      <c r="H14" s="436">
        <v>2037</v>
      </c>
      <c r="I14" s="436">
        <v>2037</v>
      </c>
      <c r="J14" s="438">
        <f t="shared" si="1"/>
        <v>1</v>
      </c>
      <c r="K14" s="437">
        <v>2037</v>
      </c>
      <c r="L14" s="438">
        <f t="shared" si="2"/>
        <v>1</v>
      </c>
      <c r="M14" s="437">
        <v>51.489999999999995</v>
      </c>
      <c r="N14" s="438">
        <f t="shared" si="3"/>
        <v>2.5277368679430534E-2</v>
      </c>
      <c r="O14" s="439">
        <f t="shared" si="4"/>
        <v>2088.4899999999998</v>
      </c>
      <c r="P14" s="438">
        <f t="shared" si="5"/>
        <v>1.0252773686794305</v>
      </c>
      <c r="Q14" s="436">
        <v>12.440000000000001</v>
      </c>
      <c r="R14" s="438">
        <f t="shared" si="6"/>
        <v>6.1070201276386847E-3</v>
      </c>
      <c r="S14" s="446">
        <f t="shared" si="7"/>
        <v>822.65719999999999</v>
      </c>
      <c r="T14" s="439">
        <f t="shared" si="8"/>
        <v>51.489999999999782</v>
      </c>
      <c r="U14" s="438">
        <f t="shared" si="9"/>
        <v>2.5277368679430427E-2</v>
      </c>
      <c r="V14" s="450">
        <f t="shared" si="10"/>
        <v>39.049999999999784</v>
      </c>
      <c r="W14" s="451">
        <f t="shared" si="11"/>
        <v>1.9170348551791744E-2</v>
      </c>
      <c r="X14" s="452">
        <f t="shared" si="12"/>
        <v>2582.3764999999858</v>
      </c>
      <c r="Y14" s="364" t="s">
        <v>463</v>
      </c>
      <c r="Z14" s="364" t="s">
        <v>312</v>
      </c>
      <c r="AA14" s="365"/>
      <c r="AB14" s="365"/>
      <c r="AC14" s="365">
        <v>1</v>
      </c>
      <c r="AD14" s="440" t="s">
        <v>231</v>
      </c>
      <c r="AH14" s="367"/>
    </row>
    <row r="15" spans="2:39" s="147" customFormat="1" ht="27" customHeight="1">
      <c r="B15" s="538"/>
      <c r="C15" s="539"/>
      <c r="D15" s="360">
        <v>11</v>
      </c>
      <c r="E15" s="434" t="s">
        <v>468</v>
      </c>
      <c r="F15" s="362">
        <f t="shared" si="0"/>
        <v>3301.3656000000101</v>
      </c>
      <c r="G15" s="363">
        <v>509.47000000000014</v>
      </c>
      <c r="H15" s="436">
        <v>293.38</v>
      </c>
      <c r="I15" s="436">
        <v>293.38</v>
      </c>
      <c r="J15" s="438">
        <f t="shared" si="1"/>
        <v>1</v>
      </c>
      <c r="K15" s="437">
        <v>293.38</v>
      </c>
      <c r="L15" s="438">
        <f t="shared" si="2"/>
        <v>1</v>
      </c>
      <c r="M15" s="437">
        <v>6.48</v>
      </c>
      <c r="N15" s="438">
        <f t="shared" si="3"/>
        <v>2.2087395187129322E-2</v>
      </c>
      <c r="O15" s="439">
        <f t="shared" si="4"/>
        <v>299.86</v>
      </c>
      <c r="P15" s="438">
        <f t="shared" si="5"/>
        <v>1.0220873951871294</v>
      </c>
      <c r="Q15" s="436">
        <v>1.04</v>
      </c>
      <c r="R15" s="438">
        <f t="shared" si="6"/>
        <v>3.5448905855886563E-3</v>
      </c>
      <c r="S15" s="446">
        <f t="shared" si="7"/>
        <v>529.84880000000021</v>
      </c>
      <c r="T15" s="439">
        <f t="shared" si="8"/>
        <v>6.4800000000000182</v>
      </c>
      <c r="U15" s="438">
        <f t="shared" si="9"/>
        <v>2.2087395187129384E-2</v>
      </c>
      <c r="V15" s="450">
        <f t="shared" si="10"/>
        <v>5.4400000000000182</v>
      </c>
      <c r="W15" s="451">
        <f t="shared" si="11"/>
        <v>1.8542504601540725E-2</v>
      </c>
      <c r="X15" s="452">
        <f t="shared" si="12"/>
        <v>2771.5168000000099</v>
      </c>
      <c r="Y15" s="364" t="s">
        <v>463</v>
      </c>
      <c r="Z15" s="364" t="s">
        <v>312</v>
      </c>
      <c r="AA15" s="365"/>
      <c r="AB15" s="365"/>
      <c r="AC15" s="365">
        <v>1</v>
      </c>
      <c r="AD15" s="440" t="s">
        <v>469</v>
      </c>
      <c r="AH15" s="367"/>
    </row>
    <row r="16" spans="2:39" s="147" customFormat="1" ht="27" customHeight="1">
      <c r="B16" s="538"/>
      <c r="C16" s="539"/>
      <c r="D16" s="360">
        <v>12</v>
      </c>
      <c r="E16" s="434" t="s">
        <v>451</v>
      </c>
      <c r="F16" s="362">
        <f t="shared" si="0"/>
        <v>3256.1013999999927</v>
      </c>
      <c r="G16" s="363">
        <v>70.220000000000013</v>
      </c>
      <c r="H16" s="436">
        <v>1926.54</v>
      </c>
      <c r="I16" s="436">
        <v>1926.54</v>
      </c>
      <c r="J16" s="438">
        <f t="shared" si="1"/>
        <v>1</v>
      </c>
      <c r="K16" s="437">
        <v>1926.54</v>
      </c>
      <c r="L16" s="438">
        <f t="shared" si="2"/>
        <v>1</v>
      </c>
      <c r="M16" s="437">
        <v>46.37</v>
      </c>
      <c r="N16" s="438">
        <f t="shared" si="3"/>
        <v>2.4069056443157162E-2</v>
      </c>
      <c r="O16" s="439">
        <f t="shared" si="4"/>
        <v>1972.9099999999999</v>
      </c>
      <c r="P16" s="438">
        <f t="shared" si="5"/>
        <v>1.0240690564431572</v>
      </c>
      <c r="Q16" s="436">
        <v>11.59</v>
      </c>
      <c r="R16" s="438">
        <f t="shared" si="6"/>
        <v>6.0159664476211235E-3</v>
      </c>
      <c r="S16" s="446">
        <f t="shared" si="7"/>
        <v>813.84980000000019</v>
      </c>
      <c r="T16" s="439">
        <f t="shared" si="8"/>
        <v>46.369999999999891</v>
      </c>
      <c r="U16" s="438">
        <f t="shared" si="9"/>
        <v>2.4069056443157107E-2</v>
      </c>
      <c r="V16" s="450">
        <f t="shared" si="10"/>
        <v>34.779999999999887</v>
      </c>
      <c r="W16" s="451">
        <f t="shared" si="11"/>
        <v>1.8053089995535981E-2</v>
      </c>
      <c r="X16" s="452">
        <f t="shared" si="12"/>
        <v>2442.2515999999928</v>
      </c>
      <c r="Y16" s="364" t="s">
        <v>463</v>
      </c>
      <c r="Z16" s="364" t="s">
        <v>312</v>
      </c>
      <c r="AA16" s="365"/>
      <c r="AB16" s="365"/>
      <c r="AC16" s="365">
        <v>1</v>
      </c>
      <c r="AD16" s="440" t="s">
        <v>470</v>
      </c>
      <c r="AH16" s="367"/>
    </row>
    <row r="17" spans="2:39" s="147" customFormat="1" ht="27" customHeight="1">
      <c r="B17" s="538"/>
      <c r="C17" s="539"/>
      <c r="D17" s="360">
        <v>13</v>
      </c>
      <c r="E17" s="434" t="s">
        <v>329</v>
      </c>
      <c r="F17" s="362">
        <f t="shared" si="0"/>
        <v>3217.2425999999846</v>
      </c>
      <c r="G17" s="363">
        <v>426.69</v>
      </c>
      <c r="H17" s="436">
        <v>745.88</v>
      </c>
      <c r="I17" s="436">
        <v>745.88</v>
      </c>
      <c r="J17" s="438">
        <f t="shared" si="1"/>
        <v>1</v>
      </c>
      <c r="K17" s="437">
        <v>745.88</v>
      </c>
      <c r="L17" s="438">
        <f t="shared" si="2"/>
        <v>1</v>
      </c>
      <c r="M17" s="437">
        <v>7.54</v>
      </c>
      <c r="N17" s="438">
        <f t="shared" si="3"/>
        <v>1.010886469673406E-2</v>
      </c>
      <c r="O17" s="439">
        <f t="shared" si="4"/>
        <v>753.42</v>
      </c>
      <c r="P17" s="438">
        <f t="shared" si="5"/>
        <v>1.010108864696734</v>
      </c>
      <c r="Q17" s="436">
        <v>1.95</v>
      </c>
      <c r="R17" s="438">
        <f t="shared" si="6"/>
        <v>2.6143615595001874E-3</v>
      </c>
      <c r="S17" s="446">
        <f t="shared" si="7"/>
        <v>832.04549999999995</v>
      </c>
      <c r="T17" s="439">
        <f t="shared" si="8"/>
        <v>7.5399999999999636</v>
      </c>
      <c r="U17" s="438">
        <f t="shared" si="9"/>
        <v>1.0108864696734011E-2</v>
      </c>
      <c r="V17" s="450">
        <f t="shared" si="10"/>
        <v>5.5899999999999634</v>
      </c>
      <c r="W17" s="451">
        <f t="shared" si="11"/>
        <v>7.4945031372338228E-3</v>
      </c>
      <c r="X17" s="452">
        <f t="shared" si="12"/>
        <v>2385.1970999999844</v>
      </c>
      <c r="Y17" s="364" t="s">
        <v>463</v>
      </c>
      <c r="Z17" s="364" t="s">
        <v>312</v>
      </c>
      <c r="AA17" s="365"/>
      <c r="AB17" s="365"/>
      <c r="AC17" s="365">
        <v>1</v>
      </c>
      <c r="AD17" s="440" t="s">
        <v>328</v>
      </c>
    </row>
    <row r="18" spans="2:39" s="147" customFormat="1" ht="27" customHeight="1">
      <c r="B18" s="538"/>
      <c r="C18" s="539"/>
      <c r="D18" s="360">
        <v>14</v>
      </c>
      <c r="E18" s="434" t="s">
        <v>471</v>
      </c>
      <c r="F18" s="362">
        <f t="shared" si="0"/>
        <v>3086.356000000008</v>
      </c>
      <c r="G18" s="363">
        <v>339.16</v>
      </c>
      <c r="H18" s="436">
        <v>440.16999999999996</v>
      </c>
      <c r="I18" s="436">
        <v>440.16999999999996</v>
      </c>
      <c r="J18" s="438">
        <f t="shared" si="1"/>
        <v>1</v>
      </c>
      <c r="K18" s="437">
        <v>440.16999999999996</v>
      </c>
      <c r="L18" s="438">
        <f t="shared" si="2"/>
        <v>1</v>
      </c>
      <c r="M18" s="437">
        <v>9.1000000000000014</v>
      </c>
      <c r="N18" s="438">
        <f t="shared" si="3"/>
        <v>2.067383056546335E-2</v>
      </c>
      <c r="O18" s="439">
        <f t="shared" si="4"/>
        <v>449.27</v>
      </c>
      <c r="P18" s="438">
        <f t="shared" si="5"/>
        <v>1.0206738305654635</v>
      </c>
      <c r="Q18" s="436">
        <v>1.6099999999999999</v>
      </c>
      <c r="R18" s="438">
        <f t="shared" si="6"/>
        <v>3.6576777154281302E-3</v>
      </c>
      <c r="S18" s="446">
        <f t="shared" si="7"/>
        <v>546.04759999999999</v>
      </c>
      <c r="T18" s="439">
        <f t="shared" si="8"/>
        <v>9.1000000000000227</v>
      </c>
      <c r="U18" s="438">
        <f t="shared" si="9"/>
        <v>2.0673830565463399E-2</v>
      </c>
      <c r="V18" s="450">
        <f t="shared" si="10"/>
        <v>7.4900000000000233</v>
      </c>
      <c r="W18" s="451">
        <f t="shared" si="11"/>
        <v>1.7016152850035268E-2</v>
      </c>
      <c r="X18" s="452">
        <f t="shared" si="12"/>
        <v>2540.3084000000081</v>
      </c>
      <c r="Y18" s="364" t="s">
        <v>463</v>
      </c>
      <c r="Z18" s="364" t="s">
        <v>312</v>
      </c>
      <c r="AA18" s="365"/>
      <c r="AB18" s="365"/>
      <c r="AC18" s="365">
        <v>1</v>
      </c>
      <c r="AD18" s="440" t="s">
        <v>472</v>
      </c>
    </row>
    <row r="19" spans="2:39" s="147" customFormat="1" ht="27" customHeight="1">
      <c r="B19" s="538"/>
      <c r="C19" s="539"/>
      <c r="D19" s="360">
        <v>15</v>
      </c>
      <c r="E19" s="434" t="s">
        <v>473</v>
      </c>
      <c r="F19" s="362">
        <f t="shared" si="0"/>
        <v>3045.0693000000069</v>
      </c>
      <c r="G19" s="363">
        <v>193.82999999999998</v>
      </c>
      <c r="H19" s="436">
        <v>1530.62</v>
      </c>
      <c r="I19" s="436">
        <v>1530.62</v>
      </c>
      <c r="J19" s="438">
        <f t="shared" si="1"/>
        <v>1</v>
      </c>
      <c r="K19" s="437">
        <v>1530.62</v>
      </c>
      <c r="L19" s="438">
        <f t="shared" si="2"/>
        <v>1</v>
      </c>
      <c r="M19" s="437">
        <v>15.71</v>
      </c>
      <c r="N19" s="438">
        <f t="shared" si="3"/>
        <v>1.026381466333904E-2</v>
      </c>
      <c r="O19" s="439">
        <f t="shared" si="4"/>
        <v>1546.33</v>
      </c>
      <c r="P19" s="438">
        <f t="shared" si="5"/>
        <v>1.0102638146633391</v>
      </c>
      <c r="Q19" s="436">
        <v>3.4499999999999997</v>
      </c>
      <c r="R19" s="438">
        <f t="shared" si="6"/>
        <v>2.2539885797911957E-3</v>
      </c>
      <c r="S19" s="446">
        <f t="shared" si="7"/>
        <v>668.71349999999984</v>
      </c>
      <c r="T19" s="439">
        <f t="shared" si="8"/>
        <v>15.710000000000036</v>
      </c>
      <c r="U19" s="438">
        <f t="shared" si="9"/>
        <v>1.0263814663339064E-2</v>
      </c>
      <c r="V19" s="450">
        <f t="shared" si="10"/>
        <v>12.260000000000037</v>
      </c>
      <c r="W19" s="451">
        <f t="shared" si="11"/>
        <v>8.0098260835478677E-3</v>
      </c>
      <c r="X19" s="452">
        <f t="shared" si="12"/>
        <v>2376.3558000000071</v>
      </c>
      <c r="Y19" s="364" t="s">
        <v>463</v>
      </c>
      <c r="Z19" s="364" t="s">
        <v>312</v>
      </c>
      <c r="AA19" s="365"/>
      <c r="AB19" s="365"/>
      <c r="AC19" s="365">
        <v>1</v>
      </c>
      <c r="AD19" s="440" t="s">
        <v>474</v>
      </c>
    </row>
    <row r="20" spans="2:39" s="147" customFormat="1" ht="27" customHeight="1">
      <c r="B20" s="538"/>
      <c r="C20" s="539"/>
      <c r="D20" s="360">
        <v>16</v>
      </c>
      <c r="E20" s="434" t="s">
        <v>448</v>
      </c>
      <c r="F20" s="362">
        <f t="shared" si="0"/>
        <v>3010.6560000000004</v>
      </c>
      <c r="G20" s="363">
        <v>142.54999999999998</v>
      </c>
      <c r="H20" s="436">
        <v>605.73</v>
      </c>
      <c r="I20" s="436">
        <v>605.73</v>
      </c>
      <c r="J20" s="438">
        <f t="shared" si="1"/>
        <v>1</v>
      </c>
      <c r="K20" s="437">
        <v>605.73</v>
      </c>
      <c r="L20" s="438">
        <f t="shared" si="2"/>
        <v>1</v>
      </c>
      <c r="M20" s="437">
        <v>21.119999999999997</v>
      </c>
      <c r="N20" s="438">
        <f t="shared" si="3"/>
        <v>3.4867019959387839E-2</v>
      </c>
      <c r="O20" s="439">
        <f t="shared" si="4"/>
        <v>626.85</v>
      </c>
      <c r="P20" s="438">
        <f t="shared" si="5"/>
        <v>1.0348670199593879</v>
      </c>
      <c r="Q20" s="436">
        <v>5.7100000000000009</v>
      </c>
      <c r="R20" s="438">
        <f t="shared" si="6"/>
        <v>9.4266422333382869E-3</v>
      </c>
      <c r="S20" s="446">
        <f t="shared" si="7"/>
        <v>813.96050000000002</v>
      </c>
      <c r="T20" s="439">
        <f t="shared" si="8"/>
        <v>21.120000000000005</v>
      </c>
      <c r="U20" s="438">
        <f t="shared" si="9"/>
        <v>3.4867019959387853E-2</v>
      </c>
      <c r="V20" s="450">
        <f t="shared" si="10"/>
        <v>15.410000000000004</v>
      </c>
      <c r="W20" s="451">
        <f t="shared" si="11"/>
        <v>2.5440377726049564E-2</v>
      </c>
      <c r="X20" s="452">
        <f t="shared" si="12"/>
        <v>2196.6955000000003</v>
      </c>
      <c r="Y20" s="364" t="s">
        <v>463</v>
      </c>
      <c r="Z20" s="364" t="s">
        <v>312</v>
      </c>
      <c r="AA20" s="365"/>
      <c r="AB20" s="365"/>
      <c r="AC20" s="365">
        <v>1</v>
      </c>
      <c r="AD20" s="440" t="s">
        <v>339</v>
      </c>
    </row>
    <row r="21" spans="2:39" s="147" customFormat="1" ht="27" customHeight="1">
      <c r="B21" s="538"/>
      <c r="C21" s="539"/>
      <c r="D21" s="360">
        <v>17</v>
      </c>
      <c r="E21" s="434" t="s">
        <v>475</v>
      </c>
      <c r="F21" s="362">
        <f t="shared" si="0"/>
        <v>2923.6038000000112</v>
      </c>
      <c r="G21" s="363">
        <v>99.51</v>
      </c>
      <c r="H21" s="436">
        <v>1279.8000000000002</v>
      </c>
      <c r="I21" s="436">
        <v>1279.8000000000002</v>
      </c>
      <c r="J21" s="438">
        <f t="shared" si="1"/>
        <v>1</v>
      </c>
      <c r="K21" s="437">
        <v>1279.8000000000002</v>
      </c>
      <c r="L21" s="438">
        <f t="shared" si="2"/>
        <v>1</v>
      </c>
      <c r="M21" s="437">
        <v>29.380000000000003</v>
      </c>
      <c r="N21" s="438">
        <f t="shared" si="3"/>
        <v>2.2956711986247848E-2</v>
      </c>
      <c r="O21" s="439">
        <f t="shared" si="4"/>
        <v>1309.1800000000003</v>
      </c>
      <c r="P21" s="438">
        <f t="shared" si="5"/>
        <v>1.0229567119862479</v>
      </c>
      <c r="Q21" s="436">
        <v>8.1699999999999982</v>
      </c>
      <c r="R21" s="438">
        <f t="shared" si="6"/>
        <v>6.3838099703078582E-3</v>
      </c>
      <c r="S21" s="446">
        <f t="shared" si="7"/>
        <v>812.99669999999981</v>
      </c>
      <c r="T21" s="439">
        <f t="shared" si="8"/>
        <v>29.380000000000109</v>
      </c>
      <c r="U21" s="438">
        <f t="shared" si="9"/>
        <v>2.2956711986247932E-2</v>
      </c>
      <c r="V21" s="450">
        <f t="shared" si="10"/>
        <v>21.210000000000111</v>
      </c>
      <c r="W21" s="451">
        <f t="shared" si="11"/>
        <v>1.6572902015940076E-2</v>
      </c>
      <c r="X21" s="452">
        <f t="shared" si="12"/>
        <v>2110.6071000000111</v>
      </c>
      <c r="Y21" s="364" t="s">
        <v>463</v>
      </c>
      <c r="Z21" s="364" t="s">
        <v>312</v>
      </c>
      <c r="AA21" s="365"/>
      <c r="AB21" s="365"/>
      <c r="AC21" s="365">
        <v>1</v>
      </c>
      <c r="AD21" s="440" t="s">
        <v>232</v>
      </c>
    </row>
    <row r="22" spans="2:39" s="147" customFormat="1" ht="27" customHeight="1">
      <c r="B22" s="538"/>
      <c r="C22" s="539"/>
      <c r="D22" s="360">
        <v>18</v>
      </c>
      <c r="E22" s="434" t="s">
        <v>447</v>
      </c>
      <c r="F22" s="362">
        <f t="shared" si="0"/>
        <v>2881.3740000000053</v>
      </c>
      <c r="G22" s="363">
        <v>84.3</v>
      </c>
      <c r="H22" s="436">
        <v>1385.0500000000002</v>
      </c>
      <c r="I22" s="436">
        <v>1385.0500000000002</v>
      </c>
      <c r="J22" s="438">
        <f t="shared" si="1"/>
        <v>1</v>
      </c>
      <c r="K22" s="437">
        <v>1385.0500000000002</v>
      </c>
      <c r="L22" s="438">
        <f t="shared" si="2"/>
        <v>1</v>
      </c>
      <c r="M22" s="437">
        <v>34.18</v>
      </c>
      <c r="N22" s="438">
        <f t="shared" si="3"/>
        <v>2.4677809465362258E-2</v>
      </c>
      <c r="O22" s="439">
        <f t="shared" si="4"/>
        <v>1419.2300000000002</v>
      </c>
      <c r="P22" s="438">
        <f t="shared" si="5"/>
        <v>1.0246778094653624</v>
      </c>
      <c r="Q22" s="436">
        <v>9.66</v>
      </c>
      <c r="R22" s="438">
        <f t="shared" si="6"/>
        <v>6.9744774556875196E-3</v>
      </c>
      <c r="S22" s="446">
        <f t="shared" si="7"/>
        <v>814.33799999999997</v>
      </c>
      <c r="T22" s="439">
        <f t="shared" si="8"/>
        <v>34.180000000000064</v>
      </c>
      <c r="U22" s="438">
        <f t="shared" si="9"/>
        <v>2.4677809465362303E-2</v>
      </c>
      <c r="V22" s="450">
        <f t="shared" si="10"/>
        <v>24.520000000000064</v>
      </c>
      <c r="W22" s="451">
        <f t="shared" si="11"/>
        <v>1.7703332009674784E-2</v>
      </c>
      <c r="X22" s="452">
        <f t="shared" si="12"/>
        <v>2067.0360000000051</v>
      </c>
      <c r="Y22" s="364" t="s">
        <v>463</v>
      </c>
      <c r="Z22" s="364" t="s">
        <v>312</v>
      </c>
      <c r="AA22" s="365"/>
      <c r="AB22" s="365"/>
      <c r="AC22" s="365">
        <v>1</v>
      </c>
      <c r="AD22" s="440" t="s">
        <v>234</v>
      </c>
    </row>
    <row r="23" spans="2:39" s="147" customFormat="1" ht="27" customHeight="1">
      <c r="B23" s="538"/>
      <c r="C23" s="539"/>
      <c r="D23" s="360">
        <v>19</v>
      </c>
      <c r="E23" s="434" t="s">
        <v>476</v>
      </c>
      <c r="F23" s="362">
        <f t="shared" si="0"/>
        <v>2858.509800000003</v>
      </c>
      <c r="G23" s="363">
        <v>189.18000000000004</v>
      </c>
      <c r="H23" s="436">
        <v>485.56</v>
      </c>
      <c r="I23" s="436">
        <v>485.56</v>
      </c>
      <c r="J23" s="438">
        <f t="shared" si="1"/>
        <v>1</v>
      </c>
      <c r="K23" s="437">
        <v>485.56</v>
      </c>
      <c r="L23" s="438">
        <f t="shared" si="2"/>
        <v>1</v>
      </c>
      <c r="M23" s="437">
        <v>15.110000000000001</v>
      </c>
      <c r="N23" s="438">
        <f t="shared" si="3"/>
        <v>3.1118708295576246E-2</v>
      </c>
      <c r="O23" s="439">
        <f t="shared" si="4"/>
        <v>500.67</v>
      </c>
      <c r="P23" s="438">
        <f t="shared" si="5"/>
        <v>1.0311187082955762</v>
      </c>
      <c r="Q23" s="436">
        <v>4.3</v>
      </c>
      <c r="R23" s="438">
        <f t="shared" si="6"/>
        <v>8.8557541807397638E-3</v>
      </c>
      <c r="S23" s="446">
        <f t="shared" si="7"/>
        <v>813.47400000000016</v>
      </c>
      <c r="T23" s="439">
        <f t="shared" si="8"/>
        <v>15.110000000000014</v>
      </c>
      <c r="U23" s="438">
        <f t="shared" si="9"/>
        <v>3.111870829557627E-2</v>
      </c>
      <c r="V23" s="450">
        <f t="shared" si="10"/>
        <v>10.810000000000013</v>
      </c>
      <c r="W23" s="451">
        <f t="shared" si="11"/>
        <v>2.2262954114836503E-2</v>
      </c>
      <c r="X23" s="452">
        <f t="shared" si="12"/>
        <v>2045.0358000000028</v>
      </c>
      <c r="Y23" s="364" t="s">
        <v>463</v>
      </c>
      <c r="Z23" s="364" t="s">
        <v>312</v>
      </c>
      <c r="AA23" s="365"/>
      <c r="AB23" s="365"/>
      <c r="AC23" s="365">
        <v>1</v>
      </c>
      <c r="AD23" s="440" t="s">
        <v>238</v>
      </c>
    </row>
    <row r="24" spans="2:39" s="147" customFormat="1" ht="27" customHeight="1">
      <c r="B24" s="540"/>
      <c r="C24" s="541"/>
      <c r="D24" s="360">
        <v>20</v>
      </c>
      <c r="E24" s="434" t="s">
        <v>449</v>
      </c>
      <c r="F24" s="362">
        <f t="shared" si="0"/>
        <v>2851.0943999999927</v>
      </c>
      <c r="G24" s="363">
        <v>113.68000000000004</v>
      </c>
      <c r="H24" s="436">
        <v>1003.3</v>
      </c>
      <c r="I24" s="436">
        <v>1003.3</v>
      </c>
      <c r="J24" s="438">
        <f t="shared" si="1"/>
        <v>1</v>
      </c>
      <c r="K24" s="437">
        <v>1003.3</v>
      </c>
      <c r="L24" s="438">
        <f t="shared" si="2"/>
        <v>1</v>
      </c>
      <c r="M24" s="437">
        <v>25.080000000000002</v>
      </c>
      <c r="N24" s="438">
        <f t="shared" si="3"/>
        <v>2.4997508222864551E-2</v>
      </c>
      <c r="O24" s="439">
        <f t="shared" si="4"/>
        <v>1028.3799999999999</v>
      </c>
      <c r="P24" s="438">
        <f t="shared" si="5"/>
        <v>1.0249975082228644</v>
      </c>
      <c r="Q24" s="436">
        <v>7.160000000000001</v>
      </c>
      <c r="R24" s="438">
        <f t="shared" si="6"/>
        <v>7.1364497159374079E-3</v>
      </c>
      <c r="S24" s="446">
        <f t="shared" si="7"/>
        <v>813.94880000000035</v>
      </c>
      <c r="T24" s="439">
        <f t="shared" si="8"/>
        <v>25.079999999999927</v>
      </c>
      <c r="U24" s="438">
        <f t="shared" si="9"/>
        <v>2.4997508222864475E-2</v>
      </c>
      <c r="V24" s="450">
        <f t="shared" si="10"/>
        <v>17.919999999999927</v>
      </c>
      <c r="W24" s="451">
        <f t="shared" si="11"/>
        <v>1.7861058506927069E-2</v>
      </c>
      <c r="X24" s="452">
        <f t="shared" si="12"/>
        <v>2037.1455999999923</v>
      </c>
      <c r="Y24" s="364" t="s">
        <v>463</v>
      </c>
      <c r="Z24" s="364" t="s">
        <v>312</v>
      </c>
      <c r="AA24" s="365"/>
      <c r="AB24" s="365"/>
      <c r="AC24" s="365">
        <v>1</v>
      </c>
      <c r="AD24" s="440" t="s">
        <v>235</v>
      </c>
    </row>
    <row r="25" spans="2:39" ht="17.100000000000001" customHeight="1">
      <c r="B25" s="552" t="s">
        <v>415</v>
      </c>
      <c r="C25" s="553"/>
      <c r="D25" s="556" t="s">
        <v>416</v>
      </c>
      <c r="E25" s="557" t="s">
        <v>417</v>
      </c>
      <c r="F25" s="558" t="s">
        <v>461</v>
      </c>
      <c r="G25" s="525" t="s">
        <v>419</v>
      </c>
      <c r="H25" s="560" t="s">
        <v>420</v>
      </c>
      <c r="I25" s="542" t="s">
        <v>421</v>
      </c>
      <c r="J25" s="543"/>
      <c r="K25" s="542" t="s">
        <v>422</v>
      </c>
      <c r="L25" s="543"/>
      <c r="M25" s="542" t="s">
        <v>423</v>
      </c>
      <c r="N25" s="543"/>
      <c r="O25" s="542" t="s">
        <v>424</v>
      </c>
      <c r="P25" s="543"/>
      <c r="Q25" s="542" t="s">
        <v>375</v>
      </c>
      <c r="R25" s="544"/>
      <c r="S25" s="543"/>
      <c r="T25" s="545" t="s">
        <v>462</v>
      </c>
      <c r="U25" s="546"/>
      <c r="V25" s="547" t="s">
        <v>425</v>
      </c>
      <c r="W25" s="548"/>
      <c r="X25" s="549"/>
      <c r="Y25" s="550" t="s">
        <v>426</v>
      </c>
      <c r="Z25" s="550" t="s">
        <v>427</v>
      </c>
      <c r="AA25" s="550" t="s">
        <v>428</v>
      </c>
      <c r="AB25" s="550" t="s">
        <v>429</v>
      </c>
      <c r="AC25" s="550" t="s">
        <v>430</v>
      </c>
      <c r="AD25" s="525" t="s">
        <v>431</v>
      </c>
      <c r="AF25" s="527" t="s">
        <v>432</v>
      </c>
      <c r="AG25" s="528"/>
      <c r="AH25" s="528"/>
      <c r="AI25" s="528"/>
      <c r="AJ25" s="528"/>
      <c r="AK25" s="528"/>
      <c r="AL25" s="528"/>
      <c r="AM25" s="529"/>
    </row>
    <row r="26" spans="2:39" ht="16.5" customHeight="1">
      <c r="B26" s="554"/>
      <c r="C26" s="555"/>
      <c r="D26" s="556"/>
      <c r="E26" s="556"/>
      <c r="F26" s="559"/>
      <c r="G26" s="526"/>
      <c r="H26" s="526"/>
      <c r="I26" s="433" t="s">
        <v>433</v>
      </c>
      <c r="J26" s="361" t="s">
        <v>434</v>
      </c>
      <c r="K26" s="433" t="s">
        <v>433</v>
      </c>
      <c r="L26" s="361" t="s">
        <v>434</v>
      </c>
      <c r="M26" s="433" t="s">
        <v>433</v>
      </c>
      <c r="N26" s="361" t="s">
        <v>434</v>
      </c>
      <c r="O26" s="433" t="s">
        <v>433</v>
      </c>
      <c r="P26" s="361" t="s">
        <v>434</v>
      </c>
      <c r="Q26" s="433" t="s">
        <v>433</v>
      </c>
      <c r="R26" s="361" t="s">
        <v>434</v>
      </c>
      <c r="S26" s="361" t="s">
        <v>435</v>
      </c>
      <c r="T26" s="433" t="s">
        <v>433</v>
      </c>
      <c r="U26" s="361" t="s">
        <v>434</v>
      </c>
      <c r="V26" s="433" t="s">
        <v>433</v>
      </c>
      <c r="W26" s="361" t="s">
        <v>434</v>
      </c>
      <c r="X26" s="361" t="s">
        <v>435</v>
      </c>
      <c r="Y26" s="551"/>
      <c r="Z26" s="551"/>
      <c r="AA26" s="551"/>
      <c r="AB26" s="551"/>
      <c r="AC26" s="551"/>
      <c r="AD26" s="526"/>
      <c r="AF26" s="530"/>
      <c r="AG26" s="531"/>
      <c r="AH26" s="531"/>
      <c r="AI26" s="531"/>
      <c r="AJ26" s="531"/>
      <c r="AK26" s="531"/>
      <c r="AL26" s="531"/>
      <c r="AM26" s="532"/>
    </row>
    <row r="27" spans="2:39" s="147" customFormat="1" ht="27" customHeight="1">
      <c r="B27" s="536" t="s">
        <v>453</v>
      </c>
      <c r="C27" s="537"/>
      <c r="D27" s="360">
        <v>1</v>
      </c>
      <c r="E27" s="434"/>
      <c r="F27" s="362">
        <f>IFERROR(T27*G27,"-")</f>
        <v>0</v>
      </c>
      <c r="G27" s="363"/>
      <c r="H27" s="436"/>
      <c r="I27" s="436"/>
      <c r="J27" s="438" t="str">
        <f>IFERROR(I27/H27,"-")</f>
        <v>-</v>
      </c>
      <c r="K27" s="437"/>
      <c r="L27" s="438" t="str">
        <f>IFERROR(K27/H27,"-")</f>
        <v>-</v>
      </c>
      <c r="M27" s="437"/>
      <c r="N27" s="438" t="str">
        <f>IFERROR(M27/H27,"-")</f>
        <v>-</v>
      </c>
      <c r="O27" s="439">
        <f>IFERROR(K27+M27,"-")</f>
        <v>0</v>
      </c>
      <c r="P27" s="438" t="str">
        <f>IFERROR(O27/H27,"-")</f>
        <v>-</v>
      </c>
      <c r="Q27" s="436"/>
      <c r="R27" s="438" t="str">
        <f>IFERROR(Q27/H27,"-")</f>
        <v>-</v>
      </c>
      <c r="S27" s="446">
        <f>IFERROR(Q27*G27,"-")</f>
        <v>0</v>
      </c>
      <c r="T27" s="439">
        <f>IFERROR(O27-H27,"-")</f>
        <v>0</v>
      </c>
      <c r="U27" s="438" t="str">
        <f>IFERROR(T27/H27,"-")</f>
        <v>-</v>
      </c>
      <c r="V27" s="450">
        <f>T27-Q27</f>
        <v>0</v>
      </c>
      <c r="W27" s="451" t="str">
        <f>IFERROR(V27/H27,"-")</f>
        <v>-</v>
      </c>
      <c r="X27" s="452">
        <f>IFERROR(V27*G27,"-")</f>
        <v>0</v>
      </c>
      <c r="Y27" s="364" t="s">
        <v>463</v>
      </c>
      <c r="Z27" s="364" t="s">
        <v>347</v>
      </c>
      <c r="AA27" s="365"/>
      <c r="AB27" s="365"/>
      <c r="AC27" s="365">
        <v>1</v>
      </c>
      <c r="AD27" s="440"/>
      <c r="AF27" s="533"/>
      <c r="AG27" s="534"/>
      <c r="AH27" s="534"/>
      <c r="AI27" s="534"/>
      <c r="AJ27" s="534"/>
      <c r="AK27" s="534"/>
      <c r="AL27" s="534"/>
      <c r="AM27" s="535"/>
    </row>
    <row r="28" spans="2:39" s="147" customFormat="1" ht="27" customHeight="1">
      <c r="B28" s="538"/>
      <c r="C28" s="539"/>
      <c r="D28" s="360">
        <v>2</v>
      </c>
      <c r="E28" s="434"/>
      <c r="F28" s="362">
        <f t="shared" ref="F28:F46" si="16">IFERROR(T28*G28,"-")</f>
        <v>0</v>
      </c>
      <c r="G28" s="363"/>
      <c r="H28" s="436"/>
      <c r="I28" s="436"/>
      <c r="J28" s="438" t="str">
        <f t="shared" ref="J28:J46" si="17">IFERROR(I28/H28,"-")</f>
        <v>-</v>
      </c>
      <c r="K28" s="437"/>
      <c r="L28" s="438" t="str">
        <f t="shared" ref="L28:L46" si="18">IFERROR(K28/H28,"-")</f>
        <v>-</v>
      </c>
      <c r="M28" s="437"/>
      <c r="N28" s="438" t="str">
        <f t="shared" ref="N28:N46" si="19">IFERROR(M28/H28,"-")</f>
        <v>-</v>
      </c>
      <c r="O28" s="439">
        <f t="shared" ref="O28:O46" si="20">IFERROR(K28+M28,"-")</f>
        <v>0</v>
      </c>
      <c r="P28" s="438" t="str">
        <f t="shared" ref="P28:P46" si="21">IFERROR(O28/H28,"-")</f>
        <v>-</v>
      </c>
      <c r="Q28" s="436"/>
      <c r="R28" s="438" t="str">
        <f t="shared" ref="R28:R46" si="22">IFERROR(Q28/H28,"-")</f>
        <v>-</v>
      </c>
      <c r="S28" s="446">
        <f t="shared" ref="S28:S46" si="23">IFERROR(Q28*G28,"-")</f>
        <v>0</v>
      </c>
      <c r="T28" s="439">
        <f t="shared" ref="T28:T46" si="24">IFERROR(O28-H28,"-")</f>
        <v>0</v>
      </c>
      <c r="U28" s="438" t="str">
        <f t="shared" ref="U28:U46" si="25">IFERROR(T28/H28,"-")</f>
        <v>-</v>
      </c>
      <c r="V28" s="450">
        <f t="shared" ref="V28:V46" si="26">T28-Q28</f>
        <v>0</v>
      </c>
      <c r="W28" s="451" t="str">
        <f t="shared" ref="W28:W46" si="27">IFERROR(V28/H28,"-")</f>
        <v>-</v>
      </c>
      <c r="X28" s="452">
        <f t="shared" ref="X28:X46" si="28">IFERROR(V28*G28,"-")</f>
        <v>0</v>
      </c>
      <c r="Y28" s="364" t="s">
        <v>463</v>
      </c>
      <c r="Z28" s="364" t="s">
        <v>312</v>
      </c>
      <c r="AA28" s="365"/>
      <c r="AB28" s="365"/>
      <c r="AC28" s="365">
        <v>1</v>
      </c>
      <c r="AD28" s="440"/>
      <c r="AF28" s="160" t="s">
        <v>439</v>
      </c>
      <c r="AG28" s="160" t="s">
        <v>440</v>
      </c>
      <c r="AH28" s="155" t="s">
        <v>441</v>
      </c>
      <c r="AI28" s="155" t="s">
        <v>438</v>
      </c>
      <c r="AJ28" s="155" t="s">
        <v>312</v>
      </c>
      <c r="AK28" s="155" t="s">
        <v>347</v>
      </c>
      <c r="AL28" s="155" t="s">
        <v>352</v>
      </c>
      <c r="AM28" s="155" t="s">
        <v>442</v>
      </c>
    </row>
    <row r="29" spans="2:39" s="147" customFormat="1" ht="27" customHeight="1">
      <c r="B29" s="538"/>
      <c r="C29" s="539"/>
      <c r="D29" s="360">
        <v>3</v>
      </c>
      <c r="E29" s="434"/>
      <c r="F29" s="362">
        <f t="shared" si="16"/>
        <v>0</v>
      </c>
      <c r="G29" s="363"/>
      <c r="H29" s="436"/>
      <c r="I29" s="436"/>
      <c r="J29" s="438" t="str">
        <f t="shared" si="17"/>
        <v>-</v>
      </c>
      <c r="K29" s="437"/>
      <c r="L29" s="438" t="str">
        <f t="shared" si="18"/>
        <v>-</v>
      </c>
      <c r="M29" s="437"/>
      <c r="N29" s="438" t="str">
        <f t="shared" si="19"/>
        <v>-</v>
      </c>
      <c r="O29" s="439">
        <f t="shared" si="20"/>
        <v>0</v>
      </c>
      <c r="P29" s="438" t="str">
        <f t="shared" si="21"/>
        <v>-</v>
      </c>
      <c r="Q29" s="436"/>
      <c r="R29" s="438" t="str">
        <f t="shared" si="22"/>
        <v>-</v>
      </c>
      <c r="S29" s="446">
        <f t="shared" si="23"/>
        <v>0</v>
      </c>
      <c r="T29" s="439">
        <f t="shared" si="24"/>
        <v>0</v>
      </c>
      <c r="U29" s="438" t="str">
        <f t="shared" si="25"/>
        <v>-</v>
      </c>
      <c r="V29" s="450">
        <f t="shared" si="26"/>
        <v>0</v>
      </c>
      <c r="W29" s="451" t="str">
        <f t="shared" si="27"/>
        <v>-</v>
      </c>
      <c r="X29" s="452">
        <f t="shared" si="28"/>
        <v>0</v>
      </c>
      <c r="Y29" s="364" t="s">
        <v>463</v>
      </c>
      <c r="Z29" s="364" t="s">
        <v>312</v>
      </c>
      <c r="AA29" s="365"/>
      <c r="AB29" s="365"/>
      <c r="AC29" s="365">
        <v>1</v>
      </c>
      <c r="AD29" s="440"/>
      <c r="AF29" s="370">
        <f>SUM(AC27:AC46)</f>
        <v>20</v>
      </c>
      <c r="AG29" s="366">
        <f>SUMIF($Z$27:$Z$46,TRIM(AG28),$AC$27:$AC$46)</f>
        <v>0</v>
      </c>
      <c r="AH29" s="366">
        <f t="shared" ref="AH29:AM29" si="29">SUMIF($Z$27:$Z$46,TRIM(AH28),$AC$27:$AC$46)</f>
        <v>0</v>
      </c>
      <c r="AI29" s="366">
        <f t="shared" si="29"/>
        <v>0</v>
      </c>
      <c r="AJ29" s="366">
        <f t="shared" si="29"/>
        <v>18</v>
      </c>
      <c r="AK29" s="366">
        <f t="shared" si="29"/>
        <v>1</v>
      </c>
      <c r="AL29" s="366">
        <f t="shared" si="29"/>
        <v>1</v>
      </c>
      <c r="AM29" s="366">
        <f t="shared" si="29"/>
        <v>0</v>
      </c>
    </row>
    <row r="30" spans="2:39" s="147" customFormat="1" ht="27" customHeight="1">
      <c r="B30" s="538"/>
      <c r="C30" s="539"/>
      <c r="D30" s="360">
        <v>4</v>
      </c>
      <c r="E30" s="434"/>
      <c r="F30" s="362">
        <f t="shared" si="16"/>
        <v>0</v>
      </c>
      <c r="G30" s="363"/>
      <c r="H30" s="436"/>
      <c r="I30" s="436"/>
      <c r="J30" s="438" t="str">
        <f t="shared" si="17"/>
        <v>-</v>
      </c>
      <c r="K30" s="437"/>
      <c r="L30" s="438" t="str">
        <f t="shared" si="18"/>
        <v>-</v>
      </c>
      <c r="M30" s="437"/>
      <c r="N30" s="438" t="str">
        <f t="shared" si="19"/>
        <v>-</v>
      </c>
      <c r="O30" s="439">
        <f t="shared" si="20"/>
        <v>0</v>
      </c>
      <c r="P30" s="438" t="str">
        <f t="shared" si="21"/>
        <v>-</v>
      </c>
      <c r="Q30" s="436"/>
      <c r="R30" s="438" t="str">
        <f t="shared" si="22"/>
        <v>-</v>
      </c>
      <c r="S30" s="446">
        <f t="shared" si="23"/>
        <v>0</v>
      </c>
      <c r="T30" s="439">
        <f t="shared" si="24"/>
        <v>0</v>
      </c>
      <c r="U30" s="438" t="str">
        <f t="shared" si="25"/>
        <v>-</v>
      </c>
      <c r="V30" s="450">
        <f t="shared" si="26"/>
        <v>0</v>
      </c>
      <c r="W30" s="451" t="str">
        <f t="shared" si="27"/>
        <v>-</v>
      </c>
      <c r="X30" s="452">
        <f t="shared" si="28"/>
        <v>0</v>
      </c>
      <c r="Y30" s="364" t="s">
        <v>463</v>
      </c>
      <c r="Z30" s="364" t="s">
        <v>312</v>
      </c>
      <c r="AA30" s="365"/>
      <c r="AB30" s="365"/>
      <c r="AC30" s="365">
        <v>1</v>
      </c>
      <c r="AD30" s="440"/>
      <c r="AF30" s="371" t="s">
        <v>303</v>
      </c>
      <c r="AG30" s="368">
        <f>SUMIF($Z$27:$Z$46,TRIM(AG28),$F$27:$F$46)</f>
        <v>0</v>
      </c>
      <c r="AH30" s="368">
        <f t="shared" ref="AH30:AM30" si="30">SUMIF($Z$27:$Z$46,TRIM(AH28),$F$27:$F$46)</f>
        <v>0</v>
      </c>
      <c r="AI30" s="368">
        <f t="shared" si="30"/>
        <v>0</v>
      </c>
      <c r="AJ30" s="368">
        <f t="shared" si="30"/>
        <v>0</v>
      </c>
      <c r="AK30" s="368">
        <f t="shared" si="30"/>
        <v>0</v>
      </c>
      <c r="AL30" s="368">
        <f t="shared" si="30"/>
        <v>0</v>
      </c>
      <c r="AM30" s="368">
        <f t="shared" si="30"/>
        <v>0</v>
      </c>
    </row>
    <row r="31" spans="2:39" s="147" customFormat="1" ht="27" customHeight="1">
      <c r="B31" s="538"/>
      <c r="C31" s="539"/>
      <c r="D31" s="360">
        <v>5</v>
      </c>
      <c r="E31" s="434"/>
      <c r="F31" s="362">
        <f t="shared" si="16"/>
        <v>0</v>
      </c>
      <c r="G31" s="363"/>
      <c r="H31" s="436"/>
      <c r="I31" s="436"/>
      <c r="J31" s="438" t="str">
        <f t="shared" si="17"/>
        <v>-</v>
      </c>
      <c r="K31" s="437"/>
      <c r="L31" s="438" t="str">
        <f t="shared" si="18"/>
        <v>-</v>
      </c>
      <c r="M31" s="437"/>
      <c r="N31" s="438" t="str">
        <f t="shared" si="19"/>
        <v>-</v>
      </c>
      <c r="O31" s="439">
        <f t="shared" si="20"/>
        <v>0</v>
      </c>
      <c r="P31" s="438" t="str">
        <f t="shared" si="21"/>
        <v>-</v>
      </c>
      <c r="Q31" s="436"/>
      <c r="R31" s="438" t="str">
        <f t="shared" si="22"/>
        <v>-</v>
      </c>
      <c r="S31" s="446">
        <f t="shared" si="23"/>
        <v>0</v>
      </c>
      <c r="T31" s="439">
        <f t="shared" si="24"/>
        <v>0</v>
      </c>
      <c r="U31" s="438" t="str">
        <f t="shared" si="25"/>
        <v>-</v>
      </c>
      <c r="V31" s="450">
        <f t="shared" si="26"/>
        <v>0</v>
      </c>
      <c r="W31" s="451" t="str">
        <f t="shared" si="27"/>
        <v>-</v>
      </c>
      <c r="X31" s="452">
        <f t="shared" si="28"/>
        <v>0</v>
      </c>
      <c r="Y31" s="364" t="s">
        <v>463</v>
      </c>
      <c r="Z31" s="364" t="s">
        <v>312</v>
      </c>
      <c r="AA31" s="365"/>
      <c r="AB31" s="365"/>
      <c r="AC31" s="365">
        <v>1</v>
      </c>
      <c r="AD31" s="440"/>
      <c r="AF31" s="360" t="s">
        <v>443</v>
      </c>
      <c r="AG31" s="369">
        <f t="shared" ref="AG31:AM31" si="31">AG29/$AF29</f>
        <v>0</v>
      </c>
      <c r="AH31" s="369">
        <f t="shared" si="31"/>
        <v>0</v>
      </c>
      <c r="AI31" s="369">
        <f t="shared" si="31"/>
        <v>0</v>
      </c>
      <c r="AJ31" s="369">
        <f t="shared" si="31"/>
        <v>0.9</v>
      </c>
      <c r="AK31" s="369">
        <f t="shared" si="31"/>
        <v>0.05</v>
      </c>
      <c r="AL31" s="369">
        <f t="shared" si="31"/>
        <v>0.05</v>
      </c>
      <c r="AM31" s="369">
        <f t="shared" si="31"/>
        <v>0</v>
      </c>
    </row>
    <row r="32" spans="2:39" s="147" customFormat="1" ht="27" customHeight="1">
      <c r="B32" s="538"/>
      <c r="C32" s="539"/>
      <c r="D32" s="360">
        <v>6</v>
      </c>
      <c r="E32" s="434"/>
      <c r="F32" s="362">
        <f t="shared" si="16"/>
        <v>0</v>
      </c>
      <c r="G32" s="363"/>
      <c r="H32" s="436"/>
      <c r="I32" s="436"/>
      <c r="J32" s="438" t="str">
        <f t="shared" si="17"/>
        <v>-</v>
      </c>
      <c r="K32" s="437"/>
      <c r="L32" s="438" t="str">
        <f t="shared" si="18"/>
        <v>-</v>
      </c>
      <c r="M32" s="437"/>
      <c r="N32" s="438" t="str">
        <f t="shared" si="19"/>
        <v>-</v>
      </c>
      <c r="O32" s="439">
        <f t="shared" si="20"/>
        <v>0</v>
      </c>
      <c r="P32" s="438" t="str">
        <f t="shared" si="21"/>
        <v>-</v>
      </c>
      <c r="Q32" s="436"/>
      <c r="R32" s="438" t="str">
        <f t="shared" si="22"/>
        <v>-</v>
      </c>
      <c r="S32" s="446">
        <f t="shared" si="23"/>
        <v>0</v>
      </c>
      <c r="T32" s="439">
        <f t="shared" si="24"/>
        <v>0</v>
      </c>
      <c r="U32" s="438" t="str">
        <f t="shared" si="25"/>
        <v>-</v>
      </c>
      <c r="V32" s="450">
        <f t="shared" si="26"/>
        <v>0</v>
      </c>
      <c r="W32" s="451" t="str">
        <f t="shared" si="27"/>
        <v>-</v>
      </c>
      <c r="X32" s="452">
        <f t="shared" si="28"/>
        <v>0</v>
      </c>
      <c r="Y32" s="364" t="s">
        <v>463</v>
      </c>
      <c r="Z32" s="364" t="s">
        <v>352</v>
      </c>
      <c r="AA32" s="365"/>
      <c r="AB32" s="365"/>
      <c r="AC32" s="365">
        <v>1</v>
      </c>
      <c r="AD32" s="440"/>
    </row>
    <row r="33" spans="2:39" s="147" customFormat="1" ht="27" customHeight="1">
      <c r="B33" s="538"/>
      <c r="C33" s="539"/>
      <c r="D33" s="360">
        <v>7</v>
      </c>
      <c r="E33" s="434"/>
      <c r="F33" s="362">
        <f t="shared" si="16"/>
        <v>0</v>
      </c>
      <c r="G33" s="363"/>
      <c r="H33" s="436"/>
      <c r="I33" s="436"/>
      <c r="J33" s="438" t="str">
        <f t="shared" si="17"/>
        <v>-</v>
      </c>
      <c r="K33" s="437"/>
      <c r="L33" s="438" t="str">
        <f t="shared" si="18"/>
        <v>-</v>
      </c>
      <c r="M33" s="437"/>
      <c r="N33" s="438" t="str">
        <f t="shared" si="19"/>
        <v>-</v>
      </c>
      <c r="O33" s="439">
        <f t="shared" si="20"/>
        <v>0</v>
      </c>
      <c r="P33" s="438" t="str">
        <f t="shared" si="21"/>
        <v>-</v>
      </c>
      <c r="Q33" s="436"/>
      <c r="R33" s="438" t="str">
        <f t="shared" si="22"/>
        <v>-</v>
      </c>
      <c r="S33" s="446">
        <f t="shared" si="23"/>
        <v>0</v>
      </c>
      <c r="T33" s="439">
        <f t="shared" si="24"/>
        <v>0</v>
      </c>
      <c r="U33" s="438" t="str">
        <f t="shared" si="25"/>
        <v>-</v>
      </c>
      <c r="V33" s="450">
        <f t="shared" si="26"/>
        <v>0</v>
      </c>
      <c r="W33" s="451" t="str">
        <f t="shared" si="27"/>
        <v>-</v>
      </c>
      <c r="X33" s="452">
        <f t="shared" si="28"/>
        <v>0</v>
      </c>
      <c r="Y33" s="364" t="s">
        <v>463</v>
      </c>
      <c r="Z33" s="364" t="s">
        <v>312</v>
      </c>
      <c r="AA33" s="365"/>
      <c r="AB33" s="365"/>
      <c r="AC33" s="365">
        <v>1</v>
      </c>
      <c r="AD33" s="440"/>
    </row>
    <row r="34" spans="2:39" s="147" customFormat="1" ht="27" customHeight="1">
      <c r="B34" s="538"/>
      <c r="C34" s="539"/>
      <c r="D34" s="360">
        <v>8</v>
      </c>
      <c r="E34" s="434"/>
      <c r="F34" s="362">
        <f t="shared" si="16"/>
        <v>0</v>
      </c>
      <c r="G34" s="363"/>
      <c r="H34" s="436"/>
      <c r="I34" s="436"/>
      <c r="J34" s="438" t="str">
        <f t="shared" si="17"/>
        <v>-</v>
      </c>
      <c r="K34" s="437"/>
      <c r="L34" s="438" t="str">
        <f t="shared" si="18"/>
        <v>-</v>
      </c>
      <c r="M34" s="437"/>
      <c r="N34" s="438" t="str">
        <f t="shared" si="19"/>
        <v>-</v>
      </c>
      <c r="O34" s="439">
        <f t="shared" si="20"/>
        <v>0</v>
      </c>
      <c r="P34" s="438" t="str">
        <f t="shared" si="21"/>
        <v>-</v>
      </c>
      <c r="Q34" s="436"/>
      <c r="R34" s="438" t="str">
        <f t="shared" si="22"/>
        <v>-</v>
      </c>
      <c r="S34" s="446">
        <f t="shared" si="23"/>
        <v>0</v>
      </c>
      <c r="T34" s="439">
        <f t="shared" si="24"/>
        <v>0</v>
      </c>
      <c r="U34" s="438" t="str">
        <f t="shared" si="25"/>
        <v>-</v>
      </c>
      <c r="V34" s="450">
        <f t="shared" si="26"/>
        <v>0</v>
      </c>
      <c r="W34" s="451" t="str">
        <f t="shared" si="27"/>
        <v>-</v>
      </c>
      <c r="X34" s="452">
        <f t="shared" si="28"/>
        <v>0</v>
      </c>
      <c r="Y34" s="364" t="s">
        <v>463</v>
      </c>
      <c r="Z34" s="364" t="s">
        <v>312</v>
      </c>
      <c r="AA34" s="365"/>
      <c r="AB34" s="365"/>
      <c r="AC34" s="365">
        <v>1</v>
      </c>
      <c r="AD34" s="440"/>
    </row>
    <row r="35" spans="2:39" s="147" customFormat="1" ht="27" customHeight="1">
      <c r="B35" s="538"/>
      <c r="C35" s="539"/>
      <c r="D35" s="360">
        <v>9</v>
      </c>
      <c r="E35" s="434"/>
      <c r="F35" s="362">
        <f t="shared" si="16"/>
        <v>0</v>
      </c>
      <c r="G35" s="363"/>
      <c r="H35" s="436"/>
      <c r="I35" s="436"/>
      <c r="J35" s="438" t="str">
        <f t="shared" si="17"/>
        <v>-</v>
      </c>
      <c r="K35" s="437"/>
      <c r="L35" s="438" t="str">
        <f t="shared" si="18"/>
        <v>-</v>
      </c>
      <c r="M35" s="437"/>
      <c r="N35" s="438" t="str">
        <f t="shared" si="19"/>
        <v>-</v>
      </c>
      <c r="O35" s="439">
        <f t="shared" si="20"/>
        <v>0</v>
      </c>
      <c r="P35" s="438" t="str">
        <f t="shared" si="21"/>
        <v>-</v>
      </c>
      <c r="Q35" s="436"/>
      <c r="R35" s="438" t="str">
        <f t="shared" si="22"/>
        <v>-</v>
      </c>
      <c r="S35" s="446">
        <f t="shared" si="23"/>
        <v>0</v>
      </c>
      <c r="T35" s="439">
        <f t="shared" si="24"/>
        <v>0</v>
      </c>
      <c r="U35" s="438" t="str">
        <f t="shared" si="25"/>
        <v>-</v>
      </c>
      <c r="V35" s="450">
        <f t="shared" si="26"/>
        <v>0</v>
      </c>
      <c r="W35" s="451" t="str">
        <f t="shared" si="27"/>
        <v>-</v>
      </c>
      <c r="X35" s="452">
        <f t="shared" si="28"/>
        <v>0</v>
      </c>
      <c r="Y35" s="364" t="s">
        <v>463</v>
      </c>
      <c r="Z35" s="364" t="s">
        <v>312</v>
      </c>
      <c r="AA35" s="365"/>
      <c r="AB35" s="365"/>
      <c r="AC35" s="365">
        <v>1</v>
      </c>
      <c r="AD35" s="440"/>
      <c r="AH35" s="367"/>
    </row>
    <row r="36" spans="2:39" s="147" customFormat="1" ht="27" customHeight="1">
      <c r="B36" s="538"/>
      <c r="C36" s="539"/>
      <c r="D36" s="360">
        <v>10</v>
      </c>
      <c r="E36" s="434"/>
      <c r="F36" s="362">
        <f t="shared" si="16"/>
        <v>0</v>
      </c>
      <c r="G36" s="363"/>
      <c r="H36" s="436"/>
      <c r="I36" s="436"/>
      <c r="J36" s="438" t="str">
        <f t="shared" si="17"/>
        <v>-</v>
      </c>
      <c r="K36" s="437"/>
      <c r="L36" s="438" t="str">
        <f t="shared" si="18"/>
        <v>-</v>
      </c>
      <c r="M36" s="437"/>
      <c r="N36" s="438" t="str">
        <f t="shared" si="19"/>
        <v>-</v>
      </c>
      <c r="O36" s="439">
        <f t="shared" si="20"/>
        <v>0</v>
      </c>
      <c r="P36" s="438" t="str">
        <f t="shared" si="21"/>
        <v>-</v>
      </c>
      <c r="Q36" s="436"/>
      <c r="R36" s="438" t="str">
        <f t="shared" si="22"/>
        <v>-</v>
      </c>
      <c r="S36" s="446">
        <f t="shared" si="23"/>
        <v>0</v>
      </c>
      <c r="T36" s="439">
        <f t="shared" si="24"/>
        <v>0</v>
      </c>
      <c r="U36" s="438" t="str">
        <f t="shared" si="25"/>
        <v>-</v>
      </c>
      <c r="V36" s="450">
        <f t="shared" si="26"/>
        <v>0</v>
      </c>
      <c r="W36" s="451" t="str">
        <f t="shared" si="27"/>
        <v>-</v>
      </c>
      <c r="X36" s="452">
        <f t="shared" si="28"/>
        <v>0</v>
      </c>
      <c r="Y36" s="364" t="s">
        <v>463</v>
      </c>
      <c r="Z36" s="364" t="s">
        <v>312</v>
      </c>
      <c r="AA36" s="365"/>
      <c r="AB36" s="365"/>
      <c r="AC36" s="365">
        <v>1</v>
      </c>
      <c r="AD36" s="440"/>
      <c r="AH36" s="367"/>
    </row>
    <row r="37" spans="2:39" s="147" customFormat="1" ht="27" customHeight="1">
      <c r="B37" s="538"/>
      <c r="C37" s="539"/>
      <c r="D37" s="360">
        <v>11</v>
      </c>
      <c r="E37" s="434"/>
      <c r="F37" s="362">
        <f t="shared" si="16"/>
        <v>0</v>
      </c>
      <c r="G37" s="363"/>
      <c r="H37" s="436"/>
      <c r="I37" s="436"/>
      <c r="J37" s="438" t="str">
        <f t="shared" si="17"/>
        <v>-</v>
      </c>
      <c r="K37" s="437"/>
      <c r="L37" s="438" t="str">
        <f t="shared" si="18"/>
        <v>-</v>
      </c>
      <c r="M37" s="437"/>
      <c r="N37" s="438" t="str">
        <f t="shared" si="19"/>
        <v>-</v>
      </c>
      <c r="O37" s="439">
        <f t="shared" si="20"/>
        <v>0</v>
      </c>
      <c r="P37" s="438" t="str">
        <f t="shared" si="21"/>
        <v>-</v>
      </c>
      <c r="Q37" s="436"/>
      <c r="R37" s="438" t="str">
        <f t="shared" si="22"/>
        <v>-</v>
      </c>
      <c r="S37" s="446">
        <f t="shared" si="23"/>
        <v>0</v>
      </c>
      <c r="T37" s="439">
        <f t="shared" si="24"/>
        <v>0</v>
      </c>
      <c r="U37" s="438" t="str">
        <f t="shared" si="25"/>
        <v>-</v>
      </c>
      <c r="V37" s="450">
        <f t="shared" si="26"/>
        <v>0</v>
      </c>
      <c r="W37" s="451" t="str">
        <f t="shared" si="27"/>
        <v>-</v>
      </c>
      <c r="X37" s="452">
        <f t="shared" si="28"/>
        <v>0</v>
      </c>
      <c r="Y37" s="364" t="s">
        <v>463</v>
      </c>
      <c r="Z37" s="364" t="s">
        <v>312</v>
      </c>
      <c r="AA37" s="365"/>
      <c r="AB37" s="365"/>
      <c r="AC37" s="365">
        <v>1</v>
      </c>
      <c r="AD37" s="440"/>
      <c r="AH37" s="367"/>
    </row>
    <row r="38" spans="2:39" s="147" customFormat="1" ht="27" customHeight="1">
      <c r="B38" s="538"/>
      <c r="C38" s="539"/>
      <c r="D38" s="360">
        <v>12</v>
      </c>
      <c r="E38" s="434"/>
      <c r="F38" s="362">
        <f t="shared" si="16"/>
        <v>0</v>
      </c>
      <c r="G38" s="363"/>
      <c r="H38" s="436"/>
      <c r="I38" s="436"/>
      <c r="J38" s="438" t="str">
        <f t="shared" si="17"/>
        <v>-</v>
      </c>
      <c r="K38" s="437"/>
      <c r="L38" s="438" t="str">
        <f t="shared" si="18"/>
        <v>-</v>
      </c>
      <c r="M38" s="437"/>
      <c r="N38" s="438" t="str">
        <f t="shared" si="19"/>
        <v>-</v>
      </c>
      <c r="O38" s="439">
        <f t="shared" si="20"/>
        <v>0</v>
      </c>
      <c r="P38" s="438" t="str">
        <f t="shared" si="21"/>
        <v>-</v>
      </c>
      <c r="Q38" s="436"/>
      <c r="R38" s="438" t="str">
        <f t="shared" si="22"/>
        <v>-</v>
      </c>
      <c r="S38" s="446">
        <f t="shared" si="23"/>
        <v>0</v>
      </c>
      <c r="T38" s="439">
        <f t="shared" si="24"/>
        <v>0</v>
      </c>
      <c r="U38" s="438" t="str">
        <f t="shared" si="25"/>
        <v>-</v>
      </c>
      <c r="V38" s="450">
        <f t="shared" si="26"/>
        <v>0</v>
      </c>
      <c r="W38" s="451" t="str">
        <f t="shared" si="27"/>
        <v>-</v>
      </c>
      <c r="X38" s="452">
        <f t="shared" si="28"/>
        <v>0</v>
      </c>
      <c r="Y38" s="364" t="s">
        <v>463</v>
      </c>
      <c r="Z38" s="364" t="s">
        <v>312</v>
      </c>
      <c r="AA38" s="365"/>
      <c r="AB38" s="365"/>
      <c r="AC38" s="365">
        <v>1</v>
      </c>
      <c r="AD38" s="440"/>
      <c r="AH38" s="367"/>
    </row>
    <row r="39" spans="2:39" s="147" customFormat="1" ht="27" customHeight="1">
      <c r="B39" s="538"/>
      <c r="C39" s="539"/>
      <c r="D39" s="360">
        <v>13</v>
      </c>
      <c r="E39" s="434"/>
      <c r="F39" s="362">
        <f t="shared" si="16"/>
        <v>0</v>
      </c>
      <c r="G39" s="363"/>
      <c r="H39" s="436"/>
      <c r="I39" s="436"/>
      <c r="J39" s="438" t="str">
        <f t="shared" si="17"/>
        <v>-</v>
      </c>
      <c r="K39" s="437"/>
      <c r="L39" s="438" t="str">
        <f t="shared" si="18"/>
        <v>-</v>
      </c>
      <c r="M39" s="437"/>
      <c r="N39" s="438" t="str">
        <f t="shared" si="19"/>
        <v>-</v>
      </c>
      <c r="O39" s="439">
        <f t="shared" si="20"/>
        <v>0</v>
      </c>
      <c r="P39" s="438" t="str">
        <f t="shared" si="21"/>
        <v>-</v>
      </c>
      <c r="Q39" s="436"/>
      <c r="R39" s="438" t="str">
        <f t="shared" si="22"/>
        <v>-</v>
      </c>
      <c r="S39" s="446">
        <f t="shared" si="23"/>
        <v>0</v>
      </c>
      <c r="T39" s="439">
        <f t="shared" si="24"/>
        <v>0</v>
      </c>
      <c r="U39" s="438" t="str">
        <f t="shared" si="25"/>
        <v>-</v>
      </c>
      <c r="V39" s="450">
        <f t="shared" si="26"/>
        <v>0</v>
      </c>
      <c r="W39" s="451" t="str">
        <f t="shared" si="27"/>
        <v>-</v>
      </c>
      <c r="X39" s="452">
        <f t="shared" si="28"/>
        <v>0</v>
      </c>
      <c r="Y39" s="364" t="s">
        <v>463</v>
      </c>
      <c r="Z39" s="364" t="s">
        <v>312</v>
      </c>
      <c r="AA39" s="365"/>
      <c r="AB39" s="365"/>
      <c r="AC39" s="365">
        <v>1</v>
      </c>
      <c r="AD39" s="440"/>
    </row>
    <row r="40" spans="2:39" s="147" customFormat="1" ht="27" customHeight="1">
      <c r="B40" s="538"/>
      <c r="C40" s="539"/>
      <c r="D40" s="360">
        <v>14</v>
      </c>
      <c r="E40" s="434"/>
      <c r="F40" s="362">
        <f t="shared" si="16"/>
        <v>0</v>
      </c>
      <c r="G40" s="363"/>
      <c r="H40" s="436"/>
      <c r="I40" s="436"/>
      <c r="J40" s="438" t="str">
        <f t="shared" si="17"/>
        <v>-</v>
      </c>
      <c r="K40" s="437"/>
      <c r="L40" s="438" t="str">
        <f t="shared" si="18"/>
        <v>-</v>
      </c>
      <c r="M40" s="437"/>
      <c r="N40" s="438" t="str">
        <f t="shared" si="19"/>
        <v>-</v>
      </c>
      <c r="O40" s="439">
        <f t="shared" si="20"/>
        <v>0</v>
      </c>
      <c r="P40" s="438" t="str">
        <f t="shared" si="21"/>
        <v>-</v>
      </c>
      <c r="Q40" s="436"/>
      <c r="R40" s="438" t="str">
        <f t="shared" si="22"/>
        <v>-</v>
      </c>
      <c r="S40" s="446">
        <f t="shared" si="23"/>
        <v>0</v>
      </c>
      <c r="T40" s="439">
        <f t="shared" si="24"/>
        <v>0</v>
      </c>
      <c r="U40" s="438" t="str">
        <f t="shared" si="25"/>
        <v>-</v>
      </c>
      <c r="V40" s="450">
        <f t="shared" si="26"/>
        <v>0</v>
      </c>
      <c r="W40" s="451" t="str">
        <f t="shared" si="27"/>
        <v>-</v>
      </c>
      <c r="X40" s="452">
        <f t="shared" si="28"/>
        <v>0</v>
      </c>
      <c r="Y40" s="364" t="s">
        <v>463</v>
      </c>
      <c r="Z40" s="364" t="s">
        <v>312</v>
      </c>
      <c r="AA40" s="365"/>
      <c r="AB40" s="365"/>
      <c r="AC40" s="365">
        <v>1</v>
      </c>
      <c r="AD40" s="440"/>
    </row>
    <row r="41" spans="2:39" s="147" customFormat="1" ht="27" customHeight="1">
      <c r="B41" s="538"/>
      <c r="C41" s="539"/>
      <c r="D41" s="360">
        <v>15</v>
      </c>
      <c r="E41" s="434"/>
      <c r="F41" s="362">
        <f t="shared" si="16"/>
        <v>0</v>
      </c>
      <c r="G41" s="363"/>
      <c r="H41" s="436"/>
      <c r="I41" s="436"/>
      <c r="J41" s="438" t="str">
        <f t="shared" si="17"/>
        <v>-</v>
      </c>
      <c r="K41" s="437"/>
      <c r="L41" s="438" t="str">
        <f t="shared" si="18"/>
        <v>-</v>
      </c>
      <c r="M41" s="437"/>
      <c r="N41" s="438" t="str">
        <f t="shared" si="19"/>
        <v>-</v>
      </c>
      <c r="O41" s="439">
        <f t="shared" si="20"/>
        <v>0</v>
      </c>
      <c r="P41" s="438" t="str">
        <f t="shared" si="21"/>
        <v>-</v>
      </c>
      <c r="Q41" s="436"/>
      <c r="R41" s="438" t="str">
        <f t="shared" si="22"/>
        <v>-</v>
      </c>
      <c r="S41" s="446">
        <f t="shared" si="23"/>
        <v>0</v>
      </c>
      <c r="T41" s="439">
        <f t="shared" si="24"/>
        <v>0</v>
      </c>
      <c r="U41" s="438" t="str">
        <f t="shared" si="25"/>
        <v>-</v>
      </c>
      <c r="V41" s="450">
        <f t="shared" si="26"/>
        <v>0</v>
      </c>
      <c r="W41" s="451" t="str">
        <f t="shared" si="27"/>
        <v>-</v>
      </c>
      <c r="X41" s="452">
        <f t="shared" si="28"/>
        <v>0</v>
      </c>
      <c r="Y41" s="364" t="s">
        <v>463</v>
      </c>
      <c r="Z41" s="364" t="s">
        <v>312</v>
      </c>
      <c r="AA41" s="365"/>
      <c r="AB41" s="365"/>
      <c r="AC41" s="365">
        <v>1</v>
      </c>
      <c r="AD41" s="440"/>
    </row>
    <row r="42" spans="2:39" s="147" customFormat="1" ht="27" customHeight="1">
      <c r="B42" s="538"/>
      <c r="C42" s="539"/>
      <c r="D42" s="360">
        <v>16</v>
      </c>
      <c r="E42" s="434"/>
      <c r="F42" s="362">
        <f t="shared" si="16"/>
        <v>0</v>
      </c>
      <c r="G42" s="363"/>
      <c r="H42" s="436"/>
      <c r="I42" s="436"/>
      <c r="J42" s="438" t="str">
        <f t="shared" si="17"/>
        <v>-</v>
      </c>
      <c r="K42" s="437"/>
      <c r="L42" s="438" t="str">
        <f t="shared" si="18"/>
        <v>-</v>
      </c>
      <c r="M42" s="437"/>
      <c r="N42" s="438" t="str">
        <f t="shared" si="19"/>
        <v>-</v>
      </c>
      <c r="O42" s="439">
        <f t="shared" si="20"/>
        <v>0</v>
      </c>
      <c r="P42" s="438" t="str">
        <f t="shared" si="21"/>
        <v>-</v>
      </c>
      <c r="Q42" s="436"/>
      <c r="R42" s="438" t="str">
        <f t="shared" si="22"/>
        <v>-</v>
      </c>
      <c r="S42" s="446">
        <f t="shared" si="23"/>
        <v>0</v>
      </c>
      <c r="T42" s="439">
        <f t="shared" si="24"/>
        <v>0</v>
      </c>
      <c r="U42" s="438" t="str">
        <f t="shared" si="25"/>
        <v>-</v>
      </c>
      <c r="V42" s="450">
        <f t="shared" si="26"/>
        <v>0</v>
      </c>
      <c r="W42" s="451" t="str">
        <f t="shared" si="27"/>
        <v>-</v>
      </c>
      <c r="X42" s="452">
        <f t="shared" si="28"/>
        <v>0</v>
      </c>
      <c r="Y42" s="364" t="s">
        <v>463</v>
      </c>
      <c r="Z42" s="364" t="s">
        <v>312</v>
      </c>
      <c r="AA42" s="365"/>
      <c r="AB42" s="365"/>
      <c r="AC42" s="365">
        <v>1</v>
      </c>
      <c r="AD42" s="440"/>
    </row>
    <row r="43" spans="2:39" s="147" customFormat="1" ht="27" customHeight="1">
      <c r="B43" s="538"/>
      <c r="C43" s="539"/>
      <c r="D43" s="360">
        <v>17</v>
      </c>
      <c r="E43" s="434"/>
      <c r="F43" s="362">
        <f t="shared" si="16"/>
        <v>0</v>
      </c>
      <c r="G43" s="363"/>
      <c r="H43" s="436"/>
      <c r="I43" s="436"/>
      <c r="J43" s="438" t="str">
        <f t="shared" si="17"/>
        <v>-</v>
      </c>
      <c r="K43" s="437"/>
      <c r="L43" s="438" t="str">
        <f t="shared" si="18"/>
        <v>-</v>
      </c>
      <c r="M43" s="437"/>
      <c r="N43" s="438" t="str">
        <f t="shared" si="19"/>
        <v>-</v>
      </c>
      <c r="O43" s="439">
        <f t="shared" si="20"/>
        <v>0</v>
      </c>
      <c r="P43" s="438" t="str">
        <f t="shared" si="21"/>
        <v>-</v>
      </c>
      <c r="Q43" s="436"/>
      <c r="R43" s="438" t="str">
        <f t="shared" si="22"/>
        <v>-</v>
      </c>
      <c r="S43" s="446">
        <f t="shared" si="23"/>
        <v>0</v>
      </c>
      <c r="T43" s="439">
        <f t="shared" si="24"/>
        <v>0</v>
      </c>
      <c r="U43" s="438" t="str">
        <f t="shared" si="25"/>
        <v>-</v>
      </c>
      <c r="V43" s="450">
        <f t="shared" si="26"/>
        <v>0</v>
      </c>
      <c r="W43" s="451" t="str">
        <f t="shared" si="27"/>
        <v>-</v>
      </c>
      <c r="X43" s="452">
        <f t="shared" si="28"/>
        <v>0</v>
      </c>
      <c r="Y43" s="364" t="s">
        <v>463</v>
      </c>
      <c r="Z43" s="364" t="s">
        <v>312</v>
      </c>
      <c r="AA43" s="365"/>
      <c r="AB43" s="365"/>
      <c r="AC43" s="365">
        <v>1</v>
      </c>
      <c r="AD43" s="440"/>
    </row>
    <row r="44" spans="2:39" s="147" customFormat="1" ht="27" customHeight="1">
      <c r="B44" s="538"/>
      <c r="C44" s="539"/>
      <c r="D44" s="360">
        <v>18</v>
      </c>
      <c r="E44" s="434"/>
      <c r="F44" s="362">
        <f t="shared" si="16"/>
        <v>0</v>
      </c>
      <c r="G44" s="363"/>
      <c r="H44" s="436"/>
      <c r="I44" s="436"/>
      <c r="J44" s="438" t="str">
        <f t="shared" si="17"/>
        <v>-</v>
      </c>
      <c r="K44" s="437"/>
      <c r="L44" s="438" t="str">
        <f t="shared" si="18"/>
        <v>-</v>
      </c>
      <c r="M44" s="437"/>
      <c r="N44" s="438" t="str">
        <f t="shared" si="19"/>
        <v>-</v>
      </c>
      <c r="O44" s="439">
        <f t="shared" si="20"/>
        <v>0</v>
      </c>
      <c r="P44" s="438" t="str">
        <f t="shared" si="21"/>
        <v>-</v>
      </c>
      <c r="Q44" s="436"/>
      <c r="R44" s="438" t="str">
        <f t="shared" si="22"/>
        <v>-</v>
      </c>
      <c r="S44" s="446">
        <f t="shared" si="23"/>
        <v>0</v>
      </c>
      <c r="T44" s="439">
        <f t="shared" si="24"/>
        <v>0</v>
      </c>
      <c r="U44" s="438" t="str">
        <f t="shared" si="25"/>
        <v>-</v>
      </c>
      <c r="V44" s="450">
        <f t="shared" si="26"/>
        <v>0</v>
      </c>
      <c r="W44" s="451" t="str">
        <f t="shared" si="27"/>
        <v>-</v>
      </c>
      <c r="X44" s="452">
        <f t="shared" si="28"/>
        <v>0</v>
      </c>
      <c r="Y44" s="364" t="s">
        <v>463</v>
      </c>
      <c r="Z44" s="364" t="s">
        <v>312</v>
      </c>
      <c r="AA44" s="365"/>
      <c r="AB44" s="365"/>
      <c r="AC44" s="365">
        <v>1</v>
      </c>
      <c r="AD44" s="440"/>
    </row>
    <row r="45" spans="2:39" s="147" customFormat="1" ht="27" customHeight="1">
      <c r="B45" s="538"/>
      <c r="C45" s="539"/>
      <c r="D45" s="360">
        <v>19</v>
      </c>
      <c r="E45" s="434"/>
      <c r="F45" s="362">
        <f t="shared" si="16"/>
        <v>0</v>
      </c>
      <c r="G45" s="363"/>
      <c r="H45" s="436"/>
      <c r="I45" s="436"/>
      <c r="J45" s="438" t="str">
        <f t="shared" si="17"/>
        <v>-</v>
      </c>
      <c r="K45" s="437"/>
      <c r="L45" s="438" t="str">
        <f t="shared" si="18"/>
        <v>-</v>
      </c>
      <c r="M45" s="437"/>
      <c r="N45" s="438" t="str">
        <f t="shared" si="19"/>
        <v>-</v>
      </c>
      <c r="O45" s="439">
        <f t="shared" si="20"/>
        <v>0</v>
      </c>
      <c r="P45" s="438" t="str">
        <f t="shared" si="21"/>
        <v>-</v>
      </c>
      <c r="Q45" s="436"/>
      <c r="R45" s="438" t="str">
        <f t="shared" si="22"/>
        <v>-</v>
      </c>
      <c r="S45" s="446">
        <f t="shared" si="23"/>
        <v>0</v>
      </c>
      <c r="T45" s="439">
        <f t="shared" si="24"/>
        <v>0</v>
      </c>
      <c r="U45" s="438" t="str">
        <f t="shared" si="25"/>
        <v>-</v>
      </c>
      <c r="V45" s="450">
        <f t="shared" si="26"/>
        <v>0</v>
      </c>
      <c r="W45" s="451" t="str">
        <f t="shared" si="27"/>
        <v>-</v>
      </c>
      <c r="X45" s="452">
        <f t="shared" si="28"/>
        <v>0</v>
      </c>
      <c r="Y45" s="364" t="s">
        <v>463</v>
      </c>
      <c r="Z45" s="364" t="s">
        <v>312</v>
      </c>
      <c r="AA45" s="365"/>
      <c r="AB45" s="365"/>
      <c r="AC45" s="365">
        <v>1</v>
      </c>
      <c r="AD45" s="440"/>
    </row>
    <row r="46" spans="2:39" s="147" customFormat="1" ht="27" customHeight="1">
      <c r="B46" s="540"/>
      <c r="C46" s="541"/>
      <c r="D46" s="360">
        <v>20</v>
      </c>
      <c r="E46" s="434"/>
      <c r="F46" s="362">
        <f t="shared" si="16"/>
        <v>0</v>
      </c>
      <c r="G46" s="363"/>
      <c r="H46" s="436"/>
      <c r="I46" s="436"/>
      <c r="J46" s="438" t="str">
        <f t="shared" si="17"/>
        <v>-</v>
      </c>
      <c r="K46" s="437"/>
      <c r="L46" s="438" t="str">
        <f t="shared" si="18"/>
        <v>-</v>
      </c>
      <c r="M46" s="437"/>
      <c r="N46" s="438" t="str">
        <f t="shared" si="19"/>
        <v>-</v>
      </c>
      <c r="O46" s="439">
        <f t="shared" si="20"/>
        <v>0</v>
      </c>
      <c r="P46" s="438" t="str">
        <f t="shared" si="21"/>
        <v>-</v>
      </c>
      <c r="Q46" s="436"/>
      <c r="R46" s="438" t="str">
        <f t="shared" si="22"/>
        <v>-</v>
      </c>
      <c r="S46" s="446">
        <f t="shared" si="23"/>
        <v>0</v>
      </c>
      <c r="T46" s="439">
        <f t="shared" si="24"/>
        <v>0</v>
      </c>
      <c r="U46" s="438" t="str">
        <f t="shared" si="25"/>
        <v>-</v>
      </c>
      <c r="V46" s="450">
        <f t="shared" si="26"/>
        <v>0</v>
      </c>
      <c r="W46" s="451" t="str">
        <f t="shared" si="27"/>
        <v>-</v>
      </c>
      <c r="X46" s="452">
        <f t="shared" si="28"/>
        <v>0</v>
      </c>
      <c r="Y46" s="364" t="s">
        <v>463</v>
      </c>
      <c r="Z46" s="364" t="s">
        <v>312</v>
      </c>
      <c r="AA46" s="365"/>
      <c r="AB46" s="365"/>
      <c r="AC46" s="365">
        <v>1</v>
      </c>
      <c r="AD46" s="440"/>
    </row>
    <row r="47" spans="2:39" ht="17.100000000000001" customHeight="1">
      <c r="B47" s="552" t="s">
        <v>415</v>
      </c>
      <c r="C47" s="553"/>
      <c r="D47" s="556" t="s">
        <v>416</v>
      </c>
      <c r="E47" s="557" t="s">
        <v>417</v>
      </c>
      <c r="F47" s="558" t="s">
        <v>461</v>
      </c>
      <c r="G47" s="525" t="s">
        <v>419</v>
      </c>
      <c r="H47" s="560" t="s">
        <v>420</v>
      </c>
      <c r="I47" s="542" t="s">
        <v>421</v>
      </c>
      <c r="J47" s="543"/>
      <c r="K47" s="542" t="s">
        <v>422</v>
      </c>
      <c r="L47" s="543"/>
      <c r="M47" s="542" t="s">
        <v>423</v>
      </c>
      <c r="N47" s="543"/>
      <c r="O47" s="542" t="s">
        <v>424</v>
      </c>
      <c r="P47" s="543"/>
      <c r="Q47" s="542" t="s">
        <v>375</v>
      </c>
      <c r="R47" s="544"/>
      <c r="S47" s="543"/>
      <c r="T47" s="545" t="s">
        <v>462</v>
      </c>
      <c r="U47" s="546"/>
      <c r="V47" s="547" t="s">
        <v>425</v>
      </c>
      <c r="W47" s="548"/>
      <c r="X47" s="549"/>
      <c r="Y47" s="550" t="s">
        <v>426</v>
      </c>
      <c r="Z47" s="550" t="s">
        <v>427</v>
      </c>
      <c r="AA47" s="550" t="s">
        <v>428</v>
      </c>
      <c r="AB47" s="550" t="s">
        <v>429</v>
      </c>
      <c r="AC47" s="550" t="s">
        <v>430</v>
      </c>
      <c r="AD47" s="525" t="s">
        <v>431</v>
      </c>
      <c r="AF47" s="527" t="s">
        <v>432</v>
      </c>
      <c r="AG47" s="528"/>
      <c r="AH47" s="528"/>
      <c r="AI47" s="528"/>
      <c r="AJ47" s="528"/>
      <c r="AK47" s="528"/>
      <c r="AL47" s="528"/>
      <c r="AM47" s="529"/>
    </row>
    <row r="48" spans="2:39" ht="16.5" customHeight="1">
      <c r="B48" s="554"/>
      <c r="C48" s="555"/>
      <c r="D48" s="556"/>
      <c r="E48" s="556"/>
      <c r="F48" s="559"/>
      <c r="G48" s="526"/>
      <c r="H48" s="526"/>
      <c r="I48" s="433" t="s">
        <v>433</v>
      </c>
      <c r="J48" s="361" t="s">
        <v>434</v>
      </c>
      <c r="K48" s="433" t="s">
        <v>433</v>
      </c>
      <c r="L48" s="361" t="s">
        <v>434</v>
      </c>
      <c r="M48" s="433" t="s">
        <v>433</v>
      </c>
      <c r="N48" s="361" t="s">
        <v>434</v>
      </c>
      <c r="O48" s="433" t="s">
        <v>433</v>
      </c>
      <c r="P48" s="361" t="s">
        <v>434</v>
      </c>
      <c r="Q48" s="433" t="s">
        <v>433</v>
      </c>
      <c r="R48" s="361" t="s">
        <v>434</v>
      </c>
      <c r="S48" s="361" t="s">
        <v>435</v>
      </c>
      <c r="T48" s="433" t="s">
        <v>433</v>
      </c>
      <c r="U48" s="361" t="s">
        <v>434</v>
      </c>
      <c r="V48" s="433" t="s">
        <v>433</v>
      </c>
      <c r="W48" s="361" t="s">
        <v>434</v>
      </c>
      <c r="X48" s="361" t="s">
        <v>435</v>
      </c>
      <c r="Y48" s="551"/>
      <c r="Z48" s="551"/>
      <c r="AA48" s="551"/>
      <c r="AB48" s="551"/>
      <c r="AC48" s="551"/>
      <c r="AD48" s="526"/>
      <c r="AF48" s="530"/>
      <c r="AG48" s="531"/>
      <c r="AH48" s="531"/>
      <c r="AI48" s="531"/>
      <c r="AJ48" s="531"/>
      <c r="AK48" s="531"/>
      <c r="AL48" s="531"/>
      <c r="AM48" s="532"/>
    </row>
    <row r="49" spans="2:39" s="147" customFormat="1" ht="27" customHeight="1">
      <c r="B49" s="536" t="s">
        <v>454</v>
      </c>
      <c r="C49" s="537"/>
      <c r="D49" s="360">
        <v>1</v>
      </c>
      <c r="E49" s="434"/>
      <c r="F49" s="362">
        <f>IFERROR(T49*G49,"-")</f>
        <v>0</v>
      </c>
      <c r="G49" s="363"/>
      <c r="H49" s="436"/>
      <c r="I49" s="436"/>
      <c r="J49" s="438" t="str">
        <f>IFERROR(I49/H49,"-")</f>
        <v>-</v>
      </c>
      <c r="K49" s="437"/>
      <c r="L49" s="438" t="str">
        <f>IFERROR(K49/H49,"-")</f>
        <v>-</v>
      </c>
      <c r="M49" s="437"/>
      <c r="N49" s="438" t="str">
        <f>IFERROR(M49/H49,"-")</f>
        <v>-</v>
      </c>
      <c r="O49" s="439">
        <f>IFERROR(K49+M49,"-")</f>
        <v>0</v>
      </c>
      <c r="P49" s="438" t="str">
        <f>IFERROR(O49/H49,"-")</f>
        <v>-</v>
      </c>
      <c r="Q49" s="436"/>
      <c r="R49" s="438" t="str">
        <f>IFERROR(Q49/H49,"-")</f>
        <v>-</v>
      </c>
      <c r="S49" s="446">
        <f>IFERROR(Q49*G49,"-")</f>
        <v>0</v>
      </c>
      <c r="T49" s="439">
        <f>IFERROR(O49-H49,"-")</f>
        <v>0</v>
      </c>
      <c r="U49" s="438" t="str">
        <f>IFERROR(T49/H49,"-")</f>
        <v>-</v>
      </c>
      <c r="V49" s="450">
        <f>T49-Q49</f>
        <v>0</v>
      </c>
      <c r="W49" s="451" t="str">
        <f>IFERROR(V49/H49,"-")</f>
        <v>-</v>
      </c>
      <c r="X49" s="452">
        <f>IFERROR(V49*G49,"-")</f>
        <v>0</v>
      </c>
      <c r="Y49" s="364" t="s">
        <v>463</v>
      </c>
      <c r="Z49" s="364" t="s">
        <v>347</v>
      </c>
      <c r="AA49" s="365"/>
      <c r="AB49" s="365"/>
      <c r="AC49" s="365">
        <v>1</v>
      </c>
      <c r="AD49" s="440"/>
      <c r="AF49" s="533"/>
      <c r="AG49" s="534"/>
      <c r="AH49" s="534"/>
      <c r="AI49" s="534"/>
      <c r="AJ49" s="534"/>
      <c r="AK49" s="534"/>
      <c r="AL49" s="534"/>
      <c r="AM49" s="535"/>
    </row>
    <row r="50" spans="2:39" s="147" customFormat="1" ht="27" customHeight="1">
      <c r="B50" s="538"/>
      <c r="C50" s="539"/>
      <c r="D50" s="360">
        <v>2</v>
      </c>
      <c r="E50" s="434"/>
      <c r="F50" s="362">
        <f t="shared" ref="F50:F68" si="32">IFERROR(T50*G50,"-")</f>
        <v>0</v>
      </c>
      <c r="G50" s="363"/>
      <c r="H50" s="436"/>
      <c r="I50" s="436"/>
      <c r="J50" s="438" t="str">
        <f t="shared" ref="J50:J68" si="33">IFERROR(I50/H50,"-")</f>
        <v>-</v>
      </c>
      <c r="K50" s="437"/>
      <c r="L50" s="438" t="str">
        <f t="shared" ref="L50:L68" si="34">IFERROR(K50/H50,"-")</f>
        <v>-</v>
      </c>
      <c r="M50" s="437"/>
      <c r="N50" s="438" t="str">
        <f t="shared" ref="N50:N68" si="35">IFERROR(M50/H50,"-")</f>
        <v>-</v>
      </c>
      <c r="O50" s="439">
        <f t="shared" ref="O50:O68" si="36">IFERROR(K50+M50,"-")</f>
        <v>0</v>
      </c>
      <c r="P50" s="438" t="str">
        <f t="shared" ref="P50:P68" si="37">IFERROR(O50/H50,"-")</f>
        <v>-</v>
      </c>
      <c r="Q50" s="436"/>
      <c r="R50" s="438" t="str">
        <f t="shared" ref="R50:R68" si="38">IFERROR(Q50/H50,"-")</f>
        <v>-</v>
      </c>
      <c r="S50" s="446">
        <f t="shared" ref="S50:S68" si="39">IFERROR(Q50*G50,"-")</f>
        <v>0</v>
      </c>
      <c r="T50" s="439">
        <f t="shared" ref="T50:T68" si="40">IFERROR(O50-H50,"-")</f>
        <v>0</v>
      </c>
      <c r="U50" s="438" t="str">
        <f t="shared" ref="U50:U68" si="41">IFERROR(T50/H50,"-")</f>
        <v>-</v>
      </c>
      <c r="V50" s="450">
        <f t="shared" ref="V50:V68" si="42">T50-Q50</f>
        <v>0</v>
      </c>
      <c r="W50" s="451" t="str">
        <f t="shared" ref="W50:W68" si="43">IFERROR(V50/H50,"-")</f>
        <v>-</v>
      </c>
      <c r="X50" s="452">
        <f t="shared" ref="X50:X68" si="44">IFERROR(V50*G50,"-")</f>
        <v>0</v>
      </c>
      <c r="Y50" s="364" t="s">
        <v>463</v>
      </c>
      <c r="Z50" s="364" t="s">
        <v>312</v>
      </c>
      <c r="AA50" s="365"/>
      <c r="AB50" s="365"/>
      <c r="AC50" s="365">
        <v>1</v>
      </c>
      <c r="AD50" s="440"/>
      <c r="AF50" s="160" t="s">
        <v>439</v>
      </c>
      <c r="AG50" s="160" t="s">
        <v>440</v>
      </c>
      <c r="AH50" s="155" t="s">
        <v>441</v>
      </c>
      <c r="AI50" s="155" t="s">
        <v>438</v>
      </c>
      <c r="AJ50" s="155" t="s">
        <v>312</v>
      </c>
      <c r="AK50" s="155" t="s">
        <v>347</v>
      </c>
      <c r="AL50" s="155" t="s">
        <v>352</v>
      </c>
      <c r="AM50" s="155" t="s">
        <v>442</v>
      </c>
    </row>
    <row r="51" spans="2:39" s="147" customFormat="1" ht="27" customHeight="1">
      <c r="B51" s="538"/>
      <c r="C51" s="539"/>
      <c r="D51" s="360">
        <v>3</v>
      </c>
      <c r="E51" s="434"/>
      <c r="F51" s="362">
        <f t="shared" si="32"/>
        <v>0</v>
      </c>
      <c r="G51" s="363"/>
      <c r="H51" s="436"/>
      <c r="I51" s="436"/>
      <c r="J51" s="438" t="str">
        <f t="shared" si="33"/>
        <v>-</v>
      </c>
      <c r="K51" s="437"/>
      <c r="L51" s="438" t="str">
        <f t="shared" si="34"/>
        <v>-</v>
      </c>
      <c r="M51" s="437"/>
      <c r="N51" s="438" t="str">
        <f t="shared" si="35"/>
        <v>-</v>
      </c>
      <c r="O51" s="439">
        <f t="shared" si="36"/>
        <v>0</v>
      </c>
      <c r="P51" s="438" t="str">
        <f t="shared" si="37"/>
        <v>-</v>
      </c>
      <c r="Q51" s="436"/>
      <c r="R51" s="438" t="str">
        <f t="shared" si="38"/>
        <v>-</v>
      </c>
      <c r="S51" s="446">
        <f t="shared" si="39"/>
        <v>0</v>
      </c>
      <c r="T51" s="439">
        <f t="shared" si="40"/>
        <v>0</v>
      </c>
      <c r="U51" s="438" t="str">
        <f t="shared" si="41"/>
        <v>-</v>
      </c>
      <c r="V51" s="450">
        <f t="shared" si="42"/>
        <v>0</v>
      </c>
      <c r="W51" s="451" t="str">
        <f t="shared" si="43"/>
        <v>-</v>
      </c>
      <c r="X51" s="452">
        <f t="shared" si="44"/>
        <v>0</v>
      </c>
      <c r="Y51" s="364" t="s">
        <v>463</v>
      </c>
      <c r="Z51" s="364" t="s">
        <v>312</v>
      </c>
      <c r="AA51" s="365"/>
      <c r="AB51" s="365"/>
      <c r="AC51" s="365">
        <v>1</v>
      </c>
      <c r="AD51" s="440"/>
      <c r="AF51" s="370">
        <f>SUM(AC49:AC68)</f>
        <v>20</v>
      </c>
      <c r="AG51" s="366">
        <f>SUMIF($Z$49:$Z$68,TRIM(AG50),$AC$49:$AC$68)</f>
        <v>0</v>
      </c>
      <c r="AH51" s="366">
        <f t="shared" ref="AH51:AM51" si="45">SUMIF($Z$49:$Z$68,TRIM(AH50),$AC$49:$AC$68)</f>
        <v>0</v>
      </c>
      <c r="AI51" s="366">
        <f t="shared" si="45"/>
        <v>0</v>
      </c>
      <c r="AJ51" s="366">
        <f t="shared" si="45"/>
        <v>18</v>
      </c>
      <c r="AK51" s="366">
        <f t="shared" si="45"/>
        <v>1</v>
      </c>
      <c r="AL51" s="366">
        <f t="shared" si="45"/>
        <v>1</v>
      </c>
      <c r="AM51" s="366">
        <f t="shared" si="45"/>
        <v>0</v>
      </c>
    </row>
    <row r="52" spans="2:39" s="147" customFormat="1" ht="27" customHeight="1">
      <c r="B52" s="538"/>
      <c r="C52" s="539"/>
      <c r="D52" s="360">
        <v>4</v>
      </c>
      <c r="E52" s="434"/>
      <c r="F52" s="362">
        <f t="shared" si="32"/>
        <v>0</v>
      </c>
      <c r="G52" s="363"/>
      <c r="H52" s="436"/>
      <c r="I52" s="436"/>
      <c r="J52" s="438" t="str">
        <f t="shared" si="33"/>
        <v>-</v>
      </c>
      <c r="K52" s="437"/>
      <c r="L52" s="438" t="str">
        <f t="shared" si="34"/>
        <v>-</v>
      </c>
      <c r="M52" s="437"/>
      <c r="N52" s="438" t="str">
        <f t="shared" si="35"/>
        <v>-</v>
      </c>
      <c r="O52" s="439">
        <f t="shared" si="36"/>
        <v>0</v>
      </c>
      <c r="P52" s="438" t="str">
        <f t="shared" si="37"/>
        <v>-</v>
      </c>
      <c r="Q52" s="436"/>
      <c r="R52" s="438" t="str">
        <f t="shared" si="38"/>
        <v>-</v>
      </c>
      <c r="S52" s="446">
        <f t="shared" si="39"/>
        <v>0</v>
      </c>
      <c r="T52" s="439">
        <f t="shared" si="40"/>
        <v>0</v>
      </c>
      <c r="U52" s="438" t="str">
        <f t="shared" si="41"/>
        <v>-</v>
      </c>
      <c r="V52" s="450">
        <f t="shared" si="42"/>
        <v>0</v>
      </c>
      <c r="W52" s="451" t="str">
        <f t="shared" si="43"/>
        <v>-</v>
      </c>
      <c r="X52" s="452">
        <f t="shared" si="44"/>
        <v>0</v>
      </c>
      <c r="Y52" s="364" t="s">
        <v>463</v>
      </c>
      <c r="Z52" s="364" t="s">
        <v>312</v>
      </c>
      <c r="AA52" s="365"/>
      <c r="AB52" s="365"/>
      <c r="AC52" s="365">
        <v>1</v>
      </c>
      <c r="AD52" s="440"/>
      <c r="AF52" s="371" t="s">
        <v>303</v>
      </c>
      <c r="AG52" s="368">
        <f>SUMIF($Z$49:$Z$68,TRIM(AG50),$F$49:$F$68)</f>
        <v>0</v>
      </c>
      <c r="AH52" s="368">
        <f t="shared" ref="AH52:AM52" si="46">SUMIF($Z$49:$Z$68,TRIM(AH50),$F$49:$F$68)</f>
        <v>0</v>
      </c>
      <c r="AI52" s="368">
        <f t="shared" si="46"/>
        <v>0</v>
      </c>
      <c r="AJ52" s="368">
        <f t="shared" si="46"/>
        <v>0</v>
      </c>
      <c r="AK52" s="368">
        <f t="shared" si="46"/>
        <v>0</v>
      </c>
      <c r="AL52" s="368">
        <f t="shared" si="46"/>
        <v>0</v>
      </c>
      <c r="AM52" s="368">
        <f t="shared" si="46"/>
        <v>0</v>
      </c>
    </row>
    <row r="53" spans="2:39" s="147" customFormat="1" ht="27" customHeight="1">
      <c r="B53" s="538"/>
      <c r="C53" s="539"/>
      <c r="D53" s="360">
        <v>5</v>
      </c>
      <c r="E53" s="434"/>
      <c r="F53" s="362">
        <f t="shared" si="32"/>
        <v>0</v>
      </c>
      <c r="G53" s="363"/>
      <c r="H53" s="436"/>
      <c r="I53" s="436"/>
      <c r="J53" s="438" t="str">
        <f t="shared" si="33"/>
        <v>-</v>
      </c>
      <c r="K53" s="437"/>
      <c r="L53" s="438" t="str">
        <f t="shared" si="34"/>
        <v>-</v>
      </c>
      <c r="M53" s="437"/>
      <c r="N53" s="438" t="str">
        <f t="shared" si="35"/>
        <v>-</v>
      </c>
      <c r="O53" s="439">
        <f t="shared" si="36"/>
        <v>0</v>
      </c>
      <c r="P53" s="438" t="str">
        <f t="shared" si="37"/>
        <v>-</v>
      </c>
      <c r="Q53" s="436"/>
      <c r="R53" s="438" t="str">
        <f t="shared" si="38"/>
        <v>-</v>
      </c>
      <c r="S53" s="446">
        <f t="shared" si="39"/>
        <v>0</v>
      </c>
      <c r="T53" s="439">
        <f t="shared" si="40"/>
        <v>0</v>
      </c>
      <c r="U53" s="438" t="str">
        <f t="shared" si="41"/>
        <v>-</v>
      </c>
      <c r="V53" s="450">
        <f t="shared" si="42"/>
        <v>0</v>
      </c>
      <c r="W53" s="451" t="str">
        <f t="shared" si="43"/>
        <v>-</v>
      </c>
      <c r="X53" s="452">
        <f t="shared" si="44"/>
        <v>0</v>
      </c>
      <c r="Y53" s="364" t="s">
        <v>463</v>
      </c>
      <c r="Z53" s="364" t="s">
        <v>312</v>
      </c>
      <c r="AA53" s="365"/>
      <c r="AB53" s="365"/>
      <c r="AC53" s="365">
        <v>1</v>
      </c>
      <c r="AD53" s="440"/>
      <c r="AF53" s="360" t="s">
        <v>443</v>
      </c>
      <c r="AG53" s="369">
        <f t="shared" ref="AG53:AM53" si="47">AG51/$AF51</f>
        <v>0</v>
      </c>
      <c r="AH53" s="369">
        <f t="shared" si="47"/>
        <v>0</v>
      </c>
      <c r="AI53" s="369">
        <f t="shared" si="47"/>
        <v>0</v>
      </c>
      <c r="AJ53" s="369">
        <f t="shared" si="47"/>
        <v>0.9</v>
      </c>
      <c r="AK53" s="369">
        <f t="shared" si="47"/>
        <v>0.05</v>
      </c>
      <c r="AL53" s="369">
        <f t="shared" si="47"/>
        <v>0.05</v>
      </c>
      <c r="AM53" s="369">
        <f t="shared" si="47"/>
        <v>0</v>
      </c>
    </row>
    <row r="54" spans="2:39" s="147" customFormat="1" ht="27" customHeight="1">
      <c r="B54" s="538"/>
      <c r="C54" s="539"/>
      <c r="D54" s="360">
        <v>6</v>
      </c>
      <c r="E54" s="434"/>
      <c r="F54" s="362">
        <f t="shared" si="32"/>
        <v>0</v>
      </c>
      <c r="G54" s="363"/>
      <c r="H54" s="436"/>
      <c r="I54" s="436"/>
      <c r="J54" s="438" t="str">
        <f t="shared" si="33"/>
        <v>-</v>
      </c>
      <c r="K54" s="437"/>
      <c r="L54" s="438" t="str">
        <f t="shared" si="34"/>
        <v>-</v>
      </c>
      <c r="M54" s="437"/>
      <c r="N54" s="438" t="str">
        <f t="shared" si="35"/>
        <v>-</v>
      </c>
      <c r="O54" s="439">
        <f t="shared" si="36"/>
        <v>0</v>
      </c>
      <c r="P54" s="438" t="str">
        <f t="shared" si="37"/>
        <v>-</v>
      </c>
      <c r="Q54" s="436"/>
      <c r="R54" s="438" t="str">
        <f t="shared" si="38"/>
        <v>-</v>
      </c>
      <c r="S54" s="446">
        <f t="shared" si="39"/>
        <v>0</v>
      </c>
      <c r="T54" s="439">
        <f t="shared" si="40"/>
        <v>0</v>
      </c>
      <c r="U54" s="438" t="str">
        <f t="shared" si="41"/>
        <v>-</v>
      </c>
      <c r="V54" s="450">
        <f t="shared" si="42"/>
        <v>0</v>
      </c>
      <c r="W54" s="451" t="str">
        <f t="shared" si="43"/>
        <v>-</v>
      </c>
      <c r="X54" s="452">
        <f t="shared" si="44"/>
        <v>0</v>
      </c>
      <c r="Y54" s="364" t="s">
        <v>463</v>
      </c>
      <c r="Z54" s="364" t="s">
        <v>352</v>
      </c>
      <c r="AA54" s="365"/>
      <c r="AB54" s="365"/>
      <c r="AC54" s="365">
        <v>1</v>
      </c>
      <c r="AD54" s="440"/>
    </row>
    <row r="55" spans="2:39" s="147" customFormat="1" ht="27" customHeight="1">
      <c r="B55" s="538"/>
      <c r="C55" s="539"/>
      <c r="D55" s="360">
        <v>7</v>
      </c>
      <c r="E55" s="434"/>
      <c r="F55" s="362">
        <f t="shared" si="32"/>
        <v>0</v>
      </c>
      <c r="G55" s="363"/>
      <c r="H55" s="436"/>
      <c r="I55" s="436"/>
      <c r="J55" s="438" t="str">
        <f t="shared" si="33"/>
        <v>-</v>
      </c>
      <c r="K55" s="437"/>
      <c r="L55" s="438" t="str">
        <f t="shared" si="34"/>
        <v>-</v>
      </c>
      <c r="M55" s="437"/>
      <c r="N55" s="438" t="str">
        <f t="shared" si="35"/>
        <v>-</v>
      </c>
      <c r="O55" s="439">
        <f t="shared" si="36"/>
        <v>0</v>
      </c>
      <c r="P55" s="438" t="str">
        <f t="shared" si="37"/>
        <v>-</v>
      </c>
      <c r="Q55" s="436"/>
      <c r="R55" s="438" t="str">
        <f t="shared" si="38"/>
        <v>-</v>
      </c>
      <c r="S55" s="446">
        <f t="shared" si="39"/>
        <v>0</v>
      </c>
      <c r="T55" s="439">
        <f t="shared" si="40"/>
        <v>0</v>
      </c>
      <c r="U55" s="438" t="str">
        <f t="shared" si="41"/>
        <v>-</v>
      </c>
      <c r="V55" s="450">
        <f t="shared" si="42"/>
        <v>0</v>
      </c>
      <c r="W55" s="451" t="str">
        <f t="shared" si="43"/>
        <v>-</v>
      </c>
      <c r="X55" s="452">
        <f t="shared" si="44"/>
        <v>0</v>
      </c>
      <c r="Y55" s="364" t="s">
        <v>463</v>
      </c>
      <c r="Z55" s="364" t="s">
        <v>312</v>
      </c>
      <c r="AA55" s="365"/>
      <c r="AB55" s="365"/>
      <c r="AC55" s="365">
        <v>1</v>
      </c>
      <c r="AD55" s="440"/>
    </row>
    <row r="56" spans="2:39" s="147" customFormat="1" ht="27" customHeight="1">
      <c r="B56" s="538"/>
      <c r="C56" s="539"/>
      <c r="D56" s="360">
        <v>8</v>
      </c>
      <c r="E56" s="434"/>
      <c r="F56" s="362">
        <f t="shared" si="32"/>
        <v>0</v>
      </c>
      <c r="G56" s="363"/>
      <c r="H56" s="436"/>
      <c r="I56" s="436"/>
      <c r="J56" s="438" t="str">
        <f t="shared" si="33"/>
        <v>-</v>
      </c>
      <c r="K56" s="437"/>
      <c r="L56" s="438" t="str">
        <f t="shared" si="34"/>
        <v>-</v>
      </c>
      <c r="M56" s="437"/>
      <c r="N56" s="438" t="str">
        <f t="shared" si="35"/>
        <v>-</v>
      </c>
      <c r="O56" s="439">
        <f t="shared" si="36"/>
        <v>0</v>
      </c>
      <c r="P56" s="438" t="str">
        <f t="shared" si="37"/>
        <v>-</v>
      </c>
      <c r="Q56" s="436"/>
      <c r="R56" s="438" t="str">
        <f t="shared" si="38"/>
        <v>-</v>
      </c>
      <c r="S56" s="446">
        <f t="shared" si="39"/>
        <v>0</v>
      </c>
      <c r="T56" s="439">
        <f t="shared" si="40"/>
        <v>0</v>
      </c>
      <c r="U56" s="438" t="str">
        <f t="shared" si="41"/>
        <v>-</v>
      </c>
      <c r="V56" s="450">
        <f t="shared" si="42"/>
        <v>0</v>
      </c>
      <c r="W56" s="451" t="str">
        <f t="shared" si="43"/>
        <v>-</v>
      </c>
      <c r="X56" s="452">
        <f t="shared" si="44"/>
        <v>0</v>
      </c>
      <c r="Y56" s="364" t="s">
        <v>463</v>
      </c>
      <c r="Z56" s="364" t="s">
        <v>312</v>
      </c>
      <c r="AA56" s="365"/>
      <c r="AB56" s="365"/>
      <c r="AC56" s="365">
        <v>1</v>
      </c>
      <c r="AD56" s="440"/>
    </row>
    <row r="57" spans="2:39" s="147" customFormat="1" ht="27" customHeight="1">
      <c r="B57" s="538"/>
      <c r="C57" s="539"/>
      <c r="D57" s="360">
        <v>9</v>
      </c>
      <c r="E57" s="434"/>
      <c r="F57" s="362">
        <f t="shared" si="32"/>
        <v>0</v>
      </c>
      <c r="G57" s="363"/>
      <c r="H57" s="436"/>
      <c r="I57" s="436"/>
      <c r="J57" s="438" t="str">
        <f t="shared" si="33"/>
        <v>-</v>
      </c>
      <c r="K57" s="437"/>
      <c r="L57" s="438" t="str">
        <f t="shared" si="34"/>
        <v>-</v>
      </c>
      <c r="M57" s="437"/>
      <c r="N57" s="438" t="str">
        <f t="shared" si="35"/>
        <v>-</v>
      </c>
      <c r="O57" s="439">
        <f t="shared" si="36"/>
        <v>0</v>
      </c>
      <c r="P57" s="438" t="str">
        <f t="shared" si="37"/>
        <v>-</v>
      </c>
      <c r="Q57" s="436"/>
      <c r="R57" s="438" t="str">
        <f t="shared" si="38"/>
        <v>-</v>
      </c>
      <c r="S57" s="446">
        <f t="shared" si="39"/>
        <v>0</v>
      </c>
      <c r="T57" s="439">
        <f t="shared" si="40"/>
        <v>0</v>
      </c>
      <c r="U57" s="438" t="str">
        <f t="shared" si="41"/>
        <v>-</v>
      </c>
      <c r="V57" s="450">
        <f t="shared" si="42"/>
        <v>0</v>
      </c>
      <c r="W57" s="451" t="str">
        <f t="shared" si="43"/>
        <v>-</v>
      </c>
      <c r="X57" s="452">
        <f t="shared" si="44"/>
        <v>0</v>
      </c>
      <c r="Y57" s="364" t="s">
        <v>463</v>
      </c>
      <c r="Z57" s="364" t="s">
        <v>312</v>
      </c>
      <c r="AA57" s="365"/>
      <c r="AB57" s="365"/>
      <c r="AC57" s="365">
        <v>1</v>
      </c>
      <c r="AD57" s="440"/>
      <c r="AH57" s="367"/>
    </row>
    <row r="58" spans="2:39" s="147" customFormat="1" ht="27" customHeight="1">
      <c r="B58" s="538"/>
      <c r="C58" s="539"/>
      <c r="D58" s="360">
        <v>10</v>
      </c>
      <c r="E58" s="434"/>
      <c r="F58" s="362">
        <f t="shared" si="32"/>
        <v>0</v>
      </c>
      <c r="G58" s="363"/>
      <c r="H58" s="436"/>
      <c r="I58" s="436"/>
      <c r="J58" s="438" t="str">
        <f t="shared" si="33"/>
        <v>-</v>
      </c>
      <c r="K58" s="437"/>
      <c r="L58" s="438" t="str">
        <f t="shared" si="34"/>
        <v>-</v>
      </c>
      <c r="M58" s="437"/>
      <c r="N58" s="438" t="str">
        <f t="shared" si="35"/>
        <v>-</v>
      </c>
      <c r="O58" s="439">
        <f t="shared" si="36"/>
        <v>0</v>
      </c>
      <c r="P58" s="438" t="str">
        <f t="shared" si="37"/>
        <v>-</v>
      </c>
      <c r="Q58" s="436"/>
      <c r="R58" s="438" t="str">
        <f t="shared" si="38"/>
        <v>-</v>
      </c>
      <c r="S58" s="446">
        <f t="shared" si="39"/>
        <v>0</v>
      </c>
      <c r="T58" s="439">
        <f t="shared" si="40"/>
        <v>0</v>
      </c>
      <c r="U58" s="438" t="str">
        <f t="shared" si="41"/>
        <v>-</v>
      </c>
      <c r="V58" s="450">
        <f t="shared" si="42"/>
        <v>0</v>
      </c>
      <c r="W58" s="451" t="str">
        <f t="shared" si="43"/>
        <v>-</v>
      </c>
      <c r="X58" s="452">
        <f t="shared" si="44"/>
        <v>0</v>
      </c>
      <c r="Y58" s="364" t="s">
        <v>463</v>
      </c>
      <c r="Z58" s="364" t="s">
        <v>312</v>
      </c>
      <c r="AA58" s="365"/>
      <c r="AB58" s="365"/>
      <c r="AC58" s="365">
        <v>1</v>
      </c>
      <c r="AD58" s="440"/>
      <c r="AH58" s="367"/>
    </row>
    <row r="59" spans="2:39" s="147" customFormat="1" ht="27" customHeight="1">
      <c r="B59" s="538"/>
      <c r="C59" s="539"/>
      <c r="D59" s="360">
        <v>11</v>
      </c>
      <c r="E59" s="434"/>
      <c r="F59" s="362">
        <f t="shared" si="32"/>
        <v>0</v>
      </c>
      <c r="G59" s="363"/>
      <c r="H59" s="436"/>
      <c r="I59" s="436"/>
      <c r="J59" s="438" t="str">
        <f t="shared" si="33"/>
        <v>-</v>
      </c>
      <c r="K59" s="437"/>
      <c r="L59" s="438" t="str">
        <f t="shared" si="34"/>
        <v>-</v>
      </c>
      <c r="M59" s="437"/>
      <c r="N59" s="438" t="str">
        <f t="shared" si="35"/>
        <v>-</v>
      </c>
      <c r="O59" s="439">
        <f t="shared" si="36"/>
        <v>0</v>
      </c>
      <c r="P59" s="438" t="str">
        <f t="shared" si="37"/>
        <v>-</v>
      </c>
      <c r="Q59" s="436"/>
      <c r="R59" s="438" t="str">
        <f t="shared" si="38"/>
        <v>-</v>
      </c>
      <c r="S59" s="446">
        <f t="shared" si="39"/>
        <v>0</v>
      </c>
      <c r="T59" s="439">
        <f t="shared" si="40"/>
        <v>0</v>
      </c>
      <c r="U59" s="438" t="str">
        <f t="shared" si="41"/>
        <v>-</v>
      </c>
      <c r="V59" s="450">
        <f t="shared" si="42"/>
        <v>0</v>
      </c>
      <c r="W59" s="451" t="str">
        <f t="shared" si="43"/>
        <v>-</v>
      </c>
      <c r="X59" s="452">
        <f t="shared" si="44"/>
        <v>0</v>
      </c>
      <c r="Y59" s="364" t="s">
        <v>463</v>
      </c>
      <c r="Z59" s="364" t="s">
        <v>312</v>
      </c>
      <c r="AA59" s="365"/>
      <c r="AB59" s="365"/>
      <c r="AC59" s="365">
        <v>1</v>
      </c>
      <c r="AD59" s="440"/>
      <c r="AH59" s="367"/>
    </row>
    <row r="60" spans="2:39" s="147" customFormat="1" ht="27" customHeight="1">
      <c r="B60" s="538"/>
      <c r="C60" s="539"/>
      <c r="D60" s="360">
        <v>12</v>
      </c>
      <c r="E60" s="434"/>
      <c r="F60" s="362">
        <f t="shared" si="32"/>
        <v>0</v>
      </c>
      <c r="G60" s="363"/>
      <c r="H60" s="436"/>
      <c r="I60" s="436"/>
      <c r="J60" s="438" t="str">
        <f t="shared" si="33"/>
        <v>-</v>
      </c>
      <c r="K60" s="437"/>
      <c r="L60" s="438" t="str">
        <f t="shared" si="34"/>
        <v>-</v>
      </c>
      <c r="M60" s="437"/>
      <c r="N60" s="438" t="str">
        <f t="shared" si="35"/>
        <v>-</v>
      </c>
      <c r="O60" s="439">
        <f t="shared" si="36"/>
        <v>0</v>
      </c>
      <c r="P60" s="438" t="str">
        <f t="shared" si="37"/>
        <v>-</v>
      </c>
      <c r="Q60" s="436"/>
      <c r="R60" s="438" t="str">
        <f t="shared" si="38"/>
        <v>-</v>
      </c>
      <c r="S60" s="446">
        <f t="shared" si="39"/>
        <v>0</v>
      </c>
      <c r="T60" s="439">
        <f t="shared" si="40"/>
        <v>0</v>
      </c>
      <c r="U60" s="438" t="str">
        <f t="shared" si="41"/>
        <v>-</v>
      </c>
      <c r="V60" s="450">
        <f t="shared" si="42"/>
        <v>0</v>
      </c>
      <c r="W60" s="451" t="str">
        <f t="shared" si="43"/>
        <v>-</v>
      </c>
      <c r="X60" s="452">
        <f t="shared" si="44"/>
        <v>0</v>
      </c>
      <c r="Y60" s="364" t="s">
        <v>463</v>
      </c>
      <c r="Z60" s="364" t="s">
        <v>312</v>
      </c>
      <c r="AA60" s="365"/>
      <c r="AB60" s="365"/>
      <c r="AC60" s="365">
        <v>1</v>
      </c>
      <c r="AD60" s="440"/>
      <c r="AH60" s="367"/>
    </row>
    <row r="61" spans="2:39" s="147" customFormat="1" ht="27" customHeight="1">
      <c r="B61" s="538"/>
      <c r="C61" s="539"/>
      <c r="D61" s="360">
        <v>13</v>
      </c>
      <c r="E61" s="434"/>
      <c r="F61" s="362">
        <f t="shared" si="32"/>
        <v>0</v>
      </c>
      <c r="G61" s="363"/>
      <c r="H61" s="436"/>
      <c r="I61" s="436"/>
      <c r="J61" s="438" t="str">
        <f t="shared" si="33"/>
        <v>-</v>
      </c>
      <c r="K61" s="437"/>
      <c r="L61" s="438" t="str">
        <f t="shared" si="34"/>
        <v>-</v>
      </c>
      <c r="M61" s="437"/>
      <c r="N61" s="438" t="str">
        <f t="shared" si="35"/>
        <v>-</v>
      </c>
      <c r="O61" s="439">
        <f t="shared" si="36"/>
        <v>0</v>
      </c>
      <c r="P61" s="438" t="str">
        <f t="shared" si="37"/>
        <v>-</v>
      </c>
      <c r="Q61" s="436"/>
      <c r="R61" s="438" t="str">
        <f t="shared" si="38"/>
        <v>-</v>
      </c>
      <c r="S61" s="446">
        <f t="shared" si="39"/>
        <v>0</v>
      </c>
      <c r="T61" s="439">
        <f t="shared" si="40"/>
        <v>0</v>
      </c>
      <c r="U61" s="438" t="str">
        <f t="shared" si="41"/>
        <v>-</v>
      </c>
      <c r="V61" s="450">
        <f t="shared" si="42"/>
        <v>0</v>
      </c>
      <c r="W61" s="451" t="str">
        <f t="shared" si="43"/>
        <v>-</v>
      </c>
      <c r="X61" s="452">
        <f t="shared" si="44"/>
        <v>0</v>
      </c>
      <c r="Y61" s="364" t="s">
        <v>463</v>
      </c>
      <c r="Z61" s="364" t="s">
        <v>312</v>
      </c>
      <c r="AA61" s="365"/>
      <c r="AB61" s="365"/>
      <c r="AC61" s="365">
        <v>1</v>
      </c>
      <c r="AD61" s="440"/>
    </row>
    <row r="62" spans="2:39" s="147" customFormat="1" ht="27" customHeight="1">
      <c r="B62" s="538"/>
      <c r="C62" s="539"/>
      <c r="D62" s="360">
        <v>14</v>
      </c>
      <c r="E62" s="434"/>
      <c r="F62" s="362">
        <f t="shared" si="32"/>
        <v>0</v>
      </c>
      <c r="G62" s="363"/>
      <c r="H62" s="436"/>
      <c r="I62" s="436"/>
      <c r="J62" s="438" t="str">
        <f t="shared" si="33"/>
        <v>-</v>
      </c>
      <c r="K62" s="437"/>
      <c r="L62" s="438" t="str">
        <f t="shared" si="34"/>
        <v>-</v>
      </c>
      <c r="M62" s="437"/>
      <c r="N62" s="438" t="str">
        <f t="shared" si="35"/>
        <v>-</v>
      </c>
      <c r="O62" s="439">
        <f t="shared" si="36"/>
        <v>0</v>
      </c>
      <c r="P62" s="438" t="str">
        <f t="shared" si="37"/>
        <v>-</v>
      </c>
      <c r="Q62" s="436"/>
      <c r="R62" s="438" t="str">
        <f t="shared" si="38"/>
        <v>-</v>
      </c>
      <c r="S62" s="446">
        <f t="shared" si="39"/>
        <v>0</v>
      </c>
      <c r="T62" s="439">
        <f t="shared" si="40"/>
        <v>0</v>
      </c>
      <c r="U62" s="438" t="str">
        <f t="shared" si="41"/>
        <v>-</v>
      </c>
      <c r="V62" s="450">
        <f t="shared" si="42"/>
        <v>0</v>
      </c>
      <c r="W62" s="451" t="str">
        <f t="shared" si="43"/>
        <v>-</v>
      </c>
      <c r="X62" s="452">
        <f t="shared" si="44"/>
        <v>0</v>
      </c>
      <c r="Y62" s="364" t="s">
        <v>463</v>
      </c>
      <c r="Z62" s="364" t="s">
        <v>312</v>
      </c>
      <c r="AA62" s="365"/>
      <c r="AB62" s="365"/>
      <c r="AC62" s="365">
        <v>1</v>
      </c>
      <c r="AD62" s="440"/>
    </row>
    <row r="63" spans="2:39" s="147" customFormat="1" ht="27" customHeight="1">
      <c r="B63" s="538"/>
      <c r="C63" s="539"/>
      <c r="D63" s="360">
        <v>15</v>
      </c>
      <c r="E63" s="434"/>
      <c r="F63" s="362">
        <f t="shared" si="32"/>
        <v>0</v>
      </c>
      <c r="G63" s="363"/>
      <c r="H63" s="436"/>
      <c r="I63" s="436"/>
      <c r="J63" s="438" t="str">
        <f t="shared" si="33"/>
        <v>-</v>
      </c>
      <c r="K63" s="437"/>
      <c r="L63" s="438" t="str">
        <f t="shared" si="34"/>
        <v>-</v>
      </c>
      <c r="M63" s="437"/>
      <c r="N63" s="438" t="str">
        <f t="shared" si="35"/>
        <v>-</v>
      </c>
      <c r="O63" s="439">
        <f t="shared" si="36"/>
        <v>0</v>
      </c>
      <c r="P63" s="438" t="str">
        <f t="shared" si="37"/>
        <v>-</v>
      </c>
      <c r="Q63" s="436"/>
      <c r="R63" s="438" t="str">
        <f t="shared" si="38"/>
        <v>-</v>
      </c>
      <c r="S63" s="446">
        <f t="shared" si="39"/>
        <v>0</v>
      </c>
      <c r="T63" s="439">
        <f t="shared" si="40"/>
        <v>0</v>
      </c>
      <c r="U63" s="438" t="str">
        <f t="shared" si="41"/>
        <v>-</v>
      </c>
      <c r="V63" s="450">
        <f t="shared" si="42"/>
        <v>0</v>
      </c>
      <c r="W63" s="451" t="str">
        <f t="shared" si="43"/>
        <v>-</v>
      </c>
      <c r="X63" s="452">
        <f t="shared" si="44"/>
        <v>0</v>
      </c>
      <c r="Y63" s="364" t="s">
        <v>463</v>
      </c>
      <c r="Z63" s="364" t="s">
        <v>312</v>
      </c>
      <c r="AA63" s="365"/>
      <c r="AB63" s="365"/>
      <c r="AC63" s="365">
        <v>1</v>
      </c>
      <c r="AD63" s="440"/>
    </row>
    <row r="64" spans="2:39" s="147" customFormat="1" ht="27" customHeight="1">
      <c r="B64" s="538"/>
      <c r="C64" s="539"/>
      <c r="D64" s="360">
        <v>16</v>
      </c>
      <c r="E64" s="434"/>
      <c r="F64" s="362">
        <f t="shared" si="32"/>
        <v>0</v>
      </c>
      <c r="G64" s="363"/>
      <c r="H64" s="436"/>
      <c r="I64" s="436"/>
      <c r="J64" s="438" t="str">
        <f t="shared" si="33"/>
        <v>-</v>
      </c>
      <c r="K64" s="437"/>
      <c r="L64" s="438" t="str">
        <f t="shared" si="34"/>
        <v>-</v>
      </c>
      <c r="M64" s="437"/>
      <c r="N64" s="438" t="str">
        <f t="shared" si="35"/>
        <v>-</v>
      </c>
      <c r="O64" s="439">
        <f t="shared" si="36"/>
        <v>0</v>
      </c>
      <c r="P64" s="438" t="str">
        <f t="shared" si="37"/>
        <v>-</v>
      </c>
      <c r="Q64" s="436"/>
      <c r="R64" s="438" t="str">
        <f t="shared" si="38"/>
        <v>-</v>
      </c>
      <c r="S64" s="446">
        <f t="shared" si="39"/>
        <v>0</v>
      </c>
      <c r="T64" s="439">
        <f t="shared" si="40"/>
        <v>0</v>
      </c>
      <c r="U64" s="438" t="str">
        <f t="shared" si="41"/>
        <v>-</v>
      </c>
      <c r="V64" s="450">
        <f t="shared" si="42"/>
        <v>0</v>
      </c>
      <c r="W64" s="451" t="str">
        <f t="shared" si="43"/>
        <v>-</v>
      </c>
      <c r="X64" s="452">
        <f t="shared" si="44"/>
        <v>0</v>
      </c>
      <c r="Y64" s="364" t="s">
        <v>463</v>
      </c>
      <c r="Z64" s="364" t="s">
        <v>312</v>
      </c>
      <c r="AA64" s="365"/>
      <c r="AB64" s="365"/>
      <c r="AC64" s="365">
        <v>1</v>
      </c>
      <c r="AD64" s="440"/>
    </row>
    <row r="65" spans="2:39" s="147" customFormat="1" ht="27" customHeight="1">
      <c r="B65" s="538"/>
      <c r="C65" s="539"/>
      <c r="D65" s="360">
        <v>17</v>
      </c>
      <c r="E65" s="434"/>
      <c r="F65" s="362">
        <f t="shared" si="32"/>
        <v>0</v>
      </c>
      <c r="G65" s="363"/>
      <c r="H65" s="436"/>
      <c r="I65" s="436"/>
      <c r="J65" s="438" t="str">
        <f t="shared" si="33"/>
        <v>-</v>
      </c>
      <c r="K65" s="437"/>
      <c r="L65" s="438" t="str">
        <f t="shared" si="34"/>
        <v>-</v>
      </c>
      <c r="M65" s="437"/>
      <c r="N65" s="438" t="str">
        <f t="shared" si="35"/>
        <v>-</v>
      </c>
      <c r="O65" s="439">
        <f t="shared" si="36"/>
        <v>0</v>
      </c>
      <c r="P65" s="438" t="str">
        <f t="shared" si="37"/>
        <v>-</v>
      </c>
      <c r="Q65" s="436"/>
      <c r="R65" s="438" t="str">
        <f t="shared" si="38"/>
        <v>-</v>
      </c>
      <c r="S65" s="446">
        <f t="shared" si="39"/>
        <v>0</v>
      </c>
      <c r="T65" s="439">
        <f t="shared" si="40"/>
        <v>0</v>
      </c>
      <c r="U65" s="438" t="str">
        <f t="shared" si="41"/>
        <v>-</v>
      </c>
      <c r="V65" s="450">
        <f t="shared" si="42"/>
        <v>0</v>
      </c>
      <c r="W65" s="451" t="str">
        <f t="shared" si="43"/>
        <v>-</v>
      </c>
      <c r="X65" s="452">
        <f t="shared" si="44"/>
        <v>0</v>
      </c>
      <c r="Y65" s="364" t="s">
        <v>463</v>
      </c>
      <c r="Z65" s="364" t="s">
        <v>312</v>
      </c>
      <c r="AA65" s="365"/>
      <c r="AB65" s="365"/>
      <c r="AC65" s="365">
        <v>1</v>
      </c>
      <c r="AD65" s="440"/>
    </row>
    <row r="66" spans="2:39" s="147" customFormat="1" ht="27" customHeight="1">
      <c r="B66" s="538"/>
      <c r="C66" s="539"/>
      <c r="D66" s="360">
        <v>18</v>
      </c>
      <c r="E66" s="434"/>
      <c r="F66" s="362">
        <f t="shared" si="32"/>
        <v>0</v>
      </c>
      <c r="G66" s="363"/>
      <c r="H66" s="436"/>
      <c r="I66" s="436"/>
      <c r="J66" s="438" t="str">
        <f t="shared" si="33"/>
        <v>-</v>
      </c>
      <c r="K66" s="437"/>
      <c r="L66" s="438" t="str">
        <f t="shared" si="34"/>
        <v>-</v>
      </c>
      <c r="M66" s="437"/>
      <c r="N66" s="438" t="str">
        <f t="shared" si="35"/>
        <v>-</v>
      </c>
      <c r="O66" s="439">
        <f t="shared" si="36"/>
        <v>0</v>
      </c>
      <c r="P66" s="438" t="str">
        <f t="shared" si="37"/>
        <v>-</v>
      </c>
      <c r="Q66" s="436"/>
      <c r="R66" s="438" t="str">
        <f t="shared" si="38"/>
        <v>-</v>
      </c>
      <c r="S66" s="446">
        <f t="shared" si="39"/>
        <v>0</v>
      </c>
      <c r="T66" s="439">
        <f t="shared" si="40"/>
        <v>0</v>
      </c>
      <c r="U66" s="438" t="str">
        <f t="shared" si="41"/>
        <v>-</v>
      </c>
      <c r="V66" s="450">
        <f t="shared" si="42"/>
        <v>0</v>
      </c>
      <c r="W66" s="451" t="str">
        <f t="shared" si="43"/>
        <v>-</v>
      </c>
      <c r="X66" s="452">
        <f t="shared" si="44"/>
        <v>0</v>
      </c>
      <c r="Y66" s="364" t="s">
        <v>463</v>
      </c>
      <c r="Z66" s="364" t="s">
        <v>312</v>
      </c>
      <c r="AA66" s="365"/>
      <c r="AB66" s="365"/>
      <c r="AC66" s="365">
        <v>1</v>
      </c>
      <c r="AD66" s="440"/>
    </row>
    <row r="67" spans="2:39" s="147" customFormat="1" ht="27" customHeight="1">
      <c r="B67" s="538"/>
      <c r="C67" s="539"/>
      <c r="D67" s="360">
        <v>19</v>
      </c>
      <c r="E67" s="434"/>
      <c r="F67" s="362">
        <f t="shared" si="32"/>
        <v>0</v>
      </c>
      <c r="G67" s="363"/>
      <c r="H67" s="436"/>
      <c r="I67" s="436"/>
      <c r="J67" s="438" t="str">
        <f t="shared" si="33"/>
        <v>-</v>
      </c>
      <c r="K67" s="437"/>
      <c r="L67" s="438" t="str">
        <f t="shared" si="34"/>
        <v>-</v>
      </c>
      <c r="M67" s="437"/>
      <c r="N67" s="438" t="str">
        <f t="shared" si="35"/>
        <v>-</v>
      </c>
      <c r="O67" s="439">
        <f t="shared" si="36"/>
        <v>0</v>
      </c>
      <c r="P67" s="438" t="str">
        <f t="shared" si="37"/>
        <v>-</v>
      </c>
      <c r="Q67" s="436"/>
      <c r="R67" s="438" t="str">
        <f t="shared" si="38"/>
        <v>-</v>
      </c>
      <c r="S67" s="446">
        <f t="shared" si="39"/>
        <v>0</v>
      </c>
      <c r="T67" s="439">
        <f t="shared" si="40"/>
        <v>0</v>
      </c>
      <c r="U67" s="438" t="str">
        <f t="shared" si="41"/>
        <v>-</v>
      </c>
      <c r="V67" s="450">
        <f t="shared" si="42"/>
        <v>0</v>
      </c>
      <c r="W67" s="451" t="str">
        <f t="shared" si="43"/>
        <v>-</v>
      </c>
      <c r="X67" s="452">
        <f t="shared" si="44"/>
        <v>0</v>
      </c>
      <c r="Y67" s="364" t="s">
        <v>463</v>
      </c>
      <c r="Z67" s="364" t="s">
        <v>312</v>
      </c>
      <c r="AA67" s="365"/>
      <c r="AB67" s="365"/>
      <c r="AC67" s="365">
        <v>1</v>
      </c>
      <c r="AD67" s="440"/>
    </row>
    <row r="68" spans="2:39" s="147" customFormat="1" ht="27" customHeight="1">
      <c r="B68" s="540"/>
      <c r="C68" s="541"/>
      <c r="D68" s="360">
        <v>20</v>
      </c>
      <c r="E68" s="434"/>
      <c r="F68" s="362">
        <f t="shared" si="32"/>
        <v>0</v>
      </c>
      <c r="G68" s="363"/>
      <c r="H68" s="436"/>
      <c r="I68" s="436"/>
      <c r="J68" s="438" t="str">
        <f t="shared" si="33"/>
        <v>-</v>
      </c>
      <c r="K68" s="437"/>
      <c r="L68" s="438" t="str">
        <f t="shared" si="34"/>
        <v>-</v>
      </c>
      <c r="M68" s="437"/>
      <c r="N68" s="438" t="str">
        <f t="shared" si="35"/>
        <v>-</v>
      </c>
      <c r="O68" s="439">
        <f t="shared" si="36"/>
        <v>0</v>
      </c>
      <c r="P68" s="438" t="str">
        <f t="shared" si="37"/>
        <v>-</v>
      </c>
      <c r="Q68" s="436"/>
      <c r="R68" s="438" t="str">
        <f t="shared" si="38"/>
        <v>-</v>
      </c>
      <c r="S68" s="446">
        <f t="shared" si="39"/>
        <v>0</v>
      </c>
      <c r="T68" s="439">
        <f t="shared" si="40"/>
        <v>0</v>
      </c>
      <c r="U68" s="438" t="str">
        <f t="shared" si="41"/>
        <v>-</v>
      </c>
      <c r="V68" s="450">
        <f t="shared" si="42"/>
        <v>0</v>
      </c>
      <c r="W68" s="451" t="str">
        <f t="shared" si="43"/>
        <v>-</v>
      </c>
      <c r="X68" s="452">
        <f t="shared" si="44"/>
        <v>0</v>
      </c>
      <c r="Y68" s="364" t="s">
        <v>463</v>
      </c>
      <c r="Z68" s="364" t="s">
        <v>312</v>
      </c>
      <c r="AA68" s="365"/>
      <c r="AB68" s="365"/>
      <c r="AC68" s="365">
        <v>1</v>
      </c>
      <c r="AD68" s="440"/>
    </row>
    <row r="69" spans="2:39" ht="17.100000000000001" customHeight="1">
      <c r="B69" s="552" t="s">
        <v>415</v>
      </c>
      <c r="C69" s="553"/>
      <c r="D69" s="556" t="s">
        <v>416</v>
      </c>
      <c r="E69" s="557" t="s">
        <v>417</v>
      </c>
      <c r="F69" s="558" t="s">
        <v>461</v>
      </c>
      <c r="G69" s="525" t="s">
        <v>419</v>
      </c>
      <c r="H69" s="560" t="s">
        <v>420</v>
      </c>
      <c r="I69" s="542" t="s">
        <v>421</v>
      </c>
      <c r="J69" s="543"/>
      <c r="K69" s="542" t="s">
        <v>422</v>
      </c>
      <c r="L69" s="543"/>
      <c r="M69" s="542" t="s">
        <v>423</v>
      </c>
      <c r="N69" s="543"/>
      <c r="O69" s="542" t="s">
        <v>424</v>
      </c>
      <c r="P69" s="543"/>
      <c r="Q69" s="542" t="s">
        <v>375</v>
      </c>
      <c r="R69" s="544"/>
      <c r="S69" s="543"/>
      <c r="T69" s="545" t="s">
        <v>462</v>
      </c>
      <c r="U69" s="546"/>
      <c r="V69" s="547" t="s">
        <v>425</v>
      </c>
      <c r="W69" s="548"/>
      <c r="X69" s="549"/>
      <c r="Y69" s="550" t="s">
        <v>426</v>
      </c>
      <c r="Z69" s="550" t="s">
        <v>427</v>
      </c>
      <c r="AA69" s="550" t="s">
        <v>428</v>
      </c>
      <c r="AB69" s="550" t="s">
        <v>429</v>
      </c>
      <c r="AC69" s="550" t="s">
        <v>430</v>
      </c>
      <c r="AD69" s="525" t="s">
        <v>431</v>
      </c>
      <c r="AF69" s="527" t="s">
        <v>432</v>
      </c>
      <c r="AG69" s="528"/>
      <c r="AH69" s="528"/>
      <c r="AI69" s="528"/>
      <c r="AJ69" s="528"/>
      <c r="AK69" s="528"/>
      <c r="AL69" s="528"/>
      <c r="AM69" s="529"/>
    </row>
    <row r="70" spans="2:39" ht="16.5" customHeight="1">
      <c r="B70" s="554"/>
      <c r="C70" s="555"/>
      <c r="D70" s="556"/>
      <c r="E70" s="556"/>
      <c r="F70" s="559"/>
      <c r="G70" s="526"/>
      <c r="H70" s="526"/>
      <c r="I70" s="433" t="s">
        <v>433</v>
      </c>
      <c r="J70" s="361" t="s">
        <v>434</v>
      </c>
      <c r="K70" s="433" t="s">
        <v>433</v>
      </c>
      <c r="L70" s="361" t="s">
        <v>434</v>
      </c>
      <c r="M70" s="433" t="s">
        <v>433</v>
      </c>
      <c r="N70" s="361" t="s">
        <v>434</v>
      </c>
      <c r="O70" s="433" t="s">
        <v>433</v>
      </c>
      <c r="P70" s="361" t="s">
        <v>434</v>
      </c>
      <c r="Q70" s="433" t="s">
        <v>433</v>
      </c>
      <c r="R70" s="361" t="s">
        <v>434</v>
      </c>
      <c r="S70" s="361" t="s">
        <v>435</v>
      </c>
      <c r="T70" s="433" t="s">
        <v>433</v>
      </c>
      <c r="U70" s="361" t="s">
        <v>434</v>
      </c>
      <c r="V70" s="433" t="s">
        <v>433</v>
      </c>
      <c r="W70" s="361" t="s">
        <v>434</v>
      </c>
      <c r="X70" s="361" t="s">
        <v>435</v>
      </c>
      <c r="Y70" s="551"/>
      <c r="Z70" s="551"/>
      <c r="AA70" s="551"/>
      <c r="AB70" s="551"/>
      <c r="AC70" s="551"/>
      <c r="AD70" s="526"/>
      <c r="AF70" s="530"/>
      <c r="AG70" s="531"/>
      <c r="AH70" s="531"/>
      <c r="AI70" s="531"/>
      <c r="AJ70" s="531"/>
      <c r="AK70" s="531"/>
      <c r="AL70" s="531"/>
      <c r="AM70" s="532"/>
    </row>
    <row r="71" spans="2:39" s="147" customFormat="1" ht="27" customHeight="1">
      <c r="B71" s="536" t="s">
        <v>455</v>
      </c>
      <c r="C71" s="537"/>
      <c r="D71" s="360">
        <v>1</v>
      </c>
      <c r="E71" s="434"/>
      <c r="F71" s="362">
        <f>IFERROR(T71*G71,"-")</f>
        <v>0</v>
      </c>
      <c r="G71" s="363"/>
      <c r="H71" s="436"/>
      <c r="I71" s="436"/>
      <c r="J71" s="438" t="str">
        <f>IFERROR(I71/H71,"-")</f>
        <v>-</v>
      </c>
      <c r="K71" s="437"/>
      <c r="L71" s="438" t="str">
        <f>IFERROR(K71/H71,"-")</f>
        <v>-</v>
      </c>
      <c r="M71" s="437"/>
      <c r="N71" s="438" t="str">
        <f>IFERROR(M71/H71,"-")</f>
        <v>-</v>
      </c>
      <c r="O71" s="439">
        <f>IFERROR(K71+M71,"-")</f>
        <v>0</v>
      </c>
      <c r="P71" s="438" t="str">
        <f>IFERROR(O71/H71,"-")</f>
        <v>-</v>
      </c>
      <c r="Q71" s="436"/>
      <c r="R71" s="438" t="str">
        <f>IFERROR(Q71/H71,"-")</f>
        <v>-</v>
      </c>
      <c r="S71" s="446">
        <f>IFERROR(Q71*G71,"-")</f>
        <v>0</v>
      </c>
      <c r="T71" s="439">
        <f>IFERROR(O71-H71,"-")</f>
        <v>0</v>
      </c>
      <c r="U71" s="438" t="str">
        <f>IFERROR(T71/H71,"-")</f>
        <v>-</v>
      </c>
      <c r="V71" s="450">
        <f>T71-Q71</f>
        <v>0</v>
      </c>
      <c r="W71" s="451" t="str">
        <f>IFERROR(V71/H71,"-")</f>
        <v>-</v>
      </c>
      <c r="X71" s="452">
        <f>IFERROR(V71*G71,"-")</f>
        <v>0</v>
      </c>
      <c r="Y71" s="364" t="s">
        <v>463</v>
      </c>
      <c r="Z71" s="364" t="s">
        <v>347</v>
      </c>
      <c r="AA71" s="365"/>
      <c r="AB71" s="365"/>
      <c r="AC71" s="365">
        <v>1</v>
      </c>
      <c r="AD71" s="440"/>
      <c r="AF71" s="533"/>
      <c r="AG71" s="534"/>
      <c r="AH71" s="534"/>
      <c r="AI71" s="534"/>
      <c r="AJ71" s="534"/>
      <c r="AK71" s="534"/>
      <c r="AL71" s="534"/>
      <c r="AM71" s="535"/>
    </row>
    <row r="72" spans="2:39" s="147" customFormat="1" ht="27" customHeight="1">
      <c r="B72" s="538"/>
      <c r="C72" s="539"/>
      <c r="D72" s="360">
        <v>2</v>
      </c>
      <c r="E72" s="434"/>
      <c r="F72" s="362">
        <f t="shared" ref="F72:F90" si="48">IFERROR(T72*G72,"-")</f>
        <v>0</v>
      </c>
      <c r="G72" s="363"/>
      <c r="H72" s="436"/>
      <c r="I72" s="436"/>
      <c r="J72" s="438" t="str">
        <f t="shared" ref="J72:J90" si="49">IFERROR(I72/H72,"-")</f>
        <v>-</v>
      </c>
      <c r="K72" s="437"/>
      <c r="L72" s="438" t="str">
        <f t="shared" ref="L72:L90" si="50">IFERROR(K72/H72,"-")</f>
        <v>-</v>
      </c>
      <c r="M72" s="437"/>
      <c r="N72" s="438" t="str">
        <f t="shared" ref="N72:N90" si="51">IFERROR(M72/H72,"-")</f>
        <v>-</v>
      </c>
      <c r="O72" s="439">
        <f t="shared" ref="O72:O90" si="52">IFERROR(K72+M72,"-")</f>
        <v>0</v>
      </c>
      <c r="P72" s="438" t="str">
        <f t="shared" ref="P72:P90" si="53">IFERROR(O72/H72,"-")</f>
        <v>-</v>
      </c>
      <c r="Q72" s="436"/>
      <c r="R72" s="438" t="str">
        <f t="shared" ref="R72:R90" si="54">IFERROR(Q72/H72,"-")</f>
        <v>-</v>
      </c>
      <c r="S72" s="446">
        <f t="shared" ref="S72:S90" si="55">IFERROR(Q72*G72,"-")</f>
        <v>0</v>
      </c>
      <c r="T72" s="439">
        <f t="shared" ref="T72:T90" si="56">IFERROR(O72-H72,"-")</f>
        <v>0</v>
      </c>
      <c r="U72" s="438" t="str">
        <f t="shared" ref="U72:U90" si="57">IFERROR(T72/H72,"-")</f>
        <v>-</v>
      </c>
      <c r="V72" s="450">
        <f t="shared" ref="V72:V90" si="58">T72-Q72</f>
        <v>0</v>
      </c>
      <c r="W72" s="451" t="str">
        <f t="shared" ref="W72:W90" si="59">IFERROR(V72/H72,"-")</f>
        <v>-</v>
      </c>
      <c r="X72" s="452">
        <f t="shared" ref="X72:X90" si="60">IFERROR(V72*G72,"-")</f>
        <v>0</v>
      </c>
      <c r="Y72" s="364" t="s">
        <v>463</v>
      </c>
      <c r="Z72" s="364" t="s">
        <v>312</v>
      </c>
      <c r="AA72" s="365"/>
      <c r="AB72" s="365"/>
      <c r="AC72" s="365">
        <v>1</v>
      </c>
      <c r="AD72" s="440"/>
      <c r="AF72" s="160" t="s">
        <v>439</v>
      </c>
      <c r="AG72" s="160" t="s">
        <v>440</v>
      </c>
      <c r="AH72" s="155" t="s">
        <v>441</v>
      </c>
      <c r="AI72" s="155" t="s">
        <v>438</v>
      </c>
      <c r="AJ72" s="155" t="s">
        <v>312</v>
      </c>
      <c r="AK72" s="155" t="s">
        <v>347</v>
      </c>
      <c r="AL72" s="155" t="s">
        <v>352</v>
      </c>
      <c r="AM72" s="155" t="s">
        <v>442</v>
      </c>
    </row>
    <row r="73" spans="2:39" s="147" customFormat="1" ht="27" customHeight="1">
      <c r="B73" s="538"/>
      <c r="C73" s="539"/>
      <c r="D73" s="360">
        <v>3</v>
      </c>
      <c r="E73" s="434"/>
      <c r="F73" s="362">
        <f t="shared" si="48"/>
        <v>0</v>
      </c>
      <c r="G73" s="363"/>
      <c r="H73" s="436"/>
      <c r="I73" s="436"/>
      <c r="J73" s="438" t="str">
        <f t="shared" si="49"/>
        <v>-</v>
      </c>
      <c r="K73" s="437"/>
      <c r="L73" s="438" t="str">
        <f t="shared" si="50"/>
        <v>-</v>
      </c>
      <c r="M73" s="437"/>
      <c r="N73" s="438" t="str">
        <f t="shared" si="51"/>
        <v>-</v>
      </c>
      <c r="O73" s="439">
        <f t="shared" si="52"/>
        <v>0</v>
      </c>
      <c r="P73" s="438" t="str">
        <f t="shared" si="53"/>
        <v>-</v>
      </c>
      <c r="Q73" s="436"/>
      <c r="R73" s="438" t="str">
        <f t="shared" si="54"/>
        <v>-</v>
      </c>
      <c r="S73" s="446">
        <f t="shared" si="55"/>
        <v>0</v>
      </c>
      <c r="T73" s="439">
        <f t="shared" si="56"/>
        <v>0</v>
      </c>
      <c r="U73" s="438" t="str">
        <f t="shared" si="57"/>
        <v>-</v>
      </c>
      <c r="V73" s="450">
        <f t="shared" si="58"/>
        <v>0</v>
      </c>
      <c r="W73" s="451" t="str">
        <f t="shared" si="59"/>
        <v>-</v>
      </c>
      <c r="X73" s="452">
        <f t="shared" si="60"/>
        <v>0</v>
      </c>
      <c r="Y73" s="364" t="s">
        <v>463</v>
      </c>
      <c r="Z73" s="364" t="s">
        <v>312</v>
      </c>
      <c r="AA73" s="365"/>
      <c r="AB73" s="365"/>
      <c r="AC73" s="365">
        <v>1</v>
      </c>
      <c r="AD73" s="440"/>
      <c r="AF73" s="370">
        <f>SUM(AC71:AC90)</f>
        <v>20</v>
      </c>
      <c r="AG73" s="366">
        <f>SUMIF($Z$71:$Z$90,TRIM(AG72),$AC$71:$AC$90)</f>
        <v>0</v>
      </c>
      <c r="AH73" s="366">
        <f t="shared" ref="AH73:AM73" si="61">SUMIF($Z$71:$Z$90,TRIM(AH72),$AC$71:$AC$90)</f>
        <v>0</v>
      </c>
      <c r="AI73" s="366">
        <f t="shared" si="61"/>
        <v>0</v>
      </c>
      <c r="AJ73" s="366">
        <f t="shared" si="61"/>
        <v>18</v>
      </c>
      <c r="AK73" s="366">
        <f t="shared" si="61"/>
        <v>1</v>
      </c>
      <c r="AL73" s="366">
        <f t="shared" si="61"/>
        <v>1</v>
      </c>
      <c r="AM73" s="366">
        <f t="shared" si="61"/>
        <v>0</v>
      </c>
    </row>
    <row r="74" spans="2:39" s="147" customFormat="1" ht="27" customHeight="1">
      <c r="B74" s="538"/>
      <c r="C74" s="539"/>
      <c r="D74" s="360">
        <v>4</v>
      </c>
      <c r="E74" s="434"/>
      <c r="F74" s="362">
        <f t="shared" si="48"/>
        <v>0</v>
      </c>
      <c r="G74" s="363"/>
      <c r="H74" s="436"/>
      <c r="I74" s="436"/>
      <c r="J74" s="438" t="str">
        <f t="shared" si="49"/>
        <v>-</v>
      </c>
      <c r="K74" s="437"/>
      <c r="L74" s="438" t="str">
        <f t="shared" si="50"/>
        <v>-</v>
      </c>
      <c r="M74" s="437"/>
      <c r="N74" s="438" t="str">
        <f t="shared" si="51"/>
        <v>-</v>
      </c>
      <c r="O74" s="439">
        <f t="shared" si="52"/>
        <v>0</v>
      </c>
      <c r="P74" s="438" t="str">
        <f t="shared" si="53"/>
        <v>-</v>
      </c>
      <c r="Q74" s="436"/>
      <c r="R74" s="438" t="str">
        <f t="shared" si="54"/>
        <v>-</v>
      </c>
      <c r="S74" s="446">
        <f t="shared" si="55"/>
        <v>0</v>
      </c>
      <c r="T74" s="439">
        <f t="shared" si="56"/>
        <v>0</v>
      </c>
      <c r="U74" s="438" t="str">
        <f t="shared" si="57"/>
        <v>-</v>
      </c>
      <c r="V74" s="450">
        <f t="shared" si="58"/>
        <v>0</v>
      </c>
      <c r="W74" s="451" t="str">
        <f t="shared" si="59"/>
        <v>-</v>
      </c>
      <c r="X74" s="452">
        <f t="shared" si="60"/>
        <v>0</v>
      </c>
      <c r="Y74" s="364" t="s">
        <v>463</v>
      </c>
      <c r="Z74" s="364" t="s">
        <v>312</v>
      </c>
      <c r="AA74" s="365"/>
      <c r="AB74" s="365"/>
      <c r="AC74" s="365">
        <v>1</v>
      </c>
      <c r="AD74" s="440"/>
      <c r="AF74" s="371" t="s">
        <v>303</v>
      </c>
      <c r="AG74" s="368">
        <f>SUMIF($Z$71:$Z$90,TRIM(AG72),$F$71:$F$90)</f>
        <v>0</v>
      </c>
      <c r="AH74" s="368">
        <f t="shared" ref="AH74:AM74" si="62">SUMIF($Z$71:$Z$90,TRIM(AH72),$F$71:$F$90)</f>
        <v>0</v>
      </c>
      <c r="AI74" s="368">
        <f t="shared" si="62"/>
        <v>0</v>
      </c>
      <c r="AJ74" s="368">
        <f t="shared" si="62"/>
        <v>0</v>
      </c>
      <c r="AK74" s="368">
        <f t="shared" si="62"/>
        <v>0</v>
      </c>
      <c r="AL74" s="368">
        <f t="shared" si="62"/>
        <v>0</v>
      </c>
      <c r="AM74" s="368">
        <f t="shared" si="62"/>
        <v>0</v>
      </c>
    </row>
    <row r="75" spans="2:39" s="147" customFormat="1" ht="27" customHeight="1">
      <c r="B75" s="538"/>
      <c r="C75" s="539"/>
      <c r="D75" s="360">
        <v>5</v>
      </c>
      <c r="E75" s="434"/>
      <c r="F75" s="362">
        <f t="shared" si="48"/>
        <v>0</v>
      </c>
      <c r="G75" s="363"/>
      <c r="H75" s="436"/>
      <c r="I75" s="436"/>
      <c r="J75" s="438" t="str">
        <f t="shared" si="49"/>
        <v>-</v>
      </c>
      <c r="K75" s="437"/>
      <c r="L75" s="438" t="str">
        <f t="shared" si="50"/>
        <v>-</v>
      </c>
      <c r="M75" s="437"/>
      <c r="N75" s="438" t="str">
        <f t="shared" si="51"/>
        <v>-</v>
      </c>
      <c r="O75" s="439">
        <f t="shared" si="52"/>
        <v>0</v>
      </c>
      <c r="P75" s="438" t="str">
        <f t="shared" si="53"/>
        <v>-</v>
      </c>
      <c r="Q75" s="436"/>
      <c r="R75" s="438" t="str">
        <f t="shared" si="54"/>
        <v>-</v>
      </c>
      <c r="S75" s="446">
        <f t="shared" si="55"/>
        <v>0</v>
      </c>
      <c r="T75" s="439">
        <f t="shared" si="56"/>
        <v>0</v>
      </c>
      <c r="U75" s="438" t="str">
        <f t="shared" si="57"/>
        <v>-</v>
      </c>
      <c r="V75" s="450">
        <f t="shared" si="58"/>
        <v>0</v>
      </c>
      <c r="W75" s="451" t="str">
        <f t="shared" si="59"/>
        <v>-</v>
      </c>
      <c r="X75" s="452">
        <f t="shared" si="60"/>
        <v>0</v>
      </c>
      <c r="Y75" s="364" t="s">
        <v>463</v>
      </c>
      <c r="Z75" s="364" t="s">
        <v>312</v>
      </c>
      <c r="AA75" s="365"/>
      <c r="AB75" s="365"/>
      <c r="AC75" s="365">
        <v>1</v>
      </c>
      <c r="AD75" s="440"/>
      <c r="AF75" s="360" t="s">
        <v>443</v>
      </c>
      <c r="AG75" s="369">
        <f t="shared" ref="AG75:AM75" si="63">AG73/$AF73</f>
        <v>0</v>
      </c>
      <c r="AH75" s="369">
        <f t="shared" si="63"/>
        <v>0</v>
      </c>
      <c r="AI75" s="369">
        <f t="shared" si="63"/>
        <v>0</v>
      </c>
      <c r="AJ75" s="369">
        <f t="shared" si="63"/>
        <v>0.9</v>
      </c>
      <c r="AK75" s="369">
        <f t="shared" si="63"/>
        <v>0.05</v>
      </c>
      <c r="AL75" s="369">
        <f t="shared" si="63"/>
        <v>0.05</v>
      </c>
      <c r="AM75" s="369">
        <f t="shared" si="63"/>
        <v>0</v>
      </c>
    </row>
    <row r="76" spans="2:39" s="147" customFormat="1" ht="27" customHeight="1">
      <c r="B76" s="538"/>
      <c r="C76" s="539"/>
      <c r="D76" s="360">
        <v>6</v>
      </c>
      <c r="E76" s="434"/>
      <c r="F76" s="362">
        <f t="shared" si="48"/>
        <v>0</v>
      </c>
      <c r="G76" s="363"/>
      <c r="H76" s="436"/>
      <c r="I76" s="436"/>
      <c r="J76" s="438" t="str">
        <f t="shared" si="49"/>
        <v>-</v>
      </c>
      <c r="K76" s="437"/>
      <c r="L76" s="438" t="str">
        <f t="shared" si="50"/>
        <v>-</v>
      </c>
      <c r="M76" s="437"/>
      <c r="N76" s="438" t="str">
        <f t="shared" si="51"/>
        <v>-</v>
      </c>
      <c r="O76" s="439">
        <f t="shared" si="52"/>
        <v>0</v>
      </c>
      <c r="P76" s="438" t="str">
        <f t="shared" si="53"/>
        <v>-</v>
      </c>
      <c r="Q76" s="436"/>
      <c r="R76" s="438" t="str">
        <f t="shared" si="54"/>
        <v>-</v>
      </c>
      <c r="S76" s="446">
        <f t="shared" si="55"/>
        <v>0</v>
      </c>
      <c r="T76" s="439">
        <f t="shared" si="56"/>
        <v>0</v>
      </c>
      <c r="U76" s="438" t="str">
        <f t="shared" si="57"/>
        <v>-</v>
      </c>
      <c r="V76" s="450">
        <f t="shared" si="58"/>
        <v>0</v>
      </c>
      <c r="W76" s="451" t="str">
        <f t="shared" si="59"/>
        <v>-</v>
      </c>
      <c r="X76" s="452">
        <f t="shared" si="60"/>
        <v>0</v>
      </c>
      <c r="Y76" s="364" t="s">
        <v>463</v>
      </c>
      <c r="Z76" s="364" t="s">
        <v>312</v>
      </c>
      <c r="AA76" s="365"/>
      <c r="AB76" s="365"/>
      <c r="AC76" s="365">
        <v>1</v>
      </c>
      <c r="AD76" s="440"/>
    </row>
    <row r="77" spans="2:39" s="147" customFormat="1" ht="27" customHeight="1">
      <c r="B77" s="538"/>
      <c r="C77" s="539"/>
      <c r="D77" s="360">
        <v>7</v>
      </c>
      <c r="E77" s="434"/>
      <c r="F77" s="362">
        <f t="shared" si="48"/>
        <v>0</v>
      </c>
      <c r="G77" s="363"/>
      <c r="H77" s="436"/>
      <c r="I77" s="436"/>
      <c r="J77" s="438" t="str">
        <f t="shared" si="49"/>
        <v>-</v>
      </c>
      <c r="K77" s="437"/>
      <c r="L77" s="438" t="str">
        <f t="shared" si="50"/>
        <v>-</v>
      </c>
      <c r="M77" s="437"/>
      <c r="N77" s="438" t="str">
        <f t="shared" si="51"/>
        <v>-</v>
      </c>
      <c r="O77" s="439">
        <f t="shared" si="52"/>
        <v>0</v>
      </c>
      <c r="P77" s="438" t="str">
        <f t="shared" si="53"/>
        <v>-</v>
      </c>
      <c r="Q77" s="436"/>
      <c r="R77" s="438" t="str">
        <f t="shared" si="54"/>
        <v>-</v>
      </c>
      <c r="S77" s="446">
        <f t="shared" si="55"/>
        <v>0</v>
      </c>
      <c r="T77" s="439">
        <f t="shared" si="56"/>
        <v>0</v>
      </c>
      <c r="U77" s="438" t="str">
        <f t="shared" si="57"/>
        <v>-</v>
      </c>
      <c r="V77" s="450">
        <f t="shared" si="58"/>
        <v>0</v>
      </c>
      <c r="W77" s="451" t="str">
        <f t="shared" si="59"/>
        <v>-</v>
      </c>
      <c r="X77" s="452">
        <f t="shared" si="60"/>
        <v>0</v>
      </c>
      <c r="Y77" s="364" t="s">
        <v>463</v>
      </c>
      <c r="Z77" s="364" t="s">
        <v>352</v>
      </c>
      <c r="AA77" s="365"/>
      <c r="AB77" s="365"/>
      <c r="AC77" s="365">
        <v>1</v>
      </c>
      <c r="AD77" s="440"/>
    </row>
    <row r="78" spans="2:39" s="147" customFormat="1" ht="27" customHeight="1">
      <c r="B78" s="538"/>
      <c r="C78" s="539"/>
      <c r="D78" s="360">
        <v>8</v>
      </c>
      <c r="E78" s="434"/>
      <c r="F78" s="362">
        <f t="shared" si="48"/>
        <v>0</v>
      </c>
      <c r="G78" s="363"/>
      <c r="H78" s="436"/>
      <c r="I78" s="436"/>
      <c r="J78" s="438" t="str">
        <f t="shared" si="49"/>
        <v>-</v>
      </c>
      <c r="K78" s="437"/>
      <c r="L78" s="438" t="str">
        <f t="shared" si="50"/>
        <v>-</v>
      </c>
      <c r="M78" s="437"/>
      <c r="N78" s="438" t="str">
        <f t="shared" si="51"/>
        <v>-</v>
      </c>
      <c r="O78" s="439">
        <f t="shared" si="52"/>
        <v>0</v>
      </c>
      <c r="P78" s="438" t="str">
        <f t="shared" si="53"/>
        <v>-</v>
      </c>
      <c r="Q78" s="436"/>
      <c r="R78" s="438" t="str">
        <f t="shared" si="54"/>
        <v>-</v>
      </c>
      <c r="S78" s="446">
        <f t="shared" si="55"/>
        <v>0</v>
      </c>
      <c r="T78" s="439">
        <f t="shared" si="56"/>
        <v>0</v>
      </c>
      <c r="U78" s="438" t="str">
        <f t="shared" si="57"/>
        <v>-</v>
      </c>
      <c r="V78" s="450">
        <f t="shared" si="58"/>
        <v>0</v>
      </c>
      <c r="W78" s="451" t="str">
        <f t="shared" si="59"/>
        <v>-</v>
      </c>
      <c r="X78" s="452">
        <f t="shared" si="60"/>
        <v>0</v>
      </c>
      <c r="Y78" s="364" t="s">
        <v>463</v>
      </c>
      <c r="Z78" s="364" t="s">
        <v>312</v>
      </c>
      <c r="AA78" s="365"/>
      <c r="AB78" s="365"/>
      <c r="AC78" s="365">
        <v>1</v>
      </c>
      <c r="AD78" s="440"/>
    </row>
    <row r="79" spans="2:39" s="147" customFormat="1" ht="27" customHeight="1">
      <c r="B79" s="538"/>
      <c r="C79" s="539"/>
      <c r="D79" s="360">
        <v>9</v>
      </c>
      <c r="E79" s="434"/>
      <c r="F79" s="362">
        <f t="shared" si="48"/>
        <v>0</v>
      </c>
      <c r="G79" s="363"/>
      <c r="H79" s="436"/>
      <c r="I79" s="436"/>
      <c r="J79" s="438" t="str">
        <f t="shared" si="49"/>
        <v>-</v>
      </c>
      <c r="K79" s="437"/>
      <c r="L79" s="438" t="str">
        <f t="shared" si="50"/>
        <v>-</v>
      </c>
      <c r="M79" s="437"/>
      <c r="N79" s="438" t="str">
        <f t="shared" si="51"/>
        <v>-</v>
      </c>
      <c r="O79" s="439">
        <f t="shared" si="52"/>
        <v>0</v>
      </c>
      <c r="P79" s="438" t="str">
        <f t="shared" si="53"/>
        <v>-</v>
      </c>
      <c r="Q79" s="436"/>
      <c r="R79" s="438" t="str">
        <f t="shared" si="54"/>
        <v>-</v>
      </c>
      <c r="S79" s="446">
        <f t="shared" si="55"/>
        <v>0</v>
      </c>
      <c r="T79" s="439">
        <f t="shared" si="56"/>
        <v>0</v>
      </c>
      <c r="U79" s="438" t="str">
        <f t="shared" si="57"/>
        <v>-</v>
      </c>
      <c r="V79" s="450">
        <f t="shared" si="58"/>
        <v>0</v>
      </c>
      <c r="W79" s="451" t="str">
        <f t="shared" si="59"/>
        <v>-</v>
      </c>
      <c r="X79" s="452">
        <f t="shared" si="60"/>
        <v>0</v>
      </c>
      <c r="Y79" s="364" t="s">
        <v>463</v>
      </c>
      <c r="Z79" s="364" t="s">
        <v>312</v>
      </c>
      <c r="AA79" s="365"/>
      <c r="AB79" s="365"/>
      <c r="AC79" s="365">
        <v>1</v>
      </c>
      <c r="AD79" s="440"/>
      <c r="AH79" s="367"/>
    </row>
    <row r="80" spans="2:39" s="147" customFormat="1" ht="27" customHeight="1">
      <c r="B80" s="538"/>
      <c r="C80" s="539"/>
      <c r="D80" s="360">
        <v>10</v>
      </c>
      <c r="E80" s="434"/>
      <c r="F80" s="362">
        <f t="shared" si="48"/>
        <v>0</v>
      </c>
      <c r="G80" s="363"/>
      <c r="H80" s="436"/>
      <c r="I80" s="436"/>
      <c r="J80" s="438" t="str">
        <f t="shared" si="49"/>
        <v>-</v>
      </c>
      <c r="K80" s="437"/>
      <c r="L80" s="438" t="str">
        <f t="shared" si="50"/>
        <v>-</v>
      </c>
      <c r="M80" s="437"/>
      <c r="N80" s="438" t="str">
        <f t="shared" si="51"/>
        <v>-</v>
      </c>
      <c r="O80" s="439">
        <f t="shared" si="52"/>
        <v>0</v>
      </c>
      <c r="P80" s="438" t="str">
        <f t="shared" si="53"/>
        <v>-</v>
      </c>
      <c r="Q80" s="436"/>
      <c r="R80" s="438" t="str">
        <f t="shared" si="54"/>
        <v>-</v>
      </c>
      <c r="S80" s="446">
        <f t="shared" si="55"/>
        <v>0</v>
      </c>
      <c r="T80" s="439">
        <f t="shared" si="56"/>
        <v>0</v>
      </c>
      <c r="U80" s="438" t="str">
        <f t="shared" si="57"/>
        <v>-</v>
      </c>
      <c r="V80" s="450">
        <f t="shared" si="58"/>
        <v>0</v>
      </c>
      <c r="W80" s="451" t="str">
        <f t="shared" si="59"/>
        <v>-</v>
      </c>
      <c r="X80" s="452">
        <f t="shared" si="60"/>
        <v>0</v>
      </c>
      <c r="Y80" s="364" t="s">
        <v>463</v>
      </c>
      <c r="Z80" s="364" t="s">
        <v>312</v>
      </c>
      <c r="AA80" s="365"/>
      <c r="AB80" s="365"/>
      <c r="AC80" s="365">
        <v>1</v>
      </c>
      <c r="AD80" s="440"/>
      <c r="AH80" s="367"/>
    </row>
    <row r="81" spans="2:39" s="147" customFormat="1" ht="27" customHeight="1">
      <c r="B81" s="538"/>
      <c r="C81" s="539"/>
      <c r="D81" s="360">
        <v>11</v>
      </c>
      <c r="E81" s="434"/>
      <c r="F81" s="362">
        <f t="shared" si="48"/>
        <v>0</v>
      </c>
      <c r="G81" s="363"/>
      <c r="H81" s="436"/>
      <c r="I81" s="436"/>
      <c r="J81" s="438" t="str">
        <f t="shared" si="49"/>
        <v>-</v>
      </c>
      <c r="K81" s="437"/>
      <c r="L81" s="438" t="str">
        <f t="shared" si="50"/>
        <v>-</v>
      </c>
      <c r="M81" s="437"/>
      <c r="N81" s="438" t="str">
        <f t="shared" si="51"/>
        <v>-</v>
      </c>
      <c r="O81" s="439">
        <f t="shared" si="52"/>
        <v>0</v>
      </c>
      <c r="P81" s="438" t="str">
        <f t="shared" si="53"/>
        <v>-</v>
      </c>
      <c r="Q81" s="436"/>
      <c r="R81" s="438" t="str">
        <f t="shared" si="54"/>
        <v>-</v>
      </c>
      <c r="S81" s="446">
        <f t="shared" si="55"/>
        <v>0</v>
      </c>
      <c r="T81" s="439">
        <f t="shared" si="56"/>
        <v>0</v>
      </c>
      <c r="U81" s="438" t="str">
        <f t="shared" si="57"/>
        <v>-</v>
      </c>
      <c r="V81" s="450">
        <f t="shared" si="58"/>
        <v>0</v>
      </c>
      <c r="W81" s="451" t="str">
        <f t="shared" si="59"/>
        <v>-</v>
      </c>
      <c r="X81" s="452">
        <f t="shared" si="60"/>
        <v>0</v>
      </c>
      <c r="Y81" s="364" t="s">
        <v>463</v>
      </c>
      <c r="Z81" s="364" t="s">
        <v>312</v>
      </c>
      <c r="AA81" s="365"/>
      <c r="AB81" s="365"/>
      <c r="AC81" s="365">
        <v>1</v>
      </c>
      <c r="AD81" s="440"/>
      <c r="AH81" s="367"/>
    </row>
    <row r="82" spans="2:39" s="147" customFormat="1" ht="27" customHeight="1">
      <c r="B82" s="538"/>
      <c r="C82" s="539"/>
      <c r="D82" s="360">
        <v>12</v>
      </c>
      <c r="E82" s="434"/>
      <c r="F82" s="362">
        <f t="shared" si="48"/>
        <v>0</v>
      </c>
      <c r="G82" s="363"/>
      <c r="H82" s="436"/>
      <c r="I82" s="436"/>
      <c r="J82" s="438" t="str">
        <f t="shared" si="49"/>
        <v>-</v>
      </c>
      <c r="K82" s="437"/>
      <c r="L82" s="438" t="str">
        <f t="shared" si="50"/>
        <v>-</v>
      </c>
      <c r="M82" s="437"/>
      <c r="N82" s="438" t="str">
        <f t="shared" si="51"/>
        <v>-</v>
      </c>
      <c r="O82" s="439">
        <f t="shared" si="52"/>
        <v>0</v>
      </c>
      <c r="P82" s="438" t="str">
        <f t="shared" si="53"/>
        <v>-</v>
      </c>
      <c r="Q82" s="436"/>
      <c r="R82" s="438" t="str">
        <f t="shared" si="54"/>
        <v>-</v>
      </c>
      <c r="S82" s="446">
        <f t="shared" si="55"/>
        <v>0</v>
      </c>
      <c r="T82" s="439">
        <f t="shared" si="56"/>
        <v>0</v>
      </c>
      <c r="U82" s="438" t="str">
        <f t="shared" si="57"/>
        <v>-</v>
      </c>
      <c r="V82" s="450">
        <f t="shared" si="58"/>
        <v>0</v>
      </c>
      <c r="W82" s="451" t="str">
        <f t="shared" si="59"/>
        <v>-</v>
      </c>
      <c r="X82" s="452">
        <f t="shared" si="60"/>
        <v>0</v>
      </c>
      <c r="Y82" s="364" t="s">
        <v>463</v>
      </c>
      <c r="Z82" s="364" t="s">
        <v>312</v>
      </c>
      <c r="AA82" s="365"/>
      <c r="AB82" s="365"/>
      <c r="AC82" s="365">
        <v>1</v>
      </c>
      <c r="AD82" s="440"/>
      <c r="AH82" s="367"/>
    </row>
    <row r="83" spans="2:39" s="147" customFormat="1" ht="27" customHeight="1">
      <c r="B83" s="538"/>
      <c r="C83" s="539"/>
      <c r="D83" s="360">
        <v>13</v>
      </c>
      <c r="E83" s="434"/>
      <c r="F83" s="362">
        <f t="shared" si="48"/>
        <v>0</v>
      </c>
      <c r="G83" s="363"/>
      <c r="H83" s="436"/>
      <c r="I83" s="436"/>
      <c r="J83" s="438" t="str">
        <f t="shared" si="49"/>
        <v>-</v>
      </c>
      <c r="K83" s="437"/>
      <c r="L83" s="438" t="str">
        <f t="shared" si="50"/>
        <v>-</v>
      </c>
      <c r="M83" s="437"/>
      <c r="N83" s="438" t="str">
        <f t="shared" si="51"/>
        <v>-</v>
      </c>
      <c r="O83" s="439">
        <f t="shared" si="52"/>
        <v>0</v>
      </c>
      <c r="P83" s="438" t="str">
        <f t="shared" si="53"/>
        <v>-</v>
      </c>
      <c r="Q83" s="436"/>
      <c r="R83" s="438" t="str">
        <f t="shared" si="54"/>
        <v>-</v>
      </c>
      <c r="S83" s="446">
        <f t="shared" si="55"/>
        <v>0</v>
      </c>
      <c r="T83" s="439">
        <f t="shared" si="56"/>
        <v>0</v>
      </c>
      <c r="U83" s="438" t="str">
        <f t="shared" si="57"/>
        <v>-</v>
      </c>
      <c r="V83" s="450">
        <f t="shared" si="58"/>
        <v>0</v>
      </c>
      <c r="W83" s="451" t="str">
        <f t="shared" si="59"/>
        <v>-</v>
      </c>
      <c r="X83" s="452">
        <f t="shared" si="60"/>
        <v>0</v>
      </c>
      <c r="Y83" s="364" t="s">
        <v>463</v>
      </c>
      <c r="Z83" s="364" t="s">
        <v>312</v>
      </c>
      <c r="AA83" s="365"/>
      <c r="AB83" s="365"/>
      <c r="AC83" s="365">
        <v>1</v>
      </c>
      <c r="AD83" s="440"/>
    </row>
    <row r="84" spans="2:39" s="147" customFormat="1" ht="27" customHeight="1">
      <c r="B84" s="538"/>
      <c r="C84" s="539"/>
      <c r="D84" s="360">
        <v>14</v>
      </c>
      <c r="E84" s="434"/>
      <c r="F84" s="362">
        <f t="shared" si="48"/>
        <v>0</v>
      </c>
      <c r="G84" s="363"/>
      <c r="H84" s="436"/>
      <c r="I84" s="436"/>
      <c r="J84" s="438" t="str">
        <f t="shared" si="49"/>
        <v>-</v>
      </c>
      <c r="K84" s="437"/>
      <c r="L84" s="438" t="str">
        <f t="shared" si="50"/>
        <v>-</v>
      </c>
      <c r="M84" s="437"/>
      <c r="N84" s="438" t="str">
        <f t="shared" si="51"/>
        <v>-</v>
      </c>
      <c r="O84" s="439">
        <f t="shared" si="52"/>
        <v>0</v>
      </c>
      <c r="P84" s="438" t="str">
        <f t="shared" si="53"/>
        <v>-</v>
      </c>
      <c r="Q84" s="436"/>
      <c r="R84" s="438" t="str">
        <f t="shared" si="54"/>
        <v>-</v>
      </c>
      <c r="S84" s="446">
        <f t="shared" si="55"/>
        <v>0</v>
      </c>
      <c r="T84" s="439">
        <f t="shared" si="56"/>
        <v>0</v>
      </c>
      <c r="U84" s="438" t="str">
        <f t="shared" si="57"/>
        <v>-</v>
      </c>
      <c r="V84" s="450">
        <f t="shared" si="58"/>
        <v>0</v>
      </c>
      <c r="W84" s="451" t="str">
        <f t="shared" si="59"/>
        <v>-</v>
      </c>
      <c r="X84" s="452">
        <f t="shared" si="60"/>
        <v>0</v>
      </c>
      <c r="Y84" s="364" t="s">
        <v>463</v>
      </c>
      <c r="Z84" s="364" t="s">
        <v>312</v>
      </c>
      <c r="AA84" s="365"/>
      <c r="AB84" s="365"/>
      <c r="AC84" s="365">
        <v>1</v>
      </c>
      <c r="AD84" s="440"/>
    </row>
    <row r="85" spans="2:39" s="147" customFormat="1" ht="27" customHeight="1">
      <c r="B85" s="538"/>
      <c r="C85" s="539"/>
      <c r="D85" s="360">
        <v>15</v>
      </c>
      <c r="E85" s="434"/>
      <c r="F85" s="362">
        <f t="shared" si="48"/>
        <v>0</v>
      </c>
      <c r="G85" s="363"/>
      <c r="H85" s="436"/>
      <c r="I85" s="436"/>
      <c r="J85" s="438" t="str">
        <f t="shared" si="49"/>
        <v>-</v>
      </c>
      <c r="K85" s="437"/>
      <c r="L85" s="438" t="str">
        <f t="shared" si="50"/>
        <v>-</v>
      </c>
      <c r="M85" s="437"/>
      <c r="N85" s="438" t="str">
        <f t="shared" si="51"/>
        <v>-</v>
      </c>
      <c r="O85" s="439">
        <f t="shared" si="52"/>
        <v>0</v>
      </c>
      <c r="P85" s="438" t="str">
        <f t="shared" si="53"/>
        <v>-</v>
      </c>
      <c r="Q85" s="436"/>
      <c r="R85" s="438" t="str">
        <f t="shared" si="54"/>
        <v>-</v>
      </c>
      <c r="S85" s="446">
        <f t="shared" si="55"/>
        <v>0</v>
      </c>
      <c r="T85" s="439">
        <f t="shared" si="56"/>
        <v>0</v>
      </c>
      <c r="U85" s="438" t="str">
        <f t="shared" si="57"/>
        <v>-</v>
      </c>
      <c r="V85" s="450">
        <f t="shared" si="58"/>
        <v>0</v>
      </c>
      <c r="W85" s="451" t="str">
        <f t="shared" si="59"/>
        <v>-</v>
      </c>
      <c r="X85" s="452">
        <f t="shared" si="60"/>
        <v>0</v>
      </c>
      <c r="Y85" s="364" t="s">
        <v>463</v>
      </c>
      <c r="Z85" s="364" t="s">
        <v>312</v>
      </c>
      <c r="AA85" s="365"/>
      <c r="AB85" s="365"/>
      <c r="AC85" s="365">
        <v>1</v>
      </c>
      <c r="AD85" s="440"/>
    </row>
    <row r="86" spans="2:39" s="147" customFormat="1" ht="27" customHeight="1">
      <c r="B86" s="538"/>
      <c r="C86" s="539"/>
      <c r="D86" s="360">
        <v>16</v>
      </c>
      <c r="E86" s="434"/>
      <c r="F86" s="362">
        <f t="shared" si="48"/>
        <v>0</v>
      </c>
      <c r="G86" s="363"/>
      <c r="H86" s="436"/>
      <c r="I86" s="436"/>
      <c r="J86" s="438" t="str">
        <f t="shared" si="49"/>
        <v>-</v>
      </c>
      <c r="K86" s="437"/>
      <c r="L86" s="438" t="str">
        <f t="shared" si="50"/>
        <v>-</v>
      </c>
      <c r="M86" s="437"/>
      <c r="N86" s="438" t="str">
        <f t="shared" si="51"/>
        <v>-</v>
      </c>
      <c r="O86" s="439">
        <f t="shared" si="52"/>
        <v>0</v>
      </c>
      <c r="P86" s="438" t="str">
        <f t="shared" si="53"/>
        <v>-</v>
      </c>
      <c r="Q86" s="436"/>
      <c r="R86" s="438" t="str">
        <f t="shared" si="54"/>
        <v>-</v>
      </c>
      <c r="S86" s="446">
        <f t="shared" si="55"/>
        <v>0</v>
      </c>
      <c r="T86" s="439">
        <f t="shared" si="56"/>
        <v>0</v>
      </c>
      <c r="U86" s="438" t="str">
        <f t="shared" si="57"/>
        <v>-</v>
      </c>
      <c r="V86" s="450">
        <f t="shared" si="58"/>
        <v>0</v>
      </c>
      <c r="W86" s="451" t="str">
        <f t="shared" si="59"/>
        <v>-</v>
      </c>
      <c r="X86" s="452">
        <f t="shared" si="60"/>
        <v>0</v>
      </c>
      <c r="Y86" s="364" t="s">
        <v>463</v>
      </c>
      <c r="Z86" s="364" t="s">
        <v>312</v>
      </c>
      <c r="AA86" s="365"/>
      <c r="AB86" s="365"/>
      <c r="AC86" s="365">
        <v>1</v>
      </c>
      <c r="AD86" s="440"/>
    </row>
    <row r="87" spans="2:39" s="147" customFormat="1" ht="27" customHeight="1">
      <c r="B87" s="538"/>
      <c r="C87" s="539"/>
      <c r="D87" s="360">
        <v>17</v>
      </c>
      <c r="E87" s="434"/>
      <c r="F87" s="362">
        <f t="shared" si="48"/>
        <v>0</v>
      </c>
      <c r="G87" s="363"/>
      <c r="H87" s="436"/>
      <c r="I87" s="436"/>
      <c r="J87" s="438" t="str">
        <f t="shared" si="49"/>
        <v>-</v>
      </c>
      <c r="K87" s="437"/>
      <c r="L87" s="438" t="str">
        <f t="shared" si="50"/>
        <v>-</v>
      </c>
      <c r="M87" s="437"/>
      <c r="N87" s="438" t="str">
        <f t="shared" si="51"/>
        <v>-</v>
      </c>
      <c r="O87" s="439">
        <f t="shared" si="52"/>
        <v>0</v>
      </c>
      <c r="P87" s="438" t="str">
        <f t="shared" si="53"/>
        <v>-</v>
      </c>
      <c r="Q87" s="436"/>
      <c r="R87" s="438" t="str">
        <f t="shared" si="54"/>
        <v>-</v>
      </c>
      <c r="S87" s="446">
        <f t="shared" si="55"/>
        <v>0</v>
      </c>
      <c r="T87" s="439">
        <f t="shared" si="56"/>
        <v>0</v>
      </c>
      <c r="U87" s="438" t="str">
        <f t="shared" si="57"/>
        <v>-</v>
      </c>
      <c r="V87" s="450">
        <f t="shared" si="58"/>
        <v>0</v>
      </c>
      <c r="W87" s="451" t="str">
        <f t="shared" si="59"/>
        <v>-</v>
      </c>
      <c r="X87" s="452">
        <f t="shared" si="60"/>
        <v>0</v>
      </c>
      <c r="Y87" s="364" t="s">
        <v>463</v>
      </c>
      <c r="Z87" s="364" t="s">
        <v>312</v>
      </c>
      <c r="AA87" s="365"/>
      <c r="AB87" s="365"/>
      <c r="AC87" s="365">
        <v>1</v>
      </c>
      <c r="AD87" s="440"/>
    </row>
    <row r="88" spans="2:39" s="147" customFormat="1" ht="27" customHeight="1">
      <c r="B88" s="538"/>
      <c r="C88" s="539"/>
      <c r="D88" s="360">
        <v>18</v>
      </c>
      <c r="E88" s="434"/>
      <c r="F88" s="362">
        <f t="shared" si="48"/>
        <v>0</v>
      </c>
      <c r="G88" s="363"/>
      <c r="H88" s="436"/>
      <c r="I88" s="436"/>
      <c r="J88" s="438" t="str">
        <f t="shared" si="49"/>
        <v>-</v>
      </c>
      <c r="K88" s="437"/>
      <c r="L88" s="438" t="str">
        <f t="shared" si="50"/>
        <v>-</v>
      </c>
      <c r="M88" s="437"/>
      <c r="N88" s="438" t="str">
        <f t="shared" si="51"/>
        <v>-</v>
      </c>
      <c r="O88" s="439">
        <f t="shared" si="52"/>
        <v>0</v>
      </c>
      <c r="P88" s="438" t="str">
        <f t="shared" si="53"/>
        <v>-</v>
      </c>
      <c r="Q88" s="436"/>
      <c r="R88" s="438" t="str">
        <f t="shared" si="54"/>
        <v>-</v>
      </c>
      <c r="S88" s="446">
        <f t="shared" si="55"/>
        <v>0</v>
      </c>
      <c r="T88" s="439">
        <f t="shared" si="56"/>
        <v>0</v>
      </c>
      <c r="U88" s="438" t="str">
        <f t="shared" si="57"/>
        <v>-</v>
      </c>
      <c r="V88" s="450">
        <f t="shared" si="58"/>
        <v>0</v>
      </c>
      <c r="W88" s="451" t="str">
        <f t="shared" si="59"/>
        <v>-</v>
      </c>
      <c r="X88" s="452">
        <f t="shared" si="60"/>
        <v>0</v>
      </c>
      <c r="Y88" s="364" t="s">
        <v>463</v>
      </c>
      <c r="Z88" s="364" t="s">
        <v>312</v>
      </c>
      <c r="AA88" s="365"/>
      <c r="AB88" s="365"/>
      <c r="AC88" s="365">
        <v>1</v>
      </c>
      <c r="AD88" s="440"/>
    </row>
    <row r="89" spans="2:39" s="147" customFormat="1" ht="27" customHeight="1">
      <c r="B89" s="538"/>
      <c r="C89" s="539"/>
      <c r="D89" s="360">
        <v>19</v>
      </c>
      <c r="E89" s="434"/>
      <c r="F89" s="362">
        <f t="shared" si="48"/>
        <v>0</v>
      </c>
      <c r="G89" s="363"/>
      <c r="H89" s="436"/>
      <c r="I89" s="436"/>
      <c r="J89" s="438" t="str">
        <f t="shared" si="49"/>
        <v>-</v>
      </c>
      <c r="K89" s="437"/>
      <c r="L89" s="438" t="str">
        <f t="shared" si="50"/>
        <v>-</v>
      </c>
      <c r="M89" s="437"/>
      <c r="N89" s="438" t="str">
        <f t="shared" si="51"/>
        <v>-</v>
      </c>
      <c r="O89" s="439">
        <f t="shared" si="52"/>
        <v>0</v>
      </c>
      <c r="P89" s="438" t="str">
        <f t="shared" si="53"/>
        <v>-</v>
      </c>
      <c r="Q89" s="436"/>
      <c r="R89" s="438" t="str">
        <f t="shared" si="54"/>
        <v>-</v>
      </c>
      <c r="S89" s="446">
        <f t="shared" si="55"/>
        <v>0</v>
      </c>
      <c r="T89" s="439">
        <f t="shared" si="56"/>
        <v>0</v>
      </c>
      <c r="U89" s="438" t="str">
        <f t="shared" si="57"/>
        <v>-</v>
      </c>
      <c r="V89" s="450">
        <f t="shared" si="58"/>
        <v>0</v>
      </c>
      <c r="W89" s="451" t="str">
        <f t="shared" si="59"/>
        <v>-</v>
      </c>
      <c r="X89" s="452">
        <f t="shared" si="60"/>
        <v>0</v>
      </c>
      <c r="Y89" s="364" t="s">
        <v>463</v>
      </c>
      <c r="Z89" s="364" t="s">
        <v>312</v>
      </c>
      <c r="AA89" s="365"/>
      <c r="AB89" s="365"/>
      <c r="AC89" s="365">
        <v>1</v>
      </c>
      <c r="AD89" s="440"/>
    </row>
    <row r="90" spans="2:39" s="147" customFormat="1" ht="27" customHeight="1">
      <c r="B90" s="540"/>
      <c r="C90" s="541"/>
      <c r="D90" s="360">
        <v>20</v>
      </c>
      <c r="E90" s="434"/>
      <c r="F90" s="362">
        <f t="shared" si="48"/>
        <v>0</v>
      </c>
      <c r="G90" s="363"/>
      <c r="H90" s="436"/>
      <c r="I90" s="436"/>
      <c r="J90" s="438" t="str">
        <f t="shared" si="49"/>
        <v>-</v>
      </c>
      <c r="K90" s="437"/>
      <c r="L90" s="438" t="str">
        <f t="shared" si="50"/>
        <v>-</v>
      </c>
      <c r="M90" s="437"/>
      <c r="N90" s="438" t="str">
        <f t="shared" si="51"/>
        <v>-</v>
      </c>
      <c r="O90" s="439">
        <f t="shared" si="52"/>
        <v>0</v>
      </c>
      <c r="P90" s="438" t="str">
        <f t="shared" si="53"/>
        <v>-</v>
      </c>
      <c r="Q90" s="436"/>
      <c r="R90" s="438" t="str">
        <f t="shared" si="54"/>
        <v>-</v>
      </c>
      <c r="S90" s="446">
        <f t="shared" si="55"/>
        <v>0</v>
      </c>
      <c r="T90" s="439">
        <f t="shared" si="56"/>
        <v>0</v>
      </c>
      <c r="U90" s="438" t="str">
        <f t="shared" si="57"/>
        <v>-</v>
      </c>
      <c r="V90" s="450">
        <f t="shared" si="58"/>
        <v>0</v>
      </c>
      <c r="W90" s="451" t="str">
        <f t="shared" si="59"/>
        <v>-</v>
      </c>
      <c r="X90" s="452">
        <f t="shared" si="60"/>
        <v>0</v>
      </c>
      <c r="Y90" s="364" t="s">
        <v>463</v>
      </c>
      <c r="Z90" s="364" t="s">
        <v>312</v>
      </c>
      <c r="AA90" s="365"/>
      <c r="AB90" s="365"/>
      <c r="AC90" s="365">
        <v>1</v>
      </c>
      <c r="AD90" s="440"/>
    </row>
    <row r="91" spans="2:39" ht="17.100000000000001" customHeight="1">
      <c r="B91" s="552" t="s">
        <v>415</v>
      </c>
      <c r="C91" s="553"/>
      <c r="D91" s="556" t="s">
        <v>416</v>
      </c>
      <c r="E91" s="557" t="s">
        <v>417</v>
      </c>
      <c r="F91" s="558" t="s">
        <v>461</v>
      </c>
      <c r="G91" s="525" t="s">
        <v>419</v>
      </c>
      <c r="H91" s="560" t="s">
        <v>420</v>
      </c>
      <c r="I91" s="542" t="s">
        <v>421</v>
      </c>
      <c r="J91" s="543"/>
      <c r="K91" s="542" t="s">
        <v>422</v>
      </c>
      <c r="L91" s="543"/>
      <c r="M91" s="542" t="s">
        <v>423</v>
      </c>
      <c r="N91" s="543"/>
      <c r="O91" s="542" t="s">
        <v>424</v>
      </c>
      <c r="P91" s="543"/>
      <c r="Q91" s="542" t="s">
        <v>375</v>
      </c>
      <c r="R91" s="544"/>
      <c r="S91" s="543"/>
      <c r="T91" s="545" t="s">
        <v>462</v>
      </c>
      <c r="U91" s="546"/>
      <c r="V91" s="547" t="s">
        <v>425</v>
      </c>
      <c r="W91" s="548"/>
      <c r="X91" s="549"/>
      <c r="Y91" s="550" t="s">
        <v>426</v>
      </c>
      <c r="Z91" s="550" t="s">
        <v>427</v>
      </c>
      <c r="AA91" s="550" t="s">
        <v>428</v>
      </c>
      <c r="AB91" s="550" t="s">
        <v>429</v>
      </c>
      <c r="AC91" s="550" t="s">
        <v>430</v>
      </c>
      <c r="AD91" s="525" t="s">
        <v>431</v>
      </c>
      <c r="AF91" s="527" t="s">
        <v>432</v>
      </c>
      <c r="AG91" s="528"/>
      <c r="AH91" s="528"/>
      <c r="AI91" s="528"/>
      <c r="AJ91" s="528"/>
      <c r="AK91" s="528"/>
      <c r="AL91" s="528"/>
      <c r="AM91" s="529"/>
    </row>
    <row r="92" spans="2:39" ht="16.5" customHeight="1">
      <c r="B92" s="554"/>
      <c r="C92" s="555"/>
      <c r="D92" s="556"/>
      <c r="E92" s="556"/>
      <c r="F92" s="559"/>
      <c r="G92" s="526"/>
      <c r="H92" s="526"/>
      <c r="I92" s="433" t="s">
        <v>433</v>
      </c>
      <c r="J92" s="361" t="s">
        <v>434</v>
      </c>
      <c r="K92" s="433" t="s">
        <v>433</v>
      </c>
      <c r="L92" s="361" t="s">
        <v>434</v>
      </c>
      <c r="M92" s="433" t="s">
        <v>433</v>
      </c>
      <c r="N92" s="361" t="s">
        <v>434</v>
      </c>
      <c r="O92" s="433" t="s">
        <v>433</v>
      </c>
      <c r="P92" s="361" t="s">
        <v>434</v>
      </c>
      <c r="Q92" s="433" t="s">
        <v>433</v>
      </c>
      <c r="R92" s="361" t="s">
        <v>434</v>
      </c>
      <c r="S92" s="361" t="s">
        <v>435</v>
      </c>
      <c r="T92" s="433" t="s">
        <v>433</v>
      </c>
      <c r="U92" s="361" t="s">
        <v>434</v>
      </c>
      <c r="V92" s="433" t="s">
        <v>433</v>
      </c>
      <c r="W92" s="361" t="s">
        <v>434</v>
      </c>
      <c r="X92" s="361" t="s">
        <v>435</v>
      </c>
      <c r="Y92" s="551"/>
      <c r="Z92" s="551"/>
      <c r="AA92" s="551"/>
      <c r="AB92" s="551"/>
      <c r="AC92" s="551"/>
      <c r="AD92" s="526"/>
      <c r="AF92" s="530"/>
      <c r="AG92" s="531"/>
      <c r="AH92" s="531"/>
      <c r="AI92" s="531"/>
      <c r="AJ92" s="531"/>
      <c r="AK92" s="531"/>
      <c r="AL92" s="531"/>
      <c r="AM92" s="532"/>
    </row>
    <row r="93" spans="2:39" s="147" customFormat="1" ht="27" customHeight="1">
      <c r="B93" s="536" t="s">
        <v>456</v>
      </c>
      <c r="C93" s="537"/>
      <c r="D93" s="360">
        <v>1</v>
      </c>
      <c r="E93" s="434"/>
      <c r="F93" s="362">
        <f>IFERROR(T93*G93,"-")</f>
        <v>0</v>
      </c>
      <c r="G93" s="363"/>
      <c r="H93" s="436"/>
      <c r="I93" s="436"/>
      <c r="J93" s="438" t="str">
        <f>IFERROR(I93/H93,"-")</f>
        <v>-</v>
      </c>
      <c r="K93" s="437"/>
      <c r="L93" s="438" t="str">
        <f>IFERROR(K93/H93,"-")</f>
        <v>-</v>
      </c>
      <c r="M93" s="437"/>
      <c r="N93" s="438" t="str">
        <f>IFERROR(M93/H93,"-")</f>
        <v>-</v>
      </c>
      <c r="O93" s="439">
        <f>IFERROR(K93+M93,"-")</f>
        <v>0</v>
      </c>
      <c r="P93" s="438" t="str">
        <f>IFERROR(O93/H93,"-")</f>
        <v>-</v>
      </c>
      <c r="Q93" s="436"/>
      <c r="R93" s="438" t="str">
        <f>IFERROR(Q93/H93,"-")</f>
        <v>-</v>
      </c>
      <c r="S93" s="446">
        <f>IFERROR(Q93*G93,"-")</f>
        <v>0</v>
      </c>
      <c r="T93" s="439">
        <f>IFERROR(O93-H93,"-")</f>
        <v>0</v>
      </c>
      <c r="U93" s="438" t="str">
        <f>IFERROR(T93/H93,"-")</f>
        <v>-</v>
      </c>
      <c r="V93" s="450">
        <f>T93-Q93</f>
        <v>0</v>
      </c>
      <c r="W93" s="451" t="str">
        <f>IFERROR(V93/H93,"-")</f>
        <v>-</v>
      </c>
      <c r="X93" s="452">
        <f>IFERROR(V93*G93,"-")</f>
        <v>0</v>
      </c>
      <c r="Y93" s="364" t="s">
        <v>463</v>
      </c>
      <c r="Z93" s="364" t="s">
        <v>347</v>
      </c>
      <c r="AA93" s="365"/>
      <c r="AB93" s="365"/>
      <c r="AC93" s="365">
        <v>1</v>
      </c>
      <c r="AD93" s="440"/>
      <c r="AF93" s="533"/>
      <c r="AG93" s="534"/>
      <c r="AH93" s="534"/>
      <c r="AI93" s="534"/>
      <c r="AJ93" s="534"/>
      <c r="AK93" s="534"/>
      <c r="AL93" s="534"/>
      <c r="AM93" s="535"/>
    </row>
    <row r="94" spans="2:39" s="147" customFormat="1" ht="27" customHeight="1">
      <c r="B94" s="538"/>
      <c r="C94" s="539"/>
      <c r="D94" s="360">
        <v>2</v>
      </c>
      <c r="E94" s="434"/>
      <c r="F94" s="362">
        <f t="shared" ref="F94:F112" si="64">IFERROR(T94*G94,"-")</f>
        <v>0</v>
      </c>
      <c r="G94" s="363"/>
      <c r="H94" s="436"/>
      <c r="I94" s="436"/>
      <c r="J94" s="438" t="str">
        <f t="shared" ref="J94:J112" si="65">IFERROR(I94/H94,"-")</f>
        <v>-</v>
      </c>
      <c r="K94" s="437"/>
      <c r="L94" s="438" t="str">
        <f t="shared" ref="L94:L112" si="66">IFERROR(K94/H94,"-")</f>
        <v>-</v>
      </c>
      <c r="M94" s="437"/>
      <c r="N94" s="438" t="str">
        <f t="shared" ref="N94:N112" si="67">IFERROR(M94/H94,"-")</f>
        <v>-</v>
      </c>
      <c r="O94" s="439">
        <f t="shared" ref="O94:O112" si="68">IFERROR(K94+M94,"-")</f>
        <v>0</v>
      </c>
      <c r="P94" s="438" t="str">
        <f t="shared" ref="P94:P112" si="69">IFERROR(O94/H94,"-")</f>
        <v>-</v>
      </c>
      <c r="Q94" s="436"/>
      <c r="R94" s="438" t="str">
        <f t="shared" ref="R94:R112" si="70">IFERROR(Q94/H94,"-")</f>
        <v>-</v>
      </c>
      <c r="S94" s="446">
        <f t="shared" ref="S94:S112" si="71">IFERROR(Q94*G94,"-")</f>
        <v>0</v>
      </c>
      <c r="T94" s="439">
        <f t="shared" ref="T94:T112" si="72">IFERROR(O94-H94,"-")</f>
        <v>0</v>
      </c>
      <c r="U94" s="438" t="str">
        <f t="shared" ref="U94:U112" si="73">IFERROR(T94/H94,"-")</f>
        <v>-</v>
      </c>
      <c r="V94" s="450">
        <f t="shared" ref="V94:V112" si="74">T94-Q94</f>
        <v>0</v>
      </c>
      <c r="W94" s="451" t="str">
        <f t="shared" ref="W94:W112" si="75">IFERROR(V94/H94,"-")</f>
        <v>-</v>
      </c>
      <c r="X94" s="452">
        <f t="shared" ref="X94:X112" si="76">IFERROR(V94*G94,"-")</f>
        <v>0</v>
      </c>
      <c r="Y94" s="364" t="s">
        <v>463</v>
      </c>
      <c r="Z94" s="364" t="s">
        <v>312</v>
      </c>
      <c r="AA94" s="365"/>
      <c r="AB94" s="365"/>
      <c r="AC94" s="365">
        <v>1</v>
      </c>
      <c r="AD94" s="440"/>
      <c r="AF94" s="160" t="s">
        <v>439</v>
      </c>
      <c r="AG94" s="160" t="s">
        <v>440</v>
      </c>
      <c r="AH94" s="155" t="s">
        <v>441</v>
      </c>
      <c r="AI94" s="155" t="s">
        <v>438</v>
      </c>
      <c r="AJ94" s="155" t="s">
        <v>312</v>
      </c>
      <c r="AK94" s="155" t="s">
        <v>347</v>
      </c>
      <c r="AL94" s="155" t="s">
        <v>352</v>
      </c>
      <c r="AM94" s="155" t="s">
        <v>442</v>
      </c>
    </row>
    <row r="95" spans="2:39" s="147" customFormat="1" ht="27" customHeight="1">
      <c r="B95" s="538"/>
      <c r="C95" s="539"/>
      <c r="D95" s="360">
        <v>3</v>
      </c>
      <c r="E95" s="434"/>
      <c r="F95" s="362">
        <f t="shared" si="64"/>
        <v>0</v>
      </c>
      <c r="G95" s="363"/>
      <c r="H95" s="436"/>
      <c r="I95" s="436"/>
      <c r="J95" s="438" t="str">
        <f t="shared" si="65"/>
        <v>-</v>
      </c>
      <c r="K95" s="437"/>
      <c r="L95" s="438" t="str">
        <f t="shared" si="66"/>
        <v>-</v>
      </c>
      <c r="M95" s="437"/>
      <c r="N95" s="438" t="str">
        <f t="shared" si="67"/>
        <v>-</v>
      </c>
      <c r="O95" s="439">
        <f t="shared" si="68"/>
        <v>0</v>
      </c>
      <c r="P95" s="438" t="str">
        <f t="shared" si="69"/>
        <v>-</v>
      </c>
      <c r="Q95" s="436"/>
      <c r="R95" s="438" t="str">
        <f t="shared" si="70"/>
        <v>-</v>
      </c>
      <c r="S95" s="446">
        <f t="shared" si="71"/>
        <v>0</v>
      </c>
      <c r="T95" s="439">
        <f t="shared" si="72"/>
        <v>0</v>
      </c>
      <c r="U95" s="438" t="str">
        <f t="shared" si="73"/>
        <v>-</v>
      </c>
      <c r="V95" s="450">
        <f t="shared" si="74"/>
        <v>0</v>
      </c>
      <c r="W95" s="451" t="str">
        <f t="shared" si="75"/>
        <v>-</v>
      </c>
      <c r="X95" s="452">
        <f t="shared" si="76"/>
        <v>0</v>
      </c>
      <c r="Y95" s="364" t="s">
        <v>463</v>
      </c>
      <c r="Z95" s="364" t="s">
        <v>312</v>
      </c>
      <c r="AA95" s="365"/>
      <c r="AB95" s="365"/>
      <c r="AC95" s="365">
        <v>1</v>
      </c>
      <c r="AD95" s="440"/>
      <c r="AF95" s="370">
        <f>SUM(AC93:AC112)</f>
        <v>20</v>
      </c>
      <c r="AG95" s="366">
        <f>SUMIF($Z$93:$Z$112,TRIM(AG94),$AC$93:$AC$112)</f>
        <v>0</v>
      </c>
      <c r="AH95" s="366">
        <f t="shared" ref="AH95:AM95" si="77">SUMIF($Z$93:$Z$112,TRIM(AH94),$AC$93:$AC$112)</f>
        <v>0</v>
      </c>
      <c r="AI95" s="366">
        <f t="shared" si="77"/>
        <v>0</v>
      </c>
      <c r="AJ95" s="366">
        <f t="shared" si="77"/>
        <v>18</v>
      </c>
      <c r="AK95" s="366">
        <f t="shared" si="77"/>
        <v>1</v>
      </c>
      <c r="AL95" s="366">
        <f t="shared" si="77"/>
        <v>1</v>
      </c>
      <c r="AM95" s="366">
        <f t="shared" si="77"/>
        <v>0</v>
      </c>
    </row>
    <row r="96" spans="2:39" s="147" customFormat="1" ht="27" customHeight="1">
      <c r="B96" s="538"/>
      <c r="C96" s="539"/>
      <c r="D96" s="360">
        <v>4</v>
      </c>
      <c r="E96" s="434"/>
      <c r="F96" s="362">
        <f t="shared" si="64"/>
        <v>0</v>
      </c>
      <c r="G96" s="363"/>
      <c r="H96" s="436"/>
      <c r="I96" s="436"/>
      <c r="J96" s="438" t="str">
        <f t="shared" si="65"/>
        <v>-</v>
      </c>
      <c r="K96" s="437"/>
      <c r="L96" s="438" t="str">
        <f t="shared" si="66"/>
        <v>-</v>
      </c>
      <c r="M96" s="437"/>
      <c r="N96" s="438" t="str">
        <f t="shared" si="67"/>
        <v>-</v>
      </c>
      <c r="O96" s="439">
        <f t="shared" si="68"/>
        <v>0</v>
      </c>
      <c r="P96" s="438" t="str">
        <f t="shared" si="69"/>
        <v>-</v>
      </c>
      <c r="Q96" s="436"/>
      <c r="R96" s="438" t="str">
        <f t="shared" si="70"/>
        <v>-</v>
      </c>
      <c r="S96" s="446">
        <f t="shared" si="71"/>
        <v>0</v>
      </c>
      <c r="T96" s="439">
        <f t="shared" si="72"/>
        <v>0</v>
      </c>
      <c r="U96" s="438" t="str">
        <f t="shared" si="73"/>
        <v>-</v>
      </c>
      <c r="V96" s="450">
        <f t="shared" si="74"/>
        <v>0</v>
      </c>
      <c r="W96" s="451" t="str">
        <f t="shared" si="75"/>
        <v>-</v>
      </c>
      <c r="X96" s="452">
        <f t="shared" si="76"/>
        <v>0</v>
      </c>
      <c r="Y96" s="364" t="s">
        <v>463</v>
      </c>
      <c r="Z96" s="364" t="s">
        <v>312</v>
      </c>
      <c r="AA96" s="365"/>
      <c r="AB96" s="365"/>
      <c r="AC96" s="365">
        <v>1</v>
      </c>
      <c r="AD96" s="440"/>
      <c r="AF96" s="371" t="s">
        <v>303</v>
      </c>
      <c r="AG96" s="368">
        <f>SUMIF($Z$93:$Z$112,TRIM(AG94),$F$93:$F$112)</f>
        <v>0</v>
      </c>
      <c r="AH96" s="368">
        <f t="shared" ref="AH96:AM96" si="78">SUMIF($Z$93:$Z$112,TRIM(AH94),$F$93:$F$112)</f>
        <v>0</v>
      </c>
      <c r="AI96" s="368">
        <f t="shared" si="78"/>
        <v>0</v>
      </c>
      <c r="AJ96" s="368">
        <f t="shared" si="78"/>
        <v>0</v>
      </c>
      <c r="AK96" s="368">
        <f t="shared" si="78"/>
        <v>0</v>
      </c>
      <c r="AL96" s="368">
        <f t="shared" si="78"/>
        <v>0</v>
      </c>
      <c r="AM96" s="368">
        <f t="shared" si="78"/>
        <v>0</v>
      </c>
    </row>
    <row r="97" spans="2:39" s="147" customFormat="1" ht="27" customHeight="1">
      <c r="B97" s="538"/>
      <c r="C97" s="539"/>
      <c r="D97" s="360">
        <v>5</v>
      </c>
      <c r="E97" s="434"/>
      <c r="F97" s="362">
        <f t="shared" si="64"/>
        <v>0</v>
      </c>
      <c r="G97" s="363"/>
      <c r="H97" s="436"/>
      <c r="I97" s="436"/>
      <c r="J97" s="438" t="str">
        <f t="shared" si="65"/>
        <v>-</v>
      </c>
      <c r="K97" s="437"/>
      <c r="L97" s="438" t="str">
        <f t="shared" si="66"/>
        <v>-</v>
      </c>
      <c r="M97" s="437"/>
      <c r="N97" s="438" t="str">
        <f t="shared" si="67"/>
        <v>-</v>
      </c>
      <c r="O97" s="439">
        <f t="shared" si="68"/>
        <v>0</v>
      </c>
      <c r="P97" s="438" t="str">
        <f t="shared" si="69"/>
        <v>-</v>
      </c>
      <c r="Q97" s="436"/>
      <c r="R97" s="438" t="str">
        <f t="shared" si="70"/>
        <v>-</v>
      </c>
      <c r="S97" s="446">
        <f t="shared" si="71"/>
        <v>0</v>
      </c>
      <c r="T97" s="439">
        <f t="shared" si="72"/>
        <v>0</v>
      </c>
      <c r="U97" s="438" t="str">
        <f t="shared" si="73"/>
        <v>-</v>
      </c>
      <c r="V97" s="450">
        <f t="shared" si="74"/>
        <v>0</v>
      </c>
      <c r="W97" s="451" t="str">
        <f t="shared" si="75"/>
        <v>-</v>
      </c>
      <c r="X97" s="452">
        <f t="shared" si="76"/>
        <v>0</v>
      </c>
      <c r="Y97" s="364" t="s">
        <v>463</v>
      </c>
      <c r="Z97" s="364" t="s">
        <v>312</v>
      </c>
      <c r="AA97" s="365"/>
      <c r="AB97" s="365"/>
      <c r="AC97" s="365">
        <v>1</v>
      </c>
      <c r="AD97" s="440"/>
      <c r="AF97" s="360" t="s">
        <v>443</v>
      </c>
      <c r="AG97" s="369">
        <f t="shared" ref="AG97:AM97" si="79">AG95/$AF95</f>
        <v>0</v>
      </c>
      <c r="AH97" s="369">
        <f t="shared" si="79"/>
        <v>0</v>
      </c>
      <c r="AI97" s="369">
        <f t="shared" si="79"/>
        <v>0</v>
      </c>
      <c r="AJ97" s="369">
        <f t="shared" si="79"/>
        <v>0.9</v>
      </c>
      <c r="AK97" s="369">
        <f t="shared" si="79"/>
        <v>0.05</v>
      </c>
      <c r="AL97" s="369">
        <f t="shared" si="79"/>
        <v>0.05</v>
      </c>
      <c r="AM97" s="369">
        <f t="shared" si="79"/>
        <v>0</v>
      </c>
    </row>
    <row r="98" spans="2:39" s="147" customFormat="1" ht="27" customHeight="1">
      <c r="B98" s="538"/>
      <c r="C98" s="539"/>
      <c r="D98" s="360">
        <v>6</v>
      </c>
      <c r="E98" s="434"/>
      <c r="F98" s="362">
        <f t="shared" si="64"/>
        <v>0</v>
      </c>
      <c r="G98" s="363"/>
      <c r="H98" s="436"/>
      <c r="I98" s="436"/>
      <c r="J98" s="438" t="str">
        <f t="shared" si="65"/>
        <v>-</v>
      </c>
      <c r="K98" s="437"/>
      <c r="L98" s="438" t="str">
        <f t="shared" si="66"/>
        <v>-</v>
      </c>
      <c r="M98" s="437"/>
      <c r="N98" s="438" t="str">
        <f t="shared" si="67"/>
        <v>-</v>
      </c>
      <c r="O98" s="439">
        <f t="shared" si="68"/>
        <v>0</v>
      </c>
      <c r="P98" s="438" t="str">
        <f t="shared" si="69"/>
        <v>-</v>
      </c>
      <c r="Q98" s="436"/>
      <c r="R98" s="438" t="str">
        <f t="shared" si="70"/>
        <v>-</v>
      </c>
      <c r="S98" s="446">
        <f t="shared" si="71"/>
        <v>0</v>
      </c>
      <c r="T98" s="439">
        <f t="shared" si="72"/>
        <v>0</v>
      </c>
      <c r="U98" s="438" t="str">
        <f t="shared" si="73"/>
        <v>-</v>
      </c>
      <c r="V98" s="450">
        <f t="shared" si="74"/>
        <v>0</v>
      </c>
      <c r="W98" s="451" t="str">
        <f t="shared" si="75"/>
        <v>-</v>
      </c>
      <c r="X98" s="452">
        <f t="shared" si="76"/>
        <v>0</v>
      </c>
      <c r="Y98" s="364" t="s">
        <v>463</v>
      </c>
      <c r="Z98" s="364" t="s">
        <v>352</v>
      </c>
      <c r="AA98" s="365"/>
      <c r="AB98" s="365"/>
      <c r="AC98" s="365">
        <v>1</v>
      </c>
      <c r="AD98" s="440"/>
    </row>
    <row r="99" spans="2:39" s="147" customFormat="1" ht="27" customHeight="1">
      <c r="B99" s="538"/>
      <c r="C99" s="539"/>
      <c r="D99" s="360">
        <v>7</v>
      </c>
      <c r="E99" s="434"/>
      <c r="F99" s="362">
        <f t="shared" si="64"/>
        <v>0</v>
      </c>
      <c r="G99" s="363"/>
      <c r="H99" s="436"/>
      <c r="I99" s="436"/>
      <c r="J99" s="438" t="str">
        <f t="shared" si="65"/>
        <v>-</v>
      </c>
      <c r="K99" s="437"/>
      <c r="L99" s="438" t="str">
        <f t="shared" si="66"/>
        <v>-</v>
      </c>
      <c r="M99" s="437"/>
      <c r="N99" s="438" t="str">
        <f t="shared" si="67"/>
        <v>-</v>
      </c>
      <c r="O99" s="439">
        <f t="shared" si="68"/>
        <v>0</v>
      </c>
      <c r="P99" s="438" t="str">
        <f t="shared" si="69"/>
        <v>-</v>
      </c>
      <c r="Q99" s="436"/>
      <c r="R99" s="438" t="str">
        <f t="shared" si="70"/>
        <v>-</v>
      </c>
      <c r="S99" s="446">
        <f t="shared" si="71"/>
        <v>0</v>
      </c>
      <c r="T99" s="439">
        <f t="shared" si="72"/>
        <v>0</v>
      </c>
      <c r="U99" s="438" t="str">
        <f t="shared" si="73"/>
        <v>-</v>
      </c>
      <c r="V99" s="450">
        <f t="shared" si="74"/>
        <v>0</v>
      </c>
      <c r="W99" s="451" t="str">
        <f t="shared" si="75"/>
        <v>-</v>
      </c>
      <c r="X99" s="452">
        <f t="shared" si="76"/>
        <v>0</v>
      </c>
      <c r="Y99" s="364" t="s">
        <v>463</v>
      </c>
      <c r="Z99" s="364" t="s">
        <v>312</v>
      </c>
      <c r="AA99" s="365"/>
      <c r="AB99" s="365"/>
      <c r="AC99" s="365">
        <v>1</v>
      </c>
      <c r="AD99" s="440"/>
    </row>
    <row r="100" spans="2:39" s="147" customFormat="1" ht="27" customHeight="1">
      <c r="B100" s="538"/>
      <c r="C100" s="539"/>
      <c r="D100" s="360">
        <v>8</v>
      </c>
      <c r="E100" s="434"/>
      <c r="F100" s="362">
        <f t="shared" si="64"/>
        <v>0</v>
      </c>
      <c r="G100" s="363"/>
      <c r="H100" s="436"/>
      <c r="I100" s="436"/>
      <c r="J100" s="438" t="str">
        <f t="shared" si="65"/>
        <v>-</v>
      </c>
      <c r="K100" s="437"/>
      <c r="L100" s="438" t="str">
        <f t="shared" si="66"/>
        <v>-</v>
      </c>
      <c r="M100" s="437"/>
      <c r="N100" s="438" t="str">
        <f t="shared" si="67"/>
        <v>-</v>
      </c>
      <c r="O100" s="439">
        <f t="shared" si="68"/>
        <v>0</v>
      </c>
      <c r="P100" s="438" t="str">
        <f t="shared" si="69"/>
        <v>-</v>
      </c>
      <c r="Q100" s="436"/>
      <c r="R100" s="438" t="str">
        <f t="shared" si="70"/>
        <v>-</v>
      </c>
      <c r="S100" s="446">
        <f t="shared" si="71"/>
        <v>0</v>
      </c>
      <c r="T100" s="439">
        <f t="shared" si="72"/>
        <v>0</v>
      </c>
      <c r="U100" s="438" t="str">
        <f t="shared" si="73"/>
        <v>-</v>
      </c>
      <c r="V100" s="450">
        <f t="shared" si="74"/>
        <v>0</v>
      </c>
      <c r="W100" s="451" t="str">
        <f t="shared" si="75"/>
        <v>-</v>
      </c>
      <c r="X100" s="452">
        <f t="shared" si="76"/>
        <v>0</v>
      </c>
      <c r="Y100" s="364" t="s">
        <v>463</v>
      </c>
      <c r="Z100" s="364" t="s">
        <v>312</v>
      </c>
      <c r="AA100" s="365"/>
      <c r="AB100" s="365"/>
      <c r="AC100" s="365">
        <v>1</v>
      </c>
      <c r="AD100" s="440"/>
    </row>
    <row r="101" spans="2:39" s="147" customFormat="1" ht="27" customHeight="1">
      <c r="B101" s="538"/>
      <c r="C101" s="539"/>
      <c r="D101" s="360">
        <v>9</v>
      </c>
      <c r="E101" s="434"/>
      <c r="F101" s="362">
        <f t="shared" si="64"/>
        <v>0</v>
      </c>
      <c r="G101" s="363"/>
      <c r="H101" s="436"/>
      <c r="I101" s="436"/>
      <c r="J101" s="438" t="str">
        <f t="shared" si="65"/>
        <v>-</v>
      </c>
      <c r="K101" s="437"/>
      <c r="L101" s="438" t="str">
        <f t="shared" si="66"/>
        <v>-</v>
      </c>
      <c r="M101" s="437"/>
      <c r="N101" s="438" t="str">
        <f t="shared" si="67"/>
        <v>-</v>
      </c>
      <c r="O101" s="439">
        <f t="shared" si="68"/>
        <v>0</v>
      </c>
      <c r="P101" s="438" t="str">
        <f t="shared" si="69"/>
        <v>-</v>
      </c>
      <c r="Q101" s="436"/>
      <c r="R101" s="438" t="str">
        <f t="shared" si="70"/>
        <v>-</v>
      </c>
      <c r="S101" s="446">
        <f t="shared" si="71"/>
        <v>0</v>
      </c>
      <c r="T101" s="439">
        <f t="shared" si="72"/>
        <v>0</v>
      </c>
      <c r="U101" s="438" t="str">
        <f t="shared" si="73"/>
        <v>-</v>
      </c>
      <c r="V101" s="450">
        <f t="shared" si="74"/>
        <v>0</v>
      </c>
      <c r="W101" s="451" t="str">
        <f t="shared" si="75"/>
        <v>-</v>
      </c>
      <c r="X101" s="452">
        <f t="shared" si="76"/>
        <v>0</v>
      </c>
      <c r="Y101" s="364" t="s">
        <v>463</v>
      </c>
      <c r="Z101" s="364" t="s">
        <v>312</v>
      </c>
      <c r="AA101" s="365"/>
      <c r="AB101" s="365"/>
      <c r="AC101" s="365">
        <v>1</v>
      </c>
      <c r="AD101" s="440"/>
      <c r="AH101" s="367"/>
    </row>
    <row r="102" spans="2:39" s="147" customFormat="1" ht="27" customHeight="1">
      <c r="B102" s="538"/>
      <c r="C102" s="539"/>
      <c r="D102" s="360">
        <v>10</v>
      </c>
      <c r="E102" s="434"/>
      <c r="F102" s="362">
        <f t="shared" si="64"/>
        <v>0</v>
      </c>
      <c r="G102" s="363"/>
      <c r="H102" s="436"/>
      <c r="I102" s="436"/>
      <c r="J102" s="438" t="str">
        <f t="shared" si="65"/>
        <v>-</v>
      </c>
      <c r="K102" s="437"/>
      <c r="L102" s="438" t="str">
        <f t="shared" si="66"/>
        <v>-</v>
      </c>
      <c r="M102" s="437"/>
      <c r="N102" s="438" t="str">
        <f t="shared" si="67"/>
        <v>-</v>
      </c>
      <c r="O102" s="439">
        <f t="shared" si="68"/>
        <v>0</v>
      </c>
      <c r="P102" s="438" t="str">
        <f t="shared" si="69"/>
        <v>-</v>
      </c>
      <c r="Q102" s="436"/>
      <c r="R102" s="438" t="str">
        <f t="shared" si="70"/>
        <v>-</v>
      </c>
      <c r="S102" s="446">
        <f t="shared" si="71"/>
        <v>0</v>
      </c>
      <c r="T102" s="439">
        <f t="shared" si="72"/>
        <v>0</v>
      </c>
      <c r="U102" s="438" t="str">
        <f t="shared" si="73"/>
        <v>-</v>
      </c>
      <c r="V102" s="450">
        <f t="shared" si="74"/>
        <v>0</v>
      </c>
      <c r="W102" s="451" t="str">
        <f t="shared" si="75"/>
        <v>-</v>
      </c>
      <c r="X102" s="452">
        <f t="shared" si="76"/>
        <v>0</v>
      </c>
      <c r="Y102" s="364" t="s">
        <v>463</v>
      </c>
      <c r="Z102" s="364" t="s">
        <v>312</v>
      </c>
      <c r="AA102" s="365"/>
      <c r="AB102" s="365"/>
      <c r="AC102" s="365">
        <v>1</v>
      </c>
      <c r="AD102" s="440"/>
      <c r="AH102" s="367"/>
    </row>
    <row r="103" spans="2:39" s="147" customFormat="1" ht="27" customHeight="1">
      <c r="B103" s="538"/>
      <c r="C103" s="539"/>
      <c r="D103" s="360">
        <v>11</v>
      </c>
      <c r="E103" s="434"/>
      <c r="F103" s="362">
        <f t="shared" si="64"/>
        <v>0</v>
      </c>
      <c r="G103" s="363"/>
      <c r="H103" s="436"/>
      <c r="I103" s="436"/>
      <c r="J103" s="438" t="str">
        <f t="shared" si="65"/>
        <v>-</v>
      </c>
      <c r="K103" s="437"/>
      <c r="L103" s="438" t="str">
        <f t="shared" si="66"/>
        <v>-</v>
      </c>
      <c r="M103" s="437"/>
      <c r="N103" s="438" t="str">
        <f t="shared" si="67"/>
        <v>-</v>
      </c>
      <c r="O103" s="439">
        <f t="shared" si="68"/>
        <v>0</v>
      </c>
      <c r="P103" s="438" t="str">
        <f t="shared" si="69"/>
        <v>-</v>
      </c>
      <c r="Q103" s="436"/>
      <c r="R103" s="438" t="str">
        <f t="shared" si="70"/>
        <v>-</v>
      </c>
      <c r="S103" s="446">
        <f t="shared" si="71"/>
        <v>0</v>
      </c>
      <c r="T103" s="439">
        <f t="shared" si="72"/>
        <v>0</v>
      </c>
      <c r="U103" s="438" t="str">
        <f t="shared" si="73"/>
        <v>-</v>
      </c>
      <c r="V103" s="450">
        <f t="shared" si="74"/>
        <v>0</v>
      </c>
      <c r="W103" s="451" t="str">
        <f t="shared" si="75"/>
        <v>-</v>
      </c>
      <c r="X103" s="452">
        <f t="shared" si="76"/>
        <v>0</v>
      </c>
      <c r="Y103" s="364" t="s">
        <v>463</v>
      </c>
      <c r="Z103" s="364" t="s">
        <v>312</v>
      </c>
      <c r="AA103" s="365"/>
      <c r="AB103" s="365"/>
      <c r="AC103" s="365">
        <v>1</v>
      </c>
      <c r="AD103" s="440"/>
      <c r="AH103" s="367"/>
    </row>
    <row r="104" spans="2:39" s="147" customFormat="1" ht="27" customHeight="1">
      <c r="B104" s="538"/>
      <c r="C104" s="539"/>
      <c r="D104" s="360">
        <v>12</v>
      </c>
      <c r="E104" s="434"/>
      <c r="F104" s="362">
        <f t="shared" si="64"/>
        <v>0</v>
      </c>
      <c r="G104" s="363"/>
      <c r="H104" s="436"/>
      <c r="I104" s="436"/>
      <c r="J104" s="438" t="str">
        <f t="shared" si="65"/>
        <v>-</v>
      </c>
      <c r="K104" s="437"/>
      <c r="L104" s="438" t="str">
        <f t="shared" si="66"/>
        <v>-</v>
      </c>
      <c r="M104" s="437"/>
      <c r="N104" s="438" t="str">
        <f t="shared" si="67"/>
        <v>-</v>
      </c>
      <c r="O104" s="439">
        <f t="shared" si="68"/>
        <v>0</v>
      </c>
      <c r="P104" s="438" t="str">
        <f t="shared" si="69"/>
        <v>-</v>
      </c>
      <c r="Q104" s="436"/>
      <c r="R104" s="438" t="str">
        <f t="shared" si="70"/>
        <v>-</v>
      </c>
      <c r="S104" s="446">
        <f t="shared" si="71"/>
        <v>0</v>
      </c>
      <c r="T104" s="439">
        <f t="shared" si="72"/>
        <v>0</v>
      </c>
      <c r="U104" s="438" t="str">
        <f t="shared" si="73"/>
        <v>-</v>
      </c>
      <c r="V104" s="450">
        <f t="shared" si="74"/>
        <v>0</v>
      </c>
      <c r="W104" s="451" t="str">
        <f t="shared" si="75"/>
        <v>-</v>
      </c>
      <c r="X104" s="452">
        <f t="shared" si="76"/>
        <v>0</v>
      </c>
      <c r="Y104" s="364" t="s">
        <v>463</v>
      </c>
      <c r="Z104" s="364" t="s">
        <v>312</v>
      </c>
      <c r="AA104" s="365"/>
      <c r="AB104" s="365"/>
      <c r="AC104" s="365">
        <v>1</v>
      </c>
      <c r="AD104" s="440"/>
      <c r="AH104" s="367"/>
    </row>
    <row r="105" spans="2:39" s="147" customFormat="1" ht="27" customHeight="1">
      <c r="B105" s="538"/>
      <c r="C105" s="539"/>
      <c r="D105" s="360">
        <v>13</v>
      </c>
      <c r="E105" s="434"/>
      <c r="F105" s="362">
        <f t="shared" si="64"/>
        <v>0</v>
      </c>
      <c r="G105" s="363"/>
      <c r="H105" s="436"/>
      <c r="I105" s="436"/>
      <c r="J105" s="438" t="str">
        <f t="shared" si="65"/>
        <v>-</v>
      </c>
      <c r="K105" s="437"/>
      <c r="L105" s="438" t="str">
        <f t="shared" si="66"/>
        <v>-</v>
      </c>
      <c r="M105" s="437"/>
      <c r="N105" s="438" t="str">
        <f t="shared" si="67"/>
        <v>-</v>
      </c>
      <c r="O105" s="439">
        <f t="shared" si="68"/>
        <v>0</v>
      </c>
      <c r="P105" s="438" t="str">
        <f t="shared" si="69"/>
        <v>-</v>
      </c>
      <c r="Q105" s="436"/>
      <c r="R105" s="438" t="str">
        <f t="shared" si="70"/>
        <v>-</v>
      </c>
      <c r="S105" s="446">
        <f t="shared" si="71"/>
        <v>0</v>
      </c>
      <c r="T105" s="439">
        <f t="shared" si="72"/>
        <v>0</v>
      </c>
      <c r="U105" s="438" t="str">
        <f t="shared" si="73"/>
        <v>-</v>
      </c>
      <c r="V105" s="450">
        <f t="shared" si="74"/>
        <v>0</v>
      </c>
      <c r="W105" s="451" t="str">
        <f t="shared" si="75"/>
        <v>-</v>
      </c>
      <c r="X105" s="452">
        <f t="shared" si="76"/>
        <v>0</v>
      </c>
      <c r="Y105" s="364" t="s">
        <v>463</v>
      </c>
      <c r="Z105" s="364" t="s">
        <v>312</v>
      </c>
      <c r="AA105" s="365"/>
      <c r="AB105" s="365"/>
      <c r="AC105" s="365">
        <v>1</v>
      </c>
      <c r="AD105" s="440"/>
    </row>
    <row r="106" spans="2:39" s="147" customFormat="1" ht="27" customHeight="1">
      <c r="B106" s="538"/>
      <c r="C106" s="539"/>
      <c r="D106" s="360">
        <v>14</v>
      </c>
      <c r="E106" s="434"/>
      <c r="F106" s="362">
        <f t="shared" si="64"/>
        <v>0</v>
      </c>
      <c r="G106" s="363"/>
      <c r="H106" s="436"/>
      <c r="I106" s="436"/>
      <c r="J106" s="438" t="str">
        <f t="shared" si="65"/>
        <v>-</v>
      </c>
      <c r="K106" s="437"/>
      <c r="L106" s="438" t="str">
        <f t="shared" si="66"/>
        <v>-</v>
      </c>
      <c r="M106" s="437"/>
      <c r="N106" s="438" t="str">
        <f t="shared" si="67"/>
        <v>-</v>
      </c>
      <c r="O106" s="439">
        <f t="shared" si="68"/>
        <v>0</v>
      </c>
      <c r="P106" s="438" t="str">
        <f t="shared" si="69"/>
        <v>-</v>
      </c>
      <c r="Q106" s="436"/>
      <c r="R106" s="438" t="str">
        <f t="shared" si="70"/>
        <v>-</v>
      </c>
      <c r="S106" s="446">
        <f t="shared" si="71"/>
        <v>0</v>
      </c>
      <c r="T106" s="439">
        <f t="shared" si="72"/>
        <v>0</v>
      </c>
      <c r="U106" s="438" t="str">
        <f t="shared" si="73"/>
        <v>-</v>
      </c>
      <c r="V106" s="450">
        <f t="shared" si="74"/>
        <v>0</v>
      </c>
      <c r="W106" s="451" t="str">
        <f t="shared" si="75"/>
        <v>-</v>
      </c>
      <c r="X106" s="452">
        <f t="shared" si="76"/>
        <v>0</v>
      </c>
      <c r="Y106" s="364" t="s">
        <v>463</v>
      </c>
      <c r="Z106" s="364" t="s">
        <v>312</v>
      </c>
      <c r="AA106" s="365"/>
      <c r="AB106" s="365"/>
      <c r="AC106" s="365">
        <v>1</v>
      </c>
      <c r="AD106" s="440"/>
      <c r="AF106" s="561" t="s">
        <v>432</v>
      </c>
      <c r="AG106" s="562"/>
      <c r="AH106" s="562"/>
      <c r="AI106" s="562"/>
      <c r="AJ106" s="562"/>
      <c r="AK106" s="562"/>
      <c r="AL106" s="562"/>
      <c r="AM106" s="563"/>
    </row>
    <row r="107" spans="2:39" s="147" customFormat="1" ht="27" customHeight="1">
      <c r="B107" s="538"/>
      <c r="C107" s="539"/>
      <c r="D107" s="360">
        <v>15</v>
      </c>
      <c r="E107" s="434"/>
      <c r="F107" s="362">
        <f t="shared" si="64"/>
        <v>0</v>
      </c>
      <c r="G107" s="363"/>
      <c r="H107" s="436"/>
      <c r="I107" s="436"/>
      <c r="J107" s="438" t="str">
        <f t="shared" si="65"/>
        <v>-</v>
      </c>
      <c r="K107" s="437"/>
      <c r="L107" s="438" t="str">
        <f t="shared" si="66"/>
        <v>-</v>
      </c>
      <c r="M107" s="437"/>
      <c r="N107" s="438" t="str">
        <f t="shared" si="67"/>
        <v>-</v>
      </c>
      <c r="O107" s="439">
        <f t="shared" si="68"/>
        <v>0</v>
      </c>
      <c r="P107" s="438" t="str">
        <f t="shared" si="69"/>
        <v>-</v>
      </c>
      <c r="Q107" s="436"/>
      <c r="R107" s="438" t="str">
        <f t="shared" si="70"/>
        <v>-</v>
      </c>
      <c r="S107" s="446">
        <f t="shared" si="71"/>
        <v>0</v>
      </c>
      <c r="T107" s="439">
        <f t="shared" si="72"/>
        <v>0</v>
      </c>
      <c r="U107" s="438" t="str">
        <f t="shared" si="73"/>
        <v>-</v>
      </c>
      <c r="V107" s="450">
        <f t="shared" si="74"/>
        <v>0</v>
      </c>
      <c r="W107" s="451" t="str">
        <f t="shared" si="75"/>
        <v>-</v>
      </c>
      <c r="X107" s="452">
        <f t="shared" si="76"/>
        <v>0</v>
      </c>
      <c r="Y107" s="364" t="s">
        <v>463</v>
      </c>
      <c r="Z107" s="364" t="s">
        <v>312</v>
      </c>
      <c r="AA107" s="365"/>
      <c r="AB107" s="365"/>
      <c r="AC107" s="365">
        <v>1</v>
      </c>
      <c r="AD107" s="440"/>
      <c r="AF107" s="564"/>
      <c r="AG107" s="565"/>
      <c r="AH107" s="565"/>
      <c r="AI107" s="565"/>
      <c r="AJ107" s="565"/>
      <c r="AK107" s="565"/>
      <c r="AL107" s="565"/>
      <c r="AM107" s="566"/>
    </row>
    <row r="108" spans="2:39" s="147" customFormat="1" ht="27" customHeight="1">
      <c r="B108" s="538"/>
      <c r="C108" s="539"/>
      <c r="D108" s="360">
        <v>16</v>
      </c>
      <c r="E108" s="434"/>
      <c r="F108" s="362">
        <f t="shared" si="64"/>
        <v>0</v>
      </c>
      <c r="G108" s="363"/>
      <c r="H108" s="436"/>
      <c r="I108" s="436"/>
      <c r="J108" s="438" t="str">
        <f t="shared" si="65"/>
        <v>-</v>
      </c>
      <c r="K108" s="437"/>
      <c r="L108" s="438" t="str">
        <f t="shared" si="66"/>
        <v>-</v>
      </c>
      <c r="M108" s="437"/>
      <c r="N108" s="438" t="str">
        <f t="shared" si="67"/>
        <v>-</v>
      </c>
      <c r="O108" s="439">
        <f t="shared" si="68"/>
        <v>0</v>
      </c>
      <c r="P108" s="438" t="str">
        <f t="shared" si="69"/>
        <v>-</v>
      </c>
      <c r="Q108" s="436"/>
      <c r="R108" s="438" t="str">
        <f t="shared" si="70"/>
        <v>-</v>
      </c>
      <c r="S108" s="446">
        <f t="shared" si="71"/>
        <v>0</v>
      </c>
      <c r="T108" s="439">
        <f t="shared" si="72"/>
        <v>0</v>
      </c>
      <c r="U108" s="438" t="str">
        <f t="shared" si="73"/>
        <v>-</v>
      </c>
      <c r="V108" s="450">
        <f t="shared" si="74"/>
        <v>0</v>
      </c>
      <c r="W108" s="451" t="str">
        <f t="shared" si="75"/>
        <v>-</v>
      </c>
      <c r="X108" s="452">
        <f t="shared" si="76"/>
        <v>0</v>
      </c>
      <c r="Y108" s="364" t="s">
        <v>463</v>
      </c>
      <c r="Z108" s="364" t="s">
        <v>312</v>
      </c>
      <c r="AA108" s="365"/>
      <c r="AB108" s="365"/>
      <c r="AC108" s="365">
        <v>1</v>
      </c>
      <c r="AD108" s="440"/>
      <c r="AF108" s="567"/>
      <c r="AG108" s="568"/>
      <c r="AH108" s="568"/>
      <c r="AI108" s="568"/>
      <c r="AJ108" s="568"/>
      <c r="AK108" s="568"/>
      <c r="AL108" s="568"/>
      <c r="AM108" s="569"/>
    </row>
    <row r="109" spans="2:39" s="147" customFormat="1" ht="27" customHeight="1">
      <c r="B109" s="538"/>
      <c r="C109" s="539"/>
      <c r="D109" s="360">
        <v>17</v>
      </c>
      <c r="E109" s="434"/>
      <c r="F109" s="362">
        <f t="shared" si="64"/>
        <v>0</v>
      </c>
      <c r="G109" s="363"/>
      <c r="H109" s="436"/>
      <c r="I109" s="436"/>
      <c r="J109" s="438" t="str">
        <f t="shared" si="65"/>
        <v>-</v>
      </c>
      <c r="K109" s="437"/>
      <c r="L109" s="438" t="str">
        <f t="shared" si="66"/>
        <v>-</v>
      </c>
      <c r="M109" s="437"/>
      <c r="N109" s="438" t="str">
        <f t="shared" si="67"/>
        <v>-</v>
      </c>
      <c r="O109" s="439">
        <f t="shared" si="68"/>
        <v>0</v>
      </c>
      <c r="P109" s="438" t="str">
        <f t="shared" si="69"/>
        <v>-</v>
      </c>
      <c r="Q109" s="436"/>
      <c r="R109" s="438" t="str">
        <f t="shared" si="70"/>
        <v>-</v>
      </c>
      <c r="S109" s="446">
        <f t="shared" si="71"/>
        <v>0</v>
      </c>
      <c r="T109" s="439">
        <f t="shared" si="72"/>
        <v>0</v>
      </c>
      <c r="U109" s="438" t="str">
        <f t="shared" si="73"/>
        <v>-</v>
      </c>
      <c r="V109" s="450">
        <f t="shared" si="74"/>
        <v>0</v>
      </c>
      <c r="W109" s="451" t="str">
        <f t="shared" si="75"/>
        <v>-</v>
      </c>
      <c r="X109" s="452">
        <f t="shared" si="76"/>
        <v>0</v>
      </c>
      <c r="Y109" s="364" t="s">
        <v>463</v>
      </c>
      <c r="Z109" s="364" t="s">
        <v>312</v>
      </c>
      <c r="AA109" s="365"/>
      <c r="AB109" s="365"/>
      <c r="AC109" s="365">
        <v>1</v>
      </c>
      <c r="AD109" s="440"/>
      <c r="AF109" s="160" t="s">
        <v>439</v>
      </c>
      <c r="AG109" s="160" t="s">
        <v>440</v>
      </c>
      <c r="AH109" s="155" t="s">
        <v>457</v>
      </c>
      <c r="AI109" s="155" t="s">
        <v>438</v>
      </c>
      <c r="AJ109" s="155" t="s">
        <v>312</v>
      </c>
      <c r="AK109" s="155" t="s">
        <v>347</v>
      </c>
      <c r="AL109" s="155" t="s">
        <v>352</v>
      </c>
      <c r="AM109" s="155" t="s">
        <v>442</v>
      </c>
    </row>
    <row r="110" spans="2:39" s="147" customFormat="1" ht="27" customHeight="1">
      <c r="B110" s="538"/>
      <c r="C110" s="539"/>
      <c r="D110" s="360">
        <v>18</v>
      </c>
      <c r="E110" s="434"/>
      <c r="F110" s="362">
        <f t="shared" si="64"/>
        <v>0</v>
      </c>
      <c r="G110" s="363"/>
      <c r="H110" s="436"/>
      <c r="I110" s="436"/>
      <c r="J110" s="438" t="str">
        <f t="shared" si="65"/>
        <v>-</v>
      </c>
      <c r="K110" s="437"/>
      <c r="L110" s="438" t="str">
        <f t="shared" si="66"/>
        <v>-</v>
      </c>
      <c r="M110" s="437"/>
      <c r="N110" s="438" t="str">
        <f t="shared" si="67"/>
        <v>-</v>
      </c>
      <c r="O110" s="439">
        <f t="shared" si="68"/>
        <v>0</v>
      </c>
      <c r="P110" s="438" t="str">
        <f t="shared" si="69"/>
        <v>-</v>
      </c>
      <c r="Q110" s="436"/>
      <c r="R110" s="438" t="str">
        <f t="shared" si="70"/>
        <v>-</v>
      </c>
      <c r="S110" s="446">
        <f t="shared" si="71"/>
        <v>0</v>
      </c>
      <c r="T110" s="439">
        <f t="shared" si="72"/>
        <v>0</v>
      </c>
      <c r="U110" s="438" t="str">
        <f t="shared" si="73"/>
        <v>-</v>
      </c>
      <c r="V110" s="450">
        <f t="shared" si="74"/>
        <v>0</v>
      </c>
      <c r="W110" s="451" t="str">
        <f t="shared" si="75"/>
        <v>-</v>
      </c>
      <c r="X110" s="452">
        <f t="shared" si="76"/>
        <v>0</v>
      </c>
      <c r="Y110" s="364" t="s">
        <v>463</v>
      </c>
      <c r="Z110" s="364" t="s">
        <v>312</v>
      </c>
      <c r="AA110" s="365"/>
      <c r="AB110" s="365"/>
      <c r="AC110" s="365">
        <v>1</v>
      </c>
      <c r="AD110" s="440"/>
      <c r="AE110" s="447" t="s">
        <v>458</v>
      </c>
      <c r="AF110" s="370">
        <f>AF29+AF51+AF73+AF95</f>
        <v>80</v>
      </c>
      <c r="AG110" s="370">
        <f>AG29+AG51+AG73+AG95</f>
        <v>0</v>
      </c>
      <c r="AH110" s="370">
        <f t="shared" ref="AH110:AM110" si="80">AH29+AH51+AH73+AH95</f>
        <v>0</v>
      </c>
      <c r="AI110" s="370">
        <f t="shared" si="80"/>
        <v>0</v>
      </c>
      <c r="AJ110" s="370">
        <f t="shared" si="80"/>
        <v>72</v>
      </c>
      <c r="AK110" s="370">
        <f t="shared" si="80"/>
        <v>4</v>
      </c>
      <c r="AL110" s="370">
        <f t="shared" si="80"/>
        <v>4</v>
      </c>
      <c r="AM110" s="370">
        <f t="shared" si="80"/>
        <v>0</v>
      </c>
    </row>
    <row r="111" spans="2:39" s="147" customFormat="1" ht="27" customHeight="1">
      <c r="B111" s="538"/>
      <c r="C111" s="539"/>
      <c r="D111" s="360">
        <v>19</v>
      </c>
      <c r="E111" s="434"/>
      <c r="F111" s="362">
        <f t="shared" si="64"/>
        <v>0</v>
      </c>
      <c r="G111" s="363"/>
      <c r="H111" s="436"/>
      <c r="I111" s="436"/>
      <c r="J111" s="438" t="str">
        <f t="shared" si="65"/>
        <v>-</v>
      </c>
      <c r="K111" s="437"/>
      <c r="L111" s="438" t="str">
        <f t="shared" si="66"/>
        <v>-</v>
      </c>
      <c r="M111" s="437"/>
      <c r="N111" s="438" t="str">
        <f t="shared" si="67"/>
        <v>-</v>
      </c>
      <c r="O111" s="439">
        <f t="shared" si="68"/>
        <v>0</v>
      </c>
      <c r="P111" s="438" t="str">
        <f t="shared" si="69"/>
        <v>-</v>
      </c>
      <c r="Q111" s="436"/>
      <c r="R111" s="438" t="str">
        <f t="shared" si="70"/>
        <v>-</v>
      </c>
      <c r="S111" s="446">
        <f t="shared" si="71"/>
        <v>0</v>
      </c>
      <c r="T111" s="439">
        <f t="shared" si="72"/>
        <v>0</v>
      </c>
      <c r="U111" s="438" t="str">
        <f t="shared" si="73"/>
        <v>-</v>
      </c>
      <c r="V111" s="450">
        <f t="shared" si="74"/>
        <v>0</v>
      </c>
      <c r="W111" s="451" t="str">
        <f t="shared" si="75"/>
        <v>-</v>
      </c>
      <c r="X111" s="452">
        <f t="shared" si="76"/>
        <v>0</v>
      </c>
      <c r="Y111" s="364" t="s">
        <v>463</v>
      </c>
      <c r="Z111" s="364" t="s">
        <v>312</v>
      </c>
      <c r="AA111" s="365"/>
      <c r="AB111" s="365"/>
      <c r="AC111" s="365">
        <v>1</v>
      </c>
      <c r="AD111" s="440"/>
      <c r="AF111" s="371"/>
      <c r="AG111" s="370">
        <f>AG30+AG52+AG74+AG96</f>
        <v>0</v>
      </c>
      <c r="AH111" s="370">
        <f t="shared" ref="AH111:AM111" si="81">AH30+AH52+AH74+AH96</f>
        <v>0</v>
      </c>
      <c r="AI111" s="370">
        <f t="shared" si="81"/>
        <v>0</v>
      </c>
      <c r="AJ111" s="370">
        <f t="shared" si="81"/>
        <v>0</v>
      </c>
      <c r="AK111" s="370">
        <f t="shared" si="81"/>
        <v>0</v>
      </c>
      <c r="AL111" s="370">
        <f t="shared" si="81"/>
        <v>0</v>
      </c>
      <c r="AM111" s="370">
        <f t="shared" si="81"/>
        <v>0</v>
      </c>
    </row>
    <row r="112" spans="2:39" s="147" customFormat="1" ht="27" customHeight="1">
      <c r="B112" s="540"/>
      <c r="C112" s="541"/>
      <c r="D112" s="360">
        <v>20</v>
      </c>
      <c r="E112" s="434"/>
      <c r="F112" s="362">
        <f t="shared" si="64"/>
        <v>0</v>
      </c>
      <c r="G112" s="363"/>
      <c r="H112" s="436"/>
      <c r="I112" s="436"/>
      <c r="J112" s="438" t="str">
        <f t="shared" si="65"/>
        <v>-</v>
      </c>
      <c r="K112" s="437"/>
      <c r="L112" s="438" t="str">
        <f t="shared" si="66"/>
        <v>-</v>
      </c>
      <c r="M112" s="437"/>
      <c r="N112" s="438" t="str">
        <f t="shared" si="67"/>
        <v>-</v>
      </c>
      <c r="O112" s="439">
        <f t="shared" si="68"/>
        <v>0</v>
      </c>
      <c r="P112" s="438" t="str">
        <f t="shared" si="69"/>
        <v>-</v>
      </c>
      <c r="Q112" s="436"/>
      <c r="R112" s="438" t="str">
        <f t="shared" si="70"/>
        <v>-</v>
      </c>
      <c r="S112" s="446">
        <f t="shared" si="71"/>
        <v>0</v>
      </c>
      <c r="T112" s="439">
        <f t="shared" si="72"/>
        <v>0</v>
      </c>
      <c r="U112" s="438" t="str">
        <f t="shared" si="73"/>
        <v>-</v>
      </c>
      <c r="V112" s="450">
        <f t="shared" si="74"/>
        <v>0</v>
      </c>
      <c r="W112" s="451" t="str">
        <f t="shared" si="75"/>
        <v>-</v>
      </c>
      <c r="X112" s="452">
        <f t="shared" si="76"/>
        <v>0</v>
      </c>
      <c r="Y112" s="364" t="s">
        <v>463</v>
      </c>
      <c r="Z112" s="364" t="s">
        <v>312</v>
      </c>
      <c r="AA112" s="365"/>
      <c r="AB112" s="365"/>
      <c r="AC112" s="365">
        <v>1</v>
      </c>
      <c r="AD112" s="440"/>
      <c r="AF112" s="360"/>
      <c r="AG112" s="369">
        <f>AG110/$AF110</f>
        <v>0</v>
      </c>
      <c r="AH112" s="369">
        <f t="shared" ref="AH112:AM112" si="82">AH110/$AF110</f>
        <v>0</v>
      </c>
      <c r="AI112" s="369">
        <f t="shared" si="82"/>
        <v>0</v>
      </c>
      <c r="AJ112" s="369">
        <f t="shared" si="82"/>
        <v>0.9</v>
      </c>
      <c r="AK112" s="369">
        <f t="shared" si="82"/>
        <v>0.05</v>
      </c>
      <c r="AL112" s="369">
        <f t="shared" si="82"/>
        <v>0.05</v>
      </c>
      <c r="AM112" s="369">
        <f t="shared" si="82"/>
        <v>0</v>
      </c>
    </row>
    <row r="113" spans="2:40" ht="17.100000000000001" customHeight="1">
      <c r="B113" s="552" t="s">
        <v>415</v>
      </c>
      <c r="C113" s="553"/>
      <c r="D113" s="556" t="s">
        <v>416</v>
      </c>
      <c r="E113" s="557" t="s">
        <v>417</v>
      </c>
      <c r="F113" s="558" t="s">
        <v>461</v>
      </c>
      <c r="G113" s="525" t="s">
        <v>419</v>
      </c>
      <c r="H113" s="560" t="s">
        <v>420</v>
      </c>
      <c r="I113" s="542" t="s">
        <v>421</v>
      </c>
      <c r="J113" s="543"/>
      <c r="K113" s="542" t="s">
        <v>422</v>
      </c>
      <c r="L113" s="543"/>
      <c r="M113" s="542" t="s">
        <v>423</v>
      </c>
      <c r="N113" s="543"/>
      <c r="O113" s="542" t="s">
        <v>424</v>
      </c>
      <c r="P113" s="543"/>
      <c r="Q113" s="542" t="s">
        <v>375</v>
      </c>
      <c r="R113" s="544"/>
      <c r="S113" s="543"/>
      <c r="T113" s="545" t="s">
        <v>462</v>
      </c>
      <c r="U113" s="546"/>
      <c r="V113" s="547" t="s">
        <v>425</v>
      </c>
      <c r="W113" s="548"/>
      <c r="X113" s="549"/>
      <c r="Y113" s="550" t="s">
        <v>426</v>
      </c>
      <c r="Z113" s="550" t="s">
        <v>427</v>
      </c>
      <c r="AA113" s="550" t="s">
        <v>428</v>
      </c>
      <c r="AB113" s="550" t="s">
        <v>429</v>
      </c>
      <c r="AC113" s="550" t="s">
        <v>430</v>
      </c>
      <c r="AD113" s="525" t="s">
        <v>431</v>
      </c>
      <c r="AF113" s="527" t="s">
        <v>432</v>
      </c>
      <c r="AG113" s="528"/>
      <c r="AH113" s="528"/>
      <c r="AI113" s="528"/>
      <c r="AJ113" s="528"/>
      <c r="AK113" s="528"/>
      <c r="AL113" s="528"/>
      <c r="AM113" s="529"/>
    </row>
    <row r="114" spans="2:40" ht="16.5" customHeight="1">
      <c r="B114" s="554"/>
      <c r="C114" s="555"/>
      <c r="D114" s="556"/>
      <c r="E114" s="556"/>
      <c r="F114" s="559"/>
      <c r="G114" s="526"/>
      <c r="H114" s="526"/>
      <c r="I114" s="433" t="s">
        <v>433</v>
      </c>
      <c r="J114" s="361" t="s">
        <v>434</v>
      </c>
      <c r="K114" s="433" t="s">
        <v>433</v>
      </c>
      <c r="L114" s="361" t="s">
        <v>434</v>
      </c>
      <c r="M114" s="433" t="s">
        <v>433</v>
      </c>
      <c r="N114" s="361" t="s">
        <v>434</v>
      </c>
      <c r="O114" s="433" t="s">
        <v>433</v>
      </c>
      <c r="P114" s="361" t="s">
        <v>434</v>
      </c>
      <c r="Q114" s="433" t="s">
        <v>433</v>
      </c>
      <c r="R114" s="361" t="s">
        <v>434</v>
      </c>
      <c r="S114" s="361" t="s">
        <v>435</v>
      </c>
      <c r="T114" s="433" t="s">
        <v>433</v>
      </c>
      <c r="U114" s="361" t="s">
        <v>434</v>
      </c>
      <c r="V114" s="433" t="s">
        <v>433</v>
      </c>
      <c r="W114" s="361" t="s">
        <v>434</v>
      </c>
      <c r="X114" s="361" t="s">
        <v>435</v>
      </c>
      <c r="Y114" s="551"/>
      <c r="Z114" s="551"/>
      <c r="AA114" s="551"/>
      <c r="AB114" s="551"/>
      <c r="AC114" s="551"/>
      <c r="AD114" s="526"/>
      <c r="AF114" s="530"/>
      <c r="AG114" s="531"/>
      <c r="AH114" s="531"/>
      <c r="AI114" s="531"/>
      <c r="AJ114" s="531"/>
      <c r="AK114" s="531"/>
      <c r="AL114" s="531"/>
      <c r="AM114" s="532"/>
    </row>
    <row r="115" spans="2:40" s="147" customFormat="1" ht="27" customHeight="1">
      <c r="B115" s="536" t="s">
        <v>459</v>
      </c>
      <c r="C115" s="537"/>
      <c r="D115" s="360">
        <v>1</v>
      </c>
      <c r="E115" s="434"/>
      <c r="F115" s="362">
        <f>IFERROR(T115*G115,"-")</f>
        <v>0</v>
      </c>
      <c r="G115" s="363"/>
      <c r="H115" s="436"/>
      <c r="I115" s="436"/>
      <c r="J115" s="438" t="str">
        <f>IFERROR(I115/H115,"-")</f>
        <v>-</v>
      </c>
      <c r="K115" s="437"/>
      <c r="L115" s="438" t="str">
        <f>IFERROR(K115/H115,"-")</f>
        <v>-</v>
      </c>
      <c r="M115" s="437"/>
      <c r="N115" s="438" t="str">
        <f>IFERROR(M115/H115,"-")</f>
        <v>-</v>
      </c>
      <c r="O115" s="439">
        <f>IFERROR(K115+M115,"-")</f>
        <v>0</v>
      </c>
      <c r="P115" s="438" t="str">
        <f>IFERROR(O115/H115,"-")</f>
        <v>-</v>
      </c>
      <c r="Q115" s="436"/>
      <c r="R115" s="438" t="str">
        <f>IFERROR(Q115/H115,"-")</f>
        <v>-</v>
      </c>
      <c r="S115" s="446">
        <f>IFERROR(Q115*G115,"-")</f>
        <v>0</v>
      </c>
      <c r="T115" s="439">
        <f>IFERROR(O115-H115,"-")</f>
        <v>0</v>
      </c>
      <c r="U115" s="438" t="str">
        <f>IFERROR(T115/H115,"-")</f>
        <v>-</v>
      </c>
      <c r="V115" s="450">
        <f>T115-Q115</f>
        <v>0</v>
      </c>
      <c r="W115" s="451" t="str">
        <f>IFERROR(V115/H115,"-")</f>
        <v>-</v>
      </c>
      <c r="X115" s="452">
        <f>IFERROR(V115*G115,"-")</f>
        <v>0</v>
      </c>
      <c r="Y115" s="364" t="s">
        <v>463</v>
      </c>
      <c r="Z115" s="364" t="s">
        <v>347</v>
      </c>
      <c r="AA115" s="365"/>
      <c r="AB115" s="365"/>
      <c r="AC115" s="365">
        <v>1</v>
      </c>
      <c r="AD115" s="440"/>
      <c r="AF115" s="533"/>
      <c r="AG115" s="534"/>
      <c r="AH115" s="534"/>
      <c r="AI115" s="534"/>
      <c r="AJ115" s="534"/>
      <c r="AK115" s="534"/>
      <c r="AL115" s="534"/>
      <c r="AM115" s="535"/>
    </row>
    <row r="116" spans="2:40" s="147" customFormat="1" ht="27" customHeight="1">
      <c r="B116" s="538"/>
      <c r="C116" s="539"/>
      <c r="D116" s="360">
        <v>2</v>
      </c>
      <c r="E116" s="434"/>
      <c r="F116" s="362">
        <f t="shared" ref="F116:F134" si="83">IFERROR(T116*G116,"-")</f>
        <v>0</v>
      </c>
      <c r="G116" s="363"/>
      <c r="H116" s="436"/>
      <c r="I116" s="436"/>
      <c r="J116" s="438" t="str">
        <f t="shared" ref="J116:J134" si="84">IFERROR(I116/H116,"-")</f>
        <v>-</v>
      </c>
      <c r="K116" s="437"/>
      <c r="L116" s="438" t="str">
        <f t="shared" ref="L116:L134" si="85">IFERROR(K116/H116,"-")</f>
        <v>-</v>
      </c>
      <c r="M116" s="437"/>
      <c r="N116" s="438" t="str">
        <f t="shared" ref="N116:N134" si="86">IFERROR(M116/H116,"-")</f>
        <v>-</v>
      </c>
      <c r="O116" s="439">
        <f t="shared" ref="O116:O134" si="87">IFERROR(K116+M116,"-")</f>
        <v>0</v>
      </c>
      <c r="P116" s="438" t="str">
        <f t="shared" ref="P116:P134" si="88">IFERROR(O116/H116,"-")</f>
        <v>-</v>
      </c>
      <c r="Q116" s="436"/>
      <c r="R116" s="438" t="str">
        <f t="shared" ref="R116:R134" si="89">IFERROR(Q116/H116,"-")</f>
        <v>-</v>
      </c>
      <c r="S116" s="446">
        <f t="shared" ref="S116:S134" si="90">IFERROR(Q116*G116,"-")</f>
        <v>0</v>
      </c>
      <c r="T116" s="439">
        <f t="shared" ref="T116:T134" si="91">IFERROR(O116-H116,"-")</f>
        <v>0</v>
      </c>
      <c r="U116" s="438" t="str">
        <f t="shared" ref="U116:U134" si="92">IFERROR(T116/H116,"-")</f>
        <v>-</v>
      </c>
      <c r="V116" s="450">
        <f t="shared" ref="V116:V134" si="93">T116-Q116</f>
        <v>0</v>
      </c>
      <c r="W116" s="451" t="str">
        <f t="shared" ref="W116:W134" si="94">IFERROR(V116/H116,"-")</f>
        <v>-</v>
      </c>
      <c r="X116" s="452">
        <f t="shared" ref="X116:X134" si="95">IFERROR(V116*G116,"-")</f>
        <v>0</v>
      </c>
      <c r="Y116" s="364" t="s">
        <v>463</v>
      </c>
      <c r="Z116" s="364" t="s">
        <v>352</v>
      </c>
      <c r="AA116" s="365"/>
      <c r="AB116" s="365"/>
      <c r="AC116" s="365">
        <v>1</v>
      </c>
      <c r="AD116" s="440"/>
      <c r="AF116" s="160" t="s">
        <v>439</v>
      </c>
      <c r="AG116" s="160" t="s">
        <v>440</v>
      </c>
      <c r="AH116" s="155" t="s">
        <v>441</v>
      </c>
      <c r="AI116" s="155" t="s">
        <v>438</v>
      </c>
      <c r="AJ116" s="155" t="s">
        <v>312</v>
      </c>
      <c r="AK116" s="155" t="s">
        <v>347</v>
      </c>
      <c r="AL116" s="155" t="s">
        <v>352</v>
      </c>
      <c r="AM116" s="155" t="s">
        <v>442</v>
      </c>
    </row>
    <row r="117" spans="2:40" s="147" customFormat="1" ht="27" customHeight="1">
      <c r="B117" s="538"/>
      <c r="C117" s="539"/>
      <c r="D117" s="360">
        <v>3</v>
      </c>
      <c r="E117" s="434"/>
      <c r="F117" s="362">
        <f t="shared" si="83"/>
        <v>0</v>
      </c>
      <c r="G117" s="363"/>
      <c r="H117" s="436"/>
      <c r="I117" s="436"/>
      <c r="J117" s="438" t="str">
        <f t="shared" si="84"/>
        <v>-</v>
      </c>
      <c r="K117" s="437"/>
      <c r="L117" s="438" t="str">
        <f t="shared" si="85"/>
        <v>-</v>
      </c>
      <c r="M117" s="437"/>
      <c r="N117" s="438" t="str">
        <f t="shared" si="86"/>
        <v>-</v>
      </c>
      <c r="O117" s="439">
        <f t="shared" si="87"/>
        <v>0</v>
      </c>
      <c r="P117" s="438" t="str">
        <f t="shared" si="88"/>
        <v>-</v>
      </c>
      <c r="Q117" s="436"/>
      <c r="R117" s="438" t="str">
        <f t="shared" si="89"/>
        <v>-</v>
      </c>
      <c r="S117" s="446">
        <f t="shared" si="90"/>
        <v>0</v>
      </c>
      <c r="T117" s="439">
        <f t="shared" si="91"/>
        <v>0</v>
      </c>
      <c r="U117" s="438" t="str">
        <f t="shared" si="92"/>
        <v>-</v>
      </c>
      <c r="V117" s="450">
        <f t="shared" si="93"/>
        <v>0</v>
      </c>
      <c r="W117" s="451" t="str">
        <f t="shared" si="94"/>
        <v>-</v>
      </c>
      <c r="X117" s="452">
        <f t="shared" si="95"/>
        <v>0</v>
      </c>
      <c r="Y117" s="364" t="s">
        <v>463</v>
      </c>
      <c r="Z117" s="364" t="s">
        <v>312</v>
      </c>
      <c r="AA117" s="365"/>
      <c r="AB117" s="365"/>
      <c r="AC117" s="365">
        <v>1</v>
      </c>
      <c r="AD117" s="440"/>
      <c r="AF117" s="370">
        <f>SUM(AC115:AC134)</f>
        <v>20</v>
      </c>
      <c r="AG117" s="366">
        <f>SUMIF($Z$93:$Z$112,TRIM(AG116),$AC$93:$AC$112)</f>
        <v>0</v>
      </c>
      <c r="AH117" s="366">
        <f t="shared" ref="AH117:AM117" si="96">SUMIF($Z$93:$Z$112,TRIM(AH116),$AC$93:$AC$112)</f>
        <v>0</v>
      </c>
      <c r="AI117" s="366">
        <f t="shared" si="96"/>
        <v>0</v>
      </c>
      <c r="AJ117" s="366">
        <f t="shared" si="96"/>
        <v>18</v>
      </c>
      <c r="AK117" s="366">
        <f t="shared" si="96"/>
        <v>1</v>
      </c>
      <c r="AL117" s="366">
        <f t="shared" si="96"/>
        <v>1</v>
      </c>
      <c r="AM117" s="366">
        <f t="shared" si="96"/>
        <v>0</v>
      </c>
    </row>
    <row r="118" spans="2:40" s="147" customFormat="1" ht="27" customHeight="1">
      <c r="B118" s="538"/>
      <c r="C118" s="539"/>
      <c r="D118" s="360">
        <v>4</v>
      </c>
      <c r="E118" s="434"/>
      <c r="F118" s="362">
        <f t="shared" si="83"/>
        <v>0</v>
      </c>
      <c r="G118" s="363"/>
      <c r="H118" s="436"/>
      <c r="I118" s="436"/>
      <c r="J118" s="438" t="str">
        <f t="shared" si="84"/>
        <v>-</v>
      </c>
      <c r="K118" s="437"/>
      <c r="L118" s="438" t="str">
        <f t="shared" si="85"/>
        <v>-</v>
      </c>
      <c r="M118" s="437"/>
      <c r="N118" s="438" t="str">
        <f t="shared" si="86"/>
        <v>-</v>
      </c>
      <c r="O118" s="439">
        <f t="shared" si="87"/>
        <v>0</v>
      </c>
      <c r="P118" s="438" t="str">
        <f t="shared" si="88"/>
        <v>-</v>
      </c>
      <c r="Q118" s="436"/>
      <c r="R118" s="438" t="str">
        <f t="shared" si="89"/>
        <v>-</v>
      </c>
      <c r="S118" s="446">
        <f t="shared" si="90"/>
        <v>0</v>
      </c>
      <c r="T118" s="439">
        <f t="shared" si="91"/>
        <v>0</v>
      </c>
      <c r="U118" s="438" t="str">
        <f t="shared" si="92"/>
        <v>-</v>
      </c>
      <c r="V118" s="450">
        <f t="shared" si="93"/>
        <v>0</v>
      </c>
      <c r="W118" s="451" t="str">
        <f t="shared" si="94"/>
        <v>-</v>
      </c>
      <c r="X118" s="452">
        <f t="shared" si="95"/>
        <v>0</v>
      </c>
      <c r="Y118" s="364" t="s">
        <v>463</v>
      </c>
      <c r="Z118" s="364" t="s">
        <v>352</v>
      </c>
      <c r="AA118" s="365"/>
      <c r="AB118" s="365"/>
      <c r="AC118" s="365">
        <v>1</v>
      </c>
      <c r="AD118" s="440"/>
      <c r="AF118" s="371" t="s">
        <v>303</v>
      </c>
      <c r="AG118" s="368">
        <f>SUMIF($Z$93:$Z$112,TRIM(AG116),$F$93:$F$112)</f>
        <v>0</v>
      </c>
      <c r="AH118" s="368">
        <f t="shared" ref="AH118:AM118" si="97">SUMIF($Z$93:$Z$112,TRIM(AH116),$F$93:$F$112)</f>
        <v>0</v>
      </c>
      <c r="AI118" s="368">
        <f t="shared" si="97"/>
        <v>0</v>
      </c>
      <c r="AJ118" s="368">
        <f t="shared" si="97"/>
        <v>0</v>
      </c>
      <c r="AK118" s="368">
        <f t="shared" si="97"/>
        <v>0</v>
      </c>
      <c r="AL118" s="368">
        <f t="shared" si="97"/>
        <v>0</v>
      </c>
      <c r="AM118" s="368">
        <f t="shared" si="97"/>
        <v>0</v>
      </c>
    </row>
    <row r="119" spans="2:40" s="147" customFormat="1" ht="27" customHeight="1">
      <c r="B119" s="538"/>
      <c r="C119" s="539"/>
      <c r="D119" s="360">
        <v>5</v>
      </c>
      <c r="E119" s="434"/>
      <c r="F119" s="362">
        <f t="shared" si="83"/>
        <v>0</v>
      </c>
      <c r="G119" s="363"/>
      <c r="H119" s="436"/>
      <c r="I119" s="436"/>
      <c r="J119" s="438" t="str">
        <f t="shared" si="84"/>
        <v>-</v>
      </c>
      <c r="K119" s="437"/>
      <c r="L119" s="438" t="str">
        <f t="shared" si="85"/>
        <v>-</v>
      </c>
      <c r="M119" s="437"/>
      <c r="N119" s="438" t="str">
        <f t="shared" si="86"/>
        <v>-</v>
      </c>
      <c r="O119" s="439">
        <f t="shared" si="87"/>
        <v>0</v>
      </c>
      <c r="P119" s="438" t="str">
        <f t="shared" si="88"/>
        <v>-</v>
      </c>
      <c r="Q119" s="436"/>
      <c r="R119" s="438" t="str">
        <f t="shared" si="89"/>
        <v>-</v>
      </c>
      <c r="S119" s="446">
        <f t="shared" si="90"/>
        <v>0</v>
      </c>
      <c r="T119" s="439">
        <f t="shared" si="91"/>
        <v>0</v>
      </c>
      <c r="U119" s="438" t="str">
        <f t="shared" si="92"/>
        <v>-</v>
      </c>
      <c r="V119" s="450">
        <f t="shared" si="93"/>
        <v>0</v>
      </c>
      <c r="W119" s="451" t="str">
        <f t="shared" si="94"/>
        <v>-</v>
      </c>
      <c r="X119" s="452">
        <f t="shared" si="95"/>
        <v>0</v>
      </c>
      <c r="Y119" s="364" t="s">
        <v>463</v>
      </c>
      <c r="Z119" s="364" t="s">
        <v>352</v>
      </c>
      <c r="AA119" s="365"/>
      <c r="AB119" s="365"/>
      <c r="AC119" s="365">
        <v>1</v>
      </c>
      <c r="AD119" s="440"/>
      <c r="AF119" s="360" t="s">
        <v>443</v>
      </c>
      <c r="AG119" s="369">
        <f t="shared" ref="AG119:AM119" si="98">AG117/$AF117</f>
        <v>0</v>
      </c>
      <c r="AH119" s="369">
        <f t="shared" si="98"/>
        <v>0</v>
      </c>
      <c r="AI119" s="369">
        <f t="shared" si="98"/>
        <v>0</v>
      </c>
      <c r="AJ119" s="369">
        <f t="shared" si="98"/>
        <v>0.9</v>
      </c>
      <c r="AK119" s="369">
        <f t="shared" si="98"/>
        <v>0.05</v>
      </c>
      <c r="AL119" s="369">
        <f t="shared" si="98"/>
        <v>0.05</v>
      </c>
      <c r="AM119" s="369">
        <f t="shared" si="98"/>
        <v>0</v>
      </c>
    </row>
    <row r="120" spans="2:40" s="147" customFormat="1" ht="27" customHeight="1">
      <c r="B120" s="538"/>
      <c r="C120" s="539"/>
      <c r="D120" s="360">
        <v>6</v>
      </c>
      <c r="E120" s="434"/>
      <c r="F120" s="362">
        <f t="shared" si="83"/>
        <v>0</v>
      </c>
      <c r="G120" s="363"/>
      <c r="H120" s="436"/>
      <c r="I120" s="436"/>
      <c r="J120" s="438" t="str">
        <f t="shared" si="84"/>
        <v>-</v>
      </c>
      <c r="K120" s="437"/>
      <c r="L120" s="438" t="str">
        <f t="shared" si="85"/>
        <v>-</v>
      </c>
      <c r="M120" s="437"/>
      <c r="N120" s="438" t="str">
        <f t="shared" si="86"/>
        <v>-</v>
      </c>
      <c r="O120" s="439">
        <f t="shared" si="87"/>
        <v>0</v>
      </c>
      <c r="P120" s="438" t="str">
        <f t="shared" si="88"/>
        <v>-</v>
      </c>
      <c r="Q120" s="436"/>
      <c r="R120" s="438" t="str">
        <f t="shared" si="89"/>
        <v>-</v>
      </c>
      <c r="S120" s="446">
        <f t="shared" si="90"/>
        <v>0</v>
      </c>
      <c r="T120" s="439">
        <f t="shared" si="91"/>
        <v>0</v>
      </c>
      <c r="U120" s="438" t="str">
        <f t="shared" si="92"/>
        <v>-</v>
      </c>
      <c r="V120" s="450">
        <f t="shared" si="93"/>
        <v>0</v>
      </c>
      <c r="W120" s="451" t="str">
        <f t="shared" si="94"/>
        <v>-</v>
      </c>
      <c r="X120" s="452">
        <f t="shared" si="95"/>
        <v>0</v>
      </c>
      <c r="Y120" s="364" t="s">
        <v>463</v>
      </c>
      <c r="Z120" s="364" t="s">
        <v>312</v>
      </c>
      <c r="AA120" s="365"/>
      <c r="AB120" s="365"/>
      <c r="AC120" s="365">
        <v>1</v>
      </c>
      <c r="AD120" s="440"/>
    </row>
    <row r="121" spans="2:40" s="147" customFormat="1" ht="27" customHeight="1">
      <c r="B121" s="538"/>
      <c r="C121" s="539"/>
      <c r="D121" s="360">
        <v>7</v>
      </c>
      <c r="E121" s="434"/>
      <c r="F121" s="362">
        <f t="shared" si="83"/>
        <v>0</v>
      </c>
      <c r="G121" s="363"/>
      <c r="H121" s="436"/>
      <c r="I121" s="436"/>
      <c r="J121" s="438" t="str">
        <f t="shared" si="84"/>
        <v>-</v>
      </c>
      <c r="K121" s="437"/>
      <c r="L121" s="438" t="str">
        <f t="shared" si="85"/>
        <v>-</v>
      </c>
      <c r="M121" s="437"/>
      <c r="N121" s="438" t="str">
        <f t="shared" si="86"/>
        <v>-</v>
      </c>
      <c r="O121" s="439">
        <f t="shared" si="87"/>
        <v>0</v>
      </c>
      <c r="P121" s="438" t="str">
        <f t="shared" si="88"/>
        <v>-</v>
      </c>
      <c r="Q121" s="436"/>
      <c r="R121" s="438" t="str">
        <f t="shared" si="89"/>
        <v>-</v>
      </c>
      <c r="S121" s="446">
        <f t="shared" si="90"/>
        <v>0</v>
      </c>
      <c r="T121" s="439">
        <f t="shared" si="91"/>
        <v>0</v>
      </c>
      <c r="U121" s="438" t="str">
        <f t="shared" si="92"/>
        <v>-</v>
      </c>
      <c r="V121" s="450">
        <f t="shared" si="93"/>
        <v>0</v>
      </c>
      <c r="W121" s="451" t="str">
        <f t="shared" si="94"/>
        <v>-</v>
      </c>
      <c r="X121" s="452">
        <f t="shared" si="95"/>
        <v>0</v>
      </c>
      <c r="Y121" s="364" t="s">
        <v>463</v>
      </c>
      <c r="Z121" s="364" t="s">
        <v>352</v>
      </c>
      <c r="AA121" s="365"/>
      <c r="AB121" s="365"/>
      <c r="AC121" s="365">
        <v>1</v>
      </c>
      <c r="AD121" s="440"/>
    </row>
    <row r="122" spans="2:40" s="147" customFormat="1" ht="27" customHeight="1">
      <c r="B122" s="538"/>
      <c r="C122" s="539"/>
      <c r="D122" s="360">
        <v>8</v>
      </c>
      <c r="E122" s="434"/>
      <c r="F122" s="362">
        <f t="shared" si="83"/>
        <v>0</v>
      </c>
      <c r="G122" s="363"/>
      <c r="H122" s="436"/>
      <c r="I122" s="436"/>
      <c r="J122" s="438" t="str">
        <f t="shared" si="84"/>
        <v>-</v>
      </c>
      <c r="K122" s="437"/>
      <c r="L122" s="438" t="str">
        <f t="shared" si="85"/>
        <v>-</v>
      </c>
      <c r="M122" s="437"/>
      <c r="N122" s="438" t="str">
        <f t="shared" si="86"/>
        <v>-</v>
      </c>
      <c r="O122" s="439">
        <f t="shared" si="87"/>
        <v>0</v>
      </c>
      <c r="P122" s="438" t="str">
        <f t="shared" si="88"/>
        <v>-</v>
      </c>
      <c r="Q122" s="436"/>
      <c r="R122" s="438" t="str">
        <f t="shared" si="89"/>
        <v>-</v>
      </c>
      <c r="S122" s="446">
        <f t="shared" si="90"/>
        <v>0</v>
      </c>
      <c r="T122" s="439">
        <f t="shared" si="91"/>
        <v>0</v>
      </c>
      <c r="U122" s="438" t="str">
        <f t="shared" si="92"/>
        <v>-</v>
      </c>
      <c r="V122" s="450">
        <f t="shared" si="93"/>
        <v>0</v>
      </c>
      <c r="W122" s="451" t="str">
        <f t="shared" si="94"/>
        <v>-</v>
      </c>
      <c r="X122" s="452">
        <f t="shared" si="95"/>
        <v>0</v>
      </c>
      <c r="Y122" s="364" t="s">
        <v>463</v>
      </c>
      <c r="Z122" s="364" t="s">
        <v>312</v>
      </c>
      <c r="AA122" s="365"/>
      <c r="AB122" s="365"/>
      <c r="AC122" s="365">
        <v>1</v>
      </c>
      <c r="AD122" s="440"/>
    </row>
    <row r="123" spans="2:40" s="147" customFormat="1" ht="27" customHeight="1">
      <c r="B123" s="538"/>
      <c r="C123" s="539"/>
      <c r="D123" s="360">
        <v>9</v>
      </c>
      <c r="E123" s="434"/>
      <c r="F123" s="362">
        <f t="shared" si="83"/>
        <v>0</v>
      </c>
      <c r="G123" s="363"/>
      <c r="H123" s="436"/>
      <c r="I123" s="436"/>
      <c r="J123" s="438" t="str">
        <f t="shared" si="84"/>
        <v>-</v>
      </c>
      <c r="K123" s="437"/>
      <c r="L123" s="438" t="str">
        <f t="shared" si="85"/>
        <v>-</v>
      </c>
      <c r="M123" s="437"/>
      <c r="N123" s="438" t="str">
        <f t="shared" si="86"/>
        <v>-</v>
      </c>
      <c r="O123" s="439">
        <f t="shared" si="87"/>
        <v>0</v>
      </c>
      <c r="P123" s="438" t="str">
        <f t="shared" si="88"/>
        <v>-</v>
      </c>
      <c r="Q123" s="436"/>
      <c r="R123" s="438" t="str">
        <f t="shared" si="89"/>
        <v>-</v>
      </c>
      <c r="S123" s="446">
        <f t="shared" si="90"/>
        <v>0</v>
      </c>
      <c r="T123" s="439">
        <f t="shared" si="91"/>
        <v>0</v>
      </c>
      <c r="U123" s="438" t="str">
        <f t="shared" si="92"/>
        <v>-</v>
      </c>
      <c r="V123" s="450">
        <f t="shared" si="93"/>
        <v>0</v>
      </c>
      <c r="W123" s="451" t="str">
        <f t="shared" si="94"/>
        <v>-</v>
      </c>
      <c r="X123" s="452">
        <f t="shared" si="95"/>
        <v>0</v>
      </c>
      <c r="Y123" s="364" t="s">
        <v>463</v>
      </c>
      <c r="Z123" s="364" t="s">
        <v>312</v>
      </c>
      <c r="AA123" s="365"/>
      <c r="AB123" s="365"/>
      <c r="AC123" s="365">
        <v>1</v>
      </c>
      <c r="AD123" s="440"/>
      <c r="AH123" s="367"/>
    </row>
    <row r="124" spans="2:40" s="147" customFormat="1" ht="27" customHeight="1">
      <c r="B124" s="538"/>
      <c r="C124" s="539"/>
      <c r="D124" s="360">
        <v>10</v>
      </c>
      <c r="E124" s="434"/>
      <c r="F124" s="362">
        <f t="shared" si="83"/>
        <v>0</v>
      </c>
      <c r="G124" s="363"/>
      <c r="H124" s="436"/>
      <c r="I124" s="436"/>
      <c r="J124" s="438" t="str">
        <f t="shared" si="84"/>
        <v>-</v>
      </c>
      <c r="K124" s="437"/>
      <c r="L124" s="438" t="str">
        <f t="shared" si="85"/>
        <v>-</v>
      </c>
      <c r="M124" s="437"/>
      <c r="N124" s="438" t="str">
        <f t="shared" si="86"/>
        <v>-</v>
      </c>
      <c r="O124" s="439">
        <f t="shared" si="87"/>
        <v>0</v>
      </c>
      <c r="P124" s="438" t="str">
        <f t="shared" si="88"/>
        <v>-</v>
      </c>
      <c r="Q124" s="436"/>
      <c r="R124" s="438" t="str">
        <f t="shared" si="89"/>
        <v>-</v>
      </c>
      <c r="S124" s="446">
        <f t="shared" si="90"/>
        <v>0</v>
      </c>
      <c r="T124" s="439">
        <f t="shared" si="91"/>
        <v>0</v>
      </c>
      <c r="U124" s="438" t="str">
        <f t="shared" si="92"/>
        <v>-</v>
      </c>
      <c r="V124" s="450">
        <f t="shared" si="93"/>
        <v>0</v>
      </c>
      <c r="W124" s="451" t="str">
        <f t="shared" si="94"/>
        <v>-</v>
      </c>
      <c r="X124" s="452">
        <f t="shared" si="95"/>
        <v>0</v>
      </c>
      <c r="Y124" s="364" t="s">
        <v>463</v>
      </c>
      <c r="Z124" s="364" t="s">
        <v>312</v>
      </c>
      <c r="AA124" s="365"/>
      <c r="AB124" s="365"/>
      <c r="AC124" s="365">
        <v>1</v>
      </c>
      <c r="AD124" s="440"/>
      <c r="AH124" s="367"/>
    </row>
    <row r="125" spans="2:40" s="147" customFormat="1" ht="27" customHeight="1">
      <c r="B125" s="538"/>
      <c r="C125" s="539"/>
      <c r="D125" s="360">
        <v>11</v>
      </c>
      <c r="E125" s="434"/>
      <c r="F125" s="362">
        <f t="shared" si="83"/>
        <v>0</v>
      </c>
      <c r="G125" s="363"/>
      <c r="H125" s="436"/>
      <c r="I125" s="436"/>
      <c r="J125" s="438" t="str">
        <f t="shared" si="84"/>
        <v>-</v>
      </c>
      <c r="K125" s="437"/>
      <c r="L125" s="438" t="str">
        <f t="shared" si="85"/>
        <v>-</v>
      </c>
      <c r="M125" s="437"/>
      <c r="N125" s="438" t="str">
        <f t="shared" si="86"/>
        <v>-</v>
      </c>
      <c r="O125" s="439">
        <f t="shared" si="87"/>
        <v>0</v>
      </c>
      <c r="P125" s="438" t="str">
        <f t="shared" si="88"/>
        <v>-</v>
      </c>
      <c r="Q125" s="436"/>
      <c r="R125" s="438" t="str">
        <f t="shared" si="89"/>
        <v>-</v>
      </c>
      <c r="S125" s="446">
        <f t="shared" si="90"/>
        <v>0</v>
      </c>
      <c r="T125" s="439">
        <f t="shared" si="91"/>
        <v>0</v>
      </c>
      <c r="U125" s="438" t="str">
        <f t="shared" si="92"/>
        <v>-</v>
      </c>
      <c r="V125" s="450">
        <f t="shared" si="93"/>
        <v>0</v>
      </c>
      <c r="W125" s="451" t="str">
        <f t="shared" si="94"/>
        <v>-</v>
      </c>
      <c r="X125" s="452">
        <f t="shared" si="95"/>
        <v>0</v>
      </c>
      <c r="Y125" s="364" t="s">
        <v>463</v>
      </c>
      <c r="Z125" s="364" t="s">
        <v>312</v>
      </c>
      <c r="AA125" s="365"/>
      <c r="AB125" s="365"/>
      <c r="AC125" s="365">
        <v>1</v>
      </c>
      <c r="AD125" s="440"/>
      <c r="AH125" s="367"/>
    </row>
    <row r="126" spans="2:40" s="147" customFormat="1" ht="27" customHeight="1">
      <c r="B126" s="538"/>
      <c r="C126" s="539"/>
      <c r="D126" s="360">
        <v>12</v>
      </c>
      <c r="E126" s="434"/>
      <c r="F126" s="362">
        <f t="shared" si="83"/>
        <v>0</v>
      </c>
      <c r="G126" s="363"/>
      <c r="H126" s="436"/>
      <c r="I126" s="436"/>
      <c r="J126" s="438" t="str">
        <f t="shared" si="84"/>
        <v>-</v>
      </c>
      <c r="K126" s="437"/>
      <c r="L126" s="438" t="str">
        <f t="shared" si="85"/>
        <v>-</v>
      </c>
      <c r="M126" s="437"/>
      <c r="N126" s="438" t="str">
        <f t="shared" si="86"/>
        <v>-</v>
      </c>
      <c r="O126" s="439">
        <f t="shared" si="87"/>
        <v>0</v>
      </c>
      <c r="P126" s="438" t="str">
        <f t="shared" si="88"/>
        <v>-</v>
      </c>
      <c r="Q126" s="436"/>
      <c r="R126" s="438" t="str">
        <f t="shared" si="89"/>
        <v>-</v>
      </c>
      <c r="S126" s="446">
        <f t="shared" si="90"/>
        <v>0</v>
      </c>
      <c r="T126" s="439">
        <f t="shared" si="91"/>
        <v>0</v>
      </c>
      <c r="U126" s="438" t="str">
        <f t="shared" si="92"/>
        <v>-</v>
      </c>
      <c r="V126" s="450">
        <f t="shared" si="93"/>
        <v>0</v>
      </c>
      <c r="W126" s="451" t="str">
        <f t="shared" si="94"/>
        <v>-</v>
      </c>
      <c r="X126" s="452">
        <f t="shared" si="95"/>
        <v>0</v>
      </c>
      <c r="Y126" s="364" t="s">
        <v>463</v>
      </c>
      <c r="Z126" s="364" t="s">
        <v>352</v>
      </c>
      <c r="AA126" s="365"/>
      <c r="AB126" s="365"/>
      <c r="AC126" s="365">
        <v>1</v>
      </c>
      <c r="AD126" s="440"/>
      <c r="AH126" s="367"/>
    </row>
    <row r="127" spans="2:40" s="147" customFormat="1" ht="27" customHeight="1">
      <c r="B127" s="538"/>
      <c r="C127" s="539"/>
      <c r="D127" s="360">
        <v>13</v>
      </c>
      <c r="E127" s="434"/>
      <c r="F127" s="362">
        <f t="shared" si="83"/>
        <v>0</v>
      </c>
      <c r="G127" s="363"/>
      <c r="H127" s="436"/>
      <c r="I127" s="436"/>
      <c r="J127" s="438" t="str">
        <f t="shared" si="84"/>
        <v>-</v>
      </c>
      <c r="K127" s="437"/>
      <c r="L127" s="438" t="str">
        <f t="shared" si="85"/>
        <v>-</v>
      </c>
      <c r="M127" s="437"/>
      <c r="N127" s="438" t="str">
        <f t="shared" si="86"/>
        <v>-</v>
      </c>
      <c r="O127" s="439">
        <f t="shared" si="87"/>
        <v>0</v>
      </c>
      <c r="P127" s="438" t="str">
        <f t="shared" si="88"/>
        <v>-</v>
      </c>
      <c r="Q127" s="436"/>
      <c r="R127" s="438" t="str">
        <f t="shared" si="89"/>
        <v>-</v>
      </c>
      <c r="S127" s="446">
        <f t="shared" si="90"/>
        <v>0</v>
      </c>
      <c r="T127" s="439">
        <f t="shared" si="91"/>
        <v>0</v>
      </c>
      <c r="U127" s="438" t="str">
        <f t="shared" si="92"/>
        <v>-</v>
      </c>
      <c r="V127" s="450">
        <f t="shared" si="93"/>
        <v>0</v>
      </c>
      <c r="W127" s="451" t="str">
        <f t="shared" si="94"/>
        <v>-</v>
      </c>
      <c r="X127" s="452">
        <f t="shared" si="95"/>
        <v>0</v>
      </c>
      <c r="Y127" s="364" t="s">
        <v>463</v>
      </c>
      <c r="Z127" s="364" t="s">
        <v>312</v>
      </c>
      <c r="AA127" s="365"/>
      <c r="AB127" s="365"/>
      <c r="AC127" s="365">
        <v>1</v>
      </c>
      <c r="AD127" s="440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</row>
    <row r="128" spans="2:40" s="147" customFormat="1" ht="27" customHeight="1">
      <c r="B128" s="538"/>
      <c r="C128" s="539"/>
      <c r="D128" s="360">
        <v>14</v>
      </c>
      <c r="E128" s="434"/>
      <c r="F128" s="362">
        <f t="shared" si="83"/>
        <v>0</v>
      </c>
      <c r="G128" s="363"/>
      <c r="H128" s="436"/>
      <c r="I128" s="436"/>
      <c r="J128" s="438" t="str">
        <f t="shared" si="84"/>
        <v>-</v>
      </c>
      <c r="K128" s="437"/>
      <c r="L128" s="438" t="str">
        <f t="shared" si="85"/>
        <v>-</v>
      </c>
      <c r="M128" s="437"/>
      <c r="N128" s="438" t="str">
        <f t="shared" si="86"/>
        <v>-</v>
      </c>
      <c r="O128" s="439">
        <f t="shared" si="87"/>
        <v>0</v>
      </c>
      <c r="P128" s="438" t="str">
        <f t="shared" si="88"/>
        <v>-</v>
      </c>
      <c r="Q128" s="436"/>
      <c r="R128" s="438" t="str">
        <f t="shared" si="89"/>
        <v>-</v>
      </c>
      <c r="S128" s="446">
        <f t="shared" si="90"/>
        <v>0</v>
      </c>
      <c r="T128" s="439">
        <f t="shared" si="91"/>
        <v>0</v>
      </c>
      <c r="U128" s="438" t="str">
        <f t="shared" si="92"/>
        <v>-</v>
      </c>
      <c r="V128" s="450">
        <f t="shared" si="93"/>
        <v>0</v>
      </c>
      <c r="W128" s="451" t="str">
        <f t="shared" si="94"/>
        <v>-</v>
      </c>
      <c r="X128" s="452">
        <f t="shared" si="95"/>
        <v>0</v>
      </c>
      <c r="Y128" s="364" t="s">
        <v>463</v>
      </c>
      <c r="Z128" s="364" t="s">
        <v>312</v>
      </c>
      <c r="AA128" s="365"/>
      <c r="AB128" s="365"/>
      <c r="AC128" s="365">
        <v>1</v>
      </c>
      <c r="AD128" s="440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</row>
    <row r="129" spans="2:40" s="147" customFormat="1" ht="27" customHeight="1">
      <c r="B129" s="538"/>
      <c r="C129" s="539"/>
      <c r="D129" s="360">
        <v>15</v>
      </c>
      <c r="E129" s="434"/>
      <c r="F129" s="362">
        <f t="shared" si="83"/>
        <v>0</v>
      </c>
      <c r="G129" s="363"/>
      <c r="H129" s="436"/>
      <c r="I129" s="436"/>
      <c r="J129" s="438" t="str">
        <f t="shared" si="84"/>
        <v>-</v>
      </c>
      <c r="K129" s="437"/>
      <c r="L129" s="438" t="str">
        <f t="shared" si="85"/>
        <v>-</v>
      </c>
      <c r="M129" s="437"/>
      <c r="N129" s="438" t="str">
        <f t="shared" si="86"/>
        <v>-</v>
      </c>
      <c r="O129" s="439">
        <f t="shared" si="87"/>
        <v>0</v>
      </c>
      <c r="P129" s="438" t="str">
        <f t="shared" si="88"/>
        <v>-</v>
      </c>
      <c r="Q129" s="436"/>
      <c r="R129" s="438" t="str">
        <f t="shared" si="89"/>
        <v>-</v>
      </c>
      <c r="S129" s="446">
        <f t="shared" si="90"/>
        <v>0</v>
      </c>
      <c r="T129" s="439">
        <f t="shared" si="91"/>
        <v>0</v>
      </c>
      <c r="U129" s="438" t="str">
        <f t="shared" si="92"/>
        <v>-</v>
      </c>
      <c r="V129" s="450">
        <f t="shared" si="93"/>
        <v>0</v>
      </c>
      <c r="W129" s="451" t="str">
        <f t="shared" si="94"/>
        <v>-</v>
      </c>
      <c r="X129" s="452">
        <f t="shared" si="95"/>
        <v>0</v>
      </c>
      <c r="Y129" s="364" t="s">
        <v>463</v>
      </c>
      <c r="Z129" s="364" t="s">
        <v>312</v>
      </c>
      <c r="AA129" s="365"/>
      <c r="AB129" s="365"/>
      <c r="AC129" s="365">
        <v>1</v>
      </c>
      <c r="AD129" s="440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</row>
    <row r="130" spans="2:40" s="147" customFormat="1" ht="27" customHeight="1">
      <c r="B130" s="538"/>
      <c r="C130" s="539"/>
      <c r="D130" s="360">
        <v>16</v>
      </c>
      <c r="E130" s="434"/>
      <c r="F130" s="362">
        <f t="shared" si="83"/>
        <v>0</v>
      </c>
      <c r="G130" s="363"/>
      <c r="H130" s="436"/>
      <c r="I130" s="436"/>
      <c r="J130" s="438" t="str">
        <f t="shared" si="84"/>
        <v>-</v>
      </c>
      <c r="K130" s="437"/>
      <c r="L130" s="438" t="str">
        <f t="shared" si="85"/>
        <v>-</v>
      </c>
      <c r="M130" s="437"/>
      <c r="N130" s="438" t="str">
        <f t="shared" si="86"/>
        <v>-</v>
      </c>
      <c r="O130" s="439">
        <f t="shared" si="87"/>
        <v>0</v>
      </c>
      <c r="P130" s="438" t="str">
        <f t="shared" si="88"/>
        <v>-</v>
      </c>
      <c r="Q130" s="436"/>
      <c r="R130" s="438" t="str">
        <f t="shared" si="89"/>
        <v>-</v>
      </c>
      <c r="S130" s="446">
        <f t="shared" si="90"/>
        <v>0</v>
      </c>
      <c r="T130" s="439">
        <f t="shared" si="91"/>
        <v>0</v>
      </c>
      <c r="U130" s="438" t="str">
        <f t="shared" si="92"/>
        <v>-</v>
      </c>
      <c r="V130" s="450">
        <f t="shared" si="93"/>
        <v>0</v>
      </c>
      <c r="W130" s="451" t="str">
        <f t="shared" si="94"/>
        <v>-</v>
      </c>
      <c r="X130" s="452">
        <f t="shared" si="95"/>
        <v>0</v>
      </c>
      <c r="Y130" s="364" t="s">
        <v>463</v>
      </c>
      <c r="Z130" s="364" t="s">
        <v>312</v>
      </c>
      <c r="AA130" s="365"/>
      <c r="AB130" s="365"/>
      <c r="AC130" s="365">
        <v>1</v>
      </c>
      <c r="AD130" s="440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</row>
    <row r="131" spans="2:40" s="147" customFormat="1" ht="27" customHeight="1">
      <c r="B131" s="538"/>
      <c r="C131" s="539"/>
      <c r="D131" s="360">
        <v>17</v>
      </c>
      <c r="E131" s="434"/>
      <c r="F131" s="362">
        <f t="shared" si="83"/>
        <v>0</v>
      </c>
      <c r="G131" s="363"/>
      <c r="H131" s="436"/>
      <c r="I131" s="436"/>
      <c r="J131" s="438" t="str">
        <f t="shared" si="84"/>
        <v>-</v>
      </c>
      <c r="K131" s="437"/>
      <c r="L131" s="438" t="str">
        <f t="shared" si="85"/>
        <v>-</v>
      </c>
      <c r="M131" s="437"/>
      <c r="N131" s="438" t="str">
        <f t="shared" si="86"/>
        <v>-</v>
      </c>
      <c r="O131" s="439">
        <f t="shared" si="87"/>
        <v>0</v>
      </c>
      <c r="P131" s="438" t="str">
        <f t="shared" si="88"/>
        <v>-</v>
      </c>
      <c r="Q131" s="436"/>
      <c r="R131" s="438" t="str">
        <f t="shared" si="89"/>
        <v>-</v>
      </c>
      <c r="S131" s="446">
        <f t="shared" si="90"/>
        <v>0</v>
      </c>
      <c r="T131" s="439">
        <f t="shared" si="91"/>
        <v>0</v>
      </c>
      <c r="U131" s="438" t="str">
        <f t="shared" si="92"/>
        <v>-</v>
      </c>
      <c r="V131" s="450">
        <f t="shared" si="93"/>
        <v>0</v>
      </c>
      <c r="W131" s="451" t="str">
        <f t="shared" si="94"/>
        <v>-</v>
      </c>
      <c r="X131" s="452">
        <f t="shared" si="95"/>
        <v>0</v>
      </c>
      <c r="Y131" s="364" t="s">
        <v>463</v>
      </c>
      <c r="Z131" s="364" t="s">
        <v>312</v>
      </c>
      <c r="AA131" s="365"/>
      <c r="AB131" s="365"/>
      <c r="AC131" s="365">
        <v>1</v>
      </c>
      <c r="AD131" s="440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</row>
    <row r="132" spans="2:40" s="147" customFormat="1" ht="27" customHeight="1">
      <c r="B132" s="538"/>
      <c r="C132" s="539"/>
      <c r="D132" s="360">
        <v>18</v>
      </c>
      <c r="E132" s="434"/>
      <c r="F132" s="362">
        <f t="shared" si="83"/>
        <v>0</v>
      </c>
      <c r="G132" s="363"/>
      <c r="H132" s="436"/>
      <c r="I132" s="436"/>
      <c r="J132" s="438" t="str">
        <f t="shared" si="84"/>
        <v>-</v>
      </c>
      <c r="K132" s="437"/>
      <c r="L132" s="438" t="str">
        <f t="shared" si="85"/>
        <v>-</v>
      </c>
      <c r="M132" s="437"/>
      <c r="N132" s="438" t="str">
        <f t="shared" si="86"/>
        <v>-</v>
      </c>
      <c r="O132" s="439">
        <f t="shared" si="87"/>
        <v>0</v>
      </c>
      <c r="P132" s="438" t="str">
        <f t="shared" si="88"/>
        <v>-</v>
      </c>
      <c r="Q132" s="436"/>
      <c r="R132" s="438" t="str">
        <f t="shared" si="89"/>
        <v>-</v>
      </c>
      <c r="S132" s="446">
        <f t="shared" si="90"/>
        <v>0</v>
      </c>
      <c r="T132" s="439">
        <f t="shared" si="91"/>
        <v>0</v>
      </c>
      <c r="U132" s="438" t="str">
        <f t="shared" si="92"/>
        <v>-</v>
      </c>
      <c r="V132" s="450">
        <f t="shared" si="93"/>
        <v>0</v>
      </c>
      <c r="W132" s="451" t="str">
        <f t="shared" si="94"/>
        <v>-</v>
      </c>
      <c r="X132" s="452">
        <f t="shared" si="95"/>
        <v>0</v>
      </c>
      <c r="Y132" s="364" t="s">
        <v>463</v>
      </c>
      <c r="Z132" s="364" t="s">
        <v>312</v>
      </c>
      <c r="AA132" s="365"/>
      <c r="AB132" s="365"/>
      <c r="AC132" s="365">
        <v>1</v>
      </c>
      <c r="AD132" s="440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</row>
    <row r="133" spans="2:40" s="147" customFormat="1" ht="27" customHeight="1">
      <c r="B133" s="538"/>
      <c r="C133" s="539"/>
      <c r="D133" s="360">
        <v>19</v>
      </c>
      <c r="E133" s="434"/>
      <c r="F133" s="362">
        <f t="shared" si="83"/>
        <v>0</v>
      </c>
      <c r="G133" s="363"/>
      <c r="H133" s="436"/>
      <c r="I133" s="436"/>
      <c r="J133" s="438" t="str">
        <f t="shared" si="84"/>
        <v>-</v>
      </c>
      <c r="K133" s="437"/>
      <c r="L133" s="438" t="str">
        <f t="shared" si="85"/>
        <v>-</v>
      </c>
      <c r="M133" s="437"/>
      <c r="N133" s="438" t="str">
        <f t="shared" si="86"/>
        <v>-</v>
      </c>
      <c r="O133" s="439">
        <f t="shared" si="87"/>
        <v>0</v>
      </c>
      <c r="P133" s="438" t="str">
        <f t="shared" si="88"/>
        <v>-</v>
      </c>
      <c r="Q133" s="436"/>
      <c r="R133" s="438" t="str">
        <f t="shared" si="89"/>
        <v>-</v>
      </c>
      <c r="S133" s="446">
        <f t="shared" si="90"/>
        <v>0</v>
      </c>
      <c r="T133" s="439">
        <f t="shared" si="91"/>
        <v>0</v>
      </c>
      <c r="U133" s="438" t="str">
        <f t="shared" si="92"/>
        <v>-</v>
      </c>
      <c r="V133" s="450">
        <f t="shared" si="93"/>
        <v>0</v>
      </c>
      <c r="W133" s="451" t="str">
        <f t="shared" si="94"/>
        <v>-</v>
      </c>
      <c r="X133" s="452">
        <f t="shared" si="95"/>
        <v>0</v>
      </c>
      <c r="Y133" s="364" t="s">
        <v>463</v>
      </c>
      <c r="Z133" s="364" t="s">
        <v>352</v>
      </c>
      <c r="AA133" s="365"/>
      <c r="AB133" s="365"/>
      <c r="AC133" s="365">
        <v>1</v>
      </c>
      <c r="AD133" s="440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</row>
    <row r="134" spans="2:40" s="147" customFormat="1" ht="27" customHeight="1">
      <c r="B134" s="540"/>
      <c r="C134" s="541"/>
      <c r="D134" s="360">
        <v>20</v>
      </c>
      <c r="E134" s="434"/>
      <c r="F134" s="362">
        <f t="shared" si="83"/>
        <v>0</v>
      </c>
      <c r="G134" s="363"/>
      <c r="H134" s="436"/>
      <c r="I134" s="436"/>
      <c r="J134" s="438" t="str">
        <f t="shared" si="84"/>
        <v>-</v>
      </c>
      <c r="K134" s="437"/>
      <c r="L134" s="438" t="str">
        <f t="shared" si="85"/>
        <v>-</v>
      </c>
      <c r="M134" s="437"/>
      <c r="N134" s="438" t="str">
        <f t="shared" si="86"/>
        <v>-</v>
      </c>
      <c r="O134" s="439">
        <f t="shared" si="87"/>
        <v>0</v>
      </c>
      <c r="P134" s="438" t="str">
        <f t="shared" si="88"/>
        <v>-</v>
      </c>
      <c r="Q134" s="436"/>
      <c r="R134" s="438" t="str">
        <f t="shared" si="89"/>
        <v>-</v>
      </c>
      <c r="S134" s="446">
        <f t="shared" si="90"/>
        <v>0</v>
      </c>
      <c r="T134" s="439">
        <f t="shared" si="91"/>
        <v>0</v>
      </c>
      <c r="U134" s="438" t="str">
        <f t="shared" si="92"/>
        <v>-</v>
      </c>
      <c r="V134" s="450">
        <f t="shared" si="93"/>
        <v>0</v>
      </c>
      <c r="W134" s="451" t="str">
        <f t="shared" si="94"/>
        <v>-</v>
      </c>
      <c r="X134" s="452">
        <f t="shared" si="95"/>
        <v>0</v>
      </c>
      <c r="Y134" s="364" t="s">
        <v>463</v>
      </c>
      <c r="Z134" s="364" t="s">
        <v>312</v>
      </c>
      <c r="AA134" s="365"/>
      <c r="AB134" s="365"/>
      <c r="AC134" s="365">
        <v>1</v>
      </c>
      <c r="AD134" s="440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</row>
  </sheetData>
  <mergeCells count="128">
    <mergeCell ref="AD113:AD114"/>
    <mergeCell ref="AF113:AM115"/>
    <mergeCell ref="B115:C134"/>
    <mergeCell ref="O113:P113"/>
    <mergeCell ref="Q113:S113"/>
    <mergeCell ref="T113:U113"/>
    <mergeCell ref="V113:X113"/>
    <mergeCell ref="Y113:Y114"/>
    <mergeCell ref="Z113:Z114"/>
    <mergeCell ref="AA113:AA114"/>
    <mergeCell ref="AB113:AB114"/>
    <mergeCell ref="AC113:AC114"/>
    <mergeCell ref="B113:C114"/>
    <mergeCell ref="D113:D114"/>
    <mergeCell ref="E113:E114"/>
    <mergeCell ref="F113:F114"/>
    <mergeCell ref="G113:G114"/>
    <mergeCell ref="H113:H114"/>
    <mergeCell ref="I113:J113"/>
    <mergeCell ref="K113:L113"/>
    <mergeCell ref="M113:N113"/>
    <mergeCell ref="AD47:AD48"/>
    <mergeCell ref="AF47:AM49"/>
    <mergeCell ref="B49:C68"/>
    <mergeCell ref="B69:C70"/>
    <mergeCell ref="D69:D70"/>
    <mergeCell ref="E69:E70"/>
    <mergeCell ref="F69:F70"/>
    <mergeCell ref="G69:G70"/>
    <mergeCell ref="H69:H70"/>
    <mergeCell ref="I69:J69"/>
    <mergeCell ref="K69:L69"/>
    <mergeCell ref="M69:N69"/>
    <mergeCell ref="O69:P69"/>
    <mergeCell ref="Q69:S69"/>
    <mergeCell ref="T69:U69"/>
    <mergeCell ref="V69:X69"/>
    <mergeCell ref="Y69:Y70"/>
    <mergeCell ref="Z69:Z70"/>
    <mergeCell ref="AA69:AA70"/>
    <mergeCell ref="AB69:AB70"/>
    <mergeCell ref="AC69:AC70"/>
    <mergeCell ref="AD69:AD70"/>
    <mergeCell ref="AF69:AM71"/>
    <mergeCell ref="B71:C90"/>
    <mergeCell ref="O47:P47"/>
    <mergeCell ref="Q47:S47"/>
    <mergeCell ref="T47:U47"/>
    <mergeCell ref="V47:X47"/>
    <mergeCell ref="Y47:Y48"/>
    <mergeCell ref="Z47:Z48"/>
    <mergeCell ref="AA47:AA48"/>
    <mergeCell ref="AB47:AB48"/>
    <mergeCell ref="AC47:AC48"/>
    <mergeCell ref="B47:C48"/>
    <mergeCell ref="D47:D48"/>
    <mergeCell ref="E47:E48"/>
    <mergeCell ref="F47:F48"/>
    <mergeCell ref="G47:G48"/>
    <mergeCell ref="H47:H48"/>
    <mergeCell ref="I47:J47"/>
    <mergeCell ref="K47:L47"/>
    <mergeCell ref="M47:N47"/>
    <mergeCell ref="B2:AB2"/>
    <mergeCell ref="AD25:AD26"/>
    <mergeCell ref="AF25:AM27"/>
    <mergeCell ref="B27:C46"/>
    <mergeCell ref="O25:P25"/>
    <mergeCell ref="Q25:S25"/>
    <mergeCell ref="T25:U25"/>
    <mergeCell ref="V25:X25"/>
    <mergeCell ref="Y25:Y26"/>
    <mergeCell ref="Z25:Z26"/>
    <mergeCell ref="AA25:AA26"/>
    <mergeCell ref="AB25:AB26"/>
    <mergeCell ref="AC25:AC26"/>
    <mergeCell ref="B25:C26"/>
    <mergeCell ref="D25:D26"/>
    <mergeCell ref="E25:E26"/>
    <mergeCell ref="F25:F26"/>
    <mergeCell ref="G25:G26"/>
    <mergeCell ref="H25:H26"/>
    <mergeCell ref="I25:J25"/>
    <mergeCell ref="K25:L25"/>
    <mergeCell ref="M25:N25"/>
    <mergeCell ref="AF3:AM5"/>
    <mergeCell ref="B5:C24"/>
    <mergeCell ref="O3:P3"/>
    <mergeCell ref="Q3:S3"/>
    <mergeCell ref="T3:U3"/>
    <mergeCell ref="Y3:Y4"/>
    <mergeCell ref="Z3:Z4"/>
    <mergeCell ref="AA3:AA4"/>
    <mergeCell ref="AB3:AB4"/>
    <mergeCell ref="AC3:AC4"/>
    <mergeCell ref="AD3:AD4"/>
    <mergeCell ref="V3:X3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AD91:AD92"/>
    <mergeCell ref="AF91:AM93"/>
    <mergeCell ref="B93:C112"/>
    <mergeCell ref="O91:P91"/>
    <mergeCell ref="Q91:S91"/>
    <mergeCell ref="T91:U91"/>
    <mergeCell ref="V91:X91"/>
    <mergeCell ref="Y91:Y92"/>
    <mergeCell ref="Z91:Z92"/>
    <mergeCell ref="AA91:AA92"/>
    <mergeCell ref="AB91:AB92"/>
    <mergeCell ref="AC91:AC92"/>
    <mergeCell ref="B91:C92"/>
    <mergeCell ref="D91:D92"/>
    <mergeCell ref="E91:E92"/>
    <mergeCell ref="F91:F92"/>
    <mergeCell ref="G91:G92"/>
    <mergeCell ref="H91:H92"/>
    <mergeCell ref="I91:J91"/>
    <mergeCell ref="K91:L91"/>
    <mergeCell ref="M91:N91"/>
    <mergeCell ref="AF106:AM108"/>
  </mergeCells>
  <phoneticPr fontId="13" type="noConversion"/>
  <dataValidations count="1">
    <dataValidation type="list" allowBlank="1" showInputMessage="1" showErrorMessage="1" sqref="T1:X2 Y3:Z3 Y93:Z113 V25:X26 V47:X48 V91:X92 Y27:Z47 V69:X70 Y71:Z91 Y49:Z69 Y115:Z134 V3:X4 T135:X1048576 V113:X114 Y5:Z25" xr:uid="{00000000-0002-0000-22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42</v>
      </c>
      <c r="C2" s="47" t="s">
        <v>477</v>
      </c>
      <c r="D2" s="5" t="s">
        <v>478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479</v>
      </c>
      <c r="B4" s="67"/>
      <c r="C4" s="67"/>
      <c r="D4" s="67"/>
      <c r="E4" s="61" t="s">
        <v>46</v>
      </c>
      <c r="G4" s="60" t="s">
        <v>47</v>
      </c>
      <c r="H4" s="67"/>
      <c r="I4" s="67"/>
      <c r="J4" s="67"/>
      <c r="K4" s="67"/>
      <c r="M4" s="60" t="s">
        <v>73</v>
      </c>
      <c r="N4" s="67"/>
      <c r="O4" s="67"/>
      <c r="P4" s="67"/>
      <c r="Q4" s="67"/>
      <c r="R4" s="67"/>
      <c r="S4" s="60" t="s">
        <v>74</v>
      </c>
      <c r="T4" s="67"/>
      <c r="U4" s="67"/>
      <c r="V4" s="67"/>
      <c r="W4" s="67"/>
    </row>
    <row r="5" spans="1:23" ht="15.75" customHeight="1">
      <c r="A5" s="7"/>
      <c r="B5" s="49" t="s">
        <v>48</v>
      </c>
      <c r="C5" s="7" t="s">
        <v>49</v>
      </c>
      <c r="D5" s="7" t="s">
        <v>50</v>
      </c>
      <c r="E5" s="7" t="s">
        <v>51</v>
      </c>
      <c r="G5" s="7"/>
      <c r="H5" s="49" t="s">
        <v>52</v>
      </c>
      <c r="I5" s="49" t="s">
        <v>48</v>
      </c>
      <c r="J5" s="49" t="s">
        <v>53</v>
      </c>
      <c r="K5" s="7" t="s">
        <v>51</v>
      </c>
      <c r="L5" s="62" t="s">
        <v>54</v>
      </c>
      <c r="M5" s="7"/>
      <c r="N5" s="49" t="s">
        <v>48</v>
      </c>
      <c r="O5" s="49" t="s">
        <v>76</v>
      </c>
      <c r="P5" s="49" t="s">
        <v>53</v>
      </c>
      <c r="Q5" s="49" t="s">
        <v>77</v>
      </c>
      <c r="R5" s="67"/>
      <c r="S5" s="7"/>
      <c r="T5" s="49" t="s">
        <v>48</v>
      </c>
      <c r="U5" s="49" t="s">
        <v>76</v>
      </c>
      <c r="V5" s="49" t="s">
        <v>53</v>
      </c>
      <c r="W5" s="49" t="s">
        <v>77</v>
      </c>
    </row>
    <row r="6" spans="1:23" ht="15.75" customHeight="1">
      <c r="A6" s="49" t="s">
        <v>55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480</v>
      </c>
      <c r="H6" s="11">
        <v>110</v>
      </c>
      <c r="I6" s="11">
        <v>100</v>
      </c>
      <c r="J6" s="11">
        <v>90</v>
      </c>
      <c r="K6" s="12"/>
      <c r="L6" s="62" t="s">
        <v>481</v>
      </c>
      <c r="M6" s="49" t="s">
        <v>482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482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58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483</v>
      </c>
      <c r="H7" s="14">
        <v>0.8</v>
      </c>
      <c r="I7" s="14">
        <v>0.85</v>
      </c>
      <c r="J7" s="14">
        <v>0.81</v>
      </c>
      <c r="K7" s="14">
        <v>0.84</v>
      </c>
      <c r="L7" s="66" t="s">
        <v>60</v>
      </c>
      <c r="M7" s="49" t="s">
        <v>484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484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61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485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63</v>
      </c>
      <c r="M8" s="49" t="s">
        <v>486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486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487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66</v>
      </c>
      <c r="M9" s="49" t="s">
        <v>488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488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489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69</v>
      </c>
      <c r="M10" s="49" t="s">
        <v>490</v>
      </c>
      <c r="N10" s="9" t="s">
        <v>491</v>
      </c>
      <c r="O10" s="13" t="str">
        <f t="shared" si="2"/>
        <v/>
      </c>
      <c r="P10" s="4" t="s">
        <v>492</v>
      </c>
      <c r="Q10" s="13" t="str">
        <f t="shared" si="3"/>
        <v/>
      </c>
      <c r="S10" s="49" t="s">
        <v>490</v>
      </c>
      <c r="T10" s="9" t="s">
        <v>491</v>
      </c>
      <c r="U10" s="13" t="str">
        <f t="shared" si="4"/>
        <v/>
      </c>
      <c r="V10" s="4" t="s">
        <v>492</v>
      </c>
      <c r="W10" s="13" t="str">
        <f t="shared" si="5"/>
        <v/>
      </c>
    </row>
    <row r="11" spans="1:23" ht="15.75" customHeight="1">
      <c r="A11" s="49" t="s">
        <v>70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493</v>
      </c>
      <c r="H11" s="14">
        <v>0.8</v>
      </c>
      <c r="I11" s="14">
        <v>0.85</v>
      </c>
      <c r="J11" s="14">
        <v>1</v>
      </c>
      <c r="K11" s="14">
        <v>0.92</v>
      </c>
      <c r="L11" s="62" t="s">
        <v>72</v>
      </c>
      <c r="M11" s="49" t="s">
        <v>494</v>
      </c>
      <c r="N11" s="9" t="s">
        <v>491</v>
      </c>
      <c r="O11" s="13" t="str">
        <f t="shared" si="2"/>
        <v/>
      </c>
      <c r="P11" s="4" t="s">
        <v>492</v>
      </c>
      <c r="Q11" s="13" t="str">
        <f t="shared" si="3"/>
        <v/>
      </c>
      <c r="S11" s="49" t="s">
        <v>494</v>
      </c>
      <c r="T11" s="9" t="s">
        <v>491</v>
      </c>
      <c r="U11" s="13" t="str">
        <f t="shared" si="4"/>
        <v/>
      </c>
      <c r="V11" s="4" t="s">
        <v>492</v>
      </c>
      <c r="W11" s="13" t="str">
        <f t="shared" si="5"/>
        <v/>
      </c>
    </row>
    <row r="12" spans="1:23" ht="15.75" customHeight="1">
      <c r="M12" s="49" t="s">
        <v>495</v>
      </c>
      <c r="N12" s="9" t="s">
        <v>491</v>
      </c>
      <c r="O12" s="13" t="str">
        <f t="shared" si="2"/>
        <v/>
      </c>
      <c r="P12" s="4" t="s">
        <v>492</v>
      </c>
      <c r="Q12" s="13" t="str">
        <f t="shared" si="3"/>
        <v/>
      </c>
      <c r="S12" s="49" t="s">
        <v>495</v>
      </c>
      <c r="T12" s="9" t="s">
        <v>491</v>
      </c>
      <c r="U12" s="13" t="str">
        <f t="shared" si="4"/>
        <v/>
      </c>
      <c r="V12" s="4" t="s">
        <v>492</v>
      </c>
      <c r="W12" s="13" t="str">
        <f t="shared" si="5"/>
        <v/>
      </c>
    </row>
    <row r="13" spans="1:23" ht="15.75" customHeight="1">
      <c r="A13" s="60" t="s">
        <v>496</v>
      </c>
      <c r="B13" s="67"/>
      <c r="C13" s="67"/>
      <c r="D13" s="67"/>
      <c r="E13" s="67"/>
      <c r="F13" s="67"/>
      <c r="M13" s="49" t="s">
        <v>497</v>
      </c>
      <c r="N13" s="9" t="s">
        <v>491</v>
      </c>
      <c r="O13" s="13" t="str">
        <f t="shared" si="2"/>
        <v/>
      </c>
      <c r="P13" s="4" t="s">
        <v>492</v>
      </c>
      <c r="Q13" s="13" t="str">
        <f t="shared" si="3"/>
        <v/>
      </c>
      <c r="S13" s="49" t="s">
        <v>497</v>
      </c>
      <c r="T13" s="9" t="s">
        <v>491</v>
      </c>
      <c r="U13" s="13" t="str">
        <f t="shared" si="4"/>
        <v/>
      </c>
      <c r="V13" s="4" t="s">
        <v>492</v>
      </c>
      <c r="W13" s="13" t="str">
        <f t="shared" si="5"/>
        <v/>
      </c>
    </row>
    <row r="14" spans="1:23" ht="12.75">
      <c r="A14" s="7"/>
      <c r="B14" s="49" t="s">
        <v>48</v>
      </c>
      <c r="C14" s="7" t="s">
        <v>49</v>
      </c>
      <c r="D14" s="7" t="s">
        <v>50</v>
      </c>
      <c r="E14" s="7" t="s">
        <v>51</v>
      </c>
      <c r="F14" s="67"/>
      <c r="G14" s="7"/>
      <c r="H14" s="49" t="s">
        <v>48</v>
      </c>
      <c r="I14" s="7" t="s">
        <v>49</v>
      </c>
      <c r="J14" s="7" t="s">
        <v>50</v>
      </c>
      <c r="K14" s="7" t="s">
        <v>51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482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490</v>
      </c>
      <c r="H15" s="4"/>
      <c r="I15" s="4"/>
      <c r="J15" s="16">
        <f t="shared" ref="J15:J18" si="12">H15-I15</f>
        <v>0</v>
      </c>
      <c r="K15" s="17"/>
      <c r="M15" s="60" t="s">
        <v>498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484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494</v>
      </c>
      <c r="H16" s="4"/>
      <c r="I16" s="4"/>
      <c r="J16" s="16">
        <f t="shared" si="12"/>
        <v>0</v>
      </c>
      <c r="K16" s="17"/>
      <c r="M16" s="18"/>
      <c r="N16" s="46" t="s">
        <v>298</v>
      </c>
      <c r="O16" s="19"/>
      <c r="P16" s="58" t="s">
        <v>395</v>
      </c>
      <c r="Q16" s="19"/>
      <c r="R16" s="51" t="s">
        <v>499</v>
      </c>
      <c r="S16" s="19"/>
    </row>
    <row r="17" spans="1:27" ht="15.75" customHeight="1">
      <c r="A17" s="49" t="s">
        <v>486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495</v>
      </c>
      <c r="H17" s="4"/>
      <c r="I17" s="4"/>
      <c r="J17" s="16">
        <f t="shared" si="12"/>
        <v>0</v>
      </c>
      <c r="K17" s="17"/>
      <c r="M17" s="20"/>
      <c r="N17" s="21" t="s">
        <v>303</v>
      </c>
      <c r="O17" s="50" t="s">
        <v>76</v>
      </c>
      <c r="P17" s="8" t="s">
        <v>303</v>
      </c>
      <c r="Q17" s="50" t="s">
        <v>76</v>
      </c>
      <c r="R17" s="8" t="s">
        <v>303</v>
      </c>
      <c r="S17" s="50" t="s">
        <v>76</v>
      </c>
    </row>
    <row r="18" spans="1:27" ht="15.75" customHeight="1">
      <c r="A18" s="49" t="s">
        <v>488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497</v>
      </c>
      <c r="H18" s="4"/>
      <c r="I18" s="4"/>
      <c r="J18" s="16">
        <f t="shared" si="12"/>
        <v>0</v>
      </c>
      <c r="K18" s="17"/>
      <c r="M18" s="49" t="s">
        <v>485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487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500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267</v>
      </c>
      <c r="C21" s="947" t="s">
        <v>268</v>
      </c>
      <c r="D21" s="930"/>
      <c r="E21" s="923"/>
      <c r="F21" s="49" t="s">
        <v>269</v>
      </c>
      <c r="G21" s="49" t="s">
        <v>501</v>
      </c>
      <c r="H21" s="49" t="s">
        <v>502</v>
      </c>
      <c r="I21" s="8" t="s">
        <v>503</v>
      </c>
      <c r="J21" s="939" t="s">
        <v>273</v>
      </c>
      <c r="K21" s="923"/>
      <c r="M21" s="60" t="s">
        <v>504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482</v>
      </c>
      <c r="B22" s="6">
        <v>1</v>
      </c>
      <c r="C22" s="922" t="s">
        <v>505</v>
      </c>
      <c r="D22" s="930"/>
      <c r="E22" s="923"/>
      <c r="F22" s="4">
        <v>3</v>
      </c>
      <c r="G22" s="4">
        <v>3000</v>
      </c>
      <c r="H22" s="4">
        <v>1000</v>
      </c>
      <c r="I22" s="4">
        <v>10</v>
      </c>
      <c r="J22" s="929" t="s">
        <v>506</v>
      </c>
      <c r="K22" s="923"/>
      <c r="M22" s="52" t="s">
        <v>485</v>
      </c>
      <c r="N22" s="57" t="s">
        <v>267</v>
      </c>
      <c r="O22" s="935" t="s">
        <v>268</v>
      </c>
      <c r="P22" s="930"/>
      <c r="Q22" s="923"/>
      <c r="R22" s="941" t="s">
        <v>314</v>
      </c>
      <c r="S22" s="930"/>
      <c r="T22" s="923"/>
      <c r="U22" s="57" t="s">
        <v>315</v>
      </c>
      <c r="V22" s="57" t="s">
        <v>63</v>
      </c>
      <c r="W22" s="57" t="s">
        <v>316</v>
      </c>
      <c r="X22" s="8" t="s">
        <v>303</v>
      </c>
      <c r="Y22" s="8" t="s">
        <v>503</v>
      </c>
      <c r="Z22" s="939" t="s">
        <v>273</v>
      </c>
      <c r="AA22" s="923"/>
    </row>
    <row r="23" spans="1:27" ht="15.75" customHeight="1">
      <c r="A23" s="23"/>
      <c r="B23" s="6">
        <v>2</v>
      </c>
      <c r="C23" s="944"/>
      <c r="D23" s="930"/>
      <c r="E23" s="923"/>
      <c r="F23" s="4"/>
      <c r="G23" s="4"/>
      <c r="H23" s="4"/>
      <c r="I23" s="4"/>
      <c r="J23" s="944"/>
      <c r="K23" s="923"/>
      <c r="M23" s="56" t="s">
        <v>395</v>
      </c>
      <c r="N23" s="24">
        <v>1</v>
      </c>
      <c r="O23" s="929" t="s">
        <v>507</v>
      </c>
      <c r="P23" s="930"/>
      <c r="Q23" s="923"/>
      <c r="R23" s="929" t="s">
        <v>508</v>
      </c>
      <c r="S23" s="930"/>
      <c r="T23" s="92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9" t="s">
        <v>509</v>
      </c>
      <c r="AA23" s="923"/>
    </row>
    <row r="24" spans="1:27" ht="15.75" customHeight="1">
      <c r="A24" s="23"/>
      <c r="B24" s="6">
        <v>3</v>
      </c>
      <c r="C24" s="944"/>
      <c r="D24" s="930"/>
      <c r="E24" s="923"/>
      <c r="F24" s="4"/>
      <c r="G24" s="4"/>
      <c r="H24" s="4"/>
      <c r="I24" s="4"/>
      <c r="J24" s="944"/>
      <c r="K24" s="923"/>
      <c r="M24" s="25"/>
      <c r="N24" s="24">
        <v>2</v>
      </c>
      <c r="O24" s="922"/>
      <c r="P24" s="930"/>
      <c r="Q24" s="923"/>
      <c r="R24" s="922"/>
      <c r="S24" s="930"/>
      <c r="T24" s="923"/>
      <c r="U24" s="4"/>
      <c r="V24" s="14"/>
      <c r="W24" s="4"/>
      <c r="X24" s="16">
        <f t="shared" si="16"/>
        <v>0</v>
      </c>
      <c r="Y24" s="4"/>
      <c r="Z24" s="922"/>
      <c r="AA24" s="923"/>
    </row>
    <row r="25" spans="1:27" ht="15.75" customHeight="1">
      <c r="A25" s="23"/>
      <c r="B25" s="6">
        <v>4</v>
      </c>
      <c r="C25" s="944"/>
      <c r="D25" s="930"/>
      <c r="E25" s="923"/>
      <c r="F25" s="4"/>
      <c r="G25" s="4"/>
      <c r="H25" s="4"/>
      <c r="I25" s="4"/>
      <c r="J25" s="944"/>
      <c r="K25" s="923"/>
      <c r="M25" s="25"/>
      <c r="N25" s="24">
        <v>3</v>
      </c>
      <c r="O25" s="922"/>
      <c r="P25" s="930"/>
      <c r="Q25" s="923"/>
      <c r="R25" s="922"/>
      <c r="S25" s="930"/>
      <c r="T25" s="923"/>
      <c r="U25" s="4"/>
      <c r="V25" s="14"/>
      <c r="W25" s="4"/>
      <c r="X25" s="16">
        <f t="shared" si="16"/>
        <v>0</v>
      </c>
      <c r="Y25" s="4"/>
      <c r="Z25" s="922"/>
      <c r="AA25" s="923"/>
    </row>
    <row r="26" spans="1:27" ht="15.75" customHeight="1">
      <c r="A26" s="23"/>
      <c r="B26" s="26">
        <v>5</v>
      </c>
      <c r="C26" s="948"/>
      <c r="D26" s="931"/>
      <c r="E26" s="925"/>
      <c r="F26" s="27"/>
      <c r="G26" s="27"/>
      <c r="H26" s="27"/>
      <c r="I26" s="27"/>
      <c r="J26" s="948"/>
      <c r="K26" s="925"/>
      <c r="M26" s="25"/>
      <c r="N26" s="24">
        <v>4</v>
      </c>
      <c r="O26" s="922"/>
      <c r="P26" s="930"/>
      <c r="Q26" s="923"/>
      <c r="R26" s="922"/>
      <c r="S26" s="930"/>
      <c r="T26" s="923"/>
      <c r="U26" s="4"/>
      <c r="V26" s="14"/>
      <c r="W26" s="4"/>
      <c r="X26" s="16">
        <f t="shared" si="16"/>
        <v>0</v>
      </c>
      <c r="Y26" s="4"/>
      <c r="Z26" s="922"/>
      <c r="AA26" s="923"/>
    </row>
    <row r="27" spans="1:27" ht="15.75" customHeight="1">
      <c r="A27" s="23"/>
      <c r="B27" s="69" t="s">
        <v>510</v>
      </c>
      <c r="C27" s="932" t="s">
        <v>511</v>
      </c>
      <c r="D27" s="933"/>
      <c r="E27" s="934"/>
      <c r="F27" s="28">
        <v>4</v>
      </c>
      <c r="G27" s="28">
        <v>2800</v>
      </c>
      <c r="H27" s="28">
        <v>700</v>
      </c>
      <c r="I27" s="28" t="s">
        <v>512</v>
      </c>
      <c r="J27" s="932" t="s">
        <v>513</v>
      </c>
      <c r="K27" s="934"/>
      <c r="M27" s="25"/>
      <c r="N27" s="29">
        <v>5</v>
      </c>
      <c r="O27" s="924"/>
      <c r="P27" s="931"/>
      <c r="Q27" s="925"/>
      <c r="R27" s="924"/>
      <c r="S27" s="931"/>
      <c r="T27" s="925"/>
      <c r="U27" s="27"/>
      <c r="V27" s="30"/>
      <c r="W27" s="27"/>
      <c r="X27" s="31">
        <f t="shared" si="16"/>
        <v>0</v>
      </c>
      <c r="Y27" s="4"/>
      <c r="Z27" s="924"/>
      <c r="AA27" s="925"/>
    </row>
    <row r="28" spans="1:27" ht="15.75" customHeight="1">
      <c r="A28" s="23"/>
      <c r="B28" s="70" t="s">
        <v>514</v>
      </c>
      <c r="C28" s="944"/>
      <c r="D28" s="930"/>
      <c r="E28" s="923"/>
      <c r="F28" s="4"/>
      <c r="G28" s="4"/>
      <c r="H28" s="4"/>
      <c r="I28" s="4"/>
      <c r="J28" s="944"/>
      <c r="K28" s="923"/>
      <c r="M28" s="32"/>
      <c r="N28" s="55"/>
      <c r="O28" s="926"/>
      <c r="P28" s="930"/>
      <c r="Q28" s="930"/>
      <c r="R28" s="926"/>
      <c r="S28" s="930"/>
      <c r="T28" s="930"/>
      <c r="U28" s="59" t="s">
        <v>331</v>
      </c>
      <c r="V28" s="33">
        <f>X28/N18</f>
        <v>8.3333333333333329E-2</v>
      </c>
      <c r="W28" s="59" t="s">
        <v>332</v>
      </c>
      <c r="X28" s="34">
        <f>SUM(X23:X27)</f>
        <v>100</v>
      </c>
      <c r="Y28" s="45"/>
      <c r="Z28" s="926"/>
      <c r="AA28" s="923"/>
    </row>
    <row r="29" spans="1:27" ht="15.75" customHeight="1">
      <c r="A29" s="23"/>
      <c r="B29" s="70" t="s">
        <v>515</v>
      </c>
      <c r="C29" s="944"/>
      <c r="D29" s="930"/>
      <c r="E29" s="923"/>
      <c r="F29" s="4"/>
      <c r="G29" s="4"/>
      <c r="H29" s="4"/>
      <c r="I29" s="4"/>
      <c r="J29" s="944"/>
      <c r="K29" s="923"/>
      <c r="M29" s="56" t="s">
        <v>499</v>
      </c>
      <c r="N29" s="24">
        <v>1</v>
      </c>
      <c r="O29" s="945" t="s">
        <v>516</v>
      </c>
      <c r="P29" s="946"/>
      <c r="Q29" s="928"/>
      <c r="R29" s="927" t="s">
        <v>517</v>
      </c>
      <c r="S29" s="946"/>
      <c r="T29" s="92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7" t="s">
        <v>518</v>
      </c>
      <c r="AA29" s="928"/>
    </row>
    <row r="30" spans="1:27" ht="15.75" customHeight="1">
      <c r="A30" s="23"/>
      <c r="B30" s="70" t="s">
        <v>519</v>
      </c>
      <c r="C30" s="944"/>
      <c r="D30" s="930"/>
      <c r="E30" s="923"/>
      <c r="F30" s="4"/>
      <c r="G30" s="4"/>
      <c r="H30" s="4"/>
      <c r="I30" s="4"/>
      <c r="J30" s="944"/>
      <c r="K30" s="923"/>
      <c r="M30" s="25"/>
      <c r="N30" s="24">
        <v>2</v>
      </c>
      <c r="O30" s="922"/>
      <c r="P30" s="930"/>
      <c r="Q30" s="923"/>
      <c r="R30" s="922"/>
      <c r="S30" s="930"/>
      <c r="T30" s="923"/>
      <c r="U30" s="4"/>
      <c r="V30" s="14"/>
      <c r="W30" s="4"/>
      <c r="X30" s="16">
        <f t="shared" si="17"/>
        <v>0</v>
      </c>
      <c r="Y30" s="4"/>
      <c r="Z30" s="922"/>
      <c r="AA30" s="923"/>
    </row>
    <row r="31" spans="1:27" ht="15.75" customHeight="1">
      <c r="A31" s="20"/>
      <c r="B31" s="70" t="s">
        <v>520</v>
      </c>
      <c r="C31" s="944"/>
      <c r="D31" s="930"/>
      <c r="E31" s="923"/>
      <c r="F31" s="4"/>
      <c r="G31" s="4"/>
      <c r="H31" s="4"/>
      <c r="I31" s="4"/>
      <c r="J31" s="944"/>
      <c r="K31" s="923"/>
      <c r="M31" s="25"/>
      <c r="N31" s="24">
        <v>3</v>
      </c>
      <c r="O31" s="922"/>
      <c r="P31" s="930"/>
      <c r="Q31" s="923"/>
      <c r="R31" s="922"/>
      <c r="S31" s="930"/>
      <c r="T31" s="923"/>
      <c r="U31" s="4"/>
      <c r="V31" s="14"/>
      <c r="W31" s="4"/>
      <c r="X31" s="16">
        <f t="shared" si="17"/>
        <v>0</v>
      </c>
      <c r="Y31" s="4"/>
      <c r="Z31" s="922"/>
      <c r="AA31" s="923"/>
    </row>
    <row r="32" spans="1:27" ht="15.75" customHeight="1">
      <c r="A32" s="67"/>
      <c r="M32" s="25"/>
      <c r="N32" s="24">
        <v>4</v>
      </c>
      <c r="O32" s="922"/>
      <c r="P32" s="930"/>
      <c r="Q32" s="923"/>
      <c r="R32" s="922"/>
      <c r="S32" s="930"/>
      <c r="T32" s="923"/>
      <c r="U32" s="4"/>
      <c r="V32" s="14"/>
      <c r="W32" s="4"/>
      <c r="X32" s="16">
        <f t="shared" si="17"/>
        <v>0</v>
      </c>
      <c r="Y32" s="4"/>
      <c r="Z32" s="922"/>
      <c r="AA32" s="923"/>
    </row>
    <row r="33" spans="1:27" ht="15.75" customHeight="1">
      <c r="A33" s="18"/>
      <c r="B33" s="49" t="s">
        <v>267</v>
      </c>
      <c r="C33" s="947" t="s">
        <v>268</v>
      </c>
      <c r="D33" s="930"/>
      <c r="E33" s="923"/>
      <c r="F33" s="49" t="s">
        <v>269</v>
      </c>
      <c r="G33" s="49" t="s">
        <v>501</v>
      </c>
      <c r="H33" s="49" t="s">
        <v>502</v>
      </c>
      <c r="I33" s="8" t="s">
        <v>503</v>
      </c>
      <c r="J33" s="939" t="s">
        <v>273</v>
      </c>
      <c r="K33" s="923"/>
      <c r="M33" s="25"/>
      <c r="N33" s="29">
        <v>5</v>
      </c>
      <c r="O33" s="922"/>
      <c r="P33" s="930"/>
      <c r="Q33" s="923"/>
      <c r="R33" s="922"/>
      <c r="S33" s="930"/>
      <c r="T33" s="923"/>
      <c r="U33" s="27"/>
      <c r="V33" s="30"/>
      <c r="W33" s="27"/>
      <c r="X33" s="31">
        <f t="shared" si="17"/>
        <v>0</v>
      </c>
      <c r="Y33" s="4"/>
      <c r="Z33" s="922"/>
      <c r="AA33" s="923"/>
    </row>
    <row r="34" spans="1:27" ht="15.75" customHeight="1">
      <c r="A34" s="52" t="s">
        <v>484</v>
      </c>
      <c r="B34" s="6">
        <v>1</v>
      </c>
      <c r="C34" s="929" t="s">
        <v>521</v>
      </c>
      <c r="D34" s="930"/>
      <c r="E34" s="923"/>
      <c r="F34" s="4">
        <v>3</v>
      </c>
      <c r="G34" s="4">
        <v>2500</v>
      </c>
      <c r="H34" s="4">
        <v>833.33</v>
      </c>
      <c r="I34" s="4">
        <v>20</v>
      </c>
      <c r="J34" s="929" t="s">
        <v>522</v>
      </c>
      <c r="K34" s="923"/>
      <c r="M34" s="68"/>
      <c r="N34" s="45"/>
      <c r="O34" s="926"/>
      <c r="P34" s="930"/>
      <c r="Q34" s="930"/>
      <c r="R34" s="926"/>
      <c r="S34" s="930"/>
      <c r="T34" s="930"/>
      <c r="U34" s="59" t="s">
        <v>331</v>
      </c>
      <c r="V34" s="33">
        <f>X34/N18</f>
        <v>0.23125000000000001</v>
      </c>
      <c r="W34" s="59" t="s">
        <v>332</v>
      </c>
      <c r="X34" s="34">
        <f>SUM(X29:X33)</f>
        <v>277.5</v>
      </c>
      <c r="Y34" s="45"/>
      <c r="Z34" s="926"/>
      <c r="AA34" s="923"/>
    </row>
    <row r="35" spans="1:27" ht="15.75" customHeight="1">
      <c r="A35" s="23"/>
      <c r="B35" s="6">
        <v>2</v>
      </c>
      <c r="C35" s="922"/>
      <c r="D35" s="930"/>
      <c r="E35" s="923"/>
      <c r="F35" s="4"/>
      <c r="G35" s="4"/>
      <c r="H35" s="4"/>
      <c r="I35" s="4"/>
      <c r="J35" s="922"/>
      <c r="K35" s="923"/>
      <c r="M35" s="1"/>
      <c r="N35" s="1"/>
      <c r="O35" s="937"/>
      <c r="P35" s="938"/>
      <c r="Q35" s="938"/>
      <c r="R35" s="937"/>
      <c r="S35" s="938"/>
      <c r="T35" s="938"/>
      <c r="U35" s="1"/>
      <c r="V35" s="38"/>
      <c r="W35" s="1"/>
      <c r="X35" s="1"/>
      <c r="Y35" s="937"/>
      <c r="Z35" s="938"/>
      <c r="AA35" s="938"/>
    </row>
    <row r="36" spans="1:27" ht="15.75" customHeight="1">
      <c r="A36" s="23"/>
      <c r="B36" s="6">
        <v>3</v>
      </c>
      <c r="C36" s="922"/>
      <c r="D36" s="930"/>
      <c r="E36" s="923"/>
      <c r="F36" s="4"/>
      <c r="G36" s="4"/>
      <c r="H36" s="4"/>
      <c r="I36" s="4"/>
      <c r="J36" s="922"/>
      <c r="K36" s="923"/>
      <c r="M36" s="52" t="s">
        <v>487</v>
      </c>
      <c r="N36" s="57" t="s">
        <v>267</v>
      </c>
      <c r="O36" s="935" t="s">
        <v>268</v>
      </c>
      <c r="P36" s="926"/>
      <c r="Q36" s="936"/>
      <c r="R36" s="941" t="s">
        <v>314</v>
      </c>
      <c r="S36" s="942"/>
      <c r="T36" s="943"/>
      <c r="U36" s="57" t="s">
        <v>315</v>
      </c>
      <c r="V36" s="57" t="s">
        <v>63</v>
      </c>
      <c r="W36" s="57" t="s">
        <v>316</v>
      </c>
      <c r="X36" s="8" t="s">
        <v>303</v>
      </c>
      <c r="Y36" s="8" t="s">
        <v>503</v>
      </c>
      <c r="Z36" s="939" t="s">
        <v>273</v>
      </c>
      <c r="AA36" s="940"/>
    </row>
    <row r="37" spans="1:27" ht="15.75" customHeight="1">
      <c r="A37" s="23"/>
      <c r="B37" s="6">
        <v>4</v>
      </c>
      <c r="C37" s="922"/>
      <c r="D37" s="930"/>
      <c r="E37" s="923"/>
      <c r="F37" s="4"/>
      <c r="G37" s="4"/>
      <c r="H37" s="4"/>
      <c r="I37" s="4"/>
      <c r="J37" s="922"/>
      <c r="K37" s="923"/>
      <c r="M37" s="56" t="s">
        <v>395</v>
      </c>
      <c r="N37" s="24">
        <v>1</v>
      </c>
      <c r="O37" s="929" t="s">
        <v>523</v>
      </c>
      <c r="P37" s="930"/>
      <c r="Q37" s="923"/>
      <c r="R37" s="929" t="s">
        <v>524</v>
      </c>
      <c r="S37" s="930"/>
      <c r="T37" s="92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9" t="s">
        <v>525</v>
      </c>
      <c r="AA37" s="923"/>
    </row>
    <row r="38" spans="1:27" ht="15.75" customHeight="1">
      <c r="A38" s="23"/>
      <c r="B38" s="26">
        <v>5</v>
      </c>
      <c r="C38" s="924"/>
      <c r="D38" s="931"/>
      <c r="E38" s="925"/>
      <c r="F38" s="27"/>
      <c r="G38" s="27"/>
      <c r="H38" s="27"/>
      <c r="I38" s="27"/>
      <c r="J38" s="924"/>
      <c r="K38" s="925"/>
      <c r="M38" s="25"/>
      <c r="N38" s="24">
        <v>2</v>
      </c>
      <c r="O38" s="922"/>
      <c r="P38" s="930"/>
      <c r="Q38" s="923"/>
      <c r="R38" s="922"/>
      <c r="S38" s="930"/>
      <c r="T38" s="923"/>
      <c r="U38" s="4"/>
      <c r="V38" s="14"/>
      <c r="W38" s="4"/>
      <c r="X38" s="16">
        <f t="shared" si="18"/>
        <v>0</v>
      </c>
      <c r="Y38" s="4"/>
      <c r="Z38" s="922"/>
      <c r="AA38" s="923"/>
    </row>
    <row r="39" spans="1:27" ht="14.25">
      <c r="A39" s="23"/>
      <c r="B39" s="69" t="s">
        <v>510</v>
      </c>
      <c r="C39" s="932" t="s">
        <v>526</v>
      </c>
      <c r="D39" s="933"/>
      <c r="E39" s="934"/>
      <c r="F39" s="28">
        <v>7</v>
      </c>
      <c r="G39" s="28">
        <v>2200</v>
      </c>
      <c r="H39" s="28">
        <v>314.29000000000002</v>
      </c>
      <c r="I39" s="28">
        <v>-15</v>
      </c>
      <c r="J39" s="932" t="s">
        <v>527</v>
      </c>
      <c r="K39" s="934"/>
      <c r="M39" s="25"/>
      <c r="N39" s="24">
        <v>3</v>
      </c>
      <c r="O39" s="922"/>
      <c r="P39" s="930"/>
      <c r="Q39" s="923"/>
      <c r="R39" s="922"/>
      <c r="S39" s="930"/>
      <c r="T39" s="923"/>
      <c r="U39" s="4"/>
      <c r="V39" s="14"/>
      <c r="W39" s="4"/>
      <c r="X39" s="16">
        <f t="shared" si="18"/>
        <v>0</v>
      </c>
      <c r="Y39" s="4"/>
      <c r="Z39" s="922"/>
      <c r="AA39" s="923"/>
    </row>
    <row r="40" spans="1:27" ht="14.25">
      <c r="A40" s="23"/>
      <c r="B40" s="70" t="s">
        <v>514</v>
      </c>
      <c r="C40" s="922"/>
      <c r="D40" s="930"/>
      <c r="E40" s="923"/>
      <c r="F40" s="4"/>
      <c r="G40" s="4"/>
      <c r="H40" s="4"/>
      <c r="I40" s="4"/>
      <c r="J40" s="922"/>
      <c r="K40" s="923"/>
      <c r="M40" s="25"/>
      <c r="N40" s="24">
        <v>4</v>
      </c>
      <c r="O40" s="922"/>
      <c r="P40" s="930"/>
      <c r="Q40" s="923"/>
      <c r="R40" s="922"/>
      <c r="S40" s="930"/>
      <c r="T40" s="923"/>
      <c r="U40" s="4"/>
      <c r="V40" s="14"/>
      <c r="W40" s="4"/>
      <c r="X40" s="16">
        <f t="shared" si="18"/>
        <v>0</v>
      </c>
      <c r="Y40" s="4"/>
      <c r="Z40" s="922"/>
      <c r="AA40" s="923"/>
    </row>
    <row r="41" spans="1:27" ht="14.25">
      <c r="A41" s="23"/>
      <c r="B41" s="70" t="s">
        <v>515</v>
      </c>
      <c r="C41" s="922"/>
      <c r="D41" s="930"/>
      <c r="E41" s="923"/>
      <c r="F41" s="4"/>
      <c r="G41" s="4"/>
      <c r="H41" s="4"/>
      <c r="I41" s="4"/>
      <c r="J41" s="922"/>
      <c r="K41" s="923"/>
      <c r="M41" s="25"/>
      <c r="N41" s="29">
        <v>5</v>
      </c>
      <c r="O41" s="924"/>
      <c r="P41" s="931"/>
      <c r="Q41" s="925"/>
      <c r="R41" s="924"/>
      <c r="S41" s="931"/>
      <c r="T41" s="925"/>
      <c r="U41" s="27"/>
      <c r="V41" s="30"/>
      <c r="W41" s="27"/>
      <c r="X41" s="31">
        <f t="shared" si="18"/>
        <v>0</v>
      </c>
      <c r="Y41" s="4"/>
      <c r="Z41" s="922"/>
      <c r="AA41" s="923"/>
    </row>
    <row r="42" spans="1:27" ht="14.25">
      <c r="A42" s="23"/>
      <c r="B42" s="70" t="s">
        <v>519</v>
      </c>
      <c r="C42" s="922"/>
      <c r="D42" s="930"/>
      <c r="E42" s="923"/>
      <c r="F42" s="4"/>
      <c r="G42" s="4"/>
      <c r="H42" s="4"/>
      <c r="I42" s="4"/>
      <c r="J42" s="922"/>
      <c r="K42" s="923"/>
      <c r="M42" s="32"/>
      <c r="N42" s="54"/>
      <c r="O42" s="926"/>
      <c r="P42" s="930"/>
      <c r="Q42" s="930"/>
      <c r="R42" s="926"/>
      <c r="S42" s="930"/>
      <c r="T42" s="930"/>
      <c r="U42" s="59" t="s">
        <v>331</v>
      </c>
      <c r="V42" s="33">
        <f>X42/N19</f>
        <v>5.5555555555555552E-2</v>
      </c>
      <c r="W42" s="59" t="s">
        <v>332</v>
      </c>
      <c r="X42" s="34">
        <f>SUM(X37:X41)</f>
        <v>250</v>
      </c>
      <c r="Y42" s="45"/>
      <c r="Z42" s="926"/>
      <c r="AA42" s="923"/>
    </row>
    <row r="43" spans="1:27" ht="14.25">
      <c r="A43" s="20"/>
      <c r="B43" s="70" t="s">
        <v>520</v>
      </c>
      <c r="C43" s="922"/>
      <c r="D43" s="930"/>
      <c r="E43" s="923"/>
      <c r="F43" s="4"/>
      <c r="G43" s="4"/>
      <c r="H43" s="4"/>
      <c r="I43" s="4"/>
      <c r="J43" s="922"/>
      <c r="K43" s="923"/>
      <c r="M43" s="56" t="s">
        <v>499</v>
      </c>
      <c r="N43" s="24">
        <v>1</v>
      </c>
      <c r="O43" s="929" t="s">
        <v>523</v>
      </c>
      <c r="P43" s="930"/>
      <c r="Q43" s="923"/>
      <c r="R43" s="927" t="s">
        <v>528</v>
      </c>
      <c r="S43" s="946"/>
      <c r="T43" s="92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9" t="s">
        <v>529</v>
      </c>
      <c r="AA43" s="923"/>
    </row>
    <row r="44" spans="1:27" ht="14.25">
      <c r="A44" s="67"/>
      <c r="M44" s="25"/>
      <c r="N44" s="24">
        <v>2</v>
      </c>
      <c r="O44" s="922"/>
      <c r="P44" s="930"/>
      <c r="Q44" s="923"/>
      <c r="R44" s="922"/>
      <c r="S44" s="930"/>
      <c r="T44" s="923"/>
      <c r="U44" s="4"/>
      <c r="V44" s="14"/>
      <c r="W44" s="4"/>
      <c r="X44" s="37">
        <f t="shared" si="19"/>
        <v>0</v>
      </c>
      <c r="Y44" s="4"/>
      <c r="Z44" s="922"/>
      <c r="AA44" s="923"/>
    </row>
    <row r="45" spans="1:27" ht="14.25">
      <c r="A45" s="18"/>
      <c r="B45" s="49" t="s">
        <v>267</v>
      </c>
      <c r="C45" s="947" t="s">
        <v>268</v>
      </c>
      <c r="D45" s="930"/>
      <c r="E45" s="923"/>
      <c r="F45" s="49" t="s">
        <v>269</v>
      </c>
      <c r="G45" s="49" t="s">
        <v>501</v>
      </c>
      <c r="H45" s="49" t="s">
        <v>502</v>
      </c>
      <c r="I45" s="8" t="s">
        <v>503</v>
      </c>
      <c r="J45" s="939" t="s">
        <v>273</v>
      </c>
      <c r="K45" s="923"/>
      <c r="M45" s="25"/>
      <c r="N45" s="24">
        <v>3</v>
      </c>
      <c r="O45" s="922"/>
      <c r="P45" s="930"/>
      <c r="Q45" s="923"/>
      <c r="R45" s="922"/>
      <c r="S45" s="930"/>
      <c r="T45" s="923"/>
      <c r="U45" s="4"/>
      <c r="V45" s="14"/>
      <c r="W45" s="4"/>
      <c r="X45" s="37">
        <f t="shared" si="19"/>
        <v>0</v>
      </c>
      <c r="Y45" s="4"/>
      <c r="Z45" s="922"/>
      <c r="AA45" s="923"/>
    </row>
    <row r="46" spans="1:27" ht="14.25">
      <c r="A46" s="52" t="s">
        <v>486</v>
      </c>
      <c r="B46" s="6">
        <v>1</v>
      </c>
      <c r="C46" s="929" t="s">
        <v>507</v>
      </c>
      <c r="D46" s="930"/>
      <c r="E46" s="923"/>
      <c r="F46" s="4">
        <v>15</v>
      </c>
      <c r="G46" s="4">
        <v>1200</v>
      </c>
      <c r="H46" s="4">
        <v>80</v>
      </c>
      <c r="I46" s="4">
        <v>5</v>
      </c>
      <c r="J46" s="929" t="s">
        <v>530</v>
      </c>
      <c r="K46" s="923"/>
      <c r="M46" s="25"/>
      <c r="N46" s="24">
        <v>4</v>
      </c>
      <c r="O46" s="922"/>
      <c r="P46" s="930"/>
      <c r="Q46" s="923"/>
      <c r="R46" s="922"/>
      <c r="S46" s="930"/>
      <c r="T46" s="923"/>
      <c r="U46" s="4"/>
      <c r="V46" s="14"/>
      <c r="W46" s="4"/>
      <c r="X46" s="37">
        <f t="shared" si="19"/>
        <v>0</v>
      </c>
      <c r="Y46" s="4"/>
      <c r="Z46" s="922"/>
      <c r="AA46" s="923"/>
    </row>
    <row r="47" spans="1:27" ht="14.25">
      <c r="A47" s="23"/>
      <c r="B47" s="6">
        <v>2</v>
      </c>
      <c r="C47" s="922"/>
      <c r="D47" s="930"/>
      <c r="E47" s="923"/>
      <c r="F47" s="4"/>
      <c r="G47" s="4"/>
      <c r="H47" s="4"/>
      <c r="I47" s="4"/>
      <c r="J47" s="922"/>
      <c r="K47" s="923"/>
      <c r="M47" s="25"/>
      <c r="N47" s="29">
        <v>5</v>
      </c>
      <c r="O47" s="922"/>
      <c r="P47" s="930"/>
      <c r="Q47" s="923"/>
      <c r="R47" s="922"/>
      <c r="S47" s="930"/>
      <c r="T47" s="923"/>
      <c r="U47" s="27"/>
      <c r="V47" s="30"/>
      <c r="W47" s="27"/>
      <c r="X47" s="40">
        <f t="shared" si="19"/>
        <v>0</v>
      </c>
      <c r="Y47" s="4"/>
      <c r="Z47" s="922"/>
      <c r="AA47" s="923"/>
    </row>
    <row r="48" spans="1:27" ht="14.25">
      <c r="A48" s="23"/>
      <c r="B48" s="6">
        <v>3</v>
      </c>
      <c r="C48" s="922"/>
      <c r="D48" s="930"/>
      <c r="E48" s="923"/>
      <c r="F48" s="4"/>
      <c r="G48" s="4"/>
      <c r="H48" s="4"/>
      <c r="I48" s="4"/>
      <c r="J48" s="922"/>
      <c r="K48" s="923"/>
      <c r="M48" s="68"/>
      <c r="N48" s="45"/>
      <c r="O48" s="926"/>
      <c r="P48" s="930"/>
      <c r="Q48" s="930"/>
      <c r="R48" s="926"/>
      <c r="S48" s="930"/>
      <c r="T48" s="930"/>
      <c r="U48" s="59" t="s">
        <v>331</v>
      </c>
      <c r="V48" s="33">
        <f>X48/N19</f>
        <v>0.13333333333333333</v>
      </c>
      <c r="W48" s="59" t="s">
        <v>332</v>
      </c>
      <c r="X48" s="34">
        <f>SUM(X43:X47)</f>
        <v>600</v>
      </c>
      <c r="Y48" s="45"/>
      <c r="Z48" s="926"/>
      <c r="AA48" s="923"/>
    </row>
    <row r="49" spans="1:27" ht="14.25">
      <c r="A49" s="23"/>
      <c r="B49" s="6">
        <v>4</v>
      </c>
      <c r="C49" s="922"/>
      <c r="D49" s="930"/>
      <c r="E49" s="923"/>
      <c r="F49" s="4"/>
      <c r="G49" s="4"/>
      <c r="H49" s="4"/>
      <c r="I49" s="4"/>
      <c r="J49" s="922"/>
      <c r="K49" s="92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4"/>
      <c r="D50" s="931"/>
      <c r="E50" s="925"/>
      <c r="F50" s="27"/>
      <c r="G50" s="27"/>
      <c r="H50" s="27"/>
      <c r="I50" s="27"/>
      <c r="J50" s="924"/>
      <c r="K50" s="925"/>
      <c r="M50" s="64" t="s">
        <v>531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510</v>
      </c>
      <c r="C51" s="932" t="s">
        <v>523</v>
      </c>
      <c r="D51" s="933"/>
      <c r="E51" s="934"/>
      <c r="F51" s="28">
        <v>18</v>
      </c>
      <c r="G51" s="28">
        <v>800</v>
      </c>
      <c r="H51" s="28">
        <v>44.44</v>
      </c>
      <c r="I51" s="28">
        <v>-15</v>
      </c>
      <c r="J51" s="932" t="s">
        <v>532</v>
      </c>
      <c r="K51" s="934"/>
      <c r="M51" s="8"/>
      <c r="N51" s="8" t="s">
        <v>392</v>
      </c>
      <c r="O51" s="935" t="s">
        <v>268</v>
      </c>
      <c r="P51" s="926"/>
      <c r="Q51" s="936"/>
      <c r="R51" s="941" t="s">
        <v>314</v>
      </c>
      <c r="S51" s="942"/>
      <c r="T51" s="943"/>
      <c r="U51" s="57" t="s">
        <v>315</v>
      </c>
      <c r="V51" s="39" t="s">
        <v>393</v>
      </c>
      <c r="W51" s="57" t="s">
        <v>394</v>
      </c>
      <c r="X51" s="8" t="s">
        <v>50</v>
      </c>
      <c r="Y51" s="935" t="s">
        <v>283</v>
      </c>
      <c r="Z51" s="926"/>
      <c r="AA51" s="936"/>
    </row>
    <row r="52" spans="1:27" ht="14.25">
      <c r="A52" s="23"/>
      <c r="B52" s="70" t="s">
        <v>514</v>
      </c>
      <c r="C52" s="922"/>
      <c r="D52" s="930"/>
      <c r="E52" s="923"/>
      <c r="F52" s="4"/>
      <c r="G52" s="4"/>
      <c r="H52" s="4"/>
      <c r="I52" s="4"/>
      <c r="J52" s="922"/>
      <c r="K52" s="923"/>
      <c r="M52" s="56" t="s">
        <v>395</v>
      </c>
      <c r="N52" s="24">
        <v>1</v>
      </c>
      <c r="O52" s="929" t="s">
        <v>523</v>
      </c>
      <c r="P52" s="930"/>
      <c r="Q52" s="923"/>
      <c r="R52" s="927" t="s">
        <v>528</v>
      </c>
      <c r="S52" s="946"/>
      <c r="T52" s="92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9" t="s">
        <v>533</v>
      </c>
      <c r="Z52" s="930"/>
      <c r="AA52" s="923"/>
    </row>
    <row r="53" spans="1:27" ht="14.25">
      <c r="A53" s="23"/>
      <c r="B53" s="70" t="s">
        <v>515</v>
      </c>
      <c r="C53" s="922"/>
      <c r="D53" s="930"/>
      <c r="E53" s="923"/>
      <c r="F53" s="4"/>
      <c r="G53" s="4"/>
      <c r="H53" s="4"/>
      <c r="I53" s="4"/>
      <c r="J53" s="922"/>
      <c r="K53" s="923"/>
      <c r="M53" s="25"/>
      <c r="N53" s="29">
        <v>2</v>
      </c>
      <c r="O53" s="924"/>
      <c r="P53" s="931"/>
      <c r="Q53" s="925"/>
      <c r="R53" s="924"/>
      <c r="S53" s="931"/>
      <c r="T53" s="925"/>
      <c r="U53" s="27"/>
      <c r="V53" s="30"/>
      <c r="W53" s="30"/>
      <c r="X53" s="41">
        <f t="shared" si="20"/>
        <v>0</v>
      </c>
      <c r="Y53" s="924"/>
      <c r="Z53" s="931"/>
      <c r="AA53" s="925"/>
    </row>
    <row r="54" spans="1:27" ht="14.25">
      <c r="A54" s="23"/>
      <c r="B54" s="70" t="s">
        <v>519</v>
      </c>
      <c r="C54" s="922"/>
      <c r="D54" s="930"/>
      <c r="E54" s="923"/>
      <c r="F54" s="4"/>
      <c r="G54" s="4"/>
      <c r="H54" s="4"/>
      <c r="I54" s="4"/>
      <c r="J54" s="922"/>
      <c r="K54" s="923"/>
      <c r="M54" s="56" t="s">
        <v>499</v>
      </c>
      <c r="N54" s="42">
        <v>1</v>
      </c>
      <c r="O54" s="932" t="s">
        <v>534</v>
      </c>
      <c r="P54" s="933"/>
      <c r="Q54" s="934"/>
      <c r="R54" s="932" t="s">
        <v>535</v>
      </c>
      <c r="S54" s="933"/>
      <c r="T54" s="93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32" t="s">
        <v>536</v>
      </c>
      <c r="Z54" s="933"/>
      <c r="AA54" s="934"/>
    </row>
    <row r="55" spans="1:27" ht="14.25">
      <c r="A55" s="20"/>
      <c r="B55" s="70" t="s">
        <v>520</v>
      </c>
      <c r="C55" s="922"/>
      <c r="D55" s="930"/>
      <c r="E55" s="923"/>
      <c r="F55" s="4"/>
      <c r="G55" s="4"/>
      <c r="H55" s="4"/>
      <c r="I55" s="4"/>
      <c r="J55" s="922"/>
      <c r="K55" s="923"/>
      <c r="M55" s="22"/>
      <c r="N55" s="24">
        <v>2</v>
      </c>
      <c r="O55" s="922"/>
      <c r="P55" s="930"/>
      <c r="Q55" s="923"/>
      <c r="R55" s="922"/>
      <c r="S55" s="930"/>
      <c r="T55" s="923"/>
      <c r="U55" s="4"/>
      <c r="V55" s="14"/>
      <c r="W55" s="14"/>
      <c r="X55" s="13">
        <f t="shared" si="20"/>
        <v>0</v>
      </c>
      <c r="Y55" s="922"/>
      <c r="Z55" s="930"/>
      <c r="AA55" s="92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949" t="s">
        <v>537</v>
      </c>
      <c r="C2" s="949"/>
      <c r="D2" s="949"/>
      <c r="E2" s="949"/>
      <c r="F2" s="949"/>
    </row>
    <row r="3" spans="2:7" ht="15">
      <c r="B3" s="149" t="s">
        <v>538</v>
      </c>
      <c r="C3" s="149" t="s">
        <v>539</v>
      </c>
      <c r="D3" s="150"/>
      <c r="E3" s="149" t="s">
        <v>540</v>
      </c>
      <c r="F3" s="149" t="s">
        <v>541</v>
      </c>
      <c r="G3" s="150"/>
    </row>
    <row r="4" spans="2:7" ht="15">
      <c r="B4" s="151" t="s">
        <v>542</v>
      </c>
      <c r="C4" s="151" t="s">
        <v>543</v>
      </c>
      <c r="D4" s="150"/>
      <c r="E4" s="151" t="s">
        <v>544</v>
      </c>
      <c r="F4" s="151" t="s">
        <v>545</v>
      </c>
      <c r="G4" s="150"/>
    </row>
    <row r="5" spans="2:7" ht="15">
      <c r="B5" s="151" t="s">
        <v>546</v>
      </c>
      <c r="C5" s="151" t="s">
        <v>547</v>
      </c>
      <c r="D5" s="150"/>
      <c r="E5" s="151" t="s">
        <v>548</v>
      </c>
      <c r="F5" s="151" t="s">
        <v>549</v>
      </c>
      <c r="G5" s="150"/>
    </row>
    <row r="6" spans="2:7" ht="15">
      <c r="B6" s="151" t="s">
        <v>550</v>
      </c>
      <c r="C6" s="151" t="s">
        <v>551</v>
      </c>
      <c r="D6" s="150"/>
      <c r="E6" s="152" t="s">
        <v>552</v>
      </c>
      <c r="F6" s="152" t="s">
        <v>553</v>
      </c>
      <c r="G6" s="150"/>
    </row>
    <row r="7" spans="2:7" ht="15">
      <c r="B7" s="152" t="s">
        <v>554</v>
      </c>
      <c r="C7" s="152" t="s">
        <v>555</v>
      </c>
      <c r="D7" s="150"/>
      <c r="E7" s="151" t="s">
        <v>556</v>
      </c>
      <c r="F7" s="151" t="s">
        <v>557</v>
      </c>
      <c r="G7" s="150"/>
    </row>
    <row r="8" spans="2:7" ht="15">
      <c r="B8" s="151" t="s">
        <v>558</v>
      </c>
      <c r="C8" s="151" t="s">
        <v>559</v>
      </c>
      <c r="D8" s="150"/>
      <c r="E8" s="151" t="s">
        <v>560</v>
      </c>
      <c r="F8" s="151" t="s">
        <v>561</v>
      </c>
      <c r="G8" s="150"/>
    </row>
    <row r="9" spans="2:7" ht="15">
      <c r="B9" s="151" t="s">
        <v>562</v>
      </c>
      <c r="C9" s="151" t="s">
        <v>563</v>
      </c>
      <c r="D9" s="150"/>
      <c r="E9" s="152" t="s">
        <v>564</v>
      </c>
      <c r="F9" s="152" t="s">
        <v>565</v>
      </c>
      <c r="G9" s="150"/>
    </row>
    <row r="10" spans="2:7" ht="15">
      <c r="B10" s="151" t="s">
        <v>566</v>
      </c>
      <c r="C10" s="151" t="s">
        <v>567</v>
      </c>
      <c r="D10" s="150"/>
      <c r="E10" s="151" t="s">
        <v>568</v>
      </c>
      <c r="F10" s="151" t="s">
        <v>569</v>
      </c>
      <c r="G10" s="150"/>
    </row>
    <row r="11" spans="2:7" ht="15">
      <c r="B11" s="151" t="s">
        <v>570</v>
      </c>
      <c r="C11" s="151" t="s">
        <v>571</v>
      </c>
      <c r="D11" s="150"/>
      <c r="E11" s="151" t="s">
        <v>572</v>
      </c>
      <c r="F11" s="151" t="s">
        <v>561</v>
      </c>
      <c r="G11" s="150"/>
    </row>
    <row r="12" spans="2:7" ht="15">
      <c r="B12" s="151" t="s">
        <v>573</v>
      </c>
      <c r="C12" s="151" t="s">
        <v>574</v>
      </c>
      <c r="D12" s="150"/>
      <c r="E12" s="151" t="s">
        <v>575</v>
      </c>
      <c r="F12" s="151" t="s">
        <v>576</v>
      </c>
      <c r="G12" s="150"/>
    </row>
    <row r="13" spans="2:7" ht="15">
      <c r="B13" s="152" t="s">
        <v>577</v>
      </c>
      <c r="C13" s="152" t="s">
        <v>263</v>
      </c>
      <c r="D13" s="150"/>
      <c r="E13" s="151" t="s">
        <v>578</v>
      </c>
      <c r="F13" s="151" t="s">
        <v>579</v>
      </c>
      <c r="G13" s="150"/>
    </row>
    <row r="14" spans="2:7" ht="15">
      <c r="B14" s="151" t="s">
        <v>580</v>
      </c>
      <c r="C14" s="151" t="s">
        <v>581</v>
      </c>
      <c r="D14" s="150"/>
      <c r="E14" s="152" t="s">
        <v>582</v>
      </c>
      <c r="F14" s="152" t="s">
        <v>583</v>
      </c>
      <c r="G14" s="150"/>
    </row>
    <row r="15" spans="2:7" ht="15">
      <c r="B15" s="152" t="s">
        <v>584</v>
      </c>
      <c r="C15" s="152" t="s">
        <v>585</v>
      </c>
      <c r="D15" s="150"/>
      <c r="E15" s="151" t="s">
        <v>586</v>
      </c>
      <c r="F15" s="151" t="s">
        <v>583</v>
      </c>
      <c r="G15" s="150"/>
    </row>
    <row r="16" spans="2:7" ht="15">
      <c r="B16" s="151" t="s">
        <v>587</v>
      </c>
      <c r="C16" s="151" t="s">
        <v>588</v>
      </c>
      <c r="D16" s="150"/>
      <c r="E16" s="152" t="s">
        <v>589</v>
      </c>
      <c r="F16" s="152" t="s">
        <v>590</v>
      </c>
      <c r="G16" s="150"/>
    </row>
    <row r="17" spans="2:7" ht="15">
      <c r="B17" s="151" t="s">
        <v>591</v>
      </c>
      <c r="C17" s="151" t="s">
        <v>592</v>
      </c>
      <c r="D17" s="150"/>
      <c r="E17" s="151" t="s">
        <v>593</v>
      </c>
      <c r="F17" s="151" t="s">
        <v>594</v>
      </c>
      <c r="G17" s="150"/>
    </row>
    <row r="18" spans="2:7" ht="15">
      <c r="B18" s="151" t="s">
        <v>595</v>
      </c>
      <c r="C18" s="151" t="s">
        <v>596</v>
      </c>
      <c r="D18" s="150"/>
      <c r="E18" s="151" t="s">
        <v>597</v>
      </c>
      <c r="F18" s="151" t="s">
        <v>598</v>
      </c>
      <c r="G18" s="150"/>
    </row>
    <row r="19" spans="2:7" ht="15">
      <c r="B19" s="151" t="s">
        <v>599</v>
      </c>
      <c r="C19" s="151" t="s">
        <v>600</v>
      </c>
      <c r="D19" s="150"/>
      <c r="E19" s="151" t="s">
        <v>601</v>
      </c>
      <c r="F19" s="151" t="s">
        <v>602</v>
      </c>
      <c r="G19" s="150"/>
    </row>
    <row r="20" spans="2:7" ht="15">
      <c r="B20" s="151" t="s">
        <v>603</v>
      </c>
      <c r="C20" s="151" t="s">
        <v>604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605</v>
      </c>
    </row>
    <row r="4" spans="1:2" ht="14.25">
      <c r="A4">
        <v>2</v>
      </c>
      <c r="B4" s="148" t="s">
        <v>457</v>
      </c>
    </row>
    <row r="5" spans="1:2" ht="14.25">
      <c r="A5">
        <v>3</v>
      </c>
      <c r="B5" s="148" t="s">
        <v>438</v>
      </c>
    </row>
    <row r="6" spans="1:2" ht="14.25">
      <c r="A6">
        <v>4</v>
      </c>
      <c r="B6" s="148" t="s">
        <v>606</v>
      </c>
    </row>
    <row r="7" spans="1:2" ht="15">
      <c r="A7">
        <v>5</v>
      </c>
      <c r="B7" s="150" t="s">
        <v>607</v>
      </c>
    </row>
    <row r="8" spans="1:2" ht="14.25">
      <c r="A8">
        <v>6</v>
      </c>
      <c r="B8" s="148" t="s">
        <v>352</v>
      </c>
    </row>
    <row r="9" spans="1:2" ht="14.25">
      <c r="A9">
        <v>7</v>
      </c>
      <c r="B9" s="148" t="s">
        <v>442</v>
      </c>
    </row>
    <row r="10" spans="1:2" ht="14.25">
      <c r="A10">
        <v>8</v>
      </c>
      <c r="B10" s="148" t="s">
        <v>608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F18359-D2FB-450D-8740-4C754D771A2E}"/>
</file>

<file path=customXml/itemProps2.xml><?xml version="1.0" encoding="utf-8"?>
<ds:datastoreItem xmlns:ds="http://schemas.openxmlformats.org/officeDocument/2006/customXml" ds:itemID="{838821FB-7686-44B1-A16E-208099B3079F}"/>
</file>

<file path=customXml/itemProps3.xml><?xml version="1.0" encoding="utf-8"?>
<ds:datastoreItem xmlns:ds="http://schemas.openxmlformats.org/officeDocument/2006/customXml" ds:itemID="{72FF1E7F-F495-4536-A38F-7E7F078D791E}"/>
</file>

<file path=customXml/itemProps4.xml><?xml version="1.0" encoding="utf-8"?>
<ds:datastoreItem xmlns:ds="http://schemas.openxmlformats.org/officeDocument/2006/customXml" ds:itemID="{EA513D86-392E-4202-94FE-580FE7B98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2026-09-11T09:38:27Z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